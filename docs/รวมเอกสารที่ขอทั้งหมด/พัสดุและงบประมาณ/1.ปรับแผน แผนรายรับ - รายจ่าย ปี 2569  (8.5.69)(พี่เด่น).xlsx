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เนี๊ยบ (ห้ามลบ)\4. เงินบำรุง\ปี 69\ไตรมาส 2\"/>
    </mc:Choice>
  </mc:AlternateContent>
  <xr:revisionPtr revIDLastSave="0" documentId="13_ncr:1_{868B5514-5088-417A-9699-0D680E6B26ED}" xr6:coauthVersionLast="47" xr6:coauthVersionMax="47" xr10:uidLastSave="{00000000-0000-0000-0000-000000000000}"/>
  <bookViews>
    <workbookView xWindow="-120" yWindow="-120" windowWidth="29040" windowHeight="15840" firstSheet="7" activeTab="9" xr2:uid="{00000000-000D-0000-FFFF-FFFF00000000}"/>
  </bookViews>
  <sheets>
    <sheet name="แผนรายรับ-รายจ่ายเงินบำรุง 1ปี" sheetId="22" state="hidden" r:id="rId1"/>
    <sheet name="แผนรายรับ-รายจ่ายเงินบำรุง 3 ปี" sheetId="4" state="hidden" r:id="rId2"/>
    <sheet name="คำนิยาม" sheetId="10" r:id="rId3"/>
    <sheet name="1 ปี (69) " sheetId="24" r:id="rId4"/>
    <sheet name="3ปี" sheetId="23" r:id="rId5"/>
    <sheet name="แผนลงทุน 1ปี " sheetId="31" r:id="rId6"/>
    <sheet name="แผนลงทุน 3 ปี" sheetId="6" r:id="rId7"/>
    <sheet name="รายได้รอการจัดสรร" sheetId="9" r:id="rId8"/>
    <sheet name="ภาระผูกพัน" sheetId="8" state="hidden" r:id="rId9"/>
    <sheet name="ภาระผูกพัน (2)" sheetId="37" r:id="rId10"/>
    <sheet name="สรุป รับ-จ่าย" sheetId="11" r:id="rId11"/>
    <sheet name="ประมาณการรายรับ" sheetId="12" r:id="rId12"/>
    <sheet name="ประมาณการรายจ่าย" sheetId="13" r:id="rId13"/>
    <sheet name="ครุภัณฑ์ แผน 68" sheetId="25" state="hidden" r:id="rId14"/>
    <sheet name="รายการครุภัณฑ์ปรับ" sheetId="32" state="hidden" r:id="rId15"/>
    <sheet name="สิ่งก่อสร้าง (25.10.67)" sheetId="29" state="hidden" r:id="rId16"/>
    <sheet name="รายละเอียดรายจ่าย" sheetId="14" r:id="rId17"/>
    <sheet name="ครุภัณฑ์ (NEW)" sheetId="36" r:id="rId18"/>
    <sheet name="ครุภัณฑ์ (NEW) (แยกหมวด)" sheetId="39" r:id="rId19"/>
    <sheet name="ครุภัณฑ์ (NEW) (การแพทย์)" sheetId="40" r:id="rId20"/>
    <sheet name="ครุภัณฑ์ (NEW) (งานบ้านงานครัว)" sheetId="41" r:id="rId21"/>
    <sheet name="ครุภัณฑ์ (NEW) (สำนักงาน)" sheetId="42" r:id="rId22"/>
    <sheet name="ครุภัณฑ์ (NEW) (ไฟฟ้า)" sheetId="43" r:id="rId23"/>
    <sheet name="ครุภัณฑ์ (NEW) (คอม)" sheetId="44" r:id="rId24"/>
    <sheet name="ครุภัณฑ์ (NEW) (ยานพาหนะ)" sheetId="45" r:id="rId25"/>
    <sheet name="ครุภัณฑ์ (NEW) (อื่นๆ+ค่าเสื่อ)" sheetId="46" r:id="rId26"/>
    <sheet name="สิ่งก่อสร้าง (NEW)" sheetId="34" r:id="rId27"/>
    <sheet name="ครุภัณฑ์(เก่า)" sheetId="30" r:id="rId28"/>
    <sheet name="สิ่งก่อสร้าง (1.10.68)" sheetId="33" r:id="rId29"/>
    <sheet name="ครุภัณฑ์(เก่าผล)" sheetId="38" r:id="rId30"/>
  </sheets>
  <externalReferences>
    <externalReference r:id="rId31"/>
    <externalReference r:id="rId32"/>
    <externalReference r:id="rId33"/>
  </externalReferences>
  <definedNames>
    <definedName name="_xlnm._FilterDatabase" localSheetId="3" hidden="1">'1 ปี (69) '!$A$7:$J$77</definedName>
    <definedName name="_xlnm._FilterDatabase" localSheetId="4" hidden="1">'3ปี'!$A$7:$K$77</definedName>
    <definedName name="_xlnm._FilterDatabase" localSheetId="13" hidden="1">'ครุภัณฑ์ แผน 68'!$H$1:$H$1181</definedName>
    <definedName name="_xlnm._FilterDatabase" localSheetId="0" hidden="1">'แผนรายรับ-รายจ่ายเงินบำรุง 1ปี'!$A$7:$P$77</definedName>
    <definedName name="_xlnm._FilterDatabase" localSheetId="1" hidden="1">'แผนรายรับ-รายจ่ายเงินบำรุง 3 ปี'!$A$7:$Q$77</definedName>
    <definedName name="_xlnm._FilterDatabase" localSheetId="5" hidden="1">'แผนลงทุน 1ปี '!$A$5:$H$117</definedName>
    <definedName name="_xlnm.Print_Area" localSheetId="3">'1 ปี (69) '!$B$1:$T$96</definedName>
    <definedName name="_xlnm.Print_Area" localSheetId="4">'3ปี'!$A$1:$L$98</definedName>
    <definedName name="_xlnm.Print_Area" localSheetId="25">'ครุภัณฑ์ (NEW) (อื่นๆ+ค่าเสื่อ)'!$A$1:$AB$67</definedName>
    <definedName name="_xlnm.Print_Area" localSheetId="13">'ครุภัณฑ์ แผน 68'!$A$1:$J$539</definedName>
    <definedName name="_xlnm.Print_Area" localSheetId="27">'ครุภัณฑ์(เก่า)'!$A$1:$F$354</definedName>
    <definedName name="_xlnm.Print_Area" localSheetId="29">'ครุภัณฑ์(เก่าผล)'!$A$1:$F$313</definedName>
    <definedName name="_xlnm.Print_Area" localSheetId="12">ประมาณการรายจ่าย!$A$1:$AJ$17</definedName>
    <definedName name="_xlnm.Print_Area" localSheetId="11">ประมาณการรายรับ!$A$1:$AJ$21</definedName>
    <definedName name="_xlnm.Print_Area" localSheetId="0">'แผนรายรับ-รายจ่ายเงินบำรุง 1ปี'!$A$1:$N$95</definedName>
    <definedName name="_xlnm.Print_Area" localSheetId="1">'แผนรายรับ-รายจ่ายเงินบำรุง 3 ปี'!$A$1:$O$94</definedName>
    <definedName name="_xlnm.Print_Area" localSheetId="5">'แผนลงทุน 1ปี '!$A$1:$H$307</definedName>
    <definedName name="_xlnm.Print_Area" localSheetId="6">'แผนลงทุน 3 ปี'!$A$1:$P$322</definedName>
    <definedName name="_xlnm.Print_Area" localSheetId="8">ภาระผูกพัน!$A$1:$H$32</definedName>
    <definedName name="_xlnm.Print_Area" localSheetId="9">'ภาระผูกพัน (2)'!$A$1:$H$32</definedName>
    <definedName name="_xlnm.Print_Area" localSheetId="14">รายการครุภัณฑ์ปรับ!$A$1:$G$383</definedName>
    <definedName name="_xlnm.Print_Area" localSheetId="7">รายได้รอการจัดสรร!$A$1:$H$22</definedName>
    <definedName name="_xlnm.Print_Area" localSheetId="16">รายละเอียดรายจ่าย!$A$1:$AU$225</definedName>
    <definedName name="_xlnm.Print_Area" localSheetId="28">'สิ่งก่อสร้าง (1.10.68)'!$A$1:$AB$43</definedName>
    <definedName name="_xlnm.Print_Area" localSheetId="15">'สิ่งก่อสร้าง (25.10.67)'!$A$1:$AB$50</definedName>
    <definedName name="_xlnm.Print_Area" localSheetId="26">'สิ่งก่อสร้าง (NEW)'!$A$1:$AB$61</definedName>
    <definedName name="_xlnm.Print_Titles" localSheetId="3">'1 ปี (69) '!$1:$6</definedName>
    <definedName name="_xlnm.Print_Titles" localSheetId="4">'3ปี'!$1:$6</definedName>
    <definedName name="_xlnm.Print_Titles" localSheetId="19">'ครุภัณฑ์ (NEW) (การแพทย์)'!$3:$3</definedName>
    <definedName name="_xlnm.Print_Titles" localSheetId="23">'ครุภัณฑ์ (NEW) (คอม)'!$4:$4</definedName>
    <definedName name="_xlnm.Print_Titles" localSheetId="20">'ครุภัณฑ์ (NEW) (งานบ้านงานครัว)'!$3:$3</definedName>
    <definedName name="_xlnm.Print_Titles" localSheetId="13">'ครุภัณฑ์ แผน 68'!$2:$2</definedName>
    <definedName name="_xlnm.Print_Titles" localSheetId="12">ประมาณการรายจ่าย!$B:$B</definedName>
    <definedName name="_xlnm.Print_Titles" localSheetId="11">ประมาณการรายรับ!$B:$B</definedName>
    <definedName name="_xlnm.Print_Titles" localSheetId="0">'แผนรายรับ-รายจ่ายเงินบำรุง 1ปี'!$1:$6</definedName>
    <definedName name="_xlnm.Print_Titles" localSheetId="1">'แผนรายรับ-รายจ่ายเงินบำรุง 3 ปี'!$1:$6</definedName>
    <definedName name="_xlnm.Print_Titles" localSheetId="5">'แผนลงทุน 1ปี '!$5:$5</definedName>
    <definedName name="_xlnm.Print_Titles" localSheetId="6">'แผนลงทุน 3 ปี'!$5:$6</definedName>
    <definedName name="_xlnm.Print_Titles" localSheetId="8">ภาระผูกพัน!$1:$7</definedName>
    <definedName name="_xlnm.Print_Titles" localSheetId="9">'ภาระผูกพัน (2)'!$1:$7</definedName>
    <definedName name="_xlnm.Print_Titles" localSheetId="16">รายละเอียดรายจ่าย!$C:$C,รายละเอียดรายจ่าย!$3:$4</definedName>
    <definedName name="_xlnm.Print_Titles" localSheetId="28">'สิ่งก่อสร้าง (1.10.68)'!$3:$3</definedName>
    <definedName name="_xlnm.Print_Titles" localSheetId="15">'สิ่งก่อสร้าง (25.10.67)'!$3:$3</definedName>
  </definedNames>
  <calcPr calcId="191029"/>
</workbook>
</file>

<file path=xl/calcChain.xml><?xml version="1.0" encoding="utf-8"?>
<calcChain xmlns="http://schemas.openxmlformats.org/spreadsheetml/2006/main">
  <c r="J68" i="23" l="1"/>
  <c r="H313" i="6"/>
  <c r="J313" i="6"/>
  <c r="K312" i="6"/>
  <c r="K311" i="6"/>
  <c r="P308" i="6"/>
  <c r="I306" i="6"/>
  <c r="I307" i="6"/>
  <c r="I308" i="6"/>
  <c r="I309" i="6"/>
  <c r="I310" i="6"/>
  <c r="I305" i="6"/>
  <c r="N283" i="6"/>
  <c r="O283" i="6"/>
  <c r="P283" i="6"/>
  <c r="N284" i="6"/>
  <c r="O284" i="6"/>
  <c r="P284" i="6"/>
  <c r="N285" i="6"/>
  <c r="O285" i="6"/>
  <c r="P285" i="6"/>
  <c r="N286" i="6"/>
  <c r="O286" i="6"/>
  <c r="P286" i="6"/>
  <c r="N287" i="6"/>
  <c r="O287" i="6"/>
  <c r="P287" i="6"/>
  <c r="N288" i="6"/>
  <c r="O288" i="6"/>
  <c r="P288" i="6"/>
  <c r="N289" i="6"/>
  <c r="O289" i="6"/>
  <c r="P289" i="6"/>
  <c r="N290" i="6"/>
  <c r="O290" i="6"/>
  <c r="P290" i="6"/>
  <c r="N291" i="6"/>
  <c r="O291" i="6"/>
  <c r="P291" i="6"/>
  <c r="N292" i="6"/>
  <c r="O292" i="6"/>
  <c r="P292" i="6"/>
  <c r="N293" i="6"/>
  <c r="O293" i="6"/>
  <c r="P293" i="6"/>
  <c r="N294" i="6"/>
  <c r="O294" i="6"/>
  <c r="P294" i="6"/>
  <c r="N295" i="6"/>
  <c r="O295" i="6"/>
  <c r="P295" i="6"/>
  <c r="N296" i="6"/>
  <c r="O296" i="6"/>
  <c r="P296" i="6"/>
  <c r="N297" i="6"/>
  <c r="O297" i="6"/>
  <c r="P297" i="6"/>
  <c r="N298" i="6"/>
  <c r="O298" i="6"/>
  <c r="P298" i="6"/>
  <c r="N299" i="6"/>
  <c r="O299" i="6"/>
  <c r="P299" i="6"/>
  <c r="N300" i="6"/>
  <c r="O300" i="6"/>
  <c r="P300" i="6"/>
  <c r="N301" i="6"/>
  <c r="O301" i="6"/>
  <c r="P301" i="6"/>
  <c r="N302" i="6"/>
  <c r="O302" i="6"/>
  <c r="P302" i="6"/>
  <c r="N303" i="6"/>
  <c r="O303" i="6"/>
  <c r="P303" i="6"/>
  <c r="N304" i="6"/>
  <c r="O304" i="6"/>
  <c r="P304" i="6"/>
  <c r="O282" i="6"/>
  <c r="P282" i="6"/>
  <c r="N282" i="6"/>
  <c r="O279" i="6"/>
  <c r="P279" i="6"/>
  <c r="O280" i="6"/>
  <c r="P280" i="6"/>
  <c r="N9" i="6"/>
  <c r="O9" i="6"/>
  <c r="P9" i="6"/>
  <c r="N10" i="6"/>
  <c r="O10" i="6"/>
  <c r="P10" i="6"/>
  <c r="N11" i="6"/>
  <c r="O11" i="6"/>
  <c r="P11" i="6"/>
  <c r="N12" i="6"/>
  <c r="O12" i="6"/>
  <c r="P12" i="6"/>
  <c r="N13" i="6"/>
  <c r="O13" i="6"/>
  <c r="P13" i="6"/>
  <c r="N14" i="6"/>
  <c r="O14" i="6"/>
  <c r="P14" i="6"/>
  <c r="N15" i="6"/>
  <c r="O15" i="6"/>
  <c r="P15" i="6"/>
  <c r="N16" i="6"/>
  <c r="O16" i="6"/>
  <c r="P16" i="6"/>
  <c r="N17" i="6"/>
  <c r="O17" i="6"/>
  <c r="P17" i="6"/>
  <c r="N18" i="6"/>
  <c r="O18" i="6"/>
  <c r="P18" i="6"/>
  <c r="N19" i="6"/>
  <c r="O19" i="6"/>
  <c r="P19" i="6"/>
  <c r="N20" i="6"/>
  <c r="O20" i="6"/>
  <c r="P20" i="6"/>
  <c r="N21" i="6"/>
  <c r="O21" i="6"/>
  <c r="P21" i="6"/>
  <c r="N22" i="6"/>
  <c r="O22" i="6"/>
  <c r="P22" i="6"/>
  <c r="N23" i="6"/>
  <c r="O23" i="6"/>
  <c r="P23" i="6"/>
  <c r="N24" i="6"/>
  <c r="O24" i="6"/>
  <c r="P24" i="6"/>
  <c r="N25" i="6"/>
  <c r="O25" i="6"/>
  <c r="P25" i="6"/>
  <c r="N26" i="6"/>
  <c r="O26" i="6"/>
  <c r="P26" i="6"/>
  <c r="N27" i="6"/>
  <c r="O27" i="6"/>
  <c r="P27" i="6"/>
  <c r="N28" i="6"/>
  <c r="O28" i="6"/>
  <c r="P28" i="6"/>
  <c r="N29" i="6"/>
  <c r="O29" i="6"/>
  <c r="P29" i="6"/>
  <c r="N30" i="6"/>
  <c r="O30" i="6"/>
  <c r="P30" i="6"/>
  <c r="N31" i="6"/>
  <c r="O31" i="6"/>
  <c r="P31" i="6"/>
  <c r="N32" i="6"/>
  <c r="O32" i="6"/>
  <c r="P32" i="6"/>
  <c r="N33" i="6"/>
  <c r="O33" i="6"/>
  <c r="P33" i="6"/>
  <c r="N34" i="6"/>
  <c r="O34" i="6"/>
  <c r="P34" i="6"/>
  <c r="N35" i="6"/>
  <c r="O35" i="6"/>
  <c r="P35" i="6"/>
  <c r="N36" i="6"/>
  <c r="O36" i="6"/>
  <c r="P36" i="6"/>
  <c r="N37" i="6"/>
  <c r="O37" i="6"/>
  <c r="P37" i="6"/>
  <c r="N38" i="6"/>
  <c r="O38" i="6"/>
  <c r="P38" i="6"/>
  <c r="N39" i="6"/>
  <c r="O39" i="6"/>
  <c r="P39" i="6"/>
  <c r="N40" i="6"/>
  <c r="O40" i="6"/>
  <c r="P40" i="6"/>
  <c r="N41" i="6"/>
  <c r="O41" i="6"/>
  <c r="P41" i="6"/>
  <c r="N42" i="6"/>
  <c r="O42" i="6"/>
  <c r="P42" i="6"/>
  <c r="N43" i="6"/>
  <c r="O43" i="6"/>
  <c r="P43" i="6"/>
  <c r="N44" i="6"/>
  <c r="O44" i="6"/>
  <c r="P44" i="6"/>
  <c r="N45" i="6"/>
  <c r="O45" i="6"/>
  <c r="P45" i="6"/>
  <c r="N46" i="6"/>
  <c r="O46" i="6"/>
  <c r="P46" i="6"/>
  <c r="N47" i="6"/>
  <c r="O47" i="6"/>
  <c r="P47" i="6"/>
  <c r="N48" i="6"/>
  <c r="O48" i="6"/>
  <c r="P48" i="6"/>
  <c r="N49" i="6"/>
  <c r="O49" i="6"/>
  <c r="P49" i="6"/>
  <c r="N50" i="6"/>
  <c r="O50" i="6"/>
  <c r="P50" i="6"/>
  <c r="N51" i="6"/>
  <c r="O51" i="6"/>
  <c r="P51" i="6"/>
  <c r="N52" i="6"/>
  <c r="O52" i="6"/>
  <c r="P52" i="6"/>
  <c r="N53" i="6"/>
  <c r="O53" i="6"/>
  <c r="P53" i="6"/>
  <c r="N54" i="6"/>
  <c r="O54" i="6"/>
  <c r="P54" i="6"/>
  <c r="N55" i="6"/>
  <c r="O55" i="6"/>
  <c r="P55" i="6"/>
  <c r="N56" i="6"/>
  <c r="O56" i="6"/>
  <c r="P56" i="6"/>
  <c r="N57" i="6"/>
  <c r="O57" i="6"/>
  <c r="P57" i="6"/>
  <c r="N58" i="6"/>
  <c r="O58" i="6"/>
  <c r="P58" i="6"/>
  <c r="N59" i="6"/>
  <c r="O59" i="6"/>
  <c r="P59" i="6"/>
  <c r="N60" i="6"/>
  <c r="O60" i="6"/>
  <c r="P60" i="6"/>
  <c r="N61" i="6"/>
  <c r="O61" i="6"/>
  <c r="P61" i="6"/>
  <c r="N62" i="6"/>
  <c r="O62" i="6"/>
  <c r="P62" i="6"/>
  <c r="N63" i="6"/>
  <c r="O63" i="6"/>
  <c r="P63" i="6"/>
  <c r="N64" i="6"/>
  <c r="O64" i="6"/>
  <c r="P64" i="6"/>
  <c r="N65" i="6"/>
  <c r="O65" i="6"/>
  <c r="P65" i="6"/>
  <c r="N66" i="6"/>
  <c r="O66" i="6"/>
  <c r="P66" i="6"/>
  <c r="N67" i="6"/>
  <c r="O67" i="6"/>
  <c r="P67" i="6"/>
  <c r="N68" i="6"/>
  <c r="O68" i="6"/>
  <c r="P68" i="6"/>
  <c r="N69" i="6"/>
  <c r="O69" i="6"/>
  <c r="P69" i="6"/>
  <c r="N70" i="6"/>
  <c r="O70" i="6"/>
  <c r="P70" i="6"/>
  <c r="N71" i="6"/>
  <c r="O71" i="6"/>
  <c r="P71" i="6"/>
  <c r="N72" i="6"/>
  <c r="O72" i="6"/>
  <c r="P72" i="6"/>
  <c r="N73" i="6"/>
  <c r="O73" i="6"/>
  <c r="P73" i="6"/>
  <c r="N74" i="6"/>
  <c r="O74" i="6"/>
  <c r="P74" i="6"/>
  <c r="N75" i="6"/>
  <c r="O75" i="6"/>
  <c r="P75" i="6"/>
  <c r="N76" i="6"/>
  <c r="O76" i="6"/>
  <c r="P76" i="6"/>
  <c r="N77" i="6"/>
  <c r="O77" i="6"/>
  <c r="P77" i="6"/>
  <c r="N78" i="6"/>
  <c r="O78" i="6"/>
  <c r="P78" i="6"/>
  <c r="N79" i="6"/>
  <c r="O79" i="6"/>
  <c r="P79" i="6"/>
  <c r="N80" i="6"/>
  <c r="O80" i="6"/>
  <c r="P80" i="6"/>
  <c r="N81" i="6"/>
  <c r="O81" i="6"/>
  <c r="P81" i="6"/>
  <c r="N82" i="6"/>
  <c r="O82" i="6"/>
  <c r="P82" i="6"/>
  <c r="N83" i="6"/>
  <c r="O83" i="6"/>
  <c r="P83" i="6"/>
  <c r="N84" i="6"/>
  <c r="O84" i="6"/>
  <c r="P84" i="6"/>
  <c r="N85" i="6"/>
  <c r="O85" i="6"/>
  <c r="P85" i="6"/>
  <c r="N86" i="6"/>
  <c r="O86" i="6"/>
  <c r="P86" i="6"/>
  <c r="N87" i="6"/>
  <c r="O87" i="6"/>
  <c r="P87" i="6"/>
  <c r="N88" i="6"/>
  <c r="O88" i="6"/>
  <c r="P88" i="6"/>
  <c r="N89" i="6"/>
  <c r="O89" i="6"/>
  <c r="P89" i="6"/>
  <c r="N90" i="6"/>
  <c r="O90" i="6"/>
  <c r="P90" i="6"/>
  <c r="N91" i="6"/>
  <c r="O91" i="6"/>
  <c r="P91" i="6"/>
  <c r="N92" i="6"/>
  <c r="O92" i="6"/>
  <c r="P92" i="6"/>
  <c r="N93" i="6"/>
  <c r="O93" i="6"/>
  <c r="P93" i="6"/>
  <c r="N94" i="6"/>
  <c r="O94" i="6"/>
  <c r="P94" i="6"/>
  <c r="N95" i="6"/>
  <c r="O95" i="6"/>
  <c r="P95" i="6"/>
  <c r="N96" i="6"/>
  <c r="O96" i="6"/>
  <c r="P96" i="6"/>
  <c r="N97" i="6"/>
  <c r="O97" i="6"/>
  <c r="P97" i="6"/>
  <c r="N98" i="6"/>
  <c r="O98" i="6"/>
  <c r="P98" i="6"/>
  <c r="N99" i="6"/>
  <c r="O99" i="6"/>
  <c r="P99" i="6"/>
  <c r="N100" i="6"/>
  <c r="O100" i="6"/>
  <c r="P100" i="6"/>
  <c r="N101" i="6"/>
  <c r="O101" i="6"/>
  <c r="P101" i="6"/>
  <c r="N102" i="6"/>
  <c r="O102" i="6"/>
  <c r="P102" i="6"/>
  <c r="N103" i="6"/>
  <c r="O103" i="6"/>
  <c r="P103" i="6"/>
  <c r="N104" i="6"/>
  <c r="O104" i="6"/>
  <c r="P104" i="6"/>
  <c r="N105" i="6"/>
  <c r="O105" i="6"/>
  <c r="P105" i="6"/>
  <c r="N106" i="6"/>
  <c r="O106" i="6"/>
  <c r="P106" i="6"/>
  <c r="N107" i="6"/>
  <c r="O107" i="6"/>
  <c r="P107" i="6"/>
  <c r="N108" i="6"/>
  <c r="O108" i="6"/>
  <c r="P108" i="6"/>
  <c r="N109" i="6"/>
  <c r="O109" i="6"/>
  <c r="P109" i="6"/>
  <c r="N110" i="6"/>
  <c r="O110" i="6"/>
  <c r="P110" i="6"/>
  <c r="N111" i="6"/>
  <c r="O111" i="6"/>
  <c r="P111" i="6"/>
  <c r="N112" i="6"/>
  <c r="O112" i="6"/>
  <c r="P112" i="6"/>
  <c r="N113" i="6"/>
  <c r="O113" i="6"/>
  <c r="P113" i="6"/>
  <c r="N114" i="6"/>
  <c r="O114" i="6"/>
  <c r="P114" i="6"/>
  <c r="N115" i="6"/>
  <c r="O115" i="6"/>
  <c r="P115" i="6"/>
  <c r="N116" i="6"/>
  <c r="O116" i="6"/>
  <c r="P116" i="6"/>
  <c r="N117" i="6"/>
  <c r="O117" i="6"/>
  <c r="P117" i="6"/>
  <c r="N118" i="6"/>
  <c r="O118" i="6"/>
  <c r="P118" i="6"/>
  <c r="N119" i="6"/>
  <c r="O119" i="6"/>
  <c r="P119" i="6"/>
  <c r="N120" i="6"/>
  <c r="O120" i="6"/>
  <c r="P120" i="6"/>
  <c r="N121" i="6"/>
  <c r="O121" i="6"/>
  <c r="P121" i="6"/>
  <c r="N122" i="6"/>
  <c r="O122" i="6"/>
  <c r="P122" i="6"/>
  <c r="N123" i="6"/>
  <c r="O123" i="6"/>
  <c r="P123" i="6"/>
  <c r="N124" i="6"/>
  <c r="O124" i="6"/>
  <c r="P124" i="6"/>
  <c r="N125" i="6"/>
  <c r="O125" i="6"/>
  <c r="P125" i="6"/>
  <c r="N126" i="6"/>
  <c r="O126" i="6"/>
  <c r="P126" i="6"/>
  <c r="N127" i="6"/>
  <c r="O127" i="6"/>
  <c r="P127" i="6"/>
  <c r="N128" i="6"/>
  <c r="O128" i="6"/>
  <c r="P128" i="6"/>
  <c r="N129" i="6"/>
  <c r="O129" i="6"/>
  <c r="P129" i="6"/>
  <c r="N130" i="6"/>
  <c r="O130" i="6"/>
  <c r="P130" i="6"/>
  <c r="N131" i="6"/>
  <c r="O131" i="6"/>
  <c r="P131" i="6"/>
  <c r="N132" i="6"/>
  <c r="O132" i="6"/>
  <c r="P132" i="6"/>
  <c r="N133" i="6"/>
  <c r="O133" i="6"/>
  <c r="P133" i="6"/>
  <c r="N134" i="6"/>
  <c r="O134" i="6"/>
  <c r="P134" i="6"/>
  <c r="N135" i="6"/>
  <c r="O135" i="6"/>
  <c r="P135" i="6"/>
  <c r="N136" i="6"/>
  <c r="O136" i="6"/>
  <c r="P136" i="6"/>
  <c r="N137" i="6"/>
  <c r="O137" i="6"/>
  <c r="P137" i="6"/>
  <c r="N138" i="6"/>
  <c r="O138" i="6"/>
  <c r="P138" i="6"/>
  <c r="N139" i="6"/>
  <c r="O139" i="6"/>
  <c r="P139" i="6"/>
  <c r="N140" i="6"/>
  <c r="O140" i="6"/>
  <c r="P140" i="6"/>
  <c r="N141" i="6"/>
  <c r="O141" i="6"/>
  <c r="P141" i="6"/>
  <c r="N142" i="6"/>
  <c r="O142" i="6"/>
  <c r="P142" i="6"/>
  <c r="N143" i="6"/>
  <c r="O143" i="6"/>
  <c r="P143" i="6"/>
  <c r="N144" i="6"/>
  <c r="O144" i="6"/>
  <c r="P144" i="6"/>
  <c r="N145" i="6"/>
  <c r="O145" i="6"/>
  <c r="P145" i="6"/>
  <c r="N146" i="6"/>
  <c r="O146" i="6"/>
  <c r="P146" i="6"/>
  <c r="N147" i="6"/>
  <c r="O147" i="6"/>
  <c r="P147" i="6"/>
  <c r="N148" i="6"/>
  <c r="O148" i="6"/>
  <c r="P148" i="6"/>
  <c r="N149" i="6"/>
  <c r="O149" i="6"/>
  <c r="P149" i="6"/>
  <c r="N150" i="6"/>
  <c r="O150" i="6"/>
  <c r="P150" i="6"/>
  <c r="N151" i="6"/>
  <c r="O151" i="6"/>
  <c r="P151" i="6"/>
  <c r="N152" i="6"/>
  <c r="O152" i="6"/>
  <c r="P152" i="6"/>
  <c r="N153" i="6"/>
  <c r="O153" i="6"/>
  <c r="P153" i="6"/>
  <c r="N154" i="6"/>
  <c r="O154" i="6"/>
  <c r="P154" i="6"/>
  <c r="N155" i="6"/>
  <c r="O155" i="6"/>
  <c r="P155" i="6"/>
  <c r="N156" i="6"/>
  <c r="O156" i="6"/>
  <c r="P156" i="6"/>
  <c r="N157" i="6"/>
  <c r="O157" i="6"/>
  <c r="P157" i="6"/>
  <c r="N158" i="6"/>
  <c r="O158" i="6"/>
  <c r="P158" i="6"/>
  <c r="N159" i="6"/>
  <c r="O159" i="6"/>
  <c r="P159" i="6"/>
  <c r="N160" i="6"/>
  <c r="O160" i="6"/>
  <c r="P160" i="6"/>
  <c r="N161" i="6"/>
  <c r="O161" i="6"/>
  <c r="P161" i="6"/>
  <c r="N162" i="6"/>
  <c r="O162" i="6"/>
  <c r="P162" i="6"/>
  <c r="N163" i="6"/>
  <c r="O163" i="6"/>
  <c r="P163" i="6"/>
  <c r="N164" i="6"/>
  <c r="O164" i="6"/>
  <c r="P164" i="6"/>
  <c r="N165" i="6"/>
  <c r="O165" i="6"/>
  <c r="P165" i="6"/>
  <c r="N166" i="6"/>
  <c r="O166" i="6"/>
  <c r="P166" i="6"/>
  <c r="N167" i="6"/>
  <c r="O167" i="6"/>
  <c r="P167" i="6"/>
  <c r="N168" i="6"/>
  <c r="O168" i="6"/>
  <c r="P168" i="6"/>
  <c r="N169" i="6"/>
  <c r="O169" i="6"/>
  <c r="P169" i="6"/>
  <c r="N170" i="6"/>
  <c r="O170" i="6"/>
  <c r="P170" i="6"/>
  <c r="N171" i="6"/>
  <c r="O171" i="6"/>
  <c r="P171" i="6"/>
  <c r="N172" i="6"/>
  <c r="O172" i="6"/>
  <c r="P172" i="6"/>
  <c r="N173" i="6"/>
  <c r="O173" i="6"/>
  <c r="P173" i="6"/>
  <c r="N174" i="6"/>
  <c r="O174" i="6"/>
  <c r="P174" i="6"/>
  <c r="N175" i="6"/>
  <c r="O175" i="6"/>
  <c r="P175" i="6"/>
  <c r="N176" i="6"/>
  <c r="O176" i="6"/>
  <c r="P176" i="6"/>
  <c r="N177" i="6"/>
  <c r="O177" i="6"/>
  <c r="P177" i="6"/>
  <c r="N178" i="6"/>
  <c r="O178" i="6"/>
  <c r="P178" i="6"/>
  <c r="N179" i="6"/>
  <c r="O179" i="6"/>
  <c r="P179" i="6"/>
  <c r="N180" i="6"/>
  <c r="O180" i="6"/>
  <c r="P180" i="6"/>
  <c r="N181" i="6"/>
  <c r="O181" i="6"/>
  <c r="P181" i="6"/>
  <c r="N182" i="6"/>
  <c r="O182" i="6"/>
  <c r="P182" i="6"/>
  <c r="N183" i="6"/>
  <c r="O183" i="6"/>
  <c r="P183" i="6"/>
  <c r="N184" i="6"/>
  <c r="O184" i="6"/>
  <c r="P184" i="6"/>
  <c r="N185" i="6"/>
  <c r="O185" i="6"/>
  <c r="P185" i="6"/>
  <c r="N186" i="6"/>
  <c r="O186" i="6"/>
  <c r="P186" i="6"/>
  <c r="N187" i="6"/>
  <c r="O187" i="6"/>
  <c r="P187" i="6"/>
  <c r="N188" i="6"/>
  <c r="O188" i="6"/>
  <c r="P188" i="6"/>
  <c r="N189" i="6"/>
  <c r="O189" i="6"/>
  <c r="P189" i="6"/>
  <c r="N190" i="6"/>
  <c r="O190" i="6"/>
  <c r="P190" i="6"/>
  <c r="N191" i="6"/>
  <c r="O191" i="6"/>
  <c r="P191" i="6"/>
  <c r="N192" i="6"/>
  <c r="O192" i="6"/>
  <c r="P192" i="6"/>
  <c r="N193" i="6"/>
  <c r="O193" i="6"/>
  <c r="P193" i="6"/>
  <c r="N194" i="6"/>
  <c r="O194" i="6"/>
  <c r="P194" i="6"/>
  <c r="N195" i="6"/>
  <c r="O195" i="6"/>
  <c r="P195" i="6"/>
  <c r="N196" i="6"/>
  <c r="O196" i="6"/>
  <c r="P196" i="6"/>
  <c r="N197" i="6"/>
  <c r="O197" i="6"/>
  <c r="P197" i="6"/>
  <c r="N198" i="6"/>
  <c r="O198" i="6"/>
  <c r="P198" i="6"/>
  <c r="N199" i="6"/>
  <c r="O199" i="6"/>
  <c r="P199" i="6"/>
  <c r="N200" i="6"/>
  <c r="O200" i="6"/>
  <c r="P200" i="6"/>
  <c r="N201" i="6"/>
  <c r="O201" i="6"/>
  <c r="P201" i="6"/>
  <c r="N202" i="6"/>
  <c r="O202" i="6"/>
  <c r="P202" i="6"/>
  <c r="N203" i="6"/>
  <c r="O203" i="6"/>
  <c r="P203" i="6"/>
  <c r="N204" i="6"/>
  <c r="O204" i="6"/>
  <c r="P204" i="6"/>
  <c r="N205" i="6"/>
  <c r="O205" i="6"/>
  <c r="P205" i="6"/>
  <c r="N206" i="6"/>
  <c r="O206" i="6"/>
  <c r="P206" i="6"/>
  <c r="N207" i="6"/>
  <c r="O207" i="6"/>
  <c r="P207" i="6"/>
  <c r="N208" i="6"/>
  <c r="O208" i="6"/>
  <c r="P208" i="6"/>
  <c r="N209" i="6"/>
  <c r="O209" i="6"/>
  <c r="P209" i="6"/>
  <c r="N210" i="6"/>
  <c r="O210" i="6"/>
  <c r="P210" i="6"/>
  <c r="N211" i="6"/>
  <c r="O211" i="6"/>
  <c r="P211" i="6"/>
  <c r="N212" i="6"/>
  <c r="O212" i="6"/>
  <c r="P212" i="6"/>
  <c r="N213" i="6"/>
  <c r="O213" i="6"/>
  <c r="P213" i="6"/>
  <c r="N214" i="6"/>
  <c r="O214" i="6"/>
  <c r="P214" i="6"/>
  <c r="N215" i="6"/>
  <c r="O215" i="6"/>
  <c r="P215" i="6"/>
  <c r="N216" i="6"/>
  <c r="O216" i="6"/>
  <c r="P216" i="6"/>
  <c r="N217" i="6"/>
  <c r="O217" i="6"/>
  <c r="P217" i="6"/>
  <c r="N218" i="6"/>
  <c r="O218" i="6"/>
  <c r="P218" i="6"/>
  <c r="N219" i="6"/>
  <c r="O219" i="6"/>
  <c r="P219" i="6"/>
  <c r="N220" i="6"/>
  <c r="O220" i="6"/>
  <c r="P220" i="6"/>
  <c r="N221" i="6"/>
  <c r="O221" i="6"/>
  <c r="P221" i="6"/>
  <c r="N222" i="6"/>
  <c r="O222" i="6"/>
  <c r="P222" i="6"/>
  <c r="N223" i="6"/>
  <c r="O223" i="6"/>
  <c r="P223" i="6"/>
  <c r="N224" i="6"/>
  <c r="O224" i="6"/>
  <c r="P224" i="6"/>
  <c r="N225" i="6"/>
  <c r="O225" i="6"/>
  <c r="P225" i="6"/>
  <c r="N226" i="6"/>
  <c r="O226" i="6"/>
  <c r="P226" i="6"/>
  <c r="N227" i="6"/>
  <c r="O227" i="6"/>
  <c r="P227" i="6"/>
  <c r="N228" i="6"/>
  <c r="O228" i="6"/>
  <c r="P228" i="6"/>
  <c r="N229" i="6"/>
  <c r="O229" i="6"/>
  <c r="P229" i="6"/>
  <c r="N230" i="6"/>
  <c r="O230" i="6"/>
  <c r="P230" i="6"/>
  <c r="N231" i="6"/>
  <c r="O231" i="6"/>
  <c r="P231" i="6"/>
  <c r="N232" i="6"/>
  <c r="O232" i="6"/>
  <c r="P232" i="6"/>
  <c r="N233" i="6"/>
  <c r="O233" i="6"/>
  <c r="P233" i="6"/>
  <c r="N234" i="6"/>
  <c r="O234" i="6"/>
  <c r="P234" i="6"/>
  <c r="N235" i="6"/>
  <c r="O235" i="6"/>
  <c r="P235" i="6"/>
  <c r="N236" i="6"/>
  <c r="O236" i="6"/>
  <c r="P236" i="6"/>
  <c r="N237" i="6"/>
  <c r="O237" i="6"/>
  <c r="P237" i="6"/>
  <c r="N238" i="6"/>
  <c r="O238" i="6"/>
  <c r="P238" i="6"/>
  <c r="N239" i="6"/>
  <c r="O239" i="6"/>
  <c r="P239" i="6"/>
  <c r="N240" i="6"/>
  <c r="O240" i="6"/>
  <c r="P240" i="6"/>
  <c r="N241" i="6"/>
  <c r="O241" i="6"/>
  <c r="P241" i="6"/>
  <c r="N242" i="6"/>
  <c r="O242" i="6"/>
  <c r="P242" i="6"/>
  <c r="N243" i="6"/>
  <c r="O243" i="6"/>
  <c r="P243" i="6"/>
  <c r="N244" i="6"/>
  <c r="O244" i="6"/>
  <c r="P244" i="6"/>
  <c r="N245" i="6"/>
  <c r="O245" i="6"/>
  <c r="P245" i="6"/>
  <c r="N246" i="6"/>
  <c r="O246" i="6"/>
  <c r="P246" i="6"/>
  <c r="N247" i="6"/>
  <c r="O247" i="6"/>
  <c r="P247" i="6"/>
  <c r="N248" i="6"/>
  <c r="O248" i="6"/>
  <c r="P248" i="6"/>
  <c r="N249" i="6"/>
  <c r="O249" i="6"/>
  <c r="P249" i="6"/>
  <c r="N250" i="6"/>
  <c r="O250" i="6"/>
  <c r="P250" i="6"/>
  <c r="N251" i="6"/>
  <c r="O251" i="6"/>
  <c r="P251" i="6"/>
  <c r="N252" i="6"/>
  <c r="O252" i="6"/>
  <c r="P252" i="6"/>
  <c r="N253" i="6"/>
  <c r="O253" i="6"/>
  <c r="P253" i="6"/>
  <c r="N254" i="6"/>
  <c r="O254" i="6"/>
  <c r="P254" i="6"/>
  <c r="N255" i="6"/>
  <c r="O255" i="6"/>
  <c r="P255" i="6"/>
  <c r="N256" i="6"/>
  <c r="O256" i="6"/>
  <c r="P256" i="6"/>
  <c r="N257" i="6"/>
  <c r="O257" i="6"/>
  <c r="P257" i="6"/>
  <c r="N258" i="6"/>
  <c r="O258" i="6"/>
  <c r="P258" i="6"/>
  <c r="N259" i="6"/>
  <c r="O259" i="6"/>
  <c r="P259" i="6"/>
  <c r="N260" i="6"/>
  <c r="O260" i="6"/>
  <c r="P260" i="6"/>
  <c r="N261" i="6"/>
  <c r="O261" i="6"/>
  <c r="P261" i="6"/>
  <c r="N262" i="6"/>
  <c r="O262" i="6"/>
  <c r="P262" i="6"/>
  <c r="N263" i="6"/>
  <c r="O263" i="6"/>
  <c r="P263" i="6"/>
  <c r="N264" i="6"/>
  <c r="O264" i="6"/>
  <c r="P264" i="6"/>
  <c r="N265" i="6"/>
  <c r="O265" i="6"/>
  <c r="P265" i="6"/>
  <c r="N266" i="6"/>
  <c r="O266" i="6"/>
  <c r="P266" i="6"/>
  <c r="N267" i="6"/>
  <c r="O267" i="6"/>
  <c r="P267" i="6"/>
  <c r="N268" i="6"/>
  <c r="O268" i="6"/>
  <c r="P268" i="6"/>
  <c r="N269" i="6"/>
  <c r="O269" i="6"/>
  <c r="P269" i="6"/>
  <c r="N270" i="6"/>
  <c r="O270" i="6"/>
  <c r="P270" i="6"/>
  <c r="N271" i="6"/>
  <c r="O271" i="6"/>
  <c r="P271" i="6"/>
  <c r="N272" i="6"/>
  <c r="O272" i="6"/>
  <c r="P272" i="6"/>
  <c r="N273" i="6"/>
  <c r="O273" i="6"/>
  <c r="P273" i="6"/>
  <c r="N274" i="6"/>
  <c r="O274" i="6"/>
  <c r="P274" i="6"/>
  <c r="N275" i="6"/>
  <c r="O275" i="6"/>
  <c r="P275" i="6"/>
  <c r="N276" i="6"/>
  <c r="O276" i="6"/>
  <c r="P276" i="6"/>
  <c r="N277" i="6"/>
  <c r="O277" i="6"/>
  <c r="P277" i="6"/>
  <c r="N278" i="6"/>
  <c r="O278" i="6"/>
  <c r="P278" i="6"/>
  <c r="O8" i="6"/>
  <c r="P8" i="6"/>
  <c r="N8" i="6"/>
  <c r="K280" i="6"/>
  <c r="I280" i="6"/>
  <c r="K279" i="6"/>
  <c r="I279" i="6"/>
  <c r="F254" i="6"/>
  <c r="F255" i="6"/>
  <c r="F256" i="6"/>
  <c r="F257" i="6"/>
  <c r="F258" i="6"/>
  <c r="F259" i="6"/>
  <c r="F260" i="6"/>
  <c r="F261" i="6"/>
  <c r="F262" i="6"/>
  <c r="F263" i="6"/>
  <c r="F264" i="6"/>
  <c r="E145" i="6"/>
  <c r="E254" i="6"/>
  <c r="E255" i="6"/>
  <c r="E256" i="6"/>
  <c r="E257" i="6"/>
  <c r="E258" i="6"/>
  <c r="E259" i="6"/>
  <c r="E260" i="6"/>
  <c r="E261" i="6"/>
  <c r="E262" i="6"/>
  <c r="E263" i="6"/>
  <c r="E264" i="6"/>
  <c r="E262" i="31"/>
  <c r="G264" i="6" s="1"/>
  <c r="T37" i="24"/>
  <c r="J37" i="23" s="1"/>
  <c r="T34" i="24"/>
  <c r="J34" i="23" s="1"/>
  <c r="T33" i="24"/>
  <c r="J33" i="23" s="1"/>
  <c r="T32" i="24"/>
  <c r="J32" i="23" s="1"/>
  <c r="T27" i="24"/>
  <c r="J27" i="23" s="1"/>
  <c r="J72" i="23"/>
  <c r="K58" i="23"/>
  <c r="T57" i="24"/>
  <c r="J57" i="23" s="1"/>
  <c r="J53" i="23"/>
  <c r="J29" i="23"/>
  <c r="E298" i="31"/>
  <c r="G303" i="6" s="1"/>
  <c r="E299" i="31"/>
  <c r="G304" i="6" s="1"/>
  <c r="E297" i="31"/>
  <c r="G302" i="6" s="1"/>
  <c r="D298" i="31"/>
  <c r="F303" i="6" s="1"/>
  <c r="D299" i="31"/>
  <c r="F304" i="6" s="1"/>
  <c r="D297" i="31"/>
  <c r="F302" i="6" s="1"/>
  <c r="C298" i="31"/>
  <c r="E303" i="6" s="1"/>
  <c r="C299" i="31"/>
  <c r="E304" i="6" s="1"/>
  <c r="C297" i="31"/>
  <c r="E302" i="6" s="1"/>
  <c r="E289" i="31"/>
  <c r="G294" i="6" s="1"/>
  <c r="D278" i="31"/>
  <c r="F283" i="6" s="1"/>
  <c r="D279" i="31"/>
  <c r="F284" i="6" s="1"/>
  <c r="D280" i="31"/>
  <c r="F285" i="6" s="1"/>
  <c r="D281" i="31"/>
  <c r="F286" i="6" s="1"/>
  <c r="D282" i="31"/>
  <c r="F287" i="6" s="1"/>
  <c r="D283" i="31"/>
  <c r="F288" i="6" s="1"/>
  <c r="D284" i="31"/>
  <c r="F289" i="6" s="1"/>
  <c r="D285" i="31"/>
  <c r="F290" i="6" s="1"/>
  <c r="D286" i="31"/>
  <c r="F291" i="6" s="1"/>
  <c r="D287" i="31"/>
  <c r="F292" i="6" s="1"/>
  <c r="D288" i="31"/>
  <c r="F293" i="6" s="1"/>
  <c r="D289" i="31"/>
  <c r="F294" i="6" s="1"/>
  <c r="D290" i="31"/>
  <c r="F295" i="6" s="1"/>
  <c r="D291" i="31"/>
  <c r="F296" i="6" s="1"/>
  <c r="D292" i="31"/>
  <c r="F297" i="6" s="1"/>
  <c r="D293" i="31"/>
  <c r="F298" i="6" s="1"/>
  <c r="D294" i="31"/>
  <c r="F299" i="6" s="1"/>
  <c r="D295" i="31"/>
  <c r="F300" i="6" s="1"/>
  <c r="D296" i="31"/>
  <c r="F301" i="6" s="1"/>
  <c r="D277" i="31"/>
  <c r="F282" i="6" s="1"/>
  <c r="C278" i="31"/>
  <c r="E283" i="6" s="1"/>
  <c r="C279" i="31"/>
  <c r="E284" i="6" s="1"/>
  <c r="C280" i="31"/>
  <c r="E285" i="6" s="1"/>
  <c r="C281" i="31"/>
  <c r="E286" i="6" s="1"/>
  <c r="C282" i="31"/>
  <c r="E287" i="6" s="1"/>
  <c r="C283" i="31"/>
  <c r="E288" i="6" s="1"/>
  <c r="C284" i="31"/>
  <c r="E289" i="6" s="1"/>
  <c r="C285" i="31"/>
  <c r="E290" i="6" s="1"/>
  <c r="C286" i="31"/>
  <c r="E291" i="6" s="1"/>
  <c r="C287" i="31"/>
  <c r="E292" i="6" s="1"/>
  <c r="C288" i="31"/>
  <c r="E293" i="6" s="1"/>
  <c r="C289" i="31"/>
  <c r="E294" i="6" s="1"/>
  <c r="C290" i="31"/>
  <c r="E295" i="6" s="1"/>
  <c r="C291" i="31"/>
  <c r="E296" i="6" s="1"/>
  <c r="C292" i="31"/>
  <c r="E297" i="6" s="1"/>
  <c r="C293" i="31"/>
  <c r="E298" i="6" s="1"/>
  <c r="C294" i="31"/>
  <c r="E299" i="6" s="1"/>
  <c r="C295" i="31"/>
  <c r="E300" i="6" s="1"/>
  <c r="C296" i="31"/>
  <c r="E301" i="6" s="1"/>
  <c r="C277" i="31"/>
  <c r="E282" i="6" s="1"/>
  <c r="E251" i="31"/>
  <c r="G253" i="6" s="1"/>
  <c r="D251" i="31"/>
  <c r="F253" i="6" s="1"/>
  <c r="D250" i="31"/>
  <c r="F252" i="6" s="1"/>
  <c r="C251" i="31"/>
  <c r="E253" i="6" s="1"/>
  <c r="C250" i="31"/>
  <c r="E252" i="6" s="1"/>
  <c r="E260" i="31"/>
  <c r="G262" i="6" s="1"/>
  <c r="E259" i="31"/>
  <c r="G261" i="6" s="1"/>
  <c r="E274" i="31"/>
  <c r="G276" i="6" s="1"/>
  <c r="D275" i="31"/>
  <c r="F277" i="6" s="1"/>
  <c r="D276" i="31"/>
  <c r="F278" i="6" s="1"/>
  <c r="D274" i="31"/>
  <c r="F276" i="6" s="1"/>
  <c r="C275" i="31"/>
  <c r="E277" i="6" s="1"/>
  <c r="C276" i="31"/>
  <c r="E278" i="6" s="1"/>
  <c r="C274" i="31"/>
  <c r="E276" i="6" s="1"/>
  <c r="E265" i="31"/>
  <c r="G267" i="6" s="1"/>
  <c r="E269" i="31"/>
  <c r="G271" i="6" s="1"/>
  <c r="E273" i="31"/>
  <c r="G275" i="6" s="1"/>
  <c r="D264" i="31"/>
  <c r="F266" i="6" s="1"/>
  <c r="D265" i="31"/>
  <c r="F267" i="6" s="1"/>
  <c r="D266" i="31"/>
  <c r="F268" i="6" s="1"/>
  <c r="D267" i="31"/>
  <c r="F269" i="6" s="1"/>
  <c r="D268" i="31"/>
  <c r="F270" i="6" s="1"/>
  <c r="D269" i="31"/>
  <c r="F271" i="6" s="1"/>
  <c r="D270" i="31"/>
  <c r="F272" i="6" s="1"/>
  <c r="D271" i="31"/>
  <c r="F273" i="6" s="1"/>
  <c r="D272" i="31"/>
  <c r="F274" i="6" s="1"/>
  <c r="D273" i="31"/>
  <c r="F275" i="6" s="1"/>
  <c r="D263" i="31"/>
  <c r="F265" i="6" s="1"/>
  <c r="C264" i="31"/>
  <c r="E266" i="6" s="1"/>
  <c r="C265" i="31"/>
  <c r="E267" i="6" s="1"/>
  <c r="C266" i="31"/>
  <c r="E268" i="6" s="1"/>
  <c r="C267" i="31"/>
  <c r="E269" i="6" s="1"/>
  <c r="C268" i="31"/>
  <c r="E270" i="6" s="1"/>
  <c r="C269" i="31"/>
  <c r="E271" i="6" s="1"/>
  <c r="C270" i="31"/>
  <c r="E272" i="6" s="1"/>
  <c r="C271" i="31"/>
  <c r="E273" i="6" s="1"/>
  <c r="C272" i="31"/>
  <c r="E274" i="6" s="1"/>
  <c r="C273" i="31"/>
  <c r="E275" i="6" s="1"/>
  <c r="C263" i="31"/>
  <c r="E265" i="6" s="1"/>
  <c r="D232" i="31"/>
  <c r="F234" i="6" s="1"/>
  <c r="D233" i="31"/>
  <c r="F235" i="6" s="1"/>
  <c r="D234" i="31"/>
  <c r="F236" i="6" s="1"/>
  <c r="D235" i="31"/>
  <c r="F237" i="6" s="1"/>
  <c r="D236" i="31"/>
  <c r="F238" i="6" s="1"/>
  <c r="D237" i="31"/>
  <c r="F239" i="6" s="1"/>
  <c r="D238" i="31"/>
  <c r="F240" i="6" s="1"/>
  <c r="D239" i="31"/>
  <c r="F241" i="6" s="1"/>
  <c r="D240" i="31"/>
  <c r="F242" i="6" s="1"/>
  <c r="D241" i="31"/>
  <c r="F243" i="6" s="1"/>
  <c r="D242" i="31"/>
  <c r="F244" i="6" s="1"/>
  <c r="D243" i="31"/>
  <c r="F245" i="6" s="1"/>
  <c r="D244" i="31"/>
  <c r="F246" i="6" s="1"/>
  <c r="D245" i="31"/>
  <c r="F247" i="6" s="1"/>
  <c r="D246" i="31"/>
  <c r="F248" i="6" s="1"/>
  <c r="D247" i="31"/>
  <c r="F249" i="6" s="1"/>
  <c r="D248" i="31"/>
  <c r="F250" i="6" s="1"/>
  <c r="D249" i="31"/>
  <c r="F251" i="6" s="1"/>
  <c r="D231" i="31"/>
  <c r="F233" i="6" s="1"/>
  <c r="C232" i="31"/>
  <c r="E234" i="6" s="1"/>
  <c r="C233" i="31"/>
  <c r="E235" i="6" s="1"/>
  <c r="C234" i="31"/>
  <c r="E236" i="6" s="1"/>
  <c r="C235" i="31"/>
  <c r="E237" i="6" s="1"/>
  <c r="C236" i="31"/>
  <c r="E238" i="6" s="1"/>
  <c r="C237" i="31"/>
  <c r="E239" i="6" s="1"/>
  <c r="C238" i="31"/>
  <c r="E240" i="6" s="1"/>
  <c r="C239" i="31"/>
  <c r="E241" i="6" s="1"/>
  <c r="C240" i="31"/>
  <c r="E242" i="6" s="1"/>
  <c r="C241" i="31"/>
  <c r="E243" i="6" s="1"/>
  <c r="C242" i="31"/>
  <c r="E244" i="6" s="1"/>
  <c r="C243" i="31"/>
  <c r="E245" i="6" s="1"/>
  <c r="C244" i="31"/>
  <c r="E246" i="6" s="1"/>
  <c r="C245" i="31"/>
  <c r="E247" i="6" s="1"/>
  <c r="C246" i="31"/>
  <c r="E248" i="6" s="1"/>
  <c r="C247" i="31"/>
  <c r="E249" i="6" s="1"/>
  <c r="C248" i="31"/>
  <c r="E250" i="6" s="1"/>
  <c r="C249" i="31"/>
  <c r="E251" i="6" s="1"/>
  <c r="C231" i="31"/>
  <c r="E233" i="6" s="1"/>
  <c r="E145" i="31"/>
  <c r="G147" i="6" s="1"/>
  <c r="E143" i="31"/>
  <c r="G145" i="6" s="1"/>
  <c r="D7" i="31"/>
  <c r="F9" i="6" s="1"/>
  <c r="D8" i="31"/>
  <c r="F10" i="6" s="1"/>
  <c r="D9" i="31"/>
  <c r="F11" i="6" s="1"/>
  <c r="D10" i="31"/>
  <c r="F12" i="6" s="1"/>
  <c r="D11" i="31"/>
  <c r="F13" i="6" s="1"/>
  <c r="D12" i="31"/>
  <c r="F14" i="6" s="1"/>
  <c r="D13" i="31"/>
  <c r="F15" i="6" s="1"/>
  <c r="D14" i="31"/>
  <c r="F16" i="6" s="1"/>
  <c r="D15" i="31"/>
  <c r="F17" i="6" s="1"/>
  <c r="D16" i="31"/>
  <c r="F18" i="6" s="1"/>
  <c r="D17" i="31"/>
  <c r="F19" i="6" s="1"/>
  <c r="D18" i="31"/>
  <c r="F20" i="6" s="1"/>
  <c r="D19" i="31"/>
  <c r="F21" i="6" s="1"/>
  <c r="D20" i="31"/>
  <c r="F22" i="6" s="1"/>
  <c r="D21" i="31"/>
  <c r="F23" i="6" s="1"/>
  <c r="D22" i="31"/>
  <c r="F24" i="6" s="1"/>
  <c r="D23" i="31"/>
  <c r="F25" i="6" s="1"/>
  <c r="D24" i="31"/>
  <c r="F26" i="6" s="1"/>
  <c r="D25" i="31"/>
  <c r="F27" i="6" s="1"/>
  <c r="D26" i="31"/>
  <c r="F28" i="6" s="1"/>
  <c r="D27" i="31"/>
  <c r="F29" i="6" s="1"/>
  <c r="D28" i="31"/>
  <c r="F30" i="6" s="1"/>
  <c r="D29" i="31"/>
  <c r="F31" i="6" s="1"/>
  <c r="D30" i="31"/>
  <c r="F32" i="6" s="1"/>
  <c r="D31" i="31"/>
  <c r="F33" i="6" s="1"/>
  <c r="D32" i="31"/>
  <c r="F34" i="6" s="1"/>
  <c r="D33" i="31"/>
  <c r="F35" i="6" s="1"/>
  <c r="D34" i="31"/>
  <c r="F36" i="6" s="1"/>
  <c r="D35" i="31"/>
  <c r="F37" i="6" s="1"/>
  <c r="D36" i="31"/>
  <c r="F38" i="6" s="1"/>
  <c r="D37" i="31"/>
  <c r="F39" i="6" s="1"/>
  <c r="D38" i="31"/>
  <c r="F40" i="6" s="1"/>
  <c r="D39" i="31"/>
  <c r="F41" i="6" s="1"/>
  <c r="D40" i="31"/>
  <c r="F42" i="6" s="1"/>
  <c r="D41" i="31"/>
  <c r="F43" i="6" s="1"/>
  <c r="D42" i="31"/>
  <c r="F44" i="6" s="1"/>
  <c r="D43" i="31"/>
  <c r="F45" i="6" s="1"/>
  <c r="D44" i="31"/>
  <c r="F46" i="6" s="1"/>
  <c r="D45" i="31"/>
  <c r="F47" i="6" s="1"/>
  <c r="D46" i="31"/>
  <c r="F48" i="6" s="1"/>
  <c r="D47" i="31"/>
  <c r="F49" i="6" s="1"/>
  <c r="D48" i="31"/>
  <c r="F50" i="6" s="1"/>
  <c r="D49" i="31"/>
  <c r="F51" i="6" s="1"/>
  <c r="D50" i="31"/>
  <c r="F52" i="6" s="1"/>
  <c r="D51" i="31"/>
  <c r="F53" i="6" s="1"/>
  <c r="D52" i="31"/>
  <c r="F54" i="6" s="1"/>
  <c r="D53" i="31"/>
  <c r="F55" i="6" s="1"/>
  <c r="D54" i="31"/>
  <c r="F56" i="6" s="1"/>
  <c r="D55" i="31"/>
  <c r="F57" i="6" s="1"/>
  <c r="D56" i="31"/>
  <c r="F58" i="6" s="1"/>
  <c r="D57" i="31"/>
  <c r="F59" i="6" s="1"/>
  <c r="D58" i="31"/>
  <c r="F60" i="6" s="1"/>
  <c r="D59" i="31"/>
  <c r="F61" i="6" s="1"/>
  <c r="D60" i="31"/>
  <c r="F62" i="6" s="1"/>
  <c r="D61" i="31"/>
  <c r="F63" i="6" s="1"/>
  <c r="D62" i="31"/>
  <c r="F64" i="6" s="1"/>
  <c r="D63" i="31"/>
  <c r="F65" i="6" s="1"/>
  <c r="D64" i="31"/>
  <c r="F66" i="6" s="1"/>
  <c r="D65" i="31"/>
  <c r="F67" i="6" s="1"/>
  <c r="D66" i="31"/>
  <c r="F68" i="6" s="1"/>
  <c r="D67" i="31"/>
  <c r="F69" i="6" s="1"/>
  <c r="D68" i="31"/>
  <c r="F70" i="6" s="1"/>
  <c r="D69" i="31"/>
  <c r="F71" i="6" s="1"/>
  <c r="D70" i="31"/>
  <c r="F72" i="6" s="1"/>
  <c r="D71" i="31"/>
  <c r="F73" i="6" s="1"/>
  <c r="D72" i="31"/>
  <c r="F74" i="6" s="1"/>
  <c r="D73" i="31"/>
  <c r="F75" i="6" s="1"/>
  <c r="D74" i="31"/>
  <c r="F76" i="6" s="1"/>
  <c r="D75" i="31"/>
  <c r="F77" i="6" s="1"/>
  <c r="D76" i="31"/>
  <c r="F78" i="6" s="1"/>
  <c r="D77" i="31"/>
  <c r="F79" i="6" s="1"/>
  <c r="D78" i="31"/>
  <c r="F80" i="6" s="1"/>
  <c r="D79" i="31"/>
  <c r="F81" i="6" s="1"/>
  <c r="D80" i="31"/>
  <c r="F82" i="6" s="1"/>
  <c r="D81" i="31"/>
  <c r="F83" i="6" s="1"/>
  <c r="D82" i="31"/>
  <c r="F84" i="6" s="1"/>
  <c r="D83" i="31"/>
  <c r="F85" i="6" s="1"/>
  <c r="D84" i="31"/>
  <c r="F86" i="6" s="1"/>
  <c r="D85" i="31"/>
  <c r="F87" i="6" s="1"/>
  <c r="D86" i="31"/>
  <c r="F88" i="6" s="1"/>
  <c r="D87" i="31"/>
  <c r="F89" i="6" s="1"/>
  <c r="D88" i="31"/>
  <c r="F90" i="6" s="1"/>
  <c r="D89" i="31"/>
  <c r="F91" i="6" s="1"/>
  <c r="D90" i="31"/>
  <c r="F92" i="6" s="1"/>
  <c r="D91" i="31"/>
  <c r="F93" i="6" s="1"/>
  <c r="D92" i="31"/>
  <c r="F94" i="6" s="1"/>
  <c r="D93" i="31"/>
  <c r="F95" i="6" s="1"/>
  <c r="D94" i="31"/>
  <c r="F96" i="6" s="1"/>
  <c r="D95" i="31"/>
  <c r="F97" i="6" s="1"/>
  <c r="D96" i="31"/>
  <c r="F98" i="6" s="1"/>
  <c r="D97" i="31"/>
  <c r="F99" i="6" s="1"/>
  <c r="D98" i="31"/>
  <c r="F100" i="6" s="1"/>
  <c r="D99" i="31"/>
  <c r="F101" i="6" s="1"/>
  <c r="D100" i="31"/>
  <c r="F102" i="6" s="1"/>
  <c r="D101" i="31"/>
  <c r="F103" i="6" s="1"/>
  <c r="D102" i="31"/>
  <c r="F104" i="6" s="1"/>
  <c r="D103" i="31"/>
  <c r="F105" i="6" s="1"/>
  <c r="D104" i="31"/>
  <c r="F106" i="6" s="1"/>
  <c r="D105" i="31"/>
  <c r="F107" i="6" s="1"/>
  <c r="D106" i="31"/>
  <c r="F108" i="6" s="1"/>
  <c r="D107" i="31"/>
  <c r="F109" i="6" s="1"/>
  <c r="D108" i="31"/>
  <c r="F110" i="6" s="1"/>
  <c r="D109" i="31"/>
  <c r="F111" i="6" s="1"/>
  <c r="D110" i="31"/>
  <c r="F112" i="6" s="1"/>
  <c r="D111" i="31"/>
  <c r="F113" i="6" s="1"/>
  <c r="D112" i="31"/>
  <c r="F114" i="6" s="1"/>
  <c r="D113" i="31"/>
  <c r="F115" i="6" s="1"/>
  <c r="D114" i="31"/>
  <c r="F116" i="6" s="1"/>
  <c r="D115" i="31"/>
  <c r="F117" i="6" s="1"/>
  <c r="D116" i="31"/>
  <c r="F118" i="6" s="1"/>
  <c r="D117" i="31"/>
  <c r="F119" i="6" s="1"/>
  <c r="D118" i="31"/>
  <c r="F120" i="6" s="1"/>
  <c r="D119" i="31"/>
  <c r="F121" i="6" s="1"/>
  <c r="D120" i="31"/>
  <c r="F122" i="6" s="1"/>
  <c r="D121" i="31"/>
  <c r="F123" i="6" s="1"/>
  <c r="D122" i="31"/>
  <c r="F124" i="6" s="1"/>
  <c r="D123" i="31"/>
  <c r="F125" i="6" s="1"/>
  <c r="D124" i="31"/>
  <c r="F126" i="6" s="1"/>
  <c r="D125" i="31"/>
  <c r="F127" i="6" s="1"/>
  <c r="D126" i="31"/>
  <c r="F128" i="6" s="1"/>
  <c r="D127" i="31"/>
  <c r="F129" i="6" s="1"/>
  <c r="D128" i="31"/>
  <c r="F130" i="6" s="1"/>
  <c r="D129" i="31"/>
  <c r="F131" i="6" s="1"/>
  <c r="D130" i="31"/>
  <c r="F132" i="6" s="1"/>
  <c r="D131" i="31"/>
  <c r="F133" i="6" s="1"/>
  <c r="D132" i="31"/>
  <c r="F134" i="6" s="1"/>
  <c r="D133" i="31"/>
  <c r="F135" i="6" s="1"/>
  <c r="D134" i="31"/>
  <c r="F136" i="6" s="1"/>
  <c r="D135" i="31"/>
  <c r="F137" i="6" s="1"/>
  <c r="D136" i="31"/>
  <c r="F138" i="6" s="1"/>
  <c r="D137" i="31"/>
  <c r="F139" i="6" s="1"/>
  <c r="D138" i="31"/>
  <c r="F140" i="6" s="1"/>
  <c r="D139" i="31"/>
  <c r="F141" i="6" s="1"/>
  <c r="D140" i="31"/>
  <c r="F142" i="6" s="1"/>
  <c r="D141" i="31"/>
  <c r="F143" i="6" s="1"/>
  <c r="D142" i="31"/>
  <c r="F144" i="6" s="1"/>
  <c r="D143" i="31"/>
  <c r="F145" i="6" s="1"/>
  <c r="D144" i="31"/>
  <c r="F146" i="6" s="1"/>
  <c r="D145" i="31"/>
  <c r="F147" i="6" s="1"/>
  <c r="D146" i="31"/>
  <c r="F148" i="6" s="1"/>
  <c r="D147" i="31"/>
  <c r="F149" i="6" s="1"/>
  <c r="D148" i="31"/>
  <c r="F150" i="6" s="1"/>
  <c r="D149" i="31"/>
  <c r="F151" i="6" s="1"/>
  <c r="D150" i="31"/>
  <c r="F152" i="6" s="1"/>
  <c r="D151" i="31"/>
  <c r="F153" i="6" s="1"/>
  <c r="D152" i="31"/>
  <c r="F154" i="6" s="1"/>
  <c r="D153" i="31"/>
  <c r="F155" i="6" s="1"/>
  <c r="D154" i="31"/>
  <c r="F156" i="6" s="1"/>
  <c r="D155" i="31"/>
  <c r="F157" i="6" s="1"/>
  <c r="D156" i="31"/>
  <c r="F158" i="6" s="1"/>
  <c r="D157" i="31"/>
  <c r="F159" i="6" s="1"/>
  <c r="D158" i="31"/>
  <c r="F160" i="6" s="1"/>
  <c r="D159" i="31"/>
  <c r="F161" i="6" s="1"/>
  <c r="D160" i="31"/>
  <c r="F162" i="6" s="1"/>
  <c r="D161" i="31"/>
  <c r="F163" i="6" s="1"/>
  <c r="D162" i="31"/>
  <c r="F164" i="6" s="1"/>
  <c r="D163" i="31"/>
  <c r="F165" i="6" s="1"/>
  <c r="D164" i="31"/>
  <c r="F166" i="6" s="1"/>
  <c r="D165" i="31"/>
  <c r="F167" i="6" s="1"/>
  <c r="D166" i="31"/>
  <c r="F168" i="6" s="1"/>
  <c r="D167" i="31"/>
  <c r="F169" i="6" s="1"/>
  <c r="D168" i="31"/>
  <c r="F170" i="6" s="1"/>
  <c r="D169" i="31"/>
  <c r="F171" i="6" s="1"/>
  <c r="D170" i="31"/>
  <c r="F172" i="6" s="1"/>
  <c r="D171" i="31"/>
  <c r="F173" i="6" s="1"/>
  <c r="D172" i="31"/>
  <c r="F174" i="6" s="1"/>
  <c r="D173" i="31"/>
  <c r="F175" i="6" s="1"/>
  <c r="D174" i="31"/>
  <c r="F176" i="6" s="1"/>
  <c r="D175" i="31"/>
  <c r="F177" i="6" s="1"/>
  <c r="D176" i="31"/>
  <c r="F178" i="6" s="1"/>
  <c r="D177" i="31"/>
  <c r="F179" i="6" s="1"/>
  <c r="D178" i="31"/>
  <c r="F180" i="6" s="1"/>
  <c r="D179" i="31"/>
  <c r="F181" i="6" s="1"/>
  <c r="D180" i="31"/>
  <c r="F182" i="6" s="1"/>
  <c r="D181" i="31"/>
  <c r="F183" i="6" s="1"/>
  <c r="D182" i="31"/>
  <c r="F184" i="6" s="1"/>
  <c r="D183" i="31"/>
  <c r="F185" i="6" s="1"/>
  <c r="D184" i="31"/>
  <c r="F186" i="6" s="1"/>
  <c r="D185" i="31"/>
  <c r="F187" i="6" s="1"/>
  <c r="D186" i="31"/>
  <c r="F188" i="6" s="1"/>
  <c r="D187" i="31"/>
  <c r="F189" i="6" s="1"/>
  <c r="D188" i="31"/>
  <c r="F190" i="6" s="1"/>
  <c r="D189" i="31"/>
  <c r="F191" i="6" s="1"/>
  <c r="D190" i="31"/>
  <c r="F192" i="6" s="1"/>
  <c r="D191" i="31"/>
  <c r="F193" i="6" s="1"/>
  <c r="D192" i="31"/>
  <c r="F194" i="6" s="1"/>
  <c r="D193" i="31"/>
  <c r="F195" i="6" s="1"/>
  <c r="D194" i="31"/>
  <c r="F196" i="6" s="1"/>
  <c r="D195" i="31"/>
  <c r="F197" i="6" s="1"/>
  <c r="D196" i="31"/>
  <c r="F198" i="6" s="1"/>
  <c r="D197" i="31"/>
  <c r="F199" i="6" s="1"/>
  <c r="D198" i="31"/>
  <c r="F200" i="6" s="1"/>
  <c r="D199" i="31"/>
  <c r="F201" i="6" s="1"/>
  <c r="D200" i="31"/>
  <c r="F202" i="6" s="1"/>
  <c r="D201" i="31"/>
  <c r="F203" i="6" s="1"/>
  <c r="D202" i="31"/>
  <c r="F204" i="6" s="1"/>
  <c r="D203" i="31"/>
  <c r="F205" i="6" s="1"/>
  <c r="D204" i="31"/>
  <c r="F206" i="6" s="1"/>
  <c r="D205" i="31"/>
  <c r="F207" i="6" s="1"/>
  <c r="D206" i="31"/>
  <c r="F208" i="6" s="1"/>
  <c r="D207" i="31"/>
  <c r="F209" i="6" s="1"/>
  <c r="D208" i="31"/>
  <c r="F210" i="6" s="1"/>
  <c r="D209" i="31"/>
  <c r="F211" i="6" s="1"/>
  <c r="D210" i="31"/>
  <c r="F212" i="6" s="1"/>
  <c r="D211" i="31"/>
  <c r="F213" i="6" s="1"/>
  <c r="D212" i="31"/>
  <c r="F214" i="6" s="1"/>
  <c r="D213" i="31"/>
  <c r="F215" i="6" s="1"/>
  <c r="D214" i="31"/>
  <c r="F216" i="6" s="1"/>
  <c r="D215" i="31"/>
  <c r="F217" i="6" s="1"/>
  <c r="D216" i="31"/>
  <c r="F218" i="6" s="1"/>
  <c r="D217" i="31"/>
  <c r="F219" i="6" s="1"/>
  <c r="D218" i="31"/>
  <c r="F220" i="6" s="1"/>
  <c r="D219" i="31"/>
  <c r="F221" i="6" s="1"/>
  <c r="D220" i="31"/>
  <c r="F222" i="6" s="1"/>
  <c r="D221" i="31"/>
  <c r="F223" i="6" s="1"/>
  <c r="D222" i="31"/>
  <c r="F224" i="6" s="1"/>
  <c r="D223" i="31"/>
  <c r="F225" i="6" s="1"/>
  <c r="D224" i="31"/>
  <c r="F226" i="6" s="1"/>
  <c r="D225" i="31"/>
  <c r="F227" i="6" s="1"/>
  <c r="D226" i="31"/>
  <c r="F228" i="6" s="1"/>
  <c r="D227" i="31"/>
  <c r="F229" i="6" s="1"/>
  <c r="D228" i="31"/>
  <c r="F230" i="6" s="1"/>
  <c r="D229" i="31"/>
  <c r="F231" i="6" s="1"/>
  <c r="D230" i="31"/>
  <c r="F232" i="6" s="1"/>
  <c r="D6" i="31"/>
  <c r="F8" i="6" s="1"/>
  <c r="C7" i="31"/>
  <c r="E9" i="6" s="1"/>
  <c r="C8" i="31"/>
  <c r="E10" i="6" s="1"/>
  <c r="C9" i="31"/>
  <c r="E11" i="6" s="1"/>
  <c r="C10" i="31"/>
  <c r="E12" i="6" s="1"/>
  <c r="C11" i="31"/>
  <c r="E13" i="6" s="1"/>
  <c r="C12" i="31"/>
  <c r="E14" i="6" s="1"/>
  <c r="C13" i="31"/>
  <c r="E15" i="6" s="1"/>
  <c r="C14" i="31"/>
  <c r="E16" i="6" s="1"/>
  <c r="C15" i="31"/>
  <c r="E17" i="6" s="1"/>
  <c r="C16" i="31"/>
  <c r="E18" i="6" s="1"/>
  <c r="C17" i="31"/>
  <c r="E19" i="6" s="1"/>
  <c r="C18" i="31"/>
  <c r="E20" i="6" s="1"/>
  <c r="C19" i="31"/>
  <c r="E21" i="6" s="1"/>
  <c r="C20" i="31"/>
  <c r="E22" i="6" s="1"/>
  <c r="C21" i="31"/>
  <c r="E23" i="6" s="1"/>
  <c r="C22" i="31"/>
  <c r="E24" i="6" s="1"/>
  <c r="C23" i="31"/>
  <c r="E25" i="6" s="1"/>
  <c r="C24" i="31"/>
  <c r="E26" i="6" s="1"/>
  <c r="C25" i="31"/>
  <c r="E27" i="6" s="1"/>
  <c r="C26" i="31"/>
  <c r="E28" i="6" s="1"/>
  <c r="C27" i="31"/>
  <c r="E29" i="6" s="1"/>
  <c r="C28" i="31"/>
  <c r="E30" i="6" s="1"/>
  <c r="C29" i="31"/>
  <c r="E31" i="6" s="1"/>
  <c r="C30" i="31"/>
  <c r="E32" i="6" s="1"/>
  <c r="C31" i="31"/>
  <c r="E33" i="6" s="1"/>
  <c r="C32" i="31"/>
  <c r="E34" i="6" s="1"/>
  <c r="C33" i="31"/>
  <c r="E35" i="6" s="1"/>
  <c r="C34" i="31"/>
  <c r="E36" i="6" s="1"/>
  <c r="C35" i="31"/>
  <c r="E37" i="6" s="1"/>
  <c r="C36" i="31"/>
  <c r="E38" i="6" s="1"/>
  <c r="C37" i="31"/>
  <c r="E39" i="6" s="1"/>
  <c r="C38" i="31"/>
  <c r="E40" i="6" s="1"/>
  <c r="C39" i="31"/>
  <c r="E41" i="6" s="1"/>
  <c r="C40" i="31"/>
  <c r="E42" i="6" s="1"/>
  <c r="C41" i="31"/>
  <c r="E43" i="6" s="1"/>
  <c r="C42" i="31"/>
  <c r="E44" i="6" s="1"/>
  <c r="C43" i="31"/>
  <c r="E45" i="6" s="1"/>
  <c r="C44" i="31"/>
  <c r="E46" i="6" s="1"/>
  <c r="C45" i="31"/>
  <c r="E47" i="6" s="1"/>
  <c r="C46" i="31"/>
  <c r="E48" i="6" s="1"/>
  <c r="C47" i="31"/>
  <c r="E49" i="6" s="1"/>
  <c r="C48" i="31"/>
  <c r="E50" i="6" s="1"/>
  <c r="C49" i="31"/>
  <c r="E51" i="6" s="1"/>
  <c r="C50" i="31"/>
  <c r="E52" i="6" s="1"/>
  <c r="C51" i="31"/>
  <c r="E53" i="6" s="1"/>
  <c r="C52" i="31"/>
  <c r="E54" i="6" s="1"/>
  <c r="C53" i="31"/>
  <c r="E55" i="6" s="1"/>
  <c r="C54" i="31"/>
  <c r="E56" i="6" s="1"/>
  <c r="C55" i="31"/>
  <c r="E57" i="6" s="1"/>
  <c r="C56" i="31"/>
  <c r="E58" i="6" s="1"/>
  <c r="C57" i="31"/>
  <c r="E59" i="6" s="1"/>
  <c r="C58" i="31"/>
  <c r="E60" i="6" s="1"/>
  <c r="C59" i="31"/>
  <c r="E61" i="6" s="1"/>
  <c r="C60" i="31"/>
  <c r="E62" i="6" s="1"/>
  <c r="C61" i="31"/>
  <c r="E63" i="6" s="1"/>
  <c r="C62" i="31"/>
  <c r="E64" i="6" s="1"/>
  <c r="C63" i="31"/>
  <c r="E65" i="6" s="1"/>
  <c r="C64" i="31"/>
  <c r="E66" i="6" s="1"/>
  <c r="C65" i="31"/>
  <c r="E67" i="6" s="1"/>
  <c r="C66" i="31"/>
  <c r="E68" i="6" s="1"/>
  <c r="C67" i="31"/>
  <c r="E69" i="6" s="1"/>
  <c r="C68" i="31"/>
  <c r="E70" i="6" s="1"/>
  <c r="C69" i="31"/>
  <c r="E71" i="6" s="1"/>
  <c r="C70" i="31"/>
  <c r="E72" i="6" s="1"/>
  <c r="C71" i="31"/>
  <c r="E73" i="6" s="1"/>
  <c r="C72" i="31"/>
  <c r="E74" i="6" s="1"/>
  <c r="C73" i="31"/>
  <c r="E75" i="6" s="1"/>
  <c r="C74" i="31"/>
  <c r="E76" i="6" s="1"/>
  <c r="C75" i="31"/>
  <c r="E77" i="6" s="1"/>
  <c r="C76" i="31"/>
  <c r="E78" i="6" s="1"/>
  <c r="C77" i="31"/>
  <c r="E79" i="6" s="1"/>
  <c r="C78" i="31"/>
  <c r="E80" i="6" s="1"/>
  <c r="C79" i="31"/>
  <c r="E81" i="6" s="1"/>
  <c r="C80" i="31"/>
  <c r="E82" i="6" s="1"/>
  <c r="C81" i="31"/>
  <c r="E83" i="6" s="1"/>
  <c r="C82" i="31"/>
  <c r="E84" i="6" s="1"/>
  <c r="C83" i="31"/>
  <c r="E85" i="6" s="1"/>
  <c r="C84" i="31"/>
  <c r="E86" i="6" s="1"/>
  <c r="C85" i="31"/>
  <c r="E87" i="6" s="1"/>
  <c r="C86" i="31"/>
  <c r="E88" i="6" s="1"/>
  <c r="C87" i="31"/>
  <c r="E89" i="6" s="1"/>
  <c r="C88" i="31"/>
  <c r="E90" i="6" s="1"/>
  <c r="C89" i="31"/>
  <c r="E91" i="6" s="1"/>
  <c r="C90" i="31"/>
  <c r="E92" i="6" s="1"/>
  <c r="C91" i="31"/>
  <c r="E93" i="6" s="1"/>
  <c r="C92" i="31"/>
  <c r="E94" i="6" s="1"/>
  <c r="C93" i="31"/>
  <c r="E95" i="6" s="1"/>
  <c r="C94" i="31"/>
  <c r="E96" i="6" s="1"/>
  <c r="C95" i="31"/>
  <c r="E97" i="6" s="1"/>
  <c r="C96" i="31"/>
  <c r="E98" i="6" s="1"/>
  <c r="C97" i="31"/>
  <c r="E99" i="6" s="1"/>
  <c r="C98" i="31"/>
  <c r="E100" i="6" s="1"/>
  <c r="C99" i="31"/>
  <c r="E101" i="6" s="1"/>
  <c r="C100" i="31"/>
  <c r="E102" i="6" s="1"/>
  <c r="C101" i="31"/>
  <c r="E103" i="6" s="1"/>
  <c r="C102" i="31"/>
  <c r="E104" i="6" s="1"/>
  <c r="C103" i="31"/>
  <c r="E105" i="6" s="1"/>
  <c r="C104" i="31"/>
  <c r="E106" i="6" s="1"/>
  <c r="C105" i="31"/>
  <c r="E107" i="6" s="1"/>
  <c r="C106" i="31"/>
  <c r="E108" i="6" s="1"/>
  <c r="C107" i="31"/>
  <c r="E109" i="6" s="1"/>
  <c r="C108" i="31"/>
  <c r="E110" i="6" s="1"/>
  <c r="C109" i="31"/>
  <c r="E111" i="6" s="1"/>
  <c r="C110" i="31"/>
  <c r="E112" i="6" s="1"/>
  <c r="C111" i="31"/>
  <c r="E113" i="6" s="1"/>
  <c r="C112" i="31"/>
  <c r="E114" i="6" s="1"/>
  <c r="C113" i="31"/>
  <c r="E115" i="6" s="1"/>
  <c r="C114" i="31"/>
  <c r="E116" i="6" s="1"/>
  <c r="C115" i="31"/>
  <c r="E117" i="6" s="1"/>
  <c r="C116" i="31"/>
  <c r="E118" i="6" s="1"/>
  <c r="C117" i="31"/>
  <c r="E119" i="6" s="1"/>
  <c r="C118" i="31"/>
  <c r="E120" i="6" s="1"/>
  <c r="C119" i="31"/>
  <c r="E121" i="6" s="1"/>
  <c r="C120" i="31"/>
  <c r="E122" i="6" s="1"/>
  <c r="C121" i="31"/>
  <c r="E123" i="6" s="1"/>
  <c r="C122" i="31"/>
  <c r="E124" i="6" s="1"/>
  <c r="C123" i="31"/>
  <c r="E125" i="6" s="1"/>
  <c r="C124" i="31"/>
  <c r="E126" i="6" s="1"/>
  <c r="C125" i="31"/>
  <c r="E127" i="6" s="1"/>
  <c r="C126" i="31"/>
  <c r="E128" i="6" s="1"/>
  <c r="C127" i="31"/>
  <c r="E129" i="6" s="1"/>
  <c r="C128" i="31"/>
  <c r="E130" i="6" s="1"/>
  <c r="C129" i="31"/>
  <c r="E131" i="6" s="1"/>
  <c r="C130" i="31"/>
  <c r="E132" i="6" s="1"/>
  <c r="C131" i="31"/>
  <c r="E133" i="6" s="1"/>
  <c r="C132" i="31"/>
  <c r="E134" i="6" s="1"/>
  <c r="C133" i="31"/>
  <c r="E135" i="6" s="1"/>
  <c r="C134" i="31"/>
  <c r="E136" i="6" s="1"/>
  <c r="C135" i="31"/>
  <c r="E137" i="6" s="1"/>
  <c r="C136" i="31"/>
  <c r="E138" i="6" s="1"/>
  <c r="C137" i="31"/>
  <c r="E139" i="6" s="1"/>
  <c r="C138" i="31"/>
  <c r="E140" i="6" s="1"/>
  <c r="C139" i="31"/>
  <c r="E141" i="6" s="1"/>
  <c r="C140" i="31"/>
  <c r="E142" i="6" s="1"/>
  <c r="C141" i="31"/>
  <c r="E143" i="6" s="1"/>
  <c r="C142" i="31"/>
  <c r="E144" i="6" s="1"/>
  <c r="C144" i="31"/>
  <c r="C145" i="31"/>
  <c r="E147" i="6" s="1"/>
  <c r="C146" i="31"/>
  <c r="C147" i="31"/>
  <c r="E147" i="31" s="1"/>
  <c r="G149" i="6" s="1"/>
  <c r="C148" i="31"/>
  <c r="C149" i="31"/>
  <c r="C150" i="31"/>
  <c r="C151" i="31"/>
  <c r="E151" i="31" s="1"/>
  <c r="G153" i="6" s="1"/>
  <c r="C152" i="31"/>
  <c r="C153" i="31"/>
  <c r="C154" i="31"/>
  <c r="C155" i="31"/>
  <c r="E155" i="31" s="1"/>
  <c r="G157" i="6" s="1"/>
  <c r="C156" i="31"/>
  <c r="C157" i="31"/>
  <c r="C158" i="31"/>
  <c r="C159" i="31"/>
  <c r="E159" i="31" s="1"/>
  <c r="G161" i="6" s="1"/>
  <c r="C160" i="31"/>
  <c r="C161" i="31"/>
  <c r="C162" i="31"/>
  <c r="C163" i="31"/>
  <c r="E163" i="31" s="1"/>
  <c r="G165" i="6" s="1"/>
  <c r="C164" i="31"/>
  <c r="C165" i="31"/>
  <c r="C166" i="31"/>
  <c r="C167" i="31"/>
  <c r="E167" i="31" s="1"/>
  <c r="G169" i="6" s="1"/>
  <c r="C168" i="31"/>
  <c r="C169" i="31"/>
  <c r="C170" i="31"/>
  <c r="C171" i="31"/>
  <c r="E171" i="31" s="1"/>
  <c r="G173" i="6" s="1"/>
  <c r="C172" i="31"/>
  <c r="C173" i="31"/>
  <c r="C174" i="31"/>
  <c r="C175" i="31"/>
  <c r="E175" i="31" s="1"/>
  <c r="G177" i="6" s="1"/>
  <c r="C176" i="31"/>
  <c r="C177" i="31"/>
  <c r="C178" i="31"/>
  <c r="C179" i="31"/>
  <c r="E179" i="31" s="1"/>
  <c r="G181" i="6" s="1"/>
  <c r="C180" i="31"/>
  <c r="C181" i="31"/>
  <c r="C182" i="31"/>
  <c r="C183" i="31"/>
  <c r="E183" i="31" s="1"/>
  <c r="G185" i="6" s="1"/>
  <c r="C184" i="31"/>
  <c r="C185" i="31"/>
  <c r="C186" i="31"/>
  <c r="C187" i="31"/>
  <c r="E187" i="31" s="1"/>
  <c r="G189" i="6" s="1"/>
  <c r="C188" i="31"/>
  <c r="C189" i="31"/>
  <c r="C190" i="31"/>
  <c r="C191" i="31"/>
  <c r="E191" i="31" s="1"/>
  <c r="G193" i="6" s="1"/>
  <c r="C192" i="31"/>
  <c r="C193" i="31"/>
  <c r="C194" i="31"/>
  <c r="C195" i="31"/>
  <c r="E195" i="31" s="1"/>
  <c r="G197" i="6" s="1"/>
  <c r="C196" i="31"/>
  <c r="C197" i="31"/>
  <c r="C198" i="31"/>
  <c r="C199" i="31"/>
  <c r="E199" i="31" s="1"/>
  <c r="G201" i="6" s="1"/>
  <c r="C200" i="31"/>
  <c r="C201" i="31"/>
  <c r="C202" i="31"/>
  <c r="C203" i="31"/>
  <c r="E203" i="31" s="1"/>
  <c r="G205" i="6" s="1"/>
  <c r="C204" i="31"/>
  <c r="C205" i="31"/>
  <c r="C206" i="31"/>
  <c r="C207" i="31"/>
  <c r="E207" i="31" s="1"/>
  <c r="G209" i="6" s="1"/>
  <c r="C208" i="31"/>
  <c r="C209" i="31"/>
  <c r="C210" i="31"/>
  <c r="C211" i="31"/>
  <c r="E211" i="31" s="1"/>
  <c r="G213" i="6" s="1"/>
  <c r="C212" i="31"/>
  <c r="C213" i="31"/>
  <c r="E215" i="6" s="1"/>
  <c r="C214" i="31"/>
  <c r="C215" i="31"/>
  <c r="E215" i="31" s="1"/>
  <c r="G217" i="6" s="1"/>
  <c r="C216" i="31"/>
  <c r="C217" i="31"/>
  <c r="E217" i="31" s="1"/>
  <c r="G219" i="6" s="1"/>
  <c r="C218" i="31"/>
  <c r="C219" i="31"/>
  <c r="E219" i="31" s="1"/>
  <c r="G221" i="6" s="1"/>
  <c r="C220" i="31"/>
  <c r="C221" i="31"/>
  <c r="E221" i="31" s="1"/>
  <c r="G223" i="6" s="1"/>
  <c r="C222" i="31"/>
  <c r="C223" i="31"/>
  <c r="E223" i="31" s="1"/>
  <c r="G225" i="6" s="1"/>
  <c r="C224" i="31"/>
  <c r="C225" i="31"/>
  <c r="E225" i="31" s="1"/>
  <c r="G227" i="6" s="1"/>
  <c r="C226" i="31"/>
  <c r="C227" i="31"/>
  <c r="E227" i="31" s="1"/>
  <c r="G229" i="6" s="1"/>
  <c r="C228" i="31"/>
  <c r="C229" i="31"/>
  <c r="E229" i="31" s="1"/>
  <c r="G231" i="6" s="1"/>
  <c r="C230" i="31"/>
  <c r="C6" i="31"/>
  <c r="E6" i="31" s="1"/>
  <c r="G8" i="6" s="1"/>
  <c r="E48" i="34"/>
  <c r="E47" i="34"/>
  <c r="E46" i="34"/>
  <c r="E9" i="34"/>
  <c r="E282" i="31" s="1"/>
  <c r="G287" i="6" s="1"/>
  <c r="E44" i="34"/>
  <c r="E45" i="34"/>
  <c r="E8" i="34"/>
  <c r="E281" i="31" s="1"/>
  <c r="G286" i="6" s="1"/>
  <c r="E43" i="34"/>
  <c r="AU193" i="14"/>
  <c r="T52" i="24" s="1"/>
  <c r="J52" i="23" s="1"/>
  <c r="AU187" i="14"/>
  <c r="E256" i="31" s="1"/>
  <c r="G258" i="6" s="1"/>
  <c r="AU180" i="14"/>
  <c r="E253" i="31" s="1"/>
  <c r="G255" i="6" s="1"/>
  <c r="E65" i="46"/>
  <c r="E64" i="46"/>
  <c r="E63" i="46"/>
  <c r="E62" i="46"/>
  <c r="E60" i="46"/>
  <c r="E59" i="46"/>
  <c r="E58" i="46"/>
  <c r="E57" i="46"/>
  <c r="E56" i="46"/>
  <c r="E55" i="46"/>
  <c r="E54" i="46"/>
  <c r="E53" i="46"/>
  <c r="E52" i="46"/>
  <c r="E50" i="46"/>
  <c r="E49" i="46"/>
  <c r="E48" i="46"/>
  <c r="E47" i="46"/>
  <c r="E46" i="46"/>
  <c r="E45" i="46"/>
  <c r="E44" i="46"/>
  <c r="E43" i="46"/>
  <c r="E42" i="46"/>
  <c r="E41" i="46"/>
  <c r="E40" i="46"/>
  <c r="E36" i="46"/>
  <c r="E276" i="31" s="1"/>
  <c r="G278" i="6" s="1"/>
  <c r="E35" i="46"/>
  <c r="E275" i="31" s="1"/>
  <c r="G277" i="6" s="1"/>
  <c r="E34" i="46"/>
  <c r="E30" i="46"/>
  <c r="E29" i="46"/>
  <c r="E272" i="31" s="1"/>
  <c r="G274" i="6" s="1"/>
  <c r="E28" i="46"/>
  <c r="E271" i="31" s="1"/>
  <c r="G273" i="6" s="1"/>
  <c r="E27" i="46"/>
  <c r="E270" i="31" s="1"/>
  <c r="G272" i="6" s="1"/>
  <c r="E26" i="46"/>
  <c r="E25" i="46"/>
  <c r="E268" i="31" s="1"/>
  <c r="G270" i="6" s="1"/>
  <c r="E24" i="46"/>
  <c r="E267" i="31" s="1"/>
  <c r="G269" i="6" s="1"/>
  <c r="E23" i="46"/>
  <c r="E266" i="31" s="1"/>
  <c r="G268" i="6" s="1"/>
  <c r="E22" i="46"/>
  <c r="E21" i="46"/>
  <c r="E264" i="31" s="1"/>
  <c r="G266" i="6" s="1"/>
  <c r="E20" i="46"/>
  <c r="E263" i="31" s="1"/>
  <c r="G265" i="6" s="1"/>
  <c r="E12" i="46"/>
  <c r="E11" i="46"/>
  <c r="E10" i="46"/>
  <c r="AU189" i="14" s="1"/>
  <c r="E258" i="31" s="1"/>
  <c r="G260" i="6" s="1"/>
  <c r="E9" i="46"/>
  <c r="AU188" i="14" s="1"/>
  <c r="E257" i="31" s="1"/>
  <c r="G259" i="6" s="1"/>
  <c r="E7" i="46"/>
  <c r="AU192" i="14" s="1"/>
  <c r="E261" i="31" s="1"/>
  <c r="G263" i="6" s="1"/>
  <c r="E11" i="45"/>
  <c r="E10" i="45"/>
  <c r="E9" i="45"/>
  <c r="E8" i="45"/>
  <c r="E7" i="45"/>
  <c r="E6" i="45"/>
  <c r="E141" i="44"/>
  <c r="E140" i="44"/>
  <c r="E139" i="44"/>
  <c r="E138" i="44"/>
  <c r="E137" i="44"/>
  <c r="E136" i="44"/>
  <c r="E135" i="44"/>
  <c r="E134" i="44"/>
  <c r="D133" i="44"/>
  <c r="E133" i="44" s="1"/>
  <c r="D132" i="44"/>
  <c r="E132" i="44" s="1"/>
  <c r="D131" i="44"/>
  <c r="E131" i="44" s="1"/>
  <c r="D130" i="44"/>
  <c r="E130" i="44" s="1"/>
  <c r="D129" i="44"/>
  <c r="E129" i="44" s="1"/>
  <c r="D128" i="44"/>
  <c r="E128" i="44" s="1"/>
  <c r="E127" i="44"/>
  <c r="E126" i="44"/>
  <c r="E125" i="44"/>
  <c r="E124" i="44"/>
  <c r="E123" i="44"/>
  <c r="E122" i="44"/>
  <c r="E121" i="44"/>
  <c r="E120" i="44"/>
  <c r="E119" i="44"/>
  <c r="E117" i="44"/>
  <c r="E116" i="44"/>
  <c r="E115" i="44"/>
  <c r="E114" i="44"/>
  <c r="D113" i="44"/>
  <c r="E113" i="44" s="1"/>
  <c r="D112" i="44"/>
  <c r="E112" i="44" s="1"/>
  <c r="E111" i="44"/>
  <c r="E110" i="44"/>
  <c r="E109" i="44"/>
  <c r="E108" i="44"/>
  <c r="E107" i="44"/>
  <c r="E93" i="44"/>
  <c r="E89" i="44"/>
  <c r="E88" i="44"/>
  <c r="E87" i="44"/>
  <c r="E86" i="44"/>
  <c r="E85" i="44"/>
  <c r="E84" i="44"/>
  <c r="E83" i="44"/>
  <c r="E82" i="44"/>
  <c r="E81" i="44"/>
  <c r="E80" i="44"/>
  <c r="E79" i="44"/>
  <c r="E78" i="44"/>
  <c r="E77" i="44"/>
  <c r="E75" i="44"/>
  <c r="E74" i="44"/>
  <c r="E71" i="44"/>
  <c r="E70" i="44"/>
  <c r="E69" i="44"/>
  <c r="E68" i="44"/>
  <c r="E67" i="44"/>
  <c r="E66" i="44"/>
  <c r="E65" i="44"/>
  <c r="E64" i="44"/>
  <c r="E63" i="44"/>
  <c r="E62" i="44"/>
  <c r="E61" i="44"/>
  <c r="E59" i="44"/>
  <c r="E27" i="44"/>
  <c r="E26" i="44"/>
  <c r="E25" i="44"/>
  <c r="E24" i="44"/>
  <c r="E23" i="44"/>
  <c r="E22" i="44"/>
  <c r="E21" i="44"/>
  <c r="E20" i="44"/>
  <c r="E19" i="44"/>
  <c r="E18" i="44"/>
  <c r="E17" i="44"/>
  <c r="E16" i="44"/>
  <c r="E15" i="44"/>
  <c r="E14" i="44"/>
  <c r="E13" i="44"/>
  <c r="E12" i="44"/>
  <c r="E11" i="44"/>
  <c r="E10" i="44"/>
  <c r="E9" i="44"/>
  <c r="E8" i="44"/>
  <c r="E6" i="44"/>
  <c r="E21" i="43"/>
  <c r="E25" i="43" s="1"/>
  <c r="AU185" i="14" s="1"/>
  <c r="E254" i="31" s="1"/>
  <c r="G256" i="6" s="1"/>
  <c r="D252" i="42"/>
  <c r="E251" i="42"/>
  <c r="E250" i="42"/>
  <c r="E249" i="42"/>
  <c r="E248" i="42"/>
  <c r="E247" i="42"/>
  <c r="E246" i="42"/>
  <c r="E245" i="42"/>
  <c r="E244" i="42"/>
  <c r="E243" i="42"/>
  <c r="E242" i="42"/>
  <c r="E241" i="42"/>
  <c r="E240" i="42"/>
  <c r="E239" i="42"/>
  <c r="E238" i="42"/>
  <c r="E237" i="42"/>
  <c r="E236" i="42"/>
  <c r="E235" i="42"/>
  <c r="E234" i="42"/>
  <c r="E233" i="42"/>
  <c r="E232" i="42"/>
  <c r="E231" i="42"/>
  <c r="E230" i="42"/>
  <c r="E229" i="42"/>
  <c r="E228" i="42"/>
  <c r="E227" i="42"/>
  <c r="E226" i="42"/>
  <c r="E225" i="42"/>
  <c r="E224" i="42"/>
  <c r="E223" i="42"/>
  <c r="E222" i="42"/>
  <c r="E221" i="42"/>
  <c r="E220" i="42"/>
  <c r="E219" i="42"/>
  <c r="E218" i="42"/>
  <c r="E217" i="42"/>
  <c r="E216" i="42"/>
  <c r="E215" i="42"/>
  <c r="E214" i="42"/>
  <c r="E213" i="42"/>
  <c r="E212" i="42"/>
  <c r="E211" i="42"/>
  <c r="E210" i="42"/>
  <c r="E209" i="42"/>
  <c r="E208" i="42"/>
  <c r="E207" i="42"/>
  <c r="E206" i="42"/>
  <c r="E205" i="42"/>
  <c r="E204" i="42"/>
  <c r="E203" i="42"/>
  <c r="E202" i="42"/>
  <c r="E201" i="42"/>
  <c r="E200" i="42"/>
  <c r="E199" i="42"/>
  <c r="E198" i="42"/>
  <c r="E197" i="42"/>
  <c r="E196" i="42"/>
  <c r="E195" i="42"/>
  <c r="E194" i="42"/>
  <c r="E193" i="42"/>
  <c r="E192" i="42"/>
  <c r="E191" i="42"/>
  <c r="E190" i="42"/>
  <c r="E189" i="42"/>
  <c r="E188" i="42"/>
  <c r="E187" i="42"/>
  <c r="E186" i="42"/>
  <c r="E185" i="42"/>
  <c r="E184" i="42"/>
  <c r="E183" i="42"/>
  <c r="E182" i="42"/>
  <c r="E181" i="42"/>
  <c r="E180" i="42"/>
  <c r="E179" i="42"/>
  <c r="E178" i="42"/>
  <c r="E177" i="42"/>
  <c r="E175" i="42"/>
  <c r="E174" i="42"/>
  <c r="E173" i="42"/>
  <c r="E172" i="42"/>
  <c r="E171" i="42"/>
  <c r="E170" i="42"/>
  <c r="E169" i="42"/>
  <c r="E168" i="42"/>
  <c r="E167" i="42"/>
  <c r="E166" i="42"/>
  <c r="E165" i="42"/>
  <c r="E164" i="42"/>
  <c r="E163" i="42"/>
  <c r="E162" i="42"/>
  <c r="E95" i="42"/>
  <c r="E94" i="42"/>
  <c r="E93" i="42"/>
  <c r="E92" i="42"/>
  <c r="E91" i="42"/>
  <c r="E90" i="42"/>
  <c r="E89" i="42"/>
  <c r="E88" i="42"/>
  <c r="E87" i="42"/>
  <c r="E86" i="42"/>
  <c r="E85" i="42"/>
  <c r="E84" i="42"/>
  <c r="E83" i="42"/>
  <c r="E82" i="42"/>
  <c r="E81" i="42"/>
  <c r="E80" i="42"/>
  <c r="E79" i="42"/>
  <c r="E78" i="42"/>
  <c r="E77" i="42"/>
  <c r="E76" i="42"/>
  <c r="E75" i="42"/>
  <c r="C74" i="42"/>
  <c r="E74" i="42" s="1"/>
  <c r="E73" i="42"/>
  <c r="E72" i="42"/>
  <c r="E71" i="42"/>
  <c r="E70" i="42"/>
  <c r="E69" i="42"/>
  <c r="E66" i="42"/>
  <c r="E65" i="42"/>
  <c r="E64" i="42"/>
  <c r="E63" i="42"/>
  <c r="E62" i="42"/>
  <c r="E60" i="42"/>
  <c r="E59" i="42"/>
  <c r="E16" i="42"/>
  <c r="E12" i="42"/>
  <c r="E10" i="42"/>
  <c r="E9" i="42"/>
  <c r="E44" i="41"/>
  <c r="E43" i="41"/>
  <c r="E42" i="41"/>
  <c r="E41" i="41"/>
  <c r="E40" i="41"/>
  <c r="E39" i="41"/>
  <c r="E38" i="41"/>
  <c r="E37" i="41"/>
  <c r="E36" i="41"/>
  <c r="E35" i="41"/>
  <c r="E25" i="41"/>
  <c r="E24" i="41"/>
  <c r="E23" i="41"/>
  <c r="E22" i="41"/>
  <c r="E21" i="41"/>
  <c r="E20" i="41"/>
  <c r="E19" i="41"/>
  <c r="C18" i="41"/>
  <c r="E18" i="41" s="1"/>
  <c r="E17" i="41"/>
  <c r="E16" i="41"/>
  <c r="E15" i="41"/>
  <c r="E14" i="41"/>
  <c r="E13" i="41"/>
  <c r="E12" i="41"/>
  <c r="E8" i="41"/>
  <c r="E7" i="41"/>
  <c r="E6" i="41"/>
  <c r="E5" i="41"/>
  <c r="E4" i="41"/>
  <c r="E253" i="40"/>
  <c r="E250" i="31" s="1"/>
  <c r="G252" i="6" s="1"/>
  <c r="E252" i="40"/>
  <c r="E251" i="40"/>
  <c r="E250" i="40"/>
  <c r="E249" i="40"/>
  <c r="E248" i="40"/>
  <c r="E228" i="40"/>
  <c r="E227" i="40"/>
  <c r="E226" i="40"/>
  <c r="E224" i="40"/>
  <c r="E223" i="40"/>
  <c r="E222" i="40"/>
  <c r="E221" i="40"/>
  <c r="E220" i="40"/>
  <c r="E219" i="40"/>
  <c r="E218" i="40"/>
  <c r="E217" i="40"/>
  <c r="E216" i="40"/>
  <c r="E215" i="40"/>
  <c r="E214" i="40"/>
  <c r="E213" i="40"/>
  <c r="E212" i="40"/>
  <c r="E211" i="40"/>
  <c r="E210" i="40"/>
  <c r="E209" i="40"/>
  <c r="E208" i="40"/>
  <c r="E207" i="40"/>
  <c r="E206" i="40"/>
  <c r="E205" i="40"/>
  <c r="E204" i="40"/>
  <c r="E203" i="40"/>
  <c r="E202" i="40"/>
  <c r="E201" i="40"/>
  <c r="E200" i="40"/>
  <c r="E199" i="40"/>
  <c r="E198" i="40"/>
  <c r="E197" i="40"/>
  <c r="E196" i="40"/>
  <c r="E195" i="40"/>
  <c r="E194" i="40"/>
  <c r="E193" i="40"/>
  <c r="E192" i="40"/>
  <c r="E191" i="40"/>
  <c r="E190" i="40"/>
  <c r="E126" i="40"/>
  <c r="E125" i="40"/>
  <c r="E124" i="40"/>
  <c r="E123" i="40"/>
  <c r="E122" i="40"/>
  <c r="E121" i="40"/>
  <c r="E120" i="40"/>
  <c r="E118" i="40"/>
  <c r="E117" i="40"/>
  <c r="E116" i="40"/>
  <c r="E115" i="40"/>
  <c r="E114" i="40"/>
  <c r="E113" i="40"/>
  <c r="E112" i="40"/>
  <c r="E111" i="40"/>
  <c r="E110" i="40"/>
  <c r="E109" i="40"/>
  <c r="E108" i="40"/>
  <c r="E107" i="40"/>
  <c r="E106" i="40"/>
  <c r="E105" i="40"/>
  <c r="E104" i="40"/>
  <c r="E103" i="40"/>
  <c r="E102" i="40"/>
  <c r="E101" i="40"/>
  <c r="E100" i="40"/>
  <c r="E99" i="40"/>
  <c r="E98" i="40"/>
  <c r="E97" i="40"/>
  <c r="E96" i="40"/>
  <c r="E95" i="40"/>
  <c r="E94" i="40"/>
  <c r="E93" i="40"/>
  <c r="E92" i="40"/>
  <c r="E91" i="40"/>
  <c r="E90" i="40"/>
  <c r="E89" i="40"/>
  <c r="E88" i="40"/>
  <c r="E83" i="40"/>
  <c r="E82" i="40"/>
  <c r="E81" i="40"/>
  <c r="E80" i="40"/>
  <c r="E79" i="40"/>
  <c r="E78" i="40"/>
  <c r="E77" i="40"/>
  <c r="E76" i="40"/>
  <c r="E66" i="40"/>
  <c r="E65" i="40"/>
  <c r="E64" i="40"/>
  <c r="E63" i="40"/>
  <c r="E62" i="40"/>
  <c r="E61" i="40"/>
  <c r="E60" i="40"/>
  <c r="E59" i="40"/>
  <c r="E58" i="40"/>
  <c r="E57" i="40"/>
  <c r="E56" i="40"/>
  <c r="E55" i="40"/>
  <c r="E54" i="40"/>
  <c r="E53" i="40"/>
  <c r="E32" i="40"/>
  <c r="E31" i="40"/>
  <c r="E30" i="40"/>
  <c r="E29" i="40"/>
  <c r="E28" i="40"/>
  <c r="E27" i="40"/>
  <c r="E26" i="40"/>
  <c r="E25" i="40"/>
  <c r="E24" i="40"/>
  <c r="E23" i="40"/>
  <c r="E22" i="40"/>
  <c r="E21" i="40"/>
  <c r="E20" i="40"/>
  <c r="E19" i="40"/>
  <c r="E18" i="40"/>
  <c r="E17" i="40"/>
  <c r="E16" i="40"/>
  <c r="E15" i="40"/>
  <c r="E14" i="40"/>
  <c r="E13" i="40"/>
  <c r="E12" i="40"/>
  <c r="E11" i="40"/>
  <c r="E10" i="40"/>
  <c r="E9" i="40"/>
  <c r="E8" i="40"/>
  <c r="E7" i="40"/>
  <c r="E6" i="40"/>
  <c r="E5" i="40"/>
  <c r="E4" i="40"/>
  <c r="E741" i="39"/>
  <c r="E298" i="39"/>
  <c r="E224" i="39"/>
  <c r="E542" i="39"/>
  <c r="E223" i="39"/>
  <c r="E222" i="39"/>
  <c r="E715" i="39"/>
  <c r="E541" i="39"/>
  <c r="E540" i="39"/>
  <c r="E539" i="39"/>
  <c r="E538" i="39"/>
  <c r="E537" i="39"/>
  <c r="E297" i="39"/>
  <c r="E544" i="39"/>
  <c r="E543" i="39"/>
  <c r="E714" i="39"/>
  <c r="E536" i="39"/>
  <c r="E221" i="39"/>
  <c r="E535" i="39"/>
  <c r="E534" i="39"/>
  <c r="E533" i="39"/>
  <c r="E532" i="39"/>
  <c r="E531" i="39"/>
  <c r="E530" i="39"/>
  <c r="E296" i="39"/>
  <c r="E227" i="39"/>
  <c r="E546" i="39"/>
  <c r="E713" i="39"/>
  <c r="E712" i="39"/>
  <c r="E545" i="39"/>
  <c r="E228" i="39"/>
  <c r="E529" i="39"/>
  <c r="E220" i="39"/>
  <c r="E528" i="39"/>
  <c r="E527" i="39"/>
  <c r="E711" i="39"/>
  <c r="E710" i="39"/>
  <c r="E716" i="39"/>
  <c r="E526" i="39"/>
  <c r="E219" i="39"/>
  <c r="E218" i="39"/>
  <c r="E525" i="39"/>
  <c r="E709" i="39"/>
  <c r="D708" i="39"/>
  <c r="E708" i="39" s="1"/>
  <c r="D707" i="39"/>
  <c r="E707" i="39" s="1"/>
  <c r="D706" i="39"/>
  <c r="E706" i="39" s="1"/>
  <c r="D705" i="39"/>
  <c r="E705" i="39" s="1"/>
  <c r="D704" i="39"/>
  <c r="E704" i="39" s="1"/>
  <c r="D703" i="39"/>
  <c r="E703" i="39" s="1"/>
  <c r="E524" i="39"/>
  <c r="E523" i="39"/>
  <c r="E217" i="39"/>
  <c r="E216" i="39"/>
  <c r="E215" i="39"/>
  <c r="E522" i="39"/>
  <c r="E250" i="39"/>
  <c r="E249" i="39"/>
  <c r="E248" i="39"/>
  <c r="E738" i="39"/>
  <c r="E735" i="39"/>
  <c r="E213" i="39"/>
  <c r="E702" i="39"/>
  <c r="E214" i="39"/>
  <c r="E521" i="39"/>
  <c r="E520" i="39"/>
  <c r="E519" i="39"/>
  <c r="E295" i="39"/>
  <c r="E294" i="39"/>
  <c r="E518" i="39"/>
  <c r="E517" i="39"/>
  <c r="E701" i="39"/>
  <c r="E212" i="39"/>
  <c r="E548" i="39"/>
  <c r="E547" i="39"/>
  <c r="E516" i="39"/>
  <c r="E515" i="39"/>
  <c r="E514" i="39"/>
  <c r="E513" i="39"/>
  <c r="E512" i="39"/>
  <c r="E511" i="39"/>
  <c r="E510" i="39"/>
  <c r="E509" i="39"/>
  <c r="E508" i="39"/>
  <c r="E507" i="39"/>
  <c r="E211" i="39"/>
  <c r="E506" i="39"/>
  <c r="E700" i="39"/>
  <c r="E699" i="39"/>
  <c r="E505" i="39"/>
  <c r="E504" i="39"/>
  <c r="E503" i="39"/>
  <c r="E502" i="39"/>
  <c r="E501" i="39"/>
  <c r="E500" i="39"/>
  <c r="E210" i="39"/>
  <c r="D550" i="39"/>
  <c r="E208" i="39"/>
  <c r="E733" i="39"/>
  <c r="E207" i="39"/>
  <c r="E252" i="39"/>
  <c r="E737" i="39"/>
  <c r="E206" i="39"/>
  <c r="E499" i="39"/>
  <c r="E209" i="39"/>
  <c r="E698" i="39"/>
  <c r="E497" i="39"/>
  <c r="E496" i="39"/>
  <c r="E205" i="39"/>
  <c r="E204" i="39"/>
  <c r="E697" i="39"/>
  <c r="E498" i="39"/>
  <c r="E696" i="39"/>
  <c r="E695" i="39"/>
  <c r="E495" i="39"/>
  <c r="E494" i="39"/>
  <c r="E726" i="39"/>
  <c r="E725" i="39"/>
  <c r="E493" i="39"/>
  <c r="E492" i="39"/>
  <c r="E491" i="39"/>
  <c r="E293" i="39"/>
  <c r="E203" i="39"/>
  <c r="E724" i="39"/>
  <c r="E292" i="39"/>
  <c r="E490" i="39"/>
  <c r="E202" i="39"/>
  <c r="E489" i="39"/>
  <c r="E488" i="39"/>
  <c r="E487" i="39"/>
  <c r="E486" i="39"/>
  <c r="E201" i="39"/>
  <c r="E291" i="39"/>
  <c r="E200" i="39"/>
  <c r="E485" i="39"/>
  <c r="E484" i="39"/>
  <c r="E483" i="39"/>
  <c r="E482" i="39"/>
  <c r="E199" i="39"/>
  <c r="E481" i="39"/>
  <c r="E198" i="39"/>
  <c r="E290" i="39"/>
  <c r="E480" i="39"/>
  <c r="E197" i="39"/>
  <c r="E479" i="39"/>
  <c r="E478" i="39"/>
  <c r="E694" i="39"/>
  <c r="E477" i="39"/>
  <c r="E476" i="39"/>
  <c r="E475" i="39"/>
  <c r="E736" i="39"/>
  <c r="E692" i="39"/>
  <c r="E195" i="39"/>
  <c r="E194" i="39"/>
  <c r="E473" i="39"/>
  <c r="E196" i="39"/>
  <c r="E472" i="39"/>
  <c r="E471" i="39"/>
  <c r="E470" i="39"/>
  <c r="E469" i="39"/>
  <c r="E691" i="39"/>
  <c r="E549" i="39"/>
  <c r="E247" i="39"/>
  <c r="E690" i="39"/>
  <c r="E689" i="39"/>
  <c r="D688" i="39"/>
  <c r="E688" i="39" s="1"/>
  <c r="D687" i="39"/>
  <c r="E687" i="39" s="1"/>
  <c r="E468" i="39"/>
  <c r="E467" i="39"/>
  <c r="E466" i="39"/>
  <c r="E465" i="39"/>
  <c r="E193" i="39"/>
  <c r="E289" i="39"/>
  <c r="E464" i="39"/>
  <c r="E37" i="46" l="1"/>
  <c r="E255" i="40"/>
  <c r="AU183" i="14" s="1"/>
  <c r="I313" i="6"/>
  <c r="K313" i="6"/>
  <c r="E220" i="31"/>
  <c r="G222" i="6" s="1"/>
  <c r="E222" i="6"/>
  <c r="E204" i="31"/>
  <c r="G206" i="6" s="1"/>
  <c r="E206" i="6"/>
  <c r="E184" i="31"/>
  <c r="G186" i="6" s="1"/>
  <c r="E186" i="6"/>
  <c r="E168" i="31"/>
  <c r="G170" i="6" s="1"/>
  <c r="E170" i="6"/>
  <c r="E152" i="31"/>
  <c r="G154" i="6" s="1"/>
  <c r="E154" i="6"/>
  <c r="F313" i="6"/>
  <c r="E8" i="6"/>
  <c r="E227" i="6"/>
  <c r="E219" i="6"/>
  <c r="E209" i="6"/>
  <c r="E193" i="6"/>
  <c r="E177" i="6"/>
  <c r="E161" i="6"/>
  <c r="E216" i="31"/>
  <c r="G218" i="6" s="1"/>
  <c r="E218" i="6"/>
  <c r="E200" i="31"/>
  <c r="G202" i="6" s="1"/>
  <c r="E202" i="6"/>
  <c r="E188" i="31"/>
  <c r="G190" i="6" s="1"/>
  <c r="E190" i="6"/>
  <c r="E172" i="31"/>
  <c r="G174" i="6" s="1"/>
  <c r="E174" i="6"/>
  <c r="E160" i="31"/>
  <c r="G162" i="6" s="1"/>
  <c r="E162" i="6"/>
  <c r="E144" i="31"/>
  <c r="G146" i="6" s="1"/>
  <c r="E146" i="6"/>
  <c r="E230" i="31"/>
  <c r="G232" i="6" s="1"/>
  <c r="E232" i="6"/>
  <c r="E226" i="31"/>
  <c r="G228" i="6" s="1"/>
  <c r="E228" i="6"/>
  <c r="E222" i="31"/>
  <c r="G224" i="6" s="1"/>
  <c r="E224" i="6"/>
  <c r="E218" i="31"/>
  <c r="G220" i="6" s="1"/>
  <c r="E220" i="6"/>
  <c r="E214" i="31"/>
  <c r="G216" i="6" s="1"/>
  <c r="E216" i="6"/>
  <c r="E210" i="31"/>
  <c r="G212" i="6" s="1"/>
  <c r="E212" i="6"/>
  <c r="E206" i="31"/>
  <c r="G208" i="6" s="1"/>
  <c r="E208" i="6"/>
  <c r="E202" i="31"/>
  <c r="G204" i="6" s="1"/>
  <c r="E204" i="6"/>
  <c r="E198" i="31"/>
  <c r="G200" i="6" s="1"/>
  <c r="E200" i="6"/>
  <c r="E194" i="31"/>
  <c r="G196" i="6" s="1"/>
  <c r="E196" i="6"/>
  <c r="E190" i="31"/>
  <c r="G192" i="6" s="1"/>
  <c r="E192" i="6"/>
  <c r="E186" i="31"/>
  <c r="G188" i="6" s="1"/>
  <c r="E188" i="6"/>
  <c r="E182" i="31"/>
  <c r="G184" i="6" s="1"/>
  <c r="E184" i="6"/>
  <c r="E178" i="31"/>
  <c r="G180" i="6" s="1"/>
  <c r="E180" i="6"/>
  <c r="E174" i="31"/>
  <c r="G176" i="6" s="1"/>
  <c r="E176" i="6"/>
  <c r="E170" i="31"/>
  <c r="G172" i="6" s="1"/>
  <c r="E172" i="6"/>
  <c r="E166" i="31"/>
  <c r="G168" i="6" s="1"/>
  <c r="E168" i="6"/>
  <c r="E162" i="31"/>
  <c r="G164" i="6" s="1"/>
  <c r="E164" i="6"/>
  <c r="E158" i="31"/>
  <c r="G160" i="6" s="1"/>
  <c r="E160" i="6"/>
  <c r="E154" i="31"/>
  <c r="G156" i="6" s="1"/>
  <c r="E156" i="6"/>
  <c r="E150" i="31"/>
  <c r="G152" i="6" s="1"/>
  <c r="E152" i="6"/>
  <c r="E146" i="31"/>
  <c r="G148" i="6" s="1"/>
  <c r="E148" i="6"/>
  <c r="E225" i="6"/>
  <c r="E217" i="6"/>
  <c r="E205" i="6"/>
  <c r="E189" i="6"/>
  <c r="E173" i="6"/>
  <c r="E157" i="6"/>
  <c r="E224" i="31"/>
  <c r="G226" i="6" s="1"/>
  <c r="E226" i="6"/>
  <c r="E212" i="31"/>
  <c r="G214" i="6" s="1"/>
  <c r="E214" i="6"/>
  <c r="E196" i="31"/>
  <c r="G198" i="6" s="1"/>
  <c r="E198" i="6"/>
  <c r="E180" i="31"/>
  <c r="G182" i="6" s="1"/>
  <c r="E182" i="6"/>
  <c r="E164" i="31"/>
  <c r="G166" i="6" s="1"/>
  <c r="E166" i="6"/>
  <c r="E148" i="31"/>
  <c r="G150" i="6" s="1"/>
  <c r="E150" i="6"/>
  <c r="E209" i="31"/>
  <c r="G211" i="6" s="1"/>
  <c r="E211" i="6"/>
  <c r="E205" i="31"/>
  <c r="G207" i="6" s="1"/>
  <c r="E207" i="6"/>
  <c r="E201" i="31"/>
  <c r="G203" i="6" s="1"/>
  <c r="E203" i="6"/>
  <c r="E197" i="31"/>
  <c r="G199" i="6" s="1"/>
  <c r="E199" i="6"/>
  <c r="E193" i="31"/>
  <c r="G195" i="6" s="1"/>
  <c r="E195" i="6"/>
  <c r="E189" i="31"/>
  <c r="G191" i="6" s="1"/>
  <c r="E191" i="6"/>
  <c r="E185" i="31"/>
  <c r="G187" i="6" s="1"/>
  <c r="E187" i="6"/>
  <c r="E181" i="31"/>
  <c r="G183" i="6" s="1"/>
  <c r="E183" i="6"/>
  <c r="E177" i="31"/>
  <c r="G179" i="6" s="1"/>
  <c r="E179" i="6"/>
  <c r="E173" i="31"/>
  <c r="G175" i="6" s="1"/>
  <c r="E175" i="6"/>
  <c r="E169" i="31"/>
  <c r="G171" i="6" s="1"/>
  <c r="E171" i="6"/>
  <c r="E165" i="31"/>
  <c r="G167" i="6" s="1"/>
  <c r="E167" i="6"/>
  <c r="E161" i="31"/>
  <c r="G163" i="6" s="1"/>
  <c r="E163" i="6"/>
  <c r="E157" i="31"/>
  <c r="G159" i="6" s="1"/>
  <c r="E159" i="6"/>
  <c r="E153" i="31"/>
  <c r="G155" i="6" s="1"/>
  <c r="E155" i="6"/>
  <c r="E149" i="31"/>
  <c r="G151" i="6" s="1"/>
  <c r="E151" i="6"/>
  <c r="E231" i="6"/>
  <c r="E223" i="6"/>
  <c r="E201" i="6"/>
  <c r="E185" i="6"/>
  <c r="E169" i="6"/>
  <c r="E153" i="6"/>
  <c r="E228" i="31"/>
  <c r="G230" i="6" s="1"/>
  <c r="E230" i="6"/>
  <c r="E208" i="31"/>
  <c r="G210" i="6" s="1"/>
  <c r="E210" i="6"/>
  <c r="E192" i="31"/>
  <c r="G194" i="6" s="1"/>
  <c r="E194" i="6"/>
  <c r="E176" i="31"/>
  <c r="G178" i="6" s="1"/>
  <c r="E178" i="6"/>
  <c r="E156" i="31"/>
  <c r="G158" i="6" s="1"/>
  <c r="E158" i="6"/>
  <c r="E229" i="6"/>
  <c r="E221" i="6"/>
  <c r="E213" i="6"/>
  <c r="E197" i="6"/>
  <c r="E181" i="6"/>
  <c r="E165" i="6"/>
  <c r="E149" i="6"/>
  <c r="E141" i="31"/>
  <c r="G143" i="6" s="1"/>
  <c r="E137" i="31"/>
  <c r="G139" i="6" s="1"/>
  <c r="E133" i="31"/>
  <c r="G135" i="6" s="1"/>
  <c r="E129" i="31"/>
  <c r="G131" i="6" s="1"/>
  <c r="E125" i="31"/>
  <c r="G127" i="6" s="1"/>
  <c r="E121" i="31"/>
  <c r="G123" i="6" s="1"/>
  <c r="E117" i="31"/>
  <c r="G119" i="6" s="1"/>
  <c r="E113" i="31"/>
  <c r="G115" i="6" s="1"/>
  <c r="E109" i="31"/>
  <c r="G111" i="6" s="1"/>
  <c r="E105" i="31"/>
  <c r="G107" i="6" s="1"/>
  <c r="E101" i="31"/>
  <c r="G103" i="6" s="1"/>
  <c r="E97" i="31"/>
  <c r="G99" i="6" s="1"/>
  <c r="E93" i="31"/>
  <c r="G95" i="6" s="1"/>
  <c r="E89" i="31"/>
  <c r="G91" i="6" s="1"/>
  <c r="E85" i="31"/>
  <c r="G87" i="6" s="1"/>
  <c r="E81" i="31"/>
  <c r="G83" i="6" s="1"/>
  <c r="E77" i="31"/>
  <c r="G79" i="6" s="1"/>
  <c r="E73" i="31"/>
  <c r="G75" i="6" s="1"/>
  <c r="E69" i="31"/>
  <c r="G71" i="6" s="1"/>
  <c r="E65" i="31"/>
  <c r="G67" i="6" s="1"/>
  <c r="E61" i="31"/>
  <c r="G63" i="6" s="1"/>
  <c r="E57" i="31"/>
  <c r="G59" i="6" s="1"/>
  <c r="E53" i="31"/>
  <c r="G55" i="6" s="1"/>
  <c r="E49" i="31"/>
  <c r="G51" i="6" s="1"/>
  <c r="E45" i="31"/>
  <c r="G47" i="6" s="1"/>
  <c r="E41" i="31"/>
  <c r="G43" i="6" s="1"/>
  <c r="E37" i="31"/>
  <c r="G39" i="6" s="1"/>
  <c r="E33" i="31"/>
  <c r="G35" i="6" s="1"/>
  <c r="E29" i="31"/>
  <c r="G31" i="6" s="1"/>
  <c r="E25" i="31"/>
  <c r="G27" i="6" s="1"/>
  <c r="E21" i="31"/>
  <c r="G23" i="6" s="1"/>
  <c r="E17" i="31"/>
  <c r="G19" i="6" s="1"/>
  <c r="E13" i="31"/>
  <c r="G15" i="6" s="1"/>
  <c r="E9" i="31"/>
  <c r="G11" i="6" s="1"/>
  <c r="E49" i="34"/>
  <c r="E248" i="31"/>
  <c r="G250" i="6" s="1"/>
  <c r="E244" i="31"/>
  <c r="G246" i="6" s="1"/>
  <c r="E240" i="31"/>
  <c r="G242" i="6" s="1"/>
  <c r="E236" i="31"/>
  <c r="G238" i="6" s="1"/>
  <c r="E232" i="31"/>
  <c r="G234" i="6" s="1"/>
  <c r="E213" i="31"/>
  <c r="G215" i="6" s="1"/>
  <c r="E231" i="31"/>
  <c r="G233" i="6" s="1"/>
  <c r="E247" i="31"/>
  <c r="G249" i="6" s="1"/>
  <c r="E243" i="31"/>
  <c r="G245" i="6" s="1"/>
  <c r="E239" i="31"/>
  <c r="G241" i="6" s="1"/>
  <c r="E235" i="31"/>
  <c r="G237" i="6" s="1"/>
  <c r="E142" i="31"/>
  <c r="G144" i="6" s="1"/>
  <c r="E138" i="31"/>
  <c r="G140" i="6" s="1"/>
  <c r="E134" i="31"/>
  <c r="G136" i="6" s="1"/>
  <c r="E130" i="31"/>
  <c r="G132" i="6" s="1"/>
  <c r="E126" i="31"/>
  <c r="G128" i="6" s="1"/>
  <c r="E122" i="31"/>
  <c r="G124" i="6" s="1"/>
  <c r="E118" i="31"/>
  <c r="G120" i="6" s="1"/>
  <c r="E114" i="31"/>
  <c r="G116" i="6" s="1"/>
  <c r="E110" i="31"/>
  <c r="G112" i="6" s="1"/>
  <c r="E106" i="31"/>
  <c r="G108" i="6" s="1"/>
  <c r="E102" i="31"/>
  <c r="G104" i="6" s="1"/>
  <c r="E98" i="31"/>
  <c r="G100" i="6" s="1"/>
  <c r="E94" i="31"/>
  <c r="G96" i="6" s="1"/>
  <c r="E90" i="31"/>
  <c r="G92" i="6" s="1"/>
  <c r="E86" i="31"/>
  <c r="G88" i="6" s="1"/>
  <c r="E82" i="31"/>
  <c r="G84" i="6" s="1"/>
  <c r="E78" i="31"/>
  <c r="G80" i="6" s="1"/>
  <c r="E74" i="31"/>
  <c r="G76" i="6" s="1"/>
  <c r="E70" i="31"/>
  <c r="G72" i="6" s="1"/>
  <c r="E66" i="31"/>
  <c r="G68" i="6" s="1"/>
  <c r="E62" i="31"/>
  <c r="G64" i="6" s="1"/>
  <c r="E58" i="31"/>
  <c r="G60" i="6" s="1"/>
  <c r="E54" i="31"/>
  <c r="G56" i="6" s="1"/>
  <c r="E50" i="31"/>
  <c r="G52" i="6" s="1"/>
  <c r="E46" i="31"/>
  <c r="G48" i="6" s="1"/>
  <c r="E42" i="31"/>
  <c r="G44" i="6" s="1"/>
  <c r="E38" i="31"/>
  <c r="G40" i="6" s="1"/>
  <c r="E34" i="31"/>
  <c r="G36" i="6" s="1"/>
  <c r="E30" i="31"/>
  <c r="G32" i="6" s="1"/>
  <c r="E26" i="31"/>
  <c r="G28" i="6" s="1"/>
  <c r="E22" i="31"/>
  <c r="G24" i="6" s="1"/>
  <c r="E18" i="31"/>
  <c r="G20" i="6" s="1"/>
  <c r="E14" i="31"/>
  <c r="G16" i="6" s="1"/>
  <c r="E10" i="31"/>
  <c r="G12" i="6" s="1"/>
  <c r="E249" i="31"/>
  <c r="G251" i="6" s="1"/>
  <c r="E245" i="31"/>
  <c r="G247" i="6" s="1"/>
  <c r="E241" i="31"/>
  <c r="G243" i="6" s="1"/>
  <c r="E237" i="31"/>
  <c r="G239" i="6" s="1"/>
  <c r="E233" i="31"/>
  <c r="G235" i="6" s="1"/>
  <c r="E140" i="31"/>
  <c r="G142" i="6" s="1"/>
  <c r="E136" i="31"/>
  <c r="G138" i="6" s="1"/>
  <c r="E132" i="31"/>
  <c r="G134" i="6" s="1"/>
  <c r="E128" i="31"/>
  <c r="G130" i="6" s="1"/>
  <c r="E124" i="31"/>
  <c r="G126" i="6" s="1"/>
  <c r="E120" i="31"/>
  <c r="G122" i="6" s="1"/>
  <c r="E116" i="31"/>
  <c r="G118" i="6" s="1"/>
  <c r="E112" i="31"/>
  <c r="G114" i="6" s="1"/>
  <c r="E108" i="31"/>
  <c r="G110" i="6" s="1"/>
  <c r="E104" i="31"/>
  <c r="G106" i="6" s="1"/>
  <c r="E100" i="31"/>
  <c r="G102" i="6" s="1"/>
  <c r="E96" i="31"/>
  <c r="G98" i="6" s="1"/>
  <c r="E92" i="31"/>
  <c r="G94" i="6" s="1"/>
  <c r="E88" i="31"/>
  <c r="G90" i="6" s="1"/>
  <c r="E84" i="31"/>
  <c r="G86" i="6" s="1"/>
  <c r="E80" i="31"/>
  <c r="G82" i="6" s="1"/>
  <c r="E76" i="31"/>
  <c r="G78" i="6" s="1"/>
  <c r="E72" i="31"/>
  <c r="G74" i="6" s="1"/>
  <c r="E68" i="31"/>
  <c r="G70" i="6" s="1"/>
  <c r="E64" i="31"/>
  <c r="G66" i="6" s="1"/>
  <c r="E60" i="31"/>
  <c r="G62" i="6" s="1"/>
  <c r="E56" i="31"/>
  <c r="G58" i="6" s="1"/>
  <c r="E52" i="31"/>
  <c r="G54" i="6" s="1"/>
  <c r="E48" i="31"/>
  <c r="G50" i="6" s="1"/>
  <c r="E44" i="31"/>
  <c r="G46" i="6" s="1"/>
  <c r="E40" i="31"/>
  <c r="G42" i="6" s="1"/>
  <c r="E36" i="31"/>
  <c r="G38" i="6" s="1"/>
  <c r="E32" i="31"/>
  <c r="G34" i="6" s="1"/>
  <c r="E28" i="31"/>
  <c r="G30" i="6" s="1"/>
  <c r="E24" i="31"/>
  <c r="G26" i="6" s="1"/>
  <c r="E20" i="31"/>
  <c r="G22" i="6" s="1"/>
  <c r="E16" i="31"/>
  <c r="G18" i="6" s="1"/>
  <c r="E12" i="31"/>
  <c r="G14" i="6" s="1"/>
  <c r="E8" i="31"/>
  <c r="G10" i="6" s="1"/>
  <c r="E246" i="31"/>
  <c r="G248" i="6" s="1"/>
  <c r="E242" i="31"/>
  <c r="G244" i="6" s="1"/>
  <c r="E238" i="31"/>
  <c r="G240" i="6" s="1"/>
  <c r="E234" i="31"/>
  <c r="G236" i="6" s="1"/>
  <c r="E139" i="31"/>
  <c r="G141" i="6" s="1"/>
  <c r="E135" i="31"/>
  <c r="G137" i="6" s="1"/>
  <c r="E131" i="31"/>
  <c r="G133" i="6" s="1"/>
  <c r="E127" i="31"/>
  <c r="G129" i="6" s="1"/>
  <c r="E123" i="31"/>
  <c r="G125" i="6" s="1"/>
  <c r="E119" i="31"/>
  <c r="G121" i="6" s="1"/>
  <c r="E115" i="31"/>
  <c r="G117" i="6" s="1"/>
  <c r="E111" i="31"/>
  <c r="G113" i="6" s="1"/>
  <c r="E107" i="31"/>
  <c r="G109" i="6" s="1"/>
  <c r="E103" i="31"/>
  <c r="G105" i="6" s="1"/>
  <c r="E99" i="31"/>
  <c r="G101" i="6" s="1"/>
  <c r="E95" i="31"/>
  <c r="G97" i="6" s="1"/>
  <c r="E91" i="31"/>
  <c r="G93" i="6" s="1"/>
  <c r="E87" i="31"/>
  <c r="G89" i="6" s="1"/>
  <c r="E83" i="31"/>
  <c r="G85" i="6" s="1"/>
  <c r="E79" i="31"/>
  <c r="G81" i="6" s="1"/>
  <c r="E75" i="31"/>
  <c r="G77" i="6" s="1"/>
  <c r="E71" i="31"/>
  <c r="G73" i="6" s="1"/>
  <c r="E67" i="31"/>
  <c r="G69" i="6" s="1"/>
  <c r="E63" i="31"/>
  <c r="G65" i="6" s="1"/>
  <c r="E59" i="31"/>
  <c r="G61" i="6" s="1"/>
  <c r="E55" i="31"/>
  <c r="G57" i="6" s="1"/>
  <c r="E51" i="31"/>
  <c r="G53" i="6" s="1"/>
  <c r="E47" i="31"/>
  <c r="G49" i="6" s="1"/>
  <c r="E43" i="31"/>
  <c r="G45" i="6" s="1"/>
  <c r="E39" i="31"/>
  <c r="G41" i="6" s="1"/>
  <c r="E35" i="31"/>
  <c r="G37" i="6" s="1"/>
  <c r="E31" i="31"/>
  <c r="G33" i="6" s="1"/>
  <c r="E27" i="31"/>
  <c r="G29" i="6" s="1"/>
  <c r="E23" i="31"/>
  <c r="G25" i="6" s="1"/>
  <c r="E19" i="31"/>
  <c r="G21" i="6" s="1"/>
  <c r="E15" i="31"/>
  <c r="G17" i="6" s="1"/>
  <c r="E11" i="31"/>
  <c r="G13" i="6" s="1"/>
  <c r="E7" i="31"/>
  <c r="G9" i="6" s="1"/>
  <c r="E15" i="46"/>
  <c r="E31" i="46"/>
  <c r="E12" i="45"/>
  <c r="E142" i="44"/>
  <c r="AU186" i="14" s="1"/>
  <c r="E255" i="31" s="1"/>
  <c r="G257" i="6" s="1"/>
  <c r="E253" i="42"/>
  <c r="E45" i="41"/>
  <c r="AU179" i="14" s="1"/>
  <c r="E252" i="31" s="1"/>
  <c r="G254" i="6" s="1"/>
  <c r="E229" i="40"/>
  <c r="AU182" i="14" s="1"/>
  <c r="AU181" i="14" s="1"/>
  <c r="E98" i="39"/>
  <c r="E97" i="39"/>
  <c r="E96" i="39"/>
  <c r="E95" i="39"/>
  <c r="E94" i="39"/>
  <c r="E93" i="39"/>
  <c r="E92" i="39"/>
  <c r="E91" i="39"/>
  <c r="E90" i="39"/>
  <c r="E89" i="39"/>
  <c r="E653" i="39"/>
  <c r="E652" i="39"/>
  <c r="E650" i="39"/>
  <c r="E649" i="39"/>
  <c r="E648" i="39"/>
  <c r="E645" i="39"/>
  <c r="E644" i="39"/>
  <c r="E643" i="39"/>
  <c r="E642" i="39"/>
  <c r="E641" i="39"/>
  <c r="E640" i="39"/>
  <c r="E639" i="39"/>
  <c r="E638" i="39"/>
  <c r="E637" i="39"/>
  <c r="E636" i="39"/>
  <c r="E635" i="39"/>
  <c r="E633" i="39"/>
  <c r="E601" i="39"/>
  <c r="E600" i="39"/>
  <c r="E599" i="39"/>
  <c r="E598" i="39"/>
  <c r="E597" i="39"/>
  <c r="E596" i="39"/>
  <c r="E595" i="39"/>
  <c r="E594" i="39"/>
  <c r="E593" i="39"/>
  <c r="E592" i="39"/>
  <c r="E591" i="39"/>
  <c r="E590" i="39"/>
  <c r="E589" i="39"/>
  <c r="E588" i="39"/>
  <c r="E587" i="39"/>
  <c r="E586" i="39"/>
  <c r="E585" i="39"/>
  <c r="E584" i="39"/>
  <c r="E583" i="39"/>
  <c r="E582" i="39"/>
  <c r="E364" i="39"/>
  <c r="E363" i="39"/>
  <c r="E362" i="39"/>
  <c r="E361" i="39"/>
  <c r="E88" i="39"/>
  <c r="E360" i="39"/>
  <c r="E367" i="39"/>
  <c r="E571" i="39"/>
  <c r="E575" i="39" s="1"/>
  <c r="E358" i="39"/>
  <c r="E357" i="39"/>
  <c r="E580" i="39"/>
  <c r="E314" i="39"/>
  <c r="E310" i="39"/>
  <c r="E308" i="39"/>
  <c r="E83" i="39"/>
  <c r="E82" i="39"/>
  <c r="E81" i="39"/>
  <c r="E80" i="39"/>
  <c r="E79" i="39"/>
  <c r="E78" i="39"/>
  <c r="E77" i="39"/>
  <c r="E76" i="39"/>
  <c r="E307" i="39"/>
  <c r="E269" i="39"/>
  <c r="E268" i="39"/>
  <c r="E267" i="39"/>
  <c r="E266" i="39"/>
  <c r="E262" i="39"/>
  <c r="E261" i="39"/>
  <c r="E260" i="39"/>
  <c r="E259" i="39"/>
  <c r="E258" i="39"/>
  <c r="E66" i="39"/>
  <c r="E65" i="39"/>
  <c r="E64" i="39"/>
  <c r="E63" i="39"/>
  <c r="E62" i="39"/>
  <c r="E61" i="39"/>
  <c r="E60" i="39"/>
  <c r="E59" i="39"/>
  <c r="E58" i="39"/>
  <c r="E57" i="39"/>
  <c r="E56" i="39"/>
  <c r="E55" i="39"/>
  <c r="E54" i="39"/>
  <c r="E53" i="39"/>
  <c r="E32" i="39"/>
  <c r="E31" i="39"/>
  <c r="E30" i="39"/>
  <c r="E29" i="39"/>
  <c r="E28" i="39"/>
  <c r="E27" i="39"/>
  <c r="E26" i="39"/>
  <c r="E25" i="39"/>
  <c r="E24" i="39"/>
  <c r="E23" i="39"/>
  <c r="E22" i="39"/>
  <c r="E21" i="39"/>
  <c r="E20" i="39"/>
  <c r="E19" i="39"/>
  <c r="E18" i="39"/>
  <c r="E17" i="39"/>
  <c r="E16" i="39"/>
  <c r="E15" i="39"/>
  <c r="E14" i="39"/>
  <c r="E13" i="39"/>
  <c r="E12" i="39"/>
  <c r="E11" i="39"/>
  <c r="E10" i="39"/>
  <c r="E9" i="39"/>
  <c r="E8" i="39"/>
  <c r="E7" i="39"/>
  <c r="E6" i="39"/>
  <c r="E5" i="39"/>
  <c r="E4" i="39"/>
  <c r="E686" i="39"/>
  <c r="E723" i="39"/>
  <c r="E463" i="39"/>
  <c r="E192" i="39"/>
  <c r="E462" i="39"/>
  <c r="E191" i="39"/>
  <c r="E190" i="39"/>
  <c r="E461" i="39"/>
  <c r="E460" i="39"/>
  <c r="E251" i="39"/>
  <c r="E254" i="39" s="1"/>
  <c r="E685" i="39"/>
  <c r="E684" i="39"/>
  <c r="E683" i="39"/>
  <c r="E226" i="39"/>
  <c r="E682" i="39"/>
  <c r="E762" i="39"/>
  <c r="E761" i="39"/>
  <c r="E760" i="39"/>
  <c r="E756" i="39"/>
  <c r="E755" i="39"/>
  <c r="E754" i="39"/>
  <c r="E753" i="39"/>
  <c r="E752" i="39"/>
  <c r="E751" i="39"/>
  <c r="E750" i="39"/>
  <c r="E749" i="39"/>
  <c r="E748" i="39"/>
  <c r="E747" i="39"/>
  <c r="E746" i="39"/>
  <c r="E99" i="39"/>
  <c r="E668" i="39"/>
  <c r="E721" i="39"/>
  <c r="E722" i="39"/>
  <c r="E790" i="39"/>
  <c r="E789" i="39"/>
  <c r="E788" i="39"/>
  <c r="E787" i="39"/>
  <c r="E786" i="39"/>
  <c r="E785" i="39"/>
  <c r="E784" i="39"/>
  <c r="E783" i="39"/>
  <c r="E782" i="39"/>
  <c r="E781" i="39"/>
  <c r="E780" i="39"/>
  <c r="E779" i="39"/>
  <c r="E778" i="39"/>
  <c r="E776" i="39"/>
  <c r="E775" i="39"/>
  <c r="E774" i="39"/>
  <c r="E773" i="39"/>
  <c r="E772" i="39"/>
  <c r="E771" i="39"/>
  <c r="E770" i="39"/>
  <c r="E769" i="39"/>
  <c r="E768" i="39"/>
  <c r="E767" i="39"/>
  <c r="E766" i="39"/>
  <c r="E664" i="39"/>
  <c r="E663" i="39"/>
  <c r="E662" i="39"/>
  <c r="E661" i="39"/>
  <c r="E660" i="39"/>
  <c r="E659" i="39"/>
  <c r="E658" i="39"/>
  <c r="E657" i="39"/>
  <c r="E656" i="39"/>
  <c r="E655" i="39"/>
  <c r="E654" i="39"/>
  <c r="E279" i="39"/>
  <c r="E278" i="39"/>
  <c r="E277" i="39"/>
  <c r="E276" i="39"/>
  <c r="E275" i="39"/>
  <c r="E274" i="39"/>
  <c r="E273" i="39"/>
  <c r="C272" i="39"/>
  <c r="E272" i="39" s="1"/>
  <c r="E271" i="39"/>
  <c r="E270" i="39"/>
  <c r="E393" i="39"/>
  <c r="E125" i="39"/>
  <c r="E124" i="39"/>
  <c r="E123" i="39"/>
  <c r="E122" i="39"/>
  <c r="E121" i="39"/>
  <c r="E120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26" i="39"/>
  <c r="E392" i="39"/>
  <c r="E391" i="39"/>
  <c r="E390" i="39"/>
  <c r="E389" i="39"/>
  <c r="E388" i="39"/>
  <c r="E387" i="39"/>
  <c r="E386" i="39"/>
  <c r="E385" i="39"/>
  <c r="E384" i="39"/>
  <c r="E383" i="39"/>
  <c r="E382" i="39"/>
  <c r="E381" i="39"/>
  <c r="E380" i="39"/>
  <c r="E379" i="39"/>
  <c r="E378" i="39"/>
  <c r="E377" i="39"/>
  <c r="E376" i="39"/>
  <c r="E375" i="39"/>
  <c r="E374" i="39"/>
  <c r="E373" i="39"/>
  <c r="C372" i="39"/>
  <c r="E372" i="39" s="1"/>
  <c r="E371" i="39"/>
  <c r="E370" i="39"/>
  <c r="E369" i="39"/>
  <c r="E368" i="39"/>
  <c r="E100" i="39"/>
  <c r="E440" i="36"/>
  <c r="E439" i="36"/>
  <c r="E438" i="36"/>
  <c r="E437" i="36"/>
  <c r="E436" i="36"/>
  <c r="E435" i="36"/>
  <c r="E434" i="36"/>
  <c r="E433" i="36"/>
  <c r="E432" i="36"/>
  <c r="E431" i="36"/>
  <c r="E430" i="36"/>
  <c r="E429" i="36"/>
  <c r="E428" i="36"/>
  <c r="E427" i="36"/>
  <c r="E426" i="36"/>
  <c r="E425" i="36"/>
  <c r="E212" i="36"/>
  <c r="E23" i="34"/>
  <c r="E296" i="31" s="1"/>
  <c r="G301" i="6" s="1"/>
  <c r="E727" i="39" l="1"/>
  <c r="E551" i="39"/>
  <c r="E717" i="39"/>
  <c r="E299" i="39"/>
  <c r="E229" i="39"/>
  <c r="E763" i="39"/>
  <c r="E757" i="39"/>
  <c r="E21" i="34"/>
  <c r="E294" i="31" s="1"/>
  <c r="G299" i="6" s="1"/>
  <c r="E4" i="34"/>
  <c r="E277" i="31" s="1"/>
  <c r="G282" i="6" s="1"/>
  <c r="E211" i="36"/>
  <c r="E213" i="36" s="1"/>
  <c r="AU91" i="14"/>
  <c r="AR181" i="14"/>
  <c r="AR178" i="14" s="1"/>
  <c r="E22" i="34" l="1"/>
  <c r="E295" i="31" s="1"/>
  <c r="G300" i="6" s="1"/>
  <c r="AU194" i="14"/>
  <c r="E420" i="36"/>
  <c r="E421" i="36"/>
  <c r="E419" i="36"/>
  <c r="E406" i="36"/>
  <c r="E407" i="36"/>
  <c r="E408" i="36"/>
  <c r="E409" i="36"/>
  <c r="E410" i="36"/>
  <c r="E411" i="36"/>
  <c r="E412" i="36"/>
  <c r="E413" i="36"/>
  <c r="E414" i="36"/>
  <c r="E415" i="36"/>
  <c r="E405" i="36"/>
  <c r="AU178" i="14" l="1"/>
  <c r="AW178" i="14"/>
  <c r="E422" i="36"/>
  <c r="E416" i="36"/>
  <c r="E401" i="36"/>
  <c r="E382" i="36"/>
  <c r="T54" i="24" l="1"/>
  <c r="AG10" i="13"/>
  <c r="E12" i="34"/>
  <c r="E285" i="31" s="1"/>
  <c r="G290" i="6" s="1"/>
  <c r="E20" i="34"/>
  <c r="E293" i="31" s="1"/>
  <c r="G298" i="6" s="1"/>
  <c r="E18" i="34"/>
  <c r="E291" i="31" s="1"/>
  <c r="G296" i="6" s="1"/>
  <c r="AI5" i="12"/>
  <c r="AI10" i="12"/>
  <c r="AI17" i="12"/>
  <c r="AH6" i="12"/>
  <c r="AI6" i="12" s="1"/>
  <c r="AH7" i="12"/>
  <c r="AI7" i="12" s="1"/>
  <c r="AH8" i="12"/>
  <c r="AI8" i="12" s="1"/>
  <c r="AH9" i="12"/>
  <c r="AI9" i="12" s="1"/>
  <c r="AH10" i="12"/>
  <c r="AH11" i="12"/>
  <c r="AI11" i="12" s="1"/>
  <c r="AH12" i="12"/>
  <c r="AI12" i="12" s="1"/>
  <c r="AH13" i="12"/>
  <c r="AI13" i="12" s="1"/>
  <c r="AH14" i="12"/>
  <c r="AI14" i="12" s="1"/>
  <c r="AH15" i="12"/>
  <c r="AI15" i="12" s="1"/>
  <c r="AH16" i="12"/>
  <c r="AI16" i="12" s="1"/>
  <c r="AH17" i="12"/>
  <c r="AH18" i="12"/>
  <c r="AI18" i="12" s="1"/>
  <c r="AH19" i="12"/>
  <c r="AI19" i="12" s="1"/>
  <c r="AH5" i="12"/>
  <c r="E197" i="36"/>
  <c r="E201" i="36"/>
  <c r="E202" i="36" s="1"/>
  <c r="E313" i="38"/>
  <c r="E305" i="38"/>
  <c r="E304" i="38"/>
  <c r="E303" i="38"/>
  <c r="E302" i="38"/>
  <c r="E301" i="38"/>
  <c r="E300" i="38"/>
  <c r="E299" i="38"/>
  <c r="E298" i="38"/>
  <c r="E297" i="38"/>
  <c r="E296" i="38"/>
  <c r="E295" i="38"/>
  <c r="E290" i="38"/>
  <c r="E291" i="38" s="1"/>
  <c r="E285" i="38"/>
  <c r="E286" i="38" s="1"/>
  <c r="E280" i="38"/>
  <c r="E279" i="38"/>
  <c r="E277" i="38"/>
  <c r="E276" i="38"/>
  <c r="E275" i="38"/>
  <c r="E272" i="38"/>
  <c r="E271" i="38"/>
  <c r="E270" i="38"/>
  <c r="E269" i="38"/>
  <c r="E268" i="38"/>
  <c r="E267" i="38"/>
  <c r="E266" i="38"/>
  <c r="E265" i="38"/>
  <c r="E264" i="38"/>
  <c r="E263" i="38"/>
  <c r="E262" i="38"/>
  <c r="E260" i="38"/>
  <c r="E228" i="38"/>
  <c r="E227" i="38"/>
  <c r="E226" i="38"/>
  <c r="E225" i="38"/>
  <c r="E224" i="38"/>
  <c r="E223" i="38"/>
  <c r="E222" i="38"/>
  <c r="E221" i="38"/>
  <c r="E220" i="38"/>
  <c r="E219" i="38"/>
  <c r="E218" i="38"/>
  <c r="E217" i="38"/>
  <c r="E216" i="38"/>
  <c r="E215" i="38"/>
  <c r="E214" i="38"/>
  <c r="E213" i="38"/>
  <c r="E212" i="38"/>
  <c r="E211" i="38"/>
  <c r="E210" i="38"/>
  <c r="E281" i="38" s="1"/>
  <c r="E209" i="38"/>
  <c r="E202" i="38"/>
  <c r="E201" i="38"/>
  <c r="E200" i="38"/>
  <c r="E199" i="38"/>
  <c r="E198" i="38"/>
  <c r="E197" i="38"/>
  <c r="E194" i="38"/>
  <c r="E193" i="38"/>
  <c r="E192" i="38"/>
  <c r="E191" i="38"/>
  <c r="E159" i="38"/>
  <c r="E122" i="38"/>
  <c r="E116" i="38"/>
  <c r="E114" i="38"/>
  <c r="E113" i="38"/>
  <c r="E112" i="38"/>
  <c r="E111" i="38"/>
  <c r="E110" i="38"/>
  <c r="E109" i="38"/>
  <c r="E108" i="38"/>
  <c r="E107" i="38"/>
  <c r="E106" i="38"/>
  <c r="E105" i="38"/>
  <c r="E205" i="38" s="1"/>
  <c r="E101" i="38"/>
  <c r="E96" i="38"/>
  <c r="E87" i="38"/>
  <c r="E86" i="38"/>
  <c r="E85" i="38"/>
  <c r="E84" i="38"/>
  <c r="E76" i="38"/>
  <c r="E75" i="38"/>
  <c r="E74" i="38"/>
  <c r="E73" i="38"/>
  <c r="E72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AU210" i="14"/>
  <c r="T60" i="24" s="1"/>
  <c r="J60" i="23" s="1"/>
  <c r="V53" i="24"/>
  <c r="V49" i="24"/>
  <c r="V28" i="24"/>
  <c r="V29" i="24"/>
  <c r="V31" i="24"/>
  <c r="V35" i="24"/>
  <c r="AU147" i="14"/>
  <c r="AU219" i="14"/>
  <c r="U29" i="24"/>
  <c r="H30" i="37"/>
  <c r="G30" i="37"/>
  <c r="F30" i="37"/>
  <c r="T68" i="24" s="1"/>
  <c r="AU27" i="14"/>
  <c r="AU20" i="14"/>
  <c r="AU17" i="14" s="1"/>
  <c r="T48" i="24" s="1"/>
  <c r="J48" i="23" s="1"/>
  <c r="E17" i="34"/>
  <c r="E290" i="31" s="1"/>
  <c r="G295" i="6" s="1"/>
  <c r="E14" i="34"/>
  <c r="E287" i="31" s="1"/>
  <c r="G292" i="6" s="1"/>
  <c r="E15" i="34"/>
  <c r="E288" i="31" s="1"/>
  <c r="G293" i="6" s="1"/>
  <c r="E106" i="34"/>
  <c r="E103" i="34"/>
  <c r="D101" i="34"/>
  <c r="E101" i="34" s="1"/>
  <c r="E100" i="34"/>
  <c r="E99" i="34"/>
  <c r="E98" i="34"/>
  <c r="E97" i="34"/>
  <c r="E96" i="34"/>
  <c r="E95" i="34"/>
  <c r="E36" i="34"/>
  <c r="E37" i="34"/>
  <c r="AU198" i="14" s="1"/>
  <c r="E35" i="34"/>
  <c r="E19" i="34"/>
  <c r="E292" i="31" s="1"/>
  <c r="G297" i="6" s="1"/>
  <c r="E13" i="34"/>
  <c r="E286" i="31" s="1"/>
  <c r="G291" i="6" s="1"/>
  <c r="E11" i="34"/>
  <c r="E284" i="31" s="1"/>
  <c r="G289" i="6" s="1"/>
  <c r="E10" i="34"/>
  <c r="E283" i="31" s="1"/>
  <c r="G288" i="6" s="1"/>
  <c r="E7" i="34"/>
  <c r="E280" i="31" s="1"/>
  <c r="G285" i="6" s="1"/>
  <c r="E6" i="34"/>
  <c r="E279" i="31" s="1"/>
  <c r="G284" i="6" s="1"/>
  <c r="E5" i="34"/>
  <c r="E278" i="31" s="1"/>
  <c r="E300" i="31" l="1"/>
  <c r="G283" i="6"/>
  <c r="G313" i="6" s="1"/>
  <c r="E38" i="34"/>
  <c r="E24" i="34"/>
  <c r="AU196" i="14" s="1"/>
  <c r="T58" i="24" s="1"/>
  <c r="J58" i="23" s="1"/>
  <c r="AU197" i="14"/>
  <c r="E88" i="38"/>
  <c r="E68" i="38"/>
  <c r="E306" i="38"/>
  <c r="E105" i="34"/>
  <c r="F5" i="34"/>
  <c r="G5" i="34" l="1"/>
  <c r="H5" i="34" l="1"/>
  <c r="I5" i="34" l="1"/>
  <c r="J5" i="34" l="1"/>
  <c r="K5" i="34" l="1"/>
  <c r="L5" i="34" l="1"/>
  <c r="M5" i="34" s="1"/>
  <c r="N5" i="34" l="1"/>
  <c r="O5" i="34" l="1"/>
  <c r="P5" i="34" l="1"/>
  <c r="Q5" i="34" l="1"/>
  <c r="R5" i="34" l="1"/>
  <c r="S5" i="34" l="1"/>
  <c r="T5" i="34" l="1"/>
  <c r="U5" i="34" l="1"/>
  <c r="V5" i="34" l="1"/>
  <c r="W5" i="34" l="1"/>
  <c r="X5" i="34" l="1"/>
  <c r="Y5" i="34" l="1"/>
  <c r="Z5" i="34" l="1"/>
  <c r="AA5" i="34" s="1"/>
  <c r="E224" i="36" l="1"/>
  <c r="E217" i="36"/>
  <c r="E193" i="36"/>
  <c r="E192" i="36"/>
  <c r="E191" i="36"/>
  <c r="E190" i="36"/>
  <c r="E188" i="36"/>
  <c r="E187" i="36"/>
  <c r="E186" i="36"/>
  <c r="E185" i="36"/>
  <c r="E184" i="36"/>
  <c r="E183" i="36"/>
  <c r="E180" i="36"/>
  <c r="E177" i="36"/>
  <c r="E176" i="36"/>
  <c r="E174" i="36"/>
  <c r="E166" i="36"/>
  <c r="E159" i="36"/>
  <c r="E155" i="36"/>
  <c r="E154" i="36"/>
  <c r="E148" i="36"/>
  <c r="E141" i="36"/>
  <c r="E133" i="36"/>
  <c r="E130" i="36"/>
  <c r="E121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E98" i="36"/>
  <c r="E97" i="36"/>
  <c r="E96" i="36"/>
  <c r="E94" i="36"/>
  <c r="E93" i="36"/>
  <c r="E92" i="36"/>
  <c r="E90" i="36"/>
  <c r="C86" i="36"/>
  <c r="E86" i="36" s="1"/>
  <c r="E85" i="36"/>
  <c r="E84" i="36"/>
  <c r="E83" i="36"/>
  <c r="E82" i="36"/>
  <c r="E81" i="36"/>
  <c r="E80" i="36"/>
  <c r="E79" i="36"/>
  <c r="E78" i="36"/>
  <c r="E77" i="36"/>
  <c r="E75" i="36"/>
  <c r="E74" i="36"/>
  <c r="E73" i="36"/>
  <c r="E72" i="36"/>
  <c r="E71" i="36"/>
  <c r="E70" i="36"/>
  <c r="E69" i="36"/>
  <c r="E68" i="36"/>
  <c r="E67" i="36"/>
  <c r="E66" i="36"/>
  <c r="E65" i="36"/>
  <c r="E64" i="36"/>
  <c r="E63" i="36"/>
  <c r="E62" i="36"/>
  <c r="E61" i="36"/>
  <c r="E59" i="36"/>
  <c r="E57" i="36"/>
  <c r="E55" i="36"/>
  <c r="E54" i="36"/>
  <c r="E53" i="36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7" i="36"/>
  <c r="E36" i="36"/>
  <c r="E30" i="36"/>
  <c r="E24" i="36"/>
  <c r="E21" i="36"/>
  <c r="E19" i="36"/>
  <c r="C17" i="36"/>
  <c r="E17" i="36" s="1"/>
  <c r="E16" i="36"/>
  <c r="E13" i="36"/>
  <c r="E11" i="36"/>
  <c r="E6" i="36"/>
  <c r="E5" i="36"/>
  <c r="E195" i="36" l="1"/>
  <c r="E218" i="36"/>
  <c r="AU163" i="14" l="1"/>
  <c r="AU156" i="14"/>
  <c r="AU141" i="14"/>
  <c r="AU14" i="14" l="1"/>
  <c r="AU6" i="14" s="1"/>
  <c r="AG6" i="13" s="1"/>
  <c r="AT147" i="14"/>
  <c r="AT178" i="14"/>
  <c r="AT156" i="14"/>
  <c r="AT20" i="14"/>
  <c r="AT43" i="14"/>
  <c r="AT144" i="14"/>
  <c r="AT141" i="14" s="1"/>
  <c r="AT165" i="14"/>
  <c r="AT163" i="14" s="1"/>
  <c r="AB5" i="13"/>
  <c r="E354" i="30"/>
  <c r="AU199" i="14"/>
  <c r="AU135" i="14"/>
  <c r="AG16" i="13"/>
  <c r="AG15" i="13"/>
  <c r="AG14" i="13"/>
  <c r="AG5" i="13"/>
  <c r="T62" i="24"/>
  <c r="J62" i="23" s="1"/>
  <c r="J54" i="23"/>
  <c r="T45" i="24"/>
  <c r="J45" i="23" s="1"/>
  <c r="T44" i="24"/>
  <c r="J44" i="23" s="1"/>
  <c r="T43" i="24"/>
  <c r="J43" i="23" s="1"/>
  <c r="T42" i="24"/>
  <c r="J42" i="23" s="1"/>
  <c r="T41" i="24"/>
  <c r="J41" i="23" s="1"/>
  <c r="T39" i="24"/>
  <c r="J39" i="23" s="1"/>
  <c r="T23" i="24"/>
  <c r="J23" i="23" s="1"/>
  <c r="T22" i="24"/>
  <c r="J22" i="23" s="1"/>
  <c r="T21" i="24"/>
  <c r="J21" i="23" s="1"/>
  <c r="T17" i="24"/>
  <c r="J17" i="23" s="1"/>
  <c r="T16" i="24"/>
  <c r="J16" i="23" s="1"/>
  <c r="T15" i="24"/>
  <c r="J15" i="23" s="1"/>
  <c r="T11" i="24"/>
  <c r="J11" i="23" s="1"/>
  <c r="AG18" i="12"/>
  <c r="T10" i="24" s="1"/>
  <c r="J10" i="23" s="1"/>
  <c r="T9" i="24"/>
  <c r="J9" i="23" s="1"/>
  <c r="T14" i="24"/>
  <c r="J14" i="23" s="1"/>
  <c r="AG6" i="12"/>
  <c r="T13" i="24" s="1"/>
  <c r="J13" i="23" s="1"/>
  <c r="K13" i="23" s="1"/>
  <c r="AG5" i="12"/>
  <c r="AR210" i="14"/>
  <c r="AR205" i="14"/>
  <c r="R34" i="24"/>
  <c r="R52" i="24"/>
  <c r="R45" i="24"/>
  <c r="R44" i="24"/>
  <c r="R43" i="24"/>
  <c r="R42" i="24"/>
  <c r="R39" i="24"/>
  <c r="R37" i="24"/>
  <c r="R27" i="24"/>
  <c r="R36" i="24"/>
  <c r="R33" i="24"/>
  <c r="R32" i="24"/>
  <c r="R30" i="24"/>
  <c r="R16" i="24"/>
  <c r="R15" i="24"/>
  <c r="R14" i="24"/>
  <c r="R13" i="24"/>
  <c r="R12" i="24"/>
  <c r="R11" i="24"/>
  <c r="R9" i="24"/>
  <c r="R10" i="24"/>
  <c r="R23" i="24"/>
  <c r="R22" i="24"/>
  <c r="R17" i="24"/>
  <c r="AR198" i="14"/>
  <c r="AE16" i="13"/>
  <c r="AE15" i="13"/>
  <c r="AE14" i="13"/>
  <c r="AE5" i="13"/>
  <c r="AE20" i="12"/>
  <c r="AE10" i="13"/>
  <c r="AR163" i="14"/>
  <c r="AR156" i="14"/>
  <c r="AR130" i="14"/>
  <c r="AE12" i="13" s="1"/>
  <c r="AR125" i="14"/>
  <c r="R47" i="24" s="1"/>
  <c r="AR27" i="14"/>
  <c r="AR20" i="14"/>
  <c r="AR6" i="14"/>
  <c r="AE6" i="13" s="1"/>
  <c r="AS5" i="14"/>
  <c r="AF18" i="12"/>
  <c r="AF6" i="12"/>
  <c r="AF7" i="12"/>
  <c r="AF8" i="12"/>
  <c r="AF9" i="12"/>
  <c r="AF10" i="12"/>
  <c r="AF12" i="12"/>
  <c r="AF13" i="12"/>
  <c r="AF14" i="12"/>
  <c r="AF15" i="12"/>
  <c r="AF16" i="12"/>
  <c r="AF17" i="12"/>
  <c r="AF19" i="12"/>
  <c r="AF5" i="12"/>
  <c r="AO195" i="14"/>
  <c r="AO210" i="14"/>
  <c r="AO205" i="14"/>
  <c r="S29" i="24"/>
  <c r="R62" i="24"/>
  <c r="AQ20" i="14"/>
  <c r="AQ178" i="14"/>
  <c r="AQ163" i="14"/>
  <c r="AQ156" i="14"/>
  <c r="AQ141" i="14"/>
  <c r="AQ43" i="14"/>
  <c r="AQ148" i="14"/>
  <c r="AQ147" i="14" s="1"/>
  <c r="AQ61" i="14"/>
  <c r="R21" i="24" l="1"/>
  <c r="AR199" i="14"/>
  <c r="AE13" i="13" s="1"/>
  <c r="AG21" i="12"/>
  <c r="C6" i="11" s="1"/>
  <c r="C7" i="11" s="1"/>
  <c r="AF20" i="12"/>
  <c r="AE21" i="12"/>
  <c r="T12" i="24"/>
  <c r="R60" i="24"/>
  <c r="AT135" i="14"/>
  <c r="AT225" i="14" s="1"/>
  <c r="R57" i="24"/>
  <c r="AR195" i="14"/>
  <c r="AG13" i="13"/>
  <c r="T61" i="24"/>
  <c r="J61" i="23" s="1"/>
  <c r="AR17" i="14"/>
  <c r="R48" i="24" s="1"/>
  <c r="AG7" i="13"/>
  <c r="T46" i="24"/>
  <c r="AG9" i="13"/>
  <c r="AR135" i="14"/>
  <c r="AE8" i="13"/>
  <c r="R41" i="24"/>
  <c r="R54" i="24"/>
  <c r="AQ17" i="14"/>
  <c r="AQ135" i="14"/>
  <c r="T24" i="24" l="1"/>
  <c r="J12" i="23"/>
  <c r="J46" i="23"/>
  <c r="R61" i="24"/>
  <c r="AE7" i="13"/>
  <c r="AU195" i="14"/>
  <c r="AG11" i="13" s="1"/>
  <c r="R58" i="24"/>
  <c r="AE11" i="13"/>
  <c r="R46" i="24"/>
  <c r="AE9" i="13"/>
  <c r="AR225" i="14"/>
  <c r="AQ225" i="14"/>
  <c r="AC16" i="13"/>
  <c r="AH16" i="13" s="1"/>
  <c r="AC15" i="13"/>
  <c r="AH15" i="13" s="1"/>
  <c r="AC14" i="13"/>
  <c r="AH14" i="13" s="1"/>
  <c r="AC13" i="13"/>
  <c r="AH13" i="13" s="1"/>
  <c r="AI13" i="13" s="1"/>
  <c r="AC11" i="13"/>
  <c r="AC5" i="13"/>
  <c r="AH5" i="13" s="1"/>
  <c r="AI5" i="13" s="1"/>
  <c r="AH11" i="13" l="1"/>
  <c r="AI11" i="13" s="1"/>
  <c r="AE17" i="13"/>
  <c r="AP224" i="14"/>
  <c r="AO178" i="14"/>
  <c r="AO163" i="14"/>
  <c r="AO156" i="14"/>
  <c r="AP5" i="14"/>
  <c r="AO130" i="14"/>
  <c r="AC12" i="13" s="1"/>
  <c r="AH12" i="13" s="1"/>
  <c r="AI12" i="13" s="1"/>
  <c r="AO27" i="14"/>
  <c r="AO20" i="14"/>
  <c r="AO34" i="14"/>
  <c r="AO35" i="14"/>
  <c r="AO33" i="14"/>
  <c r="AO37" i="14"/>
  <c r="AO128" i="14"/>
  <c r="AO125" i="14" s="1"/>
  <c r="AO6" i="14"/>
  <c r="AC6" i="13" s="1"/>
  <c r="AH6" i="13" s="1"/>
  <c r="AI6" i="13" s="1"/>
  <c r="AD6" i="12"/>
  <c r="AD7" i="12"/>
  <c r="AD8" i="12"/>
  <c r="AD9" i="12"/>
  <c r="AD10" i="12"/>
  <c r="AD12" i="12"/>
  <c r="AD13" i="12"/>
  <c r="AD14" i="12"/>
  <c r="AD15" i="12"/>
  <c r="AD16" i="12"/>
  <c r="AD17" i="12"/>
  <c r="AD18" i="12"/>
  <c r="AD19" i="12"/>
  <c r="AD5" i="12"/>
  <c r="AC20" i="12"/>
  <c r="R24" i="24" l="1"/>
  <c r="AH20" i="12"/>
  <c r="AI20" i="12" s="1"/>
  <c r="AC8" i="13"/>
  <c r="AH8" i="13" s="1"/>
  <c r="AI8" i="13" s="1"/>
  <c r="AC10" i="13"/>
  <c r="AH10" i="13" s="1"/>
  <c r="AI10" i="13" s="1"/>
  <c r="AO17" i="14"/>
  <c r="AO135" i="14"/>
  <c r="AD20" i="12"/>
  <c r="AC21" i="12"/>
  <c r="AH21" i="12" s="1"/>
  <c r="AI21" i="12" s="1"/>
  <c r="L79" i="23"/>
  <c r="I67" i="23"/>
  <c r="J49" i="23"/>
  <c r="J28" i="23"/>
  <c r="K29" i="23"/>
  <c r="J31" i="23"/>
  <c r="E65" i="23"/>
  <c r="I56" i="23"/>
  <c r="I53" i="23"/>
  <c r="I49" i="23"/>
  <c r="I28" i="23"/>
  <c r="I31" i="23"/>
  <c r="E42" i="23"/>
  <c r="E43" i="23"/>
  <c r="E44" i="23"/>
  <c r="E45" i="23"/>
  <c r="E47" i="23"/>
  <c r="E48" i="23"/>
  <c r="E49" i="23"/>
  <c r="E41" i="23"/>
  <c r="E39" i="23"/>
  <c r="E27" i="23"/>
  <c r="R63" i="24" l="1"/>
  <c r="AO225" i="14"/>
  <c r="AC9" i="13"/>
  <c r="AH9" i="13" s="1"/>
  <c r="AI9" i="13" s="1"/>
  <c r="AC7" i="13"/>
  <c r="AH7" i="13" s="1"/>
  <c r="AI7" i="13" s="1"/>
  <c r="L29" i="23"/>
  <c r="E230" i="30"/>
  <c r="E229" i="30"/>
  <c r="E228" i="30"/>
  <c r="AC17" i="13" l="1"/>
  <c r="R64" i="24"/>
  <c r="AB11" i="12"/>
  <c r="E77" i="30"/>
  <c r="E76" i="30"/>
  <c r="E75" i="30"/>
  <c r="E74" i="30"/>
  <c r="E73" i="30"/>
  <c r="E331" i="30"/>
  <c r="E332" i="30" s="1"/>
  <c r="AN185" i="14" s="1"/>
  <c r="AD18" i="13" l="1"/>
  <c r="AH17" i="13"/>
  <c r="AI17" i="13" s="1"/>
  <c r="AD11" i="12"/>
  <c r="AF11" i="12"/>
  <c r="AM20" i="14"/>
  <c r="AM125" i="14"/>
  <c r="AM130" i="14"/>
  <c r="AM156" i="14"/>
  <c r="AM178" i="14"/>
  <c r="AM43" i="14"/>
  <c r="AM148" i="14"/>
  <c r="AM61" i="14"/>
  <c r="AM165" i="14"/>
  <c r="AM163" i="14" s="1"/>
  <c r="Z20" i="12"/>
  <c r="AK210" i="14"/>
  <c r="AK199" i="14" s="1"/>
  <c r="O29" i="24"/>
  <c r="I29" i="23" l="1"/>
  <c r="F9" i="24"/>
  <c r="E9" i="23" s="1"/>
  <c r="F22" i="24"/>
  <c r="E22" i="23" s="1"/>
  <c r="F16" i="24"/>
  <c r="E16" i="23" s="1"/>
  <c r="F14" i="24"/>
  <c r="E14" i="23" s="1"/>
  <c r="F13" i="24"/>
  <c r="E13" i="23" s="1"/>
  <c r="F12" i="24"/>
  <c r="E12" i="23" s="1"/>
  <c r="F11" i="24"/>
  <c r="E11" i="23" s="1"/>
  <c r="F10" i="24"/>
  <c r="E10" i="23" s="1"/>
  <c r="Z6" i="12"/>
  <c r="K20" i="12"/>
  <c r="F21" i="24" s="1"/>
  <c r="E21" i="23" s="1"/>
  <c r="K19" i="12"/>
  <c r="F23" i="24" s="1"/>
  <c r="E23" i="23" s="1"/>
  <c r="K11" i="12"/>
  <c r="F17" i="24" s="1"/>
  <c r="E17" i="23" s="1"/>
  <c r="E320" i="30"/>
  <c r="AN38" i="14" l="1"/>
  <c r="O68" i="24"/>
  <c r="I68" i="23" s="1"/>
  <c r="Q27" i="24"/>
  <c r="Q62" i="24"/>
  <c r="Q60" i="24"/>
  <c r="P57" i="24"/>
  <c r="Q52" i="24"/>
  <c r="Q45" i="24"/>
  <c r="Q44" i="24"/>
  <c r="Q43" i="24"/>
  <c r="Q39" i="24"/>
  <c r="O37" i="24"/>
  <c r="I37" i="23" s="1"/>
  <c r="O30" i="24"/>
  <c r="I30" i="23" s="1"/>
  <c r="O34" i="24"/>
  <c r="I34" i="23" s="1"/>
  <c r="Q23" i="24"/>
  <c r="Q22" i="24"/>
  <c r="Q21" i="24"/>
  <c r="Q17" i="24"/>
  <c r="Q16" i="24"/>
  <c r="Q15" i="24"/>
  <c r="Q14" i="24"/>
  <c r="Q12" i="24"/>
  <c r="Q11" i="24"/>
  <c r="Q13" i="24"/>
  <c r="O13" i="24"/>
  <c r="I13" i="23" s="1"/>
  <c r="E119" i="30"/>
  <c r="AN189" i="14" s="1"/>
  <c r="E114" i="30"/>
  <c r="AN188" i="14" s="1"/>
  <c r="E227" i="30"/>
  <c r="E231" i="30" s="1"/>
  <c r="E72" i="30"/>
  <c r="E71" i="30"/>
  <c r="E70" i="30"/>
  <c r="E69" i="30"/>
  <c r="E68" i="30"/>
  <c r="E67" i="30"/>
  <c r="E66" i="30"/>
  <c r="E65" i="30"/>
  <c r="E295" i="30"/>
  <c r="E296" i="30" s="1"/>
  <c r="E301" i="30"/>
  <c r="E302" i="30"/>
  <c r="E303" i="30"/>
  <c r="E304" i="30"/>
  <c r="E305" i="30"/>
  <c r="E306" i="30"/>
  <c r="E307" i="30"/>
  <c r="E60" i="30"/>
  <c r="E61" i="30" s="1"/>
  <c r="E223" i="30"/>
  <c r="E222" i="30"/>
  <c r="E219" i="30"/>
  <c r="E218" i="30"/>
  <c r="E217" i="30"/>
  <c r="E216" i="30"/>
  <c r="E180" i="30"/>
  <c r="E191" i="30" s="1"/>
  <c r="E141" i="30"/>
  <c r="E326" i="30"/>
  <c r="E327" i="30" s="1"/>
  <c r="AN187" i="14" s="1"/>
  <c r="E346" i="30"/>
  <c r="E345" i="30"/>
  <c r="E344" i="30"/>
  <c r="E343" i="30"/>
  <c r="E342" i="30"/>
  <c r="E341" i="30"/>
  <c r="E340" i="30"/>
  <c r="E339" i="30"/>
  <c r="E338" i="30"/>
  <c r="E337" i="30"/>
  <c r="E336" i="30"/>
  <c r="S13" i="24" l="1"/>
  <c r="V13" i="24"/>
  <c r="U13" i="24"/>
  <c r="S15" i="24"/>
  <c r="U15" i="24"/>
  <c r="V15" i="24"/>
  <c r="S22" i="24"/>
  <c r="V22" i="24"/>
  <c r="U22" i="24"/>
  <c r="S11" i="24"/>
  <c r="U11" i="24"/>
  <c r="V11" i="24"/>
  <c r="S16" i="24"/>
  <c r="V16" i="24"/>
  <c r="U16" i="24"/>
  <c r="S23" i="24"/>
  <c r="V23" i="24"/>
  <c r="U23" i="24"/>
  <c r="S12" i="24"/>
  <c r="V12" i="24"/>
  <c r="U12" i="24"/>
  <c r="S17" i="24"/>
  <c r="U17" i="24"/>
  <c r="V17" i="24"/>
  <c r="S14" i="24"/>
  <c r="U14" i="24"/>
  <c r="V14" i="24"/>
  <c r="S21" i="24"/>
  <c r="V21" i="24"/>
  <c r="U21" i="24"/>
  <c r="S39" i="24"/>
  <c r="V39" i="24"/>
  <c r="U39" i="24"/>
  <c r="S45" i="24"/>
  <c r="V45" i="24"/>
  <c r="U45" i="24"/>
  <c r="S43" i="24"/>
  <c r="U43" i="24"/>
  <c r="V43" i="24"/>
  <c r="S44" i="24"/>
  <c r="U44" i="24"/>
  <c r="V44" i="24"/>
  <c r="S52" i="24"/>
  <c r="U52" i="24"/>
  <c r="V52" i="24"/>
  <c r="S27" i="24"/>
  <c r="U27" i="24"/>
  <c r="V27" i="24"/>
  <c r="U62" i="24"/>
  <c r="V62" i="24"/>
  <c r="U60" i="24"/>
  <c r="V60" i="24"/>
  <c r="E78" i="30"/>
  <c r="K16" i="23"/>
  <c r="L16" i="23" s="1"/>
  <c r="K12" i="23"/>
  <c r="L12" i="23" s="1"/>
  <c r="K17" i="23"/>
  <c r="L17" i="23" s="1"/>
  <c r="K43" i="23"/>
  <c r="L43" i="23" s="1"/>
  <c r="K14" i="23"/>
  <c r="L14" i="23" s="1"/>
  <c r="K44" i="23"/>
  <c r="L44" i="23" s="1"/>
  <c r="K23" i="23"/>
  <c r="L23" i="23" s="1"/>
  <c r="K27" i="23"/>
  <c r="L27" i="23" s="1"/>
  <c r="L13" i="23"/>
  <c r="K15" i="23"/>
  <c r="L15" i="23" s="1"/>
  <c r="K22" i="23"/>
  <c r="L22" i="23" s="1"/>
  <c r="K45" i="23"/>
  <c r="L45" i="23" s="1"/>
  <c r="E224" i="30"/>
  <c r="E347" i="30"/>
  <c r="AN184" i="14" s="1"/>
  <c r="E316" i="30" l="1"/>
  <c r="E315" i="30"/>
  <c r="E314" i="30"/>
  <c r="E311" i="30"/>
  <c r="E252" i="30"/>
  <c r="E251" i="30"/>
  <c r="E257" i="30"/>
  <c r="E256" i="30"/>
  <c r="E310" i="30"/>
  <c r="E309" i="30"/>
  <c r="E253" i="30"/>
  <c r="E308" i="30"/>
  <c r="E250" i="30"/>
  <c r="E249" i="30"/>
  <c r="E248" i="30"/>
  <c r="E247" i="30"/>
  <c r="E246" i="30"/>
  <c r="E245" i="30"/>
  <c r="E318" i="30"/>
  <c r="E244" i="30"/>
  <c r="E243" i="30"/>
  <c r="E242" i="30"/>
  <c r="E239" i="30"/>
  <c r="E238" i="30"/>
  <c r="E255" i="30"/>
  <c r="E254" i="30"/>
  <c r="E237" i="30"/>
  <c r="E236" i="30"/>
  <c r="E134" i="30"/>
  <c r="E132" i="30"/>
  <c r="E131" i="30"/>
  <c r="E130" i="30"/>
  <c r="E129" i="30"/>
  <c r="E128" i="30"/>
  <c r="E127" i="30"/>
  <c r="E126" i="30"/>
  <c r="E125" i="30"/>
  <c r="E124" i="30"/>
  <c r="E123" i="30"/>
  <c r="E87" i="30"/>
  <c r="E104" i="30"/>
  <c r="E103" i="30"/>
  <c r="E102" i="30"/>
  <c r="E101" i="30"/>
  <c r="E86" i="30"/>
  <c r="E85" i="30"/>
  <c r="E84" i="30"/>
  <c r="E83" i="30"/>
  <c r="E286" i="30" l="1"/>
  <c r="E240" i="30"/>
  <c r="E321" i="30"/>
  <c r="E145" i="30"/>
  <c r="E232" i="30" s="1"/>
  <c r="AN180" i="14" s="1"/>
  <c r="E105" i="30"/>
  <c r="E92" i="30"/>
  <c r="E97" i="30" s="1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E5" i="30"/>
  <c r="E322" i="30" l="1"/>
  <c r="AN186" i="14"/>
  <c r="E106" i="30"/>
  <c r="AN179" i="14" s="1"/>
  <c r="E39" i="30"/>
  <c r="E79" i="30" s="1"/>
  <c r="AN182" i="14" s="1"/>
  <c r="AN178" i="14" l="1"/>
  <c r="AN27" i="14"/>
  <c r="AN20" i="14"/>
  <c r="AJ70" i="14"/>
  <c r="AS178" i="14" l="1"/>
  <c r="AB10" i="13"/>
  <c r="Q54" i="24"/>
  <c r="AP178" i="14"/>
  <c r="AN17" i="14"/>
  <c r="V54" i="24" l="1"/>
  <c r="U54" i="24"/>
  <c r="AS17" i="14"/>
  <c r="AB7" i="13"/>
  <c r="S54" i="24"/>
  <c r="Q48" i="24"/>
  <c r="AP17" i="14"/>
  <c r="E22" i="33"/>
  <c r="U48" i="24" l="1"/>
  <c r="V48" i="24"/>
  <c r="K48" i="23"/>
  <c r="L48" i="23" s="1"/>
  <c r="S48" i="24"/>
  <c r="AN206" i="14"/>
  <c r="AN199" i="14" s="1"/>
  <c r="AB21" i="12"/>
  <c r="AF21" i="12" s="1"/>
  <c r="E7" i="33"/>
  <c r="E6" i="33"/>
  <c r="F6" i="33" s="1"/>
  <c r="G6" i="33" s="1"/>
  <c r="E4" i="33"/>
  <c r="E33" i="33"/>
  <c r="E5" i="33"/>
  <c r="AF7" i="14"/>
  <c r="AJ7" i="14" s="1"/>
  <c r="AN7" i="14" s="1"/>
  <c r="Q34" i="24" s="1"/>
  <c r="AF8" i="14"/>
  <c r="AJ8" i="14" s="1"/>
  <c r="AF9" i="14"/>
  <c r="AJ9" i="14" s="1"/>
  <c r="AF10" i="14"/>
  <c r="AJ10" i="14" s="1"/>
  <c r="Q32" i="24" s="1"/>
  <c r="AF11" i="14"/>
  <c r="AJ11" i="14" s="1"/>
  <c r="AN11" i="14" s="1"/>
  <c r="AF12" i="14"/>
  <c r="AF13" i="14"/>
  <c r="K33" i="24" s="1"/>
  <c r="AF14" i="14"/>
  <c r="AJ14" i="14" s="1"/>
  <c r="AN14" i="14" s="1"/>
  <c r="AF15" i="14"/>
  <c r="AJ15" i="14" s="1"/>
  <c r="AN15" i="14" s="1"/>
  <c r="AF16" i="14"/>
  <c r="AJ16" i="14" s="1"/>
  <c r="AN16" i="14" s="1"/>
  <c r="AF18" i="14"/>
  <c r="AF19" i="14"/>
  <c r="AJ19" i="14" s="1"/>
  <c r="AF21" i="14"/>
  <c r="AJ21" i="14" s="1"/>
  <c r="AF22" i="14"/>
  <c r="AJ22" i="14" s="1"/>
  <c r="AF23" i="14"/>
  <c r="AJ23" i="14" s="1"/>
  <c r="AF24" i="14"/>
  <c r="AJ24" i="14" s="1"/>
  <c r="AF25" i="14"/>
  <c r="AJ25" i="14" s="1"/>
  <c r="AF28" i="14"/>
  <c r="AJ28" i="14" s="1"/>
  <c r="AF29" i="14"/>
  <c r="AJ29" i="14" s="1"/>
  <c r="AF30" i="14"/>
  <c r="AJ30" i="14" s="1"/>
  <c r="AF31" i="14"/>
  <c r="AJ31" i="14" s="1"/>
  <c r="AF33" i="14"/>
  <c r="AJ33" i="14" s="1"/>
  <c r="AF34" i="14"/>
  <c r="AJ34" i="14" s="1"/>
  <c r="AF35" i="14"/>
  <c r="AJ35" i="14" s="1"/>
  <c r="AF36" i="14"/>
  <c r="AJ36" i="14" s="1"/>
  <c r="AF37" i="14"/>
  <c r="AJ37" i="14" s="1"/>
  <c r="AF38" i="14"/>
  <c r="AJ38" i="14" s="1"/>
  <c r="AF39" i="14"/>
  <c r="AJ39" i="14" s="1"/>
  <c r="AF40" i="14"/>
  <c r="AJ40" i="14" s="1"/>
  <c r="AF41" i="14"/>
  <c r="AJ41" i="14" s="1"/>
  <c r="AJ42" i="14"/>
  <c r="AF49" i="14"/>
  <c r="AJ49" i="14" s="1"/>
  <c r="AF43" i="14"/>
  <c r="AJ43" i="14" s="1"/>
  <c r="AF44" i="14"/>
  <c r="AJ44" i="14" s="1"/>
  <c r="AF45" i="14"/>
  <c r="AJ45" i="14" s="1"/>
  <c r="AF46" i="14"/>
  <c r="AJ46" i="14" s="1"/>
  <c r="AF47" i="14"/>
  <c r="AJ47" i="14" s="1"/>
  <c r="AF50" i="14"/>
  <c r="AJ50" i="14" s="1"/>
  <c r="AF51" i="14"/>
  <c r="AJ51" i="14" s="1"/>
  <c r="AF52" i="14"/>
  <c r="AJ52" i="14" s="1"/>
  <c r="AF53" i="14"/>
  <c r="AJ53" i="14" s="1"/>
  <c r="AF54" i="14"/>
  <c r="AJ54" i="14" s="1"/>
  <c r="AF58" i="14"/>
  <c r="AJ58" i="14" s="1"/>
  <c r="AF59" i="14"/>
  <c r="AJ59" i="14" s="1"/>
  <c r="AF60" i="14"/>
  <c r="AJ60" i="14" s="1"/>
  <c r="AF61" i="14"/>
  <c r="AJ61" i="14" s="1"/>
  <c r="AF87" i="14"/>
  <c r="AJ87" i="14" s="1"/>
  <c r="AF89" i="14"/>
  <c r="AJ89" i="14" s="1"/>
  <c r="AF63" i="14"/>
  <c r="AJ63" i="14" s="1"/>
  <c r="AJ103" i="14"/>
  <c r="AF104" i="14"/>
  <c r="AJ104" i="14" s="1"/>
  <c r="AF91" i="14"/>
  <c r="AJ91" i="14" s="1"/>
  <c r="AJ55" i="14"/>
  <c r="AF112" i="14"/>
  <c r="AJ112" i="14" s="1"/>
  <c r="AF92" i="14"/>
  <c r="AJ92" i="14" s="1"/>
  <c r="AF93" i="14"/>
  <c r="AJ93" i="14" s="1"/>
  <c r="AF32" i="14"/>
  <c r="AJ32" i="14" s="1"/>
  <c r="AF113" i="14"/>
  <c r="AJ113" i="14" s="1"/>
  <c r="AF64" i="14"/>
  <c r="AJ64" i="14" s="1"/>
  <c r="AF65" i="14"/>
  <c r="AJ65" i="14" s="1"/>
  <c r="AF106" i="14"/>
  <c r="AJ106" i="14" s="1"/>
  <c r="AF107" i="14"/>
  <c r="AJ107" i="14" s="1"/>
  <c r="AJ114" i="14"/>
  <c r="AJ66" i="14"/>
  <c r="AJ67" i="14"/>
  <c r="AJ68" i="14"/>
  <c r="AJ69" i="14"/>
  <c r="AJ72" i="14"/>
  <c r="AJ73" i="14"/>
  <c r="AJ117" i="14"/>
  <c r="AJ71" i="14"/>
  <c r="AJ118" i="14"/>
  <c r="AJ119" i="14"/>
  <c r="AJ120" i="14"/>
  <c r="AJ121" i="14"/>
  <c r="AF126" i="14"/>
  <c r="AJ126" i="14" s="1"/>
  <c r="AF127" i="14"/>
  <c r="AJ127" i="14" s="1"/>
  <c r="AN127" i="14" s="1"/>
  <c r="AF128" i="14"/>
  <c r="AJ128" i="14" s="1"/>
  <c r="AN128" i="14" s="1"/>
  <c r="AU128" i="14" s="1"/>
  <c r="AF129" i="14"/>
  <c r="AJ129" i="14" s="1"/>
  <c r="AN129" i="14" s="1"/>
  <c r="AU129" i="14" s="1"/>
  <c r="AF131" i="14"/>
  <c r="AJ131" i="14" s="1"/>
  <c r="AF132" i="14"/>
  <c r="AJ132" i="14" s="1"/>
  <c r="AN132" i="14" s="1"/>
  <c r="AU132" i="14" s="1"/>
  <c r="AF133" i="14"/>
  <c r="AJ133" i="14" s="1"/>
  <c r="AN133" i="14" s="1"/>
  <c r="AU133" i="14" s="1"/>
  <c r="AF134" i="14"/>
  <c r="AJ134" i="14" s="1"/>
  <c r="AN134" i="14" s="1"/>
  <c r="AU134" i="14" s="1"/>
  <c r="T36" i="24" s="1"/>
  <c r="J36" i="23" s="1"/>
  <c r="AF136" i="14"/>
  <c r="AJ136" i="14" s="1"/>
  <c r="AN136" i="14" s="1"/>
  <c r="AJ142" i="14"/>
  <c r="AN142" i="14" s="1"/>
  <c r="AJ143" i="14"/>
  <c r="AN143" i="14" s="1"/>
  <c r="AF144" i="14"/>
  <c r="AN147" i="14"/>
  <c r="Q42" i="24" s="1"/>
  <c r="AN156" i="14"/>
  <c r="AN219" i="14"/>
  <c r="E44" i="33"/>
  <c r="E36" i="33"/>
  <c r="E37" i="33"/>
  <c r="E20" i="33"/>
  <c r="E38" i="33"/>
  <c r="D39" i="33"/>
  <c r="E39" i="33" s="1"/>
  <c r="E21" i="33"/>
  <c r="E19" i="33"/>
  <c r="E18" i="33"/>
  <c r="E35" i="33"/>
  <c r="E34" i="33"/>
  <c r="E17" i="33"/>
  <c r="E29" i="33"/>
  <c r="AN198" i="14" s="1"/>
  <c r="E27" i="33"/>
  <c r="E28" i="33"/>
  <c r="E8" i="33"/>
  <c r="E9" i="33"/>
  <c r="E10" i="33"/>
  <c r="E11" i="33"/>
  <c r="E12" i="33"/>
  <c r="E41" i="33"/>
  <c r="E13" i="33"/>
  <c r="E14" i="33"/>
  <c r="E15" i="33"/>
  <c r="E16" i="33"/>
  <c r="E4" i="29"/>
  <c r="E5" i="29"/>
  <c r="E6" i="29"/>
  <c r="E7" i="29"/>
  <c r="E8" i="29"/>
  <c r="E9" i="29"/>
  <c r="AB16" i="13"/>
  <c r="AF16" i="13" s="1"/>
  <c r="AB14" i="13"/>
  <c r="H44" i="32"/>
  <c r="AA16" i="13"/>
  <c r="AK219" i="14"/>
  <c r="Z14" i="13"/>
  <c r="O62" i="24"/>
  <c r="I62" i="23" s="1"/>
  <c r="O60" i="24"/>
  <c r="O58" i="24"/>
  <c r="I58" i="23" s="1"/>
  <c r="O57" i="24"/>
  <c r="I57" i="23" s="1"/>
  <c r="O52" i="24"/>
  <c r="O45" i="24"/>
  <c r="O44" i="24"/>
  <c r="O43" i="24"/>
  <c r="O42" i="24"/>
  <c r="I42" i="23" s="1"/>
  <c r="O39" i="24"/>
  <c r="O36" i="24"/>
  <c r="I36" i="23" s="1"/>
  <c r="O33" i="24"/>
  <c r="I33" i="23" s="1"/>
  <c r="O32" i="24"/>
  <c r="I32" i="23" s="1"/>
  <c r="Q10" i="24"/>
  <c r="Q9" i="24"/>
  <c r="O23" i="24"/>
  <c r="O22" i="24"/>
  <c r="O17" i="24"/>
  <c r="O16" i="24"/>
  <c r="O14" i="24"/>
  <c r="O12" i="24"/>
  <c r="O11" i="24"/>
  <c r="O10" i="24"/>
  <c r="I10" i="23" s="1"/>
  <c r="O9" i="24"/>
  <c r="I9" i="23" s="1"/>
  <c r="AM147" i="14"/>
  <c r="AM141" i="14"/>
  <c r="AK195" i="14"/>
  <c r="Z11" i="13" s="1"/>
  <c r="AK178" i="14"/>
  <c r="AK163" i="14"/>
  <c r="AK156" i="14"/>
  <c r="AK130" i="14"/>
  <c r="Z12" i="13" s="1"/>
  <c r="AK125" i="14"/>
  <c r="Z8" i="13" s="1"/>
  <c r="AK27" i="14"/>
  <c r="AK20" i="14"/>
  <c r="AK6" i="14"/>
  <c r="Z16" i="13"/>
  <c r="Z13" i="13"/>
  <c r="Z5" i="13"/>
  <c r="O27" i="24" s="1"/>
  <c r="AH218" i="14"/>
  <c r="AH4" i="14"/>
  <c r="AG4" i="14"/>
  <c r="AA13" i="12"/>
  <c r="O21" i="24"/>
  <c r="O15" i="24"/>
  <c r="AA14" i="12"/>
  <c r="Y20" i="12"/>
  <c r="AA20" i="12" s="1"/>
  <c r="O54" i="4"/>
  <c r="I76" i="23"/>
  <c r="I72" i="23"/>
  <c r="L77" i="24"/>
  <c r="K77" i="24"/>
  <c r="H77" i="23" s="1"/>
  <c r="N77" i="24"/>
  <c r="M72" i="24"/>
  <c r="M75" i="24"/>
  <c r="I19" i="23"/>
  <c r="I20" i="23"/>
  <c r="N78" i="24"/>
  <c r="AJ179" i="14"/>
  <c r="E382" i="32"/>
  <c r="E381" i="32"/>
  <c r="E380" i="32"/>
  <c r="E377" i="32"/>
  <c r="E371" i="32"/>
  <c r="E370" i="32"/>
  <c r="E369" i="32"/>
  <c r="E368" i="32"/>
  <c r="E366" i="32"/>
  <c r="E365" i="32"/>
  <c r="E363" i="32"/>
  <c r="E362" i="32"/>
  <c r="E361" i="32"/>
  <c r="E360" i="32"/>
  <c r="E359" i="32"/>
  <c r="E358" i="32"/>
  <c r="E357" i="32"/>
  <c r="E356" i="32"/>
  <c r="E354" i="32"/>
  <c r="E353" i="32"/>
  <c r="E352" i="32"/>
  <c r="E351" i="32"/>
  <c r="E350" i="32"/>
  <c r="E349" i="32"/>
  <c r="E347" i="32"/>
  <c r="E346" i="32"/>
  <c r="E345" i="32"/>
  <c r="E344" i="32"/>
  <c r="E343" i="32"/>
  <c r="E342" i="32"/>
  <c r="E341" i="32"/>
  <c r="E340" i="32"/>
  <c r="E339" i="32"/>
  <c r="E337" i="32"/>
  <c r="E336" i="32"/>
  <c r="E335" i="32"/>
  <c r="E334" i="32"/>
  <c r="E333" i="32"/>
  <c r="E332" i="32"/>
  <c r="E331" i="32"/>
  <c r="E330" i="32"/>
  <c r="E329" i="32"/>
  <c r="E328" i="32"/>
  <c r="E327" i="32"/>
  <c r="E326" i="32"/>
  <c r="E325" i="32"/>
  <c r="E324" i="32"/>
  <c r="E323" i="32"/>
  <c r="E322" i="32"/>
  <c r="E321" i="32"/>
  <c r="E320" i="32"/>
  <c r="E319" i="32"/>
  <c r="E318" i="32"/>
  <c r="E315" i="32"/>
  <c r="E314" i="32"/>
  <c r="E313" i="32"/>
  <c r="E312" i="32"/>
  <c r="E311" i="32"/>
  <c r="E306" i="32"/>
  <c r="E305" i="32"/>
  <c r="E304" i="32"/>
  <c r="E303" i="32"/>
  <c r="E302" i="32"/>
  <c r="E301" i="32"/>
  <c r="E300" i="32"/>
  <c r="E299" i="32"/>
  <c r="E298" i="32"/>
  <c r="E297" i="32"/>
  <c r="E296" i="32"/>
  <c r="E295" i="32"/>
  <c r="D294" i="32"/>
  <c r="E293" i="32"/>
  <c r="E292" i="32"/>
  <c r="E291" i="32"/>
  <c r="E290" i="32"/>
  <c r="E289" i="32"/>
  <c r="E288" i="32"/>
  <c r="E287" i="32"/>
  <c r="E281" i="32"/>
  <c r="E278" i="32"/>
  <c r="E274" i="32"/>
  <c r="AJ165" i="14" s="1"/>
  <c r="AN165" i="14" s="1"/>
  <c r="AN163" i="14" s="1"/>
  <c r="Q41" i="24" s="1"/>
  <c r="E266" i="32"/>
  <c r="E265" i="32"/>
  <c r="E264" i="32"/>
  <c r="E263" i="32"/>
  <c r="E262" i="32"/>
  <c r="E261" i="32"/>
  <c r="E260" i="32"/>
  <c r="E259" i="32"/>
  <c r="E258" i="32"/>
  <c r="E257" i="32"/>
  <c r="E256" i="32"/>
  <c r="E253" i="32"/>
  <c r="E252" i="32"/>
  <c r="E251" i="32"/>
  <c r="E250" i="32"/>
  <c r="E249" i="32"/>
  <c r="E248" i="32"/>
  <c r="E247" i="32"/>
  <c r="E246" i="32"/>
  <c r="E245" i="32"/>
  <c r="E244" i="32"/>
  <c r="E243" i="32"/>
  <c r="E242" i="32"/>
  <c r="E241" i="32"/>
  <c r="E240" i="32"/>
  <c r="E239" i="32"/>
  <c r="E238" i="32"/>
  <c r="E237" i="32"/>
  <c r="E236" i="32"/>
  <c r="E235" i="32"/>
  <c r="E234" i="32"/>
  <c r="E233" i="32"/>
  <c r="E232" i="32"/>
  <c r="E231" i="32"/>
  <c r="E230" i="32"/>
  <c r="E229" i="32"/>
  <c r="E228" i="32"/>
  <c r="E227" i="32"/>
  <c r="E226" i="32"/>
  <c r="E225" i="32"/>
  <c r="E224" i="32"/>
  <c r="E223" i="32"/>
  <c r="E222" i="32"/>
  <c r="E221" i="32"/>
  <c r="E220" i="32"/>
  <c r="E219" i="32"/>
  <c r="E218" i="32"/>
  <c r="E217" i="32"/>
  <c r="E216" i="32"/>
  <c r="E215" i="32"/>
  <c r="E214" i="32"/>
  <c r="E213" i="32"/>
  <c r="E212" i="32"/>
  <c r="E211" i="32"/>
  <c r="E210" i="32"/>
  <c r="E209" i="32"/>
  <c r="E208" i="32"/>
  <c r="E207" i="32"/>
  <c r="E206" i="32"/>
  <c r="E205" i="32"/>
  <c r="E204" i="32"/>
  <c r="E203" i="32"/>
  <c r="E202" i="32"/>
  <c r="E201" i="32"/>
  <c r="E200" i="32"/>
  <c r="E199" i="32"/>
  <c r="E198" i="32"/>
  <c r="E197" i="32"/>
  <c r="E196" i="32"/>
  <c r="E195" i="32"/>
  <c r="E194" i="32"/>
  <c r="E193" i="32"/>
  <c r="E192" i="32"/>
  <c r="E191" i="32"/>
  <c r="E190" i="32"/>
  <c r="E189" i="32"/>
  <c r="E188" i="32"/>
  <c r="E187" i="32"/>
  <c r="E186" i="32"/>
  <c r="E185" i="32"/>
  <c r="E184" i="32"/>
  <c r="E183" i="32"/>
  <c r="E182" i="32"/>
  <c r="E181" i="32"/>
  <c r="E180" i="32"/>
  <c r="E179" i="32"/>
  <c r="E178" i="32"/>
  <c r="E176" i="32"/>
  <c r="E174" i="32"/>
  <c r="E172" i="32"/>
  <c r="E162" i="32"/>
  <c r="E161" i="32"/>
  <c r="E160" i="32"/>
  <c r="E159" i="32"/>
  <c r="E158" i="32"/>
  <c r="E157" i="32"/>
  <c r="E156" i="32"/>
  <c r="E155" i="32"/>
  <c r="E154" i="32"/>
  <c r="E153" i="32"/>
  <c r="E152" i="32"/>
  <c r="E151" i="32"/>
  <c r="E150" i="32"/>
  <c r="E149" i="32"/>
  <c r="E148" i="32"/>
  <c r="E147" i="32"/>
  <c r="E146" i="32"/>
  <c r="E145" i="32"/>
  <c r="E144" i="32"/>
  <c r="E119" i="32"/>
  <c r="E118" i="32"/>
  <c r="E117" i="32"/>
  <c r="E116" i="32"/>
  <c r="E115" i="32"/>
  <c r="E114" i="32"/>
  <c r="E113" i="32"/>
  <c r="E112" i="32"/>
  <c r="E110" i="32"/>
  <c r="E111" i="32"/>
  <c r="E108" i="32"/>
  <c r="E107" i="32"/>
  <c r="E106" i="32"/>
  <c r="E104" i="32"/>
  <c r="E103" i="32"/>
  <c r="E102" i="32"/>
  <c r="E101" i="32"/>
  <c r="E100" i="32"/>
  <c r="E99" i="32"/>
  <c r="E98" i="32"/>
  <c r="E97" i="32"/>
  <c r="E96" i="32"/>
  <c r="E95" i="32"/>
  <c r="E94" i="32"/>
  <c r="E93" i="32"/>
  <c r="E92" i="32"/>
  <c r="E91" i="32"/>
  <c r="E90" i="32"/>
  <c r="E89" i="32"/>
  <c r="D88" i="32"/>
  <c r="E86" i="32"/>
  <c r="E85" i="32"/>
  <c r="E84" i="32"/>
  <c r="E83" i="32"/>
  <c r="E82" i="32"/>
  <c r="E81" i="32"/>
  <c r="E80" i="32"/>
  <c r="E79" i="32"/>
  <c r="E78" i="32"/>
  <c r="E77" i="32"/>
  <c r="E76" i="32"/>
  <c r="E75" i="32"/>
  <c r="E74" i="32"/>
  <c r="E73" i="32"/>
  <c r="E72" i="32"/>
  <c r="E71" i="32"/>
  <c r="E70" i="32"/>
  <c r="E69" i="32"/>
  <c r="E68" i="32"/>
  <c r="E67" i="32"/>
  <c r="E66" i="32"/>
  <c r="E65" i="32"/>
  <c r="E64" i="32"/>
  <c r="E63" i="32"/>
  <c r="E62" i="32"/>
  <c r="E61" i="32"/>
  <c r="E60" i="32"/>
  <c r="E59" i="32"/>
  <c r="E58" i="32"/>
  <c r="E57" i="32"/>
  <c r="E56" i="32"/>
  <c r="E55" i="32"/>
  <c r="E54" i="32"/>
  <c r="E53" i="32"/>
  <c r="E52" i="32"/>
  <c r="E51" i="32"/>
  <c r="E50" i="32"/>
  <c r="E49" i="32"/>
  <c r="E48" i="32"/>
  <c r="E47" i="32"/>
  <c r="E46" i="32"/>
  <c r="E45" i="32"/>
  <c r="E44" i="32"/>
  <c r="E43" i="32"/>
  <c r="E42" i="32"/>
  <c r="E41" i="32"/>
  <c r="E40" i="32"/>
  <c r="E39" i="32"/>
  <c r="E38" i="32"/>
  <c r="E37" i="32"/>
  <c r="E36" i="32"/>
  <c r="E35" i="32"/>
  <c r="E34" i="32"/>
  <c r="E32" i="32"/>
  <c r="E31" i="32"/>
  <c r="E30" i="32"/>
  <c r="E29" i="32"/>
  <c r="E28" i="32"/>
  <c r="E27" i="32"/>
  <c r="E26" i="32"/>
  <c r="E25" i="32"/>
  <c r="E24" i="32"/>
  <c r="E23" i="32"/>
  <c r="E22" i="32"/>
  <c r="E21" i="32"/>
  <c r="E20" i="32"/>
  <c r="E19" i="32"/>
  <c r="E17" i="32"/>
  <c r="E16" i="32"/>
  <c r="E14" i="32"/>
  <c r="E12" i="32"/>
  <c r="E11" i="32"/>
  <c r="E10" i="32"/>
  <c r="E9" i="32"/>
  <c r="E8" i="32"/>
  <c r="E6" i="32"/>
  <c r="E5" i="32"/>
  <c r="E4" i="32"/>
  <c r="E3" i="32"/>
  <c r="E415" i="25"/>
  <c r="AJ155" i="14"/>
  <c r="N39" i="24" s="1"/>
  <c r="L60" i="24"/>
  <c r="L57" i="24"/>
  <c r="L52" i="24"/>
  <c r="M33" i="24"/>
  <c r="M29" i="24"/>
  <c r="L44" i="24"/>
  <c r="L45" i="24"/>
  <c r="L43" i="24"/>
  <c r="L42" i="24"/>
  <c r="L39" i="24"/>
  <c r="N29" i="24"/>
  <c r="L34" i="24"/>
  <c r="L36" i="24"/>
  <c r="L37" i="24"/>
  <c r="L33" i="24"/>
  <c r="L32" i="24"/>
  <c r="L30" i="24"/>
  <c r="L27" i="24"/>
  <c r="N15" i="24"/>
  <c r="L23" i="24"/>
  <c r="L22" i="24"/>
  <c r="L21" i="24"/>
  <c r="L17" i="24"/>
  <c r="L16" i="24"/>
  <c r="L15" i="24"/>
  <c r="L14" i="24"/>
  <c r="L13" i="24"/>
  <c r="L12" i="24"/>
  <c r="L11" i="24"/>
  <c r="L9" i="24"/>
  <c r="L10" i="24"/>
  <c r="P6" i="24"/>
  <c r="AJ218" i="14"/>
  <c r="Y14" i="13" s="1"/>
  <c r="AJ201" i="14"/>
  <c r="AJ202" i="14"/>
  <c r="AJ203" i="14"/>
  <c r="AJ204" i="14"/>
  <c r="AJ207" i="14"/>
  <c r="AJ208" i="14"/>
  <c r="AJ209" i="14"/>
  <c r="AJ211" i="14"/>
  <c r="AJ212" i="14"/>
  <c r="AJ213" i="14"/>
  <c r="AJ214" i="14"/>
  <c r="AJ215" i="14"/>
  <c r="AJ216" i="14"/>
  <c r="AJ200" i="14"/>
  <c r="AJ189" i="14"/>
  <c r="AJ191" i="14"/>
  <c r="AJ194" i="14"/>
  <c r="AJ177" i="14"/>
  <c r="AJ166" i="14"/>
  <c r="AJ167" i="14"/>
  <c r="AJ168" i="14"/>
  <c r="AJ164" i="14"/>
  <c r="AJ158" i="14"/>
  <c r="N44" i="24" s="1"/>
  <c r="E37" i="29"/>
  <c r="Y16" i="12"/>
  <c r="N16" i="24" s="1"/>
  <c r="Y17" i="12"/>
  <c r="AA17" i="12" s="1"/>
  <c r="Y19" i="12"/>
  <c r="N23" i="24" s="1"/>
  <c r="Y15" i="12"/>
  <c r="AA15" i="12" s="1"/>
  <c r="Y8" i="12"/>
  <c r="AA8" i="12" s="1"/>
  <c r="Y9" i="12"/>
  <c r="Y10" i="12"/>
  <c r="AA10" i="12" s="1"/>
  <c r="Y11" i="12"/>
  <c r="AA11" i="12" s="1"/>
  <c r="Y12" i="12"/>
  <c r="Y5" i="12"/>
  <c r="AA5" i="12" s="1"/>
  <c r="E49" i="29"/>
  <c r="E31" i="29"/>
  <c r="E33" i="29" s="1"/>
  <c r="AJ197" i="14" s="1"/>
  <c r="N57" i="24" s="1"/>
  <c r="E32" i="29"/>
  <c r="A24" i="29"/>
  <c r="D33" i="29" s="1"/>
  <c r="AI225" i="14"/>
  <c r="AG6" i="14"/>
  <c r="V6" i="13" s="1"/>
  <c r="AG20" i="14"/>
  <c r="AG27" i="14"/>
  <c r="AG125" i="14"/>
  <c r="V8" i="13" s="1"/>
  <c r="AG130" i="14"/>
  <c r="V12" i="13" s="1"/>
  <c r="AG163" i="14"/>
  <c r="L41" i="24" s="1"/>
  <c r="AG178" i="14"/>
  <c r="L54" i="24" s="1"/>
  <c r="AG195" i="14"/>
  <c r="V11" i="13" s="1"/>
  <c r="V21" i="12"/>
  <c r="V22" i="12" s="1"/>
  <c r="V16" i="13"/>
  <c r="V15" i="13"/>
  <c r="V14" i="13"/>
  <c r="V13" i="13"/>
  <c r="V5" i="13"/>
  <c r="X6" i="12"/>
  <c r="X8" i="12"/>
  <c r="X9" i="12"/>
  <c r="X10" i="12"/>
  <c r="X11" i="12"/>
  <c r="X12" i="12"/>
  <c r="X13" i="12"/>
  <c r="X14" i="12"/>
  <c r="X15" i="12"/>
  <c r="X16" i="12"/>
  <c r="X17" i="12"/>
  <c r="X19" i="12"/>
  <c r="X20" i="12"/>
  <c r="X5" i="12"/>
  <c r="N13" i="24"/>
  <c r="V3" i="13"/>
  <c r="V3" i="12"/>
  <c r="Y44" i="13"/>
  <c r="Y45" i="13"/>
  <c r="Y46" i="13"/>
  <c r="Y47" i="13"/>
  <c r="Y43" i="13"/>
  <c r="I156" i="14"/>
  <c r="E449" i="25"/>
  <c r="E107" i="25"/>
  <c r="E453" i="25"/>
  <c r="E456" i="25"/>
  <c r="E441" i="25"/>
  <c r="E440" i="25"/>
  <c r="E439" i="25"/>
  <c r="E166" i="25"/>
  <c r="E167" i="25"/>
  <c r="E168" i="25"/>
  <c r="E169" i="25"/>
  <c r="E170" i="25"/>
  <c r="E171" i="25"/>
  <c r="E172" i="25"/>
  <c r="E173" i="25"/>
  <c r="E174" i="25"/>
  <c r="E175" i="25"/>
  <c r="E176" i="25"/>
  <c r="E177" i="25"/>
  <c r="E178" i="25"/>
  <c r="E179" i="25"/>
  <c r="E180" i="25"/>
  <c r="E181" i="25"/>
  <c r="E182" i="25"/>
  <c r="E183" i="25"/>
  <c r="E184" i="25"/>
  <c r="E185" i="25"/>
  <c r="E186" i="25"/>
  <c r="E187" i="25"/>
  <c r="E188" i="25"/>
  <c r="E189" i="25"/>
  <c r="E190" i="25"/>
  <c r="E165" i="25"/>
  <c r="E164" i="25"/>
  <c r="E163" i="25"/>
  <c r="E161" i="25"/>
  <c r="E148" i="25"/>
  <c r="H75" i="23"/>
  <c r="H72" i="23"/>
  <c r="H56" i="23"/>
  <c r="H53" i="23"/>
  <c r="H49" i="23"/>
  <c r="H28" i="23"/>
  <c r="H29" i="23"/>
  <c r="H31" i="23"/>
  <c r="H20" i="23"/>
  <c r="H19" i="23"/>
  <c r="S23" i="12"/>
  <c r="T18" i="12"/>
  <c r="K10" i="24" s="1"/>
  <c r="H10" i="23" s="1"/>
  <c r="U18" i="12"/>
  <c r="U21" i="12" s="1"/>
  <c r="K78" i="24"/>
  <c r="I34" i="24"/>
  <c r="J62" i="24"/>
  <c r="I60" i="24"/>
  <c r="K44" i="24"/>
  <c r="H44" i="23" s="1"/>
  <c r="K39" i="24"/>
  <c r="K23" i="24"/>
  <c r="H23" i="23" s="1"/>
  <c r="K22" i="24"/>
  <c r="K21" i="24"/>
  <c r="H21" i="23" s="1"/>
  <c r="K17" i="24"/>
  <c r="H17" i="23" s="1"/>
  <c r="K16" i="24"/>
  <c r="H16" i="23" s="1"/>
  <c r="K15" i="24"/>
  <c r="H15" i="23" s="1"/>
  <c r="K14" i="24"/>
  <c r="H14" i="23" s="1"/>
  <c r="K13" i="24"/>
  <c r="H13" i="23" s="1"/>
  <c r="K12" i="24"/>
  <c r="K11" i="24"/>
  <c r="K9" i="24"/>
  <c r="H9" i="23" s="1"/>
  <c r="I45" i="24"/>
  <c r="I44" i="24"/>
  <c r="I43" i="24"/>
  <c r="I39" i="24"/>
  <c r="I37" i="24"/>
  <c r="I36" i="24"/>
  <c r="I30" i="24"/>
  <c r="I32" i="24"/>
  <c r="D48" i="29"/>
  <c r="E48" i="29" s="1"/>
  <c r="E45" i="29"/>
  <c r="E23" i="29"/>
  <c r="E46" i="29"/>
  <c r="E51" i="29"/>
  <c r="E47" i="29"/>
  <c r="E44" i="29"/>
  <c r="AF170" i="14"/>
  <c r="AJ170" i="14" s="1"/>
  <c r="AF171" i="14"/>
  <c r="AJ171" i="14" s="1"/>
  <c r="AF172" i="14"/>
  <c r="AJ172" i="14" s="1"/>
  <c r="AF173" i="14"/>
  <c r="AJ173" i="14" s="1"/>
  <c r="AF174" i="14"/>
  <c r="AJ174" i="14" s="1"/>
  <c r="AF169" i="14"/>
  <c r="AJ169" i="14" s="1"/>
  <c r="H12" i="23"/>
  <c r="AF148" i="14"/>
  <c r="AJ148" i="14" s="1"/>
  <c r="AF145" i="14"/>
  <c r="AJ145" i="14" s="1"/>
  <c r="AC66" i="14"/>
  <c r="E14" i="29"/>
  <c r="E106" i="25"/>
  <c r="AF137" i="14"/>
  <c r="AJ137" i="14" s="1"/>
  <c r="AF138" i="14"/>
  <c r="AJ138" i="14" s="1"/>
  <c r="AF139" i="14"/>
  <c r="AJ139" i="14" s="1"/>
  <c r="AF140" i="14"/>
  <c r="AJ140" i="14" s="1"/>
  <c r="AF188" i="14"/>
  <c r="AJ188" i="14" s="1"/>
  <c r="E274" i="25"/>
  <c r="E275" i="25"/>
  <c r="E276" i="25"/>
  <c r="E277" i="25"/>
  <c r="E278" i="25"/>
  <c r="E279" i="25"/>
  <c r="E280" i="25"/>
  <c r="E281" i="25"/>
  <c r="E282" i="25"/>
  <c r="E283" i="25"/>
  <c r="E284" i="25"/>
  <c r="E285" i="25"/>
  <c r="E286" i="25"/>
  <c r="E287" i="25"/>
  <c r="E288" i="25"/>
  <c r="E289" i="25"/>
  <c r="E290" i="25"/>
  <c r="E291" i="25"/>
  <c r="E292" i="25"/>
  <c r="E293" i="25"/>
  <c r="E294" i="25"/>
  <c r="E295" i="25"/>
  <c r="E296" i="25"/>
  <c r="E297" i="25"/>
  <c r="E298" i="25"/>
  <c r="E299" i="25"/>
  <c r="E300" i="25"/>
  <c r="E301" i="25"/>
  <c r="E302" i="25"/>
  <c r="E303" i="25"/>
  <c r="E304" i="25"/>
  <c r="E305" i="25"/>
  <c r="E306" i="25"/>
  <c r="E307" i="25"/>
  <c r="E308" i="25"/>
  <c r="E309" i="25"/>
  <c r="E310" i="25"/>
  <c r="E311" i="25"/>
  <c r="E312" i="25"/>
  <c r="E313" i="25"/>
  <c r="E314" i="25"/>
  <c r="E315" i="25"/>
  <c r="E273" i="25"/>
  <c r="E138" i="25"/>
  <c r="E139" i="25"/>
  <c r="E140" i="25"/>
  <c r="E141" i="25"/>
  <c r="E142" i="25"/>
  <c r="E143" i="25"/>
  <c r="E144" i="25"/>
  <c r="H113" i="25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8" i="25" s="1"/>
  <c r="H161" i="25" s="1"/>
  <c r="E113" i="25"/>
  <c r="E114" i="25"/>
  <c r="E115" i="25"/>
  <c r="E116" i="25"/>
  <c r="E117" i="25"/>
  <c r="E118" i="25"/>
  <c r="E119" i="25"/>
  <c r="E120" i="25"/>
  <c r="E121" i="25"/>
  <c r="E122" i="25"/>
  <c r="E123" i="25"/>
  <c r="E124" i="25"/>
  <c r="E125" i="25"/>
  <c r="E126" i="25"/>
  <c r="E127" i="25"/>
  <c r="E128" i="25"/>
  <c r="E129" i="25"/>
  <c r="E130" i="25"/>
  <c r="E131" i="25"/>
  <c r="E132" i="25"/>
  <c r="E133" i="25"/>
  <c r="E134" i="25"/>
  <c r="H112" i="25"/>
  <c r="H160" i="25" s="1"/>
  <c r="H248" i="25" s="1"/>
  <c r="H249" i="25" s="1"/>
  <c r="H250" i="25" s="1"/>
  <c r="H251" i="25" s="1"/>
  <c r="H252" i="25" s="1"/>
  <c r="H253" i="25" s="1"/>
  <c r="H254" i="25" s="1"/>
  <c r="H255" i="25" s="1"/>
  <c r="H256" i="25" s="1"/>
  <c r="H257" i="25" s="1"/>
  <c r="H258" i="25" s="1"/>
  <c r="H259" i="25" s="1"/>
  <c r="H260" i="25" s="1"/>
  <c r="H261" i="25" s="1"/>
  <c r="H262" i="25" s="1"/>
  <c r="H263" i="25" s="1"/>
  <c r="H264" i="25" s="1"/>
  <c r="H265" i="25" s="1"/>
  <c r="H266" i="25" s="1"/>
  <c r="H267" i="25" s="1"/>
  <c r="H268" i="25" s="1"/>
  <c r="H269" i="25" s="1"/>
  <c r="H270" i="25" s="1"/>
  <c r="H271" i="25" s="1"/>
  <c r="H272" i="25" s="1"/>
  <c r="E54" i="25"/>
  <c r="E55" i="25"/>
  <c r="E56" i="25"/>
  <c r="E57" i="25"/>
  <c r="E58" i="25"/>
  <c r="E59" i="25"/>
  <c r="E60" i="25"/>
  <c r="E61" i="25"/>
  <c r="E62" i="25"/>
  <c r="E63" i="25"/>
  <c r="E64" i="25"/>
  <c r="E65" i="25"/>
  <c r="E66" i="25"/>
  <c r="E67" i="25"/>
  <c r="E68" i="25"/>
  <c r="E69" i="25"/>
  <c r="E70" i="25"/>
  <c r="E71" i="25"/>
  <c r="E72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85" i="25"/>
  <c r="E86" i="25"/>
  <c r="E87" i="25"/>
  <c r="E88" i="25"/>
  <c r="E89" i="25"/>
  <c r="E90" i="25"/>
  <c r="E91" i="25"/>
  <c r="E92" i="25"/>
  <c r="E93" i="25"/>
  <c r="E94" i="25"/>
  <c r="E95" i="25"/>
  <c r="E96" i="25"/>
  <c r="E97" i="25"/>
  <c r="E98" i="25"/>
  <c r="E99" i="25"/>
  <c r="E100" i="25"/>
  <c r="E101" i="25"/>
  <c r="E102" i="25"/>
  <c r="E103" i="25"/>
  <c r="E104" i="25"/>
  <c r="E105" i="25"/>
  <c r="E53" i="25"/>
  <c r="E52" i="25"/>
  <c r="E51" i="25"/>
  <c r="E50" i="25"/>
  <c r="E49" i="25"/>
  <c r="E509" i="25"/>
  <c r="E510" i="25"/>
  <c r="E511" i="25"/>
  <c r="E512" i="25"/>
  <c r="E513" i="25"/>
  <c r="E514" i="25"/>
  <c r="E515" i="25"/>
  <c r="E516" i="25"/>
  <c r="E517" i="25"/>
  <c r="E518" i="25"/>
  <c r="E519" i="25"/>
  <c r="E520" i="25"/>
  <c r="E521" i="25"/>
  <c r="E522" i="25"/>
  <c r="E523" i="25"/>
  <c r="E524" i="25"/>
  <c r="E525" i="25"/>
  <c r="E526" i="25"/>
  <c r="E527" i="25"/>
  <c r="E528" i="25"/>
  <c r="E529" i="25"/>
  <c r="E530" i="25"/>
  <c r="E531" i="25"/>
  <c r="E532" i="25"/>
  <c r="E533" i="25"/>
  <c r="E534" i="25"/>
  <c r="E535" i="25"/>
  <c r="E536" i="25"/>
  <c r="E537" i="25"/>
  <c r="E538" i="25"/>
  <c r="E249" i="25"/>
  <c r="E250" i="25"/>
  <c r="E251" i="25"/>
  <c r="E252" i="25"/>
  <c r="E253" i="25"/>
  <c r="E254" i="25"/>
  <c r="E255" i="25"/>
  <c r="E256" i="25"/>
  <c r="E257" i="25"/>
  <c r="E258" i="25"/>
  <c r="E259" i="25"/>
  <c r="E260" i="25"/>
  <c r="E261" i="25"/>
  <c r="E262" i="25"/>
  <c r="E263" i="25"/>
  <c r="E264" i="25"/>
  <c r="E265" i="25"/>
  <c r="E266" i="25"/>
  <c r="E267" i="25"/>
  <c r="E268" i="25"/>
  <c r="E269" i="25"/>
  <c r="E270" i="25"/>
  <c r="E271" i="25"/>
  <c r="E272" i="25"/>
  <c r="E248" i="25"/>
  <c r="E48" i="25"/>
  <c r="E47" i="25"/>
  <c r="E112" i="25"/>
  <c r="E46" i="25"/>
  <c r="E160" i="25"/>
  <c r="E45" i="25"/>
  <c r="E44" i="25"/>
  <c r="E43" i="25"/>
  <c r="H13" i="25"/>
  <c r="H14" i="25" s="1"/>
  <c r="H15" i="25"/>
  <c r="H16" i="25" s="1"/>
  <c r="H17" i="25" s="1"/>
  <c r="H18" i="25" s="1"/>
  <c r="H19" i="25" s="1"/>
  <c r="H20" i="25" s="1"/>
  <c r="H21" i="25" s="1"/>
  <c r="H22" i="25" s="1"/>
  <c r="H28" i="25" s="1"/>
  <c r="H39" i="25" s="1"/>
  <c r="H240" i="25" s="1"/>
  <c r="H5" i="25"/>
  <c r="H229" i="25" s="1"/>
  <c r="AF221" i="14"/>
  <c r="AJ221" i="14" s="1"/>
  <c r="AF217" i="14"/>
  <c r="AJ217" i="14" s="1"/>
  <c r="AF210" i="14"/>
  <c r="K60" i="24" s="1"/>
  <c r="H60" i="23" s="1"/>
  <c r="AF206" i="14"/>
  <c r="AJ206" i="14" s="1"/>
  <c r="AF205" i="14"/>
  <c r="AJ205" i="14" s="1"/>
  <c r="E13" i="29"/>
  <c r="E19" i="29"/>
  <c r="E12" i="29"/>
  <c r="AF224" i="14"/>
  <c r="T16" i="13" s="1"/>
  <c r="E42" i="29"/>
  <c r="E43" i="29"/>
  <c r="E41" i="29"/>
  <c r="AF192" i="14"/>
  <c r="AJ192" i="14" s="1"/>
  <c r="AF190" i="14"/>
  <c r="AJ190" i="14" s="1"/>
  <c r="AF185" i="14"/>
  <c r="AJ185" i="14" s="1"/>
  <c r="AF180" i="14"/>
  <c r="AJ180" i="14" s="1"/>
  <c r="AF176" i="14"/>
  <c r="AJ176" i="14" s="1"/>
  <c r="AF175" i="14"/>
  <c r="AJ175" i="14" s="1"/>
  <c r="AF162" i="14"/>
  <c r="AJ162" i="14" s="1"/>
  <c r="AF159" i="14"/>
  <c r="K45" i="24" s="1"/>
  <c r="AF160" i="14"/>
  <c r="AJ160" i="14" s="1"/>
  <c r="AF157" i="14"/>
  <c r="K43" i="24" s="1"/>
  <c r="AF153" i="14"/>
  <c r="AJ153" i="14" s="1"/>
  <c r="AF151" i="14"/>
  <c r="AF152" i="14"/>
  <c r="AJ152" i="14" s="1"/>
  <c r="AF150" i="14"/>
  <c r="AJ150" i="14" s="1"/>
  <c r="AF149" i="14"/>
  <c r="AJ149" i="14" s="1"/>
  <c r="T14" i="13"/>
  <c r="AF125" i="14"/>
  <c r="AF5" i="14"/>
  <c r="AH5" i="14" s="1"/>
  <c r="R20" i="12"/>
  <c r="I21" i="24" s="1"/>
  <c r="G21" i="12"/>
  <c r="I17" i="13"/>
  <c r="G17" i="13"/>
  <c r="E17" i="13"/>
  <c r="R16" i="13"/>
  <c r="R15" i="13"/>
  <c r="R14" i="13"/>
  <c r="R5" i="13"/>
  <c r="AE5" i="14"/>
  <c r="E21" i="12"/>
  <c r="J11" i="12"/>
  <c r="J21" i="12" s="1"/>
  <c r="R14" i="12"/>
  <c r="I15" i="24" s="1"/>
  <c r="R19" i="12"/>
  <c r="I23" i="24" s="1"/>
  <c r="R18" i="12"/>
  <c r="I10" i="24" s="1"/>
  <c r="R17" i="12"/>
  <c r="S17" i="12" s="1"/>
  <c r="R16" i="12"/>
  <c r="I16" i="24" s="1"/>
  <c r="R15" i="12"/>
  <c r="S15" i="12" s="1"/>
  <c r="R13" i="12"/>
  <c r="S13" i="12" s="1"/>
  <c r="R12" i="12"/>
  <c r="S12" i="12" s="1"/>
  <c r="R11" i="12"/>
  <c r="S11" i="12" s="1"/>
  <c r="R10" i="12"/>
  <c r="S10" i="12" s="1"/>
  <c r="R9" i="12"/>
  <c r="S9" i="12" s="1"/>
  <c r="R8" i="12"/>
  <c r="S8" i="12" s="1"/>
  <c r="R6" i="12"/>
  <c r="I13" i="24" s="1"/>
  <c r="R5" i="12"/>
  <c r="I12" i="24" s="1"/>
  <c r="Z134" i="14"/>
  <c r="Z130" i="14" s="1"/>
  <c r="Z148" i="14"/>
  <c r="Z61" i="14"/>
  <c r="Z17" i="14" s="1"/>
  <c r="Z165" i="14"/>
  <c r="AD195" i="14"/>
  <c r="AD156" i="14"/>
  <c r="AD149" i="14"/>
  <c r="AD142" i="14"/>
  <c r="AD141" i="14" s="1"/>
  <c r="AD148" i="14"/>
  <c r="AD37" i="14"/>
  <c r="AD128" i="14"/>
  <c r="AD125" i="14" s="1"/>
  <c r="I47" i="24" s="1"/>
  <c r="Z178" i="14"/>
  <c r="AD199" i="14"/>
  <c r="AD178" i="14"/>
  <c r="R10" i="13" s="1"/>
  <c r="AD163" i="14"/>
  <c r="I41" i="24" s="1"/>
  <c r="AD130" i="14"/>
  <c r="R12" i="13" s="1"/>
  <c r="AD27" i="14"/>
  <c r="AD20" i="14"/>
  <c r="AD6" i="14"/>
  <c r="R6" i="13" s="1"/>
  <c r="AC114" i="14"/>
  <c r="AL14" i="13"/>
  <c r="AL15" i="13"/>
  <c r="I77" i="24"/>
  <c r="I62" i="24"/>
  <c r="AA199" i="14"/>
  <c r="I42" i="24"/>
  <c r="P15" i="13"/>
  <c r="P16" i="13"/>
  <c r="P14" i="13"/>
  <c r="P11" i="13"/>
  <c r="P5" i="13"/>
  <c r="Q4" i="13"/>
  <c r="P4" i="13"/>
  <c r="P3" i="13"/>
  <c r="AA178" i="14"/>
  <c r="AA163" i="14"/>
  <c r="AA156" i="14"/>
  <c r="AA130" i="14"/>
  <c r="P12" i="13" s="1"/>
  <c r="AA125" i="14"/>
  <c r="P8" i="13" s="1"/>
  <c r="AA27" i="14"/>
  <c r="AA20" i="14"/>
  <c r="AA6" i="14"/>
  <c r="AB5" i="14"/>
  <c r="Q5" i="13" s="1"/>
  <c r="Q6" i="12"/>
  <c r="Q8" i="12"/>
  <c r="Q9" i="12"/>
  <c r="Q10" i="12"/>
  <c r="Q11" i="12"/>
  <c r="Q12" i="12"/>
  <c r="Q13" i="12"/>
  <c r="Q15" i="12"/>
  <c r="Q16" i="12"/>
  <c r="Q17" i="12"/>
  <c r="Q18" i="12"/>
  <c r="Q5" i="12"/>
  <c r="P20" i="12"/>
  <c r="Q20" i="12" s="1"/>
  <c r="J29" i="24"/>
  <c r="AC65" i="14"/>
  <c r="E561" i="25"/>
  <c r="E564" i="25" s="1"/>
  <c r="H559" i="25" s="1"/>
  <c r="O19" i="12"/>
  <c r="Q19" i="12" s="1"/>
  <c r="O14" i="12"/>
  <c r="H15" i="24" s="1"/>
  <c r="G15" i="23" s="1"/>
  <c r="H60" i="24"/>
  <c r="G60" i="23" s="1"/>
  <c r="AC7" i="14"/>
  <c r="AC8" i="14"/>
  <c r="AC9" i="14"/>
  <c r="AC10" i="14"/>
  <c r="AC12" i="14"/>
  <c r="AC13" i="14"/>
  <c r="AC14" i="14"/>
  <c r="AC15" i="14"/>
  <c r="AC16" i="14"/>
  <c r="AC18" i="14"/>
  <c r="AC19" i="14"/>
  <c r="AC21" i="14"/>
  <c r="AC22" i="14"/>
  <c r="AC23" i="14"/>
  <c r="AC24" i="14"/>
  <c r="AC25" i="14"/>
  <c r="AC28" i="14"/>
  <c r="AC29" i="14"/>
  <c r="AC30" i="14"/>
  <c r="AC31" i="14"/>
  <c r="AC36" i="14"/>
  <c r="AC38" i="14"/>
  <c r="AC39" i="14"/>
  <c r="AC40" i="14"/>
  <c r="AC41" i="14"/>
  <c r="AC42" i="14"/>
  <c r="AC49" i="14"/>
  <c r="AC44" i="14"/>
  <c r="AC45" i="14"/>
  <c r="AC46" i="14"/>
  <c r="AC47" i="14"/>
  <c r="AC50" i="14"/>
  <c r="AC51" i="14"/>
  <c r="AC52" i="14"/>
  <c r="AC53" i="14"/>
  <c r="AC54" i="14"/>
  <c r="AC58" i="14"/>
  <c r="AC59" i="14"/>
  <c r="AC60" i="14"/>
  <c r="AC61" i="14"/>
  <c r="AC87" i="14"/>
  <c r="AC89" i="14"/>
  <c r="AC63" i="14"/>
  <c r="AC103" i="14"/>
  <c r="AC104" i="14"/>
  <c r="AC91" i="14"/>
  <c r="AC55" i="14"/>
  <c r="AC112" i="14"/>
  <c r="AC92" i="14"/>
  <c r="AC93" i="14"/>
  <c r="AC32" i="14"/>
  <c r="AC113" i="14"/>
  <c r="AC64" i="14"/>
  <c r="AC106" i="14"/>
  <c r="AC107" i="14"/>
  <c r="AC126" i="14"/>
  <c r="AC127" i="14"/>
  <c r="AC129" i="14"/>
  <c r="AC131" i="14"/>
  <c r="AC132" i="14"/>
  <c r="AC133" i="14"/>
  <c r="AC134" i="14"/>
  <c r="AC136" i="14"/>
  <c r="AC137" i="14"/>
  <c r="AC138" i="14"/>
  <c r="AC139" i="14"/>
  <c r="AC140" i="14"/>
  <c r="AC142" i="14"/>
  <c r="AC143" i="14"/>
  <c r="AC144" i="14"/>
  <c r="AC145" i="14"/>
  <c r="AC146" i="14"/>
  <c r="AC148" i="14"/>
  <c r="AC149" i="14"/>
  <c r="AC150" i="14"/>
  <c r="AC151" i="14"/>
  <c r="AC152" i="14"/>
  <c r="AC153" i="14"/>
  <c r="AC155" i="14"/>
  <c r="AC157" i="14"/>
  <c r="AC158" i="14"/>
  <c r="AC159" i="14"/>
  <c r="AC160" i="14"/>
  <c r="AC161" i="14"/>
  <c r="AC162" i="14"/>
  <c r="AC164" i="14"/>
  <c r="AC165" i="14"/>
  <c r="AC166" i="14"/>
  <c r="AC167" i="14"/>
  <c r="AC168" i="14"/>
  <c r="AC169" i="14"/>
  <c r="AC170" i="14"/>
  <c r="AC171" i="14"/>
  <c r="AC172" i="14"/>
  <c r="AC173" i="14"/>
  <c r="AC174" i="14"/>
  <c r="AC175" i="14"/>
  <c r="AC176" i="14"/>
  <c r="AC180" i="14"/>
  <c r="AC185" i="14"/>
  <c r="AC189" i="14"/>
  <c r="AC191" i="14"/>
  <c r="AC192" i="14"/>
  <c r="AC193" i="14"/>
  <c r="AC200" i="14"/>
  <c r="AC206" i="14"/>
  <c r="AC215" i="14"/>
  <c r="AC224" i="14"/>
  <c r="AC5" i="14"/>
  <c r="E39" i="25"/>
  <c r="E40" i="25"/>
  <c r="E41" i="25"/>
  <c r="E42" i="25"/>
  <c r="E38" i="25"/>
  <c r="E40" i="29"/>
  <c r="E480" i="25"/>
  <c r="K57" i="24"/>
  <c r="H57" i="23" s="1"/>
  <c r="E146" i="25"/>
  <c r="E147" i="25" s="1"/>
  <c r="E111" i="25"/>
  <c r="Y179" i="14" s="1"/>
  <c r="AC179" i="14" s="1"/>
  <c r="E137" i="25"/>
  <c r="D110" i="25"/>
  <c r="E20" i="25"/>
  <c r="E24" i="25"/>
  <c r="E26" i="25"/>
  <c r="E27" i="25"/>
  <c r="E5" i="25"/>
  <c r="E6" i="25"/>
  <c r="E23" i="25"/>
  <c r="E4" i="25"/>
  <c r="E19" i="25"/>
  <c r="E18" i="25"/>
  <c r="E7" i="25"/>
  <c r="E32" i="25"/>
  <c r="E29" i="25"/>
  <c r="E25" i="25"/>
  <c r="E136" i="25"/>
  <c r="E28" i="25"/>
  <c r="E34" i="25"/>
  <c r="E35" i="25"/>
  <c r="E230" i="25"/>
  <c r="E153" i="25"/>
  <c r="E156" i="25"/>
  <c r="E159" i="25"/>
  <c r="E154" i="25"/>
  <c r="E36" i="25"/>
  <c r="E155" i="25"/>
  <c r="E151" i="25"/>
  <c r="E33" i="25"/>
  <c r="E30" i="25"/>
  <c r="E31" i="25"/>
  <c r="E37" i="25"/>
  <c r="E158" i="25"/>
  <c r="E152" i="25"/>
  <c r="E150" i="25"/>
  <c r="E149" i="25"/>
  <c r="E12" i="25"/>
  <c r="E109" i="25"/>
  <c r="E11" i="25"/>
  <c r="E14" i="25"/>
  <c r="E13" i="25"/>
  <c r="E3" i="25"/>
  <c r="E229" i="25"/>
  <c r="E228" i="25"/>
  <c r="E16" i="25"/>
  <c r="E22" i="25"/>
  <c r="E10" i="25"/>
  <c r="E39" i="29"/>
  <c r="E22" i="29"/>
  <c r="E21" i="29"/>
  <c r="E20" i="29"/>
  <c r="E18" i="29"/>
  <c r="E17" i="29"/>
  <c r="E16" i="29"/>
  <c r="E15" i="29"/>
  <c r="AC188" i="14"/>
  <c r="AC187" i="14"/>
  <c r="AF187" i="14"/>
  <c r="AJ187" i="14" s="1"/>
  <c r="AC182" i="14"/>
  <c r="V20" i="13"/>
  <c r="AF195" i="14"/>
  <c r="K58" i="24"/>
  <c r="H58" i="23" s="1"/>
  <c r="Y195" i="14"/>
  <c r="AC196" i="14"/>
  <c r="Y199" i="14"/>
  <c r="H78" i="24"/>
  <c r="J79" i="23"/>
  <c r="K79" i="23"/>
  <c r="G79" i="23"/>
  <c r="G29" i="23"/>
  <c r="F67" i="23"/>
  <c r="F72" i="23"/>
  <c r="G52" i="23"/>
  <c r="G57" i="23"/>
  <c r="H32" i="24"/>
  <c r="I200" i="14"/>
  <c r="I199" i="14" s="1"/>
  <c r="G200" i="14"/>
  <c r="G199" i="14" s="1"/>
  <c r="Y27" i="14"/>
  <c r="Y20" i="14"/>
  <c r="H30" i="8"/>
  <c r="L68" i="23" s="1"/>
  <c r="G30" i="8"/>
  <c r="K68" i="23" s="1"/>
  <c r="F30" i="8"/>
  <c r="L68" i="4" s="1"/>
  <c r="H11" i="9"/>
  <c r="L67" i="23" s="1"/>
  <c r="G29" i="24"/>
  <c r="F29" i="23" s="1"/>
  <c r="G58" i="24"/>
  <c r="G57" i="24"/>
  <c r="G52" i="24"/>
  <c r="G39" i="24"/>
  <c r="F39" i="23" s="1"/>
  <c r="G45" i="24"/>
  <c r="F45" i="23" s="1"/>
  <c r="G44" i="24"/>
  <c r="F44" i="23" s="1"/>
  <c r="G43" i="24"/>
  <c r="F43" i="23" s="1"/>
  <c r="G42" i="24"/>
  <c r="F42" i="23" s="1"/>
  <c r="G41" i="24"/>
  <c r="F41" i="23" s="1"/>
  <c r="G33" i="24"/>
  <c r="F33" i="23" s="1"/>
  <c r="G32" i="24"/>
  <c r="F32" i="23" s="1"/>
  <c r="G37" i="24"/>
  <c r="F37" i="23" s="1"/>
  <c r="H22" i="24"/>
  <c r="G22" i="23" s="1"/>
  <c r="H21" i="24"/>
  <c r="G21" i="23" s="1"/>
  <c r="H17" i="24"/>
  <c r="H16" i="24"/>
  <c r="H14" i="24"/>
  <c r="G14" i="23" s="1"/>
  <c r="H13" i="24"/>
  <c r="G13" i="23" s="1"/>
  <c r="H12" i="24"/>
  <c r="H11" i="24"/>
  <c r="G11" i="23" s="1"/>
  <c r="H10" i="24"/>
  <c r="G10" i="23" s="1"/>
  <c r="H9" i="24"/>
  <c r="G9" i="23" s="1"/>
  <c r="G23" i="24"/>
  <c r="F23" i="23" s="1"/>
  <c r="G22" i="24"/>
  <c r="F22" i="23" s="1"/>
  <c r="G21" i="24"/>
  <c r="F21" i="23" s="1"/>
  <c r="G17" i="24"/>
  <c r="F17" i="23" s="1"/>
  <c r="G9" i="24"/>
  <c r="G16" i="24"/>
  <c r="F16" i="23" s="1"/>
  <c r="G15" i="24"/>
  <c r="F15" i="23" s="1"/>
  <c r="G14" i="24"/>
  <c r="F14" i="23" s="1"/>
  <c r="G13" i="24"/>
  <c r="F13" i="23" s="1"/>
  <c r="G12" i="24"/>
  <c r="F12" i="23" s="1"/>
  <c r="G11" i="24"/>
  <c r="F11" i="23" s="1"/>
  <c r="G10" i="24"/>
  <c r="F10" i="23" s="1"/>
  <c r="G17" i="23"/>
  <c r="R27" i="14"/>
  <c r="R20" i="14"/>
  <c r="R210" i="14"/>
  <c r="AC210" i="14" s="1"/>
  <c r="R205" i="14"/>
  <c r="R135" i="14"/>
  <c r="M9" i="13" s="1"/>
  <c r="R43" i="14"/>
  <c r="R35" i="14"/>
  <c r="AC35" i="14" s="1"/>
  <c r="R34" i="14"/>
  <c r="AC34" i="14" s="1"/>
  <c r="R33" i="14"/>
  <c r="AC33" i="14" s="1"/>
  <c r="R37" i="14"/>
  <c r="R128" i="14"/>
  <c r="AC128" i="14" s="1"/>
  <c r="R11" i="14"/>
  <c r="AC11" i="14" s="1"/>
  <c r="T61" i="14"/>
  <c r="T17" i="14" s="1"/>
  <c r="T175" i="14"/>
  <c r="T165" i="14"/>
  <c r="E552" i="25"/>
  <c r="E553" i="25"/>
  <c r="E551" i="25"/>
  <c r="E487" i="25"/>
  <c r="E488" i="25"/>
  <c r="E489" i="25"/>
  <c r="E490" i="25"/>
  <c r="E486" i="25"/>
  <c r="E479" i="25"/>
  <c r="E478" i="25"/>
  <c r="E477" i="25"/>
  <c r="E476" i="25"/>
  <c r="E475" i="25"/>
  <c r="E474" i="25"/>
  <c r="E473" i="25"/>
  <c r="E472" i="25"/>
  <c r="E471" i="25"/>
  <c r="E470" i="25"/>
  <c r="E468" i="25"/>
  <c r="E467" i="25"/>
  <c r="E466" i="25"/>
  <c r="E465" i="25"/>
  <c r="E464" i="25"/>
  <c r="E463" i="25"/>
  <c r="E462" i="25"/>
  <c r="B15" i="13"/>
  <c r="Y220" i="14"/>
  <c r="Y219" i="14" s="1"/>
  <c r="AE219" i="14" s="1"/>
  <c r="Q178" i="14"/>
  <c r="L10" i="13" s="1"/>
  <c r="M178" i="14"/>
  <c r="E432" i="25"/>
  <c r="E433" i="25"/>
  <c r="E434" i="25"/>
  <c r="E435" i="25"/>
  <c r="E436" i="25"/>
  <c r="E437" i="25"/>
  <c r="E438" i="25"/>
  <c r="E431" i="25"/>
  <c r="E504" i="25"/>
  <c r="E241" i="25"/>
  <c r="E242" i="25"/>
  <c r="E243" i="25"/>
  <c r="E244" i="25"/>
  <c r="E245" i="25"/>
  <c r="E246" i="25"/>
  <c r="E505" i="25"/>
  <c r="E247" i="25"/>
  <c r="E506" i="25"/>
  <c r="E507" i="25"/>
  <c r="E508" i="25"/>
  <c r="E496" i="25"/>
  <c r="E497" i="25"/>
  <c r="E498" i="25"/>
  <c r="E499" i="25"/>
  <c r="E500" i="25"/>
  <c r="E501" i="25"/>
  <c r="E502" i="25"/>
  <c r="E503" i="25"/>
  <c r="E495" i="25"/>
  <c r="Y181" i="14"/>
  <c r="AC177" i="14"/>
  <c r="E240" i="25"/>
  <c r="E238" i="25"/>
  <c r="E234" i="25"/>
  <c r="E233" i="25"/>
  <c r="E232" i="25"/>
  <c r="Y141" i="14"/>
  <c r="AC141" i="14" s="1"/>
  <c r="AC186" i="14"/>
  <c r="Y6" i="14"/>
  <c r="AF6" i="14" s="1"/>
  <c r="V145" i="14"/>
  <c r="U145" i="14"/>
  <c r="U135" i="14" s="1"/>
  <c r="M21" i="12"/>
  <c r="L16" i="13"/>
  <c r="AL16" i="13" s="1"/>
  <c r="M11" i="13"/>
  <c r="M5" i="13"/>
  <c r="G27" i="24" s="1"/>
  <c r="F27" i="23" s="1"/>
  <c r="L5" i="13"/>
  <c r="Q27" i="14"/>
  <c r="Q20" i="14"/>
  <c r="R178" i="14"/>
  <c r="M10" i="13" s="1"/>
  <c r="Q177" i="14"/>
  <c r="S177" i="14" s="1"/>
  <c r="Q175" i="14"/>
  <c r="S175" i="14" s="1"/>
  <c r="Q162" i="14"/>
  <c r="S162" i="14" s="1"/>
  <c r="Q160" i="14"/>
  <c r="S160" i="14" s="1"/>
  <c r="Q159" i="14"/>
  <c r="Q158" i="14"/>
  <c r="Q145" i="14"/>
  <c r="S145" i="14" s="1"/>
  <c r="Q140" i="14"/>
  <c r="S140" i="14" s="1"/>
  <c r="Q137" i="14"/>
  <c r="S137" i="14" s="1"/>
  <c r="L11" i="13"/>
  <c r="Q141" i="14"/>
  <c r="S141" i="14" s="1"/>
  <c r="Q163" i="14"/>
  <c r="S163" i="14" s="1"/>
  <c r="Q147" i="14"/>
  <c r="S147" i="14" s="1"/>
  <c r="H62" i="24"/>
  <c r="G62" i="23" s="1"/>
  <c r="F60" i="24"/>
  <c r="F61" i="24" s="1"/>
  <c r="F53" i="24"/>
  <c r="H52" i="24"/>
  <c r="H47" i="24"/>
  <c r="G47" i="23" s="1"/>
  <c r="F46" i="24"/>
  <c r="E46" i="23" s="1"/>
  <c r="H43" i="24"/>
  <c r="G43" i="23" s="1"/>
  <c r="H39" i="24"/>
  <c r="G39" i="23" s="1"/>
  <c r="H37" i="24"/>
  <c r="F37" i="24"/>
  <c r="H36" i="24"/>
  <c r="F36" i="24"/>
  <c r="H34" i="24"/>
  <c r="G34" i="23" s="1"/>
  <c r="F34" i="24"/>
  <c r="H33" i="24"/>
  <c r="H27" i="24"/>
  <c r="E77" i="23"/>
  <c r="E60" i="23"/>
  <c r="E61" i="23" s="1"/>
  <c r="E53" i="23"/>
  <c r="E37" i="23"/>
  <c r="E36" i="23"/>
  <c r="E34" i="23"/>
  <c r="N56" i="22"/>
  <c r="N49" i="22"/>
  <c r="N28" i="22"/>
  <c r="N29" i="22"/>
  <c r="N31" i="22"/>
  <c r="L77" i="22"/>
  <c r="I77" i="22"/>
  <c r="H77" i="22"/>
  <c r="G77" i="22"/>
  <c r="F77" i="22"/>
  <c r="O67" i="22"/>
  <c r="O68" i="22" s="1"/>
  <c r="P62" i="22"/>
  <c r="L62" i="22"/>
  <c r="N62" i="22" s="1"/>
  <c r="K62" i="22"/>
  <c r="J61" i="22"/>
  <c r="L60" i="22"/>
  <c r="I60" i="22"/>
  <c r="I61" i="22" s="1"/>
  <c r="H60" i="22"/>
  <c r="H61" i="22" s="1"/>
  <c r="G60" i="22"/>
  <c r="G61" i="22" s="1"/>
  <c r="F60" i="22"/>
  <c r="F61" i="22" s="1"/>
  <c r="P58" i="22"/>
  <c r="I54" i="22"/>
  <c r="K54" i="22" s="1"/>
  <c r="G54" i="22"/>
  <c r="H53" i="22"/>
  <c r="P52" i="22"/>
  <c r="L52" i="22"/>
  <c r="N52" i="22" s="1"/>
  <c r="P48" i="22"/>
  <c r="K48" i="22"/>
  <c r="P47" i="22"/>
  <c r="K47" i="22"/>
  <c r="J46" i="22"/>
  <c r="H46" i="22"/>
  <c r="P45" i="22"/>
  <c r="K45" i="22"/>
  <c r="P44" i="22"/>
  <c r="K44" i="22"/>
  <c r="P43" i="22"/>
  <c r="L43" i="22"/>
  <c r="N43" i="22" s="1"/>
  <c r="K43" i="22"/>
  <c r="I42" i="22"/>
  <c r="K42" i="22" s="1"/>
  <c r="P41" i="22"/>
  <c r="K41" i="22"/>
  <c r="L39" i="22"/>
  <c r="I39" i="22"/>
  <c r="K39" i="22" s="1"/>
  <c r="I37" i="22"/>
  <c r="P37" i="22" s="1"/>
  <c r="H37" i="22"/>
  <c r="O36" i="22"/>
  <c r="J36" i="22"/>
  <c r="I36" i="22"/>
  <c r="H36" i="22"/>
  <c r="G36" i="22"/>
  <c r="O34" i="22"/>
  <c r="L34" i="22"/>
  <c r="J34" i="22"/>
  <c r="I34" i="22"/>
  <c r="H34" i="22"/>
  <c r="G34" i="22"/>
  <c r="P33" i="22"/>
  <c r="K33" i="22"/>
  <c r="P32" i="22"/>
  <c r="K32" i="22"/>
  <c r="P30" i="22"/>
  <c r="K30" i="22"/>
  <c r="P29" i="22"/>
  <c r="M29" i="22"/>
  <c r="K29" i="22"/>
  <c r="P27" i="22"/>
  <c r="K27" i="22"/>
  <c r="G24" i="22"/>
  <c r="P23" i="22"/>
  <c r="K23" i="22"/>
  <c r="F23" i="22"/>
  <c r="F24" i="22" s="1"/>
  <c r="P22" i="22"/>
  <c r="L22" i="22"/>
  <c r="M22" i="22" s="1"/>
  <c r="K22" i="22"/>
  <c r="P21" i="22"/>
  <c r="K21" i="22"/>
  <c r="O17" i="22"/>
  <c r="J17" i="22"/>
  <c r="P16" i="22"/>
  <c r="L16" i="22"/>
  <c r="M16" i="22" s="1"/>
  <c r="K16" i="22"/>
  <c r="P15" i="22"/>
  <c r="L15" i="22"/>
  <c r="M15" i="22" s="1"/>
  <c r="K15" i="22"/>
  <c r="H15" i="22"/>
  <c r="P14" i="22"/>
  <c r="L14" i="22"/>
  <c r="M14" i="22" s="1"/>
  <c r="K14" i="22"/>
  <c r="P13" i="22"/>
  <c r="L13" i="22"/>
  <c r="M13" i="22" s="1"/>
  <c r="K13" i="22"/>
  <c r="P12" i="22"/>
  <c r="K12" i="22"/>
  <c r="P11" i="22"/>
  <c r="K11" i="22"/>
  <c r="P10" i="22"/>
  <c r="L10" i="22"/>
  <c r="M10" i="22" s="1"/>
  <c r="K10" i="22"/>
  <c r="O9" i="22"/>
  <c r="O24" i="22" s="1"/>
  <c r="L9" i="22"/>
  <c r="J9" i="22"/>
  <c r="I9" i="22"/>
  <c r="H9" i="22"/>
  <c r="L62" i="4"/>
  <c r="M62" i="4" s="1"/>
  <c r="L60" i="4"/>
  <c r="L52" i="4"/>
  <c r="M52" i="4" s="1"/>
  <c r="L43" i="4"/>
  <c r="M43" i="4" s="1"/>
  <c r="L39" i="4"/>
  <c r="L22" i="4"/>
  <c r="M22" i="4" s="1"/>
  <c r="L16" i="4"/>
  <c r="M16" i="4" s="1"/>
  <c r="L15" i="4"/>
  <c r="M15" i="4" s="1"/>
  <c r="L14" i="4"/>
  <c r="M14" i="4" s="1"/>
  <c r="L13" i="4"/>
  <c r="M13" i="4" s="1"/>
  <c r="L10" i="4"/>
  <c r="M10" i="4" s="1"/>
  <c r="L9" i="4"/>
  <c r="L57" i="22"/>
  <c r="N57" i="22" s="1"/>
  <c r="H57" i="24"/>
  <c r="L57" i="4"/>
  <c r="H225" i="14"/>
  <c r="Q218" i="14"/>
  <c r="L205" i="14"/>
  <c r="L200" i="14"/>
  <c r="Q199" i="14"/>
  <c r="L13" i="13" s="1"/>
  <c r="M199" i="14"/>
  <c r="F199" i="14"/>
  <c r="E199" i="14"/>
  <c r="L58" i="22"/>
  <c r="M58" i="22" s="1"/>
  <c r="L58" i="4"/>
  <c r="M58" i="4" s="1"/>
  <c r="H58" i="24"/>
  <c r="G58" i="23" s="1"/>
  <c r="L61" i="4"/>
  <c r="L61" i="22"/>
  <c r="I193" i="14"/>
  <c r="I178" i="14" s="1"/>
  <c r="S190" i="14"/>
  <c r="U188" i="14"/>
  <c r="U178" i="14" s="1"/>
  <c r="S188" i="14"/>
  <c r="L188" i="14"/>
  <c r="L178" i="14" s="1"/>
  <c r="S185" i="14"/>
  <c r="S181" i="14"/>
  <c r="S180" i="14"/>
  <c r="S179" i="14"/>
  <c r="V178" i="14"/>
  <c r="T178" i="14"/>
  <c r="O178" i="14"/>
  <c r="N178" i="14"/>
  <c r="J178" i="14"/>
  <c r="G178" i="14"/>
  <c r="F178" i="14"/>
  <c r="E178" i="14"/>
  <c r="S176" i="14"/>
  <c r="I174" i="14"/>
  <c r="I173" i="14"/>
  <c r="I171" i="14"/>
  <c r="I170" i="14"/>
  <c r="I169" i="14"/>
  <c r="I167" i="14"/>
  <c r="I165" i="14"/>
  <c r="G163" i="14"/>
  <c r="F163" i="14"/>
  <c r="E163" i="14"/>
  <c r="S161" i="14"/>
  <c r="M157" i="14"/>
  <c r="M225" i="14" s="1"/>
  <c r="G156" i="14"/>
  <c r="F156" i="14"/>
  <c r="E156" i="14"/>
  <c r="S155" i="14"/>
  <c r="Y147" i="14"/>
  <c r="AC147" i="14" s="1"/>
  <c r="U156" i="14"/>
  <c r="Y163" i="14"/>
  <c r="AC163" i="14" s="1"/>
  <c r="H44" i="24"/>
  <c r="H45" i="24"/>
  <c r="G45" i="23" s="1"/>
  <c r="V147" i="14"/>
  <c r="V163" i="14"/>
  <c r="V156" i="14"/>
  <c r="U163" i="14"/>
  <c r="L45" i="4"/>
  <c r="M45" i="4" s="1"/>
  <c r="L45" i="22"/>
  <c r="M45" i="22" s="1"/>
  <c r="Y156" i="14"/>
  <c r="AC156" i="14" s="1"/>
  <c r="L44" i="22"/>
  <c r="N44" i="22" s="1"/>
  <c r="L44" i="4"/>
  <c r="M44" i="4" s="1"/>
  <c r="S186" i="14"/>
  <c r="U147" i="14"/>
  <c r="S146" i="14"/>
  <c r="G141" i="14"/>
  <c r="F141" i="14"/>
  <c r="E141" i="14"/>
  <c r="S139" i="14"/>
  <c r="S138" i="14"/>
  <c r="S136" i="14"/>
  <c r="P135" i="14"/>
  <c r="O135" i="14"/>
  <c r="N135" i="14"/>
  <c r="L135" i="14"/>
  <c r="J135" i="14"/>
  <c r="S134" i="14"/>
  <c r="S133" i="14"/>
  <c r="S132" i="14"/>
  <c r="Q130" i="14"/>
  <c r="L12" i="13" s="1"/>
  <c r="Y130" i="14"/>
  <c r="H30" i="24" s="1"/>
  <c r="G30" i="23" s="1"/>
  <c r="R130" i="14"/>
  <c r="M12" i="13" s="1"/>
  <c r="G30" i="24" s="1"/>
  <c r="F30" i="23" s="1"/>
  <c r="M130" i="14"/>
  <c r="L130" i="14"/>
  <c r="I130" i="14"/>
  <c r="G130" i="14"/>
  <c r="F130" i="14"/>
  <c r="E130" i="14"/>
  <c r="S129" i="14"/>
  <c r="L128" i="14"/>
  <c r="L125" i="14" s="1"/>
  <c r="S127" i="14"/>
  <c r="S126" i="14"/>
  <c r="Q125" i="14"/>
  <c r="L8" i="13" s="1"/>
  <c r="M125" i="14"/>
  <c r="I125" i="14"/>
  <c r="G125" i="14"/>
  <c r="F125" i="14"/>
  <c r="E125" i="14"/>
  <c r="S87" i="14"/>
  <c r="S58" i="14"/>
  <c r="S54" i="14"/>
  <c r="S53" i="14"/>
  <c r="S51" i="14"/>
  <c r="S50" i="14"/>
  <c r="S45" i="14"/>
  <c r="S44" i="14"/>
  <c r="L43" i="14"/>
  <c r="I43" i="14"/>
  <c r="S49" i="14"/>
  <c r="S41" i="14"/>
  <c r="S40" i="14"/>
  <c r="S39" i="14"/>
  <c r="S38" i="14"/>
  <c r="L37" i="14"/>
  <c r="I37" i="14"/>
  <c r="S36" i="14"/>
  <c r="L35" i="14"/>
  <c r="I35" i="14"/>
  <c r="L34" i="14"/>
  <c r="I34" i="14"/>
  <c r="L33" i="14"/>
  <c r="I33" i="14"/>
  <c r="S31" i="14"/>
  <c r="L31" i="14"/>
  <c r="S30" i="14"/>
  <c r="L30" i="14"/>
  <c r="S29" i="14"/>
  <c r="L29" i="14"/>
  <c r="S28" i="14"/>
  <c r="L28" i="14"/>
  <c r="S25" i="14"/>
  <c r="L25" i="14"/>
  <c r="S24" i="14"/>
  <c r="L24" i="14"/>
  <c r="S23" i="14"/>
  <c r="L23" i="14"/>
  <c r="S22" i="14"/>
  <c r="L22" i="14"/>
  <c r="S21" i="14"/>
  <c r="S19" i="14"/>
  <c r="S18" i="14"/>
  <c r="O17" i="14"/>
  <c r="N17" i="14"/>
  <c r="J17" i="14"/>
  <c r="G17" i="14"/>
  <c r="F17" i="14"/>
  <c r="E17" i="14"/>
  <c r="S16" i="14"/>
  <c r="L16" i="14"/>
  <c r="S15" i="14"/>
  <c r="S13" i="14"/>
  <c r="Q12" i="14"/>
  <c r="L11" i="14"/>
  <c r="Q10" i="14"/>
  <c r="S10" i="14" s="1"/>
  <c r="S9" i="14"/>
  <c r="L9" i="14"/>
  <c r="S8" i="14"/>
  <c r="S7" i="14"/>
  <c r="I6" i="14"/>
  <c r="G6" i="14"/>
  <c r="F6" i="14"/>
  <c r="E6" i="14"/>
  <c r="S5" i="14"/>
  <c r="F17" i="13"/>
  <c r="D17" i="13"/>
  <c r="C17" i="13"/>
  <c r="N16" i="13"/>
  <c r="AM16" i="13" s="1"/>
  <c r="J14" i="13"/>
  <c r="K14" i="13" s="1"/>
  <c r="H14" i="13"/>
  <c r="J13" i="13"/>
  <c r="K13" i="13" s="1"/>
  <c r="H13" i="13"/>
  <c r="J12" i="13"/>
  <c r="K12" i="13" s="1"/>
  <c r="H12" i="13"/>
  <c r="J10" i="13"/>
  <c r="K10" i="13" s="1"/>
  <c r="H10" i="13"/>
  <c r="J9" i="13"/>
  <c r="K9" i="13" s="1"/>
  <c r="H9" i="13"/>
  <c r="J8" i="13"/>
  <c r="H8" i="13"/>
  <c r="J7" i="13"/>
  <c r="K7" i="13" s="1"/>
  <c r="H7" i="13"/>
  <c r="J6" i="13"/>
  <c r="K6" i="13" s="1"/>
  <c r="H6" i="13"/>
  <c r="J5" i="13"/>
  <c r="H5" i="13"/>
  <c r="N21" i="12"/>
  <c r="I21" i="12"/>
  <c r="F21" i="12"/>
  <c r="D21" i="12"/>
  <c r="C21" i="12"/>
  <c r="L14" i="12"/>
  <c r="K14" i="12" s="1"/>
  <c r="H14" i="12"/>
  <c r="H13" i="12"/>
  <c r="H11" i="12"/>
  <c r="H8" i="12"/>
  <c r="H6" i="12"/>
  <c r="H5" i="12"/>
  <c r="U141" i="14"/>
  <c r="N5" i="13"/>
  <c r="K11" i="13"/>
  <c r="K16" i="13"/>
  <c r="L12" i="4"/>
  <c r="M12" i="4" s="1"/>
  <c r="L12" i="22"/>
  <c r="M12" i="22" s="1"/>
  <c r="L27" i="4"/>
  <c r="M27" i="4" s="1"/>
  <c r="L27" i="22"/>
  <c r="M27" i="22" s="1"/>
  <c r="L37" i="22"/>
  <c r="L37" i="4"/>
  <c r="S131" i="14"/>
  <c r="L36" i="4"/>
  <c r="L36" i="22"/>
  <c r="L32" i="22"/>
  <c r="M32" i="22" s="1"/>
  <c r="L32" i="4"/>
  <c r="M32" i="4" s="1"/>
  <c r="L48" i="22"/>
  <c r="N48" i="22" s="1"/>
  <c r="L48" i="4"/>
  <c r="M48" i="4" s="1"/>
  <c r="L47" i="4"/>
  <c r="M47" i="4" s="1"/>
  <c r="L47" i="22"/>
  <c r="N47" i="22" s="1"/>
  <c r="N8" i="13"/>
  <c r="L33" i="22"/>
  <c r="M33" i="22" s="1"/>
  <c r="L33" i="4"/>
  <c r="M33" i="4" s="1"/>
  <c r="L11" i="22"/>
  <c r="M11" i="22" s="1"/>
  <c r="L11" i="4"/>
  <c r="M11" i="4" s="1"/>
  <c r="L23" i="4"/>
  <c r="M23" i="4" s="1"/>
  <c r="L23" i="22"/>
  <c r="N23" i="22" s="1"/>
  <c r="L17" i="22"/>
  <c r="L17" i="4"/>
  <c r="K8" i="13"/>
  <c r="G11" i="9"/>
  <c r="F11" i="9"/>
  <c r="I67" i="22"/>
  <c r="L67" i="22" s="1"/>
  <c r="O77" i="4"/>
  <c r="L77" i="4"/>
  <c r="I77" i="4"/>
  <c r="H77" i="4"/>
  <c r="G77" i="4"/>
  <c r="F77" i="4"/>
  <c r="P67" i="4"/>
  <c r="P68" i="4" s="1"/>
  <c r="O65" i="4"/>
  <c r="Q62" i="4"/>
  <c r="K62" i="4"/>
  <c r="J61" i="4"/>
  <c r="I60" i="4"/>
  <c r="K60" i="4" s="1"/>
  <c r="H60" i="4"/>
  <c r="H61" i="4" s="1"/>
  <c r="G60" i="4"/>
  <c r="G61" i="4" s="1"/>
  <c r="F60" i="4"/>
  <c r="F61" i="4" s="1"/>
  <c r="Q58" i="4"/>
  <c r="I54" i="4"/>
  <c r="K54" i="4" s="1"/>
  <c r="G54" i="4"/>
  <c r="H53" i="4"/>
  <c r="Q52" i="4"/>
  <c r="Q48" i="4"/>
  <c r="N48" i="4"/>
  <c r="O48" i="4" s="1"/>
  <c r="K48" i="4"/>
  <c r="Q47" i="4"/>
  <c r="K47" i="4"/>
  <c r="J46" i="4"/>
  <c r="H46" i="4"/>
  <c r="Q45" i="4"/>
  <c r="N45" i="4"/>
  <c r="O45" i="4" s="1"/>
  <c r="K45" i="4"/>
  <c r="Q44" i="4"/>
  <c r="N44" i="4"/>
  <c r="O44" i="4" s="1"/>
  <c r="K44" i="4"/>
  <c r="Q43" i="4"/>
  <c r="N43" i="4"/>
  <c r="K43" i="4"/>
  <c r="O42" i="4"/>
  <c r="N42" i="4"/>
  <c r="O43" i="4"/>
  <c r="I42" i="4"/>
  <c r="Q42" i="4" s="1"/>
  <c r="Q41" i="4"/>
  <c r="N41" i="4"/>
  <c r="O41" i="4" s="1"/>
  <c r="K41" i="4"/>
  <c r="O39" i="4"/>
  <c r="N39" i="4"/>
  <c r="I39" i="4"/>
  <c r="Q39" i="4"/>
  <c r="I37" i="4"/>
  <c r="K37" i="4" s="1"/>
  <c r="H37" i="4"/>
  <c r="K39" i="4"/>
  <c r="P36" i="4"/>
  <c r="J36" i="4"/>
  <c r="I36" i="4"/>
  <c r="H36" i="4"/>
  <c r="G36" i="4"/>
  <c r="P34" i="4"/>
  <c r="L34" i="4"/>
  <c r="J34" i="4"/>
  <c r="I34" i="4"/>
  <c r="H34" i="4"/>
  <c r="G34" i="4"/>
  <c r="Q33" i="4"/>
  <c r="N33" i="4"/>
  <c r="O33" i="4" s="1"/>
  <c r="K33" i="4"/>
  <c r="Q32" i="4"/>
  <c r="N32" i="4"/>
  <c r="O32" i="4" s="1"/>
  <c r="K32" i="4"/>
  <c r="Q30" i="4"/>
  <c r="O30" i="4"/>
  <c r="K30" i="4"/>
  <c r="Q29" i="4"/>
  <c r="M29" i="4"/>
  <c r="K29" i="4"/>
  <c r="Q27" i="4"/>
  <c r="N27" i="4"/>
  <c r="O27" i="4" s="1"/>
  <c r="K27" i="4"/>
  <c r="G24" i="4"/>
  <c r="Q23" i="4"/>
  <c r="K23" i="4"/>
  <c r="F23" i="4"/>
  <c r="F24" i="4" s="1"/>
  <c r="Q22" i="4"/>
  <c r="O22" i="4"/>
  <c r="O24" i="4" s="1"/>
  <c r="K22" i="4"/>
  <c r="Q21" i="4"/>
  <c r="K21" i="4"/>
  <c r="P17" i="4"/>
  <c r="J17" i="4"/>
  <c r="Q16" i="4"/>
  <c r="K16" i="4"/>
  <c r="Q15" i="4"/>
  <c r="K15" i="4"/>
  <c r="H15" i="4"/>
  <c r="Q14" i="4"/>
  <c r="K14" i="4"/>
  <c r="Q13" i="4"/>
  <c r="K13" i="4"/>
  <c r="Q12" i="4"/>
  <c r="K12" i="4"/>
  <c r="Q11" i="4"/>
  <c r="K11" i="4"/>
  <c r="Q10" i="4"/>
  <c r="N10" i="4"/>
  <c r="N24" i="4" s="1"/>
  <c r="K10" i="4"/>
  <c r="P9" i="4"/>
  <c r="J9" i="4"/>
  <c r="I9" i="4"/>
  <c r="I17" i="4" s="1"/>
  <c r="H9" i="4"/>
  <c r="I67" i="4"/>
  <c r="L67" i="4" s="1"/>
  <c r="L53" i="22"/>
  <c r="N53" i="22" s="1"/>
  <c r="L53" i="4"/>
  <c r="D469" i="25"/>
  <c r="P42" i="22" l="1"/>
  <c r="I46" i="22"/>
  <c r="P46" i="22" s="1"/>
  <c r="H17" i="22"/>
  <c r="H24" i="22" s="1"/>
  <c r="S9" i="24"/>
  <c r="V9" i="24"/>
  <c r="U9" i="24"/>
  <c r="S10" i="24"/>
  <c r="U10" i="24"/>
  <c r="V10" i="24"/>
  <c r="S42" i="24"/>
  <c r="U42" i="24"/>
  <c r="V42" i="24"/>
  <c r="S34" i="24"/>
  <c r="V34" i="24"/>
  <c r="U34" i="24"/>
  <c r="S32" i="24"/>
  <c r="U32" i="24"/>
  <c r="V32" i="24"/>
  <c r="S41" i="24"/>
  <c r="V41" i="24"/>
  <c r="U41" i="24"/>
  <c r="K37" i="22"/>
  <c r="Q17" i="4"/>
  <c r="Q54" i="4"/>
  <c r="AP199" i="14"/>
  <c r="AS199" i="14"/>
  <c r="AD5" i="13"/>
  <c r="AF5" i="13"/>
  <c r="AA16" i="12"/>
  <c r="N11" i="22"/>
  <c r="AA19" i="12"/>
  <c r="N22" i="22"/>
  <c r="Q9" i="4"/>
  <c r="M36" i="22"/>
  <c r="N37" i="22"/>
  <c r="P54" i="22"/>
  <c r="M9" i="4"/>
  <c r="H63" i="22"/>
  <c r="H64" i="22" s="1"/>
  <c r="O63" i="22"/>
  <c r="O64" i="22" s="1"/>
  <c r="K36" i="22"/>
  <c r="P39" i="22"/>
  <c r="K46" i="22"/>
  <c r="G63" i="22"/>
  <c r="G64" i="22" s="1"/>
  <c r="G66" i="22" s="1"/>
  <c r="P36" i="22"/>
  <c r="E267" i="32"/>
  <c r="AJ184" i="14" s="1"/>
  <c r="E355" i="32"/>
  <c r="AB15" i="13"/>
  <c r="AF15" i="13" s="1"/>
  <c r="AP219" i="14"/>
  <c r="AD21" i="12"/>
  <c r="O67" i="4"/>
  <c r="K67" i="23"/>
  <c r="F63" i="22"/>
  <c r="F64" i="22" s="1"/>
  <c r="F66" i="22" s="1"/>
  <c r="F69" i="22" s="1"/>
  <c r="N21" i="24"/>
  <c r="P21" i="24" s="1"/>
  <c r="S20" i="12"/>
  <c r="AF193" i="14"/>
  <c r="K52" i="24" s="1"/>
  <c r="H52" i="23" s="1"/>
  <c r="Y18" i="12"/>
  <c r="Y21" i="12" s="1"/>
  <c r="N14" i="24"/>
  <c r="P14" i="24" s="1"/>
  <c r="H23" i="24"/>
  <c r="H24" i="24" s="1"/>
  <c r="T21" i="12"/>
  <c r="T22" i="12" s="1"/>
  <c r="Y22" i="12" s="1"/>
  <c r="X18" i="12"/>
  <c r="F26" i="12"/>
  <c r="M23" i="12"/>
  <c r="K41" i="23"/>
  <c r="L41" i="23" s="1"/>
  <c r="I21" i="23"/>
  <c r="I14" i="23"/>
  <c r="I23" i="23"/>
  <c r="I43" i="23"/>
  <c r="K42" i="23"/>
  <c r="L42" i="23" s="1"/>
  <c r="I27" i="23"/>
  <c r="I16" i="23"/>
  <c r="I44" i="23"/>
  <c r="K32" i="23"/>
  <c r="L32" i="23" s="1"/>
  <c r="I11" i="23"/>
  <c r="I17" i="23"/>
  <c r="I39" i="23"/>
  <c r="I45" i="23"/>
  <c r="I60" i="23"/>
  <c r="I15" i="23"/>
  <c r="I12" i="23"/>
  <c r="I22" i="23"/>
  <c r="I52" i="23"/>
  <c r="M23" i="22"/>
  <c r="N12" i="22"/>
  <c r="M11" i="24"/>
  <c r="M22" i="24"/>
  <c r="M10" i="24"/>
  <c r="S33" i="14"/>
  <c r="Q34" i="4"/>
  <c r="E19" i="13"/>
  <c r="J24" i="22"/>
  <c r="E108" i="25"/>
  <c r="AF182" i="14" s="1"/>
  <c r="E135" i="25"/>
  <c r="E227" i="25"/>
  <c r="E458" i="25"/>
  <c r="J63" i="4"/>
  <c r="E554" i="25"/>
  <c r="Y218" i="14" s="1"/>
  <c r="AC218" i="14" s="1"/>
  <c r="H6" i="25"/>
  <c r="H10" i="25" s="1"/>
  <c r="H110" i="25" s="1"/>
  <c r="H244" i="25" s="1"/>
  <c r="H242" i="25" s="1"/>
  <c r="H239" i="25" s="1"/>
  <c r="N22" i="24"/>
  <c r="P22" i="24" s="1"/>
  <c r="Z6" i="13"/>
  <c r="X22" i="12"/>
  <c r="P24" i="4"/>
  <c r="L21" i="12"/>
  <c r="E539" i="25"/>
  <c r="E481" i="25"/>
  <c r="T135" i="14"/>
  <c r="T225" i="14" s="1"/>
  <c r="G68" i="24" s="1"/>
  <c r="F68" i="23" s="1"/>
  <c r="N17" i="24"/>
  <c r="E383" i="32"/>
  <c r="AM135" i="14"/>
  <c r="AM225" i="14"/>
  <c r="N32" i="24"/>
  <c r="P32" i="24" s="1"/>
  <c r="AK17" i="14"/>
  <c r="O48" i="24" s="1"/>
  <c r="AM5" i="13"/>
  <c r="N34" i="22"/>
  <c r="Z10" i="13"/>
  <c r="F15" i="24"/>
  <c r="L313" i="6"/>
  <c r="G63" i="4"/>
  <c r="G64" i="4" s="1"/>
  <c r="G66" i="4" s="1"/>
  <c r="H65" i="4" s="1"/>
  <c r="P9" i="22"/>
  <c r="E316" i="25"/>
  <c r="AF186" i="14" s="1"/>
  <c r="M13" i="24"/>
  <c r="E145" i="25"/>
  <c r="E316" i="32"/>
  <c r="K17" i="4"/>
  <c r="M34" i="4"/>
  <c r="E442" i="25"/>
  <c r="AF184" i="14" s="1"/>
  <c r="K68" i="24"/>
  <c r="H106" i="25"/>
  <c r="M17" i="24"/>
  <c r="M22" i="12"/>
  <c r="E307" i="32"/>
  <c r="J63" i="22"/>
  <c r="K9" i="22"/>
  <c r="J24" i="4"/>
  <c r="H17" i="4"/>
  <c r="H24" i="4" s="1"/>
  <c r="H63" i="4"/>
  <c r="P63" i="4"/>
  <c r="F63" i="4"/>
  <c r="F64" i="4" s="1"/>
  <c r="F66" i="4" s="1"/>
  <c r="F69" i="4" s="1"/>
  <c r="F23" i="12"/>
  <c r="H68" i="23"/>
  <c r="AH195" i="14"/>
  <c r="AH125" i="14"/>
  <c r="E283" i="32"/>
  <c r="F283" i="32" s="1"/>
  <c r="E105" i="32"/>
  <c r="E109" i="32"/>
  <c r="E171" i="32"/>
  <c r="E10" i="29"/>
  <c r="AJ196" i="14" s="1"/>
  <c r="AJ195" i="14" s="1"/>
  <c r="J17" i="13"/>
  <c r="E21" i="13" s="1"/>
  <c r="K21" i="12"/>
  <c r="H11" i="23"/>
  <c r="L21" i="22"/>
  <c r="M21" i="22" s="1"/>
  <c r="N12" i="24"/>
  <c r="O21" i="12"/>
  <c r="N10" i="22"/>
  <c r="L21" i="4"/>
  <c r="M21" i="4" s="1"/>
  <c r="M9" i="22"/>
  <c r="J11" i="24"/>
  <c r="J21" i="24"/>
  <c r="O80" i="4"/>
  <c r="O77" i="22"/>
  <c r="H65" i="22"/>
  <c r="G69" i="22"/>
  <c r="K61" i="22"/>
  <c r="I63" i="22"/>
  <c r="P63" i="22" s="1"/>
  <c r="P61" i="22"/>
  <c r="H245" i="25"/>
  <c r="H241" i="25"/>
  <c r="H162" i="25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07" i="25" s="1"/>
  <c r="H208" i="25" s="1"/>
  <c r="H209" i="25" s="1"/>
  <c r="H210" i="25" s="1"/>
  <c r="H211" i="25" s="1"/>
  <c r="H212" i="25" s="1"/>
  <c r="H213" i="25" s="1"/>
  <c r="H214" i="25" s="1"/>
  <c r="H215" i="25" s="1"/>
  <c r="H216" i="25" s="1"/>
  <c r="H217" i="25" s="1"/>
  <c r="H218" i="25" s="1"/>
  <c r="H219" i="25" s="1"/>
  <c r="H220" i="25" s="1"/>
  <c r="H221" i="25" s="1"/>
  <c r="H222" i="25" s="1"/>
  <c r="H223" i="25" s="1"/>
  <c r="H224" i="25" s="1"/>
  <c r="H225" i="25" s="1"/>
  <c r="H226" i="25" s="1"/>
  <c r="H273" i="25" s="1"/>
  <c r="H274" i="25" s="1"/>
  <c r="H275" i="25" s="1"/>
  <c r="H276" i="25" s="1"/>
  <c r="H277" i="25" s="1"/>
  <c r="H278" i="25" s="1"/>
  <c r="H279" i="25" s="1"/>
  <c r="H280" i="25" s="1"/>
  <c r="H281" i="25" s="1"/>
  <c r="H282" i="25" s="1"/>
  <c r="H283" i="25" s="1"/>
  <c r="H284" i="25" s="1"/>
  <c r="H285" i="25" s="1"/>
  <c r="H286" i="25" s="1"/>
  <c r="H287" i="25" s="1"/>
  <c r="H288" i="25" s="1"/>
  <c r="H289" i="25" s="1"/>
  <c r="H290" i="25" s="1"/>
  <c r="H291" i="25" s="1"/>
  <c r="H292" i="25" s="1"/>
  <c r="H293" i="25" s="1"/>
  <c r="H294" i="25" s="1"/>
  <c r="H295" i="25" s="1"/>
  <c r="H296" i="25" s="1"/>
  <c r="H297" i="25" s="1"/>
  <c r="H298" i="25" s="1"/>
  <c r="H299" i="25" s="1"/>
  <c r="H300" i="25" s="1"/>
  <c r="H301" i="25" s="1"/>
  <c r="H302" i="25" s="1"/>
  <c r="H303" i="25" s="1"/>
  <c r="H304" i="25" s="1"/>
  <c r="H305" i="25" s="1"/>
  <c r="H306" i="25" s="1"/>
  <c r="H307" i="25" s="1"/>
  <c r="H308" i="25" s="1"/>
  <c r="H309" i="25" s="1"/>
  <c r="H310" i="25" s="1"/>
  <c r="H311" i="25" s="1"/>
  <c r="H312" i="25" s="1"/>
  <c r="H313" i="25" s="1"/>
  <c r="H314" i="25" s="1"/>
  <c r="H315" i="25" s="1"/>
  <c r="H107" i="25"/>
  <c r="E63" i="23"/>
  <c r="K36" i="4"/>
  <c r="M61" i="22"/>
  <c r="E254" i="32"/>
  <c r="AJ186" i="14" s="1"/>
  <c r="E338" i="32"/>
  <c r="M17" i="4"/>
  <c r="K9" i="4"/>
  <c r="Q36" i="4"/>
  <c r="I46" i="4"/>
  <c r="K42" i="4"/>
  <c r="H21" i="12"/>
  <c r="M36" i="4"/>
  <c r="H17" i="13"/>
  <c r="E20" i="13" s="1"/>
  <c r="N13" i="22"/>
  <c r="N9" i="22"/>
  <c r="M60" i="4"/>
  <c r="M60" i="22"/>
  <c r="Q14" i="12"/>
  <c r="X21" i="12"/>
  <c r="P13" i="24"/>
  <c r="I24" i="4"/>
  <c r="N80" i="4" s="1"/>
  <c r="Q37" i="4"/>
  <c r="I61" i="4"/>
  <c r="Q61" i="4" s="1"/>
  <c r="P34" i="22"/>
  <c r="K60" i="22"/>
  <c r="N14" i="22"/>
  <c r="M39" i="4"/>
  <c r="M34" i="22"/>
  <c r="N39" i="22"/>
  <c r="E491" i="25"/>
  <c r="E24" i="29"/>
  <c r="P21" i="12"/>
  <c r="AA17" i="14"/>
  <c r="P7" i="13" s="1"/>
  <c r="J10" i="24"/>
  <c r="AA12" i="12"/>
  <c r="N9" i="24"/>
  <c r="N11" i="24"/>
  <c r="AA9" i="12"/>
  <c r="K34" i="4"/>
  <c r="M37" i="4"/>
  <c r="K5" i="13"/>
  <c r="I17" i="22"/>
  <c r="I24" i="22" s="1"/>
  <c r="K34" i="22"/>
  <c r="G24" i="24"/>
  <c r="F24" i="23" s="1"/>
  <c r="E50" i="29"/>
  <c r="E87" i="32"/>
  <c r="AJ182" i="14" s="1"/>
  <c r="AJ181" i="14" s="1"/>
  <c r="P23" i="24"/>
  <c r="J15" i="24"/>
  <c r="L58" i="24"/>
  <c r="M58" i="24" s="1"/>
  <c r="L24" i="24"/>
  <c r="M14" i="24"/>
  <c r="M21" i="24"/>
  <c r="P29" i="24"/>
  <c r="E348" i="32"/>
  <c r="E376" i="32"/>
  <c r="P15" i="24"/>
  <c r="AN197" i="14"/>
  <c r="Q57" i="24" s="1"/>
  <c r="E23" i="33"/>
  <c r="AN196" i="14" s="1"/>
  <c r="Q58" i="24" s="1"/>
  <c r="Q24" i="24"/>
  <c r="O54" i="24"/>
  <c r="AH224" i="14"/>
  <c r="X16" i="13"/>
  <c r="O61" i="24"/>
  <c r="I61" i="23" s="1"/>
  <c r="P60" i="24"/>
  <c r="AB13" i="13"/>
  <c r="Q61" i="24"/>
  <c r="S14" i="12"/>
  <c r="N68" i="4"/>
  <c r="N68" i="24"/>
  <c r="H68" i="24"/>
  <c r="O68" i="4"/>
  <c r="L68" i="22"/>
  <c r="I68" i="22"/>
  <c r="I68" i="4"/>
  <c r="G68" i="23"/>
  <c r="H67" i="23"/>
  <c r="Q67" i="24"/>
  <c r="T67" i="24" s="1"/>
  <c r="K67" i="24"/>
  <c r="N67" i="24" s="1"/>
  <c r="J67" i="23"/>
  <c r="H67" i="24"/>
  <c r="N67" i="4"/>
  <c r="G67" i="23"/>
  <c r="S16" i="12"/>
  <c r="S128" i="14"/>
  <c r="N61" i="22"/>
  <c r="N36" i="22"/>
  <c r="J45" i="24"/>
  <c r="L41" i="4"/>
  <c r="M41" i="4" s="1"/>
  <c r="N58" i="22"/>
  <c r="V135" i="14"/>
  <c r="V225" i="14" s="1"/>
  <c r="N33" i="22"/>
  <c r="M44" i="22"/>
  <c r="S34" i="14"/>
  <c r="I54" i="24"/>
  <c r="K34" i="24"/>
  <c r="H34" i="23" s="1"/>
  <c r="AK135" i="14"/>
  <c r="Z9" i="13" s="1"/>
  <c r="L30" i="4"/>
  <c r="M30" i="4" s="1"/>
  <c r="J37" i="24"/>
  <c r="K32" i="24"/>
  <c r="H32" i="23" s="1"/>
  <c r="E30" i="33"/>
  <c r="E43" i="33"/>
  <c r="H6" i="33"/>
  <c r="AD17" i="14"/>
  <c r="R7" i="13" s="1"/>
  <c r="Z135" i="14"/>
  <c r="Z225" i="14" s="1"/>
  <c r="L47" i="24"/>
  <c r="G135" i="14"/>
  <c r="G225" i="14" s="1"/>
  <c r="AF220" i="14"/>
  <c r="AJ220" i="14" s="1"/>
  <c r="AJ219" i="14" s="1"/>
  <c r="AJ5" i="14"/>
  <c r="AL5" i="14" s="1"/>
  <c r="AA5" i="13" s="1"/>
  <c r="AG135" i="14"/>
  <c r="V9" i="13" s="1"/>
  <c r="T5" i="13"/>
  <c r="X5" i="13" s="1"/>
  <c r="AJ157" i="14"/>
  <c r="N43" i="24" s="1"/>
  <c r="S18" i="12"/>
  <c r="I61" i="24"/>
  <c r="H61" i="24"/>
  <c r="G61" i="23" s="1"/>
  <c r="J39" i="24"/>
  <c r="S16" i="13"/>
  <c r="P44" i="24"/>
  <c r="M43" i="22"/>
  <c r="M48" i="22"/>
  <c r="J44" i="24"/>
  <c r="S5" i="13"/>
  <c r="R13" i="13"/>
  <c r="N13" i="13"/>
  <c r="AB199" i="14"/>
  <c r="Q13" i="13" s="1"/>
  <c r="H33" i="23"/>
  <c r="Q6" i="14"/>
  <c r="L6" i="13" s="1"/>
  <c r="J225" i="14"/>
  <c r="M62" i="22"/>
  <c r="AC27" i="14"/>
  <c r="K47" i="24"/>
  <c r="H47" i="23" s="1"/>
  <c r="N225" i="14"/>
  <c r="AJ13" i="14"/>
  <c r="O225" i="14"/>
  <c r="I27" i="24"/>
  <c r="J27" i="24" s="1"/>
  <c r="N27" i="22"/>
  <c r="F60" i="23"/>
  <c r="AJ159" i="14"/>
  <c r="N45" i="24" s="1"/>
  <c r="L41" i="22"/>
  <c r="Y17" i="14"/>
  <c r="S130" i="14"/>
  <c r="I163" i="14"/>
  <c r="Y178" i="14"/>
  <c r="AE178" i="14" s="1"/>
  <c r="AE199" i="14"/>
  <c r="J47" i="24"/>
  <c r="U225" i="14"/>
  <c r="N45" i="22"/>
  <c r="S35" i="14"/>
  <c r="M39" i="22"/>
  <c r="AL10" i="13"/>
  <c r="P13" i="13"/>
  <c r="AJ210" i="14"/>
  <c r="AJ199" i="14" s="1"/>
  <c r="M39" i="24"/>
  <c r="O47" i="24"/>
  <c r="I47" i="23" s="1"/>
  <c r="N6" i="13"/>
  <c r="N12" i="13"/>
  <c r="S12" i="13" s="1"/>
  <c r="AE130" i="14"/>
  <c r="S11" i="14"/>
  <c r="R125" i="14"/>
  <c r="M8" i="13" s="1"/>
  <c r="AL8" i="13" s="1"/>
  <c r="E135" i="14"/>
  <c r="E225" i="14" s="1"/>
  <c r="N60" i="22"/>
  <c r="AA135" i="14"/>
  <c r="P9" i="13" s="1"/>
  <c r="K27" i="24"/>
  <c r="H27" i="23" s="1"/>
  <c r="H39" i="23"/>
  <c r="R6" i="14"/>
  <c r="L27" i="14"/>
  <c r="X14" i="13"/>
  <c r="AC130" i="14"/>
  <c r="F63" i="24"/>
  <c r="AB125" i="14"/>
  <c r="Q8" i="13" s="1"/>
  <c r="AD147" i="14"/>
  <c r="AD135" i="14" s="1"/>
  <c r="AL218" i="14"/>
  <c r="AA14" i="13" s="1"/>
  <c r="AL11" i="13"/>
  <c r="H41" i="24"/>
  <c r="G33" i="23"/>
  <c r="G36" i="24"/>
  <c r="F36" i="23" s="1"/>
  <c r="K37" i="24"/>
  <c r="M47" i="22"/>
  <c r="Y135" i="14"/>
  <c r="L199" i="14"/>
  <c r="AC205" i="14"/>
  <c r="J32" i="24"/>
  <c r="T11" i="13"/>
  <c r="X11" i="13" s="1"/>
  <c r="AE195" i="14"/>
  <c r="N34" i="24"/>
  <c r="M44" i="24"/>
  <c r="H42" i="24"/>
  <c r="G42" i="23" s="1"/>
  <c r="G37" i="23"/>
  <c r="R8" i="13"/>
  <c r="S8" i="13" s="1"/>
  <c r="AL12" i="13"/>
  <c r="G44" i="23"/>
  <c r="S178" i="14"/>
  <c r="M52" i="22"/>
  <c r="AE125" i="14"/>
  <c r="J43" i="24"/>
  <c r="V10" i="13"/>
  <c r="L6" i="14"/>
  <c r="AB130" i="14"/>
  <c r="Q12" i="13" s="1"/>
  <c r="F135" i="14"/>
  <c r="F225" i="14" s="1"/>
  <c r="S12" i="14"/>
  <c r="L20" i="14"/>
  <c r="I17" i="14"/>
  <c r="L42" i="22"/>
  <c r="L42" i="4"/>
  <c r="M42" i="4" s="1"/>
  <c r="G53" i="24"/>
  <c r="F53" i="23" s="1"/>
  <c r="G32" i="23"/>
  <c r="K30" i="24"/>
  <c r="M30" i="24" s="1"/>
  <c r="AG17" i="14"/>
  <c r="O41" i="24"/>
  <c r="I41" i="23" s="1"/>
  <c r="R11" i="13"/>
  <c r="AN131" i="14"/>
  <c r="AU131" i="14" s="1"/>
  <c r="T30" i="24" s="1"/>
  <c r="N30" i="24"/>
  <c r="AJ130" i="14"/>
  <c r="I58" i="24"/>
  <c r="J58" i="24" s="1"/>
  <c r="AF17" i="14"/>
  <c r="AJ18" i="14"/>
  <c r="AJ17" i="14" s="1"/>
  <c r="AF130" i="14"/>
  <c r="J36" i="24"/>
  <c r="G36" i="23"/>
  <c r="AH6" i="14"/>
  <c r="T6" i="13"/>
  <c r="S43" i="14"/>
  <c r="AC43" i="14"/>
  <c r="AF199" i="14"/>
  <c r="Z15" i="13"/>
  <c r="K36" i="24"/>
  <c r="AJ12" i="14"/>
  <c r="AN12" i="14" s="1"/>
  <c r="H43" i="23"/>
  <c r="M43" i="24"/>
  <c r="P39" i="24"/>
  <c r="H45" i="23"/>
  <c r="M45" i="24"/>
  <c r="AC219" i="14"/>
  <c r="N15" i="13"/>
  <c r="J30" i="24"/>
  <c r="Q135" i="14"/>
  <c r="S37" i="14"/>
  <c r="AC37" i="14"/>
  <c r="AJ125" i="14"/>
  <c r="AN126" i="14"/>
  <c r="AB6" i="14"/>
  <c r="Q6" i="13" s="1"/>
  <c r="P6" i="13"/>
  <c r="M37" i="22"/>
  <c r="N32" i="22"/>
  <c r="L30" i="22"/>
  <c r="G27" i="23"/>
  <c r="AC195" i="14"/>
  <c r="AB195" i="14"/>
  <c r="Q11" i="13" s="1"/>
  <c r="N11" i="13"/>
  <c r="AM11" i="13" s="1"/>
  <c r="P10" i="13"/>
  <c r="AJ144" i="14"/>
  <c r="AN144" i="14" s="1"/>
  <c r="AN141" i="14" s="1"/>
  <c r="AN135" i="14" s="1"/>
  <c r="AS135" i="14" s="1"/>
  <c r="AF141" i="14"/>
  <c r="N37" i="24"/>
  <c r="AN9" i="14"/>
  <c r="Q37" i="24" s="1"/>
  <c r="AF147" i="14"/>
  <c r="AJ151" i="14"/>
  <c r="N41" i="24"/>
  <c r="Q17" i="14"/>
  <c r="L7" i="13" s="1"/>
  <c r="AE6" i="14"/>
  <c r="R17" i="14"/>
  <c r="AN8" i="14"/>
  <c r="J33" i="24"/>
  <c r="R199" i="14"/>
  <c r="AC20" i="14"/>
  <c r="G34" i="24"/>
  <c r="F34" i="23" s="1"/>
  <c r="AL5" i="13"/>
  <c r="G46" i="24"/>
  <c r="F46" i="23" s="1"/>
  <c r="T8" i="13"/>
  <c r="X8" i="13" s="1"/>
  <c r="K62" i="24"/>
  <c r="AJ224" i="14"/>
  <c r="J34" i="24"/>
  <c r="K41" i="24"/>
  <c r="Z21" i="12"/>
  <c r="AA6" i="12"/>
  <c r="O24" i="24"/>
  <c r="S6" i="12"/>
  <c r="S19" i="12"/>
  <c r="S5" i="12"/>
  <c r="I22" i="24"/>
  <c r="J22" i="24" s="1"/>
  <c r="I17" i="24"/>
  <c r="J17" i="24" s="1"/>
  <c r="F9" i="23"/>
  <c r="J13" i="24"/>
  <c r="M12" i="24"/>
  <c r="M16" i="24"/>
  <c r="M23" i="24"/>
  <c r="H22" i="23"/>
  <c r="M9" i="24"/>
  <c r="N15" i="22"/>
  <c r="G16" i="23"/>
  <c r="J12" i="24"/>
  <c r="K24" i="24"/>
  <c r="M15" i="24"/>
  <c r="P16" i="24"/>
  <c r="N16" i="22"/>
  <c r="G12" i="23"/>
  <c r="J16" i="24"/>
  <c r="I9" i="24"/>
  <c r="I14" i="24"/>
  <c r="J14" i="24" s="1"/>
  <c r="R21" i="12"/>
  <c r="J30" i="23" l="1"/>
  <c r="P77" i="4"/>
  <c r="K17" i="13"/>
  <c r="G23" i="23"/>
  <c r="G24" i="23" s="1"/>
  <c r="J23" i="24"/>
  <c r="S24" i="24"/>
  <c r="T79" i="24"/>
  <c r="U24" i="24"/>
  <c r="V24" i="24"/>
  <c r="W19" i="12"/>
  <c r="S37" i="24"/>
  <c r="V37" i="24"/>
  <c r="U37" i="24"/>
  <c r="S57" i="24"/>
  <c r="U57" i="24"/>
  <c r="V57" i="24"/>
  <c r="U58" i="24"/>
  <c r="V58" i="24"/>
  <c r="S58" i="24"/>
  <c r="U61" i="24"/>
  <c r="S61" i="24"/>
  <c r="V61" i="24"/>
  <c r="AN125" i="14"/>
  <c r="AB8" i="13" s="1"/>
  <c r="AU125" i="14"/>
  <c r="AU130" i="14"/>
  <c r="AG12" i="13" s="1"/>
  <c r="AD13" i="13"/>
  <c r="AF13" i="13"/>
  <c r="AD10" i="13"/>
  <c r="AF10" i="13"/>
  <c r="Y5" i="13"/>
  <c r="K22" i="12"/>
  <c r="W8" i="12"/>
  <c r="P64" i="4"/>
  <c r="W21" i="12"/>
  <c r="W5" i="12"/>
  <c r="W9" i="12"/>
  <c r="Q46" i="24"/>
  <c r="AP135" i="14"/>
  <c r="W17" i="12"/>
  <c r="W6" i="12"/>
  <c r="W10" i="12"/>
  <c r="H66" i="22"/>
  <c r="I65" i="22" s="1"/>
  <c r="Z7" i="13"/>
  <c r="Z17" i="13" s="1"/>
  <c r="N10" i="24"/>
  <c r="N24" i="24" s="1"/>
  <c r="M52" i="24"/>
  <c r="AJ193" i="14"/>
  <c r="N52" i="24" s="1"/>
  <c r="P52" i="24" s="1"/>
  <c r="W14" i="12"/>
  <c r="AA18" i="12"/>
  <c r="W15" i="12"/>
  <c r="W12" i="12"/>
  <c r="W20" i="12"/>
  <c r="P12" i="24"/>
  <c r="W13" i="12"/>
  <c r="W11" i="12"/>
  <c r="W18" i="12"/>
  <c r="W16" i="12"/>
  <c r="H22" i="12"/>
  <c r="H23" i="12"/>
  <c r="Q79" i="24"/>
  <c r="I24" i="23"/>
  <c r="K9" i="23"/>
  <c r="J24" i="23"/>
  <c r="F24" i="24"/>
  <c r="F64" i="24" s="1"/>
  <c r="E15" i="23"/>
  <c r="E24" i="23" s="1"/>
  <c r="E64" i="23" s="1"/>
  <c r="I48" i="23"/>
  <c r="I54" i="23"/>
  <c r="K61" i="23"/>
  <c r="L61" i="23" s="1"/>
  <c r="K34" i="23"/>
  <c r="H24" i="23"/>
  <c r="P17" i="24"/>
  <c r="L24" i="22"/>
  <c r="M24" i="22" s="1"/>
  <c r="L24" i="4"/>
  <c r="M24" i="4" s="1"/>
  <c r="AF181" i="14"/>
  <c r="AF178" i="14" s="1"/>
  <c r="AH178" i="14" s="1"/>
  <c r="S6" i="14"/>
  <c r="N58" i="24"/>
  <c r="N14" i="13"/>
  <c r="S14" i="13" s="1"/>
  <c r="AE218" i="14"/>
  <c r="N27" i="24"/>
  <c r="P27" i="24" s="1"/>
  <c r="P9" i="24"/>
  <c r="H64" i="4"/>
  <c r="H66" i="4" s="1"/>
  <c r="I65" i="4" s="1"/>
  <c r="AK225" i="14"/>
  <c r="AA225" i="14"/>
  <c r="P17" i="13" s="1"/>
  <c r="Q36" i="24"/>
  <c r="F25" i="12"/>
  <c r="K23" i="12"/>
  <c r="Q21" i="12"/>
  <c r="G69" i="4"/>
  <c r="S21" i="12"/>
  <c r="AF219" i="14"/>
  <c r="AH219" i="14" s="1"/>
  <c r="AB17" i="14"/>
  <c r="Q7" i="13" s="1"/>
  <c r="M61" i="4"/>
  <c r="N21" i="22"/>
  <c r="M24" i="24"/>
  <c r="M34" i="24"/>
  <c r="I80" i="22"/>
  <c r="I64" i="22"/>
  <c r="P24" i="22"/>
  <c r="P64" i="22" s="1"/>
  <c r="K24" i="22"/>
  <c r="P11" i="24"/>
  <c r="K17" i="22"/>
  <c r="Q46" i="4"/>
  <c r="N46" i="4"/>
  <c r="K46" i="4"/>
  <c r="Q24" i="4"/>
  <c r="AG225" i="14"/>
  <c r="L46" i="24"/>
  <c r="AN195" i="14"/>
  <c r="AS195" i="14" s="1"/>
  <c r="F24" i="12"/>
  <c r="M17" i="22"/>
  <c r="P17" i="22"/>
  <c r="I81" i="22"/>
  <c r="K63" i="22"/>
  <c r="I82" i="22"/>
  <c r="H69" i="4"/>
  <c r="K61" i="4"/>
  <c r="I80" i="4"/>
  <c r="I63" i="4"/>
  <c r="N17" i="22"/>
  <c r="K24" i="4"/>
  <c r="AN130" i="14"/>
  <c r="AS130" i="14" s="1"/>
  <c r="Q30" i="24"/>
  <c r="S30" i="24" s="1"/>
  <c r="I48" i="24"/>
  <c r="O46" i="24"/>
  <c r="M32" i="24"/>
  <c r="P45" i="24"/>
  <c r="N7" i="13"/>
  <c r="S7" i="13" s="1"/>
  <c r="H48" i="24"/>
  <c r="G48" i="23" s="1"/>
  <c r="AE17" i="14"/>
  <c r="S13" i="13"/>
  <c r="AM12" i="13"/>
  <c r="Y15" i="13"/>
  <c r="AL219" i="14"/>
  <c r="AA15" i="13" s="1"/>
  <c r="L17" i="14"/>
  <c r="L225" i="14" s="1"/>
  <c r="P43" i="24"/>
  <c r="I135" i="14"/>
  <c r="J61" i="24"/>
  <c r="S125" i="14"/>
  <c r="I6" i="33"/>
  <c r="AL17" i="14"/>
  <c r="AA7" i="13" s="1"/>
  <c r="M47" i="24"/>
  <c r="L54" i="4"/>
  <c r="M54" i="4" s="1"/>
  <c r="M41" i="22"/>
  <c r="N41" i="22"/>
  <c r="H54" i="24"/>
  <c r="G54" i="23" s="1"/>
  <c r="J42" i="24"/>
  <c r="AB178" i="14"/>
  <c r="Q10" i="13" s="1"/>
  <c r="AN13" i="14"/>
  <c r="N33" i="24"/>
  <c r="AH17" i="14"/>
  <c r="S6" i="13"/>
  <c r="AC178" i="14"/>
  <c r="L54" i="22"/>
  <c r="M37" i="24"/>
  <c r="H37" i="23"/>
  <c r="M27" i="24"/>
  <c r="N10" i="13"/>
  <c r="AM10" i="13" s="1"/>
  <c r="M6" i="13"/>
  <c r="AM6" i="13" s="1"/>
  <c r="AC6" i="14"/>
  <c r="AC125" i="14"/>
  <c r="G47" i="24"/>
  <c r="F47" i="23" s="1"/>
  <c r="G41" i="23"/>
  <c r="J41" i="24"/>
  <c r="Y225" i="14"/>
  <c r="AJ6" i="14"/>
  <c r="Y6" i="13" s="1"/>
  <c r="P41" i="24"/>
  <c r="H30" i="23"/>
  <c r="N36" i="24"/>
  <c r="Q225" i="14"/>
  <c r="L46" i="4"/>
  <c r="M46" i="4" s="1"/>
  <c r="V7" i="13"/>
  <c r="V17" i="13" s="1"/>
  <c r="L48" i="24"/>
  <c r="P30" i="24"/>
  <c r="N42" i="22"/>
  <c r="M42" i="22"/>
  <c r="P34" i="24"/>
  <c r="H46" i="24"/>
  <c r="G46" i="23" s="1"/>
  <c r="AB135" i="14"/>
  <c r="Q9" i="13" s="1"/>
  <c r="N9" i="13"/>
  <c r="AM9" i="13" s="1"/>
  <c r="L46" i="22"/>
  <c r="L63" i="22" s="1"/>
  <c r="AC135" i="14"/>
  <c r="AM8" i="13"/>
  <c r="AB9" i="13"/>
  <c r="M7" i="13"/>
  <c r="G48" i="24"/>
  <c r="F48" i="23" s="1"/>
  <c r="S17" i="14"/>
  <c r="R225" i="14"/>
  <c r="AL199" i="14"/>
  <c r="AA13" i="13" s="1"/>
  <c r="Y13" i="13"/>
  <c r="Y7" i="13"/>
  <c r="N48" i="24"/>
  <c r="R9" i="13"/>
  <c r="I46" i="24"/>
  <c r="AE135" i="14"/>
  <c r="T7" i="13"/>
  <c r="K48" i="24"/>
  <c r="AL130" i="14"/>
  <c r="AA12" i="13" s="1"/>
  <c r="Y12" i="13"/>
  <c r="S199" i="14"/>
  <c r="F61" i="23"/>
  <c r="AC199" i="14"/>
  <c r="M13" i="13"/>
  <c r="S15" i="13"/>
  <c r="AM15" i="13"/>
  <c r="P37" i="24"/>
  <c r="N47" i="24"/>
  <c r="AL125" i="14"/>
  <c r="AA8" i="13" s="1"/>
  <c r="Y8" i="13"/>
  <c r="M30" i="22"/>
  <c r="N30" i="22"/>
  <c r="M36" i="24"/>
  <c r="H36" i="23"/>
  <c r="K61" i="24"/>
  <c r="T13" i="13"/>
  <c r="X13" i="13" s="1"/>
  <c r="AH199" i="14"/>
  <c r="H62" i="23"/>
  <c r="AJ141" i="14"/>
  <c r="AF135" i="14"/>
  <c r="Y11" i="13"/>
  <c r="AL195" i="14"/>
  <c r="AA11" i="13" s="1"/>
  <c r="S11" i="13"/>
  <c r="M41" i="24"/>
  <c r="H41" i="23"/>
  <c r="K42" i="24"/>
  <c r="AJ147" i="14"/>
  <c r="N42" i="24" s="1"/>
  <c r="N62" i="24"/>
  <c r="Y16" i="13"/>
  <c r="X6" i="13"/>
  <c r="S135" i="14"/>
  <c r="L9" i="13"/>
  <c r="AL9" i="13" s="1"/>
  <c r="AC17" i="14"/>
  <c r="AH130" i="14"/>
  <c r="T12" i="13"/>
  <c r="X12" i="13" s="1"/>
  <c r="AD225" i="14"/>
  <c r="Z22" i="12"/>
  <c r="AA22" i="12" s="1"/>
  <c r="AA21" i="12"/>
  <c r="H79" i="24"/>
  <c r="K79" i="24"/>
  <c r="I24" i="24"/>
  <c r="J9" i="24"/>
  <c r="AU225" i="14" l="1"/>
  <c r="AG17" i="13" s="1"/>
  <c r="Q47" i="24"/>
  <c r="S47" i="24" s="1"/>
  <c r="AP125" i="14"/>
  <c r="AS125" i="14"/>
  <c r="AB225" i="14"/>
  <c r="Q17" i="13" s="1"/>
  <c r="S36" i="24"/>
  <c r="V36" i="24"/>
  <c r="U36" i="24"/>
  <c r="V30" i="24"/>
  <c r="U30" i="24"/>
  <c r="S46" i="24"/>
  <c r="U46" i="24"/>
  <c r="V46" i="24"/>
  <c r="H69" i="22"/>
  <c r="T47" i="24"/>
  <c r="AG8" i="13"/>
  <c r="AD8" i="13"/>
  <c r="AF8" i="13"/>
  <c r="AD9" i="13"/>
  <c r="AF9" i="13"/>
  <c r="AD7" i="13"/>
  <c r="AF7" i="13"/>
  <c r="K46" i="23"/>
  <c r="L46" i="23" s="1"/>
  <c r="P10" i="24"/>
  <c r="P24" i="24"/>
  <c r="N79" i="24"/>
  <c r="P58" i="24"/>
  <c r="J80" i="23"/>
  <c r="AB12" i="13"/>
  <c r="AP130" i="14"/>
  <c r="AB11" i="13"/>
  <c r="AP195" i="14"/>
  <c r="T10" i="13"/>
  <c r="X10" i="13" s="1"/>
  <c r="K54" i="24"/>
  <c r="H54" i="23" s="1"/>
  <c r="T15" i="13"/>
  <c r="X15" i="13" s="1"/>
  <c r="AF225" i="14"/>
  <c r="AH225" i="14" s="1"/>
  <c r="AJ178" i="14"/>
  <c r="AL178" i="14" s="1"/>
  <c r="AA10" i="13" s="1"/>
  <c r="K36" i="23"/>
  <c r="L36" i="23" s="1"/>
  <c r="L9" i="23"/>
  <c r="L24" i="23" s="1"/>
  <c r="K24" i="23"/>
  <c r="K80" i="23" s="1"/>
  <c r="O63" i="24"/>
  <c r="I46" i="23"/>
  <c r="L34" i="23"/>
  <c r="G80" i="23"/>
  <c r="AM14" i="13"/>
  <c r="AM7" i="13"/>
  <c r="L63" i="24"/>
  <c r="L64" i="24" s="1"/>
  <c r="M313" i="6"/>
  <c r="H80" i="23"/>
  <c r="J48" i="24"/>
  <c r="O46" i="4"/>
  <c r="O63" i="4" s="1"/>
  <c r="N63" i="4"/>
  <c r="I81" i="4"/>
  <c r="I82" i="4"/>
  <c r="Q63" i="4"/>
  <c r="Q64" i="4" s="1"/>
  <c r="K63" i="4"/>
  <c r="I64" i="4"/>
  <c r="I66" i="4" s="1"/>
  <c r="I66" i="22"/>
  <c r="AN6" i="14"/>
  <c r="Q33" i="24"/>
  <c r="J54" i="24"/>
  <c r="P62" i="24"/>
  <c r="N61" i="24"/>
  <c r="I225" i="14"/>
  <c r="AE225" i="14"/>
  <c r="J6" i="33"/>
  <c r="AL6" i="14"/>
  <c r="AA6" i="13" s="1"/>
  <c r="P33" i="24"/>
  <c r="L63" i="4"/>
  <c r="M63" i="4" s="1"/>
  <c r="AC225" i="14"/>
  <c r="F66" i="24"/>
  <c r="S10" i="13"/>
  <c r="N54" i="22"/>
  <c r="M54" i="22"/>
  <c r="AL6" i="13"/>
  <c r="G63" i="23"/>
  <c r="G64" i="23" s="1"/>
  <c r="X7" i="13"/>
  <c r="S225" i="14"/>
  <c r="M63" i="22"/>
  <c r="L64" i="22"/>
  <c r="H63" i="24"/>
  <c r="H81" i="24" s="1"/>
  <c r="N17" i="13"/>
  <c r="R23" i="12" s="1"/>
  <c r="M46" i="22"/>
  <c r="N46" i="22"/>
  <c r="P36" i="24"/>
  <c r="P48" i="24"/>
  <c r="L17" i="13"/>
  <c r="AL13" i="13"/>
  <c r="AM13" i="13"/>
  <c r="P42" i="24"/>
  <c r="J46" i="24"/>
  <c r="I63" i="24"/>
  <c r="P47" i="24"/>
  <c r="H61" i="23"/>
  <c r="M60" i="24"/>
  <c r="H48" i="23"/>
  <c r="M48" i="24"/>
  <c r="H42" i="23"/>
  <c r="M42" i="24"/>
  <c r="AH135" i="14"/>
  <c r="T9" i="13"/>
  <c r="K46" i="24"/>
  <c r="S9" i="13"/>
  <c r="R17" i="13"/>
  <c r="G63" i="24"/>
  <c r="AL7" i="13"/>
  <c r="M17" i="13"/>
  <c r="AJ135" i="14"/>
  <c r="J24" i="24"/>
  <c r="J47" i="23" l="1"/>
  <c r="T63" i="24"/>
  <c r="C8" i="11"/>
  <c r="AG25" i="12"/>
  <c r="K47" i="23"/>
  <c r="L47" i="23" s="1"/>
  <c r="S33" i="24"/>
  <c r="V33" i="24"/>
  <c r="U33" i="24"/>
  <c r="U47" i="24"/>
  <c r="V47" i="24"/>
  <c r="AS6" i="14"/>
  <c r="AB6" i="13"/>
  <c r="AF6" i="13" s="1"/>
  <c r="AD11" i="13"/>
  <c r="AF11" i="13"/>
  <c r="AD12" i="13"/>
  <c r="AF12" i="13"/>
  <c r="N54" i="24"/>
  <c r="P54" i="24" s="1"/>
  <c r="M54" i="24"/>
  <c r="AP6" i="14"/>
  <c r="Y10" i="13"/>
  <c r="L80" i="23"/>
  <c r="K30" i="23"/>
  <c r="AN225" i="14"/>
  <c r="G65" i="24"/>
  <c r="F65" i="23" s="1"/>
  <c r="F75" i="24"/>
  <c r="F77" i="24" s="1"/>
  <c r="L65" i="22"/>
  <c r="L66" i="22" s="1"/>
  <c r="L69" i="22" s="1"/>
  <c r="O65" i="22"/>
  <c r="I69" i="22"/>
  <c r="N65" i="4"/>
  <c r="P65" i="4"/>
  <c r="L65" i="4"/>
  <c r="I69" i="4"/>
  <c r="N81" i="4"/>
  <c r="N82" i="4"/>
  <c r="Q63" i="24"/>
  <c r="S63" i="24" s="1"/>
  <c r="O82" i="4"/>
  <c r="O81" i="4"/>
  <c r="O64" i="4"/>
  <c r="O66" i="4" s="1"/>
  <c r="O69" i="4" s="1"/>
  <c r="P61" i="24"/>
  <c r="O64" i="24"/>
  <c r="K6" i="33"/>
  <c r="L64" i="4"/>
  <c r="S17" i="13"/>
  <c r="G82" i="23"/>
  <c r="E66" i="23"/>
  <c r="E69" i="23" s="1"/>
  <c r="J63" i="24"/>
  <c r="F69" i="24"/>
  <c r="E22" i="13"/>
  <c r="H80" i="24"/>
  <c r="H64" i="24"/>
  <c r="M46" i="24"/>
  <c r="H46" i="23"/>
  <c r="H63" i="23" s="1"/>
  <c r="H64" i="23" s="1"/>
  <c r="K63" i="24"/>
  <c r="I64" i="24"/>
  <c r="X9" i="13"/>
  <c r="T17" i="13"/>
  <c r="Y9" i="13"/>
  <c r="N46" i="24"/>
  <c r="AJ225" i="14"/>
  <c r="AL225" i="14" s="1"/>
  <c r="AA17" i="13" s="1"/>
  <c r="AL135" i="14"/>
  <c r="AA9" i="13" s="1"/>
  <c r="F63" i="23"/>
  <c r="G64" i="24"/>
  <c r="N20" i="13"/>
  <c r="J63" i="23" l="1"/>
  <c r="J82" i="23" s="1"/>
  <c r="T64" i="24"/>
  <c r="T80" i="24"/>
  <c r="T81" i="24"/>
  <c r="U63" i="24"/>
  <c r="V63" i="24"/>
  <c r="AP225" i="14"/>
  <c r="AS225" i="14"/>
  <c r="Y17" i="13"/>
  <c r="Y19" i="13" s="1"/>
  <c r="AB17" i="13"/>
  <c r="AD6" i="13"/>
  <c r="Q80" i="24"/>
  <c r="L30" i="23"/>
  <c r="L63" i="23" s="1"/>
  <c r="L82" i="23" s="1"/>
  <c r="K63" i="23"/>
  <c r="G81" i="23"/>
  <c r="F64" i="23"/>
  <c r="F66" i="23" s="1"/>
  <c r="F69" i="23" s="1"/>
  <c r="L66" i="4"/>
  <c r="L69" i="4" s="1"/>
  <c r="Q64" i="24"/>
  <c r="Q81" i="24"/>
  <c r="Q65" i="4"/>
  <c r="Q66" i="4" s="1"/>
  <c r="Q69" i="4" s="1"/>
  <c r="P66" i="4"/>
  <c r="P69" i="4" s="1"/>
  <c r="P65" i="22"/>
  <c r="P66" i="22" s="1"/>
  <c r="P69" i="22" s="1"/>
  <c r="O66" i="22"/>
  <c r="O69" i="22" s="1"/>
  <c r="L6" i="33"/>
  <c r="H81" i="23"/>
  <c r="H82" i="23"/>
  <c r="K81" i="24"/>
  <c r="K64" i="24"/>
  <c r="M63" i="24"/>
  <c r="K80" i="24"/>
  <c r="I63" i="23"/>
  <c r="I64" i="23" s="1"/>
  <c r="P46" i="24"/>
  <c r="N63" i="24"/>
  <c r="G66" i="24"/>
  <c r="T23" i="12"/>
  <c r="W10" i="13"/>
  <c r="W14" i="13"/>
  <c r="W6" i="13"/>
  <c r="W16" i="13"/>
  <c r="T19" i="13"/>
  <c r="W5" i="13"/>
  <c r="W9" i="13"/>
  <c r="W11" i="13"/>
  <c r="W13" i="13"/>
  <c r="W15" i="13"/>
  <c r="W12" i="13"/>
  <c r="W8" i="13"/>
  <c r="W7" i="13"/>
  <c r="W17" i="13"/>
  <c r="X17" i="13"/>
  <c r="J64" i="23" l="1"/>
  <c r="AD19" i="13"/>
  <c r="AF17" i="13"/>
  <c r="AB18" i="13"/>
  <c r="AB23" i="12" s="1"/>
  <c r="AB24" i="12" s="1"/>
  <c r="AD17" i="13"/>
  <c r="J81" i="23"/>
  <c r="K82" i="23"/>
  <c r="K81" i="23"/>
  <c r="L81" i="23"/>
  <c r="K64" i="23"/>
  <c r="L64" i="23"/>
  <c r="N65" i="24"/>
  <c r="O65" i="24"/>
  <c r="G75" i="24"/>
  <c r="P63" i="24"/>
  <c r="M6" i="33"/>
  <c r="H65" i="24"/>
  <c r="H66" i="24" s="1"/>
  <c r="G65" i="23"/>
  <c r="G66" i="23" s="1"/>
  <c r="G69" i="24"/>
  <c r="N80" i="24"/>
  <c r="N64" i="24"/>
  <c r="N81" i="24"/>
  <c r="F75" i="23" l="1"/>
  <c r="G77" i="24"/>
  <c r="N6" i="33"/>
  <c r="H65" i="23"/>
  <c r="H66" i="23" s="1"/>
  <c r="G69" i="23"/>
  <c r="I65" i="24"/>
  <c r="I66" i="24" s="1"/>
  <c r="I69" i="24" s="1"/>
  <c r="H69" i="24"/>
  <c r="K65" i="24"/>
  <c r="L65" i="24"/>
  <c r="L66" i="24" s="1"/>
  <c r="L69" i="24" s="1"/>
  <c r="I65" i="23"/>
  <c r="I66" i="23" s="1"/>
  <c r="I69" i="23" l="1"/>
  <c r="I75" i="23"/>
  <c r="I77" i="23" s="1"/>
  <c r="F77" i="23"/>
  <c r="G75" i="23" s="1"/>
  <c r="G77" i="23" s="1"/>
  <c r="H75" i="24"/>
  <c r="O6" i="33"/>
  <c r="P6" i="33" s="1"/>
  <c r="K66" i="24"/>
  <c r="N66" i="24"/>
  <c r="H77" i="24" l="1"/>
  <c r="Q6" i="33"/>
  <c r="R6" i="33" s="1"/>
  <c r="O66" i="24"/>
  <c r="J65" i="23"/>
  <c r="J66" i="23" s="1"/>
  <c r="N69" i="24"/>
  <c r="K69" i="24"/>
  <c r="J69" i="23" l="1"/>
  <c r="K65" i="23"/>
  <c r="K66" i="23" s="1"/>
  <c r="O69" i="24"/>
  <c r="Q65" i="24"/>
  <c r="O75" i="24"/>
  <c r="O77" i="24" s="1"/>
  <c r="S6" i="33"/>
  <c r="H69" i="23"/>
  <c r="Q66" i="24" l="1"/>
  <c r="Q69" i="24" s="1"/>
  <c r="T65" i="24"/>
  <c r="K75" i="23"/>
  <c r="K77" i="23" s="1"/>
  <c r="L65" i="23"/>
  <c r="L66" i="23" s="1"/>
  <c r="K69" i="23"/>
  <c r="T6" i="33"/>
  <c r="U6" i="33" s="1"/>
  <c r="Q75" i="24" l="1"/>
  <c r="Q77" i="24" s="1"/>
  <c r="T66" i="24"/>
  <c r="L69" i="23"/>
  <c r="L75" i="23"/>
  <c r="L77" i="23" s="1"/>
  <c r="V6" i="33"/>
  <c r="W6" i="33" s="1"/>
  <c r="T69" i="24" l="1"/>
  <c r="T75" i="24"/>
  <c r="X6" i="33"/>
  <c r="Y6" i="33" s="1"/>
  <c r="T77" i="24" l="1"/>
  <c r="J75" i="23"/>
  <c r="J77" i="23" s="1"/>
  <c r="Z6" i="33"/>
  <c r="AA6" i="33" s="1"/>
  <c r="C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นัดถะณา  โคตรมณี</author>
  </authors>
  <commentList>
    <comment ref="Q2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+ค่าจ้างเหมางบแรงงานต่างด้าว</t>
        </r>
      </text>
    </comment>
    <comment ref="O48" authorId="0" shapeId="0" xr:uid="{71E9FA18-7AD3-468E-A97D-3ADD28BE98F8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+ค่าจ่ายยาทางไปรษณี งบ.2.5%</t>
        </r>
      </text>
    </comment>
    <comment ref="Q4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+โครงการฝังยาคุม งบแรงงานต่างด้าว 600000</t>
        </r>
      </text>
    </comment>
    <comment ref="O54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+งบลงทุนแรงงานต่างด้าว 1910941.20</t>
        </r>
      </text>
    </comment>
    <comment ref="Q58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+งบลงทุนแรงงานต่างด้าว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นัดถะณา  โคตรมณี</author>
  </authors>
  <commentList>
    <comment ref="AN206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ทุนพยาบาล</t>
        </r>
      </text>
    </comment>
    <comment ref="AR215" authorId="0" shapeId="0" xr:uid="{C6CE78C8-3272-417E-ADBC-347CEAC6B230}">
      <text>
        <r>
          <rPr>
            <b/>
            <sz val="9"/>
            <color indexed="81"/>
            <rFont val="Tahoma"/>
            <family val="2"/>
          </rPr>
          <t>นัดถะณา  โคตรมณี:</t>
        </r>
        <r>
          <rPr>
            <sz val="9"/>
            <color indexed="81"/>
            <rFont val="Tahoma"/>
            <family val="2"/>
          </rPr>
          <t xml:space="preserve">
เงินช่วยเหลือเบื้องต้นผู้รับบริการและให้บริการ</t>
        </r>
      </text>
    </comment>
  </commentList>
</comments>
</file>

<file path=xl/sharedStrings.xml><?xml version="1.0" encoding="utf-8"?>
<sst xmlns="http://schemas.openxmlformats.org/spreadsheetml/2006/main" count="31988" uniqueCount="2775">
  <si>
    <t>ตามนโยบายการลงทุน Environment , Modernization And Smart Service : EMS</t>
  </si>
  <si>
    <t>หน่วย : บาท</t>
  </si>
  <si>
    <t>ลำดับ</t>
  </si>
  <si>
    <t>รายการ</t>
  </si>
  <si>
    <t>รวม</t>
  </si>
  <si>
    <t>หน่วยนับ</t>
  </si>
  <si>
    <t>จำนวนหน่วย</t>
  </si>
  <si>
    <t>เป็นเงิน</t>
  </si>
  <si>
    <t>ครุภัณฑ์</t>
  </si>
  <si>
    <t>สิ่งก่อสร้าง</t>
  </si>
  <si>
    <t>ผู้จัดทำ..........................................................................</t>
  </si>
  <si>
    <t>ประเภทงบ 
(ครุภัณฑ์/สิ่งก่อสร้าง)</t>
  </si>
  <si>
    <t>ข้อมูลย้อนหลัง 3 ปีงบประมาณ</t>
  </si>
  <si>
    <t>แผนปี 2567</t>
  </si>
  <si>
    <t>แผนปี 2568</t>
  </si>
  <si>
    <t xml:space="preserve"> รายรับ</t>
  </si>
  <si>
    <t>รายรับจากการดำเนินงาน</t>
  </si>
  <si>
    <t>รายรับค่ารักษาพยาบาลสำหรับโครงการสุขภาพถ้วนหน้า UC</t>
  </si>
  <si>
    <t>รายรับค่ารักษาพยาบาลสำหรับโครงการสุขภาพถ้วนหน้า UC งบลงทุน</t>
  </si>
  <si>
    <t>รายรับจากระบบปฏิบัติการฉุกเฉิน (EMS)</t>
  </si>
  <si>
    <t>รายรับค่ารักษาพยาบาลเบิกจ่ายตรงกรมบัญชีกลาง</t>
  </si>
  <si>
    <t>รายรับค่ารักษาพยาบาลผู้ป่วยเบิกต้นสังกัด</t>
  </si>
  <si>
    <t>รายรับค่ารักษาพยาบาลเบิกจาก อปท.</t>
  </si>
  <si>
    <t>รายรับค่ารักษาพยาบาลจากกองทุนประกันสังคม</t>
  </si>
  <si>
    <t>รายรับค่ารักษาพยาบาลแรงงานต่างด้าว</t>
  </si>
  <si>
    <t>รายรับค่ารักษาพยาบาลและการบริการอื่น</t>
  </si>
  <si>
    <t xml:space="preserve">รายรับอื่น </t>
  </si>
  <si>
    <t>รายรับเงินช่วยเหลือ</t>
  </si>
  <si>
    <t>รายรับเงินอุดหนุน</t>
  </si>
  <si>
    <t>รายรับจากการบริจาค</t>
  </si>
  <si>
    <t>รายรับดอกเบี้ยเงินฝากธนาคาร</t>
  </si>
  <si>
    <t>รายรับอื่น</t>
  </si>
  <si>
    <t>รวมรายรับ</t>
  </si>
  <si>
    <t xml:space="preserve"> รายจ่าย</t>
  </si>
  <si>
    <t>รายจ่ายบุคลากร</t>
  </si>
  <si>
    <t>ค่าจ้างลูกจ้างชั่วคราว / พนักงานกระทรวง</t>
  </si>
  <si>
    <t>ค่าตอบแทนเงินเพิ่มพิเศษไม่ทำเวชปฏิบัติส่วนตัว หรือปฏิบัติงาน รพ.เอกชน</t>
  </si>
  <si>
    <t>ค่าตอบแทนเบี้ยเลี้ยงเหมาจ่าย (ฉ.11)</t>
  </si>
  <si>
    <t>ค่าตอบแทนตามผลการปฏิบัติงาน (ฉ.12)</t>
  </si>
  <si>
    <t>เงินเพิ่ม (พ.ต.ส)</t>
  </si>
  <si>
    <t>ค่าตอบแทนเจ้าหน้าที่ปฏิบัติงานในคลินิกพิเศษเฉพาะทางนอกเวลาราชการ (SMC)</t>
  </si>
  <si>
    <t>เงินค่าใช้จ่ายบุคลากรอื่น</t>
  </si>
  <si>
    <t>รายจ่ายจากการดำเนินงาน</t>
  </si>
  <si>
    <t xml:space="preserve">ค่ายา </t>
  </si>
  <si>
    <t>ค่าวัสดุทางการแพทย์ / วัสดุวิทยาศาสตร์การแพทย์ / วัสดุทันตกรรม</t>
  </si>
  <si>
    <t xml:space="preserve">    ค่าวัสดุการแพทย์</t>
  </si>
  <si>
    <t xml:space="preserve">    ค่าวัสดุวิทยาศาสตร์การแพทย์</t>
  </si>
  <si>
    <t xml:space="preserve">    ค่าวัสดุเภสัช</t>
  </si>
  <si>
    <t xml:space="preserve">    ค่าวัสดุทันตกรรม</t>
  </si>
  <si>
    <t xml:space="preserve">    ค่าวัสดุเอ็กซเรย์</t>
  </si>
  <si>
    <t>ค่าวัสดุอื่น</t>
  </si>
  <si>
    <t>ค่าสาธารณูปโภค</t>
  </si>
  <si>
    <t>ค่าใช้สอย</t>
  </si>
  <si>
    <t>ค่าใช้จ่ายดำเนินงานอื่น</t>
  </si>
  <si>
    <t>ค่าที่ดินและสิ่งก่อสร้าง</t>
  </si>
  <si>
    <t>รวมรายจ่าย</t>
  </si>
  <si>
    <t>รายรับสูง(ต่ำกว่า)รายจ่ายสุทธิ</t>
  </si>
  <si>
    <t>บวกเงินคงเหลือสะสมยกมา</t>
  </si>
  <si>
    <t>เงินคงเหลือทั้งสิ้น(1)</t>
  </si>
  <si>
    <t>หักเงินกองทุนรอการจัดสรร(4)</t>
  </si>
  <si>
    <t>หักภาระผูกพัน(5)</t>
  </si>
  <si>
    <t>เงินคงเหลือทั้งสิ้น ประกอบด้วย</t>
  </si>
  <si>
    <t>เงินสด</t>
  </si>
  <si>
    <t>เงินฝากคลัง</t>
  </si>
  <si>
    <t>เงินฝากธนาคาร</t>
  </si>
  <si>
    <t>ประเภทประจำ</t>
  </si>
  <si>
    <t>ประเภทออมทรัพย์</t>
  </si>
  <si>
    <t>ประเภทกระแสรายวัน</t>
  </si>
  <si>
    <t>รวมเงินคงเหลือทั้งสิ้น(2)</t>
  </si>
  <si>
    <t>สมมติฐานในการจัดทำแผน</t>
  </si>
  <si>
    <t>รายรับแต่ละหมวด % เพิ่มในแต่ละปี (%)</t>
  </si>
  <si>
    <t>รายจ่ายแต่ละหมวด % เพิ่มในแต่ละปี (%)</t>
  </si>
  <si>
    <t>การลงทุน สัดส่วน % ต่อรายจ่าย (%)</t>
  </si>
  <si>
    <t>2. เงินคงเหลือทั้งสิ้น (1) ต้องเท่ากับยอดรวมเงินคงเหลือทั้งสิ้น (2)</t>
  </si>
  <si>
    <t>3. เงินคงเหลือทั้งสิ้นปีงบประมาณ 2565 (3)  ต้องเท่ากับยอดเงินคงเหลือสะสมยกมาในปีงบประมาณ 2566 (3)</t>
  </si>
  <si>
    <t>4. เงินกองทุน UC , กองทุนแรงงานต่างด้าว และกองทุนประกันสังคม ฯลฯ ที่รับไว้เพื่อรอจัดสรรให้กับบุคคลอื่น หรือหน่วยงานอื่น</t>
  </si>
  <si>
    <t>5. ภาระผูกพัน (5) ในรายงานการรับ - จ่ายเงินบำรุง ต้องเท่ากับ รวมภาระผูกพันทั้งสิ้น (5) ในรายละเอียดภาระผูกพันของหน่วยงาน</t>
  </si>
  <si>
    <t xml:space="preserve">               ลงชื่อ....................................                         ลงชื่อ...............................................................................</t>
  </si>
  <si>
    <t xml:space="preserve">ค่าตอบแทนอื่น </t>
  </si>
  <si>
    <t>ค่าตอบแทนอื่น</t>
  </si>
  <si>
    <t>ค่าครุภัณฑ์</t>
  </si>
  <si>
    <t>รายจ่ายอื่น ๆ</t>
  </si>
  <si>
    <t>**สอดคล้องนโยบายด้านใด</t>
  </si>
  <si>
    <t xml:space="preserve">ค่าล่วงเวลางานบริการ / งานสนับสนุน </t>
  </si>
  <si>
    <t xml:space="preserve">  หมายเหตุ </t>
  </si>
  <si>
    <t xml:space="preserve">1. รายงานการรับ - จ่ายเงินบำรุง เป็นข้อมูลที่แสดงเงินสดรับและเงินสดจ่ายจากกิจกรรมดำเนินงานต่าง ๆ </t>
  </si>
  <si>
    <t>ค่าตอบแทนเจ้าหน้าที่ปฏิบัติงานของเจ้าหน้าที่ (นอกเวลา) ฉ5</t>
  </si>
  <si>
    <t>แหล่งเงิน
(งบค่าเสื่อม/งบบริจาค/เงินบำรุง)</t>
  </si>
  <si>
    <t>รายละเอียดแนบ 2</t>
  </si>
  <si>
    <t>สำนักงานปลัดกระทรวงสาธารณสุข</t>
  </si>
  <si>
    <t>รายละเอียดภาระผูกพันของหน่วยงาน</t>
  </si>
  <si>
    <t>ภาระผูกพันของหน่วยงาน</t>
  </si>
  <si>
    <t>ค่าใช้จ่ายบุคลากรค้างจ่าย</t>
  </si>
  <si>
    <t>ค่าล่วงเวลางานบริการ / งานสนับสนุน</t>
  </si>
  <si>
    <t>ค่าใช้จ่ายจากการดำเนินงานค้างจ่าย</t>
  </si>
  <si>
    <t>ค่าครุภัณฑ์ค้างจ่าย</t>
  </si>
  <si>
    <t>ค่าที่ดินและสิ่งก่อสร้างค้างจ่าย</t>
  </si>
  <si>
    <t>รายจ่ายอื่นค้างจ่าย</t>
  </si>
  <si>
    <t xml:space="preserve">                                                                         รวมภาระผูกพันทั้งสิ้น (5)</t>
  </si>
  <si>
    <t>รายละเอียดแนบ 1</t>
  </si>
  <si>
    <t xml:space="preserve">รายละเอียดเงินกองทุนรอการจัดสรร </t>
  </si>
  <si>
    <t>เงินรอการจัดสรร</t>
  </si>
  <si>
    <t>เงินกองทุนหลักประกันสุขภาพถ้วนหน้ารอการจัดสรร</t>
  </si>
  <si>
    <t>เงินกองทุนประกันสังคมรอการจัดสรร</t>
  </si>
  <si>
    <t>เงินกองทุนแรงงานต่างด้าวรอการจัดสรร</t>
  </si>
  <si>
    <t xml:space="preserve">                                                         รวมเงินกองทุนรอการจัดสรรทั้งสิ้น (4)</t>
  </si>
  <si>
    <t>รายจ่ายอื่นๆ</t>
  </si>
  <si>
    <t>รายจ่ายอื่น</t>
  </si>
  <si>
    <t>รายจ่ายลงทุน</t>
  </si>
  <si>
    <t xml:space="preserve">   ค่าที่ดินและสิ่งก่อสร้างงบค่าเสื่อม</t>
  </si>
  <si>
    <t xml:space="preserve">   ค่าที่ดินและสิ่งก่อสร้างเงินบริจาค</t>
  </si>
  <si>
    <t xml:space="preserve">   ค่าที่ดินและสิ่งก่อสร้างเงินบำรุง</t>
  </si>
  <si>
    <t>ค่าเวชภัณฑ์มิใช่ยา</t>
  </si>
  <si>
    <t>เงินประกัน เงินมัดจำ เงินรับฝากอื่น</t>
  </si>
  <si>
    <t>เงินคงเหลือหลังหักตามข้อ (4) ข้อ(5)</t>
  </si>
  <si>
    <t xml:space="preserve">   ค่าครุภัณฑ์งบค่าเสื่อม</t>
  </si>
  <si>
    <t xml:space="preserve">   ค่าครุภัณฑ์เงินบริจาค</t>
  </si>
  <si>
    <t xml:space="preserve">   ค่าครุภัณฑ์งินบำรุง</t>
  </si>
  <si>
    <t>ค่าวัสดุ</t>
  </si>
  <si>
    <t>รายจ่ายสนับสนุน รพ.สต. รพช. รพท. รพศ. สสอ. สสจ.</t>
  </si>
  <si>
    <t>ค่าตอบแทนการปฏิบัติงานเวรผลัดบ่ายหรือผลัดดึกของเจ้าหน้าที่</t>
  </si>
  <si>
    <t>รายละเอียดรายรับเงินสด</t>
  </si>
  <si>
    <t>รายรับค่าบริการทางการแพทย์สิทธิเบิกจ่ายตรง อปท. (อบต. เทศบาล อบจ. กทม. และเมืองพัทยา)</t>
  </si>
  <si>
    <t>รายรับค่าบริการทางการแพทย์เงินจัดสรรเหมาจ่ายรายหัว OP/IP, ภาระเสี่ยงโรคเรื้อรัง, HA, รายรับอื่นๆ จากกองทุนปกส., จากการเรียกเก็บสิทธิ ปกส.</t>
  </si>
  <si>
    <t>รายรับค่าขึ้นทะเบียนฯ (บัตรประกันสุขภาพ) ค่าตรวจสุขภาพคนต่างด้าวแรงงานต่างด้าว, ค่าธรรมเนียม 30 บาท, จากการเรียกเก็บสิทธิ คนต่างด้าวและแรงงานต่างด้าว</t>
  </si>
  <si>
    <t xml:space="preserve">รายรับค่าบริการทางการแพทย์จากสิทธิชำระเงิน, พรบ., บุคคลที่มีปัญหาสถานะและสิทธิ,ค่าตรวจสุขภาพบุคคลภายนอก, ค่าสิ่งส่งตรวจ, ค่าใบรับรองแพทย์, ค่าธรรมเนียม UC, ค่าบริการอื่นๆ </t>
  </si>
  <si>
    <t xml:space="preserve">รายรับเงินโดยสมัครใจจากรัฐบาลต่างประเทศ หรือองค์กรระหว่างประเทศ </t>
  </si>
  <si>
    <t>รายรับเงินสนับสนุนการดำเนินงาน หรือเพื่อการลงทุน จากส่วนราชการ หรือหน่วยงานของรัฐ (เช่น โครงการจัดซื้อครุภัณฑ์ฯจากกรมพัฒนาพลังงานทดแทนและอนุรักษ์พลังงาน,โครงการสร้างเสริมสุขภาพ จากองค์กรปกครองส่วนท้องถิ่น, เงินสนับสนุนสำหรับโครงการผลิตแพทย์ จากมหาวิทยาลัยในกำกับของรัฐ</t>
  </si>
  <si>
    <t>รายรับงินบริจาค บุคคลธรรมดา หรือภาคเอกชน โดยความสมัครใจ ทั้งระบุวัตถุประสงค์ และไม่ระบุวัตถุประสงค์ (ตัวอย่าง บุคคลทั่วไป บริจาคเงินเพื่อสนับสนุนการจัดหาครุภัณฑ์ทางการแพทย์, เงินสนับสนุนสำหรับโครงการผลิตแพทย์ จากมหาวิทยาลัยเอกชน เป็นต้น)</t>
  </si>
  <si>
    <t>รายรับดอกเบี้ยเงินฝากธนาคาร ประเภทเงินบำรุง เงินนอกงบประมาณอื่น ที่ได้รับอนุญาตให้ใช้จ่าย โดยไม่ต้องนำส่งเป็นรายได้แผ่นดิน</t>
  </si>
  <si>
    <t>รายรับอื่น ๆ</t>
  </si>
  <si>
    <t>ได้แก่ ค่าจ้างชั่วคราวรายวัน รายเดือน รายคาบ พกส. ของหน่วยบริการ</t>
  </si>
  <si>
    <t>ค่าตอบแทนปฏิบัติงานนอกเวลาตามระเบียบ กระทรวงการคลัง ปี พ.ศ. 2550</t>
  </si>
  <si>
    <t>ค่าเวรผลัดบ่ายหรือผลัดดึกของพยาบาล และเจ้าหน้าที่อื่น ตามหลักเกณฑ์ฯ พ.ศ. 2566</t>
  </si>
  <si>
    <t>ค่าตอบแทน ไม่ทำเวชของแพทย์ ทันตแพทย์ เภสัชกร ตามหลักเกณฑ์ฯ พ.ศ. 2566</t>
  </si>
  <si>
    <t>ค่าตอบแทนลักษณะเบี้ยเลี้ยงเหมาจ่าย ตามหลักเกณฑ์ ฯ พ.ศ. 2566</t>
  </si>
  <si>
    <t>ค่าตอบแทนผลการปฏิบัติงาน ตามหลักเกณฑ์ ฯ พ.ศ. 2566</t>
  </si>
  <si>
    <t>ค่าตอบแทนเทียบเคียงเงินเพิ่ม (พตส.)  สำหรับแพทย์ ทันตแพทย์ เภสัช และสหสาขาวิชาชีพ 7 สาขา</t>
  </si>
  <si>
    <t>ค่าตอบแทนในการปฏิบัติงานของเจ้าหน้าที่ ตามหลักเกณฑ์ ฯ พ.ศ. 2566</t>
  </si>
  <si>
    <t>ค่าตอบแทนการปฏิบัติงานในคลินิกพิเศษนอกเวลา ตามหลักเกณฑ์ฯ พ.ศ. 2566</t>
  </si>
  <si>
    <t>เช่น ค่าตอบแทนชันสูตรพลิกศพ, สาขาส่งเสริมพิเศษ, ส่งเสริมสุขภาพและเวชปฏิบัติ และค่าตอบแทนอื่นๆ</t>
  </si>
  <si>
    <t>เช่น เงินสมทบกองทุนปกส.ส่วนของนายจ้าง เงินสมทบกองทุนสำรองเลี้ยงชีพพนักงานและเจ้าหน้าที่รัฐ (พกส.) เงินสมทบกองทุนทดแทน ปกส. เงินช่วยพิเศษกรณีเสียชีวิต (เงินนอกงบประมาณ)</t>
  </si>
  <si>
    <t>รายจ่ายดำเนินงาน</t>
  </si>
  <si>
    <t>ค่ายา  (จากแผนบริหารจัดการเจ้าหนี้ ช่อง [7] แผนการจ่ายชำระปี 25xx  ด้วยเงินนอกงบประมาณ)</t>
  </si>
  <si>
    <t>ค่าวัสดุการแพทย์ /วัสดุวิทยาศาสตร์การแพทย์/ วัสดุเภสัช /วัสดุทันตกรรม /วัสดุเอ๊กซเรย์     (จากแผนบริหารจัดการเจ้าหนี้ ช่อง [7] แผนการจ่ายชำระปี 25xx  ด้วยเงินนอกงบประมาณ)</t>
  </si>
  <si>
    <t xml:space="preserve">ค่าวัสดุบริโภค วัสดุเครื่องแต่งกาย วัสดุสำนักงาน วัสดุยานพาหนะและขนส่ง วัสดุเชื้อเพลิงและหล่อลื่น วัสดุไฟฟ้าและวิทยุ วัสดุโฆษณาและเผยแพร่ วัสดุคอมพิวเตอร์ วัสดุงานบ้านงานครัว วัสดุก่อสร้าง และวัสดุอื่น   (จากแผนบริหารจัดการเจ้าหนี้ ช่อง [7] แผนการจ่ายชำระปี 25xx  ด้วยเงินนอกงบประมาณ) </t>
  </si>
  <si>
    <t>ค่าไฟฟ้า น้ำประปา ค่าบริการไปรษณีย์ ค่าบริการอินเตอร์เน็ต ค่าบริการเช่าสัญญาณเคเบิ้ลทีวี</t>
  </si>
  <si>
    <t xml:space="preserve">ค่าใช้จ่ายเดินทางไปราชการ ฝึกอบรม, ค่าจ้างเหมา ค่าซ่อมแซมคอาคารและครุภัณฑ์, ค่าเช่าครุภัณฑ์, ค่าเบี้ยประกันภัย, ค่าธรรมเนียมธนาคาร </t>
  </si>
  <si>
    <t xml:space="preserve"> ค่าใช้จ่ายดำเนินงานอื่น</t>
  </si>
  <si>
    <t>ค่าครุภัณฑ์งบค่าเสื่อม</t>
  </si>
  <si>
    <t>ค่าครุภัณฑ์ทางการแพทย์ หรือครุภัณฑ์ทั่วไป ที่เบิกจ่ายจากเงินกองทุน UC งบลงทุน</t>
  </si>
  <si>
    <t>ค่าครุภัณฑ์เงินบริจาค</t>
  </si>
  <si>
    <t>ค่าครุภัณฑ์ทางการแพทย์ หรือครุภัณฑ์ทั่วไป ที่เบิกจ่ายด้วยเงินบริจาค</t>
  </si>
  <si>
    <t>ค่าครุภัณฑ์เงินบำรุง</t>
  </si>
  <si>
    <t>ค่าครุภัณฑ์ทางการแพทย์ หรือครุภัณฑ์ทั่วไปที่เบิกจ่ายจากเงินบำรุงของหน่วยบริการ</t>
  </si>
  <si>
    <t>ค่าที่ดินและสิ่งก่อสร้างงบค่าเสื่อม</t>
  </si>
  <si>
    <t>ค่าอาคาร หรือสิ่งก่อสร้าง ที่เบิกจ่ายจากเงินกองทุน UC งบลงทุน</t>
  </si>
  <si>
    <t>ค่าที่ดินและสิ่งก่อสร้างเงินบริจาค</t>
  </si>
  <si>
    <t>ค่าอาคาร หรือสิ่งก่อสร้าง ที่เบิกจ่ายที่เบิกจ่ายด้วยเงินบริจาค</t>
  </si>
  <si>
    <t>ค่าที่ดินและสิ่งก่อสร้างเงินบำรุง</t>
  </si>
  <si>
    <t>ค่าอาคาร หรือสิ่งก่อสร้าง ที่เบิกจ่ายจากเงินบำรุงของหน่วยบริการ</t>
  </si>
  <si>
    <r>
      <t xml:space="preserve">รายรับเงินสนับสนุนจากหน่วยบริการในสังกัดสป.สธ. ตามข้อตกลง (เขต สสจ. รพศ.รพท. รพช. รพ.สต), รายรับจากการดำเนินการด้วยเงินบำรุงหรือทรัพย์สินจากเงินบำรุง เช่น ค่าบริการสถานที่จัดประชุม ค่าเช่าอาคาร ค่าขายแบบ ค่าปรับผิดสัญญา  ค่าขายครุภัณฑ์ สิ่งก่อสร้าง </t>
    </r>
    <r>
      <rPr>
        <sz val="18"/>
        <color rgb="FFFF0000"/>
        <rFont val="TH SarabunPSK"/>
        <family val="2"/>
      </rPr>
      <t>เงินประกัน / เงินมัดจำ / เงินรับฝากอื่น ฯ</t>
    </r>
  </si>
  <si>
    <r>
      <t xml:space="preserve">เช่น ตามจ่ายค่ารักษาพยาบาล UC ต่างด้าว บุคคลที่มีปัญหาสถานะและสิทธิ ปกส. , เงินช่วยเหลือบุคลากรสาธารณสุขฯ (ระเบียบเงินบำรุงฯ ข้อ 9 (10) , สนับสนุนการศึกษาสาขาวิชาชีพที่ขาดแคลน (ระเบียบเงินบำรุงฯ ข้อ 9 (11) , โครงการผลิตแพทย์และบุคลากรทางการแพทย์  </t>
    </r>
    <r>
      <rPr>
        <sz val="18"/>
        <color rgb="FFFF0000"/>
        <rFont val="TH SarabunPSK"/>
        <family val="2"/>
      </rPr>
      <t>, เงินประกัน / เงินมัดจำ / เงินรับฝากอื่น ฯ</t>
    </r>
  </si>
  <si>
    <t xml:space="preserve">รายจ่ายสนับสนุนหน่วยบริการในสังกัดสป.สธ. ตามข้อตกลงฯ (สสอ. สสจ.รพศ. รพท. รพช. รพ.สต.)  สนับสนุน รพ.สต. เช่น งบค่าเสื่อม Fixed cost </t>
  </si>
  <si>
    <t>รายรับ</t>
  </si>
  <si>
    <r>
      <t xml:space="preserve">รายรับค่าบริการทางการแพทย์จากเงินกองทุนเหมาจ่ายรายหัว UC OP/PP, IP, รายรับอื่นๆ จากสปสช., จากการตามเรียกเก็บสิทธิ UC  </t>
    </r>
    <r>
      <rPr>
        <sz val="20"/>
        <color rgb="FFFF0000"/>
        <rFont val="TH SarabunPSK"/>
        <family val="2"/>
      </rPr>
      <t xml:space="preserve">(รวมของ รพ.สต.) </t>
    </r>
  </si>
  <si>
    <r>
      <t xml:space="preserve">รายรับเงินกองทุน UC งบลงทุน จากสปสช.   </t>
    </r>
    <r>
      <rPr>
        <sz val="20"/>
        <color rgb="FFFF0000"/>
        <rFont val="TH SarabunPSK"/>
        <family val="2"/>
      </rPr>
      <t>(รวมของ รพ.สต.)</t>
    </r>
  </si>
  <si>
    <t>รายรับค่าบริการทางการแพทย์จากระบบปฏิบัติการ EMS จาก สพฉ.</t>
  </si>
  <si>
    <t>รายรับค่าบริการทางการแพทย์จากสิทธิข้าราชการเบิกจ่ายตรงจากกรมบัญชีกลาง</t>
  </si>
  <si>
    <t xml:space="preserve">รายรับค่าบริการทางการแพทย์จากสิทธิ พนักงานของรัฐ รัฐวิสาหกิจ จากต้นสังกัด เช่น กฟภ. กฟฝ. การประปา รฟท. กสกช. บมจ.โทรคมนาคมแห่งชาติ      </t>
  </si>
  <si>
    <r>
      <t xml:space="preserve">   </t>
    </r>
    <r>
      <rPr>
        <b/>
        <u/>
        <sz val="24"/>
        <color rgb="FF00B050"/>
        <rFont val="TH SarabunPSK"/>
        <family val="2"/>
      </rPr>
      <t>รายรับอื่น</t>
    </r>
  </si>
  <si>
    <t>รายจ่าย</t>
  </si>
  <si>
    <t>ค่าใช้จ่ายตามโครงการ ตามแผนงานประจำเงินบำรุง หรือโครงการสร้างเสริมสุขภาพฯ เช่น PP UC , เงินต่างด้าว, เงินอุดหนุนบุคคลที่มีปัญหาสถานะและสิทธิ</t>
  </si>
  <si>
    <t>รายจ่ายจากกรณีฉุกเฉิน จำเป็น เร่งด่วน ตามนโยบายผู้บริหาร ไม่เกินร้อยละ 2-3.5 ของประมาณการรายจ่าย</t>
  </si>
  <si>
    <t xml:space="preserve">เวชภัณฑ์มิใช่ยา </t>
  </si>
  <si>
    <t xml:space="preserve">งบกลาง </t>
  </si>
  <si>
    <t>งบกลาง (ไม่เกินร้อยละ 2-3.5 ของประมาณการรายจ่าย)</t>
  </si>
  <si>
    <t>คำนิยาม ในการจัดทำแผนรายรับ-รายจ่ายเงินบำรุง</t>
  </si>
  <si>
    <t>แผนปี 2569</t>
  </si>
  <si>
    <t>จำนวนเงิน ปี 2569</t>
  </si>
  <si>
    <t>2566</t>
  </si>
  <si>
    <t>2565</t>
  </si>
  <si>
    <t>2564</t>
  </si>
  <si>
    <t>สำนักงานสาธารณสุขจังหวัด...ภูเก็ต.....</t>
  </si>
  <si>
    <t xml:space="preserve"> โรงพยาบาล..วชิระภูเก็ต............</t>
  </si>
  <si>
    <t>ค่าตอบแทนการปฏิบัติงานเวรผลัดบ่ายหรือผลัดดึกของพยาบาล+แพทย์+เจ้าหน้าที่</t>
  </si>
  <si>
    <t>ชื่อหน่วยงาน...โรงพยาบาลวชิระภูเก็ต....รหัสหน่วยงาน..10741............</t>
  </si>
  <si>
    <t>เครื่อง warm สำหรับทำ sperm</t>
  </si>
  <si>
    <t>เครื่อง Centrifuge สำหรับทำ sperm</t>
  </si>
  <si>
    <t>ตัว incubator เก็บน้ำเชื้อ สำหรับทำ sperm</t>
  </si>
  <si>
    <t>ยูนิตทำฟัน</t>
  </si>
  <si>
    <t>ตู้เย็นเก็บน้ำยา 2-8 องศาเซลเซียส (Laboratory Refrigerator)</t>
  </si>
  <si>
    <t>ฉากกั้นรังสีแบบใส</t>
  </si>
  <si>
    <t>เครื่องล้างจานอัตโนมัติ</t>
  </si>
  <si>
    <t>ระบบจอดรถ อาคารจอดรถ 10 ชั้น พร้อมติดตั้ง</t>
  </si>
  <si>
    <t>เงินบำรุง</t>
  </si>
  <si>
    <t>เครื่องวัดความดันโลหิตแบบอัตโนมัติ ชนิดสอดแขน</t>
  </si>
  <si>
    <t>การรื้อระบบเครื่องดูดควัน</t>
  </si>
  <si>
    <t>เครื่องคอมพิวเตอร์แม่ข่ายแบบที่ 1</t>
  </si>
  <si>
    <t>เครื่องวัดความดันโลหิตอัตโนมัติชนิดสอดแขนพร้อมรถเข็นขาตั้งครบชุด</t>
  </si>
  <si>
    <t>เครื่องวัดความดันโลหิตแบบอัตโนมัติ</t>
  </si>
  <si>
    <t>อุปกรณ์เจาะชิ้นเนื้อเต้านม (Magnum biopsy)</t>
  </si>
  <si>
    <t>เกย์ออกซิเจน อัตราการไหลต่ำ (low flow)</t>
  </si>
  <si>
    <t>ก็อกน้ำเซนเซอร์</t>
  </si>
  <si>
    <t>ไมโครโฟนไร้สาย รุ่น TOA</t>
  </si>
  <si>
    <t>อุปกรณ์-วัสดุ กระตุ้นพัฒนาการเด็ก</t>
  </si>
  <si>
    <t>งบค่าเสื่อม</t>
  </si>
  <si>
    <t>ครุภัณฑ์งานบ้าน</t>
  </si>
  <si>
    <t>ครุภัณฑ์สำนักงาน</t>
  </si>
  <si>
    <t>ครุภัณฑ์คอมพิวเตอร์</t>
  </si>
  <si>
    <t>ครุภัณฑ์ไฟฟ้า</t>
  </si>
  <si>
    <t>**สอดคล้อง
นโยบายด้านใด</t>
  </si>
  <si>
    <t>คิดเป็น%</t>
  </si>
  <si>
    <t>ผลดำเนินงาน ไตรมาส 1   (ตค.-ธค.66)</t>
  </si>
  <si>
    <t xml:space="preserve">                    (ลงชื่อ)......................................ผู้รายงาน                   (ลงชื่อ).......................................ผู้เห็นชอบ</t>
  </si>
  <si>
    <t>คิดเป็น %</t>
  </si>
  <si>
    <t>แผนครึ่งปีหลัง
ปีงบ 67</t>
  </si>
  <si>
    <t>แผนปี 2567
(เดิม)</t>
  </si>
  <si>
    <t>รายรับจริง
ณ 31 มี.ค.67</t>
  </si>
  <si>
    <t>เปรียบเทียบ
แผน</t>
  </si>
  <si>
    <t>จำนวนเงิน (บาท)</t>
  </si>
  <si>
    <t>หมายเหตุ</t>
  </si>
  <si>
    <t xml:space="preserve"> </t>
  </si>
  <si>
    <t>รายรับ
ปี 2562</t>
  </si>
  <si>
    <t>รายรับ
ปี 2563</t>
  </si>
  <si>
    <t>รายรับเบิกจากคลัง</t>
  </si>
  <si>
    <t>ค่าธรรมเนียม 30 บาท</t>
  </si>
  <si>
    <t>ชำระเงินเอง (เงินสด + บัตรเครดิต)</t>
  </si>
  <si>
    <t>บัตรทอง(เหมาจ่าย) (OP+IP+PP)</t>
  </si>
  <si>
    <t>ปกส.</t>
  </si>
  <si>
    <t>พรบ.</t>
  </si>
  <si>
    <t>ดอกเบี้ยเงินฝากธนาคาร</t>
  </si>
  <si>
    <t>งบลงทุน uc</t>
  </si>
  <si>
    <t>เงินบริจาค</t>
  </si>
  <si>
    <t xml:space="preserve"> -</t>
  </si>
  <si>
    <t>รวมเงิน</t>
  </si>
  <si>
    <t>รายจ่ายปี 62</t>
  </si>
  <si>
    <t>รายจ่าย
ปี 2563</t>
  </si>
  <si>
    <t>ประมาณการรายจ่าย 
ปี 2566</t>
  </si>
  <si>
    <t>ค่าตอบแทน</t>
  </si>
  <si>
    <t xml:space="preserve"> ค่าสาธารณูปโภค</t>
  </si>
  <si>
    <t xml:space="preserve"> ค่าวัสดุ</t>
  </si>
  <si>
    <t xml:space="preserve"> ครุภัณฑ์</t>
  </si>
  <si>
    <t xml:space="preserve"> เงินอุดหนุน (ไม่ปฏิบัติเวช)</t>
  </si>
  <si>
    <t xml:space="preserve"> งบกลาง</t>
  </si>
  <si>
    <t>หมวดรายจ่าย</t>
  </si>
  <si>
    <t>รายจ่ายจริง
ปี 2562</t>
  </si>
  <si>
    <t>รายจ่ายจริง
ปี 2563</t>
  </si>
  <si>
    <t>รายจ่ายจริง
ปี 2564</t>
  </si>
  <si>
    <t xml:space="preserve">  แผนรายจ่าย
ปี 2565 </t>
  </si>
  <si>
    <t>รายจ่ายจริง
ปี 2565</t>
  </si>
  <si>
    <t>หนี้ค้าง  
ปี 2565</t>
  </si>
  <si>
    <t>แผนรายจ่าย
ปีงบฯ 2566</t>
  </si>
  <si>
    <t>ก่อหนี้/ตรวจรับ
ณ ก.ย.66</t>
  </si>
  <si>
    <t xml:space="preserve">
ก่อหนี้/ยังไม่
ตรวจรับ
ณ ก.ค.66
</t>
  </si>
  <si>
    <t>คิดเป็นร้อยละของแผน</t>
  </si>
  <si>
    <t>1.</t>
  </si>
  <si>
    <t>ค่าจ้างชั่วคราว</t>
  </si>
  <si>
    <t>P18</t>
  </si>
  <si>
    <t>2.</t>
  </si>
  <si>
    <t>P19</t>
  </si>
  <si>
    <t xml:space="preserve">ค่าตอบแทน (OT) </t>
  </si>
  <si>
    <t>ค่าตอบแทนสาขาขาดแคลน</t>
  </si>
  <si>
    <t>ค่าตอบแทนควบคุมงาน</t>
  </si>
  <si>
    <t>ค่าตอบแทน P4P</t>
  </si>
  <si>
    <t>ค่าตอบแทนชันสูตรพลิกศพ</t>
  </si>
  <si>
    <t>ค่าตอบแทน พตส.</t>
  </si>
  <si>
    <t>ค่าตอบแทน-ความเสี่ยง Covid-19</t>
  </si>
  <si>
    <t>P20</t>
  </si>
  <si>
    <t>ค่าตอบแทนปฏิบัติงานส่งต่อผู้ป่วยทางอากาศ</t>
  </si>
  <si>
    <t>ค่าตอบแทนแพทย์ผู้เชี่ยวชาญ (นอก รพ.)</t>
  </si>
  <si>
    <t>3.</t>
  </si>
  <si>
    <t>ค่ากำจัดขยะ</t>
  </si>
  <si>
    <t>P21</t>
  </si>
  <si>
    <t>ค่าธนาณัติ+ธรรมเนียม</t>
  </si>
  <si>
    <t>ค่าบำรุงรักษาซ่อมแซมทรัพย์สิน</t>
  </si>
  <si>
    <t xml:space="preserve"> - ค่าซ่อมแซมอาคารและสิ่งปลูกสร้าง
</t>
  </si>
  <si>
    <t xml:space="preserve"> - ค่าซ่อมแซมครุภัณฑ์ยานพาหนะ
</t>
  </si>
  <si>
    <t xml:space="preserve"> - ค่าซ่อมแซมครุภัณฑ์ไฟฟ้าและวิทยุ 
</t>
  </si>
  <si>
    <t xml:space="preserve"> - ค่าซ่อมแซมครุภัณฑ์วิทยาศาสตร์และการแพทย์ 
</t>
  </si>
  <si>
    <t xml:space="preserve"> - ค่าซ่อมแซมครุภัณฑ์อื่นๆ+ลิฟท์</t>
  </si>
  <si>
    <t>ค่าจ้างเหมาปรับปรุงและบำรุงรักษา</t>
  </si>
  <si>
    <t xml:space="preserve"> - ค่าจ้างเหมาบำรุงรักษาดูแลลิฟท์</t>
  </si>
  <si>
    <t xml:space="preserve"> - ค่าจ้างเหมาบำรุงรักษาเครื่องปรับอากาศ</t>
  </si>
  <si>
    <t>ค่าใช้จ่ายโครงการ + โครงการ PP</t>
  </si>
  <si>
    <t>P25</t>
  </si>
  <si>
    <t>ค่าพาหนะเดินทางไปราชการ+อบรม+ค่าลงทะเบียน</t>
  </si>
  <si>
    <t>P20,P21</t>
  </si>
  <si>
    <t>ค่าเบี้ยเลี้ยง+ค่าที่พัก</t>
  </si>
  <si>
    <t>ค่าสลายนิ่ว+ฟอกเลือด</t>
  </si>
  <si>
    <t>ค่าจ้างเหมาทำความสะอาด</t>
  </si>
  <si>
    <t>ค่าเช่าเครื่องเอกซเรย์</t>
  </si>
  <si>
    <t>*</t>
  </si>
  <si>
    <t xml:space="preserve">ค่าตรวจเอกซเรย์คอมพิวเตอร์ CT </t>
  </si>
  <si>
    <t xml:space="preserve">ค่าตรวจเอกซเรย์คอมพิวเตอร์ MRI </t>
  </si>
  <si>
    <t>ค่าจ้างเหมาบริการตรวจมวลกระดูก</t>
  </si>
  <si>
    <t>ค่าจ้างติดตั้งโปรแกรมสารสนเทศ  (ค่าจ้างเหมาอื่น) 
ค่าจ้างบำรุงรักษา ระบบ HOSXP</t>
  </si>
  <si>
    <t>ค่าเช่าตู้คอนเทนเนอร์</t>
  </si>
  <si>
    <t>ค่าเบี้ยประกันภัย</t>
  </si>
  <si>
    <t>ค่าจ้างเหมาบริการตรวจคัดกรองหาเชื้อโควิด 19</t>
  </si>
  <si>
    <t>ค่าจ้างเหมาอื่น</t>
  </si>
  <si>
    <t>4.</t>
  </si>
  <si>
    <t>P22</t>
  </si>
  <si>
    <t>ค่าไฟฟ้า</t>
  </si>
  <si>
    <t>ค่าน้ำประปา</t>
  </si>
  <si>
    <t>ค่าโทรศัพท์/บริการโทรคมนาคม</t>
  </si>
  <si>
    <t>ค่าฝากส่งไปรษณีย์</t>
  </si>
  <si>
    <t>5.</t>
  </si>
  <si>
    <t>เงินอุดหนุน</t>
  </si>
  <si>
    <t>เงินเพิ่มพิเศษสำหรับแพทย์</t>
  </si>
  <si>
    <t>เงินเพิ่มพิเศษสำหรับทันตแพทย์</t>
  </si>
  <si>
    <t>เงินเพิ่มพิเศษสำหรับเภสัชกร</t>
  </si>
  <si>
    <t>อื่น ๆ ฉีดยาศพ ค่าใช้จ่ายลักษณะอื่น</t>
  </si>
  <si>
    <t>6.</t>
  </si>
  <si>
    <t xml:space="preserve">ค่าวัสดุสำนักงาน </t>
  </si>
  <si>
    <t>P23</t>
  </si>
  <si>
    <t>ค่าวัสดุไฟฟ้า</t>
  </si>
  <si>
    <t xml:space="preserve">งานบ้าน + น้ำดื่ม </t>
  </si>
  <si>
    <t>วัสดุก่อสร้าง</t>
  </si>
  <si>
    <t>เชื้อเพลิง</t>
  </si>
  <si>
    <t xml:space="preserve"> - เชื้อเพลิงรถยนต์</t>
  </si>
  <si>
    <t xml:space="preserve"> - เชื้อเพลิงช่าง</t>
  </si>
  <si>
    <t xml:space="preserve"> - แก๊ส LPG</t>
  </si>
  <si>
    <t>เครื่องแต่งกาย (ซักฟอกและเครื่องตัดเย็บ)</t>
  </si>
  <si>
    <t>ค่าขอใช้ในการถ่ายรูป</t>
  </si>
  <si>
    <t>ค่าวัสดุวิทยาศาสตร์</t>
  </si>
  <si>
    <t>P16</t>
  </si>
  <si>
    <t xml:space="preserve"> - ออกซิเจนเหลว</t>
  </si>
  <si>
    <t xml:space="preserve"> -  LAB (ทั่วไป)</t>
  </si>
  <si>
    <t xml:space="preserve"> - พยาธิกายวิภาค</t>
  </si>
  <si>
    <t xml:space="preserve"> - ธนาคารเลือด</t>
  </si>
  <si>
    <t xml:space="preserve"> - ออกซิเจนถัง</t>
  </si>
  <si>
    <t>ค่าเวชภัณฑ์(ยา)+เอกซเรย์ (ยา)</t>
  </si>
  <si>
    <t>P14</t>
  </si>
  <si>
    <t>เวชภัณฑ์มิใช่ยา (วัสดุเภสัช+ทันตกรรม+เอกซเรย์)</t>
  </si>
  <si>
    <t>P15</t>
  </si>
  <si>
    <t xml:space="preserve"> - เวชภัณฑ์เภสัช</t>
  </si>
  <si>
    <t xml:space="preserve"> - ทันตกรรม</t>
  </si>
  <si>
    <t>P151</t>
  </si>
  <si>
    <t xml:space="preserve"> - เอกซเรย์ (เวชภัณฑ์+intervention)</t>
  </si>
  <si>
    <t>ค่าเครื่องบริโภค(โภชนาการ)</t>
  </si>
  <si>
    <t>ค่าหนังสือ</t>
  </si>
  <si>
    <t xml:space="preserve">ค่าแบบพิมพ์            </t>
  </si>
  <si>
    <t>ค่าวัสดุการแพทย์</t>
  </si>
  <si>
    <t xml:space="preserve"> - วัสดุการแพทย์ (ซ่อมเครื่องมือแพทย์)</t>
  </si>
  <si>
    <t xml:space="preserve"> - การแพทย์ผ่าตัด</t>
  </si>
  <si>
    <t xml:space="preserve"> - เวชภัณฑ์การพยาบาล</t>
  </si>
  <si>
    <t xml:space="preserve"> - เฝือก</t>
  </si>
  <si>
    <t xml:space="preserve"> - เวชศาสตร์ฟื้นฟู</t>
  </si>
  <si>
    <t xml:space="preserve"> - ไตเทียม</t>
  </si>
  <si>
    <t xml:space="preserve"> - โสต ศอ นาสิก ลาริงซ์</t>
  </si>
  <si>
    <t xml:space="preserve"> - จักษุ</t>
  </si>
  <si>
    <t xml:space="preserve"> - ตรวจสวนหัวใจ</t>
  </si>
  <si>
    <t xml:space="preserve"> - เวชภัณฑ์ทั่วไป</t>
  </si>
  <si>
    <t xml:space="preserve"> - วิสัญญี</t>
  </si>
  <si>
    <t xml:space="preserve">ค่าวัสดุอื่น ๆ </t>
  </si>
  <si>
    <t>วัสดุโฆษณาและเผยแพร่</t>
  </si>
  <si>
    <t>วัสดุคอมพิวเตอร์</t>
  </si>
  <si>
    <t>7.</t>
  </si>
  <si>
    <t>ครุภัณฑ์การแพทย์</t>
  </si>
  <si>
    <t xml:space="preserve"> - เงินนอกงบประมาณ (เงินบำรุง)</t>
  </si>
  <si>
    <t xml:space="preserve"> - เงินบริจาค</t>
  </si>
  <si>
    <t>ครุภัณฑ์โฆษณา (+ครุภัณฑ์อื่น)</t>
  </si>
  <si>
    <t>ครุภัณฑ์โรงงาน</t>
  </si>
  <si>
    <t>ครุภัณฑ์ก่อสร้าง</t>
  </si>
  <si>
    <t>ครุภัณฑ์ UC (งบค่าเสื่อม)</t>
  </si>
  <si>
    <t>8.</t>
  </si>
  <si>
    <t>ค่าที่ดิน และสิ่งก่อสร้างลิฟต์,อาคาร</t>
  </si>
  <si>
    <t>9.</t>
  </si>
  <si>
    <t>รายจ่ายอื่น ๆ (คืนค่ารักษา,จ่าย สอ.,ศูนย์บริการฯ)</t>
  </si>
  <si>
    <t>คืนเงินค่ารักษาพยาบาล</t>
  </si>
  <si>
    <t>งบลงทุน uc สอ.</t>
  </si>
  <si>
    <t xml:space="preserve">จัดสรรให้ สอ.เครือข่าย จัดสรร </t>
  </si>
  <si>
    <t>เงินสนับสนุน สอ.เกาะมะพร้าว, (สอ.เกาะโหลน)</t>
  </si>
  <si>
    <t>ทุนการศึกษาพยาบาล + นักรังสี</t>
  </si>
  <si>
    <t>คืนค่าใช้จ่ายโครงการ</t>
  </si>
  <si>
    <t>จัดสรรตามเกณฑ์ คุณภาพ QOF</t>
  </si>
  <si>
    <t>คืนค่ารักษาพยาบาลให้กรมบัญชีกลาง</t>
  </si>
  <si>
    <t>คืนเงินค่ารักษาพยาบาล (พรบ.)</t>
  </si>
  <si>
    <t>ค่าศึกษาความเป็นไปได้ (โครงการยกระดับฯ)</t>
  </si>
  <si>
    <t>ค่าศึกษาผลกระทบสิ่งแวดล้อมโครงการไม้ขาว</t>
  </si>
  <si>
    <t>คืนเงินค่าตอบแทน(Covid-19) เงิน งปม. งบกลาง-สสจ.ภูเก็ต</t>
  </si>
  <si>
    <t>10.</t>
  </si>
  <si>
    <t>11.</t>
  </si>
  <si>
    <t>งบกลาง</t>
  </si>
  <si>
    <t>จำนวน
(หน่วย)</t>
  </si>
  <si>
    <t>จำนวน 
(บาท/หน่วย)</t>
  </si>
  <si>
    <t>วงเงิน 
งบประมาณ (บาท)</t>
  </si>
  <si>
    <t>หน่วยงาน</t>
  </si>
  <si>
    <t xml:space="preserve">แหล่งงบ </t>
  </si>
  <si>
    <t>ในแผน/นอกแผน</t>
  </si>
  <si>
    <t>จะจ่ายได้ในปี</t>
  </si>
  <si>
    <t>วันที่รับหนังสือ (ก.ยุทธ์)</t>
  </si>
  <si>
    <t>เลขหนังสือ</t>
  </si>
  <si>
    <t>วันที่ ก.พัสดุรับหนังสือ</t>
  </si>
  <si>
    <t xml:space="preserve">วิธีการจัดซื้อ </t>
  </si>
  <si>
    <t>ผู้รับผิดชอบ</t>
  </si>
  <si>
    <t>1.จัดทำแผนการจัดซื้อจัดจ้าง</t>
  </si>
  <si>
    <t>2.แต่งตั้งคณะกรรมการกำหนดราคา</t>
  </si>
  <si>
    <t>3.รายงานผลการกำหนดราคากลาง
และรายละเอียดคุณลักษณะ</t>
  </si>
  <si>
    <t>4.รายงานขอซื้อขอจ้าง</t>
  </si>
  <si>
    <t>5.เผยแพร่ร่าง TOR</t>
  </si>
  <si>
    <t>6.รายงานผล
การเผยแพร่ร่าง TOR</t>
  </si>
  <si>
    <t>7.ประกาศเชิญชวน</t>
  </si>
  <si>
    <t>8.วันเสนอราคา</t>
  </si>
  <si>
    <t>9.รายงานผล
การพิจารณาเสนอราคา</t>
  </si>
  <si>
    <t>10.ระยะเวลาอุทธรณ์
ผลการพิจารณา</t>
  </si>
  <si>
    <t>11.จัดทำสัญญา/
ใบสั่งซื้อสั่งจ้าง</t>
  </si>
  <si>
    <t>12. ครบกำหนดส่งมอบ</t>
  </si>
  <si>
    <t>13.ส่งมอบ/
รายงานผลตรวจรับ</t>
  </si>
  <si>
    <t>14.เบิกจ่ายเงิน</t>
  </si>
  <si>
    <t>14.เบิกจ่ายแล้ว</t>
  </si>
  <si>
    <t>เภสัชกรรม</t>
  </si>
  <si>
    <t>เทคนิคการแพทย์
และพยาธิวิทยาคลินิก</t>
  </si>
  <si>
    <t>ห้องผ่าตัด</t>
  </si>
  <si>
    <t>กลุ่มงานโภชนศาสตร์</t>
  </si>
  <si>
    <t>กลุ่มงานเทคโนโลยีสารสนเทศ</t>
  </si>
  <si>
    <t>งานช่าง</t>
  </si>
  <si>
    <t>กลุ่มงานวิสัญญี</t>
  </si>
  <si>
    <t>-</t>
  </si>
  <si>
    <t>02.04.67</t>
  </si>
  <si>
    <t>กลุ่มงาน สูติ-นรีเวชกรรม</t>
  </si>
  <si>
    <t>กลุ่มงานทันตกรรม</t>
  </si>
  <si>
    <t>งานธนาคารเลือด</t>
  </si>
  <si>
    <t>งานกายภาพบำบัด</t>
  </si>
  <si>
    <t>งานซักฟอกและตัดเย็บ</t>
  </si>
  <si>
    <t>งานจ่ายกลาง</t>
  </si>
  <si>
    <t>Removal of Ethylene oxide by catalytic system 
(เครื่องระบายแก๊สเอทธิลีนออกไซด์ด้วยระบบการเร่งปฏิกิริยา)</t>
  </si>
  <si>
    <t>งานไตเทียม</t>
  </si>
  <si>
    <t>ศูนย์เครื่องมือแพทย์</t>
  </si>
  <si>
    <t>กลุ่มงาน โภชนศาสตร์</t>
  </si>
  <si>
    <t>กลุ่มงานรังสีวิทยา</t>
  </si>
  <si>
    <t>ระบบ Nurse Call อาคารหลวงพ่อแช่ม ชั้น5</t>
  </si>
  <si>
    <t>เครื่อง High flow oxygen</t>
  </si>
  <si>
    <t>Sick newborn (1/2)</t>
  </si>
  <si>
    <t>เครื่องช่วยหายใจชนิดไม่สอดใส่</t>
  </si>
  <si>
    <t xml:space="preserve"> NICU (2/2)</t>
  </si>
  <si>
    <t>เครื่องให้ความอบอุ่นทารกแรกเกิด</t>
  </si>
  <si>
    <t>NICU</t>
  </si>
  <si>
    <t>cath lab (0/2)</t>
  </si>
  <si>
    <t xml:space="preserve">เครื่องดมยาพร้อมเครื่องช่วยหายใจพร้อมเครื่องติดตามสัญญาณชีพ  </t>
  </si>
  <si>
    <t xml:space="preserve">เครื่องติดตามสัญญาณชีพห้องพักฟื้น  </t>
  </si>
  <si>
    <t>โคมไฟผ่าตัดใหญ่</t>
  </si>
  <si>
    <t>เตียงผ่าตัดทั่วไประบบไฟฟ้า</t>
  </si>
  <si>
    <t>กลุ่มงานเวชศาสตร์ฉุกเฉิน</t>
  </si>
  <si>
    <t>กลุ่มงานสูติ-นรีเวชกรรม</t>
  </si>
  <si>
    <t>หอผู้ป่วยศัลยกรรมกระดูก</t>
  </si>
  <si>
    <t>ประตูบานคู่เปิดปิดอัตโนมัติ 2 ชุด</t>
  </si>
  <si>
    <t>ระบบเรียกพยาบาล Nurse call System</t>
  </si>
  <si>
    <t>09.04.67 เสนอหัวหน้าเจ้าหน้าที่</t>
  </si>
  <si>
    <t>เครื่องกระตุกหัวใจด้วยไฟฟ้า</t>
  </si>
  <si>
    <t>หอผู้ป่วยหนักอายุรกรรม</t>
  </si>
  <si>
    <t>เครื่องผลิตสุญญากาศทางการแพทย์ Vacuum Pump สงฆ์อาพาธ</t>
  </si>
  <si>
    <t>ไตเทียม</t>
  </si>
  <si>
    <t>22.03.67</t>
  </si>
  <si>
    <t>OPD อายุรกรรม</t>
  </si>
  <si>
    <t>กลุ่มการพยาบาล</t>
  </si>
  <si>
    <t>เครื่องวัดความถ่วงจำเพาะ (Reflactometer)</t>
  </si>
  <si>
    <t>เทคนิคการแพทย์และพยาธิวิทยาคลินิก</t>
  </si>
  <si>
    <t>กลุ่มการพยาบาล Echo(0/1)</t>
  </si>
  <si>
    <t>รังสีวิทยา</t>
  </si>
  <si>
    <t>OPD กุมารเวช</t>
  </si>
  <si>
    <t>จิตเวชและยาเสพติด</t>
  </si>
  <si>
    <t>EENT</t>
  </si>
  <si>
    <t>การแพทย์</t>
  </si>
  <si>
    <t>เครื่องทำน้ำอุ่น</t>
  </si>
  <si>
    <t>เครื่องพิมพ์อิงค์เจ็ท</t>
  </si>
  <si>
    <t>งานเวชนิทัศน์</t>
  </si>
  <si>
    <t>เครื่องสแกนเอกสาร</t>
  </si>
  <si>
    <t>พัดลมโคจร ขนาด 16 นิ้ว</t>
  </si>
  <si>
    <t>หอผู้ป่วยร่มไทร</t>
  </si>
  <si>
    <t>กลุ่มงานบริหารทั่วไป</t>
  </si>
  <si>
    <t>งานผู้ป่วยนอก</t>
  </si>
  <si>
    <t>เก้าอี้สำนักงาน</t>
  </si>
  <si>
    <t>โทรศัพท์ไร้สาย</t>
  </si>
  <si>
    <t>งานประกันสุขภาพ</t>
  </si>
  <si>
    <t xml:space="preserve">รถเข็นสแตนเลสทำการพยาบาล 3 ลิ้นชัก </t>
  </si>
  <si>
    <t>รถเข็นสแตนเลส 2 ชั้น</t>
  </si>
  <si>
    <t xml:space="preserve">เก้าอี้ไม่มีล้อ ปรับขึ้นลงได้ </t>
  </si>
  <si>
    <t>เสาน้ำเกลือ</t>
  </si>
  <si>
    <t>Laryngoscope  ชนิดหลอด LED</t>
  </si>
  <si>
    <t>เครื่องอบอุ่นร่างกายชนิดเป่าลมร้อน</t>
  </si>
  <si>
    <t>โต๊ะจัดเครื่องมือ</t>
  </si>
  <si>
    <t>โต๊ะวางชุดทำความสะอาด</t>
  </si>
  <si>
    <t>เก้าอี้มีล้อหมุน ปรับขนาดได้</t>
  </si>
  <si>
    <t>โต๊ะเมโยจัดเครื่องมือ</t>
  </si>
  <si>
    <t>ถังขยะ มีล้อ</t>
  </si>
  <si>
    <t>ไม้รองขา</t>
  </si>
  <si>
    <t>โครงเหล็กใส่ถุงผ้า</t>
  </si>
  <si>
    <t>ชั้นวางของชนิด 4 ชั้น</t>
  </si>
  <si>
    <t>เบิกจ่ายแล้ว</t>
  </si>
  <si>
    <t>ทาสีอาคาร OPD  พื้นที่ประมาณ 15000 ตรม.</t>
  </si>
  <si>
    <t>04.05.67</t>
  </si>
  <si>
    <t xml:space="preserve">รายรับจริง ปี 2565
</t>
  </si>
  <si>
    <t>รายรับจริง
ปี 2564</t>
  </si>
  <si>
    <t>รายรับจริง ปี 2566</t>
  </si>
  <si>
    <t>ค่าตอบแทนอื่นๆ (ค่าตอบแทนกรรมการ+สปสช+ช่วยเหลือกรณีเสียชีวิต)</t>
  </si>
  <si>
    <t>แผนรายรับ - รายจ่ายเงินนอกงบประมาณ (เงินบำรุง)  ปีงบประมาณ 2567 : ครึ่งปีหลัง</t>
  </si>
  <si>
    <t>แผนรายรับ - รายจ่ายเงินนอกงบประมาณ (เงินบำรุง)  ปีงบประมาณ 2567 -2569</t>
  </si>
  <si>
    <t>แผนปีงบ 67
ครึ่งปีหลัง</t>
  </si>
  <si>
    <t>ส่วนต่าง
(บาท)</t>
  </si>
  <si>
    <t>โทรทัศน์ ขนาด 32 นิ้ว</t>
  </si>
  <si>
    <t>ราคา
ต่อหน่วย</t>
  </si>
  <si>
    <t>ซื้อที่ดิน 1 ไร่ 34 ตารางวา ตรงข้ามหน้าโรงพยาบาลวชิระภูเก็ต</t>
  </si>
  <si>
    <t>]</t>
  </si>
  <si>
    <t>ศูนย์เวชศาสตร์ฟื้นฟูครบวงจร</t>
  </si>
  <si>
    <t>ระบบคิวผู้ป่วยนอก ออนไลน์</t>
  </si>
  <si>
    <t>รองปฐมภูมิ</t>
  </si>
  <si>
    <t>non COVID
(บาท)</t>
  </si>
  <si>
    <t>Covid
(บาท)</t>
  </si>
  <si>
    <t>เจ้าหนี้คงค้าง</t>
  </si>
  <si>
    <t>ค่ากำจัดปลวก</t>
  </si>
  <si>
    <t>ครุภัณฑ์การเกษตร</t>
  </si>
  <si>
    <t>ก่อหนี้</t>
  </si>
  <si>
    <t>ประมาณการรายจ่าย
ปีงบฯ 2567</t>
  </si>
  <si>
    <t>กำแพงกันดินตึกอันดามันไปอาคารอุบัติเหตุ 10 ชั้น</t>
  </si>
  <si>
    <t>ทางเดินเชื่อมตึกอันดามันไปอาคารอุบัติเหตุ 10 ชั้น</t>
  </si>
  <si>
    <t xml:space="preserve">ปรับปรุงห้องพิเศษกุมารเวชกรรม </t>
  </si>
  <si>
    <t>.</t>
  </si>
  <si>
    <t>จ้างปรับปรุงห้องตึก 298 พร้อมเฟอร์นิเจอร์ ชั้น 2-8</t>
  </si>
  <si>
    <t>ผ้าม่านสามัญ ตึก 298</t>
  </si>
  <si>
    <t>ระบบเติมอากาศในห้องคลอด</t>
  </si>
  <si>
    <t>ค่าปลูกป่าชดเชย สวนป่าขนุน</t>
  </si>
  <si>
    <t>รายจ่ายจริง 
ปี 2565</t>
  </si>
  <si>
    <t>รายจ่ายจริง
ปี 2566</t>
  </si>
  <si>
    <t>ค่าลิขสิทธิ์โปรแกรม QR Payment</t>
  </si>
  <si>
    <t xml:space="preserve">แผนจัดซื้อ ครุภัณฑ์ software AI
</t>
  </si>
  <si>
    <t>ลิขสิทธิ์โปรแกรม Navicate Premium</t>
  </si>
  <si>
    <t xml:space="preserve">ระบบ software ERP
</t>
  </si>
  <si>
    <t xml:space="preserve">ระบบ software : Cloud based Hospital Information System ต่อขยายจาก Dr.Module ให้ครอบคลุมทุกระบบในโรงพยาบาล 
</t>
  </si>
  <si>
    <t xml:space="preserve">Firewall (รวม WAF) VCH  สำหรับ data center </t>
  </si>
  <si>
    <t>ซอฟ์ทแวร์ลิขสิทธิ์ 400license สำหรับเครื่องคอมพิวเตอร์ (Clients)</t>
  </si>
  <si>
    <t>กลุ่มภารกิจ สุขภาพดิจิทัล</t>
  </si>
  <si>
    <t>คอมพิวเตอร์โน้ตบุ๊ก สำหรับงานประมวลผล</t>
  </si>
  <si>
    <t>เครื่องพิมพ์ Multifunction แบบฉีดหมึก (Inkjet)</t>
  </si>
  <si>
    <t>สแกนเนอร์ สำหรับงานเก็บเอกสารระดับศูนย์บริการ แบบที่ 2</t>
  </si>
  <si>
    <t>จอภาพแบบ LED หรือดีกว่า ขนาดไม่น้อยกว่า 23.5 นิ้ว</t>
  </si>
  <si>
    <t>เครื่องสำรองไฟฟ้า ขนาด 1 kVA</t>
  </si>
  <si>
    <t xml:space="preserve">เครื่องสำรองไฟฟ้า ขนาด 3 kVA </t>
  </si>
  <si>
    <t>QRCode / Barcode Reader</t>
  </si>
  <si>
    <t>เครื่องพิมพ์ชนิด Thermal Printer</t>
  </si>
  <si>
    <t>Hard disk SSD 1TB</t>
  </si>
  <si>
    <t>Power Supply Full watt</t>
  </si>
  <si>
    <t>Wire Combo Mouse Keyboard</t>
  </si>
  <si>
    <t xml:space="preserve">ATA 2ช่อง </t>
  </si>
  <si>
    <t>ATA 16ช่อง</t>
  </si>
  <si>
    <t xml:space="preserve">ATA 32ช่อง </t>
  </si>
  <si>
    <t xml:space="preserve">ATA 48ช่อง </t>
  </si>
  <si>
    <t xml:space="preserve">DECT IP Phone </t>
  </si>
  <si>
    <t xml:space="preserve">WIFI IP Phone </t>
  </si>
  <si>
    <t xml:space="preserve">IP Phone ตั้งโต๊ะ(มีสาย) </t>
  </si>
  <si>
    <t xml:space="preserve">HDD 2TB SATA 2.5" SDD </t>
  </si>
  <si>
    <t xml:space="preserve">HDD 4TB SATA 2.5" SDD </t>
  </si>
  <si>
    <t>switch</t>
  </si>
  <si>
    <t>เครื่องช่วยการทำงานของหัวใจและปอด (ECMO)</t>
  </si>
  <si>
    <t>โคมไฟผ่าตัดชนิดมีกล้อง 3 แขนติดเพดาน ซึ่งรองรับระบบกล้องถ่ายทอดสัญญาณภาพ</t>
  </si>
  <si>
    <t>เครื่องติดตามการทำงานของหัวใจและสัญญาณชีพ</t>
  </si>
  <si>
    <t xml:space="preserve">ชุดอุปกรณ์ควบคุมการดูดเลือดดำขณะผ่าตัด </t>
  </si>
  <si>
    <t>เครื่องวัดการแข็งตัวของเลือด (ACT Analyzed)</t>
  </si>
  <si>
    <t xml:space="preserve">เครื่องตรวจ ABG Electrolyte CBC </t>
  </si>
  <si>
    <t>เครื่องกรอความถี่สูง หัวกรอกากเพชร (Rota Pro)</t>
  </si>
  <si>
    <t>ลิ้นหัวใจเอออร์ติก</t>
  </si>
  <si>
    <t>OR CVT</t>
  </si>
  <si>
    <t>Cath Lab</t>
  </si>
  <si>
    <t xml:space="preserve"> - เงินบำรุง</t>
  </si>
  <si>
    <t xml:space="preserve"> - เงินบำรุงสมทบ งบ อบจ.</t>
  </si>
  <si>
    <t>ครุภัณฑ์ UC (เงินบำรุงสมทบงบค่าเสื่อม)</t>
  </si>
  <si>
    <t>ยังไม่ดำเนินการ</t>
  </si>
  <si>
    <t>งบค่าเสื่อม 68</t>
  </si>
  <si>
    <t>11.จัดทำสัญญา</t>
  </si>
  <si>
    <t>หอผู้ป่วยศัลยกรรมกระดูก 
(หลวงพ่อแช่ม ชั้น 5)</t>
  </si>
  <si>
    <t>ผลการดำเนินงาน</t>
  </si>
  <si>
    <t>12.</t>
  </si>
  <si>
    <t xml:space="preserve"> - เงินบำรุงสมทบ</t>
  </si>
  <si>
    <t>งานห้องผ่าตัด</t>
  </si>
  <si>
    <t>ประชาสัมพันธ์</t>
  </si>
  <si>
    <t xml:space="preserve">เครื่องดึงคอและหลังอัตโนมัติพร้อมเตียง </t>
  </si>
  <si>
    <t>เลนส์สำหรับผ่าตัดผ่านกล้องในช่องท้องชนิดวิดีทัศน์ 10 มม 30 องศา</t>
  </si>
  <si>
    <t>ชุดภาควัดสัญญาณชีพขณะเคลื่อนย้าย</t>
  </si>
  <si>
    <t>เครื่องจี้ห้ามเลือด เลาะเนื้อเยื่อ และเชื่อมปิดหลอดเลือดด้วยคลื่นความถี่สูง</t>
  </si>
  <si>
    <t>เครื่องติดตามการทำงานของหัวใจและสัญญาณชีพอัตโนมัติ</t>
  </si>
  <si>
    <t>เครื่องควบคุมระบบประกาศ</t>
  </si>
  <si>
    <t>กล่มงานเวชกรรมฟื้นฟู</t>
  </si>
  <si>
    <t>หอผู้ป่วยสงฆ์อาพาธ</t>
  </si>
  <si>
    <t>กลุ่มภารกิจสุขภาพดิจิทัล</t>
  </si>
  <si>
    <t>บริหารจัดการแรงงานต่างด้าว ประจำปีงบ 2568</t>
  </si>
  <si>
    <t>อยู่ระหว่างดำเนินการ</t>
  </si>
  <si>
    <t>ศูนย์ศุภนิมิตร</t>
  </si>
  <si>
    <t>ปรับปรุงพื้นบริเวณจุดถ่ายรูปผู้มารับบริการ</t>
  </si>
  <si>
    <t>คอมพิวเตอร์ All in one</t>
  </si>
  <si>
    <t>เครื่องอ่านบาร์โค้ด</t>
  </si>
  <si>
    <t>เครื่องพิมพ์สติ๊กเกอร์บาร์โค้ด</t>
  </si>
  <si>
    <t>ระบบ CCTV กล้องวงจรปิด</t>
  </si>
  <si>
    <t>เครื่องสำรองไฟ 2,000VA/1400W</t>
  </si>
  <si>
    <t>เครื่องคอมพิวเตอร์แม่ข่าย แบบที่ 1</t>
  </si>
  <si>
    <t>อุปกรณ์กระจายสัญญาณไร้สาย</t>
  </si>
  <si>
    <t>อุปกรณ์ป้องกันระบบเครือข่าย</t>
  </si>
  <si>
    <t>ค่าเช่าวงจรสื่อสารอินเตอร์เน็ต 1 ปี</t>
  </si>
  <si>
    <t>เครื่องวัดความดันโลหิตแบบอัตโนมัติชนิดสอดแขน</t>
  </si>
  <si>
    <t>เครื่องกระตุกไฟฟ้าหัวใจชนิดไบเฟสิค พร้อมเครื่องวัดออกซิเจนในเลือด</t>
  </si>
  <si>
    <t>รติพัฒน์ (0/1), 
อายุรกรรมชาย 2 (0/1)
ECHO (0/1)</t>
  </si>
  <si>
    <t>เครื่อง EKG 12 lead</t>
  </si>
  <si>
    <t>บริหารจัดการแรงงานต่างด้าว ปี 2567</t>
  </si>
  <si>
    <t>กล้องจุลทรรศน์ตรวจตาชนิดลำแสงแคบ พร้อม Adapter</t>
  </si>
  <si>
    <t>กลุ่มงานจักษุวิทยา</t>
  </si>
  <si>
    <t>ตู้อบเด็กสำหรับลำเลียงทารกแรกคลอด</t>
  </si>
  <si>
    <t>เครื่องสเปรย์ด้ามกรอฟัน</t>
  </si>
  <si>
    <t>Lens hopkins 0 องศา</t>
  </si>
  <si>
    <t xml:space="preserve">ชุดเครื่องมือผ่าตัดต่อมลูกหมาก (Resectoscope) ชนิด bipolarพร้อมเครื่องจี้ </t>
  </si>
  <si>
    <t>งบแผนใช้งบบริหารจัดการ 2.5% (เงินประกันสังคม)</t>
  </si>
  <si>
    <t>ค่าโปรแกรม HERP Copilot (ลูกหนี้) พร้อมบริการติดตั้ง</t>
  </si>
  <si>
    <t>งานประกันสังคม</t>
  </si>
  <si>
    <t>ค่าบริการวางระบบ ฝึกอบรม ตรวจสอบระบบฐานข้อมูล จัดทำชุด
ข้อมูลมาตฐานในการเรียกเก็บค่าบริการทางการแพทย์ และปรับปรุง
ระบบให้เข้ากับรูปแบบการให้บริการของโรงพยาบาล</t>
  </si>
  <si>
    <t>ค่าส่งยาทางไปรษณีย์ (ผู้ป่วยประกันสังคม)</t>
  </si>
  <si>
    <t>กลุ่มงานเภสัชกรรม</t>
  </si>
  <si>
    <t>งบบริหารจัดการ 2.5% (เงินประกันสังคม)</t>
  </si>
  <si>
    <t>งบบริหารจัดการแรงงานต่างด้าว</t>
  </si>
  <si>
    <t>ยกเลิก</t>
  </si>
  <si>
    <t>จำนวน</t>
  </si>
  <si>
    <t>วัสดุยานพาหนะ</t>
  </si>
  <si>
    <t>2567</t>
  </si>
  <si>
    <t>จำนวนเงิน ปี 2570</t>
  </si>
  <si>
    <t>แผนปี 2570</t>
  </si>
  <si>
    <t>3. เงินคงเหลือทั้งสิ้นปีงบประมาณ 2566 (3)  ต้องเท่ากับยอดเงินคงเหลือสะสมยกมาในปีงบประมาณ 2567 (3)</t>
  </si>
  <si>
    <t>ห้องแยกผู้ป่วยแพร่กระจายเชื้อ  MICU ชั้น 2 ตึก 298 (Negative)</t>
  </si>
  <si>
    <t>ห้องแยกผู้ป่วยแพร่กระจายเชื้อ MICU ชั้น 2-3  ตึก 298 (AIIR )</t>
  </si>
  <si>
    <t>รอส่งมอบ</t>
  </si>
  <si>
    <t>จอ LED หน้า รพ.</t>
  </si>
  <si>
    <t>ปรับปรุงห้องตึก 298  (ดาดฟ้า)</t>
  </si>
  <si>
    <t xml:space="preserve">จ้างก่อสร้างงานเปลี่ยนกระเบื้องมุงหลังคาอาคารอันดามัน 5 ชั้น </t>
  </si>
  <si>
    <t>รายการครุภัณฑ์ งบ อบจ.</t>
  </si>
  <si>
    <t xml:space="preserve">วัสดุทางการแพทย์ เงินบำรุงสมทบ งบ อบจ. : การแพทย์ผ่าตัด </t>
  </si>
  <si>
    <t xml:space="preserve">รายจ่ายจริง 
ปี 2566 </t>
  </si>
  <si>
    <t xml:space="preserve"> - ค่าจ้างเหมาบำรุงรักษาครุภัณฑ์วิทยาศาสตร์และการแพทย์</t>
  </si>
  <si>
    <t>ค่าใช้สอยอื่น+ค่าตรวจสิ่งแวดล้อม+ค่าติดตั้งระบบจ่ายอากาศ+ค่าเฝ้าไข้พิเศษ</t>
  </si>
  <si>
    <t>ค่าเช่าชุดอุปกรณ์กระจายสัญญาณไร้สาย สำหรับห้องพิเศษ</t>
  </si>
  <si>
    <t>ค่าตรวจพยาธิ+วิเคราะห์ - ค่าจ้างตรวจทางห้องปฏิบัติการ (Lab)</t>
  </si>
  <si>
    <t>ค่าตรวจชิ้นเนื้อ ค่าจ้างตรวจทางห้องปฏิบัติการ (Lab กายวิภาค)</t>
  </si>
  <si>
    <t>ค่าตรวจวินิจฉัย ค่าจ้างตรวจทางห้องปฏิบัติการ (Lab กายวิภาค)</t>
  </si>
  <si>
    <t>กลุ่มการพยาบาล
(NICU 3 กุมาร 2 sick NB5)</t>
  </si>
  <si>
    <t>โต๊ะทำงาน พร้อมรางคีย์บอร์ด</t>
  </si>
  <si>
    <t>งานติดตั้งระบบ LAN ที่ศูนย์ตรวจสุขภาพแรงงานต่างด้าว</t>
  </si>
  <si>
    <t>อุปกรณ์กระจายสัญญาณ</t>
  </si>
  <si>
    <t>เก้าอี้แถวเหล็ก 4 ที่นั่ง สีฟ้า</t>
  </si>
  <si>
    <t>โต๊ะคอมพิวเตอร์ ขนาด 80 เซนติเมตร</t>
  </si>
  <si>
    <t>เก้าอี้ สำนักงาน</t>
  </si>
  <si>
    <t>ปีงบประมาณ 2569</t>
  </si>
  <si>
    <t>สถานีและขยายเส้นทางระบบท่อลมรับ-ส่งพัสดุทางการแพทย์ จำนวน 1 ระบบ (2 สถานี)</t>
  </si>
  <si>
    <t xml:space="preserve">เครื่องพิมพ์ชนิดเลเซอร์ หรือชนิด LED ขาวดำชนิด Network แบบที่ 3 (40 หน้า/นาที) </t>
  </si>
  <si>
    <t>เครื่องช่วยผ่าตัดนำวิถี</t>
  </si>
  <si>
    <t>กลุ่มงานโสต ศอ นาสิก</t>
  </si>
  <si>
    <t>แผนกศัลยกรรมระบบประสาท</t>
  </si>
  <si>
    <t>cath lab</t>
  </si>
  <si>
    <t>แผนรายการสิ่งก่อสร้าง ประจำปีงบประมาณ พ.ศ. 2568 : เงินบริจาค</t>
  </si>
  <si>
    <t xml:space="preserve">เครื่องถ่างขยายช่องซี่โครง (Rib Spreader) </t>
  </si>
  <si>
    <t>แผนกศัลยกรรมทรวงอก</t>
  </si>
  <si>
    <t>เครื่องดึงคอและหลังอัตโนมัติพร้อมเตียงปรับระดับได้</t>
  </si>
  <si>
    <t>ตู้เย็นเก็บเลือด</t>
  </si>
  <si>
    <t>ตู้เย็นเก็บน้ำยาทางการแพทย์</t>
  </si>
  <si>
    <t>เครื่องเขย่าเลือด</t>
  </si>
  <si>
    <t xml:space="preserve">โต๊ะเมโย แบบ 4 ล้อ พร้อมถาด </t>
  </si>
  <si>
    <t>รายการครุภัณฑ์ ต่ำกว่า 1 แสนบาท : เงินบำรุง</t>
  </si>
  <si>
    <t>M</t>
  </si>
  <si>
    <t>รวมเป็นเงิน 
(บาท)</t>
  </si>
  <si>
    <t>ราคาต่อหน่วย
 (บาท)</t>
  </si>
  <si>
    <t>E</t>
  </si>
  <si>
    <t>ประเภทงบ 
(ครุภัณฑ์/
สิ่งก่อสร้าง)</t>
  </si>
  <si>
    <t>(นางปทมา    ตันโชติกุล )
ตำแหน่ง รองผู้อำนวยการกลุ่มภารกิจ ด้าน พรส.</t>
  </si>
  <si>
    <t>จำนวน
หน่วย</t>
  </si>
  <si>
    <t xml:space="preserve">                       </t>
  </si>
  <si>
    <t xml:space="preserve">                           (นายวีระศักดิ์    หล่อทองคำ)
                       ผู้อำนวยการโรงพยาบาลวชิระภูเก็ต</t>
  </si>
  <si>
    <t>ผู้อำนวยการโรงพยาบาล..........................................................................</t>
  </si>
  <si>
    <t>นายแพทย์สาธารณสุขจังหวัด.........................................................
                       ผู้อนุมัติ</t>
  </si>
  <si>
    <t>ผู้อำนวยการโรงพยาบาล...............................................................</t>
  </si>
  <si>
    <t>นายแพทย์สาธารณสุขจังหวัด.........................................................
                                                     ผู้อนุมัติ</t>
  </si>
  <si>
    <t xml:space="preserve">             ผู้จัดทำ..........................................................................</t>
  </si>
  <si>
    <t xml:space="preserve">               (นางปทมา    ตันโชติกุล )
          ตำแหน่ง รองผู้อำนวยการกลุ่มภารกิจ ด้าน พรส.</t>
  </si>
  <si>
    <t>กล้องส่องตรวจช่องท้องชนิดวิดีทัศน์ ขนาด 10 มม มุมมองภาพ 30 องศา</t>
  </si>
  <si>
    <t>เครื่องแท็บเล็ต การเงินARI,แพทย์แผนไทย,กายภาพบำบัด,การเงินโลมา,Wound car ,เคมีบำบัด</t>
  </si>
  <si>
    <t>แผน</t>
  </si>
  <si>
    <t>เหลือ</t>
  </si>
  <si>
    <t>จ้างก่อสร้างงานเปลี่ยนกระเบื้องมุงหลังคาและซ่อมแซมโครงหลังคาอาคารศูนย์คอมพิวเตอร์และสโตกยูนิต 482 ตร.ม.</t>
  </si>
  <si>
    <t>งานก่อสร้างทางเดินเชื่อมระหว่างอาคารบ้านคุณพุ่ม ไปยังอาคารพักคนไข้ 298 เตียง</t>
  </si>
  <si>
    <t xml:space="preserve">เช่าครุภัณฑ์บริการ cloud storage เพื่อรองรับ software HIMS/ERP 
และรองรับ  Datawarehouse หรือระบบอื่นๆ 
</t>
  </si>
  <si>
    <t>วันที่ รับเอกสาร</t>
  </si>
  <si>
    <t>1/011/67(รหัส 01/68)</t>
  </si>
  <si>
    <t>ไตรมาส 1 (ต.ค.-ธ.ค.67)</t>
  </si>
  <si>
    <t xml:space="preserve">ค่าจ้างชั่วคราว </t>
  </si>
  <si>
    <t>ค่าใช้จ่ายอื่นๆ (โอนเงินผิดบัญชี/ค่าปรับ)</t>
  </si>
  <si>
    <t>ไตรมาส 1 
(ต.ค.-ธ.ค.67)</t>
  </si>
  <si>
    <t>รายรับ EMS</t>
  </si>
  <si>
    <t>ก่อสร้างและปรับปรุงห้องจ่ายยาผู้ป่วยนอกชั้น 1</t>
  </si>
  <si>
    <t>จ้างออกแบบปรับปรุงบริเวณด้านหลังจ่ายยา OPD และด้านหลังคลินิก ARI</t>
  </si>
  <si>
    <t>รายจ่าย ต.ค.67- มี.ค. 68</t>
  </si>
  <si>
    <t>หนี้ค้าง 
ณ 31 มี.ค.68</t>
  </si>
  <si>
    <t>รายรับจริง ปี 2567</t>
  </si>
  <si>
    <t>แผนประมาณการ
รายรับ ปีงบฯ 2568
(บาท)</t>
  </si>
  <si>
    <t>มติที่ประชุม
ณ วันที่ 22.4.68</t>
  </si>
  <si>
    <t xml:space="preserve">ประมาณการ
รายรับ 
 ปีงบฯ 2566 </t>
  </si>
  <si>
    <t xml:space="preserve">ประมาณการ
รายรับ 
 ปีงบฯ 2565 </t>
  </si>
  <si>
    <t>ประมาณการ
รายรับ 
 ปีงบฯ 2564</t>
  </si>
  <si>
    <t>รายรับ อปท.</t>
  </si>
  <si>
    <t>คำขอตั้ง
แผนวัสดุ</t>
  </si>
  <si>
    <t>แผนประมาณการรายจ่าย
 ปีงบฯ 2568</t>
  </si>
  <si>
    <t>แผนประมาณการรายจ่าย (ครึ่งปีหลัง)
 ปีงบฯ 2568</t>
  </si>
  <si>
    <t xml:space="preserve">แผนรายจ่าย
 ปีงบฯ 2567 </t>
  </si>
  <si>
    <t xml:space="preserve">แผนรายจ่าย
 ปีงบฯ 2564 </t>
  </si>
  <si>
    <t xml:space="preserve">แผนรายจ่าย
 ปีงบฯ 2565 </t>
  </si>
  <si>
    <t xml:space="preserve">แผนรายจ่าย
 ปีงบฯ 2566 </t>
  </si>
  <si>
    <t>ปรับแผนประมาณการ
รายจ่าย (ครึ่งปีหลัง)
ปีงบฯ 2568
(บาท)</t>
  </si>
  <si>
    <t>คิดเป็นร้อยละ
ของแผน</t>
  </si>
  <si>
    <t>ไตรมาส 1-2
(ต.ค.67- มี.ค.68)</t>
  </si>
  <si>
    <t>ประมาณการรายจ่าย
 ปีงบฯ 2568 
(บาท)</t>
  </si>
  <si>
    <t>ครุภัณฑ์ต่ำกว่าเกณฑ์ (ต่ำกว่า 10,000 บาท)</t>
  </si>
  <si>
    <t xml:space="preserve">ปรุงทางเดินหน้าห้องคลอด </t>
  </si>
  <si>
    <t xml:space="preserve">ปรับปรุงจุดนั่งพักคอยด้านหน้าประชาสัมพันธ์พร้อมก่อสร้างอาคารลานม่วงขาว </t>
  </si>
  <si>
    <t>ปรับปรุงห้องแลปชั้น 4 ตึก 10 ชั้น</t>
  </si>
  <si>
    <t>ปรับปรุงห้องแรงดันบวกสำหรับศูนย์ปลูกถ่ายเซลล์ต้นกำเนิดเม็ดเลือด ชั้น 8 (ตึก 298 ) ฝั่งด้านห้องพิเศษ</t>
  </si>
  <si>
    <t>ปรับแผนประมาณการ
รายรับ (ครึ่งปีหลัง)
ปีงบฯ 2568 (บาท)</t>
  </si>
  <si>
    <t>หนี้ค้าง 
ปี 2566</t>
  </si>
  <si>
    <t>หนี้ค้าง 
ปี 2567</t>
  </si>
  <si>
    <t>ศูนย์ Wellness Center</t>
  </si>
  <si>
    <t>12.ครบกำหนดส่งมอบ</t>
  </si>
  <si>
    <t>10.ระยะเวลาอุทธรณ์ผลการพิจารณา</t>
  </si>
  <si>
    <t>9.รายงานผลการพิจารณาเสนอราคา</t>
  </si>
  <si>
    <t>ส่งบันทึกข้อความให้พัสดุแล้ว</t>
  </si>
  <si>
    <t>แผนรายจ่ายรายการครุภัณฑ์ เงินบำรุง (ครึ่งปีหลัง) ประจำปีงบประมาณ พ.ศ. 2568</t>
  </si>
  <si>
    <t>ประเภทครุภัณฑ์</t>
  </si>
  <si>
    <t>งานบ้านงานครัว</t>
  </si>
  <si>
    <t>สำนักงาน</t>
  </si>
  <si>
    <t>คอมพิวเตอร์</t>
  </si>
  <si>
    <t>โฆษณาและเผยแพร่</t>
  </si>
  <si>
    <t>ยานพาหนะ</t>
  </si>
  <si>
    <t>รถพยาบาล (รถตู้) ปริมาตรกระบอกสูบไม่ต่ำกว่า 2,400 ซีซี 
หรือกำลังเครื่องยนต์สูงสุดไม่ต่ำกว่า 90 กิโลวัตต์</t>
  </si>
  <si>
    <t xml:space="preserve">ระบบ Server สำรอง ณ อาคารอุบัติเหตุ 10 ชั้น (Redundant site 30TB) 
</t>
  </si>
  <si>
    <t>หุ่นยนต์ฆ่าเชื้อโรคด้วยรังสียูวี ชนิดซี พร้อมชุดควบคุมการทำงานแบบระบะไกล</t>
  </si>
  <si>
    <t>งานศูนย์เครื่องมือแพทย์</t>
  </si>
  <si>
    <t>เครื่องตรวจคลื่นไฟฟ้าหัวใจพร้อมระบบวิเคราะห์ผลและจัดเก็บภาพในระบบเครือข่าย</t>
  </si>
  <si>
    <t>เครื่องช่วยหายใจควบคุมปริมาตรและความดันเคลื่อนย้ายได้</t>
  </si>
  <si>
    <t>รถเข็นแบบพับได้ ขนาด 48.5x40x86 cm.</t>
  </si>
  <si>
    <t>หน่วยบริการปฐมภูมิ สาขาหยี่เต้ง</t>
  </si>
  <si>
    <t>foot switch voluson e6</t>
  </si>
  <si>
    <t>งานผู้ป่วยนอก(OPD ฝากครรภ์)</t>
  </si>
  <si>
    <t>หอผู้ป่วยน้อมเกล้า 4</t>
  </si>
  <si>
    <t xml:space="preserve">เครื่องกระตุกไฟฟ้าหัวใจชนิดไบเฟสิค พร้อมภาควัดออกซิเจนและคาร์บอนไดออกไซด์ในเลือด </t>
  </si>
  <si>
    <t>งานอุบัติเหตุและฉุกเฉิน</t>
  </si>
  <si>
    <t>เครื่องวัดสัญญาณชีพอัตโนมัติ รุ่น EarlyVue VS30</t>
  </si>
  <si>
    <t>ระบบ HIS (ส่วนต่อขยาย)
1. VachiraPhuket Mobile Application (Patient profile, Patient identification, Patient Self-assessment, Patient health record, Lab &amp; radiology report, Appointment booking, Queue call), 
2. Queue management system
3. Pharmacy Safety Module
4. Reporting tool and dashboard
5. Foreign Workers Module
6. New Business Unit; counselling nephro
7. Home Health Care Module
8. Sub-stock inventory</t>
  </si>
  <si>
    <t>เครื่องคอมพิวเตอร์โน้ตบุ๊ก สำหรับงานประมวลผล</t>
  </si>
  <si>
    <t>เครื่องคอมพิวเตอร์ Acer AIO + Win11 Pro</t>
  </si>
  <si>
    <t>เครื่องคอมพิวเตอร์ สำหรับงานสำนักงาน * (จอแสดงภาพขนาดไม่น้อยกว่า 19 นิ้ว)</t>
  </si>
  <si>
    <t>เครื่องคอมพิวเตอร์ สำหรับงานประมวลผล แบบที่ 2</t>
  </si>
  <si>
    <t>คอมพิวเตอร์แท็บเล็ต แบบที่ 2</t>
  </si>
  <si>
    <t xml:space="preserve">เครื่องพิมพ์แบบใช้ความร้อน Thermal Printer </t>
  </si>
  <si>
    <t>เครื่องพิมพ์ Multifunction แบบฉีดหมึก (Inkjet) ขาวดำ</t>
  </si>
  <si>
    <t>เครื่องพิมพ์ Multifunction เลเซอร์ หรือ LED ขาวดำ</t>
  </si>
  <si>
    <t>เครื่องสำรองไฟ 1000VA/600W สำหรับกล้องวงจรปิด</t>
  </si>
  <si>
    <t>เครื่องพิมพ์เลเซอร์ หรือ LED ขาวดำ ชนิด Network แบบที่ 1</t>
  </si>
  <si>
    <t>เครื่องพิมพ์เลเซอร์ สำหรับห้องตรวจแพทย์</t>
  </si>
  <si>
    <t>เครื่องพิมพ์ชนิด Dot Matrix Printer แบบแคร่สั้น</t>
  </si>
  <si>
    <t>ลิขสิทธิ์โปรแกรมกราฟิก Adobe Photoshop และ Lightroom</t>
  </si>
  <si>
    <t>ลิขสิทธิ์โปรแกรมกราฟิก Adobe Firefly</t>
  </si>
  <si>
    <t>ลิขสิทธิ์โปรแกรมกราฟิก Adobe Premiere Pro</t>
  </si>
  <si>
    <t>ลิขสิทธิ์โปรแกรมกราฟิก Free pix</t>
  </si>
  <si>
    <t>ลิขสิทธิ์โปรแกรมกราฟิก Canvo pro</t>
  </si>
  <si>
    <t>ลิขสิทธิ์โปรแกรมกราฟิก Capcut</t>
  </si>
  <si>
    <t>ลิขสิทธิ์โปรแกรมกราฟิก Remini</t>
  </si>
  <si>
    <t>Distributor Switch ระบบ Network เพื่อใช้เป็น core switch อาคารบ้านคุณพุ่ม รองรับการเชื่อมต่อกับอาคาร 298</t>
  </si>
  <si>
    <t>เครื่องควบคุมแรงดันไฟฟ้าอัตโนมัติ 2000VA</t>
  </si>
  <si>
    <t>เครื่องพิมพ์บาร์โค้ดสำหรับพิมพ์ฉลากข้อมือผู้ป่วย Xprinter</t>
  </si>
  <si>
    <t>จ้างเหมาติดตั้งระบบ WiFi สำหรับบริการผู้ป่วย อาคารน้อมเกล้า พร้อมอุปกรณ์</t>
  </si>
  <si>
    <t>กล้องเว็บแคม  Full HD 1080p/30fps HD 720p/60fps</t>
  </si>
  <si>
    <t>อุปกรณ์กระจายสัญญาณ (L2 Switch) ขนาด 24 ช่อง</t>
  </si>
  <si>
    <t>จอภาพคอมพิวเตอร์ All in one (อะไหล่)</t>
  </si>
  <si>
    <t>จอภาพคอมพิวเตอร์โน้ตบุ๊ก (อะไหล่)</t>
  </si>
  <si>
    <t>อุปกรณ์อ่านบัตรแบบอเนกประสงค์ (Smart Card Reader)</t>
  </si>
  <si>
    <t>อุปกรณ์จัดเก็บข้อมูล Hard disk สำหรับกล้องวงจรปิด ขนาด 8TB</t>
  </si>
  <si>
    <t>อุปกรณ์จัดเก็บข้อมูลสำหรับเครื่องคอมพิวเตอร์ ชนิด SSD ขนาด 1TB</t>
  </si>
  <si>
    <t>Power Supply 600w (80+)</t>
  </si>
  <si>
    <t>Power Supply สำหรับเครื่องคอมพิวเตอร์ Lenovo</t>
  </si>
  <si>
    <t>ชุดหูฟังพร้อมไมค์</t>
  </si>
  <si>
    <t>Adapter Lenovo 20V 4.5A 90W หัว USB</t>
  </si>
  <si>
    <t>อุปกรณ์กระจายสัญญาณภาพ HDMI Splitter 4 port</t>
  </si>
  <si>
    <t>อุปกรณ์แปลงสัญญาณภาพ HDMI TO USB3.0</t>
  </si>
  <si>
    <t xml:space="preserve">หน่วยความจำเครื่องคอมพิวเตอร์ 16GB RAM for PC </t>
  </si>
  <si>
    <t>Graphic Card 4GB</t>
  </si>
  <si>
    <t>สาย CAT6 UTP (305m/Box) Indoor</t>
  </si>
  <si>
    <t>หัว Plug RJ45 CAT6 (ตัวผู้) 100/pack</t>
  </si>
  <si>
    <t>Ram NB DDR4 2666 32GB Kingston</t>
  </si>
  <si>
    <t>Raspberry Pi 4B 4GB Wireless Computer Kit-EU Plug</t>
  </si>
  <si>
    <t>Mini PC Stick</t>
  </si>
  <si>
    <t>Mini คอมพิวเตอร์ i7, RAM 8GB, SSD 1000GB</t>
  </si>
  <si>
    <t>อุปกรณ์กระจายสัญญาณ (L2 Switch) ขนาด 24 ช่อง 4x10G uplink</t>
  </si>
  <si>
    <t>อุปกรณ์ SFP Module สำหรับเชื่อมต่อ Uplink ระหว่างอุปกรณ์ 10 Gigabit Ethernet</t>
  </si>
  <si>
    <t>TP-Link Acher T9UH AX1800 WiFi6 หรือดีกว่า</t>
  </si>
  <si>
    <t>แบตเตอรี่สำหรับเครื่องสำรองไฟ 12V</t>
  </si>
  <si>
    <t>หัวชาร์จ 20V 2.25A หัว 4.0*1.7MM 45W</t>
  </si>
  <si>
    <t>หัวพิมพ์สีสำหรับเครื่องพิมพ์ CANON G4010</t>
  </si>
  <si>
    <t>หัวพิมพ์ขาวดำสำหรับเครื่องพิมพ์ CANON G4010</t>
  </si>
  <si>
    <t>เครื่องยกกระชับใบหน้าโดยไม่ต้องผ่าตัด ULTHERA</t>
  </si>
  <si>
    <t>เครื่องเลเซอร์คาร์บอนไดออกไซด์แบบ Ultra Pulse</t>
  </si>
  <si>
    <t>เครื่องวิเคราะห์สภาพผิวหน้า VISIA</t>
  </si>
  <si>
    <t>เครื่องพ่นลมเย็น</t>
  </si>
  <si>
    <t>เครื่องอุ่นเลือดและพลาสม่า</t>
  </si>
  <si>
    <t>เครื่องดมยาสลบชนิดซับซ้อน</t>
  </si>
  <si>
    <t>อุปกรณ์ในการช่วยใส่ท่อช่วยหายใจ (Laryngoscope)</t>
  </si>
  <si>
    <t>เครื่องควบคุมการให้สารละลายทางหลอดเลือด</t>
  </si>
  <si>
    <t>เครื่องช่วยใส่ท่อช่วยหายใจ (Laryngoscope)</t>
  </si>
  <si>
    <t>ชุดป้องกันรังสี</t>
  </si>
  <si>
    <t>เครื่องวัดเปอร์เซ็นความอิ่มตัวของออกซิเจนในเลือด</t>
  </si>
  <si>
    <t>เครื่องควบคุมการให้สารละลายทางหลอดเลือดโดยใช้กระบอกฉีดยา (Syrige Pump)</t>
  </si>
  <si>
    <t>ที่ล้างแผล</t>
  </si>
  <si>
    <t>โต๊ะเมโย แบบ 4 ล้อ พร้อมถาด</t>
  </si>
  <si>
    <t>เครื่องเป่ามือ</t>
  </si>
  <si>
    <t xml:space="preserve">เครื่องวัดออซิเจนปลายนิ้ว </t>
  </si>
  <si>
    <t>เครื่องชั่งน้ำหนัก แบบดิจิตอลพร้อมที่วัดส่วนสูง</t>
  </si>
  <si>
    <t>เครื่องวัดออกซิเจนในเลือดอัตโนมัติ ชนิดพกพา</t>
  </si>
  <si>
    <t>เครื่องวัดความดันและวัดปริมาณความอิ่มตัวของออกซิเจนในเลือด ชนิดพกพา</t>
  </si>
  <si>
    <t>ไฟอบแผลฝีเย็บ</t>
  </si>
  <si>
    <t>เครื่องวัดความดันโลหิตแบบอัตโนมัติพร้อมตัววัดความอิ่มตัวของออกซิเจน</t>
  </si>
  <si>
    <t>เครื่องวัดความดันโลหิตแบบอัตโนมัติพร้อมวัดความอิ่มตัวของออกซิเจน</t>
  </si>
  <si>
    <t>เครื่องชั่งน้ำหนักดิจิตอล พร้อมที่วัดส่วนสูง</t>
  </si>
  <si>
    <t>เครื่องชั่งน้ำหนักเด็กทารก</t>
  </si>
  <si>
    <t>Crib สำหรับเคลื่อย้ายทารก</t>
  </si>
  <si>
    <t>ตู้กักเก็บกลิ่นและไอสารระเหยทางเคมี</t>
  </si>
  <si>
    <t>เครื่องตัดและซีลซองบรรจุอุปกรณ์เครื่องมือแพทย์อัตโนมัติ</t>
  </si>
  <si>
    <t>เครื่องวัดคุณภาพน้ำ</t>
  </si>
  <si>
    <t xml:space="preserve">เครื่องควบคุมอุณหภูมิสารละลายทางสายน้ำเกลือ (การให้เลือด) </t>
  </si>
  <si>
    <t>กระดานรองหลังชนิดยาว พร้อมชุดล็อคศรีษะเข็มขัด</t>
  </si>
  <si>
    <t>เครื่อง Pulse Oximeter</t>
  </si>
  <si>
    <t>ชุดเพิ่มประสิทธิภาพเครื่องทดสอบสรรถภาพการทำงานของหัวใจขณะออกกำลังกาย</t>
  </si>
  <si>
    <t xml:space="preserve">เครื่องวัดกำลังเลนส์อัตโนมัติชนิดจอ LED </t>
  </si>
  <si>
    <t>เครื่องวัดสายตาแบบมือถือ ชนิดชารจ์ไฟได้</t>
  </si>
  <si>
    <t>สมุดสำหรับทดสอบสายตาเลื่อนราง (Stereoscopic tests Fly)</t>
  </si>
  <si>
    <t>ไฟฉายทดสอบตาเด็ก (Worth 4 Dot)</t>
  </si>
  <si>
    <t>เครื่องตรวจวัดความเครียดและสุขภาพของหลอดเลือด maxpulse</t>
  </si>
  <si>
    <t>เครื่องผนึกซองซีล</t>
  </si>
  <si>
    <t>เครื่องเขย่าปูน</t>
  </si>
  <si>
    <t>เครื่องขูดหินปูน</t>
  </si>
  <si>
    <t>โคมไฟผ่าตัดเล็กชนิดเคลื่อนย้าย</t>
  </si>
  <si>
    <t>อุปกรณ์ตัดชื้นเนื้อ (Biopsy)</t>
  </si>
  <si>
    <t>หัวตรวจเครื่องอัลตร้าซาวด์</t>
  </si>
  <si>
    <t>เครื่องให้ออกซิเจนด้วยอัตราการไหลสูง</t>
  </si>
  <si>
    <t>เครื่องดูดเสมหะ</t>
  </si>
  <si>
    <t>เครื่องชั่งน้ำหนักบุคคลพร้อมวัดส่งนสูง</t>
  </si>
  <si>
    <t xml:space="preserve">เครื่องวัดปริมาณความอิ่มตัวของออกซเจนปลายนิ้ว </t>
  </si>
  <si>
    <t>รถเข็นนั่งชนิดพับได้ มีเสาน้ำเกลือ</t>
  </si>
  <si>
    <t>งานผู้ป่วยนอก (แผนกกุมารเวช)</t>
  </si>
  <si>
    <t>งานผู้ป่วยนอก (วชิรคลินิก)</t>
  </si>
  <si>
    <t>งานผู้ป่วยนอก (ศัลยกรรมกระดูก)</t>
  </si>
  <si>
    <t>หอผู้ป่วยศัลยกรรมประสาท</t>
  </si>
  <si>
    <t>หอผู้ป่วยสูติกรรมหลังคลอด</t>
  </si>
  <si>
    <t>หอผู้ป่วยพิเศษอายุรกรรมชั้น 4</t>
  </si>
  <si>
    <t>หอผู้ป่วยกุมารเวชกรรม 1</t>
  </si>
  <si>
    <t>หอผู้ป่วยทารกแรกเกิด</t>
  </si>
  <si>
    <t>หอผู้ป่วยนรีเวชกรรม</t>
  </si>
  <si>
    <t>งานห้องคลอด</t>
  </si>
  <si>
    <t>ศูนย์หัวใจ</t>
  </si>
  <si>
    <t>กลุ่มงานนิติเวช</t>
  </si>
  <si>
    <t>กลุ่มงานเทคการแพทย์และพยาธิวิทยาคลินิก</t>
  </si>
  <si>
    <t>งานจิตเวชเด็ก</t>
  </si>
  <si>
    <t>งานเคลื่อนย้ายผู้ป่วย</t>
  </si>
  <si>
    <t>รายการใหม่ปรับแผน(ครึ่งปีหลัง)</t>
  </si>
  <si>
    <t>เครื่องวัดความยาวราก</t>
  </si>
  <si>
    <t xml:space="preserve">เตียงอาบน้ำศพ ขนาด 2x1x0.9 ม. </t>
  </si>
  <si>
    <t>เครื่องชั่งน้ำหนักศพที่สามารถชั่งได้พร้อมรถเข็น</t>
  </si>
  <si>
    <t>เครื่องชั่งน้ำหนักอวัยวะแบบดิจิตอล</t>
  </si>
  <si>
    <t>ตู้เย็น ขนาด 7.3Q</t>
  </si>
  <si>
    <t>เครื่องกรองน้ำแบบตั้งพื้นมีทั้งน้ำร้อนและน้ำเย็น</t>
  </si>
  <si>
    <t>โถสุขภัณฑ์แบบนั่งราบและชุดสายชำระ พร้อมติดตั้ง</t>
  </si>
  <si>
    <t>ผ้าม่านสำหรับกั้นเตียงผู้ป่วย</t>
  </si>
  <si>
    <t>หม้อต้มน้ำร้อน</t>
  </si>
  <si>
    <t>ไมโคเวฟ ขนาด 28 ลิตร</t>
  </si>
  <si>
    <t>เครื่องไมโครเวฟ</t>
  </si>
  <si>
    <t>ถังม็อบพื้น ขนาด 36 ลิตร</t>
  </si>
  <si>
    <t>เคาน์เตอร์และอ่างล้างอุปกรณ์</t>
  </si>
  <si>
    <t>ตู้แช่ทำความเย็น 1 ประตู ขนาด 17 คิว</t>
  </si>
  <si>
    <t>กระติกน้ำร้อนไฟฟ้า</t>
  </si>
  <si>
    <t>ตู้กดน้ำร้อน-น้ำเย็น 2 หัวก๊อก</t>
  </si>
  <si>
    <t xml:space="preserve">เตียงนอนขนาด 6 ฟุต </t>
  </si>
  <si>
    <t>เตียงนอนขนาด 3 ฟุต ครึ่ง</t>
  </si>
  <si>
    <t xml:space="preserve">ตู้เย็นสำหรับแช่ยา ขนาด 6.1Q </t>
  </si>
  <si>
    <t>ตู้เย็น ขนาด 7.3 คิว</t>
  </si>
  <si>
    <t>ตู้ล็อกเกอร์ LK-9 ขาวมุก BTR (9 ช่อง)</t>
  </si>
  <si>
    <t>เตียงเหล็ก 3.5 RUNA สีขาว</t>
  </si>
  <si>
    <t>ตู้เหล็กบานเลื่อนทึบ สีขาวมุก BTR</t>
  </si>
  <si>
    <t>ชุดโต๊ะอาหาร 6 ที่นั่ง</t>
  </si>
  <si>
    <t>ไมโครเวฟ ขนาด 20 ลิตร</t>
  </si>
  <si>
    <t>กลุ่มภารกิจด้านการพยาบาล</t>
  </si>
  <si>
    <t>งานเวชศาสตร์ใต้น้ำ</t>
  </si>
  <si>
    <t>กลุ่มงานอายุกรรม</t>
  </si>
  <si>
    <t>นอกแผนอนุมัติ เข้าแผน (ครึ่งปีหลัง)</t>
  </si>
  <si>
    <t>เครื่องขยายเสียง</t>
  </si>
  <si>
    <t>ไมโครโฟนแบบไร้สาย ชนิดมือถือ</t>
  </si>
  <si>
    <t>ไมโครโฟนคู่ไร้สาย</t>
  </si>
  <si>
    <t>ไมโครโฟนชนิดมือถือมีสาย สายไมโครโฟนยาว 5 เมตร</t>
  </si>
  <si>
    <t>งานผู้ป่วยนอก (นรีเวชกรรม)</t>
  </si>
  <si>
    <t>สายไมโครโฟนยาว 10 เมตร</t>
  </si>
  <si>
    <t>ชุดไมโครโฟนมือถือแบบมีสาย</t>
  </si>
  <si>
    <t>เครื่องปรับอากาศ ขนาด 18000 BTU</t>
  </si>
  <si>
    <t>เก้าอี้</t>
  </si>
  <si>
    <t>ชุดตู้เอกสาร</t>
  </si>
  <si>
    <t>โต๊ะวางคอมพิวเตอร์</t>
  </si>
  <si>
    <t>ตู้เอกสาร</t>
  </si>
  <si>
    <t>เครื่องปรับอากาศชนิดแขวนใต้ฝ้า ขนาด 36000 BTU</t>
  </si>
  <si>
    <t>ท่อน้ำยา ยาว 8 เมตร</t>
  </si>
  <si>
    <t>เครื่องปรับอากาศชนิดแขวนใต้ฝ้า ขนาด 18700 BTU</t>
  </si>
  <si>
    <t>ท่อน้ำยา ยาว 12 เมตร</t>
  </si>
  <si>
    <t>พัดลมโคจร</t>
  </si>
  <si>
    <t>ตู้ล็อกเกอร์</t>
  </si>
  <si>
    <t>โทรทัศน์ Smart TV ขนาด 32 นิ้ว</t>
  </si>
  <si>
    <t>เครื่องปรับอากาศแคเรียร์ ชนิดแขวนใต้ฝ้า</t>
  </si>
  <si>
    <t>เครื่องปรับอากาศ ชนิดแขวนใต้ฝ้า ขนาด 13000 BTU</t>
  </si>
  <si>
    <t>รถเข็นพับได้</t>
  </si>
  <si>
    <t>เครื่องปรับอากาศ ขนาด 18,000 BTU</t>
  </si>
  <si>
    <t>พัดลมระบายอากาศ</t>
  </si>
  <si>
    <t>เครื่องปรับอากาศ ชนิดแขวนใต้ฝ้าพร้อมติดตั้ง</t>
  </si>
  <si>
    <t xml:space="preserve">โทรศัพท์ไร้สาย </t>
  </si>
  <si>
    <t>พัดลมติดผนัง ขนาด 16 นิ้ว</t>
  </si>
  <si>
    <t>เครื่องปรับอากาศ ชนิดแขวนใต้ฝ้า</t>
  </si>
  <si>
    <t xml:space="preserve">Sofa bed </t>
  </si>
  <si>
    <t>พัดลมอุตสาหกรรมติดผนังมีรีโมทขนาด 20 นิ้ว</t>
  </si>
  <si>
    <t>พัดลมโคจร ขนาด 400 มม.</t>
  </si>
  <si>
    <t>เครื่องปรับอากาศคอยล์น้ำเย็นชนิดแขวนใต้ฝ้า ขนาด 54900 BTU</t>
  </si>
  <si>
    <t>รถเข็นสแตนเลสแบบคอกล้อม ขนาด W650xL950xH900 mm.</t>
  </si>
  <si>
    <t>ตู้วางรองเท้า  80 ซม.</t>
  </si>
  <si>
    <t>เครื่องปั๊มลม</t>
  </si>
  <si>
    <t xml:space="preserve">พัดลมโคจร ขนาด 16 นิ้ว </t>
  </si>
  <si>
    <t>เครื่องปรับอากาศชนิดแขวนใต้ฝ้า ขนาด 54900 BTU</t>
  </si>
  <si>
    <t>ตู้ลิ้นซักพลาสติก 4 ชั้น</t>
  </si>
  <si>
    <t>โทรทัศน์ขนาด 55 นิ้ว พร้อมอุปกรณ์ขาตั้ง</t>
  </si>
  <si>
    <t>รถเข็นเวชระเบียน (ล้อต่างประเทศ)</t>
  </si>
  <si>
    <t>เครื่องปรับอากาศชนิดติดผนัง ขนาด 18000 BTU</t>
  </si>
  <si>
    <t>ขาตั้งโทรทัศน์แบบมีล้อเลื่อน</t>
  </si>
  <si>
    <t>เครื่องทำลายเอกสาร</t>
  </si>
  <si>
    <t>โทรศัพท์เคลื่อนที่ ยี่ห้อ ViVo รุ่น 19s</t>
  </si>
  <si>
    <t xml:space="preserve">โทรศัพท์ Digital Attendant </t>
  </si>
  <si>
    <t>เตียงนอนพับได้</t>
  </si>
  <si>
    <t xml:space="preserve">เครื่องทำลายเอกสาร Deli 9918 paper Shredder NO BRAND </t>
  </si>
  <si>
    <t>โทรศัพท์ไร้สายแบบเดี่ยว</t>
  </si>
  <si>
    <t>โทรศัพท์ไร้สายแบบคู่</t>
  </si>
  <si>
    <t>เก้าอี้ สีดำ</t>
  </si>
  <si>
    <t>เครื่องปรับอากาศชนิดติดผนัง</t>
  </si>
  <si>
    <t>เครื่องปรับอากาศอิมิเน้น ชนิดแขวนใต้ฝ้า  ขนาด 30000 BTU พร้อมติดตั้ง</t>
  </si>
  <si>
    <t>งานผู้ป่วยนอก (ศัลยกรรม)</t>
  </si>
  <si>
    <t>หอผู้ป่วยหลวงพ่อแซ่ม 4</t>
  </si>
  <si>
    <t>หอผู้ป่วยหลวงพ่อแช่ม 2</t>
  </si>
  <si>
    <t>หอผู้ป่วยพิเศษอายุรกรรมชั้น 4,5</t>
  </si>
  <si>
    <t>หอผู้ป่วยอายุรกรรมหญิง</t>
  </si>
  <si>
    <t>หอผู้ป่วยหนักโรคหัวใจ</t>
  </si>
  <si>
    <t>หอผู้ป่วยจักษุ โสต ศอ นาสิก(EENT)</t>
  </si>
  <si>
    <t>หอผู้ป่วยห้องคลอด</t>
  </si>
  <si>
    <t>หอผู้ป่วยหนักศัลยกรรม</t>
  </si>
  <si>
    <t>หอผู้ป่วยอายุรกรรมชาย 1</t>
  </si>
  <si>
    <t>คลินิกเคมีบำบัด</t>
  </si>
  <si>
    <t>กลุ่มงานเวชระเบียนและข้อมูลทางการแพทย์</t>
  </si>
  <si>
    <t>กลุ่มงานเวชกรรมฟื้นฟู</t>
  </si>
  <si>
    <t>งานตรวจสุขภาพ</t>
  </si>
  <si>
    <t>กลุ่มงานเวชกรรมสังคม</t>
  </si>
  <si>
    <t>ศูนย์จรวจสุขภาพชุมชนนริศร</t>
  </si>
  <si>
    <t>กลุ่มงานพัฒนาทรัพยากรบุคคล</t>
  </si>
  <si>
    <t>กลุ่มงานพัสดุ</t>
  </si>
  <si>
    <t>กลุ่มงานจิตเวชและยาเสพติด</t>
  </si>
  <si>
    <t>กลุ่มงานกุมารเวชกรรม</t>
  </si>
  <si>
    <t>ศูนย์คุณภาพ</t>
  </si>
  <si>
    <t>เครื่องพิมพ์สติ๊กเกอร์</t>
  </si>
  <si>
    <t>เครื่องเคลือบบัตร A4</t>
  </si>
  <si>
    <t>เครืองมือสื่อสารชนิดแท็บเล็ต ขนาดกว้ง 10.4 นิ้ว ความละเอียด 1200/1920 พิกเซล ROM8/128GB</t>
  </si>
  <si>
    <t>กล้องเว็บแคม พร้อมขาตั้ง</t>
  </si>
  <si>
    <t>เครื่องคอมพิวเตอร์</t>
  </si>
  <si>
    <t>เครื่องให้บริการอัตโนมัติ KIOSK</t>
  </si>
  <si>
    <t>ฮาร์ดดิสสำหรับเครื่องคอมพิวเตอร์แม่ข่าย</t>
  </si>
  <si>
    <t>ซอฟต์แวร์ Cisco Hyperflex Data Platform Software</t>
  </si>
  <si>
    <t>อุปกรณ์จัดเก็บข้อมูล (Hard Disk)</t>
  </si>
  <si>
    <t xml:space="preserve">อุปกรณ์กระจายสัญญาณ Switch 24 port </t>
  </si>
  <si>
    <t xml:space="preserve">คอมพิวเตอร์ ASUS Expert Center </t>
  </si>
  <si>
    <t xml:space="preserve">UPS ขนาด 2KVA </t>
  </si>
  <si>
    <t>ซอฟต์แวร์ Cisco Intersight SaaS</t>
  </si>
  <si>
    <t>เครื่องพิมพ์แบบฉีกหมึก สำหรับกระดาษขนาด A3</t>
  </si>
  <si>
    <t>Rack UPS 3KVA สำหรับ Server</t>
  </si>
  <si>
    <t>เครื่องพิมพ์ Epson lnkjet L8050</t>
  </si>
  <si>
    <t>งานผู้ป่วยนอก (ห้องฉีดยา)</t>
  </si>
  <si>
    <t>กลุ่มภารกิจด้านปฐมภูมิ</t>
  </si>
  <si>
    <t>งานนิติกร</t>
  </si>
  <si>
    <t>กลุ่มงานสุขศึกษา</t>
  </si>
  <si>
    <t xml:space="preserve">ปรับปรุงห้องเอกซเรย์ ตึก 10 ชั้น </t>
  </si>
  <si>
    <t>รวมในงบ 25 ล้านบาท</t>
  </si>
  <si>
    <t>ระบบปรับอากาศในพื้นที่พักผู้ป่วยสามัญ ชั้น 2-7 ตึก 298</t>
  </si>
  <si>
    <t>จากที่ประชุม 200,669,690 บาท</t>
  </si>
  <si>
    <t>จากที่ประชุม 1,040,170,000 บาท</t>
  </si>
  <si>
    <t>จากที่ประชุม 182,781,467.59 บาท</t>
  </si>
  <si>
    <t>จากที่ประชุม 369,950,511.14 บาท</t>
  </si>
  <si>
    <t xml:space="preserve">รวมงบประมาณทั้งสิ้น
60,276,000  บาท
ปี 2568= 20,092,000 บาท
ปี 2569=40,184,000 บาท
</t>
  </si>
  <si>
    <t>แผนเกินดุล +</t>
  </si>
  <si>
    <t xml:space="preserve">ปรับปรุงห้องน้ำ OPD ชั้น 1,3,4 </t>
  </si>
  <si>
    <t>ซ่อมแซมอาคารศรีพัชรินทรานุสร</t>
  </si>
  <si>
    <t xml:space="preserve">ปรับปรุงห้องน้ำ (ห้องโลมา+ER ) </t>
  </si>
  <si>
    <t>รายจ่ายจริง 
ปี 2567</t>
  </si>
  <si>
    <t xml:space="preserve">   ค่าครุภัณฑ์เงินบำรุง</t>
  </si>
  <si>
    <t>ปรับปรุงคุณภาพอากาศภายในพื้นที่ตรวจผู้ป่วยนอก ชั้น 2 และชั้น 3  อาคารอุบัติเหตุฉุกเฉินและวิเคราะห์บำบัด 6 ชั้น</t>
  </si>
  <si>
    <t>ส่วนต่าง</t>
  </si>
  <si>
    <t>แผนครึ่งปีหลัง</t>
  </si>
  <si>
    <t>แผนครึ่งปี</t>
  </si>
  <si>
    <t>โรงพยาบาล..วชิระภูเก็ต............</t>
  </si>
  <si>
    <t>เครื่องให้การรักษาด้วยแสงเลเซอร์ สำหรับรักษาความผิดปกติของเม็ดสี ริ้วรอย สิว 
ความไม่สม่ำเสมอของผิวและแผลเป็น</t>
  </si>
  <si>
    <t>ให้ใช้เครื่องที่ได้จากงบกองสลาก</t>
  </si>
  <si>
    <t>พัดลมติดผนัง ขนาด 18 นิ้ว (พื้นที่ส่วนรวม)</t>
  </si>
  <si>
    <t>โต๊ะทำงาน 8809B</t>
  </si>
  <si>
    <t>เก้าอี้ MA-U</t>
  </si>
  <si>
    <t xml:space="preserve">เครื่องปรับอากาศ ชนิดแขวนใต้ฝ้า ขนาด 13000 BTU </t>
  </si>
  <si>
    <t xml:space="preserve">เครื่องปรับอากาศ ชนิดแขวนใต้ฝ้า ขนาด 12500 BTU </t>
  </si>
  <si>
    <t>เครื่องปรับอากาศ ชนิดแขวนใต้ฝ้า ขนาด 48000 BTU</t>
  </si>
  <si>
    <t>เครื่องปรับอากาศ ชนิดแขวนใต้ฝ้า ขนาด 24000 BTU</t>
  </si>
  <si>
    <t>เครื่องปรับอากาศ ชนิดแขวนใต้ฝ้า ขนาด 12000 BTU</t>
  </si>
  <si>
    <t>เครื่องสำรองไฟ ขนาด 630 วัตต์</t>
  </si>
  <si>
    <t>เครื่องอ่านคิวอาร์โค้ดไร้สาย</t>
  </si>
  <si>
    <t>เครื่องพิมพ์เลเซอร์</t>
  </si>
  <si>
    <t xml:space="preserve">เครื่องสำรองไฟ ขนาด 630 วัตต์ </t>
  </si>
  <si>
    <t>เครื่องปริ้นเตอร์</t>
  </si>
  <si>
    <t xml:space="preserve">เครื่องคอมพิวเตอร์ All in one+ Windowa 11 Pro </t>
  </si>
  <si>
    <t>เครื่องพิมพ์  Multifunction</t>
  </si>
  <si>
    <t>Adobe Photoshop</t>
  </si>
  <si>
    <t>Adobe Lightroom</t>
  </si>
  <si>
    <t>Adobe Illustrator</t>
  </si>
  <si>
    <t>Adobe Acrobat Pro</t>
  </si>
  <si>
    <t>Canva Teams สำหรับ 3 Person</t>
  </si>
  <si>
    <t>Ferr Pik Premium (รายปีสำหรับ 1 คน)</t>
  </si>
  <si>
    <t>Cap Cut Pro (รายปี 1 account)</t>
  </si>
  <si>
    <t>เครื่องพิมพ์ canon PIXMA G4010</t>
  </si>
  <si>
    <t>เครื่องพิมพ์  Multifunction แบบฉีดหมึก</t>
  </si>
  <si>
    <t>ชนิดสายสวนแบบกางได้เอง (Self expandable)</t>
  </si>
  <si>
    <t>ชนิดสายสวนแบบต้องใช้บอลลูนกาง (Balloon expandable)</t>
  </si>
  <si>
    <t>ชุดเลื่อยตัดกระดูกหน้าอกแบบเดินหน้าถอยหลังระบบแบตเตอรี่</t>
  </si>
  <si>
    <t>ชุดเครื่องมือถ่างแผลแยกทรวงอก</t>
  </si>
  <si>
    <t>ชุดเครื่องมือพื้นฐานสำหรับการผ่าตัดหัวใจ</t>
  </si>
  <si>
    <t>กล้องส่องตรวจระบบทางเดินอาหาร ทางเดินน้ำดีและตับอ่อนด้วยคลื่นเสียงความถี่สูงพร้อมชุดควบคุมสัญญาณภาพ</t>
  </si>
  <si>
    <t>เครื่องรักษาโรคตาด้วยแสงเลเซอร์แบบแพทเทิน</t>
  </si>
  <si>
    <t>กลุ่มงานศัลยกรรมทั่วไป</t>
  </si>
  <si>
    <t>เครื่องสลายเนื้อเยื่อด้วยคลื่นความถี่สูง (CUSA )</t>
  </si>
  <si>
    <t>ตู้อุ่นน้ำเกลือ</t>
  </si>
  <si>
    <t>เครื่องปรับอากาศ ชนิดแขวนใต้ฝ้า ขนาด 36100 BTU</t>
  </si>
  <si>
    <t>เครื่องกำเนิดคลื่นวิทยุความถี่สูงสำหรับผ่าตัด ชนิด 2 ความถี่</t>
  </si>
  <si>
    <t>เครื่องดมยาสลบ</t>
  </si>
  <si>
    <t xml:space="preserve">เครื่องตรวจและวินิจฉัยภาพภายในหลอดเลือดหัวใจด้วยคลื่นอัลตราซาวด์ </t>
  </si>
  <si>
    <t xml:space="preserve"> - OPD นรีเวช/ศัลยกรรมทั่วไป/
/งานเอดส์+ให้คำปรึกษา+คลินิกวัณโรค/ ENT/วชิระคลินิก/ARI Clinic/ จุดคัดกรองโรค/จุดคัดกรองโรค/ตา
 - ศูนย์ศุภนิมิตร</t>
  </si>
  <si>
    <t xml:space="preserve">รวมงบประมาณทั้งสิ้น
100,460,000 บาท
ปี 2569= 20,092,000 บาท
ปี 2570-71=40,184,000 บาท
</t>
  </si>
  <si>
    <t xml:space="preserve"> - ปรับปรุงหอผู้ป่วยเคมีบำบัดเป็นระบบปรับอากาศ clean room positive pressure (class 100,000) ในพื้นที่หอผู้ป่วยเคมีบำบัด ชั้น 8 (ฝั่งสามัญ)
 - ปรับปรุงระบบปรับอากาศระบายอากาศ (clean room positive pressure) ห้องแยกผู้ป่วยเคมีบำบัด จำนวน 2 ห้อง
 - ติดตั้งตู้กักเก็บกลิ่นและไอระเหยทางสารเคมี ชั้น 8 ฝั่งสามัญ</t>
  </si>
  <si>
    <t>เครื่องคอมพิวเตอร์ Desktop (ซื้อได้ 8 เครื่อง ราคาขึ้น)</t>
  </si>
  <si>
    <t xml:space="preserve">       (ลงชื่อ)....................................ผู้อนุมัติ</t>
  </si>
  <si>
    <t>(ลงชื่อ)......................................ผู้เสนอขออนุมัติ                                                                  (ลงชื่อ).......................................ผู้เห็นชอบ</t>
  </si>
  <si>
    <t>(นางปทมา    ตันโชติกุล )                                                                                            (นายวีระศักดิ์    หล่อทองคำ)</t>
  </si>
  <si>
    <t xml:space="preserve">ค่าซ่อมโครงสร้างอาคาร ตึก สงฆ์ </t>
  </si>
  <si>
    <t>ไตรมาส 1-3
(ต.ค.67- มิ.ย.68)
ณ 31 พ.ค. 68</t>
  </si>
  <si>
    <t>ร้อยละ</t>
  </si>
  <si>
    <t>13.ส่งมอบ/รายงานผลตรวจรับ</t>
  </si>
  <si>
    <t>ไตรมาส 1-3
(ต.ค.67- มิ.ย.68)
ณ 30 มิ.ย. 68</t>
  </si>
  <si>
    <t>หนี้ค้าง ณ มิ.ย.68</t>
  </si>
  <si>
    <t>รายรับจริงไม่รวมเงินบริจาค</t>
  </si>
  <si>
    <t>ขยายพื้นที่ด้านข้างอาคารจ่ายยาปุดจ้อ  (ออกแบบเสร็จแล้ว)</t>
  </si>
  <si>
    <t>ปรับปรุงห้องไตเทียม (ชั้น 1) +ที่พักคอย ตึก 298  (ออกแบบเสร็จแล้ว)</t>
  </si>
  <si>
    <r>
      <rPr>
        <sz val="16"/>
        <color rgb="FFFF0000"/>
        <rFont val="TH SarabunPSK"/>
        <family val="2"/>
      </rPr>
      <t>***</t>
    </r>
    <r>
      <rPr>
        <sz val="16"/>
        <rFont val="TH SarabunPSK"/>
        <family val="2"/>
      </rPr>
      <t>ปรับปรุงอาคาร 10 ชั้น ICU หัวใจ (ชั้น10)</t>
    </r>
  </si>
  <si>
    <t>อาคารรังสีรักษา (ราคาก่อสร้าง 421 ล้านบาท)</t>
  </si>
  <si>
    <t>ปรับปรุงห้องพิเศษ ตึก 298  จำนวน 40 ห้อง  (25 ล้านบาท)</t>
  </si>
  <si>
    <t>ปรับปรุงใช้ห้อง Cath lab ตึก 10 ชั้น  ชั้น 5</t>
  </si>
  <si>
    <t>ดำเนินการแล้ว</t>
  </si>
  <si>
    <t>ปี 2568</t>
  </si>
  <si>
    <t>ปี 2569</t>
  </si>
  <si>
    <t>ปรับปรุงห้องพิเศษตึกสูติกรรม  (อาจจะปรับราคา)</t>
  </si>
  <si>
    <t>แผนรายการสิ่งก่อสร้าง ประจำปีงบประมาณ พ.ศ. 2569 : เงินบำรุง</t>
  </si>
  <si>
    <t>รวมทั้งสิ้น</t>
  </si>
  <si>
    <t>เงินบริจาคอาคารรังสีรักษา</t>
  </si>
  <si>
    <t>เงินบริจาคเพื่อกิจการ</t>
  </si>
  <si>
    <t>รายการครุภัณฑ์ ตึกอายุรกรรม 298</t>
  </si>
  <si>
    <t>Laryngoscope</t>
  </si>
  <si>
    <t>อาคารอายุรกรรม 298</t>
  </si>
  <si>
    <t>Ventilator</t>
  </si>
  <si>
    <t xml:space="preserve">เกจ์ ออกซิเจน Pie line </t>
  </si>
  <si>
    <t>เกจ์ Suction</t>
  </si>
  <si>
    <t>EKG 12 lead</t>
  </si>
  <si>
    <t>เครื่อง Ultrasound mobile</t>
  </si>
  <si>
    <t>เครื่องติดตามการทำงานของหัวใจและสัญญานชีพอัตโนมัติขนาดใหญ่</t>
  </si>
  <si>
    <t>เครื่องติดตามการทำงานของหัวใจและสัญญานชีพอัตโนมัติขนาดใหญ่ (เฉพาะตัวลูก 6 parameter) เติมให้สามัญที่ยังขาดเฉพาะตัวลูก *** Phillip</t>
  </si>
  <si>
    <t>เตียงไฟฟ้า + โต๊ะคร่อมเตียง+ โต๊ะข้างเตียง สำหรับผู้ป่วยพิเศษ</t>
  </si>
  <si>
    <t>รถ Emergency</t>
  </si>
  <si>
    <t>รถสำหรับแจกยา</t>
  </si>
  <si>
    <t>Pad slide</t>
  </si>
  <si>
    <t>รถหัตถการ แบบมีลิ้นชัก</t>
  </si>
  <si>
    <t>รถหัตถการ size ใหญ่</t>
  </si>
  <si>
    <t>รถหัตถการ size เล็ก</t>
  </si>
  <si>
    <t>รถให้สารน้ำ</t>
  </si>
  <si>
    <t>รถเข็นแจกอาหาร</t>
  </si>
  <si>
    <t>รถเข็นของ</t>
  </si>
  <si>
    <t>เครื่องชั่งน้ำหนักและวัดส่วนสูง</t>
  </si>
  <si>
    <t>เครื่องชั่งน้ำหนักแบบดิจิทัล (เคลื่อนย้ายได้)</t>
  </si>
  <si>
    <t>เครื่องชั่งสารแบบดิจิตอล</t>
  </si>
  <si>
    <t>ชุดคอมพิวเตอร์ ชนิดตั้งโต๊ะ</t>
  </si>
  <si>
    <t>ชุดคอมพิวเตอร์ mobile</t>
  </si>
  <si>
    <t>เครื่อง Printer ที่มี scan + ถ่ายเอกสาร</t>
  </si>
  <si>
    <t>โต๊ะสำนักงาน + เก้าอี้</t>
  </si>
  <si>
    <t>โต๊ะประชุม + เก้าอี้ แบบ 10-12 คน</t>
  </si>
  <si>
    <t>เก้าอี้กลมสแตนเลสสำหรับญาติ</t>
  </si>
  <si>
    <t>เก้าอี้สำนักงานล้อเลื่อนมีพนักพิงปรับระดับได้</t>
  </si>
  <si>
    <t>เก้าอี้กลมล้อเลื่อนสแตนเลสปรับระดับได้ มีล้อ</t>
  </si>
  <si>
    <t>โทรศัพท์มีสาย</t>
  </si>
  <si>
    <t>กระดานไวท์บอร์ด size ใหญ่</t>
  </si>
  <si>
    <t>กระดานไวท์บอร์ด size กลาง</t>
  </si>
  <si>
    <t>ชั้นวางเอกสารขนาด 5 ชั้น</t>
  </si>
  <si>
    <t>นาฬิกาแขวน</t>
  </si>
  <si>
    <t>โทรทัศน์สำหรับห้องประชุม 55 นิ้ว</t>
  </si>
  <si>
    <t>ปลั๊กไฟ 3 ทาง</t>
  </si>
  <si>
    <t>โครงถังผ้าเปื้อน</t>
  </si>
  <si>
    <t>เครื่องน้ำร้อนน้ำเย็น COWAY</t>
  </si>
  <si>
    <t>เหยือกน้ำพลาสติกแบบมี scale</t>
  </si>
  <si>
    <t>เหยือกน้ำพลาสติกแบบไม่มี scale</t>
  </si>
  <si>
    <t>เครื่องทำน้ำอุ่นในห้องน้ำ</t>
  </si>
  <si>
    <t>ถังขยะพลาสติกแบบเหยียบ 18 ลิตร</t>
  </si>
  <si>
    <t>ถังขยะพลาสติกแบบเหยียบ 35 ลิตร</t>
  </si>
  <si>
    <t>ตู้เย็น แบบ 1 ประตู (สำหรับยา)</t>
  </si>
  <si>
    <t>ตู้เย็น แบบ 2 ประตู</t>
  </si>
  <si>
    <t>ไมโครเวฟ</t>
  </si>
  <si>
    <t>บันได 2 ชั้น สำหรับผู้ป่วย</t>
  </si>
  <si>
    <t>ราวตากผ้า</t>
  </si>
  <si>
    <t>ที่คว่ำจาน 2 ชั้น พร้อมฝาครอบ</t>
  </si>
  <si>
    <t>ถาดสแตนเลส</t>
  </si>
  <si>
    <t>Urenal</t>
  </si>
  <si>
    <t>กระติกน้ำร้อน (1 ใบ)</t>
  </si>
  <si>
    <t>โทรทัศน์</t>
  </si>
  <si>
    <t>ไดร์เป่าผม 1 เครื่อง + ถุง</t>
  </si>
  <si>
    <t>ไมโครเวฟ 1 เครื่อง</t>
  </si>
  <si>
    <t>ม่านแบบม้วน</t>
  </si>
  <si>
    <t xml:space="preserve">ตู้เย็นขนาด 5.5 คิว </t>
  </si>
  <si>
    <t>ตู้เซฟ</t>
  </si>
  <si>
    <t>ถ้วย (2 ใบ)</t>
  </si>
  <si>
    <t>จานใหญ่ (2 ใบ)</t>
  </si>
  <si>
    <t>แก้วใส (2 ใบ)</t>
  </si>
  <si>
    <t>ชุดกาแฟ + ช้อน (2 ชุด)</t>
  </si>
  <si>
    <t>ช้อนส้อมสแตนเลส (2 คู่)</t>
  </si>
  <si>
    <t>ช้อนกลาง สแตนเลส (2 อัน)</t>
  </si>
  <si>
    <t>เหยือกน้ำพลาสติก</t>
  </si>
  <si>
    <t>ที่คว่ำจาน (1 ใบ)</t>
  </si>
  <si>
    <t xml:space="preserve">ถาดพลาสติกวางแก้วน้ำ </t>
  </si>
  <si>
    <t>ขันสแตนเลส  (1 ใบ)</t>
  </si>
  <si>
    <t>กะละมัง สแตนเลส (1 ใบ)</t>
  </si>
  <si>
    <t>หม้อนอน (1 ใบ)</t>
  </si>
  <si>
    <t>กระบอกปัสสาวะ ( 1 ชิ้น)</t>
  </si>
  <si>
    <t>ผ้าเช็ดผม 2 ผืน</t>
  </si>
  <si>
    <t>ผ้าเช็ดตัว 2 ผืน</t>
  </si>
  <si>
    <t>ผ้าห่ม 2 ผืน</t>
  </si>
  <si>
    <t>หมอน ขนาด 1,200 กรัม</t>
  </si>
  <si>
    <t>หมอน ขนาด 800 กรัม</t>
  </si>
  <si>
    <t>ตะกร้าทิ้งผ้า</t>
  </si>
  <si>
    <t>ไม้แขวนเสื้อ 5 อัน / ห้อง</t>
  </si>
  <si>
    <t>ผ้าปูที่นอน</t>
  </si>
  <si>
    <t>ปลอกหมอน</t>
  </si>
  <si>
    <t>ผ้ากันเปื้อนหมอน</t>
  </si>
  <si>
    <t>ผ้าเช็ดเท้า</t>
  </si>
  <si>
    <t xml:space="preserve">ชามรูปไต พลาสติก </t>
  </si>
  <si>
    <t>ถังขยะ (ห้องน้ำ)</t>
  </si>
  <si>
    <t>ถังขยะ 2 ช่อง</t>
  </si>
  <si>
    <t>ตัวกดสบู่และแชมพู</t>
  </si>
  <si>
    <t>ตัวกดน้ำยาล้างจานแบบติดผนัง</t>
  </si>
  <si>
    <t>ครีมอาบน้ำ</t>
  </si>
  <si>
    <t>แชมพู ขนาด 5 ลิตร</t>
  </si>
  <si>
    <t>ชุดGift set</t>
  </si>
  <si>
    <t>ถาดสำหรับวางแพคเกจ</t>
  </si>
  <si>
    <t>แผนรายจ่ายรายการครุภัณฑ์ เงินบำรุง  ประจำปีงบประมาณ พ.ศ. 2568</t>
  </si>
  <si>
    <t>เครื่องชั่งน้ำหนักบุคคลพร้อมวัดส่วนสูง</t>
  </si>
  <si>
    <t xml:space="preserve">เครื่องวัดปริมาณความอิ่มตัวของออกซิเจนปลายนิ้ว </t>
  </si>
  <si>
    <t>ครุภัณฑ์การแพทย์ รวมทั้งสิ้น</t>
  </si>
  <si>
    <t>ครุภัณฑ์งานบ้านงานครัว รวมทั้งสิ้น</t>
  </si>
  <si>
    <t>ครุภัณฑ์โฆษณาและเผยแพร่ รวมทั้งสิ้น</t>
  </si>
  <si>
    <t>ครุภัณฑ์ยานพาหนะ รวมทั้งสิ้น</t>
  </si>
  <si>
    <t>ครุภัณฑ์สำนักงาน รวมทั้งสิ้น</t>
  </si>
  <si>
    <t>ครุภัณฑ์คอมพิวเตอร์ รวมทั้งสิ้น</t>
  </si>
  <si>
    <t>วงเงินจัดซื้อ</t>
  </si>
  <si>
    <t>ดำเนินการครั้งที่ 2</t>
  </si>
  <si>
    <t>อยู่ระหว่างดำเนินการ(เอกสารมีแก้ไข)</t>
  </si>
  <si>
    <t>เหลือ 1 ตัว = 240,000 บาท</t>
  </si>
  <si>
    <t>เครื่องช่วยหายใจชนิดควบคุมปริมาตร และความดันพร้อมระบบหย่าเครื่องอัตโนมัติและประมวลผลพยาธิสภาพปอด พร้อมแสดงรูปภาพจำลองของคนไข้</t>
  </si>
  <si>
    <t>icu med</t>
  </si>
  <si>
    <t>แผนรายจ่ายรายการครุภัณฑ์ เงินบำรุง  ประจำปีงบประมาณ พ.ศ. 2569</t>
  </si>
  <si>
    <t>ตัว incubator เก็บน้ำเชื้อ สำหรับทำ sperm (วัสดุ)</t>
  </si>
  <si>
    <t>อุปกรณ์เจาะชิ้นเนื้อเต้านม (Magnum biopsy) (วัสดุ)</t>
  </si>
  <si>
    <t>แผนรายการสิ่งก่อสร้าง ประจำปีงบประมาณ พ.ศ. 2568 : เงินบำรุง</t>
  </si>
  <si>
    <t>ระบบ software ERP</t>
  </si>
  <si>
    <t>แผนจัดซื้อ ครุภัณฑ์ software AI</t>
  </si>
  <si>
    <t>Distributor Switch ระบบ Network เพื่อใช้เป็น core switch อาคารบ้านคุณพุ่ม 
รองรับการเชื่อมต่อกับอาคาร 298</t>
  </si>
  <si>
    <t xml:space="preserve"> - OPD นรีเวช/ศัลยกรรมทั่วไป/
/งานเอดส์+ให้คำปรึกษา+คลินิกวัณโรค/
ENT/วชิระคลินิก/ARI Clinic/จุดคัดกรองโรค/จุดคัดกรองโรค/ตา
 - ศูนย์ศุภนิมิตร</t>
  </si>
  <si>
    <t xml:space="preserve">รติพัฒน์ (0/1)
</t>
  </si>
  <si>
    <t>เครื่องแท็บเล็ต การเงินARI,แพทย์แผนไทย,กายภาพบำบัด,การเงินโลมา,
Wound car ,เคมีบำบัด</t>
  </si>
  <si>
    <t xml:space="preserve">ระบบ software : Cloud based Hospital Information System ต่อขยายจาก Dr.Module ให้ครอบคลุมทุกระบบในโรงพยาบาล </t>
  </si>
  <si>
    <t xml:space="preserve">เครื่องกระตุกไฟฟ้าหัวใจชนิดไบเฟสิค พร้อมภาควัดออกซิเจน
และคาร์บอนไดออกไซด์ในเลือด </t>
  </si>
  <si>
    <t>แผนรายการสิ่งก่อสร้าง  : เงินบริจาคอาคารรังสีรักษา ประจำปีงบประมาณ 2569</t>
  </si>
  <si>
    <t>แผนเกินดุล</t>
  </si>
  <si>
    <t>แผนประมาณการ
รายจ่าย ปีงบฯ2569</t>
  </si>
  <si>
    <t>ประมาณการ
แผนรายจ่าย 
ปีงบฯ 2569</t>
  </si>
  <si>
    <t>2. ประมาณการรายรับ ปีงบประมาณ 2569</t>
  </si>
  <si>
    <t>ตามจ่ายเงินค่ารักษาพยาบาล + สงเคราะห์ชาวต่างชาติ</t>
  </si>
  <si>
    <t>บริษัทฯไม่สามารถเข้างานได้ รอทางเชื่อมระหว่างอาคารบ้านคุณพุ่มไปอาคาร298</t>
  </si>
  <si>
    <t>ดำเนินการ</t>
  </si>
  <si>
    <t>คืนบันทึกข้อความกลับแก้ไข</t>
  </si>
  <si>
    <t>รายการเดียวกับรายการที่ 5 หรือไม่</t>
  </si>
  <si>
    <t>ใบสั่งซื้อ</t>
  </si>
  <si>
    <t>ส่งมอบ 25 ก.ย. 68</t>
  </si>
  <si>
    <t>รายงานผลการพิจารณา</t>
  </si>
  <si>
    <t>ยกเลิกเนื่องจากเกิดความคลาดเคลื่อนในการจัดทำ TOR จึงรอบันทึกข้อความจากหน่วยงานเพื่อขอยกเลิก</t>
  </si>
  <si>
    <t>วัสดุ</t>
  </si>
  <si>
    <t>ทางศูนย์คอมทำมาบางส่วน</t>
  </si>
  <si>
    <t>ไม่ดำเนินการ</t>
  </si>
  <si>
    <t>ยกไป 69</t>
  </si>
  <si>
    <t>ยกไป 69 (รอระบบ HIS ใหม่)</t>
  </si>
  <si>
    <t>กำลังดำเนินการ</t>
  </si>
  <si>
    <t>ทางศูนย์คอมทำมาบางส่วน เบิกจ่ายแล้ว</t>
  </si>
  <si>
    <t>ทางศูนย์คอมทำมาบางส่วน เบิกจ่ายแล้ว 1 ตัว</t>
  </si>
  <si>
    <t>ฟรี</t>
  </si>
  <si>
    <t>เบิกจ่ายบางส่วน และบางส่วนไม่มีเอกสารที่พัสดุ</t>
  </si>
  <si>
    <t>ซื้อโคเวย์ เบิกจ่ายแล้ว</t>
  </si>
  <si>
    <t xml:space="preserve"> ปี 69 ปรับแผน 10,000,000บาท</t>
  </si>
  <si>
    <t>ปรับปรุงอาคารพักคอยสำหรับผู้มาใช้บริการตึกอุบัติเหตุฉุกเฉินและศูนย์หัวใจ 10 ชั้น ตลอดถึงงานภูมิสถาปัตย์พื้นที่ด้านข้างไปจนถึงงานออกแบบปรับปรุงทางเดินเชื่อมอาคารของเก่า</t>
  </si>
  <si>
    <t>ปรับปรุงห้องประชุมศูนย์คุณภาพ</t>
  </si>
  <si>
    <t>กรณีไม่รวมเงินบริจาค</t>
  </si>
  <si>
    <t>ปรับแผน 
(ไตรมาส 3) 
ปีงบฯ 2568 (บาท)</t>
  </si>
  <si>
    <t>รายจ่ายจริง
ปี 2567</t>
  </si>
  <si>
    <t>รายรับจากบริษัท,ห้างร้าน +ต้นสังกัด</t>
  </si>
  <si>
    <r>
      <t xml:space="preserve">ผลการดำเนินงาน ณ 31 ก.ค. 67 </t>
    </r>
    <r>
      <rPr>
        <b/>
        <sz val="14"/>
        <color rgb="FFFF0000"/>
        <rFont val="TH Sarabun New"/>
        <family val="2"/>
      </rPr>
      <t>(ข้อมูลจากหน่วยจัดซื้อ)</t>
    </r>
  </si>
  <si>
    <t xml:space="preserve"> -  LAB (COVID-19(ATK)+FLU)</t>
  </si>
  <si>
    <t>รายรับประกันใน - ต่างประเทศ</t>
  </si>
  <si>
    <t>เพิ่มการรักษาสวนหัวใจไม่ส่งเอกชน ทบทวน DRG</t>
  </si>
  <si>
    <t>ต่างด้าว 51 ลบ.ต่างชาติ 90 ลบ.</t>
  </si>
  <si>
    <t>คลอดผู้ประกันตนสิทธิ์ประกันสังคมเหมาจ่าย 13000 บาท</t>
  </si>
  <si>
    <t>ยอดเรียกเก็บ 12ลบ.</t>
  </si>
  <si>
    <t>ครุภัณฑ์ยานพาหนะ (รถตู้พยาบาล)</t>
  </si>
  <si>
    <t>แผนปี 68 ยังไม่ได้ดำเนินการ</t>
  </si>
  <si>
    <t>แผนปี 68 =14202798.13 แผนปี 68 แต่ทำไปทันยกไป 69 =4386729+นอกแผน 69 ไตรมาส 3 3033900</t>
  </si>
  <si>
    <t>นอกแผน 69 ไตรมาส 3 81898</t>
  </si>
  <si>
    <t>นอกแผน 69 ไตรมาส 3 13940</t>
  </si>
  <si>
    <t xml:space="preserve"> - อาคารรังสีรักษา</t>
  </si>
  <si>
    <t xml:space="preserve"> - ค่าจ้างเหมาบริการลูกจ้าง</t>
  </si>
  <si>
    <t xml:space="preserve"> - เงินบริหารจัดการแรงงานต่างด้าว (ลงทุน)</t>
  </si>
  <si>
    <t xml:space="preserve"> - งบส่งเสริมสุขภาพและป้องกันโรคแรงงานต่างด้าว (โครงการฝังยาคุมกำเนิด)</t>
  </si>
  <si>
    <t>แผนปี 68 แต่ทำไปทันยกไป 69 =664417.65+ อกแผน 69 ไตรมาส 3 3114036.56</t>
  </si>
  <si>
    <t>นอกแผน 69 ไตรมาส 3 4071390.55 , แผนปี68 13837460.72  ปี 68 ยกไป 69 14902000</t>
  </si>
  <si>
    <t>บัตรทอง (CENTRAL REIMBURSE+
กองทุนต่างๆ+covid)</t>
  </si>
  <si>
    <t>แรงงานต่างด้าว (กองทุนประกัน+ค่าตรวจ+
เรียกเก็บส่วนกลาง)</t>
  </si>
  <si>
    <t>จ้างที่ปรึกษาศึกษาความเป็นไปได้ (โครงการยกระดับฯ)  (15 ล้านบาท)</t>
  </si>
  <si>
    <t>จ่ายศูนย์บริการเทศบาลนครภูเก็ต+รัษฎา+ศูนย์นริศร</t>
  </si>
  <si>
    <t>ไตรมาส 3</t>
  </si>
  <si>
    <t>ปรับปรุงห้องพิเศษตึกสูติกรรม  จำนวน 15 ห้อง</t>
  </si>
  <si>
    <t xml:space="preserve"> (วางไว้ 50% ก่อน จากราคา 7.5 ลบ.)</t>
  </si>
  <si>
    <t xml:space="preserve">ซ่อมโครงสร้างอาคาร ตึก สงฆ์ </t>
  </si>
  <si>
    <t xml:space="preserve">ปรับปรุงห้องพิเศษ ตึก 298  จำนวน 40 ห้อง  </t>
  </si>
  <si>
    <t>ปรับปรุงห้องผ่าตัดหัวใจ CVT 10 ตึก 10 ชั้น  ชั้น 5</t>
  </si>
  <si>
    <t xml:space="preserve"> - เงินบริจาคเพื่อใช้ในกิจการ รพ.วชิระภูเก็ต</t>
  </si>
  <si>
    <t xml:space="preserve">แผนรายการสิ่งก่อสร้างด้วยเงินบริจาค ประจำปีงบประมาณ พ.ศ. 2569  </t>
  </si>
  <si>
    <t xml:space="preserve">แผนรายการสิ่งก่อสร้างด้วยเงินบำรุง ประจำปีงบประมาณ พ.ศ. 2569 </t>
  </si>
  <si>
    <t>แผนปี 68 แต่ทำไปทันยกไป 69 =188027.02+920454 นอกแผน 69 ไตรมาส 3 110580+3900</t>
  </si>
  <si>
    <t>รวมอยู่ในงบ 10 ล้านบาท</t>
  </si>
  <si>
    <t xml:space="preserve">แผนรายการครุภัณฑ์ด้วยเงินบำรุง ประจำปีงบประมาณ พ.ศ. 2569 </t>
  </si>
  <si>
    <t>เครื่องตรวจคลื่นไฟฟ้าหัวใจพร้อมระบบวิเคราะห์ผล
และจัดเก็บภาพในระบบเครือข่าย</t>
  </si>
  <si>
    <t>งานผู้ป่วยนอก
(OPD ฝากครรภ์)</t>
  </si>
  <si>
    <t>เครื่องให้การรักษาด้วยแสงเลเซอร์ สำหรับรักษา
ความผิดปกติของเม็ดสี ริ้วรอย สิว ความไม่สม่ำเสมอ
ของผิวและแผลเป็น</t>
  </si>
  <si>
    <t>ประเภทครุภัณฑ์ : การแพทย์ (อยู่ระหว่างกลุ่มงานพัสดุดำเนินการ)</t>
  </si>
  <si>
    <t>กลุ่มการพยาบาล (NICU 3
กุมาร 2 sick NB5)</t>
  </si>
  <si>
    <t>ประเภทครุภัณฑ์ : งานบ้านงานครัว (อยู่ระหว่างกลุ่มงานพัสดุดำเนินการ)</t>
  </si>
  <si>
    <t>ไมโครเวฟ ขนาด 28 ลิตร</t>
  </si>
  <si>
    <t>กลุ่มงานการเงิน</t>
  </si>
  <si>
    <t>ผ้าม่านกั้นเตียงพร้อมรางผ้าม่านพร้อมติดตั้ง 
(ชั้น 5 หอผู้ป่วย CCU  8 เตียง)</t>
  </si>
  <si>
    <t>ผ้าม่านกั้นเตียงพร้อมรางผ้าม่านพร้อมติดตั้ง 
(ชั้น 8 หอผู้ป่วย IC  15 เตียง)</t>
  </si>
  <si>
    <t>ผ้าม่านกั้นเตียงพร้อมรางผ้าม่านพร้อมติดตั้ง 
(ชั้น 9 หอผู้ป่วยศัลยกรรมประสาท  42 เตียง)</t>
  </si>
  <si>
    <t>ผ้าม่านกั้นเตียงพร้อมรางผ้าม่านพร้อมติดตั้ง 
(ชั้น 10 หอผู้ป่วยพิเศษโรคหัวใจ  8 เตียง)</t>
  </si>
  <si>
    <t>ประเภทครุภัณฑ์ : สำนักงาน (อยู่ระหว่างกลุ่มงานพัสดุดำเนินการ)</t>
  </si>
  <si>
    <t>ประเภทครุภัณฑ์ : คอมพิวเตอร์ (อยู่ระหว่างกลุ่มงานพัสดุดำเนินการ)</t>
  </si>
  <si>
    <t>อุปกรณ์กระจายสัญญาณหลัก (Core Switch) พร้อมติดตั้ง</t>
  </si>
  <si>
    <t>ประเภทครุภัณฑ์ : คอมพิวเตอร์ (หน่วยงานดำเนินการจัดทำบันทึกข้อความ)</t>
  </si>
  <si>
    <t xml:space="preserve">ระบบ Server สำรอง ณ อาคารอุบัติเหตุ 10 ชั้น 
(Redundant site 30TB) 
</t>
  </si>
  <si>
    <t>รายการครุภัณฑ์เงินบำรุงสมทบงบ อบจ. ปีงบประมาณ 2569</t>
  </si>
  <si>
    <t>หอผู้ป่วยสติกรรมหลังคลอด</t>
  </si>
  <si>
    <t>พัดลม ติดผนัง 16 นิ้ว</t>
  </si>
  <si>
    <t>หอผู้ป่วยน้อมเกล้า 2</t>
  </si>
  <si>
    <t>ตู้เฟอร์นิเจอร์ดีไซน์คอนเทนเนอร์</t>
  </si>
  <si>
    <t>ตู้บานเลื่อนกระจกทรงสูง ขนาด W120xD46xH183cm</t>
  </si>
  <si>
    <t>เก้าอี้สำนักงานไม่มีท้าวแขวนหุ้มหนัง ขาอลูมิเนียม</t>
  </si>
  <si>
    <t>หอผู้ป่วยนิรีเวชกรรม</t>
  </si>
  <si>
    <t>หอผู้ป่วยน้อมเกล้า</t>
  </si>
  <si>
    <t>เครื่องปรับอากาศ ชนิดแขวนใต้ฝ้า ขนาด 48200 BTU</t>
  </si>
  <si>
    <t>หอผู้ปาวยศัลยกรรมหญิง</t>
  </si>
  <si>
    <t>พัดลมอุตสาหกรรม ตั้งพื้น ขนาด 22 นิ้ว</t>
  </si>
  <si>
    <t>หอผู้ป่วยรัตนโกสินทร์ 200 ปี บน</t>
  </si>
  <si>
    <t>เก้าอี้สีไม้ธรรมชาติ</t>
  </si>
  <si>
    <t>เครื่องปรับอากาศ ชนิดแขวน ขนาด 26000 BTU</t>
  </si>
  <si>
    <t>เก้าอี้สำนักงาน SR-2/AC</t>
  </si>
  <si>
    <t>เก้าอี้SR-2/AC ดำ</t>
  </si>
  <si>
    <t>ตู้เหล็กบานเลื่อนกระจกเตี้ย 5 ฟุต SLG-5</t>
  </si>
  <si>
    <t>ชั้นวางสแตนเลส แบบทึบ 3 ชั้น 6 ขา ขนาดW600</t>
  </si>
  <si>
    <t>ห้องผ่าตัด (ตึก 10 ชั้น)</t>
  </si>
  <si>
    <t>ชั้นวางสแตนเลส แบบทึบ 3 ชั้น 4 ขา ขนาด W730</t>
  </si>
  <si>
    <t>ชั้นวางสแตนเลส แบบทึบ 5 ชั้น 6 ขา</t>
  </si>
  <si>
    <t>ชั้นวางสแตนเลส แบบทึบ 3 ชั้น 4 ขา ขนาดW600</t>
  </si>
  <si>
    <t>ชั้นวางสแตนเลส แบบทึบ 3 ชั้น 6 ขา ขนาดW500</t>
  </si>
  <si>
    <t>ตู้สแตนเลส 4 ชั้น ขนาด W500</t>
  </si>
  <si>
    <t>รถเข็นสแตนเลส 2 ชั้น 2 ลิ้นซัก</t>
  </si>
  <si>
    <t>ตู้เหล็ก</t>
  </si>
  <si>
    <t>เก้าอี้พักคอย</t>
  </si>
  <si>
    <t>รถเข็นของใช้ผู้ป่วย (ล้อต่างประเทศ)</t>
  </si>
  <si>
    <t>โทรศัพท์มือถือ</t>
  </si>
  <si>
    <t>ห้องตรวจหัวใจ (ตึก 10 ชั้น)</t>
  </si>
  <si>
    <t>ซิมการ์ด</t>
  </si>
  <si>
    <t>ประตูเปิด-ปิด แบบสไลด์</t>
  </si>
  <si>
    <t>กลุ่มงานบริหารทั่วไป (ห้องศพ)</t>
  </si>
  <si>
    <t>งานผู้ป่วยนอก (คลินิกพิเศษ)</t>
  </si>
  <si>
    <t>เก้าอี้ขาเหล็ก</t>
  </si>
  <si>
    <t>เก้าอี้หัวโล้น ขาพ่นดำ</t>
  </si>
  <si>
    <t>โต๊ะทำงาน สีโซลิค</t>
  </si>
  <si>
    <t>โต๊ะทำงานขาเหล็ก มีล็อค</t>
  </si>
  <si>
    <t>โต๊ะทำงานสีดำด้าน</t>
  </si>
  <si>
    <t>โต๊ะทำงาน LK-180E/L</t>
  </si>
  <si>
    <t>เก้าอี้ TK-22 ขาดำ เบาะดำ</t>
  </si>
  <si>
    <t>เก้าอี้ TK-37 ขาดำ เบาะดำ</t>
  </si>
  <si>
    <t>เก้าอี้ CR-03 ขาดำ ผ้าเบาะดำ</t>
  </si>
  <si>
    <t>โต๊ะจัดเครื่องมือ สแตนเลส ขนาด 36* 20*32 มีขอบสูง 2 นิ้ว</t>
  </si>
  <si>
    <t>ห้อผ่าตัด (ตึก 10 ชั้น)</t>
  </si>
  <si>
    <t>โต๊ะเมโย</t>
  </si>
  <si>
    <t>ที่วางกะละมัง</t>
  </si>
  <si>
    <t>ถังขยะแบบมีล้อ ไม่มีฝาปิด</t>
  </si>
  <si>
    <t>โต๊ะวางเครื่องมือ สแตนเลส ชนิด 2 ชั้น (แบบขากาง) มีล้อ ขอบกันตก และมือจับเข็น ขนาด 12"*18"*32" มีขอบ มีด้ามเข็น</t>
  </si>
  <si>
    <t>เก้าอี้รองขา สแตนเลส แบบ 1 ชั้น ขนาด 20"*12"/*7"</t>
  </si>
  <si>
    <t>โครงสแตนเลส ใส่ผ้าเปื้อน มีล้อ พร้อมถุงผ้า และฝาปิด</t>
  </si>
  <si>
    <t>โต๊ะวางคอมสแตนเลส 2 ชั้น</t>
  </si>
  <si>
    <t>เครื่องปรับอากาศ ขนาด 40,300 BTU</t>
  </si>
  <si>
    <t>เครื่องปรับอากาศ ขนาด 9200 BTU</t>
  </si>
  <si>
    <t>โต๊ะทำงาน รุ่น LK-1200-60-FD+ราง SKT-600</t>
  </si>
  <si>
    <t>รถเข็นสแตนเลส 2 ชั้น ขนาด 4 นิ้ว</t>
  </si>
  <si>
    <t>ปั๊มเติมอากาศสำหรับบ่อบำบัดน้ำเสีย</t>
  </si>
  <si>
    <t>เครื่องทำกาแฟอัตโนมัติ</t>
  </si>
  <si>
    <t>พัดลมติดผนัง 18 นิ้ว</t>
  </si>
  <si>
    <t>ชั้นเหล็กวางสินค้าขนาด 200x60x200cm</t>
  </si>
  <si>
    <t>เครื่องอัดอากาศ</t>
  </si>
  <si>
    <t>รถเข็นของแบบ 2 ชั้น ขนาด 45x75x80 (ล้อต่างประเทศ)</t>
  </si>
  <si>
    <t>Smart TV 32 นิ้ว</t>
  </si>
  <si>
    <t>รถเข็นฉุกเฉิน (Emergency Cart)</t>
  </si>
  <si>
    <t>กล้องจุลทรรศน์ชนิด 2 กระบอกตา</t>
  </si>
  <si>
    <t>เครื่องฟังเสียงหัวใจทารกในครรภ์ชนิดตั้งโต๊ะ</t>
  </si>
  <si>
    <t>แผ่นเคลื่อนย้ายผู้ป่วย (Padslide)</t>
  </si>
  <si>
    <t>Lens endospine</t>
  </si>
  <si>
    <t>หอผู้ป่วยอายุรกรรมชาย 2</t>
  </si>
  <si>
    <t>หอผู้ป่วยรัตนโกสินทร์ 200 ปี ล่าง</t>
  </si>
  <si>
    <t>รถเข็นเปลนอนสแตนเลส</t>
  </si>
  <si>
    <t>เครื่องควบคุมการให้สารละลายทางหลอดเลือดดำ</t>
  </si>
  <si>
    <t>ตู้เย็นทางการแพทย์ควบคุมอุณหภูมิ สำหรับเก็บน้ำยา</t>
  </si>
  <si>
    <t>ตู้เก็บอุปกรณ์การแพทย์</t>
  </si>
  <si>
    <t>รถเข็นฉุกเฉินขนาดใหญ่ แบบ 4 ลิ้นชัก (ล้อต่างประเทศ)</t>
  </si>
  <si>
    <t>เครื่องฉีดวิตามิน Hycoox injctor</t>
  </si>
  <si>
    <t>เตียงทรีตเมนต์</t>
  </si>
  <si>
    <t>เครื่องควบคุมการให้สารละลายโดยใช้ระบอดสูบ</t>
  </si>
  <si>
    <t>หออภิบาลโรคหลอดเลือดสมอง</t>
  </si>
  <si>
    <t>เตียงไฟฟ้า 4 ฟังก์ชั่น พร้อม CPR</t>
  </si>
  <si>
    <t>ระบบผลิตน้ำบริสุทธิ์ ชนิดเคลื่อนย้ายได้</t>
  </si>
  <si>
    <t>เครื่องแยกชนิดเม็ดเลือดอัตโนมัติ</t>
  </si>
  <si>
    <t>เครื่องพิมพ์แบบใช้ความร้อน (เครื่องพิมพ์ชนิด Thermal Printer)</t>
  </si>
  <si>
    <t>เครื่องพิมพ์บัตร PVC Card</t>
  </si>
  <si>
    <t>เครื่องสำรองไฟ UPS Tower 200VA 1600W</t>
  </si>
  <si>
    <t>กล้องวงจรปิดพร้อมติดตั้ง</t>
  </si>
  <si>
    <t>ห้องออกกำลังกาย</t>
  </si>
  <si>
    <t>เครื่องคอมพิวเตอร์ ASUS AIO</t>
  </si>
  <si>
    <t>เครื่องพิมพ์ Epson EcoTank M2050</t>
  </si>
  <si>
    <t>เครื่องพิมพ์ Epson EcoTank M1050</t>
  </si>
  <si>
    <t>ระบบ CCTV กล้องวงจรปิด อาคาร 298</t>
  </si>
  <si>
    <t>เครื่องคอมพิวเตอร์ All in one + wi 11 pro</t>
  </si>
  <si>
    <t>เครื่องสำรองไฟ 630 วัตต์</t>
  </si>
  <si>
    <t>เครื่องพิมพ์ EPSON</t>
  </si>
  <si>
    <t>เครื่องพิมพ์ ink Tank Printer</t>
  </si>
  <si>
    <t>เครื่องสำรองไฟ (UPS) ขนาด 10KVA</t>
  </si>
  <si>
    <t>กลุม่งานเทคโนโลยีสารสนเทศ</t>
  </si>
  <si>
    <t>เก้าอี้ทำงาน รุ่น SR-2/AC</t>
  </si>
  <si>
    <t>เก้าอี้สำนักงาน รุ่น DR-A Gon-02</t>
  </si>
  <si>
    <t>ห้องตรวจสวนหัวใจ</t>
  </si>
  <si>
    <t>เครื่องสำรองไฟขนา 630 วัตต์ (UPS)</t>
  </si>
  <si>
    <t>เครื่องพิมพ์ EPSON M1120 + INK TANK</t>
  </si>
  <si>
    <t>ตู้กดน้ำร้อน-น้ำเย็น</t>
  </si>
  <si>
    <t>ตู้เย็น 1 ประตู ขนาด 6.1 คิว</t>
  </si>
  <si>
    <t>ไมโครเวฟ ขนาด20 ลิตร</t>
  </si>
  <si>
    <t>เครื่องทำน้ำร้อน - เย็น</t>
  </si>
  <si>
    <t>งานผู้ป่วยนอก (แผนกุมาชกรรม)</t>
  </si>
  <si>
    <t>งานผู้ป่วยนอก (แผนกายุรกรรม)</t>
  </si>
  <si>
    <t>รติพัฒน์</t>
  </si>
  <si>
    <t>วิทยุสื่อสาร</t>
  </si>
  <si>
    <t>อุปกรณ์เชื่อมต่อสัญญาณวิทยุสื่อสาร</t>
  </si>
  <si>
    <t>ซิมออนไลน์</t>
  </si>
  <si>
    <t>สมาร์ทโฟนพร้อมซิมการ์ด</t>
  </si>
  <si>
    <t>เลื่อยจิ๊กซอ</t>
  </si>
  <si>
    <t>เครื่องเจียรไร้สาย</t>
  </si>
  <si>
    <t>ประเภทครุภัณฑ์ : การแพทย์ (หน่วยงานดำเนินการจัดทำบันทึกข้อความ)</t>
  </si>
  <si>
    <t xml:space="preserve">เครื่องดมยาสลบชนิดซับซ้อน </t>
  </si>
  <si>
    <t>ตู้ล็อคเกอร์</t>
  </si>
  <si>
    <t>ชุดเครื่องมือคีมจับกระดูกเชิงกรานชนิดเปลี่ยนหัวได้</t>
  </si>
  <si>
    <t>เครื่องกระตู้นปลายประสาทด้วยไฟฟ้า B-ES102 พร้อมรถเข็น</t>
  </si>
  <si>
    <t>เครื่องกำจัดขนไดโอดเลเซอร์(Diode Laser)</t>
  </si>
  <si>
    <t>กระติกเก็บโลหิตแบบเคลื่อนที่</t>
  </si>
  <si>
    <t>เครื่องควบคุมการดูดจ่ายสารละลายขนาด 0.5-100 มิลลิตร 
(Pipette Controller)</t>
  </si>
  <si>
    <t>เครื่องทำความสะอาดและบำรุงผิวหน้า แบบ 3 ขั้นตอน
ในเครื่องเดียว (Hydra Facial)</t>
  </si>
  <si>
    <t>กลุ่มงานเทคนิคการแพทย์
และพยาธิวิทยาคลินิก</t>
  </si>
  <si>
    <t>หน่วยบริการปฐมภูมิ 
สาขาหยี่เต้ง</t>
  </si>
  <si>
    <t>ประเภทครุภัณฑ์ : สำนักงาน (หน่วยงานดำเนินการจัดทำบันทึกข้อความ)</t>
  </si>
  <si>
    <t>ประเภทครุภัณฑ์ : ยานพาหนะและขนส่ง (หน่วยงานดำเนินการจัดทำบันทึกข้อความ)</t>
  </si>
  <si>
    <t>กลุ่มงานอุบัติเหตุและฉุกเฉิน</t>
  </si>
  <si>
    <t>ครุภัณฑ์การแพทย์รวมทั้งสิ้น</t>
  </si>
  <si>
    <t>กลุ่มงานโครงสร้างพื้นฐาน
และวิศวกรรมทางการแพทย์</t>
  </si>
  <si>
    <t>ประเภทครุภัณฑ์ : งานบ้านงานครัว (หน่วยงานดำเนินการจัดทำบันทึกข้อความ)</t>
  </si>
  <si>
    <t>ครุภัณฑ์งานบ้านงานครัวรวมทั้งสิ้น</t>
  </si>
  <si>
    <t>ประเภทครุภัณฑ์ : โฆษณาและเผยแพร่และครุภัณฑ์โรงงาน (อยู่ระหว่างกลุ่มงานพัสดุดำเนินการ)</t>
  </si>
  <si>
    <t>ราคา (บาท)</t>
  </si>
  <si>
    <t>ราคารวม(บาท)</t>
  </si>
  <si>
    <t>กลุ่มงานบริหารทั่วไป
(งานเลขานุการ)</t>
  </si>
  <si>
    <t>กลุ่มงานเวชกรรมฟื้นฟู
(กิจกรรมบำบัดเด็ก)</t>
  </si>
  <si>
    <t>กลุ่มงานเวชระเบียน
และข้อมูลทางการแพทย์</t>
  </si>
  <si>
    <t>งานผู้ป่วยนอก
(แผนกกุมารเวชกรรม)</t>
  </si>
  <si>
    <t>หอผู้ป่วยกึ่งวกฤตโรคระบบ
ทางเดินหายใจและหลอดเลือด</t>
  </si>
  <si>
    <t>กลุ่มงานบริหารทั่วไป 
(ตึก 10 ชั้น)</t>
  </si>
  <si>
    <t>กลุ่มงานเวชกรรมฟื้นฟู
(ตึกอุบัติเหตุ 10 ชั้น)</t>
  </si>
  <si>
    <t>กลุ่มงานพัฒนาคุณภาพบริการ
และมาตรฐาน</t>
  </si>
  <si>
    <t>ครุภัณฑ์สำนักงานรวมทั้งสิ้น</t>
  </si>
  <si>
    <t>งานสถานีวิทยุ 103 
Mahogany V FM</t>
  </si>
  <si>
    <t>คอมพิวเตอร์รวมทั้งสิ้น</t>
  </si>
  <si>
    <t xml:space="preserve">ครุภัณฑ์ยานพาหนะและขนส่งรวมทั้งสิ้น </t>
  </si>
  <si>
    <t>ครุภัณฑ์เงินบำรุงสมทบงบ อบจ.รวมทั้งสิ้น</t>
  </si>
  <si>
    <t>วัสดุทางการแพทย์ เงินบำรุงสมทบ งบ อบจ. : การแพทย์ผ่าตัด  ปีงบประมาณ 2569</t>
  </si>
  <si>
    <t>วัสดุการแพทย์ผ่าตัดเงินบำรุงสมทบงบ อบจ.รวมทั้งสิ้น</t>
  </si>
  <si>
    <t>ครุภัณฑ์โฆษณาและเผยแพร่รวมทั้งสิ้น</t>
  </si>
  <si>
    <t>ประเภทครุภัณฑ์ : ครุภัณฑ์โรงงาน (อยู่ระหว่างกลุ่มงานพัสดุดำเนินการ)</t>
  </si>
  <si>
    <t>ครุภัณฑ์โรงงานรวมทั้งสิ้น</t>
  </si>
  <si>
    <t>สิ้นสุด ณ วันที่  30  กันยายน พ.ศ 2569-2571</t>
  </si>
  <si>
    <t>จำนวนเงิน ปี 2571</t>
  </si>
  <si>
    <t>เครื่องพิมพ์ (Priter)</t>
  </si>
  <si>
    <t>คอมพิวเตอร์แท็บเล็ต ขนาดหน่วยความจำไม่น้อยกว่า 256 GB 
พร้อมอุปกรณ์เสริม</t>
  </si>
  <si>
    <t>เครื่องคอมพิวเตอร์ Think Center neo 50a 24 G5 
12SCAoBQTA (i5-13420H16GB/512G)</t>
  </si>
  <si>
    <t>จ้างออกแบบห้องผ่าตัดชั้น 5 (ไตรมาส 3 ราคา 5 % ของค่าก่อสร้าง 3.5 ลบ.)</t>
  </si>
  <si>
    <t>ศูนย์ Wellness</t>
  </si>
  <si>
    <t>ทำบันทึกข้อความมาแล้ว</t>
  </si>
  <si>
    <t>เครื่องพิมพ์ Canon PIXMA G4010 Ink Tank Printer 
(Print,copy,scan,fax)</t>
  </si>
  <si>
    <t>เครื่องสแกนเนอร์ เก็บเอกสารระดับศูนย์บริการ 
(สแกนเนอร์ สำหรับงานเก็บเอกสารระดับศูนย์บริการ แบบที่ 2)</t>
  </si>
  <si>
    <t>เครื่องคอมพิวเตอร์แม่ข่าย (Server) สำหรับโปรแกรมบริหารงานโรงพยาบาล</t>
  </si>
  <si>
    <t>แผนรายรับ - รายจ่าย เงินบำรุง ปีงบประมาณ 2569</t>
  </si>
  <si>
    <t>2568</t>
  </si>
  <si>
    <t>แผนประมาณการ
รายจ่าย 
ปีงบฯ 2568</t>
  </si>
  <si>
    <t>แบบฟอร์ม แผนการลงทุนด้วยเงินบำรุง 1 ปี ปีงบประมาณ 2569</t>
  </si>
  <si>
    <t>ปรับปรุงระบบปรับอากาศระบายอากาศ ห้องแยกโรคผู้ป่วยแพร่เชื้อทางอากาศ ชั้น 2 และชั้น 3 อาคาร 298</t>
  </si>
  <si>
    <t>หนี้ค้าง ณ ก.ย.68</t>
  </si>
  <si>
    <t>กลุ่มงานโครงสร้างพื้นฐานฯ</t>
  </si>
  <si>
    <t>ประเภทครุภัณฑ์ : ครุภัณฑ์ไฟฟ้าและวิทยุ (หน่วยงานดำเนินการจัดทำบันทึกข้อความ)</t>
  </si>
  <si>
    <t>ครุภัณฑ์ไฟฟ้าและวิทยุ รวมทั้งสิ้น</t>
  </si>
  <si>
    <t>เครื่องวิเคราะห์องค์ประกอบของร่างกายแบบแยกส่วน (Inbody)</t>
  </si>
  <si>
    <t>เครื่องสลายไขมันด้วยความเย็นจุดเยือกแข็ง</t>
  </si>
  <si>
    <t>เครื่องสร้างกล้ามเนื้อมัดเล็กบนผิวหน้าและยกกระชับผิวหน้าด้วยคลื่นแม่เหล็กไฟฟ้าและคลื่นวิทยุ</t>
  </si>
  <si>
    <t>อุปกรณ์สำหรับส่องขยายสภาพผิวหนัง ความละเอียดสูง</t>
  </si>
  <si>
    <t>เครื่องพลังงานคลื่นวิทยุสำหรับยกกระฉับใบหน้า 
(Radio Frequency)</t>
  </si>
  <si>
    <t xml:space="preserve">รถเข็น Computer สำหรับเจาะเลือด </t>
  </si>
  <si>
    <t xml:space="preserve">รถเข็น Computer สำหรับจ่ายยา </t>
  </si>
  <si>
    <t xml:space="preserve">รถเข็น Notebook  สำหรับแพทย์ </t>
  </si>
  <si>
    <t>EBITDA 20%</t>
  </si>
  <si>
    <t>เงินลงทุนได้</t>
  </si>
  <si>
    <t>ทำบันทึกข้อความมาแล้ว 040/69</t>
  </si>
  <si>
    <t>ทำบันทึกข้อความมาแล้ว 041/69</t>
  </si>
  <si>
    <t>ทำบันทึกข้อความมาแล้ว042/69</t>
  </si>
  <si>
    <t>แผนปี 2571</t>
  </si>
  <si>
    <t>แผนรายรับ - รายจ่ายเงินบำรุง ปีงบประมาณ 2569 - 2571</t>
  </si>
  <si>
    <t>แบบฟอร์ม แผนการลงทุนด้วยเงินบำรุง 3 ปี งบประมาณ 2569 - 2571</t>
  </si>
  <si>
    <t>ทำบันทึกข้อความมาแล้ว051/69</t>
  </si>
  <si>
    <t>ปีงบประมาณ 2570</t>
  </si>
  <si>
    <t xml:space="preserve"> ปีงบประมาณ 2571</t>
  </si>
  <si>
    <t>รวม 2569-2571</t>
  </si>
  <si>
    <t>ทำบันทึกข้อความมาแล้ว 054/69</t>
  </si>
  <si>
    <t>ทำบันทึกข้อความมาแล้ว 055/69</t>
  </si>
  <si>
    <t>ทำบันทึกข้อความมาแล้ว 056/69</t>
  </si>
  <si>
    <t xml:space="preserve">       (นายวีระศักดิ์    หล่อทองคำ)
       ผู้อำนวยการโรงพยาบาลวชิระภูเก็ต</t>
  </si>
  <si>
    <t>3. รวมเงินบำรุง คงเหลือ  ปีงบประมาณ 2569</t>
  </si>
  <si>
    <t>4. ประมาณการรายจ่าย ปีงบประมาณ 2569</t>
  </si>
  <si>
    <t>5. เงินบำรุง คงเหลือสุทธิ ปีงบประมาณ 2569</t>
  </si>
  <si>
    <t>งานผู้ป่วยนอก (แผนกกุมารเวชกรรม)</t>
  </si>
  <si>
    <t>งานผู้ป่วยนอก (แผนกอายุรกรรม)</t>
  </si>
  <si>
    <t>รถทำ Treatment ขนาด 33x50x80 ซม.</t>
  </si>
  <si>
    <t>ซื้อที่ดินพร้อมสิ่งปลูกสร้าง (โรงแรมมโนราห์)</t>
  </si>
  <si>
    <t>รายงานผลการเปิดซอง(ให้คณะกรรมการลงนาม) และประกาศผู้ชนะ</t>
  </si>
  <si>
    <t>รายจ่าย ปี 2568</t>
  </si>
  <si>
    <t>หนี้ค้าง ณ ธ.ค.68</t>
  </si>
  <si>
    <t>(36 ลบ.+10ลบ+PMC3.6ลบ.+Wellness3 ลบ.)</t>
  </si>
  <si>
    <t>ซื้อที่ดิน 1 ไร่ 63.2 ตารางวา ตรงข้ามหน้าโรงพยาบาลวชิระภูเก็ต</t>
  </si>
  <si>
    <t>ปรับปรุงห้องแรงดันบวกสำหรับศูนย์ปลูกถ่ายเซลล์ต้กำเนิดเม็ดเลือด</t>
  </si>
  <si>
    <t>จ่ายค่าบริการทางกางแพทย์รพ.มหาราชนครศรีธรรมราช</t>
  </si>
  <si>
    <t>จ่ายสนับสนุน สสจ.สุราษฎร์ธานี+รพ.บ้านนาสาร+สสจ.ระนอง</t>
  </si>
  <si>
    <t>จ่ายสนับสนุน สสจ.สุราษฎร์ธานี = 600,000 บาท
จ่ายสนับสนุนรพ.บ้านนาสาร = 2,800,000 บาท
จ่ายสนับสนุนสสจ.ระนอง = 2,600,000 บาท</t>
  </si>
  <si>
    <t xml:space="preserve"> รายจ่ายอื่นๆ</t>
  </si>
  <si>
    <t>งบบริหารจัดการ 2.5%</t>
  </si>
  <si>
    <t>รายจ่ายจริง
ปี 2568</t>
  </si>
  <si>
    <t>70% = 17,146,016.19
10%= 5,450,000</t>
  </si>
  <si>
    <t>ผู้ประกันตน 121000 คน*1808 บาท</t>
  </si>
  <si>
    <t xml:space="preserve">จ่ายค่าทางเดินเชื่อมตึกอันดามันไปอาคารอุบัติเหตุ 10 ชั้น
ค่าอาคารรังสีรักษา = 41,982,193.76 บาท </t>
  </si>
  <si>
    <t>ปรับ 7 ล้าน</t>
  </si>
  <si>
    <t>ปรับ 2.5 ล้าน</t>
  </si>
  <si>
    <t>ปรับ 18,490,000 บาท</t>
  </si>
  <si>
    <t>ตรวจรับแล้ว 26/2/69</t>
  </si>
  <si>
    <t>ปรับปรุงห้องผ่าตัดหัวใจ CVT และ ติดตั้ง HEPAตึก 10 ชั้น  (ชั้น 5)</t>
  </si>
  <si>
    <t>ไตรมาส 1
(ต.ค. - ธ.ค.68)</t>
  </si>
  <si>
    <t>ไตรมาส 2
(ต.ค. 68 - มี.ค.69)</t>
  </si>
  <si>
    <t>ไตรมาส 1</t>
  </si>
  <si>
    <t>หนี้ค้าง ณ มี.ค.69</t>
  </si>
  <si>
    <t>ไตรมาส 2</t>
  </si>
  <si>
    <t xml:space="preserve">จ้างเหมาติดตั้งระบบสายสัญญาณคอมพิวเตอร์และโทรศัพท์พร้อมอุปกรณ์ภายในห้องคลอด </t>
  </si>
  <si>
    <t>ระบบบริหารจัดการระบบเครื่องมือแพทย์แบบออนไลน์</t>
  </si>
  <si>
    <t xml:space="preserve">ประเภทครุภัณฑ์ : การแพทย์ </t>
  </si>
  <si>
    <t xml:space="preserve">แผนรายการครุภัณฑ์ด้วยเงินบำรุง (ปรับแผน) ประจำปีงบประมาณ พ.ศ. 2569 </t>
  </si>
  <si>
    <t xml:space="preserve">เครื่องกำเนิดไฟฟ้าสำรองอัตโนมัติ ขนาด 1,000 กิโลวัตต์ (1,250kVA) พร้อมติดตั้งระบบอุปกรณ์ประกอบ </t>
  </si>
  <si>
    <t>ประมาณการ
แผนรายรับ 
ปีงบฯ 2569</t>
  </si>
  <si>
    <t xml:space="preserve">รายรับเงินบำรุง ปีงบประมาณ 2566 - 2569 ณ เดือนมีนาคม และแผนประมาณการรายรับเงินบำรุง (ปรับแผน) ปีงบประมาณ 2569 </t>
  </si>
  <si>
    <t xml:space="preserve">รายจ่ายเงินบำรุง ปีงบประมาณ 2566 - 2569 ณ เดือนมีนาคม และประมาณการแผนรายจ่ายเงินบำรุง  (ปรับแผน) ปีงบประมาณ 2569 </t>
  </si>
  <si>
    <t>ต.ค. 68 - มี.ค.69</t>
  </si>
  <si>
    <t>ปรับแผน</t>
  </si>
  <si>
    <t>ยังไม่เบิกจ่าย</t>
  </si>
  <si>
    <t>ยังไม่ได้เบิก</t>
  </si>
  <si>
    <t>รายละเอียดรายจ่ายและแผนประมาณการรายจ่าย (ปรับแผน) ปีงบประมาณ 2569</t>
  </si>
  <si>
    <t>ชั้น 6-7 วิสัญญี = 12</t>
  </si>
  <si>
    <t>ชั้น 6-7  ห้องผ่าตัด =12</t>
  </si>
  <si>
    <t>ชั้น 8 SICU = 20</t>
  </si>
  <si>
    <t>ชั้น 9 NEURO = 20</t>
  </si>
  <si>
    <t>ชั้น 10 หอผู้ป่วย  = 10</t>
  </si>
  <si>
    <t>เก้าอี้นั่งรอแบบ 3 ที่นั่ง</t>
  </si>
  <si>
    <t>ชั้น 1 ห้องยา = 10</t>
  </si>
  <si>
    <t>ชั้น 3 กลุ่มงานรังสี = 3</t>
  </si>
  <si>
    <t>เก้าอี้นั่งรอแบบ 4 ที่นั่ง</t>
  </si>
  <si>
    <t>ชั้น 3 กลุ่มงานรังสี = 32</t>
  </si>
  <si>
    <t>ชั้น 5 ห้องผ่าตัด Cath lab = 4</t>
  </si>
  <si>
    <t>ชั้น 6-7 ห้องผ่าตัด = 8</t>
  </si>
  <si>
    <t>เก้าอี้นั่งสำหรับรับประทานอาหาร (แบบพลาสติก)</t>
  </si>
  <si>
    <t>ชั้น 6-7 ห้องผ่าตัด</t>
  </si>
  <si>
    <t>เก้าอี้นั่งสแตนเลส มีล้อ 4 ล้อ ปรับขึ้นลงได้</t>
  </si>
  <si>
    <t>ชั้น 5 ห้องผ่าตัดหัวใจ = 3</t>
  </si>
  <si>
    <t>ชั้น 6-7 ห้องผ่าตัด = 6</t>
  </si>
  <si>
    <t>เครื่องกรองน้ำร้อน - เย็น coway</t>
  </si>
  <si>
    <t>ชั้น 6-7 ห้องผ่าตัด = 2</t>
  </si>
  <si>
    <t>ชั้น 6-7 วิสัญญี = 2</t>
  </si>
  <si>
    <t>ชุดโต๊ะอาหารและเก้าอี้ 6 ที่นั่ง</t>
  </si>
  <si>
    <t>ชั้น 6-7 ห้องผ่าตัด = 1</t>
  </si>
  <si>
    <t>ชั้น 9 NEURO = 1</t>
  </si>
  <si>
    <t>ชั้น 10 ICCU = 1</t>
  </si>
  <si>
    <t>ตู้ล๊อกเกอร์เหล็ก 12 ช่องต่อตู้ (ช่องใหญ่)</t>
  </si>
  <si>
    <t>ชั้น 8 หอผู้ป่วย SICU =3</t>
  </si>
  <si>
    <t>ชั้น 10 ICCU = 2</t>
  </si>
  <si>
    <t>ชั้น 9 NEURO = 5</t>
  </si>
  <si>
    <t>ชั้น 6-7 วิสัญญี = 4</t>
  </si>
  <si>
    <t>ชั้น 3 กลุ่มงานรังสี = 1</t>
  </si>
  <si>
    <t xml:space="preserve">โต๊ะทำงาน </t>
  </si>
  <si>
    <t>ชั้น 9 NEURO = 3</t>
  </si>
  <si>
    <t>ชั้น 5 ห้องผ่าตัด Cath lab = 1</t>
  </si>
  <si>
    <t>ชั้น 8 หอผู้ป่วย SICU =1</t>
  </si>
  <si>
    <t>ชั้น 6-7 ห้องผ่าตัด =1</t>
  </si>
  <si>
    <t>โต๊ะทำงานสำหรับวางคอมพิวเตอร์และเครื่องพิมพ์</t>
  </si>
  <si>
    <t xml:space="preserve">ชั้น 6-7 ห้องผ่าตัด </t>
  </si>
  <si>
    <t>โต๊ะประชุม+เก้าอี้ 6 ที่นั่ง</t>
  </si>
  <si>
    <t>ชั้น 9 NEURO</t>
  </si>
  <si>
    <t>โต๊ะวางเครื่องมือ ขนาด 18*34*32 นิ้ว (ล้อต่างประเทศ)</t>
  </si>
  <si>
    <t>ห้องผ่าตัดตาที่เก่า</t>
  </si>
  <si>
    <t xml:space="preserve">โต๊ะสนามหินอ่อนแท้ </t>
  </si>
  <si>
    <t xml:space="preserve">ชั้น 10 ICCU </t>
  </si>
  <si>
    <r>
      <t xml:space="preserve">เครื่องทำลายเอกสาร </t>
    </r>
    <r>
      <rPr>
        <sz val="16"/>
        <color rgb="FFFF0000"/>
        <rFont val="TH SarabunPSK"/>
        <family val="2"/>
      </rPr>
      <t xml:space="preserve"> </t>
    </r>
  </si>
  <si>
    <t>ชั้น 2 กายภาพ</t>
  </si>
  <si>
    <t>เคาร์เตอร์ติดผนัง ขนาด 60x275x90</t>
  </si>
  <si>
    <t>จอทีวี ดู PAC ขนาด 43 นิ้ว</t>
  </si>
  <si>
    <t>ตู้ไม้ล้อเลื่อน 3 ลิ้นชัก</t>
  </si>
  <si>
    <t>ชั้น 1 ห้องยา</t>
  </si>
  <si>
    <t>ตู้เหล็กบานเลื่อนกระจก ขนาด 6 ฟุต</t>
  </si>
  <si>
    <t>ชั้น 3 กลุ่มงานรังสี</t>
  </si>
  <si>
    <t>ทีวีแขวน ขนาด 40นิ้ว สำหรับระบบคิวผู้ป่วย หน้าแผนกและหน้าห้อง</t>
  </si>
  <si>
    <t>ชั้น 3 รังสี</t>
  </si>
  <si>
    <t>โทรศัพท์ติดต่อภายในชั้นห้องผ่าตัด</t>
  </si>
  <si>
    <t>โทรศัพท์ติดต่อภายในโรงพยาบาล</t>
  </si>
  <si>
    <t>เครื่องปรับอากาศเคียร์ ขนาด 24200 BTU พร้อมปั๊มระบายน้ำทิ้งและท่อทองแดง</t>
  </si>
  <si>
    <t>ขาตั้ง TV มีล้อเลื่อนปรับระดับทีวีได้</t>
  </si>
  <si>
    <t>โต๊ะพยาบาล</t>
  </si>
  <si>
    <t>เครื่องเลเซอร์</t>
  </si>
  <si>
    <t>เก้าอี้นั่งตรวจสำหรับแพทย์ระบบโช๊คอัพแก๊ส แบบมีพนังพิง</t>
  </si>
  <si>
    <t>ชั้น 6-7 วิสัญญี</t>
  </si>
  <si>
    <t>ชั้น 5 ห้องผ่าตัดหัวใจ = 1</t>
  </si>
  <si>
    <t>ชั้น 6-7 ห้องผ่าตัด = 4</t>
  </si>
  <si>
    <t>โต๊ะจัดเครื่องมือขนาด 36* 20*32 นิ้ว</t>
  </si>
  <si>
    <t>ชั้น 5 ห้องผ่าตัดหัวใจ = 2</t>
  </si>
  <si>
    <t>โต๊ะวางเครื่องมือ สแตนเลส ชนิด 2 ชั้น12*18”x 32” มีขอบ มีด้ามเข็น</t>
  </si>
  <si>
    <t>โต๊ะสแตนเลสสำหรับวางคอมพิวเตอร์ในห้องผ่าตัด</t>
  </si>
  <si>
    <t>รถเข็นสแตนเลส  สำหรับเข็นผ้าปนเปื้อน</t>
  </si>
  <si>
    <t>ชั้น 5 ห้องผ่าตัด Cath lab</t>
  </si>
  <si>
    <t>รถเข็นสแตนเลส 2 ชั้นขนาด40*60*100 เซนติเมตร</t>
  </si>
  <si>
    <t>รถเข็นสแตนเลส ขนาด 650x1065x750 เซนติเมตร</t>
  </si>
  <si>
    <t>รถเข็นสำหรับเก็บอุปกรณ์ฉุกเฉิน</t>
  </si>
  <si>
    <t>รถเตรียมยาวิสัญญีไฟเบอร์</t>
  </si>
  <si>
    <t>ชั้น 6 วิสัญญี</t>
  </si>
  <si>
    <t xml:space="preserve">รถเมโย 4 ล้อ พร้อมถาด  </t>
  </si>
  <si>
    <t>Laryngoscope 2 blade</t>
  </si>
  <si>
    <t>Laryngoscope 5 blade</t>
  </si>
  <si>
    <t>Pressure bag  500 ml</t>
  </si>
  <si>
    <t>ตู้ยาแช่เย็น</t>
  </si>
  <si>
    <t>ตู้อุ่นน้ำเกลือ ขนาด 250 ลิตร บรรจุได้ 60 ขวด</t>
  </si>
  <si>
    <t xml:space="preserve">เตียงเคลื่อนย้ายผู้ป่วย   </t>
  </si>
  <si>
    <t xml:space="preserve">เสาน้ำเกลือ  </t>
  </si>
  <si>
    <t>อ่างอาบน้ำสำหรับการรักษาผู้ป่วยแผลไฟไหม้/น้ำร้อนลวก : ของบ อบจ</t>
  </si>
  <si>
    <t>ชั้น 8</t>
  </si>
  <si>
    <r>
      <t>ระบบท่อลมรับ-ส่งยา 10 station ทั้งตึก</t>
    </r>
    <r>
      <rPr>
        <sz val="16"/>
        <color rgb="FFFF0000"/>
        <rFont val="TH SarabunPSK"/>
        <family val="2"/>
      </rPr>
      <t xml:space="preserve"> </t>
    </r>
  </si>
  <si>
    <t>เครื่องติดตามสัญญาณชีพ แบบตั้งโต๊ะสำหรับเด็ก</t>
  </si>
  <si>
    <t>เก้าอี้นั่งปรับนอนได้สำหรับผู้ป่วยรับเลือด</t>
  </si>
  <si>
    <t>รถ resuscitation</t>
  </si>
  <si>
    <t>รถสำหรับทำหัตถการ</t>
  </si>
  <si>
    <t xml:space="preserve">โต๊ะคร่อมเตียงผู้ป่วย </t>
  </si>
  <si>
    <t>โต๊ะข้างเตียง</t>
  </si>
  <si>
    <t>เก้าอี้ข้างเตียง</t>
  </si>
  <si>
    <t>ชุดโต๊ะอาหารและเก้าอี้ 4 ที่นั่ง</t>
  </si>
  <si>
    <t>ชั้น 8 หอผู้ป่วย SICU</t>
  </si>
  <si>
    <t>63*</t>
  </si>
  <si>
    <t xml:space="preserve">โซฟาเบด มีพนักพิง ขนาด 1.6 เมตร  </t>
  </si>
  <si>
    <t>64*</t>
  </si>
  <si>
    <t>โซฟาเบด มีพนักพิง (โซฟายาว 1.8 เมตร )</t>
  </si>
  <si>
    <t>ชั้น 5 ห้องผ่าตัด Cath lab = 2</t>
  </si>
  <si>
    <t>ชั้น 8 หอผู้ป่วย SICU = 1</t>
  </si>
  <si>
    <t>ตู้เย็น 2 ประตู ขนาด 14 Q</t>
  </si>
  <si>
    <t>ตู้เย็น ขนาด  6.4Q</t>
  </si>
  <si>
    <t>ตู้เย็น 2 ประตู ขนาด 8.6 Q (แช่ยา)</t>
  </si>
  <si>
    <t>ไมโครเวฟ ขนาด 30 ลิตร</t>
  </si>
  <si>
    <t>ไมโคเวฟ 25 ลิตร</t>
  </si>
  <si>
    <t>เตียงเดี่ยว (แบบเดี่ยว) + ฟูกที่นอน หนา 10 นิ้ว 3 ฟุต</t>
  </si>
  <si>
    <t xml:space="preserve">เครื่องกรองน้ำสำหรับหม้อต้มแผ่นร้อน  </t>
  </si>
  <si>
    <t xml:space="preserve">ม่านกันห้อง (220: คลินิกลดปวด) </t>
  </si>
  <si>
    <t>ม่านพร้อมรางเลื่อนติดเพดาน</t>
  </si>
  <si>
    <t>Printer Ink</t>
  </si>
  <si>
    <t>กลุ่มงานสุขภาพดิจิทัล</t>
  </si>
  <si>
    <t>Printer Thermal</t>
  </si>
  <si>
    <t>Printer สี multifunction พร้อมระบบ scan และถ่ายเอกสาร</t>
  </si>
  <si>
    <t>ชั้น 1 เภสัช</t>
  </si>
  <si>
    <t>แก้ไขระบบประตูเข้าออก</t>
  </si>
  <si>
    <t xml:space="preserve">เครื่องคอมพิวเตอร์ All in One พร้อมเครื่องสำรองไฟ    </t>
  </si>
  <si>
    <t>จ้างเดินสายเน็ตเวิร์ก (Lan)</t>
  </si>
  <si>
    <t xml:space="preserve">ติดตั้งระบบประตูเปิด ปิด  อัตโนมัติ บริเวณทางเข้าหน้าห้องผ่าตัด </t>
  </si>
  <si>
    <t>แท็บเล็ต (สำหรับสแกนจ่ายเงิน)</t>
  </si>
  <si>
    <t>อุปกรณ์กระจายสัญญาณ WIFI</t>
  </si>
  <si>
    <t>กล้องวงจรปิด CCTV พร้อมระบบ</t>
  </si>
  <si>
    <t>โฆษณา</t>
  </si>
  <si>
    <t>ระบบเสียงประกาศหน้าห้อง</t>
  </si>
  <si>
    <t>กล่องใส่ทิชชู่ม้วนใหญ่</t>
  </si>
  <si>
    <t>ชั้น 1 ห้องยา =1</t>
  </si>
  <si>
    <t>วัสดุสำนักงาน</t>
  </si>
  <si>
    <t>ชั้น 2 ห้องกายภาพ =7</t>
  </si>
  <si>
    <t>ชั้น 5 หอผู้ป่วย CCU = 3</t>
  </si>
  <si>
    <t>ชั้น 6 -7 ห้องผ่าตัด = 20</t>
  </si>
  <si>
    <t>ชั้น 8 หอผู้ป่วย SICU= 5</t>
  </si>
  <si>
    <t>ชั้น 9 NEURO = 6</t>
  </si>
  <si>
    <t>ชั้น 10 ICCU = 16</t>
  </si>
  <si>
    <t>กล่องใส่ทิชชู่เช็ดมือ</t>
  </si>
  <si>
    <t>ถังขยะทั่วไปขนาด 32 ลิตร</t>
  </si>
  <si>
    <t>ชั้น 5 CCU = 2</t>
  </si>
  <si>
    <t>ชั้น 9 NEURO = 10</t>
  </si>
  <si>
    <t>ถังขยะทั่วไปขนาด 18.5 ลิตร</t>
  </si>
  <si>
    <t>ชั้น 3 กลุ่มงานรังสี = 2</t>
  </si>
  <si>
    <t>ชั้น 5 ห้องผ่าตัดหัวใจ =2</t>
  </si>
  <si>
    <t>ชั้น 6-7 ห้องผ่าตัด =10</t>
  </si>
  <si>
    <t>ชั้น 8 หอผู้ป่วย SICU =20</t>
  </si>
  <si>
    <t>ชั้น 9 NEURO = 25</t>
  </si>
  <si>
    <t>ชั้น 10 ICC = 15</t>
  </si>
  <si>
    <t>ถังขยะติดเชื้อขนาด 32 ลิตร</t>
  </si>
  <si>
    <t>ชั้น  2 กายภาพ = 1</t>
  </si>
  <si>
    <t>ชั้น 5 ห้องผ่าตัดหัวใจ =1</t>
  </si>
  <si>
    <t>ชั้น 6-7 ห้องผ่าตัด =5</t>
  </si>
  <si>
    <t>ชั้น 8 หอผู้ป่วย SICU =4</t>
  </si>
  <si>
    <t>ชั้น 9 NEURO =5</t>
  </si>
  <si>
    <t>ถังขยะติดเชื้อขนาด 18.5 ลิตร</t>
  </si>
  <si>
    <t>ชั้น 8 หอผู้ป่วย SICU =17</t>
  </si>
  <si>
    <t>ชั้น 9 NEURO =10</t>
  </si>
  <si>
    <t>ชั้น 10 ICC = 10</t>
  </si>
  <si>
    <t>ถังขยะอินทรีย์ขนาด 32 ลิตร</t>
  </si>
  <si>
    <t>ถังขยะอินทรีย์ขนาด 18.5 ลิตร</t>
  </si>
  <si>
    <t>ชั้น 6-7 ห้องผ่าตัด =2</t>
  </si>
  <si>
    <t>ชั้น 9 NEURO =4</t>
  </si>
  <si>
    <t>โครงใส่ผ้าเปื้อนพร้อมฝาปิด</t>
  </si>
  <si>
    <t>ชั้น 5 ห้องผ่าตัดหัวใจ =4</t>
  </si>
  <si>
    <t>ชั้น 6-7 ห้องผ่าตัด =12</t>
  </si>
  <si>
    <t>ชั้น 8 หอผู้ป่วย SICU = 4</t>
  </si>
  <si>
    <t>ถังใส่ผ้าเปื้น พลาสติกสีแดง</t>
  </si>
  <si>
    <t>ชั้น 5 CCU = 1</t>
  </si>
  <si>
    <t xml:space="preserve">ชั้น 5 ห้องผ่าตัดหัวใจ = 2 </t>
  </si>
  <si>
    <t>ชั้น 6-7 ห้องผ่าตัด =6</t>
  </si>
  <si>
    <t xml:space="preserve">ชั้น 9 NEURO = 3 </t>
  </si>
  <si>
    <t>ชั้น 10 ICC = 2</t>
  </si>
  <si>
    <t>White board ขนาด 40*60 ซม</t>
  </si>
  <si>
    <t>บันไดอลูมิเนียม 3 ขั้น</t>
  </si>
  <si>
    <t>วัสดุการแพทย์</t>
  </si>
  <si>
    <t>เก้าอี้รองขา สแตนเลส แบบ 1 ขั้น ขนาด 20”x12”x7”</t>
  </si>
  <si>
    <t>ถังขยะสแตนเลส (ขนาด  20 ลิตร และ 42 ลิตร)</t>
  </si>
  <si>
    <t>เกจ์ออกซิเจน Flowmeter</t>
  </si>
  <si>
    <t xml:space="preserve">เปลนอนเคลื่อนย้ายผู้ป่วย   </t>
  </si>
  <si>
    <t>เตียงนอน 2 ชั้น + ฟูกที่นอน หนา 10 นิ้ว 3 ฟุต</t>
  </si>
  <si>
    <t>ชั้น 7 ห้องผ่าตัด</t>
  </si>
  <si>
    <t>วัสดุงานบ้านงานครัว</t>
  </si>
  <si>
    <t>หมอนหนุนยางพารา</t>
  </si>
  <si>
    <t>ชั้น 6 วิสัญญี = 6</t>
  </si>
  <si>
    <t>ชั้น 7 ห้องผ่าตัด = 10</t>
  </si>
  <si>
    <t>กาต้มน้ำไฟฟ้า 1.7 ลิตร</t>
  </si>
  <si>
    <t>ชั้น 10 ICCU</t>
  </si>
  <si>
    <t>ไดร์ป่าผม</t>
  </si>
  <si>
    <t>ชั้น 5 ห้องผ่าตัดหัวใจ</t>
  </si>
  <si>
    <t xml:space="preserve">ถังดักไขมัน (217ห้องฝึกกิจวัตร+ห้องครัว)  </t>
  </si>
  <si>
    <t>ขั้นตอนรายงานผลการพิจารณา</t>
  </si>
  <si>
    <t>ขั้นตอนขออนุมัติราคากลางเสนอห้องรองผู้ว่า</t>
  </si>
  <si>
    <t>ขั้นตอนรายงานผลรับฟังความเห็นร่างประกาศฯ</t>
  </si>
  <si>
    <t>แต่งตั้งกรรมการราคากลาง</t>
  </si>
  <si>
    <t>ขั้นตอนแต่งตั้งกรรมการราคากลาง ส่วนราคากลางรอจากช่างทำมาอีกที เพื่อทำบันทึกขออนุมัติราคากลาง</t>
  </si>
  <si>
    <t>งานจัดจ้าง (สิ่งก่อสร้าง)</t>
  </si>
  <si>
    <t>ติดตั้งราวตากผ้า 3 ล็อก ล็อกละ 3 แถว</t>
  </si>
  <si>
    <t>มีงานเพิ่มลด อยู่ระหว่างแก้ไขสัญญาจ้าง ครั้งที่ 1</t>
  </si>
  <si>
    <t>ส่งมอบไปแล้ว 3 งวด จากทั้งหมด 25 งวด</t>
  </si>
  <si>
    <t>ปรับปรุงพื้นที่บริเวณศูนย์ Wellness</t>
  </si>
  <si>
    <t>ปรับปรุงเคาน์เตอร์ติดต่อสอบถาม</t>
  </si>
  <si>
    <t>ชั้น 8 หอผู้ป่วย SICU, ชั้น 9 NEURO</t>
  </si>
  <si>
    <t>แผนประมาณการรายจ่าย
(ปรับแผน)  ปีงบฯ 2569</t>
  </si>
  <si>
    <t>ตัวเลข</t>
  </si>
  <si>
    <t>รายรับ-รายจ่าย
เพิ่มจากแผนเดิม (%)</t>
  </si>
  <si>
    <t>เบิกจ่ายเรียบร้อยแล้ว</t>
  </si>
  <si>
    <t>1. เงินบำรุง คงเหลือ 31 มีนาคม 2569</t>
  </si>
  <si>
    <t>เบิกจ่าย</t>
  </si>
  <si>
    <t>ขยายสัญญา</t>
  </si>
  <si>
    <t>อยู่ระหว่างจัดหาเคส จะหมดสัญญา 30 กย.69</t>
  </si>
  <si>
    <t xml:space="preserve">เสนอรายงานผลพิจารณา </t>
  </si>
  <si>
    <t>ประเภทครุภัณฑ์ : โฆษณาและเผยแพร่ (อยู่ระหว่างกลุ่มงานพัสดุดำเนินการ)</t>
  </si>
  <si>
    <t>รถนั่งขับไฟฟ้าพร้อมตู้สแตนเลส 2 ชั้น เก็บอุณภูมิ</t>
  </si>
  <si>
    <t>กลุ่มงานโภชนาศาสตร์</t>
  </si>
  <si>
    <t>เปรียบเทียบไตรมาส1 กับไตรมาส 2</t>
  </si>
  <si>
    <t>เพิ่มขึ้น
ร้อยละ</t>
  </si>
  <si>
    <t>เฟอร์นิเจอร์ห้องเก็บเอกสารทางการแพทย์และวัสดุทางการแพทย์ ห้องทำงาน ห้องประชุม</t>
  </si>
  <si>
    <t>รายการที่เบิกจ่ายแล้ว 76,527,693.76 บาท เป็นทางเดินเชื่อมตึกอันดามันไปอาคารอุบัติเหตุ 10 ชั้น 4,500,000 บาท ค่าก่อสร้างอาคารรังสีรักษา 3 งวด 72,027,693.76 บาท</t>
  </si>
  <si>
    <t>ปรับปรุงแผนก NEURO ชั้น 9</t>
  </si>
  <si>
    <t>ปรับแผน อยู่ระหว่างดำเนินการขออนุมัติโครงการ</t>
  </si>
  <si>
    <t>รอส่งมอบงาน</t>
  </si>
  <si>
    <t>ก่อสร้าง 17 ล้านบาท ตกแต่งภายใน 2.6 ล้านบาท</t>
  </si>
  <si>
    <t>รายงานผลการตรวจรับ</t>
  </si>
  <si>
    <t>ประมาณการ
แผนรายรับ (ปรับแผน)
ปีงบฯ 2569</t>
  </si>
  <si>
    <t>เดือน เม.ย.69 รอการโอน =32 ลบ.</t>
  </si>
  <si>
    <t>เดือน เม.ย.69  1 ลบ.</t>
  </si>
  <si>
    <t>เดือน เม.ย. เรียกเก็บ 39.660 ลบ.</t>
  </si>
  <si>
    <t>70% =17,146,016.19 บาท
10% =5,450,000 บาท</t>
  </si>
  <si>
    <t>กิจการ = 9,835,789.60 บาท
อาคารรังสี = 51,097,942.41 บาท</t>
  </si>
  <si>
    <t>ประมาณการ
แผนรายจ่าย (ปรับแผน)
ปีงบฯ 2569</t>
  </si>
  <si>
    <t xml:space="preserve">ย้ายระบบสแกนใบหน้าจากประตูห้องน้ำด้านใน มาอยู่ประตูห้องน้ำด้านนอก(ทั้งห้องน้ำชายและหญิง) (ทั้งชั้น 6 และ 7)   </t>
  </si>
  <si>
    <t>เครื่องตรวจสอบซองยา พร้อมแกน้วนซองยาและตู้จ่ายยาอัจฉริยะ</t>
  </si>
  <si>
    <t>ระบบเรียกพยาบาล Nurse call system</t>
  </si>
  <si>
    <t>เครื่องวัดความดัันโลหิตแบบอัตโนมัติ</t>
  </si>
  <si>
    <t>เก้าอี้สำนักงาน สีดำ</t>
  </si>
  <si>
    <t xml:space="preserve">โทรทัศน์ Smart TV ขนาด 43 นิ้ว </t>
  </si>
  <si>
    <t>เครื่องกระตุ้นไฟฟ้าหัวใจชนิดชั่วคราวแบบกระตุ้นหัวใจห้องเดียว</t>
  </si>
  <si>
    <t>ตู้บานเลื่อนกระจก 5 ฟุต SLG-5</t>
  </si>
  <si>
    <t>เครื่องตัดหญ้าแท้แบบสะพาย</t>
  </si>
  <si>
    <t>เครื่องย่อยกื่งไม้</t>
  </si>
  <si>
    <t>เครื่องพิมพ์สำหรับเครื่องพิมพ์สติ๊กเกอร์พร้อมกระดาษ</t>
  </si>
  <si>
    <t>แผ่นเคลื่อนย้ายผู้ป่วย  (Pat Slide)</t>
  </si>
  <si>
    <t>โคมไฟผ่าตัดเล็กแบบ LED ชนิดล้อเลื่อน</t>
  </si>
  <si>
    <t>เครื่องวัดเปอร์์เซ็นต์ความอิ่มตัวของออกซิเจนในเลือด</t>
  </si>
  <si>
    <t>โทรศัพท์์ไร้สาย</t>
  </si>
  <si>
    <t>ตู้อุ่นน้ำเกลือขนาด 250 ลิตร</t>
  </si>
  <si>
    <t>ตู้แช่เวชภัณฑ์ 2-8 องศาเซลเชียส ขนาด 316 ลิตร</t>
  </si>
  <si>
    <t>ตู้เย็น 2 ประตู ขนาด 8.6 Q</t>
  </si>
  <si>
    <t xml:space="preserve">อินเตอร์คอม (Intercom)   </t>
  </si>
  <si>
    <t>เครื่องควบคุมการให้สารละลายทางลอดเลือดอัตโนมัติโดยใช้กระบอกฉีดยา (Syring pump)</t>
  </si>
  <si>
    <t>เครื่องควบคุมการให้สารละลายทางหลอดเลือดดำ (Infusion pump)</t>
  </si>
  <si>
    <t>Pressure bag</t>
  </si>
  <si>
    <t>Laryngoscop</t>
  </si>
  <si>
    <t>เกย์ออกซิเจน</t>
  </si>
  <si>
    <t>เครื่องควบคุมอุณหภูมิผู้ป่วยแรงลมร้อน  ฺBair Hugger Temprature management cnits</t>
  </si>
  <si>
    <t xml:space="preserve">กล้องถ่ายรูป </t>
  </si>
  <si>
    <t>ระบบเรียกพยาบาล</t>
  </si>
  <si>
    <t>ระบบเครือข่ายคอมพิวเตอร์ (Switch และอุปกรณ์ที่เกี่ยวข้อง)</t>
  </si>
  <si>
    <t>เตียงสำหรับส่องตรวจเนื้อเยื่อปากมดลูก ปรับด้วยระบบไฟฟ้า</t>
  </si>
  <si>
    <t>เครื่องตรวจอวัยวะภายในด้วยคลื่นเสียงความถี่สูงสองมิติ</t>
  </si>
  <si>
    <t>Larygeal Mirror 3K (มีด้าม)</t>
  </si>
  <si>
    <t>Larygeal Mirror 4K (มีด้าม)</t>
  </si>
  <si>
    <t>Larygeal Mirror 5K (มีด้าม)</t>
  </si>
  <si>
    <t>เครื่องตรวจสอบซองยา พร้อมแกนม้วนซองยา</t>
  </si>
  <si>
    <t>ตู้จ่ายยาอัจฉริยะบนหอผู้ป่วย</t>
  </si>
  <si>
    <t>ตู้จัดเก็บยาและชั้นวางของสำหรับห้องยาอาคารศูนย์อุบัติเหตุฉุกเฉินและศูนย์หัวใจ</t>
  </si>
  <si>
    <t>โคมไฟผ่าตัดส่องทำหัตถการ</t>
  </si>
  <si>
    <t>เครื่องปั๊มลมสำหรับเครื่องนึ่งฆ่าเชื้อด้วยระบบไอน้ำ</t>
  </si>
  <si>
    <t>ตู้เย็น 2 ประตู ขนาด 6.6 คิว</t>
  </si>
  <si>
    <t xml:space="preserve">เตียงผู้ป่วยปรับระดับด้วยไฟฟ้า </t>
  </si>
  <si>
    <t>แผ่นเคลื่อนย้ายผู้ป่วย</t>
  </si>
  <si>
    <t>โต๊ะทำงาน</t>
  </si>
  <si>
    <t>เครื่องกรองน้ำร้อน-เย็น</t>
  </si>
  <si>
    <t>โทรทัศน์ LED UHD ขนาด 43นิ้ว</t>
  </si>
  <si>
    <t>ตู้เย็นมินิบาร์ 3.1 คิว สีดำ</t>
  </si>
  <si>
    <t>ไมโครเวฟ 20 ลิตร สีขาว</t>
  </si>
  <si>
    <t>โซฟาผ้า</t>
  </si>
  <si>
    <t>ตู้เย็นทางการแพทย์แช่วัสดุทันตกรรม</t>
  </si>
  <si>
    <t>เครื่องเอกซเรย์ฟัน</t>
  </si>
  <si>
    <t>โต๊ะคอมพิวเตอร์</t>
  </si>
  <si>
    <t>เครื่องออกกำลังกาย Speediance Gym monster 2.0 Fmily</t>
  </si>
  <si>
    <t>เครื่องทำน้ำร้อน-เย็น</t>
  </si>
  <si>
    <t>ไมโควเวฟ 25 ลิตร</t>
  </si>
  <si>
    <t>พัดลมติิดผนัง 18 นิ้ว</t>
  </si>
  <si>
    <t>โซฟา 3 ที่นั่ง ขนาด 180*800*750 มม.(ปรับนอนได้)</t>
  </si>
  <si>
    <t>รถเข็็นสำหรับเก็บอุปกรณ์วิสัญญี</t>
  </si>
  <si>
    <t>ระบบเสียงประกาศหน้าห้องยาพร้อมติดตั้ง</t>
  </si>
  <si>
    <t>ตู้เหล็กบานเลื่อนเตี้ย 4 ฟุต</t>
  </si>
  <si>
    <t>โทรศัพท์มือถือและซิมการ์ด</t>
  </si>
  <si>
    <t xml:space="preserve">พัดลมติดผนัง </t>
  </si>
  <si>
    <t>เครื่องฟังเสียงหัวใจของทารกในครรภ์</t>
  </si>
  <si>
    <t>เครื่องเคลือบกระดาษ A3 เคลือบร้อน/เย็น</t>
  </si>
  <si>
    <t>เครื่องกรองน้ำ</t>
  </si>
  <si>
    <t>พัดลมโคจร 16 นิ้ว</t>
  </si>
  <si>
    <t xml:space="preserve">ระบบท่อลมรับ-ส่งยา </t>
  </si>
  <si>
    <t>INTER COM แบบตั้งโต๊ะ</t>
  </si>
  <si>
    <t>เก้าอี้ขาคู่</t>
  </si>
  <si>
    <t>เก้าอี้สำนักงานไม่มีที่วางแขน</t>
  </si>
  <si>
    <t>ตู้ล๊้อเลื่อน 3 ลิ้นชัก</t>
  </si>
  <si>
    <t>เตียงพับได้</t>
  </si>
  <si>
    <t xml:space="preserve">ถังพลาสติกขนาด 40 แกลลอน </t>
  </si>
  <si>
    <t xml:space="preserve">ถังพลาสติกขนาด 17 แกลลอน </t>
  </si>
  <si>
    <t>ถังขยะทิ้งกล่องอาหารขนาด 80 ลิตร</t>
  </si>
  <si>
    <t xml:space="preserve">อุปกรณ์กระจายสัญญาณ WIFI </t>
  </si>
  <si>
    <t>เก้าอี้หัวกลม</t>
  </si>
  <si>
    <t>เครื่องวัดและบันทึกอุณหภูมิ</t>
  </si>
  <si>
    <t>พัดลมตั้งพื้น 18 นิ้ว</t>
  </si>
  <si>
    <t>เครื่องสำรองไฟ(UPS)</t>
  </si>
  <si>
    <t>โทรศัพท์ไร้สาย รุ่น KX-TG3712BXB สีดำ</t>
  </si>
  <si>
    <t>โทรศัพท์ไร้สาย รุ่น KX-TG3711BXB สีดำ</t>
  </si>
  <si>
    <t>ตู้ลิ้นชัก สีบายไม้</t>
  </si>
  <si>
    <t>หน้าบานและมือจับ</t>
  </si>
  <si>
    <t>หน้้าบานและขอบพับ</t>
  </si>
  <si>
    <t>โต๊ะข้าง</t>
  </si>
  <si>
    <t>โต๊ะคอนโซล</t>
  </si>
  <si>
    <t>ตู้ล็อกเกอร์ 9 ประตู</t>
  </si>
  <si>
    <t>ชุดอาหาร 6 ที่นั่ง</t>
  </si>
  <si>
    <t>โต๊ะประชุุม (ขนาด W320*D120*H74.5cm)</t>
  </si>
  <si>
    <t>ตู้เหล็กบานเลื่อนทรงสูง 4 ฟุต</t>
  </si>
  <si>
    <t>เครื่องวัดความดัันโลหิตและวัดความอิ่มตัวของออกซิเจนในเลือดแบบิอัตโนมัติ</t>
  </si>
  <si>
    <t>เครื่องตรวจคลื่นไฟฟ้าหัวใจ (EKG)</t>
  </si>
  <si>
    <t xml:space="preserve">เก้าอี้สำนักงาน </t>
  </si>
  <si>
    <t>เครื่องพิมพ์ชนิด Thermal</t>
  </si>
  <si>
    <t>ตู้เย็น 6.4 คิว /สีเงิน</t>
  </si>
  <si>
    <t>เครื่องพิมพ์พร้อมหมึก</t>
  </si>
  <si>
    <t>ตู้เก็บสารเคมีชนิดไวไฟขนาด 30GAL</t>
  </si>
  <si>
    <t>ตู้เก็บสารเคมีชนิิดไวไฟขนาด  22GAL</t>
  </si>
  <si>
    <t>รถพยาบาล Nurse call system</t>
  </si>
  <si>
    <t>เครื่องปรับอากาศชนิดแขวนใต้ฝ้า</t>
  </si>
  <si>
    <t>Pat Slide สำหรับย้ายผู้ป่วย</t>
  </si>
  <si>
    <t>ถังดักไขมัน</t>
  </si>
  <si>
    <t>เครื่องคอมพิวเตอร์พร้อมระบบปฏิบัติการวินโดว์</t>
  </si>
  <si>
    <t xml:space="preserve">เครื่องช่วยหายใจชนิดควบคุมด้วยปริมาตรและความดันขนาดใหญ่ </t>
  </si>
  <si>
    <t>เครื่องตรวจคลื่นไฟฟาหัวใจ พร้อมระบบวิเคราะห์ผล</t>
  </si>
  <si>
    <t>เครื่องควบคุมและปรับแรงดูดของเหลวใช้งานกับไปป์ไลน์</t>
  </si>
  <si>
    <t>เครื่องติดตามการทำงานของหัวใจและสัญญาณชีพ 4 พารามิเตอร์ ระบบศูนย์ไม่น้อยกว่า 8 เตียง</t>
  </si>
  <si>
    <t>ตู้บานเลื่อนกระจก 5 ฟุต</t>
  </si>
  <si>
    <t>ปั๊มเติมคลอรีน</t>
  </si>
  <si>
    <t>โทรศัพท์เคลื่อนที่พร้อมซิมการ์ด</t>
  </si>
  <si>
    <t>ทีวี ขนาด 43 นิ้ว Smart TV</t>
  </si>
  <si>
    <t>แผ่นเคลื่อนย้ายผู้ป่วย (Padslde)</t>
  </si>
  <si>
    <t>โต๊ะทำงานเหล็ก 4 ฟุต</t>
  </si>
  <si>
    <t xml:space="preserve">เครื่องปรับอากาศ ขนาด 18000 BTU </t>
  </si>
  <si>
    <t>รถไฟฟ้าชนิดนั่งขับแบบมีตู้ตระแกรง</t>
  </si>
  <si>
    <t>จอมอนิเตอร์ (คอมพิวเตอร์)</t>
  </si>
  <si>
    <t>เครื่องพิมพ์สำหรับสติ๊กเกอร์</t>
  </si>
  <si>
    <t>เครื่องสำรองไฟ</t>
  </si>
  <si>
    <t>เครื่องวัดเปอร์เซ็นต์ความอิ่มตัวของออกซิเจนในเลือด</t>
  </si>
  <si>
    <t>Digital Thermo-hygrometer รุ่น DIGICON TH-02A</t>
  </si>
  <si>
    <t>Synchronized Clock รุ่น ECOM SCS406A</t>
  </si>
  <si>
    <t>Temperature Data Logger รุ่น Escort iLog/EI-1E-D-32-L</t>
  </si>
  <si>
    <t>Dehumidifier รุ่น ANC HUTEK-HD38A</t>
  </si>
  <si>
    <t>ตู้เย็น (Refrigerator)</t>
  </si>
  <si>
    <t>รถฉุกเฉิน (Emergency Cart)</t>
  </si>
  <si>
    <t>เครื่องกระตุกหัวใจไฟฟ้าอัตโนมัติ (AED)</t>
  </si>
  <si>
    <t>แผ่นรองช่วยชีวิต (CPR Board)</t>
  </si>
  <si>
    <t>เครื่องสแกนใบหน้าพร้อมติดตั้ง</t>
  </si>
  <si>
    <t>โต๊ะสำนัักงานแบบมีลิ้นชัก</t>
  </si>
  <si>
    <t>หอผู้ป่วยน้อมเกล้า 3</t>
  </si>
  <si>
    <t>หอผู้ป่วยหนัักโรคหัวใจ</t>
  </si>
  <si>
    <t>ศูนย์สุขภาพชุมชนนริศร</t>
  </si>
  <si>
    <t>งานผู้ป่วยนอก แผนกนรีเวชกรรม</t>
  </si>
  <si>
    <t>ห้องผ่าตัดตึก 10 ชั้น</t>
  </si>
  <si>
    <t>กลุ่มงานวิสัญญี ตึกอบุติเหตุ 10 ชั้น</t>
  </si>
  <si>
    <t>กลุ่มภารกิิจสุขภาพดิจิทัล</t>
  </si>
  <si>
    <t>CCU</t>
  </si>
  <si>
    <t>งานรังสีรักษา</t>
  </si>
  <si>
    <t>กลุ่มงานทัันตกรรม</t>
  </si>
  <si>
    <t>งานประชาสัมพันธ์</t>
  </si>
  <si>
    <t>ห้องผ่าตัด (10 ชั้น)</t>
  </si>
  <si>
    <t>งานผู้ป่วยนอก แผนกกุมารเวชกรรม</t>
  </si>
  <si>
    <t>กลุ่มงานเภสัชกรรม (ตึก 10 ชั้น)</t>
  </si>
  <si>
    <t>กลุ่มงานวิสัญญี (ตึก 10 ชั้น)</t>
  </si>
  <si>
    <t>กลุ่มงานเทคโนโลยีสารสนเทศ (ตึก 10 ชั้น)</t>
  </si>
  <si>
    <t>กลุ่มงานพัสดุ (คลังย่อยห้องผ่าตัดชั้น5)</t>
  </si>
  <si>
    <t xml:space="preserve">กลุ่มงานเทคโนโลยีสารสนเทศ </t>
  </si>
  <si>
    <t>กลุ่มงานเทคนิคการแพทย์และพยาธิวิทยาคลินิกคลินิก</t>
  </si>
  <si>
    <t>หอผู้ป่วยศัลยกรรมประสาท (ตึก 10 ชั้น)</t>
  </si>
  <si>
    <t>หอผู้ป่วยอายุรกรรม 3</t>
  </si>
  <si>
    <t>กลุ่มภารกิจการพยาบาล</t>
  </si>
  <si>
    <t>กลุ่มงานเทคนิคการแพทย์</t>
  </si>
  <si>
    <t>หอผู้ป่วยรัตนโกสินทร์ 200 ปีล่าง</t>
  </si>
  <si>
    <t>งานผู้ป่วยนอก แผนกฝากครรภ์</t>
  </si>
  <si>
    <t>งานผู้ป่วยนอก แผนกวชิระคลินิก</t>
  </si>
  <si>
    <t>ห้องผ่าตััด</t>
  </si>
  <si>
    <t>กลุ่มภารกิิจด้านการพยาบาล</t>
  </si>
  <si>
    <t>กลุ่มงานโครงสร้างพื้นฐาน</t>
  </si>
  <si>
    <t>กลุ่มภารกิจด้านการพยบาล</t>
  </si>
  <si>
    <t>RCU</t>
  </si>
  <si>
    <t>หอผู้ป่วยพิเศษอายรุกรรมชั้น 5</t>
  </si>
  <si>
    <t>ศูนย์วิจัยและพัฒนา</t>
  </si>
  <si>
    <t>รายการนอกแผน นำเข้าแผนครึ่งปีหลัง : เงินบำรุง</t>
  </si>
  <si>
    <t>รายการนอกแผน นำเข้าแผนครึ่งปีหลัง : เงินบริจาค</t>
  </si>
  <si>
    <t>Gerald Tissue FCPS STR 1x2 175MM</t>
  </si>
  <si>
    <t>Std. Straight Handpiece200 M</t>
  </si>
  <si>
    <t>ชุดอุปกรณ์ดูดจ่ายของเหลวสำหรับผ่าตัด แบบปรับได้ SuperBypass Suction-Lrrigation system starter kit 1</t>
  </si>
  <si>
    <t>Kamiya - Tsuboi Micro Rongeur K-Bayonet 200 mm (90 mm W.L.) Straight Tip</t>
  </si>
  <si>
    <t>Super-Bypass Needle Holder Scissors Mario Zuccarello Special Small-size</t>
  </si>
  <si>
    <t>SILVER NON-STICK BIPOLA-FORCEPE 180 mm./2.0mm BAYONET2 PIN-PLUG</t>
  </si>
  <si>
    <t>SILVER NON-STICK BIPOLA-FORCEPE 200 mm./2.0mm BAYONET2 PIN-PLUG</t>
  </si>
  <si>
    <t xml:space="preserve">RETRACTOR WEITLANER SHARP 16.5 cm </t>
  </si>
  <si>
    <t>เครื่องควบคุมการให้สารละลายและเลือดทางหลอดเลือดดำ</t>
  </si>
  <si>
    <t>รถเข็นสำหรับอุปกรณ์วิสัญญี</t>
  </si>
  <si>
    <t>เครื่องตรวจคลื่นไฟฟ้าหัวใจ พร้อมโปรแกรมวิเคราะห์ผลอัตโนมัติ</t>
  </si>
  <si>
    <t>เครื่องควบคุมการให้้สารละลายอัตโนมัติ</t>
  </si>
  <si>
    <t>ตู้เก็บยาเสพติดและวัตถุอออกฤทธิ์</t>
  </si>
  <si>
    <t>เครื่องวัดความดันโลหิตแบบอัตโนมัติ พร้อมวัดค่าความอิ่มตัวของออกซิเจนในเลือด</t>
  </si>
  <si>
    <t>ชุด CPU (core i5,Ram 8GB, Hard Disk 1TB)</t>
  </si>
  <si>
    <t>หอผู้ป่วยวิกฤติระบบทางเดินหายใจ (RCU)</t>
  </si>
  <si>
    <t>คลินิกพิเศษเฉพาะทางนอกเวลา</t>
  </si>
  <si>
    <t>ลิ้นชักข้างโต๊ะ (แยกจากโต๊ะ)</t>
  </si>
  <si>
    <t>งบค่าเสื่อม 70%</t>
  </si>
  <si>
    <t>เครื่องช่วยหายใจชนิดควบคุมปริมาตรและความดัน 
พร้อมระบบการหย่าเครื่องอัตโนมัติและประมวลพยาธิสภาพปอด
พร้อมแสดงรูปภาพปอดจำลองของคนไข้</t>
  </si>
  <si>
    <t>เครื่องปั่นแยกส่วนประกอบของเลือด</t>
  </si>
  <si>
    <t xml:space="preserve">รถตู้นั่ง กระบอกสูบ 2,755 ซีซี กำลังเครื่องยนต์สูงสุด 120 กิโลวัตต์ </t>
  </si>
  <si>
    <t>เครื่องช่วยหายใจชนิดควบคุมปริมาตรและความดันพร้อมแสดงรูปภาพปอดจำลองคนไข้ สำหรับเด็ก</t>
  </si>
  <si>
    <t>เครื่องตรวจอวัยวะภายในด้วยคลื่นเสียงความถี่สูงสองมิติ 
สำหรับสูตินรีเวชศาสตร์</t>
  </si>
  <si>
    <t>เครื่องตรวจอวัยวะทางหน้าท้องทั่วไป และต่อมลูกหมากผ่านทางทวารหนักด้วยคลื่นเสียงความถี่สูง ชนิดสี</t>
  </si>
  <si>
    <t>สมทบ 778,483.81 บาท</t>
  </si>
  <si>
    <t>PP จ่ายครบแล้ว , OP5% ยังจ่ายไม่ครบ</t>
  </si>
  <si>
    <t>จ่ายกลาง</t>
  </si>
  <si>
    <t>งานยานพาหนะ</t>
  </si>
  <si>
    <t>กลุ่มงานสูติกรรม</t>
  </si>
  <si>
    <t>กลุ่มงานศัลยกรรม</t>
  </si>
  <si>
    <t>หอผู้ป่วยศัลยกรรมชาย</t>
  </si>
  <si>
    <r>
      <t xml:space="preserve">เครื่องนึ่งฆ่าเชื้อจุลินทรีย์ด้วยไอน้ำระบบอัตโนมัติ ขนาดไม่น้อยกว่า 570 ลิตร (Pre–Post Vac) ชนิด 2 ประตู
</t>
    </r>
    <r>
      <rPr>
        <sz val="16"/>
        <color theme="4" tint="-0.249977111117893"/>
        <rFont val="TH SarabunPSK"/>
        <family val="2"/>
      </rPr>
      <t xml:space="preserve">สป.สธ. (ร่างฉบับ ก.ย.2568) CSSD-28 </t>
    </r>
  </si>
  <si>
    <r>
      <t xml:space="preserve">เครื่องส่องรักษาทารกตัวเหลืองแบบสองด้าน
</t>
    </r>
    <r>
      <rPr>
        <sz val="16"/>
        <color theme="4" tint="-0.249977111117893"/>
        <rFont val="TH SarabunPSK"/>
        <family val="2"/>
      </rPr>
      <t>สป.สธ. (พ.ย.67) ID=AA504 ID=AA504</t>
    </r>
  </si>
  <si>
    <r>
      <t xml:space="preserve">เครื่องตรวจอวัยวะภายในด้วยคลื่นเสียงความถี่สูง ชนิดพกพา
</t>
    </r>
    <r>
      <rPr>
        <sz val="16"/>
        <color rgb="FF004F88"/>
        <rFont val="TH SarabunPSK"/>
        <family val="2"/>
      </rPr>
      <t>สป.สธ. (พ.ย.67) ID=AA1454 ID=AA1454</t>
    </r>
  </si>
  <si>
    <r>
      <t xml:space="preserve">เครื่องตรวจคลื่นไฟฟ้าหัวใจพร้อมระบบวิเคราะห์ผล
</t>
    </r>
    <r>
      <rPr>
        <sz val="16"/>
        <color rgb="FF004F88"/>
        <rFont val="TH SarabunPSK"/>
        <family val="2"/>
      </rPr>
      <t>สป.สธ. (พ.ย.67) ID=AA375 ID=AA375</t>
    </r>
  </si>
  <si>
    <t>เครื่องวัดสายตาในเด็ก ระบบอัตโนมัติ</t>
  </si>
  <si>
    <t>เครื่องดมยาสลบชนิดมาตรฐาน</t>
  </si>
  <si>
    <t>สมทบ 10,000 บาท</t>
  </si>
  <si>
    <t>สมทบ 60,000 บาท</t>
  </si>
  <si>
    <t>กลุ่มงานจักษุ</t>
  </si>
  <si>
    <t>งบค่าเสื่อม 10%</t>
  </si>
  <si>
    <t>เบ็ดเตล็ด  (ค่าจอดรถ + ค่าไฟเก็บจาก จนท.พยาบาล +ค่าใบรับรองแพทย์ต่างด้าว+ค่าใช้จ่ายโครงการต่างๆ)</t>
  </si>
  <si>
    <t>ณ 8/5/69 = 2,098,770 บาท</t>
  </si>
  <si>
    <t xml:space="preserve">ตู้เหล็กบานเลื่อนทรงสูง 3 ฟุต </t>
  </si>
  <si>
    <t xml:space="preserve"> ในแผนส่งเบิกจ่าย 100.87 ลบ.   นอกแผนส่งเบิกจ่าย 19.76 ลบ.</t>
  </si>
  <si>
    <t>4 งวด</t>
  </si>
  <si>
    <t>ใช้เงินบริจาค</t>
  </si>
  <si>
    <t xml:space="preserve"> - ซ่อมบำรุงกล้องวงจรปิด (370,000 บาท)</t>
  </si>
  <si>
    <r>
      <t xml:space="preserve"> - ค่าจ้างเหมาบำรุงรักษาครุภัณฑ์อื่นๆ/ค่า MA อุปกรณ์ป้องกันระบบเครือข่าย /</t>
    </r>
    <r>
      <rPr>
        <sz val="14"/>
        <color rgb="FFFF0000"/>
        <rFont val="TH Sarabun New"/>
        <family val="2"/>
      </rPr>
      <t>MA กล้องวงจรปิด (3 แสนบาท)</t>
    </r>
  </si>
  <si>
    <t xml:space="preserve">ค่าเวชภัณฑ์ศูนย์ Wellness </t>
  </si>
  <si>
    <t xml:space="preserve">หม้อแปลงไฟฟ้า 1.9 ลบ. </t>
  </si>
  <si>
    <t xml:space="preserve">จ่ายปี 70
</t>
  </si>
  <si>
    <t>จ่าย ปี 70 รอรายละเอียด</t>
  </si>
  <si>
    <t>15 ล้าน แบ่งจ่าย 3 ปี</t>
  </si>
  <si>
    <t>กล้อง CCTV ตึก 298</t>
  </si>
  <si>
    <t>ระบบประตูเปิด ปิด อัตโนมัติ ตึก 298</t>
  </si>
  <si>
    <t>เครื่องปริ้นเตอร์ พร้อมหมึกปริ้น</t>
  </si>
  <si>
    <t>ตู้คีออส</t>
  </si>
  <si>
    <t xml:space="preserve">ครุภัณฑ์ในแผนที่เบิกจ่าย </t>
  </si>
  <si>
    <t xml:space="preserve">ครุภัณฑ์นอกแผนที่เบิกจ่าย </t>
  </si>
  <si>
    <r>
      <t xml:space="preserve">ซ่อมโครงสร้างอาคาร ตึก สงฆ์ </t>
    </r>
    <r>
      <rPr>
        <sz val="16"/>
        <color rgb="FFFF0000"/>
        <rFont val="TH Sarabun New"/>
        <family val="2"/>
      </rPr>
      <t>(ยกไปปีงบ 2570 แต่มีของบออกแบบปรับปรุงฐานราก)</t>
    </r>
  </si>
  <si>
    <r>
      <t>ปรับปรุง or ชั้น 5 (อาคารผู้ป่วยนอก)</t>
    </r>
    <r>
      <rPr>
        <sz val="16"/>
        <color rgb="FFFF0000"/>
        <rFont val="TH Sarabun New"/>
        <family val="2"/>
      </rPr>
      <t xml:space="preserve"> (ยกไปปี 2570)</t>
    </r>
  </si>
  <si>
    <r>
      <t xml:space="preserve">กระจกเงาติดผนัง(219:ห้องออกกำลังกาย/223:คลินิกฟื้นฟูสมรรถภาพหัวใจและปอด)  </t>
    </r>
    <r>
      <rPr>
        <sz val="16"/>
        <color rgb="FFFF0000"/>
        <rFont val="TH Sarabun New"/>
        <family val="2"/>
      </rPr>
      <t xml:space="preserve"> </t>
    </r>
  </si>
  <si>
    <r>
      <t>ติดตั้งระบบท่อน้ำล้างไต</t>
    </r>
    <r>
      <rPr>
        <sz val="16"/>
        <color rgb="FFFF0000"/>
        <rFont val="TH Sarabun New"/>
        <family val="2"/>
      </rPr>
      <t xml:space="preserve"> </t>
    </r>
  </si>
  <si>
    <r>
      <rPr>
        <sz val="16"/>
        <color rgb="FFFF0000"/>
        <rFont val="TH Sarabun New"/>
        <family val="2"/>
      </rPr>
      <t>***</t>
    </r>
    <r>
      <rPr>
        <sz val="16"/>
        <rFont val="TH Sarabun New"/>
        <family val="2"/>
      </rPr>
      <t>ปรับปรุงอาคาร 10 ชั้น ICU หัวใจ (ชั้น10)</t>
    </r>
  </si>
  <si>
    <t xml:space="preserve">ขยายพื้นที่ด้านข้างอาคารจ่ายยาปุดจ้อ  </t>
  </si>
  <si>
    <r>
      <t xml:space="preserve">ปรับปรุงอาคารตึกสงฆ์ </t>
    </r>
    <r>
      <rPr>
        <sz val="16"/>
        <color rgb="FFFF0000"/>
        <rFont val="TH Sarabun New"/>
        <family val="2"/>
      </rPr>
      <t>ปี 70</t>
    </r>
  </si>
  <si>
    <r>
      <t xml:space="preserve">จ้างปรับปรุงห้องพิเศษหอผู้ป่วยสูติกรรมหลังคลอด และหอผู้ป่วยนรีเวชกรรม จำนวน 10 ห้อง
(ปรับปรุงห้องพิเศษตึกสูติกรรม  จำนวน 15 ห้อง   </t>
    </r>
    <r>
      <rPr>
        <sz val="16"/>
        <color rgb="FFFF0000"/>
        <rFont val="TH Sarabun New"/>
        <family val="2"/>
      </rPr>
      <t>ปี 70</t>
    </r>
  </si>
  <si>
    <t xml:space="preserve">ระบบเติมอากาศในห้องคลอด </t>
  </si>
  <si>
    <r>
      <t xml:space="preserve">งานก่อสร้างทางเดินเชื่อมระหว่างอาคารจอดรถ ไปยังอาคารพักคนไข้ 298 เตียง  (มีลิฟต์ 2 ตัว) </t>
    </r>
    <r>
      <rPr>
        <sz val="16"/>
        <color rgb="FFFF0000"/>
        <rFont val="TH Sarabun New"/>
        <family val="2"/>
      </rPr>
      <t>ปี 70</t>
    </r>
  </si>
  <si>
    <r>
      <t xml:space="preserve">ปรับปรุงห้องพิเศษกุมารเวชกรรม  (จำนวน 8 ห้อง) </t>
    </r>
    <r>
      <rPr>
        <sz val="16"/>
        <color rgb="FFFF0000"/>
        <rFont val="TH Sarabun New"/>
        <family val="2"/>
      </rPr>
      <t>จ่ายปี 70</t>
    </r>
  </si>
  <si>
    <r>
      <t xml:space="preserve">ปรับปรุงห้อง ER  </t>
    </r>
    <r>
      <rPr>
        <sz val="16"/>
        <color rgb="FFFF0000"/>
        <rFont val="TH Sarabun New"/>
        <family val="2"/>
      </rPr>
      <t>จ่ายปี 70</t>
    </r>
  </si>
  <si>
    <r>
      <t xml:space="preserve">ระบบบำบัดน้ำล้างไต อาคาร 298 </t>
    </r>
    <r>
      <rPr>
        <sz val="16"/>
        <color rgb="FFFF0000"/>
        <rFont val="TH Sarabun New"/>
        <family val="2"/>
      </rPr>
      <t>ปี 70</t>
    </r>
  </si>
  <si>
    <r>
      <t>ปรับปรุงห้องแรงดันบวกสำหรับศูนย์ปลูกถ่ายเซลล์ต้กำเนิดเม็ดเลือด</t>
    </r>
    <r>
      <rPr>
        <sz val="16"/>
        <color rgb="FFFF0000"/>
        <rFont val="TH Sarabun New"/>
        <family val="2"/>
      </rPr>
      <t xml:space="preserve"> ปี 70</t>
    </r>
  </si>
  <si>
    <r>
      <t xml:space="preserve">ปรับปรุงห้องทันตกรรม  </t>
    </r>
    <r>
      <rPr>
        <sz val="16"/>
        <color rgb="FFFF0000"/>
        <rFont val="TH Sarabun New"/>
        <family val="2"/>
      </rPr>
      <t>ปี 70</t>
    </r>
  </si>
  <si>
    <r>
      <t xml:space="preserve">ซื้อที่ดินพร้อมสิ่งปลูกสร้าง (โรงแรมมโนราห์) </t>
    </r>
    <r>
      <rPr>
        <sz val="16"/>
        <color rgb="FFFF0000"/>
        <rFont val="TH Sarabun New"/>
        <family val="2"/>
      </rPr>
      <t>(จ่ายปี 2570)</t>
    </r>
  </si>
  <si>
    <t xml:space="preserve">ปรับปรุงระบบปรับอากาศระบายอากาศ (clean room positive pressure) ห้องแยกผู้ป่วยเคมีบำบัด ชั้น 8 ตึก 298
</t>
  </si>
  <si>
    <t xml:space="preserve">ปรับปรุงห้องตู้แช่เนื้อสัตว์ </t>
  </si>
  <si>
    <r>
      <t xml:space="preserve">ปรุงทางเดินหน้าห้องคลอด  </t>
    </r>
    <r>
      <rPr>
        <sz val="16"/>
        <color rgb="FFFF0000"/>
        <rFont val="TH Sarabun New"/>
        <family val="2"/>
      </rPr>
      <t>ปี 70</t>
    </r>
  </si>
  <si>
    <t xml:space="preserve"> มอบช่างประเมินราคาอีกครั้ง</t>
  </si>
  <si>
    <t xml:space="preserve">ปรับปรุงและขยายพื้นที่งานบริบาลเภสัชกรรมผู้ป่วยในและพัฒนาระบบยา อาคารปุดจ้อชั้น 2 (31.5ตารางเมตร)  </t>
  </si>
  <si>
    <t xml:space="preserve">แผนรายการสิ่งก่อสร้างและจ้างออกแบบด้วยเงินบริจาค ประจำปีงบประมาณ พ.ศ. 2569  </t>
  </si>
  <si>
    <t>ปรับปรุงหลังคาเทกันซึม อาคารอุบัติเหตุเก่า ชั้น 7</t>
  </si>
  <si>
    <t>ปรับปรุงหออภิบาลโรคหลอดเลือดสมอง (Stroke Unit)</t>
  </si>
  <si>
    <t>นอกแผน รอพิจารณา</t>
  </si>
  <si>
    <t>แท็บเล็ต (Table)</t>
  </si>
  <si>
    <t>เครื่องบำบัดทดแทนการทำงานของไตอย่างต่อเนื่อง</t>
  </si>
  <si>
    <t xml:space="preserve">คอมพิวเตอร์ </t>
  </si>
  <si>
    <t>เครื่องพิมพ์บาร์โค้ด</t>
  </si>
  <si>
    <t>เครื่องพิมพ์</t>
  </si>
  <si>
    <t>เครื่องวัดระดับความอิ่มตัวของออกซิเขนในเลือดพร้อมโปรแกรมสำหรับวิเคราะห์และรายงานผลข้อมูล</t>
  </si>
  <si>
    <t>เครื่องคิดเลข แบบพิมพ์กระดาษ</t>
  </si>
  <si>
    <t>เครื่องปรับอากาศ</t>
  </si>
  <si>
    <t>เครื่องวัดความอิ่มตัวของออกซิเจนในเลือด</t>
  </si>
  <si>
    <t xml:space="preserve">เครื่องนึ่งฆ่าเชื้อด้วยระบบไอน้ำ </t>
  </si>
  <si>
    <t>เครื่องหมุนหลอดเลือด (Roller mixer)</t>
  </si>
  <si>
    <t>รถเข็นผ้าเปื้อน</t>
  </si>
  <si>
    <t>กลุ่มงานเทคโนโลยีีสารสนเทศ</t>
  </si>
  <si>
    <t>CCU+SICU</t>
  </si>
  <si>
    <t>กลุ่มงานเทคนิคการแพทย์และพยาธิวิทยาคลินิก</t>
  </si>
  <si>
    <t>ชั้น 9 NEURO ชั้น 10 ICCU = 1</t>
  </si>
  <si>
    <t>ชั้น 6-7 วิสัญญี = 12
ชั้น 6-7  ห้องผ่าตัด =12 
ชั้น 8 SICU = 20 
ชั้น 9 NEURO = 20 
ชั้น 10 หอผู้ป่วย  = 10</t>
  </si>
  <si>
    <t>ชั้น 1 ห้องยา = 10
ชั้น 3 กลุ่มงานรังสี = 3</t>
  </si>
  <si>
    <t>ชั้น 3 กลุ่มงานรังสี = 32 
ชั้น 5 ห้องผ่าตัด Cath lab = 4 
ชั้น 6-7 ห้องผ่าตัด = 8</t>
  </si>
  <si>
    <t>ชั้น 5 ห้องผ่าตัดหัวใจ = 3
ชั้น 6-7 ห้องผ่าตัด = 6</t>
  </si>
  <si>
    <t>ชั้น 6-7 ห้องผ่าตัด = 2
ชั้น 6-7 วิสัญญี = 2</t>
  </si>
  <si>
    <t>ชั้น 6-7 ห้องผ่าตัด = 1
ชั้น 9 NEURO = 1 
ชั้น 10 ICCU = 1</t>
  </si>
  <si>
    <t>ชั้น 10 ICCU = 1 
ชั้น 9 NEURO = 3 
ชั้น 5 ห้องผ่าตัด Cath lab = 1 
ชั้น 8 หอผู้ป่วย SICU =1 
ชั้น 6-7 ห้องผ่าตัด =1 
ชั้น 6-7 ห้องผ่าตัด = 1</t>
  </si>
  <si>
    <t>ชั้น 5 ห้องผ่าตัดหัวใจ = 1
ชั้น 6-7 ห้องผ่าตัด = 4</t>
  </si>
  <si>
    <t>ชั้น 5 ห้องผ่าตัดหัวใจ = 2
ชั้น 6-7 ห้องผ่าตัด = 6</t>
  </si>
  <si>
    <t>ชั้น 6-7 วิสัญญี = 4 
ชั้น 5 ห้องผ่าตัด Cath lab = 2 
ชั้น 9 NEURO = 1 
ชั้น 8 หอผู้ป่วย SICU = 1</t>
  </si>
  <si>
    <t>ชั้น 6-7 วิสัญญี = 2 
ชั้น 6-7 ห้องผ่าตัด = 2</t>
  </si>
  <si>
    <t>ชั้น 6-7 ห้องผ่าตัด = 2 
ชั้น 6-7 วิสัญญี = 2</t>
  </si>
  <si>
    <t>ชั้น 1 ห้องยา =1
ชั้น 2 ห้องกายภาพ =7
ชั้น 5 ห้องผ่าตัด Cath lab = 4
ชั้น 5 หอผู้ป่วย CCU = 3 
ชั้น 5 ห้องผ่าตัดหัวใจ = 2 
ชั้น 6 -7 ห้องผ่าตัด = 20 
ชั้น 8 หอผู้ป่วย SICU= 5 
ชั้น 9 NEURO = 6 
ชั้น 10 ICCU = 16</t>
  </si>
  <si>
    <t>ชั้น 1 ห้องยา =1
ชั้น 2 ห้องกายภาพ =7 
ชั้น 5 ห้องผ่าตัด Cath lab = 4 
ชั้น 5 หอผู้ป่วย CCU = 3 
ชั้น 5 ห้องผ่าตัดหัวใจ = 2 
ชั้น 6 -7 ห้องผ่าตัด = 20 
ชั้น 8 หอผู้ป่วย SICU= 5 
ชั้น 9 NEURO = 6 
ชั้น 10 ICCU = 16</t>
  </si>
  <si>
    <t>[</t>
  </si>
  <si>
    <t>ชั้น 5 CCU = 2 
ชั้น 5 ห้องผ่าตัด Cath lab = 2 
ชั้น 9 NEURO = 10</t>
  </si>
  <si>
    <t>ชั้น 3 กลุ่มงานรังสี = 2 
ชั้น 5 ห้องผ่าตัด Cath lab = 2 
ชั้น 5 CCU = 2 
ชั้น 5 ห้องผ่าตัดหัวใจ =2 
ชั้น 6-7 ห้องผ่าตัด =10 
ชั้น 8 หอผู้ป่วย SICU =20 
ชั้น 9 NEURO = 25 
ชั้น 10 ICC = 15</t>
  </si>
  <si>
    <t>ชั้น  2 กายภาพ = 1 
ชั้น 5 ห้องผ่าตัด Cath lab = 1 
ชั้น 5 CCU = 2 
ชั้น 5 ห้องผ่าตัดหัวใจ =1 
ชั้น 6-7 ห้องผ่าตัด =5 
ชั้น 8 หอผู้ป่วย SICU =4 
ชั้น 9 NEURO =5</t>
  </si>
  <si>
    <t>ชั้น 5 CCU = 2 
ชั้น 5 ห้องผ่าตัดหัวใจ =1 
ชั้น 6-7 ห้องผ่าตัด =5 
ชั้น 8 หอผู้ป่วย SICU =17 
ชั้น 9 NEURO =10 
ชั้น 10 ICC = 10</t>
  </si>
  <si>
    <t>ชั้น 5 ห้องผ่าตัดหัวใจ =1
ชั้น 6-7 ห้องผ่าตัด =2 
ชั้น 8 หอผู้ป่วย SICU =1 
ชั้น 9 NEURO =4</t>
  </si>
  <si>
    <t>ชั้น 3 กลุ่มงานรังสี = 2 
ชั้น 5 ห้องผ่าตัด Cath lab = 4 
ชั้น 5 CCU = 2 
ชั้น 5 ห้องผ่าตัดหัวใจ =4 
ชั้น 6-7 ห้องผ่าตัด =12 
ชั้น 6-7 วิสัญญี = 2 
ชั้น 6-7 ห้องผ่าตัด = 2 
ชั้น 8 หอผู้ป่วย SICU = 4</t>
  </si>
  <si>
    <t>ชั้น 5 ห้องผ่าตัด Cath lab = 2
ชั้น 5 CCU = 1 
ชั้น 5 ห้องผ่าตัดหัวใจ = 2  
ชั้น 6-7 ห้องผ่าตัด =6 
ชั้น 6-7 วิสัญญี = 2 
ชั้น 8 หอผู้ป่วย SICU = 4 
ชั้น 9 NEURO = 3 ชั้น 10 ICC = 2</t>
  </si>
  <si>
    <t>ชั้น 5 ห้องผ่าตัดหัวใจ = 2
ชั้น 6-7 ห้องผ่าตัด = 4 
ชั้น 6-7 วิสัญญี = 2</t>
  </si>
  <si>
    <t>ชั้น 5 ห้องผ่าตัด Cath lab = 2 
ชั้น 5 CCU = 2 
ชั้น 6-7 วิสัญญี = 12</t>
  </si>
  <si>
    <t>ชั้น 6 วิสัญญี = 6 
ชั้น 7 ห้องผ่าตัด = 10</t>
  </si>
  <si>
    <t>ครุภัณฑ์ยานพาหนะและขนส่ง</t>
  </si>
  <si>
    <t>ครุภัณฑ์ไฟฟ้าและวิทยุ</t>
  </si>
  <si>
    <t>เกษตร</t>
  </si>
  <si>
    <t>ชั้น 8 หอผู้ป่วย SICU =3
ชั้น 10 ICCU = 2 
ชั้น 9 NEURO = 5 
ชั้น 6-7 ห้องผ่าตัด = 6 
ชั้น 6-7 วิสัญญี = 4 
ชั้น 3 กลุ่มงานรังสี = 1</t>
  </si>
  <si>
    <t>คอมพิวเตอร์และอิเล็กทรอนิกส์</t>
  </si>
  <si>
    <t xml:space="preserve">งานบ้านงานครัว </t>
  </si>
  <si>
    <t>เก้าอี้สิบล้อ แบบมีพนังพิง</t>
  </si>
  <si>
    <t>โซฟาเบด 1.8 OLIVER1.8 สีน้ำเงิน VN-406</t>
  </si>
  <si>
    <t>เครื่องส่องท่องทางเดินหายใจสำหรับผู้ใหญ่</t>
  </si>
  <si>
    <t>Ipad mini Wifi+Celllar 128GB พร้อมอุปกรณ์</t>
  </si>
  <si>
    <t>Samsung GALAXY TAB S10LITE</t>
  </si>
  <si>
    <t>เครื่องสำรองไฟ (UPS)</t>
  </si>
  <si>
    <t>อุปกรณ์กระจายสัญญาณ Switch 24-port POE</t>
  </si>
  <si>
    <t>รถเข็นอลูมิเนียม 4 ล้อ</t>
  </si>
  <si>
    <t>คอมพิวเตอร์ AII in One</t>
  </si>
  <si>
    <t>เก้าอี้ STOOL กลม  ขนาด 41x41x42 cm.</t>
  </si>
  <si>
    <t>โซฟา3ที่นั่ง ขนาด 226x86x72 cm.</t>
  </si>
  <si>
    <t>เก้าอี้พักผ่อนปรับนอน ขนาด 97x96x101 cm.</t>
  </si>
  <si>
    <t>อาร์มแชร์มีที่เท้าแขน ขนาด 76x80x81 cm.</t>
  </si>
  <si>
    <t>เครื่องทดสอบสมรรถภาพการทำงานของหัวใจขณะออกกำลังกาย</t>
  </si>
  <si>
    <t>โทรศัพท์เคลื่อนที่และอุปกรณ์เสริมพร้อมซิม</t>
  </si>
  <si>
    <t>เครื่องรัดแขนห้ามเลือด (Tourniquet)</t>
  </si>
  <si>
    <t>แผ่นรองเคลื่อนย้าผู้ป่วย (Patslide)</t>
  </si>
  <si>
    <t>เก้าอี้ SR-2/AC ดำ</t>
  </si>
  <si>
    <t>เครื่องสแกน (Scanner)</t>
  </si>
  <si>
    <t>จอมอนิเตอร์ (Monitor)</t>
  </si>
  <si>
    <t xml:space="preserve">SSP/255SA 1/3HP220V ปั้มแช่มีลูกลอย </t>
  </si>
  <si>
    <t xml:space="preserve">โทรทัศน์ ขนาด 32 นิ้ว </t>
  </si>
  <si>
    <t>ระบบสแกนเข้า - ออก พร้อมติดตั้งอุปกรณ์</t>
  </si>
  <si>
    <t>ตู้เหล็ก 15 ลิ้นชัก</t>
  </si>
  <si>
    <t>โทรทัศน์ ขนาด 85 นิ้ว</t>
  </si>
  <si>
    <t>ตู้เย็น 2 ประตู ขนาด 7.3 คิว</t>
  </si>
  <si>
    <t>เครื่องชั่งน้ำหนักทารกแบบดิจิตอล</t>
  </si>
  <si>
    <t>เครื่องกรองน้ำ รุ่น CHP-671R</t>
  </si>
  <si>
    <t xml:space="preserve">โต๊ะเมโยแบบ 4 ล้อพร้อมถาด </t>
  </si>
  <si>
    <t>โต๊๊ะสำนักงาน</t>
  </si>
  <si>
    <t>ลิ้นชักข้างโต๊ะ</t>
  </si>
  <si>
    <t>เครื่องดูดน้ำย่อยในกระเพราะ</t>
  </si>
  <si>
    <t>ไมโครเวฟระบบดิจิตอล ขนาด 28 ลิตร</t>
  </si>
  <si>
    <t>เครื่องควบคุมอุณหภูมิผู้ป่วยแรงลมร้อน</t>
  </si>
  <si>
    <t>ตู้บานเลื่อนผสม 3 ฟุต มีลิ้นชักกลาง สีขาว</t>
  </si>
  <si>
    <t>ตู้ล็อกเกอร์ LK-9 สีเทา</t>
  </si>
  <si>
    <t>ตู้เหล็กบานเลื่อนกระจก ขนาด 5 ฟุต</t>
  </si>
  <si>
    <t>รถเข็นบุลวดข่ายสแตนเลส ขนาด 60x100x75 ซม.</t>
  </si>
  <si>
    <t>รถเข็นแผงข้างรถ 4 ด้าน กั้นด้วยท่อสแตนเลสกลม ขนาด 60x100x50 ซม.</t>
  </si>
  <si>
    <t>แผ่นเคลื่อนย้านผู้ป่วย (Padslide)</t>
  </si>
  <si>
    <t>ตู้เย็น 2 ประตู ขนาด 7.3Q</t>
  </si>
  <si>
    <t>เครื่องกรองน้ำแบบตั้งพื้น รุ่น CHP-671R คอร์</t>
  </si>
  <si>
    <t>รถเข็นอาหาร แบบ 2 ชั้น ขนาด 50x100x80 ซม.</t>
  </si>
  <si>
    <t>เครื่องบันทึกเสียงแบบแปลงเสียงการประชุม</t>
  </si>
  <si>
    <t>คอมพิวเตอร์แบบพกพา (Notebook)</t>
  </si>
  <si>
    <t>เครื่องพิมพ์ (Printer) พร้อมอุปกรณ์</t>
  </si>
  <si>
    <t>เตียงผู้ป่วยสำหรับไปซียูปรับด้วยไฟฟ้าชนิด 4 Motor</t>
  </si>
  <si>
    <t xml:space="preserve">โทรทัศน์ ขนาด 43 นิ้ว </t>
  </si>
  <si>
    <t xml:space="preserve">พริ้นเตอร์ Epson LQ-590II </t>
  </si>
  <si>
    <t xml:space="preserve">เครื่องตรวจหัวใจด้วยคลื่นเสียงความถี่สูงชนิด 4 มิติ </t>
  </si>
  <si>
    <t xml:space="preserve">ปั๊มเติมอากาศ ขนาด 3 Bar 9 ลิตรต่อชั่วโมง 220 โวลท์ </t>
  </si>
  <si>
    <t>เครื่องตัดพลาสม่า</t>
  </si>
  <si>
    <t>รถเข็นผ้าเปื้อน(ล้อต่างประเทศ) รุ่น 2338 ล้อหน้าโค้ง</t>
  </si>
  <si>
    <t>เครื่องฉีดพ่นน้ำ</t>
  </si>
  <si>
    <t>เครื่องช่วยหายใจชนิดควบคุมปริมาตรและความดันพร้อมเครื่องผลิตอากาศภายในตัวเครื่อง</t>
  </si>
  <si>
    <t>ไฟฉุกเฉินและรีโมท</t>
  </si>
  <si>
    <t>เครื่องผลิตออกซิเจน</t>
  </si>
  <si>
    <t>โต๊ะทำงาน LK-18E/L</t>
  </si>
  <si>
    <t>เก้าอี้สำนักงาน TK-22</t>
  </si>
  <si>
    <t>ชุดทานอาหาร 4 ที่นั่ง เฮนรี่สีเทา</t>
  </si>
  <si>
    <t>โต๊ะทำงาน+ตู้ข้างโต๊ะ</t>
  </si>
  <si>
    <t>เก้าอี้เพื่อสุขภาพ เฟอร์ราเดค Ryan</t>
  </si>
  <si>
    <t>เครื่องพิมพ์แบบ Dot Matrix (Epson LQ)</t>
  </si>
  <si>
    <t>เครื่องพิมพ์ (Printer)</t>
  </si>
  <si>
    <t>เตียงกายภาพไฟฟ้า</t>
  </si>
  <si>
    <t>โต๊ะทำงานหินอ่อน</t>
  </si>
  <si>
    <t>เก้าอี้ทานอาหาร</t>
  </si>
  <si>
    <t xml:space="preserve">ตู้โชว์ </t>
  </si>
  <si>
    <t>เก้าอี้รับรอง</t>
  </si>
  <si>
    <t>เก้าอี้ไม่มีท้าวแขน</t>
  </si>
  <si>
    <t xml:space="preserve">ตู้ล็อคเกอร์ LK-12 สีครีม ขนาด 12 ช่อง </t>
  </si>
  <si>
    <t>อ่างล้างมือแบบตั้งพื้น</t>
  </si>
  <si>
    <t>เครื่องปรับอากาศ ชนิดแขวนใต้ฝ้า ขนาด 60000 BTU</t>
  </si>
  <si>
    <t xml:space="preserve">เครื่องปรับอากาศ ขนาด 22519 BTU </t>
  </si>
  <si>
    <t xml:space="preserve">เครื่องเป่าลมใบไม้ 18V </t>
  </si>
  <si>
    <t xml:space="preserve">กล้องจุลทรรศน์ </t>
  </si>
  <si>
    <t>กล้องวงจรปิด</t>
  </si>
  <si>
    <t>เครื่องปรับอากาศ ชนิดแขวนใต้เพดาน ขนาด 18800 BTU</t>
  </si>
  <si>
    <t>ไมโครเวฟระบบ Solo ความจุ 20 ลิตร 700W</t>
  </si>
  <si>
    <t>โทรทัศน์แบบ Smart TV ขนาด 55 นิ้วพร้อมขาตั้งทีวีแบบมีล้อเลื่อน</t>
  </si>
  <si>
    <t>เตียงเหล็ก 2 ชั้น ขนาด 3.5 ฟุต</t>
  </si>
  <si>
    <t>เครื่องตัดแต่งโมเดลฟันปลอม</t>
  </si>
  <si>
    <t>ถังแรงดันปั๊มน้ำไดอะแฟรมไฮโดรไลน์ ขนาด 500 ลิตร พร้อมติดตั้ง</t>
  </si>
  <si>
    <t xml:space="preserve">แผ่นเคลื่อนย้ายผู้ป่วย (Padslide) </t>
  </si>
  <si>
    <t>อินเตอร์โฟนแบบ 2 ทาง</t>
  </si>
  <si>
    <t>โคมไฟผ่าตัดเล็กแบบ LED ชนิดล้อเลื่อนและเครื่องขูดมดลูก</t>
  </si>
  <si>
    <t>โต๊ะคร่อมเตียง</t>
  </si>
  <si>
    <t>รถข็นอเนกประสงค์</t>
  </si>
  <si>
    <t>ตู้กดน้ำร้อน-เย็น</t>
  </si>
  <si>
    <t>เตาอบไมโครเวฟ ขนาด 25 ลิตร</t>
  </si>
  <si>
    <t>สำรองไฟ (UPS)</t>
  </si>
  <si>
    <t>เครื่องพิมพ์ Eson M2140</t>
  </si>
  <si>
    <t>เครื่องพิมพ์ Eson M2050</t>
  </si>
  <si>
    <t>เครื่องพิมพ์ Eson M1050</t>
  </si>
  <si>
    <t>Smart TV 43 นิ้ว</t>
  </si>
  <si>
    <t>เครื่องพิมพ์ (Dot Matrix Printer)</t>
  </si>
  <si>
    <t>เครื่องควบคุมการแสดงผลจอ LED ALS180</t>
  </si>
  <si>
    <t xml:space="preserve">คอมพิวเตอร์โน้ตบุ๊ค </t>
  </si>
  <si>
    <t>ตู้บานเลื่อนกระจก</t>
  </si>
  <si>
    <t>เครื่องตรวจวิเคราะห์ไฟฟ้าหัวใจ</t>
  </si>
  <si>
    <t>เก้าอี้นั่งตรวจ/ผ่าตัดสำหรับแพทย์ ระบบโช๊อัพแก๊ส ปรับระดับใช้เท้า</t>
  </si>
  <si>
    <t>เครื่องพิมพ์(Printer)</t>
  </si>
  <si>
    <t>เครื่องพิมพ์ (Thermal Printer)</t>
  </si>
  <si>
    <t>แผ่นรองนอนเคลื่อนย้ายผู้ป่วย (Pat Slide)</t>
  </si>
  <si>
    <t>ตู้เย็น 1 ประตู ขนาด 6.1Q</t>
  </si>
  <si>
    <t>โต๊ะทำงาน SKT-600</t>
  </si>
  <si>
    <t>เก้าอี้ทำงาน SR-2/AC</t>
  </si>
  <si>
    <t>เก้าอี้แถว 4 ที่นั่ง สีเทาหุ้มเบาะดำ ยูโก้</t>
  </si>
  <si>
    <t>เครื่องพิมพ์อิงคเจ็ท</t>
  </si>
  <si>
    <t xml:space="preserve">พัดลมโคจร ขนาด ๑๖ นิ้ว 
</t>
  </si>
  <si>
    <t>ตู้บานเลื่อนกระจก ขนาด 5 ฟุต SLG-5</t>
  </si>
  <si>
    <t>เครื่องวัดห้ามเลือดชนิดไฟฟ้า</t>
  </si>
  <si>
    <t>ตู้แช่สุมนไพร</t>
  </si>
  <si>
    <t>001/69</t>
  </si>
  <si>
    <t>002/69</t>
  </si>
  <si>
    <t>004/69</t>
  </si>
  <si>
    <t>005/69</t>
  </si>
  <si>
    <t>007/69</t>
  </si>
  <si>
    <t>008/69</t>
  </si>
  <si>
    <t>010/69</t>
  </si>
  <si>
    <t>012/69</t>
  </si>
  <si>
    <t>013/69</t>
  </si>
  <si>
    <t>014/69</t>
  </si>
  <si>
    <t>016/69</t>
  </si>
  <si>
    <t>017/69</t>
  </si>
  <si>
    <t>018/69</t>
  </si>
  <si>
    <t>019/69</t>
  </si>
  <si>
    <t>021/69</t>
  </si>
  <si>
    <t>022/69</t>
  </si>
  <si>
    <t>023/69</t>
  </si>
  <si>
    <t>024/69</t>
  </si>
  <si>
    <t>025/69</t>
  </si>
  <si>
    <t>026/69</t>
  </si>
  <si>
    <t>027/69</t>
  </si>
  <si>
    <t>028/69</t>
  </si>
  <si>
    <t>029/69</t>
  </si>
  <si>
    <t>030/69</t>
  </si>
  <si>
    <t>031/69</t>
  </si>
  <si>
    <t>032/69</t>
  </si>
  <si>
    <t>033/69</t>
  </si>
  <si>
    <t>034/69</t>
  </si>
  <si>
    <t>035/69</t>
  </si>
  <si>
    <t>036/69</t>
  </si>
  <si>
    <t>037/69</t>
  </si>
  <si>
    <t>038/69</t>
  </si>
  <si>
    <t>039/69</t>
  </si>
  <si>
    <t>043/69</t>
  </si>
  <si>
    <t>044/69</t>
  </si>
  <si>
    <t>045/69</t>
  </si>
  <si>
    <t>046/69</t>
  </si>
  <si>
    <t>047/69</t>
  </si>
  <si>
    <t>048/69</t>
  </si>
  <si>
    <t>049/69</t>
  </si>
  <si>
    <t>050/69</t>
  </si>
  <si>
    <t>052/69</t>
  </si>
  <si>
    <t>053/69</t>
  </si>
  <si>
    <t>057/69</t>
  </si>
  <si>
    <t>058/69</t>
  </si>
  <si>
    <t>059/69</t>
  </si>
  <si>
    <t>060/69</t>
  </si>
  <si>
    <t>061/69</t>
  </si>
  <si>
    <t>062/69</t>
  </si>
  <si>
    <t>063/69</t>
  </si>
  <si>
    <t>064/69</t>
  </si>
  <si>
    <t>065/69</t>
  </si>
  <si>
    <t>066/69</t>
  </si>
  <si>
    <t>067/69</t>
  </si>
  <si>
    <t>069/69</t>
  </si>
  <si>
    <t>070/69</t>
  </si>
  <si>
    <t>071/69</t>
  </si>
  <si>
    <t>072/69</t>
  </si>
  <si>
    <t>073/69</t>
  </si>
  <si>
    <t>074/69</t>
  </si>
  <si>
    <t>075/69</t>
  </si>
  <si>
    <t>076/69</t>
  </si>
  <si>
    <t>077/69</t>
  </si>
  <si>
    <t>078/69</t>
  </si>
  <si>
    <t>079/69</t>
  </si>
  <si>
    <t>080/69</t>
  </si>
  <si>
    <t>081/69</t>
  </si>
  <si>
    <t>082/69</t>
  </si>
  <si>
    <t>083/69</t>
  </si>
  <si>
    <t>087/69</t>
  </si>
  <si>
    <t>088/69</t>
  </si>
  <si>
    <t>089/69</t>
  </si>
  <si>
    <t>090/69</t>
  </si>
  <si>
    <t>091/69</t>
  </si>
  <si>
    <t>092/69</t>
  </si>
  <si>
    <t>093/69</t>
  </si>
  <si>
    <t>094/69</t>
  </si>
  <si>
    <t>095/69</t>
  </si>
  <si>
    <t>096/69</t>
  </si>
  <si>
    <t>097/69</t>
  </si>
  <si>
    <t>100/69</t>
  </si>
  <si>
    <t>101/69</t>
  </si>
  <si>
    <t>102/69</t>
  </si>
  <si>
    <t>103/69</t>
  </si>
  <si>
    <t>104/69</t>
  </si>
  <si>
    <t>105/69</t>
  </si>
  <si>
    <t>106/69</t>
  </si>
  <si>
    <t>107/69</t>
  </si>
  <si>
    <t>108/69</t>
  </si>
  <si>
    <t>109/69</t>
  </si>
  <si>
    <t>110/69</t>
  </si>
  <si>
    <t>111/69</t>
  </si>
  <si>
    <t>112/69</t>
  </si>
  <si>
    <t>113/69</t>
  </si>
  <si>
    <t>114/69</t>
  </si>
  <si>
    <t>116/69</t>
  </si>
  <si>
    <t>118/69</t>
  </si>
  <si>
    <t>120/69</t>
  </si>
  <si>
    <t>121/69</t>
  </si>
  <si>
    <t>122/69</t>
  </si>
  <si>
    <t>124/69</t>
  </si>
  <si>
    <t>125/69</t>
  </si>
  <si>
    <t>126/69</t>
  </si>
  <si>
    <t>127/69</t>
  </si>
  <si>
    <t>128/69</t>
  </si>
  <si>
    <t>129/69</t>
  </si>
  <si>
    <t>130/69</t>
  </si>
  <si>
    <t>131/69</t>
  </si>
  <si>
    <t>132/69</t>
  </si>
  <si>
    <t>133/69</t>
  </si>
  <si>
    <t>134/69</t>
  </si>
  <si>
    <t>135/69</t>
  </si>
  <si>
    <t>136/69</t>
  </si>
  <si>
    <t>137/69</t>
  </si>
  <si>
    <t>138/69</t>
  </si>
  <si>
    <t>139/69</t>
  </si>
  <si>
    <t>140/69</t>
  </si>
  <si>
    <t>143/69</t>
  </si>
  <si>
    <t>147/69</t>
  </si>
  <si>
    <t>151/69</t>
  </si>
  <si>
    <t>153/69</t>
  </si>
  <si>
    <t>154/69</t>
  </si>
  <si>
    <t>155/69</t>
  </si>
  <si>
    <t>156/69</t>
  </si>
  <si>
    <t>163/69</t>
  </si>
  <si>
    <t>164/69</t>
  </si>
  <si>
    <t>165/69</t>
  </si>
  <si>
    <t>167/69</t>
  </si>
  <si>
    <t>168/69</t>
  </si>
  <si>
    <t>169/69</t>
  </si>
  <si>
    <t>174/69</t>
  </si>
  <si>
    <t>213/68</t>
  </si>
  <si>
    <t>105/68</t>
  </si>
  <si>
    <t>177/69</t>
  </si>
  <si>
    <t>185/69</t>
  </si>
  <si>
    <t>186/69</t>
  </si>
  <si>
    <t>187/69</t>
  </si>
  <si>
    <t>188/69</t>
  </si>
  <si>
    <t>189/69</t>
  </si>
  <si>
    <t>190/69</t>
  </si>
  <si>
    <t>199/69</t>
  </si>
  <si>
    <t>เลขรับ ก.ยุทธศาสตร์</t>
  </si>
  <si>
    <t>ICCU</t>
  </si>
  <si>
    <t>ศูนย์ใจรักษ์ (Palliative care)</t>
  </si>
  <si>
    <t>คลินิกเฉพาะทางนอกเวลา (OPD SMC)</t>
  </si>
  <si>
    <t>กลุ่มงานเวชระเบียบและข้อมูลทางการแพทย์</t>
  </si>
  <si>
    <t>หอผู้ป่วยพิเศษอายุรกรรม ชั้น 5</t>
  </si>
  <si>
    <t>กลุ่มงานบริหารทั่วไป(งานยานพาหนะ)</t>
  </si>
  <si>
    <t>กลุ่มงานบริหารทั่วไป (งานสวน)</t>
  </si>
  <si>
    <t>งานผู้ป่วยนอก (งานเอดส์)</t>
  </si>
  <si>
    <t>กลุ่มงานเทคโนโลยีสารสนเทศ (งานนิติเวช)</t>
  </si>
  <si>
    <t>กลุ่มการกิจด้านการพยาบาล</t>
  </si>
  <si>
    <t>กลุ่มภารกิจ พรส.</t>
  </si>
  <si>
    <t>หอผู้ป่วยหลวงพ่อแช่มชั้น 5</t>
  </si>
  <si>
    <t>กลุ่มงานวิิสัญญี</t>
  </si>
  <si>
    <t>งานผู้ป่วยนอก (แผนกงานเอดส์)</t>
  </si>
  <si>
    <t>งานเวชภัณฑ์มิใช่ยา</t>
  </si>
  <si>
    <t>งานแพทย์แผนไทย</t>
  </si>
  <si>
    <t>กลุ่มงานยุทธศาสตร์</t>
  </si>
  <si>
    <t>กลุ่มงานเทคโนโลยีสานสนเทศ</t>
  </si>
  <si>
    <t>หอผู้ป่วยกุมารเวชกรรม 2</t>
  </si>
  <si>
    <t>อาชีวอนามัย</t>
  </si>
  <si>
    <t>ศูนย์ใจรักษ์</t>
  </si>
  <si>
    <t>กลุ่มภารกิจปฐมภูมิ</t>
  </si>
  <si>
    <t>ห้อผู้ป่วยหนักอายุกรรม</t>
  </si>
  <si>
    <t>กลุ่มงานพยาธิวิทยากายวิภาค</t>
  </si>
  <si>
    <t>หยี่เต้ง</t>
  </si>
  <si>
    <t>ก.โครงสร้าง</t>
  </si>
  <si>
    <t>หอผู้ป่วยอายุรกรรม 2 (298)</t>
  </si>
  <si>
    <t>งานสนามและสิ่งแวดล้อม</t>
  </si>
  <si>
    <t>หอผู้ป่วยศัลยกรรมหญิง</t>
  </si>
  <si>
    <t>หอผู้ป่วยหลวงพ่อแช่ม ชั้น 4</t>
  </si>
  <si>
    <t>กลุ่มงานเทคนิคการแพทย์ฯ</t>
  </si>
  <si>
    <t>กลุ่มงาเทคโนโลยีสารสนเทศ</t>
  </si>
  <si>
    <t>กุมารเวชกรรม 1</t>
  </si>
  <si>
    <t>ห้องคลอด</t>
  </si>
  <si>
    <t>sick newborn</t>
  </si>
  <si>
    <t>หอผู้ป่วย EENT</t>
  </si>
  <si>
    <t>ศูนย์สุขภาพชุมชนนนริศร</t>
  </si>
  <si>
    <t>โรงงาน</t>
  </si>
  <si>
    <t>หอผู้ป่วยหลวงพ่อแช่มชั้น 4</t>
  </si>
  <si>
    <t>กลุ่มงานทรัพยากรบุคคล</t>
  </si>
  <si>
    <t>งานผู้ป่วยนอก (งานหู คอ จมูก)</t>
  </si>
  <si>
    <t>หอผู้ป่วยพิเศษอายุรกรรมชั้น 5</t>
  </si>
  <si>
    <t>141/69</t>
  </si>
  <si>
    <t>142/69</t>
  </si>
  <si>
    <t>144/69</t>
  </si>
  <si>
    <t>149/69</t>
  </si>
  <si>
    <t>150/69</t>
  </si>
  <si>
    <t>152/69</t>
  </si>
  <si>
    <t>158/69</t>
  </si>
  <si>
    <t>159/69</t>
  </si>
  <si>
    <t>161/69</t>
  </si>
  <si>
    <t>162/69</t>
  </si>
  <si>
    <t>166/69</t>
  </si>
  <si>
    <t>170/69</t>
  </si>
  <si>
    <t>171/69</t>
  </si>
  <si>
    <t>172/69</t>
  </si>
  <si>
    <t>175/69</t>
  </si>
  <si>
    <t>176/69</t>
  </si>
  <si>
    <t>178/69</t>
  </si>
  <si>
    <t>191/69</t>
  </si>
  <si>
    <t>181/69</t>
  </si>
  <si>
    <t>183/69</t>
  </si>
  <si>
    <t>184/69</t>
  </si>
  <si>
    <t>192/69</t>
  </si>
  <si>
    <t>194/69</t>
  </si>
  <si>
    <t>195/69</t>
  </si>
  <si>
    <t>196/69</t>
  </si>
  <si>
    <t>197/69</t>
  </si>
  <si>
    <t>198/69</t>
  </si>
  <si>
    <t>200/69</t>
  </si>
  <si>
    <t>201/69</t>
  </si>
  <si>
    <t>202/69</t>
  </si>
  <si>
    <t>204/69</t>
  </si>
  <si>
    <t>205/69</t>
  </si>
  <si>
    <t>206/69</t>
  </si>
  <si>
    <t>207/69</t>
  </si>
  <si>
    <t>208/69</t>
  </si>
  <si>
    <t>209/69</t>
  </si>
  <si>
    <t>210/69</t>
  </si>
  <si>
    <t>211/69</t>
  </si>
  <si>
    <t>213/69</t>
  </si>
  <si>
    <t>214/69</t>
  </si>
  <si>
    <t>215/69</t>
  </si>
  <si>
    <t>216/69</t>
  </si>
  <si>
    <t>217/69</t>
  </si>
  <si>
    <t>219/69</t>
  </si>
  <si>
    <t>220/69</t>
  </si>
  <si>
    <t>221/69</t>
  </si>
  <si>
    <t>222/69</t>
  </si>
  <si>
    <t>223/69</t>
  </si>
  <si>
    <t>224/69</t>
  </si>
  <si>
    <t>225/69</t>
  </si>
  <si>
    <t>229/69</t>
  </si>
  <si>
    <t>230/69</t>
  </si>
  <si>
    <t>231/69</t>
  </si>
  <si>
    <t>232/69</t>
  </si>
  <si>
    <t>233/69</t>
  </si>
  <si>
    <t>234/69</t>
  </si>
  <si>
    <t>235/69</t>
  </si>
  <si>
    <t>236/69</t>
  </si>
  <si>
    <t>237/69</t>
  </si>
  <si>
    <t>238/69</t>
  </si>
  <si>
    <t>239/69</t>
  </si>
  <si>
    <t>241/69</t>
  </si>
  <si>
    <t>242/69</t>
  </si>
  <si>
    <t>243/69</t>
  </si>
  <si>
    <t>244/69</t>
  </si>
  <si>
    <t>245/69</t>
  </si>
  <si>
    <t>246/69</t>
  </si>
  <si>
    <t>247/69</t>
  </si>
  <si>
    <t>248/69</t>
  </si>
  <si>
    <t>250/69</t>
  </si>
  <si>
    <t>253/69</t>
  </si>
  <si>
    <t>255/69</t>
  </si>
  <si>
    <t>256/69</t>
  </si>
  <si>
    <t>257/69</t>
  </si>
  <si>
    <t>259/69</t>
  </si>
  <si>
    <t>260/69</t>
  </si>
  <si>
    <t>261/69</t>
  </si>
  <si>
    <t>262/69</t>
  </si>
  <si>
    <t>265/69</t>
  </si>
  <si>
    <t>267/69</t>
  </si>
  <si>
    <t>268/69</t>
  </si>
  <si>
    <t>269/69</t>
  </si>
  <si>
    <t>270/69</t>
  </si>
  <si>
    <t>271/69</t>
  </si>
  <si>
    <t>272/69</t>
  </si>
  <si>
    <t>273/69</t>
  </si>
  <si>
    <t>274/69</t>
  </si>
  <si>
    <t>275/69</t>
  </si>
  <si>
    <t>276/69</t>
  </si>
  <si>
    <t>277/69</t>
  </si>
  <si>
    <t>278/69</t>
  </si>
  <si>
    <t>279/69</t>
  </si>
  <si>
    <t>280/69</t>
  </si>
  <si>
    <t>281/69</t>
  </si>
  <si>
    <t>282/69</t>
  </si>
  <si>
    <t>283/69</t>
  </si>
  <si>
    <t>284/69</t>
  </si>
  <si>
    <t>285/69</t>
  </si>
  <si>
    <t>286/69</t>
  </si>
  <si>
    <t>288/69</t>
  </si>
  <si>
    <t>289/69</t>
  </si>
  <si>
    <t>290/69</t>
  </si>
  <si>
    <t>291/69</t>
  </si>
  <si>
    <t>292/69</t>
  </si>
  <si>
    <t>293/69</t>
  </si>
  <si>
    <t>294/69</t>
  </si>
  <si>
    <t>เลขกลุ่มงานยุทธศาสตร์</t>
  </si>
  <si>
    <t>117/69</t>
  </si>
  <si>
    <t>148/69</t>
  </si>
  <si>
    <t>173/69</t>
  </si>
  <si>
    <t>179/69</t>
  </si>
  <si>
    <t>203/69</t>
  </si>
  <si>
    <t>212/69</t>
  </si>
  <si>
    <t>เครื่องควบคุมการให้สารละลายอัตโนมัติ</t>
  </si>
  <si>
    <t>263/69</t>
  </si>
  <si>
    <t>264/69</t>
  </si>
  <si>
    <t>287/69</t>
  </si>
  <si>
    <t>300/69</t>
  </si>
  <si>
    <t>301/69</t>
  </si>
  <si>
    <t>302/69</t>
  </si>
  <si>
    <t>303/69</t>
  </si>
  <si>
    <t>305/69</t>
  </si>
  <si>
    <t>307/69</t>
  </si>
  <si>
    <t>308/69</t>
  </si>
  <si>
    <t>309/69</t>
  </si>
  <si>
    <t>310/69</t>
  </si>
  <si>
    <t>311/69</t>
  </si>
  <si>
    <t>312/69</t>
  </si>
  <si>
    <t>313/69</t>
  </si>
  <si>
    <t>ผลการดำเนินงาน ณ เดือนมีนาคม 2569</t>
  </si>
  <si>
    <t>สมทบ อบจ</t>
  </si>
  <si>
    <t>รถเข็นสำหรับเก็บอุปกรณ์วิสัญญี</t>
  </si>
  <si>
    <t>ตู้เก็บสารเคมีชนิดไวไฟขนาด  22GAL</t>
  </si>
  <si>
    <t>งานผู้ป่วยนอก  (แผนกกุมารเวชกรรม)</t>
  </si>
  <si>
    <t>กลุ่มงานบริหารทั่วไป (ตึก 10 ชั้น)</t>
  </si>
  <si>
    <t>กลุ่มงานพัฒนาคุณภาพบริการและมาตรฐาน</t>
  </si>
  <si>
    <t>กลุ่มงานบริหารทั่วไป(งานเลขานุการ)</t>
  </si>
  <si>
    <t>เครื่องควบคุมการให้สารละลายทางหลอดเลือดดำแบบอัตโนมัติ (Infusion pump)</t>
  </si>
  <si>
    <t>เครื่องชั่งน้ำหนัก</t>
  </si>
  <si>
    <t>งานสถานีวิทยุ 103 Mahogany V FM</t>
  </si>
  <si>
    <t>กลุ่มการพยาบาล (NICU 3 กุมาร 2 sick NB5)</t>
  </si>
  <si>
    <t>โต๊ะสำนักงานแบบมีลิ้นชัก</t>
  </si>
  <si>
    <t>โต๊ะประชุม (ขนาด W320*D120*H74.5cm)</t>
  </si>
  <si>
    <t>หน้าบานและขอบพับ</t>
  </si>
  <si>
    <t>ตู้ล๊อดเลื่อน 3 ลิ้นชัก</t>
  </si>
  <si>
    <t>ระบบ Nurse Call อาคารหลวงพ่อแช่ม ชั้น 5</t>
  </si>
  <si>
    <t>โต๊ะวางเครื่องมือ สแตนเลส ชนิด 2 ชั้น12*18”x 32” 
มีขอบ มีด้ามเข็น</t>
  </si>
  <si>
    <t>เครื่องวัดความดันโลหิตและวัดความอิ่มตัวของออกซิเจนในเลือดแบบิอัตโนมัติ</t>
  </si>
  <si>
    <t>เครื่องติดตามการทำงานของหัวใจและสัญญาณชีพ 4 พารามิเตอร์ 
ระบบศูนย์ไม่น้อยกว่า 8 เตียง</t>
  </si>
  <si>
    <t>เครื่องช่วยใส่ท่อช่วยหายใจ (Laryngoscope) เซ็ต 3 เบลด (โค้ง 2,3,4) 
ชนิดหลอด LED ใช้ถ่าน Litium 3.7 v. พร้อมชุดชาร์จแบตเตอรี่ (Riester)</t>
  </si>
  <si>
    <t>เครื่องวัดระดับความอิ่มตัวของออกซิเขนในเลือดพร้อมโปรแกรมสำหรับวิเคราะห์
และรายงานผลข้อมูล</t>
  </si>
  <si>
    <t>กลุ่มงานเวชกรรมฟื้นฟู(ตึกอุบัติเหตุ 10 ชั้น)</t>
  </si>
  <si>
    <t>เครื่องคอมพิวเตอร์ Think Center neo 50a 24 G5 12SCAoBQTA (i5-13420H16GB/512G)</t>
  </si>
  <si>
    <t>กลุ่มงานเวชกรรมฟื้นฟู (กิจกรรมบำบัดเด็ก)</t>
  </si>
  <si>
    <t>ตู้เย็น 2 ประตู ขนาด 7.7Q</t>
  </si>
  <si>
    <t>ตู้บานเลื่อนทึบเตี้ย 4 ฟุต SL-4สีเขียว</t>
  </si>
  <si>
    <t>ครุภัณฑ์งานบ้านงานครัว</t>
  </si>
  <si>
    <t>ชุดอุปกรณ์ดูดจ่ายของเหลวสำหรับผ่าตัด แบบปรับได้ 
SuperBypass Suction-Lrrigation system starter kit 1</t>
  </si>
  <si>
    <t>14*</t>
  </si>
  <si>
    <t>15*</t>
  </si>
  <si>
    <t>ตึก 10 ชั้น</t>
  </si>
  <si>
    <t xml:space="preserve">แผนจ่ายปี 2570
</t>
  </si>
  <si>
    <t>ครุภัณฑ์คอมพิวเตอร์และอิเล็กทรอนิกส์</t>
  </si>
  <si>
    <t>เครื่องสร้างกล้ามเนื้อมัดเล็กบนผิวหน้าและยกกระชับผิวหน้าด้วยคลื่นแม่เหล็กไฟฟ้า
และคลื่นวิทยุ</t>
  </si>
  <si>
    <t>เครื่องพลังงานคลื่นวิทยุสำหรับยกกระฉับใบหน้า (Radio Frequency)</t>
  </si>
  <si>
    <t>ถังขยะ มีล้อ สแตนเลส</t>
  </si>
  <si>
    <t>ครุภัณฑ์อื่นๆ</t>
  </si>
  <si>
    <t>ปรับปรุงห้องแลปชั้น 4 ตึก 10 ชั้น (ปรับปรุงห้องปฏิบัติการกลุ่มงานเทคนิคการแพทย์ ชั้น 5 อาคารอุบัติเหตุฉุกเฉิน โรคหัวใจ 10 ชั้น)</t>
  </si>
  <si>
    <r>
      <t xml:space="preserve">จัดทำแผนการจัดซื้อจัดจ้าง + 
แต่งตั้งคกก.ราคากลาง </t>
    </r>
    <r>
      <rPr>
        <sz val="16"/>
        <color rgb="FFFF0000"/>
        <rFont val="TH Sarabun New"/>
        <family val="2"/>
      </rPr>
      <t xml:space="preserve"> </t>
    </r>
  </si>
  <si>
    <t xml:space="preserve">จัดทำแผนการจัดซื้อจัดจ้าง +
แต่งตั้งคกก.ราคากลาง </t>
  </si>
  <si>
    <t xml:space="preserve">ปรับปรุงคุณภาพอากาศภายในพื้นที่ตรวจผู้ป่วยนอก ชั้น 2 และชั้น 3  อาคารอุบัติเหตุฉุกเฉินและวิเคราะห์บำบัด 6 ชั้น </t>
  </si>
  <si>
    <t xml:space="preserve">จ้างปรับปรุงห้องบริการฟอกเลือดด้วยเครื่องไตเทียม </t>
  </si>
  <si>
    <r>
      <t>ปรับปรุงระบบปรับอากาศระบายอากาศ ห้องแยกโรคผู้ป่วยแพร่เชื้อทางอากาศ ชั้น 2 และชั้น 3 อาคาร 298</t>
    </r>
    <r>
      <rPr>
        <sz val="16"/>
        <color rgb="FFFF0000"/>
        <rFont val="TH Sarabun New"/>
        <family val="2"/>
      </rPr>
      <t xml:space="preserve"> (วิจารณ์ร่างเสนอตรวจสอบ)</t>
    </r>
    <r>
      <rPr>
        <sz val="16"/>
        <rFont val="TH Sarabun New"/>
        <family val="2"/>
      </rPr>
      <t xml:space="preserve"> </t>
    </r>
  </si>
  <si>
    <t xml:space="preserve">แผนรายการสิ่งก่อสร้างด้วยเงินบำรุง ประจำปีงบประมาณ พ.ศ. 2569  : แผนซื้อและแผนจ่าย </t>
  </si>
  <si>
    <t>แผนรายการสิ่งก่อสร้างด้วยเงินบำรุง ประจำปีงบประมาณ พ.ศ. 2569  : แผนซื้อ ปี 2569 และแผนจ่ายปี 2570</t>
  </si>
  <si>
    <t>แผนรายการสิ่งก่อสร้างด้วยเงินบำรุง ประจำปีงบประมาณ พ.ศ. 2570</t>
  </si>
  <si>
    <t>ส่งมอบไปแล้ว 3 งวด 36 ล้าน บาท 
อีก 5 งวด จะจ่าย 63 ลบ. จากทั้งหมด 25 งวด</t>
  </si>
  <si>
    <t>ค่าจ้างออกแบบ</t>
  </si>
  <si>
    <t xml:space="preserve"> - ออกแบบ wellness center</t>
  </si>
  <si>
    <t xml:space="preserve"> - ออกแบบชั้นดาดฟ้า ตึก 298</t>
  </si>
  <si>
    <t xml:space="preserve"> - ออกแบบห้องแรงดันบวกสำหรับศูนย์ปลูกถ่ายเชลล์ต้นกำเนิดเม็ดเลือด</t>
  </si>
  <si>
    <t xml:space="preserve"> - ออกแบบตกแต่ง อาคาร 10 ชึ้น (LAB+ธนาคารเลือด)</t>
  </si>
  <si>
    <t xml:space="preserve"> - ออกแบบ MICU ตึก 298 ( 2 ชั้น ชั้น 2-3)</t>
  </si>
  <si>
    <t xml:space="preserve"> - ออกแบบห้องน้ำ ตึก OPD (ชั้น 3,4)</t>
  </si>
  <si>
    <t xml:space="preserve"> - ออกแบบอาคารลานม่วงขาว </t>
  </si>
  <si>
    <t xml:space="preserve"> - ออกแบบ ทางเดินเชื่อม ชั้น 1 จากตึกศรีพัชรินทรานุสร ไป ตึก อันดามัน </t>
  </si>
  <si>
    <t xml:space="preserve"> - ออกแบบห้องไตเทียม ตึก 298</t>
  </si>
  <si>
    <t xml:space="preserve"> - ออกแบบห้องชั้น 1 และห้องโลมา</t>
  </si>
  <si>
    <t xml:space="preserve"> - ออกแบบอาคารพักคอยผู้ใช้บริการตึกอุบัติเหตุฉุกเฉินและศูนย์หัวใจ 10 ชั้น</t>
  </si>
  <si>
    <t xml:space="preserve"> - ออกแบบตึกอันดามัน</t>
  </si>
  <si>
    <t xml:space="preserve"> - ออกแบบ ER ใหม่</t>
  </si>
  <si>
    <t xml:space="preserve"> - ออกแบบตึกสงฆ์</t>
  </si>
  <si>
    <t xml:space="preserve"> - ออกแบบ OPD+ห้องยา(ER เดิม) </t>
  </si>
  <si>
    <t xml:space="preserve"> - ออกแบบปรับปรุงศูนย์ส่องกล้องและห้องผ่าตัด ชั้น 5    </t>
  </si>
  <si>
    <t xml:space="preserve"> - ออกแบบปรับปรุงพื้นที่บริเวณตึกสูติกรรมชั้น 4    </t>
  </si>
  <si>
    <t xml:space="preserve"> - ออกแบบปรับปรุงฐานรากโครงสร้างอาคาร ตึก สงฆ์ </t>
  </si>
  <si>
    <t xml:space="preserve"> - ออกแบบปรับปรุงศูนย์วิจัยทางคลินิก และแผนกผู้ป่วยนอก 
พร้อมงานโครงสร้างหลังคา (กายภาพเก่า) </t>
  </si>
  <si>
    <t xml:space="preserve"> - ออกแบบ clean room positive pressure (class 100,000) 
   ในพื้นที่หอผู้ป่วยเคมีบำบัดชั้น 8 (ฝั่งสามัญ) รวมในงบ 25 ล้านบาท</t>
  </si>
  <si>
    <t>ค่าจ้างเหมาบริการ</t>
  </si>
  <si>
    <t xml:space="preserve"> - จ้างบริการตรวจเอกซเรย์เคลื่อนที่พร้อมอ่านฟิล์ม</t>
  </si>
  <si>
    <t xml:space="preserve"> - จ้างจัดทำป้ายภายในอาคารอายุรกรรม (ตึก 298)</t>
  </si>
  <si>
    <t xml:space="preserve"> - จ้างทำป้ายอาคารเฉลิมพระเกียรติ 6 รอบ (ตึกอุบัติเหตุ 10 ชั้น)</t>
  </si>
  <si>
    <t xml:space="preserve"> - จ้างเหมาระบบเครือข่าย อาคารอายุรกรรม 298</t>
  </si>
  <si>
    <t>ค่าจ้างที่ปรึกษา</t>
  </si>
  <si>
    <t xml:space="preserve"> - ที่ปรึกษาระบบ Network และ Server</t>
  </si>
  <si>
    <t xml:space="preserve"> - จ้างเหมาติดตั้งระบบสายสัญญาณคอมพิวเตอร์และโทรศัพท์ 
อาคาร 298 เตียง (ส่วนขยาย)</t>
  </si>
  <si>
    <t xml:space="preserve"> - จ้างเหมาติดตั้งระบบสายสัญญาณเชื่อมต่ออาคารอุบัติเหตุ 10 ชั้น 
และ Data center </t>
  </si>
  <si>
    <t xml:space="preserve"> - ติดตั้งระบบโทรศัพท์ Analog  ตึกอุบัติเหตุ</t>
  </si>
  <si>
    <t xml:space="preserve"> - รื้อ+ติดตั้ง c-arm (ค่าจ้างย้ายเครื่องเอกซ์เรย์หลอดเลือดและลำตัว)</t>
  </si>
  <si>
    <t xml:space="preserve"> - ติดตั้งเครื่องอบแก๊ส EO</t>
  </si>
  <si>
    <t>ค่าจ้างย้ายและค่าจ้างติดตั้ง</t>
  </si>
  <si>
    <t xml:space="preserve"> - ค่าย้ายเครื่อง cath lab</t>
  </si>
  <si>
    <t xml:space="preserve"> - จ้างติดตั้งสติกเกอร์C2 บริเวณกระจกด้านหน้าหอผู้ป่วยสามมัญทุกชั้น 
และบริเวณประตูทางเข้าหอผู้ป่วย RCU ตึก 298 </t>
  </si>
  <si>
    <t xml:space="preserve"> - จ้างติดฟิล์มกรองแสง ตึก 10 ชั้น  2.5 ลบ. ตั้งแผน ปี 2569</t>
  </si>
  <si>
    <t xml:space="preserve"> - ค่าย้ายเครื่องเอกซเรย์ทั่วไป เครื่องเอกซเรย์ฟันและเครื่องเอกซเรย์ส่องตรวจ</t>
  </si>
  <si>
    <t xml:space="preserve"> - ออกแบบห้องกายภาพบำบัด</t>
  </si>
  <si>
    <t xml:space="preserve"> - จ้างเหมาบริการตรวจติดตามการทำงานของเส้นประสาทระหว่างผ่าตัด 
(30,000 บาทต่อครั้ง * 100 ครั้งต่อปี)</t>
  </si>
  <si>
    <t xml:space="preserve"> - จ้างเหมาบริการพยาบาล Outource</t>
  </si>
  <si>
    <t xml:space="preserve"> - จ้างเหมาบริการ Sleep lab</t>
  </si>
  <si>
    <t>ค่าจ้างปรับปรุงอาคารสถานที่</t>
  </si>
  <si>
    <t xml:space="preserve"> - จ้างทาสีอาคารหอพัก F เจ้าหน้าที่ 4 ชั้น พื้นที่ประมาณ 2,815 ตรม</t>
  </si>
  <si>
    <t xml:space="preserve"> - จ้างปรับปรุงระบบปรับอากาศ หุ้มฉนวนกันความชื้น 
อาคารบ้านคุณพุ่มชั้น 5 (ฝ่ายทรัพย์ ธุรการ พัสดุ และวิชาการ)</t>
  </si>
  <si>
    <t xml:space="preserve"> - จ้างปรับปรุงระบบปรับอากาศ หุ้มฉนวนกันความชื้น 
อาคารบ้านคุณพุ่มชั้น 6 ห้องประชุมทั้งหมด</t>
  </si>
  <si>
    <t xml:space="preserve"> - จ้างปรับปรุงระบบปรับอากาศ หุ้มฉนวนกันความชื้น 
อาคารบ้านคุณพุ่ม ชั้น 6 (องค์กรแพทย์ เวชกรรมสังคมอาชีวเวชกรรม)</t>
  </si>
  <si>
    <t xml:space="preserve"> - จ้างปรับปรุง ชั้น 4 ตึกอันดามัน  : ICCU  24 เตียง (ทาสี)</t>
  </si>
  <si>
    <t xml:space="preserve"> - จ้างเหมาบริการ ERP</t>
  </si>
  <si>
    <t xml:space="preserve"> - จ้างเหมาบริการ HIS</t>
  </si>
  <si>
    <r>
      <t xml:space="preserve"> - ปรับปรุงระบบไฟฟ้า </t>
    </r>
    <r>
      <rPr>
        <sz val="14"/>
        <color rgb="FFFF0000"/>
        <rFont val="TH Sarabun New"/>
        <family val="2"/>
      </rPr>
      <t xml:space="preserve"> (19,200,000 บาท)</t>
    </r>
  </si>
  <si>
    <t xml:space="preserve"> - ค่าจ้างงานรื้อถอนถังออกซิเจนเหลว และติดตั้ง</t>
  </si>
  <si>
    <t xml:space="preserve"> - ค่าจ้างย้ายเครื่องเอกซเรย์</t>
  </si>
  <si>
    <t xml:space="preserve"> - จ้างบำรุงรักษาห้องเย็นควบคุมอุณหภูมิ 2-8 องศาเซลซียส</t>
  </si>
  <si>
    <t xml:space="preserve"> - จ้างเหมาตรวจชิ้นเนื้อศพ  5 รายการ 2 แสนบาท ปี 2569</t>
  </si>
  <si>
    <t>ค่าเช่า</t>
  </si>
  <si>
    <t xml:space="preserve"> - ค่าเช่าเครื่องถ่ายเอกสาร + เครื่องพิมพ์ (ค่าจ้างเหมาอื่น) 
(เครื่องพิมพ์เช่าเลเซอร์ขาวดำ จำนวน 180 เครื่อง (รวมหมึกพิมพ์))</t>
  </si>
  <si>
    <t xml:space="preserve"> - ค่าเช่าอาคาร </t>
  </si>
  <si>
    <t xml:space="preserve"> - ค่าเช่าเต็นท์ (ค่าจ้างเหมาอื่น)</t>
  </si>
  <si>
    <t xml:space="preserve"> - ค่าเช่าชุดแปลงสัญญาณภาพรังสี ,ค่าจ้างเหมาบำรุงรักษาครุภัณฑ์วิทยาศาสตร์และการแพทย์</t>
  </si>
  <si>
    <t xml:space="preserve"> - ค่าเช่าระบบจ่ายยา ค่าจ้างเหมาบริการทางการแพทย์</t>
  </si>
  <si>
    <t xml:space="preserve"> - ค่าเช่าใช้เครื่องคอมพิวเตอร์ (clients) 900 เครื่อง (450 x 2) พร้อม license, anti-virus และ UPS แผนเช่าเครื่อง 3 ปี (ปี 2569-2571)  
รวมเป็นเงิน 14,904,000 บาท</t>
  </si>
  <si>
    <t xml:space="preserve"> - ค่าเช่าเครื่องคอมพิวเตอร์โน๊ตบุ๊ค 250 เครื่อง 3 ปี  (7.497 ลบ)</t>
  </si>
  <si>
    <t xml:space="preserve"> - ค่าเช่า Infusion pump</t>
  </si>
  <si>
    <t xml:space="preserve">(หนี้ค้าง 260,032,182.40 บาท +หนี้สินที่ยังไม่ได้ตรวจรับ 457,020,078.58 บาท) </t>
  </si>
  <si>
    <t>สรุปแผนรายรับ - รายจ่ายเงินบำรุง โรงพยาบาลวชิระภูเก็ต ประจำปีงบประมาณ พ.ศ. 2569 : ปรับแผนครึ่งปีหลัง</t>
  </si>
  <si>
    <t>รายรับจริง 
ปี 2568</t>
  </si>
  <si>
    <t xml:space="preserve"> - ค่าจ้างบำรุงรักษา Maintenance+Activate ระบบสารสนเทศ
โรงพยาบาลโปรแกรม HosXP XE V4 </t>
  </si>
  <si>
    <t>หมวดใช้สอย</t>
  </si>
  <si>
    <t>ตู้ให้บริการอเนกประสงค์ (Smart Kiosk)</t>
  </si>
  <si>
    <t>ปรัปบรุงเสถียรภาพและเพิ่มประสิทธิภาพระบบไฟฟ้า</t>
  </si>
  <si>
    <t>เครื่องวัดความดันโลหิตแบบอัตโนมัติ พร้อมวัดค่าความอิ่มตัว
ของออกซิเจนในเลือด</t>
  </si>
  <si>
    <t>Kamiya - Tsuboi Micro Rongeur K-Bayonet 200 mm 
(90 mm W.L.) Straight Tip</t>
  </si>
  <si>
    <t>Super-Bypass Needle Holder Scissors Mario Zuccarello 
Special Small-size</t>
  </si>
  <si>
    <t>SILVER NON-STICK BIPOLA-FORCEPE 180 mm./2.0mm 
BAYONET2 PIN-PLUG</t>
  </si>
  <si>
    <t>SILVER NON-STICK BIPOLA-FORCEPE 200 mm./2.0mm 
BAYONET2 PIN-PLUG</t>
  </si>
  <si>
    <t>เครื่องช่วยใส่ท่อช่วยหายใจ (Laryngoscope) เซ็ต 3 เบลด 
(โค้ง 2,3,4) ชนิดหลอด LED ใช้ถ่าน Litium 3.7 v.พร้อมชุดชาร์จแบตเตอรี่ (Riester)</t>
  </si>
  <si>
    <t>ครุภัณฑ์ยานพาหนะ</t>
  </si>
  <si>
    <t>ครุภัณฑ์โฆษณา</t>
  </si>
  <si>
    <t>ครุภัณฑ์ต่ำกว่าเกณฑ์</t>
  </si>
  <si>
    <t>เครื่องนึ่งฆ่าเชื้อจุลินทรีย์ด้วยไอน้ำระบบอัตโนมัติ ขนาดไม่น้อยกว่า 570 ลิตร (Pre–Post Vac) ชนิด 2 ประตู</t>
  </si>
  <si>
    <t>เครื่องส่องรักษาทารกตัวเหลืองแบบสองด้าน</t>
  </si>
  <si>
    <t xml:space="preserve">เครื่องตรวจอวัยวะภายในด้วยคลื่นเสียงความถี่สูง ชนิดพกพา
</t>
  </si>
  <si>
    <t>เฟอร์นิเจอร์ห้องเก็บเอกสารทางการแพทย์และวัสดุทางการแพทย์ 
ห้องทำงาน ห้องประชุม</t>
  </si>
  <si>
    <t xml:space="preserve"> - จ้างที่ปรึกษาควบคุมงานก่อสร้างอาคารรังสีรักษา ในระยะเวลา  2 ปี 
(24,000,000 บาท)  เงินบริจาคาคารรังสีรักษา</t>
  </si>
  <si>
    <t xml:space="preserve"> - ออกแบบตกแต่งภายในอาคารรังสีรักษา (เงินบริจาคอาคารรังสีรักษา)</t>
  </si>
  <si>
    <r>
      <t xml:space="preserve">กระจกเงาติดผนัง 
(219:ห้องออกกำลังกาย/223:คลินิกฟื้นฟูสมรรถภาพหัวใจและปอด)  </t>
    </r>
    <r>
      <rPr>
        <sz val="16"/>
        <color rgb="FFFF0000"/>
        <rFont val="TH Sarabun New"/>
        <family val="2"/>
      </rPr>
      <t xml:space="preserve"> </t>
    </r>
  </si>
  <si>
    <t>ครุภัณฑ์งบแรงงานต่างด้าว</t>
  </si>
  <si>
    <t>เครื่องควบคุมการให้สารละลายทางลอดเลือดอัตโนมัติ
โดยใช้กระบอกฉีดยา (Syring pump)</t>
  </si>
  <si>
    <t>เครื่องควบคุมอุณหภูมิผู้ป่วยแรงลมร้อน Bair Hugger Temprature 
management cnits</t>
  </si>
  <si>
    <t>เครื่องควบคุมการให้สารละลายทางหลอดเลือดดำแบบอัตโนมัติ 
(Infusion pump)</t>
  </si>
  <si>
    <t>โต๊ะวางเครื่องมือ ขนาด 45*75*80 ซม.  (ล้อต่างประเทศ)</t>
  </si>
  <si>
    <t>30301</t>
  </si>
  <si>
    <t>30302</t>
  </si>
  <si>
    <t>30303</t>
  </si>
  <si>
    <t>30304</t>
  </si>
  <si>
    <t>30305</t>
  </si>
  <si>
    <t>30306</t>
  </si>
  <si>
    <t>304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</si>
  <si>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</si>
  <si>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</si>
  <si>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</si>
  <si>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</si>
  <si>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</si>
  <si>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</si>
  <si>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</si>
  <si>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</si>
  <si>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</si>
  <si>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</si>
  <si>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</si>
  <si>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</si>
  <si>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</si>
  <si>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</si>
  <si>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</si>
  <si>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</si>
  <si>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</si>
  <si>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</si>
  <si>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</si>
  <si>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</si>
  <si>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305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</si>
  <si>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</si>
  <si>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</si>
  <si>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</si>
  <si>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</si>
  <si>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</si>
  <si>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</si>
  <si>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</si>
  <si>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</si>
  <si>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</si>
  <si>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</si>
  <si>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</si>
  <si>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</si>
  <si>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</si>
  <si>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306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</si>
  <si>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</si>
  <si>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</si>
  <si>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</si>
  <si>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</si>
  <si>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</si>
  <si>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</si>
  <si>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</si>
  <si>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</si>
  <si>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</si>
  <si>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</si>
  <si>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</si>
  <si>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</si>
  <si>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</si>
  <si>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</si>
  <si>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</si>
  <si>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</si>
  <si>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</si>
  <si>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</si>
  <si>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</si>
  <si>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</si>
  <si>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</si>
  <si>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</si>
  <si>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</si>
  <si>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307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</si>
  <si>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</si>
  <si>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</si>
  <si>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</si>
  <si>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</si>
  <si>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</si>
  <si>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</si>
  <si>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</si>
  <si>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</si>
  <si>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</si>
  <si>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</si>
  <si>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</si>
  <si>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</si>
  <si>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</si>
  <si>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</si>
  <si>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</si>
  <si>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308</t>
  </si>
  <si>
    <t>309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</si>
  <si>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</si>
  <si>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</si>
  <si>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</si>
  <si>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</si>
  <si>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</si>
  <si>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</si>
  <si>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</si>
  <si>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</si>
  <si>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310</t>
  </si>
  <si>
    <t>311</t>
  </si>
  <si>
    <t>312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</si>
  <si>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</si>
  <si>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</si>
  <si>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</si>
  <si>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</si>
  <si>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</si>
  <si>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</si>
  <si>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</si>
  <si>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</si>
  <si>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</si>
  <si>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30100</t>
  </si>
  <si>
    <t>30200</t>
  </si>
  <si>
    <t>30300</t>
  </si>
  <si>
    <t>80000</t>
  </si>
  <si>
    <t>80001</t>
  </si>
  <si>
    <t>80002</t>
  </si>
  <si>
    <t>80003</t>
  </si>
  <si>
    <t xml:space="preserve">เครื่องตรวจคลื่นไฟฟ้าหัวใจพร้อมระบบวิเคราะห์ผล
</t>
  </si>
  <si>
    <t>เครื่องช่วยหายใจชนิดควบคุมปริมาตรและความดัน
พร้อมเครื่องผลิตอากาศภายในตัวเครื่อง</t>
  </si>
  <si>
    <t>เครื่องวัดความดันโลหิตและวัดความอิ่มตัวของออกซิเจนในเลือด
แบบิอัตโนมัติ</t>
  </si>
  <si>
    <t>เครื่องควบคุมอุณหภูมิผู้ป่วยแรงลมร้อน Bair Hugger Temprature management cnits</t>
  </si>
  <si>
    <t>เครื่องควบคุมการให้สารละลายทางหลอดเลือดดำ 
(Infusion pump)</t>
  </si>
  <si>
    <t>โต๊ะวางเครื่องมือ สแตนเลส ชนิด 2 ชั้น (แบบขากาง) มีล้อ 
ขอบกันตก และมือจับเข็น ขนาด 12"*18"*32" มีขอบ มีด้ามเข็น</t>
  </si>
  <si>
    <t>ครุภัณฑ์เงินบำรุง</t>
  </si>
  <si>
    <t>ปรับปรุงห้องแลปชั้น 4 ตึก 10 ชั้น 
(ปรับปรุงห้องปฏิบัติการกลุ่มงานเทคนิคการแพทย์ ชั้น 5 
อาคารอุบัติเหตุฉุกเฉิน โรคหัวใจ 10 ชั้น)</t>
  </si>
  <si>
    <t xml:space="preserve">ปรับปรุงคุณภาพอากาศภายในพื้นที่ตรวจผู้ป่วยนอก ชั้น 2 และชั้น 3 
อาคารอุบัติเหตุฉุกเฉินและวิเคราะห์บำบัด 6 ชั้น </t>
  </si>
  <si>
    <t>สถานี</t>
  </si>
  <si>
    <t>ยูนิต</t>
  </si>
  <si>
    <t>เครื่อง</t>
  </si>
  <si>
    <t>ระบบ</t>
  </si>
  <si>
    <t>เครื่องให้การรักษาด้วยแสงเลเซอร์ สำหรับรักษาความผิดปกติของเม็ดสี ริ้วรอย สิว ความไม่สม่ำเสมอของผิวและแผลเป็น</t>
  </si>
  <si>
    <t>ชุด</t>
  </si>
  <si>
    <t>เสา</t>
  </si>
  <si>
    <t>คัน</t>
  </si>
  <si>
    <t>ตัว</t>
  </si>
  <si>
    <t>แผ่น</t>
  </si>
  <si>
    <t>ตู้</t>
  </si>
  <si>
    <t>เตียง</t>
  </si>
  <si>
    <t>ถัง</t>
  </si>
  <si>
    <t>ตู้จัดเก็บยาและชั้นวางของสำหรับห้องยาอาคารศูนย์อุบัติเหตุฉุกเฉิน
และศูนย์หัวใจ</t>
  </si>
  <si>
    <t>งาน</t>
  </si>
  <si>
    <r>
      <t xml:space="preserve">ติดตั้งกระจกเงาติดผนัง 
(219:ห้องออกกำลังกาย/223:คลินิกฟื้นฟูสมรรถภาพหัวใจและปอด)  </t>
    </r>
    <r>
      <rPr>
        <sz val="16"/>
        <color rgb="FFFF0000"/>
        <rFont val="TH Sarabun New"/>
        <family val="2"/>
      </rPr>
      <t xml:space="preserve"> </t>
    </r>
  </si>
  <si>
    <t>ปรับปรุงห้อง ER  จ่ายปี 70</t>
  </si>
  <si>
    <t>ซื้อที่ดินพร้อมสิ่งปลูกสร้าง (โรงแรมมโนราห์) (จ่ายปี 2570)</t>
  </si>
  <si>
    <r>
      <t>ปรับปรุงระบบปรับอากาศระบายอากาศ ห้องแยกโรคผู้ป่วยแพร่เชื้อทางอากาศ ชั้น 2 และชั้น 3 อาคาร 298</t>
    </r>
    <r>
      <rPr>
        <sz val="16"/>
        <color rgb="FFFF0000"/>
        <rFont val="TH Sarabun New"/>
        <family val="2"/>
      </rPr>
      <t xml:space="preserve"> 
(วิจารณ์ร่างเสนอตรวจสอบ)</t>
    </r>
    <r>
      <rPr>
        <sz val="16"/>
        <rFont val="TH Sarabun New"/>
        <family val="2"/>
      </rPr>
      <t xml:space="preserve"> </t>
    </r>
  </si>
  <si>
    <t xml:space="preserve">                      (ลงชื่อ)......................................................ผู้อนุมัติ</t>
  </si>
  <si>
    <t xml:space="preserve">                    (ลงชื่อ)........................................................ผู้เสนอขออนุมัติ                                                                     (ลงชื่อ).........................................................ผู้เห็นชอบ
                                   (นางปทมา      ตันโชติกุล )                                                                                                        (นายวีระศักดิ์     หล่อทองคำ)
                      ตำแหน่ง รองผู้อำนวยการกลุ่มภารกิจ ด้าน พรส.                                                                                       ตำแหน่ง   ผู้อำนวยการโรงพยาบาลวชิระภูเก็ต</t>
  </si>
  <si>
    <t xml:space="preserve">   ตำแหน่ง รองผู้อำนวยการกลุ่มภารกิจ ด้าน พรส.                                                                     ตำแหน่ง  ผู้อำนวยการโรงพยาบาลวชิระภูเก็ต</t>
  </si>
  <si>
    <t>โต๊ะวางเครื่องมือ สแตนเลส ชนิด 2 ชั้น (แบบขากาง) มีล้อ ขอบกันตก
 และมือจับเข็น ขนาด 12"*18"*32" มีขอบ มีด้ามเข็น</t>
  </si>
  <si>
    <t>รหัส</t>
  </si>
  <si>
    <t>หอผู้ป่วยศัลยกรรมกระดูก (หลวงพ่อแช่ม ชั้น 5)</t>
  </si>
  <si>
    <t>กลุ่มงานโครงสร้างพื้นฐานและวิศวกรรมทางการแพทย์</t>
  </si>
  <si>
    <t>หอผู้ป่วยกึ่งวกฤตโรคระบบทางเดินหายใจและหลอดเลือด</t>
  </si>
  <si>
    <t>ชั้น 6-7 วิสัญญี = 12 ชั้น 6-7  ห้องผ่าตัด =12 
ชั้น 8 SICU = 20 ชั้น 9 NEURO = 20  ชั้น 10 หอผู้ป่วย  = 10</t>
  </si>
  <si>
    <t>ชั้น 1 ห้องยา = 10ชั้น 3 กลุ่มงานรังสี = 3</t>
  </si>
  <si>
    <t>ชั้น 3 กลุ่มงานรังสี = 32  ชั้น 5 ห้องผ่าตัด Cath lab = 4 
ชั้น 6-7 ห้องผ่าตัด = 8</t>
  </si>
  <si>
    <t>ชั้น 5 ห้องผ่าตัดหัวใจ = 3 ชั้น 6-7 ห้องผ่าตัด = 6</t>
  </si>
  <si>
    <t>ชั้น 6-7 ห้องผ่าตัด = 2  ชั้น 6-7 วิสัญญี = 2</t>
  </si>
  <si>
    <t>ชั้น 6-7 ห้องผ่าตัด = 1 ชั้น 9 NEURO = 1  ชั้น 10 ICCU = 1</t>
  </si>
  <si>
    <t xml:space="preserve">ชั้น 8 หอผู้ป่วย SICU =3 ชั้น 9 NEURO = 5 ชั้น 6-7 ห้องผ่าตัด = 6 
ชั้น 10 ICCU = 2 ชั้น 6-7 วิสัญญี = 4 ชั้น 3 กลุ่มงานรังสี = 1
</t>
  </si>
  <si>
    <t>ชั้น 10 ICCU = 1  ชั้น 9 NEURO = 3 ชั้น 5 ห้องผ่าตัด Cath lab = 1 
ชั้น 8 หอผู้ป่วย SICU =1  ชั้น 6-7 ห้องผ่าตัด =1 
ชั้น 6-7 ห้องผ่าตัด = 1</t>
  </si>
  <si>
    <t xml:space="preserve">กล้องกำลังขยายสูงสำหรับงานทันตกรรม </t>
  </si>
  <si>
    <t>ทันตกรรม</t>
  </si>
  <si>
    <t>ปรับแผนครึ่งปี</t>
  </si>
  <si>
    <t>หน่วยบริการ....โรงพยาบาลวชิระภูเก็ต..วงเงินลงทุนปีงบประมาณ 2569-2571…=   1,261,097,216.32 บ.</t>
  </si>
  <si>
    <t>หน่วยบริการ....โรงพยาบาลวชิระภูเก็ต....วงเงินลงทุนปีงบประมาณ 2569 = 404,611,992.80 บ.</t>
  </si>
  <si>
    <t>คอมพิวเตอร์แท็บเล็ต ขนาดหน่วยความจำไม่น้อยกว่า 256 GB พร้อมอุปกรณ์เสริม</t>
  </si>
  <si>
    <t xml:space="preserve">ประเภทครุภัณฑ์ : ยานพาหนะและขนส่ง </t>
  </si>
  <si>
    <r>
      <t xml:space="preserve">เครื่องนึ่งฆ่าเชื้อจุลินทรีย์ด้วยไอน้ำระบบอัตโนมัติ ขนาดไม่น้อยกว่า 570 ลิตร (Pre–Post Vac) 
ชนิด 2 ประตู </t>
    </r>
    <r>
      <rPr>
        <sz val="16"/>
        <color theme="4" tint="-0.249977111117893"/>
        <rFont val="TH SarabunPSK"/>
        <family val="2"/>
      </rPr>
      <t xml:space="preserve">สป.สธ. (ร่างฉบับ ก.ย.2568) CSSD-28 </t>
    </r>
  </si>
  <si>
    <t>เครื่องตรวจอวัยวะภายในด้วยคลื่นเสียงความถี่สูงสองมิติ สำหรับสูตินรีเวชศาสตร์</t>
  </si>
  <si>
    <t>เครื่องช่วยหายใจชนิดควบคุมปริมาตรและความดัน พร้อมระบบการหย่าเครื่องอัตโนมัติและประมวลพยาธิสภาพปอดพร้อมแสดงรูปภาพปอดจำลองของคนไข้</t>
  </si>
  <si>
    <t xml:space="preserve">กลุ่มงานโครงสร้างพื้นฐาน
</t>
  </si>
  <si>
    <r>
      <t xml:space="preserve">เครื่องส่องรักษาทารกตัวเหลืองแบบสองด้าน </t>
    </r>
    <r>
      <rPr>
        <sz val="16"/>
        <color theme="4" tint="-0.249977111117893"/>
        <rFont val="TH SarabunPSK"/>
        <family val="2"/>
      </rPr>
      <t>สป.สธ. (พ.ย.67) ID=AA504 ID=AA504</t>
    </r>
  </si>
  <si>
    <r>
      <t xml:space="preserve">เครื่องตรวจอวัยวะภายในด้วยคลื่นเสียงความถี่สูง ชนิดพกพา
 </t>
    </r>
    <r>
      <rPr>
        <sz val="16"/>
        <color rgb="FF004F88"/>
        <rFont val="TH SarabunPSK"/>
        <family val="2"/>
      </rPr>
      <t>สป.สธ. (พ.ย.67) ID=AA1454 ID=AA1454</t>
    </r>
  </si>
  <si>
    <r>
      <t xml:space="preserve">เครื่องตรวจคลื่นไฟฟ้าหัวใจพร้อมระบบวิเคราะห์ผล </t>
    </r>
    <r>
      <rPr>
        <sz val="16"/>
        <color rgb="FF004F88"/>
        <rFont val="TH SarabunPSK"/>
        <family val="2"/>
      </rPr>
      <t>สป.สธ. (พ.ย.67) ID=AA375 ID=AA375</t>
    </r>
  </si>
  <si>
    <t>ชั้น 6 วิสัญญี = 6 ชั้น 7 ห้องผ่าตัด 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</si>
</sst>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#,##0.00_ ;[Red]\-#,##0.00\ "/>
    <numFmt numFmtId="166" formatCode="#,##0.00_ ;\-#,##0.00\ "/>
    <numFmt numFmtId="167" formatCode="#,##0.\-"/>
    <numFmt numFmtId="168" formatCode="_-* #,##0.0_-;\-* #,##0.0_-;_-* &quot;-&quot;??_-;_-@_-"/>
    <numFmt numFmtId="169" formatCode="_-* #,##0_-;\-* #,##0_-;_-* &quot;-&quot;??_-;_-@_-"/>
    <numFmt numFmtId="170" formatCode="_-* #,##0_-;\-* #,##0_-;_-* &quot;-&quot;??_-;_-@"/>
    <numFmt numFmtId="171" formatCode="#,##0_ ;[Red]\-#,##0\ "/>
    <numFmt numFmtId="172" formatCode="_-* #,##0.00_-;\-* #,##0.00_-;_-* &quot;-&quot;??_-;_-@"/>
    <numFmt numFmtId="173" formatCode="0.0"/>
    <numFmt numFmtId="174" formatCode="_-* #,##0.000_-;\-* #,##0.000_-;_-* &quot;-&quot;??_-;_-@_-"/>
  </numFmts>
  <fonts count="132">
    <font>
      <sz val="11"/>
      <color theme="1"/>
      <name val="Calibri"/>
      <family val="2"/>
      <charset val="222"/>
      <scheme val="minor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1"/>
      <color theme="1"/>
      <name val="Arial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4"/>
      <name val="TH SarabunPSK"/>
      <family val="2"/>
    </font>
    <font>
      <b/>
      <sz val="16"/>
      <color rgb="FFFF0000"/>
      <name val="TH SarabunPSK"/>
      <family val="2"/>
    </font>
    <font>
      <sz val="16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sz val="16"/>
      <color rgb="FFFF0000"/>
      <name val="TH SarabunPSK"/>
      <family val="2"/>
    </font>
    <font>
      <sz val="11"/>
      <color theme="1"/>
      <name val="TH SarabunPSK"/>
      <family val="2"/>
    </font>
    <font>
      <b/>
      <sz val="14"/>
      <name val="TH SarabunPSK"/>
      <family val="2"/>
    </font>
    <font>
      <b/>
      <sz val="18"/>
      <name val="TH SarabunPSK"/>
      <family val="2"/>
    </font>
    <font>
      <sz val="18"/>
      <name val="TH SarabunPSK"/>
      <family val="2"/>
    </font>
    <font>
      <b/>
      <sz val="11"/>
      <color theme="1"/>
      <name val="Calibri"/>
      <family val="2"/>
      <charset val="222"/>
      <scheme val="minor"/>
    </font>
    <font>
      <b/>
      <sz val="14"/>
      <color rgb="FF0070C0"/>
      <name val="TH SarabunPSK"/>
      <family val="2"/>
    </font>
    <font>
      <sz val="18"/>
      <color rgb="FF000000"/>
      <name val="TH SarabunPSK"/>
      <family val="2"/>
    </font>
    <font>
      <sz val="18"/>
      <color rgb="FFFF0000"/>
      <name val="TH SarabunPSK"/>
      <family val="2"/>
    </font>
    <font>
      <u/>
      <sz val="18"/>
      <color rgb="FFFF0000"/>
      <name val="TH SarabunPSK"/>
      <family val="2"/>
    </font>
    <font>
      <u/>
      <sz val="18"/>
      <color rgb="FF000000"/>
      <name val="TH SarabunPSK"/>
      <family val="2"/>
    </font>
    <font>
      <sz val="16"/>
      <color rgb="FF000000"/>
      <name val="TH SarabunPSK"/>
      <family val="2"/>
    </font>
    <font>
      <sz val="18"/>
      <color rgb="FF843C0C"/>
      <name val="TH SarabunPSK"/>
      <family val="2"/>
    </font>
    <font>
      <b/>
      <sz val="24"/>
      <color theme="0"/>
      <name val="TH SarabunPSK"/>
      <family val="2"/>
    </font>
    <font>
      <sz val="24"/>
      <color theme="0"/>
      <name val="TH SarabunPSK"/>
      <family val="2"/>
    </font>
    <font>
      <b/>
      <sz val="28"/>
      <color rgb="FFFFFFFF"/>
      <name val="TH SarabunPSK"/>
      <family val="2"/>
    </font>
    <font>
      <sz val="20"/>
      <color rgb="FF000000"/>
      <name val="TH SarabunPSK"/>
      <family val="2"/>
    </font>
    <font>
      <sz val="20"/>
      <color rgb="FFFF0000"/>
      <name val="TH SarabunPSK"/>
      <family val="2"/>
    </font>
    <font>
      <sz val="28"/>
      <color theme="1"/>
      <name val="TH SarabunPSK"/>
      <family val="2"/>
    </font>
    <font>
      <sz val="24"/>
      <color theme="1"/>
      <name val="TH SarabunPSK"/>
      <family val="2"/>
    </font>
    <font>
      <b/>
      <u/>
      <sz val="24"/>
      <color rgb="FF00B050"/>
      <name val="TH SarabunPSK"/>
      <family val="2"/>
    </font>
    <font>
      <b/>
      <u/>
      <sz val="24"/>
      <color rgb="FFFF0000"/>
      <name val="TH SarabunPSK"/>
      <family val="2"/>
    </font>
    <font>
      <b/>
      <sz val="24"/>
      <name val="TH SarabunPSK"/>
      <family val="2"/>
    </font>
    <font>
      <b/>
      <sz val="24"/>
      <color rgb="FF00B050"/>
      <name val="TH SarabunPSK"/>
      <family val="2"/>
    </font>
    <font>
      <b/>
      <u/>
      <sz val="22"/>
      <color rgb="FFFF0000"/>
      <name val="TH SarabunPSK"/>
      <family val="2"/>
    </font>
    <font>
      <b/>
      <sz val="22"/>
      <name val="TH SarabunPSK"/>
      <family val="2"/>
    </font>
    <font>
      <b/>
      <sz val="22"/>
      <color theme="1"/>
      <name val="TH SarabunPSK"/>
      <family val="2"/>
    </font>
    <font>
      <b/>
      <sz val="22"/>
      <color rgb="FFFF0000"/>
      <name val="TH SarabunPSK"/>
      <family val="2"/>
    </font>
    <font>
      <b/>
      <sz val="24"/>
      <color theme="1"/>
      <name val="TH SarabunPSK"/>
      <family val="2"/>
    </font>
    <font>
      <b/>
      <sz val="26"/>
      <color theme="1"/>
      <name val="TH SarabunPSK"/>
      <family val="2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4"/>
      <name val="Cordia New"/>
      <family val="2"/>
    </font>
    <font>
      <sz val="11"/>
      <name val="TH SarabunPSK"/>
      <family val="2"/>
    </font>
    <font>
      <b/>
      <sz val="16"/>
      <name val="TH Sarabun New"/>
      <family val="2"/>
    </font>
    <font>
      <sz val="11"/>
      <color rgb="FF006100"/>
      <name val="Calibri"/>
      <family val="2"/>
      <charset val="222"/>
      <scheme val="minor"/>
    </font>
    <font>
      <sz val="10"/>
      <name val="Arial"/>
      <family val="2"/>
    </font>
    <font>
      <sz val="14"/>
      <name val="Cordia New"/>
      <family val="2"/>
    </font>
    <font>
      <b/>
      <sz val="16"/>
      <color rgb="FF000000"/>
      <name val="TH SarabunPSK"/>
      <family val="2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4"/>
      <name val="Tahoma"/>
      <family val="2"/>
      <charset val="222"/>
    </font>
    <font>
      <b/>
      <sz val="13"/>
      <color indexed="54"/>
      <name val="Tahoma"/>
      <family val="2"/>
      <charset val="222"/>
    </font>
    <font>
      <b/>
      <sz val="11"/>
      <color indexed="54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sz val="11"/>
      <color theme="1"/>
      <name val="Calibri"/>
      <family val="2"/>
      <scheme val="minor"/>
    </font>
    <font>
      <b/>
      <sz val="11"/>
      <color indexed="63"/>
      <name val="Tahoma"/>
      <family val="2"/>
      <charset val="222"/>
    </font>
    <font>
      <sz val="18"/>
      <color indexed="54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1"/>
      <color indexed="52"/>
      <name val="Tahoma"/>
      <family val="2"/>
      <charset val="222"/>
    </font>
    <font>
      <strike/>
      <sz val="16"/>
      <name val="TH SarabunPSK"/>
      <family val="2"/>
    </font>
    <font>
      <sz val="14"/>
      <color rgb="FF000000"/>
      <name val="TH SarabunPSK"/>
      <family val="2"/>
    </font>
    <font>
      <b/>
      <sz val="18"/>
      <color rgb="FF000000"/>
      <name val="TH SarabunPSK"/>
      <family val="2"/>
    </font>
    <font>
      <sz val="16"/>
      <name val="TH Sarabun New"/>
      <family val="2"/>
    </font>
    <font>
      <sz val="16"/>
      <color rgb="FF00B050"/>
      <name val="TH SarabunPSK"/>
      <family val="2"/>
    </font>
    <font>
      <sz val="16"/>
      <color rgb="FF000000"/>
      <name val="Calibri"/>
      <family val="2"/>
      <scheme val="minor"/>
    </font>
    <font>
      <sz val="16"/>
      <color rgb="FF000000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trike/>
      <sz val="16"/>
      <color theme="1"/>
      <name val="TH SarabunPSK"/>
      <family val="2"/>
    </font>
    <font>
      <strike/>
      <sz val="16"/>
      <color rgb="FFFF0000"/>
      <name val="TH SarabunPSK"/>
      <family val="2"/>
    </font>
    <font>
      <strike/>
      <sz val="16"/>
      <color rgb="FF000000"/>
      <name val="TH SarabunPSK"/>
      <family val="2"/>
    </font>
    <font>
      <sz val="8"/>
      <name val="Calibri"/>
      <family val="2"/>
      <charset val="222"/>
      <scheme val="minor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6"/>
      <color rgb="FFFF0000"/>
      <name val="Angsana New"/>
      <family val="1"/>
      <charset val="222"/>
    </font>
    <font>
      <b/>
      <sz val="16"/>
      <color rgb="FFFF0000"/>
      <name val="TH SarabunPSK"/>
      <family val="2"/>
      <charset val="222"/>
    </font>
    <font>
      <b/>
      <sz val="18"/>
      <color rgb="FF000000"/>
      <name val="Angsana New"/>
      <family val="1"/>
    </font>
    <font>
      <sz val="16"/>
      <color rgb="FF000000"/>
      <name val="Angsana New"/>
      <family val="1"/>
    </font>
    <font>
      <b/>
      <sz val="16"/>
      <color theme="1"/>
      <name val="Angsana New"/>
      <family val="1"/>
    </font>
    <font>
      <b/>
      <sz val="16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b/>
      <sz val="16"/>
      <color rgb="FF000000"/>
      <name val="Angsana New"/>
      <family val="1"/>
    </font>
    <font>
      <sz val="14"/>
      <color theme="1"/>
      <name val="Angsana New"/>
      <family val="1"/>
    </font>
    <font>
      <sz val="14"/>
      <color rgb="FF000000"/>
      <name val="Angsana New"/>
      <family val="1"/>
    </font>
    <font>
      <sz val="16"/>
      <color rgb="FF00B050"/>
      <name val="Angsana New"/>
      <family val="1"/>
    </font>
    <font>
      <sz val="18"/>
      <color rgb="FFFF0000"/>
      <name val="TH Sarabun New"/>
      <family val="2"/>
    </font>
    <font>
      <b/>
      <sz val="18"/>
      <name val="TH Sarabun New"/>
      <family val="2"/>
    </font>
    <font>
      <b/>
      <sz val="16"/>
      <color rgb="FF00B050"/>
      <name val="TH Sarabun New"/>
      <family val="2"/>
    </font>
    <font>
      <b/>
      <sz val="16"/>
      <color rgb="FFFF0000"/>
      <name val="TH Sarabun New"/>
      <family val="2"/>
    </font>
    <font>
      <b/>
      <sz val="14"/>
      <name val="TH Sarabun New"/>
      <family val="2"/>
    </font>
    <font>
      <sz val="14"/>
      <name val="TH Sarabun New"/>
      <family val="2"/>
    </font>
    <font>
      <b/>
      <sz val="14"/>
      <color rgb="FFFF0000"/>
      <name val="TH Sarabun New"/>
      <family val="2"/>
    </font>
    <font>
      <sz val="14"/>
      <color rgb="FFFF0000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b/>
      <i/>
      <sz val="14"/>
      <name val="TH Sarabun Ne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 val="double"/>
      <sz val="16"/>
      <color theme="1"/>
      <name val="TH SarabunPSK"/>
      <family val="2"/>
    </font>
    <font>
      <b/>
      <u val="doubleAccounting"/>
      <sz val="16"/>
      <name val="TH SarabunPSK"/>
      <family val="2"/>
    </font>
    <font>
      <b/>
      <u val="doubleAccounting"/>
      <sz val="16"/>
      <color theme="1"/>
      <name val="TH SarabunPSK"/>
      <family val="2"/>
    </font>
    <font>
      <sz val="18"/>
      <color theme="1"/>
      <name val="TH SarabunPSK"/>
      <family val="2"/>
    </font>
    <font>
      <b/>
      <sz val="12"/>
      <color rgb="FFFF0000"/>
      <name val="TH SarabunPSK"/>
      <family val="2"/>
    </font>
    <font>
      <sz val="16"/>
      <color theme="1"/>
      <name val="TH SarabunIT๙"/>
      <family val="2"/>
    </font>
    <font>
      <sz val="14"/>
      <color rgb="FF000000"/>
      <name val="TH Sarabun New"/>
      <family val="2"/>
    </font>
    <font>
      <sz val="16"/>
      <color theme="4" tint="-0.249977111117893"/>
      <name val="TH SarabunPSK"/>
      <family val="2"/>
    </font>
    <font>
      <sz val="16"/>
      <color rgb="FF004F88"/>
      <name val="TH SarabunPSK"/>
      <family val="2"/>
    </font>
    <font>
      <b/>
      <sz val="18"/>
      <color rgb="FF000000"/>
      <name val="TH Sarabun New"/>
      <family val="2"/>
    </font>
    <font>
      <b/>
      <sz val="16"/>
      <color rgb="FF000000"/>
      <name val="TH Sarabun New"/>
      <family val="2"/>
    </font>
    <font>
      <b/>
      <u val="double"/>
      <sz val="16"/>
      <color theme="1"/>
      <name val="TH Sarabun New"/>
      <family val="2"/>
    </font>
    <font>
      <b/>
      <u val="doubleAccounting"/>
      <sz val="16"/>
      <color theme="1"/>
      <name val="TH Sarabun New"/>
      <family val="2"/>
    </font>
    <font>
      <b/>
      <u val="doubleAccounting"/>
      <sz val="16"/>
      <name val="TH Sarabun New"/>
      <family val="2"/>
    </font>
    <font>
      <sz val="16"/>
      <color rgb="FFFF0000"/>
      <name val="TH Sarabun New"/>
      <family val="2"/>
    </font>
    <font>
      <strike/>
      <sz val="16"/>
      <color rgb="FF000000"/>
      <name val="TH Sarabun New"/>
      <family val="2"/>
    </font>
    <font>
      <strike/>
      <sz val="16"/>
      <color theme="1"/>
      <name val="TH Sarabun New"/>
      <family val="2"/>
    </font>
    <font>
      <strike/>
      <sz val="16"/>
      <name val="TH Sarabun New"/>
      <family val="2"/>
    </font>
    <font>
      <strike/>
      <sz val="16"/>
      <color rgb="FFFF0000"/>
      <name val="TH Sarabun New"/>
      <family val="2"/>
    </font>
    <font>
      <b/>
      <sz val="14"/>
      <color rgb="FF000000"/>
      <name val="TH Sarabun New"/>
      <family val="2"/>
    </font>
    <font>
      <sz val="11"/>
      <color theme="1"/>
      <name val="TH Sarabun New"/>
      <family val="2"/>
    </font>
  </fonts>
  <fills count="5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medium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double">
        <color rgb="FF000000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52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  <xf numFmtId="0" fontId="41" fillId="0" borderId="0"/>
    <xf numFmtId="43" fontId="42" fillId="0" borderId="0" applyFont="0" applyFill="0" applyBorder="0" applyAlignment="0" applyProtection="0"/>
    <xf numFmtId="0" fontId="42" fillId="0" borderId="0"/>
    <xf numFmtId="0" fontId="43" fillId="0" borderId="0"/>
    <xf numFmtId="0" fontId="43" fillId="0" borderId="0"/>
    <xf numFmtId="43" fontId="47" fillId="0" borderId="0" applyFont="0" applyFill="0" applyBorder="0" applyAlignment="0" applyProtection="0"/>
    <xf numFmtId="0" fontId="47" fillId="0" borderId="0"/>
    <xf numFmtId="43" fontId="43" fillId="0" borderId="0" applyFont="0" applyFill="0" applyBorder="0" applyAlignment="0" applyProtection="0"/>
    <xf numFmtId="0" fontId="47" fillId="0" borderId="0"/>
    <xf numFmtId="43" fontId="41" fillId="0" borderId="0" applyFont="0" applyFill="0" applyBorder="0" applyAlignment="0" applyProtection="0"/>
    <xf numFmtId="0" fontId="41" fillId="0" borderId="0"/>
    <xf numFmtId="0" fontId="48" fillId="0" borderId="0"/>
    <xf numFmtId="43" fontId="43" fillId="0" borderId="0" applyFont="0" applyFill="0" applyBorder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16" borderId="0" applyNumberFormat="0" applyBorder="0" applyAlignment="0" applyProtection="0"/>
    <xf numFmtId="0" fontId="50" fillId="17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50" fillId="20" borderId="0" applyNumberFormat="0" applyBorder="0" applyAlignment="0" applyProtection="0"/>
    <xf numFmtId="0" fontId="50" fillId="15" borderId="0" applyNumberFormat="0" applyBorder="0" applyAlignment="0" applyProtection="0"/>
    <xf numFmtId="0" fontId="50" fillId="21" borderId="0" applyNumberFormat="0" applyBorder="0" applyAlignment="0" applyProtection="0"/>
    <xf numFmtId="0" fontId="50" fillId="22" borderId="0" applyNumberFormat="0" applyBorder="0" applyAlignment="0" applyProtection="0"/>
    <xf numFmtId="0" fontId="50" fillId="20" borderId="0" applyNumberFormat="0" applyBorder="0" applyAlignment="0" applyProtection="0"/>
    <xf numFmtId="0" fontId="50" fillId="22" borderId="0" applyNumberFormat="0" applyBorder="0" applyAlignment="0" applyProtection="0"/>
    <xf numFmtId="0" fontId="51" fillId="20" borderId="0" applyNumberFormat="0" applyBorder="0" applyAlignment="0" applyProtection="0"/>
    <xf numFmtId="0" fontId="51" fillId="15" borderId="0" applyNumberFormat="0" applyBorder="0" applyAlignment="0" applyProtection="0"/>
    <xf numFmtId="0" fontId="51" fillId="21" borderId="0" applyNumberFormat="0" applyBorder="0" applyAlignment="0" applyProtection="0"/>
    <xf numFmtId="0" fontId="51" fillId="22" borderId="0" applyNumberFormat="0" applyBorder="0" applyAlignment="0" applyProtection="0"/>
    <xf numFmtId="0" fontId="51" fillId="23" borderId="0" applyNumberFormat="0" applyBorder="0" applyAlignment="0" applyProtection="0"/>
    <xf numFmtId="0" fontId="51" fillId="24" borderId="0" applyNumberFormat="0" applyBorder="0" applyAlignment="0" applyProtection="0"/>
    <xf numFmtId="0" fontId="51" fillId="23" borderId="0" applyNumberFormat="0" applyBorder="0" applyAlignment="0" applyProtection="0"/>
    <xf numFmtId="0" fontId="51" fillId="25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8" borderId="0" applyNumberFormat="0" applyBorder="0" applyAlignment="0" applyProtection="0"/>
    <xf numFmtId="0" fontId="51" fillId="24" borderId="0" applyNumberFormat="0" applyBorder="0" applyAlignment="0" applyProtection="0"/>
    <xf numFmtId="0" fontId="52" fillId="29" borderId="0" applyNumberFormat="0" applyBorder="0" applyAlignment="0" applyProtection="0"/>
    <xf numFmtId="0" fontId="53" fillId="21" borderId="47" applyNumberFormat="0" applyAlignment="0" applyProtection="0"/>
    <xf numFmtId="0" fontId="54" fillId="26" borderId="48" applyNumberFormat="0" applyAlignment="0" applyProtection="0"/>
    <xf numFmtId="0" fontId="55" fillId="0" borderId="0" applyNumberFormat="0" applyFill="0" applyBorder="0" applyAlignment="0" applyProtection="0"/>
    <xf numFmtId="0" fontId="56" fillId="19" borderId="0" applyNumberFormat="0" applyBorder="0" applyAlignment="0" applyProtection="0"/>
    <xf numFmtId="0" fontId="57" fillId="0" borderId="49" applyNumberFormat="0" applyFill="0" applyAlignment="0" applyProtection="0"/>
    <xf numFmtId="0" fontId="58" fillId="0" borderId="50" applyNumberFormat="0" applyFill="0" applyAlignment="0" applyProtection="0"/>
    <xf numFmtId="0" fontId="59" fillId="0" borderId="51" applyNumberFormat="0" applyFill="0" applyAlignment="0" applyProtection="0"/>
    <xf numFmtId="0" fontId="59" fillId="0" borderId="0" applyNumberFormat="0" applyFill="0" applyBorder="0" applyAlignment="0" applyProtection="0"/>
    <xf numFmtId="0" fontId="60" fillId="15" borderId="47" applyNumberFormat="0" applyAlignment="0" applyProtection="0"/>
    <xf numFmtId="0" fontId="61" fillId="22" borderId="0" applyNumberFormat="0" applyBorder="0" applyAlignment="0" applyProtection="0"/>
    <xf numFmtId="0" fontId="43" fillId="0" borderId="0"/>
    <xf numFmtId="0" fontId="42" fillId="0" borderId="0"/>
    <xf numFmtId="0" fontId="62" fillId="0" borderId="0"/>
    <xf numFmtId="0" fontId="42" fillId="17" borderId="52" applyNumberFormat="0" applyFont="0" applyAlignment="0" applyProtection="0"/>
    <xf numFmtId="0" fontId="63" fillId="21" borderId="53" applyNumberFormat="0" applyAlignment="0" applyProtection="0"/>
    <xf numFmtId="0" fontId="64" fillId="0" borderId="0" applyNumberFormat="0" applyFill="0" applyBorder="0" applyAlignment="0" applyProtection="0"/>
    <xf numFmtId="0" fontId="65" fillId="0" borderId="54" applyNumberFormat="0" applyFill="0" applyAlignment="0" applyProtection="0"/>
    <xf numFmtId="0" fontId="66" fillId="0" borderId="0" applyNumberForma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67" fillId="0" borderId="55" applyNumberFormat="0" applyFill="0" applyAlignment="0" applyProtection="0"/>
    <xf numFmtId="0" fontId="46" fillId="13" borderId="0" applyNumberFormat="0" applyBorder="0" applyAlignment="0" applyProtection="0"/>
    <xf numFmtId="0" fontId="47" fillId="0" borderId="0"/>
    <xf numFmtId="0" fontId="41" fillId="0" borderId="0"/>
    <xf numFmtId="0" fontId="43" fillId="0" borderId="0"/>
    <xf numFmtId="0" fontId="41" fillId="0" borderId="0"/>
    <xf numFmtId="0" fontId="42" fillId="0" borderId="0"/>
    <xf numFmtId="0" fontId="42" fillId="0" borderId="0"/>
    <xf numFmtId="0" fontId="73" fillId="0" borderId="0"/>
    <xf numFmtId="43" fontId="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3" fillId="0" borderId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53" fillId="21" borderId="67" applyNumberFormat="0" applyAlignment="0" applyProtection="0"/>
    <xf numFmtId="0" fontId="60" fillId="15" borderId="67" applyNumberFormat="0" applyAlignment="0" applyProtection="0"/>
    <xf numFmtId="0" fontId="42" fillId="17" borderId="68" applyNumberFormat="0" applyFont="0" applyAlignment="0" applyProtection="0"/>
    <xf numFmtId="0" fontId="63" fillId="21" borderId="69" applyNumberFormat="0" applyAlignment="0" applyProtection="0"/>
    <xf numFmtId="0" fontId="65" fillId="0" borderId="70" applyNumberFormat="0" applyFill="0" applyAlignment="0" applyProtection="0"/>
    <xf numFmtId="0" fontId="53" fillId="21" borderId="67" applyNumberFormat="0" applyAlignment="0" applyProtection="0"/>
    <xf numFmtId="0" fontId="60" fillId="15" borderId="67" applyNumberFormat="0" applyAlignment="0" applyProtection="0"/>
    <xf numFmtId="0" fontId="42" fillId="17" borderId="68" applyNumberFormat="0" applyFont="0" applyAlignment="0" applyProtection="0"/>
    <xf numFmtId="0" fontId="63" fillId="21" borderId="69" applyNumberFormat="0" applyAlignment="0" applyProtection="0"/>
    <xf numFmtId="0" fontId="65" fillId="0" borderId="70" applyNumberFormat="0" applyFill="0" applyAlignment="0" applyProtection="0"/>
    <xf numFmtId="0" fontId="53" fillId="21" borderId="67" applyNumberFormat="0" applyAlignment="0" applyProtection="0"/>
    <xf numFmtId="0" fontId="60" fillId="15" borderId="67" applyNumberFormat="0" applyAlignment="0" applyProtection="0"/>
    <xf numFmtId="0" fontId="53" fillId="21" borderId="67" applyNumberFormat="0" applyAlignment="0" applyProtection="0"/>
    <xf numFmtId="0" fontId="60" fillId="15" borderId="67" applyNumberFormat="0" applyAlignment="0" applyProtection="0"/>
    <xf numFmtId="0" fontId="42" fillId="17" borderId="68" applyNumberFormat="0" applyFont="0" applyAlignment="0" applyProtection="0"/>
    <xf numFmtId="0" fontId="65" fillId="0" borderId="70" applyNumberFormat="0" applyFill="0" applyAlignment="0" applyProtection="0"/>
    <xf numFmtId="0" fontId="65" fillId="0" borderId="70" applyNumberFormat="0" applyFill="0" applyAlignment="0" applyProtection="0"/>
    <xf numFmtId="0" fontId="42" fillId="17" borderId="68" applyNumberFormat="0" applyFont="0" applyAlignment="0" applyProtection="0"/>
    <xf numFmtId="0" fontId="65" fillId="0" borderId="70" applyNumberFormat="0" applyFill="0" applyAlignment="0" applyProtection="0"/>
    <xf numFmtId="0" fontId="63" fillId="21" borderId="69" applyNumberFormat="0" applyAlignment="0" applyProtection="0"/>
    <xf numFmtId="0" fontId="42" fillId="17" borderId="68" applyNumberFormat="0" applyFont="0" applyAlignment="0" applyProtection="0"/>
    <xf numFmtId="0" fontId="53" fillId="21" borderId="67" applyNumberFormat="0" applyAlignment="0" applyProtection="0"/>
    <xf numFmtId="0" fontId="60" fillId="15" borderId="67" applyNumberFormat="0" applyAlignment="0" applyProtection="0"/>
    <xf numFmtId="0" fontId="60" fillId="15" borderId="67" applyNumberFormat="0" applyAlignment="0" applyProtection="0"/>
    <xf numFmtId="0" fontId="53" fillId="21" borderId="67" applyNumberFormat="0" applyAlignment="0" applyProtection="0"/>
    <xf numFmtId="0" fontId="42" fillId="17" borderId="68" applyNumberFormat="0" applyFont="0" applyAlignment="0" applyProtection="0"/>
    <xf numFmtId="0" fontId="63" fillId="21" borderId="69" applyNumberFormat="0" applyAlignment="0" applyProtection="0"/>
    <xf numFmtId="0" fontId="65" fillId="0" borderId="70" applyNumberFormat="0" applyFill="0" applyAlignment="0" applyProtection="0"/>
    <xf numFmtId="0" fontId="63" fillId="21" borderId="69" applyNumberFormat="0" applyAlignment="0" applyProtection="0"/>
    <xf numFmtId="0" fontId="53" fillId="21" borderId="67" applyNumberFormat="0" applyAlignment="0" applyProtection="0"/>
    <xf numFmtId="0" fontId="63" fillId="21" borderId="69" applyNumberFormat="0" applyAlignment="0" applyProtection="0"/>
    <xf numFmtId="0" fontId="65" fillId="0" borderId="70" applyNumberFormat="0" applyFill="0" applyAlignment="0" applyProtection="0"/>
    <xf numFmtId="0" fontId="60" fillId="15" borderId="67" applyNumberFormat="0" applyAlignment="0" applyProtection="0"/>
    <xf numFmtId="0" fontId="63" fillId="21" borderId="69" applyNumberFormat="0" applyAlignment="0" applyProtection="0"/>
    <xf numFmtId="0" fontId="42" fillId="17" borderId="68" applyNumberFormat="0" applyFont="0" applyAlignment="0" applyProtection="0"/>
    <xf numFmtId="43" fontId="42" fillId="0" borderId="0" applyFont="0" applyFill="0" applyBorder="0" applyAlignment="0" applyProtection="0"/>
    <xf numFmtId="0" fontId="47" fillId="0" borderId="0"/>
    <xf numFmtId="0" fontId="50" fillId="18" borderId="0" applyNumberFormat="0" applyBorder="0" applyAlignment="0" applyProtection="0"/>
    <xf numFmtId="0" fontId="50" fillId="29" borderId="0" applyNumberFormat="0" applyBorder="0" applyAlignment="0" applyProtection="0"/>
    <xf numFmtId="0" fontId="50" fillId="19" borderId="0" applyNumberFormat="0" applyBorder="0" applyAlignment="0" applyProtection="0"/>
    <xf numFmtId="0" fontId="50" fillId="39" borderId="0" applyNumberFormat="0" applyBorder="0" applyAlignment="0" applyProtection="0"/>
    <xf numFmtId="0" fontId="50" fillId="14" borderId="0" applyNumberFormat="0" applyBorder="0" applyAlignment="0" applyProtection="0"/>
    <xf numFmtId="0" fontId="50" fillId="15" borderId="0" applyNumberFormat="0" applyBorder="0" applyAlignment="0" applyProtection="0"/>
    <xf numFmtId="0" fontId="50" fillId="40" borderId="0" applyNumberFormat="0" applyBorder="0" applyAlignment="0" applyProtection="0"/>
    <xf numFmtId="0" fontId="50" fillId="41" borderId="0" applyNumberFormat="0" applyBorder="0" applyAlignment="0" applyProtection="0"/>
    <xf numFmtId="0" fontId="50" fillId="39" borderId="0" applyNumberFormat="0" applyBorder="0" applyAlignment="0" applyProtection="0"/>
    <xf numFmtId="0" fontId="50" fillId="27" borderId="0" applyNumberFormat="0" applyBorder="0" applyAlignment="0" applyProtection="0"/>
    <xf numFmtId="0" fontId="51" fillId="42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3" borderId="0" applyNumberFormat="0" applyBorder="0" applyAlignment="0" applyProtection="0"/>
    <xf numFmtId="0" fontId="51" fillId="44" borderId="0" applyNumberFormat="0" applyBorder="0" applyAlignment="0" applyProtection="0"/>
    <xf numFmtId="0" fontId="51" fillId="28" borderId="0" applyNumberFormat="0" applyBorder="0" applyAlignment="0" applyProtection="0"/>
    <xf numFmtId="0" fontId="51" fillId="45" borderId="0" applyNumberFormat="0" applyBorder="0" applyAlignment="0" applyProtection="0"/>
    <xf numFmtId="0" fontId="51" fillId="24" borderId="0" applyNumberFormat="0" applyBorder="0" applyAlignment="0" applyProtection="0"/>
    <xf numFmtId="0" fontId="51" fillId="43" borderId="0" applyNumberFormat="0" applyBorder="0" applyAlignment="0" applyProtection="0"/>
    <xf numFmtId="0" fontId="51" fillId="23" borderId="0" applyNumberFormat="0" applyBorder="0" applyAlignment="0" applyProtection="0"/>
    <xf numFmtId="0" fontId="51" fillId="25" borderId="0" applyNumberFormat="0" applyBorder="0" applyAlignment="0" applyProtection="0"/>
    <xf numFmtId="0" fontId="81" fillId="0" borderId="81" applyNumberFormat="0" applyFill="0" applyAlignment="0" applyProtection="0"/>
    <xf numFmtId="0" fontId="82" fillId="0" borderId="82" applyNumberFormat="0" applyFill="0" applyAlignment="0" applyProtection="0"/>
    <xf numFmtId="0" fontId="83" fillId="0" borderId="83" applyNumberFormat="0" applyFill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65" fillId="0" borderId="84" applyNumberFormat="0" applyFill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3" fillId="0" borderId="0"/>
    <xf numFmtId="0" fontId="47" fillId="0" borderId="0"/>
    <xf numFmtId="43" fontId="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</cellStyleXfs>
  <cellXfs count="3134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1" applyFont="1"/>
    <xf numFmtId="43" fontId="4" fillId="0" borderId="0" xfId="2" applyFont="1" applyFill="1"/>
    <xf numFmtId="43" fontId="4" fillId="0" borderId="0" xfId="2" applyFont="1" applyFill="1" applyAlignment="1">
      <alignment horizontal="center" vertical="top"/>
    </xf>
    <xf numFmtId="49" fontId="4" fillId="0" borderId="10" xfId="2" applyNumberFormat="1" applyFont="1" applyFill="1" applyBorder="1" applyAlignment="1">
      <alignment horizontal="center"/>
    </xf>
    <xf numFmtId="43" fontId="4" fillId="0" borderId="5" xfId="2" applyFont="1" applyFill="1" applyBorder="1" applyAlignment="1">
      <alignment shrinkToFit="1"/>
    </xf>
    <xf numFmtId="43" fontId="5" fillId="0" borderId="0" xfId="2" applyFont="1" applyFill="1"/>
    <xf numFmtId="0" fontId="4" fillId="0" borderId="0" xfId="1" applyFont="1" applyAlignment="1">
      <alignment horizontal="left"/>
    </xf>
    <xf numFmtId="43" fontId="4" fillId="0" borderId="0" xfId="2" applyFont="1" applyFill="1" applyBorder="1" applyAlignment="1">
      <alignment horizontal="right" shrinkToFit="1"/>
    </xf>
    <xf numFmtId="43" fontId="4" fillId="0" borderId="0" xfId="2" applyFont="1" applyFill="1" applyBorder="1" applyAlignment="1">
      <alignment horizontal="right" vertical="top" shrinkToFit="1"/>
    </xf>
    <xf numFmtId="0" fontId="7" fillId="0" borderId="0" xfId="1" applyFont="1"/>
    <xf numFmtId="43" fontId="4" fillId="0" borderId="0" xfId="2" applyFont="1" applyFill="1" applyAlignment="1">
      <alignment horizontal="left" shrinkToFit="1"/>
    </xf>
    <xf numFmtId="43" fontId="5" fillId="0" borderId="0" xfId="2" applyFont="1" applyFill="1" applyAlignment="1">
      <alignment vertical="top"/>
    </xf>
    <xf numFmtId="43" fontId="5" fillId="0" borderId="0" xfId="2" applyFont="1" applyFill="1" applyAlignment="1"/>
    <xf numFmtId="9" fontId="4" fillId="0" borderId="0" xfId="3" applyFont="1" applyFill="1" applyBorder="1" applyAlignment="1">
      <alignment horizontal="right" shrinkToFit="1"/>
    </xf>
    <xf numFmtId="0" fontId="12" fillId="0" borderId="0" xfId="0" applyFont="1"/>
    <xf numFmtId="0" fontId="9" fillId="0" borderId="0" xfId="0" applyFont="1"/>
    <xf numFmtId="0" fontId="8" fillId="0" borderId="0" xfId="0" applyFont="1"/>
    <xf numFmtId="0" fontId="15" fillId="0" borderId="0" xfId="1" applyFont="1"/>
    <xf numFmtId="49" fontId="4" fillId="0" borderId="13" xfId="2" applyNumberFormat="1" applyFont="1" applyFill="1" applyBorder="1" applyAlignment="1">
      <alignment horizontal="center"/>
    </xf>
    <xf numFmtId="43" fontId="13" fillId="0" borderId="0" xfId="2" applyFont="1" applyFill="1" applyAlignment="1">
      <alignment horizontal="center" shrinkToFit="1"/>
    </xf>
    <xf numFmtId="9" fontId="13" fillId="2" borderId="5" xfId="3" applyFont="1" applyFill="1" applyBorder="1" applyAlignment="1">
      <alignment horizontal="right" shrinkToFit="1"/>
    </xf>
    <xf numFmtId="165" fontId="4" fillId="0" borderId="5" xfId="2" applyNumberFormat="1" applyFont="1" applyFill="1" applyBorder="1" applyAlignment="1">
      <alignment vertical="center" shrinkToFit="1"/>
    </xf>
    <xf numFmtId="165" fontId="5" fillId="0" borderId="5" xfId="2" applyNumberFormat="1" applyFont="1" applyFill="1" applyBorder="1" applyAlignment="1">
      <alignment vertical="center" shrinkToFit="1"/>
    </xf>
    <xf numFmtId="165" fontId="4" fillId="0" borderId="4" xfId="2" applyNumberFormat="1" applyFont="1" applyFill="1" applyBorder="1" applyAlignment="1">
      <alignment vertical="center" shrinkToFit="1"/>
    </xf>
    <xf numFmtId="165" fontId="4" fillId="0" borderId="10" xfId="2" applyNumberFormat="1" applyFont="1" applyFill="1" applyBorder="1" applyAlignment="1">
      <alignment vertical="center" shrinkToFit="1"/>
    </xf>
    <xf numFmtId="165" fontId="4" fillId="0" borderId="0" xfId="2" applyNumberFormat="1" applyFont="1" applyFill="1" applyBorder="1" applyAlignment="1">
      <alignment vertical="center" shrinkToFit="1"/>
    </xf>
    <xf numFmtId="165" fontId="4" fillId="0" borderId="11" xfId="2" applyNumberFormat="1" applyFont="1" applyFill="1" applyBorder="1" applyAlignment="1">
      <alignment vertical="center" shrinkToFit="1"/>
    </xf>
    <xf numFmtId="0" fontId="9" fillId="0" borderId="0" xfId="0" applyFont="1" applyAlignment="1">
      <alignment horizontal="right"/>
    </xf>
    <xf numFmtId="0" fontId="4" fillId="0" borderId="5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4" fillId="0" borderId="9" xfId="1" applyFont="1" applyBorder="1" applyAlignment="1">
      <alignment vertical="center"/>
    </xf>
    <xf numFmtId="0" fontId="5" fillId="0" borderId="5" xfId="1" applyFont="1" applyBorder="1" applyAlignment="1">
      <alignment horizontal="left" vertical="center" shrinkToFit="1"/>
    </xf>
    <xf numFmtId="0" fontId="5" fillId="0" borderId="5" xfId="1" applyFont="1" applyBorder="1" applyAlignment="1">
      <alignment vertical="center" shrinkToFit="1"/>
    </xf>
    <xf numFmtId="0" fontId="4" fillId="0" borderId="5" xfId="1" applyFont="1" applyBorder="1" applyAlignment="1">
      <alignment vertical="center" shrinkToFit="1"/>
    </xf>
    <xf numFmtId="0" fontId="4" fillId="0" borderId="1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1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43" fontId="5" fillId="0" borderId="0" xfId="2" applyFont="1" applyFill="1" applyAlignment="1">
      <alignment vertical="center"/>
    </xf>
    <xf numFmtId="0" fontId="5" fillId="0" borderId="4" xfId="1" applyFont="1" applyBorder="1" applyAlignment="1">
      <alignment vertical="center"/>
    </xf>
    <xf numFmtId="0" fontId="4" fillId="0" borderId="5" xfId="1" applyFont="1" applyBorder="1" applyAlignment="1">
      <alignment horizontal="right" vertical="center"/>
    </xf>
    <xf numFmtId="0" fontId="4" fillId="0" borderId="10" xfId="1" applyFont="1" applyBorder="1" applyAlignment="1">
      <alignment vertical="center"/>
    </xf>
    <xf numFmtId="0" fontId="4" fillId="0" borderId="5" xfId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6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6" xfId="0" applyFont="1" applyBorder="1"/>
    <xf numFmtId="0" fontId="10" fillId="0" borderId="14" xfId="0" applyFont="1" applyBorder="1"/>
    <xf numFmtId="0" fontId="10" fillId="0" borderId="15" xfId="0" applyFont="1" applyBorder="1"/>
    <xf numFmtId="0" fontId="9" fillId="0" borderId="1" xfId="0" applyFont="1" applyBorder="1"/>
    <xf numFmtId="0" fontId="9" fillId="0" borderId="11" xfId="0" applyFont="1" applyBorder="1" applyAlignment="1">
      <alignment horizontal="right"/>
    </xf>
    <xf numFmtId="0" fontId="9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0" xfId="0" applyFont="1" applyAlignment="1">
      <alignment horizontal="right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17" fillId="0" borderId="0" xfId="0" applyFont="1"/>
    <xf numFmtId="0" fontId="10" fillId="0" borderId="19" xfId="0" applyFont="1" applyBorder="1" applyAlignment="1">
      <alignment horizontal="right"/>
    </xf>
    <xf numFmtId="165" fontId="4" fillId="0" borderId="5" xfId="2" applyNumberFormat="1" applyFont="1" applyFill="1" applyBorder="1" applyAlignment="1">
      <alignment horizontal="center" vertical="center" shrinkToFit="1"/>
    </xf>
    <xf numFmtId="0" fontId="4" fillId="4" borderId="21" xfId="1" applyFont="1" applyFill="1" applyBorder="1" applyAlignment="1">
      <alignment vertical="center"/>
    </xf>
    <xf numFmtId="0" fontId="4" fillId="4" borderId="5" xfId="1" applyFont="1" applyFill="1" applyBorder="1" applyAlignment="1">
      <alignment vertical="center"/>
    </xf>
    <xf numFmtId="43" fontId="4" fillId="4" borderId="5" xfId="2" applyFont="1" applyFill="1" applyBorder="1" applyAlignment="1">
      <alignment vertical="center"/>
    </xf>
    <xf numFmtId="0" fontId="4" fillId="4" borderId="9" xfId="1" applyFont="1" applyFill="1" applyBorder="1" applyAlignment="1">
      <alignment vertical="center"/>
    </xf>
    <xf numFmtId="165" fontId="4" fillId="4" borderId="5" xfId="2" applyNumberFormat="1" applyFont="1" applyFill="1" applyBorder="1" applyAlignment="1">
      <alignment vertical="center" shrinkToFit="1"/>
    </xf>
    <xf numFmtId="0" fontId="4" fillId="4" borderId="5" xfId="1" applyFont="1" applyFill="1" applyBorder="1" applyAlignment="1">
      <alignment vertical="center" shrinkToFit="1"/>
    </xf>
    <xf numFmtId="0" fontId="4" fillId="4" borderId="1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/>
    </xf>
    <xf numFmtId="165" fontId="4" fillId="4" borderId="5" xfId="2" applyNumberFormat="1" applyFont="1" applyFill="1" applyBorder="1" applyAlignment="1">
      <alignment horizontal="center" vertical="center" shrinkToFit="1"/>
    </xf>
    <xf numFmtId="165" fontId="4" fillId="4" borderId="2" xfId="2" applyNumberFormat="1" applyFont="1" applyFill="1" applyBorder="1" applyAlignment="1">
      <alignment vertical="center" shrinkToFit="1"/>
    </xf>
    <xf numFmtId="0" fontId="4" fillId="0" borderId="0" xfId="1" applyFont="1" applyAlignment="1">
      <alignment horizontal="center"/>
    </xf>
    <xf numFmtId="0" fontId="15" fillId="0" borderId="24" xfId="0" applyFont="1" applyBorder="1" applyAlignment="1">
      <alignment vertical="center"/>
    </xf>
    <xf numFmtId="0" fontId="18" fillId="0" borderId="24" xfId="0" applyFont="1" applyBorder="1" applyAlignment="1">
      <alignment horizontal="left" vertical="top" readingOrder="1"/>
    </xf>
    <xf numFmtId="0" fontId="18" fillId="0" borderId="24" xfId="0" applyFont="1" applyBorder="1" applyAlignment="1">
      <alignment horizontal="left" vertical="center" wrapText="1" readingOrder="1"/>
    </xf>
    <xf numFmtId="0" fontId="15" fillId="0" borderId="24" xfId="0" applyFont="1" applyBorder="1" applyAlignment="1">
      <alignment vertical="top"/>
    </xf>
    <xf numFmtId="0" fontId="15" fillId="0" borderId="29" xfId="0" applyFont="1" applyBorder="1" applyAlignment="1">
      <alignment vertical="center"/>
    </xf>
    <xf numFmtId="0" fontId="18" fillId="0" borderId="29" xfId="0" applyFont="1" applyBorder="1" applyAlignment="1">
      <alignment horizontal="left" vertical="top" readingOrder="1"/>
    </xf>
    <xf numFmtId="0" fontId="18" fillId="0" borderId="29" xfId="0" applyFont="1" applyBorder="1" applyAlignment="1">
      <alignment horizontal="left" vertical="center" wrapText="1" readingOrder="1"/>
    </xf>
    <xf numFmtId="0" fontId="21" fillId="0" borderId="31" xfId="0" applyFont="1" applyBorder="1" applyAlignment="1">
      <alignment horizontal="left" vertical="center" readingOrder="1"/>
    </xf>
    <xf numFmtId="0" fontId="21" fillId="0" borderId="32" xfId="0" applyFont="1" applyBorder="1" applyAlignment="1">
      <alignment horizontal="left" vertical="top" readingOrder="1"/>
    </xf>
    <xf numFmtId="0" fontId="21" fillId="0" borderId="32" xfId="0" applyFont="1" applyBorder="1" applyAlignment="1">
      <alignment horizontal="left" vertical="center" wrapText="1" readingOrder="1"/>
    </xf>
    <xf numFmtId="0" fontId="18" fillId="0" borderId="31" xfId="0" applyFont="1" applyBorder="1" applyAlignment="1">
      <alignment horizontal="left" vertical="top" readingOrder="1"/>
    </xf>
    <xf numFmtId="0" fontId="15" fillId="0" borderId="24" xfId="0" applyFont="1" applyBorder="1" applyAlignment="1">
      <alignment vertical="top" wrapText="1"/>
    </xf>
    <xf numFmtId="0" fontId="15" fillId="0" borderId="33" xfId="0" applyFont="1" applyBorder="1" applyAlignment="1">
      <alignment vertical="center"/>
    </xf>
    <xf numFmtId="0" fontId="15" fillId="0" borderId="34" xfId="0" applyFont="1" applyBorder="1" applyAlignment="1">
      <alignment vertical="center"/>
    </xf>
    <xf numFmtId="0" fontId="22" fillId="0" borderId="29" xfId="0" applyFont="1" applyBorder="1" applyAlignment="1">
      <alignment horizontal="left" vertical="top" readingOrder="1"/>
    </xf>
    <xf numFmtId="0" fontId="15" fillId="0" borderId="31" xfId="0" applyFont="1" applyBorder="1" applyAlignment="1">
      <alignment vertical="center"/>
    </xf>
    <xf numFmtId="0" fontId="23" fillId="0" borderId="32" xfId="0" applyFont="1" applyBorder="1" applyAlignment="1">
      <alignment horizontal="left" vertical="top" readingOrder="1"/>
    </xf>
    <xf numFmtId="0" fontId="26" fillId="5" borderId="22" xfId="0" applyFont="1" applyFill="1" applyBorder="1" applyAlignment="1">
      <alignment horizontal="center" vertical="center" readingOrder="1"/>
    </xf>
    <xf numFmtId="0" fontId="27" fillId="0" borderId="24" xfId="0" applyFont="1" applyBorder="1" applyAlignment="1">
      <alignment horizontal="left" vertical="center" wrapText="1" readingOrder="1"/>
    </xf>
    <xf numFmtId="0" fontId="29" fillId="0" borderId="0" xfId="0" applyFont="1"/>
    <xf numFmtId="0" fontId="30" fillId="0" borderId="0" xfId="0" applyFont="1"/>
    <xf numFmtId="0" fontId="34" fillId="0" borderId="0" xfId="0" applyFont="1"/>
    <xf numFmtId="0" fontId="37" fillId="0" borderId="0" xfId="0" applyFont="1"/>
    <xf numFmtId="0" fontId="31" fillId="6" borderId="25" xfId="0" applyFont="1" applyFill="1" applyBorder="1" applyAlignment="1">
      <alignment horizontal="left" vertical="center" readingOrder="1"/>
    </xf>
    <xf numFmtId="0" fontId="32" fillId="6" borderId="26" xfId="0" applyFont="1" applyFill="1" applyBorder="1" applyAlignment="1">
      <alignment horizontal="left" vertical="center" readingOrder="1"/>
    </xf>
    <xf numFmtId="0" fontId="33" fillId="6" borderId="23" xfId="0" applyFont="1" applyFill="1" applyBorder="1" applyAlignment="1">
      <alignment vertical="top"/>
    </xf>
    <xf numFmtId="0" fontId="34" fillId="6" borderId="25" xfId="0" applyFont="1" applyFill="1" applyBorder="1" applyAlignment="1">
      <alignment horizontal="left" vertical="center" readingOrder="1"/>
    </xf>
    <xf numFmtId="0" fontId="34" fillId="6" borderId="26" xfId="0" applyFont="1" applyFill="1" applyBorder="1" applyAlignment="1">
      <alignment horizontal="left" vertical="top" readingOrder="1"/>
    </xf>
    <xf numFmtId="0" fontId="34" fillId="6" borderId="23" xfId="0" applyFont="1" applyFill="1" applyBorder="1" applyAlignment="1">
      <alignment vertical="top" wrapText="1"/>
    </xf>
    <xf numFmtId="0" fontId="35" fillId="7" borderId="25" xfId="0" applyFont="1" applyFill="1" applyBorder="1" applyAlignment="1">
      <alignment horizontal="left" vertical="center" readingOrder="1"/>
    </xf>
    <xf numFmtId="0" fontId="35" fillId="7" borderId="26" xfId="0" applyFont="1" applyFill="1" applyBorder="1" applyAlignment="1">
      <alignment horizontal="left" vertical="top" readingOrder="1"/>
    </xf>
    <xf numFmtId="0" fontId="36" fillId="7" borderId="23" xfId="0" applyFont="1" applyFill="1" applyBorder="1" applyAlignment="1">
      <alignment vertical="top" wrapText="1"/>
    </xf>
    <xf numFmtId="0" fontId="20" fillId="7" borderId="26" xfId="0" applyFont="1" applyFill="1" applyBorder="1" applyAlignment="1">
      <alignment horizontal="left" vertical="top" readingOrder="1"/>
    </xf>
    <xf numFmtId="0" fontId="15" fillId="7" borderId="23" xfId="0" applyFont="1" applyFill="1" applyBorder="1" applyAlignment="1">
      <alignment vertical="top" wrapText="1"/>
    </xf>
    <xf numFmtId="0" fontId="20" fillId="7" borderId="30" xfId="0" applyFont="1" applyFill="1" applyBorder="1" applyAlignment="1">
      <alignment horizontal="left" vertical="top" readingOrder="1"/>
    </xf>
    <xf numFmtId="0" fontId="20" fillId="7" borderId="30" xfId="0" applyFont="1" applyFill="1" applyBorder="1" applyAlignment="1">
      <alignment horizontal="left" vertical="center" wrapText="1" readingOrder="1"/>
    </xf>
    <xf numFmtId="0" fontId="19" fillId="7" borderId="32" xfId="0" applyFont="1" applyFill="1" applyBorder="1" applyAlignment="1">
      <alignment horizontal="left" vertical="top" readingOrder="1"/>
    </xf>
    <xf numFmtId="0" fontId="12" fillId="7" borderId="0" xfId="0" applyFont="1" applyFill="1"/>
    <xf numFmtId="0" fontId="19" fillId="7" borderId="32" xfId="0" applyFont="1" applyFill="1" applyBorder="1" applyAlignment="1">
      <alignment horizontal="left" vertical="center" wrapText="1" readingOrder="1"/>
    </xf>
    <xf numFmtId="0" fontId="38" fillId="7" borderId="31" xfId="0" applyFont="1" applyFill="1" applyBorder="1" applyAlignment="1">
      <alignment horizontal="left" vertical="center" readingOrder="1"/>
    </xf>
    <xf numFmtId="165" fontId="10" fillId="0" borderId="5" xfId="0" applyNumberFormat="1" applyFont="1" applyBorder="1" applyAlignment="1">
      <alignment horizontal="right"/>
    </xf>
    <xf numFmtId="165" fontId="9" fillId="0" borderId="11" xfId="0" applyNumberFormat="1" applyFont="1" applyBorder="1" applyAlignment="1">
      <alignment horizontal="right"/>
    </xf>
    <xf numFmtId="0" fontId="38" fillId="0" borderId="31" xfId="0" applyFont="1" applyBorder="1" applyAlignment="1">
      <alignment horizontal="left" vertical="center" readingOrder="1"/>
    </xf>
    <xf numFmtId="0" fontId="25" fillId="8" borderId="35" xfId="0" applyFont="1" applyFill="1" applyBorder="1" applyAlignment="1">
      <alignment horizontal="center" vertical="center" readingOrder="1"/>
    </xf>
    <xf numFmtId="0" fontId="25" fillId="9" borderId="35" xfId="0" applyFont="1" applyFill="1" applyBorder="1" applyAlignment="1">
      <alignment horizontal="center" vertical="center" readingOrder="1"/>
    </xf>
    <xf numFmtId="0" fontId="4" fillId="10" borderId="12" xfId="1" applyFont="1" applyFill="1" applyBorder="1" applyAlignment="1">
      <alignment vertical="center"/>
    </xf>
    <xf numFmtId="0" fontId="4" fillId="10" borderId="5" xfId="1" applyFont="1" applyFill="1" applyBorder="1" applyAlignment="1">
      <alignment vertical="center"/>
    </xf>
    <xf numFmtId="0" fontId="4" fillId="10" borderId="5" xfId="1" applyFont="1" applyFill="1" applyBorder="1" applyAlignment="1">
      <alignment vertical="center" shrinkToFit="1"/>
    </xf>
    <xf numFmtId="0" fontId="40" fillId="0" borderId="0" xfId="0" applyFont="1"/>
    <xf numFmtId="43" fontId="4" fillId="0" borderId="5" xfId="2" applyFont="1" applyFill="1" applyBorder="1" applyAlignment="1">
      <alignment horizontal="left" vertical="top" shrinkToFit="1"/>
    </xf>
    <xf numFmtId="43" fontId="2" fillId="0" borderId="5" xfId="2" applyFont="1" applyFill="1" applyBorder="1" applyAlignment="1">
      <alignment vertical="top" shrinkToFit="1"/>
    </xf>
    <xf numFmtId="43" fontId="4" fillId="0" borderId="5" xfId="2" applyFont="1" applyFill="1" applyBorder="1" applyAlignment="1">
      <alignment vertical="top" shrinkToFit="1"/>
    </xf>
    <xf numFmtId="166" fontId="4" fillId="0" borderId="5" xfId="2" applyNumberFormat="1" applyFont="1" applyFill="1" applyBorder="1" applyAlignment="1">
      <alignment vertical="center" shrinkToFit="1"/>
    </xf>
    <xf numFmtId="164" fontId="4" fillId="0" borderId="5" xfId="2" applyNumberFormat="1" applyFont="1" applyFill="1" applyBorder="1" applyAlignment="1">
      <alignment vertical="center" shrinkToFit="1"/>
    </xf>
    <xf numFmtId="43" fontId="4" fillId="0" borderId="4" xfId="2" applyFont="1" applyFill="1" applyBorder="1" applyAlignment="1">
      <alignment shrinkToFit="1"/>
    </xf>
    <xf numFmtId="43" fontId="5" fillId="0" borderId="5" xfId="2" applyFont="1" applyFill="1" applyBorder="1" applyAlignment="1">
      <alignment shrinkToFit="1"/>
    </xf>
    <xf numFmtId="166" fontId="4" fillId="0" borderId="5" xfId="2" applyNumberFormat="1" applyFont="1" applyFill="1" applyBorder="1" applyAlignment="1">
      <alignment horizontal="center" vertical="center" shrinkToFit="1"/>
    </xf>
    <xf numFmtId="4" fontId="4" fillId="0" borderId="5" xfId="2" applyNumberFormat="1" applyFont="1" applyFill="1" applyBorder="1" applyAlignment="1">
      <alignment vertical="center" shrinkToFit="1"/>
    </xf>
    <xf numFmtId="0" fontId="8" fillId="0" borderId="0" xfId="0" applyFont="1" applyAlignment="1">
      <alignment vertical="top"/>
    </xf>
    <xf numFmtId="165" fontId="2" fillId="0" borderId="5" xfId="2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vertical="top"/>
    </xf>
    <xf numFmtId="43" fontId="9" fillId="0" borderId="0" xfId="4" applyFont="1"/>
    <xf numFmtId="43" fontId="9" fillId="0" borderId="0" xfId="4" applyFont="1" applyAlignment="1">
      <alignment horizontal="right"/>
    </xf>
    <xf numFmtId="0" fontId="5" fillId="0" borderId="0" xfId="1" applyFont="1" applyAlignment="1">
      <alignment shrinkToFit="1"/>
    </xf>
    <xf numFmtId="0" fontId="5" fillId="0" borderId="3" xfId="1" applyFont="1" applyBorder="1" applyAlignment="1">
      <alignment vertical="top"/>
    </xf>
    <xf numFmtId="0" fontId="5" fillId="0" borderId="5" xfId="1" applyFont="1" applyBorder="1" applyAlignment="1">
      <alignment vertical="top"/>
    </xf>
    <xf numFmtId="0" fontId="5" fillId="0" borderId="5" xfId="1" applyFont="1" applyBorder="1" applyAlignment="1">
      <alignment vertical="top" shrinkToFit="1"/>
    </xf>
    <xf numFmtId="165" fontId="4" fillId="0" borderId="5" xfId="2" applyNumberFormat="1" applyFont="1" applyFill="1" applyBorder="1" applyAlignment="1">
      <alignment vertical="top" shrinkToFit="1"/>
    </xf>
    <xf numFmtId="165" fontId="4" fillId="0" borderId="5" xfId="2" applyNumberFormat="1" applyFont="1" applyFill="1" applyBorder="1" applyAlignment="1">
      <alignment horizontal="center" vertical="top" shrinkToFit="1"/>
    </xf>
    <xf numFmtId="165" fontId="5" fillId="0" borderId="5" xfId="1" applyNumberFormat="1" applyFont="1" applyBorder="1" applyAlignment="1">
      <alignment vertical="center"/>
    </xf>
    <xf numFmtId="2" fontId="5" fillId="0" borderId="5" xfId="1" applyNumberFormat="1" applyFont="1" applyBorder="1" applyAlignment="1">
      <alignment vertical="center"/>
    </xf>
    <xf numFmtId="43" fontId="5" fillId="0" borderId="5" xfId="4" applyFont="1" applyBorder="1" applyAlignment="1">
      <alignment vertical="center"/>
    </xf>
    <xf numFmtId="0" fontId="4" fillId="6" borderId="1" xfId="1" applyFont="1" applyFill="1" applyBorder="1" applyAlignment="1">
      <alignment horizontal="right" vertical="center" shrinkToFit="1"/>
    </xf>
    <xf numFmtId="165" fontId="4" fillId="6" borderId="5" xfId="2" applyNumberFormat="1" applyFont="1" applyFill="1" applyBorder="1" applyAlignment="1">
      <alignment vertical="center" shrinkToFit="1"/>
    </xf>
    <xf numFmtId="2" fontId="4" fillId="6" borderId="5" xfId="1" applyNumberFormat="1" applyFont="1" applyFill="1" applyBorder="1" applyAlignment="1">
      <alignment vertical="center"/>
    </xf>
    <xf numFmtId="43" fontId="5" fillId="0" borderId="5" xfId="4" applyFont="1" applyBorder="1" applyAlignment="1">
      <alignment vertical="top"/>
    </xf>
    <xf numFmtId="165" fontId="5" fillId="0" borderId="0" xfId="1" applyNumberFormat="1" applyFont="1" applyAlignment="1">
      <alignment vertical="center"/>
    </xf>
    <xf numFmtId="43" fontId="5" fillId="0" borderId="5" xfId="1" applyNumberFormat="1" applyFont="1" applyBorder="1" applyAlignment="1">
      <alignment vertical="center"/>
    </xf>
    <xf numFmtId="43" fontId="5" fillId="0" borderId="5" xfId="4" applyFont="1" applyFill="1" applyBorder="1" applyAlignment="1">
      <alignment vertical="center"/>
    </xf>
    <xf numFmtId="164" fontId="5" fillId="0" borderId="5" xfId="1" applyNumberFormat="1" applyFont="1" applyBorder="1" applyAlignment="1">
      <alignment vertical="center"/>
    </xf>
    <xf numFmtId="0" fontId="5" fillId="6" borderId="4" xfId="1" applyFont="1" applyFill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5" xfId="1" applyFont="1" applyFill="1" applyBorder="1" applyAlignment="1">
      <alignment horizontal="right" vertical="center"/>
    </xf>
    <xf numFmtId="2" fontId="5" fillId="6" borderId="5" xfId="1" applyNumberFormat="1" applyFont="1" applyFill="1" applyBorder="1" applyAlignment="1">
      <alignment vertical="center"/>
    </xf>
    <xf numFmtId="0" fontId="4" fillId="4" borderId="20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/>
    </xf>
    <xf numFmtId="0" fontId="4" fillId="4" borderId="4" xfId="1" applyFont="1" applyFill="1" applyBorder="1" applyAlignment="1">
      <alignment vertical="center" shrinkToFit="1"/>
    </xf>
    <xf numFmtId="165" fontId="4" fillId="4" borderId="4" xfId="2" applyNumberFormat="1" applyFont="1" applyFill="1" applyBorder="1" applyAlignment="1">
      <alignment vertical="center" shrinkToFit="1"/>
    </xf>
    <xf numFmtId="0" fontId="5" fillId="0" borderId="4" xfId="1" applyFont="1" applyBorder="1" applyAlignment="1">
      <alignment vertical="top"/>
    </xf>
    <xf numFmtId="0" fontId="4" fillId="0" borderId="4" xfId="1" applyFont="1" applyBorder="1" applyAlignment="1">
      <alignment horizontal="right" vertical="center"/>
    </xf>
    <xf numFmtId="43" fontId="8" fillId="0" borderId="4" xfId="4" applyFont="1" applyFill="1" applyBorder="1" applyAlignment="1">
      <alignment vertical="center"/>
    </xf>
    <xf numFmtId="2" fontId="5" fillId="0" borderId="4" xfId="1" applyNumberFormat="1" applyFont="1" applyBorder="1" applyAlignment="1">
      <alignment vertical="center"/>
    </xf>
    <xf numFmtId="0" fontId="5" fillId="0" borderId="18" xfId="1" applyFont="1" applyBorder="1" applyAlignment="1">
      <alignment vertical="center"/>
    </xf>
    <xf numFmtId="43" fontId="4" fillId="0" borderId="0" xfId="4" applyFont="1" applyAlignment="1">
      <alignment vertical="center"/>
    </xf>
    <xf numFmtId="43" fontId="4" fillId="0" borderId="0" xfId="4" applyFont="1" applyFill="1" applyAlignment="1">
      <alignment vertical="center"/>
    </xf>
    <xf numFmtId="0" fontId="5" fillId="0" borderId="18" xfId="1" applyFont="1" applyBorder="1" applyAlignment="1">
      <alignment vertical="top"/>
    </xf>
    <xf numFmtId="165" fontId="4" fillId="6" borderId="5" xfId="2" applyNumberFormat="1" applyFont="1" applyFill="1" applyBorder="1" applyAlignment="1">
      <alignment horizontal="center" vertical="center" shrinkToFit="1"/>
    </xf>
    <xf numFmtId="0" fontId="2" fillId="0" borderId="5" xfId="17" applyFont="1" applyBorder="1" applyAlignment="1">
      <alignment horizontal="center" vertical="center" wrapText="1"/>
    </xf>
    <xf numFmtId="0" fontId="8" fillId="0" borderId="5" xfId="17" applyFont="1" applyBorder="1" applyAlignment="1">
      <alignment horizontal="center" vertical="top"/>
    </xf>
    <xf numFmtId="0" fontId="8" fillId="0" borderId="0" xfId="17" applyFont="1" applyAlignment="1">
      <alignment horizontal="left" vertical="top"/>
    </xf>
    <xf numFmtId="0" fontId="8" fillId="0" borderId="0" xfId="17" applyFont="1" applyAlignment="1">
      <alignment vertical="top"/>
    </xf>
    <xf numFmtId="0" fontId="5" fillId="0" borderId="5" xfId="17" applyFont="1" applyBorder="1" applyAlignment="1">
      <alignment horizontal="center" vertical="top"/>
    </xf>
    <xf numFmtId="0" fontId="5" fillId="0" borderId="5" xfId="17" applyFont="1" applyBorder="1" applyAlignment="1">
      <alignment horizontal="left" vertical="top" wrapText="1"/>
    </xf>
    <xf numFmtId="0" fontId="8" fillId="0" borderId="0" xfId="17" applyFont="1" applyAlignment="1">
      <alignment horizontal="center" vertical="top"/>
    </xf>
    <xf numFmtId="0" fontId="22" fillId="0" borderId="0" xfId="17" applyFont="1" applyAlignment="1">
      <alignment vertical="top"/>
    </xf>
    <xf numFmtId="0" fontId="22" fillId="0" borderId="0" xfId="17" applyFont="1" applyAlignment="1">
      <alignment horizontal="right" vertical="top"/>
    </xf>
    <xf numFmtId="4" fontId="8" fillId="0" borderId="0" xfId="17" applyNumberFormat="1" applyFont="1" applyAlignment="1">
      <alignment horizontal="right" vertical="top"/>
    </xf>
    <xf numFmtId="0" fontId="8" fillId="0" borderId="0" xfId="17" applyFont="1" applyAlignment="1">
      <alignment horizontal="right" vertical="top"/>
    </xf>
    <xf numFmtId="0" fontId="22" fillId="0" borderId="0" xfId="17" applyFont="1" applyAlignment="1">
      <alignment horizontal="left" vertical="top"/>
    </xf>
    <xf numFmtId="0" fontId="5" fillId="0" borderId="0" xfId="0" applyFont="1"/>
    <xf numFmtId="0" fontId="4" fillId="0" borderId="0" xfId="0" applyFont="1" applyAlignment="1">
      <alignment horizontal="center"/>
    </xf>
    <xf numFmtId="43" fontId="5" fillId="0" borderId="0" xfId="4" applyFont="1" applyFill="1"/>
    <xf numFmtId="43" fontId="4" fillId="0" borderId="0" xfId="2" applyFont="1" applyFill="1" applyAlignment="1">
      <alignment horizontal="right"/>
    </xf>
    <xf numFmtId="9" fontId="13" fillId="2" borderId="0" xfId="3" applyFont="1" applyFill="1" applyBorder="1" applyAlignment="1">
      <alignment horizontal="right" shrinkToFit="1"/>
    </xf>
    <xf numFmtId="0" fontId="14" fillId="0" borderId="0" xfId="10" applyFont="1" applyAlignment="1">
      <alignment horizontal="center" vertical="center"/>
    </xf>
    <xf numFmtId="0" fontId="5" fillId="0" borderId="0" xfId="10" applyFont="1" applyAlignment="1">
      <alignment horizontal="center" vertical="center"/>
    </xf>
    <xf numFmtId="0" fontId="5" fillId="0" borderId="0" xfId="10" applyFont="1" applyAlignment="1">
      <alignment vertical="center"/>
    </xf>
    <xf numFmtId="0" fontId="4" fillId="0" borderId="0" xfId="10" applyFont="1" applyAlignment="1">
      <alignment horizontal="center" vertical="center"/>
    </xf>
    <xf numFmtId="43" fontId="5" fillId="0" borderId="0" xfId="4" applyFont="1" applyAlignment="1">
      <alignment vertical="center"/>
    </xf>
    <xf numFmtId="43" fontId="11" fillId="0" borderId="0" xfId="10" applyNumberFormat="1" applyFont="1" applyAlignment="1">
      <alignment horizontal="left" vertical="center"/>
    </xf>
    <xf numFmtId="0" fontId="11" fillId="0" borderId="0" xfId="10" applyFont="1" applyAlignment="1">
      <alignment horizontal="center" vertical="center"/>
    </xf>
    <xf numFmtId="0" fontId="5" fillId="0" borderId="0" xfId="10" applyFont="1" applyAlignment="1">
      <alignment horizontal="right" vertical="center"/>
    </xf>
    <xf numFmtId="43" fontId="5" fillId="0" borderId="5" xfId="18" applyFont="1" applyFill="1" applyBorder="1" applyAlignment="1">
      <alignment horizontal="left" vertical="top"/>
    </xf>
    <xf numFmtId="43" fontId="44" fillId="0" borderId="0" xfId="4" applyFont="1" applyFill="1"/>
    <xf numFmtId="0" fontId="5" fillId="0" borderId="0" xfId="0" applyFont="1" applyAlignment="1">
      <alignment vertical="top"/>
    </xf>
    <xf numFmtId="49" fontId="4" fillId="0" borderId="5" xfId="2" applyNumberFormat="1" applyFont="1" applyFill="1" applyBorder="1" applyAlignment="1">
      <alignment horizontal="center"/>
    </xf>
    <xf numFmtId="43" fontId="4" fillId="0" borderId="5" xfId="4" applyFont="1" applyBorder="1" applyAlignment="1">
      <alignment vertical="center"/>
    </xf>
    <xf numFmtId="0" fontId="4" fillId="6" borderId="5" xfId="1" applyFont="1" applyFill="1" applyBorder="1" applyAlignment="1">
      <alignment horizontal="right" vertical="center" shrinkToFit="1"/>
    </xf>
    <xf numFmtId="43" fontId="4" fillId="0" borderId="5" xfId="4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165" fontId="4" fillId="12" borderId="5" xfId="2" applyNumberFormat="1" applyFont="1" applyFill="1" applyBorder="1" applyAlignment="1">
      <alignment vertical="center" shrinkToFit="1"/>
    </xf>
    <xf numFmtId="4" fontId="45" fillId="12" borderId="5" xfId="10" applyNumberFormat="1" applyFont="1" applyFill="1" applyBorder="1" applyAlignment="1">
      <alignment horizontal="center" vertical="center"/>
    </xf>
    <xf numFmtId="4" fontId="4" fillId="12" borderId="5" xfId="10" applyNumberFormat="1" applyFont="1" applyFill="1" applyBorder="1" applyAlignment="1">
      <alignment horizontal="center" vertical="center"/>
    </xf>
    <xf numFmtId="0" fontId="5" fillId="0" borderId="8" xfId="1" applyFont="1" applyBorder="1" applyAlignment="1">
      <alignment vertical="center"/>
    </xf>
    <xf numFmtId="0" fontId="8" fillId="0" borderId="56" xfId="0" applyFont="1" applyBorder="1" applyAlignment="1">
      <alignment horizontal="center" vertical="top"/>
    </xf>
    <xf numFmtId="0" fontId="8" fillId="0" borderId="56" xfId="0" applyFont="1" applyBorder="1" applyAlignment="1">
      <alignment vertical="top"/>
    </xf>
    <xf numFmtId="0" fontId="22" fillId="0" borderId="56" xfId="17" applyFont="1" applyBorder="1" applyAlignment="1">
      <alignment horizontal="left" vertical="top" wrapText="1"/>
    </xf>
    <xf numFmtId="0" fontId="8" fillId="0" borderId="56" xfId="17" applyFont="1" applyBorder="1" applyAlignment="1">
      <alignment horizontal="left" vertical="top"/>
    </xf>
    <xf numFmtId="43" fontId="8" fillId="0" borderId="56" xfId="18" applyFont="1" applyBorder="1" applyAlignment="1">
      <alignment horizontal="right" vertical="top"/>
    </xf>
    <xf numFmtId="0" fontId="8" fillId="0" borderId="56" xfId="17" applyFont="1" applyBorder="1" applyAlignment="1">
      <alignment horizontal="center" vertical="top"/>
    </xf>
    <xf numFmtId="0" fontId="8" fillId="0" borderId="56" xfId="0" applyFont="1" applyBorder="1" applyAlignment="1">
      <alignment horizontal="left" vertical="top"/>
    </xf>
    <xf numFmtId="0" fontId="22" fillId="0" borderId="56" xfId="17" applyFont="1" applyBorder="1" applyAlignment="1">
      <alignment horizontal="left" vertical="top"/>
    </xf>
    <xf numFmtId="0" fontId="22" fillId="0" borderId="56" xfId="17" applyFont="1" applyBorder="1" applyAlignment="1">
      <alignment horizontal="center" vertical="top"/>
    </xf>
    <xf numFmtId="0" fontId="8" fillId="30" borderId="56" xfId="0" applyFont="1" applyFill="1" applyBorder="1"/>
    <xf numFmtId="0" fontId="8" fillId="0" borderId="56" xfId="17" applyFont="1" applyBorder="1" applyAlignment="1">
      <alignment horizontal="left" vertical="top" wrapText="1"/>
    </xf>
    <xf numFmtId="0" fontId="5" fillId="0" borderId="56" xfId="17" applyFont="1" applyBorder="1" applyAlignment="1">
      <alignment horizontal="left" vertical="top" wrapText="1"/>
    </xf>
    <xf numFmtId="0" fontId="5" fillId="0" borderId="56" xfId="17" applyFont="1" applyBorder="1" applyAlignment="1">
      <alignment horizontal="center" vertical="top"/>
    </xf>
    <xf numFmtId="4" fontId="8" fillId="0" borderId="56" xfId="17" applyNumberFormat="1" applyFont="1" applyBorder="1" applyAlignment="1">
      <alignment horizontal="right" vertical="top"/>
    </xf>
    <xf numFmtId="43" fontId="5" fillId="0" borderId="56" xfId="18" applyFont="1" applyFill="1" applyBorder="1" applyAlignment="1">
      <alignment horizontal="left" vertical="top"/>
    </xf>
    <xf numFmtId="0" fontId="8" fillId="0" borderId="56" xfId="17" applyFont="1" applyBorder="1" applyAlignment="1">
      <alignment vertical="top"/>
    </xf>
    <xf numFmtId="0" fontId="22" fillId="0" borderId="56" xfId="17" applyFont="1" applyBorder="1" applyAlignment="1">
      <alignment vertical="top"/>
    </xf>
    <xf numFmtId="0" fontId="5" fillId="0" borderId="56" xfId="17" applyFont="1" applyBorder="1" applyAlignment="1">
      <alignment vertical="top"/>
    </xf>
    <xf numFmtId="0" fontId="5" fillId="0" borderId="56" xfId="0" applyFont="1" applyBorder="1" applyAlignment="1">
      <alignment horizontal="center" vertical="top"/>
    </xf>
    <xf numFmtId="43" fontId="8" fillId="0" borderId="56" xfId="4" applyFont="1" applyBorder="1" applyAlignment="1">
      <alignment vertical="top"/>
    </xf>
    <xf numFmtId="0" fontId="2" fillId="0" borderId="56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2" fillId="0" borderId="56" xfId="0" applyFont="1" applyBorder="1" applyAlignment="1">
      <alignment horizontal="center" vertical="center"/>
    </xf>
    <xf numFmtId="43" fontId="2" fillId="0" borderId="56" xfId="4" applyFont="1" applyBorder="1" applyAlignment="1">
      <alignment horizontal="center" vertical="center"/>
    </xf>
    <xf numFmtId="0" fontId="2" fillId="30" borderId="56" xfId="0" applyFont="1" applyFill="1" applyBorder="1" applyAlignment="1">
      <alignment horizontal="center"/>
    </xf>
    <xf numFmtId="0" fontId="2" fillId="30" borderId="56" xfId="0" applyFont="1" applyFill="1" applyBorder="1"/>
    <xf numFmtId="43" fontId="8" fillId="30" borderId="56" xfId="4" applyFont="1" applyFill="1" applyBorder="1" applyAlignment="1"/>
    <xf numFmtId="0" fontId="11" fillId="0" borderId="56" xfId="17" applyFont="1" applyBorder="1" applyAlignment="1">
      <alignment vertical="top"/>
    </xf>
    <xf numFmtId="0" fontId="2" fillId="0" borderId="56" xfId="17" applyFont="1" applyBorder="1" applyAlignment="1">
      <alignment horizontal="center" vertical="center" wrapText="1"/>
    </xf>
    <xf numFmtId="0" fontId="11" fillId="0" borderId="0" xfId="17" applyFont="1" applyAlignment="1">
      <alignment vertical="top"/>
    </xf>
    <xf numFmtId="0" fontId="5" fillId="0" borderId="0" xfId="17" applyFont="1" applyAlignment="1">
      <alignment vertical="top"/>
    </xf>
    <xf numFmtId="4" fontId="49" fillId="0" borderId="0" xfId="17" applyNumberFormat="1" applyFont="1" applyAlignment="1">
      <alignment horizontal="right" vertical="top"/>
    </xf>
    <xf numFmtId="0" fontId="8" fillId="0" borderId="57" xfId="17" applyFont="1" applyBorder="1" applyAlignment="1">
      <alignment vertical="top"/>
    </xf>
    <xf numFmtId="0" fontId="2" fillId="0" borderId="58" xfId="17" applyFont="1" applyBorder="1" applyAlignment="1">
      <alignment horizontal="center" vertical="center" wrapText="1"/>
    </xf>
    <xf numFmtId="0" fontId="2" fillId="0" borderId="58" xfId="17" applyFont="1" applyBorder="1" applyAlignment="1">
      <alignment horizontal="center" vertical="top" wrapText="1"/>
    </xf>
    <xf numFmtId="43" fontId="5" fillId="0" borderId="56" xfId="4" applyFont="1" applyFill="1" applyBorder="1" applyAlignment="1">
      <alignment horizontal="center" vertical="top"/>
    </xf>
    <xf numFmtId="0" fontId="5" fillId="0" borderId="56" xfId="0" applyFont="1" applyBorder="1" applyAlignment="1">
      <alignment vertical="top" wrapText="1"/>
    </xf>
    <xf numFmtId="0" fontId="22" fillId="0" borderId="56" xfId="0" applyFont="1" applyBorder="1" applyAlignment="1">
      <alignment vertical="top" wrapText="1"/>
    </xf>
    <xf numFmtId="0" fontId="22" fillId="0" borderId="56" xfId="0" applyFont="1" applyBorder="1" applyAlignment="1">
      <alignment horizontal="center" vertical="top" wrapText="1"/>
    </xf>
    <xf numFmtId="0" fontId="8" fillId="0" borderId="57" xfId="17" applyFont="1" applyBorder="1" applyAlignment="1">
      <alignment horizontal="right" vertical="top"/>
    </xf>
    <xf numFmtId="0" fontId="2" fillId="0" borderId="0" xfId="17" applyFont="1" applyAlignment="1">
      <alignment vertical="top"/>
    </xf>
    <xf numFmtId="0" fontId="2" fillId="0" borderId="56" xfId="17" applyFont="1" applyBorder="1" applyAlignment="1">
      <alignment horizontal="center" vertical="top" wrapText="1"/>
    </xf>
    <xf numFmtId="43" fontId="8" fillId="0" borderId="56" xfId="4" applyFont="1" applyBorder="1" applyAlignment="1">
      <alignment horizontal="right" vertical="top"/>
    </xf>
    <xf numFmtId="0" fontId="8" fillId="0" borderId="56" xfId="0" applyFont="1" applyBorder="1" applyAlignment="1">
      <alignment vertical="center" wrapText="1"/>
    </xf>
    <xf numFmtId="0" fontId="8" fillId="0" borderId="56" xfId="0" applyFont="1" applyBorder="1" applyAlignment="1">
      <alignment vertical="center"/>
    </xf>
    <xf numFmtId="0" fontId="8" fillId="0" borderId="56" xfId="0" applyFont="1" applyBorder="1" applyAlignment="1">
      <alignment vertical="top" wrapText="1"/>
    </xf>
    <xf numFmtId="4" fontId="5" fillId="0" borderId="56" xfId="17" applyNumberFormat="1" applyFont="1" applyBorder="1" applyAlignment="1">
      <alignment horizontal="right" vertical="top"/>
    </xf>
    <xf numFmtId="0" fontId="5" fillId="0" borderId="56" xfId="17" applyFont="1" applyBorder="1" applyAlignment="1">
      <alignment horizontal="left" vertical="top"/>
    </xf>
    <xf numFmtId="43" fontId="5" fillId="0" borderId="56" xfId="4" applyFont="1" applyBorder="1" applyAlignment="1">
      <alignment horizontal="right" vertical="top"/>
    </xf>
    <xf numFmtId="0" fontId="5" fillId="0" borderId="56" xfId="17" applyFont="1" applyBorder="1" applyAlignment="1">
      <alignment vertical="top" wrapText="1"/>
    </xf>
    <xf numFmtId="43" fontId="8" fillId="0" borderId="56" xfId="4" applyFont="1" applyBorder="1" applyAlignment="1">
      <alignment horizontal="left"/>
    </xf>
    <xf numFmtId="0" fontId="8" fillId="0" borderId="56" xfId="17" applyFont="1" applyBorder="1"/>
    <xf numFmtId="43" fontId="8" fillId="0" borderId="56" xfId="4" applyFont="1" applyBorder="1" applyAlignment="1">
      <alignment horizontal="left" vertical="top"/>
    </xf>
    <xf numFmtId="4" fontId="22" fillId="0" borderId="56" xfId="0" applyNumberFormat="1" applyFont="1" applyBorder="1" applyAlignment="1">
      <alignment horizontal="center" vertical="top" wrapText="1"/>
    </xf>
    <xf numFmtId="43" fontId="4" fillId="4" borderId="56" xfId="2" applyFont="1" applyFill="1" applyBorder="1" applyAlignment="1">
      <alignment vertical="center"/>
    </xf>
    <xf numFmtId="165" fontId="4" fillId="4" borderId="56" xfId="2" applyNumberFormat="1" applyFont="1" applyFill="1" applyBorder="1" applyAlignment="1">
      <alignment vertical="center" shrinkToFit="1"/>
    </xf>
    <xf numFmtId="43" fontId="4" fillId="4" borderId="62" xfId="2" applyFont="1" applyFill="1" applyBorder="1" applyAlignment="1">
      <alignment vertical="center"/>
    </xf>
    <xf numFmtId="165" fontId="4" fillId="4" borderId="62" xfId="2" applyNumberFormat="1" applyFont="1" applyFill="1" applyBorder="1" applyAlignment="1">
      <alignment vertical="center" shrinkToFit="1"/>
    </xf>
    <xf numFmtId="165" fontId="4" fillId="0" borderId="62" xfId="2" applyNumberFormat="1" applyFont="1" applyFill="1" applyBorder="1" applyAlignment="1">
      <alignment vertical="center" shrinkToFit="1"/>
    </xf>
    <xf numFmtId="165" fontId="4" fillId="6" borderId="62" xfId="2" applyNumberFormat="1" applyFont="1" applyFill="1" applyBorder="1" applyAlignment="1">
      <alignment vertical="center" shrinkToFit="1"/>
    </xf>
    <xf numFmtId="165" fontId="4" fillId="0" borderId="62" xfId="2" applyNumberFormat="1" applyFont="1" applyFill="1" applyBorder="1" applyAlignment="1">
      <alignment vertical="top" shrinkToFit="1"/>
    </xf>
    <xf numFmtId="165" fontId="4" fillId="4" borderId="17" xfId="2" applyNumberFormat="1" applyFont="1" applyFill="1" applyBorder="1" applyAlignment="1">
      <alignment vertical="center" shrinkToFit="1"/>
    </xf>
    <xf numFmtId="165" fontId="4" fillId="0" borderId="17" xfId="2" applyNumberFormat="1" applyFont="1" applyFill="1" applyBorder="1" applyAlignment="1">
      <alignment vertical="center" shrinkToFit="1"/>
    </xf>
    <xf numFmtId="0" fontId="5" fillId="0" borderId="56" xfId="1" applyFont="1" applyBorder="1" applyAlignment="1">
      <alignment vertical="center"/>
    </xf>
    <xf numFmtId="43" fontId="4" fillId="0" borderId="56" xfId="4" applyFont="1" applyBorder="1" applyAlignment="1">
      <alignment vertical="center"/>
    </xf>
    <xf numFmtId="43" fontId="4" fillId="0" borderId="0" xfId="4" applyFont="1" applyFill="1"/>
    <xf numFmtId="43" fontId="4" fillId="4" borderId="62" xfId="4" applyFont="1" applyFill="1" applyBorder="1" applyAlignment="1">
      <alignment vertical="center"/>
    </xf>
    <xf numFmtId="43" fontId="4" fillId="4" borderId="62" xfId="4" applyFont="1" applyFill="1" applyBorder="1" applyAlignment="1">
      <alignment vertical="center" shrinkToFit="1"/>
    </xf>
    <xf numFmtId="43" fontId="4" fillId="0" borderId="0" xfId="4" applyFont="1" applyFill="1" applyBorder="1" applyAlignment="1">
      <alignment horizontal="right" shrinkToFit="1"/>
    </xf>
    <xf numFmtId="43" fontId="4" fillId="0" borderId="0" xfId="4" applyFont="1" applyFill="1" applyAlignment="1">
      <alignment horizontal="left" shrinkToFit="1"/>
    </xf>
    <xf numFmtId="43" fontId="5" fillId="0" borderId="0" xfId="4" applyFont="1" applyFill="1" applyAlignment="1"/>
    <xf numFmtId="43" fontId="4" fillId="6" borderId="56" xfId="4" applyFont="1" applyFill="1" applyBorder="1" applyAlignment="1">
      <alignment vertical="center"/>
    </xf>
    <xf numFmtId="49" fontId="4" fillId="0" borderId="0" xfId="4" applyNumberFormat="1" applyFont="1" applyFill="1" applyAlignment="1">
      <alignment horizontal="center"/>
    </xf>
    <xf numFmtId="165" fontId="4" fillId="0" borderId="62" xfId="2" applyNumberFormat="1" applyFont="1" applyFill="1" applyBorder="1" applyAlignment="1">
      <alignment horizontal="center" vertical="center" shrinkToFit="1"/>
    </xf>
    <xf numFmtId="165" fontId="2" fillId="0" borderId="62" xfId="2" applyNumberFormat="1" applyFont="1" applyFill="1" applyBorder="1" applyAlignment="1">
      <alignment horizontal="center" vertical="center" shrinkToFit="1"/>
    </xf>
    <xf numFmtId="165" fontId="4" fillId="4" borderId="62" xfId="2" applyNumberFormat="1" applyFont="1" applyFill="1" applyBorder="1" applyAlignment="1">
      <alignment horizontal="center" vertical="center" shrinkToFit="1"/>
    </xf>
    <xf numFmtId="165" fontId="4" fillId="0" borderId="16" xfId="2" applyNumberFormat="1" applyFont="1" applyFill="1" applyBorder="1" applyAlignment="1">
      <alignment vertical="center" shrinkToFit="1"/>
    </xf>
    <xf numFmtId="49" fontId="13" fillId="0" borderId="0" xfId="2" applyNumberFormat="1" applyFont="1" applyFill="1" applyAlignment="1">
      <alignment horizontal="center" shrinkToFit="1"/>
    </xf>
    <xf numFmtId="49" fontId="13" fillId="0" borderId="0" xfId="2" applyNumberFormat="1" applyFont="1" applyFill="1" applyBorder="1" applyAlignment="1">
      <alignment horizontal="center" shrinkToFit="1"/>
    </xf>
    <xf numFmtId="43" fontId="13" fillId="2" borderId="5" xfId="4" applyFont="1" applyFill="1" applyBorder="1" applyAlignment="1">
      <alignment horizontal="right" shrinkToFit="1"/>
    </xf>
    <xf numFmtId="0" fontId="4" fillId="4" borderId="64" xfId="1" applyFont="1" applyFill="1" applyBorder="1" applyAlignment="1">
      <alignment vertical="center"/>
    </xf>
    <xf numFmtId="0" fontId="22" fillId="0" borderId="56" xfId="0" applyFont="1" applyBorder="1" applyAlignment="1">
      <alignment horizontal="center" vertical="center" wrapText="1"/>
    </xf>
    <xf numFmtId="0" fontId="22" fillId="0" borderId="56" xfId="0" applyFont="1" applyBorder="1" applyAlignment="1">
      <alignment vertical="center" wrapText="1"/>
    </xf>
    <xf numFmtId="3" fontId="22" fillId="0" borderId="56" xfId="0" applyNumberFormat="1" applyFont="1" applyBorder="1" applyAlignment="1">
      <alignment horizontal="right" vertical="center" wrapText="1"/>
    </xf>
    <xf numFmtId="3" fontId="22" fillId="0" borderId="56" xfId="0" applyNumberFormat="1" applyFont="1" applyBorder="1" applyAlignment="1">
      <alignment horizontal="right" vertical="top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3" fontId="22" fillId="0" borderId="0" xfId="0" applyNumberFormat="1" applyFont="1" applyAlignment="1">
      <alignment horizontal="right" vertical="center" wrapText="1"/>
    </xf>
    <xf numFmtId="43" fontId="8" fillId="0" borderId="56" xfId="4" applyFont="1" applyBorder="1" applyAlignment="1">
      <alignment vertical="center"/>
    </xf>
    <xf numFmtId="0" fontId="8" fillId="0" borderId="56" xfId="0" applyFont="1" applyBorder="1" applyAlignment="1">
      <alignment horizontal="left" vertical="center"/>
    </xf>
    <xf numFmtId="0" fontId="22" fillId="0" borderId="56" xfId="0" applyFont="1" applyBorder="1" applyAlignment="1">
      <alignment horizontal="left"/>
    </xf>
    <xf numFmtId="0" fontId="22" fillId="0" borderId="56" xfId="0" applyFont="1" applyBorder="1" applyAlignment="1">
      <alignment horizontal="center"/>
    </xf>
    <xf numFmtId="4" fontId="8" fillId="0" borderId="56" xfId="0" applyNumberFormat="1" applyFont="1" applyBorder="1" applyAlignment="1">
      <alignment horizontal="right"/>
    </xf>
    <xf numFmtId="4" fontId="22" fillId="0" borderId="56" xfId="0" applyNumberFormat="1" applyFont="1" applyBorder="1" applyAlignment="1">
      <alignment horizontal="right"/>
    </xf>
    <xf numFmtId="0" fontId="22" fillId="0" borderId="56" xfId="0" applyFont="1" applyBorder="1" applyAlignment="1">
      <alignment horizontal="left" vertical="top"/>
    </xf>
    <xf numFmtId="0" fontId="22" fillId="0" borderId="56" xfId="0" applyFont="1" applyBorder="1" applyAlignment="1">
      <alignment horizontal="center" vertical="top"/>
    </xf>
    <xf numFmtId="4" fontId="22" fillId="0" borderId="56" xfId="0" applyNumberFormat="1" applyFont="1" applyBorder="1" applyAlignment="1">
      <alignment horizontal="right" vertical="top"/>
    </xf>
    <xf numFmtId="0" fontId="22" fillId="0" borderId="56" xfId="0" applyFont="1" applyBorder="1" applyAlignment="1">
      <alignment horizontal="left" vertical="top" wrapText="1"/>
    </xf>
    <xf numFmtId="0" fontId="4" fillId="0" borderId="0" xfId="0" applyFont="1" applyAlignment="1">
      <alignment vertical="top"/>
    </xf>
    <xf numFmtId="43" fontId="5" fillId="0" borderId="56" xfId="4" applyFont="1" applyFill="1" applyBorder="1" applyAlignment="1">
      <alignment horizontal="center"/>
    </xf>
    <xf numFmtId="0" fontId="5" fillId="0" borderId="56" xfId="0" applyFont="1" applyBorder="1"/>
    <xf numFmtId="165" fontId="4" fillId="0" borderId="56" xfId="2" applyNumberFormat="1" applyFont="1" applyFill="1" applyBorder="1" applyAlignment="1">
      <alignment horizontal="right" vertical="center" shrinkToFit="1"/>
    </xf>
    <xf numFmtId="165" fontId="4" fillId="0" borderId="56" xfId="2" applyNumberFormat="1" applyFont="1" applyFill="1" applyBorder="1" applyAlignment="1">
      <alignment horizontal="center" vertical="center" shrinkToFit="1"/>
    </xf>
    <xf numFmtId="165" fontId="4" fillId="6" borderId="56" xfId="2" applyNumberFormat="1" applyFont="1" applyFill="1" applyBorder="1" applyAlignment="1">
      <alignment vertical="center" shrinkToFit="1"/>
    </xf>
    <xf numFmtId="165" fontId="4" fillId="4" borderId="56" xfId="2" applyNumberFormat="1" applyFont="1" applyFill="1" applyBorder="1" applyAlignment="1">
      <alignment horizontal="center" vertical="center" shrinkToFit="1"/>
    </xf>
    <xf numFmtId="166" fontId="4" fillId="0" borderId="56" xfId="4" applyNumberFormat="1" applyFont="1" applyBorder="1" applyAlignment="1">
      <alignment vertical="center"/>
    </xf>
    <xf numFmtId="43" fontId="8" fillId="0" borderId="56" xfId="17" applyNumberFormat="1" applyFont="1" applyBorder="1" applyAlignment="1">
      <alignment horizontal="right" vertical="top"/>
    </xf>
    <xf numFmtId="0" fontId="5" fillId="0" borderId="56" xfId="0" applyFont="1" applyBorder="1" applyAlignment="1">
      <alignment vertical="top"/>
    </xf>
    <xf numFmtId="43" fontId="22" fillId="0" borderId="56" xfId="4" applyFont="1" applyBorder="1" applyAlignment="1">
      <alignment horizontal="center" vertical="top"/>
    </xf>
    <xf numFmtId="166" fontId="8" fillId="0" borderId="56" xfId="0" applyNumberFormat="1" applyFont="1" applyBorder="1" applyAlignment="1">
      <alignment vertical="top"/>
    </xf>
    <xf numFmtId="166" fontId="8" fillId="0" borderId="56" xfId="4" applyNumberFormat="1" applyFont="1" applyBorder="1" applyAlignment="1">
      <alignment vertical="top"/>
    </xf>
    <xf numFmtId="0" fontId="2" fillId="0" borderId="56" xfId="0" applyFont="1" applyBorder="1" applyAlignment="1">
      <alignment vertical="top"/>
    </xf>
    <xf numFmtId="43" fontId="5" fillId="0" borderId="56" xfId="18" applyFont="1" applyFill="1" applyBorder="1" applyAlignment="1">
      <alignment horizontal="right" vertical="top"/>
    </xf>
    <xf numFmtId="43" fontId="5" fillId="0" borderId="56" xfId="4" applyFont="1" applyFill="1" applyBorder="1" applyAlignment="1">
      <alignment horizontal="right" vertical="top"/>
    </xf>
    <xf numFmtId="0" fontId="9" fillId="0" borderId="0" xfId="0" applyFont="1" applyAlignment="1">
      <alignment vertical="top"/>
    </xf>
    <xf numFmtId="0" fontId="2" fillId="0" borderId="56" xfId="0" applyFont="1" applyBorder="1" applyAlignment="1">
      <alignment horizontal="center" vertical="center" wrapText="1"/>
    </xf>
    <xf numFmtId="43" fontId="2" fillId="0" borderId="56" xfId="4" applyFont="1" applyBorder="1" applyAlignment="1">
      <alignment horizontal="center" vertical="center" wrapText="1"/>
    </xf>
    <xf numFmtId="43" fontId="9" fillId="0" borderId="0" xfId="4" applyFont="1" applyBorder="1"/>
    <xf numFmtId="43" fontId="8" fillId="0" borderId="0" xfId="4" applyFont="1" applyBorder="1" applyAlignment="1"/>
    <xf numFmtId="43" fontId="8" fillId="0" borderId="0" xfId="4" applyFont="1" applyBorder="1" applyAlignment="1">
      <alignment wrapText="1"/>
    </xf>
    <xf numFmtId="43" fontId="8" fillId="0" borderId="0" xfId="4" applyFont="1" applyBorder="1"/>
    <xf numFmtId="0" fontId="9" fillId="0" borderId="0" xfId="0" applyFont="1" applyAlignment="1">
      <alignment horizontal="center" vertical="top"/>
    </xf>
    <xf numFmtId="43" fontId="8" fillId="0" borderId="0" xfId="4" applyFont="1" applyBorder="1" applyAlignment="1">
      <alignment vertical="top"/>
    </xf>
    <xf numFmtId="43" fontId="9" fillId="0" borderId="0" xfId="4" applyFont="1" applyBorder="1" applyAlignment="1">
      <alignment vertical="top"/>
    </xf>
    <xf numFmtId="43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43" fontId="2" fillId="0" borderId="0" xfId="4" applyFont="1" applyBorder="1" applyAlignment="1">
      <alignment vertical="top"/>
    </xf>
    <xf numFmtId="43" fontId="5" fillId="0" borderId="0" xfId="4" applyFont="1" applyFill="1" applyBorder="1" applyAlignment="1">
      <alignment vertical="top"/>
    </xf>
    <xf numFmtId="0" fontId="5" fillId="0" borderId="0" xfId="0" applyFont="1" applyAlignment="1">
      <alignment horizontal="center"/>
    </xf>
    <xf numFmtId="43" fontId="44" fillId="0" borderId="0" xfId="4" applyFont="1" applyFill="1" applyBorder="1"/>
    <xf numFmtId="0" fontId="14" fillId="0" borderId="5" xfId="10" applyFont="1" applyBorder="1" applyAlignment="1">
      <alignment horizontal="center" vertical="center" wrapText="1"/>
    </xf>
    <xf numFmtId="0" fontId="14" fillId="0" borderId="5" xfId="10" applyFont="1" applyBorder="1" applyAlignment="1">
      <alignment horizontal="center" vertical="center"/>
    </xf>
    <xf numFmtId="43" fontId="19" fillId="0" borderId="5" xfId="10" applyNumberFormat="1" applyFont="1" applyBorder="1" applyAlignment="1">
      <alignment horizontal="left" vertical="center"/>
    </xf>
    <xf numFmtId="0" fontId="19" fillId="0" borderId="5" xfId="10" applyFont="1" applyBorder="1" applyAlignment="1">
      <alignment horizontal="center" vertical="center"/>
    </xf>
    <xf numFmtId="0" fontId="15" fillId="0" borderId="5" xfId="10" applyFont="1" applyBorder="1" applyAlignment="1">
      <alignment vertical="center"/>
    </xf>
    <xf numFmtId="0" fontId="2" fillId="0" borderId="56" xfId="17" applyFont="1" applyBorder="1" applyAlignment="1">
      <alignment horizontal="center" vertical="top"/>
    </xf>
    <xf numFmtId="0" fontId="8" fillId="0" borderId="56" xfId="17" applyFont="1" applyBorder="1" applyAlignment="1">
      <alignment horizontal="right" vertical="top"/>
    </xf>
    <xf numFmtId="0" fontId="22" fillId="0" borderId="0" xfId="0" applyFont="1" applyAlignment="1">
      <alignment horizontal="center" vertical="top" wrapText="1"/>
    </xf>
    <xf numFmtId="0" fontId="22" fillId="0" borderId="56" xfId="17" applyFont="1" applyBorder="1" applyAlignment="1">
      <alignment horizontal="right" vertical="top"/>
    </xf>
    <xf numFmtId="0" fontId="49" fillId="0" borderId="56" xfId="0" applyFont="1" applyBorder="1" applyAlignment="1">
      <alignment horizontal="center" vertical="center" wrapText="1"/>
    </xf>
    <xf numFmtId="0" fontId="2" fillId="0" borderId="0" xfId="17" applyFont="1" applyAlignment="1">
      <alignment horizontal="center" vertical="top"/>
    </xf>
    <xf numFmtId="0" fontId="2" fillId="0" borderId="57" xfId="17" applyFont="1" applyBorder="1" applyAlignment="1">
      <alignment horizontal="center" vertical="top"/>
    </xf>
    <xf numFmtId="0" fontId="8" fillId="0" borderId="57" xfId="17" applyFont="1" applyBorder="1" applyAlignment="1">
      <alignment horizontal="center" vertical="top"/>
    </xf>
    <xf numFmtId="43" fontId="8" fillId="0" borderId="0" xfId="17" applyNumberFormat="1" applyFont="1" applyAlignment="1">
      <alignment vertical="top"/>
    </xf>
    <xf numFmtId="49" fontId="4" fillId="0" borderId="56" xfId="2" applyNumberFormat="1" applyFont="1" applyFill="1" applyBorder="1" applyAlignment="1">
      <alignment horizontal="center" vertical="center"/>
    </xf>
    <xf numFmtId="165" fontId="4" fillId="6" borderId="56" xfId="2" applyNumberFormat="1" applyFont="1" applyFill="1" applyBorder="1" applyAlignment="1">
      <alignment horizontal="center" vertical="center" shrinkToFit="1"/>
    </xf>
    <xf numFmtId="0" fontId="5" fillId="0" borderId="0" xfId="17" applyFont="1" applyAlignment="1">
      <alignment horizontal="left" vertical="top"/>
    </xf>
    <xf numFmtId="0" fontId="5" fillId="0" borderId="56" xfId="17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43" fontId="5" fillId="0" borderId="56" xfId="4" applyFont="1" applyBorder="1" applyAlignment="1">
      <alignment horizontal="left"/>
    </xf>
    <xf numFmtId="0" fontId="5" fillId="0" borderId="56" xfId="17" applyFont="1" applyBorder="1"/>
    <xf numFmtId="43" fontId="5" fillId="0" borderId="56" xfId="4" applyFont="1" applyBorder="1" applyAlignment="1">
      <alignment horizontal="left" vertical="top"/>
    </xf>
    <xf numFmtId="43" fontId="5" fillId="0" borderId="0" xfId="4" applyFont="1" applyAlignment="1">
      <alignment horizontal="right" vertical="top"/>
    </xf>
    <xf numFmtId="43" fontId="71" fillId="0" borderId="41" xfId="13" applyFont="1" applyFill="1" applyBorder="1" applyAlignment="1">
      <alignment vertical="center"/>
    </xf>
    <xf numFmtId="43" fontId="71" fillId="0" borderId="41" xfId="13" applyFont="1" applyFill="1" applyBorder="1"/>
    <xf numFmtId="43" fontId="71" fillId="0" borderId="41" xfId="13" applyFont="1" applyFill="1" applyBorder="1" applyAlignment="1">
      <alignment vertical="top"/>
    </xf>
    <xf numFmtId="43" fontId="71" fillId="0" borderId="43" xfId="13" applyFont="1" applyFill="1" applyBorder="1" applyAlignment="1">
      <alignment vertical="top"/>
    </xf>
    <xf numFmtId="0" fontId="11" fillId="0" borderId="56" xfId="17" applyFont="1" applyBorder="1" applyAlignment="1">
      <alignment horizontal="left" vertical="top"/>
    </xf>
    <xf numFmtId="0" fontId="5" fillId="12" borderId="56" xfId="0" applyFont="1" applyFill="1" applyBorder="1" applyAlignment="1">
      <alignment horizontal="center" vertical="top"/>
    </xf>
    <xf numFmtId="0" fontId="22" fillId="12" borderId="56" xfId="17" applyFont="1" applyFill="1" applyBorder="1" applyAlignment="1">
      <alignment vertical="top"/>
    </xf>
    <xf numFmtId="0" fontId="8" fillId="12" borderId="0" xfId="17" applyFont="1" applyFill="1" applyAlignment="1">
      <alignment horizontal="left" vertical="top"/>
    </xf>
    <xf numFmtId="0" fontId="8" fillId="12" borderId="0" xfId="17" applyFont="1" applyFill="1" applyAlignment="1">
      <alignment vertical="top"/>
    </xf>
    <xf numFmtId="0" fontId="22" fillId="12" borderId="0" xfId="17" applyFont="1" applyFill="1" applyAlignment="1">
      <alignment vertical="top"/>
    </xf>
    <xf numFmtId="0" fontId="8" fillId="12" borderId="56" xfId="17" applyFont="1" applyFill="1" applyBorder="1" applyAlignment="1">
      <alignment horizontal="center" vertical="top"/>
    </xf>
    <xf numFmtId="0" fontId="5" fillId="12" borderId="56" xfId="0" applyFont="1" applyFill="1" applyBorder="1" applyAlignment="1">
      <alignment vertical="top" wrapText="1"/>
    </xf>
    <xf numFmtId="43" fontId="5" fillId="12" borderId="56" xfId="4" applyFont="1" applyFill="1" applyBorder="1" applyAlignment="1">
      <alignment horizontal="right" vertical="top" wrapText="1" shrinkToFit="1"/>
    </xf>
    <xf numFmtId="0" fontId="5" fillId="12" borderId="56" xfId="0" applyFont="1" applyFill="1" applyBorder="1" applyAlignment="1">
      <alignment horizontal="left" vertical="top" wrapText="1" shrinkToFit="1"/>
    </xf>
    <xf numFmtId="0" fontId="5" fillId="12" borderId="56" xfId="0" applyFont="1" applyFill="1" applyBorder="1" applyAlignment="1">
      <alignment horizontal="center" vertical="top" wrapText="1"/>
    </xf>
    <xf numFmtId="43" fontId="5" fillId="12" borderId="56" xfId="4" applyFont="1" applyFill="1" applyBorder="1" applyAlignment="1">
      <alignment horizontal="center" vertical="top" wrapText="1"/>
    </xf>
    <xf numFmtId="0" fontId="22" fillId="12" borderId="56" xfId="0" applyFont="1" applyFill="1" applyBorder="1" applyAlignment="1">
      <alignment vertical="top" wrapText="1"/>
    </xf>
    <xf numFmtId="0" fontId="22" fillId="12" borderId="56" xfId="0" applyFont="1" applyFill="1" applyBorder="1" applyAlignment="1">
      <alignment horizontal="center" vertical="top" wrapText="1"/>
    </xf>
    <xf numFmtId="43" fontId="8" fillId="12" borderId="56" xfId="4" applyFont="1" applyFill="1" applyBorder="1" applyAlignment="1">
      <alignment horizontal="right" vertical="top"/>
    </xf>
    <xf numFmtId="43" fontId="22" fillId="12" borderId="56" xfId="4" applyFont="1" applyFill="1" applyBorder="1" applyAlignment="1">
      <alignment horizontal="center" vertical="top" wrapText="1"/>
    </xf>
    <xf numFmtId="0" fontId="8" fillId="0" borderId="56" xfId="17" applyFont="1" applyBorder="1" applyAlignment="1">
      <alignment horizontal="center"/>
    </xf>
    <xf numFmtId="0" fontId="8" fillId="0" borderId="56" xfId="0" applyFont="1" applyBorder="1" applyAlignment="1">
      <alignment horizontal="left" shrinkToFit="1"/>
    </xf>
    <xf numFmtId="0" fontId="8" fillId="0" borderId="56" xfId="0" applyFont="1" applyBorder="1" applyAlignment="1">
      <alignment horizontal="left"/>
    </xf>
    <xf numFmtId="0" fontId="8" fillId="0" borderId="56" xfId="0" applyFont="1" applyBorder="1" applyAlignment="1">
      <alignment wrapText="1"/>
    </xf>
    <xf numFmtId="0" fontId="2" fillId="0" borderId="0" xfId="17" applyFont="1" applyAlignment="1">
      <alignment horizontal="center" vertical="center" wrapText="1"/>
    </xf>
    <xf numFmtId="43" fontId="69" fillId="0" borderId="0" xfId="18" applyFont="1" applyFill="1" applyBorder="1" applyAlignment="1">
      <alignment horizontal="left" vertical="top" wrapText="1"/>
    </xf>
    <xf numFmtId="3" fontId="69" fillId="0" borderId="0" xfId="0" applyNumberFormat="1" applyFont="1" applyAlignment="1">
      <alignment horizontal="left" vertical="top" wrapText="1"/>
    </xf>
    <xf numFmtId="3" fontId="9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 wrapText="1"/>
    </xf>
    <xf numFmtId="4" fontId="22" fillId="0" borderId="56" xfId="17" applyNumberFormat="1" applyFont="1" applyBorder="1" applyAlignment="1">
      <alignment horizontal="right" vertical="top"/>
    </xf>
    <xf numFmtId="4" fontId="8" fillId="0" borderId="56" xfId="17" applyNumberFormat="1" applyFont="1" applyBorder="1" applyAlignment="1">
      <alignment horizontal="right"/>
    </xf>
    <xf numFmtId="43" fontId="5" fillId="0" borderId="56" xfId="4" applyFont="1" applyFill="1" applyBorder="1" applyAlignment="1">
      <alignment horizontal="right" vertical="top" wrapText="1" shrinkToFit="1"/>
    </xf>
    <xf numFmtId="43" fontId="5" fillId="0" borderId="56" xfId="11" applyFont="1" applyFill="1" applyBorder="1" applyAlignment="1">
      <alignment horizontal="right" vertical="top" wrapText="1" shrinkToFit="1"/>
    </xf>
    <xf numFmtId="43" fontId="5" fillId="0" borderId="56" xfId="4" applyFont="1" applyFill="1" applyBorder="1" applyAlignment="1">
      <alignment horizontal="center" vertical="top" wrapText="1"/>
    </xf>
    <xf numFmtId="43" fontId="8" fillId="0" borderId="56" xfId="4" applyFont="1" applyFill="1" applyBorder="1" applyAlignment="1">
      <alignment horizontal="right" vertical="top" wrapText="1"/>
    </xf>
    <xf numFmtId="43" fontId="22" fillId="0" borderId="56" xfId="4" applyFont="1" applyFill="1" applyBorder="1" applyAlignment="1">
      <alignment horizontal="center" vertical="top" wrapText="1"/>
    </xf>
    <xf numFmtId="43" fontId="8" fillId="0" borderId="56" xfId="4" applyFont="1" applyFill="1" applyBorder="1" applyAlignment="1">
      <alignment horizontal="right" vertical="top"/>
    </xf>
    <xf numFmtId="0" fontId="8" fillId="0" borderId="56" xfId="17" applyFont="1" applyBorder="1" applyAlignment="1">
      <alignment vertical="top" wrapText="1" shrinkToFit="1"/>
    </xf>
    <xf numFmtId="43" fontId="8" fillId="0" borderId="56" xfId="18" applyFont="1" applyFill="1" applyBorder="1" applyAlignment="1">
      <alignment horizontal="right" vertical="top"/>
    </xf>
    <xf numFmtId="0" fontId="22" fillId="0" borderId="0" xfId="17" applyFont="1" applyAlignment="1">
      <alignment horizontal="center" vertical="top"/>
    </xf>
    <xf numFmtId="0" fontId="22" fillId="0" borderId="0" xfId="0" applyFont="1" applyAlignment="1">
      <alignment vertical="top" wrapText="1"/>
    </xf>
    <xf numFmtId="43" fontId="8" fillId="0" borderId="56" xfId="4" applyFont="1" applyFill="1" applyBorder="1"/>
    <xf numFmtId="0" fontId="8" fillId="0" borderId="56" xfId="0" applyFont="1" applyBorder="1" applyAlignment="1">
      <alignment horizontal="center" vertical="top" wrapText="1"/>
    </xf>
    <xf numFmtId="4" fontId="8" fillId="0" borderId="56" xfId="0" applyNumberFormat="1" applyFont="1" applyBorder="1" applyAlignment="1">
      <alignment horizontal="right" vertical="top" wrapText="1"/>
    </xf>
    <xf numFmtId="168" fontId="8" fillId="0" borderId="56" xfId="4" applyNumberFormat="1" applyFont="1" applyFill="1" applyBorder="1"/>
    <xf numFmtId="43" fontId="8" fillId="0" borderId="56" xfId="4" applyFont="1" applyFill="1" applyBorder="1" applyAlignment="1">
      <alignment horizontal="center"/>
    </xf>
    <xf numFmtId="43" fontId="5" fillId="0" borderId="56" xfId="4" applyFont="1" applyFill="1" applyBorder="1" applyAlignment="1">
      <alignment vertical="top"/>
    </xf>
    <xf numFmtId="4" fontId="5" fillId="0" borderId="56" xfId="0" applyNumberFormat="1" applyFont="1" applyBorder="1" applyAlignment="1">
      <alignment vertical="top"/>
    </xf>
    <xf numFmtId="4" fontId="5" fillId="0" borderId="56" xfId="0" applyNumberFormat="1" applyFont="1" applyBorder="1"/>
    <xf numFmtId="43" fontId="5" fillId="0" borderId="56" xfId="4" applyFont="1" applyFill="1" applyBorder="1"/>
    <xf numFmtId="43" fontId="8" fillId="0" borderId="56" xfId="4" applyFont="1" applyFill="1" applyBorder="1" applyAlignment="1">
      <alignment vertical="top"/>
    </xf>
    <xf numFmtId="0" fontId="5" fillId="0" borderId="56" xfId="0" applyFont="1" applyBorder="1" applyAlignment="1">
      <alignment horizontal="left"/>
    </xf>
    <xf numFmtId="43" fontId="8" fillId="0" borderId="56" xfId="4" applyFont="1" applyFill="1" applyBorder="1" applyAlignment="1">
      <alignment horizontal="center" vertical="top"/>
    </xf>
    <xf numFmtId="0" fontId="5" fillId="30" borderId="56" xfId="17" applyFont="1" applyFill="1" applyBorder="1" applyAlignment="1">
      <alignment horizontal="center" vertical="top"/>
    </xf>
    <xf numFmtId="0" fontId="5" fillId="30" borderId="56" xfId="17" applyFont="1" applyFill="1" applyBorder="1"/>
    <xf numFmtId="0" fontId="8" fillId="30" borderId="56" xfId="17" applyFont="1" applyFill="1" applyBorder="1" applyAlignment="1">
      <alignment horizontal="left" vertical="top"/>
    </xf>
    <xf numFmtId="0" fontId="8" fillId="30" borderId="0" xfId="17" applyFont="1" applyFill="1" applyAlignment="1">
      <alignment horizontal="left" vertical="top"/>
    </xf>
    <xf numFmtId="0" fontId="8" fillId="30" borderId="0" xfId="17" applyFont="1" applyFill="1" applyAlignment="1">
      <alignment vertical="top"/>
    </xf>
    <xf numFmtId="0" fontId="22" fillId="30" borderId="0" xfId="17" applyFont="1" applyFill="1" applyAlignment="1">
      <alignment vertical="top"/>
    </xf>
    <xf numFmtId="0" fontId="8" fillId="30" borderId="56" xfId="17" applyFont="1" applyFill="1" applyBorder="1"/>
    <xf numFmtId="0" fontId="8" fillId="30" borderId="56" xfId="17" applyFont="1" applyFill="1" applyBorder="1" applyAlignment="1">
      <alignment horizontal="center"/>
    </xf>
    <xf numFmtId="4" fontId="2" fillId="30" borderId="56" xfId="17" applyNumberFormat="1" applyFont="1" applyFill="1" applyBorder="1" applyAlignment="1">
      <alignment horizontal="right"/>
    </xf>
    <xf numFmtId="4" fontId="4" fillId="30" borderId="56" xfId="4" applyNumberFormat="1" applyFont="1" applyFill="1" applyBorder="1" applyAlignment="1">
      <alignment horizontal="right"/>
    </xf>
    <xf numFmtId="0" fontId="8" fillId="30" borderId="56" xfId="17" applyFont="1" applyFill="1" applyBorder="1" applyAlignment="1">
      <alignment horizontal="center" vertical="top"/>
    </xf>
    <xf numFmtId="0" fontId="8" fillId="30" borderId="56" xfId="17" applyFont="1" applyFill="1" applyBorder="1" applyAlignment="1">
      <alignment vertical="top" wrapText="1" shrinkToFit="1"/>
    </xf>
    <xf numFmtId="43" fontId="2" fillId="30" borderId="56" xfId="4" applyFont="1" applyFill="1" applyBorder="1" applyAlignment="1">
      <alignment horizontal="right" vertical="top"/>
    </xf>
    <xf numFmtId="0" fontId="8" fillId="30" borderId="56" xfId="17" applyFont="1" applyFill="1" applyBorder="1" applyAlignment="1">
      <alignment vertical="top"/>
    </xf>
    <xf numFmtId="43" fontId="5" fillId="0" borderId="56" xfId="4" applyFont="1" applyBorder="1" applyAlignment="1">
      <alignment horizontal="center" vertical="top"/>
    </xf>
    <xf numFmtId="0" fontId="8" fillId="30" borderId="56" xfId="0" applyFont="1" applyFill="1" applyBorder="1" applyAlignment="1">
      <alignment horizontal="center"/>
    </xf>
    <xf numFmtId="43" fontId="2" fillId="30" borderId="56" xfId="4" applyFont="1" applyFill="1" applyBorder="1" applyAlignment="1">
      <alignment horizontal="right"/>
    </xf>
    <xf numFmtId="43" fontId="4" fillId="30" borderId="56" xfId="4" applyFont="1" applyFill="1" applyBorder="1"/>
    <xf numFmtId="0" fontId="5" fillId="30" borderId="56" xfId="17" applyFont="1" applyFill="1" applyBorder="1" applyAlignment="1">
      <alignment vertical="top"/>
    </xf>
    <xf numFmtId="4" fontId="5" fillId="0" borderId="56" xfId="4" applyNumberFormat="1" applyFont="1" applyFill="1" applyBorder="1" applyAlignment="1">
      <alignment horizontal="right"/>
    </xf>
    <xf numFmtId="0" fontId="5" fillId="30" borderId="56" xfId="0" applyFont="1" applyFill="1" applyBorder="1" applyAlignment="1">
      <alignment vertical="top"/>
    </xf>
    <xf numFmtId="0" fontId="72" fillId="30" borderId="56" xfId="0" applyFont="1" applyFill="1" applyBorder="1" applyAlignment="1">
      <alignment horizontal="center" vertical="top"/>
    </xf>
    <xf numFmtId="43" fontId="4" fillId="30" borderId="56" xfId="4" applyFont="1" applyFill="1" applyBorder="1" applyAlignment="1">
      <alignment horizontal="right" vertical="top"/>
    </xf>
    <xf numFmtId="43" fontId="4" fillId="30" borderId="56" xfId="4" applyFont="1" applyFill="1" applyBorder="1" applyAlignment="1">
      <alignment vertical="top"/>
    </xf>
    <xf numFmtId="0" fontId="72" fillId="30" borderId="56" xfId="0" applyFont="1" applyFill="1" applyBorder="1" applyAlignment="1">
      <alignment vertical="top"/>
    </xf>
    <xf numFmtId="4" fontId="5" fillId="0" borderId="56" xfId="4" applyNumberFormat="1" applyFont="1" applyBorder="1" applyAlignment="1">
      <alignment horizontal="right"/>
    </xf>
    <xf numFmtId="4" fontId="5" fillId="0" borderId="56" xfId="4" applyNumberFormat="1" applyFont="1" applyBorder="1" applyAlignment="1">
      <alignment horizontal="right" vertical="top"/>
    </xf>
    <xf numFmtId="4" fontId="4" fillId="30" borderId="56" xfId="4" applyNumberFormat="1" applyFont="1" applyFill="1" applyBorder="1" applyAlignment="1">
      <alignment horizontal="right" vertical="top"/>
    </xf>
    <xf numFmtId="43" fontId="4" fillId="30" borderId="56" xfId="4" applyFont="1" applyFill="1" applyBorder="1" applyAlignment="1">
      <alignment horizontal="right" vertical="top" indent="1"/>
    </xf>
    <xf numFmtId="43" fontId="5" fillId="0" borderId="56" xfId="4" applyFont="1" applyFill="1" applyBorder="1" applyAlignment="1">
      <alignment horizontal="right" vertical="top" wrapText="1"/>
    </xf>
    <xf numFmtId="0" fontId="22" fillId="32" borderId="56" xfId="0" applyFont="1" applyFill="1" applyBorder="1" applyAlignment="1">
      <alignment vertical="top" wrapText="1"/>
    </xf>
    <xf numFmtId="0" fontId="22" fillId="32" borderId="56" xfId="0" applyFont="1" applyFill="1" applyBorder="1" applyAlignment="1">
      <alignment horizontal="center" vertical="top" wrapText="1"/>
    </xf>
    <xf numFmtId="169" fontId="8" fillId="32" borderId="56" xfId="4" applyNumberFormat="1" applyFont="1" applyFill="1" applyBorder="1" applyAlignment="1">
      <alignment horizontal="center" vertical="top" wrapText="1"/>
    </xf>
    <xf numFmtId="170" fontId="22" fillId="32" borderId="56" xfId="0" applyNumberFormat="1" applyFont="1" applyFill="1" applyBorder="1" applyAlignment="1">
      <alignment horizontal="center" vertical="top" wrapText="1"/>
    </xf>
    <xf numFmtId="43" fontId="4" fillId="0" borderId="0" xfId="4" applyFont="1" applyFill="1" applyBorder="1" applyAlignment="1">
      <alignment horizontal="right" vertical="top"/>
    </xf>
    <xf numFmtId="43" fontId="4" fillId="0" borderId="0" xfId="17" applyNumberFormat="1" applyFont="1" applyAlignment="1">
      <alignment horizontal="right" vertical="top"/>
    </xf>
    <xf numFmtId="0" fontId="5" fillId="0" borderId="0" xfId="17" applyFont="1" applyAlignment="1">
      <alignment horizontal="right" vertical="top"/>
    </xf>
    <xf numFmtId="0" fontId="4" fillId="0" borderId="58" xfId="17" applyFont="1" applyBorder="1" applyAlignment="1">
      <alignment horizontal="center" vertical="top" wrapText="1"/>
    </xf>
    <xf numFmtId="43" fontId="5" fillId="12" borderId="56" xfId="4" applyFont="1" applyFill="1" applyBorder="1" applyAlignment="1">
      <alignment horizontal="right" vertical="top"/>
    </xf>
    <xf numFmtId="0" fontId="22" fillId="32" borderId="56" xfId="0" applyFont="1" applyFill="1" applyBorder="1" applyAlignment="1">
      <alignment vertical="top" shrinkToFit="1"/>
    </xf>
    <xf numFmtId="43" fontId="4" fillId="0" borderId="56" xfId="17" applyNumberFormat="1" applyFont="1" applyBorder="1" applyAlignment="1">
      <alignment horizontal="right" vertical="top"/>
    </xf>
    <xf numFmtId="0" fontId="4" fillId="0" borderId="56" xfId="17" applyFont="1" applyBorder="1" applyAlignment="1">
      <alignment horizontal="center" vertical="top" wrapText="1"/>
    </xf>
    <xf numFmtId="3" fontId="5" fillId="0" borderId="56" xfId="0" applyNumberFormat="1" applyFont="1" applyBorder="1" applyAlignment="1">
      <alignment horizontal="right" vertical="center" wrapText="1"/>
    </xf>
    <xf numFmtId="3" fontId="5" fillId="0" borderId="56" xfId="0" applyNumberFormat="1" applyFont="1" applyBorder="1" applyAlignment="1">
      <alignment horizontal="right" vertical="top" wrapText="1"/>
    </xf>
    <xf numFmtId="3" fontId="4" fillId="0" borderId="56" xfId="0" applyNumberFormat="1" applyFont="1" applyBorder="1" applyAlignment="1">
      <alignment horizontal="right" vertical="center" wrapText="1"/>
    </xf>
    <xf numFmtId="3" fontId="5" fillId="0" borderId="0" xfId="0" applyNumberFormat="1" applyFont="1" applyAlignment="1">
      <alignment horizontal="right" vertical="center" wrapText="1"/>
    </xf>
    <xf numFmtId="43" fontId="5" fillId="0" borderId="56" xfId="0" applyNumberFormat="1" applyFont="1" applyBorder="1" applyAlignment="1">
      <alignment vertical="center"/>
    </xf>
    <xf numFmtId="43" fontId="5" fillId="0" borderId="56" xfId="0" applyNumberFormat="1" applyFont="1" applyBorder="1" applyAlignment="1">
      <alignment vertical="top"/>
    </xf>
    <xf numFmtId="43" fontId="4" fillId="0" borderId="57" xfId="17" applyNumberFormat="1" applyFont="1" applyBorder="1" applyAlignment="1">
      <alignment horizontal="right" vertical="top"/>
    </xf>
    <xf numFmtId="4" fontId="5" fillId="0" borderId="56" xfId="0" applyNumberFormat="1" applyFont="1" applyBorder="1" applyAlignment="1">
      <alignment horizontal="left" vertical="top"/>
    </xf>
    <xf numFmtId="4" fontId="4" fillId="0" borderId="56" xfId="17" applyNumberFormat="1" applyFont="1" applyBorder="1" applyAlignment="1">
      <alignment horizontal="right" vertical="top"/>
    </xf>
    <xf numFmtId="4" fontId="4" fillId="0" borderId="0" xfId="17" applyNumberFormat="1" applyFont="1" applyAlignment="1">
      <alignment horizontal="right" vertical="top"/>
    </xf>
    <xf numFmtId="43" fontId="49" fillId="0" borderId="0" xfId="4" applyFont="1" applyFill="1" applyBorder="1" applyAlignment="1">
      <alignment horizontal="center" vertical="top" wrapText="1"/>
    </xf>
    <xf numFmtId="0" fontId="8" fillId="0" borderId="56" xfId="0" applyFont="1" applyBorder="1"/>
    <xf numFmtId="0" fontId="8" fillId="0" borderId="56" xfId="0" applyFont="1" applyBorder="1" applyAlignment="1">
      <alignment horizontal="center"/>
    </xf>
    <xf numFmtId="2" fontId="8" fillId="0" borderId="56" xfId="0" applyNumberFormat="1" applyFont="1" applyBorder="1"/>
    <xf numFmtId="4" fontId="5" fillId="0" borderId="56" xfId="0" applyNumberFormat="1" applyFont="1" applyBorder="1" applyAlignment="1">
      <alignment horizontal="right" vertical="top" wrapText="1"/>
    </xf>
    <xf numFmtId="0" fontId="8" fillId="0" borderId="56" xfId="0" applyFont="1" applyBorder="1" applyAlignment="1">
      <alignment horizontal="left" vertical="top" wrapText="1"/>
    </xf>
    <xf numFmtId="43" fontId="8" fillId="0" borderId="56" xfId="0" applyNumberFormat="1" applyFont="1" applyBorder="1"/>
    <xf numFmtId="169" fontId="8" fillId="0" borderId="56" xfId="4" applyNumberFormat="1" applyFont="1" applyFill="1" applyBorder="1" applyAlignment="1">
      <alignment horizontal="center" vertical="top" wrapText="1"/>
    </xf>
    <xf numFmtId="170" fontId="22" fillId="0" borderId="56" xfId="0" applyNumberFormat="1" applyFont="1" applyBorder="1" applyAlignment="1">
      <alignment horizontal="center" vertical="top" wrapText="1"/>
    </xf>
    <xf numFmtId="43" fontId="5" fillId="0" borderId="56" xfId="103" applyFont="1" applyFill="1" applyBorder="1" applyAlignment="1">
      <alignment horizontal="left" vertical="top"/>
    </xf>
    <xf numFmtId="0" fontId="5" fillId="0" borderId="56" xfId="0" applyFont="1" applyBorder="1" applyAlignment="1">
      <alignment horizontal="left" vertical="top" wrapText="1"/>
    </xf>
    <xf numFmtId="0" fontId="5" fillId="0" borderId="56" xfId="0" applyFont="1" applyBorder="1" applyAlignment="1">
      <alignment horizontal="left" vertical="top" wrapText="1" shrinkToFit="1"/>
    </xf>
    <xf numFmtId="0" fontId="5" fillId="0" borderId="56" xfId="0" applyFont="1" applyBorder="1" applyAlignment="1">
      <alignment wrapText="1"/>
    </xf>
    <xf numFmtId="0" fontId="5" fillId="0" borderId="56" xfId="0" applyFont="1" applyBorder="1" applyAlignment="1">
      <alignment horizontal="center" vertical="top" wrapText="1"/>
    </xf>
    <xf numFmtId="0" fontId="11" fillId="0" borderId="0" xfId="17" applyFont="1" applyAlignment="1">
      <alignment horizontal="left" vertical="top"/>
    </xf>
    <xf numFmtId="43" fontId="5" fillId="0" borderId="56" xfId="18" applyFont="1" applyBorder="1" applyAlignment="1">
      <alignment horizontal="justify"/>
    </xf>
    <xf numFmtId="0" fontId="4" fillId="0" borderId="56" xfId="17" applyFont="1" applyBorder="1" applyAlignment="1">
      <alignment horizontal="center" vertical="center" wrapText="1"/>
    </xf>
    <xf numFmtId="0" fontId="5" fillId="0" borderId="56" xfId="17" applyFont="1" applyBorder="1" applyAlignment="1">
      <alignment horizontal="justify"/>
    </xf>
    <xf numFmtId="0" fontId="5" fillId="0" borderId="56" xfId="95" applyFont="1" applyBorder="1" applyAlignment="1">
      <alignment horizontal="center" vertical="top"/>
    </xf>
    <xf numFmtId="43" fontId="22" fillId="0" borderId="56" xfId="17" applyNumberFormat="1" applyFont="1" applyBorder="1" applyAlignment="1">
      <alignment vertical="top"/>
    </xf>
    <xf numFmtId="43" fontId="8" fillId="0" borderId="56" xfId="4" applyFont="1" applyFill="1" applyBorder="1" applyAlignment="1">
      <alignment vertical="center"/>
    </xf>
    <xf numFmtId="0" fontId="5" fillId="0" borderId="56" xfId="95" applyFont="1" applyBorder="1" applyAlignment="1">
      <alignment horizontal="left" vertical="top" wrapText="1"/>
    </xf>
    <xf numFmtId="43" fontId="5" fillId="0" borderId="56" xfId="17" applyNumberFormat="1" applyFont="1" applyBorder="1"/>
    <xf numFmtId="0" fontId="8" fillId="0" borderId="56" xfId="0" applyFont="1" applyBorder="1" applyAlignment="1">
      <alignment horizontal="center" wrapText="1"/>
    </xf>
    <xf numFmtId="4" fontId="8" fillId="0" borderId="56" xfId="0" applyNumberFormat="1" applyFont="1" applyBorder="1" applyAlignment="1">
      <alignment horizontal="right" wrapText="1"/>
    </xf>
    <xf numFmtId="43" fontId="5" fillId="0" borderId="56" xfId="18" applyFont="1" applyBorder="1"/>
    <xf numFmtId="4" fontId="4" fillId="0" borderId="56" xfId="10" applyNumberFormat="1" applyFont="1" applyBorder="1" applyAlignment="1">
      <alignment horizontal="right" vertical="center"/>
    </xf>
    <xf numFmtId="43" fontId="13" fillId="0" borderId="16" xfId="4" applyFont="1" applyFill="1" applyBorder="1" applyAlignment="1">
      <alignment horizontal="right" shrinkToFit="1"/>
    </xf>
    <xf numFmtId="171" fontId="5" fillId="0" borderId="0" xfId="1" applyNumberFormat="1" applyFont="1" applyAlignment="1">
      <alignment vertical="center"/>
    </xf>
    <xf numFmtId="0" fontId="8" fillId="0" borderId="5" xfId="1" applyFont="1" applyBorder="1" applyAlignment="1">
      <alignment vertical="center"/>
    </xf>
    <xf numFmtId="0" fontId="8" fillId="0" borderId="0" xfId="1" applyFont="1" applyAlignment="1">
      <alignment vertical="center"/>
    </xf>
    <xf numFmtId="49" fontId="4" fillId="3" borderId="56" xfId="2" applyNumberFormat="1" applyFont="1" applyFill="1" applyBorder="1" applyAlignment="1">
      <alignment horizontal="center" vertical="center" wrapText="1"/>
    </xf>
    <xf numFmtId="0" fontId="4" fillId="0" borderId="56" xfId="1" applyFont="1" applyBorder="1" applyAlignment="1">
      <alignment vertical="center"/>
    </xf>
    <xf numFmtId="0" fontId="14" fillId="0" borderId="0" xfId="1" applyFont="1"/>
    <xf numFmtId="165" fontId="2" fillId="0" borderId="56" xfId="2" applyNumberFormat="1" applyFont="1" applyFill="1" applyBorder="1" applyAlignment="1">
      <alignment horizontal="right" vertical="center" shrinkToFit="1"/>
    </xf>
    <xf numFmtId="43" fontId="5" fillId="0" borderId="56" xfId="18" applyFont="1" applyBorder="1" applyAlignment="1">
      <alignment horizontal="justify" vertical="top"/>
    </xf>
    <xf numFmtId="43" fontId="5" fillId="0" borderId="56" xfId="17" applyNumberFormat="1" applyFont="1" applyBorder="1" applyAlignment="1">
      <alignment vertical="top"/>
    </xf>
    <xf numFmtId="0" fontId="5" fillId="0" borderId="56" xfId="17" applyFont="1" applyBorder="1" applyAlignment="1">
      <alignment horizontal="justify" vertical="top"/>
    </xf>
    <xf numFmtId="0" fontId="44" fillId="0" borderId="0" xfId="0" applyFont="1"/>
    <xf numFmtId="0" fontId="4" fillId="0" borderId="0" xfId="0" applyFont="1"/>
    <xf numFmtId="0" fontId="44" fillId="0" borderId="0" xfId="0" applyFont="1" applyAlignment="1">
      <alignment horizontal="right"/>
    </xf>
    <xf numFmtId="0" fontId="4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56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44" fillId="0" borderId="0" xfId="0" applyFont="1" applyAlignment="1">
      <alignment vertical="top"/>
    </xf>
    <xf numFmtId="0" fontId="6" fillId="0" borderId="0" xfId="0" applyFont="1"/>
    <xf numFmtId="0" fontId="5" fillId="0" borderId="0" xfId="0" applyFont="1" applyAlignment="1">
      <alignment horizontal="right"/>
    </xf>
    <xf numFmtId="0" fontId="74" fillId="0" borderId="5" xfId="0" applyFont="1" applyBorder="1" applyAlignment="1">
      <alignment vertical="center" wrapText="1"/>
    </xf>
    <xf numFmtId="0" fontId="74" fillId="0" borderId="1" xfId="0" applyFont="1" applyBorder="1" applyAlignment="1">
      <alignment vertical="center" wrapText="1"/>
    </xf>
    <xf numFmtId="3" fontId="75" fillId="0" borderId="5" xfId="0" applyNumberFormat="1" applyFont="1" applyBorder="1"/>
    <xf numFmtId="0" fontId="74" fillId="0" borderId="0" xfId="0" applyFont="1" applyAlignment="1">
      <alignment vertical="center" wrapText="1"/>
    </xf>
    <xf numFmtId="3" fontId="75" fillId="0" borderId="0" xfId="0" applyNumberFormat="1" applyFont="1"/>
    <xf numFmtId="0" fontId="22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vertical="center" wrapText="1"/>
    </xf>
    <xf numFmtId="3" fontId="22" fillId="0" borderId="5" xfId="0" applyNumberFormat="1" applyFont="1" applyBorder="1" applyAlignment="1">
      <alignment horizontal="right" vertical="center" wrapText="1"/>
    </xf>
    <xf numFmtId="3" fontId="5" fillId="0" borderId="5" xfId="0" applyNumberFormat="1" applyFont="1" applyBorder="1" applyAlignment="1">
      <alignment horizontal="right" vertical="center" wrapText="1"/>
    </xf>
    <xf numFmtId="0" fontId="22" fillId="0" borderId="5" xfId="17" applyFont="1" applyBorder="1" applyAlignment="1">
      <alignment vertical="top"/>
    </xf>
    <xf numFmtId="0" fontId="22" fillId="0" borderId="5" xfId="17" applyFont="1" applyBorder="1" applyAlignment="1">
      <alignment horizontal="center" vertical="top"/>
    </xf>
    <xf numFmtId="0" fontId="22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wrapText="1"/>
    </xf>
    <xf numFmtId="4" fontId="8" fillId="0" borderId="5" xfId="0" applyNumberFormat="1" applyFont="1" applyBorder="1" applyAlignment="1">
      <alignment horizontal="right" wrapText="1"/>
    </xf>
    <xf numFmtId="4" fontId="8" fillId="0" borderId="5" xfId="0" applyNumberFormat="1" applyFont="1" applyBorder="1" applyAlignment="1">
      <alignment horizontal="right" vertical="top" wrapText="1"/>
    </xf>
    <xf numFmtId="0" fontId="8" fillId="0" borderId="5" xfId="0" applyFont="1" applyBorder="1" applyAlignment="1">
      <alignment horizontal="center" vertical="top" wrapText="1"/>
    </xf>
    <xf numFmtId="4" fontId="9" fillId="0" borderId="5" xfId="0" applyNumberFormat="1" applyFont="1" applyBorder="1" applyAlignment="1">
      <alignment horizontal="right" vertical="top" wrapText="1"/>
    </xf>
    <xf numFmtId="0" fontId="8" fillId="0" borderId="4" xfId="17" applyFont="1" applyBorder="1" applyAlignment="1">
      <alignment vertical="top"/>
    </xf>
    <xf numFmtId="0" fontId="2" fillId="0" borderId="4" xfId="17" applyFont="1" applyBorder="1" applyAlignment="1">
      <alignment horizontal="center" vertical="top"/>
    </xf>
    <xf numFmtId="0" fontId="8" fillId="0" borderId="4" xfId="17" applyFont="1" applyBorder="1" applyAlignment="1">
      <alignment horizontal="center" vertical="top"/>
    </xf>
    <xf numFmtId="0" fontId="8" fillId="0" borderId="4" xfId="17" applyFont="1" applyBorder="1" applyAlignment="1">
      <alignment horizontal="right" vertical="top"/>
    </xf>
    <xf numFmtId="43" fontId="4" fillId="0" borderId="4" xfId="17" applyNumberFormat="1" applyFont="1" applyBorder="1" applyAlignment="1">
      <alignment horizontal="right" vertical="top"/>
    </xf>
    <xf numFmtId="0" fontId="9" fillId="0" borderId="5" xfId="0" applyFont="1" applyBorder="1" applyAlignment="1">
      <alignment vertical="top" wrapText="1"/>
    </xf>
    <xf numFmtId="43" fontId="49" fillId="0" borderId="0" xfId="17" applyNumberFormat="1" applyFont="1" applyAlignment="1">
      <alignment vertical="top"/>
    </xf>
    <xf numFmtId="0" fontId="10" fillId="0" borderId="56" xfId="0" applyFont="1" applyBorder="1" applyAlignment="1">
      <alignment horizontal="center"/>
    </xf>
    <xf numFmtId="0" fontId="10" fillId="0" borderId="56" xfId="0" applyFont="1" applyBorder="1"/>
    <xf numFmtId="0" fontId="9" fillId="0" borderId="56" xfId="0" applyFont="1" applyBorder="1"/>
    <xf numFmtId="0" fontId="17" fillId="0" borderId="56" xfId="0" applyFont="1" applyBorder="1" applyAlignment="1">
      <alignment vertical="top" wrapText="1"/>
    </xf>
    <xf numFmtId="165" fontId="9" fillId="0" borderId="56" xfId="0" applyNumberFormat="1" applyFont="1" applyBorder="1" applyAlignment="1">
      <alignment horizontal="right"/>
    </xf>
    <xf numFmtId="0" fontId="17" fillId="0" borderId="56" xfId="0" applyFont="1" applyBorder="1"/>
    <xf numFmtId="165" fontId="10" fillId="0" borderId="56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0" fontId="10" fillId="0" borderId="62" xfId="0" applyFont="1" applyBorder="1"/>
    <xf numFmtId="0" fontId="10" fillId="0" borderId="61" xfId="0" applyFont="1" applyBorder="1"/>
    <xf numFmtId="0" fontId="10" fillId="0" borderId="60" xfId="0" applyFont="1" applyBorder="1" applyAlignment="1">
      <alignment horizontal="right"/>
    </xf>
    <xf numFmtId="0" fontId="4" fillId="0" borderId="56" xfId="1" applyFont="1" applyBorder="1" applyAlignment="1">
      <alignment horizontal="right" vertical="center"/>
    </xf>
    <xf numFmtId="4" fontId="76" fillId="0" borderId="0" xfId="0" applyNumberFormat="1" applyFont="1"/>
    <xf numFmtId="0" fontId="5" fillId="0" borderId="5" xfId="0" applyFont="1" applyBorder="1"/>
    <xf numFmtId="0" fontId="4" fillId="0" borderId="73" xfId="1" applyFont="1" applyBorder="1" applyAlignment="1">
      <alignment vertical="center"/>
    </xf>
    <xf numFmtId="0" fontId="4" fillId="6" borderId="56" xfId="1" applyFont="1" applyFill="1" applyBorder="1" applyAlignment="1">
      <alignment horizontal="right" vertical="center" shrinkToFit="1"/>
    </xf>
    <xf numFmtId="165" fontId="4" fillId="0" borderId="5" xfId="2" applyNumberFormat="1" applyFont="1" applyFill="1" applyBorder="1" applyAlignment="1">
      <alignment horizontal="right" vertical="center" shrinkToFit="1"/>
    </xf>
    <xf numFmtId="165" fontId="2" fillId="0" borderId="5" xfId="2" applyNumberFormat="1" applyFont="1" applyFill="1" applyBorder="1" applyAlignment="1">
      <alignment horizontal="right" vertical="center" shrinkToFit="1"/>
    </xf>
    <xf numFmtId="4" fontId="4" fillId="0" borderId="56" xfId="10" applyNumberFormat="1" applyFont="1" applyBorder="1" applyAlignment="1">
      <alignment horizontal="right" vertical="center" indent="1"/>
    </xf>
    <xf numFmtId="43" fontId="5" fillId="0" borderId="0" xfId="2" applyFont="1" applyFill="1" applyAlignment="1">
      <alignment horizontal="right"/>
    </xf>
    <xf numFmtId="43" fontId="4" fillId="4" borderId="5" xfId="2" applyFont="1" applyFill="1" applyBorder="1" applyAlignment="1">
      <alignment horizontal="right" vertical="center"/>
    </xf>
    <xf numFmtId="43" fontId="4" fillId="4" borderId="56" xfId="2" applyFont="1" applyFill="1" applyBorder="1" applyAlignment="1">
      <alignment horizontal="right" vertical="center"/>
    </xf>
    <xf numFmtId="0" fontId="4" fillId="4" borderId="56" xfId="1" applyFont="1" applyFill="1" applyBorder="1" applyAlignment="1">
      <alignment horizontal="right" vertical="center"/>
    </xf>
    <xf numFmtId="165" fontId="4" fillId="4" borderId="5" xfId="2" applyNumberFormat="1" applyFont="1" applyFill="1" applyBorder="1" applyAlignment="1">
      <alignment horizontal="right" vertical="center" shrinkToFit="1"/>
    </xf>
    <xf numFmtId="165" fontId="4" fillId="4" borderId="56" xfId="2" applyNumberFormat="1" applyFont="1" applyFill="1" applyBorder="1" applyAlignment="1">
      <alignment horizontal="right" vertical="center" shrinkToFit="1"/>
    </xf>
    <xf numFmtId="43" fontId="4" fillId="0" borderId="56" xfId="1" applyNumberFormat="1" applyFont="1" applyBorder="1" applyAlignment="1">
      <alignment horizontal="right" vertical="center"/>
    </xf>
    <xf numFmtId="43" fontId="4" fillId="0" borderId="56" xfId="4" applyFont="1" applyBorder="1" applyAlignment="1">
      <alignment horizontal="right" vertical="center"/>
    </xf>
    <xf numFmtId="165" fontId="4" fillId="6" borderId="5" xfId="2" applyNumberFormat="1" applyFont="1" applyFill="1" applyBorder="1" applyAlignment="1">
      <alignment horizontal="right" vertical="center" shrinkToFit="1"/>
    </xf>
    <xf numFmtId="165" fontId="4" fillId="6" borderId="56" xfId="2" applyNumberFormat="1" applyFont="1" applyFill="1" applyBorder="1" applyAlignment="1">
      <alignment horizontal="right" vertical="center" shrinkToFit="1"/>
    </xf>
    <xf numFmtId="43" fontId="4" fillId="0" borderId="56" xfId="4" applyFont="1" applyFill="1" applyBorder="1" applyAlignment="1">
      <alignment horizontal="right" vertical="center"/>
    </xf>
    <xf numFmtId="165" fontId="4" fillId="0" borderId="5" xfId="2" applyNumberFormat="1" applyFont="1" applyFill="1" applyBorder="1" applyAlignment="1">
      <alignment horizontal="right" vertical="top" shrinkToFit="1"/>
    </xf>
    <xf numFmtId="165" fontId="4" fillId="0" borderId="56" xfId="2" applyNumberFormat="1" applyFont="1" applyFill="1" applyBorder="1" applyAlignment="1">
      <alignment horizontal="right" vertical="top" shrinkToFit="1"/>
    </xf>
    <xf numFmtId="43" fontId="4" fillId="0" borderId="56" xfId="1" applyNumberFormat="1" applyFont="1" applyBorder="1" applyAlignment="1">
      <alignment horizontal="right" vertical="top"/>
    </xf>
    <xf numFmtId="165" fontId="5" fillId="0" borderId="56" xfId="2" applyNumberFormat="1" applyFont="1" applyFill="1" applyBorder="1" applyAlignment="1">
      <alignment horizontal="right" vertical="center" shrinkToFit="1"/>
    </xf>
    <xf numFmtId="43" fontId="5" fillId="0" borderId="56" xfId="4" applyFont="1" applyFill="1" applyBorder="1" applyAlignment="1">
      <alignment horizontal="right" vertical="center"/>
    </xf>
    <xf numFmtId="43" fontId="4" fillId="0" borderId="0" xfId="2" applyFont="1" applyFill="1" applyAlignment="1">
      <alignment horizontal="right" shrinkToFit="1"/>
    </xf>
    <xf numFmtId="43" fontId="4" fillId="0" borderId="0" xfId="4" applyFont="1" applyFill="1" applyAlignment="1">
      <alignment horizontal="right" shrinkToFit="1"/>
    </xf>
    <xf numFmtId="49" fontId="13" fillId="0" borderId="0" xfId="2" applyNumberFormat="1" applyFont="1" applyFill="1" applyAlignment="1">
      <alignment horizontal="right" shrinkToFit="1"/>
    </xf>
    <xf numFmtId="43" fontId="5" fillId="0" borderId="0" xfId="4" applyFont="1" applyFill="1" applyAlignment="1">
      <alignment horizontal="right"/>
    </xf>
    <xf numFmtId="43" fontId="4" fillId="0" borderId="0" xfId="4" applyFont="1" applyFill="1" applyAlignment="1">
      <alignment horizontal="right"/>
    </xf>
    <xf numFmtId="0" fontId="5" fillId="0" borderId="0" xfId="1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right"/>
    </xf>
    <xf numFmtId="43" fontId="4" fillId="0" borderId="0" xfId="2" applyFont="1" applyFill="1" applyAlignment="1">
      <alignment horizontal="right" vertical="top"/>
    </xf>
    <xf numFmtId="43" fontId="4" fillId="0" borderId="0" xfId="2" applyFont="1" applyFill="1" applyAlignment="1">
      <alignment horizontal="center"/>
    </xf>
    <xf numFmtId="43" fontId="4" fillId="4" borderId="5" xfId="2" applyFont="1" applyFill="1" applyBorder="1" applyAlignment="1">
      <alignment horizontal="center" vertical="center"/>
    </xf>
    <xf numFmtId="9" fontId="13" fillId="0" borderId="20" xfId="3" applyFont="1" applyFill="1" applyBorder="1" applyAlignment="1">
      <alignment horizontal="center" shrinkToFit="1"/>
    </xf>
    <xf numFmtId="43" fontId="5" fillId="0" borderId="0" xfId="2" applyFont="1" applyFill="1" applyAlignment="1">
      <alignment horizontal="center"/>
    </xf>
    <xf numFmtId="0" fontId="11" fillId="0" borderId="56" xfId="17" applyFont="1" applyBorder="1" applyAlignment="1">
      <alignment vertical="top" wrapText="1"/>
    </xf>
    <xf numFmtId="0" fontId="11" fillId="0" borderId="56" xfId="0" applyFont="1" applyBorder="1"/>
    <xf numFmtId="0" fontId="11" fillId="0" borderId="56" xfId="0" applyFont="1" applyBorder="1" applyAlignment="1">
      <alignment vertical="top"/>
    </xf>
    <xf numFmtId="168" fontId="5" fillId="0" borderId="56" xfId="4" applyNumberFormat="1" applyFont="1" applyFill="1" applyBorder="1" applyAlignment="1">
      <alignment vertical="top"/>
    </xf>
    <xf numFmtId="0" fontId="8" fillId="34" borderId="0" xfId="17" applyFont="1" applyFill="1" applyAlignment="1">
      <alignment horizontal="left" vertical="top"/>
    </xf>
    <xf numFmtId="0" fontId="8" fillId="36" borderId="56" xfId="17" applyFont="1" applyFill="1" applyBorder="1" applyAlignment="1">
      <alignment vertical="top"/>
    </xf>
    <xf numFmtId="0" fontId="22" fillId="36" borderId="56" xfId="17" applyFont="1" applyFill="1" applyBorder="1" applyAlignment="1">
      <alignment horizontal="center" vertical="top"/>
    </xf>
    <xf numFmtId="43" fontId="22" fillId="36" borderId="56" xfId="4" applyFont="1" applyFill="1" applyBorder="1" applyAlignment="1">
      <alignment horizontal="right" vertical="top"/>
    </xf>
    <xf numFmtId="43" fontId="5" fillId="36" borderId="56" xfId="4" applyFont="1" applyFill="1" applyBorder="1" applyAlignment="1">
      <alignment vertical="top" wrapText="1"/>
    </xf>
    <xf numFmtId="0" fontId="22" fillId="36" borderId="56" xfId="17" applyFont="1" applyFill="1" applyBorder="1" applyAlignment="1">
      <alignment vertical="top"/>
    </xf>
    <xf numFmtId="0" fontId="8" fillId="36" borderId="0" xfId="17" applyFont="1" applyFill="1" applyAlignment="1">
      <alignment vertical="top"/>
    </xf>
    <xf numFmtId="0" fontId="22" fillId="36" borderId="0" xfId="17" applyFont="1" applyFill="1" applyAlignment="1">
      <alignment vertical="top"/>
    </xf>
    <xf numFmtId="0" fontId="5" fillId="37" borderId="56" xfId="17" applyFont="1" applyFill="1" applyBorder="1" applyAlignment="1">
      <alignment horizontal="left" vertical="top" wrapText="1"/>
    </xf>
    <xf numFmtId="0" fontId="5" fillId="37" borderId="56" xfId="17" applyFont="1" applyFill="1" applyBorder="1" applyAlignment="1">
      <alignment horizontal="center" vertical="top"/>
    </xf>
    <xf numFmtId="43" fontId="5" fillId="37" borderId="56" xfId="18" applyFont="1" applyFill="1" applyBorder="1" applyAlignment="1">
      <alignment horizontal="left" vertical="top"/>
    </xf>
    <xf numFmtId="0" fontId="5" fillId="37" borderId="56" xfId="17" applyFont="1" applyFill="1" applyBorder="1" applyAlignment="1">
      <alignment horizontal="left" vertical="top"/>
    </xf>
    <xf numFmtId="0" fontId="22" fillId="37" borderId="0" xfId="17" applyFont="1" applyFill="1" applyAlignment="1">
      <alignment vertical="top"/>
    </xf>
    <xf numFmtId="0" fontId="8" fillId="37" borderId="56" xfId="17" applyFont="1" applyFill="1" applyBorder="1" applyAlignment="1">
      <alignment vertical="top"/>
    </xf>
    <xf numFmtId="0" fontId="8" fillId="37" borderId="56" xfId="17" applyFont="1" applyFill="1" applyBorder="1" applyAlignment="1">
      <alignment horizontal="center" vertical="top"/>
    </xf>
    <xf numFmtId="43" fontId="8" fillId="37" borderId="56" xfId="4" applyFont="1" applyFill="1" applyBorder="1" applyAlignment="1">
      <alignment horizontal="right" vertical="top"/>
    </xf>
    <xf numFmtId="0" fontId="8" fillId="37" borderId="0" xfId="17" applyFont="1" applyFill="1" applyAlignment="1">
      <alignment vertical="top"/>
    </xf>
    <xf numFmtId="43" fontId="8" fillId="37" borderId="56" xfId="18" applyFont="1" applyFill="1" applyBorder="1" applyAlignment="1">
      <alignment horizontal="left" vertical="top"/>
    </xf>
    <xf numFmtId="0" fontId="5" fillId="37" borderId="56" xfId="17" applyFont="1" applyFill="1" applyBorder="1" applyAlignment="1">
      <alignment vertical="top"/>
    </xf>
    <xf numFmtId="43" fontId="5" fillId="37" borderId="56" xfId="4" applyFont="1" applyFill="1" applyBorder="1" applyAlignment="1">
      <alignment horizontal="right" vertical="top"/>
    </xf>
    <xf numFmtId="4" fontId="5" fillId="37" borderId="56" xfId="17" applyNumberFormat="1" applyFont="1" applyFill="1" applyBorder="1" applyAlignment="1">
      <alignment horizontal="right" vertical="top"/>
    </xf>
    <xf numFmtId="0" fontId="11" fillId="37" borderId="56" xfId="17" applyFont="1" applyFill="1" applyBorder="1" applyAlignment="1">
      <alignment vertical="top"/>
    </xf>
    <xf numFmtId="0" fontId="11" fillId="37" borderId="56" xfId="17" applyFont="1" applyFill="1" applyBorder="1" applyAlignment="1">
      <alignment horizontal="left" vertical="top"/>
    </xf>
    <xf numFmtId="0" fontId="5" fillId="37" borderId="56" xfId="95" applyFont="1" applyFill="1" applyBorder="1" applyAlignment="1">
      <alignment horizontal="left" vertical="top" wrapText="1"/>
    </xf>
    <xf numFmtId="0" fontId="5" fillId="37" borderId="56" xfId="95" applyFont="1" applyFill="1" applyBorder="1" applyAlignment="1">
      <alignment horizontal="center" vertical="top"/>
    </xf>
    <xf numFmtId="43" fontId="5" fillId="37" borderId="56" xfId="103" applyFont="1" applyFill="1" applyBorder="1" applyAlignment="1">
      <alignment horizontal="left" vertical="top"/>
    </xf>
    <xf numFmtId="43" fontId="5" fillId="37" borderId="56" xfId="90" applyFont="1" applyFill="1" applyBorder="1" applyAlignment="1">
      <alignment horizontal="left" vertical="top" wrapText="1"/>
    </xf>
    <xf numFmtId="0" fontId="8" fillId="37" borderId="56" xfId="0" applyFont="1" applyFill="1" applyBorder="1"/>
    <xf numFmtId="0" fontId="22" fillId="37" borderId="56" xfId="17" applyFont="1" applyFill="1" applyBorder="1" applyAlignment="1">
      <alignment horizontal="center" vertical="top"/>
    </xf>
    <xf numFmtId="43" fontId="22" fillId="37" borderId="56" xfId="17" applyNumberFormat="1" applyFont="1" applyFill="1" applyBorder="1" applyAlignment="1">
      <alignment vertical="top"/>
    </xf>
    <xf numFmtId="0" fontId="8" fillId="37" borderId="0" xfId="17" applyFont="1" applyFill="1" applyAlignment="1">
      <alignment horizontal="left" vertical="top"/>
    </xf>
    <xf numFmtId="43" fontId="8" fillId="0" borderId="0" xfId="4" applyFont="1" applyFill="1" applyAlignment="1">
      <alignment horizontal="right" vertical="top"/>
    </xf>
    <xf numFmtId="0" fontId="8" fillId="33" borderId="0" xfId="17" applyFont="1" applyFill="1" applyAlignment="1">
      <alignment horizontal="left" vertical="top"/>
    </xf>
    <xf numFmtId="0" fontId="2" fillId="0" borderId="72" xfId="17" applyFont="1" applyBorder="1" applyAlignment="1">
      <alignment horizontal="center" vertical="center" wrapText="1"/>
    </xf>
    <xf numFmtId="0" fontId="8" fillId="0" borderId="56" xfId="0" applyFont="1" applyBorder="1" applyAlignment="1">
      <alignment horizontal="right" vertical="top" wrapText="1"/>
    </xf>
    <xf numFmtId="0" fontId="8" fillId="0" borderId="56" xfId="0" applyFont="1" applyBorder="1" applyAlignment="1">
      <alignment horizontal="right" wrapText="1"/>
    </xf>
    <xf numFmtId="43" fontId="8" fillId="0" borderId="56" xfId="18" applyFont="1" applyFill="1" applyBorder="1" applyAlignment="1">
      <alignment horizontal="left" vertical="top"/>
    </xf>
    <xf numFmtId="0" fontId="8" fillId="37" borderId="56" xfId="0" applyFont="1" applyFill="1" applyBorder="1" applyAlignment="1">
      <alignment horizontal="right" wrapText="1"/>
    </xf>
    <xf numFmtId="0" fontId="8" fillId="36" borderId="56" xfId="17" applyFont="1" applyFill="1" applyBorder="1" applyAlignment="1">
      <alignment horizontal="center" vertical="top"/>
    </xf>
    <xf numFmtId="0" fontId="8" fillId="36" borderId="56" xfId="0" applyFont="1" applyFill="1" applyBorder="1" applyAlignment="1">
      <alignment horizontal="right" wrapText="1"/>
    </xf>
    <xf numFmtId="0" fontId="8" fillId="37" borderId="56" xfId="17" applyFont="1" applyFill="1" applyBorder="1" applyAlignment="1">
      <alignment horizontal="left" vertical="top"/>
    </xf>
    <xf numFmtId="0" fontId="77" fillId="37" borderId="56" xfId="17" applyFont="1" applyFill="1" applyBorder="1" applyAlignment="1">
      <alignment horizontal="center" vertical="top"/>
    </xf>
    <xf numFmtId="0" fontId="68" fillId="37" borderId="56" xfId="95" applyFont="1" applyFill="1" applyBorder="1" applyAlignment="1">
      <alignment horizontal="left" vertical="top" wrapText="1"/>
    </xf>
    <xf numFmtId="0" fontId="68" fillId="37" borderId="56" xfId="95" applyFont="1" applyFill="1" applyBorder="1" applyAlignment="1">
      <alignment horizontal="center" vertical="top"/>
    </xf>
    <xf numFmtId="43" fontId="68" fillId="37" borderId="56" xfId="103" applyFont="1" applyFill="1" applyBorder="1" applyAlignment="1">
      <alignment horizontal="left" vertical="top"/>
    </xf>
    <xf numFmtId="43" fontId="68" fillId="37" borderId="56" xfId="4" applyFont="1" applyFill="1" applyBorder="1" applyAlignment="1">
      <alignment horizontal="right" vertical="top"/>
    </xf>
    <xf numFmtId="0" fontId="78" fillId="37" borderId="56" xfId="17" applyFont="1" applyFill="1" applyBorder="1" applyAlignment="1">
      <alignment vertical="top"/>
    </xf>
    <xf numFmtId="0" fontId="78" fillId="37" borderId="56" xfId="17" applyFont="1" applyFill="1" applyBorder="1" applyAlignment="1">
      <alignment horizontal="left" vertical="top"/>
    </xf>
    <xf numFmtId="0" fontId="79" fillId="37" borderId="0" xfId="17" applyFont="1" applyFill="1" applyAlignment="1">
      <alignment vertical="top"/>
    </xf>
    <xf numFmtId="0" fontId="8" fillId="0" borderId="15" xfId="17" applyFont="1" applyBorder="1" applyAlignment="1">
      <alignment horizontal="center" vertical="top"/>
    </xf>
    <xf numFmtId="0" fontId="8" fillId="0" borderId="15" xfId="17" applyFont="1" applyBorder="1" applyAlignment="1">
      <alignment vertical="top"/>
    </xf>
    <xf numFmtId="43" fontId="8" fillId="0" borderId="15" xfId="17" applyNumberFormat="1" applyFont="1" applyBorder="1" applyAlignment="1">
      <alignment horizontal="right" vertical="top"/>
    </xf>
    <xf numFmtId="0" fontId="8" fillId="0" borderId="15" xfId="17" applyFont="1" applyBorder="1" applyAlignment="1">
      <alignment horizontal="left" vertical="top"/>
    </xf>
    <xf numFmtId="0" fontId="2" fillId="0" borderId="18" xfId="17" applyFont="1" applyBorder="1" applyAlignment="1">
      <alignment horizontal="right" vertical="top"/>
    </xf>
    <xf numFmtId="43" fontId="4" fillId="0" borderId="18" xfId="4" applyFont="1" applyFill="1" applyBorder="1" applyAlignment="1">
      <alignment horizontal="right" vertical="top"/>
    </xf>
    <xf numFmtId="0" fontId="11" fillId="0" borderId="18" xfId="17" applyFont="1" applyBorder="1" applyAlignment="1">
      <alignment vertical="top"/>
    </xf>
    <xf numFmtId="0" fontId="11" fillId="0" borderId="18" xfId="17" applyFont="1" applyBorder="1" applyAlignment="1">
      <alignment horizontal="left" vertical="top"/>
    </xf>
    <xf numFmtId="43" fontId="2" fillId="0" borderId="15" xfId="4" applyFont="1" applyBorder="1" applyAlignment="1">
      <alignment horizontal="right" vertical="top"/>
    </xf>
    <xf numFmtId="43" fontId="4" fillId="0" borderId="15" xfId="4" applyFont="1" applyFill="1" applyBorder="1" applyAlignment="1">
      <alignment horizontal="right" vertical="top"/>
    </xf>
    <xf numFmtId="0" fontId="11" fillId="0" borderId="15" xfId="17" applyFont="1" applyBorder="1" applyAlignment="1">
      <alignment vertical="top"/>
    </xf>
    <xf numFmtId="0" fontId="11" fillId="0" borderId="15" xfId="17" applyFont="1" applyBorder="1" applyAlignment="1">
      <alignment horizontal="left" vertical="top"/>
    </xf>
    <xf numFmtId="43" fontId="5" fillId="0" borderId="15" xfId="18" applyFont="1" applyFill="1" applyBorder="1" applyAlignment="1">
      <alignment horizontal="left" vertical="top"/>
    </xf>
    <xf numFmtId="0" fontId="5" fillId="0" borderId="15" xfId="17" applyFont="1" applyBorder="1" applyAlignment="1">
      <alignment horizontal="left" vertical="top"/>
    </xf>
    <xf numFmtId="0" fontId="8" fillId="0" borderId="15" xfId="0" applyFont="1" applyBorder="1" applyAlignment="1">
      <alignment horizontal="right" wrapText="1"/>
    </xf>
    <xf numFmtId="43" fontId="4" fillId="6" borderId="56" xfId="1" applyNumberFormat="1" applyFont="1" applyFill="1" applyBorder="1" applyAlignment="1">
      <alignment horizontal="right" vertical="center"/>
    </xf>
    <xf numFmtId="166" fontId="4" fillId="0" borderId="56" xfId="1" applyNumberFormat="1" applyFont="1" applyBorder="1" applyAlignment="1">
      <alignment horizontal="right" vertical="center"/>
    </xf>
    <xf numFmtId="2" fontId="4" fillId="0" borderId="56" xfId="2" applyNumberFormat="1" applyFont="1" applyFill="1" applyBorder="1" applyAlignment="1">
      <alignment horizontal="right" vertical="center" shrinkToFit="1"/>
    </xf>
    <xf numFmtId="2" fontId="4" fillId="4" borderId="56" xfId="2" applyNumberFormat="1" applyFont="1" applyFill="1" applyBorder="1" applyAlignment="1">
      <alignment horizontal="right" vertical="center" shrinkToFit="1"/>
    </xf>
    <xf numFmtId="2" fontId="4" fillId="0" borderId="56" xfId="1" applyNumberFormat="1" applyFont="1" applyBorder="1" applyAlignment="1">
      <alignment horizontal="right" vertical="center"/>
    </xf>
    <xf numFmtId="2" fontId="4" fillId="6" borderId="56" xfId="2" applyNumberFormat="1" applyFont="1" applyFill="1" applyBorder="1" applyAlignment="1">
      <alignment horizontal="right" vertical="center" shrinkToFit="1"/>
    </xf>
    <xf numFmtId="2" fontId="4" fillId="0" borderId="56" xfId="10" applyNumberFormat="1" applyFont="1" applyBorder="1" applyAlignment="1">
      <alignment horizontal="right" vertical="center" indent="1"/>
    </xf>
    <xf numFmtId="2" fontId="4" fillId="0" borderId="56" xfId="4" applyNumberFormat="1" applyFont="1" applyBorder="1" applyAlignment="1">
      <alignment horizontal="right" vertical="center"/>
    </xf>
    <xf numFmtId="43" fontId="4" fillId="0" borderId="56" xfId="4" applyFont="1" applyFill="1" applyBorder="1" applyAlignment="1">
      <alignment horizontal="right" vertical="center" shrinkToFit="1"/>
    </xf>
    <xf numFmtId="43" fontId="4" fillId="6" borderId="56" xfId="4" applyFont="1" applyFill="1" applyBorder="1" applyAlignment="1">
      <alignment horizontal="right" vertical="center" shrinkToFit="1"/>
    </xf>
    <xf numFmtId="43" fontId="4" fillId="0" borderId="56" xfId="4" applyFont="1" applyBorder="1" applyAlignment="1">
      <alignment horizontal="right" vertical="center" indent="1"/>
    </xf>
    <xf numFmtId="0" fontId="11" fillId="0" borderId="56" xfId="0" applyFont="1" applyBorder="1" applyAlignment="1">
      <alignment horizontal="left" wrapText="1"/>
    </xf>
    <xf numFmtId="0" fontId="5" fillId="0" borderId="56" xfId="95" applyFont="1" applyBorder="1" applyAlignment="1">
      <alignment horizontal="left" vertical="center" wrapText="1"/>
    </xf>
    <xf numFmtId="0" fontId="5" fillId="0" borderId="56" xfId="95" applyFont="1" applyBorder="1" applyAlignment="1">
      <alignment vertical="center"/>
    </xf>
    <xf numFmtId="0" fontId="5" fillId="0" borderId="56" xfId="0" applyFont="1" applyBorder="1" applyAlignment="1">
      <alignment vertical="center" wrapText="1"/>
    </xf>
    <xf numFmtId="0" fontId="5" fillId="0" borderId="56" xfId="95" applyFont="1" applyBorder="1" applyAlignment="1">
      <alignment horizontal="left" vertical="center"/>
    </xf>
    <xf numFmtId="0" fontId="5" fillId="0" borderId="56" xfId="0" applyFont="1" applyBorder="1" applyAlignment="1">
      <alignment vertical="center"/>
    </xf>
    <xf numFmtId="0" fontId="5" fillId="0" borderId="56" xfId="0" applyFont="1" applyBorder="1" applyAlignment="1">
      <alignment horizontal="left" vertical="center"/>
    </xf>
    <xf numFmtId="0" fontId="5" fillId="0" borderId="56" xfId="0" applyFont="1" applyBorder="1" applyAlignment="1">
      <alignment horizontal="left" vertical="center" wrapText="1"/>
    </xf>
    <xf numFmtId="0" fontId="5" fillId="0" borderId="56" xfId="95" applyFont="1" applyBorder="1" applyAlignment="1">
      <alignment horizontal="justify" vertical="center"/>
    </xf>
    <xf numFmtId="0" fontId="5" fillId="0" borderId="56" xfId="95" applyFont="1" applyBorder="1" applyAlignment="1">
      <alignment horizontal="left" vertical="top"/>
    </xf>
    <xf numFmtId="43" fontId="2" fillId="0" borderId="0" xfId="4" applyFont="1" applyBorder="1" applyAlignment="1">
      <alignment horizontal="right" vertical="top"/>
    </xf>
    <xf numFmtId="43" fontId="8" fillId="0" borderId="0" xfId="17" applyNumberFormat="1" applyFont="1" applyAlignment="1">
      <alignment horizontal="right" vertical="top"/>
    </xf>
    <xf numFmtId="0" fontId="4" fillId="0" borderId="5" xfId="0" applyFont="1" applyBorder="1" applyAlignment="1">
      <alignment horizontal="center" vertical="center" wrapText="1"/>
    </xf>
    <xf numFmtId="165" fontId="4" fillId="6" borderId="62" xfId="2" applyNumberFormat="1" applyFont="1" applyFill="1" applyBorder="1" applyAlignment="1">
      <alignment horizontal="center" vertical="center" shrinkToFit="1"/>
    </xf>
    <xf numFmtId="43" fontId="13" fillId="0" borderId="0" xfId="4" applyFont="1" applyFill="1" applyBorder="1" applyAlignment="1">
      <alignment horizontal="right" shrinkToFit="1"/>
    </xf>
    <xf numFmtId="43" fontId="5" fillId="0" borderId="56" xfId="4" applyFont="1" applyBorder="1" applyAlignment="1">
      <alignment vertical="top"/>
    </xf>
    <xf numFmtId="0" fontId="4" fillId="0" borderId="5" xfId="0" applyFont="1" applyBorder="1" applyAlignment="1">
      <alignment horizontal="center" vertical="center"/>
    </xf>
    <xf numFmtId="43" fontId="4" fillId="0" borderId="5" xfId="4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/>
    </xf>
    <xf numFmtId="0" fontId="5" fillId="0" borderId="56" xfId="0" applyFont="1" applyBorder="1" applyAlignment="1">
      <alignment horizontal="right" vertical="top"/>
    </xf>
    <xf numFmtId="43" fontId="4" fillId="0" borderId="56" xfId="4" applyFont="1" applyFill="1" applyBorder="1" applyAlignment="1">
      <alignment vertical="top"/>
    </xf>
    <xf numFmtId="43" fontId="5" fillId="0" borderId="0" xfId="4" applyFont="1" applyFill="1" applyBorder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43" fontId="5" fillId="0" borderId="0" xfId="4" applyFont="1" applyFill="1" applyBorder="1" applyAlignment="1">
      <alignment horizontal="center" wrapText="1"/>
    </xf>
    <xf numFmtId="43" fontId="5" fillId="0" borderId="0" xfId="4" applyFont="1" applyFill="1" applyBorder="1" applyAlignment="1">
      <alignment wrapText="1"/>
    </xf>
    <xf numFmtId="43" fontId="5" fillId="0" borderId="0" xfId="4" applyFont="1" applyFill="1" applyBorder="1"/>
    <xf numFmtId="0" fontId="8" fillId="38" borderId="56" xfId="0" applyFont="1" applyFill="1" applyBorder="1" applyAlignment="1">
      <alignment horizontal="center" vertical="top"/>
    </xf>
    <xf numFmtId="43" fontId="22" fillId="38" borderId="56" xfId="17" applyNumberFormat="1" applyFont="1" applyFill="1" applyBorder="1" applyAlignment="1">
      <alignment vertical="top"/>
    </xf>
    <xf numFmtId="2" fontId="8" fillId="38" borderId="56" xfId="0" applyNumberFormat="1" applyFont="1" applyFill="1" applyBorder="1" applyAlignment="1">
      <alignment vertical="top"/>
    </xf>
    <xf numFmtId="0" fontId="22" fillId="38" borderId="56" xfId="17" applyFont="1" applyFill="1" applyBorder="1" applyAlignment="1">
      <alignment horizontal="center" vertical="top"/>
    </xf>
    <xf numFmtId="4" fontId="22" fillId="38" borderId="56" xfId="17" applyNumberFormat="1" applyFont="1" applyFill="1" applyBorder="1" applyAlignment="1">
      <alignment horizontal="right" vertical="top"/>
    </xf>
    <xf numFmtId="2" fontId="8" fillId="38" borderId="56" xfId="4" applyNumberFormat="1" applyFont="1" applyFill="1" applyBorder="1" applyAlignment="1">
      <alignment vertical="top"/>
    </xf>
    <xf numFmtId="43" fontId="8" fillId="38" borderId="56" xfId="4" applyFont="1" applyFill="1" applyBorder="1" applyAlignment="1">
      <alignment vertical="top"/>
    </xf>
    <xf numFmtId="2" fontId="8" fillId="38" borderId="56" xfId="0" applyNumberFormat="1" applyFont="1" applyFill="1" applyBorder="1" applyAlignment="1">
      <alignment horizontal="center" vertical="top"/>
    </xf>
    <xf numFmtId="0" fontId="4" fillId="38" borderId="56" xfId="17" applyFont="1" applyFill="1" applyBorder="1" applyAlignment="1">
      <alignment horizontal="left" vertical="top" wrapText="1"/>
    </xf>
    <xf numFmtId="43" fontId="2" fillId="0" borderId="56" xfId="0" applyNumberFormat="1" applyFont="1" applyBorder="1" applyAlignment="1">
      <alignment vertical="top"/>
    </xf>
    <xf numFmtId="166" fontId="2" fillId="0" borderId="56" xfId="0" applyNumberFormat="1" applyFont="1" applyBorder="1" applyAlignment="1">
      <alignment vertical="top"/>
    </xf>
    <xf numFmtId="0" fontId="8" fillId="0" borderId="0" xfId="0" applyFont="1" applyAlignment="1">
      <alignment horizontal="center" wrapText="1"/>
    </xf>
    <xf numFmtId="43" fontId="8" fillId="0" borderId="0" xfId="4" applyFont="1" applyBorder="1" applyAlignment="1">
      <alignment horizontal="center" wrapText="1"/>
    </xf>
    <xf numFmtId="0" fontId="8" fillId="0" borderId="5" xfId="1" applyFont="1" applyBorder="1" applyAlignment="1">
      <alignment vertical="center" wrapText="1" shrinkToFit="1"/>
    </xf>
    <xf numFmtId="43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43" fontId="71" fillId="0" borderId="40" xfId="13" applyFont="1" applyFill="1" applyBorder="1"/>
    <xf numFmtId="0" fontId="4" fillId="0" borderId="0" xfId="1" applyFont="1" applyAlignment="1">
      <alignment vertical="top"/>
    </xf>
    <xf numFmtId="0" fontId="4" fillId="0" borderId="5" xfId="1" applyFont="1" applyBorder="1" applyAlignment="1">
      <alignment vertical="top"/>
    </xf>
    <xf numFmtId="0" fontId="5" fillId="0" borderId="5" xfId="1" applyFont="1" applyBorder="1" applyAlignment="1">
      <alignment horizontal="left" vertical="top" wrapText="1" shrinkToFit="1"/>
    </xf>
    <xf numFmtId="165" fontId="5" fillId="0" borderId="0" xfId="1" applyNumberFormat="1" applyFont="1" applyAlignment="1">
      <alignment vertical="top"/>
    </xf>
    <xf numFmtId="0" fontId="5" fillId="0" borderId="0" xfId="1" applyFont="1" applyAlignment="1">
      <alignment vertical="top"/>
    </xf>
    <xf numFmtId="43" fontId="13" fillId="2" borderId="0" xfId="4" applyFont="1" applyFill="1" applyBorder="1" applyAlignment="1">
      <alignment horizontal="right" shrinkToFit="1"/>
    </xf>
    <xf numFmtId="0" fontId="8" fillId="0" borderId="5" xfId="1" applyFont="1" applyBorder="1" applyAlignment="1">
      <alignment vertical="top" wrapText="1" shrinkToFit="1"/>
    </xf>
    <xf numFmtId="43" fontId="4" fillId="0" borderId="56" xfId="4" applyFont="1" applyFill="1" applyBorder="1" applyAlignment="1">
      <alignment horizontal="right" vertical="top"/>
    </xf>
    <xf numFmtId="0" fontId="5" fillId="0" borderId="5" xfId="1" applyFont="1" applyBorder="1" applyAlignment="1">
      <alignment vertical="top" wrapText="1" shrinkToFit="1"/>
    </xf>
    <xf numFmtId="166" fontId="4" fillId="0" borderId="56" xfId="4" applyNumberFormat="1" applyFont="1" applyBorder="1" applyAlignment="1">
      <alignment horizontal="right" vertical="center"/>
    </xf>
    <xf numFmtId="0" fontId="2" fillId="0" borderId="0" xfId="17" applyFont="1" applyAlignment="1">
      <alignment horizontal="right" vertical="top"/>
    </xf>
    <xf numFmtId="0" fontId="85" fillId="0" borderId="0" xfId="0" applyFont="1" applyAlignment="1">
      <alignment wrapText="1"/>
    </xf>
    <xf numFmtId="0" fontId="86" fillId="0" borderId="0" xfId="17" applyFont="1" applyAlignment="1">
      <alignment horizontal="right" vertical="top"/>
    </xf>
    <xf numFmtId="43" fontId="86" fillId="0" borderId="0" xfId="4" applyFont="1" applyBorder="1" applyAlignment="1">
      <alignment horizontal="right" vertical="top"/>
    </xf>
    <xf numFmtId="0" fontId="88" fillId="0" borderId="0" xfId="95" applyFont="1" applyAlignment="1">
      <alignment horizontal="left" vertical="center"/>
    </xf>
    <xf numFmtId="0" fontId="88" fillId="0" borderId="0" xfId="95" applyFont="1" applyAlignment="1">
      <alignment vertical="center"/>
    </xf>
    <xf numFmtId="0" fontId="89" fillId="0" borderId="56" xfId="95" applyFont="1" applyBorder="1" applyAlignment="1">
      <alignment horizontal="center" vertical="center" wrapText="1"/>
    </xf>
    <xf numFmtId="0" fontId="90" fillId="0" borderId="56" xfId="95" applyFont="1" applyBorder="1" applyAlignment="1">
      <alignment horizontal="center" vertical="center" wrapText="1"/>
    </xf>
    <xf numFmtId="0" fontId="91" fillId="0" borderId="0" xfId="95" applyFont="1" applyAlignment="1">
      <alignment horizontal="left" vertical="center"/>
    </xf>
    <xf numFmtId="0" fontId="91" fillId="0" borderId="0" xfId="95" applyFont="1" applyAlignment="1">
      <alignment vertical="center"/>
    </xf>
    <xf numFmtId="0" fontId="92" fillId="0" borderId="56" xfId="95" applyFont="1" applyBorder="1" applyAlignment="1">
      <alignment horizontal="center" vertical="center"/>
    </xf>
    <xf numFmtId="0" fontId="92" fillId="0" borderId="56" xfId="95" applyFont="1" applyBorder="1" applyAlignment="1">
      <alignment horizontal="left" vertical="center" wrapText="1"/>
    </xf>
    <xf numFmtId="4" fontId="92" fillId="0" borderId="56" xfId="95" applyNumberFormat="1" applyFont="1" applyBorder="1" applyAlignment="1">
      <alignment horizontal="right" vertical="center"/>
    </xf>
    <xf numFmtId="0" fontId="93" fillId="0" borderId="0" xfId="95" applyFont="1" applyAlignment="1">
      <alignment horizontal="left" vertical="top" wrapText="1"/>
    </xf>
    <xf numFmtId="0" fontId="91" fillId="0" borderId="56" xfId="95" applyFont="1" applyBorder="1" applyAlignment="1">
      <alignment horizontal="left" vertical="center"/>
    </xf>
    <xf numFmtId="0" fontId="91" fillId="0" borderId="56" xfId="95" applyFont="1" applyBorder="1" applyAlignment="1">
      <alignment horizontal="center" vertical="center"/>
    </xf>
    <xf numFmtId="4" fontId="91" fillId="0" borderId="56" xfId="95" applyNumberFormat="1" applyFont="1" applyBorder="1" applyAlignment="1">
      <alignment horizontal="right" vertical="center"/>
    </xf>
    <xf numFmtId="0" fontId="91" fillId="0" borderId="56" xfId="95" applyFont="1" applyBorder="1" applyAlignment="1">
      <alignment horizontal="left" vertical="center" wrapText="1"/>
    </xf>
    <xf numFmtId="0" fontId="92" fillId="0" borderId="0" xfId="95" applyFont="1" applyAlignment="1">
      <alignment horizontal="left" vertical="top"/>
    </xf>
    <xf numFmtId="0" fontId="91" fillId="0" borderId="56" xfId="0" applyFont="1" applyBorder="1" applyAlignment="1">
      <alignment vertical="center"/>
    </xf>
    <xf numFmtId="0" fontId="91" fillId="0" borderId="56" xfId="0" applyFont="1" applyBorder="1" applyAlignment="1">
      <alignment horizontal="center" vertical="center"/>
    </xf>
    <xf numFmtId="43" fontId="91" fillId="0" borderId="56" xfId="4" applyFont="1" applyFill="1" applyBorder="1" applyAlignment="1">
      <alignment horizontal="left" vertical="center"/>
    </xf>
    <xf numFmtId="43" fontId="92" fillId="0" borderId="56" xfId="4" applyFont="1" applyFill="1" applyBorder="1" applyAlignment="1">
      <alignment horizontal="left" vertical="center"/>
    </xf>
    <xf numFmtId="0" fontId="92" fillId="0" borderId="56" xfId="95" applyFont="1" applyBorder="1" applyAlignment="1">
      <alignment horizontal="center" vertical="top"/>
    </xf>
    <xf numFmtId="0" fontId="92" fillId="0" borderId="56" xfId="95" applyFont="1" applyBorder="1" applyAlignment="1">
      <alignment horizontal="left" vertical="top" wrapText="1"/>
    </xf>
    <xf numFmtId="4" fontId="92" fillId="0" borderId="56" xfId="95" applyNumberFormat="1" applyFont="1" applyBorder="1" applyAlignment="1">
      <alignment horizontal="right" vertical="top"/>
    </xf>
    <xf numFmtId="0" fontId="91" fillId="0" borderId="56" xfId="95" applyFont="1" applyBorder="1" applyAlignment="1">
      <alignment horizontal="left" vertical="top" wrapText="1"/>
    </xf>
    <xf numFmtId="0" fontId="91" fillId="0" borderId="0" xfId="95" applyFont="1" applyAlignment="1">
      <alignment horizontal="left" vertical="top"/>
    </xf>
    <xf numFmtId="0" fontId="91" fillId="0" borderId="0" xfId="95" applyFont="1" applyAlignment="1">
      <alignment vertical="top"/>
    </xf>
    <xf numFmtId="0" fontId="88" fillId="0" borderId="0" xfId="95" applyFont="1" applyAlignment="1">
      <alignment vertical="top"/>
    </xf>
    <xf numFmtId="0" fontId="92" fillId="0" borderId="56" xfId="95" applyFont="1" applyBorder="1" applyAlignment="1">
      <alignment horizontal="left" vertical="center"/>
    </xf>
    <xf numFmtId="0" fontId="92" fillId="0" borderId="56" xfId="95" applyFont="1" applyBorder="1" applyAlignment="1">
      <alignment vertical="center"/>
    </xf>
    <xf numFmtId="43" fontId="92" fillId="0" borderId="56" xfId="18" applyFont="1" applyFill="1" applyBorder="1" applyAlignment="1">
      <alignment horizontal="left" vertical="center"/>
    </xf>
    <xf numFmtId="43" fontId="92" fillId="0" borderId="56" xfId="4" applyFont="1" applyFill="1" applyBorder="1" applyAlignment="1">
      <alignment vertical="center"/>
    </xf>
    <xf numFmtId="0" fontId="92" fillId="0" borderId="0" xfId="95" applyFont="1" applyAlignment="1">
      <alignment horizontal="left" vertical="center"/>
    </xf>
    <xf numFmtId="0" fontId="92" fillId="0" borderId="56" xfId="95" applyFont="1" applyBorder="1" applyAlignment="1">
      <alignment horizontal="left" vertical="top"/>
    </xf>
    <xf numFmtId="0" fontId="93" fillId="0" borderId="0" xfId="95" applyFont="1" applyAlignment="1">
      <alignment horizontal="left" vertical="center"/>
    </xf>
    <xf numFmtId="0" fontId="88" fillId="0" borderId="56" xfId="95" applyFont="1" applyBorder="1" applyAlignment="1">
      <alignment horizontal="left" vertical="center"/>
    </xf>
    <xf numFmtId="0" fontId="88" fillId="0" borderId="56" xfId="95" applyFont="1" applyBorder="1" applyAlignment="1">
      <alignment horizontal="center" vertical="center"/>
    </xf>
    <xf numFmtId="4" fontId="88" fillId="0" borderId="56" xfId="95" applyNumberFormat="1" applyFont="1" applyBorder="1" applyAlignment="1">
      <alignment horizontal="right" vertical="center"/>
    </xf>
    <xf numFmtId="0" fontId="88" fillId="0" borderId="56" xfId="95" applyFont="1" applyBorder="1" applyAlignment="1">
      <alignment horizontal="left" vertical="center" wrapText="1"/>
    </xf>
    <xf numFmtId="43" fontId="91" fillId="0" borderId="56" xfId="4" applyFont="1" applyFill="1" applyBorder="1" applyAlignment="1">
      <alignment vertical="center"/>
    </xf>
    <xf numFmtId="0" fontId="91" fillId="0" borderId="56" xfId="0" applyFont="1" applyBorder="1" applyAlignment="1">
      <alignment vertical="center" wrapText="1"/>
    </xf>
    <xf numFmtId="0" fontId="91" fillId="0" borderId="56" xfId="0" applyFont="1" applyBorder="1" applyAlignment="1">
      <alignment horizontal="center" vertical="center" wrapText="1"/>
    </xf>
    <xf numFmtId="4" fontId="91" fillId="0" borderId="56" xfId="0" applyNumberFormat="1" applyFont="1" applyBorder="1" applyAlignment="1">
      <alignment horizontal="right" vertical="center" wrapText="1"/>
    </xf>
    <xf numFmtId="0" fontId="92" fillId="0" borderId="56" xfId="95" applyFont="1" applyBorder="1" applyAlignment="1">
      <alignment vertical="center" wrapText="1"/>
    </xf>
    <xf numFmtId="43" fontId="88" fillId="0" borderId="56" xfId="4" applyFont="1" applyFill="1" applyBorder="1" applyAlignment="1">
      <alignment horizontal="center" vertical="center"/>
    </xf>
    <xf numFmtId="43" fontId="92" fillId="0" borderId="56" xfId="4" applyFont="1" applyFill="1" applyBorder="1" applyAlignment="1">
      <alignment horizontal="center" vertical="center"/>
    </xf>
    <xf numFmtId="0" fontId="88" fillId="0" borderId="56" xfId="95" applyFont="1" applyBorder="1" applyAlignment="1">
      <alignment vertical="center"/>
    </xf>
    <xf numFmtId="0" fontId="92" fillId="0" borderId="56" xfId="0" applyFont="1" applyBorder="1" applyAlignment="1">
      <alignment vertical="center"/>
    </xf>
    <xf numFmtId="0" fontId="92" fillId="0" borderId="56" xfId="0" applyFont="1" applyBorder="1" applyAlignment="1">
      <alignment vertical="center" wrapText="1"/>
    </xf>
    <xf numFmtId="0" fontId="92" fillId="0" borderId="56" xfId="0" applyFont="1" applyBorder="1" applyAlignment="1">
      <alignment horizontal="center" vertical="center"/>
    </xf>
    <xf numFmtId="168" fontId="92" fillId="0" borderId="56" xfId="4" applyNumberFormat="1" applyFont="1" applyFill="1" applyBorder="1" applyAlignment="1">
      <alignment vertical="center"/>
    </xf>
    <xf numFmtId="0" fontId="91" fillId="0" borderId="56" xfId="0" applyFont="1" applyBorder="1" applyAlignment="1">
      <alignment vertical="top" wrapText="1"/>
    </xf>
    <xf numFmtId="0" fontId="91" fillId="0" borderId="56" xfId="0" applyFont="1" applyBorder="1" applyAlignment="1">
      <alignment horizontal="center" vertical="top"/>
    </xf>
    <xf numFmtId="43" fontId="91" fillId="0" borderId="56" xfId="4" applyFont="1" applyFill="1" applyBorder="1" applyAlignment="1">
      <alignment vertical="top"/>
    </xf>
    <xf numFmtId="43" fontId="92" fillId="0" borderId="56" xfId="4" applyFont="1" applyFill="1" applyBorder="1" applyAlignment="1">
      <alignment vertical="top"/>
    </xf>
    <xf numFmtId="0" fontId="91" fillId="0" borderId="56" xfId="0" applyFont="1" applyBorder="1" applyAlignment="1">
      <alignment vertical="top"/>
    </xf>
    <xf numFmtId="0" fontId="92" fillId="0" borderId="56" xfId="95" applyFont="1" applyBorder="1" applyAlignment="1">
      <alignment vertical="top"/>
    </xf>
    <xf numFmtId="4" fontId="92" fillId="0" borderId="56" xfId="0" applyNumberFormat="1" applyFont="1" applyBorder="1" applyAlignment="1">
      <alignment vertical="center"/>
    </xf>
    <xf numFmtId="168" fontId="91" fillId="0" borderId="56" xfId="4" applyNumberFormat="1" applyFont="1" applyFill="1" applyBorder="1" applyAlignment="1">
      <alignment vertical="center"/>
    </xf>
    <xf numFmtId="0" fontId="91" fillId="0" borderId="56" xfId="0" applyFont="1" applyBorder="1" applyAlignment="1">
      <alignment horizontal="left" vertical="center"/>
    </xf>
    <xf numFmtId="43" fontId="91" fillId="0" borderId="56" xfId="4" applyFont="1" applyFill="1" applyBorder="1" applyAlignment="1">
      <alignment horizontal="center" vertical="center"/>
    </xf>
    <xf numFmtId="43" fontId="92" fillId="0" borderId="56" xfId="4" applyFont="1" applyFill="1" applyBorder="1" applyAlignment="1">
      <alignment horizontal="right" vertical="center"/>
    </xf>
    <xf numFmtId="43" fontId="90" fillId="0" borderId="56" xfId="4" applyFont="1" applyFill="1" applyBorder="1" applyAlignment="1">
      <alignment horizontal="right" vertical="center"/>
    </xf>
    <xf numFmtId="43" fontId="92" fillId="0" borderId="56" xfId="18" applyFont="1" applyFill="1" applyBorder="1" applyAlignment="1">
      <alignment horizontal="right" vertical="center"/>
    </xf>
    <xf numFmtId="0" fontId="91" fillId="0" borderId="56" xfId="95" applyFont="1" applyBorder="1" applyAlignment="1">
      <alignment vertical="center"/>
    </xf>
    <xf numFmtId="43" fontId="91" fillId="0" borderId="56" xfId="4" applyFont="1" applyFill="1" applyBorder="1" applyAlignment="1">
      <alignment horizontal="right" vertical="center"/>
    </xf>
    <xf numFmtId="4" fontId="92" fillId="0" borderId="56" xfId="4" applyNumberFormat="1" applyFont="1" applyFill="1" applyBorder="1" applyAlignment="1">
      <alignment horizontal="right" vertical="center"/>
    </xf>
    <xf numFmtId="0" fontId="92" fillId="0" borderId="56" xfId="0" applyFont="1" applyBorder="1" applyAlignment="1">
      <alignment horizontal="left" vertical="center"/>
    </xf>
    <xf numFmtId="43" fontId="90" fillId="0" borderId="56" xfId="4" applyFont="1" applyFill="1" applyBorder="1" applyAlignment="1">
      <alignment vertical="center"/>
    </xf>
    <xf numFmtId="4" fontId="90" fillId="0" borderId="56" xfId="4" applyNumberFormat="1" applyFont="1" applyFill="1" applyBorder="1" applyAlignment="1">
      <alignment horizontal="right" vertical="center"/>
    </xf>
    <xf numFmtId="0" fontId="91" fillId="0" borderId="56" xfId="95" applyFont="1" applyBorder="1" applyAlignment="1">
      <alignment vertical="top" wrapText="1" shrinkToFit="1"/>
    </xf>
    <xf numFmtId="0" fontId="91" fillId="0" borderId="56" xfId="95" applyFont="1" applyBorder="1" applyAlignment="1">
      <alignment horizontal="center" vertical="top"/>
    </xf>
    <xf numFmtId="43" fontId="91" fillId="0" borderId="56" xfId="4" applyFont="1" applyFill="1" applyBorder="1" applyAlignment="1">
      <alignment horizontal="right" vertical="top"/>
    </xf>
    <xf numFmtId="4" fontId="92" fillId="0" borderId="56" xfId="4" applyNumberFormat="1" applyFont="1" applyFill="1" applyBorder="1" applyAlignment="1">
      <alignment horizontal="right" vertical="top"/>
    </xf>
    <xf numFmtId="0" fontId="91" fillId="0" borderId="56" xfId="95" applyFont="1" applyBorder="1" applyAlignment="1">
      <alignment vertical="top"/>
    </xf>
    <xf numFmtId="43" fontId="92" fillId="0" borderId="56" xfId="18" applyFont="1" applyFill="1" applyBorder="1" applyAlignment="1">
      <alignment horizontal="justify" vertical="center"/>
    </xf>
    <xf numFmtId="43" fontId="92" fillId="0" borderId="56" xfId="95" applyNumberFormat="1" applyFont="1" applyBorder="1" applyAlignment="1">
      <alignment vertical="center"/>
    </xf>
    <xf numFmtId="4" fontId="92" fillId="0" borderId="56" xfId="0" applyNumberFormat="1" applyFont="1" applyBorder="1" applyAlignment="1">
      <alignment horizontal="right" vertical="center" wrapText="1"/>
    </xf>
    <xf numFmtId="0" fontId="91" fillId="0" borderId="56" xfId="0" applyFont="1" applyBorder="1" applyAlignment="1">
      <alignment horizontal="left" vertical="top"/>
    </xf>
    <xf numFmtId="43" fontId="91" fillId="0" borderId="56" xfId="4" applyFont="1" applyFill="1" applyBorder="1" applyAlignment="1">
      <alignment horizontal="center" vertical="top"/>
    </xf>
    <xf numFmtId="0" fontId="91" fillId="0" borderId="56" xfId="0" applyFont="1" applyBorder="1" applyAlignment="1">
      <alignment horizontal="left" vertical="top" wrapText="1"/>
    </xf>
    <xf numFmtId="2" fontId="91" fillId="0" borderId="56" xfId="0" applyNumberFormat="1" applyFont="1" applyBorder="1" applyAlignment="1">
      <alignment vertical="center"/>
    </xf>
    <xf numFmtId="43" fontId="89" fillId="0" borderId="56" xfId="4" applyFont="1" applyFill="1" applyBorder="1" applyAlignment="1">
      <alignment vertical="center"/>
    </xf>
    <xf numFmtId="43" fontId="91" fillId="0" borderId="56" xfId="4" applyFont="1" applyFill="1" applyBorder="1" applyAlignment="1">
      <alignment horizontal="left" vertical="top"/>
    </xf>
    <xf numFmtId="43" fontId="92" fillId="0" borderId="56" xfId="4" applyFont="1" applyFill="1" applyBorder="1" applyAlignment="1">
      <alignment horizontal="left" vertical="top"/>
    </xf>
    <xf numFmtId="43" fontId="92" fillId="0" borderId="56" xfId="4" applyFont="1" applyFill="1" applyBorder="1" applyAlignment="1">
      <alignment horizontal="right" vertical="center" wrapText="1" shrinkToFit="1"/>
    </xf>
    <xf numFmtId="43" fontId="92" fillId="0" borderId="56" xfId="11" applyFont="1" applyFill="1" applyBorder="1" applyAlignment="1">
      <alignment horizontal="right" vertical="center" wrapText="1" shrinkToFit="1"/>
    </xf>
    <xf numFmtId="0" fontId="92" fillId="0" borderId="56" xfId="0" applyFont="1" applyBorder="1" applyAlignment="1">
      <alignment horizontal="left" vertical="center" wrapText="1" shrinkToFit="1"/>
    </xf>
    <xf numFmtId="0" fontId="92" fillId="12" borderId="0" xfId="95" applyFont="1" applyFill="1" applyAlignment="1">
      <alignment horizontal="left" vertical="center"/>
    </xf>
    <xf numFmtId="0" fontId="92" fillId="0" borderId="56" xfId="0" applyFont="1" applyBorder="1" applyAlignment="1">
      <alignment horizontal="center" vertical="center" wrapText="1"/>
    </xf>
    <xf numFmtId="43" fontId="92" fillId="0" borderId="56" xfId="4" applyFont="1" applyFill="1" applyBorder="1" applyAlignment="1">
      <alignment horizontal="center" vertical="center" wrapText="1"/>
    </xf>
    <xf numFmtId="0" fontId="92" fillId="0" borderId="56" xfId="0" applyFont="1" applyBorder="1" applyAlignment="1">
      <alignment vertical="top" wrapText="1"/>
    </xf>
    <xf numFmtId="0" fontId="92" fillId="0" borderId="56" xfId="0" applyFont="1" applyBorder="1" applyAlignment="1">
      <alignment horizontal="center" vertical="top"/>
    </xf>
    <xf numFmtId="43" fontId="92" fillId="0" borderId="56" xfId="4" applyFont="1" applyFill="1" applyBorder="1" applyAlignment="1">
      <alignment horizontal="right" vertical="top" wrapText="1" shrinkToFit="1"/>
    </xf>
    <xf numFmtId="0" fontId="88" fillId="0" borderId="56" xfId="95" applyFont="1" applyBorder="1" applyAlignment="1">
      <alignment vertical="top"/>
    </xf>
    <xf numFmtId="0" fontId="92" fillId="12" borderId="0" xfId="95" applyFont="1" applyFill="1" applyAlignment="1">
      <alignment horizontal="left" vertical="top"/>
    </xf>
    <xf numFmtId="0" fontId="88" fillId="0" borderId="56" xfId="0" applyFont="1" applyBorder="1" applyAlignment="1">
      <alignment vertical="center" wrapText="1"/>
    </xf>
    <xf numFmtId="0" fontId="88" fillId="0" borderId="56" xfId="0" applyFont="1" applyBorder="1" applyAlignment="1">
      <alignment horizontal="center" vertical="center" wrapText="1"/>
    </xf>
    <xf numFmtId="43" fontId="91" fillId="0" borderId="56" xfId="4" applyFont="1" applyFill="1" applyBorder="1" applyAlignment="1">
      <alignment horizontal="right" vertical="center" wrapText="1"/>
    </xf>
    <xf numFmtId="43" fontId="92" fillId="0" borderId="56" xfId="4" applyFont="1" applyFill="1" applyBorder="1" applyAlignment="1">
      <alignment horizontal="right" vertical="center" wrapText="1"/>
    </xf>
    <xf numFmtId="43" fontId="88" fillId="0" borderId="56" xfId="4" applyFont="1" applyFill="1" applyBorder="1" applyAlignment="1">
      <alignment horizontal="center" vertical="center" wrapText="1"/>
    </xf>
    <xf numFmtId="170" fontId="88" fillId="0" borderId="56" xfId="0" applyNumberFormat="1" applyFont="1" applyBorder="1" applyAlignment="1">
      <alignment horizontal="center" vertical="center" wrapText="1"/>
    </xf>
    <xf numFmtId="0" fontId="93" fillId="12" borderId="0" xfId="95" applyFont="1" applyFill="1" applyAlignment="1">
      <alignment horizontal="left" vertical="center"/>
    </xf>
    <xf numFmtId="0" fontId="91" fillId="0" borderId="56" xfId="0" applyFont="1" applyBorder="1" applyAlignment="1">
      <alignment horizontal="center" vertical="top" wrapText="1"/>
    </xf>
    <xf numFmtId="4" fontId="91" fillId="0" borderId="56" xfId="0" applyNumberFormat="1" applyFont="1" applyBorder="1" applyAlignment="1">
      <alignment horizontal="right" vertical="top" wrapText="1"/>
    </xf>
    <xf numFmtId="43" fontId="92" fillId="0" borderId="56" xfId="4" applyFont="1" applyFill="1" applyBorder="1" applyAlignment="1">
      <alignment horizontal="right" vertical="top"/>
    </xf>
    <xf numFmtId="43" fontId="91" fillId="0" borderId="56" xfId="18" applyFont="1" applyFill="1" applyBorder="1" applyAlignment="1">
      <alignment horizontal="right" vertical="center"/>
    </xf>
    <xf numFmtId="0" fontId="92" fillId="0" borderId="56" xfId="0" applyFont="1" applyBorder="1" applyAlignment="1">
      <alignment horizontal="left" vertical="top" wrapText="1"/>
    </xf>
    <xf numFmtId="43" fontId="92" fillId="0" borderId="56" xfId="4" applyFont="1" applyFill="1" applyBorder="1" applyAlignment="1">
      <alignment horizontal="center" vertical="top"/>
    </xf>
    <xf numFmtId="43" fontId="92" fillId="0" borderId="56" xfId="11" applyFont="1" applyFill="1" applyBorder="1" applyAlignment="1">
      <alignment horizontal="right" vertical="top" wrapText="1" shrinkToFit="1"/>
    </xf>
    <xf numFmtId="169" fontId="91" fillId="0" borderId="56" xfId="4" applyNumberFormat="1" applyFont="1" applyFill="1" applyBorder="1" applyAlignment="1">
      <alignment horizontal="center" vertical="center" wrapText="1"/>
    </xf>
    <xf numFmtId="0" fontId="91" fillId="0" borderId="57" xfId="95" applyFont="1" applyBorder="1" applyAlignment="1">
      <alignment vertical="center"/>
    </xf>
    <xf numFmtId="3" fontId="88" fillId="0" borderId="56" xfId="0" applyNumberFormat="1" applyFont="1" applyBorder="1" applyAlignment="1">
      <alignment horizontal="right" vertical="center" wrapText="1"/>
    </xf>
    <xf numFmtId="3" fontId="92" fillId="0" borderId="56" xfId="0" applyNumberFormat="1" applyFont="1" applyBorder="1" applyAlignment="1">
      <alignment horizontal="right" vertical="center" wrapText="1"/>
    </xf>
    <xf numFmtId="0" fontId="88" fillId="0" borderId="72" xfId="0" applyFont="1" applyBorder="1" applyAlignment="1">
      <alignment vertical="center" wrapText="1"/>
    </xf>
    <xf numFmtId="3" fontId="91" fillId="0" borderId="56" xfId="0" applyNumberFormat="1" applyFont="1" applyBorder="1" applyAlignment="1">
      <alignment vertical="center"/>
    </xf>
    <xf numFmtId="0" fontId="94" fillId="0" borderId="56" xfId="0" applyFont="1" applyBorder="1" applyAlignment="1">
      <alignment horizontal="center" vertical="center" wrapText="1"/>
    </xf>
    <xf numFmtId="3" fontId="90" fillId="0" borderId="56" xfId="0" applyNumberFormat="1" applyFont="1" applyBorder="1" applyAlignment="1">
      <alignment horizontal="right" vertical="center" wrapText="1"/>
    </xf>
    <xf numFmtId="0" fontId="88" fillId="0" borderId="0" xfId="0" applyFont="1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3" fontId="88" fillId="0" borderId="0" xfId="0" applyNumberFormat="1" applyFont="1" applyAlignment="1">
      <alignment horizontal="right" vertical="center" wrapText="1"/>
    </xf>
    <xf numFmtId="3" fontId="92" fillId="0" borderId="0" xfId="0" applyNumberFormat="1" applyFont="1" applyAlignment="1">
      <alignment horizontal="right" vertical="center" wrapText="1"/>
    </xf>
    <xf numFmtId="0" fontId="89" fillId="0" borderId="0" xfId="95" applyFont="1" applyAlignment="1">
      <alignment horizontal="center" vertical="center" wrapText="1"/>
    </xf>
    <xf numFmtId="0" fontId="88" fillId="0" borderId="72" xfId="0" applyFont="1" applyBorder="1" applyAlignment="1">
      <alignment horizontal="center" vertical="center" wrapText="1"/>
    </xf>
    <xf numFmtId="0" fontId="88" fillId="0" borderId="4" xfId="0" applyFont="1" applyBorder="1" applyAlignment="1">
      <alignment horizontal="center" vertical="center" wrapText="1"/>
    </xf>
    <xf numFmtId="0" fontId="88" fillId="0" borderId="0" xfId="95" applyFont="1" applyAlignment="1">
      <alignment horizontal="center" vertical="center"/>
    </xf>
    <xf numFmtId="3" fontId="91" fillId="0" borderId="0" xfId="0" applyNumberFormat="1" applyFont="1" applyAlignment="1">
      <alignment vertical="center"/>
    </xf>
    <xf numFmtId="4" fontId="89" fillId="0" borderId="0" xfId="0" applyNumberFormat="1" applyFont="1" applyAlignment="1">
      <alignment vertical="center"/>
    </xf>
    <xf numFmtId="0" fontId="89" fillId="0" borderId="4" xfId="95" applyFont="1" applyBorder="1" applyAlignment="1">
      <alignment horizontal="center" vertical="center"/>
    </xf>
    <xf numFmtId="0" fontId="89" fillId="0" borderId="56" xfId="95" applyFont="1" applyBorder="1" applyAlignment="1">
      <alignment horizontal="center" vertical="center"/>
    </xf>
    <xf numFmtId="4" fontId="95" fillId="0" borderId="56" xfId="0" applyNumberFormat="1" applyFont="1" applyBorder="1" applyAlignment="1">
      <alignment horizontal="right" vertical="center" wrapText="1"/>
    </xf>
    <xf numFmtId="0" fontId="95" fillId="0" borderId="56" xfId="0" applyFont="1" applyBorder="1" applyAlignment="1">
      <alignment vertical="center" wrapText="1"/>
    </xf>
    <xf numFmtId="169" fontId="96" fillId="0" borderId="56" xfId="4" applyNumberFormat="1" applyFont="1" applyFill="1" applyBorder="1" applyAlignment="1">
      <alignment horizontal="right" vertical="center" wrapText="1"/>
    </xf>
    <xf numFmtId="169" fontId="95" fillId="0" borderId="56" xfId="4" applyNumberFormat="1" applyFont="1" applyFill="1" applyBorder="1" applyAlignment="1">
      <alignment horizontal="right" vertical="center"/>
    </xf>
    <xf numFmtId="3" fontId="95" fillId="0" borderId="56" xfId="0" applyNumberFormat="1" applyFont="1" applyBorder="1" applyAlignment="1">
      <alignment horizontal="right" vertical="top"/>
    </xf>
    <xf numFmtId="0" fontId="88" fillId="0" borderId="0" xfId="95" applyFont="1" applyAlignment="1">
      <alignment horizontal="left" vertical="top"/>
    </xf>
    <xf numFmtId="3" fontId="95" fillId="0" borderId="56" xfId="0" applyNumberFormat="1" applyFont="1" applyBorder="1" applyAlignment="1">
      <alignment horizontal="right" vertical="center"/>
    </xf>
    <xf numFmtId="0" fontId="91" fillId="0" borderId="4" xfId="95" applyFont="1" applyBorder="1" applyAlignment="1">
      <alignment vertical="center"/>
    </xf>
    <xf numFmtId="0" fontId="91" fillId="0" borderId="4" xfId="95" applyFont="1" applyBorder="1" applyAlignment="1">
      <alignment horizontal="center" vertical="center"/>
    </xf>
    <xf numFmtId="0" fontId="91" fillId="0" borderId="4" xfId="95" applyFont="1" applyBorder="1" applyAlignment="1">
      <alignment horizontal="right" vertical="center"/>
    </xf>
    <xf numFmtId="43" fontId="90" fillId="0" borderId="4" xfId="95" applyNumberFormat="1" applyFont="1" applyBorder="1" applyAlignment="1">
      <alignment horizontal="right" vertical="center"/>
    </xf>
    <xf numFmtId="43" fontId="91" fillId="0" borderId="4" xfId="95" applyNumberFormat="1" applyFont="1" applyBorder="1" applyAlignment="1">
      <alignment vertical="center"/>
    </xf>
    <xf numFmtId="0" fontId="89" fillId="0" borderId="4" xfId="95" applyFont="1" applyBorder="1" applyAlignment="1">
      <alignment horizontal="center" vertical="center" wrapText="1"/>
    </xf>
    <xf numFmtId="0" fontId="90" fillId="0" borderId="4" xfId="95" applyFont="1" applyBorder="1" applyAlignment="1">
      <alignment horizontal="center" vertical="center" wrapText="1"/>
    </xf>
    <xf numFmtId="0" fontId="88" fillId="0" borderId="56" xfId="0" applyFont="1" applyBorder="1" applyAlignment="1">
      <alignment horizontal="left" vertical="center"/>
    </xf>
    <xf numFmtId="0" fontId="88" fillId="0" borderId="56" xfId="0" applyFont="1" applyBorder="1" applyAlignment="1">
      <alignment horizontal="center" vertical="center"/>
    </xf>
    <xf numFmtId="4" fontId="91" fillId="0" borderId="56" xfId="0" applyNumberFormat="1" applyFont="1" applyBorder="1" applyAlignment="1">
      <alignment horizontal="right" vertical="center"/>
    </xf>
    <xf numFmtId="4" fontId="92" fillId="0" borderId="56" xfId="0" applyNumberFormat="1" applyFont="1" applyBorder="1" applyAlignment="1">
      <alignment horizontal="left" vertical="center"/>
    </xf>
    <xf numFmtId="0" fontId="88" fillId="0" borderId="0" xfId="0" applyFont="1" applyAlignment="1">
      <alignment horizontal="left" vertical="center"/>
    </xf>
    <xf numFmtId="0" fontId="91" fillId="33" borderId="56" xfId="0" applyFont="1" applyFill="1" applyBorder="1" applyAlignment="1">
      <alignment horizontal="center" vertical="center"/>
    </xf>
    <xf numFmtId="0" fontId="88" fillId="33" borderId="56" xfId="0" applyFont="1" applyFill="1" applyBorder="1" applyAlignment="1">
      <alignment horizontal="left" vertical="center"/>
    </xf>
    <xf numFmtId="0" fontId="88" fillId="33" borderId="56" xfId="0" applyFont="1" applyFill="1" applyBorder="1" applyAlignment="1">
      <alignment horizontal="center" vertical="center"/>
    </xf>
    <xf numFmtId="4" fontId="88" fillId="33" borderId="56" xfId="0" applyNumberFormat="1" applyFont="1" applyFill="1" applyBorder="1" applyAlignment="1">
      <alignment horizontal="right" vertical="center"/>
    </xf>
    <xf numFmtId="4" fontId="92" fillId="33" borderId="56" xfId="0" applyNumberFormat="1" applyFont="1" applyFill="1" applyBorder="1" applyAlignment="1">
      <alignment horizontal="left" vertical="center"/>
    </xf>
    <xf numFmtId="169" fontId="88" fillId="0" borderId="0" xfId="4" applyNumberFormat="1" applyFont="1" applyAlignment="1">
      <alignment horizontal="left" vertical="center"/>
    </xf>
    <xf numFmtId="4" fontId="88" fillId="0" borderId="56" xfId="0" applyNumberFormat="1" applyFont="1" applyBorder="1" applyAlignment="1">
      <alignment horizontal="right" vertical="center"/>
    </xf>
    <xf numFmtId="43" fontId="88" fillId="0" borderId="0" xfId="4" applyFont="1" applyAlignment="1">
      <alignment horizontal="left" vertical="center"/>
    </xf>
    <xf numFmtId="0" fontId="88" fillId="0" borderId="56" xfId="0" applyFont="1" applyBorder="1" applyAlignment="1">
      <alignment horizontal="left" vertical="top"/>
    </xf>
    <xf numFmtId="0" fontId="88" fillId="0" borderId="56" xfId="0" applyFont="1" applyBorder="1" applyAlignment="1">
      <alignment horizontal="center" vertical="top"/>
    </xf>
    <xf numFmtId="4" fontId="88" fillId="0" borderId="56" xfId="0" applyNumberFormat="1" applyFont="1" applyBorder="1" applyAlignment="1">
      <alignment horizontal="right" vertical="top"/>
    </xf>
    <xf numFmtId="4" fontId="92" fillId="0" borderId="56" xfId="0" applyNumberFormat="1" applyFont="1" applyBorder="1" applyAlignment="1">
      <alignment horizontal="left" vertical="top"/>
    </xf>
    <xf numFmtId="0" fontId="88" fillId="0" borderId="56" xfId="0" applyFont="1" applyBorder="1" applyAlignment="1">
      <alignment horizontal="left" vertical="top" wrapText="1"/>
    </xf>
    <xf numFmtId="0" fontId="88" fillId="0" borderId="0" xfId="0" applyFont="1" applyAlignment="1">
      <alignment horizontal="left" vertical="top" wrapText="1"/>
    </xf>
    <xf numFmtId="0" fontId="88" fillId="0" borderId="56" xfId="0" applyFont="1" applyBorder="1" applyAlignment="1">
      <alignment horizontal="left" vertical="center" wrapText="1"/>
    </xf>
    <xf numFmtId="0" fontId="88" fillId="0" borderId="0" xfId="0" applyFont="1" applyAlignment="1">
      <alignment horizontal="left" vertical="center" wrapText="1"/>
    </xf>
    <xf numFmtId="4" fontId="92" fillId="0" borderId="56" xfId="0" applyNumberFormat="1" applyFont="1" applyBorder="1" applyAlignment="1">
      <alignment horizontal="right" vertical="top"/>
    </xf>
    <xf numFmtId="0" fontId="91" fillId="0" borderId="56" xfId="95" applyFont="1" applyBorder="1" applyAlignment="1">
      <alignment horizontal="right" vertical="center"/>
    </xf>
    <xf numFmtId="4" fontId="90" fillId="0" borderId="56" xfId="95" applyNumberFormat="1" applyFont="1" applyBorder="1" applyAlignment="1">
      <alignment horizontal="right" vertical="center"/>
    </xf>
    <xf numFmtId="0" fontId="89" fillId="0" borderId="0" xfId="95" applyFont="1" applyAlignment="1">
      <alignment horizontal="center" vertical="center"/>
    </xf>
    <xf numFmtId="0" fontId="91" fillId="0" borderId="0" xfId="95" applyFont="1" applyAlignment="1">
      <alignment horizontal="center" vertical="center"/>
    </xf>
    <xf numFmtId="0" fontId="91" fillId="0" borderId="0" xfId="95" applyFont="1" applyAlignment="1">
      <alignment horizontal="right" vertical="center"/>
    </xf>
    <xf numFmtId="4" fontId="90" fillId="0" borderId="0" xfId="95" applyNumberFormat="1" applyFont="1" applyAlignment="1">
      <alignment horizontal="right" vertical="center"/>
    </xf>
    <xf numFmtId="4" fontId="88" fillId="0" borderId="56" xfId="0" applyNumberFormat="1" applyFont="1" applyBorder="1" applyAlignment="1">
      <alignment horizontal="center" vertical="center" wrapText="1"/>
    </xf>
    <xf numFmtId="43" fontId="90" fillId="0" borderId="56" xfId="95" applyNumberFormat="1" applyFont="1" applyBorder="1" applyAlignment="1">
      <alignment horizontal="right" vertical="center"/>
    </xf>
    <xf numFmtId="0" fontId="92" fillId="0" borderId="56" xfId="95" applyFont="1" applyBorder="1" applyAlignment="1">
      <alignment horizontal="justify" vertical="center"/>
    </xf>
    <xf numFmtId="43" fontId="92" fillId="0" borderId="56" xfId="18" applyFont="1" applyFill="1" applyBorder="1" applyAlignment="1">
      <alignment vertical="center"/>
    </xf>
    <xf numFmtId="0" fontId="97" fillId="0" borderId="56" xfId="0" applyFont="1" applyBorder="1" applyAlignment="1">
      <alignment vertical="center"/>
    </xf>
    <xf numFmtId="2" fontId="92" fillId="0" borderId="56" xfId="0" applyNumberFormat="1" applyFont="1" applyBorder="1" applyAlignment="1">
      <alignment vertical="center"/>
    </xf>
    <xf numFmtId="43" fontId="92" fillId="0" borderId="56" xfId="0" applyNumberFormat="1" applyFont="1" applyBorder="1" applyAlignment="1">
      <alignment vertical="center"/>
    </xf>
    <xf numFmtId="0" fontId="92" fillId="0" borderId="56" xfId="0" applyFont="1" applyBorder="1" applyAlignment="1">
      <alignment horizontal="left" vertical="center" wrapText="1"/>
    </xf>
    <xf numFmtId="0" fontId="88" fillId="0" borderId="56" xfId="0" applyFont="1" applyBorder="1" applyAlignment="1">
      <alignment vertical="top" wrapText="1"/>
    </xf>
    <xf numFmtId="0" fontId="88" fillId="0" borderId="56" xfId="0" applyFont="1" applyBorder="1" applyAlignment="1">
      <alignment horizontal="center" vertical="top" wrapText="1"/>
    </xf>
    <xf numFmtId="43" fontId="88" fillId="0" borderId="56" xfId="4" applyFont="1" applyFill="1" applyBorder="1" applyAlignment="1">
      <alignment horizontal="center" vertical="top" wrapText="1"/>
    </xf>
    <xf numFmtId="0" fontId="92" fillId="0" borderId="56" xfId="0" applyFont="1" applyBorder="1" applyAlignment="1">
      <alignment horizontal="center" vertical="top" wrapText="1"/>
    </xf>
    <xf numFmtId="3" fontId="92" fillId="0" borderId="56" xfId="0" applyNumberFormat="1" applyFont="1" applyBorder="1" applyAlignment="1">
      <alignment horizontal="right" vertical="top" wrapText="1"/>
    </xf>
    <xf numFmtId="43" fontId="90" fillId="0" borderId="0" xfId="4" applyFont="1" applyFill="1" applyBorder="1" applyAlignment="1">
      <alignment horizontal="right" vertical="center"/>
    </xf>
    <xf numFmtId="0" fontId="88" fillId="0" borderId="4" xfId="95" applyFont="1" applyBorder="1" applyAlignment="1">
      <alignment vertical="center"/>
    </xf>
    <xf numFmtId="0" fontId="92" fillId="0" borderId="0" xfId="95" applyFont="1" applyAlignment="1">
      <alignment horizontal="right" vertical="center"/>
    </xf>
    <xf numFmtId="0" fontId="88" fillId="0" borderId="0" xfId="95" applyFont="1" applyAlignment="1">
      <alignment horizontal="right" vertical="center"/>
    </xf>
    <xf numFmtId="0" fontId="7" fillId="0" borderId="0" xfId="17" applyFont="1" applyAlignment="1">
      <alignment horizontal="right" vertical="top"/>
    </xf>
    <xf numFmtId="43" fontId="7" fillId="0" borderId="0" xfId="4" applyFont="1" applyAlignment="1">
      <alignment horizontal="right" vertical="top"/>
    </xf>
    <xf numFmtId="0" fontId="71" fillId="0" borderId="0" xfId="0" applyFont="1"/>
    <xf numFmtId="0" fontId="45" fillId="0" borderId="18" xfId="0" applyFont="1" applyBorder="1" applyAlignment="1">
      <alignment horizontal="center"/>
    </xf>
    <xf numFmtId="0" fontId="45" fillId="0" borderId="0" xfId="0" applyFont="1" applyAlignment="1">
      <alignment horizontal="center"/>
    </xf>
    <xf numFmtId="43" fontId="71" fillId="0" borderId="0" xfId="4" applyFont="1" applyFill="1"/>
    <xf numFmtId="43" fontId="45" fillId="0" borderId="56" xfId="4" applyFont="1" applyFill="1" applyBorder="1" applyAlignment="1">
      <alignment horizontal="center" vertical="center" wrapText="1"/>
    </xf>
    <xf numFmtId="43" fontId="45" fillId="0" borderId="4" xfId="4" applyFont="1" applyFill="1" applyBorder="1" applyAlignment="1">
      <alignment horizontal="center" vertical="center" wrapText="1" shrinkToFit="1"/>
    </xf>
    <xf numFmtId="43" fontId="45" fillId="0" borderId="56" xfId="2" applyFont="1" applyFill="1" applyBorder="1" applyAlignment="1">
      <alignment horizontal="center" vertical="top" wrapText="1"/>
    </xf>
    <xf numFmtId="17" fontId="45" fillId="0" borderId="56" xfId="2" applyNumberFormat="1" applyFont="1" applyFill="1" applyBorder="1" applyAlignment="1">
      <alignment horizontal="center" vertical="center" wrapText="1"/>
    </xf>
    <xf numFmtId="17" fontId="45" fillId="0" borderId="56" xfId="2" applyNumberFormat="1" applyFont="1" applyFill="1" applyBorder="1" applyAlignment="1">
      <alignment horizontal="center" vertical="top" wrapText="1"/>
    </xf>
    <xf numFmtId="43" fontId="71" fillId="0" borderId="0" xfId="0" applyNumberFormat="1" applyFont="1" applyAlignment="1">
      <alignment vertical="center"/>
    </xf>
    <xf numFmtId="43" fontId="71" fillId="0" borderId="40" xfId="11" applyFont="1" applyFill="1" applyBorder="1" applyAlignment="1">
      <alignment vertical="center"/>
    </xf>
    <xf numFmtId="43" fontId="71" fillId="0" borderId="40" xfId="4" applyFont="1" applyFill="1" applyBorder="1" applyAlignment="1">
      <alignment vertical="center"/>
    </xf>
    <xf numFmtId="43" fontId="71" fillId="0" borderId="40" xfId="4" applyFont="1" applyFill="1" applyBorder="1" applyAlignment="1">
      <alignment horizontal="center" vertical="center"/>
    </xf>
    <xf numFmtId="0" fontId="71" fillId="0" borderId="0" xfId="0" applyFont="1" applyAlignment="1">
      <alignment vertical="center"/>
    </xf>
    <xf numFmtId="43" fontId="71" fillId="0" borderId="41" xfId="4" applyFont="1" applyFill="1" applyBorder="1" applyAlignment="1">
      <alignment horizontal="center" vertical="center"/>
    </xf>
    <xf numFmtId="43" fontId="71" fillId="0" borderId="41" xfId="4" applyFont="1" applyFill="1" applyBorder="1" applyAlignment="1">
      <alignment vertical="center"/>
    </xf>
    <xf numFmtId="43" fontId="71" fillId="0" borderId="41" xfId="0" applyNumberFormat="1" applyFont="1" applyBorder="1" applyAlignment="1">
      <alignment vertical="center"/>
    </xf>
    <xf numFmtId="43" fontId="71" fillId="0" borderId="41" xfId="4" applyFont="1" applyBorder="1" applyAlignment="1">
      <alignment vertical="center"/>
    </xf>
    <xf numFmtId="0" fontId="71" fillId="0" borderId="41" xfId="0" applyFont="1" applyBorder="1" applyAlignment="1">
      <alignment vertical="center"/>
    </xf>
    <xf numFmtId="0" fontId="71" fillId="0" borderId="41" xfId="0" applyFont="1" applyBorder="1" applyAlignment="1">
      <alignment horizontal="left" vertical="center" shrinkToFit="1"/>
    </xf>
    <xf numFmtId="43" fontId="71" fillId="0" borderId="41" xfId="11" applyFont="1" applyFill="1" applyBorder="1" applyAlignment="1">
      <alignment vertical="center"/>
    </xf>
    <xf numFmtId="166" fontId="71" fillId="0" borderId="41" xfId="4" applyNumberFormat="1" applyFont="1" applyFill="1" applyBorder="1" applyAlignment="1">
      <alignment vertical="center"/>
    </xf>
    <xf numFmtId="166" fontId="71" fillId="0" borderId="41" xfId="4" applyNumberFormat="1" applyFont="1" applyFill="1" applyBorder="1" applyAlignment="1">
      <alignment horizontal="center" vertical="center"/>
    </xf>
    <xf numFmtId="2" fontId="71" fillId="0" borderId="41" xfId="4" applyNumberFormat="1" applyFont="1" applyFill="1" applyBorder="1" applyAlignment="1">
      <alignment vertical="center"/>
    </xf>
    <xf numFmtId="43" fontId="71" fillId="0" borderId="41" xfId="4" applyFont="1" applyFill="1" applyBorder="1" applyAlignment="1">
      <alignment horizontal="right" vertical="center"/>
    </xf>
    <xf numFmtId="43" fontId="71" fillId="0" borderId="43" xfId="0" applyNumberFormat="1" applyFont="1" applyBorder="1" applyAlignment="1">
      <alignment vertical="center"/>
    </xf>
    <xf numFmtId="43" fontId="71" fillId="0" borderId="43" xfId="0" applyNumberFormat="1" applyFont="1" applyBorder="1" applyAlignment="1">
      <alignment horizontal="center" vertical="center"/>
    </xf>
    <xf numFmtId="43" fontId="71" fillId="0" borderId="43" xfId="4" applyFont="1" applyFill="1" applyBorder="1" applyAlignment="1">
      <alignment vertical="center"/>
    </xf>
    <xf numFmtId="43" fontId="45" fillId="0" borderId="56" xfId="0" applyNumberFormat="1" applyFont="1" applyBorder="1" applyAlignment="1">
      <alignment vertical="center" shrinkToFit="1"/>
    </xf>
    <xf numFmtId="0" fontId="71" fillId="0" borderId="0" xfId="0" applyFont="1" applyAlignment="1">
      <alignment vertical="center" shrinkToFit="1"/>
    </xf>
    <xf numFmtId="0" fontId="45" fillId="0" borderId="57" xfId="0" applyFont="1" applyBorder="1" applyAlignment="1">
      <alignment horizontal="center" vertical="center" shrinkToFit="1"/>
    </xf>
    <xf numFmtId="43" fontId="45" fillId="0" borderId="57" xfId="0" applyNumberFormat="1" applyFont="1" applyBorder="1" applyAlignment="1">
      <alignment horizontal="center" vertical="center" shrinkToFit="1"/>
    </xf>
    <xf numFmtId="43" fontId="45" fillId="0" borderId="57" xfId="4" applyFont="1" applyFill="1" applyBorder="1" applyAlignment="1">
      <alignment vertical="center" shrinkToFit="1"/>
    </xf>
    <xf numFmtId="43" fontId="45" fillId="0" borderId="56" xfId="4" applyFont="1" applyFill="1" applyBorder="1" applyAlignment="1">
      <alignment vertical="center" shrinkToFit="1"/>
    </xf>
    <xf numFmtId="43" fontId="45" fillId="0" borderId="57" xfId="4" applyFont="1" applyFill="1" applyBorder="1" applyAlignment="1">
      <alignment horizontal="left" vertical="center" shrinkToFit="1"/>
    </xf>
    <xf numFmtId="43" fontId="45" fillId="0" borderId="0" xfId="4" applyFont="1" applyFill="1" applyBorder="1" applyAlignment="1">
      <alignment horizontal="left" vertical="center" shrinkToFit="1"/>
    </xf>
    <xf numFmtId="43" fontId="45" fillId="35" borderId="0" xfId="4" applyFont="1" applyFill="1" applyBorder="1" applyAlignment="1">
      <alignment horizontal="left" vertical="center" shrinkToFit="1"/>
    </xf>
    <xf numFmtId="43" fontId="45" fillId="35" borderId="57" xfId="0" applyNumberFormat="1" applyFont="1" applyFill="1" applyBorder="1" applyAlignment="1">
      <alignment vertical="center" shrinkToFit="1"/>
    </xf>
    <xf numFmtId="43" fontId="45" fillId="35" borderId="57" xfId="0" applyNumberFormat="1" applyFont="1" applyFill="1" applyBorder="1" applyAlignment="1">
      <alignment vertical="center"/>
    </xf>
    <xf numFmtId="0" fontId="45" fillId="0" borderId="0" xfId="0" applyFont="1" applyAlignment="1">
      <alignment horizontal="center" vertical="center" shrinkToFit="1"/>
    </xf>
    <xf numFmtId="43" fontId="45" fillId="0" borderId="0" xfId="0" applyNumberFormat="1" applyFont="1" applyAlignment="1">
      <alignment horizontal="center" vertical="center" shrinkToFit="1"/>
    </xf>
    <xf numFmtId="43" fontId="45" fillId="0" borderId="0" xfId="4" applyFont="1" applyFill="1" applyBorder="1" applyAlignment="1">
      <alignment vertical="center" shrinkToFit="1"/>
    </xf>
    <xf numFmtId="43" fontId="100" fillId="0" borderId="0" xfId="4" applyFont="1" applyFill="1" applyBorder="1" applyAlignment="1">
      <alignment horizontal="right" vertical="center" shrinkToFit="1"/>
    </xf>
    <xf numFmtId="43" fontId="101" fillId="0" borderId="0" xfId="4" applyFont="1" applyFill="1" applyBorder="1" applyAlignment="1">
      <alignment vertical="center" shrinkToFit="1"/>
    </xf>
    <xf numFmtId="43" fontId="45" fillId="3" borderId="0" xfId="4" applyFont="1" applyFill="1" applyBorder="1" applyAlignment="1">
      <alignment vertical="center" shrinkToFit="1"/>
    </xf>
    <xf numFmtId="43" fontId="100" fillId="0" borderId="0" xfId="4" applyFont="1" applyFill="1" applyBorder="1" applyAlignment="1">
      <alignment vertical="center" shrinkToFit="1"/>
    </xf>
    <xf numFmtId="43" fontId="76" fillId="33" borderId="0" xfId="4" applyFont="1" applyFill="1" applyBorder="1" applyAlignment="1">
      <alignment vertical="center" shrinkToFit="1"/>
    </xf>
    <xf numFmtId="43" fontId="71" fillId="0" borderId="0" xfId="0" applyNumberFormat="1" applyFont="1" applyAlignment="1">
      <alignment vertical="center" shrinkToFit="1"/>
    </xf>
    <xf numFmtId="0" fontId="71" fillId="0" borderId="0" xfId="0" applyFont="1" applyAlignment="1">
      <alignment horizontal="right" vertical="center" shrinkToFit="1"/>
    </xf>
    <xf numFmtId="43" fontId="45" fillId="0" borderId="0" xfId="4" applyFont="1" applyFill="1" applyBorder="1" applyAlignment="1">
      <alignment shrinkToFit="1"/>
    </xf>
    <xf numFmtId="0" fontId="45" fillId="0" borderId="0" xfId="0" applyFont="1" applyAlignment="1">
      <alignment horizontal="right"/>
    </xf>
    <xf numFmtId="43" fontId="45" fillId="0" borderId="0" xfId="0" applyNumberFormat="1" applyFont="1"/>
    <xf numFmtId="0" fontId="71" fillId="0" borderId="0" xfId="4" applyNumberFormat="1" applyFont="1" applyFill="1"/>
    <xf numFmtId="0" fontId="71" fillId="0" borderId="0" xfId="4" applyNumberFormat="1" applyFont="1" applyFill="1" applyAlignment="1">
      <alignment horizontal="right"/>
    </xf>
    <xf numFmtId="0" fontId="71" fillId="0" borderId="0" xfId="0" applyFont="1" applyAlignment="1">
      <alignment horizontal="left"/>
    </xf>
    <xf numFmtId="43" fontId="71" fillId="0" borderId="0" xfId="0" applyNumberFormat="1" applyFont="1" applyAlignment="1">
      <alignment horizontal="left" vertical="center"/>
    </xf>
    <xf numFmtId="0" fontId="71" fillId="0" borderId="0" xfId="0" applyFont="1" applyAlignment="1">
      <alignment horizontal="left" vertical="center" shrinkToFit="1"/>
    </xf>
    <xf numFmtId="43" fontId="71" fillId="0" borderId="0" xfId="4" applyFont="1" applyAlignment="1">
      <alignment vertical="center" shrinkToFit="1"/>
    </xf>
    <xf numFmtId="0" fontId="71" fillId="0" borderId="0" xfId="0" applyFont="1" applyAlignment="1">
      <alignment horizontal="center"/>
    </xf>
    <xf numFmtId="0" fontId="45" fillId="0" borderId="56" xfId="0" applyFont="1" applyBorder="1" applyAlignment="1">
      <alignment horizontal="center" vertical="center" wrapText="1"/>
    </xf>
    <xf numFmtId="43" fontId="71" fillId="0" borderId="44" xfId="4" applyFont="1" applyFill="1" applyBorder="1" applyAlignment="1">
      <alignment vertical="center"/>
    </xf>
    <xf numFmtId="43" fontId="71" fillId="0" borderId="41" xfId="4" applyFont="1" applyFill="1" applyBorder="1" applyAlignment="1">
      <alignment horizontal="left" vertical="center"/>
    </xf>
    <xf numFmtId="43" fontId="71" fillId="0" borderId="41" xfId="12" applyNumberFormat="1" applyFont="1" applyBorder="1" applyAlignment="1">
      <alignment vertical="center"/>
    </xf>
    <xf numFmtId="43" fontId="75" fillId="0" borderId="41" xfId="4" applyFont="1" applyFill="1" applyBorder="1" applyAlignment="1">
      <alignment vertical="center"/>
    </xf>
    <xf numFmtId="43" fontId="71" fillId="0" borderId="41" xfId="0" applyNumberFormat="1" applyFont="1" applyBorder="1" applyAlignment="1">
      <alignment horizontal="center" vertical="center"/>
    </xf>
    <xf numFmtId="166" fontId="71" fillId="0" borderId="41" xfId="0" applyNumberFormat="1" applyFont="1" applyBorder="1" applyAlignment="1">
      <alignment horizontal="center" vertical="center"/>
    </xf>
    <xf numFmtId="43" fontId="75" fillId="0" borderId="41" xfId="0" applyNumberFormat="1" applyFont="1" applyBorder="1" applyAlignment="1">
      <alignment horizontal="center" vertical="center"/>
    </xf>
    <xf numFmtId="43" fontId="71" fillId="0" borderId="41" xfId="0" applyNumberFormat="1" applyFont="1" applyBorder="1" applyAlignment="1">
      <alignment horizontal="left" vertical="center"/>
    </xf>
    <xf numFmtId="0" fontId="71" fillId="0" borderId="41" xfId="0" applyFont="1" applyBorder="1" applyAlignment="1">
      <alignment horizontal="left" vertical="center"/>
    </xf>
    <xf numFmtId="4" fontId="71" fillId="0" borderId="41" xfId="0" applyNumberFormat="1" applyFont="1" applyBorder="1" applyAlignment="1">
      <alignment horizontal="right" vertical="center"/>
    </xf>
    <xf numFmtId="43" fontId="75" fillId="0" borderId="41" xfId="0" applyNumberFormat="1" applyFont="1" applyBorder="1" applyAlignment="1">
      <alignment horizontal="left" vertical="center"/>
    </xf>
    <xf numFmtId="166" fontId="71" fillId="0" borderId="41" xfId="12" applyNumberFormat="1" applyFont="1" applyBorder="1" applyAlignment="1">
      <alignment vertical="center"/>
    </xf>
    <xf numFmtId="166" fontId="71" fillId="0" borderId="41" xfId="0" applyNumberFormat="1" applyFont="1" applyBorder="1" applyAlignment="1">
      <alignment vertical="center"/>
    </xf>
    <xf numFmtId="166" fontId="71" fillId="0" borderId="41" xfId="0" applyNumberFormat="1" applyFont="1" applyBorder="1" applyAlignment="1">
      <alignment horizontal="right" vertical="center"/>
    </xf>
    <xf numFmtId="166" fontId="71" fillId="0" borderId="43" xfId="12" applyNumberFormat="1" applyFont="1" applyBorder="1" applyAlignment="1">
      <alignment vertical="center"/>
    </xf>
    <xf numFmtId="166" fontId="71" fillId="0" borderId="43" xfId="0" applyNumberFormat="1" applyFont="1" applyBorder="1" applyAlignment="1">
      <alignment vertical="center"/>
    </xf>
    <xf numFmtId="166" fontId="71" fillId="0" borderId="43" xfId="0" applyNumberFormat="1" applyFont="1" applyBorder="1" applyAlignment="1">
      <alignment horizontal="center" vertical="center"/>
    </xf>
    <xf numFmtId="166" fontId="71" fillId="0" borderId="43" xfId="0" applyNumberFormat="1" applyFont="1" applyBorder="1" applyAlignment="1">
      <alignment horizontal="right" vertical="center"/>
    </xf>
    <xf numFmtId="0" fontId="45" fillId="0" borderId="56" xfId="0" applyFont="1" applyBorder="1" applyAlignment="1">
      <alignment horizontal="center" vertical="center" shrinkToFit="1"/>
    </xf>
    <xf numFmtId="43" fontId="45" fillId="0" borderId="56" xfId="0" applyNumberFormat="1" applyFont="1" applyBorder="1" applyAlignment="1">
      <alignment horizontal="center" vertical="center" shrinkToFit="1"/>
    </xf>
    <xf numFmtId="43" fontId="45" fillId="0" borderId="4" xfId="0" applyNumberFormat="1" applyFont="1" applyBorder="1" applyAlignment="1">
      <alignment vertical="center"/>
    </xf>
    <xf numFmtId="43" fontId="71" fillId="0" borderId="0" xfId="4" applyFont="1" applyFill="1" applyAlignment="1">
      <alignment vertical="center" shrinkToFit="1"/>
    </xf>
    <xf numFmtId="43" fontId="71" fillId="0" borderId="0" xfId="0" applyNumberFormat="1" applyFont="1"/>
    <xf numFmtId="43" fontId="71" fillId="0" borderId="0" xfId="0" applyNumberFormat="1" applyFont="1" applyAlignment="1">
      <alignment horizontal="center"/>
    </xf>
    <xf numFmtId="0" fontId="45" fillId="0" borderId="0" xfId="0" applyFont="1" applyAlignment="1">
      <alignment vertical="top" wrapText="1"/>
    </xf>
    <xf numFmtId="0" fontId="45" fillId="0" borderId="0" xfId="0" applyFont="1" applyAlignment="1">
      <alignment vertical="top"/>
    </xf>
    <xf numFmtId="43" fontId="45" fillId="0" borderId="0" xfId="0" applyNumberFormat="1" applyFont="1" applyAlignment="1">
      <alignment vertical="top"/>
    </xf>
    <xf numFmtId="0" fontId="45" fillId="0" borderId="0" xfId="0" applyFont="1" applyAlignment="1">
      <alignment horizontal="left" vertical="top"/>
    </xf>
    <xf numFmtId="0" fontId="71" fillId="0" borderId="0" xfId="0" applyFont="1" applyAlignment="1">
      <alignment vertical="top"/>
    </xf>
    <xf numFmtId="43" fontId="71" fillId="0" borderId="0" xfId="0" applyNumberFormat="1" applyFont="1" applyAlignment="1">
      <alignment vertical="top"/>
    </xf>
    <xf numFmtId="43" fontId="71" fillId="0" borderId="0" xfId="0" applyNumberFormat="1" applyFont="1" applyAlignment="1">
      <alignment horizontal="right" vertical="top"/>
    </xf>
    <xf numFmtId="43" fontId="71" fillId="12" borderId="0" xfId="0" applyNumberFormat="1" applyFont="1" applyFill="1" applyAlignment="1">
      <alignment vertical="top"/>
    </xf>
    <xf numFmtId="43" fontId="71" fillId="12" borderId="0" xfId="0" applyNumberFormat="1" applyFont="1" applyFill="1" applyAlignment="1">
      <alignment horizontal="center" vertical="top"/>
    </xf>
    <xf numFmtId="43" fontId="71" fillId="0" borderId="0" xfId="0" applyNumberFormat="1" applyFont="1" applyAlignment="1">
      <alignment horizontal="center" vertical="top"/>
    </xf>
    <xf numFmtId="43" fontId="45" fillId="0" borderId="0" xfId="0" applyNumberFormat="1" applyFont="1" applyAlignment="1">
      <alignment horizontal="right"/>
    </xf>
    <xf numFmtId="4" fontId="75" fillId="0" borderId="74" xfId="0" applyNumberFormat="1" applyFont="1" applyBorder="1" applyAlignment="1">
      <alignment horizontal="right" vertical="center" wrapText="1"/>
    </xf>
    <xf numFmtId="4" fontId="75" fillId="0" borderId="75" xfId="0" applyNumberFormat="1" applyFont="1" applyBorder="1" applyAlignment="1">
      <alignment horizontal="right" vertical="center" wrapText="1"/>
    </xf>
    <xf numFmtId="4" fontId="75" fillId="0" borderId="0" xfId="0" applyNumberFormat="1" applyFont="1" applyAlignment="1">
      <alignment horizontal="right" vertical="center" wrapText="1"/>
    </xf>
    <xf numFmtId="4" fontId="71" fillId="0" borderId="0" xfId="0" applyNumberFormat="1" applyFont="1"/>
    <xf numFmtId="4" fontId="75" fillId="0" borderId="76" xfId="0" applyNumberFormat="1" applyFont="1" applyBorder="1" applyAlignment="1">
      <alignment horizontal="right" vertical="center" wrapText="1"/>
    </xf>
    <xf numFmtId="4" fontId="75" fillId="0" borderId="77" xfId="0" applyNumberFormat="1" applyFont="1" applyBorder="1" applyAlignment="1">
      <alignment horizontal="right" vertical="center" wrapText="1"/>
    </xf>
    <xf numFmtId="4" fontId="76" fillId="0" borderId="76" xfId="0" applyNumberFormat="1" applyFont="1" applyBorder="1" applyAlignment="1">
      <alignment horizontal="right" vertical="center" wrapText="1"/>
    </xf>
    <xf numFmtId="0" fontId="102" fillId="0" borderId="0" xfId="9" applyFont="1" applyAlignment="1">
      <alignment horizontal="center" vertical="center" shrinkToFit="1"/>
    </xf>
    <xf numFmtId="0" fontId="103" fillId="0" borderId="0" xfId="9" applyFont="1" applyAlignment="1">
      <alignment vertical="center" shrinkToFit="1"/>
    </xf>
    <xf numFmtId="0" fontId="102" fillId="0" borderId="0" xfId="9" applyFont="1" applyAlignment="1">
      <alignment horizontal="left" vertical="center" shrinkToFit="1"/>
    </xf>
    <xf numFmtId="0" fontId="102" fillId="31" borderId="56" xfId="9" applyFont="1" applyFill="1" applyBorder="1" applyAlignment="1">
      <alignment horizontal="center" vertical="center" wrapText="1" shrinkToFit="1"/>
    </xf>
    <xf numFmtId="49" fontId="102" fillId="0" borderId="5" xfId="9" applyNumberFormat="1" applyFont="1" applyBorder="1" applyAlignment="1">
      <alignment horizontal="right" vertical="center" shrinkToFit="1"/>
    </xf>
    <xf numFmtId="43" fontId="102" fillId="0" borderId="5" xfId="4" applyFont="1" applyFill="1" applyBorder="1" applyAlignment="1">
      <alignment horizontal="center" vertical="center" shrinkToFit="1"/>
    </xf>
    <xf numFmtId="43" fontId="102" fillId="0" borderId="5" xfId="4" applyFont="1" applyFill="1" applyBorder="1" applyAlignment="1">
      <alignment vertical="center"/>
    </xf>
    <xf numFmtId="43" fontId="102" fillId="0" borderId="56" xfId="4" applyFont="1" applyFill="1" applyBorder="1" applyAlignment="1">
      <alignment vertical="center"/>
    </xf>
    <xf numFmtId="43" fontId="102" fillId="0" borderId="0" xfId="4" applyFont="1" applyFill="1" applyBorder="1" applyAlignment="1">
      <alignment horizontal="left" vertical="center"/>
    </xf>
    <xf numFmtId="43" fontId="102" fillId="0" borderId="60" xfId="4" applyFont="1" applyFill="1" applyBorder="1" applyAlignment="1">
      <alignment vertical="center"/>
    </xf>
    <xf numFmtId="167" fontId="102" fillId="0" borderId="0" xfId="9" applyNumberFormat="1" applyFont="1" applyAlignment="1">
      <alignment vertical="center" wrapText="1" shrinkToFit="1"/>
    </xf>
    <xf numFmtId="0" fontId="102" fillId="0" borderId="0" xfId="9" applyFont="1" applyAlignment="1">
      <alignment vertical="center" shrinkToFit="1"/>
    </xf>
    <xf numFmtId="0" fontId="102" fillId="0" borderId="5" xfId="9" applyFont="1" applyBorder="1" applyAlignment="1">
      <alignment vertical="center" shrinkToFit="1"/>
    </xf>
    <xf numFmtId="0" fontId="103" fillId="0" borderId="5" xfId="9" applyFont="1" applyBorder="1" applyAlignment="1">
      <alignment horizontal="center" vertical="center" shrinkToFit="1"/>
    </xf>
    <xf numFmtId="43" fontId="102" fillId="0" borderId="5" xfId="13" applyFont="1" applyFill="1" applyBorder="1" applyAlignment="1">
      <alignment horizontal="center" vertical="center" shrinkToFit="1"/>
    </xf>
    <xf numFmtId="43" fontId="103" fillId="0" borderId="5" xfId="4" applyFont="1" applyFill="1" applyBorder="1" applyAlignment="1">
      <alignment horizontal="center" vertical="center" shrinkToFit="1"/>
    </xf>
    <xf numFmtId="43" fontId="102" fillId="31" borderId="5" xfId="4" applyFont="1" applyFill="1" applyBorder="1" applyAlignment="1">
      <alignment horizontal="center" vertical="center" shrinkToFit="1"/>
    </xf>
    <xf numFmtId="43" fontId="102" fillId="31" borderId="56" xfId="4" applyFont="1" applyFill="1" applyBorder="1" applyAlignment="1">
      <alignment horizontal="center" vertical="center" shrinkToFit="1"/>
    </xf>
    <xf numFmtId="43" fontId="102" fillId="0" borderId="56" xfId="4" applyFont="1" applyFill="1" applyBorder="1" applyAlignment="1">
      <alignment horizontal="center" vertical="center" shrinkToFit="1"/>
    </xf>
    <xf numFmtId="43" fontId="102" fillId="0" borderId="60" xfId="4" applyFont="1" applyFill="1" applyBorder="1" applyAlignment="1">
      <alignment horizontal="center" vertical="center" shrinkToFit="1"/>
    </xf>
    <xf numFmtId="49" fontId="103" fillId="0" borderId="44" xfId="9" applyNumberFormat="1" applyFont="1" applyBorder="1" applyAlignment="1">
      <alignment horizontal="right" vertical="center" shrinkToFit="1"/>
    </xf>
    <xf numFmtId="0" fontId="103" fillId="0" borderId="40" xfId="9" applyFont="1" applyBorder="1" applyAlignment="1">
      <alignment vertical="center" shrinkToFit="1"/>
    </xf>
    <xf numFmtId="0" fontId="103" fillId="0" borderId="40" xfId="9" applyFont="1" applyBorder="1" applyAlignment="1">
      <alignment horizontal="center" vertical="center" shrinkToFit="1"/>
    </xf>
    <xf numFmtId="43" fontId="103" fillId="0" borderId="44" xfId="4" applyFont="1" applyFill="1" applyBorder="1" applyAlignment="1">
      <alignment horizontal="center" vertical="center" shrinkToFit="1"/>
    </xf>
    <xf numFmtId="43" fontId="103" fillId="0" borderId="40" xfId="13" applyFont="1" applyFill="1" applyBorder="1" applyAlignment="1">
      <alignment horizontal="center" vertical="center" shrinkToFit="1"/>
    </xf>
    <xf numFmtId="43" fontId="103" fillId="0" borderId="40" xfId="4" applyFont="1" applyFill="1" applyBorder="1" applyAlignment="1">
      <alignment horizontal="center" vertical="center" shrinkToFit="1"/>
    </xf>
    <xf numFmtId="43" fontId="102" fillId="0" borderId="40" xfId="4" applyFont="1" applyFill="1" applyBorder="1" applyAlignment="1">
      <alignment horizontal="center" vertical="center" shrinkToFit="1"/>
    </xf>
    <xf numFmtId="43" fontId="102" fillId="0" borderId="40" xfId="4" applyFont="1" applyFill="1" applyBorder="1" applyAlignment="1">
      <alignment vertical="center"/>
    </xf>
    <xf numFmtId="43" fontId="103" fillId="31" borderId="40" xfId="4" applyFont="1" applyFill="1" applyBorder="1" applyAlignment="1">
      <alignment horizontal="center" vertical="center" shrinkToFit="1"/>
    </xf>
    <xf numFmtId="166" fontId="103" fillId="0" borderId="80" xfId="4" applyNumberFormat="1" applyFont="1" applyFill="1" applyBorder="1" applyAlignment="1">
      <alignment horizontal="right" vertical="center" shrinkToFit="1"/>
    </xf>
    <xf numFmtId="43" fontId="103" fillId="0" borderId="80" xfId="4" applyFont="1" applyFill="1" applyBorder="1" applyAlignment="1">
      <alignment horizontal="center" vertical="center" shrinkToFit="1"/>
    </xf>
    <xf numFmtId="43" fontId="102" fillId="0" borderId="80" xfId="4" applyFont="1" applyFill="1" applyBorder="1" applyAlignment="1">
      <alignment horizontal="center" vertical="center" shrinkToFit="1"/>
    </xf>
    <xf numFmtId="49" fontId="103" fillId="0" borderId="41" xfId="9" applyNumberFormat="1" applyFont="1" applyBorder="1" applyAlignment="1">
      <alignment horizontal="right" vertical="center" shrinkToFit="1"/>
    </xf>
    <xf numFmtId="0" fontId="103" fillId="0" borderId="41" xfId="9" applyFont="1" applyBorder="1" applyAlignment="1">
      <alignment vertical="center" shrinkToFit="1"/>
    </xf>
    <xf numFmtId="0" fontId="103" fillId="0" borderId="41" xfId="9" applyFont="1" applyBorder="1" applyAlignment="1">
      <alignment horizontal="center" vertical="center" shrinkToFit="1"/>
    </xf>
    <xf numFmtId="43" fontId="103" fillId="0" borderId="41" xfId="4" applyFont="1" applyFill="1" applyBorder="1" applyAlignment="1">
      <alignment horizontal="center" vertical="center" shrinkToFit="1"/>
    </xf>
    <xf numFmtId="43" fontId="103" fillId="0" borderId="41" xfId="13" applyFont="1" applyFill="1" applyBorder="1" applyAlignment="1">
      <alignment horizontal="center" vertical="center" shrinkToFit="1"/>
    </xf>
    <xf numFmtId="43" fontId="102" fillId="0" borderId="41" xfId="4" applyFont="1" applyFill="1" applyBorder="1" applyAlignment="1">
      <alignment horizontal="center" vertical="center" shrinkToFit="1"/>
    </xf>
    <xf numFmtId="43" fontId="102" fillId="0" borderId="41" xfId="4" applyFont="1" applyFill="1" applyBorder="1" applyAlignment="1">
      <alignment vertical="center"/>
    </xf>
    <xf numFmtId="43" fontId="103" fillId="31" borderId="41" xfId="4" applyFont="1" applyFill="1" applyBorder="1" applyAlignment="1">
      <alignment horizontal="center" vertical="center" shrinkToFit="1"/>
    </xf>
    <xf numFmtId="166" fontId="103" fillId="0" borderId="78" xfId="4" applyNumberFormat="1" applyFont="1" applyFill="1" applyBorder="1" applyAlignment="1">
      <alignment horizontal="right" vertical="center" shrinkToFit="1"/>
    </xf>
    <xf numFmtId="43" fontId="103" fillId="0" borderId="78" xfId="4" applyFont="1" applyFill="1" applyBorder="1" applyAlignment="1">
      <alignment horizontal="center" vertical="center" shrinkToFit="1"/>
    </xf>
    <xf numFmtId="43" fontId="102" fillId="0" borderId="78" xfId="4" applyFont="1" applyFill="1" applyBorder="1" applyAlignment="1">
      <alignment horizontal="center" vertical="center" shrinkToFit="1"/>
    </xf>
    <xf numFmtId="167" fontId="103" fillId="0" borderId="0" xfId="9" applyNumberFormat="1" applyFont="1" applyAlignment="1">
      <alignment horizontal="left" vertical="center" shrinkToFit="1"/>
    </xf>
    <xf numFmtId="0" fontId="103" fillId="0" borderId="41" xfId="9" applyFont="1" applyBorder="1" applyAlignment="1">
      <alignment vertical="center" wrapText="1" shrinkToFit="1"/>
    </xf>
    <xf numFmtId="166" fontId="103" fillId="0" borderId="41" xfId="4" applyNumberFormat="1" applyFont="1" applyFill="1" applyBorder="1" applyAlignment="1">
      <alignment horizontal="right" vertical="center" shrinkToFit="1"/>
    </xf>
    <xf numFmtId="167" fontId="103" fillId="0" borderId="78" xfId="9" applyNumberFormat="1" applyFont="1" applyBorder="1" applyAlignment="1">
      <alignment vertical="center" shrinkToFit="1"/>
    </xf>
    <xf numFmtId="41" fontId="103" fillId="0" borderId="41" xfId="9" applyNumberFormat="1" applyFont="1" applyBorder="1" applyAlignment="1">
      <alignment vertical="center" shrinkToFit="1"/>
    </xf>
    <xf numFmtId="166" fontId="103" fillId="0" borderId="41" xfId="4" applyNumberFormat="1" applyFont="1" applyFill="1" applyBorder="1" applyAlignment="1">
      <alignment horizontal="center" vertical="center" shrinkToFit="1"/>
    </xf>
    <xf numFmtId="49" fontId="103" fillId="0" borderId="11" xfId="9" applyNumberFormat="1" applyFont="1" applyBorder="1" applyAlignment="1">
      <alignment horizontal="right" vertical="center" shrinkToFit="1"/>
    </xf>
    <xf numFmtId="0" fontId="103" fillId="0" borderId="43" xfId="9" applyFont="1" applyBorder="1" applyAlignment="1">
      <alignment vertical="center" shrinkToFit="1"/>
    </xf>
    <xf numFmtId="0" fontId="103" fillId="0" borderId="43" xfId="9" applyFont="1" applyBorder="1" applyAlignment="1">
      <alignment horizontal="center" vertical="center" shrinkToFit="1"/>
    </xf>
    <xf numFmtId="43" fontId="103" fillId="0" borderId="43" xfId="4" applyFont="1" applyFill="1" applyBorder="1" applyAlignment="1">
      <alignment horizontal="center" vertical="center" shrinkToFit="1"/>
    </xf>
    <xf numFmtId="41" fontId="103" fillId="0" borderId="43" xfId="9" applyNumberFormat="1" applyFont="1" applyBorder="1" applyAlignment="1">
      <alignment vertical="center" shrinkToFit="1"/>
    </xf>
    <xf numFmtId="43" fontId="103" fillId="0" borderId="43" xfId="13" applyFont="1" applyFill="1" applyBorder="1" applyAlignment="1">
      <alignment horizontal="center" vertical="center" shrinkToFit="1"/>
    </xf>
    <xf numFmtId="43" fontId="102" fillId="0" borderId="43" xfId="4" applyFont="1" applyFill="1" applyBorder="1" applyAlignment="1">
      <alignment horizontal="center" vertical="center" shrinkToFit="1"/>
    </xf>
    <xf numFmtId="43" fontId="102" fillId="0" borderId="43" xfId="4" applyFont="1" applyFill="1" applyBorder="1" applyAlignment="1">
      <alignment vertical="center"/>
    </xf>
    <xf numFmtId="43" fontId="103" fillId="31" borderId="43" xfId="4" applyFont="1" applyFill="1" applyBorder="1" applyAlignment="1">
      <alignment horizontal="center" vertical="center" shrinkToFit="1"/>
    </xf>
    <xf numFmtId="43" fontId="103" fillId="0" borderId="79" xfId="4" applyFont="1" applyFill="1" applyBorder="1" applyAlignment="1">
      <alignment horizontal="right" vertical="center" shrinkToFit="1"/>
    </xf>
    <xf numFmtId="43" fontId="103" fillId="0" borderId="79" xfId="4" applyFont="1" applyFill="1" applyBorder="1" applyAlignment="1">
      <alignment horizontal="center" vertical="center" shrinkToFit="1"/>
    </xf>
    <xf numFmtId="43" fontId="102" fillId="0" borderId="79" xfId="4" applyFont="1" applyFill="1" applyBorder="1" applyAlignment="1">
      <alignment horizontal="center" vertical="center" shrinkToFit="1"/>
    </xf>
    <xf numFmtId="43" fontId="102" fillId="0" borderId="0" xfId="4" applyFont="1" applyFill="1" applyBorder="1" applyAlignment="1">
      <alignment horizontal="center" vertical="center" shrinkToFit="1"/>
    </xf>
    <xf numFmtId="43" fontId="104" fillId="0" borderId="60" xfId="4" applyFont="1" applyFill="1" applyBorder="1" applyAlignment="1">
      <alignment horizontal="center" vertical="center" shrinkToFit="1"/>
    </xf>
    <xf numFmtId="49" fontId="102" fillId="0" borderId="44" xfId="9" applyNumberFormat="1" applyFont="1" applyBorder="1" applyAlignment="1">
      <alignment horizontal="right" vertical="center" shrinkToFit="1"/>
    </xf>
    <xf numFmtId="0" fontId="103" fillId="0" borderId="44" xfId="9" applyFont="1" applyBorder="1" applyAlignment="1">
      <alignment horizontal="left" vertical="center"/>
    </xf>
    <xf numFmtId="0" fontId="103" fillId="0" borderId="11" xfId="9" applyFont="1" applyBorder="1" applyAlignment="1">
      <alignment horizontal="center" vertical="center" shrinkToFit="1"/>
    </xf>
    <xf numFmtId="43" fontId="102" fillId="0" borderId="44" xfId="4" applyFont="1" applyFill="1" applyBorder="1" applyAlignment="1">
      <alignment horizontal="center" vertical="center" shrinkToFit="1"/>
    </xf>
    <xf numFmtId="0" fontId="102" fillId="0" borderId="80" xfId="9" applyFont="1" applyBorder="1" applyAlignment="1">
      <alignment vertical="center" shrinkToFit="1"/>
    </xf>
    <xf numFmtId="0" fontId="103" fillId="0" borderId="41" xfId="9" applyFont="1" applyBorder="1" applyAlignment="1">
      <alignment horizontal="left" vertical="center"/>
    </xf>
    <xf numFmtId="0" fontId="103" fillId="0" borderId="41" xfId="9" applyFont="1" applyBorder="1" applyAlignment="1">
      <alignment horizontal="center" vertical="center"/>
    </xf>
    <xf numFmtId="0" fontId="102" fillId="0" borderId="78" xfId="9" applyFont="1" applyBorder="1" applyAlignment="1">
      <alignment vertical="center" shrinkToFit="1"/>
    </xf>
    <xf numFmtId="49" fontId="102" fillId="30" borderId="44" xfId="9" applyNumberFormat="1" applyFont="1" applyFill="1" applyBorder="1" applyAlignment="1">
      <alignment horizontal="right" vertical="center" shrinkToFit="1"/>
    </xf>
    <xf numFmtId="0" fontId="102" fillId="30" borderId="41" xfId="9" applyFont="1" applyFill="1" applyBorder="1" applyAlignment="1">
      <alignment horizontal="left" vertical="center"/>
    </xf>
    <xf numFmtId="0" fontId="103" fillId="30" borderId="41" xfId="9" applyFont="1" applyFill="1" applyBorder="1" applyAlignment="1">
      <alignment horizontal="center" vertical="center"/>
    </xf>
    <xf numFmtId="43" fontId="102" fillId="30" borderId="44" xfId="4" applyFont="1" applyFill="1" applyBorder="1" applyAlignment="1">
      <alignment horizontal="center" vertical="center" shrinkToFit="1"/>
    </xf>
    <xf numFmtId="43" fontId="102" fillId="30" borderId="41" xfId="13" applyFont="1" applyFill="1" applyBorder="1" applyAlignment="1">
      <alignment horizontal="center" vertical="center" shrinkToFit="1"/>
    </xf>
    <xf numFmtId="43" fontId="102" fillId="30" borderId="41" xfId="4" applyFont="1" applyFill="1" applyBorder="1" applyAlignment="1">
      <alignment horizontal="center" vertical="center" shrinkToFit="1"/>
    </xf>
    <xf numFmtId="43" fontId="103" fillId="30" borderId="41" xfId="4" applyFont="1" applyFill="1" applyBorder="1" applyAlignment="1">
      <alignment horizontal="center" vertical="center" shrinkToFit="1"/>
    </xf>
    <xf numFmtId="43" fontId="102" fillId="30" borderId="0" xfId="4" applyFont="1" applyFill="1" applyBorder="1" applyAlignment="1">
      <alignment horizontal="left" vertical="center"/>
    </xf>
    <xf numFmtId="43" fontId="102" fillId="30" borderId="78" xfId="4" applyFont="1" applyFill="1" applyBorder="1" applyAlignment="1">
      <alignment horizontal="center" vertical="center" shrinkToFit="1"/>
    </xf>
    <xf numFmtId="0" fontId="102" fillId="30" borderId="78" xfId="9" applyFont="1" applyFill="1" applyBorder="1" applyAlignment="1">
      <alignment vertical="center" shrinkToFit="1"/>
    </xf>
    <xf numFmtId="49" fontId="102" fillId="0" borderId="44" xfId="9" applyNumberFormat="1" applyFont="1" applyBorder="1" applyAlignment="1">
      <alignment horizontal="right" vertical="top" shrinkToFit="1"/>
    </xf>
    <xf numFmtId="0" fontId="103" fillId="0" borderId="41" xfId="9" applyFont="1" applyBorder="1" applyAlignment="1">
      <alignment horizontal="left" vertical="top" wrapText="1"/>
    </xf>
    <xf numFmtId="0" fontId="103" fillId="0" borderId="42" xfId="9" applyFont="1" applyBorder="1" applyAlignment="1">
      <alignment horizontal="center" vertical="top"/>
    </xf>
    <xf numFmtId="43" fontId="103" fillId="0" borderId="42" xfId="4" applyFont="1" applyFill="1" applyBorder="1" applyAlignment="1">
      <alignment horizontal="center" vertical="center" shrinkToFit="1"/>
    </xf>
    <xf numFmtId="43" fontId="103" fillId="0" borderId="41" xfId="13" applyFont="1" applyFill="1" applyBorder="1" applyAlignment="1">
      <alignment horizontal="center" vertical="top" shrinkToFit="1"/>
    </xf>
    <xf numFmtId="43" fontId="103" fillId="0" borderId="41" xfId="4" applyFont="1" applyFill="1" applyBorder="1" applyAlignment="1">
      <alignment horizontal="center" vertical="top" shrinkToFit="1"/>
    </xf>
    <xf numFmtId="43" fontId="103" fillId="31" borderId="41" xfId="4" applyFont="1" applyFill="1" applyBorder="1" applyAlignment="1">
      <alignment horizontal="center" vertical="top" shrinkToFit="1"/>
    </xf>
    <xf numFmtId="43" fontId="103" fillId="0" borderId="78" xfId="4" applyFont="1" applyFill="1" applyBorder="1" applyAlignment="1">
      <alignment horizontal="center" vertical="top" shrinkToFit="1"/>
    </xf>
    <xf numFmtId="0" fontId="102" fillId="0" borderId="78" xfId="9" applyFont="1" applyBorder="1" applyAlignment="1">
      <alignment vertical="top" shrinkToFit="1"/>
    </xf>
    <xf numFmtId="0" fontId="102" fillId="0" borderId="0" xfId="9" applyFont="1" applyAlignment="1">
      <alignment vertical="top" shrinkToFit="1"/>
    </xf>
    <xf numFmtId="49" fontId="102" fillId="0" borderId="41" xfId="9" applyNumberFormat="1" applyFont="1" applyBorder="1" applyAlignment="1">
      <alignment horizontal="right" vertical="top" shrinkToFit="1"/>
    </xf>
    <xf numFmtId="0" fontId="103" fillId="0" borderId="41" xfId="9" applyFont="1" applyBorder="1" applyAlignment="1">
      <alignment horizontal="center" vertical="top"/>
    </xf>
    <xf numFmtId="0" fontId="103" fillId="30" borderId="41" xfId="9" applyFont="1" applyFill="1" applyBorder="1" applyAlignment="1">
      <alignment horizontal="center" vertical="center" shrinkToFit="1"/>
    </xf>
    <xf numFmtId="49" fontId="102" fillId="0" borderId="41" xfId="9" applyNumberFormat="1" applyFont="1" applyBorder="1" applyAlignment="1">
      <alignment horizontal="right" vertical="center" shrinkToFit="1"/>
    </xf>
    <xf numFmtId="43" fontId="103" fillId="0" borderId="41" xfId="4" applyFont="1" applyFill="1" applyBorder="1" applyAlignment="1">
      <alignment horizontal="right" vertical="center" wrapText="1" shrinkToFit="1"/>
    </xf>
    <xf numFmtId="166" fontId="103" fillId="0" borderId="41" xfId="4" applyNumberFormat="1" applyFont="1" applyFill="1" applyBorder="1" applyAlignment="1">
      <alignment horizontal="right" vertical="center" wrapText="1" shrinkToFit="1"/>
    </xf>
    <xf numFmtId="43" fontId="103" fillId="0" borderId="78" xfId="4" applyFont="1" applyFill="1" applyBorder="1" applyAlignment="1">
      <alignment horizontal="right" vertical="center" wrapText="1" shrinkToFit="1"/>
    </xf>
    <xf numFmtId="166" fontId="103" fillId="0" borderId="42" xfId="4" applyNumberFormat="1" applyFont="1" applyFill="1" applyBorder="1" applyAlignment="1">
      <alignment horizontal="center" vertical="center" shrinkToFit="1"/>
    </xf>
    <xf numFmtId="43" fontId="103" fillId="0" borderId="41" xfId="4" applyFont="1" applyFill="1" applyBorder="1" applyAlignment="1">
      <alignment vertical="center" shrinkToFit="1"/>
    </xf>
    <xf numFmtId="43" fontId="103" fillId="31" borderId="41" xfId="4" applyFont="1" applyFill="1" applyBorder="1" applyAlignment="1">
      <alignment vertical="center" shrinkToFit="1"/>
    </xf>
    <xf numFmtId="49" fontId="102" fillId="0" borderId="43" xfId="9" applyNumberFormat="1" applyFont="1" applyBorder="1" applyAlignment="1">
      <alignment horizontal="right" vertical="center" shrinkToFit="1"/>
    </xf>
    <xf numFmtId="166" fontId="103" fillId="0" borderId="43" xfId="4" applyNumberFormat="1" applyFont="1" applyFill="1" applyBorder="1" applyAlignment="1">
      <alignment horizontal="center" vertical="center" shrinkToFit="1"/>
    </xf>
    <xf numFmtId="43" fontId="103" fillId="0" borderId="43" xfId="4" applyFont="1" applyFill="1" applyBorder="1" applyAlignment="1">
      <alignment vertical="center" shrinkToFit="1"/>
    </xf>
    <xf numFmtId="43" fontId="103" fillId="31" borderId="43" xfId="4" applyFont="1" applyFill="1" applyBorder="1" applyAlignment="1">
      <alignment vertical="center" shrinkToFit="1"/>
    </xf>
    <xf numFmtId="0" fontId="103" fillId="0" borderId="44" xfId="9" applyFont="1" applyBorder="1" applyAlignment="1">
      <alignment horizontal="center" vertical="center" shrinkToFit="1"/>
    </xf>
    <xf numFmtId="166" fontId="103" fillId="0" borderId="44" xfId="4" applyNumberFormat="1" applyFont="1" applyFill="1" applyBorder="1" applyAlignment="1">
      <alignment horizontal="center" vertical="center" shrinkToFit="1"/>
    </xf>
    <xf numFmtId="43" fontId="102" fillId="0" borderId="45" xfId="4" applyFont="1" applyFill="1" applyBorder="1" applyAlignment="1">
      <alignment horizontal="left" vertical="center"/>
    </xf>
    <xf numFmtId="0" fontId="102" fillId="0" borderId="45" xfId="9" applyFont="1" applyBorder="1" applyAlignment="1">
      <alignment vertical="center" shrinkToFit="1"/>
    </xf>
    <xf numFmtId="0" fontId="103" fillId="0" borderId="41" xfId="9" applyFont="1" applyBorder="1" applyAlignment="1">
      <alignment horizontal="center" vertical="top" shrinkToFit="1"/>
    </xf>
    <xf numFmtId="0" fontId="102" fillId="0" borderId="46" xfId="9" applyFont="1" applyBorder="1" applyAlignment="1">
      <alignment vertical="top" shrinkToFit="1"/>
    </xf>
    <xf numFmtId="166" fontId="103" fillId="0" borderId="41" xfId="4" applyNumberFormat="1" applyFont="1" applyFill="1" applyBorder="1" applyAlignment="1">
      <alignment horizontal="center" vertical="top" shrinkToFit="1"/>
    </xf>
    <xf numFmtId="43" fontId="103" fillId="0" borderId="41" xfId="13" applyFont="1" applyFill="1" applyBorder="1" applyAlignment="1">
      <alignment vertical="top" shrinkToFit="1"/>
    </xf>
    <xf numFmtId="43" fontId="103" fillId="0" borderId="41" xfId="4" applyFont="1" applyFill="1" applyBorder="1" applyAlignment="1">
      <alignment vertical="top" shrinkToFit="1"/>
    </xf>
    <xf numFmtId="43" fontId="103" fillId="31" borderId="41" xfId="4" applyFont="1" applyFill="1" applyBorder="1" applyAlignment="1">
      <alignment vertical="top" shrinkToFit="1"/>
    </xf>
    <xf numFmtId="43" fontId="102" fillId="0" borderId="41" xfId="4" applyFont="1" applyFill="1" applyBorder="1" applyAlignment="1">
      <alignment horizontal="left" vertical="center"/>
    </xf>
    <xf numFmtId="0" fontId="102" fillId="0" borderId="41" xfId="9" applyFont="1" applyBorder="1" applyAlignment="1">
      <alignment vertical="center" shrinkToFit="1"/>
    </xf>
    <xf numFmtId="0" fontId="102" fillId="0" borderId="46" xfId="9" applyFont="1" applyBorder="1" applyAlignment="1">
      <alignment vertical="center" shrinkToFit="1"/>
    </xf>
    <xf numFmtId="43" fontId="102" fillId="0" borderId="71" xfId="4" applyFont="1" applyFill="1" applyBorder="1" applyAlignment="1">
      <alignment horizontal="left" vertical="center"/>
    </xf>
    <xf numFmtId="0" fontId="102" fillId="0" borderId="71" xfId="9" applyFont="1" applyBorder="1" applyAlignment="1">
      <alignment vertical="center" shrinkToFit="1"/>
    </xf>
    <xf numFmtId="43" fontId="103" fillId="0" borderId="0" xfId="4" applyFont="1" applyAlignment="1">
      <alignment vertical="center" shrinkToFit="1"/>
    </xf>
    <xf numFmtId="49" fontId="103" fillId="0" borderId="41" xfId="9" applyNumberFormat="1" applyFont="1" applyBorder="1" applyAlignment="1">
      <alignment horizontal="right" vertical="top" shrinkToFit="1"/>
    </xf>
    <xf numFmtId="43" fontId="103" fillId="0" borderId="41" xfId="4" applyFont="1" applyFill="1" applyBorder="1" applyAlignment="1">
      <alignment horizontal="right" vertical="top" wrapText="1" shrinkToFit="1"/>
    </xf>
    <xf numFmtId="43" fontId="103" fillId="0" borderId="41" xfId="4" applyFont="1" applyFill="1" applyBorder="1" applyAlignment="1">
      <alignment horizontal="center" vertical="top" wrapText="1" shrinkToFit="1"/>
    </xf>
    <xf numFmtId="43" fontId="103" fillId="0" borderId="78" xfId="4" applyFont="1" applyFill="1" applyBorder="1" applyAlignment="1">
      <alignment horizontal="center" vertical="top" wrapText="1" shrinkToFit="1"/>
    </xf>
    <xf numFmtId="0" fontId="103" fillId="0" borderId="0" xfId="9" applyFont="1" applyAlignment="1">
      <alignment vertical="top" shrinkToFit="1"/>
    </xf>
    <xf numFmtId="0" fontId="103" fillId="0" borderId="41" xfId="9" applyFont="1" applyBorder="1" applyAlignment="1">
      <alignment horizontal="left" vertical="top" wrapText="1" shrinkToFit="1"/>
    </xf>
    <xf numFmtId="0" fontId="103" fillId="0" borderId="41" xfId="9" applyFont="1" applyBorder="1" applyAlignment="1">
      <alignment vertical="top" shrinkToFit="1"/>
    </xf>
    <xf numFmtId="0" fontId="103" fillId="0" borderId="78" xfId="9" applyFont="1" applyBorder="1" applyAlignment="1">
      <alignment vertical="top" shrinkToFit="1"/>
    </xf>
    <xf numFmtId="166" fontId="103" fillId="0" borderId="41" xfId="4" applyNumberFormat="1" applyFont="1" applyFill="1" applyBorder="1" applyAlignment="1">
      <alignment vertical="center" shrinkToFit="1"/>
    </xf>
    <xf numFmtId="0" fontId="103" fillId="0" borderId="78" xfId="9" applyFont="1" applyBorder="1" applyAlignment="1">
      <alignment vertical="center" shrinkToFit="1"/>
    </xf>
    <xf numFmtId="166" fontId="103" fillId="0" borderId="41" xfId="13" applyNumberFormat="1" applyFont="1" applyFill="1" applyBorder="1" applyAlignment="1">
      <alignment horizontal="center" vertical="center" shrinkToFit="1"/>
    </xf>
    <xf numFmtId="0" fontId="103" fillId="0" borderId="41" xfId="9" applyFont="1" applyBorder="1" applyAlignment="1">
      <alignment horizontal="left" vertical="center" shrinkToFit="1"/>
    </xf>
    <xf numFmtId="166" fontId="103" fillId="0" borderId="41" xfId="4" applyNumberFormat="1" applyFont="1" applyFill="1" applyBorder="1" applyAlignment="1">
      <alignment horizontal="right" vertical="top" shrinkToFit="1"/>
    </xf>
    <xf numFmtId="43" fontId="102" fillId="0" borderId="0" xfId="4" applyFont="1" applyFill="1" applyBorder="1" applyAlignment="1">
      <alignment horizontal="left" vertical="top"/>
    </xf>
    <xf numFmtId="43" fontId="103" fillId="0" borderId="41" xfId="4" applyFont="1" applyBorder="1" applyAlignment="1">
      <alignment vertical="top" shrinkToFit="1"/>
    </xf>
    <xf numFmtId="2" fontId="103" fillId="0" borderId="78" xfId="4" applyNumberFormat="1" applyFont="1" applyFill="1" applyBorder="1" applyAlignment="1">
      <alignment horizontal="right" vertical="center" wrapText="1" shrinkToFit="1"/>
    </xf>
    <xf numFmtId="0" fontId="103" fillId="12" borderId="0" xfId="9" applyFont="1" applyFill="1" applyAlignment="1">
      <alignment vertical="top" shrinkToFit="1"/>
    </xf>
    <xf numFmtId="43" fontId="103" fillId="0" borderId="41" xfId="4" applyFont="1" applyBorder="1" applyAlignment="1">
      <alignment vertical="center" shrinkToFit="1"/>
    </xf>
    <xf numFmtId="0" fontId="103" fillId="12" borderId="0" xfId="9" applyFont="1" applyFill="1" applyAlignment="1">
      <alignment vertical="center" shrinkToFit="1"/>
    </xf>
    <xf numFmtId="43" fontId="103" fillId="0" borderId="41" xfId="9" applyNumberFormat="1" applyFont="1" applyBorder="1" applyAlignment="1">
      <alignment horizontal="right" vertical="center" shrinkToFit="1"/>
    </xf>
    <xf numFmtId="43" fontId="103" fillId="0" borderId="41" xfId="9" applyNumberFormat="1" applyFont="1" applyBorder="1" applyAlignment="1">
      <alignment horizontal="center" vertical="center" shrinkToFit="1"/>
    </xf>
    <xf numFmtId="43" fontId="103" fillId="0" borderId="41" xfId="9" applyNumberFormat="1" applyFont="1" applyBorder="1" applyAlignment="1">
      <alignment horizontal="right" vertical="top" shrinkToFit="1"/>
    </xf>
    <xf numFmtId="43" fontId="103" fillId="0" borderId="41" xfId="9" applyNumberFormat="1" applyFont="1" applyBorder="1" applyAlignment="1">
      <alignment horizontal="center" vertical="top" shrinkToFit="1"/>
    </xf>
    <xf numFmtId="43" fontId="103" fillId="0" borderId="40" xfId="4" applyFont="1" applyFill="1" applyBorder="1" applyAlignment="1">
      <alignment horizontal="center" vertical="top" shrinkToFit="1"/>
    </xf>
    <xf numFmtId="0" fontId="103" fillId="0" borderId="41" xfId="0" applyFont="1" applyBorder="1" applyAlignment="1">
      <alignment horizontal="left" vertical="top" wrapText="1"/>
    </xf>
    <xf numFmtId="166" fontId="103" fillId="0" borderId="43" xfId="4" applyNumberFormat="1" applyFont="1" applyFill="1" applyBorder="1" applyAlignment="1">
      <alignment horizontal="right" vertical="center" shrinkToFit="1"/>
    </xf>
    <xf numFmtId="0" fontId="105" fillId="0" borderId="0" xfId="9" applyFont="1" applyAlignment="1">
      <alignment vertical="top" shrinkToFit="1"/>
    </xf>
    <xf numFmtId="0" fontId="103" fillId="0" borderId="41" xfId="0" applyFont="1" applyBorder="1" applyAlignment="1">
      <alignment horizontal="left" vertical="top" wrapText="1" shrinkToFit="1"/>
    </xf>
    <xf numFmtId="0" fontId="103" fillId="0" borderId="45" xfId="9" applyFont="1" applyBorder="1" applyAlignment="1">
      <alignment vertical="center" shrinkToFit="1"/>
    </xf>
    <xf numFmtId="0" fontId="103" fillId="0" borderId="41" xfId="0" applyFont="1" applyBorder="1" applyAlignment="1">
      <alignment vertical="top" wrapText="1"/>
    </xf>
    <xf numFmtId="2" fontId="103" fillId="0" borderId="41" xfId="4" applyNumberFormat="1" applyFont="1" applyFill="1" applyBorder="1" applyAlignment="1">
      <alignment horizontal="right" vertical="center" wrapText="1" shrinkToFit="1"/>
    </xf>
    <xf numFmtId="43" fontId="106" fillId="0" borderId="41" xfId="9" applyNumberFormat="1" applyFont="1" applyBorder="1" applyAlignment="1">
      <alignment horizontal="right" vertical="center" shrinkToFit="1"/>
    </xf>
    <xf numFmtId="0" fontId="106" fillId="0" borderId="41" xfId="0" applyFont="1" applyBorder="1" applyAlignment="1">
      <alignment vertical="top" wrapText="1"/>
    </xf>
    <xf numFmtId="43" fontId="106" fillId="0" borderId="41" xfId="9" applyNumberFormat="1" applyFont="1" applyBorder="1" applyAlignment="1">
      <alignment horizontal="center" vertical="center" shrinkToFit="1"/>
    </xf>
    <xf numFmtId="43" fontId="106" fillId="0" borderId="41" xfId="4" applyFont="1" applyFill="1" applyBorder="1" applyAlignment="1">
      <alignment horizontal="center" vertical="center" shrinkToFit="1"/>
    </xf>
    <xf numFmtId="43" fontId="106" fillId="0" borderId="41" xfId="13" applyFont="1" applyFill="1" applyBorder="1" applyAlignment="1">
      <alignment horizontal="center" vertical="center" shrinkToFit="1"/>
    </xf>
    <xf numFmtId="0" fontId="106" fillId="0" borderId="41" xfId="9" applyFont="1" applyBorder="1" applyAlignment="1">
      <alignment vertical="center" shrinkToFit="1"/>
    </xf>
    <xf numFmtId="166" fontId="106" fillId="0" borderId="41" xfId="4" applyNumberFormat="1" applyFont="1" applyFill="1" applyBorder="1" applyAlignment="1">
      <alignment horizontal="right" vertical="center" shrinkToFit="1"/>
    </xf>
    <xf numFmtId="43" fontId="107" fillId="0" borderId="41" xfId="4" applyFont="1" applyFill="1" applyBorder="1" applyAlignment="1">
      <alignment horizontal="left" vertical="center"/>
    </xf>
    <xf numFmtId="43" fontId="106" fillId="0" borderId="78" xfId="4" applyFont="1" applyFill="1" applyBorder="1" applyAlignment="1">
      <alignment horizontal="center" vertical="center" shrinkToFit="1"/>
    </xf>
    <xf numFmtId="0" fontId="106" fillId="0" borderId="0" xfId="9" applyFont="1" applyAlignment="1">
      <alignment vertical="center" shrinkToFit="1"/>
    </xf>
    <xf numFmtId="43" fontId="106" fillId="31" borderId="41" xfId="4" applyFont="1" applyFill="1" applyBorder="1" applyAlignment="1">
      <alignment horizontal="center" vertical="center" shrinkToFit="1"/>
    </xf>
    <xf numFmtId="166" fontId="103" fillId="0" borderId="78" xfId="4" applyNumberFormat="1" applyFont="1" applyFill="1" applyBorder="1" applyAlignment="1">
      <alignment horizontal="right" vertical="top" shrinkToFit="1"/>
    </xf>
    <xf numFmtId="0" fontId="103" fillId="0" borderId="41" xfId="17" applyFont="1" applyBorder="1" applyAlignment="1">
      <alignment horizontal="left" vertical="top" wrapText="1"/>
    </xf>
    <xf numFmtId="43" fontId="103" fillId="0" borderId="41" xfId="18" applyFont="1" applyFill="1" applyBorder="1" applyAlignment="1">
      <alignment horizontal="left" vertical="top"/>
    </xf>
    <xf numFmtId="43" fontId="102" fillId="0" borderId="41" xfId="4" applyFont="1" applyFill="1" applyBorder="1" applyAlignment="1">
      <alignment horizontal="left" vertical="top"/>
    </xf>
    <xf numFmtId="43" fontId="102" fillId="0" borderId="43" xfId="4" applyFont="1" applyFill="1" applyBorder="1" applyAlignment="1">
      <alignment horizontal="left" vertical="center"/>
    </xf>
    <xf numFmtId="0" fontId="103" fillId="0" borderId="44" xfId="9" applyFont="1" applyBorder="1" applyAlignment="1">
      <alignment vertical="center" shrinkToFit="1"/>
    </xf>
    <xf numFmtId="43" fontId="102" fillId="0" borderId="44" xfId="4" applyFont="1" applyFill="1" applyBorder="1" applyAlignment="1">
      <alignment horizontal="left" vertical="center"/>
    </xf>
    <xf numFmtId="43" fontId="103" fillId="0" borderId="66" xfId="4" applyFont="1" applyFill="1" applyBorder="1" applyAlignment="1">
      <alignment horizontal="center" vertical="center" shrinkToFit="1"/>
    </xf>
    <xf numFmtId="0" fontId="106" fillId="0" borderId="41" xfId="88" applyFont="1" applyBorder="1" applyAlignment="1">
      <alignment vertical="top" wrapText="1"/>
    </xf>
    <xf numFmtId="43" fontId="105" fillId="0" borderId="41" xfId="9" applyNumberFormat="1" applyFont="1" applyBorder="1" applyAlignment="1">
      <alignment horizontal="center" vertical="center" shrinkToFit="1"/>
    </xf>
    <xf numFmtId="43" fontId="105" fillId="0" borderId="41" xfId="4" applyFont="1" applyFill="1" applyBorder="1" applyAlignment="1">
      <alignment horizontal="center" vertical="center" shrinkToFit="1"/>
    </xf>
    <xf numFmtId="43" fontId="105" fillId="0" borderId="41" xfId="13" applyFont="1" applyFill="1" applyBorder="1" applyAlignment="1">
      <alignment horizontal="center" vertical="center" shrinkToFit="1"/>
    </xf>
    <xf numFmtId="43" fontId="105" fillId="31" borderId="41" xfId="4" applyFont="1" applyFill="1" applyBorder="1" applyAlignment="1">
      <alignment horizontal="center" vertical="center" shrinkToFit="1"/>
    </xf>
    <xf numFmtId="0" fontId="103" fillId="0" borderId="42" xfId="9" applyFont="1" applyBorder="1" applyAlignment="1">
      <alignment vertical="center" shrinkToFit="1"/>
    </xf>
    <xf numFmtId="43" fontId="102" fillId="0" borderId="42" xfId="4" applyFont="1" applyFill="1" applyBorder="1" applyAlignment="1">
      <alignment horizontal="left" vertical="center"/>
    </xf>
    <xf numFmtId="166" fontId="105" fillId="0" borderId="41" xfId="4" applyNumberFormat="1" applyFont="1" applyFill="1" applyBorder="1" applyAlignment="1">
      <alignment horizontal="right" vertical="center" shrinkToFit="1"/>
    </xf>
    <xf numFmtId="43" fontId="104" fillId="0" borderId="41" xfId="4" applyFont="1" applyFill="1" applyBorder="1" applyAlignment="1">
      <alignment horizontal="left" vertical="center"/>
    </xf>
    <xf numFmtId="49" fontId="102" fillId="0" borderId="56" xfId="9" applyNumberFormat="1" applyFont="1" applyBorder="1" applyAlignment="1">
      <alignment horizontal="right" vertical="center" shrinkToFit="1"/>
    </xf>
    <xf numFmtId="0" fontId="102" fillId="0" borderId="56" xfId="9" applyFont="1" applyBorder="1" applyAlignment="1">
      <alignment vertical="center"/>
    </xf>
    <xf numFmtId="0" fontId="103" fillId="0" borderId="56" xfId="9" applyFont="1" applyBorder="1" applyAlignment="1">
      <alignment horizontal="center" vertical="center" shrinkToFit="1"/>
    </xf>
    <xf numFmtId="166" fontId="102" fillId="0" borderId="56" xfId="4" applyNumberFormat="1" applyFont="1" applyFill="1" applyBorder="1" applyAlignment="1">
      <alignment horizontal="center" vertical="center" shrinkToFit="1"/>
    </xf>
    <xf numFmtId="43" fontId="102" fillId="0" borderId="56" xfId="13" applyFont="1" applyFill="1" applyBorder="1" applyAlignment="1">
      <alignment horizontal="center" vertical="center" shrinkToFit="1"/>
    </xf>
    <xf numFmtId="43" fontId="103" fillId="0" borderId="56" xfId="4" applyFont="1" applyFill="1" applyBorder="1" applyAlignment="1">
      <alignment horizontal="center" vertical="top" shrinkToFit="1"/>
    </xf>
    <xf numFmtId="166" fontId="103" fillId="0" borderId="56" xfId="4" applyNumberFormat="1" applyFont="1" applyFill="1" applyBorder="1" applyAlignment="1">
      <alignment horizontal="center" vertical="center" shrinkToFit="1"/>
    </xf>
    <xf numFmtId="43" fontId="102" fillId="0" borderId="56" xfId="4" applyFont="1" applyFill="1" applyBorder="1" applyAlignment="1">
      <alignment horizontal="left" vertical="center"/>
    </xf>
    <xf numFmtId="43" fontId="103" fillId="0" borderId="44" xfId="4" applyFont="1" applyFill="1" applyBorder="1" applyAlignment="1">
      <alignment horizontal="center" vertical="top" shrinkToFit="1"/>
    </xf>
    <xf numFmtId="43" fontId="103" fillId="0" borderId="41" xfId="4" applyFont="1" applyFill="1" applyBorder="1" applyAlignment="1">
      <alignment horizontal="right" vertical="center" shrinkToFit="1"/>
    </xf>
    <xf numFmtId="43" fontId="103" fillId="0" borderId="41" xfId="13" applyFont="1" applyFill="1" applyBorder="1" applyAlignment="1">
      <alignment horizontal="right" vertical="center" shrinkToFit="1"/>
    </xf>
    <xf numFmtId="43" fontId="103" fillId="31" borderId="41" xfId="4" applyFont="1" applyFill="1" applyBorder="1" applyAlignment="1">
      <alignment horizontal="right" vertical="center" shrinkToFit="1"/>
    </xf>
    <xf numFmtId="43" fontId="103" fillId="0" borderId="78" xfId="4" applyFont="1" applyFill="1" applyBorder="1" applyAlignment="1">
      <alignment horizontal="right" vertical="center" shrinkToFit="1"/>
    </xf>
    <xf numFmtId="49" fontId="103" fillId="0" borderId="43" xfId="9" applyNumberFormat="1" applyFont="1" applyBorder="1" applyAlignment="1">
      <alignment horizontal="right" vertical="center" shrinkToFit="1"/>
    </xf>
    <xf numFmtId="43" fontId="103" fillId="0" borderId="43" xfId="4" applyFont="1" applyFill="1" applyBorder="1" applyAlignment="1">
      <alignment horizontal="right" vertical="center" shrinkToFit="1"/>
    </xf>
    <xf numFmtId="43" fontId="103" fillId="0" borderId="43" xfId="13" applyFont="1" applyFill="1" applyBorder="1" applyAlignment="1">
      <alignment horizontal="right" vertical="center" shrinkToFit="1"/>
    </xf>
    <xf numFmtId="43" fontId="103" fillId="0" borderId="43" xfId="4" applyFont="1" applyFill="1" applyBorder="1" applyAlignment="1">
      <alignment horizontal="center" vertical="top" shrinkToFit="1"/>
    </xf>
    <xf numFmtId="43" fontId="103" fillId="31" borderId="43" xfId="4" applyFont="1" applyFill="1" applyBorder="1" applyAlignment="1">
      <alignment horizontal="right" vertical="center" shrinkToFit="1"/>
    </xf>
    <xf numFmtId="166" fontId="102" fillId="0" borderId="5" xfId="4" applyNumberFormat="1" applyFont="1" applyFill="1" applyBorder="1" applyAlignment="1">
      <alignment horizontal="center" vertical="center" shrinkToFit="1"/>
    </xf>
    <xf numFmtId="43" fontId="103" fillId="0" borderId="4" xfId="4" applyFont="1" applyFill="1" applyBorder="1" applyAlignment="1">
      <alignment horizontal="center" vertical="top" shrinkToFit="1"/>
    </xf>
    <xf numFmtId="4" fontId="103" fillId="0" borderId="1" xfId="14" applyNumberFormat="1" applyFont="1" applyBorder="1" applyAlignment="1">
      <alignment vertical="center" shrinkToFit="1"/>
    </xf>
    <xf numFmtId="43" fontId="103" fillId="0" borderId="44" xfId="4" applyFont="1" applyFill="1" applyBorder="1" applyAlignment="1">
      <alignment horizontal="right" vertical="center" shrinkToFit="1"/>
    </xf>
    <xf numFmtId="43" fontId="103" fillId="0" borderId="40" xfId="13" applyFont="1" applyFill="1" applyBorder="1" applyAlignment="1">
      <alignment horizontal="right" vertical="center" shrinkToFit="1"/>
    </xf>
    <xf numFmtId="166" fontId="103" fillId="0" borderId="40" xfId="4" applyNumberFormat="1" applyFont="1" applyFill="1" applyBorder="1" applyAlignment="1">
      <alignment horizontal="center" vertical="center" shrinkToFit="1"/>
    </xf>
    <xf numFmtId="43" fontId="103" fillId="0" borderId="40" xfId="4" applyFont="1" applyFill="1" applyBorder="1" applyAlignment="1">
      <alignment horizontal="right" vertical="center" shrinkToFit="1"/>
    </xf>
    <xf numFmtId="43" fontId="103" fillId="31" borderId="40" xfId="4" applyFont="1" applyFill="1" applyBorder="1" applyAlignment="1">
      <alignment horizontal="right" vertical="center" shrinkToFit="1"/>
    </xf>
    <xf numFmtId="166" fontId="103" fillId="0" borderId="40" xfId="4" applyNumberFormat="1" applyFont="1" applyFill="1" applyBorder="1" applyAlignment="1">
      <alignment horizontal="right" vertical="center" shrinkToFit="1"/>
    </xf>
    <xf numFmtId="43" fontId="103" fillId="0" borderId="80" xfId="4" applyFont="1" applyFill="1" applyBorder="1" applyAlignment="1">
      <alignment horizontal="right" vertical="center" shrinkToFit="1"/>
    </xf>
    <xf numFmtId="0" fontId="103" fillId="0" borderId="42" xfId="9" applyFont="1" applyBorder="1" applyAlignment="1">
      <alignment horizontal="center" vertical="center" shrinkToFit="1"/>
    </xf>
    <xf numFmtId="43" fontId="103" fillId="0" borderId="42" xfId="4" applyFont="1" applyFill="1" applyBorder="1" applyAlignment="1">
      <alignment horizontal="right" vertical="center" shrinkToFit="1"/>
    </xf>
    <xf numFmtId="43" fontId="103" fillId="0" borderId="42" xfId="13" applyFont="1" applyFill="1" applyBorder="1" applyAlignment="1">
      <alignment horizontal="right" vertical="center" shrinkToFit="1"/>
    </xf>
    <xf numFmtId="43" fontId="103" fillId="0" borderId="42" xfId="4" applyFont="1" applyFill="1" applyBorder="1" applyAlignment="1">
      <alignment horizontal="center" vertical="top" shrinkToFit="1"/>
    </xf>
    <xf numFmtId="43" fontId="103" fillId="31" borderId="42" xfId="4" applyFont="1" applyFill="1" applyBorder="1" applyAlignment="1">
      <alignment horizontal="right" vertical="center" shrinkToFit="1"/>
    </xf>
    <xf numFmtId="43" fontId="103" fillId="0" borderId="65" xfId="4" applyFont="1" applyFill="1" applyBorder="1" applyAlignment="1">
      <alignment horizontal="right" vertical="center" shrinkToFit="1"/>
    </xf>
    <xf numFmtId="0" fontId="102" fillId="0" borderId="56" xfId="9" applyFont="1" applyBorder="1" applyAlignment="1">
      <alignment vertical="center" shrinkToFit="1"/>
    </xf>
    <xf numFmtId="4" fontId="102" fillId="0" borderId="56" xfId="4" applyNumberFormat="1" applyFont="1" applyFill="1" applyBorder="1" applyAlignment="1">
      <alignment horizontal="right" vertical="center" wrapText="1" shrinkToFit="1"/>
    </xf>
    <xf numFmtId="43" fontId="102" fillId="0" borderId="56" xfId="13" applyFont="1" applyFill="1" applyBorder="1" applyAlignment="1">
      <alignment horizontal="right" vertical="center" wrapText="1" shrinkToFit="1"/>
    </xf>
    <xf numFmtId="43" fontId="102" fillId="0" borderId="56" xfId="4" applyFont="1" applyFill="1" applyBorder="1" applyAlignment="1">
      <alignment horizontal="right" vertical="center" wrapText="1" shrinkToFit="1"/>
    </xf>
    <xf numFmtId="43" fontId="102" fillId="0" borderId="56" xfId="4" applyFont="1" applyFill="1" applyBorder="1" applyAlignment="1">
      <alignment horizontal="right" wrapText="1" shrinkToFit="1"/>
    </xf>
    <xf numFmtId="43" fontId="102" fillId="31" borderId="56" xfId="4" applyFont="1" applyFill="1" applyBorder="1" applyAlignment="1">
      <alignment horizontal="right" vertical="center" wrapText="1" shrinkToFit="1"/>
    </xf>
    <xf numFmtId="43" fontId="102" fillId="0" borderId="0" xfId="9" applyNumberFormat="1" applyFont="1" applyAlignment="1">
      <alignment vertical="center" shrinkToFit="1"/>
    </xf>
    <xf numFmtId="43" fontId="102" fillId="0" borderId="41" xfId="13" applyFont="1" applyFill="1" applyBorder="1" applyAlignment="1">
      <alignment horizontal="center" vertical="center" shrinkToFit="1"/>
    </xf>
    <xf numFmtId="43" fontId="102" fillId="31" borderId="41" xfId="4" applyFont="1" applyFill="1" applyBorder="1" applyAlignment="1">
      <alignment horizontal="center" vertical="center" shrinkToFit="1"/>
    </xf>
    <xf numFmtId="49" fontId="103" fillId="30" borderId="41" xfId="9" applyNumberFormat="1" applyFont="1" applyFill="1" applyBorder="1" applyAlignment="1">
      <alignment horizontal="right" vertical="center" shrinkToFit="1"/>
    </xf>
    <xf numFmtId="0" fontId="103" fillId="30" borderId="41" xfId="9" applyFont="1" applyFill="1" applyBorder="1" applyAlignment="1">
      <alignment vertical="center" shrinkToFit="1"/>
    </xf>
    <xf numFmtId="43" fontId="103" fillId="30" borderId="41" xfId="4" applyFont="1" applyFill="1" applyBorder="1" applyAlignment="1">
      <alignment horizontal="center" vertical="top" shrinkToFit="1"/>
    </xf>
    <xf numFmtId="166" fontId="103" fillId="30" borderId="41" xfId="4" applyNumberFormat="1" applyFont="1" applyFill="1" applyBorder="1" applyAlignment="1">
      <alignment horizontal="center" vertical="center" shrinkToFit="1"/>
    </xf>
    <xf numFmtId="166" fontId="103" fillId="30" borderId="41" xfId="4" applyNumberFormat="1" applyFont="1" applyFill="1" applyBorder="1" applyAlignment="1">
      <alignment horizontal="right" vertical="center" shrinkToFit="1"/>
    </xf>
    <xf numFmtId="0" fontId="103" fillId="30" borderId="0" xfId="9" applyFont="1" applyFill="1" applyAlignment="1">
      <alignment vertical="center" shrinkToFit="1"/>
    </xf>
    <xf numFmtId="0" fontId="103" fillId="0" borderId="18" xfId="9" applyFont="1" applyBorder="1" applyAlignment="1">
      <alignment vertical="center" shrinkToFit="1"/>
    </xf>
    <xf numFmtId="43" fontId="103" fillId="0" borderId="41" xfId="4" applyFont="1" applyFill="1" applyBorder="1" applyAlignment="1">
      <alignment horizontal="left" vertical="center" shrinkToFit="1"/>
    </xf>
    <xf numFmtId="43" fontId="103" fillId="0" borderId="41" xfId="15" applyFont="1" applyFill="1" applyBorder="1" applyAlignment="1">
      <alignment horizontal="right" vertical="center"/>
    </xf>
    <xf numFmtId="4" fontId="103" fillId="46" borderId="41" xfId="189" applyNumberFormat="1" applyFont="1" applyFill="1" applyBorder="1" applyAlignment="1">
      <alignment horizontal="right" vertical="center"/>
    </xf>
    <xf numFmtId="166" fontId="103" fillId="0" borderId="41" xfId="9" applyNumberFormat="1" applyFont="1" applyBorder="1" applyAlignment="1">
      <alignment vertical="center" shrinkToFit="1"/>
    </xf>
    <xf numFmtId="166" fontId="103" fillId="0" borderId="41" xfId="12" applyNumberFormat="1" applyFont="1" applyBorder="1"/>
    <xf numFmtId="43" fontId="103" fillId="12" borderId="41" xfId="4" applyFont="1" applyFill="1" applyBorder="1" applyAlignment="1">
      <alignment horizontal="center" vertical="center" shrinkToFit="1"/>
    </xf>
    <xf numFmtId="43" fontId="103" fillId="0" borderId="41" xfId="4" applyFont="1" applyFill="1" applyBorder="1" applyAlignment="1">
      <alignment horizontal="left" vertical="center" wrapText="1" shrinkToFit="1"/>
    </xf>
    <xf numFmtId="43" fontId="102" fillId="0" borderId="41" xfId="4" applyFont="1" applyFill="1" applyBorder="1" applyAlignment="1">
      <alignment vertical="center" shrinkToFit="1"/>
    </xf>
    <xf numFmtId="43" fontId="102" fillId="31" borderId="41" xfId="4" applyFont="1" applyFill="1" applyBorder="1" applyAlignment="1">
      <alignment vertical="center" shrinkToFit="1"/>
    </xf>
    <xf numFmtId="43" fontId="103" fillId="0" borderId="41" xfId="13" applyFont="1" applyFill="1" applyBorder="1" applyAlignment="1">
      <alignment vertical="center" shrinkToFit="1"/>
    </xf>
    <xf numFmtId="0" fontId="103" fillId="0" borderId="46" xfId="9" applyFont="1" applyBorder="1" applyAlignment="1">
      <alignment vertical="center" shrinkToFit="1"/>
    </xf>
    <xf numFmtId="43" fontId="102" fillId="0" borderId="43" xfId="13" applyFont="1" applyFill="1" applyBorder="1" applyAlignment="1">
      <alignment horizontal="center" vertical="center" shrinkToFit="1"/>
    </xf>
    <xf numFmtId="43" fontId="102" fillId="31" borderId="43" xfId="4" applyFont="1" applyFill="1" applyBorder="1" applyAlignment="1">
      <alignment horizontal="center" vertical="center" shrinkToFit="1"/>
    </xf>
    <xf numFmtId="43" fontId="103" fillId="0" borderId="43" xfId="4" applyFont="1" applyFill="1" applyBorder="1" applyAlignment="1">
      <alignment horizontal="left" vertical="center" shrinkToFit="1"/>
    </xf>
    <xf numFmtId="4" fontId="102" fillId="0" borderId="5" xfId="9" applyNumberFormat="1" applyFont="1" applyBorder="1" applyAlignment="1">
      <alignment horizontal="right" vertical="center"/>
    </xf>
    <xf numFmtId="43" fontId="102" fillId="0" borderId="5" xfId="13" applyFont="1" applyFill="1" applyBorder="1" applyAlignment="1">
      <alignment horizontal="right" vertical="center"/>
    </xf>
    <xf numFmtId="43" fontId="102" fillId="0" borderId="5" xfId="4" applyFont="1" applyFill="1" applyBorder="1" applyAlignment="1">
      <alignment horizontal="right" vertical="center"/>
    </xf>
    <xf numFmtId="43" fontId="102" fillId="31" borderId="5" xfId="4" applyFont="1" applyFill="1" applyBorder="1" applyAlignment="1">
      <alignment horizontal="right" vertical="center"/>
    </xf>
    <xf numFmtId="43" fontId="102" fillId="31" borderId="56" xfId="4" applyFont="1" applyFill="1" applyBorder="1" applyAlignment="1">
      <alignment horizontal="right" vertical="center"/>
    </xf>
    <xf numFmtId="43" fontId="102" fillId="0" borderId="56" xfId="4" applyFont="1" applyFill="1" applyBorder="1" applyAlignment="1">
      <alignment horizontal="right" vertical="center"/>
    </xf>
    <xf numFmtId="49" fontId="103" fillId="0" borderId="40" xfId="9" applyNumberFormat="1" applyFont="1" applyBorder="1" applyAlignment="1">
      <alignment horizontal="right" vertical="center" shrinkToFit="1"/>
    </xf>
    <xf numFmtId="43" fontId="103" fillId="0" borderId="40" xfId="4" applyFont="1" applyFill="1" applyBorder="1" applyAlignment="1">
      <alignment vertical="center" shrinkToFit="1"/>
    </xf>
    <xf numFmtId="4" fontId="103" fillId="0" borderId="41" xfId="4" applyNumberFormat="1" applyFont="1" applyFill="1" applyBorder="1" applyAlignment="1">
      <alignment vertical="center" shrinkToFit="1"/>
    </xf>
    <xf numFmtId="4" fontId="103" fillId="0" borderId="41" xfId="13" applyNumberFormat="1" applyFont="1" applyFill="1" applyBorder="1" applyAlignment="1">
      <alignment vertical="center" shrinkToFit="1"/>
    </xf>
    <xf numFmtId="4" fontId="103" fillId="31" borderId="41" xfId="4" applyNumberFormat="1" applyFont="1" applyFill="1" applyBorder="1" applyAlignment="1">
      <alignment horizontal="right" vertical="center" shrinkToFit="1"/>
    </xf>
    <xf numFmtId="4" fontId="102" fillId="0" borderId="41" xfId="13" applyNumberFormat="1" applyFont="1" applyFill="1" applyBorder="1" applyAlignment="1">
      <alignment vertical="center" shrinkToFit="1"/>
    </xf>
    <xf numFmtId="4" fontId="102" fillId="0" borderId="41" xfId="4" applyNumberFormat="1" applyFont="1" applyFill="1" applyBorder="1" applyAlignment="1">
      <alignment vertical="center" shrinkToFit="1"/>
    </xf>
    <xf numFmtId="4" fontId="102" fillId="31" borderId="41" xfId="4" applyNumberFormat="1" applyFont="1" applyFill="1" applyBorder="1" applyAlignment="1">
      <alignment horizontal="right" vertical="center" shrinkToFit="1"/>
    </xf>
    <xf numFmtId="4" fontId="104" fillId="0" borderId="41" xfId="4" applyNumberFormat="1" applyFont="1" applyFill="1" applyBorder="1" applyAlignment="1">
      <alignment vertical="center" wrapText="1" shrinkToFit="1"/>
    </xf>
    <xf numFmtId="4" fontId="102" fillId="0" borderId="41" xfId="4" applyNumberFormat="1" applyFont="1" applyFill="1" applyBorder="1" applyAlignment="1">
      <alignment vertical="center" wrapText="1" shrinkToFit="1"/>
    </xf>
    <xf numFmtId="4" fontId="103" fillId="0" borderId="41" xfId="4" applyNumberFormat="1" applyFont="1" applyFill="1" applyBorder="1" applyAlignment="1">
      <alignment vertical="center" wrapText="1" shrinkToFit="1"/>
    </xf>
    <xf numFmtId="2" fontId="103" fillId="0" borderId="41" xfId="4" applyNumberFormat="1" applyFont="1" applyFill="1" applyBorder="1" applyAlignment="1">
      <alignment vertical="center" shrinkToFit="1"/>
    </xf>
    <xf numFmtId="2" fontId="103" fillId="0" borderId="41" xfId="9" applyNumberFormat="1" applyFont="1" applyBorder="1" applyAlignment="1">
      <alignment vertical="center" shrinkToFit="1"/>
    </xf>
    <xf numFmtId="43" fontId="103" fillId="0" borderId="41" xfId="9" applyNumberFormat="1" applyFont="1" applyBorder="1" applyAlignment="1">
      <alignment vertical="center" shrinkToFit="1"/>
    </xf>
    <xf numFmtId="166" fontId="103" fillId="0" borderId="78" xfId="9" applyNumberFormat="1" applyFont="1" applyBorder="1" applyAlignment="1">
      <alignment vertical="center" shrinkToFit="1"/>
    </xf>
    <xf numFmtId="4" fontId="103" fillId="0" borderId="41" xfId="5" applyNumberFormat="1" applyFont="1" applyBorder="1" applyAlignment="1">
      <alignment vertical="top"/>
    </xf>
    <xf numFmtId="43" fontId="103" fillId="0" borderId="41" xfId="5" applyNumberFormat="1" applyFont="1" applyBorder="1" applyAlignment="1">
      <alignment vertical="top"/>
    </xf>
    <xf numFmtId="4" fontId="103" fillId="31" borderId="41" xfId="5" applyNumberFormat="1" applyFont="1" applyFill="1" applyBorder="1" applyAlignment="1">
      <alignment horizontal="right" vertical="top"/>
    </xf>
    <xf numFmtId="4" fontId="103" fillId="0" borderId="41" xfId="9" applyNumberFormat="1" applyFont="1" applyBorder="1" applyAlignment="1">
      <alignment vertical="center" shrinkToFit="1"/>
    </xf>
    <xf numFmtId="4" fontId="103" fillId="0" borderId="45" xfId="9" applyNumberFormat="1" applyFont="1" applyBorder="1" applyAlignment="1">
      <alignment vertical="center" shrinkToFit="1"/>
    </xf>
    <xf numFmtId="4" fontId="103" fillId="0" borderId="41" xfId="4" applyNumberFormat="1" applyFont="1" applyFill="1" applyBorder="1" applyAlignment="1">
      <alignment horizontal="right" vertical="center" shrinkToFit="1"/>
    </xf>
    <xf numFmtId="4" fontId="103" fillId="0" borderId="41" xfId="4" applyNumberFormat="1" applyFont="1" applyFill="1" applyBorder="1" applyAlignment="1">
      <alignment horizontal="center" vertical="center" shrinkToFit="1"/>
    </xf>
    <xf numFmtId="2" fontId="103" fillId="0" borderId="41" xfId="4" applyNumberFormat="1" applyFont="1" applyFill="1" applyBorder="1" applyAlignment="1">
      <alignment horizontal="center" vertical="center" shrinkToFit="1"/>
    </xf>
    <xf numFmtId="4" fontId="105" fillId="0" borderId="41" xfId="4" applyNumberFormat="1" applyFont="1" applyFill="1" applyBorder="1" applyAlignment="1">
      <alignment vertical="center" shrinkToFit="1"/>
    </xf>
    <xf numFmtId="2" fontId="103" fillId="0" borderId="43" xfId="4" applyNumberFormat="1" applyFont="1" applyFill="1" applyBorder="1" applyAlignment="1">
      <alignment vertical="center" shrinkToFit="1"/>
    </xf>
    <xf numFmtId="4" fontId="103" fillId="0" borderId="43" xfId="4" applyNumberFormat="1" applyFont="1" applyFill="1" applyBorder="1" applyAlignment="1">
      <alignment vertical="center" shrinkToFit="1"/>
    </xf>
    <xf numFmtId="166" fontId="102" fillId="0" borderId="5" xfId="4" applyNumberFormat="1" applyFont="1" applyFill="1" applyBorder="1" applyAlignment="1">
      <alignment vertical="center" shrinkToFit="1"/>
    </xf>
    <xf numFmtId="43" fontId="102" fillId="31" borderId="5" xfId="4" applyFont="1" applyFill="1" applyBorder="1" applyAlignment="1">
      <alignment vertical="center" shrinkToFit="1"/>
    </xf>
    <xf numFmtId="43" fontId="102" fillId="0" borderId="5" xfId="4" applyFont="1" applyFill="1" applyBorder="1" applyAlignment="1">
      <alignment vertical="center" shrinkToFit="1"/>
    </xf>
    <xf numFmtId="43" fontId="102" fillId="0" borderId="8" xfId="4" applyFont="1" applyFill="1" applyBorder="1" applyAlignment="1">
      <alignment horizontal="left" vertical="center"/>
    </xf>
    <xf numFmtId="43" fontId="102" fillId="0" borderId="60" xfId="4" applyFont="1" applyFill="1" applyBorder="1" applyAlignment="1">
      <alignment vertical="center" shrinkToFit="1"/>
    </xf>
    <xf numFmtId="166" fontId="103" fillId="0" borderId="44" xfId="4" applyNumberFormat="1" applyFont="1" applyFill="1" applyBorder="1" applyAlignment="1">
      <alignment vertical="center" shrinkToFit="1"/>
    </xf>
    <xf numFmtId="166" fontId="103" fillId="0" borderId="43" xfId="4" applyNumberFormat="1" applyFont="1" applyFill="1" applyBorder="1" applyAlignment="1">
      <alignment vertical="center" shrinkToFit="1"/>
    </xf>
    <xf numFmtId="49" fontId="102" fillId="0" borderId="40" xfId="9" applyNumberFormat="1" applyFont="1" applyBorder="1" applyAlignment="1">
      <alignment horizontal="right" vertical="center" shrinkToFit="1"/>
    </xf>
    <xf numFmtId="43" fontId="103" fillId="0" borderId="40" xfId="4" applyFont="1" applyBorder="1" applyAlignment="1">
      <alignment vertical="center" shrinkToFit="1"/>
    </xf>
    <xf numFmtId="0" fontId="102" fillId="0" borderId="40" xfId="9" applyFont="1" applyBorder="1" applyAlignment="1">
      <alignment vertical="center" shrinkToFit="1"/>
    </xf>
    <xf numFmtId="166" fontId="103" fillId="0" borderId="40" xfId="4" applyNumberFormat="1" applyFont="1" applyFill="1" applyBorder="1" applyAlignment="1">
      <alignment vertical="center" shrinkToFit="1"/>
    </xf>
    <xf numFmtId="166" fontId="103" fillId="0" borderId="80" xfId="4" applyNumberFormat="1" applyFont="1" applyFill="1" applyBorder="1" applyAlignment="1">
      <alignment vertical="center" shrinkToFit="1"/>
    </xf>
    <xf numFmtId="166" fontId="103" fillId="0" borderId="78" xfId="4" applyNumberFormat="1" applyFont="1" applyFill="1" applyBorder="1" applyAlignment="1">
      <alignment vertical="center" shrinkToFit="1"/>
    </xf>
    <xf numFmtId="43" fontId="103" fillId="0" borderId="41" xfId="13" applyFont="1" applyFill="1" applyBorder="1" applyAlignment="1"/>
    <xf numFmtId="166" fontId="103" fillId="0" borderId="41" xfId="4" applyNumberFormat="1" applyFont="1" applyFill="1" applyBorder="1" applyAlignment="1"/>
    <xf numFmtId="166" fontId="103" fillId="0" borderId="41" xfId="4" applyNumberFormat="1" applyFont="1" applyFill="1" applyBorder="1" applyAlignment="1">
      <alignment horizontal="center"/>
    </xf>
    <xf numFmtId="43" fontId="103" fillId="0" borderId="41" xfId="4" applyFont="1" applyFill="1" applyBorder="1" applyAlignment="1"/>
    <xf numFmtId="43" fontId="103" fillId="0" borderId="78" xfId="4" applyFont="1" applyFill="1" applyBorder="1" applyAlignment="1"/>
    <xf numFmtId="43" fontId="103" fillId="31" borderId="41" xfId="4" applyFont="1" applyFill="1" applyBorder="1" applyAlignment="1"/>
    <xf numFmtId="49" fontId="102" fillId="0" borderId="43" xfId="9" applyNumberFormat="1" applyFont="1" applyBorder="1" applyAlignment="1">
      <alignment horizontal="right" vertical="top" shrinkToFit="1"/>
    </xf>
    <xf numFmtId="0" fontId="103" fillId="0" borderId="43" xfId="9" applyFont="1" applyBorder="1" applyAlignment="1">
      <alignment vertical="top" shrinkToFit="1"/>
    </xf>
    <xf numFmtId="0" fontId="103" fillId="0" borderId="43" xfId="9" applyFont="1" applyBorder="1" applyAlignment="1">
      <alignment horizontal="center" vertical="top" shrinkToFit="1"/>
    </xf>
    <xf numFmtId="43" fontId="103" fillId="0" borderId="43" xfId="13" applyFont="1" applyFill="1" applyBorder="1" applyAlignment="1">
      <alignment vertical="top"/>
    </xf>
    <xf numFmtId="43" fontId="103" fillId="0" borderId="43" xfId="4" applyFont="1" applyFill="1" applyBorder="1" applyAlignment="1">
      <alignment vertical="top"/>
    </xf>
    <xf numFmtId="166" fontId="103" fillId="0" borderId="43" xfId="4" applyNumberFormat="1" applyFont="1" applyFill="1" applyBorder="1" applyAlignment="1">
      <alignment horizontal="center"/>
    </xf>
    <xf numFmtId="43" fontId="103" fillId="31" borderId="43" xfId="4" applyFont="1" applyFill="1" applyBorder="1" applyAlignment="1">
      <alignment vertical="top"/>
    </xf>
    <xf numFmtId="166" fontId="103" fillId="0" borderId="79" xfId="4" applyNumberFormat="1" applyFont="1" applyFill="1" applyBorder="1" applyAlignment="1">
      <alignment vertical="center" shrinkToFit="1"/>
    </xf>
    <xf numFmtId="43" fontId="103" fillId="0" borderId="79" xfId="4" applyFont="1" applyFill="1" applyBorder="1" applyAlignment="1">
      <alignment vertical="top"/>
    </xf>
    <xf numFmtId="166" fontId="102" fillId="0" borderId="5" xfId="13" applyNumberFormat="1" applyFont="1" applyFill="1" applyBorder="1" applyAlignment="1">
      <alignment horizontal="center" vertical="center" shrinkToFit="1"/>
    </xf>
    <xf numFmtId="166" fontId="102" fillId="0" borderId="44" xfId="4" applyNumberFormat="1" applyFont="1" applyFill="1" applyBorder="1" applyAlignment="1">
      <alignment horizontal="center" vertical="center" shrinkToFit="1"/>
    </xf>
    <xf numFmtId="166" fontId="103" fillId="0" borderId="56" xfId="4" applyNumberFormat="1" applyFont="1" applyFill="1" applyBorder="1" applyAlignment="1">
      <alignment horizontal="right" vertical="center" shrinkToFit="1"/>
    </xf>
    <xf numFmtId="43" fontId="103" fillId="0" borderId="56" xfId="4" applyFont="1" applyFill="1" applyBorder="1" applyAlignment="1">
      <alignment horizontal="left" vertical="center" shrinkToFit="1"/>
    </xf>
    <xf numFmtId="166" fontId="102" fillId="0" borderId="56" xfId="4" applyNumberFormat="1" applyFont="1" applyFill="1" applyBorder="1" applyAlignment="1">
      <alignment horizontal="right" vertical="center" shrinkToFit="1"/>
    </xf>
    <xf numFmtId="166" fontId="102" fillId="0" borderId="56" xfId="4" applyNumberFormat="1" applyFont="1" applyFill="1" applyBorder="1" applyAlignment="1">
      <alignment vertical="center"/>
    </xf>
    <xf numFmtId="166" fontId="104" fillId="0" borderId="56" xfId="4" applyNumberFormat="1" applyFont="1" applyFill="1" applyBorder="1" applyAlignment="1">
      <alignment vertical="center"/>
    </xf>
    <xf numFmtId="166" fontId="102" fillId="0" borderId="60" xfId="4" applyNumberFormat="1" applyFont="1" applyFill="1" applyBorder="1" applyAlignment="1">
      <alignment vertical="center"/>
    </xf>
    <xf numFmtId="43" fontId="103" fillId="0" borderId="60" xfId="4" applyFont="1" applyFill="1" applyBorder="1" applyAlignment="1">
      <alignment horizontal="left" vertical="center" shrinkToFit="1"/>
    </xf>
    <xf numFmtId="49" fontId="102" fillId="0" borderId="40" xfId="9" applyNumberFormat="1" applyFont="1" applyBorder="1" applyAlignment="1">
      <alignment horizontal="center" vertical="center" shrinkToFit="1"/>
    </xf>
    <xf numFmtId="43" fontId="102" fillId="0" borderId="58" xfId="4" applyFont="1" applyFill="1" applyBorder="1" applyAlignment="1">
      <alignment vertical="center"/>
    </xf>
    <xf numFmtId="166" fontId="102" fillId="0" borderId="72" xfId="4" applyNumberFormat="1" applyFont="1" applyFill="1" applyBorder="1" applyAlignment="1">
      <alignment vertical="center"/>
    </xf>
    <xf numFmtId="166" fontId="102" fillId="0" borderId="59" xfId="4" applyNumberFormat="1" applyFont="1" applyFill="1" applyBorder="1" applyAlignment="1">
      <alignment vertical="center"/>
    </xf>
    <xf numFmtId="43" fontId="103" fillId="0" borderId="80" xfId="4" applyFont="1" applyFill="1" applyBorder="1" applyAlignment="1">
      <alignment horizontal="left" vertical="center" shrinkToFit="1"/>
    </xf>
    <xf numFmtId="43" fontId="103" fillId="0" borderId="40" xfId="4" applyFont="1" applyFill="1" applyBorder="1" applyAlignment="1">
      <alignment horizontal="left" vertical="center" shrinkToFit="1"/>
    </xf>
    <xf numFmtId="166" fontId="103" fillId="0" borderId="40" xfId="4" applyNumberFormat="1" applyFont="1" applyFill="1" applyBorder="1" applyAlignment="1">
      <alignment horizontal="left" vertical="center" shrinkToFit="1"/>
    </xf>
    <xf numFmtId="49" fontId="102" fillId="0" borderId="43" xfId="9" applyNumberFormat="1" applyFont="1" applyBorder="1" applyAlignment="1">
      <alignment horizontal="center" vertical="center" shrinkToFit="1"/>
    </xf>
    <xf numFmtId="166" fontId="103" fillId="0" borderId="43" xfId="4" applyNumberFormat="1" applyFont="1" applyFill="1" applyBorder="1" applyAlignment="1">
      <alignment horizontal="left" vertical="center" shrinkToFit="1"/>
    </xf>
    <xf numFmtId="0" fontId="103" fillId="0" borderId="0" xfId="9" applyFont="1" applyAlignment="1">
      <alignment horizontal="center" vertical="center" shrinkToFit="1"/>
    </xf>
    <xf numFmtId="43" fontId="103" fillId="0" borderId="0" xfId="4" applyFont="1" applyFill="1" applyAlignment="1">
      <alignment vertical="center" shrinkToFit="1"/>
    </xf>
    <xf numFmtId="43" fontId="102" fillId="0" borderId="0" xfId="4" applyFont="1" applyFill="1" applyBorder="1" applyAlignment="1">
      <alignment horizontal="left" vertical="center" shrinkToFit="1"/>
    </xf>
    <xf numFmtId="49" fontId="103" fillId="0" borderId="0" xfId="9" applyNumberFormat="1" applyFont="1" applyAlignment="1">
      <alignment vertical="center" shrinkToFit="1"/>
    </xf>
    <xf numFmtId="43" fontId="103" fillId="0" borderId="0" xfId="9" applyNumberFormat="1" applyFont="1" applyAlignment="1">
      <alignment vertical="center" shrinkToFit="1"/>
    </xf>
    <xf numFmtId="43" fontId="103" fillId="0" borderId="0" xfId="9" applyNumberFormat="1" applyFont="1" applyAlignment="1">
      <alignment horizontal="left" vertical="center" shrinkToFit="1"/>
    </xf>
    <xf numFmtId="43" fontId="103" fillId="0" borderId="0" xfId="4" applyFont="1" applyFill="1" applyAlignment="1">
      <alignment horizontal="left" vertical="center" shrinkToFit="1"/>
    </xf>
    <xf numFmtId="4" fontId="103" fillId="0" borderId="0" xfId="9" applyNumberFormat="1" applyFont="1" applyAlignment="1">
      <alignment vertical="center" shrinkToFit="1"/>
    </xf>
    <xf numFmtId="4" fontId="103" fillId="0" borderId="0" xfId="9" applyNumberFormat="1" applyFont="1" applyAlignment="1">
      <alignment horizontal="left" vertical="center" shrinkToFit="1"/>
    </xf>
    <xf numFmtId="0" fontId="103" fillId="0" borderId="0" xfId="9" applyFont="1" applyAlignment="1">
      <alignment horizontal="left" vertical="center" shrinkToFit="1"/>
    </xf>
    <xf numFmtId="164" fontId="103" fillId="0" borderId="0" xfId="9" applyNumberFormat="1" applyFont="1" applyAlignment="1">
      <alignment vertical="center" shrinkToFit="1"/>
    </xf>
    <xf numFmtId="43" fontId="45" fillId="0" borderId="56" xfId="4" applyFont="1" applyFill="1" applyBorder="1" applyAlignment="1">
      <alignment horizontal="center" vertical="center"/>
    </xf>
    <xf numFmtId="43" fontId="102" fillId="0" borderId="40" xfId="13" applyFont="1" applyFill="1" applyBorder="1" applyAlignment="1">
      <alignment horizontal="center" vertical="center" shrinkToFit="1"/>
    </xf>
    <xf numFmtId="43" fontId="102" fillId="31" borderId="40" xfId="4" applyFont="1" applyFill="1" applyBorder="1" applyAlignment="1">
      <alignment horizontal="center" vertical="center" shrinkToFit="1"/>
    </xf>
    <xf numFmtId="43" fontId="102" fillId="0" borderId="40" xfId="4" applyFont="1" applyFill="1" applyBorder="1" applyAlignment="1">
      <alignment horizontal="left" vertical="center"/>
    </xf>
    <xf numFmtId="43" fontId="71" fillId="0" borderId="56" xfId="4" applyFont="1" applyFill="1" applyBorder="1" applyAlignment="1">
      <alignment horizontal="center" vertical="center"/>
    </xf>
    <xf numFmtId="43" fontId="45" fillId="0" borderId="56" xfId="4" applyFont="1" applyFill="1" applyBorder="1" applyAlignment="1">
      <alignment vertical="center"/>
    </xf>
    <xf numFmtId="43" fontId="98" fillId="0" borderId="5" xfId="10" applyNumberFormat="1" applyFont="1" applyBorder="1" applyAlignment="1">
      <alignment horizontal="left" vertical="top" wrapText="1"/>
    </xf>
    <xf numFmtId="4" fontId="11" fillId="0" borderId="0" xfId="10" applyNumberFormat="1" applyFont="1" applyAlignment="1">
      <alignment horizontal="left" vertical="top"/>
    </xf>
    <xf numFmtId="0" fontId="11" fillId="0" borderId="0" xfId="10" applyFont="1" applyAlignment="1">
      <alignment horizontal="left" vertical="top"/>
    </xf>
    <xf numFmtId="43" fontId="5" fillId="0" borderId="0" xfId="4" applyFont="1" applyAlignment="1">
      <alignment vertical="top"/>
    </xf>
    <xf numFmtId="0" fontId="5" fillId="0" borderId="0" xfId="10" applyFont="1" applyAlignment="1">
      <alignment vertical="top"/>
    </xf>
    <xf numFmtId="14" fontId="71" fillId="0" borderId="0" xfId="0" applyNumberFormat="1" applyFont="1" applyAlignment="1">
      <alignment horizontal="left" vertical="center"/>
    </xf>
    <xf numFmtId="49" fontId="102" fillId="0" borderId="4" xfId="9" applyNumberFormat="1" applyFont="1" applyBorder="1" applyAlignment="1">
      <alignment horizontal="right" vertical="center" shrinkToFit="1"/>
    </xf>
    <xf numFmtId="0" fontId="103" fillId="0" borderId="4" xfId="9" applyFont="1" applyBorder="1" applyAlignment="1">
      <alignment horizontal="center" vertical="center" shrinkToFit="1"/>
    </xf>
    <xf numFmtId="43" fontId="103" fillId="31" borderId="40" xfId="4" applyFont="1" applyFill="1" applyBorder="1" applyAlignment="1">
      <alignment vertical="center" shrinkToFit="1"/>
    </xf>
    <xf numFmtId="166" fontId="103" fillId="0" borderId="42" xfId="4" applyNumberFormat="1" applyFont="1" applyFill="1" applyBorder="1" applyAlignment="1">
      <alignment vertical="center" shrinkToFit="1"/>
    </xf>
    <xf numFmtId="43" fontId="102" fillId="0" borderId="4" xfId="4" applyFont="1" applyFill="1" applyBorder="1" applyAlignment="1">
      <alignment horizontal="center" vertical="center" shrinkToFit="1"/>
    </xf>
    <xf numFmtId="0" fontId="102" fillId="0" borderId="4" xfId="9" applyFont="1" applyBorder="1" applyAlignment="1">
      <alignment vertical="center" shrinkToFit="1"/>
    </xf>
    <xf numFmtId="43" fontId="102" fillId="0" borderId="4" xfId="4" applyFont="1" applyFill="1" applyBorder="1" applyAlignment="1">
      <alignment vertical="center" shrinkToFit="1"/>
    </xf>
    <xf numFmtId="4" fontId="102" fillId="0" borderId="4" xfId="4" applyNumberFormat="1" applyFont="1" applyFill="1" applyBorder="1" applyAlignment="1">
      <alignment vertical="center" shrinkToFit="1"/>
    </xf>
    <xf numFmtId="166" fontId="102" fillId="0" borderId="4" xfId="4" applyNumberFormat="1" applyFont="1" applyFill="1" applyBorder="1" applyAlignment="1">
      <alignment vertical="center" shrinkToFit="1"/>
    </xf>
    <xf numFmtId="166" fontId="102" fillId="0" borderId="4" xfId="4" applyNumberFormat="1" applyFont="1" applyFill="1" applyBorder="1" applyAlignment="1">
      <alignment horizontal="center" vertical="center" shrinkToFit="1"/>
    </xf>
    <xf numFmtId="166" fontId="102" fillId="0" borderId="4" xfId="13" applyNumberFormat="1" applyFont="1" applyFill="1" applyBorder="1" applyAlignment="1">
      <alignment vertical="center" shrinkToFit="1"/>
    </xf>
    <xf numFmtId="166" fontId="102" fillId="0" borderId="4" xfId="4" applyNumberFormat="1" applyFont="1" applyBorder="1" applyAlignment="1">
      <alignment vertical="top" wrapText="1"/>
    </xf>
    <xf numFmtId="43" fontId="102" fillId="31" borderId="4" xfId="4" applyFont="1" applyFill="1" applyBorder="1" applyAlignment="1">
      <alignment vertical="center" shrinkToFit="1"/>
    </xf>
    <xf numFmtId="43" fontId="102" fillId="0" borderId="4" xfId="4" applyFont="1" applyFill="1" applyBorder="1" applyAlignment="1">
      <alignment vertical="center"/>
    </xf>
    <xf numFmtId="166" fontId="102" fillId="0" borderId="4" xfId="4" applyNumberFormat="1" applyFont="1" applyFill="1" applyBorder="1" applyAlignment="1">
      <alignment vertical="center"/>
    </xf>
    <xf numFmtId="166" fontId="102" fillId="0" borderId="19" xfId="4" applyNumberFormat="1" applyFont="1" applyFill="1" applyBorder="1" applyAlignment="1">
      <alignment vertical="center"/>
    </xf>
    <xf numFmtId="43" fontId="102" fillId="0" borderId="19" xfId="4" applyFont="1" applyFill="1" applyBorder="1" applyAlignment="1">
      <alignment vertical="center" shrinkToFit="1"/>
    </xf>
    <xf numFmtId="49" fontId="102" fillId="0" borderId="41" xfId="9" applyNumberFormat="1" applyFont="1" applyBorder="1" applyAlignment="1">
      <alignment horizontal="center" vertical="center" shrinkToFit="1"/>
    </xf>
    <xf numFmtId="166" fontId="103" fillId="0" borderId="41" xfId="4" applyNumberFormat="1" applyFont="1" applyFill="1" applyBorder="1" applyAlignment="1">
      <alignment horizontal="left" vertical="center" shrinkToFit="1"/>
    </xf>
    <xf numFmtId="43" fontId="71" fillId="0" borderId="41" xfId="4" applyFont="1" applyBorder="1" applyAlignment="1">
      <alignment horizontal="right" vertical="center"/>
    </xf>
    <xf numFmtId="43" fontId="71" fillId="0" borderId="43" xfId="4" applyFont="1" applyBorder="1" applyAlignment="1">
      <alignment horizontal="right" vertical="center"/>
    </xf>
    <xf numFmtId="43" fontId="105" fillId="0" borderId="41" xfId="9" applyNumberFormat="1" applyFont="1" applyBorder="1" applyAlignment="1">
      <alignment horizontal="right" vertical="top" shrinkToFit="1"/>
    </xf>
    <xf numFmtId="0" fontId="106" fillId="0" borderId="41" xfId="0" applyFont="1" applyBorder="1" applyAlignment="1">
      <alignment horizontal="left" vertical="top" wrapText="1" shrinkToFit="1"/>
    </xf>
    <xf numFmtId="43" fontId="106" fillId="0" borderId="41" xfId="9" applyNumberFormat="1" applyFont="1" applyBorder="1" applyAlignment="1">
      <alignment horizontal="center" vertical="top" shrinkToFit="1"/>
    </xf>
    <xf numFmtId="43" fontId="106" fillId="0" borderId="41" xfId="4" applyFont="1" applyFill="1" applyBorder="1" applyAlignment="1">
      <alignment horizontal="center" vertical="top" shrinkToFit="1"/>
    </xf>
    <xf numFmtId="43" fontId="106" fillId="0" borderId="41" xfId="13" applyFont="1" applyFill="1" applyBorder="1" applyAlignment="1">
      <alignment horizontal="center" vertical="top" shrinkToFit="1"/>
    </xf>
    <xf numFmtId="43" fontId="105" fillId="0" borderId="41" xfId="4" applyFont="1" applyFill="1" applyBorder="1" applyAlignment="1">
      <alignment horizontal="center" vertical="top" shrinkToFit="1"/>
    </xf>
    <xf numFmtId="43" fontId="105" fillId="0" borderId="41" xfId="4" applyFont="1" applyFill="1" applyBorder="1" applyAlignment="1">
      <alignment horizontal="center" vertical="top" wrapText="1" shrinkToFit="1"/>
    </xf>
    <xf numFmtId="43" fontId="103" fillId="0" borderId="41" xfId="4" applyFont="1" applyFill="1" applyBorder="1" applyAlignment="1">
      <alignment horizontal="right" vertical="top" wrapText="1" indent="1" shrinkToFit="1"/>
    </xf>
    <xf numFmtId="2" fontId="103" fillId="0" borderId="41" xfId="4" applyNumberFormat="1" applyFont="1" applyFill="1" applyBorder="1" applyAlignment="1">
      <alignment horizontal="right" vertical="top" wrapText="1" shrinkToFit="1"/>
    </xf>
    <xf numFmtId="2" fontId="103" fillId="0" borderId="41" xfId="4" applyNumberFormat="1" applyFont="1" applyFill="1" applyBorder="1" applyAlignment="1">
      <alignment horizontal="right" vertical="top" shrinkToFit="1"/>
    </xf>
    <xf numFmtId="166" fontId="103" fillId="0" borderId="66" xfId="4" applyNumberFormat="1" applyFont="1" applyFill="1" applyBorder="1" applyAlignment="1">
      <alignment vertical="center" shrinkToFit="1"/>
    </xf>
    <xf numFmtId="0" fontId="2" fillId="0" borderId="40" xfId="17" applyFont="1" applyBorder="1" applyAlignment="1">
      <alignment horizontal="right" vertical="top"/>
    </xf>
    <xf numFmtId="0" fontId="85" fillId="0" borderId="40" xfId="0" applyFont="1" applyBorder="1" applyAlignment="1">
      <alignment wrapText="1"/>
    </xf>
    <xf numFmtId="43" fontId="86" fillId="0" borderId="40" xfId="4" applyFont="1" applyBorder="1" applyAlignment="1">
      <alignment horizontal="right" vertical="top"/>
    </xf>
    <xf numFmtId="4" fontId="5" fillId="0" borderId="40" xfId="17" applyNumberFormat="1" applyFont="1" applyBorder="1" applyAlignment="1">
      <alignment horizontal="right" vertical="top"/>
    </xf>
    <xf numFmtId="0" fontId="11" fillId="0" borderId="40" xfId="17" applyFont="1" applyBorder="1" applyAlignment="1">
      <alignment vertical="top"/>
    </xf>
    <xf numFmtId="0" fontId="11" fillId="0" borderId="40" xfId="17" applyFont="1" applyBorder="1" applyAlignment="1">
      <alignment horizontal="left" vertical="top"/>
    </xf>
    <xf numFmtId="0" fontId="2" fillId="0" borderId="43" xfId="17" applyFont="1" applyBorder="1" applyAlignment="1">
      <alignment horizontal="right" vertical="top"/>
    </xf>
    <xf numFmtId="0" fontId="86" fillId="0" borderId="40" xfId="17" applyFont="1" applyBorder="1" applyAlignment="1">
      <alignment horizontal="center" vertical="top"/>
    </xf>
    <xf numFmtId="43" fontId="106" fillId="0" borderId="41" xfId="4" applyFont="1" applyFill="1" applyBorder="1" applyAlignment="1">
      <alignment horizontal="left" vertical="center" shrinkToFit="1"/>
    </xf>
    <xf numFmtId="43" fontId="103" fillId="0" borderId="44" xfId="13" applyFont="1" applyFill="1" applyBorder="1" applyAlignment="1"/>
    <xf numFmtId="166" fontId="103" fillId="0" borderId="44" xfId="4" applyNumberFormat="1" applyFont="1" applyFill="1" applyBorder="1" applyAlignment="1"/>
    <xf numFmtId="166" fontId="103" fillId="0" borderId="44" xfId="4" applyNumberFormat="1" applyFont="1" applyFill="1" applyBorder="1" applyAlignment="1">
      <alignment horizontal="center"/>
    </xf>
    <xf numFmtId="43" fontId="103" fillId="0" borderId="44" xfId="4" applyFont="1" applyFill="1" applyBorder="1" applyAlignment="1"/>
    <xf numFmtId="43" fontId="103" fillId="0" borderId="66" xfId="4" applyFont="1" applyFill="1" applyBorder="1" applyAlignment="1"/>
    <xf numFmtId="43" fontId="106" fillId="0" borderId="41" xfId="18" applyFont="1" applyFill="1" applyBorder="1" applyAlignment="1">
      <alignment horizontal="left" vertical="top"/>
    </xf>
    <xf numFmtId="166" fontId="106" fillId="0" borderId="41" xfId="4" applyNumberFormat="1" applyFont="1" applyFill="1" applyBorder="1" applyAlignment="1">
      <alignment horizontal="right" vertical="top" shrinkToFit="1"/>
    </xf>
    <xf numFmtId="3" fontId="106" fillId="0" borderId="41" xfId="0" applyNumberFormat="1" applyFont="1" applyBorder="1" applyAlignment="1">
      <alignment horizontal="right" vertical="center"/>
    </xf>
    <xf numFmtId="0" fontId="49" fillId="0" borderId="0" xfId="17" applyFont="1" applyAlignment="1">
      <alignment horizontal="center" vertical="top"/>
    </xf>
    <xf numFmtId="0" fontId="102" fillId="0" borderId="11" xfId="9" applyFont="1" applyBorder="1" applyAlignment="1">
      <alignment vertical="center" shrinkToFit="1"/>
    </xf>
    <xf numFmtId="0" fontId="8" fillId="0" borderId="0" xfId="0" applyFont="1" applyAlignment="1">
      <alignment horizontal="center"/>
    </xf>
    <xf numFmtId="4" fontId="5" fillId="0" borderId="0" xfId="17" applyNumberFormat="1" applyFont="1" applyAlignment="1">
      <alignment horizontal="right" vertical="top"/>
    </xf>
    <xf numFmtId="0" fontId="5" fillId="0" borderId="0" xfId="17" applyFont="1" applyAlignment="1">
      <alignment horizontal="center" vertical="top"/>
    </xf>
    <xf numFmtId="0" fontId="5" fillId="0" borderId="0" xfId="17" applyFont="1" applyAlignment="1">
      <alignment horizontal="left" vertical="top" wrapText="1"/>
    </xf>
    <xf numFmtId="0" fontId="5" fillId="0" borderId="43" xfId="17" applyFont="1" applyBorder="1" applyAlignment="1">
      <alignment horizontal="left" vertical="top"/>
    </xf>
    <xf numFmtId="0" fontId="5" fillId="0" borderId="43" xfId="17" applyFont="1" applyBorder="1" applyAlignment="1">
      <alignment horizontal="center" vertical="top"/>
    </xf>
    <xf numFmtId="43" fontId="5" fillId="0" borderId="43" xfId="4" applyFont="1" applyFill="1" applyBorder="1" applyAlignment="1">
      <alignment horizontal="right" vertical="top"/>
    </xf>
    <xf numFmtId="4" fontId="5" fillId="0" borderId="43" xfId="17" applyNumberFormat="1" applyFont="1" applyBorder="1" applyAlignment="1">
      <alignment horizontal="right" vertical="top"/>
    </xf>
    <xf numFmtId="0" fontId="5" fillId="0" borderId="43" xfId="17" applyFont="1" applyBorder="1" applyAlignment="1">
      <alignment vertical="top"/>
    </xf>
    <xf numFmtId="0" fontId="5" fillId="0" borderId="4" xfId="17" applyFont="1" applyBorder="1" applyAlignment="1">
      <alignment horizontal="center" vertical="top"/>
    </xf>
    <xf numFmtId="0" fontId="5" fillId="0" borderId="4" xfId="17" applyFont="1" applyBorder="1" applyAlignment="1">
      <alignment horizontal="left" vertical="top"/>
    </xf>
    <xf numFmtId="43" fontId="5" fillId="0" borderId="4" xfId="4" applyFont="1" applyFill="1" applyBorder="1" applyAlignment="1">
      <alignment horizontal="right" vertical="top"/>
    </xf>
    <xf numFmtId="4" fontId="5" fillId="0" borderId="4" xfId="17" applyNumberFormat="1" applyFont="1" applyBorder="1" applyAlignment="1">
      <alignment horizontal="right" vertical="top"/>
    </xf>
    <xf numFmtId="0" fontId="5" fillId="0" borderId="4" xfId="17" applyFont="1" applyBorder="1" applyAlignment="1">
      <alignment vertical="top"/>
    </xf>
    <xf numFmtId="0" fontId="8" fillId="0" borderId="72" xfId="17" applyFont="1" applyBorder="1" applyAlignment="1">
      <alignment vertical="top"/>
    </xf>
    <xf numFmtId="0" fontId="8" fillId="0" borderId="72" xfId="17" applyFont="1" applyBorder="1" applyAlignment="1">
      <alignment horizontal="center" vertical="top"/>
    </xf>
    <xf numFmtId="43" fontId="8" fillId="0" borderId="72" xfId="4" applyFont="1" applyFill="1" applyBorder="1" applyAlignment="1">
      <alignment horizontal="right" vertical="top"/>
    </xf>
    <xf numFmtId="43" fontId="22" fillId="0" borderId="72" xfId="17" applyNumberFormat="1" applyFont="1" applyBorder="1" applyAlignment="1">
      <alignment vertical="top"/>
    </xf>
    <xf numFmtId="0" fontId="8" fillId="0" borderId="72" xfId="17" applyFont="1" applyBorder="1" applyAlignment="1">
      <alignment horizontal="left" vertical="top"/>
    </xf>
    <xf numFmtId="4" fontId="4" fillId="0" borderId="57" xfId="17" applyNumberFormat="1" applyFont="1" applyBorder="1" applyAlignment="1">
      <alignment horizontal="right" vertical="top"/>
    </xf>
    <xf numFmtId="0" fontId="5" fillId="0" borderId="57" xfId="17" applyFont="1" applyBorder="1" applyAlignment="1">
      <alignment vertical="top"/>
    </xf>
    <xf numFmtId="0" fontId="5" fillId="0" borderId="57" xfId="17" applyFont="1" applyBorder="1" applyAlignment="1">
      <alignment horizontal="left" vertical="top"/>
    </xf>
    <xf numFmtId="0" fontId="8" fillId="0" borderId="57" xfId="0" applyFont="1" applyBorder="1" applyAlignment="1">
      <alignment horizontal="left" vertical="top" wrapText="1"/>
    </xf>
    <xf numFmtId="0" fontId="11" fillId="0" borderId="57" xfId="17" applyFont="1" applyBorder="1" applyAlignment="1">
      <alignment vertical="top"/>
    </xf>
    <xf numFmtId="0" fontId="8" fillId="0" borderId="0" xfId="0" applyFont="1" applyAlignment="1">
      <alignment horizontal="left" vertical="top" wrapText="1"/>
    </xf>
    <xf numFmtId="43" fontId="2" fillId="0" borderId="15" xfId="17" applyNumberFormat="1" applyFont="1" applyBorder="1" applyAlignment="1">
      <alignment horizontal="right" vertical="top"/>
    </xf>
    <xf numFmtId="43" fontId="102" fillId="0" borderId="80" xfId="4" applyFont="1" applyBorder="1" applyAlignment="1">
      <alignment vertical="center" shrinkToFit="1"/>
    </xf>
    <xf numFmtId="43" fontId="102" fillId="0" borderId="78" xfId="4" applyFont="1" applyBorder="1" applyAlignment="1">
      <alignment vertical="center" shrinkToFit="1"/>
    </xf>
    <xf numFmtId="43" fontId="102" fillId="0" borderId="78" xfId="4" applyFont="1" applyBorder="1" applyAlignment="1">
      <alignment vertical="top" shrinkToFit="1"/>
    </xf>
    <xf numFmtId="43" fontId="102" fillId="0" borderId="66" xfId="4" applyFont="1" applyBorder="1" applyAlignment="1">
      <alignment vertical="center" shrinkToFit="1"/>
    </xf>
    <xf numFmtId="43" fontId="102" fillId="0" borderId="41" xfId="4" applyFont="1" applyBorder="1" applyAlignment="1">
      <alignment vertical="center" shrinkToFit="1"/>
    </xf>
    <xf numFmtId="43" fontId="102" fillId="0" borderId="41" xfId="4" applyFont="1" applyBorder="1" applyAlignment="1">
      <alignment vertical="top" shrinkToFit="1"/>
    </xf>
    <xf numFmtId="43" fontId="103" fillId="0" borderId="78" xfId="4" applyFont="1" applyBorder="1" applyAlignment="1">
      <alignment vertical="top" shrinkToFit="1"/>
    </xf>
    <xf numFmtId="43" fontId="103" fillId="0" borderId="78" xfId="4" applyFont="1" applyBorder="1" applyAlignment="1">
      <alignment vertical="center" shrinkToFit="1"/>
    </xf>
    <xf numFmtId="43" fontId="103" fillId="12" borderId="78" xfId="4" applyFont="1" applyFill="1" applyBorder="1" applyAlignment="1">
      <alignment vertical="top" shrinkToFit="1"/>
    </xf>
    <xf numFmtId="43" fontId="103" fillId="0" borderId="79" xfId="4" applyFont="1" applyBorder="1" applyAlignment="1">
      <alignment vertical="center" shrinkToFit="1"/>
    </xf>
    <xf numFmtId="43" fontId="103" fillId="0" borderId="66" xfId="4" applyFont="1" applyBorder="1" applyAlignment="1">
      <alignment vertical="top" shrinkToFit="1"/>
    </xf>
    <xf numFmtId="43" fontId="103" fillId="12" borderId="78" xfId="4" applyFont="1" applyFill="1" applyBorder="1" applyAlignment="1">
      <alignment horizontal="center" vertical="center" shrinkToFit="1"/>
    </xf>
    <xf numFmtId="43" fontId="106" fillId="12" borderId="78" xfId="4" applyFont="1" applyFill="1" applyBorder="1" applyAlignment="1">
      <alignment horizontal="center" vertical="center" shrinkToFit="1"/>
    </xf>
    <xf numFmtId="43" fontId="105" fillId="0" borderId="78" xfId="4" applyFont="1" applyBorder="1" applyAlignment="1">
      <alignment vertical="top" wrapText="1"/>
    </xf>
    <xf numFmtId="43" fontId="103" fillId="0" borderId="78" xfId="4" applyFont="1" applyFill="1" applyBorder="1" applyAlignment="1">
      <alignment horizontal="right" vertical="top" wrapText="1" shrinkToFit="1"/>
    </xf>
    <xf numFmtId="166" fontId="103" fillId="0" borderId="78" xfId="4" applyNumberFormat="1" applyFont="1" applyFill="1" applyBorder="1" applyAlignment="1">
      <alignment vertical="top" shrinkToFit="1"/>
    </xf>
    <xf numFmtId="43" fontId="103" fillId="0" borderId="78" xfId="4" applyFont="1" applyBorder="1" applyAlignment="1">
      <alignment vertical="top" wrapText="1"/>
    </xf>
    <xf numFmtId="43" fontId="106" fillId="0" borderId="78" xfId="4" applyFont="1" applyBorder="1" applyAlignment="1">
      <alignment vertical="center" shrinkToFit="1"/>
    </xf>
    <xf numFmtId="43" fontId="105" fillId="0" borderId="78" xfId="4" applyFont="1" applyBorder="1" applyAlignment="1">
      <alignment vertical="center" shrinkToFit="1"/>
    </xf>
    <xf numFmtId="43" fontId="105" fillId="0" borderId="65" xfId="4" applyFont="1" applyBorder="1" applyAlignment="1">
      <alignment vertical="top" wrapText="1"/>
    </xf>
    <xf numFmtId="43" fontId="103" fillId="0" borderId="80" xfId="4" applyFont="1" applyBorder="1" applyAlignment="1">
      <alignment vertical="center" shrinkToFit="1"/>
    </xf>
    <xf numFmtId="0" fontId="49" fillId="0" borderId="0" xfId="17" applyFont="1" applyAlignment="1">
      <alignment vertical="top"/>
    </xf>
    <xf numFmtId="4" fontId="5" fillId="0" borderId="56" xfId="95" applyNumberFormat="1" applyFont="1" applyBorder="1" applyAlignment="1">
      <alignment horizontal="right" vertical="top"/>
    </xf>
    <xf numFmtId="0" fontId="5" fillId="0" borderId="56" xfId="0" applyFont="1" applyBorder="1" applyAlignment="1">
      <alignment horizontal="center" vertical="center"/>
    </xf>
    <xf numFmtId="43" fontId="5" fillId="0" borderId="56" xfId="4" applyFont="1" applyFill="1" applyBorder="1" applyAlignment="1">
      <alignment vertical="center"/>
    </xf>
    <xf numFmtId="0" fontId="5" fillId="0" borderId="56" xfId="95" applyFont="1" applyBorder="1" applyAlignment="1">
      <alignment vertical="top"/>
    </xf>
    <xf numFmtId="0" fontId="2" fillId="0" borderId="56" xfId="0" applyFont="1" applyBorder="1" applyAlignment="1">
      <alignment horizontal="center"/>
    </xf>
    <xf numFmtId="168" fontId="5" fillId="0" borderId="56" xfId="4" applyNumberFormat="1" applyFont="1" applyFill="1" applyBorder="1" applyAlignment="1">
      <alignment horizontal="right" vertical="top"/>
    </xf>
    <xf numFmtId="0" fontId="49" fillId="0" borderId="18" xfId="17" applyFont="1" applyBorder="1" applyAlignment="1">
      <alignment vertical="top"/>
    </xf>
    <xf numFmtId="0" fontId="5" fillId="0" borderId="56" xfId="95" applyFont="1" applyBorder="1" applyAlignment="1">
      <alignment horizontal="center" vertical="center"/>
    </xf>
    <xf numFmtId="4" fontId="5" fillId="0" borderId="56" xfId="95" applyNumberFormat="1" applyFont="1" applyBorder="1" applyAlignment="1">
      <alignment horizontal="right" vertical="center"/>
    </xf>
    <xf numFmtId="43" fontId="5" fillId="0" borderId="56" xfId="18" applyFont="1" applyFill="1" applyBorder="1" applyAlignment="1">
      <alignment vertical="center"/>
    </xf>
    <xf numFmtId="43" fontId="5" fillId="0" borderId="56" xfId="95" applyNumberFormat="1" applyFont="1" applyBorder="1" applyAlignment="1">
      <alignment vertical="center"/>
    </xf>
    <xf numFmtId="43" fontId="5" fillId="0" borderId="56" xfId="4" applyFont="1" applyFill="1" applyBorder="1" applyAlignment="1">
      <alignment horizontal="center" vertical="center"/>
    </xf>
    <xf numFmtId="0" fontId="8" fillId="0" borderId="18" xfId="0" applyFont="1" applyBorder="1"/>
    <xf numFmtId="43" fontId="5" fillId="0" borderId="56" xfId="18" applyFont="1" applyFill="1" applyBorder="1" applyAlignment="1">
      <alignment horizontal="right" vertical="center"/>
    </xf>
    <xf numFmtId="0" fontId="5" fillId="0" borderId="56" xfId="0" applyFont="1" applyBorder="1" applyAlignment="1">
      <alignment horizontal="center" vertical="center" wrapText="1"/>
    </xf>
    <xf numFmtId="43" fontId="5" fillId="0" borderId="56" xfId="4" applyFont="1" applyFill="1" applyBorder="1" applyAlignment="1">
      <alignment horizontal="center" vertical="center" wrapText="1"/>
    </xf>
    <xf numFmtId="169" fontId="5" fillId="0" borderId="56" xfId="4" applyNumberFormat="1" applyFont="1" applyFill="1" applyBorder="1" applyAlignment="1">
      <alignment horizontal="center" vertical="center" wrapText="1"/>
    </xf>
    <xf numFmtId="170" fontId="5" fillId="0" borderId="56" xfId="0" applyNumberFormat="1" applyFont="1" applyBorder="1" applyAlignment="1">
      <alignment horizontal="center" vertical="center" wrapText="1"/>
    </xf>
    <xf numFmtId="43" fontId="5" fillId="0" borderId="56" xfId="11" applyFont="1" applyFill="1" applyBorder="1" applyAlignment="1">
      <alignment horizontal="right" vertical="center" wrapText="1" shrinkToFit="1"/>
    </xf>
    <xf numFmtId="43" fontId="5" fillId="0" borderId="56" xfId="4" applyFont="1" applyFill="1" applyBorder="1" applyAlignment="1">
      <alignment horizontal="right" vertical="center" wrapText="1" shrinkToFit="1"/>
    </xf>
    <xf numFmtId="3" fontId="5" fillId="0" borderId="56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43" fontId="5" fillId="0" borderId="0" xfId="4" applyFont="1" applyFill="1" applyBorder="1" applyAlignment="1">
      <alignment vertical="center"/>
    </xf>
    <xf numFmtId="0" fontId="8" fillId="0" borderId="85" xfId="0" applyFont="1" applyBorder="1" applyAlignment="1">
      <alignment horizontal="left"/>
    </xf>
    <xf numFmtId="0" fontId="8" fillId="0" borderId="85" xfId="0" applyFont="1" applyBorder="1" applyAlignment="1">
      <alignment horizontal="center"/>
    </xf>
    <xf numFmtId="4" fontId="8" fillId="0" borderId="85" xfId="0" applyNumberFormat="1" applyFont="1" applyBorder="1" applyAlignment="1">
      <alignment horizontal="right"/>
    </xf>
    <xf numFmtId="0" fontId="8" fillId="0" borderId="0" xfId="0" applyFont="1" applyAlignment="1">
      <alignment horizontal="center" vertical="top"/>
    </xf>
    <xf numFmtId="0" fontId="8" fillId="0" borderId="85" xfId="0" applyFont="1" applyBorder="1" applyAlignment="1">
      <alignment horizontal="left" vertical="top"/>
    </xf>
    <xf numFmtId="0" fontId="8" fillId="0" borderId="85" xfId="0" applyFont="1" applyBorder="1" applyAlignment="1">
      <alignment horizontal="center" vertical="top"/>
    </xf>
    <xf numFmtId="0" fontId="8" fillId="0" borderId="85" xfId="0" applyFont="1" applyBorder="1" applyAlignment="1">
      <alignment horizontal="left" vertical="top" wrapText="1"/>
    </xf>
    <xf numFmtId="0" fontId="5" fillId="0" borderId="0" xfId="95" applyFont="1" applyAlignment="1">
      <alignment horizontal="left" vertical="center" wrapText="1"/>
    </xf>
    <xf numFmtId="0" fontId="5" fillId="0" borderId="0" xfId="95" applyFont="1" applyAlignment="1">
      <alignment horizontal="center" vertical="center"/>
    </xf>
    <xf numFmtId="43" fontId="5" fillId="0" borderId="0" xfId="18" applyFont="1" applyFill="1" applyBorder="1" applyAlignment="1">
      <alignment horizontal="left" vertical="center"/>
    </xf>
    <xf numFmtId="43" fontId="5" fillId="0" borderId="0" xfId="4" applyFont="1" applyFill="1" applyBorder="1" applyAlignment="1">
      <alignment horizontal="right" vertical="center"/>
    </xf>
    <xf numFmtId="0" fontId="8" fillId="0" borderId="18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0" xfId="95" applyFont="1" applyAlignment="1">
      <alignment vertical="center"/>
    </xf>
    <xf numFmtId="0" fontId="5" fillId="0" borderId="7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4" fontId="4" fillId="0" borderId="0" xfId="0" applyNumberFormat="1" applyFont="1" applyAlignment="1">
      <alignment vertical="center"/>
    </xf>
    <xf numFmtId="0" fontId="8" fillId="0" borderId="85" xfId="0" applyFont="1" applyBorder="1" applyAlignment="1">
      <alignment horizontal="left" shrinkToFit="1"/>
    </xf>
    <xf numFmtId="0" fontId="5" fillId="0" borderId="56" xfId="95" applyFont="1" applyBorder="1" applyAlignment="1">
      <alignment vertical="top" wrapText="1" shrinkToFit="1"/>
    </xf>
    <xf numFmtId="4" fontId="5" fillId="0" borderId="56" xfId="4" applyNumberFormat="1" applyFont="1" applyFill="1" applyBorder="1" applyAlignment="1">
      <alignment horizontal="right" vertical="top"/>
    </xf>
    <xf numFmtId="43" fontId="5" fillId="0" borderId="56" xfId="95" applyNumberFormat="1" applyFont="1" applyBorder="1" applyAlignment="1">
      <alignment horizontal="right" vertical="center"/>
    </xf>
    <xf numFmtId="4" fontId="5" fillId="0" borderId="56" xfId="0" applyNumberFormat="1" applyFont="1" applyBorder="1" applyAlignment="1">
      <alignment horizontal="right" vertical="center"/>
    </xf>
    <xf numFmtId="4" fontId="8" fillId="0" borderId="85" xfId="0" applyNumberFormat="1" applyFont="1" applyBorder="1" applyAlignment="1">
      <alignment horizontal="right" vertical="top"/>
    </xf>
    <xf numFmtId="0" fontId="8" fillId="0" borderId="86" xfId="0" applyFont="1" applyBorder="1" applyAlignment="1">
      <alignment horizontal="left"/>
    </xf>
    <xf numFmtId="0" fontId="8" fillId="0" borderId="86" xfId="0" applyFont="1" applyBorder="1" applyAlignment="1">
      <alignment horizontal="center"/>
    </xf>
    <xf numFmtId="4" fontId="8" fillId="0" borderId="86" xfId="0" applyNumberFormat="1" applyFont="1" applyBorder="1" applyAlignment="1">
      <alignment horizontal="right"/>
    </xf>
    <xf numFmtId="0" fontId="8" fillId="0" borderId="4" xfId="0" applyFont="1" applyBorder="1" applyAlignment="1">
      <alignment horizontal="center" vertical="top"/>
    </xf>
    <xf numFmtId="0" fontId="8" fillId="0" borderId="88" xfId="0" applyFont="1" applyBorder="1" applyAlignment="1">
      <alignment horizontal="left"/>
    </xf>
    <xf numFmtId="0" fontId="8" fillId="0" borderId="88" xfId="0" applyFont="1" applyBorder="1" applyAlignment="1">
      <alignment horizontal="center"/>
    </xf>
    <xf numFmtId="4" fontId="8" fillId="0" borderId="88" xfId="0" applyNumberFormat="1" applyFont="1" applyBorder="1" applyAlignment="1">
      <alignment horizontal="right"/>
    </xf>
    <xf numFmtId="0" fontId="22" fillId="0" borderId="56" xfId="0" applyFont="1" applyBorder="1" applyAlignment="1">
      <alignment horizontal="left" shrinkToFit="1"/>
    </xf>
    <xf numFmtId="0" fontId="5" fillId="0" borderId="56" xfId="0" applyFont="1" applyBorder="1" applyAlignment="1">
      <alignment horizontal="right" vertical="center"/>
    </xf>
    <xf numFmtId="43" fontId="8" fillId="0" borderId="56" xfId="4" applyFont="1" applyFill="1" applyBorder="1" applyAlignment="1">
      <alignment horizontal="right"/>
    </xf>
    <xf numFmtId="4" fontId="8" fillId="0" borderId="56" xfId="0" applyNumberFormat="1" applyFont="1" applyBorder="1" applyAlignment="1">
      <alignment horizontal="right" vertical="top"/>
    </xf>
    <xf numFmtId="0" fontId="5" fillId="0" borderId="0" xfId="0" applyFont="1" applyAlignment="1">
      <alignment vertical="top" wrapText="1"/>
    </xf>
    <xf numFmtId="4" fontId="2" fillId="0" borderId="0" xfId="0" applyNumberFormat="1" applyFont="1"/>
    <xf numFmtId="4" fontId="5" fillId="0" borderId="56" xfId="95" applyNumberFormat="1" applyFont="1" applyBorder="1" applyAlignment="1">
      <alignment vertical="center"/>
    </xf>
    <xf numFmtId="43" fontId="8" fillId="0" borderId="56" xfId="4" applyFont="1" applyFill="1" applyBorder="1" applyAlignment="1"/>
    <xf numFmtId="4" fontId="22" fillId="0" borderId="56" xfId="0" applyNumberFormat="1" applyFont="1" applyBorder="1"/>
    <xf numFmtId="4" fontId="8" fillId="0" borderId="56" xfId="0" applyNumberFormat="1" applyFont="1" applyBorder="1"/>
    <xf numFmtId="4" fontId="8" fillId="0" borderId="56" xfId="0" applyNumberFormat="1" applyFont="1" applyBorder="1" applyAlignment="1">
      <alignment vertical="top"/>
    </xf>
    <xf numFmtId="0" fontId="8" fillId="0" borderId="18" xfId="0" applyFont="1" applyBorder="1" applyAlignment="1">
      <alignment horizontal="left"/>
    </xf>
    <xf numFmtId="4" fontId="111" fillId="0" borderId="18" xfId="0" applyNumberFormat="1" applyFont="1" applyBorder="1" applyAlignment="1">
      <alignment horizontal="right"/>
    </xf>
    <xf numFmtId="0" fontId="8" fillId="0" borderId="89" xfId="0" applyFont="1" applyBorder="1" applyAlignment="1">
      <alignment horizontal="center"/>
    </xf>
    <xf numFmtId="0" fontId="8" fillId="0" borderId="89" xfId="0" applyFont="1" applyBorder="1" applyAlignment="1">
      <alignment horizontal="left"/>
    </xf>
    <xf numFmtId="169" fontId="5" fillId="0" borderId="56" xfId="4" applyNumberFormat="1" applyFont="1" applyFill="1" applyBorder="1" applyAlignment="1">
      <alignment horizontal="right" vertical="center" wrapText="1"/>
    </xf>
    <xf numFmtId="170" fontId="5" fillId="0" borderId="56" xfId="0" applyNumberFormat="1" applyFont="1" applyBorder="1" applyAlignment="1">
      <alignment horizontal="right" vertical="center" wrapText="1"/>
    </xf>
    <xf numFmtId="0" fontId="5" fillId="0" borderId="89" xfId="0" applyFont="1" applyBorder="1" applyAlignment="1">
      <alignment horizontal="center" vertical="center" wrapText="1"/>
    </xf>
    <xf numFmtId="3" fontId="4" fillId="0" borderId="89" xfId="0" applyNumberFormat="1" applyFont="1" applyBorder="1" applyAlignment="1">
      <alignment horizontal="right" vertical="center" wrapText="1"/>
    </xf>
    <xf numFmtId="0" fontId="5" fillId="0" borderId="89" xfId="95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72" xfId="0" applyFont="1" applyBorder="1" applyAlignment="1">
      <alignment horizontal="center"/>
    </xf>
    <xf numFmtId="0" fontId="8" fillId="0" borderId="72" xfId="0" applyFont="1" applyBorder="1" applyAlignment="1">
      <alignment horizontal="left"/>
    </xf>
    <xf numFmtId="4" fontId="8" fillId="0" borderId="72" xfId="0" applyNumberFormat="1" applyFont="1" applyBorder="1" applyAlignment="1">
      <alignment horizontal="right"/>
    </xf>
    <xf numFmtId="43" fontId="103" fillId="0" borderId="43" xfId="9" applyNumberFormat="1" applyFont="1" applyBorder="1" applyAlignment="1">
      <alignment vertical="center" shrinkToFit="1"/>
    </xf>
    <xf numFmtId="43" fontId="7" fillId="0" borderId="56" xfId="4" applyFont="1" applyFill="1" applyBorder="1" applyAlignment="1">
      <alignment horizontal="right" vertical="center" shrinkToFit="1"/>
    </xf>
    <xf numFmtId="166" fontId="4" fillId="0" borderId="56" xfId="4" applyNumberFormat="1" applyFont="1" applyFill="1" applyBorder="1" applyAlignment="1">
      <alignment horizontal="right" vertical="center"/>
    </xf>
    <xf numFmtId="43" fontId="4" fillId="6" borderId="56" xfId="4" applyFont="1" applyFill="1" applyBorder="1" applyAlignment="1">
      <alignment horizontal="right" vertical="center"/>
    </xf>
    <xf numFmtId="172" fontId="5" fillId="0" borderId="56" xfId="0" applyNumberFormat="1" applyFont="1" applyBorder="1" applyAlignment="1">
      <alignment horizontal="center" vertical="center" wrapText="1"/>
    </xf>
    <xf numFmtId="4" fontId="114" fillId="0" borderId="0" xfId="0" applyNumberFormat="1" applyFont="1" applyAlignment="1">
      <alignment horizontal="center" vertical="top"/>
    </xf>
    <xf numFmtId="4" fontId="114" fillId="0" borderId="5" xfId="10" applyNumberFormat="1" applyFont="1" applyBorder="1" applyAlignment="1">
      <alignment horizontal="center" vertical="center"/>
    </xf>
    <xf numFmtId="0" fontId="71" fillId="0" borderId="40" xfId="0" applyFont="1" applyBorder="1" applyAlignment="1">
      <alignment horizontal="left" vertical="center" shrinkToFit="1"/>
    </xf>
    <xf numFmtId="43" fontId="71" fillId="0" borderId="40" xfId="0" applyNumberFormat="1" applyFont="1" applyBorder="1" applyAlignment="1">
      <alignment vertical="center"/>
    </xf>
    <xf numFmtId="0" fontId="71" fillId="0" borderId="41" xfId="0" applyFont="1" applyBorder="1" applyAlignment="1">
      <alignment horizontal="left" vertical="center" wrapText="1" shrinkToFit="1"/>
    </xf>
    <xf numFmtId="39" fontId="71" fillId="0" borderId="41" xfId="0" applyNumberFormat="1" applyFont="1" applyBorder="1" applyAlignment="1">
      <alignment vertical="center"/>
    </xf>
    <xf numFmtId="43" fontId="71" fillId="0" borderId="56" xfId="0" applyNumberFormat="1" applyFont="1" applyBorder="1" applyAlignment="1">
      <alignment vertical="center"/>
    </xf>
    <xf numFmtId="0" fontId="71" fillId="0" borderId="41" xfId="0" applyFont="1" applyBorder="1" applyAlignment="1">
      <alignment horizontal="left" vertical="top" wrapText="1" shrinkToFit="1"/>
    </xf>
    <xf numFmtId="43" fontId="71" fillId="0" borderId="41" xfId="11" applyFont="1" applyFill="1" applyBorder="1" applyAlignment="1">
      <alignment vertical="top"/>
    </xf>
    <xf numFmtId="43" fontId="71" fillId="0" borderId="41" xfId="4" applyFont="1" applyFill="1" applyBorder="1" applyAlignment="1">
      <alignment vertical="top"/>
    </xf>
    <xf numFmtId="43" fontId="71" fillId="0" borderId="41" xfId="0" applyNumberFormat="1" applyFont="1" applyBorder="1" applyAlignment="1">
      <alignment vertical="top"/>
    </xf>
    <xf numFmtId="43" fontId="71" fillId="0" borderId="41" xfId="4" applyFont="1" applyFill="1" applyBorder="1" applyAlignment="1">
      <alignment horizontal="center" vertical="top"/>
    </xf>
    <xf numFmtId="43" fontId="71" fillId="0" borderId="0" xfId="0" applyNumberFormat="1" applyFont="1" applyAlignment="1">
      <alignment horizontal="left" vertical="top"/>
    </xf>
    <xf numFmtId="2" fontId="71" fillId="0" borderId="41" xfId="0" applyNumberFormat="1" applyFont="1" applyBorder="1" applyAlignment="1">
      <alignment vertical="center"/>
    </xf>
    <xf numFmtId="2" fontId="71" fillId="0" borderId="41" xfId="13" applyNumberFormat="1" applyFont="1" applyFill="1" applyBorder="1" applyAlignment="1">
      <alignment vertical="center"/>
    </xf>
    <xf numFmtId="2" fontId="71" fillId="0" borderId="41" xfId="4" applyNumberFormat="1" applyFont="1" applyFill="1" applyBorder="1" applyAlignment="1">
      <alignment horizontal="center" vertical="center"/>
    </xf>
    <xf numFmtId="2" fontId="71" fillId="0" borderId="40" xfId="4" applyNumberFormat="1" applyFont="1" applyFill="1" applyBorder="1" applyAlignment="1">
      <alignment vertical="center"/>
    </xf>
    <xf numFmtId="166" fontId="71" fillId="0" borderId="43" xfId="4" applyNumberFormat="1" applyFont="1" applyFill="1" applyBorder="1" applyAlignment="1">
      <alignment vertical="center"/>
    </xf>
    <xf numFmtId="0" fontId="103" fillId="0" borderId="41" xfId="17" applyFont="1" applyBorder="1" applyAlignment="1">
      <alignment horizontal="left" vertical="top"/>
    </xf>
    <xf numFmtId="166" fontId="103" fillId="0" borderId="41" xfId="4" applyNumberFormat="1" applyFont="1" applyFill="1" applyBorder="1" applyAlignment="1">
      <alignment horizontal="right" vertical="top"/>
    </xf>
    <xf numFmtId="2" fontId="103" fillId="0" borderId="41" xfId="4" applyNumberFormat="1" applyFont="1" applyFill="1" applyBorder="1" applyAlignment="1">
      <alignment horizontal="right" vertical="top"/>
    </xf>
    <xf numFmtId="43" fontId="105" fillId="0" borderId="78" xfId="4" applyFont="1" applyFill="1" applyBorder="1" applyAlignment="1">
      <alignment vertical="top" wrapText="1"/>
    </xf>
    <xf numFmtId="166" fontId="107" fillId="0" borderId="60" xfId="4" applyNumberFormat="1" applyFont="1" applyFill="1" applyBorder="1" applyAlignment="1">
      <alignment vertical="center"/>
    </xf>
    <xf numFmtId="0" fontId="8" fillId="0" borderId="90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4" fontId="8" fillId="0" borderId="90" xfId="0" applyNumberFormat="1" applyFont="1" applyBorder="1" applyAlignment="1">
      <alignment horizontal="right"/>
    </xf>
    <xf numFmtId="43" fontId="5" fillId="0" borderId="56" xfId="4" applyFont="1" applyBorder="1" applyAlignment="1">
      <alignment horizontal="right" vertical="top" wrapText="1"/>
    </xf>
    <xf numFmtId="43" fontId="75" fillId="0" borderId="40" xfId="4" applyFont="1" applyFill="1" applyBorder="1" applyAlignment="1">
      <alignment vertical="center"/>
    </xf>
    <xf numFmtId="166" fontId="75" fillId="0" borderId="40" xfId="4" applyNumberFormat="1" applyFont="1" applyFill="1" applyBorder="1" applyAlignment="1">
      <alignment vertical="center"/>
    </xf>
    <xf numFmtId="166" fontId="75" fillId="0" borderId="41" xfId="4" applyNumberFormat="1" applyFont="1" applyFill="1" applyBorder="1" applyAlignment="1">
      <alignment vertical="center"/>
    </xf>
    <xf numFmtId="2" fontId="75" fillId="0" borderId="41" xfId="4" applyNumberFormat="1" applyFont="1" applyFill="1" applyBorder="1" applyAlignment="1">
      <alignment vertical="center"/>
    </xf>
    <xf numFmtId="0" fontId="4" fillId="0" borderId="60" xfId="1" applyFont="1" applyBorder="1" applyAlignment="1">
      <alignment vertical="center" wrapText="1"/>
    </xf>
    <xf numFmtId="43" fontId="4" fillId="0" borderId="60" xfId="1" applyNumberFormat="1" applyFont="1" applyBorder="1" applyAlignment="1">
      <alignment horizontal="center" vertical="center" wrapText="1"/>
    </xf>
    <xf numFmtId="0" fontId="2" fillId="0" borderId="5" xfId="1" applyFont="1" applyBorder="1" applyAlignment="1">
      <alignment vertical="top"/>
    </xf>
    <xf numFmtId="0" fontId="8" fillId="0" borderId="5" xfId="1" applyFont="1" applyBorder="1" applyAlignment="1">
      <alignment vertical="top" wrapText="1"/>
    </xf>
    <xf numFmtId="0" fontId="8" fillId="0" borderId="0" xfId="1" applyFont="1" applyAlignment="1">
      <alignment vertical="top"/>
    </xf>
    <xf numFmtId="165" fontId="4" fillId="0" borderId="0" xfId="1" applyNumberFormat="1" applyFont="1" applyAlignment="1">
      <alignment vertical="center"/>
    </xf>
    <xf numFmtId="43" fontId="102" fillId="0" borderId="56" xfId="4" applyFont="1" applyBorder="1" applyAlignment="1">
      <alignment vertical="center" shrinkToFit="1"/>
    </xf>
    <xf numFmtId="43" fontId="5" fillId="0" borderId="0" xfId="4" applyFont="1" applyFill="1" applyBorder="1" applyAlignment="1">
      <alignment horizontal="center"/>
    </xf>
    <xf numFmtId="0" fontId="45" fillId="0" borderId="56" xfId="0" applyFont="1" applyBorder="1"/>
    <xf numFmtId="0" fontId="2" fillId="0" borderId="0" xfId="0" applyFont="1" applyAlignment="1">
      <alignment horizontal="right"/>
    </xf>
    <xf numFmtId="43" fontId="102" fillId="0" borderId="41" xfId="4" applyFont="1" applyFill="1" applyBorder="1" applyAlignment="1">
      <alignment horizontal="center" vertical="top" shrinkToFit="1"/>
    </xf>
    <xf numFmtId="43" fontId="102" fillId="0" borderId="41" xfId="4" applyFont="1" applyFill="1" applyBorder="1" applyAlignment="1">
      <alignment vertical="top"/>
    </xf>
    <xf numFmtId="43" fontId="103" fillId="0" borderId="78" xfId="4" applyFont="1" applyFill="1" applyBorder="1" applyAlignment="1">
      <alignment horizontal="left" vertical="top" wrapText="1" shrinkToFit="1"/>
    </xf>
    <xf numFmtId="0" fontId="8" fillId="0" borderId="89" xfId="0" applyFont="1" applyBorder="1" applyAlignment="1">
      <alignment vertical="top"/>
    </xf>
    <xf numFmtId="0" fontId="5" fillId="0" borderId="56" xfId="190" applyFont="1" applyBorder="1" applyAlignment="1">
      <alignment horizontal="left" vertical="top"/>
    </xf>
    <xf numFmtId="0" fontId="5" fillId="0" borderId="56" xfId="190" applyFont="1" applyBorder="1" applyAlignment="1">
      <alignment horizontal="left" vertical="top" wrapText="1"/>
    </xf>
    <xf numFmtId="43" fontId="71" fillId="47" borderId="0" xfId="0" applyNumberFormat="1" applyFont="1" applyFill="1" applyAlignment="1">
      <alignment vertical="center" shrinkToFit="1"/>
    </xf>
    <xf numFmtId="0" fontId="2" fillId="0" borderId="0" xfId="0" applyFont="1" applyAlignment="1">
      <alignment horizontal="right" vertical="top" wrapText="1"/>
    </xf>
    <xf numFmtId="4" fontId="2" fillId="0" borderId="0" xfId="0" applyNumberFormat="1" applyFont="1" applyAlignment="1">
      <alignment vertical="top"/>
    </xf>
    <xf numFmtId="0" fontId="5" fillId="0" borderId="56" xfId="0" applyFont="1" applyBorder="1" applyAlignment="1">
      <alignment horizontal="center" wrapText="1"/>
    </xf>
    <xf numFmtId="43" fontId="5" fillId="0" borderId="56" xfId="150" applyFont="1" applyFill="1" applyBorder="1" applyAlignment="1">
      <alignment horizontal="right" wrapText="1"/>
    </xf>
    <xf numFmtId="4" fontId="5" fillId="0" borderId="56" xfId="150" applyNumberFormat="1" applyFont="1" applyFill="1" applyBorder="1" applyAlignment="1">
      <alignment wrapText="1"/>
    </xf>
    <xf numFmtId="43" fontId="71" fillId="12" borderId="0" xfId="4" applyFont="1" applyFill="1" applyAlignment="1">
      <alignment vertical="center" shrinkToFit="1"/>
    </xf>
    <xf numFmtId="43" fontId="71" fillId="0" borderId="0" xfId="4" applyFont="1" applyFill="1" applyAlignment="1">
      <alignment horizontal="left" vertical="center" shrinkToFit="1"/>
    </xf>
    <xf numFmtId="165" fontId="15" fillId="0" borderId="0" xfId="1" applyNumberFormat="1" applyFont="1"/>
    <xf numFmtId="165" fontId="5" fillId="0" borderId="0" xfId="1" applyNumberFormat="1" applyFont="1"/>
    <xf numFmtId="165" fontId="5" fillId="0" borderId="0" xfId="1" applyNumberFormat="1" applyFont="1" applyAlignment="1">
      <alignment horizontal="center" vertical="center"/>
    </xf>
    <xf numFmtId="165" fontId="5" fillId="0" borderId="0" xfId="2" applyNumberFormat="1" applyFont="1" applyFill="1" applyAlignment="1">
      <alignment vertical="top"/>
    </xf>
    <xf numFmtId="43" fontId="2" fillId="0" borderId="62" xfId="4" applyFont="1" applyFill="1" applyBorder="1" applyAlignment="1">
      <alignment vertical="center"/>
    </xf>
    <xf numFmtId="43" fontId="2" fillId="0" borderId="62" xfId="4" applyFont="1" applyBorder="1" applyAlignment="1">
      <alignment vertical="center"/>
    </xf>
    <xf numFmtId="166" fontId="2" fillId="0" borderId="62" xfId="4" applyNumberFormat="1" applyFont="1" applyBorder="1" applyAlignment="1">
      <alignment vertical="center"/>
    </xf>
    <xf numFmtId="43" fontId="2" fillId="0" borderId="62" xfId="4" applyFont="1" applyBorder="1" applyAlignment="1">
      <alignment vertical="top"/>
    </xf>
    <xf numFmtId="43" fontId="4" fillId="0" borderId="62" xfId="4" applyFont="1" applyBorder="1" applyAlignment="1">
      <alignment vertical="center"/>
    </xf>
    <xf numFmtId="165" fontId="4" fillId="0" borderId="62" xfId="2" applyNumberFormat="1" applyFont="1" applyFill="1" applyBorder="1" applyAlignment="1">
      <alignment horizontal="right" vertical="center" shrinkToFit="1"/>
    </xf>
    <xf numFmtId="165" fontId="4" fillId="0" borderId="62" xfId="1" applyNumberFormat="1" applyFont="1" applyBorder="1" applyAlignment="1">
      <alignment vertical="center"/>
    </xf>
    <xf numFmtId="0" fontId="5" fillId="0" borderId="62" xfId="1" applyFont="1" applyBorder="1" applyAlignment="1">
      <alignment vertical="center"/>
    </xf>
    <xf numFmtId="49" fontId="4" fillId="0" borderId="56" xfId="2" applyNumberFormat="1" applyFont="1" applyFill="1" applyBorder="1" applyAlignment="1">
      <alignment horizontal="center" vertical="center" wrapText="1"/>
    </xf>
    <xf numFmtId="43" fontId="13" fillId="2" borderId="62" xfId="4" applyFont="1" applyFill="1" applyBorder="1" applyAlignment="1">
      <alignment horizontal="right" shrinkToFit="1"/>
    </xf>
    <xf numFmtId="43" fontId="13" fillId="0" borderId="20" xfId="4" applyFont="1" applyFill="1" applyBorder="1" applyAlignment="1">
      <alignment horizontal="right" shrinkToFit="1"/>
    </xf>
    <xf numFmtId="43" fontId="4" fillId="0" borderId="56" xfId="1" applyNumberFormat="1" applyFont="1" applyBorder="1" applyAlignment="1">
      <alignment vertical="center"/>
    </xf>
    <xf numFmtId="43" fontId="4" fillId="0" borderId="56" xfId="4" applyFont="1" applyBorder="1" applyAlignment="1">
      <alignment vertical="top"/>
    </xf>
    <xf numFmtId="43" fontId="4" fillId="0" borderId="56" xfId="2" applyFont="1" applyFill="1" applyBorder="1" applyAlignment="1">
      <alignment vertical="center"/>
    </xf>
    <xf numFmtId="165" fontId="4" fillId="0" borderId="56" xfId="1" applyNumberFormat="1" applyFont="1" applyBorder="1" applyAlignment="1">
      <alignment vertical="center"/>
    </xf>
    <xf numFmtId="40" fontId="4" fillId="0" borderId="56" xfId="1" applyNumberFormat="1" applyFont="1" applyBorder="1" applyAlignment="1">
      <alignment vertical="center"/>
    </xf>
    <xf numFmtId="1" fontId="5" fillId="0" borderId="56" xfId="17" applyNumberFormat="1" applyFont="1" applyBorder="1" applyAlignment="1">
      <alignment horizontal="center" vertical="top"/>
    </xf>
    <xf numFmtId="169" fontId="8" fillId="0" borderId="56" xfId="18" applyNumberFormat="1" applyFont="1" applyBorder="1" applyAlignment="1">
      <alignment horizontal="right" vertical="top"/>
    </xf>
    <xf numFmtId="169" fontId="22" fillId="0" borderId="56" xfId="17" applyNumberFormat="1" applyFont="1" applyBorder="1" applyAlignment="1">
      <alignment vertical="top"/>
    </xf>
    <xf numFmtId="166" fontId="8" fillId="0" borderId="56" xfId="4" applyNumberFormat="1" applyFont="1" applyFill="1" applyBorder="1" applyAlignment="1">
      <alignment vertical="top"/>
    </xf>
    <xf numFmtId="43" fontId="4" fillId="0" borderId="0" xfId="4" applyFont="1" applyFill="1" applyBorder="1" applyAlignment="1">
      <alignment vertical="top"/>
    </xf>
    <xf numFmtId="0" fontId="4" fillId="0" borderId="56" xfId="0" applyFont="1" applyBorder="1" applyAlignment="1">
      <alignment horizontal="center" vertical="top"/>
    </xf>
    <xf numFmtId="0" fontId="99" fillId="0" borderId="0" xfId="0" applyFont="1" applyAlignment="1">
      <alignment vertical="center" wrapText="1"/>
    </xf>
    <xf numFmtId="4" fontId="103" fillId="0" borderId="41" xfId="0" applyNumberFormat="1" applyFont="1" applyBorder="1" applyAlignment="1">
      <alignment horizontal="right" vertical="center"/>
    </xf>
    <xf numFmtId="43" fontId="103" fillId="0" borderId="41" xfId="16" applyNumberFormat="1" applyFont="1" applyBorder="1"/>
    <xf numFmtId="43" fontId="102" fillId="0" borderId="41" xfId="13" applyFont="1" applyFill="1" applyBorder="1" applyAlignment="1">
      <alignment vertical="center" shrinkToFit="1"/>
    </xf>
    <xf numFmtId="0" fontId="5" fillId="0" borderId="56" xfId="0" applyFont="1" applyBorder="1" applyAlignment="1">
      <alignment horizontal="left" vertical="top" shrinkToFit="1"/>
    </xf>
    <xf numFmtId="165" fontId="4" fillId="0" borderId="87" xfId="2" applyNumberFormat="1" applyFont="1" applyFill="1" applyBorder="1" applyAlignment="1">
      <alignment horizontal="center" vertical="center" shrinkToFit="1"/>
    </xf>
    <xf numFmtId="43" fontId="2" fillId="0" borderId="56" xfId="4" applyFont="1" applyBorder="1" applyAlignment="1">
      <alignment vertical="center"/>
    </xf>
    <xf numFmtId="43" fontId="2" fillId="0" borderId="56" xfId="4" applyFont="1" applyFill="1" applyBorder="1" applyAlignment="1">
      <alignment vertical="center"/>
    </xf>
    <xf numFmtId="165" fontId="2" fillId="0" borderId="56" xfId="2" applyNumberFormat="1" applyFont="1" applyFill="1" applyBorder="1" applyAlignment="1">
      <alignment horizontal="center" vertical="center" shrinkToFit="1"/>
    </xf>
    <xf numFmtId="166" fontId="2" fillId="0" borderId="56" xfId="4" applyNumberFormat="1" applyFont="1" applyBorder="1" applyAlignment="1">
      <alignment vertical="center"/>
    </xf>
    <xf numFmtId="0" fontId="2" fillId="0" borderId="0" xfId="0" applyFont="1"/>
    <xf numFmtId="0" fontId="8" fillId="0" borderId="56" xfId="0" applyFont="1" applyBorder="1" applyAlignment="1">
      <alignment horizontal="left" vertical="top" shrinkToFit="1"/>
    </xf>
    <xf numFmtId="0" fontId="102" fillId="0" borderId="56" xfId="9" applyFont="1" applyBorder="1" applyAlignment="1">
      <alignment horizontal="center" vertical="center" wrapText="1" shrinkToFit="1"/>
    </xf>
    <xf numFmtId="17" fontId="102" fillId="0" borderId="56" xfId="9" applyNumberFormat="1" applyFont="1" applyBorder="1" applyAlignment="1">
      <alignment horizontal="center" vertical="center" wrapText="1" shrinkToFit="1"/>
    </xf>
    <xf numFmtId="43" fontId="102" fillId="0" borderId="56" xfId="9" applyNumberFormat="1" applyFont="1" applyBorder="1" applyAlignment="1">
      <alignment horizontal="center" vertical="center" wrapText="1" shrinkToFit="1"/>
    </xf>
    <xf numFmtId="166" fontId="103" fillId="0" borderId="78" xfId="4" applyNumberFormat="1" applyFont="1" applyFill="1" applyBorder="1" applyAlignment="1">
      <alignment horizontal="center" vertical="center" shrinkToFit="1"/>
    </xf>
    <xf numFmtId="166" fontId="102" fillId="0" borderId="91" xfId="4" applyNumberFormat="1" applyFont="1" applyFill="1" applyBorder="1" applyAlignment="1">
      <alignment vertical="center"/>
    </xf>
    <xf numFmtId="43" fontId="102" fillId="0" borderId="11" xfId="4" applyFont="1" applyFill="1" applyBorder="1" applyAlignment="1">
      <alignment horizontal="center" vertical="center" shrinkToFit="1"/>
    </xf>
    <xf numFmtId="43" fontId="102" fillId="0" borderId="11" xfId="4" applyFont="1" applyFill="1" applyBorder="1" applyAlignment="1">
      <alignment vertical="center"/>
    </xf>
    <xf numFmtId="43" fontId="102" fillId="0" borderId="4" xfId="13" applyFont="1" applyFill="1" applyBorder="1" applyAlignment="1">
      <alignment vertical="center"/>
    </xf>
    <xf numFmtId="43" fontId="103" fillId="0" borderId="4" xfId="4" applyFont="1" applyFill="1" applyBorder="1" applyAlignment="1">
      <alignment vertical="center"/>
    </xf>
    <xf numFmtId="43" fontId="102" fillId="31" borderId="4" xfId="4" applyFont="1" applyFill="1" applyBorder="1" applyAlignment="1">
      <alignment vertical="center"/>
    </xf>
    <xf numFmtId="43" fontId="102" fillId="0" borderId="19" xfId="4" applyFont="1" applyFill="1" applyBorder="1" applyAlignment="1">
      <alignment vertical="center"/>
    </xf>
    <xf numFmtId="43" fontId="103" fillId="0" borderId="19" xfId="4" applyFont="1" applyFill="1" applyBorder="1" applyAlignment="1">
      <alignment vertical="center"/>
    </xf>
    <xf numFmtId="49" fontId="102" fillId="0" borderId="56" xfId="9" applyNumberFormat="1" applyFont="1" applyBorder="1" applyAlignment="1">
      <alignment horizontal="center" vertical="center" shrinkToFit="1"/>
    </xf>
    <xf numFmtId="0" fontId="102" fillId="0" borderId="56" xfId="9" applyFont="1" applyBorder="1" applyAlignment="1">
      <alignment horizontal="left" vertical="center" wrapText="1" shrinkToFit="1"/>
    </xf>
    <xf numFmtId="0" fontId="102" fillId="0" borderId="56" xfId="9" applyFont="1" applyBorder="1" applyAlignment="1">
      <alignment horizontal="center" vertical="center" shrinkToFit="1"/>
    </xf>
    <xf numFmtId="43" fontId="102" fillId="0" borderId="56" xfId="2" applyFont="1" applyFill="1" applyBorder="1" applyAlignment="1">
      <alignment horizontal="center" vertical="top" wrapText="1"/>
    </xf>
    <xf numFmtId="43" fontId="103" fillId="0" borderId="78" xfId="4" applyFont="1" applyFill="1" applyBorder="1" applyAlignment="1">
      <alignment horizontal="right" vertical="top" shrinkToFit="1"/>
    </xf>
    <xf numFmtId="166" fontId="103" fillId="0" borderId="79" xfId="4" applyNumberFormat="1" applyFont="1" applyFill="1" applyBorder="1" applyAlignment="1">
      <alignment horizontal="right" vertical="center" shrinkToFit="1"/>
    </xf>
    <xf numFmtId="43" fontId="102" fillId="0" borderId="4" xfId="13" applyFont="1" applyFill="1" applyBorder="1" applyAlignment="1">
      <alignment horizontal="center" vertical="center" shrinkToFit="1"/>
    </xf>
    <xf numFmtId="166" fontId="103" fillId="0" borderId="4" xfId="4" applyNumberFormat="1" applyFont="1" applyFill="1" applyBorder="1" applyAlignment="1">
      <alignment horizontal="center" vertical="center" shrinkToFit="1"/>
    </xf>
    <xf numFmtId="43" fontId="102" fillId="31" borderId="4" xfId="4" applyFont="1" applyFill="1" applyBorder="1" applyAlignment="1">
      <alignment horizontal="center" vertical="center" shrinkToFit="1"/>
    </xf>
    <xf numFmtId="43" fontId="102" fillId="0" borderId="19" xfId="4" applyFont="1" applyFill="1" applyBorder="1" applyAlignment="1">
      <alignment horizontal="center" vertical="center" shrinkToFit="1"/>
    </xf>
    <xf numFmtId="43" fontId="103" fillId="0" borderId="78" xfId="4" applyFont="1" applyFill="1" applyBorder="1" applyAlignment="1">
      <alignment vertical="top" shrinkToFit="1"/>
    </xf>
    <xf numFmtId="43" fontId="103" fillId="0" borderId="78" xfId="4" applyFont="1" applyFill="1" applyBorder="1" applyAlignment="1">
      <alignment vertical="center" shrinkToFit="1"/>
    </xf>
    <xf numFmtId="166" fontId="103" fillId="0" borderId="44" xfId="4" applyNumberFormat="1" applyFont="1" applyBorder="1" applyAlignment="1">
      <alignment vertical="center" shrinkToFit="1"/>
    </xf>
    <xf numFmtId="166" fontId="103" fillId="0" borderId="41" xfId="4" applyNumberFormat="1" applyFont="1" applyBorder="1" applyAlignment="1">
      <alignment vertical="top" shrinkToFit="1"/>
    </xf>
    <xf numFmtId="166" fontId="103" fillId="0" borderId="41" xfId="4" applyNumberFormat="1" applyFont="1" applyBorder="1" applyAlignment="1">
      <alignment vertical="center" shrinkToFit="1"/>
    </xf>
    <xf numFmtId="43" fontId="103" fillId="0" borderId="41" xfId="9" applyNumberFormat="1" applyFont="1" applyBorder="1" applyAlignment="1">
      <alignment horizontal="left" vertical="center" wrapText="1" shrinkToFit="1"/>
    </xf>
    <xf numFmtId="166" fontId="103" fillId="0" borderId="78" xfId="4" applyNumberFormat="1" applyFont="1" applyBorder="1" applyAlignment="1">
      <alignment vertical="center" shrinkToFit="1"/>
    </xf>
    <xf numFmtId="43" fontId="103" fillId="0" borderId="41" xfId="9" applyNumberFormat="1" applyFont="1" applyBorder="1" applyAlignment="1">
      <alignment horizontal="right" vertical="top"/>
    </xf>
    <xf numFmtId="43" fontId="103" fillId="0" borderId="41" xfId="9" applyNumberFormat="1" applyFont="1" applyBorder="1" applyAlignment="1">
      <alignment horizontal="center" vertical="top"/>
    </xf>
    <xf numFmtId="43" fontId="103" fillId="0" borderId="41" xfId="4" applyFont="1" applyFill="1" applyBorder="1" applyAlignment="1">
      <alignment horizontal="center" vertical="top"/>
    </xf>
    <xf numFmtId="43" fontId="103" fillId="0" borderId="41" xfId="13" applyFont="1" applyFill="1" applyBorder="1" applyAlignment="1">
      <alignment horizontal="center" vertical="top"/>
    </xf>
    <xf numFmtId="43" fontId="103" fillId="31" borderId="41" xfId="4" applyFont="1" applyFill="1" applyBorder="1" applyAlignment="1">
      <alignment horizontal="center" vertical="top"/>
    </xf>
    <xf numFmtId="0" fontId="103" fillId="0" borderId="41" xfId="9" applyFont="1" applyBorder="1" applyAlignment="1">
      <alignment vertical="top"/>
    </xf>
    <xf numFmtId="166" fontId="103" fillId="0" borderId="44" xfId="4" applyNumberFormat="1" applyFont="1" applyBorder="1" applyAlignment="1">
      <alignment vertical="top" shrinkToFit="1"/>
    </xf>
    <xf numFmtId="4" fontId="103" fillId="0" borderId="41" xfId="0" applyNumberFormat="1" applyFont="1" applyBorder="1" applyAlignment="1">
      <alignment horizontal="right" vertical="top"/>
    </xf>
    <xf numFmtId="4" fontId="103" fillId="0" borderId="40" xfId="4" applyNumberFormat="1" applyFont="1" applyFill="1" applyBorder="1" applyAlignment="1">
      <alignment vertical="center" shrinkToFit="1"/>
    </xf>
    <xf numFmtId="4" fontId="103" fillId="0" borderId="40" xfId="13" applyNumberFormat="1" applyFont="1" applyFill="1" applyBorder="1" applyAlignment="1">
      <alignment vertical="center" shrinkToFit="1"/>
    </xf>
    <xf numFmtId="4" fontId="103" fillId="31" borderId="40" xfId="4" applyNumberFormat="1" applyFont="1" applyFill="1" applyBorder="1" applyAlignment="1">
      <alignment horizontal="right" vertical="center" shrinkToFit="1"/>
    </xf>
    <xf numFmtId="43" fontId="104" fillId="0" borderId="56" xfId="4" applyFont="1" applyFill="1" applyBorder="1" applyAlignment="1">
      <alignment vertical="center"/>
    </xf>
    <xf numFmtId="166" fontId="71" fillId="0" borderId="41" xfId="4" applyNumberFormat="1" applyFont="1" applyBorder="1" applyAlignment="1">
      <alignment horizontal="right" vertical="center"/>
    </xf>
    <xf numFmtId="166" fontId="71" fillId="0" borderId="43" xfId="4" applyNumberFormat="1" applyFont="1" applyBorder="1" applyAlignment="1">
      <alignment horizontal="right" vertical="center"/>
    </xf>
    <xf numFmtId="2" fontId="104" fillId="0" borderId="56" xfId="4" applyNumberFormat="1" applyFont="1" applyFill="1" applyBorder="1" applyAlignment="1">
      <alignment vertical="center"/>
    </xf>
    <xf numFmtId="2" fontId="103" fillId="0" borderId="40" xfId="4" applyNumberFormat="1" applyFont="1" applyFill="1" applyBorder="1" applyAlignment="1">
      <alignment horizontal="right" vertical="center" shrinkToFit="1"/>
    </xf>
    <xf numFmtId="2" fontId="103" fillId="0" borderId="41" xfId="4" applyNumberFormat="1" applyFont="1" applyFill="1" applyBorder="1" applyAlignment="1">
      <alignment horizontal="right" vertical="center" shrinkToFit="1"/>
    </xf>
    <xf numFmtId="2" fontId="103" fillId="0" borderId="43" xfId="4" applyNumberFormat="1" applyFont="1" applyFill="1" applyBorder="1" applyAlignment="1">
      <alignment horizontal="right" vertical="center" shrinkToFit="1"/>
    </xf>
    <xf numFmtId="0" fontId="5" fillId="0" borderId="0" xfId="1" applyFont="1" applyAlignment="1">
      <alignment horizontal="left" vertical="center"/>
    </xf>
    <xf numFmtId="0" fontId="4" fillId="0" borderId="56" xfId="1" applyFont="1" applyBorder="1" applyAlignment="1">
      <alignment horizontal="center" vertical="center"/>
    </xf>
    <xf numFmtId="165" fontId="5" fillId="0" borderId="56" xfId="1" applyNumberFormat="1" applyFont="1" applyBorder="1" applyAlignment="1">
      <alignment vertical="center"/>
    </xf>
    <xf numFmtId="165" fontId="4" fillId="0" borderId="56" xfId="1" applyNumberFormat="1" applyFont="1" applyBorder="1" applyAlignment="1">
      <alignment vertical="top"/>
    </xf>
    <xf numFmtId="166" fontId="103" fillId="0" borderId="42" xfId="4" applyNumberFormat="1" applyFont="1" applyFill="1" applyBorder="1" applyAlignment="1">
      <alignment horizontal="right" vertical="top" shrinkToFit="1"/>
    </xf>
    <xf numFmtId="43" fontId="106" fillId="0" borderId="78" xfId="4" applyFont="1" applyFill="1" applyBorder="1" applyAlignment="1">
      <alignment horizontal="left" vertical="center" shrinkToFit="1"/>
    </xf>
    <xf numFmtId="43" fontId="103" fillId="0" borderId="78" xfId="4" applyFont="1" applyFill="1" applyBorder="1" applyAlignment="1">
      <alignment horizontal="center" vertical="center"/>
    </xf>
    <xf numFmtId="43" fontId="103" fillId="0" borderId="78" xfId="4" applyFont="1" applyFill="1" applyBorder="1" applyAlignment="1">
      <alignment horizontal="center" vertical="top"/>
    </xf>
    <xf numFmtId="0" fontId="103" fillId="0" borderId="78" xfId="88" applyFont="1" applyBorder="1" applyAlignment="1">
      <alignment vertical="top" wrapText="1"/>
    </xf>
    <xf numFmtId="0" fontId="106" fillId="0" borderId="78" xfId="9" applyFont="1" applyBorder="1" applyAlignment="1">
      <alignment vertical="top" shrinkToFit="1"/>
    </xf>
    <xf numFmtId="0" fontId="105" fillId="0" borderId="78" xfId="9" applyFont="1" applyBorder="1" applyAlignment="1">
      <alignment vertical="center" shrinkToFit="1"/>
    </xf>
    <xf numFmtId="0" fontId="105" fillId="0" borderId="78" xfId="88" applyFont="1" applyBorder="1" applyAlignment="1">
      <alignment vertical="top" wrapText="1"/>
    </xf>
    <xf numFmtId="43" fontId="104" fillId="0" borderId="60" xfId="4" applyFont="1" applyFill="1" applyBorder="1" applyAlignment="1">
      <alignment horizontal="right" vertical="center" wrapText="1" shrinkToFit="1"/>
    </xf>
    <xf numFmtId="0" fontId="103" fillId="30" borderId="78" xfId="9" applyFont="1" applyFill="1" applyBorder="1" applyAlignment="1">
      <alignment vertical="center" shrinkToFit="1"/>
    </xf>
    <xf numFmtId="43" fontId="103" fillId="0" borderId="78" xfId="4" applyFont="1" applyFill="1" applyBorder="1" applyAlignment="1">
      <alignment horizontal="left" vertical="center" shrinkToFit="1"/>
    </xf>
    <xf numFmtId="43" fontId="103" fillId="0" borderId="79" xfId="4" applyFont="1" applyFill="1" applyBorder="1" applyAlignment="1">
      <alignment horizontal="left" vertical="center" shrinkToFit="1"/>
    </xf>
    <xf numFmtId="43" fontId="102" fillId="0" borderId="20" xfId="4" applyFont="1" applyBorder="1" applyAlignment="1">
      <alignment horizontal="left" vertical="center" shrinkToFit="1"/>
    </xf>
    <xf numFmtId="43" fontId="104" fillId="0" borderId="19" xfId="4" applyFont="1" applyBorder="1" applyAlignment="1">
      <alignment vertical="top" shrinkToFit="1"/>
    </xf>
    <xf numFmtId="0" fontId="7" fillId="0" borderId="18" xfId="17" applyFont="1" applyBorder="1" applyAlignment="1">
      <alignment horizontal="right" vertical="top"/>
    </xf>
    <xf numFmtId="43" fontId="7" fillId="0" borderId="18" xfId="4" applyFont="1" applyFill="1" applyBorder="1" applyAlignment="1">
      <alignment horizontal="right" vertical="top"/>
    </xf>
    <xf numFmtId="43" fontId="75" fillId="48" borderId="41" xfId="4" applyFont="1" applyFill="1" applyBorder="1" applyAlignment="1">
      <alignment vertical="center"/>
    </xf>
    <xf numFmtId="43" fontId="71" fillId="12" borderId="41" xfId="4" applyFont="1" applyFill="1" applyBorder="1" applyAlignment="1">
      <alignment vertical="center"/>
    </xf>
    <xf numFmtId="0" fontId="71" fillId="0" borderId="41" xfId="0" applyFont="1" applyBorder="1" applyAlignment="1">
      <alignment horizontal="left" vertical="top" shrinkToFit="1"/>
    </xf>
    <xf numFmtId="43" fontId="71" fillId="0" borderId="41" xfId="12" applyNumberFormat="1" applyFont="1" applyBorder="1" applyAlignment="1">
      <alignment vertical="top"/>
    </xf>
    <xf numFmtId="43" fontId="71" fillId="0" borderId="41" xfId="0" applyNumberFormat="1" applyFont="1" applyBorder="1" applyAlignment="1">
      <alignment horizontal="center" vertical="top"/>
    </xf>
    <xf numFmtId="43" fontId="71" fillId="0" borderId="41" xfId="4" applyFont="1" applyBorder="1" applyAlignment="1">
      <alignment vertical="top"/>
    </xf>
    <xf numFmtId="43" fontId="71" fillId="48" borderId="41" xfId="4" applyFont="1" applyFill="1" applyBorder="1" applyAlignment="1">
      <alignment vertical="top"/>
    </xf>
    <xf numFmtId="4" fontId="115" fillId="0" borderId="0" xfId="0" applyNumberFormat="1" applyFont="1" applyAlignment="1">
      <alignment horizontal="left" vertical="center" wrapText="1"/>
    </xf>
    <xf numFmtId="166" fontId="71" fillId="12" borderId="41" xfId="4" applyNumberFormat="1" applyFont="1" applyFill="1" applyBorder="1" applyAlignment="1">
      <alignment vertical="center"/>
    </xf>
    <xf numFmtId="166" fontId="71" fillId="12" borderId="43" xfId="4" applyNumberFormat="1" applyFont="1" applyFill="1" applyBorder="1" applyAlignment="1">
      <alignment vertical="center"/>
    </xf>
    <xf numFmtId="0" fontId="105" fillId="0" borderId="0" xfId="0" applyFont="1" applyAlignment="1">
      <alignment vertical="top" wrapText="1"/>
    </xf>
    <xf numFmtId="0" fontId="5" fillId="6" borderId="56" xfId="17" applyFont="1" applyFill="1" applyBorder="1" applyAlignment="1">
      <alignment horizontal="left" vertical="top" wrapText="1"/>
    </xf>
    <xf numFmtId="0" fontId="5" fillId="6" borderId="56" xfId="17" applyFont="1" applyFill="1" applyBorder="1" applyAlignment="1">
      <alignment horizontal="center" vertical="top"/>
    </xf>
    <xf numFmtId="4" fontId="5" fillId="6" borderId="56" xfId="17" applyNumberFormat="1" applyFont="1" applyFill="1" applyBorder="1" applyAlignment="1">
      <alignment horizontal="right" vertical="top"/>
    </xf>
    <xf numFmtId="0" fontId="5" fillId="6" borderId="56" xfId="17" applyFont="1" applyFill="1" applyBorder="1" applyAlignment="1">
      <alignment vertical="top"/>
    </xf>
    <xf numFmtId="0" fontId="5" fillId="6" borderId="56" xfId="17" applyFont="1" applyFill="1" applyBorder="1" applyAlignment="1">
      <alignment horizontal="left" vertical="top"/>
    </xf>
    <xf numFmtId="0" fontId="5" fillId="6" borderId="56" xfId="0" applyFont="1" applyFill="1" applyBorder="1" applyAlignment="1">
      <alignment horizontal="left" vertical="top" wrapText="1"/>
    </xf>
    <xf numFmtId="43" fontId="71" fillId="48" borderId="41" xfId="4" applyFont="1" applyFill="1" applyBorder="1" applyAlignment="1">
      <alignment vertical="center"/>
    </xf>
    <xf numFmtId="43" fontId="103" fillId="0" borderId="65" xfId="4" applyFont="1" applyBorder="1" applyAlignment="1">
      <alignment vertical="center" shrinkToFit="1"/>
    </xf>
    <xf numFmtId="4" fontId="106" fillId="0" borderId="42" xfId="0" applyNumberFormat="1" applyFont="1" applyBorder="1" applyAlignment="1">
      <alignment horizontal="right" vertical="center"/>
    </xf>
    <xf numFmtId="4" fontId="106" fillId="0" borderId="11" xfId="0" applyNumberFormat="1" applyFont="1" applyBorder="1" applyAlignment="1">
      <alignment horizontal="right" vertical="center"/>
    </xf>
    <xf numFmtId="4" fontId="106" fillId="0" borderId="20" xfId="0" applyNumberFormat="1" applyFont="1" applyBorder="1" applyAlignment="1">
      <alignment horizontal="right" vertical="center"/>
    </xf>
    <xf numFmtId="0" fontId="103" fillId="0" borderId="41" xfId="88" applyFont="1" applyBorder="1" applyAlignment="1">
      <alignment vertical="top" wrapText="1"/>
    </xf>
    <xf numFmtId="43" fontId="103" fillId="0" borderId="41" xfId="4" applyFont="1" applyFill="1" applyBorder="1" applyAlignment="1">
      <alignment horizontal="right" vertical="top" shrinkToFit="1"/>
    </xf>
    <xf numFmtId="43" fontId="103" fillId="0" borderId="60" xfId="4" applyFont="1" applyFill="1" applyBorder="1" applyAlignment="1">
      <alignment vertical="center"/>
    </xf>
    <xf numFmtId="166" fontId="103" fillId="0" borderId="60" xfId="4" applyNumberFormat="1" applyFont="1" applyFill="1" applyBorder="1" applyAlignment="1">
      <alignment vertical="center"/>
    </xf>
    <xf numFmtId="166" fontId="103" fillId="0" borderId="91" xfId="4" applyNumberFormat="1" applyFont="1" applyFill="1" applyBorder="1" applyAlignment="1">
      <alignment vertical="center"/>
    </xf>
    <xf numFmtId="166" fontId="103" fillId="0" borderId="19" xfId="4" applyNumberFormat="1" applyFont="1" applyFill="1" applyBorder="1" applyAlignment="1">
      <alignment vertical="center"/>
    </xf>
    <xf numFmtId="43" fontId="103" fillId="0" borderId="60" xfId="4" applyFont="1" applyFill="1" applyBorder="1" applyAlignment="1">
      <alignment horizontal="center" vertical="center" shrinkToFit="1"/>
    </xf>
    <xf numFmtId="43" fontId="103" fillId="0" borderId="0" xfId="4" applyFont="1" applyFill="1" applyBorder="1" applyAlignment="1">
      <alignment horizontal="center" vertical="center" shrinkToFit="1"/>
    </xf>
    <xf numFmtId="43" fontId="103" fillId="46" borderId="41" xfId="150" applyFont="1" applyFill="1" applyBorder="1" applyAlignment="1">
      <alignment horizontal="right" vertical="center" wrapText="1"/>
    </xf>
    <xf numFmtId="4" fontId="106" fillId="0" borderId="44" xfId="0" applyNumberFormat="1" applyFont="1" applyBorder="1" applyAlignment="1">
      <alignment horizontal="right" vertical="center"/>
    </xf>
    <xf numFmtId="166" fontId="105" fillId="0" borderId="41" xfId="4" applyNumberFormat="1" applyFont="1" applyFill="1" applyBorder="1" applyAlignment="1">
      <alignment horizontal="right" vertical="top" shrinkToFit="1"/>
    </xf>
    <xf numFmtId="166" fontId="105" fillId="0" borderId="78" xfId="4" applyNumberFormat="1" applyFont="1" applyFill="1" applyBorder="1" applyAlignment="1">
      <alignment horizontal="right" vertical="top" shrinkToFit="1"/>
    </xf>
    <xf numFmtId="43" fontId="105" fillId="0" borderId="78" xfId="4" applyFont="1" applyFill="1" applyBorder="1"/>
    <xf numFmtId="4" fontId="106" fillId="0" borderId="40" xfId="0" applyNumberFormat="1" applyFont="1" applyBorder="1" applyAlignment="1">
      <alignment horizontal="right" vertical="center"/>
    </xf>
    <xf numFmtId="4" fontId="106" fillId="0" borderId="41" xfId="0" applyNumberFormat="1" applyFont="1" applyBorder="1" applyAlignment="1">
      <alignment horizontal="right" vertical="center"/>
    </xf>
    <xf numFmtId="49" fontId="102" fillId="0" borderId="72" xfId="9" applyNumberFormat="1" applyFont="1" applyBorder="1" applyAlignment="1">
      <alignment vertical="center" shrinkToFit="1"/>
    </xf>
    <xf numFmtId="49" fontId="102" fillId="0" borderId="4" xfId="9" applyNumberFormat="1" applyFont="1" applyBorder="1" applyAlignment="1">
      <alignment vertical="center" shrinkToFit="1"/>
    </xf>
    <xf numFmtId="0" fontId="105" fillId="0" borderId="41" xfId="88" applyFont="1" applyBorder="1" applyAlignment="1">
      <alignment vertical="top" wrapText="1"/>
    </xf>
    <xf numFmtId="43" fontId="105" fillId="0" borderId="41" xfId="4" applyFont="1" applyBorder="1" applyAlignment="1">
      <alignment vertical="top" wrapText="1"/>
    </xf>
    <xf numFmtId="43" fontId="11" fillId="0" borderId="56" xfId="4" applyFont="1" applyBorder="1" applyAlignment="1">
      <alignment vertical="top"/>
    </xf>
    <xf numFmtId="0" fontId="71" fillId="0" borderId="43" xfId="0" applyFont="1" applyBorder="1" applyAlignment="1">
      <alignment vertical="center"/>
    </xf>
    <xf numFmtId="165" fontId="2" fillId="0" borderId="56" xfId="1" applyNumberFormat="1" applyFont="1" applyBorder="1" applyAlignment="1">
      <alignment vertical="center"/>
    </xf>
    <xf numFmtId="166" fontId="103" fillId="0" borderId="41" xfId="4" applyNumberFormat="1" applyFont="1" applyFill="1" applyBorder="1" applyAlignment="1">
      <alignment vertical="center"/>
    </xf>
    <xf numFmtId="9" fontId="13" fillId="0" borderId="0" xfId="3" applyFont="1" applyFill="1" applyBorder="1" applyAlignment="1">
      <alignment horizontal="right" shrinkToFit="1"/>
    </xf>
    <xf numFmtId="0" fontId="8" fillId="0" borderId="56" xfId="0" applyFont="1" applyBorder="1" applyAlignment="1">
      <alignment vertical="top" shrinkToFit="1"/>
    </xf>
    <xf numFmtId="3" fontId="5" fillId="0" borderId="56" xfId="0" applyNumberFormat="1" applyFont="1" applyBorder="1" applyAlignment="1">
      <alignment vertical="top"/>
    </xf>
    <xf numFmtId="43" fontId="105" fillId="0" borderId="78" xfId="4" applyFont="1" applyFill="1" applyBorder="1" applyAlignment="1">
      <alignment horizontal="center" vertical="center" shrinkToFit="1"/>
    </xf>
    <xf numFmtId="166" fontId="103" fillId="0" borderId="78" xfId="4" applyNumberFormat="1" applyFont="1" applyFill="1" applyBorder="1" applyAlignment="1">
      <alignment horizontal="left" vertical="top" shrinkToFit="1"/>
    </xf>
    <xf numFmtId="0" fontId="103" fillId="0" borderId="41" xfId="9" applyFont="1" applyBorder="1" applyAlignment="1">
      <alignment vertical="top" wrapText="1" shrinkToFit="1"/>
    </xf>
    <xf numFmtId="43" fontId="102" fillId="0" borderId="78" xfId="4" applyFont="1" applyFill="1" applyBorder="1" applyAlignment="1">
      <alignment horizontal="center" vertical="top" shrinkToFit="1"/>
    </xf>
    <xf numFmtId="4" fontId="103" fillId="12" borderId="41" xfId="4" applyNumberFormat="1" applyFont="1" applyFill="1" applyBorder="1" applyAlignment="1">
      <alignment vertical="center" wrapText="1" shrinkToFit="1"/>
    </xf>
    <xf numFmtId="4" fontId="103" fillId="12" borderId="41" xfId="4" applyNumberFormat="1" applyFont="1" applyFill="1" applyBorder="1" applyAlignment="1">
      <alignment vertical="center" shrinkToFit="1"/>
    </xf>
    <xf numFmtId="43" fontId="103" fillId="12" borderId="41" xfId="4" applyFont="1" applyFill="1" applyBorder="1" applyAlignment="1">
      <alignment vertical="center" shrinkToFit="1"/>
    </xf>
    <xf numFmtId="166" fontId="103" fillId="0" borderId="43" xfId="9" applyNumberFormat="1" applyFont="1" applyBorder="1" applyAlignment="1">
      <alignment vertical="center" shrinkToFit="1"/>
    </xf>
    <xf numFmtId="43" fontId="103" fillId="12" borderId="43" xfId="4" applyFont="1" applyFill="1" applyBorder="1" applyAlignment="1">
      <alignment vertical="center" shrinkToFit="1"/>
    </xf>
    <xf numFmtId="43" fontId="104" fillId="0" borderId="60" xfId="4" applyFont="1" applyFill="1" applyBorder="1" applyAlignment="1">
      <alignment vertical="center"/>
    </xf>
    <xf numFmtId="0" fontId="49" fillId="0" borderId="0" xfId="95" applyFont="1" applyAlignment="1">
      <alignment vertical="top"/>
    </xf>
    <xf numFmtId="0" fontId="49" fillId="0" borderId="0" xfId="95" applyFont="1" applyAlignment="1">
      <alignment horizontal="center" vertical="top"/>
    </xf>
    <xf numFmtId="0" fontId="49" fillId="0" borderId="18" xfId="95" applyFont="1" applyBorder="1" applyAlignment="1">
      <alignment vertical="top"/>
    </xf>
    <xf numFmtId="0" fontId="22" fillId="6" borderId="92" xfId="0" applyFont="1" applyFill="1" applyBorder="1" applyAlignment="1">
      <alignment horizontal="center"/>
    </xf>
    <xf numFmtId="0" fontId="22" fillId="6" borderId="92" xfId="0" applyFont="1" applyFill="1" applyBorder="1" applyAlignment="1">
      <alignment horizontal="left"/>
    </xf>
    <xf numFmtId="43" fontId="22" fillId="6" borderId="92" xfId="4" applyFont="1" applyFill="1" applyBorder="1" applyAlignment="1">
      <alignment horizontal="right"/>
    </xf>
    <xf numFmtId="43" fontId="22" fillId="6" borderId="93" xfId="4" applyFont="1" applyFill="1" applyBorder="1" applyAlignment="1">
      <alignment horizontal="right"/>
    </xf>
    <xf numFmtId="0" fontId="22" fillId="6" borderId="11" xfId="0" applyFont="1" applyFill="1" applyBorder="1" applyAlignment="1">
      <alignment horizontal="left" vertical="center"/>
    </xf>
    <xf numFmtId="0" fontId="8" fillId="6" borderId="20" xfId="0" applyFont="1" applyFill="1" applyBorder="1" applyAlignment="1">
      <alignment horizontal="left" vertical="center"/>
    </xf>
    <xf numFmtId="0" fontId="22" fillId="6" borderId="88" xfId="0" applyFont="1" applyFill="1" applyBorder="1" applyAlignment="1">
      <alignment horizontal="center"/>
    </xf>
    <xf numFmtId="43" fontId="22" fillId="6" borderId="88" xfId="4" applyFont="1" applyFill="1" applyBorder="1" applyAlignment="1">
      <alignment horizontal="right"/>
    </xf>
    <xf numFmtId="43" fontId="22" fillId="6" borderId="64" xfId="4" applyFont="1" applyFill="1" applyBorder="1" applyAlignment="1">
      <alignment horizontal="right"/>
    </xf>
    <xf numFmtId="0" fontId="22" fillId="6" borderId="4" xfId="0" applyFont="1" applyFill="1" applyBorder="1" applyAlignment="1">
      <alignment horizontal="left"/>
    </xf>
    <xf numFmtId="0" fontId="8" fillId="6" borderId="4" xfId="0" applyFont="1" applyFill="1" applyBorder="1" applyAlignment="1">
      <alignment horizontal="left"/>
    </xf>
    <xf numFmtId="0" fontId="22" fillId="6" borderId="86" xfId="0" applyFont="1" applyFill="1" applyBorder="1" applyAlignment="1">
      <alignment horizontal="center"/>
    </xf>
    <xf numFmtId="0" fontId="22" fillId="6" borderId="86" xfId="0" applyFont="1" applyFill="1" applyBorder="1" applyAlignment="1">
      <alignment horizontal="left"/>
    </xf>
    <xf numFmtId="43" fontId="22" fillId="6" borderId="86" xfId="4" applyFont="1" applyFill="1" applyBorder="1" applyAlignment="1">
      <alignment horizontal="right"/>
    </xf>
    <xf numFmtId="4" fontId="22" fillId="6" borderId="94" xfId="0" applyNumberFormat="1" applyFont="1" applyFill="1" applyBorder="1" applyAlignment="1">
      <alignment horizontal="left"/>
    </xf>
    <xf numFmtId="0" fontId="22" fillId="6" borderId="88" xfId="0" applyFont="1" applyFill="1" applyBorder="1" applyAlignment="1">
      <alignment horizontal="left"/>
    </xf>
    <xf numFmtId="4" fontId="22" fillId="6" borderId="88" xfId="0" applyNumberFormat="1" applyFont="1" applyFill="1" applyBorder="1" applyAlignment="1">
      <alignment horizontal="left"/>
    </xf>
    <xf numFmtId="4" fontId="8" fillId="6" borderId="64" xfId="0" applyNumberFormat="1" applyFont="1" applyFill="1" applyBorder="1" applyAlignment="1">
      <alignment horizontal="left"/>
    </xf>
    <xf numFmtId="4" fontId="22" fillId="6" borderId="86" xfId="0" applyNumberFormat="1" applyFont="1" applyFill="1" applyBorder="1" applyAlignment="1">
      <alignment horizontal="left"/>
    </xf>
    <xf numFmtId="4" fontId="22" fillId="6" borderId="92" xfId="0" applyNumberFormat="1" applyFont="1" applyFill="1" applyBorder="1" applyAlignment="1">
      <alignment horizontal="left"/>
    </xf>
    <xf numFmtId="4" fontId="8" fillId="6" borderId="93" xfId="0" applyNumberFormat="1" applyFont="1" applyFill="1" applyBorder="1" applyAlignment="1">
      <alignment horizontal="left"/>
    </xf>
    <xf numFmtId="0" fontId="22" fillId="6" borderId="85" xfId="0" applyFont="1" applyFill="1" applyBorder="1" applyAlignment="1">
      <alignment horizontal="center"/>
    </xf>
    <xf numFmtId="0" fontId="22" fillId="6" borderId="85" xfId="0" applyFont="1" applyFill="1" applyBorder="1" applyAlignment="1">
      <alignment horizontal="left"/>
    </xf>
    <xf numFmtId="43" fontId="22" fillId="6" borderId="85" xfId="4" applyFont="1" applyFill="1" applyBorder="1" applyAlignment="1">
      <alignment horizontal="right"/>
    </xf>
    <xf numFmtId="4" fontId="22" fillId="6" borderId="85" xfId="0" applyNumberFormat="1" applyFont="1" applyFill="1" applyBorder="1" applyAlignment="1">
      <alignment horizontal="left"/>
    </xf>
    <xf numFmtId="4" fontId="8" fillId="6" borderId="95" xfId="0" applyNumberFormat="1" applyFont="1" applyFill="1" applyBorder="1" applyAlignment="1">
      <alignment horizontal="left"/>
    </xf>
    <xf numFmtId="4" fontId="8" fillId="6" borderId="96" xfId="0" applyNumberFormat="1" applyFont="1" applyFill="1" applyBorder="1" applyAlignment="1">
      <alignment horizontal="left"/>
    </xf>
    <xf numFmtId="43" fontId="22" fillId="6" borderId="86" xfId="4" applyFont="1" applyFill="1" applyBorder="1"/>
    <xf numFmtId="43" fontId="22" fillId="6" borderId="92" xfId="4" applyFont="1" applyFill="1" applyBorder="1"/>
    <xf numFmtId="4" fontId="8" fillId="6" borderId="21" xfId="0" applyNumberFormat="1" applyFont="1" applyFill="1" applyBorder="1" applyAlignment="1">
      <alignment horizontal="left"/>
    </xf>
    <xf numFmtId="0" fontId="22" fillId="6" borderId="88" xfId="0" applyFont="1" applyFill="1" applyBorder="1"/>
    <xf numFmtId="0" fontId="22" fillId="0" borderId="85" xfId="0" applyFont="1" applyBorder="1" applyAlignment="1">
      <alignment horizontal="center"/>
    </xf>
    <xf numFmtId="0" fontId="22" fillId="0" borderId="85" xfId="0" applyFont="1" applyBorder="1" applyAlignment="1">
      <alignment horizontal="left"/>
    </xf>
    <xf numFmtId="43" fontId="22" fillId="0" borderId="85" xfId="4" applyFont="1" applyBorder="1"/>
    <xf numFmtId="4" fontId="22" fillId="0" borderId="85" xfId="0" applyNumberFormat="1" applyFont="1" applyBorder="1" applyAlignment="1">
      <alignment horizontal="left"/>
    </xf>
    <xf numFmtId="4" fontId="8" fillId="0" borderId="21" xfId="0" applyNumberFormat="1" applyFont="1" applyBorder="1" applyAlignment="1">
      <alignment horizontal="left"/>
    </xf>
    <xf numFmtId="0" fontId="22" fillId="0" borderId="88" xfId="0" applyFont="1" applyBorder="1" applyAlignment="1">
      <alignment horizontal="center"/>
    </xf>
    <xf numFmtId="0" fontId="22" fillId="0" borderId="85" xfId="0" applyFont="1" applyBorder="1" applyAlignment="1">
      <alignment horizontal="left" vertical="top"/>
    </xf>
    <xf numFmtId="0" fontId="22" fillId="0" borderId="85" xfId="0" applyFont="1" applyBorder="1" applyAlignment="1">
      <alignment horizontal="center" vertical="top"/>
    </xf>
    <xf numFmtId="43" fontId="22" fillId="0" borderId="85" xfId="4" applyFont="1" applyBorder="1" applyAlignment="1">
      <alignment horizontal="right" vertical="top"/>
    </xf>
    <xf numFmtId="4" fontId="22" fillId="0" borderId="85" xfId="0" applyNumberFormat="1" applyFont="1" applyBorder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43" fontId="22" fillId="0" borderId="85" xfId="4" applyFont="1" applyBorder="1" applyAlignment="1">
      <alignment horizontal="right"/>
    </xf>
    <xf numFmtId="43" fontId="22" fillId="0" borderId="85" xfId="4" applyFont="1" applyFill="1" applyBorder="1"/>
    <xf numFmtId="0" fontId="8" fillId="0" borderId="21" xfId="0" applyFont="1" applyBorder="1" applyAlignment="1">
      <alignment horizontal="left"/>
    </xf>
    <xf numFmtId="43" fontId="22" fillId="0" borderId="0" xfId="4" applyFont="1" applyBorder="1" applyAlignment="1">
      <alignment horizontal="right"/>
    </xf>
    <xf numFmtId="0" fontId="22" fillId="0" borderId="90" xfId="0" applyFont="1" applyBorder="1" applyAlignment="1">
      <alignment horizontal="left"/>
    </xf>
    <xf numFmtId="0" fontId="22" fillId="0" borderId="90" xfId="0" applyFont="1" applyBorder="1" applyAlignment="1">
      <alignment horizontal="center"/>
    </xf>
    <xf numFmtId="43" fontId="22" fillId="0" borderId="90" xfId="4" applyFont="1" applyBorder="1" applyAlignment="1">
      <alignment horizontal="right"/>
    </xf>
    <xf numFmtId="4" fontId="22" fillId="0" borderId="90" xfId="0" applyNumberFormat="1" applyFont="1" applyBorder="1" applyAlignment="1">
      <alignment horizontal="left"/>
    </xf>
    <xf numFmtId="0" fontId="8" fillId="0" borderId="97" xfId="0" applyFont="1" applyBorder="1" applyAlignment="1">
      <alignment horizontal="left"/>
    </xf>
    <xf numFmtId="0" fontId="22" fillId="0" borderId="88" xfId="0" applyFont="1" applyBorder="1" applyAlignment="1">
      <alignment horizontal="left"/>
    </xf>
    <xf numFmtId="43" fontId="22" fillId="0" borderId="88" xfId="4" applyFont="1" applyBorder="1" applyAlignment="1">
      <alignment horizontal="right"/>
    </xf>
    <xf numFmtId="4" fontId="22" fillId="0" borderId="88" xfId="0" applyNumberFormat="1" applyFont="1" applyBorder="1" applyAlignment="1">
      <alignment horizontal="left"/>
    </xf>
    <xf numFmtId="0" fontId="8" fillId="0" borderId="64" xfId="0" applyFont="1" applyBorder="1" applyAlignment="1">
      <alignment horizontal="left"/>
    </xf>
    <xf numFmtId="0" fontId="22" fillId="0" borderId="86" xfId="0" applyFont="1" applyBorder="1" applyAlignment="1">
      <alignment horizontal="left"/>
    </xf>
    <xf numFmtId="0" fontId="22" fillId="0" borderId="86" xfId="0" applyFont="1" applyBorder="1" applyAlignment="1">
      <alignment horizontal="center"/>
    </xf>
    <xf numFmtId="43" fontId="22" fillId="0" borderId="86" xfId="4" applyFont="1" applyBorder="1"/>
    <xf numFmtId="4" fontId="22" fillId="0" borderId="98" xfId="0" applyNumberFormat="1" applyFont="1" applyBorder="1" applyAlignment="1">
      <alignment horizontal="left"/>
    </xf>
    <xf numFmtId="0" fontId="8" fillId="0" borderId="95" xfId="0" applyFont="1" applyBorder="1" applyAlignment="1">
      <alignment horizontal="left"/>
    </xf>
    <xf numFmtId="0" fontId="22" fillId="0" borderId="99" xfId="0" applyFont="1" applyBorder="1" applyAlignment="1">
      <alignment horizontal="center"/>
    </xf>
    <xf numFmtId="0" fontId="8" fillId="0" borderId="62" xfId="0" applyFont="1" applyBorder="1" applyAlignment="1">
      <alignment horizontal="center" vertical="center" wrapText="1"/>
    </xf>
    <xf numFmtId="4" fontId="8" fillId="0" borderId="56" xfId="0" applyNumberFormat="1" applyFont="1" applyBorder="1" applyAlignment="1">
      <alignment horizontal="right" vertical="center" wrapText="1"/>
    </xf>
    <xf numFmtId="43" fontId="22" fillId="0" borderId="56" xfId="4" applyFont="1" applyBorder="1" applyAlignment="1">
      <alignment horizontal="right"/>
    </xf>
    <xf numFmtId="0" fontId="116" fillId="0" borderId="56" xfId="0" applyFont="1" applyBorder="1"/>
    <xf numFmtId="0" fontId="8" fillId="0" borderId="100" xfId="0" applyFont="1" applyBorder="1" applyAlignment="1">
      <alignment horizontal="left" vertical="top"/>
    </xf>
    <xf numFmtId="0" fontId="8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right" vertical="center" wrapText="1"/>
    </xf>
    <xf numFmtId="0" fontId="116" fillId="0" borderId="0" xfId="0" applyFont="1"/>
    <xf numFmtId="0" fontId="22" fillId="6" borderId="0" xfId="0" applyFont="1" applyFill="1" applyAlignment="1">
      <alignment horizontal="center"/>
    </xf>
    <xf numFmtId="0" fontId="8" fillId="6" borderId="21" xfId="0" applyFont="1" applyFill="1" applyBorder="1" applyAlignment="1">
      <alignment horizontal="left"/>
    </xf>
    <xf numFmtId="43" fontId="22" fillId="0" borderId="86" xfId="4" applyFont="1" applyBorder="1" applyAlignment="1">
      <alignment horizontal="right"/>
    </xf>
    <xf numFmtId="4" fontId="22" fillId="0" borderId="86" xfId="0" applyNumberFormat="1" applyFont="1" applyBorder="1" applyAlignment="1">
      <alignment horizontal="left"/>
    </xf>
    <xf numFmtId="4" fontId="8" fillId="0" borderId="95" xfId="0" applyNumberFormat="1" applyFont="1" applyBorder="1" applyAlignment="1">
      <alignment horizontal="left"/>
    </xf>
    <xf numFmtId="4" fontId="8" fillId="0" borderId="64" xfId="0" applyNumberFormat="1" applyFont="1" applyBorder="1" applyAlignment="1">
      <alignment horizontal="left"/>
    </xf>
    <xf numFmtId="4" fontId="8" fillId="0" borderId="97" xfId="0" applyNumberFormat="1" applyFont="1" applyBorder="1" applyAlignment="1">
      <alignment horizontal="left"/>
    </xf>
    <xf numFmtId="43" fontId="22" fillId="6" borderId="88" xfId="4" applyFont="1" applyFill="1" applyBorder="1"/>
    <xf numFmtId="43" fontId="22" fillId="0" borderId="85" xfId="4" applyFont="1" applyFill="1" applyBorder="1" applyAlignment="1">
      <alignment horizontal="right"/>
    </xf>
    <xf numFmtId="4" fontId="22" fillId="0" borderId="56" xfId="0" applyNumberFormat="1" applyFont="1" applyBorder="1" applyAlignment="1">
      <alignment horizontal="left"/>
    </xf>
    <xf numFmtId="43" fontId="22" fillId="0" borderId="88" xfId="4" applyFont="1" applyFill="1" applyBorder="1" applyAlignment="1">
      <alignment horizontal="right"/>
    </xf>
    <xf numFmtId="0" fontId="8" fillId="6" borderId="93" xfId="0" applyFont="1" applyFill="1" applyBorder="1" applyAlignment="1">
      <alignment horizontal="left"/>
    </xf>
    <xf numFmtId="0" fontId="22" fillId="6" borderId="101" xfId="0" applyFont="1" applyFill="1" applyBorder="1" applyAlignment="1">
      <alignment horizontal="center"/>
    </xf>
    <xf numFmtId="0" fontId="22" fillId="6" borderId="101" xfId="0" applyFont="1" applyFill="1" applyBorder="1" applyAlignment="1">
      <alignment horizontal="left"/>
    </xf>
    <xf numFmtId="43" fontId="22" fillId="6" borderId="101" xfId="4" applyFont="1" applyFill="1" applyBorder="1" applyAlignment="1">
      <alignment horizontal="right"/>
    </xf>
    <xf numFmtId="4" fontId="22" fillId="6" borderId="101" xfId="0" applyNumberFormat="1" applyFont="1" applyFill="1" applyBorder="1" applyAlignment="1">
      <alignment horizontal="left"/>
    </xf>
    <xf numFmtId="4" fontId="8" fillId="6" borderId="102" xfId="0" applyNumberFormat="1" applyFont="1" applyFill="1" applyBorder="1" applyAlignment="1">
      <alignment horizontal="left"/>
    </xf>
    <xf numFmtId="43" fontId="22" fillId="6" borderId="85" xfId="4" applyFont="1" applyFill="1" applyBorder="1"/>
    <xf numFmtId="43" fontId="22" fillId="0" borderId="88" xfId="4" applyFont="1" applyBorder="1"/>
    <xf numFmtId="43" fontId="8" fillId="0" borderId="85" xfId="4" applyFont="1" applyBorder="1"/>
    <xf numFmtId="4" fontId="8" fillId="0" borderId="85" xfId="0" applyNumberFormat="1" applyFont="1" applyBorder="1" applyAlignment="1">
      <alignment horizontal="left"/>
    </xf>
    <xf numFmtId="4" fontId="22" fillId="0" borderId="103" xfId="0" applyNumberFormat="1" applyFont="1" applyBorder="1" applyAlignment="1">
      <alignment horizontal="left"/>
    </xf>
    <xf numFmtId="4" fontId="5" fillId="0" borderId="0" xfId="95" applyNumberFormat="1" applyFont="1" applyAlignment="1">
      <alignment horizontal="right" vertical="top"/>
    </xf>
    <xf numFmtId="0" fontId="5" fillId="0" borderId="0" xfId="95" applyFont="1" applyAlignment="1">
      <alignment horizontal="left" vertical="top" wrapText="1"/>
    </xf>
    <xf numFmtId="0" fontId="5" fillId="6" borderId="86" xfId="0" applyFont="1" applyFill="1" applyBorder="1" applyAlignment="1">
      <alignment horizontal="center"/>
    </xf>
    <xf numFmtId="0" fontId="5" fillId="6" borderId="86" xfId="0" applyFont="1" applyFill="1" applyBorder="1" applyAlignment="1">
      <alignment horizontal="left"/>
    </xf>
    <xf numFmtId="43" fontId="5" fillId="6" borderId="86" xfId="4" applyFont="1" applyFill="1" applyBorder="1" applyAlignment="1">
      <alignment horizontal="right"/>
    </xf>
    <xf numFmtId="43" fontId="5" fillId="6" borderId="95" xfId="4" applyFont="1" applyFill="1" applyBorder="1" applyAlignment="1">
      <alignment horizontal="right"/>
    </xf>
    <xf numFmtId="0" fontId="5" fillId="6" borderId="72" xfId="0" applyFont="1" applyFill="1" applyBorder="1" applyAlignment="1">
      <alignment horizontal="left" vertical="center"/>
    </xf>
    <xf numFmtId="0" fontId="5" fillId="6" borderId="92" xfId="0" applyFont="1" applyFill="1" applyBorder="1" applyAlignment="1">
      <alignment horizontal="center"/>
    </xf>
    <xf numFmtId="43" fontId="5" fillId="6" borderId="92" xfId="4" applyFont="1" applyFill="1" applyBorder="1" applyAlignment="1">
      <alignment horizontal="right"/>
    </xf>
    <xf numFmtId="43" fontId="5" fillId="6" borderId="93" xfId="4" applyFont="1" applyFill="1" applyBorder="1" applyAlignment="1">
      <alignment horizontal="right"/>
    </xf>
    <xf numFmtId="0" fontId="5" fillId="6" borderId="11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/>
    </xf>
    <xf numFmtId="0" fontId="22" fillId="6" borderId="92" xfId="0" applyFont="1" applyFill="1" applyBorder="1"/>
    <xf numFmtId="0" fontId="8" fillId="6" borderId="93" xfId="0" applyFont="1" applyFill="1" applyBorder="1"/>
    <xf numFmtId="0" fontId="22" fillId="6" borderId="0" xfId="0" applyFont="1" applyFill="1"/>
    <xf numFmtId="0" fontId="22" fillId="6" borderId="104" xfId="0" applyFont="1" applyFill="1" applyBorder="1" applyAlignment="1">
      <alignment horizontal="center"/>
    </xf>
    <xf numFmtId="0" fontId="22" fillId="6" borderId="4" xfId="0" applyFont="1" applyFill="1" applyBorder="1" applyAlignment="1">
      <alignment horizontal="center"/>
    </xf>
    <xf numFmtId="43" fontId="22" fillId="6" borderId="4" xfId="4" applyFont="1" applyFill="1" applyBorder="1" applyAlignment="1">
      <alignment horizontal="right"/>
    </xf>
    <xf numFmtId="4" fontId="22" fillId="6" borderId="4" xfId="0" applyNumberFormat="1" applyFont="1" applyFill="1" applyBorder="1" applyAlignment="1">
      <alignment horizontal="left"/>
    </xf>
    <xf numFmtId="0" fontId="22" fillId="6" borderId="94" xfId="0" applyFont="1" applyFill="1" applyBorder="1" applyAlignment="1">
      <alignment horizontal="left"/>
    </xf>
    <xf numFmtId="0" fontId="22" fillId="6" borderId="94" xfId="0" applyFont="1" applyFill="1" applyBorder="1" applyAlignment="1">
      <alignment horizontal="center"/>
    </xf>
    <xf numFmtId="43" fontId="22" fillId="6" borderId="94" xfId="4" applyFont="1" applyFill="1" applyBorder="1" applyAlignment="1">
      <alignment horizontal="right"/>
    </xf>
    <xf numFmtId="0" fontId="22" fillId="6" borderId="94" xfId="0" applyFont="1" applyFill="1" applyBorder="1"/>
    <xf numFmtId="0" fontId="22" fillId="6" borderId="86" xfId="0" applyFont="1" applyFill="1" applyBorder="1"/>
    <xf numFmtId="0" fontId="22" fillId="6" borderId="72" xfId="0" applyFont="1" applyFill="1" applyBorder="1" applyAlignment="1">
      <alignment horizontal="center"/>
    </xf>
    <xf numFmtId="0" fontId="22" fillId="6" borderId="72" xfId="0" applyFont="1" applyFill="1" applyBorder="1" applyAlignment="1">
      <alignment horizontal="left"/>
    </xf>
    <xf numFmtId="43" fontId="22" fillId="6" borderId="72" xfId="4" applyFont="1" applyFill="1" applyBorder="1" applyAlignment="1">
      <alignment horizontal="right"/>
    </xf>
    <xf numFmtId="4" fontId="22" fillId="6" borderId="72" xfId="0" applyNumberFormat="1" applyFont="1" applyFill="1" applyBorder="1" applyAlignment="1">
      <alignment horizontal="left"/>
    </xf>
    <xf numFmtId="0" fontId="22" fillId="6" borderId="11" xfId="0" applyFont="1" applyFill="1" applyBorder="1" applyAlignment="1">
      <alignment horizontal="center"/>
    </xf>
    <xf numFmtId="0" fontId="22" fillId="6" borderId="11" xfId="0" applyFont="1" applyFill="1" applyBorder="1" applyAlignment="1">
      <alignment horizontal="left"/>
    </xf>
    <xf numFmtId="43" fontId="22" fillId="6" borderId="11" xfId="4" applyFont="1" applyFill="1" applyBorder="1" applyAlignment="1">
      <alignment horizontal="right"/>
    </xf>
    <xf numFmtId="4" fontId="22" fillId="6" borderId="11" xfId="0" applyNumberFormat="1" applyFont="1" applyFill="1" applyBorder="1" applyAlignment="1">
      <alignment horizontal="left"/>
    </xf>
    <xf numFmtId="4" fontId="8" fillId="6" borderId="20" xfId="0" applyNumberFormat="1" applyFont="1" applyFill="1" applyBorder="1" applyAlignment="1">
      <alignment horizontal="left"/>
    </xf>
    <xf numFmtId="4" fontId="8" fillId="6" borderId="4" xfId="0" applyNumberFormat="1" applyFont="1" applyFill="1" applyBorder="1" applyAlignment="1">
      <alignment horizontal="left"/>
    </xf>
    <xf numFmtId="0" fontId="22" fillId="0" borderId="85" xfId="0" applyFont="1" applyBorder="1"/>
    <xf numFmtId="43" fontId="22" fillId="0" borderId="56" xfId="4" applyFont="1" applyBorder="1"/>
    <xf numFmtId="0" fontId="5" fillId="0" borderId="0" xfId="95" applyFont="1" applyAlignment="1">
      <alignment horizontal="center" vertical="top"/>
    </xf>
    <xf numFmtId="0" fontId="8" fillId="0" borderId="56" xfId="95" applyFont="1" applyBorder="1" applyAlignment="1">
      <alignment horizontal="left" vertical="top"/>
    </xf>
    <xf numFmtId="43" fontId="22" fillId="0" borderId="56" xfId="4" applyFont="1" applyBorder="1" applyAlignment="1">
      <alignment horizontal="right" vertical="top"/>
    </xf>
    <xf numFmtId="4" fontId="22" fillId="0" borderId="56" xfId="0" applyNumberFormat="1" applyFont="1" applyBorder="1" applyAlignment="1">
      <alignment horizontal="left" vertical="top"/>
    </xf>
    <xf numFmtId="43" fontId="22" fillId="0" borderId="56" xfId="4" applyFont="1" applyBorder="1" applyAlignment="1">
      <alignment vertical="top"/>
    </xf>
    <xf numFmtId="0" fontId="22" fillId="0" borderId="92" xfId="0" applyFont="1" applyBorder="1" applyAlignment="1">
      <alignment horizontal="center"/>
    </xf>
    <xf numFmtId="166" fontId="105" fillId="0" borderId="78" xfId="4" applyNumberFormat="1" applyFont="1" applyFill="1" applyBorder="1" applyAlignment="1">
      <alignment vertical="center" shrinkToFit="1"/>
    </xf>
    <xf numFmtId="166" fontId="103" fillId="0" borderId="78" xfId="4" applyNumberFormat="1" applyFont="1" applyBorder="1" applyAlignment="1">
      <alignment vertical="top" shrinkToFit="1"/>
    </xf>
    <xf numFmtId="0" fontId="117" fillId="0" borderId="41" xfId="0" applyFont="1" applyBorder="1"/>
    <xf numFmtId="43" fontId="103" fillId="0" borderId="41" xfId="4" applyFont="1" applyFill="1" applyBorder="1" applyAlignment="1">
      <alignment horizontal="right" vertical="top"/>
    </xf>
    <xf numFmtId="43" fontId="103" fillId="0" borderId="41" xfId="4" applyFont="1" applyBorder="1" applyAlignment="1">
      <alignment horizontal="right" vertical="top"/>
    </xf>
    <xf numFmtId="165" fontId="4" fillId="0" borderId="56" xfId="2" applyNumberFormat="1" applyFont="1" applyFill="1" applyBorder="1" applyAlignment="1">
      <alignment horizontal="center" vertical="top" shrinkToFit="1"/>
    </xf>
    <xf numFmtId="43" fontId="4" fillId="0" borderId="56" xfId="2" applyFont="1" applyFill="1" applyBorder="1" applyAlignment="1">
      <alignment horizontal="right" vertical="top"/>
    </xf>
    <xf numFmtId="2" fontId="4" fillId="0" borderId="56" xfId="2" applyNumberFormat="1" applyFont="1" applyFill="1" applyBorder="1" applyAlignment="1">
      <alignment horizontal="right" vertical="top"/>
    </xf>
    <xf numFmtId="166" fontId="4" fillId="0" borderId="56" xfId="4" applyNumberFormat="1" applyFont="1" applyFill="1" applyBorder="1" applyAlignment="1">
      <alignment horizontal="right" vertical="top" shrinkToFit="1"/>
    </xf>
    <xf numFmtId="173" fontId="102" fillId="0" borderId="0" xfId="9" applyNumberFormat="1" applyFont="1" applyAlignment="1">
      <alignment vertical="center" shrinkToFit="1"/>
    </xf>
    <xf numFmtId="165" fontId="4" fillId="12" borderId="56" xfId="1" applyNumberFormat="1" applyFont="1" applyFill="1" applyBorder="1" applyAlignment="1">
      <alignment vertical="top"/>
    </xf>
    <xf numFmtId="165" fontId="4" fillId="48" borderId="56" xfId="1" applyNumberFormat="1" applyFont="1" applyFill="1" applyBorder="1" applyAlignment="1">
      <alignment vertical="top"/>
    </xf>
    <xf numFmtId="165" fontId="4" fillId="33" borderId="56" xfId="1" applyNumberFormat="1" applyFont="1" applyFill="1" applyBorder="1" applyAlignment="1">
      <alignment vertical="top"/>
    </xf>
    <xf numFmtId="43" fontId="2" fillId="0" borderId="56" xfId="4" applyFont="1" applyFill="1" applyBorder="1" applyAlignment="1">
      <alignment horizontal="right" vertical="center" shrinkToFit="1"/>
    </xf>
    <xf numFmtId="4" fontId="7" fillId="0" borderId="0" xfId="0" applyNumberFormat="1" applyFont="1"/>
    <xf numFmtId="4" fontId="7" fillId="0" borderId="89" xfId="0" applyNumberFormat="1" applyFont="1" applyBorder="1" applyAlignment="1">
      <alignment vertical="top"/>
    </xf>
    <xf numFmtId="43" fontId="45" fillId="0" borderId="72" xfId="4" applyFont="1" applyFill="1" applyBorder="1" applyAlignment="1">
      <alignment vertical="center"/>
    </xf>
    <xf numFmtId="43" fontId="71" fillId="0" borderId="0" xfId="4" applyFont="1" applyFill="1" applyBorder="1" applyAlignment="1">
      <alignment horizontal="left" vertical="center" shrinkToFit="1"/>
    </xf>
    <xf numFmtId="43" fontId="71" fillId="0" borderId="72" xfId="4" applyFont="1" applyFill="1" applyBorder="1" applyAlignment="1">
      <alignment horizontal="center" vertical="center"/>
    </xf>
    <xf numFmtId="43" fontId="45" fillId="0" borderId="43" xfId="4" applyFont="1" applyFill="1" applyBorder="1" applyAlignment="1">
      <alignment horizontal="center" vertical="center" wrapText="1"/>
    </xf>
    <xf numFmtId="43" fontId="103" fillId="0" borderId="11" xfId="4" applyFont="1" applyFill="1" applyBorder="1" applyAlignment="1">
      <alignment horizontal="center" vertical="center" shrinkToFit="1"/>
    </xf>
    <xf numFmtId="0" fontId="4" fillId="0" borderId="19" xfId="95" applyFont="1" applyBorder="1" applyAlignment="1">
      <alignment horizontal="center" vertical="center"/>
    </xf>
    <xf numFmtId="166" fontId="71" fillId="0" borderId="41" xfId="0" applyNumberFormat="1" applyFont="1" applyBorder="1" applyAlignment="1">
      <alignment vertical="top"/>
    </xf>
    <xf numFmtId="166" fontId="71" fillId="0" borderId="41" xfId="4" applyNumberFormat="1" applyFont="1" applyFill="1" applyBorder="1" applyAlignment="1">
      <alignment vertical="top"/>
    </xf>
    <xf numFmtId="0" fontId="71" fillId="0" borderId="43" xfId="0" applyFont="1" applyBorder="1" applyAlignment="1">
      <alignment horizontal="left" vertical="top" wrapText="1" shrinkToFit="1"/>
    </xf>
    <xf numFmtId="43" fontId="71" fillId="0" borderId="43" xfId="11" applyFont="1" applyFill="1" applyBorder="1" applyAlignment="1">
      <alignment horizontal="center" vertical="top"/>
    </xf>
    <xf numFmtId="43" fontId="71" fillId="0" borderId="43" xfId="0" applyNumberFormat="1" applyFont="1" applyBorder="1" applyAlignment="1">
      <alignment vertical="top"/>
    </xf>
    <xf numFmtId="166" fontId="71" fillId="0" borderId="43" xfId="0" applyNumberFormat="1" applyFont="1" applyBorder="1" applyAlignment="1">
      <alignment vertical="top"/>
    </xf>
    <xf numFmtId="43" fontId="71" fillId="0" borderId="43" xfId="4" applyFont="1" applyFill="1" applyBorder="1" applyAlignment="1">
      <alignment vertical="top"/>
    </xf>
    <xf numFmtId="166" fontId="71" fillId="0" borderId="43" xfId="4" applyNumberFormat="1" applyFont="1" applyFill="1" applyBorder="1" applyAlignment="1">
      <alignment vertical="top"/>
    </xf>
    <xf numFmtId="43" fontId="75" fillId="0" borderId="43" xfId="4" applyFont="1" applyFill="1" applyBorder="1" applyAlignment="1">
      <alignment vertical="top"/>
    </xf>
    <xf numFmtId="43" fontId="71" fillId="0" borderId="43" xfId="4" applyFont="1" applyFill="1" applyBorder="1" applyAlignment="1">
      <alignment horizontal="center" vertical="top"/>
    </xf>
    <xf numFmtId="43" fontId="71" fillId="0" borderId="43" xfId="4" applyFont="1" applyFill="1" applyBorder="1" applyAlignment="1">
      <alignment vertical="top" wrapText="1"/>
    </xf>
    <xf numFmtId="43" fontId="71" fillId="0" borderId="4" xfId="4" applyFont="1" applyFill="1" applyBorder="1" applyAlignment="1">
      <alignment horizontal="left" vertical="center" shrinkToFit="1"/>
    </xf>
    <xf numFmtId="43" fontId="71" fillId="0" borderId="41" xfId="0" applyNumberFormat="1" applyFont="1" applyBorder="1" applyAlignment="1">
      <alignment vertical="top" wrapText="1"/>
    </xf>
    <xf numFmtId="0" fontId="45" fillId="0" borderId="4" xfId="0" applyFont="1" applyBorder="1" applyAlignment="1">
      <alignment horizontal="center" vertical="center" shrinkToFit="1"/>
    </xf>
    <xf numFmtId="43" fontId="45" fillId="0" borderId="4" xfId="0" applyNumberFormat="1" applyFont="1" applyBorder="1" applyAlignment="1">
      <alignment horizontal="center" vertical="center" shrinkToFit="1"/>
    </xf>
    <xf numFmtId="43" fontId="45" fillId="0" borderId="4" xfId="0" applyNumberFormat="1" applyFont="1" applyBorder="1" applyAlignment="1">
      <alignment vertical="center" shrinkToFit="1"/>
    </xf>
    <xf numFmtId="43" fontId="45" fillId="11" borderId="4" xfId="0" applyNumberFormat="1" applyFont="1" applyFill="1" applyBorder="1" applyAlignment="1">
      <alignment vertical="center" shrinkToFit="1"/>
    </xf>
    <xf numFmtId="43" fontId="45" fillId="0" borderId="4" xfId="4" applyFont="1" applyFill="1" applyBorder="1" applyAlignment="1">
      <alignment vertical="center" shrinkToFit="1"/>
    </xf>
    <xf numFmtId="43" fontId="101" fillId="0" borderId="4" xfId="0" applyNumberFormat="1" applyFont="1" applyBorder="1" applyAlignment="1">
      <alignment vertical="center"/>
    </xf>
    <xf numFmtId="43" fontId="45" fillId="0" borderId="4" xfId="0" applyNumberFormat="1" applyFont="1" applyBorder="1" applyAlignment="1">
      <alignment horizontal="center" vertical="center"/>
    </xf>
    <xf numFmtId="43" fontId="45" fillId="0" borderId="4" xfId="4" applyFont="1" applyBorder="1" applyAlignment="1">
      <alignment vertical="center"/>
    </xf>
    <xf numFmtId="43" fontId="45" fillId="0" borderId="4" xfId="4" applyFont="1" applyFill="1" applyBorder="1" applyAlignment="1">
      <alignment vertical="center"/>
    </xf>
    <xf numFmtId="43" fontId="71" fillId="0" borderId="4" xfId="0" applyNumberFormat="1" applyFont="1" applyBorder="1" applyAlignment="1">
      <alignment vertical="center"/>
    </xf>
    <xf numFmtId="43" fontId="71" fillId="0" borderId="44" xfId="4" applyFont="1" applyFill="1" applyBorder="1" applyAlignment="1">
      <alignment vertical="center" wrapText="1"/>
    </xf>
    <xf numFmtId="43" fontId="71" fillId="0" borderId="44" xfId="11" applyFont="1" applyFill="1" applyBorder="1" applyAlignment="1">
      <alignment vertical="center"/>
    </xf>
    <xf numFmtId="43" fontId="71" fillId="0" borderId="44" xfId="12" applyNumberFormat="1" applyFont="1" applyBorder="1" applyAlignment="1">
      <alignment vertical="center"/>
    </xf>
    <xf numFmtId="43" fontId="75" fillId="0" borderId="44" xfId="4" applyFont="1" applyFill="1" applyBorder="1" applyAlignment="1">
      <alignment vertical="center"/>
    </xf>
    <xf numFmtId="43" fontId="71" fillId="0" borderId="44" xfId="0" applyNumberFormat="1" applyFont="1" applyBorder="1" applyAlignment="1">
      <alignment vertical="center"/>
    </xf>
    <xf numFmtId="43" fontId="71" fillId="0" borderId="44" xfId="0" applyNumberFormat="1" applyFont="1" applyBorder="1" applyAlignment="1">
      <alignment horizontal="center" vertical="center"/>
    </xf>
    <xf numFmtId="166" fontId="71" fillId="0" borderId="44" xfId="0" applyNumberFormat="1" applyFont="1" applyBorder="1" applyAlignment="1">
      <alignment horizontal="center" vertical="center"/>
    </xf>
    <xf numFmtId="43" fontId="71" fillId="0" borderId="44" xfId="4" applyFont="1" applyBorder="1" applyAlignment="1">
      <alignment vertical="center"/>
    </xf>
    <xf numFmtId="0" fontId="45" fillId="0" borderId="43" xfId="0" applyFont="1" applyBorder="1" applyAlignment="1">
      <alignment horizontal="center" vertical="center" wrapText="1"/>
    </xf>
    <xf numFmtId="17" fontId="45" fillId="0" borderId="43" xfId="2" applyNumberFormat="1" applyFont="1" applyFill="1" applyBorder="1" applyAlignment="1">
      <alignment horizontal="center" vertical="top" wrapText="1"/>
    </xf>
    <xf numFmtId="17" fontId="45" fillId="0" borderId="43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4" fontId="4" fillId="0" borderId="89" xfId="0" applyNumberFormat="1" applyFont="1" applyBorder="1" applyAlignment="1">
      <alignment vertical="center"/>
    </xf>
    <xf numFmtId="0" fontId="8" fillId="12" borderId="56" xfId="0" applyFont="1" applyFill="1" applyBorder="1"/>
    <xf numFmtId="0" fontId="8" fillId="12" borderId="56" xfId="0" applyFont="1" applyFill="1" applyBorder="1" applyAlignment="1">
      <alignment horizontal="center"/>
    </xf>
    <xf numFmtId="4" fontId="8" fillId="12" borderId="56" xfId="0" applyNumberFormat="1" applyFont="1" applyFill="1" applyBorder="1"/>
    <xf numFmtId="0" fontId="62" fillId="0" borderId="56" xfId="0" applyFont="1" applyBorder="1"/>
    <xf numFmtId="4" fontId="5" fillId="12" borderId="0" xfId="95" applyNumberFormat="1" applyFont="1" applyFill="1" applyAlignment="1">
      <alignment horizontal="right" vertical="top"/>
    </xf>
    <xf numFmtId="4" fontId="7" fillId="12" borderId="0" xfId="0" applyNumberFormat="1" applyFont="1" applyFill="1"/>
    <xf numFmtId="4" fontId="11" fillId="12" borderId="56" xfId="0" applyNumberFormat="1" applyFont="1" applyFill="1" applyBorder="1" applyAlignment="1">
      <alignment vertical="top"/>
    </xf>
    <xf numFmtId="3" fontId="4" fillId="12" borderId="89" xfId="0" applyNumberFormat="1" applyFont="1" applyFill="1" applyBorder="1" applyAlignment="1">
      <alignment horizontal="right" vertical="center" wrapText="1"/>
    </xf>
    <xf numFmtId="4" fontId="8" fillId="12" borderId="0" xfId="0" applyNumberFormat="1" applyFont="1" applyFill="1"/>
    <xf numFmtId="43" fontId="8" fillId="0" borderId="0" xfId="0" applyNumberFormat="1" applyFont="1"/>
    <xf numFmtId="43" fontId="8" fillId="0" borderId="56" xfId="4" applyFont="1" applyBorder="1" applyAlignment="1">
      <alignment horizontal="right" vertical="top" wrapText="1"/>
    </xf>
    <xf numFmtId="43" fontId="8" fillId="0" borderId="0" xfId="4" applyFont="1" applyFill="1" applyBorder="1" applyAlignment="1">
      <alignment vertical="top"/>
    </xf>
    <xf numFmtId="43" fontId="8" fillId="0" borderId="56" xfId="0" applyNumberFormat="1" applyFont="1" applyBorder="1" applyAlignment="1">
      <alignment vertical="top"/>
    </xf>
    <xf numFmtId="0" fontId="8" fillId="49" borderId="56" xfId="0" applyFont="1" applyFill="1" applyBorder="1" applyAlignment="1">
      <alignment vertical="top" wrapText="1"/>
    </xf>
    <xf numFmtId="43" fontId="8" fillId="0" borderId="56" xfId="4" applyFont="1" applyBorder="1"/>
    <xf numFmtId="4" fontId="8" fillId="49" borderId="105" xfId="0" applyNumberFormat="1" applyFont="1" applyFill="1" applyBorder="1" applyAlignment="1">
      <alignment horizontal="left" vertical="top" wrapText="1"/>
    </xf>
    <xf numFmtId="4" fontId="8" fillId="49" borderId="106" xfId="0" applyNumberFormat="1" applyFont="1" applyFill="1" applyBorder="1" applyAlignment="1">
      <alignment horizontal="left" vertical="top" wrapText="1"/>
    </xf>
    <xf numFmtId="0" fontId="8" fillId="49" borderId="56" xfId="0" applyFont="1" applyFill="1" applyBorder="1" applyAlignment="1">
      <alignment horizontal="center" vertical="top" wrapText="1"/>
    </xf>
    <xf numFmtId="4" fontId="8" fillId="49" borderId="56" xfId="0" applyNumberFormat="1" applyFont="1" applyFill="1" applyBorder="1" applyAlignment="1">
      <alignment horizontal="right" vertical="top" wrapText="1"/>
    </xf>
    <xf numFmtId="43" fontId="71" fillId="0" borderId="41" xfId="4" applyFont="1" applyFill="1" applyBorder="1" applyAlignment="1">
      <alignment horizontal="right" vertical="top"/>
    </xf>
    <xf numFmtId="43" fontId="71" fillId="12" borderId="41" xfId="4" applyFont="1" applyFill="1" applyBorder="1" applyAlignment="1">
      <alignment vertical="top"/>
    </xf>
    <xf numFmtId="43" fontId="103" fillId="12" borderId="41" xfId="9" applyNumberFormat="1" applyFont="1" applyFill="1" applyBorder="1" applyAlignment="1">
      <alignment horizontal="right" vertical="center" shrinkToFit="1"/>
    </xf>
    <xf numFmtId="43" fontId="105" fillId="12" borderId="41" xfId="9" applyNumberFormat="1" applyFont="1" applyFill="1" applyBorder="1" applyAlignment="1">
      <alignment horizontal="center" vertical="center" shrinkToFit="1"/>
    </xf>
    <xf numFmtId="43" fontId="105" fillId="12" borderId="41" xfId="4" applyFont="1" applyFill="1" applyBorder="1" applyAlignment="1">
      <alignment horizontal="center" vertical="center" shrinkToFit="1"/>
    </xf>
    <xf numFmtId="43" fontId="105" fillId="12" borderId="41" xfId="13" applyFont="1" applyFill="1" applyBorder="1" applyAlignment="1">
      <alignment horizontal="center" vertical="center" shrinkToFit="1"/>
    </xf>
    <xf numFmtId="0" fontId="103" fillId="12" borderId="41" xfId="9" applyFont="1" applyFill="1" applyBorder="1" applyAlignment="1">
      <alignment vertical="center" shrinkToFit="1"/>
    </xf>
    <xf numFmtId="166" fontId="103" fillId="12" borderId="41" xfId="4" applyNumberFormat="1" applyFont="1" applyFill="1" applyBorder="1" applyAlignment="1">
      <alignment horizontal="right" vertical="center" shrinkToFit="1"/>
    </xf>
    <xf numFmtId="43" fontId="102" fillId="12" borderId="41" xfId="4" applyFont="1" applyFill="1" applyBorder="1" applyAlignment="1">
      <alignment horizontal="left" vertical="center"/>
    </xf>
    <xf numFmtId="43" fontId="103" fillId="12" borderId="41" xfId="18" applyFont="1" applyFill="1" applyBorder="1" applyAlignment="1">
      <alignment horizontal="left" vertical="top"/>
    </xf>
    <xf numFmtId="166" fontId="103" fillId="12" borderId="41" xfId="4" applyNumberFormat="1" applyFont="1" applyFill="1" applyBorder="1" applyAlignment="1">
      <alignment horizontal="right" vertical="top" shrinkToFit="1"/>
    </xf>
    <xf numFmtId="166" fontId="105" fillId="12" borderId="41" xfId="4" applyNumberFormat="1" applyFont="1" applyFill="1" applyBorder="1" applyAlignment="1">
      <alignment horizontal="right" vertical="top" shrinkToFit="1"/>
    </xf>
    <xf numFmtId="0" fontId="106" fillId="12" borderId="41" xfId="88" applyFont="1" applyFill="1" applyBorder="1" applyAlignment="1">
      <alignment vertical="top" wrapText="1"/>
    </xf>
    <xf numFmtId="166" fontId="103" fillId="12" borderId="44" xfId="4" applyNumberFormat="1" applyFont="1" applyFill="1" applyBorder="1" applyAlignment="1">
      <alignment vertical="center" shrinkToFit="1"/>
    </xf>
    <xf numFmtId="166" fontId="103" fillId="12" borderId="78" xfId="4" applyNumberFormat="1" applyFont="1" applyFill="1" applyBorder="1" applyAlignment="1">
      <alignment vertical="center" shrinkToFit="1"/>
    </xf>
    <xf numFmtId="166" fontId="105" fillId="12" borderId="78" xfId="4" applyNumberFormat="1" applyFont="1" applyFill="1" applyBorder="1" applyAlignment="1">
      <alignment horizontal="right" vertical="top" shrinkToFit="1"/>
    </xf>
    <xf numFmtId="0" fontId="105" fillId="12" borderId="78" xfId="88" applyFont="1" applyFill="1" applyBorder="1" applyAlignment="1">
      <alignment vertical="top" wrapText="1"/>
    </xf>
    <xf numFmtId="43" fontId="105" fillId="12" borderId="78" xfId="4" applyFont="1" applyFill="1" applyBorder="1" applyAlignment="1">
      <alignment vertical="top" wrapText="1"/>
    </xf>
    <xf numFmtId="0" fontId="103" fillId="12" borderId="45" xfId="9" applyFont="1" applyFill="1" applyBorder="1" applyAlignment="1">
      <alignment vertical="center" shrinkToFit="1"/>
    </xf>
    <xf numFmtId="0" fontId="103" fillId="48" borderId="41" xfId="9" applyFont="1" applyFill="1" applyBorder="1" applyAlignment="1">
      <alignment vertical="center" shrinkToFit="1"/>
    </xf>
    <xf numFmtId="43" fontId="105" fillId="0" borderId="41" xfId="4" applyFont="1" applyFill="1" applyBorder="1" applyAlignment="1">
      <alignment vertical="top" wrapText="1"/>
    </xf>
    <xf numFmtId="166" fontId="71" fillId="0" borderId="41" xfId="4" applyNumberFormat="1" applyFont="1" applyFill="1" applyBorder="1" applyAlignment="1">
      <alignment horizontal="center" vertical="top"/>
    </xf>
    <xf numFmtId="166" fontId="71" fillId="48" borderId="41" xfId="4" applyNumberFormat="1" applyFont="1" applyFill="1" applyBorder="1" applyAlignment="1">
      <alignment vertical="top"/>
    </xf>
    <xf numFmtId="166" fontId="103" fillId="0" borderId="41" xfId="4" applyNumberFormat="1" applyFont="1" applyFill="1" applyBorder="1" applyAlignment="1">
      <alignment vertical="top" wrapText="1"/>
    </xf>
    <xf numFmtId="43" fontId="71" fillId="0" borderId="0" xfId="0" applyNumberFormat="1" applyFont="1" applyAlignment="1">
      <alignment horizontal="left" vertical="top" wrapText="1"/>
    </xf>
    <xf numFmtId="43" fontId="103" fillId="0" borderId="11" xfId="9" applyNumberFormat="1" applyFont="1" applyBorder="1" applyAlignment="1">
      <alignment horizontal="right" vertical="center" shrinkToFit="1"/>
    </xf>
    <xf numFmtId="43" fontId="105" fillId="0" borderId="11" xfId="9" applyNumberFormat="1" applyFont="1" applyBorder="1" applyAlignment="1">
      <alignment horizontal="center" vertical="center" shrinkToFit="1"/>
    </xf>
    <xf numFmtId="43" fontId="105" fillId="0" borderId="11" xfId="4" applyFont="1" applyFill="1" applyBorder="1" applyAlignment="1">
      <alignment horizontal="center" vertical="center" shrinkToFit="1"/>
    </xf>
    <xf numFmtId="43" fontId="105" fillId="0" borderId="11" xfId="13" applyFont="1" applyFill="1" applyBorder="1" applyAlignment="1">
      <alignment horizontal="center" vertical="center" shrinkToFit="1"/>
    </xf>
    <xf numFmtId="43" fontId="105" fillId="31" borderId="11" xfId="4" applyFont="1" applyFill="1" applyBorder="1" applyAlignment="1">
      <alignment horizontal="center" vertical="center" shrinkToFit="1"/>
    </xf>
    <xf numFmtId="0" fontId="103" fillId="0" borderId="11" xfId="9" applyFont="1" applyBorder="1" applyAlignment="1">
      <alignment vertical="center" shrinkToFit="1"/>
    </xf>
    <xf numFmtId="166" fontId="103" fillId="0" borderId="11" xfId="4" applyNumberFormat="1" applyFont="1" applyFill="1" applyBorder="1" applyAlignment="1">
      <alignment horizontal="right" vertical="center" shrinkToFit="1"/>
    </xf>
    <xf numFmtId="43" fontId="102" fillId="0" borderId="11" xfId="4" applyFont="1" applyFill="1" applyBorder="1" applyAlignment="1">
      <alignment horizontal="left" vertical="center"/>
    </xf>
    <xf numFmtId="43" fontId="103" fillId="0" borderId="11" xfId="18" applyFont="1" applyFill="1" applyBorder="1" applyAlignment="1">
      <alignment horizontal="left" vertical="top"/>
    </xf>
    <xf numFmtId="166" fontId="103" fillId="0" borderId="11" xfId="4" applyNumberFormat="1" applyFont="1" applyFill="1" applyBorder="1" applyAlignment="1">
      <alignment horizontal="right" vertical="top" shrinkToFit="1"/>
    </xf>
    <xf numFmtId="166" fontId="103" fillId="0" borderId="20" xfId="4" applyNumberFormat="1" applyFont="1" applyFill="1" applyBorder="1" applyAlignment="1">
      <alignment horizontal="right" vertical="top" shrinkToFit="1"/>
    </xf>
    <xf numFmtId="166" fontId="103" fillId="0" borderId="20" xfId="4" applyNumberFormat="1" applyFont="1" applyBorder="1" applyAlignment="1">
      <alignment vertical="center" shrinkToFit="1"/>
    </xf>
    <xf numFmtId="166" fontId="105" fillId="0" borderId="20" xfId="4" applyNumberFormat="1" applyFont="1" applyFill="1" applyBorder="1" applyAlignment="1">
      <alignment horizontal="right" vertical="top" shrinkToFit="1"/>
    </xf>
    <xf numFmtId="0" fontId="105" fillId="0" borderId="20" xfId="88" applyFont="1" applyBorder="1" applyAlignment="1">
      <alignment vertical="top" wrapText="1"/>
    </xf>
    <xf numFmtId="43" fontId="105" fillId="0" borderId="0" xfId="4" applyFont="1" applyBorder="1" applyAlignment="1">
      <alignment vertical="top" wrapText="1"/>
    </xf>
    <xf numFmtId="0" fontId="103" fillId="0" borderId="41" xfId="0" applyFont="1" applyBorder="1" applyAlignment="1">
      <alignment vertical="top" shrinkToFit="1"/>
    </xf>
    <xf numFmtId="166" fontId="103" fillId="0" borderId="41" xfId="4" applyNumberFormat="1" applyFont="1" applyFill="1" applyBorder="1" applyAlignment="1">
      <alignment horizontal="right" vertical="top" wrapText="1" shrinkToFit="1"/>
    </xf>
    <xf numFmtId="43" fontId="102" fillId="0" borderId="79" xfId="4" applyFont="1" applyBorder="1" applyAlignment="1">
      <alignment vertical="top" shrinkToFit="1"/>
    </xf>
    <xf numFmtId="43" fontId="102" fillId="30" borderId="66" xfId="4" applyFont="1" applyFill="1" applyBorder="1" applyAlignment="1">
      <alignment horizontal="center" vertical="center" shrinkToFit="1"/>
    </xf>
    <xf numFmtId="0" fontId="102" fillId="30" borderId="66" xfId="9" applyFont="1" applyFill="1" applyBorder="1" applyAlignment="1">
      <alignment vertical="center" shrinkToFit="1"/>
    </xf>
    <xf numFmtId="0" fontId="102" fillId="0" borderId="45" xfId="9" applyFont="1" applyBorder="1" applyAlignment="1">
      <alignment vertical="top" shrinkToFit="1"/>
    </xf>
    <xf numFmtId="0" fontId="11" fillId="0" borderId="0" xfId="0" applyFont="1" applyAlignment="1">
      <alignment vertical="top" wrapText="1"/>
    </xf>
    <xf numFmtId="43" fontId="105" fillId="0" borderId="44" xfId="9" applyNumberFormat="1" applyFont="1" applyBorder="1" applyAlignment="1">
      <alignment horizontal="center" vertical="center" shrinkToFit="1"/>
    </xf>
    <xf numFmtId="43" fontId="105" fillId="0" borderId="44" xfId="4" applyFont="1" applyFill="1" applyBorder="1" applyAlignment="1">
      <alignment horizontal="center" vertical="center" shrinkToFit="1"/>
    </xf>
    <xf numFmtId="43" fontId="105" fillId="0" borderId="44" xfId="13" applyFont="1" applyFill="1" applyBorder="1" applyAlignment="1">
      <alignment horizontal="center" vertical="center" shrinkToFit="1"/>
    </xf>
    <xf numFmtId="43" fontId="105" fillId="31" borderId="44" xfId="4" applyFont="1" applyFill="1" applyBorder="1" applyAlignment="1">
      <alignment horizontal="center" vertical="center" shrinkToFit="1"/>
    </xf>
    <xf numFmtId="166" fontId="103" fillId="0" borderId="44" xfId="4" applyNumberFormat="1" applyFont="1" applyFill="1" applyBorder="1" applyAlignment="1">
      <alignment horizontal="right" vertical="center" shrinkToFit="1"/>
    </xf>
    <xf numFmtId="43" fontId="103" fillId="0" borderId="44" xfId="18" applyFont="1" applyFill="1" applyBorder="1" applyAlignment="1">
      <alignment horizontal="left" vertical="top"/>
    </xf>
    <xf numFmtId="166" fontId="103" fillId="0" borderId="44" xfId="4" applyNumberFormat="1" applyFont="1" applyFill="1" applyBorder="1" applyAlignment="1">
      <alignment horizontal="right" vertical="top" shrinkToFit="1"/>
    </xf>
    <xf numFmtId="166" fontId="103" fillId="0" borderId="43" xfId="4" applyNumberFormat="1" applyFont="1" applyFill="1" applyBorder="1" applyAlignment="1">
      <alignment horizontal="right" vertical="top" shrinkToFit="1"/>
    </xf>
    <xf numFmtId="0" fontId="121" fillId="0" borderId="0" xfId="17" applyFont="1" applyAlignment="1">
      <alignment vertical="top"/>
    </xf>
    <xf numFmtId="0" fontId="75" fillId="0" borderId="0" xfId="0" applyFont="1"/>
    <xf numFmtId="0" fontId="121" fillId="0" borderId="0" xfId="17" applyFont="1" applyAlignment="1">
      <alignment horizontal="center" vertical="top"/>
    </xf>
    <xf numFmtId="0" fontId="121" fillId="0" borderId="18" xfId="17" applyFont="1" applyBorder="1" applyAlignment="1">
      <alignment vertical="top"/>
    </xf>
    <xf numFmtId="0" fontId="76" fillId="0" borderId="56" xfId="0" applyFont="1" applyBorder="1" applyAlignment="1">
      <alignment horizontal="center"/>
    </xf>
    <xf numFmtId="0" fontId="76" fillId="0" borderId="0" xfId="0" applyFont="1"/>
    <xf numFmtId="0" fontId="75" fillId="0" borderId="56" xfId="0" applyFont="1" applyBorder="1" applyAlignment="1">
      <alignment horizontal="center" vertical="top"/>
    </xf>
    <xf numFmtId="0" fontId="71" fillId="0" borderId="56" xfId="95" applyFont="1" applyBorder="1" applyAlignment="1">
      <alignment horizontal="left" vertical="top" wrapText="1"/>
    </xf>
    <xf numFmtId="0" fontId="71" fillId="0" borderId="56" xfId="95" applyFont="1" applyBorder="1" applyAlignment="1">
      <alignment horizontal="center" vertical="top"/>
    </xf>
    <xf numFmtId="4" fontId="71" fillId="0" borderId="56" xfId="95" applyNumberFormat="1" applyFont="1" applyBorder="1" applyAlignment="1">
      <alignment horizontal="right" vertical="top"/>
    </xf>
    <xf numFmtId="0" fontId="71" fillId="0" borderId="56" xfId="0" applyFont="1" applyBorder="1" applyAlignment="1">
      <alignment vertical="center"/>
    </xf>
    <xf numFmtId="0" fontId="71" fillId="0" borderId="56" xfId="0" applyFont="1" applyBorder="1" applyAlignment="1">
      <alignment horizontal="center" vertical="center"/>
    </xf>
    <xf numFmtId="43" fontId="71" fillId="0" borderId="56" xfId="4" applyFont="1" applyFill="1" applyBorder="1" applyAlignment="1">
      <alignment horizontal="right" vertical="center"/>
    </xf>
    <xf numFmtId="0" fontId="71" fillId="0" borderId="56" xfId="95" applyFont="1" applyBorder="1" applyAlignment="1">
      <alignment horizontal="left" vertical="top"/>
    </xf>
    <xf numFmtId="0" fontId="71" fillId="0" borderId="56" xfId="0" applyFont="1" applyBorder="1" applyAlignment="1">
      <alignment vertical="top" wrapText="1"/>
    </xf>
    <xf numFmtId="0" fontId="71" fillId="0" borderId="56" xfId="0" applyFont="1" applyBorder="1" applyAlignment="1">
      <alignment horizontal="center" vertical="top"/>
    </xf>
    <xf numFmtId="43" fontId="71" fillId="0" borderId="56" xfId="4" applyFont="1" applyFill="1" applyBorder="1" applyAlignment="1">
      <alignment horizontal="right" vertical="top"/>
    </xf>
    <xf numFmtId="0" fontId="71" fillId="0" borderId="56" xfId="0" applyFont="1" applyBorder="1" applyAlignment="1">
      <alignment vertical="top"/>
    </xf>
    <xf numFmtId="0" fontId="75" fillId="0" borderId="0" xfId="0" applyFont="1" applyAlignment="1">
      <alignment vertical="top"/>
    </xf>
    <xf numFmtId="168" fontId="71" fillId="0" borderId="56" xfId="4" applyNumberFormat="1" applyFont="1" applyFill="1" applyBorder="1" applyAlignment="1">
      <alignment horizontal="right" vertical="top"/>
    </xf>
    <xf numFmtId="0" fontId="71" fillId="0" borderId="56" xfId="95" applyFont="1" applyBorder="1" applyAlignment="1">
      <alignment horizontal="left" vertical="center"/>
    </xf>
    <xf numFmtId="0" fontId="71" fillId="0" borderId="56" xfId="95" applyFont="1" applyBorder="1" applyAlignment="1">
      <alignment horizontal="center" vertical="center"/>
    </xf>
    <xf numFmtId="4" fontId="71" fillId="0" borderId="56" xfId="95" applyNumberFormat="1" applyFont="1" applyBorder="1" applyAlignment="1">
      <alignment horizontal="right" vertical="center"/>
    </xf>
    <xf numFmtId="0" fontId="71" fillId="0" borderId="56" xfId="95" applyFont="1" applyBorder="1" applyAlignment="1">
      <alignment horizontal="left" vertical="center" wrapText="1"/>
    </xf>
    <xf numFmtId="0" fontId="71" fillId="0" borderId="56" xfId="95" applyFont="1" applyBorder="1" applyAlignment="1">
      <alignment horizontal="justify" vertical="center"/>
    </xf>
    <xf numFmtId="43" fontId="71" fillId="0" borderId="56" xfId="18" applyFont="1" applyFill="1" applyBorder="1" applyAlignment="1">
      <alignment horizontal="right" vertical="center"/>
    </xf>
    <xf numFmtId="43" fontId="71" fillId="0" borderId="56" xfId="95" applyNumberFormat="1" applyFont="1" applyBorder="1" applyAlignment="1">
      <alignment horizontal="right" vertical="center"/>
    </xf>
    <xf numFmtId="0" fontId="71" fillId="0" borderId="56" xfId="95" applyFont="1" applyBorder="1" applyAlignment="1">
      <alignment vertical="center"/>
    </xf>
    <xf numFmtId="0" fontId="71" fillId="0" borderId="56" xfId="0" applyFont="1" applyBorder="1" applyAlignment="1">
      <alignment horizontal="left" vertical="top" wrapText="1"/>
    </xf>
    <xf numFmtId="4" fontId="71" fillId="0" borderId="56" xfId="0" applyNumberFormat="1" applyFont="1" applyBorder="1" applyAlignment="1">
      <alignment horizontal="right" vertical="top" wrapText="1"/>
    </xf>
    <xf numFmtId="0" fontId="71" fillId="0" borderId="56" xfId="0" applyFont="1" applyBorder="1" applyAlignment="1">
      <alignment horizontal="left" vertical="top"/>
    </xf>
    <xf numFmtId="4" fontId="71" fillId="0" borderId="56" xfId="0" applyNumberFormat="1" applyFont="1" applyBorder="1" applyAlignment="1">
      <alignment horizontal="right" vertical="center"/>
    </xf>
    <xf numFmtId="0" fontId="71" fillId="0" borderId="56" xfId="0" applyFont="1" applyBorder="1" applyAlignment="1">
      <alignment horizontal="left" vertical="center"/>
    </xf>
    <xf numFmtId="0" fontId="75" fillId="0" borderId="85" xfId="0" applyFont="1" applyBorder="1" applyAlignment="1">
      <alignment horizontal="left"/>
    </xf>
    <xf numFmtId="0" fontId="75" fillId="0" borderId="85" xfId="0" applyFont="1" applyBorder="1" applyAlignment="1">
      <alignment horizontal="center"/>
    </xf>
    <xf numFmtId="4" fontId="75" fillId="0" borderId="85" xfId="0" applyNumberFormat="1" applyFont="1" applyBorder="1" applyAlignment="1">
      <alignment horizontal="right"/>
    </xf>
    <xf numFmtId="0" fontId="75" fillId="0" borderId="85" xfId="0" applyFont="1" applyBorder="1" applyAlignment="1">
      <alignment horizontal="left" vertical="top"/>
    </xf>
    <xf numFmtId="0" fontId="75" fillId="0" borderId="85" xfId="0" applyFont="1" applyBorder="1" applyAlignment="1">
      <alignment horizontal="center" vertical="top"/>
    </xf>
    <xf numFmtId="4" fontId="75" fillId="0" borderId="85" xfId="0" applyNumberFormat="1" applyFont="1" applyBorder="1" applyAlignment="1">
      <alignment horizontal="right" vertical="top"/>
    </xf>
    <xf numFmtId="0" fontId="75" fillId="0" borderId="85" xfId="0" applyFont="1" applyBorder="1" applyAlignment="1">
      <alignment horizontal="left" vertical="top" wrapText="1"/>
    </xf>
    <xf numFmtId="0" fontId="75" fillId="0" borderId="72" xfId="0" applyFont="1" applyBorder="1" applyAlignment="1">
      <alignment horizontal="center" vertical="top"/>
    </xf>
    <xf numFmtId="0" fontId="75" fillId="0" borderId="86" xfId="0" applyFont="1" applyBorder="1" applyAlignment="1">
      <alignment horizontal="left"/>
    </xf>
    <xf numFmtId="0" fontId="75" fillId="0" borderId="86" xfId="0" applyFont="1" applyBorder="1" applyAlignment="1">
      <alignment horizontal="center"/>
    </xf>
    <xf numFmtId="4" fontId="75" fillId="0" borderId="86" xfId="0" applyNumberFormat="1" applyFont="1" applyBorder="1" applyAlignment="1">
      <alignment horizontal="right"/>
    </xf>
    <xf numFmtId="0" fontId="75" fillId="0" borderId="56" xfId="0" applyFont="1" applyBorder="1" applyAlignment="1">
      <alignment horizontal="left"/>
    </xf>
    <xf numFmtId="0" fontId="75" fillId="0" borderId="56" xfId="0" applyFont="1" applyBorder="1" applyAlignment="1">
      <alignment horizontal="center"/>
    </xf>
    <xf numFmtId="4" fontId="75" fillId="0" borderId="56" xfId="0" applyNumberFormat="1" applyFont="1" applyBorder="1" applyAlignment="1">
      <alignment horizontal="right"/>
    </xf>
    <xf numFmtId="0" fontId="75" fillId="0" borderId="0" xfId="0" applyFont="1" applyAlignment="1">
      <alignment horizontal="center" vertical="top"/>
    </xf>
    <xf numFmtId="0" fontId="75" fillId="0" borderId="0" xfId="0" applyFont="1" applyAlignment="1">
      <alignment horizontal="left"/>
    </xf>
    <xf numFmtId="0" fontId="75" fillId="0" borderId="0" xfId="0" applyFont="1" applyAlignment="1">
      <alignment horizontal="center"/>
    </xf>
    <xf numFmtId="4" fontId="75" fillId="0" borderId="0" xfId="0" applyNumberFormat="1" applyFont="1" applyAlignment="1">
      <alignment horizontal="right"/>
    </xf>
    <xf numFmtId="4" fontId="122" fillId="0" borderId="0" xfId="0" applyNumberFormat="1" applyFont="1" applyAlignment="1">
      <alignment horizontal="right"/>
    </xf>
    <xf numFmtId="0" fontId="75" fillId="0" borderId="18" xfId="0" applyFont="1" applyBorder="1" applyAlignment="1">
      <alignment horizontal="center" vertical="top"/>
    </xf>
    <xf numFmtId="0" fontId="75" fillId="0" borderId="18" xfId="0" applyFont="1" applyBorder="1" applyAlignment="1">
      <alignment horizontal="left"/>
    </xf>
    <xf numFmtId="0" fontId="75" fillId="0" borderId="18" xfId="0" applyFont="1" applyBorder="1" applyAlignment="1">
      <alignment horizontal="center"/>
    </xf>
    <xf numFmtId="4" fontId="75" fillId="0" borderId="18" xfId="0" applyNumberFormat="1" applyFont="1" applyBorder="1" applyAlignment="1">
      <alignment horizontal="right"/>
    </xf>
    <xf numFmtId="4" fontId="122" fillId="0" borderId="18" xfId="0" applyNumberFormat="1" applyFont="1" applyBorder="1" applyAlignment="1">
      <alignment horizontal="right"/>
    </xf>
    <xf numFmtId="0" fontId="75" fillId="0" borderId="4" xfId="0" applyFont="1" applyBorder="1" applyAlignment="1">
      <alignment horizontal="center" vertical="top"/>
    </xf>
    <xf numFmtId="0" fontId="75" fillId="0" borderId="88" xfId="0" applyFont="1" applyBorder="1" applyAlignment="1">
      <alignment horizontal="left"/>
    </xf>
    <xf numFmtId="0" fontId="75" fillId="0" borderId="88" xfId="0" applyFont="1" applyBorder="1" applyAlignment="1">
      <alignment horizontal="center"/>
    </xf>
    <xf numFmtId="4" fontId="75" fillId="0" borderId="88" xfId="0" applyNumberFormat="1" applyFont="1" applyBorder="1" applyAlignment="1">
      <alignment horizontal="right"/>
    </xf>
    <xf numFmtId="0" fontId="75" fillId="0" borderId="85" xfId="0" applyFont="1" applyBorder="1" applyAlignment="1">
      <alignment horizontal="left" shrinkToFit="1"/>
    </xf>
    <xf numFmtId="0" fontId="75" fillId="0" borderId="56" xfId="0" applyFont="1" applyBorder="1" applyAlignment="1">
      <alignment vertical="top"/>
    </xf>
    <xf numFmtId="43" fontId="75" fillId="0" borderId="56" xfId="4" applyFont="1" applyFill="1" applyBorder="1" applyAlignment="1">
      <alignment horizontal="right" vertical="top"/>
    </xf>
    <xf numFmtId="0" fontId="75" fillId="0" borderId="56" xfId="0" applyFont="1" applyBorder="1" applyAlignment="1">
      <alignment vertical="top" wrapText="1"/>
    </xf>
    <xf numFmtId="43" fontId="75" fillId="0" borderId="0" xfId="4" applyFont="1" applyFill="1" applyBorder="1" applyAlignment="1">
      <alignment horizontal="right" vertical="top"/>
    </xf>
    <xf numFmtId="43" fontId="123" fillId="0" borderId="0" xfId="4" applyFont="1" applyFill="1" applyBorder="1" applyAlignment="1">
      <alignment horizontal="right" vertical="top"/>
    </xf>
    <xf numFmtId="0" fontId="75" fillId="0" borderId="0" xfId="0" applyFont="1" applyAlignment="1">
      <alignment vertical="top" wrapText="1"/>
    </xf>
    <xf numFmtId="0" fontId="71" fillId="0" borderId="0" xfId="95" applyFont="1" applyAlignment="1">
      <alignment horizontal="left" vertical="center" wrapText="1"/>
    </xf>
    <xf numFmtId="0" fontId="71" fillId="0" borderId="0" xfId="95" applyFont="1" applyAlignment="1">
      <alignment horizontal="center" vertical="center"/>
    </xf>
    <xf numFmtId="43" fontId="71" fillId="0" borderId="56" xfId="4" applyFont="1" applyFill="1" applyBorder="1" applyAlignment="1">
      <alignment vertical="top"/>
    </xf>
    <xf numFmtId="43" fontId="75" fillId="0" borderId="56" xfId="4" applyFont="1" applyFill="1" applyBorder="1" applyAlignment="1">
      <alignment vertical="top"/>
    </xf>
    <xf numFmtId="43" fontId="75" fillId="0" borderId="56" xfId="4" applyFont="1" applyFill="1" applyBorder="1" applyAlignment="1">
      <alignment horizontal="center" vertical="top"/>
    </xf>
    <xf numFmtId="43" fontId="71" fillId="0" borderId="56" xfId="4" applyFont="1" applyBorder="1" applyAlignment="1">
      <alignment horizontal="center" vertical="top"/>
    </xf>
    <xf numFmtId="43" fontId="71" fillId="0" borderId="56" xfId="4" applyFont="1" applyBorder="1" applyAlignment="1">
      <alignment horizontal="right" vertical="top"/>
    </xf>
    <xf numFmtId="0" fontId="71" fillId="0" borderId="56" xfId="190" applyFont="1" applyBorder="1" applyAlignment="1">
      <alignment horizontal="left" vertical="top"/>
    </xf>
    <xf numFmtId="0" fontId="71" fillId="0" borderId="56" xfId="190" applyFont="1" applyBorder="1" applyAlignment="1">
      <alignment horizontal="left" vertical="top" wrapText="1"/>
    </xf>
    <xf numFmtId="43" fontId="71" fillId="0" borderId="0" xfId="18" applyFont="1" applyFill="1" applyBorder="1" applyAlignment="1">
      <alignment horizontal="left" vertical="center"/>
    </xf>
    <xf numFmtId="43" fontId="124" fillId="0" borderId="0" xfId="4" applyFont="1" applyFill="1" applyBorder="1" applyAlignment="1">
      <alignment horizontal="right" vertical="center"/>
    </xf>
    <xf numFmtId="43" fontId="45" fillId="0" borderId="0" xfId="4" applyFont="1" applyFill="1" applyBorder="1" applyAlignment="1">
      <alignment horizontal="right" vertical="center"/>
    </xf>
    <xf numFmtId="43" fontId="71" fillId="0" borderId="0" xfId="4" applyFont="1" applyFill="1" applyBorder="1" applyAlignment="1">
      <alignment horizontal="right" vertical="center"/>
    </xf>
    <xf numFmtId="0" fontId="75" fillId="0" borderId="18" xfId="0" applyFont="1" applyBorder="1"/>
    <xf numFmtId="0" fontId="71" fillId="0" borderId="56" xfId="0" applyFont="1" applyBorder="1" applyAlignment="1">
      <alignment horizontal="right" vertical="center"/>
    </xf>
    <xf numFmtId="0" fontId="75" fillId="0" borderId="56" xfId="0" applyFont="1" applyBorder="1"/>
    <xf numFmtId="43" fontId="75" fillId="0" borderId="56" xfId="4" applyFont="1" applyFill="1" applyBorder="1" applyAlignment="1">
      <alignment horizontal="right"/>
    </xf>
    <xf numFmtId="0" fontId="74" fillId="0" borderId="56" xfId="0" applyFont="1" applyBorder="1" applyAlignment="1">
      <alignment horizontal="left"/>
    </xf>
    <xf numFmtId="0" fontId="74" fillId="0" borderId="56" xfId="0" applyFont="1" applyBorder="1" applyAlignment="1">
      <alignment horizontal="center"/>
    </xf>
    <xf numFmtId="4" fontId="74" fillId="0" borderId="56" xfId="0" applyNumberFormat="1" applyFont="1" applyBorder="1" applyAlignment="1">
      <alignment horizontal="right"/>
    </xf>
    <xf numFmtId="0" fontId="74" fillId="0" borderId="56" xfId="0" applyFont="1" applyBorder="1" applyAlignment="1">
      <alignment horizontal="left" shrinkToFit="1"/>
    </xf>
    <xf numFmtId="0" fontId="75" fillId="0" borderId="56" xfId="0" applyFont="1" applyBorder="1" applyAlignment="1">
      <alignment horizontal="left" shrinkToFit="1"/>
    </xf>
    <xf numFmtId="0" fontId="75" fillId="0" borderId="87" xfId="0" applyFont="1" applyBorder="1" applyAlignment="1">
      <alignment horizontal="center"/>
    </xf>
    <xf numFmtId="0" fontId="75" fillId="0" borderId="87" xfId="0" applyFont="1" applyBorder="1" applyAlignment="1">
      <alignment horizontal="left"/>
    </xf>
    <xf numFmtId="4" fontId="75" fillId="0" borderId="87" xfId="0" applyNumberFormat="1" applyFont="1" applyBorder="1" applyAlignment="1">
      <alignment horizontal="left"/>
    </xf>
    <xf numFmtId="4" fontId="122" fillId="0" borderId="87" xfId="0" applyNumberFormat="1" applyFont="1" applyBorder="1" applyAlignment="1">
      <alignment horizontal="right"/>
    </xf>
    <xf numFmtId="0" fontId="75" fillId="0" borderId="87" xfId="0" applyFont="1" applyBorder="1" applyAlignment="1">
      <alignment horizontal="left" shrinkToFit="1"/>
    </xf>
    <xf numFmtId="0" fontId="75" fillId="0" borderId="56" xfId="0" applyFont="1" applyBorder="1" applyAlignment="1">
      <alignment horizontal="left" vertical="top"/>
    </xf>
    <xf numFmtId="4" fontId="75" fillId="0" borderId="56" xfId="0" applyNumberFormat="1" applyFont="1" applyBorder="1" applyAlignment="1">
      <alignment horizontal="right" vertical="top"/>
    </xf>
    <xf numFmtId="0" fontId="75" fillId="0" borderId="56" xfId="0" applyFont="1" applyBorder="1" applyAlignment="1">
      <alignment horizontal="left" vertical="top" wrapText="1"/>
    </xf>
    <xf numFmtId="4" fontId="75" fillId="0" borderId="0" xfId="0" applyNumberFormat="1" applyFont="1" applyAlignment="1">
      <alignment horizontal="left"/>
    </xf>
    <xf numFmtId="0" fontId="75" fillId="0" borderId="57" xfId="0" applyFont="1" applyBorder="1" applyAlignment="1">
      <alignment horizontal="center" vertical="top"/>
    </xf>
    <xf numFmtId="0" fontId="71" fillId="0" borderId="57" xfId="0" applyFont="1" applyBorder="1" applyAlignment="1">
      <alignment vertical="top" wrapText="1"/>
    </xf>
    <xf numFmtId="0" fontId="71" fillId="0" borderId="57" xfId="0" applyFont="1" applyBorder="1" applyAlignment="1">
      <alignment horizontal="center" vertical="top"/>
    </xf>
    <xf numFmtId="43" fontId="71" fillId="0" borderId="57" xfId="4" applyFont="1" applyFill="1" applyBorder="1" applyAlignment="1">
      <alignment vertical="top"/>
    </xf>
    <xf numFmtId="43" fontId="124" fillId="0" borderId="57" xfId="4" applyFont="1" applyFill="1" applyBorder="1" applyAlignment="1">
      <alignment vertical="top"/>
    </xf>
    <xf numFmtId="0" fontId="71" fillId="0" borderId="57" xfId="0" applyFont="1" applyBorder="1" applyAlignment="1">
      <alignment vertical="top"/>
    </xf>
    <xf numFmtId="43" fontId="124" fillId="0" borderId="0" xfId="4" applyFont="1" applyFill="1" applyBorder="1" applyAlignment="1">
      <alignment vertical="top"/>
    </xf>
    <xf numFmtId="0" fontId="71" fillId="0" borderId="0" xfId="0" applyFont="1" applyAlignment="1">
      <alignment vertical="top" wrapText="1"/>
    </xf>
    <xf numFmtId="0" fontId="71" fillId="0" borderId="0" xfId="0" applyFont="1" applyAlignment="1">
      <alignment horizontal="center" vertical="top"/>
    </xf>
    <xf numFmtId="43" fontId="71" fillId="0" borderId="0" xfId="4" applyFont="1" applyFill="1" applyBorder="1" applyAlignment="1">
      <alignment vertical="top"/>
    </xf>
    <xf numFmtId="0" fontId="74" fillId="0" borderId="56" xfId="0" applyFont="1" applyBorder="1" applyAlignment="1">
      <alignment horizontal="left" vertical="top"/>
    </xf>
    <xf numFmtId="0" fontId="74" fillId="0" borderId="56" xfId="0" applyFont="1" applyBorder="1" applyAlignment="1">
      <alignment horizontal="center" vertical="top"/>
    </xf>
    <xf numFmtId="4" fontId="74" fillId="0" borderId="56" xfId="0" applyNumberFormat="1" applyFont="1" applyBorder="1" applyAlignment="1">
      <alignment horizontal="right" vertical="top"/>
    </xf>
    <xf numFmtId="0" fontId="75" fillId="0" borderId="72" xfId="0" applyFont="1" applyBorder="1" applyAlignment="1">
      <alignment horizontal="center"/>
    </xf>
    <xf numFmtId="0" fontId="75" fillId="0" borderId="72" xfId="0" applyFont="1" applyBorder="1" applyAlignment="1">
      <alignment horizontal="left"/>
    </xf>
    <xf numFmtId="4" fontId="75" fillId="0" borderId="72" xfId="0" applyNumberFormat="1" applyFont="1" applyBorder="1" applyAlignment="1">
      <alignment horizontal="right"/>
    </xf>
    <xf numFmtId="0" fontId="75" fillId="0" borderId="89" xfId="0" applyFont="1" applyBorder="1" applyAlignment="1">
      <alignment horizontal="center"/>
    </xf>
    <xf numFmtId="4" fontId="122" fillId="0" borderId="89" xfId="0" applyNumberFormat="1" applyFont="1" applyBorder="1" applyAlignment="1">
      <alignment horizontal="right"/>
    </xf>
    <xf numFmtId="0" fontId="75" fillId="0" borderId="89" xfId="0" applyFont="1" applyBorder="1" applyAlignment="1">
      <alignment horizontal="left"/>
    </xf>
    <xf numFmtId="4" fontId="122" fillId="0" borderId="0" xfId="0" applyNumberFormat="1" applyFont="1"/>
    <xf numFmtId="4" fontId="71" fillId="0" borderId="56" xfId="95" applyNumberFormat="1" applyFont="1" applyBorder="1" applyAlignment="1">
      <alignment vertical="center"/>
    </xf>
    <xf numFmtId="43" fontId="71" fillId="0" borderId="56" xfId="18" applyFont="1" applyFill="1" applyBorder="1" applyAlignment="1">
      <alignment vertical="center"/>
    </xf>
    <xf numFmtId="43" fontId="71" fillId="0" borderId="56" xfId="95" applyNumberFormat="1" applyFont="1" applyBorder="1" applyAlignment="1">
      <alignment vertical="center"/>
    </xf>
    <xf numFmtId="43" fontId="71" fillId="0" borderId="56" xfId="4" applyFont="1" applyFill="1" applyBorder="1" applyAlignment="1">
      <alignment vertical="center"/>
    </xf>
    <xf numFmtId="4" fontId="74" fillId="0" borderId="56" xfId="0" applyNumberFormat="1" applyFont="1" applyBorder="1"/>
    <xf numFmtId="4" fontId="75" fillId="0" borderId="56" xfId="0" applyNumberFormat="1" applyFont="1" applyBorder="1"/>
    <xf numFmtId="4" fontId="75" fillId="0" borderId="56" xfId="0" applyNumberFormat="1" applyFont="1" applyBorder="1" applyAlignment="1">
      <alignment vertical="top"/>
    </xf>
    <xf numFmtId="0" fontId="75" fillId="0" borderId="87" xfId="0" applyFont="1" applyBorder="1" applyAlignment="1">
      <alignment horizontal="left" vertical="top"/>
    </xf>
    <xf numFmtId="0" fontId="75" fillId="0" borderId="87" xfId="0" applyFont="1" applyBorder="1" applyAlignment="1">
      <alignment horizontal="center" vertical="top"/>
    </xf>
    <xf numFmtId="4" fontId="75" fillId="0" borderId="87" xfId="0" applyNumberFormat="1" applyFont="1" applyBorder="1" applyAlignment="1">
      <alignment vertical="top"/>
    </xf>
    <xf numFmtId="4" fontId="122" fillId="0" borderId="87" xfId="0" applyNumberFormat="1" applyFont="1" applyBorder="1" applyAlignment="1">
      <alignment vertical="top"/>
    </xf>
    <xf numFmtId="0" fontId="75" fillId="0" borderId="87" xfId="0" applyFont="1" applyBorder="1" applyAlignment="1">
      <alignment horizontal="left" vertical="top" wrapText="1"/>
    </xf>
    <xf numFmtId="0" fontId="75" fillId="0" borderId="56" xfId="0" applyFont="1" applyBorder="1" applyAlignment="1">
      <alignment horizontal="left" vertical="top" shrinkToFit="1"/>
    </xf>
    <xf numFmtId="4" fontId="75" fillId="0" borderId="89" xfId="0" applyNumberFormat="1" applyFont="1" applyBorder="1"/>
    <xf numFmtId="4" fontId="122" fillId="0" borderId="89" xfId="0" applyNumberFormat="1" applyFont="1" applyBorder="1"/>
    <xf numFmtId="43" fontId="75" fillId="0" borderId="56" xfId="4" applyFont="1" applyFill="1" applyBorder="1" applyAlignment="1"/>
    <xf numFmtId="0" fontId="71" fillId="0" borderId="0" xfId="0" applyFont="1" applyAlignment="1">
      <alignment horizontal="center" vertical="center"/>
    </xf>
    <xf numFmtId="43" fontId="71" fillId="0" borderId="0" xfId="4" applyFont="1" applyFill="1" applyBorder="1" applyAlignment="1">
      <alignment vertical="center"/>
    </xf>
    <xf numFmtId="43" fontId="124" fillId="0" borderId="0" xfId="4" applyFont="1" applyFill="1" applyBorder="1" applyAlignment="1">
      <alignment vertical="center"/>
    </xf>
    <xf numFmtId="0" fontId="71" fillId="0" borderId="56" xfId="0" applyFont="1" applyBorder="1" applyAlignment="1">
      <alignment wrapText="1"/>
    </xf>
    <xf numFmtId="0" fontId="71" fillId="0" borderId="56" xfId="0" applyFont="1" applyBorder="1" applyAlignment="1">
      <alignment horizontal="center" wrapText="1"/>
    </xf>
    <xf numFmtId="43" fontId="71" fillId="0" borderId="56" xfId="150" applyFont="1" applyFill="1" applyBorder="1" applyAlignment="1">
      <alignment horizontal="right" wrapText="1"/>
    </xf>
    <xf numFmtId="4" fontId="71" fillId="0" borderId="56" xfId="150" applyNumberFormat="1" applyFont="1" applyFill="1" applyBorder="1" applyAlignment="1">
      <alignment wrapText="1"/>
    </xf>
    <xf numFmtId="0" fontId="71" fillId="0" borderId="56" xfId="0" applyFont="1" applyBorder="1" applyAlignment="1">
      <alignment vertical="center" wrapText="1"/>
    </xf>
    <xf numFmtId="0" fontId="71" fillId="0" borderId="56" xfId="0" applyFont="1" applyBorder="1" applyAlignment="1">
      <alignment horizontal="center" vertical="center" wrapText="1"/>
    </xf>
    <xf numFmtId="43" fontId="71" fillId="0" borderId="56" xfId="4" applyFont="1" applyFill="1" applyBorder="1" applyAlignment="1">
      <alignment horizontal="center" vertical="center" wrapText="1"/>
    </xf>
    <xf numFmtId="43" fontId="71" fillId="0" borderId="56" xfId="4" applyFont="1" applyFill="1" applyBorder="1" applyAlignment="1">
      <alignment horizontal="center" vertical="top"/>
    </xf>
    <xf numFmtId="43" fontId="71" fillId="0" borderId="56" xfId="11" applyFont="1" applyFill="1" applyBorder="1" applyAlignment="1">
      <alignment horizontal="right" vertical="top" wrapText="1" shrinkToFit="1"/>
    </xf>
    <xf numFmtId="0" fontId="71" fillId="0" borderId="56" xfId="95" applyFont="1" applyBorder="1" applyAlignment="1">
      <alignment vertical="top"/>
    </xf>
    <xf numFmtId="0" fontId="71" fillId="0" borderId="87" xfId="0" applyFont="1" applyBorder="1" applyAlignment="1">
      <alignment vertical="center" wrapText="1"/>
    </xf>
    <xf numFmtId="0" fontId="71" fillId="0" borderId="87" xfId="0" applyFont="1" applyBorder="1" applyAlignment="1">
      <alignment horizontal="center" vertical="center" wrapText="1"/>
    </xf>
    <xf numFmtId="43" fontId="71" fillId="0" borderId="87" xfId="4" applyFont="1" applyFill="1" applyBorder="1" applyAlignment="1">
      <alignment horizontal="center" vertical="center" wrapText="1"/>
    </xf>
    <xf numFmtId="43" fontId="124" fillId="0" borderId="87" xfId="4" applyFont="1" applyFill="1" applyBorder="1" applyAlignment="1">
      <alignment horizontal="right" vertical="center"/>
    </xf>
    <xf numFmtId="0" fontId="71" fillId="0" borderId="87" xfId="95" applyFont="1" applyBorder="1" applyAlignment="1">
      <alignment vertical="center"/>
    </xf>
    <xf numFmtId="169" fontId="71" fillId="0" borderId="56" xfId="4" applyNumberFormat="1" applyFont="1" applyFill="1" applyBorder="1" applyAlignment="1">
      <alignment horizontal="right" vertical="center" wrapText="1"/>
    </xf>
    <xf numFmtId="170" fontId="71" fillId="0" borderId="56" xfId="0" applyNumberFormat="1" applyFont="1" applyBorder="1" applyAlignment="1">
      <alignment horizontal="right" vertical="center" wrapText="1"/>
    </xf>
    <xf numFmtId="0" fontId="75" fillId="0" borderId="90" xfId="0" applyFont="1" applyBorder="1" applyAlignment="1">
      <alignment horizontal="left"/>
    </xf>
    <xf numFmtId="0" fontId="75" fillId="0" borderId="90" xfId="0" applyFont="1" applyBorder="1" applyAlignment="1">
      <alignment horizontal="center"/>
    </xf>
    <xf numFmtId="4" fontId="75" fillId="0" borderId="90" xfId="0" applyNumberFormat="1" applyFont="1" applyBorder="1" applyAlignment="1">
      <alignment horizontal="right"/>
    </xf>
    <xf numFmtId="0" fontId="75" fillId="0" borderId="56" xfId="0" applyFont="1" applyBorder="1" applyAlignment="1">
      <alignment vertical="top" shrinkToFit="1"/>
    </xf>
    <xf numFmtId="43" fontId="71" fillId="0" borderId="56" xfId="4" applyFont="1" applyFill="1" applyBorder="1" applyAlignment="1">
      <alignment horizontal="right" vertical="top" wrapText="1" shrinkToFit="1"/>
    </xf>
    <xf numFmtId="170" fontId="71" fillId="0" borderId="56" xfId="0" applyNumberFormat="1" applyFont="1" applyBorder="1" applyAlignment="1">
      <alignment horizontal="center" vertical="center" wrapText="1"/>
    </xf>
    <xf numFmtId="0" fontId="71" fillId="0" borderId="56" xfId="0" applyFont="1" applyBorder="1" applyAlignment="1">
      <alignment horizontal="center" vertical="top" wrapText="1"/>
    </xf>
    <xf numFmtId="43" fontId="71" fillId="0" borderId="56" xfId="4" applyFont="1" applyFill="1" applyBorder="1" applyAlignment="1">
      <alignment horizontal="center" vertical="top" wrapText="1"/>
    </xf>
    <xf numFmtId="169" fontId="71" fillId="0" borderId="56" xfId="4" applyNumberFormat="1" applyFont="1" applyFill="1" applyBorder="1" applyAlignment="1">
      <alignment horizontal="center" vertical="center" wrapText="1"/>
    </xf>
    <xf numFmtId="0" fontId="71" fillId="0" borderId="56" xfId="0" applyFont="1" applyBorder="1" applyAlignment="1">
      <alignment horizontal="left" vertical="center" wrapText="1"/>
    </xf>
    <xf numFmtId="43" fontId="71" fillId="0" borderId="56" xfId="11" applyFont="1" applyFill="1" applyBorder="1" applyAlignment="1">
      <alignment horizontal="right" vertical="center" wrapText="1" shrinkToFit="1"/>
    </xf>
    <xf numFmtId="0" fontId="71" fillId="0" borderId="56" xfId="0" applyFont="1" applyBorder="1" applyAlignment="1">
      <alignment horizontal="left" vertical="top" shrinkToFit="1"/>
    </xf>
    <xf numFmtId="43" fontId="71" fillId="0" borderId="56" xfId="4" applyFont="1" applyFill="1" applyBorder="1" applyAlignment="1">
      <alignment horizontal="right" vertical="center" wrapText="1" shrinkToFit="1"/>
    </xf>
    <xf numFmtId="172" fontId="71" fillId="0" borderId="56" xfId="0" applyNumberFormat="1" applyFont="1" applyBorder="1" applyAlignment="1">
      <alignment horizontal="center" vertical="center" wrapText="1"/>
    </xf>
    <xf numFmtId="43" fontId="71" fillId="0" borderId="56" xfId="4" applyFont="1" applyFill="1" applyBorder="1" applyAlignment="1">
      <alignment horizontal="right" vertical="top" wrapText="1"/>
    </xf>
    <xf numFmtId="43" fontId="71" fillId="0" borderId="56" xfId="4" applyFont="1" applyBorder="1" applyAlignment="1">
      <alignment horizontal="right" vertical="top" wrapText="1"/>
    </xf>
    <xf numFmtId="43" fontId="123" fillId="0" borderId="0" xfId="0" applyNumberFormat="1" applyFont="1"/>
    <xf numFmtId="0" fontId="76" fillId="0" borderId="0" xfId="0" applyFont="1" applyAlignment="1">
      <alignment horizontal="right"/>
    </xf>
    <xf numFmtId="0" fontId="71" fillId="0" borderId="56" xfId="95" applyFont="1" applyBorder="1" applyAlignment="1">
      <alignment vertical="top" wrapText="1" shrinkToFit="1"/>
    </xf>
    <xf numFmtId="4" fontId="71" fillId="0" borderId="56" xfId="4" applyNumberFormat="1" applyFont="1" applyFill="1" applyBorder="1" applyAlignment="1">
      <alignment horizontal="right" vertical="top"/>
    </xf>
    <xf numFmtId="43" fontId="71" fillId="0" borderId="56" xfId="4" applyFont="1" applyBorder="1" applyAlignment="1">
      <alignment vertical="top"/>
    </xf>
    <xf numFmtId="4" fontId="71" fillId="0" borderId="56" xfId="0" applyNumberFormat="1" applyFont="1" applyBorder="1" applyAlignment="1">
      <alignment vertical="top"/>
    </xf>
    <xf numFmtId="0" fontId="75" fillId="0" borderId="89" xfId="0" applyFont="1" applyBorder="1" applyAlignment="1">
      <alignment vertical="top"/>
    </xf>
    <xf numFmtId="4" fontId="76" fillId="0" borderId="89" xfId="0" applyNumberFormat="1" applyFont="1" applyBorder="1" applyAlignment="1">
      <alignment vertical="top"/>
    </xf>
    <xf numFmtId="0" fontId="76" fillId="0" borderId="0" xfId="0" applyFont="1" applyAlignment="1">
      <alignment horizontal="right" vertical="top" wrapText="1"/>
    </xf>
    <xf numFmtId="4" fontId="76" fillId="0" borderId="0" xfId="0" applyNumberFormat="1" applyFont="1" applyAlignment="1">
      <alignment vertical="top"/>
    </xf>
    <xf numFmtId="3" fontId="71" fillId="0" borderId="56" xfId="0" applyNumberFormat="1" applyFont="1" applyBorder="1" applyAlignment="1">
      <alignment horizontal="right" vertical="center" wrapText="1"/>
    </xf>
    <xf numFmtId="3" fontId="71" fillId="0" borderId="56" xfId="0" applyNumberFormat="1" applyFont="1" applyBorder="1" applyAlignment="1">
      <alignment horizontal="right" vertical="top" wrapText="1"/>
    </xf>
    <xf numFmtId="3" fontId="71" fillId="0" borderId="56" xfId="0" applyNumberFormat="1" applyFont="1" applyBorder="1" applyAlignment="1">
      <alignment vertical="top"/>
    </xf>
    <xf numFmtId="3" fontId="71" fillId="0" borderId="56" xfId="0" applyNumberFormat="1" applyFont="1" applyBorder="1" applyAlignment="1">
      <alignment vertical="center"/>
    </xf>
    <xf numFmtId="0" fontId="71" fillId="0" borderId="89" xfId="0" applyFont="1" applyBorder="1" applyAlignment="1">
      <alignment horizontal="center" vertical="center" wrapText="1"/>
    </xf>
    <xf numFmtId="3" fontId="45" fillId="0" borderId="89" xfId="0" applyNumberFormat="1" applyFont="1" applyBorder="1" applyAlignment="1">
      <alignment horizontal="right" vertical="center" wrapText="1"/>
    </xf>
    <xf numFmtId="0" fontId="71" fillId="0" borderId="89" xfId="95" applyFont="1" applyBorder="1" applyAlignment="1">
      <alignment vertical="center"/>
    </xf>
    <xf numFmtId="0" fontId="71" fillId="0" borderId="0" xfId="0" applyFont="1" applyAlignment="1">
      <alignment horizontal="center" vertical="center" wrapText="1"/>
    </xf>
    <xf numFmtId="0" fontId="71" fillId="0" borderId="0" xfId="0" applyFont="1" applyAlignment="1">
      <alignment vertical="center" wrapText="1"/>
    </xf>
    <xf numFmtId="3" fontId="71" fillId="0" borderId="0" xfId="0" applyNumberFormat="1" applyFont="1" applyAlignment="1">
      <alignment horizontal="right" vertical="center" wrapText="1"/>
    </xf>
    <xf numFmtId="0" fontId="71" fillId="0" borderId="0" xfId="95" applyFont="1" applyAlignment="1">
      <alignment vertical="center"/>
    </xf>
    <xf numFmtId="0" fontId="71" fillId="0" borderId="72" xfId="0" applyFont="1" applyBorder="1" applyAlignment="1">
      <alignment horizontal="center" vertical="center" wrapText="1"/>
    </xf>
    <xf numFmtId="0" fontId="71" fillId="0" borderId="4" xfId="0" applyFont="1" applyBorder="1" applyAlignment="1">
      <alignment horizontal="center" vertical="center" wrapText="1"/>
    </xf>
    <xf numFmtId="4" fontId="45" fillId="0" borderId="0" xfId="0" applyNumberFormat="1" applyFont="1" applyAlignment="1">
      <alignment vertical="center"/>
    </xf>
    <xf numFmtId="0" fontId="8" fillId="0" borderId="19" xfId="0" applyFont="1" applyBorder="1" applyAlignment="1">
      <alignment horizontal="center" vertical="top"/>
    </xf>
    <xf numFmtId="0" fontId="8" fillId="0" borderId="4" xfId="0" applyFont="1" applyBorder="1" applyAlignment="1">
      <alignment vertical="top" wrapText="1"/>
    </xf>
    <xf numFmtId="43" fontId="11" fillId="0" borderId="4" xfId="4" applyFont="1" applyBorder="1" applyAlignment="1">
      <alignment vertical="top"/>
    </xf>
    <xf numFmtId="0" fontId="8" fillId="0" borderId="17" xfId="0" applyFont="1" applyBorder="1" applyAlignment="1">
      <alignment vertical="top"/>
    </xf>
    <xf numFmtId="166" fontId="103" fillId="0" borderId="66" xfId="4" applyNumberFormat="1" applyFont="1" applyBorder="1" applyAlignment="1">
      <alignment vertical="center" shrinkToFit="1"/>
    </xf>
    <xf numFmtId="166" fontId="105" fillId="0" borderId="66" xfId="4" applyNumberFormat="1" applyFont="1" applyFill="1" applyBorder="1" applyAlignment="1">
      <alignment horizontal="right" vertical="top" shrinkToFit="1"/>
    </xf>
    <xf numFmtId="0" fontId="7" fillId="0" borderId="4" xfId="95" applyFont="1" applyBorder="1" applyAlignment="1">
      <alignment horizontal="left" vertical="center"/>
    </xf>
    <xf numFmtId="0" fontId="7" fillId="0" borderId="4" xfId="95" applyFont="1" applyBorder="1" applyAlignment="1">
      <alignment horizontal="center" vertical="center"/>
    </xf>
    <xf numFmtId="0" fontId="7" fillId="0" borderId="17" xfId="95" applyFont="1" applyBorder="1" applyAlignment="1">
      <alignment horizontal="center" vertical="center"/>
    </xf>
    <xf numFmtId="0" fontId="105" fillId="0" borderId="41" xfId="0" applyFont="1" applyBorder="1" applyAlignment="1">
      <alignment horizontal="left" vertical="top" wrapText="1" shrinkToFit="1"/>
    </xf>
    <xf numFmtId="43" fontId="7" fillId="0" borderId="4" xfId="4" applyFont="1" applyBorder="1" applyAlignment="1">
      <alignment horizontal="center" vertical="center"/>
    </xf>
    <xf numFmtId="43" fontId="7" fillId="0" borderId="4" xfId="95" applyNumberFormat="1" applyFont="1" applyBorder="1" applyAlignment="1">
      <alignment horizontal="center" vertical="center"/>
    </xf>
    <xf numFmtId="4" fontId="2" fillId="12" borderId="4" xfId="0" applyNumberFormat="1" applyFont="1" applyFill="1" applyBorder="1" applyAlignment="1">
      <alignment vertical="top"/>
    </xf>
    <xf numFmtId="43" fontId="2" fillId="12" borderId="4" xfId="95" applyNumberFormat="1" applyFont="1" applyFill="1" applyBorder="1" applyAlignment="1">
      <alignment horizontal="center" vertical="center"/>
    </xf>
    <xf numFmtId="0" fontId="75" fillId="0" borderId="0" xfId="17" applyFont="1" applyAlignment="1">
      <alignment vertical="top"/>
    </xf>
    <xf numFmtId="0" fontId="74" fillId="0" borderId="0" xfId="17" applyFont="1" applyAlignment="1">
      <alignment vertical="top"/>
    </xf>
    <xf numFmtId="0" fontId="75" fillId="0" borderId="0" xfId="17" applyFont="1" applyAlignment="1">
      <alignment horizontal="center" vertical="top"/>
    </xf>
    <xf numFmtId="0" fontId="75" fillId="0" borderId="0" xfId="17" applyFont="1" applyAlignment="1">
      <alignment horizontal="left" vertical="top"/>
    </xf>
    <xf numFmtId="4" fontId="75" fillId="0" borderId="0" xfId="17" applyNumberFormat="1" applyFont="1" applyAlignment="1">
      <alignment horizontal="right" vertical="top"/>
    </xf>
    <xf numFmtId="0" fontId="76" fillId="0" borderId="72" xfId="17" applyFont="1" applyBorder="1" applyAlignment="1">
      <alignment horizontal="center" vertical="center" wrapText="1"/>
    </xf>
    <xf numFmtId="0" fontId="71" fillId="0" borderId="0" xfId="17" applyFont="1" applyAlignment="1">
      <alignment vertical="top"/>
    </xf>
    <xf numFmtId="0" fontId="75" fillId="0" borderId="56" xfId="95" applyFont="1" applyBorder="1" applyAlignment="1">
      <alignment vertical="top"/>
    </xf>
    <xf numFmtId="0" fontId="75" fillId="0" borderId="56" xfId="95" applyFont="1" applyBorder="1" applyAlignment="1">
      <alignment horizontal="center" vertical="top"/>
    </xf>
    <xf numFmtId="43" fontId="75" fillId="0" borderId="56" xfId="18" applyFont="1" applyFill="1" applyBorder="1" applyAlignment="1">
      <alignment horizontal="left" vertical="top"/>
    </xf>
    <xf numFmtId="0" fontId="71" fillId="0" borderId="56" xfId="0" applyFont="1" applyBorder="1" applyAlignment="1">
      <alignment horizontal="left" wrapText="1"/>
    </xf>
    <xf numFmtId="43" fontId="71" fillId="0" borderId="56" xfId="18" applyFont="1" applyFill="1" applyBorder="1" applyAlignment="1">
      <alignment horizontal="left" vertical="top"/>
    </xf>
    <xf numFmtId="0" fontId="75" fillId="0" borderId="56" xfId="0" applyFont="1" applyBorder="1" applyAlignment="1">
      <alignment horizontal="left" wrapText="1"/>
    </xf>
    <xf numFmtId="0" fontId="71" fillId="0" borderId="56" xfId="95" applyFont="1" applyBorder="1"/>
    <xf numFmtId="0" fontId="71" fillId="0" borderId="56" xfId="95" applyFont="1" applyBorder="1" applyAlignment="1">
      <alignment horizontal="center"/>
    </xf>
    <xf numFmtId="43" fontId="71" fillId="0" borderId="56" xfId="4" applyFont="1" applyFill="1" applyBorder="1" applyAlignment="1">
      <alignment horizontal="right"/>
    </xf>
    <xf numFmtId="4" fontId="71" fillId="0" borderId="56" xfId="95" applyNumberFormat="1" applyFont="1" applyBorder="1" applyAlignment="1">
      <alignment horizontal="right"/>
    </xf>
    <xf numFmtId="0" fontId="75" fillId="0" borderId="0" xfId="17" applyFont="1" applyAlignment="1">
      <alignment horizontal="left"/>
    </xf>
    <xf numFmtId="0" fontId="75" fillId="0" borderId="0" xfId="17" applyFont="1"/>
    <xf numFmtId="0" fontId="74" fillId="0" borderId="0" xfId="17" applyFont="1"/>
    <xf numFmtId="43" fontId="74" fillId="0" borderId="56" xfId="95" applyNumberFormat="1" applyFont="1" applyBorder="1" applyAlignment="1">
      <alignment vertical="top"/>
    </xf>
    <xf numFmtId="0" fontId="75" fillId="0" borderId="56" xfId="95" applyFont="1" applyBorder="1" applyAlignment="1">
      <alignment horizontal="left" vertical="top"/>
    </xf>
    <xf numFmtId="43" fontId="71" fillId="0" borderId="56" xfId="103" applyFont="1" applyFill="1" applyBorder="1" applyAlignment="1">
      <alignment horizontal="left" vertical="top"/>
    </xf>
    <xf numFmtId="0" fontId="125" fillId="0" borderId="56" xfId="95" applyFont="1" applyBorder="1" applyAlignment="1">
      <alignment vertical="top"/>
    </xf>
    <xf numFmtId="0" fontId="75" fillId="0" borderId="56" xfId="0" applyFont="1" applyBorder="1" applyAlignment="1">
      <alignment horizontal="right" wrapText="1"/>
    </xf>
    <xf numFmtId="0" fontId="125" fillId="0" borderId="0" xfId="17" applyFont="1" applyAlignment="1">
      <alignment vertical="top"/>
    </xf>
    <xf numFmtId="43" fontId="74" fillId="0" borderId="56" xfId="4" applyFont="1" applyBorder="1"/>
    <xf numFmtId="4" fontId="74" fillId="0" borderId="56" xfId="0" applyNumberFormat="1" applyFont="1" applyBorder="1" applyAlignment="1">
      <alignment horizontal="left"/>
    </xf>
    <xf numFmtId="0" fontId="74" fillId="0" borderId="56" xfId="0" applyFont="1" applyBorder="1"/>
    <xf numFmtId="43" fontId="74" fillId="0" borderId="56" xfId="4" applyFont="1" applyBorder="1" applyAlignment="1">
      <alignment horizontal="right"/>
    </xf>
    <xf numFmtId="43" fontId="74" fillId="0" borderId="56" xfId="4" applyFont="1" applyBorder="1" applyAlignment="1">
      <alignment horizontal="right" vertical="top"/>
    </xf>
    <xf numFmtId="4" fontId="74" fillId="0" borderId="56" xfId="0" applyNumberFormat="1" applyFont="1" applyBorder="1" applyAlignment="1">
      <alignment horizontal="left" vertical="top"/>
    </xf>
    <xf numFmtId="0" fontId="74" fillId="0" borderId="56" xfId="0" applyFont="1" applyBorder="1" applyAlignment="1">
      <alignment vertical="top" wrapText="1"/>
    </xf>
    <xf numFmtId="0" fontId="74" fillId="0" borderId="56" xfId="4" applyNumberFormat="1" applyFont="1" applyBorder="1" applyAlignment="1">
      <alignment horizontal="center" vertical="top"/>
    </xf>
    <xf numFmtId="43" fontId="74" fillId="0" borderId="56" xfId="4" applyFont="1" applyBorder="1" applyAlignment="1">
      <alignment horizontal="center" vertical="top"/>
    </xf>
    <xf numFmtId="43" fontId="74" fillId="0" borderId="56" xfId="4" applyFont="1" applyBorder="1" applyAlignment="1">
      <alignment vertical="top"/>
    </xf>
    <xf numFmtId="0" fontId="75" fillId="0" borderId="88" xfId="0" applyFont="1" applyBorder="1"/>
    <xf numFmtId="43" fontId="75" fillId="0" borderId="88" xfId="4" applyFont="1" applyBorder="1" applyAlignment="1">
      <alignment horizontal="right"/>
    </xf>
    <xf numFmtId="4" fontId="74" fillId="0" borderId="88" xfId="0" applyNumberFormat="1" applyFont="1" applyBorder="1" applyAlignment="1">
      <alignment horizontal="left"/>
    </xf>
    <xf numFmtId="0" fontId="75" fillId="0" borderId="64" xfId="0" applyFont="1" applyBorder="1" applyAlignment="1">
      <alignment horizontal="left"/>
    </xf>
    <xf numFmtId="0" fontId="71" fillId="0" borderId="0" xfId="95" applyFont="1" applyAlignment="1">
      <alignment vertical="top"/>
    </xf>
    <xf numFmtId="0" fontId="71" fillId="0" borderId="0" xfId="95" applyFont="1" applyAlignment="1">
      <alignment horizontal="left" vertical="top"/>
    </xf>
    <xf numFmtId="0" fontId="74" fillId="0" borderId="86" xfId="0" applyFont="1" applyBorder="1" applyAlignment="1">
      <alignment horizontal="left" vertical="top"/>
    </xf>
    <xf numFmtId="0" fontId="74" fillId="0" borderId="86" xfId="0" applyFont="1" applyBorder="1" applyAlignment="1">
      <alignment horizontal="center" vertical="top"/>
    </xf>
    <xf numFmtId="43" fontId="74" fillId="0" borderId="86" xfId="4" applyFont="1" applyBorder="1" applyAlignment="1">
      <alignment horizontal="right" vertical="top"/>
    </xf>
    <xf numFmtId="4" fontId="74" fillId="0" borderId="86" xfId="0" applyNumberFormat="1" applyFont="1" applyBorder="1" applyAlignment="1">
      <alignment horizontal="left" vertical="top"/>
    </xf>
    <xf numFmtId="0" fontId="75" fillId="0" borderId="95" xfId="0" applyFont="1" applyBorder="1" applyAlignment="1">
      <alignment horizontal="left" vertical="top"/>
    </xf>
    <xf numFmtId="0" fontId="75" fillId="0" borderId="0" xfId="95" applyFont="1" applyAlignment="1">
      <alignment horizontal="center" vertical="top"/>
    </xf>
    <xf numFmtId="0" fontId="74" fillId="0" borderId="0" xfId="0" applyFont="1" applyAlignment="1">
      <alignment vertical="top" wrapText="1"/>
    </xf>
    <xf numFmtId="43" fontId="74" fillId="0" borderId="0" xfId="4" applyFont="1" applyBorder="1" applyAlignment="1">
      <alignment vertical="top"/>
    </xf>
    <xf numFmtId="43" fontId="121" fillId="0" borderId="0" xfId="4" applyFont="1" applyBorder="1" applyAlignment="1">
      <alignment horizontal="right"/>
    </xf>
    <xf numFmtId="43" fontId="121" fillId="0" borderId="0" xfId="4" applyFont="1" applyBorder="1" applyAlignment="1">
      <alignment vertical="top"/>
    </xf>
    <xf numFmtId="4" fontId="74" fillId="0" borderId="0" xfId="0" applyNumberFormat="1" applyFont="1" applyAlignment="1">
      <alignment horizontal="left" vertical="top"/>
    </xf>
    <xf numFmtId="0" fontId="75" fillId="0" borderId="0" xfId="0" applyFont="1" applyAlignment="1">
      <alignment horizontal="left" vertical="top"/>
    </xf>
    <xf numFmtId="0" fontId="71" fillId="0" borderId="0" xfId="95" applyFont="1" applyAlignment="1">
      <alignment horizontal="left" vertical="top" wrapText="1"/>
    </xf>
    <xf numFmtId="0" fontId="71" fillId="0" borderId="0" xfId="95" applyFont="1" applyAlignment="1">
      <alignment horizontal="center" vertical="top"/>
    </xf>
    <xf numFmtId="4" fontId="71" fillId="0" borderId="0" xfId="95" applyNumberFormat="1" applyFont="1" applyAlignment="1">
      <alignment horizontal="right" vertical="top"/>
    </xf>
    <xf numFmtId="0" fontId="75" fillId="0" borderId="0" xfId="0" applyFont="1" applyAlignment="1">
      <alignment horizontal="left" vertical="top" wrapText="1"/>
    </xf>
    <xf numFmtId="0" fontId="76" fillId="0" borderId="56" xfId="95" applyFont="1" applyBorder="1" applyAlignment="1">
      <alignment horizontal="center" vertical="center" wrapText="1"/>
    </xf>
    <xf numFmtId="43" fontId="75" fillId="0" borderId="56" xfId="4" applyFont="1" applyBorder="1" applyAlignment="1">
      <alignment horizontal="right" vertical="top"/>
    </xf>
    <xf numFmtId="43" fontId="75" fillId="0" borderId="56" xfId="95" applyNumberFormat="1" applyFont="1" applyBorder="1" applyAlignment="1">
      <alignment horizontal="right" vertical="top"/>
    </xf>
    <xf numFmtId="0" fontId="75" fillId="12" borderId="56" xfId="95" applyFont="1" applyFill="1" applyBorder="1" applyAlignment="1">
      <alignment horizontal="center" vertical="top"/>
    </xf>
    <xf numFmtId="0" fontId="74" fillId="12" borderId="56" xfId="95" applyFont="1" applyFill="1" applyBorder="1" applyAlignment="1">
      <alignment vertical="top"/>
    </xf>
    <xf numFmtId="43" fontId="75" fillId="12" borderId="56" xfId="4" applyFont="1" applyFill="1" applyBorder="1" applyAlignment="1">
      <alignment horizontal="right" vertical="top"/>
    </xf>
    <xf numFmtId="43" fontId="75" fillId="12" borderId="56" xfId="95" applyNumberFormat="1" applyFont="1" applyFill="1" applyBorder="1" applyAlignment="1">
      <alignment horizontal="right" vertical="top"/>
    </xf>
    <xf numFmtId="0" fontId="75" fillId="12" borderId="56" xfId="95" applyFont="1" applyFill="1" applyBorder="1" applyAlignment="1">
      <alignment vertical="top"/>
    </xf>
    <xf numFmtId="0" fontId="75" fillId="0" borderId="89" xfId="95" applyFont="1" applyBorder="1" applyAlignment="1">
      <alignment horizontal="center" vertical="top"/>
    </xf>
    <xf numFmtId="43" fontId="75" fillId="0" borderId="89" xfId="4" applyFont="1" applyFill="1" applyBorder="1" applyAlignment="1">
      <alignment horizontal="right" vertical="top"/>
    </xf>
    <xf numFmtId="0" fontId="75" fillId="0" borderId="89" xfId="95" applyFont="1" applyBorder="1" applyAlignment="1">
      <alignment vertical="top"/>
    </xf>
    <xf numFmtId="43" fontId="76" fillId="0" borderId="0" xfId="95" applyNumberFormat="1" applyFont="1" applyAlignment="1">
      <alignment horizontal="right" vertical="top"/>
    </xf>
    <xf numFmtId="0" fontId="75" fillId="0" borderId="0" xfId="95" applyFont="1" applyAlignment="1">
      <alignment vertical="top"/>
    </xf>
    <xf numFmtId="0" fontId="75" fillId="0" borderId="0" xfId="95" applyFont="1" applyAlignment="1">
      <alignment horizontal="left" vertical="top"/>
    </xf>
    <xf numFmtId="43" fontId="76" fillId="0" borderId="0" xfId="4" applyFont="1" applyBorder="1" applyAlignment="1">
      <alignment horizontal="right" vertical="top"/>
    </xf>
    <xf numFmtId="43" fontId="75" fillId="0" borderId="0" xfId="95" applyNumberFormat="1" applyFont="1" applyAlignment="1">
      <alignment horizontal="right" vertical="top"/>
    </xf>
    <xf numFmtId="0" fontId="75" fillId="36" borderId="0" xfId="17" applyFont="1" applyFill="1" applyAlignment="1">
      <alignment vertical="top"/>
    </xf>
    <xf numFmtId="0" fontId="74" fillId="36" borderId="0" xfId="17" applyFont="1" applyFill="1" applyAlignment="1">
      <alignment vertical="top"/>
    </xf>
    <xf numFmtId="0" fontId="74" fillId="37" borderId="0" xfId="17" applyFont="1" applyFill="1" applyAlignment="1">
      <alignment vertical="top"/>
    </xf>
    <xf numFmtId="0" fontId="126" fillId="37" borderId="0" xfId="17" applyFont="1" applyFill="1" applyAlignment="1">
      <alignment vertical="top"/>
    </xf>
    <xf numFmtId="0" fontId="74" fillId="0" borderId="0" xfId="0" applyFont="1" applyAlignment="1">
      <alignment horizontal="left" vertical="center" indent="5"/>
    </xf>
    <xf numFmtId="0" fontId="76" fillId="0" borderId="18" xfId="95" applyFont="1" applyBorder="1" applyAlignment="1">
      <alignment horizontal="right" vertical="top"/>
    </xf>
    <xf numFmtId="0" fontId="74" fillId="0" borderId="0" xfId="95" applyFont="1" applyAlignment="1">
      <alignment vertical="top"/>
    </xf>
    <xf numFmtId="0" fontId="74" fillId="0" borderId="0" xfId="95" applyFont="1" applyAlignment="1">
      <alignment horizontal="right" vertical="top"/>
    </xf>
    <xf numFmtId="0" fontId="125" fillId="0" borderId="18" xfId="95" applyFont="1" applyBorder="1" applyAlignment="1">
      <alignment vertical="top"/>
    </xf>
    <xf numFmtId="0" fontId="125" fillId="0" borderId="18" xfId="95" applyFont="1" applyBorder="1" applyAlignment="1">
      <alignment horizontal="left" vertical="top"/>
    </xf>
    <xf numFmtId="0" fontId="76" fillId="0" borderId="40" xfId="95" applyFont="1" applyBorder="1" applyAlignment="1">
      <alignment horizontal="right" vertical="top"/>
    </xf>
    <xf numFmtId="0" fontId="125" fillId="0" borderId="40" xfId="0" applyFont="1" applyBorder="1" applyAlignment="1">
      <alignment wrapText="1"/>
    </xf>
    <xf numFmtId="0" fontId="101" fillId="0" borderId="40" xfId="95" applyFont="1" applyBorder="1" applyAlignment="1">
      <alignment horizontal="center" vertical="top"/>
    </xf>
    <xf numFmtId="43" fontId="101" fillId="0" borderId="40" xfId="4" applyFont="1" applyBorder="1" applyAlignment="1">
      <alignment horizontal="right" vertical="top"/>
    </xf>
    <xf numFmtId="4" fontId="71" fillId="0" borderId="40" xfId="95" applyNumberFormat="1" applyFont="1" applyBorder="1" applyAlignment="1">
      <alignment horizontal="right" vertical="top"/>
    </xf>
    <xf numFmtId="0" fontId="125" fillId="0" borderId="40" xfId="95" applyFont="1" applyBorder="1" applyAlignment="1">
      <alignment vertical="top"/>
    </xf>
    <xf numFmtId="0" fontId="125" fillId="0" borderId="40" xfId="95" applyFont="1" applyBorder="1" applyAlignment="1">
      <alignment horizontal="left" vertical="top"/>
    </xf>
    <xf numFmtId="0" fontId="75" fillId="36" borderId="56" xfId="95" applyFont="1" applyFill="1" applyBorder="1" applyAlignment="1">
      <alignment horizontal="center" vertical="top"/>
    </xf>
    <xf numFmtId="0" fontId="75" fillId="36" borderId="56" xfId="95" applyFont="1" applyFill="1" applyBorder="1" applyAlignment="1">
      <alignment vertical="top"/>
    </xf>
    <xf numFmtId="0" fontId="74" fillId="36" borderId="56" xfId="95" applyFont="1" applyFill="1" applyBorder="1" applyAlignment="1">
      <alignment horizontal="center" vertical="top"/>
    </xf>
    <xf numFmtId="43" fontId="74" fillId="36" borderId="56" xfId="4" applyFont="1" applyFill="1" applyBorder="1" applyAlignment="1">
      <alignment horizontal="right" vertical="top"/>
    </xf>
    <xf numFmtId="43" fontId="71" fillId="36" borderId="56" xfId="4" applyFont="1" applyFill="1" applyBorder="1" applyAlignment="1">
      <alignment vertical="top" wrapText="1"/>
    </xf>
    <xf numFmtId="0" fontId="74" fillId="36" borderId="56" xfId="95" applyFont="1" applyFill="1" applyBorder="1" applyAlignment="1">
      <alignment vertical="top"/>
    </xf>
    <xf numFmtId="0" fontId="75" fillId="36" borderId="56" xfId="0" applyFont="1" applyFill="1" applyBorder="1" applyAlignment="1">
      <alignment horizontal="right" wrapText="1"/>
    </xf>
    <xf numFmtId="0" fontId="75" fillId="37" borderId="56" xfId="95" applyFont="1" applyFill="1" applyBorder="1" applyAlignment="1">
      <alignment horizontal="center" vertical="top"/>
    </xf>
    <xf numFmtId="0" fontId="71" fillId="37" borderId="56" xfId="95" applyFont="1" applyFill="1" applyBorder="1" applyAlignment="1">
      <alignment horizontal="left" vertical="top" wrapText="1"/>
    </xf>
    <xf numFmtId="0" fontId="71" fillId="37" borderId="56" xfId="95" applyFont="1" applyFill="1" applyBorder="1" applyAlignment="1">
      <alignment horizontal="center" vertical="top"/>
    </xf>
    <xf numFmtId="43" fontId="71" fillId="37" borderId="56" xfId="18" applyFont="1" applyFill="1" applyBorder="1" applyAlignment="1">
      <alignment horizontal="left" vertical="top"/>
    </xf>
    <xf numFmtId="0" fontId="71" fillId="37" borderId="56" xfId="95" applyFont="1" applyFill="1" applyBorder="1" applyAlignment="1">
      <alignment horizontal="left" vertical="top"/>
    </xf>
    <xf numFmtId="0" fontId="75" fillId="37" borderId="56" xfId="0" applyFont="1" applyFill="1" applyBorder="1" applyAlignment="1">
      <alignment horizontal="right" wrapText="1"/>
    </xf>
    <xf numFmtId="0" fontId="71" fillId="37" borderId="56" xfId="95" applyFont="1" applyFill="1" applyBorder="1" applyAlignment="1">
      <alignment vertical="top"/>
    </xf>
    <xf numFmtId="43" fontId="71" fillId="37" borderId="56" xfId="4" applyFont="1" applyFill="1" applyBorder="1" applyAlignment="1">
      <alignment horizontal="right" vertical="top"/>
    </xf>
    <xf numFmtId="0" fontId="125" fillId="37" borderId="56" xfId="95" applyFont="1" applyFill="1" applyBorder="1" applyAlignment="1">
      <alignment vertical="top"/>
    </xf>
    <xf numFmtId="0" fontId="125" fillId="37" borderId="56" xfId="95" applyFont="1" applyFill="1" applyBorder="1" applyAlignment="1">
      <alignment horizontal="left" vertical="top"/>
    </xf>
    <xf numFmtId="43" fontId="71" fillId="37" borderId="56" xfId="103" applyFont="1" applyFill="1" applyBorder="1" applyAlignment="1">
      <alignment horizontal="left" vertical="top"/>
    </xf>
    <xf numFmtId="43" fontId="71" fillId="37" borderId="56" xfId="90" applyFont="1" applyFill="1" applyBorder="1" applyAlignment="1">
      <alignment horizontal="left" vertical="top" wrapText="1"/>
    </xf>
    <xf numFmtId="0" fontId="75" fillId="37" borderId="56" xfId="0" applyFont="1" applyFill="1" applyBorder="1"/>
    <xf numFmtId="0" fontId="74" fillId="37" borderId="56" xfId="95" applyFont="1" applyFill="1" applyBorder="1" applyAlignment="1">
      <alignment horizontal="center" vertical="top"/>
    </xf>
    <xf numFmtId="43" fontId="74" fillId="37" borderId="56" xfId="95" applyNumberFormat="1" applyFont="1" applyFill="1" applyBorder="1" applyAlignment="1">
      <alignment vertical="top"/>
    </xf>
    <xf numFmtId="0" fontId="125" fillId="0" borderId="0" xfId="95" applyFont="1" applyAlignment="1">
      <alignment vertical="top"/>
    </xf>
    <xf numFmtId="0" fontId="76" fillId="0" borderId="43" xfId="95" applyFont="1" applyBorder="1" applyAlignment="1">
      <alignment horizontal="right" vertical="top"/>
    </xf>
    <xf numFmtId="0" fontId="74" fillId="0" borderId="0" xfId="95" applyFont="1" applyAlignment="1">
      <alignment horizontal="left" vertical="top"/>
    </xf>
    <xf numFmtId="43" fontId="121" fillId="0" borderId="0" xfId="95" applyNumberFormat="1" applyFont="1" applyAlignment="1">
      <alignment vertical="top"/>
    </xf>
    <xf numFmtId="0" fontId="125" fillId="0" borderId="0" xfId="95" applyFont="1" applyAlignment="1">
      <alignment horizontal="left" vertical="top"/>
    </xf>
    <xf numFmtId="0" fontId="127" fillId="37" borderId="56" xfId="95" applyFont="1" applyFill="1" applyBorder="1" applyAlignment="1">
      <alignment horizontal="center" vertical="top"/>
    </xf>
    <xf numFmtId="0" fontId="128" fillId="37" borderId="56" xfId="95" applyFont="1" applyFill="1" applyBorder="1" applyAlignment="1">
      <alignment horizontal="left" vertical="top" wrapText="1"/>
    </xf>
    <xf numFmtId="0" fontId="128" fillId="37" borderId="56" xfId="95" applyFont="1" applyFill="1" applyBorder="1" applyAlignment="1">
      <alignment horizontal="center" vertical="top"/>
    </xf>
    <xf numFmtId="43" fontId="128" fillId="37" borderId="56" xfId="103" applyFont="1" applyFill="1" applyBorder="1" applyAlignment="1">
      <alignment horizontal="left" vertical="top"/>
    </xf>
    <xf numFmtId="43" fontId="128" fillId="37" borderId="56" xfId="4" applyFont="1" applyFill="1" applyBorder="1" applyAlignment="1">
      <alignment horizontal="right" vertical="top"/>
    </xf>
    <xf numFmtId="0" fontId="129" fillId="37" borderId="56" xfId="95" applyFont="1" applyFill="1" applyBorder="1" applyAlignment="1">
      <alignment vertical="top"/>
    </xf>
    <xf numFmtId="0" fontId="129" fillId="37" borderId="56" xfId="95" applyFont="1" applyFill="1" applyBorder="1" applyAlignment="1">
      <alignment horizontal="left" vertical="top"/>
    </xf>
    <xf numFmtId="4" fontId="121" fillId="0" borderId="0" xfId="95" applyNumberFormat="1" applyFont="1" applyAlignment="1">
      <alignment horizontal="right" vertical="top"/>
    </xf>
    <xf numFmtId="43" fontId="75" fillId="0" borderId="0" xfId="4" applyFont="1" applyFill="1" applyAlignment="1">
      <alignment horizontal="right" vertical="top"/>
    </xf>
    <xf numFmtId="0" fontId="75" fillId="0" borderId="0" xfId="95" applyFont="1" applyAlignment="1">
      <alignment horizontal="right" vertical="top"/>
    </xf>
    <xf numFmtId="0" fontId="75" fillId="0" borderId="0" xfId="17" applyFont="1" applyAlignment="1">
      <alignment horizontal="right" vertical="top"/>
    </xf>
    <xf numFmtId="0" fontId="74" fillId="0" borderId="0" xfId="17" applyFont="1" applyAlignment="1">
      <alignment horizontal="right" vertical="top"/>
    </xf>
    <xf numFmtId="0" fontId="74" fillId="0" borderId="0" xfId="17" applyFont="1" applyAlignment="1">
      <alignment horizontal="left" vertical="top"/>
    </xf>
    <xf numFmtId="0" fontId="75" fillId="12" borderId="0" xfId="17" applyFont="1" applyFill="1" applyAlignment="1">
      <alignment vertical="top"/>
    </xf>
    <xf numFmtId="0" fontId="75" fillId="0" borderId="62" xfId="95" applyFont="1" applyBorder="1" applyAlignment="1">
      <alignment horizontal="center" vertical="top"/>
    </xf>
    <xf numFmtId="43" fontId="75" fillId="0" borderId="60" xfId="4" applyFont="1" applyFill="1" applyBorder="1" applyAlignment="1">
      <alignment horizontal="right" vertical="top"/>
    </xf>
    <xf numFmtId="43" fontId="125" fillId="0" borderId="0" xfId="0" applyNumberFormat="1" applyFont="1" applyAlignment="1">
      <alignment vertical="center" shrinkToFit="1"/>
    </xf>
    <xf numFmtId="0" fontId="8" fillId="0" borderId="85" xfId="0" applyFont="1" applyBorder="1"/>
    <xf numFmtId="0" fontId="8" fillId="12" borderId="85" xfId="0" applyFont="1" applyFill="1" applyBorder="1"/>
    <xf numFmtId="4" fontId="8" fillId="0" borderId="85" xfId="0" applyNumberFormat="1" applyFont="1" applyBorder="1"/>
    <xf numFmtId="0" fontId="8" fillId="12" borderId="85" xfId="0" applyFont="1" applyFill="1" applyBorder="1" applyAlignment="1">
      <alignment horizontal="center"/>
    </xf>
    <xf numFmtId="4" fontId="8" fillId="12" borderId="85" xfId="0" applyNumberFormat="1" applyFont="1" applyFill="1" applyBorder="1"/>
    <xf numFmtId="4" fontId="2" fillId="12" borderId="0" xfId="0" applyNumberFormat="1" applyFont="1" applyFill="1"/>
    <xf numFmtId="0" fontId="70" fillId="0" borderId="0" xfId="95" applyFont="1" applyAlignment="1">
      <alignment horizontal="center" vertical="top"/>
    </xf>
    <xf numFmtId="43" fontId="11" fillId="0" borderId="0" xfId="4" applyFont="1" applyBorder="1" applyAlignment="1">
      <alignment vertical="top"/>
    </xf>
    <xf numFmtId="43" fontId="4" fillId="12" borderId="0" xfId="4" applyFont="1" applyFill="1" applyBorder="1" applyAlignment="1">
      <alignment horizontal="right" vertical="center"/>
    </xf>
    <xf numFmtId="43" fontId="112" fillId="12" borderId="0" xfId="4" applyFont="1" applyFill="1" applyBorder="1" applyAlignment="1">
      <alignment vertical="top"/>
    </xf>
    <xf numFmtId="4" fontId="111" fillId="12" borderId="89" xfId="0" applyNumberFormat="1" applyFont="1" applyFill="1" applyBorder="1" applyAlignment="1">
      <alignment horizontal="right"/>
    </xf>
    <xf numFmtId="4" fontId="111" fillId="12" borderId="0" xfId="0" applyNumberFormat="1" applyFont="1" applyFill="1"/>
    <xf numFmtId="43" fontId="112" fillId="12" borderId="0" xfId="4" applyFont="1" applyFill="1" applyBorder="1" applyAlignment="1">
      <alignment vertical="center"/>
    </xf>
    <xf numFmtId="43" fontId="113" fillId="12" borderId="0" xfId="0" applyNumberFormat="1" applyFont="1" applyFill="1"/>
    <xf numFmtId="3" fontId="5" fillId="12" borderId="56" xfId="0" applyNumberFormat="1" applyFont="1" applyFill="1" applyBorder="1" applyAlignment="1">
      <alignment horizontal="right" vertical="center" wrapText="1"/>
    </xf>
    <xf numFmtId="3" fontId="5" fillId="12" borderId="56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/>
    </xf>
    <xf numFmtId="0" fontId="2" fillId="0" borderId="86" xfId="0" applyFont="1" applyBorder="1" applyAlignment="1">
      <alignment horizontal="center" vertical="top" wrapText="1"/>
    </xf>
    <xf numFmtId="0" fontId="2" fillId="0" borderId="86" xfId="0" applyFont="1" applyBorder="1" applyAlignment="1">
      <alignment horizontal="center" vertical="center"/>
    </xf>
    <xf numFmtId="172" fontId="5" fillId="0" borderId="56" xfId="0" applyNumberFormat="1" applyFont="1" applyBorder="1" applyAlignment="1">
      <alignment horizontal="center" vertical="top" wrapText="1"/>
    </xf>
    <xf numFmtId="170" fontId="5" fillId="0" borderId="56" xfId="0" applyNumberFormat="1" applyFont="1" applyBorder="1" applyAlignment="1">
      <alignment horizontal="center" vertical="top" wrapText="1"/>
    </xf>
    <xf numFmtId="0" fontId="5" fillId="0" borderId="86" xfId="0" applyFont="1" applyBorder="1" applyAlignment="1">
      <alignment horizontal="center" vertical="top"/>
    </xf>
    <xf numFmtId="0" fontId="5" fillId="0" borderId="86" xfId="0" applyFont="1" applyBorder="1" applyAlignment="1">
      <alignment horizontal="left" vertical="top"/>
    </xf>
    <xf numFmtId="43" fontId="5" fillId="0" borderId="86" xfId="4" applyFont="1" applyFill="1" applyBorder="1" applyAlignment="1">
      <alignment horizontal="right" vertical="top"/>
    </xf>
    <xf numFmtId="43" fontId="5" fillId="0" borderId="95" xfId="4" applyFont="1" applyFill="1" applyBorder="1" applyAlignment="1">
      <alignment horizontal="right" vertical="top"/>
    </xf>
    <xf numFmtId="0" fontId="5" fillId="0" borderId="72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/>
    </xf>
    <xf numFmtId="0" fontId="22" fillId="0" borderId="86" xfId="0" applyFont="1" applyBorder="1" applyAlignment="1">
      <alignment horizontal="center" vertical="top"/>
    </xf>
    <xf numFmtId="0" fontId="22" fillId="0" borderId="86" xfId="0" applyFont="1" applyBorder="1" applyAlignment="1">
      <alignment horizontal="left" vertical="top"/>
    </xf>
    <xf numFmtId="43" fontId="22" fillId="0" borderId="86" xfId="4" applyFont="1" applyFill="1" applyBorder="1" applyAlignment="1">
      <alignment horizontal="right" vertical="top"/>
    </xf>
    <xf numFmtId="4" fontId="22" fillId="0" borderId="86" xfId="0" applyNumberFormat="1" applyFont="1" applyBorder="1" applyAlignment="1">
      <alignment horizontal="left" vertical="top" wrapText="1"/>
    </xf>
    <xf numFmtId="4" fontId="8" fillId="0" borderId="95" xfId="0" applyNumberFormat="1" applyFont="1" applyBorder="1" applyAlignment="1">
      <alignment horizontal="left" vertical="top"/>
    </xf>
    <xf numFmtId="43" fontId="22" fillId="0" borderId="56" xfId="4" applyFont="1" applyFill="1" applyBorder="1" applyAlignment="1">
      <alignment horizontal="right" vertical="top"/>
    </xf>
    <xf numFmtId="4" fontId="22" fillId="0" borderId="56" xfId="0" applyNumberFormat="1" applyFont="1" applyBorder="1" applyAlignment="1">
      <alignment horizontal="left" vertical="top" wrapText="1"/>
    </xf>
    <xf numFmtId="4" fontId="8" fillId="0" borderId="56" xfId="0" applyNumberFormat="1" applyFont="1" applyBorder="1" applyAlignment="1">
      <alignment horizontal="left" vertical="top"/>
    </xf>
    <xf numFmtId="43" fontId="22" fillId="0" borderId="56" xfId="4" applyFont="1" applyFill="1" applyBorder="1" applyAlignment="1">
      <alignment horizontal="right"/>
    </xf>
    <xf numFmtId="4" fontId="8" fillId="0" borderId="56" xfId="0" applyNumberFormat="1" applyFont="1" applyBorder="1" applyAlignment="1">
      <alignment horizontal="left"/>
    </xf>
    <xf numFmtId="0" fontId="22" fillId="0" borderId="10" xfId="0" applyFont="1" applyBorder="1" applyAlignment="1">
      <alignment horizontal="left" vertical="top"/>
    </xf>
    <xf numFmtId="0" fontId="22" fillId="0" borderId="92" xfId="0" applyFont="1" applyBorder="1" applyAlignment="1">
      <alignment horizontal="center" vertical="top"/>
    </xf>
    <xf numFmtId="43" fontId="22" fillId="0" borderId="92" xfId="4" applyFont="1" applyFill="1" applyBorder="1" applyAlignment="1">
      <alignment horizontal="right" vertical="top"/>
    </xf>
    <xf numFmtId="0" fontId="22" fillId="0" borderId="92" xfId="0" applyFont="1" applyBorder="1" applyAlignment="1">
      <alignment vertical="top" wrapText="1"/>
    </xf>
    <xf numFmtId="4" fontId="8" fillId="0" borderId="93" xfId="0" applyNumberFormat="1" applyFont="1" applyBorder="1" applyAlignment="1">
      <alignment horizontal="left" vertical="top"/>
    </xf>
    <xf numFmtId="0" fontId="22" fillId="0" borderId="0" xfId="0" applyFont="1" applyAlignment="1">
      <alignment horizontal="center" vertical="top"/>
    </xf>
    <xf numFmtId="0" fontId="22" fillId="0" borderId="86" xfId="0" applyFont="1" applyBorder="1" applyAlignment="1">
      <alignment vertical="top"/>
    </xf>
    <xf numFmtId="43" fontId="22" fillId="0" borderId="85" xfId="4" applyFont="1" applyFill="1" applyBorder="1" applyAlignment="1">
      <alignment horizontal="right" vertical="top"/>
    </xf>
    <xf numFmtId="0" fontId="22" fillId="0" borderId="72" xfId="0" applyFont="1" applyBorder="1" applyAlignment="1">
      <alignment horizontal="center" vertical="top"/>
    </xf>
    <xf numFmtId="0" fontId="22" fillId="0" borderId="72" xfId="0" applyFont="1" applyBorder="1" applyAlignment="1">
      <alignment horizontal="left" vertical="top"/>
    </xf>
    <xf numFmtId="43" fontId="22" fillId="0" borderId="72" xfId="4" applyFont="1" applyFill="1" applyBorder="1" applyAlignment="1">
      <alignment horizontal="right" vertical="top"/>
    </xf>
    <xf numFmtId="4" fontId="22" fillId="0" borderId="72" xfId="0" applyNumberFormat="1" applyFont="1" applyBorder="1" applyAlignment="1">
      <alignment horizontal="left" vertical="top" wrapText="1"/>
    </xf>
    <xf numFmtId="43" fontId="22" fillId="0" borderId="86" xfId="4" applyFont="1" applyFill="1" applyBorder="1" applyAlignment="1">
      <alignment horizontal="right"/>
    </xf>
    <xf numFmtId="43" fontId="22" fillId="0" borderId="56" xfId="4" applyFont="1" applyFill="1" applyBorder="1"/>
    <xf numFmtId="4" fontId="8" fillId="0" borderId="0" xfId="0" applyNumberFormat="1" applyFont="1"/>
    <xf numFmtId="169" fontId="5" fillId="0" borderId="56" xfId="4" applyNumberFormat="1" applyFont="1" applyFill="1" applyBorder="1" applyAlignment="1">
      <alignment horizontal="right" vertical="top" wrapText="1"/>
    </xf>
    <xf numFmtId="170" fontId="5" fillId="0" borderId="56" xfId="0" applyNumberFormat="1" applyFont="1" applyBorder="1" applyAlignment="1">
      <alignment horizontal="right" vertical="top" wrapText="1"/>
    </xf>
    <xf numFmtId="0" fontId="8" fillId="0" borderId="56" xfId="0" applyFont="1" applyBorder="1" applyAlignment="1">
      <alignment vertical="top" wrapText="1" shrinkToFit="1"/>
    </xf>
    <xf numFmtId="0" fontId="4" fillId="0" borderId="0" xfId="0" applyFont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4" fontId="8" fillId="0" borderId="18" xfId="0" applyNumberFormat="1" applyFont="1" applyBorder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8" fillId="0" borderId="56" xfId="0" applyFont="1" applyBorder="1" applyAlignment="1">
      <alignment horizontal="left" wrapText="1"/>
    </xf>
    <xf numFmtId="4" fontId="8" fillId="0" borderId="0" xfId="0" applyNumberFormat="1" applyFont="1" applyAlignment="1">
      <alignment vertical="top"/>
    </xf>
    <xf numFmtId="0" fontId="2" fillId="0" borderId="72" xfId="0" applyFont="1" applyBorder="1" applyAlignment="1">
      <alignment horizontal="center"/>
    </xf>
    <xf numFmtId="0" fontId="2" fillId="0" borderId="107" xfId="0" applyFont="1" applyBorder="1" applyAlignment="1">
      <alignment horizontal="center"/>
    </xf>
    <xf numFmtId="0" fontId="8" fillId="0" borderId="56" xfId="0" applyFont="1" applyBorder="1" applyAlignment="1">
      <alignment horizontal="center" vertical="center" wrapText="1"/>
    </xf>
    <xf numFmtId="172" fontId="8" fillId="0" borderId="56" xfId="0" applyNumberFormat="1" applyFont="1" applyBorder="1"/>
    <xf numFmtId="0" fontId="22" fillId="0" borderId="56" xfId="0" applyFont="1" applyBorder="1"/>
    <xf numFmtId="0" fontId="5" fillId="0" borderId="56" xfId="95" applyFont="1" applyBorder="1" applyAlignment="1">
      <alignment horizontal="justify" vertical="top"/>
    </xf>
    <xf numFmtId="43" fontId="5" fillId="0" borderId="56" xfId="95" applyNumberFormat="1" applyFont="1" applyBorder="1" applyAlignment="1">
      <alignment horizontal="right" vertical="top"/>
    </xf>
    <xf numFmtId="4" fontId="5" fillId="0" borderId="56" xfId="0" applyNumberFormat="1" applyFont="1" applyBorder="1" applyAlignment="1">
      <alignment horizontal="right" vertical="top"/>
    </xf>
    <xf numFmtId="43" fontId="22" fillId="0" borderId="56" xfId="4" applyFont="1" applyFill="1" applyBorder="1" applyAlignment="1">
      <alignment vertical="top"/>
    </xf>
    <xf numFmtId="4" fontId="2" fillId="0" borderId="108" xfId="0" applyNumberFormat="1" applyFont="1" applyBorder="1"/>
    <xf numFmtId="0" fontId="8" fillId="0" borderId="60" xfId="0" applyFont="1" applyBorder="1"/>
    <xf numFmtId="0" fontId="8" fillId="0" borderId="109" xfId="0" applyFont="1" applyBorder="1"/>
    <xf numFmtId="0" fontId="8" fillId="0" borderId="105" xfId="0" applyFont="1" applyBorder="1"/>
    <xf numFmtId="0" fontId="8" fillId="0" borderId="105" xfId="0" applyFont="1" applyBorder="1" applyAlignment="1">
      <alignment vertical="top"/>
    </xf>
    <xf numFmtId="4" fontId="2" fillId="0" borderId="110" xfId="0" applyNumberFormat="1" applyFont="1" applyBorder="1"/>
    <xf numFmtId="0" fontId="2" fillId="0" borderId="18" xfId="0" applyFont="1" applyBorder="1"/>
    <xf numFmtId="4" fontId="2" fillId="0" borderId="108" xfId="0" applyNumberFormat="1" applyFont="1" applyBorder="1" applyAlignment="1">
      <alignment vertical="top"/>
    </xf>
    <xf numFmtId="4" fontId="12" fillId="0" borderId="56" xfId="0" applyNumberFormat="1" applyFont="1" applyBorder="1" applyAlignment="1">
      <alignment vertical="top" wrapText="1"/>
    </xf>
    <xf numFmtId="4" fontId="2" fillId="12" borderId="56" xfId="0" applyNumberFormat="1" applyFont="1" applyFill="1" applyBorder="1" applyAlignment="1">
      <alignment vertical="top"/>
    </xf>
    <xf numFmtId="0" fontId="8" fillId="0" borderId="0" xfId="0" applyFont="1" applyAlignment="1">
      <alignment vertical="top" wrapText="1"/>
    </xf>
    <xf numFmtId="0" fontId="8" fillId="0" borderId="89" xfId="0" applyFont="1" applyBorder="1" applyAlignment="1">
      <alignment horizontal="center" vertical="top"/>
    </xf>
    <xf numFmtId="0" fontId="8" fillId="0" borderId="89" xfId="0" applyFont="1" applyBorder="1" applyAlignment="1">
      <alignment vertical="top" wrapText="1"/>
    </xf>
    <xf numFmtId="43" fontId="11" fillId="0" borderId="89" xfId="4" applyFont="1" applyBorder="1" applyAlignment="1">
      <alignment vertical="top"/>
    </xf>
    <xf numFmtId="0" fontId="8" fillId="0" borderId="18" xfId="0" applyFont="1" applyBorder="1" applyAlignment="1">
      <alignment horizontal="center" vertical="top"/>
    </xf>
    <xf numFmtId="43" fontId="11" fillId="0" borderId="18" xfId="4" applyFont="1" applyBorder="1" applyAlignment="1">
      <alignment vertical="top"/>
    </xf>
    <xf numFmtId="4" fontId="2" fillId="0" borderId="18" xfId="0" applyNumberFormat="1" applyFont="1" applyBorder="1" applyAlignment="1">
      <alignment vertical="top"/>
    </xf>
    <xf numFmtId="0" fontId="8" fillId="0" borderId="18" xfId="0" applyFont="1" applyBorder="1" applyAlignment="1">
      <alignment vertical="top"/>
    </xf>
    <xf numFmtId="0" fontId="2" fillId="0" borderId="60" xfId="0" applyFont="1" applyBorder="1" applyAlignment="1">
      <alignment horizontal="center"/>
    </xf>
    <xf numFmtId="4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4" fontId="8" fillId="0" borderId="56" xfId="0" applyNumberFormat="1" applyFont="1" applyBorder="1" applyAlignment="1">
      <alignment horizontal="left" vertical="top" wrapText="1"/>
    </xf>
    <xf numFmtId="0" fontId="12" fillId="0" borderId="56" xfId="0" applyFont="1" applyBorder="1"/>
    <xf numFmtId="0" fontId="8" fillId="0" borderId="56" xfId="95" applyFont="1" applyBorder="1" applyAlignment="1">
      <alignment horizontal="left" vertical="center"/>
    </xf>
    <xf numFmtId="0" fontId="8" fillId="0" borderId="56" xfId="95" applyFont="1" applyBorder="1" applyAlignment="1">
      <alignment horizontal="center" vertical="center"/>
    </xf>
    <xf numFmtId="43" fontId="8" fillId="0" borderId="56" xfId="4" applyFont="1" applyBorder="1" applyAlignment="1">
      <alignment horizontal="center" vertical="center"/>
    </xf>
    <xf numFmtId="0" fontId="8" fillId="0" borderId="0" xfId="95" applyFont="1" applyAlignment="1">
      <alignment horizontal="left" vertical="center"/>
    </xf>
    <xf numFmtId="0" fontId="9" fillId="0" borderId="56" xfId="0" applyFont="1" applyBorder="1" applyAlignment="1">
      <alignment horizontal="left" vertical="top" wrapText="1" shrinkToFit="1"/>
    </xf>
    <xf numFmtId="43" fontId="8" fillId="0" borderId="56" xfId="95" applyNumberFormat="1" applyFont="1" applyBorder="1" applyAlignment="1">
      <alignment horizontal="center" vertical="center"/>
    </xf>
    <xf numFmtId="0" fontId="2" fillId="0" borderId="72" xfId="0" applyFont="1" applyBorder="1"/>
    <xf numFmtId="4" fontId="8" fillId="49" borderId="56" xfId="0" applyNumberFormat="1" applyFont="1" applyFill="1" applyBorder="1" applyAlignment="1">
      <alignment horizontal="left" vertical="top" wrapText="1"/>
    </xf>
    <xf numFmtId="43" fontId="2" fillId="0" borderId="0" xfId="0" applyNumberFormat="1" applyFont="1"/>
    <xf numFmtId="4" fontId="2" fillId="0" borderId="111" xfId="0" applyNumberFormat="1" applyFont="1" applyBorder="1"/>
    <xf numFmtId="0" fontId="5" fillId="0" borderId="56" xfId="95" applyFont="1" applyBorder="1" applyAlignment="1">
      <alignment horizontal="left" wrapText="1"/>
    </xf>
    <xf numFmtId="0" fontId="11" fillId="0" borderId="56" xfId="95" applyFont="1" applyBorder="1" applyAlignment="1">
      <alignment horizontal="left" vertical="center"/>
    </xf>
    <xf numFmtId="0" fontId="11" fillId="0" borderId="56" xfId="0" applyFont="1" applyBorder="1" applyAlignment="1">
      <alignment vertical="top" wrapText="1"/>
    </xf>
    <xf numFmtId="4" fontId="102" fillId="0" borderId="56" xfId="9" applyNumberFormat="1" applyFont="1" applyBorder="1" applyAlignment="1">
      <alignment vertical="center" shrinkToFit="1"/>
    </xf>
    <xf numFmtId="0" fontId="71" fillId="0" borderId="89" xfId="95" applyFont="1" applyBorder="1" applyAlignment="1">
      <alignment horizontal="center" vertical="top"/>
    </xf>
    <xf numFmtId="43" fontId="71" fillId="0" borderId="89" xfId="18" applyFont="1" applyFill="1" applyBorder="1" applyAlignment="1">
      <alignment horizontal="left" vertical="top"/>
    </xf>
    <xf numFmtId="0" fontId="75" fillId="0" borderId="89" xfId="0" applyFont="1" applyBorder="1" applyAlignment="1">
      <alignment horizontal="left" wrapText="1"/>
    </xf>
    <xf numFmtId="43" fontId="71" fillId="0" borderId="0" xfId="18" applyFont="1" applyFill="1" applyBorder="1" applyAlignment="1">
      <alignment horizontal="left" vertical="top"/>
    </xf>
    <xf numFmtId="0" fontId="75" fillId="0" borderId="0" xfId="0" applyFont="1" applyAlignment="1">
      <alignment horizontal="left" wrapText="1"/>
    </xf>
    <xf numFmtId="0" fontId="71" fillId="0" borderId="89" xfId="95" applyFont="1" applyBorder="1" applyAlignment="1">
      <alignment horizontal="left" vertical="top" wrapText="1"/>
    </xf>
    <xf numFmtId="0" fontId="71" fillId="0" borderId="89" xfId="95" applyFont="1" applyBorder="1" applyAlignment="1">
      <alignment horizontal="left" vertical="top"/>
    </xf>
    <xf numFmtId="0" fontId="125" fillId="0" borderId="56" xfId="95" applyFont="1" applyBorder="1" applyAlignment="1">
      <alignment horizontal="left" vertical="top"/>
    </xf>
    <xf numFmtId="43" fontId="45" fillId="0" borderId="89" xfId="18" applyFont="1" applyFill="1" applyBorder="1" applyAlignment="1">
      <alignment horizontal="left" vertical="top"/>
    </xf>
    <xf numFmtId="43" fontId="45" fillId="0" borderId="89" xfId="4" applyFont="1" applyFill="1" applyBorder="1" applyAlignment="1">
      <alignment horizontal="right" vertical="top"/>
    </xf>
    <xf numFmtId="0" fontId="75" fillId="12" borderId="56" xfId="95" applyFont="1" applyFill="1" applyBorder="1" applyAlignment="1">
      <alignment horizontal="left" vertical="top" wrapText="1"/>
    </xf>
    <xf numFmtId="43" fontId="103" fillId="0" borderId="65" xfId="4" applyFont="1" applyFill="1" applyBorder="1" applyAlignment="1">
      <alignment horizontal="center" vertical="center" shrinkToFit="1"/>
    </xf>
    <xf numFmtId="0" fontId="106" fillId="0" borderId="41" xfId="95" applyFont="1" applyBorder="1" applyAlignment="1">
      <alignment vertical="top"/>
    </xf>
    <xf numFmtId="0" fontId="117" fillId="0" borderId="41" xfId="0" applyFont="1" applyBorder="1" applyAlignment="1">
      <alignment wrapText="1"/>
    </xf>
    <xf numFmtId="0" fontId="104" fillId="30" borderId="41" xfId="88" applyFont="1" applyFill="1" applyBorder="1" applyAlignment="1">
      <alignment vertical="top" wrapText="1"/>
    </xf>
    <xf numFmtId="0" fontId="102" fillId="30" borderId="78" xfId="9" applyFont="1" applyFill="1" applyBorder="1" applyAlignment="1">
      <alignment vertical="top" shrinkToFit="1"/>
    </xf>
    <xf numFmtId="0" fontId="103" fillId="0" borderId="46" xfId="9" applyFont="1" applyBorder="1" applyAlignment="1">
      <alignment vertical="top" shrinkToFit="1"/>
    </xf>
    <xf numFmtId="0" fontId="103" fillId="0" borderId="66" xfId="4" applyNumberFormat="1" applyFont="1" applyFill="1" applyBorder="1" applyAlignment="1">
      <alignment horizontal="right" vertical="center" shrinkToFit="1"/>
    </xf>
    <xf numFmtId="0" fontId="103" fillId="0" borderId="71" xfId="9" applyFont="1" applyBorder="1" applyAlignment="1">
      <alignment vertical="top" shrinkToFit="1"/>
    </xf>
    <xf numFmtId="0" fontId="103" fillId="0" borderId="41" xfId="0" applyFont="1" applyBorder="1" applyAlignment="1">
      <alignment vertical="top" wrapText="1" shrinkToFit="1"/>
    </xf>
    <xf numFmtId="166" fontId="103" fillId="0" borderId="44" xfId="4" applyNumberFormat="1" applyFont="1" applyFill="1" applyBorder="1" applyAlignment="1">
      <alignment vertical="top" shrinkToFit="1"/>
    </xf>
    <xf numFmtId="43" fontId="105" fillId="0" borderId="41" xfId="9" applyNumberFormat="1" applyFont="1" applyBorder="1" applyAlignment="1">
      <alignment horizontal="center" vertical="top" shrinkToFit="1"/>
    </xf>
    <xf numFmtId="43" fontId="105" fillId="0" borderId="41" xfId="13" applyFont="1" applyFill="1" applyBorder="1" applyAlignment="1">
      <alignment horizontal="center" vertical="top" shrinkToFit="1"/>
    </xf>
    <xf numFmtId="43" fontId="103" fillId="0" borderId="0" xfId="4" applyFont="1" applyFill="1" applyAlignment="1">
      <alignment vertical="top" shrinkToFit="1"/>
    </xf>
    <xf numFmtId="0" fontId="106" fillId="0" borderId="41" xfId="0" applyFont="1" applyBorder="1" applyAlignment="1">
      <alignment shrinkToFit="1"/>
    </xf>
    <xf numFmtId="43" fontId="106" fillId="12" borderId="66" xfId="4" applyFont="1" applyFill="1" applyBorder="1" applyAlignment="1">
      <alignment horizontal="center" vertical="center" shrinkToFit="1"/>
    </xf>
    <xf numFmtId="43" fontId="106" fillId="30" borderId="41" xfId="4" applyFont="1" applyFill="1" applyBorder="1" applyAlignment="1">
      <alignment horizontal="center" vertical="center" shrinkToFit="1"/>
    </xf>
    <xf numFmtId="43" fontId="106" fillId="0" borderId="41" xfId="9" applyNumberFormat="1" applyFont="1" applyBorder="1" applyAlignment="1">
      <alignment horizontal="right" vertical="top" shrinkToFit="1"/>
    </xf>
    <xf numFmtId="43" fontId="106" fillId="0" borderId="41" xfId="4" applyFont="1" applyFill="1" applyBorder="1" applyAlignment="1">
      <alignment horizontal="center" vertical="top" wrapText="1" shrinkToFit="1"/>
    </xf>
    <xf numFmtId="43" fontId="106" fillId="0" borderId="41" xfId="4" applyFont="1" applyFill="1" applyBorder="1" applyAlignment="1">
      <alignment horizontal="right" vertical="top" wrapText="1" indent="1" shrinkToFit="1"/>
    </xf>
    <xf numFmtId="43" fontId="106" fillId="0" borderId="78" xfId="4" applyFont="1" applyFill="1" applyBorder="1" applyAlignment="1">
      <alignment horizontal="right" vertical="top" wrapText="1" shrinkToFit="1"/>
    </xf>
    <xf numFmtId="2" fontId="106" fillId="0" borderId="78" xfId="4" applyNumberFormat="1" applyFont="1" applyFill="1" applyBorder="1" applyAlignment="1">
      <alignment horizontal="right" vertical="top" wrapText="1" shrinkToFit="1"/>
    </xf>
    <xf numFmtId="166" fontId="106" fillId="0" borderId="66" xfId="4" applyNumberFormat="1" applyFont="1" applyBorder="1" applyAlignment="1">
      <alignment vertical="top" shrinkToFit="1"/>
    </xf>
    <xf numFmtId="166" fontId="106" fillId="0" borderId="78" xfId="4" applyNumberFormat="1" applyFont="1" applyBorder="1" applyAlignment="1">
      <alignment vertical="top" shrinkToFit="1"/>
    </xf>
    <xf numFmtId="174" fontId="106" fillId="0" borderId="78" xfId="4" applyNumberFormat="1" applyFont="1" applyFill="1" applyBorder="1" applyAlignment="1">
      <alignment horizontal="right" vertical="top" wrapText="1" indent="1" shrinkToFit="1"/>
    </xf>
    <xf numFmtId="43" fontId="106" fillId="0" borderId="78" xfId="4" applyFont="1" applyFill="1" applyBorder="1" applyAlignment="1">
      <alignment horizontal="center" vertical="top" wrapText="1" shrinkToFit="1"/>
    </xf>
    <xf numFmtId="0" fontId="106" fillId="0" borderId="0" xfId="9" applyFont="1" applyAlignment="1">
      <alignment vertical="top" shrinkToFit="1"/>
    </xf>
    <xf numFmtId="43" fontId="103" fillId="0" borderId="43" xfId="13" applyFont="1" applyFill="1" applyBorder="1" applyAlignment="1">
      <alignment horizontal="center" vertical="top" shrinkToFit="1"/>
    </xf>
    <xf numFmtId="43" fontId="103" fillId="31" borderId="43" xfId="4" applyFont="1" applyFill="1" applyBorder="1" applyAlignment="1">
      <alignment horizontal="center" vertical="top" shrinkToFit="1"/>
    </xf>
    <xf numFmtId="43" fontId="103" fillId="0" borderId="44" xfId="4" applyFont="1" applyFill="1" applyBorder="1" applyAlignment="1">
      <alignment horizontal="right" vertical="center" wrapText="1" shrinkToFit="1"/>
    </xf>
    <xf numFmtId="43" fontId="103" fillId="0" borderId="42" xfId="9" applyNumberFormat="1" applyFont="1" applyBorder="1" applyAlignment="1">
      <alignment horizontal="right" vertical="center" shrinkToFit="1"/>
    </xf>
    <xf numFmtId="4" fontId="106" fillId="0" borderId="43" xfId="0" applyNumberFormat="1" applyFont="1" applyBorder="1" applyAlignment="1">
      <alignment horizontal="right" vertical="center"/>
    </xf>
    <xf numFmtId="0" fontId="71" fillId="0" borderId="56" xfId="17" applyFont="1" applyBorder="1" applyAlignment="1">
      <alignment horizontal="center" vertical="top"/>
    </xf>
    <xf numFmtId="0" fontId="71" fillId="0" borderId="56" xfId="17" applyFont="1" applyBorder="1" applyAlignment="1">
      <alignment horizontal="left" vertical="top" wrapText="1"/>
    </xf>
    <xf numFmtId="4" fontId="71" fillId="0" borderId="56" xfId="17" applyNumberFormat="1" applyFont="1" applyBorder="1" applyAlignment="1">
      <alignment horizontal="right" vertical="top"/>
    </xf>
    <xf numFmtId="0" fontId="71" fillId="0" borderId="56" xfId="17" applyFont="1" applyBorder="1" applyAlignment="1">
      <alignment vertical="top"/>
    </xf>
    <xf numFmtId="0" fontId="71" fillId="0" borderId="56" xfId="17" applyFont="1" applyBorder="1" applyAlignment="1">
      <alignment horizontal="left" vertical="top"/>
    </xf>
    <xf numFmtId="43" fontId="45" fillId="0" borderId="0" xfId="18" applyFont="1" applyFill="1" applyBorder="1" applyAlignment="1">
      <alignment horizontal="left" vertical="top"/>
    </xf>
    <xf numFmtId="43" fontId="45" fillId="0" borderId="0" xfId="4" applyFont="1" applyFill="1" applyBorder="1" applyAlignment="1">
      <alignment horizontal="right" vertical="top"/>
    </xf>
    <xf numFmtId="0" fontId="75" fillId="0" borderId="88" xfId="0" applyFont="1" applyBorder="1" applyAlignment="1">
      <alignment wrapText="1"/>
    </xf>
    <xf numFmtId="0" fontId="74" fillId="0" borderId="56" xfId="95" applyFont="1" applyBorder="1" applyAlignment="1">
      <alignment vertical="top"/>
    </xf>
    <xf numFmtId="0" fontId="74" fillId="0" borderId="56" xfId="0" applyFont="1" applyBorder="1" applyAlignment="1">
      <alignment horizontal="left" vertical="top" wrapText="1"/>
    </xf>
    <xf numFmtId="43" fontId="106" fillId="0" borderId="78" xfId="4" applyFont="1" applyFill="1" applyBorder="1" applyAlignment="1">
      <alignment horizontal="center" vertical="top" shrinkToFit="1"/>
    </xf>
    <xf numFmtId="43" fontId="106" fillId="12" borderId="66" xfId="4" applyFont="1" applyFill="1" applyBorder="1" applyAlignment="1">
      <alignment horizontal="center" vertical="top" shrinkToFit="1"/>
    </xf>
    <xf numFmtId="43" fontId="103" fillId="12" borderId="78" xfId="4" applyFont="1" applyFill="1" applyBorder="1" applyAlignment="1">
      <alignment horizontal="center" vertical="top" shrinkToFit="1"/>
    </xf>
    <xf numFmtId="0" fontId="117" fillId="0" borderId="41" xfId="0" applyFont="1" applyBorder="1" applyAlignment="1">
      <alignment vertical="top"/>
    </xf>
    <xf numFmtId="43" fontId="105" fillId="31" borderId="41" xfId="4" applyFont="1" applyFill="1" applyBorder="1" applyAlignment="1">
      <alignment horizontal="center" vertical="top" shrinkToFit="1"/>
    </xf>
    <xf numFmtId="43" fontId="103" fillId="0" borderId="11" xfId="9" applyNumberFormat="1" applyFont="1" applyBorder="1" applyAlignment="1">
      <alignment horizontal="right" vertical="top" shrinkToFit="1"/>
    </xf>
    <xf numFmtId="166" fontId="103" fillId="0" borderId="20" xfId="4" applyNumberFormat="1" applyFont="1" applyBorder="1" applyAlignment="1">
      <alignment vertical="top" shrinkToFit="1"/>
    </xf>
    <xf numFmtId="43" fontId="106" fillId="0" borderId="78" xfId="4" applyFont="1" applyBorder="1" applyAlignment="1">
      <alignment vertical="top" shrinkToFit="1"/>
    </xf>
    <xf numFmtId="49" fontId="102" fillId="0" borderId="42" xfId="9" applyNumberFormat="1" applyFont="1" applyBorder="1" applyAlignment="1">
      <alignment horizontal="right" vertical="top" shrinkToFit="1"/>
    </xf>
    <xf numFmtId="0" fontId="103" fillId="0" borderId="42" xfId="9" applyFont="1" applyBorder="1" applyAlignment="1">
      <alignment horizontal="left" vertical="top"/>
    </xf>
    <xf numFmtId="43" fontId="103" fillId="0" borderId="42" xfId="13" applyFont="1" applyFill="1" applyBorder="1" applyAlignment="1">
      <alignment horizontal="center" vertical="top" shrinkToFit="1"/>
    </xf>
    <xf numFmtId="43" fontId="103" fillId="31" borderId="42" xfId="4" applyFont="1" applyFill="1" applyBorder="1" applyAlignment="1">
      <alignment horizontal="center" vertical="top" shrinkToFit="1"/>
    </xf>
    <xf numFmtId="43" fontId="103" fillId="0" borderId="65" xfId="4" applyFont="1" applyFill="1" applyBorder="1" applyAlignment="1">
      <alignment horizontal="center" vertical="top" shrinkToFit="1"/>
    </xf>
    <xf numFmtId="43" fontId="103" fillId="0" borderId="65" xfId="4" applyFont="1" applyBorder="1" applyAlignment="1">
      <alignment vertical="top" shrinkToFit="1"/>
    </xf>
    <xf numFmtId="166" fontId="103" fillId="0" borderId="65" xfId="4" applyNumberFormat="1" applyFont="1" applyFill="1" applyBorder="1" applyAlignment="1">
      <alignment vertical="top" shrinkToFit="1"/>
    </xf>
    <xf numFmtId="166" fontId="103" fillId="0" borderId="44" xfId="4" applyNumberFormat="1" applyFont="1" applyFill="1" applyBorder="1" applyAlignment="1">
      <alignment horizontal="right" vertical="center" wrapText="1" shrinkToFit="1"/>
    </xf>
    <xf numFmtId="43" fontId="103" fillId="0" borderId="66" xfId="4" applyFont="1" applyFill="1" applyBorder="1" applyAlignment="1">
      <alignment horizontal="right" vertical="center" wrapText="1" shrinkToFit="1"/>
    </xf>
    <xf numFmtId="43" fontId="103" fillId="0" borderId="66" xfId="4" applyFont="1" applyBorder="1" applyAlignment="1">
      <alignment vertical="center" shrinkToFit="1"/>
    </xf>
    <xf numFmtId="43" fontId="103" fillId="0" borderId="66" xfId="4" applyFont="1" applyFill="1" applyBorder="1" applyAlignment="1">
      <alignment vertical="top" shrinkToFit="1"/>
    </xf>
    <xf numFmtId="43" fontId="103" fillId="0" borderId="44" xfId="9" applyNumberFormat="1" applyFont="1" applyBorder="1" applyAlignment="1">
      <alignment horizontal="right" vertical="center"/>
    </xf>
    <xf numFmtId="0" fontId="103" fillId="0" borderId="44" xfId="17" applyFont="1" applyBorder="1" applyAlignment="1">
      <alignment horizontal="left" vertical="top"/>
    </xf>
    <xf numFmtId="43" fontId="103" fillId="0" borderId="44" xfId="9" applyNumberFormat="1" applyFont="1" applyBorder="1" applyAlignment="1">
      <alignment horizontal="center" vertical="center"/>
    </xf>
    <xf numFmtId="43" fontId="103" fillId="0" borderId="44" xfId="4" applyFont="1" applyFill="1" applyBorder="1" applyAlignment="1">
      <alignment horizontal="center" vertical="center"/>
    </xf>
    <xf numFmtId="43" fontId="103" fillId="0" borderId="44" xfId="13" applyFont="1" applyFill="1" applyBorder="1" applyAlignment="1">
      <alignment horizontal="center" vertical="center"/>
    </xf>
    <xf numFmtId="43" fontId="103" fillId="31" borderId="44" xfId="4" applyFont="1" applyFill="1" applyBorder="1" applyAlignment="1">
      <alignment horizontal="center" vertical="center"/>
    </xf>
    <xf numFmtId="0" fontId="103" fillId="0" borderId="44" xfId="9" applyFont="1" applyBorder="1" applyAlignment="1">
      <alignment vertical="center"/>
    </xf>
    <xf numFmtId="166" fontId="103" fillId="0" borderId="44" xfId="4" applyNumberFormat="1" applyFont="1" applyFill="1" applyBorder="1" applyAlignment="1">
      <alignment horizontal="right" vertical="center"/>
    </xf>
    <xf numFmtId="166" fontId="103" fillId="0" borderId="44" xfId="4" applyNumberFormat="1" applyFont="1" applyFill="1" applyBorder="1" applyAlignment="1">
      <alignment horizontal="right" vertical="top"/>
    </xf>
    <xf numFmtId="2" fontId="103" fillId="0" borderId="44" xfId="4" applyNumberFormat="1" applyFont="1" applyFill="1" applyBorder="1" applyAlignment="1">
      <alignment horizontal="right" vertical="top"/>
    </xf>
    <xf numFmtId="43" fontId="103" fillId="0" borderId="66" xfId="4" applyFont="1" applyFill="1" applyBorder="1" applyAlignment="1">
      <alignment horizontal="center" vertical="center"/>
    </xf>
    <xf numFmtId="2" fontId="103" fillId="0" borderId="43" xfId="4" applyNumberFormat="1" applyFont="1" applyFill="1" applyBorder="1" applyAlignment="1">
      <alignment horizontal="right" vertical="top" shrinkToFit="1"/>
    </xf>
    <xf numFmtId="43" fontId="103" fillId="0" borderId="44" xfId="13" applyFont="1" applyFill="1" applyBorder="1" applyAlignment="1">
      <alignment horizontal="center" vertical="center" shrinkToFit="1"/>
    </xf>
    <xf numFmtId="43" fontId="103" fillId="31" borderId="44" xfId="4" applyFont="1" applyFill="1" applyBorder="1" applyAlignment="1">
      <alignment horizontal="center" vertical="center" shrinkToFit="1"/>
    </xf>
    <xf numFmtId="43" fontId="106" fillId="0" borderId="44" xfId="9" applyNumberFormat="1" applyFont="1" applyBorder="1" applyAlignment="1">
      <alignment horizontal="right" vertical="top" shrinkToFit="1"/>
    </xf>
    <xf numFmtId="0" fontId="106" fillId="0" borderId="44" xfId="88" applyFont="1" applyBorder="1" applyAlignment="1">
      <alignment vertical="top" wrapText="1"/>
    </xf>
    <xf numFmtId="43" fontId="106" fillId="0" borderId="44" xfId="9" applyNumberFormat="1" applyFont="1" applyBorder="1" applyAlignment="1">
      <alignment horizontal="center" vertical="top" shrinkToFit="1"/>
    </xf>
    <xf numFmtId="43" fontId="106" fillId="0" borderId="44" xfId="4" applyFont="1" applyFill="1" applyBorder="1" applyAlignment="1">
      <alignment horizontal="center" vertical="top" shrinkToFit="1"/>
    </xf>
    <xf numFmtId="43" fontId="106" fillId="0" borderId="44" xfId="13" applyFont="1" applyFill="1" applyBorder="1" applyAlignment="1">
      <alignment horizontal="center" vertical="top" shrinkToFit="1"/>
    </xf>
    <xf numFmtId="43" fontId="106" fillId="31" borderId="44" xfId="4" applyFont="1" applyFill="1" applyBorder="1" applyAlignment="1">
      <alignment horizontal="center" vertical="top" shrinkToFit="1"/>
    </xf>
    <xf numFmtId="0" fontId="106" fillId="0" borderId="44" xfId="9" applyFont="1" applyBorder="1" applyAlignment="1">
      <alignment vertical="top" shrinkToFit="1"/>
    </xf>
    <xf numFmtId="166" fontId="106" fillId="0" borderId="44" xfId="4" applyNumberFormat="1" applyFont="1" applyFill="1" applyBorder="1" applyAlignment="1">
      <alignment horizontal="right" vertical="top" shrinkToFit="1"/>
    </xf>
    <xf numFmtId="43" fontId="107" fillId="0" borderId="44" xfId="4" applyFont="1" applyFill="1" applyBorder="1" applyAlignment="1">
      <alignment horizontal="left" vertical="top"/>
    </xf>
    <xf numFmtId="43" fontId="106" fillId="0" borderId="44" xfId="18" applyFont="1" applyFill="1" applyBorder="1" applyAlignment="1">
      <alignment horizontal="left" vertical="top"/>
    </xf>
    <xf numFmtId="166" fontId="103" fillId="0" borderId="66" xfId="4" applyNumberFormat="1" applyFont="1" applyBorder="1" applyAlignment="1">
      <alignment vertical="top" shrinkToFit="1"/>
    </xf>
    <xf numFmtId="166" fontId="103" fillId="0" borderId="66" xfId="4" applyNumberFormat="1" applyFont="1" applyFill="1" applyBorder="1" applyAlignment="1">
      <alignment horizontal="right" vertical="top" shrinkToFit="1"/>
    </xf>
    <xf numFmtId="43" fontId="103" fillId="0" borderId="43" xfId="9" applyNumberFormat="1" applyFont="1" applyBorder="1" applyAlignment="1">
      <alignment horizontal="right" vertical="top" shrinkToFit="1"/>
    </xf>
    <xf numFmtId="0" fontId="103" fillId="0" borderId="43" xfId="0" applyFont="1" applyBorder="1" applyAlignment="1">
      <alignment vertical="top"/>
    </xf>
    <xf numFmtId="43" fontId="103" fillId="0" borderId="43" xfId="9" applyNumberFormat="1" applyFont="1" applyBorder="1" applyAlignment="1">
      <alignment horizontal="center" vertical="top" shrinkToFit="1"/>
    </xf>
    <xf numFmtId="43" fontId="102" fillId="0" borderId="43" xfId="4" applyFont="1" applyFill="1" applyBorder="1" applyAlignment="1">
      <alignment horizontal="left" vertical="top"/>
    </xf>
    <xf numFmtId="43" fontId="103" fillId="0" borderId="43" xfId="18" applyFont="1" applyFill="1" applyBorder="1" applyAlignment="1">
      <alignment horizontal="left" vertical="top"/>
    </xf>
    <xf numFmtId="3" fontId="103" fillId="0" borderId="43" xfId="0" applyNumberFormat="1" applyFont="1" applyBorder="1" applyAlignment="1">
      <alignment horizontal="right" vertical="top"/>
    </xf>
    <xf numFmtId="4" fontId="103" fillId="0" borderId="43" xfId="0" applyNumberFormat="1" applyFont="1" applyBorder="1" applyAlignment="1">
      <alignment horizontal="right" vertical="top"/>
    </xf>
    <xf numFmtId="166" fontId="103" fillId="0" borderId="43" xfId="4" applyNumberFormat="1" applyFont="1" applyBorder="1" applyAlignment="1">
      <alignment vertical="top" shrinkToFit="1"/>
    </xf>
    <xf numFmtId="166" fontId="103" fillId="0" borderId="79" xfId="4" applyNumberFormat="1" applyFont="1" applyBorder="1" applyAlignment="1">
      <alignment vertical="top" shrinkToFit="1"/>
    </xf>
    <xf numFmtId="4" fontId="103" fillId="0" borderId="79" xfId="0" applyNumberFormat="1" applyFont="1" applyBorder="1" applyAlignment="1">
      <alignment horizontal="right" vertical="top"/>
    </xf>
    <xf numFmtId="43" fontId="103" fillId="0" borderId="44" xfId="9" applyNumberFormat="1" applyFont="1" applyBorder="1" applyAlignment="1">
      <alignment horizontal="right" vertical="top" shrinkToFit="1"/>
    </xf>
    <xf numFmtId="0" fontId="103" fillId="0" borderId="44" xfId="17" applyFont="1" applyBorder="1" applyAlignment="1">
      <alignment horizontal="left" vertical="top" wrapText="1"/>
    </xf>
    <xf numFmtId="43" fontId="103" fillId="0" borderId="44" xfId="9" applyNumberFormat="1" applyFont="1" applyBorder="1" applyAlignment="1">
      <alignment horizontal="center" vertical="top" shrinkToFit="1"/>
    </xf>
    <xf numFmtId="43" fontId="103" fillId="0" borderId="44" xfId="13" applyFont="1" applyFill="1" applyBorder="1" applyAlignment="1">
      <alignment horizontal="center" vertical="top" shrinkToFit="1"/>
    </xf>
    <xf numFmtId="43" fontId="103" fillId="31" borderId="44" xfId="4" applyFont="1" applyFill="1" applyBorder="1" applyAlignment="1">
      <alignment horizontal="center" vertical="top" shrinkToFit="1"/>
    </xf>
    <xf numFmtId="0" fontId="103" fillId="0" borderId="44" xfId="9" applyFont="1" applyBorder="1" applyAlignment="1">
      <alignment vertical="top" shrinkToFit="1"/>
    </xf>
    <xf numFmtId="43" fontId="102" fillId="0" borderId="44" xfId="4" applyFont="1" applyFill="1" applyBorder="1" applyAlignment="1">
      <alignment horizontal="left" vertical="top"/>
    </xf>
    <xf numFmtId="2" fontId="103" fillId="0" borderId="44" xfId="4" applyNumberFormat="1" applyFont="1" applyFill="1" applyBorder="1" applyAlignment="1">
      <alignment horizontal="right" vertical="top" shrinkToFit="1"/>
    </xf>
    <xf numFmtId="43" fontId="103" fillId="0" borderId="66" xfId="4" applyFont="1" applyFill="1" applyBorder="1" applyAlignment="1">
      <alignment horizontal="center" vertical="top" shrinkToFit="1"/>
    </xf>
    <xf numFmtId="0" fontId="103" fillId="0" borderId="43" xfId="17" applyFont="1" applyBorder="1" applyAlignment="1">
      <alignment horizontal="left" vertical="top" wrapText="1"/>
    </xf>
    <xf numFmtId="43" fontId="45" fillId="0" borderId="41" xfId="4" applyFont="1" applyFill="1" applyBorder="1" applyAlignment="1">
      <alignment horizontal="center" vertical="center" shrinkToFit="1"/>
    </xf>
    <xf numFmtId="43" fontId="108" fillId="0" borderId="43" xfId="4" applyFont="1" applyFill="1" applyBorder="1" applyAlignment="1">
      <alignment horizontal="center" vertical="center" shrinkToFit="1"/>
    </xf>
    <xf numFmtId="43" fontId="102" fillId="0" borderId="112" xfId="4" applyFont="1" applyFill="1" applyBorder="1" applyAlignment="1">
      <alignment horizontal="left" vertical="center"/>
    </xf>
    <xf numFmtId="166" fontId="103" fillId="0" borderId="44" xfId="13" applyNumberFormat="1" applyFont="1" applyFill="1" applyBorder="1" applyAlignment="1">
      <alignment horizontal="center" vertical="center" shrinkToFit="1"/>
    </xf>
    <xf numFmtId="43" fontId="103" fillId="12" borderId="44" xfId="4" applyFont="1" applyFill="1" applyBorder="1" applyAlignment="1">
      <alignment horizontal="center" vertical="center" shrinkToFit="1"/>
    </xf>
    <xf numFmtId="49" fontId="103" fillId="30" borderId="56" xfId="9" applyNumberFormat="1" applyFont="1" applyFill="1" applyBorder="1" applyAlignment="1">
      <alignment horizontal="right" vertical="center" shrinkToFit="1"/>
    </xf>
    <xf numFmtId="0" fontId="103" fillId="30" borderId="56" xfId="9" applyFont="1" applyFill="1" applyBorder="1" applyAlignment="1">
      <alignment vertical="center" shrinkToFit="1"/>
    </xf>
    <xf numFmtId="0" fontId="103" fillId="30" borderId="56" xfId="9" applyFont="1" applyFill="1" applyBorder="1" applyAlignment="1">
      <alignment horizontal="center" vertical="center" shrinkToFit="1"/>
    </xf>
    <xf numFmtId="43" fontId="102" fillId="30" borderId="56" xfId="4" applyFont="1" applyFill="1" applyBorder="1" applyAlignment="1">
      <alignment horizontal="center" vertical="center" shrinkToFit="1"/>
    </xf>
    <xf numFmtId="43" fontId="102" fillId="30" borderId="56" xfId="13" applyFont="1" applyFill="1" applyBorder="1" applyAlignment="1">
      <alignment horizontal="center" vertical="center" shrinkToFit="1"/>
    </xf>
    <xf numFmtId="43" fontId="103" fillId="30" borderId="56" xfId="4" applyFont="1" applyFill="1" applyBorder="1" applyAlignment="1">
      <alignment horizontal="center" vertical="top" shrinkToFit="1"/>
    </xf>
    <xf numFmtId="43" fontId="103" fillId="30" borderId="56" xfId="4" applyFont="1" applyFill="1" applyBorder="1" applyAlignment="1">
      <alignment horizontal="center" vertical="center" shrinkToFit="1"/>
    </xf>
    <xf numFmtId="166" fontId="103" fillId="0" borderId="44" xfId="12" applyNumberFormat="1" applyFont="1" applyBorder="1"/>
    <xf numFmtId="43" fontId="103" fillId="0" borderId="43" xfId="4" applyFont="1" applyBorder="1" applyAlignment="1">
      <alignment horizontal="right" vertical="center" shrinkToFit="1"/>
    </xf>
    <xf numFmtId="43" fontId="103" fillId="0" borderId="43" xfId="4" applyFont="1" applyBorder="1" applyAlignment="1">
      <alignment vertical="center" shrinkToFit="1"/>
    </xf>
    <xf numFmtId="43" fontId="103" fillId="0" borderId="43" xfId="4" applyFont="1" applyBorder="1" applyAlignment="1">
      <alignment horizontal="center" vertical="center" shrinkToFit="1"/>
    </xf>
    <xf numFmtId="43" fontId="103" fillId="0" borderId="43" xfId="4" applyFont="1" applyBorder="1"/>
    <xf numFmtId="43" fontId="103" fillId="46" borderId="43" xfId="4" applyFont="1" applyFill="1" applyBorder="1" applyAlignment="1">
      <alignment horizontal="right" vertical="center"/>
    </xf>
    <xf numFmtId="43" fontId="105" fillId="0" borderId="43" xfId="4" applyFont="1" applyFill="1" applyBorder="1" applyAlignment="1">
      <alignment vertical="center" shrinkToFit="1"/>
    </xf>
    <xf numFmtId="0" fontId="14" fillId="0" borderId="0" xfId="1" applyFont="1" applyAlignment="1">
      <alignment horizontal="center"/>
    </xf>
    <xf numFmtId="0" fontId="4" fillId="0" borderId="5" xfId="1" applyFont="1" applyBorder="1" applyAlignment="1">
      <alignment horizontal="center" vertical="center"/>
    </xf>
    <xf numFmtId="49" fontId="4" fillId="0" borderId="5" xfId="2" applyNumberFormat="1" applyFont="1" applyFill="1" applyBorder="1" applyAlignment="1">
      <alignment horizontal="center"/>
    </xf>
    <xf numFmtId="49" fontId="4" fillId="0" borderId="5" xfId="2" applyNumberFormat="1" applyFont="1" applyFill="1" applyBorder="1" applyAlignment="1">
      <alignment horizontal="center" vertical="center" wrapText="1"/>
    </xf>
    <xf numFmtId="49" fontId="4" fillId="0" borderId="5" xfId="2" applyNumberFormat="1" applyFont="1" applyFill="1" applyBorder="1" applyAlignment="1">
      <alignment horizontal="center" vertical="center"/>
    </xf>
    <xf numFmtId="43" fontId="4" fillId="0" borderId="5" xfId="2" applyFont="1" applyFill="1" applyBorder="1" applyAlignment="1">
      <alignment horizontal="center" vertical="top" wrapText="1"/>
    </xf>
    <xf numFmtId="43" fontId="4" fillId="0" borderId="5" xfId="2" applyFont="1" applyFill="1" applyBorder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top" wrapText="1"/>
    </xf>
    <xf numFmtId="49" fontId="4" fillId="0" borderId="4" xfId="2" applyNumberFormat="1" applyFont="1" applyFill="1" applyBorder="1" applyAlignment="1">
      <alignment horizontal="center" vertical="top" wrapText="1"/>
    </xf>
    <xf numFmtId="49" fontId="4" fillId="0" borderId="1" xfId="2" applyNumberFormat="1" applyFont="1" applyFill="1" applyBorder="1" applyAlignment="1">
      <alignment horizontal="center" vertical="center"/>
    </xf>
    <xf numFmtId="49" fontId="4" fillId="0" borderId="4" xfId="2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2" fontId="5" fillId="0" borderId="1" xfId="1" applyNumberFormat="1" applyFont="1" applyBorder="1" applyAlignment="1">
      <alignment horizontal="right" vertical="center"/>
    </xf>
    <xf numFmtId="2" fontId="5" fillId="0" borderId="4" xfId="1" applyNumberFormat="1" applyFont="1" applyBorder="1" applyAlignment="1">
      <alignment horizontal="right" vertical="center"/>
    </xf>
    <xf numFmtId="165" fontId="4" fillId="0" borderId="5" xfId="2" applyNumberFormat="1" applyFont="1" applyFill="1" applyBorder="1" applyAlignment="1">
      <alignment horizontal="center" vertical="center" shrinkToFit="1"/>
    </xf>
    <xf numFmtId="0" fontId="5" fillId="0" borderId="0" xfId="1" applyFont="1" applyAlignment="1">
      <alignment horizontal="center" vertical="center"/>
    </xf>
    <xf numFmtId="43" fontId="5" fillId="0" borderId="1" xfId="4" applyFont="1" applyFill="1" applyBorder="1" applyAlignment="1">
      <alignment horizontal="center" vertical="center"/>
    </xf>
    <xf numFmtId="43" fontId="5" fillId="0" borderId="4" xfId="4" applyFont="1" applyFill="1" applyBorder="1" applyAlignment="1">
      <alignment horizontal="center" vertical="center"/>
    </xf>
    <xf numFmtId="164" fontId="2" fillId="0" borderId="5" xfId="2" applyNumberFormat="1" applyFont="1" applyFill="1" applyBorder="1" applyAlignment="1">
      <alignment horizontal="center" vertical="center" shrinkToFit="1"/>
    </xf>
    <xf numFmtId="165" fontId="4" fillId="0" borderId="5" xfId="2" applyNumberFormat="1" applyFont="1" applyFill="1" applyBorder="1" applyAlignment="1">
      <alignment horizontal="right" vertical="center" shrinkToFit="1"/>
    </xf>
    <xf numFmtId="49" fontId="4" fillId="0" borderId="2" xfId="2" applyNumberFormat="1" applyFont="1" applyFill="1" applyBorder="1" applyAlignment="1">
      <alignment horizontal="center"/>
    </xf>
    <xf numFmtId="49" fontId="4" fillId="0" borderId="8" xfId="2" applyNumberFormat="1" applyFont="1" applyFill="1" applyBorder="1" applyAlignment="1">
      <alignment horizontal="center"/>
    </xf>
    <xf numFmtId="49" fontId="4" fillId="0" borderId="3" xfId="2" applyNumberFormat="1" applyFont="1" applyFill="1" applyBorder="1" applyAlignment="1">
      <alignment horizontal="center"/>
    </xf>
    <xf numFmtId="164" fontId="2" fillId="0" borderId="1" xfId="2" applyNumberFormat="1" applyFont="1" applyFill="1" applyBorder="1" applyAlignment="1">
      <alignment horizontal="center" vertical="center" shrinkToFit="1"/>
    </xf>
    <xf numFmtId="164" fontId="2" fillId="0" borderId="4" xfId="2" applyNumberFormat="1" applyFont="1" applyFill="1" applyBorder="1" applyAlignment="1">
      <alignment horizontal="center" vertical="center" shrinkToFit="1"/>
    </xf>
    <xf numFmtId="49" fontId="4" fillId="0" borderId="1" xfId="2" applyNumberFormat="1" applyFont="1" applyFill="1" applyBorder="1" applyAlignment="1">
      <alignment horizontal="center" vertical="center" wrapText="1"/>
    </xf>
    <xf numFmtId="49" fontId="4" fillId="3" borderId="1" xfId="2" applyNumberFormat="1" applyFont="1" applyFill="1" applyBorder="1" applyAlignment="1">
      <alignment horizontal="center" vertical="center"/>
    </xf>
    <xf numFmtId="49" fontId="4" fillId="3" borderId="4" xfId="2" applyNumberFormat="1" applyFont="1" applyFill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right" vertical="center" shrinkToFit="1"/>
    </xf>
    <xf numFmtId="165" fontId="4" fillId="0" borderId="4" xfId="2" applyNumberFormat="1" applyFont="1" applyFill="1" applyBorder="1" applyAlignment="1">
      <alignment horizontal="right" vertical="center" shrinkToFit="1"/>
    </xf>
    <xf numFmtId="165" fontId="4" fillId="0" borderId="1" xfId="2" applyNumberFormat="1" applyFont="1" applyFill="1" applyBorder="1" applyAlignment="1">
      <alignment horizontal="center" vertical="center" shrinkToFit="1"/>
    </xf>
    <xf numFmtId="165" fontId="4" fillId="0" borderId="4" xfId="2" applyNumberFormat="1" applyFont="1" applyFill="1" applyBorder="1" applyAlignment="1">
      <alignment horizontal="center" vertical="center" shrinkToFit="1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49" fontId="4" fillId="3" borderId="1" xfId="2" applyNumberFormat="1" applyFont="1" applyFill="1" applyBorder="1" applyAlignment="1">
      <alignment horizontal="center" vertical="center" wrapText="1"/>
    </xf>
    <xf numFmtId="43" fontId="4" fillId="0" borderId="1" xfId="2" applyFont="1" applyFill="1" applyBorder="1" applyAlignment="1">
      <alignment horizontal="center" vertical="top" wrapText="1"/>
    </xf>
    <xf numFmtId="43" fontId="4" fillId="0" borderId="4" xfId="2" applyFont="1" applyFill="1" applyBorder="1" applyAlignment="1">
      <alignment horizontal="center" vertical="top" wrapText="1"/>
    </xf>
    <xf numFmtId="0" fontId="26" fillId="5" borderId="27" xfId="0" applyFont="1" applyFill="1" applyBorder="1" applyAlignment="1">
      <alignment horizontal="center" vertical="center" readingOrder="1"/>
    </xf>
    <xf numFmtId="0" fontId="26" fillId="5" borderId="36" xfId="0" applyFont="1" applyFill="1" applyBorder="1" applyAlignment="1">
      <alignment horizontal="center" vertical="center" readingOrder="1"/>
    </xf>
    <xf numFmtId="0" fontId="26" fillId="5" borderId="28" xfId="0" applyFont="1" applyFill="1" applyBorder="1" applyAlignment="1">
      <alignment horizontal="center" vertical="center" readingOrder="1"/>
    </xf>
    <xf numFmtId="0" fontId="24" fillId="9" borderId="37" xfId="0" applyFont="1" applyFill="1" applyBorder="1" applyAlignment="1">
      <alignment horizontal="left" vertical="center" readingOrder="1"/>
    </xf>
    <xf numFmtId="0" fontId="24" fillId="9" borderId="38" xfId="0" applyFont="1" applyFill="1" applyBorder="1" applyAlignment="1">
      <alignment horizontal="left" vertical="center" readingOrder="1"/>
    </xf>
    <xf numFmtId="0" fontId="24" fillId="9" borderId="39" xfId="0" applyFont="1" applyFill="1" applyBorder="1" applyAlignment="1">
      <alignment horizontal="left" vertical="center" readingOrder="1"/>
    </xf>
    <xf numFmtId="0" fontId="39" fillId="8" borderId="27" xfId="0" applyFont="1" applyFill="1" applyBorder="1" applyAlignment="1">
      <alignment horizontal="left" vertical="center" readingOrder="1"/>
    </xf>
    <xf numFmtId="0" fontId="39" fillId="8" borderId="36" xfId="0" applyFont="1" applyFill="1" applyBorder="1" applyAlignment="1">
      <alignment horizontal="left" vertical="center" readingOrder="1"/>
    </xf>
    <xf numFmtId="0" fontId="39" fillId="8" borderId="28" xfId="0" applyFont="1" applyFill="1" applyBorder="1" applyAlignment="1">
      <alignment horizontal="left" vertical="center" readingOrder="1"/>
    </xf>
    <xf numFmtId="0" fontId="4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165" fontId="2" fillId="0" borderId="5" xfId="2" applyNumberFormat="1" applyFont="1" applyFill="1" applyBorder="1" applyAlignment="1">
      <alignment horizontal="right" vertical="center" shrinkToFit="1"/>
    </xf>
    <xf numFmtId="165" fontId="2" fillId="0" borderId="58" xfId="2" applyNumberFormat="1" applyFont="1" applyFill="1" applyBorder="1" applyAlignment="1">
      <alignment horizontal="center" vertical="center" shrinkToFit="1"/>
    </xf>
    <xf numFmtId="165" fontId="2" fillId="0" borderId="4" xfId="2" applyNumberFormat="1" applyFont="1" applyFill="1" applyBorder="1" applyAlignment="1">
      <alignment horizontal="center" vertical="center" shrinkToFit="1"/>
    </xf>
    <xf numFmtId="165" fontId="4" fillId="0" borderId="5" xfId="2" applyNumberFormat="1" applyFont="1" applyFill="1" applyBorder="1" applyAlignment="1">
      <alignment horizontal="right" vertical="top" shrinkToFit="1"/>
    </xf>
    <xf numFmtId="165" fontId="2" fillId="0" borderId="56" xfId="2" applyNumberFormat="1" applyFont="1" applyFill="1" applyBorder="1" applyAlignment="1">
      <alignment horizontal="right" vertical="center" shrinkToFit="1"/>
    </xf>
    <xf numFmtId="165" fontId="2" fillId="0" borderId="58" xfId="2" applyNumberFormat="1" applyFont="1" applyFill="1" applyBorder="1" applyAlignment="1">
      <alignment horizontal="right" vertical="center" shrinkToFit="1"/>
    </xf>
    <xf numFmtId="165" fontId="2" fillId="0" borderId="4" xfId="2" applyNumberFormat="1" applyFont="1" applyFill="1" applyBorder="1" applyAlignment="1">
      <alignment horizontal="right" vertical="center" shrinkToFit="1"/>
    </xf>
    <xf numFmtId="43" fontId="4" fillId="0" borderId="72" xfId="4" applyFont="1" applyBorder="1" applyAlignment="1">
      <alignment horizontal="center" vertical="center"/>
    </xf>
    <xf numFmtId="43" fontId="4" fillId="0" borderId="4" xfId="4" applyFont="1" applyBorder="1" applyAlignment="1">
      <alignment horizontal="center" vertical="center"/>
    </xf>
    <xf numFmtId="2" fontId="4" fillId="0" borderId="72" xfId="1" applyNumberFormat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43" fontId="2" fillId="0" borderId="72" xfId="1" applyNumberFormat="1" applyFont="1" applyBorder="1" applyAlignment="1">
      <alignment horizontal="center" vertical="center"/>
    </xf>
    <xf numFmtId="43" fontId="2" fillId="0" borderId="4" xfId="1" applyNumberFormat="1" applyFont="1" applyBorder="1" applyAlignment="1">
      <alignment horizontal="center" vertical="center"/>
    </xf>
    <xf numFmtId="165" fontId="4" fillId="0" borderId="72" xfId="1" applyNumberFormat="1" applyFont="1" applyBorder="1" applyAlignment="1">
      <alignment horizontal="right" vertical="center"/>
    </xf>
    <xf numFmtId="165" fontId="4" fillId="0" borderId="4" xfId="1" applyNumberFormat="1" applyFont="1" applyBorder="1" applyAlignment="1">
      <alignment horizontal="right" vertical="center"/>
    </xf>
    <xf numFmtId="43" fontId="4" fillId="0" borderId="72" xfId="1" applyNumberFormat="1" applyFont="1" applyBorder="1" applyAlignment="1">
      <alignment horizontal="center" vertical="center"/>
    </xf>
    <xf numFmtId="43" fontId="4" fillId="0" borderId="4" xfId="1" applyNumberFormat="1" applyFont="1" applyBorder="1" applyAlignment="1">
      <alignment horizontal="center" vertical="center"/>
    </xf>
    <xf numFmtId="165" fontId="4" fillId="0" borderId="58" xfId="2" applyNumberFormat="1" applyFont="1" applyFill="1" applyBorder="1" applyAlignment="1">
      <alignment horizontal="right" vertical="top" shrinkToFit="1"/>
    </xf>
    <xf numFmtId="165" fontId="4" fillId="0" borderId="4" xfId="2" applyNumberFormat="1" applyFont="1" applyFill="1" applyBorder="1" applyAlignment="1">
      <alignment horizontal="right" vertical="top" shrinkToFit="1"/>
    </xf>
    <xf numFmtId="43" fontId="2" fillId="0" borderId="72" xfId="1" applyNumberFormat="1" applyFont="1" applyBorder="1" applyAlignment="1">
      <alignment horizontal="right" vertical="center"/>
    </xf>
    <xf numFmtId="0" fontId="2" fillId="0" borderId="4" xfId="1" applyFont="1" applyBorder="1" applyAlignment="1">
      <alignment horizontal="right" vertical="center"/>
    </xf>
    <xf numFmtId="165" fontId="2" fillId="0" borderId="72" xfId="1" applyNumberFormat="1" applyFont="1" applyBorder="1" applyAlignment="1">
      <alignment horizontal="right" vertical="center"/>
    </xf>
    <xf numFmtId="165" fontId="2" fillId="0" borderId="4" xfId="1" applyNumberFormat="1" applyFont="1" applyBorder="1" applyAlignment="1">
      <alignment horizontal="right" vertical="center"/>
    </xf>
    <xf numFmtId="165" fontId="4" fillId="33" borderId="72" xfId="1" applyNumberFormat="1" applyFont="1" applyFill="1" applyBorder="1" applyAlignment="1">
      <alignment horizontal="right" vertical="center"/>
    </xf>
    <xf numFmtId="165" fontId="4" fillId="33" borderId="4" xfId="1" applyNumberFormat="1" applyFont="1" applyFill="1" applyBorder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5" fontId="5" fillId="0" borderId="0" xfId="1" applyNumberFormat="1" applyFont="1" applyAlignment="1">
      <alignment horizontal="center" vertical="center"/>
    </xf>
    <xf numFmtId="0" fontId="4" fillId="0" borderId="7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4" fillId="0" borderId="56" xfId="2" applyNumberFormat="1" applyFont="1" applyFill="1" applyBorder="1" applyAlignment="1">
      <alignment horizontal="center" vertical="center"/>
    </xf>
    <xf numFmtId="0" fontId="4" fillId="0" borderId="7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62" xfId="1" applyFont="1" applyBorder="1" applyAlignment="1">
      <alignment horizontal="center" vertical="center"/>
    </xf>
    <xf numFmtId="0" fontId="4" fillId="0" borderId="60" xfId="1" applyFont="1" applyBorder="1" applyAlignment="1">
      <alignment horizontal="center" vertical="center"/>
    </xf>
    <xf numFmtId="43" fontId="4" fillId="0" borderId="58" xfId="4" applyFont="1" applyBorder="1" applyAlignment="1">
      <alignment horizontal="center" vertical="center"/>
    </xf>
    <xf numFmtId="165" fontId="4" fillId="0" borderId="63" xfId="2" applyNumberFormat="1" applyFont="1" applyFill="1" applyBorder="1" applyAlignment="1">
      <alignment horizontal="center" vertical="center" shrinkToFit="1"/>
    </xf>
    <xf numFmtId="165" fontId="4" fillId="0" borderId="17" xfId="2" applyNumberFormat="1" applyFont="1" applyFill="1" applyBorder="1" applyAlignment="1">
      <alignment horizontal="center" vertical="center" shrinkToFit="1"/>
    </xf>
    <xf numFmtId="165" fontId="4" fillId="0" borderId="72" xfId="2" applyNumberFormat="1" applyFont="1" applyFill="1" applyBorder="1" applyAlignment="1">
      <alignment horizontal="center" vertical="center" shrinkToFit="1"/>
    </xf>
    <xf numFmtId="43" fontId="2" fillId="0" borderId="62" xfId="4" applyFont="1" applyBorder="1" applyAlignment="1">
      <alignment horizontal="center" vertical="center"/>
    </xf>
    <xf numFmtId="165" fontId="4" fillId="0" borderId="63" xfId="2" applyNumberFormat="1" applyFont="1" applyFill="1" applyBorder="1" applyAlignment="1">
      <alignment horizontal="right" vertical="center" shrinkToFit="1"/>
    </xf>
    <xf numFmtId="165" fontId="4" fillId="0" borderId="17" xfId="2" applyNumberFormat="1" applyFont="1" applyFill="1" applyBorder="1" applyAlignment="1">
      <alignment horizontal="right" vertical="center" shrinkToFit="1"/>
    </xf>
    <xf numFmtId="49" fontId="4" fillId="0" borderId="62" xfId="2" applyNumberFormat="1" applyFont="1" applyFill="1" applyBorder="1" applyAlignment="1">
      <alignment horizontal="center" vertical="center"/>
    </xf>
    <xf numFmtId="49" fontId="4" fillId="0" borderId="62" xfId="2" applyNumberFormat="1" applyFont="1" applyFill="1" applyBorder="1" applyAlignment="1">
      <alignment horizontal="center"/>
    </xf>
    <xf numFmtId="49" fontId="4" fillId="0" borderId="87" xfId="2" applyNumberFormat="1" applyFont="1" applyFill="1" applyBorder="1" applyAlignment="1">
      <alignment horizontal="center"/>
    </xf>
    <xf numFmtId="49" fontId="4" fillId="0" borderId="60" xfId="2" applyNumberFormat="1" applyFont="1" applyFill="1" applyBorder="1" applyAlignment="1">
      <alignment horizontal="center"/>
    </xf>
    <xf numFmtId="43" fontId="2" fillId="0" borderId="56" xfId="4" applyFont="1" applyBorder="1" applyAlignment="1">
      <alignment horizontal="center" vertical="center"/>
    </xf>
    <xf numFmtId="165" fontId="4" fillId="0" borderId="58" xfId="2" applyNumberFormat="1" applyFont="1" applyFill="1" applyBorder="1" applyAlignment="1">
      <alignment horizontal="center" vertical="center" shrinkToFit="1"/>
    </xf>
    <xf numFmtId="165" fontId="2" fillId="0" borderId="63" xfId="2" applyNumberFormat="1" applyFont="1" applyFill="1" applyBorder="1" applyAlignment="1">
      <alignment horizontal="center" vertical="center" shrinkToFit="1"/>
    </xf>
    <xf numFmtId="165" fontId="2" fillId="0" borderId="17" xfId="2" applyNumberFormat="1" applyFont="1" applyFill="1" applyBorder="1" applyAlignment="1">
      <alignment horizontal="center" vertical="center" shrinkToFit="1"/>
    </xf>
    <xf numFmtId="0" fontId="4" fillId="0" borderId="56" xfId="1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3" fontId="5" fillId="0" borderId="0" xfId="4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0" borderId="5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43" fontId="8" fillId="0" borderId="0" xfId="4" applyFont="1" applyBorder="1" applyAlignment="1">
      <alignment horizontal="center" vertical="top" wrapText="1"/>
    </xf>
    <xf numFmtId="43" fontId="8" fillId="0" borderId="0" xfId="4" applyFont="1" applyBorder="1" applyAlignment="1">
      <alignment horizontal="center" vertical="top"/>
    </xf>
    <xf numFmtId="0" fontId="8" fillId="0" borderId="0" xfId="0" applyFont="1" applyAlignment="1">
      <alignment horizontal="center" wrapText="1"/>
    </xf>
    <xf numFmtId="43" fontId="8" fillId="0" borderId="0" xfId="4" applyFont="1" applyBorder="1" applyAlignment="1">
      <alignment horizontal="center"/>
    </xf>
    <xf numFmtId="43" fontId="8" fillId="0" borderId="0" xfId="4" applyFont="1" applyBorder="1" applyAlignment="1">
      <alignment horizontal="center" wrapText="1"/>
    </xf>
    <xf numFmtId="0" fontId="10" fillId="0" borderId="0" xfId="0" applyFont="1" applyAlignment="1">
      <alignment horizontal="center"/>
    </xf>
    <xf numFmtId="0" fontId="10" fillId="0" borderId="56" xfId="0" applyFont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63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5" xfId="10" applyFont="1" applyBorder="1" applyAlignment="1">
      <alignment horizontal="left" vertical="center"/>
    </xf>
    <xf numFmtId="0" fontId="14" fillId="0" borderId="0" xfId="10" applyFont="1" applyAlignment="1">
      <alignment horizontal="center" vertical="center"/>
    </xf>
    <xf numFmtId="0" fontId="14" fillId="0" borderId="5" xfId="10" applyFont="1" applyBorder="1" applyAlignment="1">
      <alignment horizontal="center" vertical="center"/>
    </xf>
    <xf numFmtId="0" fontId="14" fillId="0" borderId="5" xfId="10" applyFont="1" applyBorder="1" applyAlignment="1">
      <alignment horizontal="left" vertical="top"/>
    </xf>
    <xf numFmtId="0" fontId="99" fillId="0" borderId="0" xfId="0" applyFont="1" applyAlignment="1">
      <alignment horizontal="center" vertical="center" wrapText="1"/>
    </xf>
    <xf numFmtId="0" fontId="45" fillId="0" borderId="0" xfId="0" applyFont="1" applyAlignment="1">
      <alignment horizontal="right"/>
    </xf>
    <xf numFmtId="43" fontId="45" fillId="10" borderId="56" xfId="4" applyFont="1" applyFill="1" applyBorder="1" applyAlignment="1">
      <alignment horizontal="center" vertical="center" wrapText="1"/>
    </xf>
    <xf numFmtId="43" fontId="45" fillId="0" borderId="56" xfId="4" applyFont="1" applyFill="1" applyBorder="1" applyAlignment="1">
      <alignment vertical="center" shrinkToFit="1"/>
    </xf>
    <xf numFmtId="43" fontId="45" fillId="0" borderId="56" xfId="4" applyFont="1" applyFill="1" applyBorder="1" applyAlignment="1">
      <alignment horizontal="center" vertical="center" shrinkToFit="1"/>
    </xf>
    <xf numFmtId="43" fontId="45" fillId="0" borderId="72" xfId="4" applyFont="1" applyFill="1" applyBorder="1" applyAlignment="1">
      <alignment horizontal="center" vertical="center" wrapText="1"/>
    </xf>
    <xf numFmtId="43" fontId="45" fillId="0" borderId="4" xfId="4" applyFont="1" applyFill="1" applyBorder="1" applyAlignment="1">
      <alignment horizontal="center" vertical="center" wrapText="1"/>
    </xf>
    <xf numFmtId="43" fontId="45" fillId="0" borderId="62" xfId="4" applyFont="1" applyFill="1" applyBorder="1" applyAlignment="1">
      <alignment horizontal="center" vertical="top" wrapText="1" shrinkToFit="1"/>
    </xf>
    <xf numFmtId="43" fontId="45" fillId="0" borderId="60" xfId="4" applyFont="1" applyFill="1" applyBorder="1" applyAlignment="1">
      <alignment horizontal="center" vertical="top" wrapText="1" shrinkToFit="1"/>
    </xf>
    <xf numFmtId="43" fontId="45" fillId="10" borderId="62" xfId="4" applyFont="1" applyFill="1" applyBorder="1" applyAlignment="1">
      <alignment horizontal="center" vertical="center" wrapText="1" shrinkToFit="1"/>
    </xf>
    <xf numFmtId="43" fontId="45" fillId="10" borderId="60" xfId="4" applyFont="1" applyFill="1" applyBorder="1" applyAlignment="1">
      <alignment horizontal="center" vertical="center" wrapText="1" shrinkToFit="1"/>
    </xf>
    <xf numFmtId="43" fontId="71" fillId="0" borderId="41" xfId="11" applyFont="1" applyFill="1" applyBorder="1" applyAlignment="1">
      <alignment horizontal="center" vertical="center"/>
    </xf>
    <xf numFmtId="43" fontId="45" fillId="0" borderId="4" xfId="4" applyFont="1" applyFill="1" applyBorder="1" applyAlignment="1">
      <alignment horizontal="center" vertical="center"/>
    </xf>
    <xf numFmtId="43" fontId="45" fillId="0" borderId="89" xfId="4" applyFont="1" applyFill="1" applyBorder="1" applyAlignment="1">
      <alignment horizontal="center" vertical="center" shrinkToFit="1"/>
    </xf>
    <xf numFmtId="0" fontId="45" fillId="0" borderId="72" xfId="0" applyFont="1" applyBorder="1" applyAlignment="1">
      <alignment horizontal="center" vertical="center"/>
    </xf>
    <xf numFmtId="0" fontId="45" fillId="0" borderId="4" xfId="0" applyFont="1" applyBorder="1" applyAlignment="1">
      <alignment horizontal="center" vertical="center"/>
    </xf>
    <xf numFmtId="0" fontId="45" fillId="0" borderId="72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62" xfId="0" applyFont="1" applyBorder="1" applyAlignment="1">
      <alignment horizontal="center" vertical="center" wrapText="1"/>
    </xf>
    <xf numFmtId="0" fontId="45" fillId="0" borderId="87" xfId="0" applyFont="1" applyBorder="1" applyAlignment="1">
      <alignment horizontal="center" vertical="center" wrapText="1"/>
    </xf>
    <xf numFmtId="0" fontId="45" fillId="0" borderId="60" xfId="0" applyFont="1" applyBorder="1" applyAlignment="1">
      <alignment horizontal="center" vertical="center" wrapText="1"/>
    </xf>
    <xf numFmtId="43" fontId="45" fillId="35" borderId="57" xfId="4" applyFont="1" applyFill="1" applyBorder="1" applyAlignment="1">
      <alignment horizontal="center" vertical="center" shrinkToFit="1"/>
    </xf>
    <xf numFmtId="43" fontId="45" fillId="0" borderId="62" xfId="4" applyFont="1" applyFill="1" applyBorder="1" applyAlignment="1">
      <alignment horizontal="center" vertical="center" wrapText="1"/>
    </xf>
    <xf numFmtId="43" fontId="45" fillId="0" borderId="60" xfId="4" applyFont="1" applyFill="1" applyBorder="1" applyAlignment="1">
      <alignment horizontal="center" vertical="center" wrapText="1"/>
    </xf>
    <xf numFmtId="43" fontId="71" fillId="0" borderId="41" xfId="4" applyFont="1" applyFill="1" applyBorder="1" applyAlignment="1">
      <alignment horizontal="center" vertical="center"/>
    </xf>
    <xf numFmtId="0" fontId="45" fillId="0" borderId="56" xfId="0" applyFont="1" applyBorder="1" applyAlignment="1">
      <alignment horizontal="center" vertical="center" wrapText="1"/>
    </xf>
    <xf numFmtId="43" fontId="45" fillId="0" borderId="56" xfId="4" applyFont="1" applyFill="1" applyBorder="1" applyAlignment="1">
      <alignment horizontal="center" vertical="center" wrapText="1"/>
    </xf>
    <xf numFmtId="43" fontId="45" fillId="0" borderId="40" xfId="4" applyFont="1" applyFill="1" applyBorder="1" applyAlignment="1">
      <alignment horizontal="center" vertical="center" wrapText="1"/>
    </xf>
    <xf numFmtId="43" fontId="45" fillId="0" borderId="43" xfId="4" applyFont="1" applyFill="1" applyBorder="1" applyAlignment="1">
      <alignment horizontal="center" vertical="center" wrapText="1"/>
    </xf>
    <xf numFmtId="43" fontId="45" fillId="0" borderId="61" xfId="4" applyFont="1" applyFill="1" applyBorder="1" applyAlignment="1">
      <alignment horizontal="center" vertical="center" wrapText="1"/>
    </xf>
    <xf numFmtId="0" fontId="45" fillId="10" borderId="72" xfId="0" applyFont="1" applyFill="1" applyBorder="1" applyAlignment="1">
      <alignment horizontal="center" vertical="center" wrapText="1"/>
    </xf>
    <xf numFmtId="0" fontId="45" fillId="10" borderId="4" xfId="0" applyFont="1" applyFill="1" applyBorder="1" applyAlignment="1">
      <alignment horizontal="center" vertical="center"/>
    </xf>
    <xf numFmtId="0" fontId="45" fillId="0" borderId="40" xfId="0" applyFont="1" applyBorder="1" applyAlignment="1">
      <alignment horizontal="center" vertical="center" wrapText="1"/>
    </xf>
    <xf numFmtId="0" fontId="45" fillId="0" borderId="41" xfId="0" applyFont="1" applyBorder="1" applyAlignment="1">
      <alignment horizontal="center" vertical="center" wrapText="1"/>
    </xf>
    <xf numFmtId="43" fontId="45" fillId="0" borderId="43" xfId="4" applyFont="1" applyFill="1" applyBorder="1" applyAlignment="1">
      <alignment horizontal="center" vertical="center"/>
    </xf>
    <xf numFmtId="0" fontId="45" fillId="0" borderId="43" xfId="0" applyFont="1" applyBorder="1" applyAlignment="1">
      <alignment horizontal="center" vertical="center" wrapText="1"/>
    </xf>
    <xf numFmtId="43" fontId="45" fillId="0" borderId="40" xfId="4" applyFont="1" applyFill="1" applyBorder="1" applyAlignment="1">
      <alignment horizontal="center" vertical="center"/>
    </xf>
    <xf numFmtId="43" fontId="45" fillId="0" borderId="40" xfId="4" applyFont="1" applyFill="1" applyBorder="1" applyAlignment="1">
      <alignment horizontal="center" vertical="center" wrapText="1" shrinkToFit="1"/>
    </xf>
    <xf numFmtId="43" fontId="45" fillId="0" borderId="43" xfId="4" applyFont="1" applyFill="1" applyBorder="1" applyAlignment="1">
      <alignment horizontal="center" vertical="center" wrapText="1" shrinkToFit="1"/>
    </xf>
    <xf numFmtId="0" fontId="45" fillId="0" borderId="40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2" fillId="0" borderId="5" xfId="17" applyFont="1" applyBorder="1" applyAlignment="1">
      <alignment horizontal="center" vertical="top"/>
    </xf>
    <xf numFmtId="0" fontId="2" fillId="0" borderId="2" xfId="17" applyFont="1" applyBorder="1" applyAlignment="1">
      <alignment horizontal="center" vertical="top"/>
    </xf>
    <xf numFmtId="0" fontId="2" fillId="0" borderId="8" xfId="17" applyFont="1" applyBorder="1" applyAlignment="1">
      <alignment horizontal="center" vertical="top"/>
    </xf>
    <xf numFmtId="0" fontId="2" fillId="0" borderId="3" xfId="17" applyFont="1" applyBorder="1" applyAlignment="1">
      <alignment horizontal="center" vertical="top"/>
    </xf>
    <xf numFmtId="0" fontId="70" fillId="0" borderId="0" xfId="17" applyFont="1" applyAlignment="1">
      <alignment horizontal="center" vertical="center"/>
    </xf>
    <xf numFmtId="4" fontId="8" fillId="0" borderId="1" xfId="0" applyNumberFormat="1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top" wrapText="1"/>
    </xf>
    <xf numFmtId="0" fontId="49" fillId="0" borderId="2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70" fillId="0" borderId="56" xfId="17" applyFont="1" applyBorder="1" applyAlignment="1">
      <alignment horizontal="center" vertical="top"/>
    </xf>
    <xf numFmtId="0" fontId="89" fillId="0" borderId="18" xfId="95" applyFont="1" applyBorder="1" applyAlignment="1">
      <alignment horizontal="center" vertical="center"/>
    </xf>
    <xf numFmtId="0" fontId="87" fillId="0" borderId="0" xfId="95" applyFont="1" applyAlignment="1">
      <alignment horizontal="center" vertical="center"/>
    </xf>
    <xf numFmtId="0" fontId="90" fillId="0" borderId="62" xfId="95" applyFont="1" applyBorder="1" applyAlignment="1">
      <alignment horizontal="right" vertical="center" wrapText="1"/>
    </xf>
    <xf numFmtId="0" fontId="90" fillId="0" borderId="61" xfId="95" applyFont="1" applyBorder="1" applyAlignment="1">
      <alignment horizontal="right" vertical="center" wrapText="1"/>
    </xf>
    <xf numFmtId="0" fontId="90" fillId="0" borderId="60" xfId="95" applyFont="1" applyBorder="1" applyAlignment="1">
      <alignment horizontal="right" vertical="center" wrapText="1"/>
    </xf>
    <xf numFmtId="0" fontId="89" fillId="0" borderId="62" xfId="0" applyFont="1" applyBorder="1" applyAlignment="1">
      <alignment horizontal="right" vertical="center"/>
    </xf>
    <xf numFmtId="0" fontId="89" fillId="0" borderId="61" xfId="0" applyFont="1" applyBorder="1" applyAlignment="1">
      <alignment horizontal="right" vertical="center"/>
    </xf>
    <xf numFmtId="0" fontId="89" fillId="0" borderId="60" xfId="0" applyFont="1" applyBorder="1" applyAlignment="1">
      <alignment horizontal="right" vertical="center"/>
    </xf>
    <xf numFmtId="0" fontId="89" fillId="0" borderId="62" xfId="95" applyFont="1" applyBorder="1" applyAlignment="1">
      <alignment horizontal="right" vertical="center" wrapText="1" shrinkToFit="1"/>
    </xf>
    <xf numFmtId="0" fontId="89" fillId="0" borderId="61" xfId="95" applyFont="1" applyBorder="1" applyAlignment="1">
      <alignment horizontal="right" vertical="center" wrapText="1" shrinkToFit="1"/>
    </xf>
    <xf numFmtId="0" fontId="89" fillId="0" borderId="60" xfId="95" applyFont="1" applyBorder="1" applyAlignment="1">
      <alignment horizontal="right" vertical="center" wrapText="1" shrinkToFit="1"/>
    </xf>
    <xf numFmtId="4" fontId="91" fillId="0" borderId="72" xfId="0" applyNumberFormat="1" applyFont="1" applyBorder="1" applyAlignment="1">
      <alignment horizontal="center" vertical="center" wrapText="1"/>
    </xf>
    <xf numFmtId="4" fontId="91" fillId="0" borderId="4" xfId="0" applyNumberFormat="1" applyFont="1" applyBorder="1" applyAlignment="1">
      <alignment horizontal="center" vertical="center" wrapText="1"/>
    </xf>
    <xf numFmtId="0" fontId="89" fillId="0" borderId="61" xfId="95" applyFont="1" applyBorder="1" applyAlignment="1">
      <alignment horizontal="center" vertical="center"/>
    </xf>
    <xf numFmtId="0" fontId="94" fillId="0" borderId="18" xfId="0" applyFont="1" applyBorder="1" applyAlignment="1">
      <alignment horizontal="center" vertical="center" wrapText="1"/>
    </xf>
    <xf numFmtId="0" fontId="89" fillId="0" borderId="19" xfId="95" applyFont="1" applyBorder="1" applyAlignment="1">
      <alignment horizontal="center" vertical="center"/>
    </xf>
    <xf numFmtId="0" fontId="89" fillId="0" borderId="4" xfId="95" applyFont="1" applyBorder="1" applyAlignment="1">
      <alignment horizontal="center" vertical="center"/>
    </xf>
    <xf numFmtId="0" fontId="89" fillId="0" borderId="17" xfId="95" applyFont="1" applyBorder="1" applyAlignment="1">
      <alignment horizontal="center" vertical="center"/>
    </xf>
    <xf numFmtId="0" fontId="94" fillId="0" borderId="57" xfId="0" applyFont="1" applyBorder="1" applyAlignment="1">
      <alignment horizontal="right" vertical="center" wrapText="1"/>
    </xf>
    <xf numFmtId="0" fontId="90" fillId="0" borderId="62" xfId="0" applyFont="1" applyBorder="1" applyAlignment="1">
      <alignment horizontal="center" vertical="center"/>
    </xf>
    <xf numFmtId="0" fontId="90" fillId="0" borderId="61" xfId="0" applyFont="1" applyBorder="1" applyAlignment="1">
      <alignment horizontal="center" vertical="center"/>
    </xf>
    <xf numFmtId="0" fontId="90" fillId="0" borderId="60" xfId="0" applyFont="1" applyBorder="1" applyAlignment="1">
      <alignment horizontal="center" vertical="center"/>
    </xf>
    <xf numFmtId="4" fontId="89" fillId="0" borderId="62" xfId="95" applyNumberFormat="1" applyFont="1" applyBorder="1" applyAlignment="1">
      <alignment horizontal="right" vertical="center"/>
    </xf>
    <xf numFmtId="4" fontId="89" fillId="0" borderId="61" xfId="95" applyNumberFormat="1" applyFont="1" applyBorder="1" applyAlignment="1">
      <alignment horizontal="right" vertical="center"/>
    </xf>
    <xf numFmtId="4" fontId="89" fillId="0" borderId="60" xfId="95" applyNumberFormat="1" applyFont="1" applyBorder="1" applyAlignment="1">
      <alignment horizontal="right" vertical="center"/>
    </xf>
    <xf numFmtId="0" fontId="90" fillId="0" borderId="62" xfId="0" applyFont="1" applyBorder="1" applyAlignment="1">
      <alignment horizontal="right" vertical="center"/>
    </xf>
    <xf numFmtId="0" fontId="90" fillId="0" borderId="61" xfId="0" applyFont="1" applyBorder="1" applyAlignment="1">
      <alignment horizontal="right" vertical="center"/>
    </xf>
    <xf numFmtId="0" fontId="90" fillId="0" borderId="60" xfId="0" applyFont="1" applyBorder="1" applyAlignment="1">
      <alignment horizontal="right" vertical="center"/>
    </xf>
    <xf numFmtId="0" fontId="49" fillId="0" borderId="0" xfId="17" applyFont="1" applyAlignment="1">
      <alignment horizontal="center" vertical="top"/>
    </xf>
    <xf numFmtId="0" fontId="2" fillId="0" borderId="18" xfId="17" applyFont="1" applyBorder="1" applyAlignment="1">
      <alignment horizontal="center" vertical="top"/>
    </xf>
    <xf numFmtId="0" fontId="4" fillId="0" borderId="15" xfId="17" applyFont="1" applyBorder="1" applyAlignment="1">
      <alignment horizontal="right" vertical="top" wrapText="1"/>
    </xf>
    <xf numFmtId="0" fontId="2" fillId="0" borderId="15" xfId="17" applyFont="1" applyBorder="1" applyAlignment="1">
      <alignment horizontal="right" vertical="top"/>
    </xf>
    <xf numFmtId="0" fontId="102" fillId="0" borderId="60" xfId="9" applyFont="1" applyBorder="1" applyAlignment="1">
      <alignment horizontal="center" vertical="center" wrapText="1" shrinkToFit="1"/>
    </xf>
    <xf numFmtId="0" fontId="102" fillId="0" borderId="56" xfId="9" applyFont="1" applyBorder="1" applyAlignment="1">
      <alignment horizontal="center" vertical="center" wrapText="1" shrinkToFit="1"/>
    </xf>
    <xf numFmtId="0" fontId="102" fillId="12" borderId="56" xfId="9" applyFont="1" applyFill="1" applyBorder="1" applyAlignment="1">
      <alignment horizontal="center" vertical="center" wrapText="1" shrinkToFit="1"/>
    </xf>
    <xf numFmtId="0" fontId="102" fillId="0" borderId="56" xfId="9" applyFont="1" applyBorder="1" applyAlignment="1">
      <alignment horizontal="center" wrapText="1" shrinkToFit="1"/>
    </xf>
    <xf numFmtId="0" fontId="102" fillId="0" borderId="5" xfId="9" applyFont="1" applyBorder="1" applyAlignment="1">
      <alignment horizontal="center" vertical="center" shrinkToFit="1"/>
    </xf>
    <xf numFmtId="0" fontId="102" fillId="0" borderId="56" xfId="9" applyFont="1" applyBorder="1" applyAlignment="1">
      <alignment horizontal="center" vertical="center" shrinkToFit="1"/>
    </xf>
    <xf numFmtId="43" fontId="103" fillId="0" borderId="41" xfId="13" applyFont="1" applyFill="1" applyBorder="1" applyAlignment="1">
      <alignment horizontal="center" vertical="center" shrinkToFit="1"/>
    </xf>
    <xf numFmtId="43" fontId="103" fillId="0" borderId="41" xfId="4" applyFont="1" applyFill="1" applyBorder="1" applyAlignment="1">
      <alignment horizontal="center" vertical="top" shrinkToFit="1"/>
    </xf>
    <xf numFmtId="43" fontId="103" fillId="31" borderId="41" xfId="4" applyFont="1" applyFill="1" applyBorder="1" applyAlignment="1">
      <alignment horizontal="center" vertical="center" shrinkToFit="1"/>
    </xf>
    <xf numFmtId="0" fontId="102" fillId="31" borderId="56" xfId="0" applyFont="1" applyFill="1" applyBorder="1" applyAlignment="1">
      <alignment horizontal="center" vertical="center"/>
    </xf>
    <xf numFmtId="0" fontId="102" fillId="0" borderId="0" xfId="9" applyFont="1" applyAlignment="1">
      <alignment horizontal="center" vertical="center" shrinkToFit="1"/>
    </xf>
    <xf numFmtId="0" fontId="102" fillId="31" borderId="56" xfId="9" applyFont="1" applyFill="1" applyBorder="1" applyAlignment="1">
      <alignment horizontal="center" vertical="center" shrinkToFit="1"/>
    </xf>
    <xf numFmtId="43" fontId="103" fillId="0" borderId="1" xfId="4" applyFont="1" applyFill="1" applyBorder="1" applyAlignment="1">
      <alignment horizontal="center" vertical="center" shrinkToFit="1"/>
    </xf>
    <xf numFmtId="43" fontId="103" fillId="0" borderId="11" xfId="4" applyFont="1" applyFill="1" applyBorder="1" applyAlignment="1">
      <alignment horizontal="center" vertical="center" shrinkToFit="1"/>
    </xf>
    <xf numFmtId="43" fontId="103" fillId="0" borderId="44" xfId="4" applyFont="1" applyFill="1" applyBorder="1" applyAlignment="1">
      <alignment horizontal="center" vertical="center" shrinkToFit="1"/>
    </xf>
    <xf numFmtId="0" fontId="102" fillId="0" borderId="18" xfId="9" applyFont="1" applyBorder="1" applyAlignment="1">
      <alignment horizontal="center" vertical="center" shrinkToFit="1"/>
    </xf>
    <xf numFmtId="49" fontId="102" fillId="0" borderId="56" xfId="9" applyNumberFormat="1" applyFont="1" applyBorder="1" applyAlignment="1">
      <alignment horizontal="center" vertical="center" shrinkToFit="1"/>
    </xf>
    <xf numFmtId="0" fontId="4" fillId="0" borderId="89" xfId="0" applyFont="1" applyBorder="1" applyAlignment="1">
      <alignment horizontal="right" vertical="center" wrapText="1"/>
    </xf>
    <xf numFmtId="0" fontId="70" fillId="0" borderId="0" xfId="95" applyFont="1" applyAlignment="1">
      <alignment horizontal="center" vertical="top"/>
    </xf>
    <xf numFmtId="0" fontId="2" fillId="0" borderId="18" xfId="0" applyFont="1" applyBorder="1" applyAlignment="1">
      <alignment horizontal="left"/>
    </xf>
    <xf numFmtId="0" fontId="4" fillId="0" borderId="19" xfId="95" applyFont="1" applyBorder="1" applyAlignment="1">
      <alignment horizontal="center" vertical="center"/>
    </xf>
    <xf numFmtId="0" fontId="4" fillId="0" borderId="4" xfId="95" applyFont="1" applyBorder="1" applyAlignment="1">
      <alignment horizontal="center" vertical="center"/>
    </xf>
    <xf numFmtId="0" fontId="4" fillId="0" borderId="17" xfId="95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2" fillId="0" borderId="89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5" fillId="0" borderId="0" xfId="95" applyFont="1" applyAlignment="1">
      <alignment horizontal="right" vertical="top" wrapText="1"/>
    </xf>
    <xf numFmtId="0" fontId="121" fillId="0" borderId="0" xfId="17" applyFont="1" applyAlignment="1">
      <alignment horizontal="center" vertical="top"/>
    </xf>
    <xf numFmtId="0" fontId="121" fillId="0" borderId="0" xfId="95" applyFont="1" applyAlignment="1">
      <alignment horizontal="center" vertical="top"/>
    </xf>
    <xf numFmtId="0" fontId="76" fillId="0" borderId="89" xfId="0" applyFont="1" applyBorder="1" applyAlignment="1">
      <alignment horizontal="right" vertical="top" wrapText="1"/>
    </xf>
    <xf numFmtId="0" fontId="45" fillId="0" borderId="89" xfId="0" applyFont="1" applyBorder="1" applyAlignment="1">
      <alignment horizontal="right" vertical="center" wrapText="1"/>
    </xf>
    <xf numFmtId="0" fontId="76" fillId="0" borderId="89" xfId="0" applyFont="1" applyBorder="1" applyAlignment="1">
      <alignment horizontal="right" indent="1"/>
    </xf>
    <xf numFmtId="0" fontId="45" fillId="0" borderId="0" xfId="0" applyFont="1" applyAlignment="1">
      <alignment horizontal="right" vertical="top" wrapText="1"/>
    </xf>
    <xf numFmtId="0" fontId="120" fillId="0" borderId="0" xfId="17" applyFont="1" applyAlignment="1">
      <alignment horizontal="center" vertical="top"/>
    </xf>
    <xf numFmtId="0" fontId="45" fillId="0" borderId="19" xfId="95" applyFont="1" applyBorder="1" applyAlignment="1">
      <alignment horizontal="center" vertical="center"/>
    </xf>
    <xf numFmtId="0" fontId="45" fillId="0" borderId="4" xfId="95" applyFont="1" applyBorder="1" applyAlignment="1">
      <alignment horizontal="center" vertical="center"/>
    </xf>
    <xf numFmtId="0" fontId="45" fillId="0" borderId="17" xfId="95" applyFont="1" applyBorder="1" applyAlignment="1">
      <alignment horizontal="center" vertical="center"/>
    </xf>
    <xf numFmtId="0" fontId="45" fillId="0" borderId="18" xfId="0" applyFont="1" applyBorder="1" applyAlignment="1">
      <alignment horizontal="center" vertical="center" wrapText="1"/>
    </xf>
    <xf numFmtId="0" fontId="121" fillId="0" borderId="18" xfId="17" applyFont="1" applyBorder="1" applyAlignment="1">
      <alignment horizontal="left" vertical="top"/>
    </xf>
    <xf numFmtId="0" fontId="76" fillId="0" borderId="18" xfId="0" applyFont="1" applyBorder="1" applyAlignment="1">
      <alignment horizontal="left"/>
    </xf>
    <xf numFmtId="43" fontId="45" fillId="0" borderId="0" xfId="18" applyFont="1" applyFill="1" applyBorder="1" applyAlignment="1">
      <alignment horizontal="right" vertical="center"/>
    </xf>
    <xf numFmtId="0" fontId="45" fillId="0" borderId="18" xfId="17" applyFont="1" applyBorder="1" applyAlignment="1">
      <alignment horizontal="left" vertical="top"/>
    </xf>
    <xf numFmtId="0" fontId="76" fillId="0" borderId="89" xfId="0" applyFont="1" applyBorder="1" applyAlignment="1">
      <alignment horizontal="right"/>
    </xf>
    <xf numFmtId="0" fontId="45" fillId="0" borderId="0" xfId="0" applyFont="1" applyAlignment="1">
      <alignment horizontal="right" vertical="center"/>
    </xf>
    <xf numFmtId="0" fontId="76" fillId="0" borderId="0" xfId="0" applyFont="1" applyAlignment="1">
      <alignment horizontal="right"/>
    </xf>
    <xf numFmtId="0" fontId="4" fillId="0" borderId="57" xfId="17" applyFont="1" applyBorder="1" applyAlignment="1">
      <alignment horizontal="right" vertical="top" wrapText="1"/>
    </xf>
    <xf numFmtId="0" fontId="2" fillId="0" borderId="89" xfId="0" applyFont="1" applyBorder="1" applyAlignment="1">
      <alignment horizontal="right" vertical="top" wrapText="1"/>
    </xf>
    <xf numFmtId="0" fontId="70" fillId="0" borderId="0" xfId="17" applyFont="1" applyAlignment="1">
      <alignment horizontal="center" vertical="top"/>
    </xf>
    <xf numFmtId="43" fontId="4" fillId="0" borderId="0" xfId="18" applyFont="1" applyFill="1" applyBorder="1" applyAlignment="1">
      <alignment horizontal="right" vertical="center"/>
    </xf>
    <xf numFmtId="0" fontId="4" fillId="0" borderId="0" xfId="0" applyFont="1" applyAlignment="1">
      <alignment horizontal="right" vertical="top" wrapText="1"/>
    </xf>
    <xf numFmtId="0" fontId="2" fillId="0" borderId="89" xfId="0" applyFont="1" applyBorder="1" applyAlignment="1">
      <alignment horizontal="right" indent="1"/>
    </xf>
    <xf numFmtId="0" fontId="4" fillId="0" borderId="0" xfId="0" applyFont="1" applyAlignment="1">
      <alignment horizontal="right" vertical="center"/>
    </xf>
    <xf numFmtId="0" fontId="75" fillId="0" borderId="56" xfId="95" applyFont="1" applyBorder="1" applyAlignment="1">
      <alignment vertical="top" wrapText="1"/>
    </xf>
    <xf numFmtId="0" fontId="71" fillId="0" borderId="56" xfId="95" applyFont="1" applyBorder="1" applyAlignment="1">
      <alignment vertical="top" wrapText="1"/>
    </xf>
    <xf numFmtId="0" fontId="5" fillId="0" borderId="56" xfId="0" applyFont="1" applyBorder="1" applyAlignment="1">
      <alignment vertical="top" shrinkToFit="1"/>
    </xf>
    <xf numFmtId="0" fontId="4" fillId="0" borderId="0" xfId="1" applyFont="1" applyAlignment="1">
      <alignment horizontal="left" vertical="center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vertical="top"/>
    </xf>
    <xf numFmtId="0" fontId="5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 vertical="top"/>
    </xf>
    <xf numFmtId="0" fontId="8" fillId="0" borderId="56" xfId="0" applyFont="1" applyBorder="1" applyAlignment="1">
      <alignment shrinkToFit="1"/>
    </xf>
    <xf numFmtId="49" fontId="102" fillId="0" borderId="11" xfId="9" applyNumberFormat="1" applyFont="1" applyFill="1" applyBorder="1" applyAlignment="1">
      <alignment horizontal="right" vertical="center" shrinkToFit="1"/>
    </xf>
    <xf numFmtId="49" fontId="102" fillId="0" borderId="56" xfId="9" applyNumberFormat="1" applyFont="1" applyFill="1" applyBorder="1" applyAlignment="1">
      <alignment horizontal="right" vertical="center" shrinkToFit="1"/>
    </xf>
    <xf numFmtId="49" fontId="103" fillId="0" borderId="44" xfId="9" applyNumberFormat="1" applyFont="1" applyFill="1" applyBorder="1" applyAlignment="1">
      <alignment horizontal="right" vertical="center" shrinkToFit="1"/>
    </xf>
    <xf numFmtId="49" fontId="103" fillId="0" borderId="41" xfId="9" applyNumberFormat="1" applyFont="1" applyFill="1" applyBorder="1" applyAlignment="1">
      <alignment horizontal="right" vertical="center" shrinkToFit="1"/>
    </xf>
    <xf numFmtId="49" fontId="103" fillId="0" borderId="41" xfId="9" applyNumberFormat="1" applyFont="1" applyFill="1" applyBorder="1" applyAlignment="1">
      <alignment horizontal="right" vertical="top" shrinkToFit="1"/>
    </xf>
    <xf numFmtId="49" fontId="103" fillId="0" borderId="11" xfId="9" applyNumberFormat="1" applyFont="1" applyFill="1" applyBorder="1" applyAlignment="1">
      <alignment horizontal="right" vertical="center" shrinkToFit="1"/>
    </xf>
    <xf numFmtId="49" fontId="102" fillId="0" borderId="44" xfId="9" applyNumberFormat="1" applyFont="1" applyFill="1" applyBorder="1" applyAlignment="1">
      <alignment horizontal="right" vertical="center" shrinkToFit="1"/>
    </xf>
    <xf numFmtId="49" fontId="102" fillId="0" borderId="44" xfId="9" applyNumberFormat="1" applyFont="1" applyFill="1" applyBorder="1" applyAlignment="1">
      <alignment horizontal="right" vertical="top" shrinkToFit="1"/>
    </xf>
    <xf numFmtId="49" fontId="102" fillId="0" borderId="11" xfId="9" applyNumberFormat="1" applyFont="1" applyFill="1" applyBorder="1" applyAlignment="1">
      <alignment horizontal="right" vertical="top" shrinkToFit="1"/>
    </xf>
    <xf numFmtId="49" fontId="102" fillId="0" borderId="41" xfId="9" applyNumberFormat="1" applyFont="1" applyFill="1" applyBorder="1" applyAlignment="1">
      <alignment horizontal="right" vertical="top" shrinkToFit="1"/>
    </xf>
    <xf numFmtId="49" fontId="102" fillId="0" borderId="41" xfId="9" applyNumberFormat="1" applyFont="1" applyFill="1" applyBorder="1" applyAlignment="1">
      <alignment horizontal="right" vertical="center" shrinkToFit="1"/>
    </xf>
    <xf numFmtId="49" fontId="103" fillId="0" borderId="43" xfId="9" applyNumberFormat="1" applyFont="1" applyFill="1" applyBorder="1" applyAlignment="1">
      <alignment horizontal="right" vertical="top" shrinkToFit="1"/>
    </xf>
    <xf numFmtId="49" fontId="103" fillId="0" borderId="44" xfId="9" applyNumberFormat="1" applyFont="1" applyFill="1" applyBorder="1" applyAlignment="1">
      <alignment horizontal="right" vertical="top" shrinkToFit="1"/>
    </xf>
    <xf numFmtId="43" fontId="103" fillId="0" borderId="41" xfId="9" applyNumberFormat="1" applyFont="1" applyFill="1" applyBorder="1" applyAlignment="1">
      <alignment horizontal="right" vertical="center" shrinkToFit="1"/>
    </xf>
    <xf numFmtId="49" fontId="103" fillId="0" borderId="40" xfId="9" applyNumberFormat="1" applyFont="1" applyFill="1" applyBorder="1" applyAlignment="1">
      <alignment horizontal="right" vertical="center" shrinkToFit="1"/>
    </xf>
    <xf numFmtId="49" fontId="103" fillId="0" borderId="43" xfId="9" applyNumberFormat="1" applyFont="1" applyFill="1" applyBorder="1" applyAlignment="1">
      <alignment horizontal="right" vertical="center" shrinkToFit="1"/>
    </xf>
    <xf numFmtId="49" fontId="102" fillId="0" borderId="4" xfId="9" applyNumberFormat="1" applyFont="1" applyFill="1" applyBorder="1" applyAlignment="1">
      <alignment horizontal="right" vertical="center" shrinkToFit="1"/>
    </xf>
    <xf numFmtId="49" fontId="103" fillId="0" borderId="42" xfId="9" applyNumberFormat="1" applyFont="1" applyFill="1" applyBorder="1" applyAlignment="1">
      <alignment horizontal="right" vertical="center" shrinkToFit="1"/>
    </xf>
    <xf numFmtId="49" fontId="102" fillId="0" borderId="40" xfId="9" applyNumberFormat="1" applyFont="1" applyFill="1" applyBorder="1" applyAlignment="1">
      <alignment horizontal="right" vertical="center" shrinkToFit="1"/>
    </xf>
    <xf numFmtId="49" fontId="102" fillId="0" borderId="43" xfId="9" applyNumberFormat="1" applyFont="1" applyFill="1" applyBorder="1" applyAlignment="1">
      <alignment horizontal="right" vertical="top" shrinkToFit="1"/>
    </xf>
    <xf numFmtId="49" fontId="102" fillId="0" borderId="40" xfId="9" applyNumberFormat="1" applyFont="1" applyFill="1" applyBorder="1" applyAlignment="1">
      <alignment horizontal="center" vertical="center" shrinkToFit="1"/>
    </xf>
    <xf numFmtId="49" fontId="102" fillId="0" borderId="41" xfId="9" applyNumberFormat="1" applyFont="1" applyFill="1" applyBorder="1" applyAlignment="1">
      <alignment horizontal="center" vertical="center" shrinkToFit="1"/>
    </xf>
    <xf numFmtId="49" fontId="102" fillId="0" borderId="43" xfId="9" applyNumberFormat="1" applyFont="1" applyFill="1" applyBorder="1" applyAlignment="1">
      <alignment horizontal="center" vertical="center" shrinkToFit="1"/>
    </xf>
    <xf numFmtId="0" fontId="102" fillId="0" borderId="0" xfId="9" applyFont="1" applyFill="1" applyAlignment="1">
      <alignment horizontal="center" vertical="center" shrinkToFit="1"/>
    </xf>
    <xf numFmtId="49" fontId="103" fillId="0" borderId="0" xfId="9" applyNumberFormat="1" applyFont="1" applyFill="1" applyAlignment="1">
      <alignment vertical="center" shrinkToFit="1"/>
    </xf>
    <xf numFmtId="49" fontId="102" fillId="0" borderId="72" xfId="9" applyNumberFormat="1" applyFont="1" applyFill="1" applyBorder="1" applyAlignment="1">
      <alignment horizontal="center" vertical="center" shrinkToFit="1"/>
    </xf>
    <xf numFmtId="49" fontId="102" fillId="0" borderId="4" xfId="9" applyNumberFormat="1" applyFont="1" applyFill="1" applyBorder="1" applyAlignment="1">
      <alignment horizontal="center" vertical="center" shrinkToFit="1"/>
    </xf>
    <xf numFmtId="0" fontId="102" fillId="12" borderId="72" xfId="9" applyFont="1" applyFill="1" applyBorder="1" applyAlignment="1">
      <alignment horizontal="center" vertical="center" wrapText="1" shrinkToFit="1"/>
    </xf>
    <xf numFmtId="0" fontId="102" fillId="12" borderId="4" xfId="9" applyFont="1" applyFill="1" applyBorder="1" applyAlignment="1">
      <alignment horizontal="center" vertical="center" wrapText="1" shrinkToFit="1"/>
    </xf>
    <xf numFmtId="4" fontId="76" fillId="0" borderId="20" xfId="0" applyNumberFormat="1" applyFont="1" applyBorder="1" applyAlignment="1">
      <alignment horizontal="right" vertical="center"/>
    </xf>
    <xf numFmtId="4" fontId="106" fillId="0" borderId="65" xfId="0" applyNumberFormat="1" applyFont="1" applyBorder="1" applyAlignment="1">
      <alignment horizontal="right" vertical="center"/>
    </xf>
    <xf numFmtId="4" fontId="76" fillId="0" borderId="65" xfId="0" applyNumberFormat="1" applyFont="1" applyBorder="1" applyAlignment="1">
      <alignment horizontal="right" vertical="center"/>
    </xf>
    <xf numFmtId="4" fontId="131" fillId="0" borderId="20" xfId="0" applyNumberFormat="1" applyFont="1" applyBorder="1" applyAlignment="1">
      <alignment horizontal="right" vertical="center"/>
    </xf>
    <xf numFmtId="4" fontId="105" fillId="0" borderId="41" xfId="17" applyNumberFormat="1" applyFont="1" applyBorder="1" applyAlignment="1">
      <alignment horizontal="right" vertical="top"/>
    </xf>
    <xf numFmtId="4" fontId="76" fillId="0" borderId="40" xfId="0" applyNumberFormat="1" applyFont="1" applyBorder="1" applyAlignment="1">
      <alignment horizontal="right" vertical="center"/>
    </xf>
    <xf numFmtId="4" fontId="101" fillId="0" borderId="40" xfId="0" applyNumberFormat="1" applyFont="1" applyBorder="1" applyAlignment="1">
      <alignment horizontal="right" vertical="center"/>
    </xf>
    <xf numFmtId="4" fontId="76" fillId="0" borderId="41" xfId="0" applyNumberFormat="1" applyFont="1" applyBorder="1" applyAlignment="1">
      <alignment horizontal="right" vertical="center"/>
    </xf>
    <xf numFmtId="43" fontId="71" fillId="0" borderId="41" xfId="4" applyFont="1" applyFill="1" applyBorder="1" applyAlignment="1">
      <alignment horizontal="center" vertical="center" shrinkToFit="1"/>
    </xf>
    <xf numFmtId="4" fontId="76" fillId="0" borderId="42" xfId="0" applyNumberFormat="1" applyFont="1" applyBorder="1" applyAlignment="1">
      <alignment horizontal="right" vertical="center"/>
    </xf>
    <xf numFmtId="4" fontId="107" fillId="0" borderId="20" xfId="0" applyNumberFormat="1" applyFont="1" applyBorder="1" applyAlignment="1">
      <alignment horizontal="right" vertical="center"/>
    </xf>
    <xf numFmtId="4" fontId="107" fillId="0" borderId="44" xfId="0" applyNumberFormat="1" applyFont="1" applyBorder="1" applyAlignment="1">
      <alignment horizontal="right" vertical="center"/>
    </xf>
    <xf numFmtId="4" fontId="76" fillId="0" borderId="44" xfId="0" applyNumberFormat="1" applyFont="1" applyBorder="1" applyAlignment="1">
      <alignment horizontal="right" vertical="center"/>
    </xf>
    <xf numFmtId="4" fontId="107" fillId="0" borderId="41" xfId="0" applyNumberFormat="1" applyFont="1" applyBorder="1" applyAlignment="1">
      <alignment horizontal="right" vertical="center"/>
    </xf>
    <xf numFmtId="4" fontId="107" fillId="0" borderId="42" xfId="0" applyNumberFormat="1" applyFont="1" applyBorder="1" applyAlignment="1">
      <alignment horizontal="right" vertical="center"/>
    </xf>
    <xf numFmtId="4" fontId="106" fillId="12" borderId="42" xfId="0" applyNumberFormat="1" applyFont="1" applyFill="1" applyBorder="1" applyAlignment="1">
      <alignment horizontal="right" vertical="center"/>
    </xf>
    <xf numFmtId="4" fontId="101" fillId="0" borderId="41" xfId="0" applyNumberFormat="1" applyFont="1" applyBorder="1" applyAlignment="1">
      <alignment horizontal="right" vertical="center"/>
    </xf>
    <xf numFmtId="4" fontId="106" fillId="0" borderId="0" xfId="0" applyNumberFormat="1" applyFont="1" applyAlignment="1">
      <alignment horizontal="right" vertical="center"/>
    </xf>
    <xf numFmtId="43" fontId="106" fillId="0" borderId="41" xfId="4" applyFont="1" applyBorder="1" applyAlignment="1">
      <alignment horizontal="right" vertical="center"/>
    </xf>
    <xf numFmtId="4" fontId="76" fillId="0" borderId="43" xfId="0" applyNumberFormat="1" applyFont="1" applyBorder="1" applyAlignment="1">
      <alignment horizontal="right" vertical="center"/>
    </xf>
    <xf numFmtId="43" fontId="106" fillId="0" borderId="43" xfId="4" applyFont="1" applyBorder="1" applyAlignment="1">
      <alignment horizontal="right" vertical="center"/>
    </xf>
    <xf numFmtId="43" fontId="106" fillId="0" borderId="44" xfId="4" applyFont="1" applyBorder="1" applyAlignment="1">
      <alignment horizontal="right" vertical="center"/>
    </xf>
    <xf numFmtId="43" fontId="106" fillId="0" borderId="42" xfId="4" applyFont="1" applyBorder="1" applyAlignment="1">
      <alignment horizontal="right" vertical="center"/>
    </xf>
    <xf numFmtId="43" fontId="106" fillId="0" borderId="20" xfId="4" applyFont="1" applyBorder="1" applyAlignment="1">
      <alignment horizontal="right" vertical="center"/>
    </xf>
    <xf numFmtId="4" fontId="101" fillId="0" borderId="20" xfId="0" applyNumberFormat="1" applyFont="1" applyBorder="1" applyAlignment="1">
      <alignment horizontal="right" vertical="center"/>
    </xf>
    <xf numFmtId="43" fontId="102" fillId="12" borderId="60" xfId="4" applyFont="1" applyFill="1" applyBorder="1" applyAlignment="1">
      <alignment horizontal="center" vertical="center" shrinkToFit="1"/>
    </xf>
    <xf numFmtId="49" fontId="102" fillId="30" borderId="4" xfId="9" applyNumberFormat="1" applyFont="1" applyFill="1" applyBorder="1" applyAlignment="1">
      <alignment horizontal="right" vertical="center" shrinkToFit="1"/>
    </xf>
    <xf numFmtId="0" fontId="102" fillId="30" borderId="4" xfId="10" applyFont="1" applyFill="1" applyBorder="1" applyAlignment="1">
      <alignment horizontal="left" vertical="center"/>
    </xf>
    <xf numFmtId="0" fontId="103" fillId="30" borderId="4" xfId="9" applyFont="1" applyFill="1" applyBorder="1" applyAlignment="1">
      <alignment horizontal="center" vertical="center" shrinkToFit="1"/>
    </xf>
    <xf numFmtId="43" fontId="102" fillId="30" borderId="4" xfId="4" applyFont="1" applyFill="1" applyBorder="1" applyAlignment="1">
      <alignment horizontal="center" vertical="center" shrinkToFit="1"/>
    </xf>
    <xf numFmtId="43" fontId="102" fillId="30" borderId="4" xfId="13" applyFont="1" applyFill="1" applyBorder="1" applyAlignment="1">
      <alignment horizontal="center" vertical="center" shrinkToFit="1"/>
    </xf>
    <xf numFmtId="43" fontId="103" fillId="30" borderId="4" xfId="4" applyFont="1" applyFill="1" applyBorder="1" applyAlignment="1">
      <alignment horizontal="center" vertical="center" shrinkToFit="1"/>
    </xf>
    <xf numFmtId="43" fontId="102" fillId="30" borderId="4" xfId="4" applyFont="1" applyFill="1" applyBorder="1" applyAlignment="1">
      <alignment horizontal="left" vertical="center"/>
    </xf>
    <xf numFmtId="4" fontId="107" fillId="30" borderId="4" xfId="0" applyNumberFormat="1" applyFont="1" applyFill="1" applyBorder="1" applyAlignment="1">
      <alignment horizontal="right" vertical="center"/>
    </xf>
    <xf numFmtId="4" fontId="76" fillId="30" borderId="4" xfId="0" applyNumberFormat="1" applyFont="1" applyFill="1" applyBorder="1" applyAlignment="1">
      <alignment horizontal="right" vertical="center"/>
    </xf>
    <xf numFmtId="0" fontId="105" fillId="0" borderId="43" xfId="9" applyFont="1" applyBorder="1" applyAlignment="1">
      <alignment horizontal="left" vertical="top"/>
    </xf>
    <xf numFmtId="0" fontId="103" fillId="0" borderId="43" xfId="9" applyFont="1" applyBorder="1" applyAlignment="1">
      <alignment horizontal="center" vertical="top"/>
    </xf>
    <xf numFmtId="43" fontId="103" fillId="0" borderId="43" xfId="4" applyFont="1" applyBorder="1" applyAlignment="1">
      <alignment vertical="top" shrinkToFit="1"/>
    </xf>
    <xf numFmtId="166" fontId="103" fillId="0" borderId="43" xfId="4" applyNumberFormat="1" applyFont="1" applyFill="1" applyBorder="1" applyAlignment="1">
      <alignment vertical="top" shrinkToFit="1"/>
    </xf>
    <xf numFmtId="0" fontId="103" fillId="0" borderId="44" xfId="9" applyFont="1" applyBorder="1" applyAlignment="1">
      <alignment horizontal="left" vertical="center" wrapText="1"/>
    </xf>
    <xf numFmtId="0" fontId="103" fillId="0" borderId="56" xfId="9" applyFont="1" applyBorder="1" applyAlignment="1">
      <alignment horizontal="left" vertical="center"/>
    </xf>
    <xf numFmtId="43" fontId="103" fillId="0" borderId="56" xfId="4" applyFont="1" applyFill="1" applyBorder="1" applyAlignment="1">
      <alignment horizontal="center" vertical="center" shrinkToFit="1"/>
    </xf>
    <xf numFmtId="43" fontId="103" fillId="0" borderId="56" xfId="13" applyFont="1" applyFill="1" applyBorder="1" applyAlignment="1">
      <alignment horizontal="right" vertical="center" wrapText="1" shrinkToFit="1"/>
    </xf>
    <xf numFmtId="43" fontId="103" fillId="0" borderId="56" xfId="4" applyFont="1" applyFill="1" applyBorder="1" applyAlignment="1">
      <alignment horizontal="right" vertical="center" wrapText="1" shrinkToFit="1"/>
    </xf>
    <xf numFmtId="166" fontId="103" fillId="0" borderId="56" xfId="4" applyNumberFormat="1" applyFont="1" applyFill="1" applyBorder="1" applyAlignment="1">
      <alignment horizontal="center" vertical="center" wrapText="1" shrinkToFit="1"/>
    </xf>
    <xf numFmtId="166" fontId="103" fillId="0" borderId="56" xfId="4" applyNumberFormat="1" applyFont="1" applyFill="1" applyBorder="1" applyAlignment="1">
      <alignment horizontal="right" vertical="center" wrapText="1" shrinkToFit="1"/>
    </xf>
    <xf numFmtId="43" fontId="103" fillId="31" borderId="56" xfId="4" applyFont="1" applyFill="1" applyBorder="1" applyAlignment="1">
      <alignment horizontal="right" vertical="center" wrapText="1" shrinkToFit="1"/>
    </xf>
    <xf numFmtId="43" fontId="102" fillId="0" borderId="87" xfId="4" applyFont="1" applyFill="1" applyBorder="1" applyAlignment="1">
      <alignment horizontal="left" vertical="center"/>
    </xf>
    <xf numFmtId="43" fontId="103" fillId="0" borderId="60" xfId="4" applyFont="1" applyFill="1" applyBorder="1" applyAlignment="1">
      <alignment horizontal="right" vertical="center" wrapText="1" shrinkToFit="1"/>
    </xf>
    <xf numFmtId="43" fontId="103" fillId="0" borderId="60" xfId="4" applyFont="1" applyBorder="1" applyAlignment="1">
      <alignment vertical="center" shrinkToFit="1"/>
    </xf>
    <xf numFmtId="43" fontId="103" fillId="0" borderId="60" xfId="4" applyFont="1" applyFill="1" applyBorder="1" applyAlignment="1">
      <alignment vertical="top" shrinkToFit="1"/>
    </xf>
    <xf numFmtId="49" fontId="103" fillId="0" borderId="42" xfId="9" applyNumberFormat="1" applyFont="1" applyBorder="1" applyAlignment="1">
      <alignment horizontal="right" vertical="center" shrinkToFit="1"/>
    </xf>
    <xf numFmtId="49" fontId="102" fillId="0" borderId="42" xfId="9" applyNumberFormat="1" applyFont="1" applyFill="1" applyBorder="1" applyAlignment="1">
      <alignment horizontal="right" vertical="center" shrinkToFit="1"/>
    </xf>
    <xf numFmtId="0" fontId="103" fillId="0" borderId="42" xfId="9" applyFont="1" applyBorder="1" applyAlignment="1">
      <alignment horizontal="left" vertical="center" wrapText="1" shrinkToFit="1"/>
    </xf>
    <xf numFmtId="43" fontId="103" fillId="0" borderId="42" xfId="13" applyFont="1" applyFill="1" applyBorder="1" applyAlignment="1">
      <alignment horizontal="center" vertical="center" shrinkToFit="1"/>
    </xf>
    <xf numFmtId="43" fontId="103" fillId="0" borderId="65" xfId="4" applyFont="1" applyFill="1" applyBorder="1" applyAlignment="1">
      <alignment horizontal="right" vertical="center" wrapText="1" shrinkToFit="1"/>
    </xf>
    <xf numFmtId="0" fontId="102" fillId="30" borderId="56" xfId="9" applyFont="1" applyFill="1" applyBorder="1" applyAlignment="1">
      <alignment horizontal="left" vertical="center" wrapText="1" shrinkToFit="1"/>
    </xf>
    <xf numFmtId="0" fontId="102" fillId="30" borderId="56" xfId="9" applyFont="1" applyFill="1" applyBorder="1" applyAlignment="1">
      <alignment horizontal="center" vertical="center" shrinkToFit="1"/>
    </xf>
    <xf numFmtId="166" fontId="102" fillId="30" borderId="56" xfId="4" applyNumberFormat="1" applyFont="1" applyFill="1" applyBorder="1" applyAlignment="1">
      <alignment horizontal="center" vertical="center" shrinkToFit="1"/>
    </xf>
    <xf numFmtId="166" fontId="102" fillId="30" borderId="56" xfId="4" applyNumberFormat="1" applyFont="1" applyFill="1" applyBorder="1" applyAlignment="1">
      <alignment vertical="center" shrinkToFit="1"/>
    </xf>
    <xf numFmtId="43" fontId="102" fillId="30" borderId="56" xfId="4" applyFont="1" applyFill="1" applyBorder="1" applyAlignment="1">
      <alignment horizontal="center" vertical="top" shrinkToFit="1"/>
    </xf>
    <xf numFmtId="43" fontId="102" fillId="30" borderId="56" xfId="4" applyFont="1" applyFill="1" applyBorder="1" applyAlignment="1">
      <alignment horizontal="left" vertical="center"/>
    </xf>
    <xf numFmtId="43" fontId="102" fillId="30" borderId="56" xfId="4" applyFont="1" applyFill="1" applyBorder="1" applyAlignment="1">
      <alignment horizontal="right" vertical="center" wrapText="1" shrinkToFit="1"/>
    </xf>
    <xf numFmtId="43" fontId="102" fillId="30" borderId="56" xfId="4" applyFont="1" applyFill="1" applyBorder="1" applyAlignment="1">
      <alignment vertical="center" shrinkToFit="1"/>
    </xf>
    <xf numFmtId="49" fontId="103" fillId="0" borderId="42" xfId="9" applyNumberFormat="1" applyFont="1" applyFill="1" applyBorder="1" applyAlignment="1">
      <alignment horizontal="right" vertical="top" shrinkToFit="1"/>
    </xf>
    <xf numFmtId="43" fontId="103" fillId="31" borderId="42" xfId="4" applyFont="1" applyFill="1" applyBorder="1" applyAlignment="1">
      <alignment horizontal="center" vertical="center" shrinkToFit="1"/>
    </xf>
    <xf numFmtId="43" fontId="103" fillId="0" borderId="42" xfId="4" applyFont="1" applyBorder="1" applyAlignment="1">
      <alignment vertical="center" shrinkToFit="1"/>
    </xf>
    <xf numFmtId="166" fontId="103" fillId="0" borderId="42" xfId="4" applyNumberFormat="1" applyFont="1" applyFill="1" applyBorder="1" applyAlignment="1">
      <alignment horizontal="right" vertical="center" shrinkToFit="1"/>
    </xf>
    <xf numFmtId="43" fontId="103" fillId="0" borderId="42" xfId="4" applyFont="1" applyFill="1" applyBorder="1" applyAlignment="1">
      <alignment horizontal="right" vertical="center" wrapText="1" shrinkToFit="1"/>
    </xf>
    <xf numFmtId="2" fontId="103" fillId="0" borderId="42" xfId="4" applyNumberFormat="1" applyFont="1" applyFill="1" applyBorder="1" applyAlignment="1">
      <alignment horizontal="right" vertical="center" wrapText="1" shrinkToFit="1"/>
    </xf>
    <xf numFmtId="43" fontId="103" fillId="0" borderId="44" xfId="9" applyNumberFormat="1" applyFont="1" applyBorder="1" applyAlignment="1">
      <alignment horizontal="right" vertical="center" shrinkToFit="1"/>
    </xf>
    <xf numFmtId="43" fontId="103" fillId="0" borderId="44" xfId="9" applyNumberFormat="1" applyFont="1" applyBorder="1" applyAlignment="1">
      <alignment horizontal="left" vertical="center" wrapText="1" shrinkToFit="1"/>
    </xf>
    <xf numFmtId="43" fontId="103" fillId="0" borderId="44" xfId="9" applyNumberFormat="1" applyFont="1" applyBorder="1" applyAlignment="1">
      <alignment horizontal="center" vertical="center" shrinkToFit="1"/>
    </xf>
    <xf numFmtId="2" fontId="103" fillId="0" borderId="44" xfId="4" applyNumberFormat="1" applyFont="1" applyFill="1" applyBorder="1" applyAlignment="1">
      <alignment horizontal="right" vertical="center" wrapText="1" shrinkToFit="1"/>
    </xf>
    <xf numFmtId="43" fontId="103" fillId="0" borderId="44" xfId="4" applyFont="1" applyBorder="1" applyAlignment="1">
      <alignment vertical="center" shrinkToFit="1"/>
    </xf>
    <xf numFmtId="166" fontId="102" fillId="30" borderId="56" xfId="4" applyNumberFormat="1" applyFont="1" applyFill="1" applyBorder="1" applyAlignment="1">
      <alignment horizontal="right" vertical="center" shrinkToFit="1"/>
    </xf>
    <xf numFmtId="0" fontId="102" fillId="30" borderId="56" xfId="9" applyFont="1" applyFill="1" applyBorder="1" applyAlignment="1">
      <alignment vertical="center" shrinkToFit="1"/>
    </xf>
    <xf numFmtId="166" fontId="102" fillId="30" borderId="56" xfId="4" applyNumberFormat="1" applyFont="1" applyFill="1" applyBorder="1" applyAlignment="1">
      <alignment horizontal="right" vertical="top" shrinkToFit="1"/>
    </xf>
    <xf numFmtId="2" fontId="102" fillId="30" borderId="56" xfId="4" applyNumberFormat="1" applyFont="1" applyFill="1" applyBorder="1" applyAlignment="1">
      <alignment horizontal="right" vertical="center" wrapText="1" shrinkToFit="1"/>
    </xf>
    <xf numFmtId="4" fontId="107" fillId="30" borderId="56" xfId="0" applyNumberFormat="1" applyFont="1" applyFill="1" applyBorder="1" applyAlignment="1">
      <alignment horizontal="right" vertical="center"/>
    </xf>
    <xf numFmtId="4" fontId="76" fillId="30" borderId="56" xfId="0" applyNumberFormat="1" applyFont="1" applyFill="1" applyBorder="1" applyAlignment="1">
      <alignment horizontal="right" vertical="center"/>
    </xf>
    <xf numFmtId="0" fontId="106" fillId="0" borderId="44" xfId="0" applyFont="1" applyBorder="1" applyAlignment="1">
      <alignment vertical="center"/>
    </xf>
    <xf numFmtId="43" fontId="106" fillId="0" borderId="44" xfId="9" applyNumberFormat="1" applyFont="1" applyBorder="1" applyAlignment="1">
      <alignment horizontal="center" vertical="center" shrinkToFit="1"/>
    </xf>
    <xf numFmtId="43" fontId="106" fillId="0" borderId="44" xfId="4" applyFont="1" applyFill="1" applyBorder="1" applyAlignment="1">
      <alignment horizontal="center" vertical="center" shrinkToFit="1"/>
    </xf>
    <xf numFmtId="43" fontId="106" fillId="0" borderId="44" xfId="13" applyFont="1" applyFill="1" applyBorder="1" applyAlignment="1">
      <alignment horizontal="center" vertical="center" shrinkToFit="1"/>
    </xf>
    <xf numFmtId="43" fontId="106" fillId="31" borderId="44" xfId="4" applyFont="1" applyFill="1" applyBorder="1" applyAlignment="1">
      <alignment horizontal="center" vertical="center" shrinkToFit="1"/>
    </xf>
    <xf numFmtId="0" fontId="106" fillId="0" borderId="44" xfId="9" applyFont="1" applyBorder="1" applyAlignment="1">
      <alignment vertical="center" shrinkToFit="1"/>
    </xf>
    <xf numFmtId="166" fontId="106" fillId="0" borderId="44" xfId="4" applyNumberFormat="1" applyFont="1" applyFill="1" applyBorder="1" applyAlignment="1">
      <alignment horizontal="right" vertical="center" shrinkToFit="1"/>
    </xf>
    <xf numFmtId="43" fontId="107" fillId="0" borderId="44" xfId="4" applyFont="1" applyFill="1" applyBorder="1" applyAlignment="1">
      <alignment horizontal="left" vertical="center"/>
    </xf>
    <xf numFmtId="3" fontId="106" fillId="0" borderId="44" xfId="0" applyNumberFormat="1" applyFont="1" applyBorder="1"/>
    <xf numFmtId="43" fontId="103" fillId="0" borderId="44" xfId="4" applyFont="1" applyBorder="1"/>
    <xf numFmtId="43" fontId="103" fillId="0" borderId="66" xfId="4" applyFont="1" applyBorder="1"/>
    <xf numFmtId="43" fontId="103" fillId="0" borderId="43" xfId="9" applyNumberFormat="1" applyFont="1" applyBorder="1" applyAlignment="1">
      <alignment horizontal="right" vertical="center"/>
    </xf>
    <xf numFmtId="0" fontId="103" fillId="0" borderId="43" xfId="17" applyFont="1" applyBorder="1" applyAlignment="1">
      <alignment horizontal="left" vertical="top"/>
    </xf>
    <xf numFmtId="43" fontId="103" fillId="0" borderId="43" xfId="9" applyNumberFormat="1" applyFont="1" applyBorder="1" applyAlignment="1">
      <alignment horizontal="center" vertical="center"/>
    </xf>
    <xf numFmtId="43" fontId="103" fillId="0" borderId="43" xfId="4" applyFont="1" applyFill="1" applyBorder="1" applyAlignment="1">
      <alignment horizontal="center" vertical="center"/>
    </xf>
    <xf numFmtId="43" fontId="103" fillId="0" borderId="43" xfId="13" applyFont="1" applyFill="1" applyBorder="1" applyAlignment="1">
      <alignment horizontal="center" vertical="center"/>
    </xf>
    <xf numFmtId="43" fontId="103" fillId="31" borderId="43" xfId="4" applyFont="1" applyFill="1" applyBorder="1" applyAlignment="1">
      <alignment horizontal="center" vertical="center"/>
    </xf>
    <xf numFmtId="0" fontId="103" fillId="0" borderId="43" xfId="9" applyFont="1" applyBorder="1" applyAlignment="1">
      <alignment vertical="center"/>
    </xf>
    <xf numFmtId="166" fontId="103" fillId="0" borderId="43" xfId="4" applyNumberFormat="1" applyFont="1" applyFill="1" applyBorder="1" applyAlignment="1">
      <alignment horizontal="right" vertical="center"/>
    </xf>
    <xf numFmtId="166" fontId="103" fillId="0" borderId="43" xfId="4" applyNumberFormat="1" applyFont="1" applyFill="1" applyBorder="1" applyAlignment="1">
      <alignment horizontal="right" vertical="top"/>
    </xf>
    <xf numFmtId="2" fontId="103" fillId="0" borderId="43" xfId="4" applyNumberFormat="1" applyFont="1" applyFill="1" applyBorder="1" applyAlignment="1">
      <alignment horizontal="right" vertical="top"/>
    </xf>
    <xf numFmtId="166" fontId="103" fillId="0" borderId="43" xfId="4" applyNumberFormat="1" applyFont="1" applyBorder="1" applyAlignment="1">
      <alignment vertical="center" shrinkToFit="1"/>
    </xf>
    <xf numFmtId="0" fontId="106" fillId="0" borderId="42" xfId="88" applyFont="1" applyBorder="1" applyAlignment="1">
      <alignment vertical="top" wrapText="1"/>
    </xf>
    <xf numFmtId="43" fontId="105" fillId="0" borderId="42" xfId="9" applyNumberFormat="1" applyFont="1" applyBorder="1" applyAlignment="1">
      <alignment horizontal="center" vertical="center" shrinkToFit="1"/>
    </xf>
    <xf numFmtId="43" fontId="105" fillId="0" borderId="42" xfId="4" applyFont="1" applyFill="1" applyBorder="1" applyAlignment="1">
      <alignment horizontal="center" vertical="center" shrinkToFit="1"/>
    </xf>
    <xf numFmtId="43" fontId="105" fillId="0" borderId="42" xfId="13" applyFont="1" applyFill="1" applyBorder="1" applyAlignment="1">
      <alignment horizontal="center" vertical="center" shrinkToFit="1"/>
    </xf>
    <xf numFmtId="43" fontId="105" fillId="31" borderId="42" xfId="4" applyFont="1" applyFill="1" applyBorder="1" applyAlignment="1">
      <alignment horizontal="center" vertical="center" shrinkToFit="1"/>
    </xf>
    <xf numFmtId="43" fontId="103" fillId="0" borderId="42" xfId="18" applyFont="1" applyFill="1" applyBorder="1" applyAlignment="1">
      <alignment horizontal="left" vertical="top"/>
    </xf>
    <xf numFmtId="166" fontId="103" fillId="0" borderId="11" xfId="4" applyNumberFormat="1" applyFont="1" applyBorder="1" applyAlignment="1">
      <alignment vertical="center" shrinkToFit="1"/>
    </xf>
    <xf numFmtId="166" fontId="103" fillId="0" borderId="65" xfId="4" applyNumberFormat="1" applyFont="1" applyBorder="1" applyAlignment="1">
      <alignment vertical="center" shrinkToFit="1"/>
    </xf>
    <xf numFmtId="166" fontId="103" fillId="0" borderId="65" xfId="4" applyNumberFormat="1" applyFont="1" applyFill="1" applyBorder="1" applyAlignment="1">
      <alignment horizontal="right" vertical="top" shrinkToFit="1"/>
    </xf>
    <xf numFmtId="0" fontId="103" fillId="0" borderId="44" xfId="9" applyFont="1" applyBorder="1" applyAlignment="1">
      <alignment horizontal="left" vertical="center" wrapText="1" shrinkToFit="1"/>
    </xf>
    <xf numFmtId="43" fontId="103" fillId="0" borderId="44" xfId="4" applyFont="1" applyFill="1" applyBorder="1" applyAlignment="1">
      <alignment vertical="center" shrinkToFit="1"/>
    </xf>
    <xf numFmtId="43" fontId="103" fillId="30" borderId="56" xfId="9" applyNumberFormat="1" applyFont="1" applyFill="1" applyBorder="1" applyAlignment="1">
      <alignment horizontal="right" vertical="center" shrinkToFit="1"/>
    </xf>
    <xf numFmtId="49" fontId="103" fillId="30" borderId="56" xfId="9" applyNumberFormat="1" applyFont="1" applyFill="1" applyBorder="1" applyAlignment="1">
      <alignment horizontal="right" vertical="top" shrinkToFit="1"/>
    </xf>
    <xf numFmtId="0" fontId="130" fillId="30" borderId="56" xfId="0" applyFont="1" applyFill="1" applyBorder="1" applyAlignment="1">
      <alignment wrapText="1"/>
    </xf>
    <xf numFmtId="43" fontId="104" fillId="30" borderId="56" xfId="9" applyNumberFormat="1" applyFont="1" applyFill="1" applyBorder="1" applyAlignment="1">
      <alignment horizontal="center" vertical="center" shrinkToFit="1"/>
    </xf>
    <xf numFmtId="43" fontId="104" fillId="30" borderId="56" xfId="4" applyFont="1" applyFill="1" applyBorder="1" applyAlignment="1">
      <alignment horizontal="center" vertical="center" shrinkToFit="1"/>
    </xf>
    <xf numFmtId="43" fontId="104" fillId="30" borderId="56" xfId="13" applyFont="1" applyFill="1" applyBorder="1" applyAlignment="1">
      <alignment horizontal="center" vertical="center" shrinkToFit="1"/>
    </xf>
    <xf numFmtId="43" fontId="102" fillId="30" borderId="56" xfId="18" applyFont="1" applyFill="1" applyBorder="1" applyAlignment="1">
      <alignment horizontal="left" vertical="top"/>
    </xf>
    <xf numFmtId="166" fontId="104" fillId="30" borderId="56" xfId="4" applyNumberFormat="1" applyFont="1" applyFill="1" applyBorder="1" applyAlignment="1">
      <alignment horizontal="right" vertical="top" shrinkToFit="1"/>
    </xf>
    <xf numFmtId="0" fontId="117" fillId="0" borderId="11" xfId="0" applyFont="1" applyBorder="1"/>
    <xf numFmtId="166" fontId="105" fillId="0" borderId="11" xfId="4" applyNumberFormat="1" applyFont="1" applyFill="1" applyBorder="1" applyAlignment="1">
      <alignment horizontal="right" vertical="top" shrinkToFit="1"/>
    </xf>
    <xf numFmtId="43" fontId="103" fillId="0" borderId="44" xfId="9" applyNumberFormat="1" applyFont="1" applyBorder="1" applyAlignment="1">
      <alignment horizontal="left" vertical="top" wrapText="1" shrinkToFit="1"/>
    </xf>
    <xf numFmtId="166" fontId="103" fillId="0" borderId="66" xfId="4" applyNumberFormat="1" applyFont="1" applyFill="1" applyBorder="1" applyAlignment="1">
      <alignment horizontal="right" vertical="top" wrapText="1" shrinkToFit="1"/>
    </xf>
    <xf numFmtId="2" fontId="103" fillId="0" borderId="66" xfId="4" applyNumberFormat="1" applyFont="1" applyFill="1" applyBorder="1" applyAlignment="1">
      <alignment horizontal="right" vertical="top" wrapText="1" shrinkToFit="1"/>
    </xf>
    <xf numFmtId="4" fontId="103" fillId="0" borderId="44" xfId="17" applyNumberFormat="1" applyFont="1" applyBorder="1" applyAlignment="1">
      <alignment horizontal="right" vertical="top"/>
    </xf>
    <xf numFmtId="43" fontId="102" fillId="30" borderId="56" xfId="9" applyNumberFormat="1" applyFont="1" applyFill="1" applyBorder="1" applyAlignment="1">
      <alignment horizontal="left" vertical="center" wrapText="1" shrinkToFit="1"/>
    </xf>
    <xf numFmtId="43" fontId="102" fillId="30" borderId="56" xfId="9" applyNumberFormat="1" applyFont="1" applyFill="1" applyBorder="1" applyAlignment="1">
      <alignment horizontal="center" vertical="center" shrinkToFit="1"/>
    </xf>
    <xf numFmtId="0" fontId="117" fillId="0" borderId="42" xfId="0" applyFont="1" applyBorder="1"/>
    <xf numFmtId="166" fontId="103" fillId="0" borderId="42" xfId="4" applyNumberFormat="1" applyFont="1" applyBorder="1" applyAlignment="1">
      <alignment vertical="center" shrinkToFit="1"/>
    </xf>
    <xf numFmtId="166" fontId="105" fillId="0" borderId="42" xfId="4" applyNumberFormat="1" applyFont="1" applyFill="1" applyBorder="1" applyAlignment="1">
      <alignment horizontal="right" vertical="top" shrinkToFit="1"/>
    </xf>
    <xf numFmtId="0" fontId="103" fillId="0" borderId="44" xfId="0" applyFont="1" applyBorder="1" applyAlignment="1">
      <alignment horizontal="left" vertical="top" wrapText="1" shrinkToFit="1"/>
    </xf>
    <xf numFmtId="0" fontId="102" fillId="30" borderId="56" xfId="0" applyFont="1" applyFill="1" applyBorder="1" applyAlignment="1">
      <alignment horizontal="left" vertical="top" wrapText="1"/>
    </xf>
    <xf numFmtId="43" fontId="102" fillId="30" borderId="56" xfId="9" applyNumberFormat="1" applyFont="1" applyFill="1" applyBorder="1" applyAlignment="1">
      <alignment horizontal="center" vertical="top" shrinkToFit="1"/>
    </xf>
    <xf numFmtId="43" fontId="102" fillId="30" borderId="56" xfId="13" applyFont="1" applyFill="1" applyBorder="1" applyAlignment="1">
      <alignment horizontal="center" vertical="top" shrinkToFit="1"/>
    </xf>
    <xf numFmtId="43" fontId="102" fillId="30" borderId="56" xfId="4" applyFont="1" applyFill="1" applyBorder="1" applyAlignment="1">
      <alignment vertical="top" shrinkToFit="1"/>
    </xf>
    <xf numFmtId="43" fontId="103" fillId="30" borderId="56" xfId="9" applyNumberFormat="1" applyFont="1" applyFill="1" applyBorder="1" applyAlignment="1">
      <alignment horizontal="right" vertical="top" shrinkToFit="1"/>
    </xf>
    <xf numFmtId="43" fontId="106" fillId="0" borderId="42" xfId="9" applyNumberFormat="1" applyFont="1" applyBorder="1" applyAlignment="1">
      <alignment horizontal="right" vertical="top" shrinkToFit="1"/>
    </xf>
    <xf numFmtId="0" fontId="117" fillId="0" borderId="42" xfId="95" applyFont="1" applyBorder="1" applyAlignment="1">
      <alignment vertical="top" wrapText="1"/>
    </xf>
    <xf numFmtId="43" fontId="106" fillId="0" borderId="42" xfId="9" applyNumberFormat="1" applyFont="1" applyBorder="1" applyAlignment="1">
      <alignment horizontal="center" vertical="top" shrinkToFit="1"/>
    </xf>
    <xf numFmtId="43" fontId="106" fillId="0" borderId="42" xfId="4" applyFont="1" applyFill="1" applyBorder="1" applyAlignment="1">
      <alignment horizontal="center" vertical="top" shrinkToFit="1"/>
    </xf>
    <xf numFmtId="43" fontId="106" fillId="0" borderId="42" xfId="13" applyFont="1" applyFill="1" applyBorder="1" applyAlignment="1">
      <alignment horizontal="center" vertical="top" shrinkToFit="1"/>
    </xf>
    <xf numFmtId="0" fontId="106" fillId="0" borderId="42" xfId="9" applyFont="1" applyBorder="1" applyAlignment="1">
      <alignment vertical="top" shrinkToFit="1"/>
    </xf>
    <xf numFmtId="166" fontId="106" fillId="0" borderId="42" xfId="4" applyNumberFormat="1" applyFont="1" applyFill="1" applyBorder="1" applyAlignment="1">
      <alignment horizontal="right" vertical="top" shrinkToFit="1"/>
    </xf>
    <xf numFmtId="43" fontId="107" fillId="0" borderId="42" xfId="4" applyFont="1" applyFill="1" applyBorder="1" applyAlignment="1">
      <alignment horizontal="left" vertical="top"/>
    </xf>
    <xf numFmtId="43" fontId="103" fillId="0" borderId="42" xfId="4" applyFont="1" applyFill="1" applyBorder="1" applyAlignment="1">
      <alignment horizontal="right" vertical="top" wrapText="1" shrinkToFit="1"/>
    </xf>
    <xf numFmtId="166" fontId="103" fillId="0" borderId="42" xfId="4" applyNumberFormat="1" applyFont="1" applyFill="1" applyBorder="1" applyAlignment="1">
      <alignment horizontal="right" vertical="top" wrapText="1" shrinkToFit="1"/>
    </xf>
    <xf numFmtId="166" fontId="103" fillId="0" borderId="42" xfId="4" applyNumberFormat="1" applyFont="1" applyBorder="1" applyAlignment="1">
      <alignment vertical="top" shrinkToFit="1"/>
    </xf>
    <xf numFmtId="0" fontId="107" fillId="30" borderId="56" xfId="0" applyFont="1" applyFill="1" applyBorder="1" applyAlignment="1">
      <alignment vertical="top" wrapText="1"/>
    </xf>
    <xf numFmtId="43" fontId="106" fillId="30" borderId="56" xfId="9" applyNumberFormat="1" applyFont="1" applyFill="1" applyBorder="1" applyAlignment="1">
      <alignment horizontal="center" vertical="center" shrinkToFit="1"/>
    </xf>
    <xf numFmtId="43" fontId="106" fillId="30" borderId="56" xfId="4" applyFont="1" applyFill="1" applyBorder="1" applyAlignment="1">
      <alignment horizontal="center" vertical="center" shrinkToFit="1"/>
    </xf>
    <xf numFmtId="43" fontId="106" fillId="30" borderId="56" xfId="13" applyFont="1" applyFill="1" applyBorder="1" applyAlignment="1">
      <alignment horizontal="center" vertical="center" shrinkToFit="1"/>
    </xf>
    <xf numFmtId="0" fontId="106" fillId="30" borderId="56" xfId="9" applyFont="1" applyFill="1" applyBorder="1" applyAlignment="1">
      <alignment vertical="center" shrinkToFit="1"/>
    </xf>
    <xf numFmtId="166" fontId="106" fillId="30" borderId="56" xfId="4" applyNumberFormat="1" applyFont="1" applyFill="1" applyBorder="1" applyAlignment="1">
      <alignment horizontal="right" vertical="center" shrinkToFit="1"/>
    </xf>
    <xf numFmtId="43" fontId="107" fillId="30" borderId="56" xfId="4" applyFont="1" applyFill="1" applyBorder="1" applyAlignment="1">
      <alignment horizontal="left" vertical="center"/>
    </xf>
    <xf numFmtId="166" fontId="103" fillId="30" borderId="56" xfId="4" applyNumberFormat="1" applyFont="1" applyFill="1" applyBorder="1" applyAlignment="1">
      <alignment horizontal="right" vertical="top" shrinkToFit="1"/>
    </xf>
    <xf numFmtId="43" fontId="103" fillId="30" borderId="56" xfId="4" applyFont="1" applyFill="1" applyBorder="1" applyAlignment="1">
      <alignment horizontal="right" vertical="center" wrapText="1" shrinkToFit="1"/>
    </xf>
    <xf numFmtId="166" fontId="103" fillId="30" borderId="56" xfId="4" applyNumberFormat="1" applyFont="1" applyFill="1" applyBorder="1" applyAlignment="1">
      <alignment horizontal="right" vertical="center" wrapText="1" shrinkToFit="1"/>
    </xf>
    <xf numFmtId="166" fontId="103" fillId="30" borderId="56" xfId="4" applyNumberFormat="1" applyFont="1" applyFill="1" applyBorder="1" applyAlignment="1">
      <alignment vertical="center" shrinkToFit="1"/>
    </xf>
    <xf numFmtId="43" fontId="106" fillId="30" borderId="56" xfId="9" applyNumberFormat="1" applyFont="1" applyFill="1" applyBorder="1" applyAlignment="1">
      <alignment horizontal="right" vertical="center" shrinkToFit="1"/>
    </xf>
    <xf numFmtId="43" fontId="102" fillId="0" borderId="42" xfId="15" applyFont="1" applyFill="1" applyBorder="1" applyAlignment="1">
      <alignment vertical="center"/>
    </xf>
    <xf numFmtId="43" fontId="102" fillId="0" borderId="42" xfId="13" applyFont="1" applyFill="1" applyBorder="1" applyAlignment="1">
      <alignment horizontal="center" vertical="center" shrinkToFit="1"/>
    </xf>
    <xf numFmtId="43" fontId="102" fillId="0" borderId="42" xfId="4" applyFont="1" applyFill="1" applyBorder="1" applyAlignment="1">
      <alignment horizontal="center" vertical="center" shrinkToFit="1"/>
    </xf>
    <xf numFmtId="43" fontId="102" fillId="31" borderId="42" xfId="4" applyFont="1" applyFill="1" applyBorder="1" applyAlignment="1">
      <alignment horizontal="center" vertical="center" shrinkToFit="1"/>
    </xf>
    <xf numFmtId="4" fontId="103" fillId="46" borderId="44" xfId="189" applyNumberFormat="1" applyFont="1" applyFill="1" applyBorder="1" applyAlignment="1">
      <alignment horizontal="right" vertical="center"/>
    </xf>
    <xf numFmtId="166" fontId="103" fillId="0" borderId="42" xfId="9" applyNumberFormat="1" applyFont="1" applyBorder="1" applyAlignment="1">
      <alignment vertical="center" shrinkToFit="1"/>
    </xf>
    <xf numFmtId="0" fontId="103" fillId="0" borderId="44" xfId="9" applyFont="1" applyBorder="1" applyAlignment="1">
      <alignment horizontal="left" vertical="center" shrinkToFit="1"/>
    </xf>
    <xf numFmtId="49" fontId="103" fillId="0" borderId="40" xfId="9" applyNumberFormat="1" applyFont="1" applyBorder="1" applyAlignment="1">
      <alignment horizontal="right" vertical="top" shrinkToFit="1"/>
    </xf>
    <xf numFmtId="49" fontId="103" fillId="0" borderId="40" xfId="9" applyNumberFormat="1" applyFont="1" applyFill="1" applyBorder="1" applyAlignment="1">
      <alignment horizontal="right" vertical="top" shrinkToFit="1"/>
    </xf>
    <xf numFmtId="0" fontId="103" fillId="0" borderId="40" xfId="9" applyFont="1" applyBorder="1" applyAlignment="1">
      <alignment horizontal="left" vertical="top" wrapText="1"/>
    </xf>
    <xf numFmtId="0" fontId="103" fillId="0" borderId="40" xfId="9" applyFont="1" applyBorder="1" applyAlignment="1">
      <alignment horizontal="center" vertical="top" shrinkToFit="1"/>
    </xf>
    <xf numFmtId="166" fontId="103" fillId="0" borderId="40" xfId="4" applyNumberFormat="1" applyFont="1" applyFill="1" applyBorder="1" applyAlignment="1">
      <alignment horizontal="center" vertical="top" shrinkToFit="1"/>
    </xf>
    <xf numFmtId="43" fontId="103" fillId="0" borderId="40" xfId="13" applyFont="1" applyFill="1" applyBorder="1" applyAlignment="1">
      <alignment horizontal="center" vertical="top" shrinkToFit="1"/>
    </xf>
    <xf numFmtId="43" fontId="103" fillId="0" borderId="40" xfId="4" applyFont="1" applyFill="1" applyBorder="1" applyAlignment="1">
      <alignment horizontal="right" vertical="top" wrapText="1" shrinkToFit="1"/>
    </xf>
    <xf numFmtId="43" fontId="103" fillId="0" borderId="40" xfId="4" applyFont="1" applyFill="1" applyBorder="1" applyAlignment="1">
      <alignment horizontal="center" vertical="top" wrapText="1" shrinkToFit="1"/>
    </xf>
    <xf numFmtId="43" fontId="103" fillId="0" borderId="40" xfId="4" applyFont="1" applyFill="1" applyBorder="1" applyAlignment="1">
      <alignment horizontal="right" vertical="center" wrapText="1" shrinkToFit="1"/>
    </xf>
    <xf numFmtId="0" fontId="103" fillId="0" borderId="43" xfId="9" applyFont="1" applyBorder="1" applyAlignment="1">
      <alignment horizontal="left" vertical="center"/>
    </xf>
    <xf numFmtId="43" fontId="103" fillId="0" borderId="43" xfId="4" applyFont="1" applyFill="1" applyBorder="1" applyAlignment="1">
      <alignment horizontal="right" vertical="center" wrapText="1" shrinkToFit="1"/>
    </xf>
    <xf numFmtId="4" fontId="2" fillId="0" borderId="0" xfId="0" applyNumberFormat="1" applyFont="1" applyBorder="1"/>
    <xf numFmtId="0" fontId="4" fillId="0" borderId="62" xfId="0" applyFont="1" applyBorder="1" applyAlignment="1">
      <alignment horizontal="center" vertical="center" wrapText="1"/>
    </xf>
    <xf numFmtId="0" fontId="4" fillId="0" borderId="87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/>
    </xf>
    <xf numFmtId="0" fontId="5" fillId="0" borderId="62" xfId="0" applyFont="1" applyBorder="1" applyAlignment="1">
      <alignment vertical="center"/>
    </xf>
    <xf numFmtId="0" fontId="5" fillId="0" borderId="62" xfId="0" applyFont="1" applyBorder="1" applyAlignment="1">
      <alignment vertical="top"/>
    </xf>
    <xf numFmtId="0" fontId="5" fillId="0" borderId="62" xfId="95" applyFont="1" applyBorder="1" applyAlignment="1">
      <alignment horizontal="left" vertical="center" wrapText="1"/>
    </xf>
    <xf numFmtId="0" fontId="5" fillId="0" borderId="62" xfId="95" applyFont="1" applyBorder="1" applyAlignment="1">
      <alignment horizontal="left" vertical="top" wrapText="1"/>
    </xf>
    <xf numFmtId="0" fontId="8" fillId="0" borderId="62" xfId="0" applyFont="1" applyBorder="1" applyAlignment="1">
      <alignment horizontal="left" vertical="top"/>
    </xf>
    <xf numFmtId="0" fontId="8" fillId="0" borderId="62" xfId="0" applyFont="1" applyBorder="1"/>
    <xf numFmtId="0" fontId="8" fillId="0" borderId="113" xfId="0" applyFont="1" applyBorder="1"/>
    <xf numFmtId="0" fontId="49" fillId="0" borderId="0" xfId="17" applyFont="1" applyBorder="1" applyAlignment="1">
      <alignment vertical="top"/>
    </xf>
    <xf numFmtId="0" fontId="49" fillId="0" borderId="0" xfId="17" applyFont="1" applyBorder="1" applyAlignment="1">
      <alignment horizontal="center" vertical="top"/>
    </xf>
    <xf numFmtId="0" fontId="2" fillId="0" borderId="18" xfId="0" applyFont="1" applyBorder="1" applyAlignment="1">
      <alignment horizontal="center"/>
    </xf>
    <xf numFmtId="0" fontId="2" fillId="0" borderId="106" xfId="0" applyFont="1" applyBorder="1" applyAlignment="1">
      <alignment horizontal="center" vertical="top" wrapText="1"/>
    </xf>
  </cellXfs>
  <cellStyles count="252">
    <cellStyle name="20% - Accent1" xfId="19" xr:uid="{00000000-0005-0000-0000-000000000000}"/>
    <cellStyle name="20% - Accent1 2" xfId="152" xr:uid="{00000000-0005-0000-0000-000001000000}"/>
    <cellStyle name="20% - Accent2" xfId="20" xr:uid="{00000000-0005-0000-0000-000002000000}"/>
    <cellStyle name="20% - Accent2 2" xfId="153" xr:uid="{00000000-0005-0000-0000-000003000000}"/>
    <cellStyle name="20% - Accent3" xfId="21" xr:uid="{00000000-0005-0000-0000-000004000000}"/>
    <cellStyle name="20% - Accent3 2" xfId="154" xr:uid="{00000000-0005-0000-0000-000005000000}"/>
    <cellStyle name="20% - Accent4" xfId="22" xr:uid="{00000000-0005-0000-0000-000006000000}"/>
    <cellStyle name="20% - Accent4 2" xfId="155" xr:uid="{00000000-0005-0000-0000-000007000000}"/>
    <cellStyle name="20% - Accent5" xfId="23" xr:uid="{00000000-0005-0000-0000-000008000000}"/>
    <cellStyle name="20% - Accent5 2" xfId="156" xr:uid="{00000000-0005-0000-0000-000009000000}"/>
    <cellStyle name="20% - Accent6" xfId="24" xr:uid="{00000000-0005-0000-0000-00000A000000}"/>
    <cellStyle name="20% - Accent6 2" xfId="157" xr:uid="{00000000-0005-0000-0000-00000B000000}"/>
    <cellStyle name="40% - Accent1" xfId="25" xr:uid="{00000000-0005-0000-0000-00000C000000}"/>
    <cellStyle name="40% - Accent2" xfId="26" xr:uid="{00000000-0005-0000-0000-00000D000000}"/>
    <cellStyle name="40% - Accent2 2" xfId="158" xr:uid="{00000000-0005-0000-0000-00000E000000}"/>
    <cellStyle name="40% - Accent3" xfId="27" xr:uid="{00000000-0005-0000-0000-00000F000000}"/>
    <cellStyle name="40% - Accent3 2" xfId="159" xr:uid="{00000000-0005-0000-0000-000010000000}"/>
    <cellStyle name="40% - Accent4" xfId="28" xr:uid="{00000000-0005-0000-0000-000011000000}"/>
    <cellStyle name="40% - Accent4 2" xfId="160" xr:uid="{00000000-0005-0000-0000-000012000000}"/>
    <cellStyle name="40% - Accent5" xfId="29" xr:uid="{00000000-0005-0000-0000-000013000000}"/>
    <cellStyle name="40% - Accent6" xfId="30" xr:uid="{00000000-0005-0000-0000-000014000000}"/>
    <cellStyle name="40% - Accent6 2" xfId="161" xr:uid="{00000000-0005-0000-0000-000015000000}"/>
    <cellStyle name="60% - Accent1" xfId="31" xr:uid="{00000000-0005-0000-0000-000016000000}"/>
    <cellStyle name="60% - Accent1 2" xfId="162" xr:uid="{00000000-0005-0000-0000-000017000000}"/>
    <cellStyle name="60% - Accent2" xfId="32" xr:uid="{00000000-0005-0000-0000-000018000000}"/>
    <cellStyle name="60% - Accent2 2" xfId="163" xr:uid="{00000000-0005-0000-0000-000019000000}"/>
    <cellStyle name="60% - Accent3" xfId="33" xr:uid="{00000000-0005-0000-0000-00001A000000}"/>
    <cellStyle name="60% - Accent3 2" xfId="164" xr:uid="{00000000-0005-0000-0000-00001B000000}"/>
    <cellStyle name="60% - Accent4" xfId="34" xr:uid="{00000000-0005-0000-0000-00001C000000}"/>
    <cellStyle name="60% - Accent4 2" xfId="165" xr:uid="{00000000-0005-0000-0000-00001D000000}"/>
    <cellStyle name="60% - Accent5" xfId="35" xr:uid="{00000000-0005-0000-0000-00001E000000}"/>
    <cellStyle name="60% - Accent6" xfId="36" xr:uid="{00000000-0005-0000-0000-00001F000000}"/>
    <cellStyle name="60% - Accent6 2" xfId="166" xr:uid="{00000000-0005-0000-0000-000020000000}"/>
    <cellStyle name="Accent1" xfId="37" xr:uid="{00000000-0005-0000-0000-000021000000}"/>
    <cellStyle name="Accent1 2" xfId="167" xr:uid="{00000000-0005-0000-0000-000022000000}"/>
    <cellStyle name="Accent2" xfId="38" xr:uid="{00000000-0005-0000-0000-000023000000}"/>
    <cellStyle name="Accent2 2" xfId="168" xr:uid="{00000000-0005-0000-0000-000024000000}"/>
    <cellStyle name="Accent3" xfId="39" xr:uid="{00000000-0005-0000-0000-000025000000}"/>
    <cellStyle name="Accent3 2" xfId="169" xr:uid="{00000000-0005-0000-0000-000026000000}"/>
    <cellStyle name="Accent4" xfId="40" xr:uid="{00000000-0005-0000-0000-000027000000}"/>
    <cellStyle name="Accent4 2" xfId="170" xr:uid="{00000000-0005-0000-0000-000028000000}"/>
    <cellStyle name="Accent5" xfId="41" xr:uid="{00000000-0005-0000-0000-000029000000}"/>
    <cellStyle name="Accent5 2" xfId="171" xr:uid="{00000000-0005-0000-0000-00002A000000}"/>
    <cellStyle name="Accent6" xfId="42" xr:uid="{00000000-0005-0000-0000-00002B000000}"/>
    <cellStyle name="Accent6 2" xfId="172" xr:uid="{00000000-0005-0000-0000-00002C000000}"/>
    <cellStyle name="Bad" xfId="43" xr:uid="{00000000-0005-0000-0000-00002D000000}"/>
    <cellStyle name="Calculation" xfId="44" xr:uid="{00000000-0005-0000-0000-00002E000000}"/>
    <cellStyle name="Calculation 2" xfId="120" xr:uid="{00000000-0005-0000-0000-00002F000000}"/>
    <cellStyle name="Calculation 3" xfId="136" xr:uid="{00000000-0005-0000-0000-000030000000}"/>
    <cellStyle name="Calculation 4" xfId="125" xr:uid="{00000000-0005-0000-0000-000031000000}"/>
    <cellStyle name="Calculation 5" xfId="144" xr:uid="{00000000-0005-0000-0000-000032000000}"/>
    <cellStyle name="Calculation 6" xfId="127" xr:uid="{00000000-0005-0000-0000-000033000000}"/>
    <cellStyle name="Calculation 7" xfId="139" xr:uid="{00000000-0005-0000-0000-000034000000}"/>
    <cellStyle name="Calculation 8" xfId="115" xr:uid="{00000000-0005-0000-0000-000035000000}"/>
    <cellStyle name="Check Cell" xfId="45" xr:uid="{00000000-0005-0000-0000-000036000000}"/>
    <cellStyle name="Comma 2" xfId="2" xr:uid="{00000000-0005-0000-0000-000037000000}"/>
    <cellStyle name="Comma 2 2" xfId="89" xr:uid="{00000000-0005-0000-0000-000038000000}"/>
    <cellStyle name="Comma 2 2 2" xfId="216" xr:uid="{AC12B343-4B34-4F3A-95E0-C6A4DC60BC33}"/>
    <cellStyle name="Comma 2 3" xfId="191" xr:uid="{B79C73F0-614D-44C6-A0A6-7242E806CDA4}"/>
    <cellStyle name="Explanatory Text" xfId="46" xr:uid="{00000000-0005-0000-0000-000039000000}"/>
    <cellStyle name="Good" xfId="47" xr:uid="{00000000-0005-0000-0000-00003A000000}"/>
    <cellStyle name="Heading 1" xfId="48" xr:uid="{00000000-0005-0000-0000-00003B000000}"/>
    <cellStyle name="Heading 1 2" xfId="173" xr:uid="{00000000-0005-0000-0000-00003C000000}"/>
    <cellStyle name="Heading 2" xfId="49" xr:uid="{00000000-0005-0000-0000-00003D000000}"/>
    <cellStyle name="Heading 2 2" xfId="174" xr:uid="{00000000-0005-0000-0000-00003E000000}"/>
    <cellStyle name="Heading 3" xfId="50" xr:uid="{00000000-0005-0000-0000-00003F000000}"/>
    <cellStyle name="Heading 3 2" xfId="175" xr:uid="{00000000-0005-0000-0000-000040000000}"/>
    <cellStyle name="Heading 4" xfId="51" xr:uid="{00000000-0005-0000-0000-000041000000}"/>
    <cellStyle name="Heading 4 2" xfId="176" xr:uid="{00000000-0005-0000-0000-000042000000}"/>
    <cellStyle name="Input" xfId="52" xr:uid="{00000000-0005-0000-0000-000043000000}"/>
    <cellStyle name="Input 2" xfId="121" xr:uid="{00000000-0005-0000-0000-000044000000}"/>
    <cellStyle name="Input 3" xfId="138" xr:uid="{00000000-0005-0000-0000-000045000000}"/>
    <cellStyle name="Input 4" xfId="137" xr:uid="{00000000-0005-0000-0000-000046000000}"/>
    <cellStyle name="Input 5" xfId="128" xr:uid="{00000000-0005-0000-0000-000047000000}"/>
    <cellStyle name="Input 6" xfId="126" xr:uid="{00000000-0005-0000-0000-000048000000}"/>
    <cellStyle name="Input 7" xfId="147" xr:uid="{00000000-0005-0000-0000-000049000000}"/>
    <cellStyle name="Input 8" xfId="116" xr:uid="{00000000-0005-0000-0000-00004A000000}"/>
    <cellStyle name="Neutral" xfId="53" xr:uid="{00000000-0005-0000-0000-00004B000000}"/>
    <cellStyle name="Normal 12" xfId="54" xr:uid="{00000000-0005-0000-0000-00004C000000}"/>
    <cellStyle name="Normal 2" xfId="1" xr:uid="{00000000-0005-0000-0000-00004D000000}"/>
    <cellStyle name="Normal 2 2" xfId="55" xr:uid="{00000000-0005-0000-0000-00004E000000}"/>
    <cellStyle name="Normal 3" xfId="6" xr:uid="{00000000-0005-0000-0000-00004F000000}"/>
    <cellStyle name="Normal 7" xfId="56" xr:uid="{00000000-0005-0000-0000-000050000000}"/>
    <cellStyle name="Note" xfId="57" xr:uid="{00000000-0005-0000-0000-000051000000}"/>
    <cellStyle name="Note 2" xfId="122" xr:uid="{00000000-0005-0000-0000-000052000000}"/>
    <cellStyle name="Note 3" xfId="140" xr:uid="{00000000-0005-0000-0000-000053000000}"/>
    <cellStyle name="Note 4" xfId="135" xr:uid="{00000000-0005-0000-0000-000054000000}"/>
    <cellStyle name="Note 5" xfId="129" xr:uid="{00000000-0005-0000-0000-000055000000}"/>
    <cellStyle name="Note 6" xfId="132" xr:uid="{00000000-0005-0000-0000-000056000000}"/>
    <cellStyle name="Note 7" xfId="149" xr:uid="{00000000-0005-0000-0000-000057000000}"/>
    <cellStyle name="Note 8" xfId="117" xr:uid="{00000000-0005-0000-0000-000058000000}"/>
    <cellStyle name="Output" xfId="58" xr:uid="{00000000-0005-0000-0000-000059000000}"/>
    <cellStyle name="Output 2" xfId="123" xr:uid="{00000000-0005-0000-0000-00005A000000}"/>
    <cellStyle name="Output 3" xfId="141" xr:uid="{00000000-0005-0000-0000-00005B000000}"/>
    <cellStyle name="Output 4" xfId="134" xr:uid="{00000000-0005-0000-0000-00005C000000}"/>
    <cellStyle name="Output 5" xfId="148" xr:uid="{00000000-0005-0000-0000-00005D000000}"/>
    <cellStyle name="Output 6" xfId="143" xr:uid="{00000000-0005-0000-0000-00005E000000}"/>
    <cellStyle name="Output 7" xfId="145" xr:uid="{00000000-0005-0000-0000-00005F000000}"/>
    <cellStyle name="Output 8" xfId="118" xr:uid="{00000000-0005-0000-0000-000060000000}"/>
    <cellStyle name="Percent 2" xfId="3" xr:uid="{00000000-0005-0000-0000-000061000000}"/>
    <cellStyle name="Title" xfId="59" xr:uid="{00000000-0005-0000-0000-000062000000}"/>
    <cellStyle name="Title 2" xfId="177" xr:uid="{00000000-0005-0000-0000-000063000000}"/>
    <cellStyle name="Total" xfId="60" xr:uid="{00000000-0005-0000-0000-000064000000}"/>
    <cellStyle name="Total 2" xfId="124" xr:uid="{00000000-0005-0000-0000-000065000000}"/>
    <cellStyle name="Total 3" xfId="142" xr:uid="{00000000-0005-0000-0000-000066000000}"/>
    <cellStyle name="Total 4" xfId="133" xr:uid="{00000000-0005-0000-0000-000067000000}"/>
    <cellStyle name="Total 5" xfId="131" xr:uid="{00000000-0005-0000-0000-000068000000}"/>
    <cellStyle name="Total 6" xfId="146" xr:uid="{00000000-0005-0000-0000-000069000000}"/>
    <cellStyle name="Total 7" xfId="130" xr:uid="{00000000-0005-0000-0000-00006A000000}"/>
    <cellStyle name="Total 8" xfId="119" xr:uid="{00000000-0005-0000-0000-00006B000000}"/>
    <cellStyle name="Total 9" xfId="178" xr:uid="{00000000-0005-0000-0000-00006C000000}"/>
    <cellStyle name="Warning Text" xfId="61" xr:uid="{00000000-0005-0000-0000-00006D000000}"/>
    <cellStyle name="เครื่องหมายจุลภาค 10" xfId="179" xr:uid="{00000000-0005-0000-0000-00006F000000}"/>
    <cellStyle name="เครื่องหมายจุลภาค 10 2" xfId="242" xr:uid="{D418946A-35F2-48DC-A460-AEBBD4A81B10}"/>
    <cellStyle name="เครื่องหมายจุลภาค 12" xfId="180" xr:uid="{00000000-0005-0000-0000-000070000000}"/>
    <cellStyle name="เครื่องหมายจุลภาค 12 2" xfId="243" xr:uid="{262C7AFF-6400-4799-91F0-D7253B35329B}"/>
    <cellStyle name="เครื่องหมายจุลภาค 13" xfId="62" xr:uid="{00000000-0005-0000-0000-000071000000}"/>
    <cellStyle name="เครื่องหมายจุลภาค 13 2" xfId="63" xr:uid="{00000000-0005-0000-0000-000072000000}"/>
    <cellStyle name="เครื่องหมายจุลภาค 13 2 2" xfId="98" xr:uid="{00000000-0005-0000-0000-000073000000}"/>
    <cellStyle name="เครื่องหมายจุลภาค 13 2 2 2" xfId="224" xr:uid="{E452CE3A-D774-4382-BE25-14DEF7A88618}"/>
    <cellStyle name="เครื่องหมายจุลภาค 13 2 3" xfId="199" xr:uid="{803BAFCD-0284-454A-8F63-FCE0E0D7A97C}"/>
    <cellStyle name="เครื่องหมายจุลภาค 13 3" xfId="64" xr:uid="{00000000-0005-0000-0000-000074000000}"/>
    <cellStyle name="เครื่องหมายจุลภาค 13 3 2" xfId="99" xr:uid="{00000000-0005-0000-0000-000075000000}"/>
    <cellStyle name="เครื่องหมายจุลภาค 13 3 2 2" xfId="225" xr:uid="{085CA578-3401-400A-BA62-C159771A72AE}"/>
    <cellStyle name="เครื่องหมายจุลภาค 13 3 3" xfId="200" xr:uid="{910001B1-374E-44B7-AEEE-1B0F0C2CB66D}"/>
    <cellStyle name="เครื่องหมายจุลภาค 13 4" xfId="97" xr:uid="{00000000-0005-0000-0000-000076000000}"/>
    <cellStyle name="เครื่องหมายจุลภาค 13 4 2" xfId="223" xr:uid="{5BD75D32-6D9A-4940-941D-413F2106AEDB}"/>
    <cellStyle name="เครื่องหมายจุลภาค 13 5" xfId="181" xr:uid="{00000000-0005-0000-0000-000077000000}"/>
    <cellStyle name="เครื่องหมายจุลภาค 13 5 2" xfId="244" xr:uid="{74AFC4DE-207F-43BC-9AE4-02A6F124DBC9}"/>
    <cellStyle name="เครื่องหมายจุลภาค 13 6" xfId="198" xr:uid="{5589694B-0C83-423D-88D4-53F0A898C7EC}"/>
    <cellStyle name="เครื่องหมายจุลภาค 16" xfId="182" xr:uid="{00000000-0005-0000-0000-000078000000}"/>
    <cellStyle name="เครื่องหมายจุลภาค 16 2" xfId="245" xr:uid="{6E4E4828-50D6-4893-8911-FEB3774C8861}"/>
    <cellStyle name="เครื่องหมายจุลภาค 18" xfId="65" xr:uid="{00000000-0005-0000-0000-000079000000}"/>
    <cellStyle name="เครื่องหมายจุลภาค 18 2" xfId="66" xr:uid="{00000000-0005-0000-0000-00007A000000}"/>
    <cellStyle name="เครื่องหมายจุลภาค 18 2 2" xfId="101" xr:uid="{00000000-0005-0000-0000-00007B000000}"/>
    <cellStyle name="เครื่องหมายจุลภาค 18 2 2 2" xfId="227" xr:uid="{CBE5C166-8660-4CCD-9F2C-95E46521242A}"/>
    <cellStyle name="เครื่องหมายจุลภาค 18 2 3" xfId="202" xr:uid="{5153182F-AB2A-420F-BF14-90148B8AF13A}"/>
    <cellStyle name="เครื่องหมายจุลภาค 18 3" xfId="67" xr:uid="{00000000-0005-0000-0000-00007C000000}"/>
    <cellStyle name="เครื่องหมายจุลภาค 18 3 2" xfId="102" xr:uid="{00000000-0005-0000-0000-00007D000000}"/>
    <cellStyle name="เครื่องหมายจุลภาค 18 3 2 2" xfId="228" xr:uid="{5AFFB046-5C5A-4C34-960A-6640C69D3BD3}"/>
    <cellStyle name="เครื่องหมายจุลภาค 18 3 3" xfId="203" xr:uid="{30EF3D29-1EB1-456E-A3E4-A5CA40C2C487}"/>
    <cellStyle name="เครื่องหมายจุลภาค 18 4" xfId="100" xr:uid="{00000000-0005-0000-0000-00007E000000}"/>
    <cellStyle name="เครื่องหมายจุลภาค 18 4 2" xfId="226" xr:uid="{2600D7BC-385D-46FD-A568-5C959BA62A01}"/>
    <cellStyle name="เครื่องหมายจุลภาค 18 5" xfId="183" xr:uid="{00000000-0005-0000-0000-00007F000000}"/>
    <cellStyle name="เครื่องหมายจุลภาค 18 5 2" xfId="246" xr:uid="{68E39579-FA07-47CD-90DB-7587F0DA7E1E}"/>
    <cellStyle name="เครื่องหมายจุลภาค 18 6" xfId="201" xr:uid="{CA529DEA-BD49-420D-9E7C-DB55DEF3194D}"/>
    <cellStyle name="เครื่องหมายจุลภาค 2" xfId="18" xr:uid="{00000000-0005-0000-0000-000080000000}"/>
    <cellStyle name="เครื่องหมายจุลภาค 2 2" xfId="68" xr:uid="{00000000-0005-0000-0000-000081000000}"/>
    <cellStyle name="เครื่องหมายจุลภาค 2 2 2" xfId="69" xr:uid="{00000000-0005-0000-0000-000082000000}"/>
    <cellStyle name="เครื่องหมายจุลภาค 2 2 2 2" xfId="104" xr:uid="{00000000-0005-0000-0000-000083000000}"/>
    <cellStyle name="เครื่องหมายจุลภาค 2 2 2 2 2" xfId="230" xr:uid="{4B6E1D7A-8F77-44B0-9832-D3DD4BA75862}"/>
    <cellStyle name="เครื่องหมายจุลภาค 2 2 2 3" xfId="205" xr:uid="{061CB3C7-BDDF-44DA-9155-462DA967A988}"/>
    <cellStyle name="เครื่องหมายจุลภาค 2 2 3" xfId="103" xr:uid="{00000000-0005-0000-0000-000084000000}"/>
    <cellStyle name="เครื่องหมายจุลภาค 2 2 3 2" xfId="229" xr:uid="{C3AFA098-2344-4BEF-8B8E-36DA42BFDB54}"/>
    <cellStyle name="เครื่องหมายจุลภาค 2 2 4" xfId="204" xr:uid="{FD0EAD79-61EA-49F3-936E-6F9B166A32AC}"/>
    <cellStyle name="เครื่องหมายจุลภาค 2 3" xfId="70" xr:uid="{00000000-0005-0000-0000-000085000000}"/>
    <cellStyle name="เครื่องหมายจุลภาค 2 3 2" xfId="105" xr:uid="{00000000-0005-0000-0000-000086000000}"/>
    <cellStyle name="เครื่องหมายจุลภาค 2 3 2 2" xfId="231" xr:uid="{C1A1733B-EF72-4B6C-A48E-75811CBF40B4}"/>
    <cellStyle name="เครื่องหมายจุลภาค 2 3 3" xfId="206" xr:uid="{73A01742-C092-465D-8082-67917FFC807A}"/>
    <cellStyle name="เครื่องหมายจุลภาค 2 4" xfId="71" xr:uid="{00000000-0005-0000-0000-000087000000}"/>
    <cellStyle name="เครื่องหมายจุลภาค 2 4 2" xfId="106" xr:uid="{00000000-0005-0000-0000-000088000000}"/>
    <cellStyle name="เครื่องหมายจุลภาค 2 4 2 2" xfId="232" xr:uid="{D4CEDC93-AB7C-43E1-A9D3-DA4D4229012B}"/>
    <cellStyle name="เครื่องหมายจุลภาค 2 4 3" xfId="207" xr:uid="{2C7270F4-B964-4C6C-BDB5-4B2269919856}"/>
    <cellStyle name="เครื่องหมายจุลภาค 2 5" xfId="96" xr:uid="{00000000-0005-0000-0000-000089000000}"/>
    <cellStyle name="เครื่องหมายจุลภาค 2 5 2" xfId="222" xr:uid="{B2617AD7-68EE-4546-879B-CAC92C9A4033}"/>
    <cellStyle name="เครื่องหมายจุลภาค 2 6" xfId="184" xr:uid="{00000000-0005-0000-0000-00008A000000}"/>
    <cellStyle name="เครื่องหมายจุลภาค 2 6 2" xfId="247" xr:uid="{D65F9C77-7EE6-4F9C-A985-7C421441F5A5}"/>
    <cellStyle name="เครื่องหมายจุลภาค 2 7" xfId="197" xr:uid="{6B2CFA2B-BB7E-4B14-AADF-F84DA384636E}"/>
    <cellStyle name="เครื่องหมายจุลภาค 3" xfId="15" xr:uid="{00000000-0005-0000-0000-00008B000000}"/>
    <cellStyle name="เครื่องหมายจุลภาค 3 2" xfId="72" xr:uid="{00000000-0005-0000-0000-00008C000000}"/>
    <cellStyle name="เครื่องหมายจุลภาค 3 2 2" xfId="107" xr:uid="{00000000-0005-0000-0000-00008D000000}"/>
    <cellStyle name="เครื่องหมายจุลภาค 3 2 2 2" xfId="233" xr:uid="{C0F294F5-BCAA-44DE-8DBE-CED4517AA381}"/>
    <cellStyle name="เครื่องหมายจุลภาค 3 2 3" xfId="208" xr:uid="{D002C693-4967-43BF-8B01-DF4AF69502E0}"/>
    <cellStyle name="เครื่องหมายจุลภาค 3 3" xfId="73" xr:uid="{00000000-0005-0000-0000-00008E000000}"/>
    <cellStyle name="เครื่องหมายจุลภาค 3 3 2" xfId="108" xr:uid="{00000000-0005-0000-0000-00008F000000}"/>
    <cellStyle name="เครื่องหมายจุลภาค 3 3 2 2" xfId="234" xr:uid="{9478CDEA-E4ED-4ED8-B496-C07A9AC587B5}"/>
    <cellStyle name="เครื่องหมายจุลภาค 3 3 3" xfId="209" xr:uid="{7EFED06A-1A34-4A2E-8399-9725F1B0BC1A}"/>
    <cellStyle name="เครื่องหมายจุลภาค 3 4" xfId="74" xr:uid="{00000000-0005-0000-0000-000090000000}"/>
    <cellStyle name="เครื่องหมายจุลภาค 3 4 2" xfId="109" xr:uid="{00000000-0005-0000-0000-000091000000}"/>
    <cellStyle name="เครื่องหมายจุลภาค 3 4 2 2" xfId="235" xr:uid="{8322A975-F247-4AF2-B85D-F401CDC94AFB}"/>
    <cellStyle name="เครื่องหมายจุลภาค 3 4 3" xfId="210" xr:uid="{CBC5B7BD-F33C-40D7-8C38-F93C65DADA05}"/>
    <cellStyle name="เครื่องหมายจุลภาค 3 5" xfId="94" xr:uid="{00000000-0005-0000-0000-000092000000}"/>
    <cellStyle name="เครื่องหมายจุลภาค 3 5 2" xfId="221" xr:uid="{AD0D337E-77B1-4743-B0E8-9918DE9A8803}"/>
    <cellStyle name="เครื่องหมายจุลภาค 3 6" xfId="185" xr:uid="{00000000-0005-0000-0000-000093000000}"/>
    <cellStyle name="เครื่องหมายจุลภาค 3 6 2" xfId="248" xr:uid="{7EDDB19E-B6CC-4121-92C8-931F74567962}"/>
    <cellStyle name="เครื่องหมายจุลภาค 3 7" xfId="196" xr:uid="{77137CBB-57A7-4FF7-A134-708E9464F407}"/>
    <cellStyle name="เครื่องหมายจุลภาค 4" xfId="75" xr:uid="{00000000-0005-0000-0000-000094000000}"/>
    <cellStyle name="เครื่องหมายจุลภาค 4 2" xfId="110" xr:uid="{00000000-0005-0000-0000-000095000000}"/>
    <cellStyle name="เครื่องหมายจุลภาค 4 2 2" xfId="236" xr:uid="{4B3B8BB5-9F21-4D8D-BFB4-27FC3DF50B37}"/>
    <cellStyle name="เครื่องหมายจุลภาค 4 3" xfId="211" xr:uid="{8640D829-77D1-4688-B7F4-B03460536941}"/>
    <cellStyle name="เครื่องหมายจุลภาค 5" xfId="7" xr:uid="{00000000-0005-0000-0000-000096000000}"/>
    <cellStyle name="เครื่องหมายจุลภาค 5 2" xfId="91" xr:uid="{00000000-0005-0000-0000-000097000000}"/>
    <cellStyle name="เครื่องหมายจุลภาค 5 2 2" xfId="218" xr:uid="{DBBB464C-3EC7-4024-BA85-92D29D806C63}"/>
    <cellStyle name="เครื่องหมายจุลภาค 5 3" xfId="193" xr:uid="{AC76EDB1-7373-4799-A05F-EBFFF8BCB18A}"/>
    <cellStyle name="เครื่องหมายจุลภาค 6" xfId="76" xr:uid="{00000000-0005-0000-0000-000098000000}"/>
    <cellStyle name="เครื่องหมายจุลภาค 6 2" xfId="111" xr:uid="{00000000-0005-0000-0000-000099000000}"/>
    <cellStyle name="เครื่องหมายจุลภาค 6 2 2" xfId="237" xr:uid="{7D3B6CA6-359A-475F-A026-37F02F02180F}"/>
    <cellStyle name="เครื่องหมายจุลภาค 6 3" xfId="186" xr:uid="{00000000-0005-0000-0000-00009A000000}"/>
    <cellStyle name="เครื่องหมายจุลภาค 6 3 2" xfId="249" xr:uid="{4836581C-FBB4-4DA4-AAA5-D07CFD3AD794}"/>
    <cellStyle name="เครื่องหมายจุลภาค 6 4" xfId="212" xr:uid="{6EDB901E-8E9C-4E37-9077-089CEA47E2BE}"/>
    <cellStyle name="เครื่องหมายจุลภาค 7" xfId="187" xr:uid="{00000000-0005-0000-0000-00009B000000}"/>
    <cellStyle name="เครื่องหมายจุลภาค 7 2" xfId="250" xr:uid="{86D5FA19-DB67-4876-B2FF-E96019F68143}"/>
    <cellStyle name="เครื่องหมายจุลภาค 9" xfId="188" xr:uid="{00000000-0005-0000-0000-00009C000000}"/>
    <cellStyle name="เครื่องหมายจุลภาค 9 2" xfId="251" xr:uid="{7B5CB461-F6AF-4E60-9B11-A1E05785F49F}"/>
    <cellStyle name="จุลภาค" xfId="4" builtinId="3"/>
    <cellStyle name="จุลภาค 2" xfId="11" xr:uid="{00000000-0005-0000-0000-00009D000000}"/>
    <cellStyle name="จุลภาค 2 2" xfId="77" xr:uid="{00000000-0005-0000-0000-00009E000000}"/>
    <cellStyle name="จุลภาค 2 2 2" xfId="112" xr:uid="{00000000-0005-0000-0000-00009F000000}"/>
    <cellStyle name="จุลภาค 2 2 2 2" xfId="238" xr:uid="{11A6D6EA-CA63-4BC1-BCE4-77B0CF85DBF6}"/>
    <cellStyle name="จุลภาค 2 2 3" xfId="213" xr:uid="{84DC27AD-3947-43F9-992D-B78D689A4998}"/>
    <cellStyle name="จุลภาค 2 3" xfId="78" xr:uid="{00000000-0005-0000-0000-0000A0000000}"/>
    <cellStyle name="จุลภาค 2 3 2" xfId="113" xr:uid="{00000000-0005-0000-0000-0000A1000000}"/>
    <cellStyle name="จุลภาค 2 3 2 2" xfId="239" xr:uid="{91B59C81-5651-4828-8D1F-730C7182D1A5}"/>
    <cellStyle name="จุลภาค 2 3 3" xfId="214" xr:uid="{EF1FA4FC-0D07-4AB0-8361-9D7275473D45}"/>
    <cellStyle name="จุลภาค 2 4" xfId="92" xr:uid="{00000000-0005-0000-0000-0000A2000000}"/>
    <cellStyle name="จุลภาค 2 4 2" xfId="219" xr:uid="{2B2B0972-BA48-4816-B6F1-DD3144888472}"/>
    <cellStyle name="จุลภาค 2 5" xfId="194" xr:uid="{B1AA3582-D2CA-408B-B741-B327B55A2FBB}"/>
    <cellStyle name="จุลภาค 3" xfId="13" xr:uid="{00000000-0005-0000-0000-0000A3000000}"/>
    <cellStyle name="จุลภาค 3 2" xfId="93" xr:uid="{00000000-0005-0000-0000-0000A4000000}"/>
    <cellStyle name="จุลภาค 3 2 2" xfId="220" xr:uid="{888DAD4E-74A9-4041-B320-4FBCB2B337D9}"/>
    <cellStyle name="จุลภาค 3 3" xfId="195" xr:uid="{A960A90B-4BFB-444C-976C-C1FC174FFCBC}"/>
    <cellStyle name="จุลภาค 4" xfId="79" xr:uid="{00000000-0005-0000-0000-0000A5000000}"/>
    <cellStyle name="จุลภาค 4 2" xfId="114" xr:uid="{00000000-0005-0000-0000-0000A6000000}"/>
    <cellStyle name="จุลภาค 4 2 2" xfId="240" xr:uid="{D2FC91F7-71F7-4608-97C7-FBFD48D5B919}"/>
    <cellStyle name="จุลภาค 4 3" xfId="215" xr:uid="{F8C9D164-606C-4C14-AEB4-203A498AB9D1}"/>
    <cellStyle name="จุลภาค 5" xfId="90" xr:uid="{00000000-0005-0000-0000-0000A7000000}"/>
    <cellStyle name="จุลภาค 5 2" xfId="217" xr:uid="{FF318AAF-68EF-486F-9C85-0D000BE0C1AF}"/>
    <cellStyle name="จุลภาค 6" xfId="150" xr:uid="{00000000-0005-0000-0000-0000A8000000}"/>
    <cellStyle name="จุลภาค 6 2" xfId="241" xr:uid="{4014A287-C73E-4D85-8882-1B3F738FDA8C}"/>
    <cellStyle name="จุลภาค 7" xfId="192" xr:uid="{1403AE7A-CB43-44BA-96B0-C4CE1464A133}"/>
    <cellStyle name="เซลล์ที่มีลิงก์ 2" xfId="80" xr:uid="{00000000-0005-0000-0000-0000A9000000}"/>
    <cellStyle name="ดี 2" xfId="81" xr:uid="{00000000-0005-0000-0000-0000AA000000}"/>
    <cellStyle name="ปกติ" xfId="0" builtinId="0"/>
    <cellStyle name="ปกติ 2" xfId="12" xr:uid="{00000000-0005-0000-0000-0000AC000000}"/>
    <cellStyle name="ปกติ 2 2" xfId="10" xr:uid="{00000000-0005-0000-0000-0000AD000000}"/>
    <cellStyle name="ปกติ 2 2 2" xfId="82" xr:uid="{00000000-0005-0000-0000-0000AE000000}"/>
    <cellStyle name="ปกติ 2 3" xfId="8" xr:uid="{00000000-0005-0000-0000-0000AF000000}"/>
    <cellStyle name="ปกติ 3" xfId="9" xr:uid="{00000000-0005-0000-0000-0000B0000000}"/>
    <cellStyle name="ปกติ 3 2" xfId="83" xr:uid="{00000000-0005-0000-0000-0000B1000000}"/>
    <cellStyle name="ปกติ 3 3" xfId="151" xr:uid="{00000000-0005-0000-0000-0000B2000000}"/>
    <cellStyle name="ปกติ 4" xfId="16" xr:uid="{00000000-0005-0000-0000-0000B3000000}"/>
    <cellStyle name="ปกติ 4 2" xfId="84" xr:uid="{00000000-0005-0000-0000-0000B4000000}"/>
    <cellStyle name="ปกติ 4 3" xfId="85" xr:uid="{00000000-0005-0000-0000-0000B5000000}"/>
    <cellStyle name="ปกติ 5" xfId="17" xr:uid="{00000000-0005-0000-0000-0000B6000000}"/>
    <cellStyle name="ปกติ 5 2" xfId="95" xr:uid="{00000000-0005-0000-0000-0000B7000000}"/>
    <cellStyle name="ปกติ 6" xfId="5" xr:uid="{00000000-0005-0000-0000-0000B8000000}"/>
    <cellStyle name="ปกติ 7" xfId="86" xr:uid="{00000000-0005-0000-0000-0000B9000000}"/>
    <cellStyle name="ปกติ 8" xfId="87" xr:uid="{00000000-0005-0000-0000-0000BA000000}"/>
    <cellStyle name="ปกติ 9" xfId="88" xr:uid="{00000000-0005-0000-0000-0000BB000000}"/>
    <cellStyle name="ปกติ_Form แบบที่ 4 " xfId="14" xr:uid="{00000000-0005-0000-0000-0000BC000000}"/>
    <cellStyle name="ปกติ_รายละเอียดคชจ.สาธารณูปโภค" xfId="189" xr:uid="{00000000-0005-0000-0000-0000BD000000}"/>
    <cellStyle name="ปกติ_รายละเอียดงบรายจ่าย-รายการ" xfId="190" xr:uid="{557F6291-844D-45DA-B685-5308A36F1593}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342727</xdr:colOff>
      <xdr:row>30</xdr:row>
      <xdr:rowOff>0</xdr:rowOff>
    </xdr:from>
    <xdr:ext cx="65" cy="172227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13DEDAA-A317-4E15-8530-6EB3ABE9DB82}"/>
            </a:ext>
          </a:extLst>
        </xdr:cNvPr>
        <xdr:cNvSpPr txBox="1"/>
      </xdr:nvSpPr>
      <xdr:spPr>
        <a:xfrm>
          <a:off x="4286077" y="103917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342727</xdr:colOff>
      <xdr:row>33</xdr:row>
      <xdr:rowOff>0</xdr:rowOff>
    </xdr:from>
    <xdr:ext cx="65" cy="172227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114752" y="10868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  <xdr:oneCellAnchor>
    <xdr:from>
      <xdr:col>5</xdr:col>
      <xdr:colOff>342727</xdr:colOff>
      <xdr:row>32</xdr:row>
      <xdr:rowOff>0</xdr:rowOff>
    </xdr:from>
    <xdr:ext cx="65" cy="172227"/>
    <xdr:sp macro="" textlink="">
      <xdr:nvSpPr>
        <xdr:cNvPr id="3" name="กล่องข้อความ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114752" y="11591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48;&#3609;&#3637;&#3658;&#3618;&#3610;%20(&#3627;&#3657;&#3634;&#3617;&#3621;&#3610;)/4.%20&#3648;&#3591;&#3636;&#3609;&#3610;&#3635;&#3619;&#3640;&#3591;/&#3611;&#3637;%2068/&#3611;&#3619;&#3633;&#3610;&#3649;&#3612;&#3609;/&#3619;&#3634;&#3618;&#3591;&#3634;&#3609;&#3619;&#3633;&#3610;-&#3592;&#3656;&#3634;&#3618;%20%203%20&#3611;&#363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dtanak/AppData/Roaming/Microsoft/Excel/1.&#3621;&#3656;&#3634;&#3626;&#3640;&#3604;%20-&#3649;&#3612;&#3609;&#3619;&#3634;&#3618;&#3619;&#3633;&#3610;-&#3619;&#3634;&#3618;&#3592;&#3656;&#3634;&#3618;&#3611;&#3637;&#3591;&#3610;%2067-&#3611;&#3619;&#3633;&#3610;%202.6+10%20&#3621;&#3657;&#3634;&#3609;&#3610;&#3634;&#3607;%2020.11.6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dtanak/AppData/Roaming/Microsoft/Excel/&#3627;&#3617;&#3623;&#3604;&#3623;&#3633;&#3626;&#3604;&#3640;%20-%20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รับตค.67"/>
      <sheetName val="รายจ่ายตค.67"/>
      <sheetName val="รายรับ พย.67"/>
      <sheetName val="รายจ่าย พย.67"/>
      <sheetName val="รายรับ ธค.67"/>
      <sheetName val="รายจ่าย ธค.67"/>
      <sheetName val="รายรับ มค.68"/>
      <sheetName val="รายจ่าย มค.68"/>
      <sheetName val="รายรับ กพ.68"/>
      <sheetName val="รายจ่าย กพ.68"/>
      <sheetName val="รายรับ มีค.68"/>
      <sheetName val="รายจ่าย มีค.6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E4">
            <v>158496328.92000002</v>
          </cell>
        </row>
        <row r="5">
          <cell r="E5">
            <v>203888566.25</v>
          </cell>
        </row>
        <row r="6">
          <cell r="E6">
            <v>269828788.21999997</v>
          </cell>
        </row>
        <row r="7">
          <cell r="E7">
            <v>123120974.06</v>
          </cell>
        </row>
        <row r="8">
          <cell r="E8">
            <v>128025897.59000002</v>
          </cell>
        </row>
        <row r="9">
          <cell r="E9">
            <v>68939728.170000002</v>
          </cell>
        </row>
        <row r="10">
          <cell r="E10">
            <v>51491628.219999999</v>
          </cell>
        </row>
        <row r="11">
          <cell r="E11">
            <v>53809230.849999994</v>
          </cell>
        </row>
        <row r="12">
          <cell r="E12">
            <v>16826246.460000001</v>
          </cell>
        </row>
        <row r="13">
          <cell r="E13">
            <v>0</v>
          </cell>
        </row>
        <row r="14">
          <cell r="E14">
            <v>18239955.349999998</v>
          </cell>
        </row>
        <row r="15">
          <cell r="E15">
            <v>55379689.560000002</v>
          </cell>
        </row>
        <row r="16">
          <cell r="E16">
            <v>1803570</v>
          </cell>
        </row>
        <row r="17">
          <cell r="E17">
            <v>1322097.26</v>
          </cell>
        </row>
        <row r="18">
          <cell r="E18">
            <v>0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บบที่ 3-พรส 67"/>
      <sheetName val="แบบที่ 3-พรส 67 (ใหม่2)"/>
      <sheetName val="แบบที่ 3-พรส 67 (ใหม่)"/>
      <sheetName val="ประมาณการรายรับปีงบ 67 "/>
      <sheetName val="ประมาณการรายจ่ายปีงบ 67"/>
      <sheetName val="รายละเอียดรายจ่าย  "/>
      <sheetName val="รายละเอียดรายจ่าย (ปรับ)"/>
      <sheetName val="ครุภัณฑ์ 67 (1 แสนขึ้น)"/>
      <sheetName val="เงินบำรุง 67"/>
      <sheetName val="เงินบำรุง 67 (สรุป)"/>
      <sheetName val="งบอื่นๆ"/>
      <sheetName val="ครุภัณฑ์ 67 ต่ำกว่า 1 แสน)"/>
      <sheetName val=" ก่อสร้าง 67"/>
      <sheetName val="รายละเอียดรายจ่าย (วัสดุ)"/>
      <sheetName val="OK-รายการงบลงทุนก่อสร้าง"/>
      <sheetName val="OK-ครุภัณฑ์ 1 แสน (3)"/>
      <sheetName val="OK-ครุภัณฑ์ 1 แสน 30.10.66"/>
      <sheetName val="OK-ครุภัณฑ์ 1 แสน (สรุป)"/>
      <sheetName val="OK ต่ำกว่าแสน (30.10.66)"/>
      <sheetName val="OK ต่ำกว่าแสน"/>
      <sheetName val="OKรายการเงินบริจาค"/>
      <sheetName val="รายการเพิ่มเติม (งบวันสดุ)"/>
      <sheetName val="รายการเพิ่มเติม"/>
      <sheetName val="รายการเพิ่มเติม (แยกงบ)"/>
      <sheetName val="IT"/>
      <sheetName val="หมวดวัสดุ ยอดสั่งซื้อ"/>
      <sheetName val="รายการค่าซ่อมแซมอาคาร"/>
      <sheetName val="รายการบำรุงรักษารอพิจารณา"/>
      <sheetName val="สรุป"/>
      <sheetName val="รายละเอียดรายจ่าย  66 กย พัสดุ"/>
      <sheetName val="Sheet1"/>
      <sheetName val="รายงานขอรับเงินบริจาค"/>
      <sheetName val="OK-ครุภัณฑ์ 1 แสน (2)"/>
      <sheetName val="ติดตาม9.5.67"/>
      <sheetName val="ติดตาม21.5.67"/>
      <sheetName val="ครุภัณฑ์ ยกมาปี 66"/>
      <sheetName val="ครุภัณฑ์ แผน 67"/>
      <sheetName val="ครุภัณฑ์ นอกแผน"/>
      <sheetName val="ครุภัณฑ์ ยกมาปี 66 (ต่ำกว่า 1 )"/>
      <sheetName val="ครุภัณฑ์ต่ำกว่า 1 แสน นอกแผน"/>
      <sheetName val="ครุภัณฑ์ต่ำกว่า 1 แสน แผนใหม่"/>
      <sheetName val="สิ่งก่อสร้าง"/>
    </sheetNames>
    <sheetDataSet>
      <sheetData sheetId="0"/>
      <sheetData sheetId="1"/>
      <sheetData sheetId="2"/>
      <sheetData sheetId="3">
        <row r="20">
          <cell r="M20">
            <v>1969000000</v>
          </cell>
        </row>
      </sheetData>
      <sheetData sheetId="4">
        <row r="15">
          <cell r="J15">
            <v>10000000</v>
          </cell>
        </row>
      </sheetData>
      <sheetData sheetId="5">
        <row r="5">
          <cell r="H5">
            <v>188204023.53</v>
          </cell>
          <cell r="K5">
            <v>188464884.25</v>
          </cell>
        </row>
        <row r="6">
          <cell r="H6">
            <v>358064945.39999998</v>
          </cell>
          <cell r="K6">
            <v>378597766.77000004</v>
          </cell>
        </row>
        <row r="17">
          <cell r="H17">
            <v>193716698.40000001</v>
          </cell>
          <cell r="K17">
            <v>170224752.50999999</v>
          </cell>
        </row>
        <row r="63">
          <cell r="H63">
            <v>57251974.939999998</v>
          </cell>
          <cell r="K63">
            <v>64033302.310000002</v>
          </cell>
        </row>
        <row r="68">
          <cell r="H68">
            <v>10427900</v>
          </cell>
          <cell r="K68">
            <v>10495200</v>
          </cell>
        </row>
        <row r="73">
          <cell r="H73">
            <v>912235784.20999992</v>
          </cell>
          <cell r="K73">
            <v>904032336.96999991</v>
          </cell>
        </row>
        <row r="116">
          <cell r="H116">
            <v>50941596.510000005</v>
          </cell>
          <cell r="K116">
            <v>62031461.739999995</v>
          </cell>
        </row>
        <row r="131">
          <cell r="H131">
            <v>18135519.539999999</v>
          </cell>
          <cell r="K131">
            <v>12299449.889999999</v>
          </cell>
        </row>
        <row r="149">
          <cell r="H149">
            <v>19125843.02</v>
          </cell>
          <cell r="K149">
            <v>4357500</v>
          </cell>
        </row>
      </sheetData>
      <sheetData sheetId="6">
        <row r="155">
          <cell r="J155">
            <v>2009880953.28</v>
          </cell>
        </row>
      </sheetData>
      <sheetData sheetId="7">
        <row r="4">
          <cell r="E4">
            <v>37555247.200000003</v>
          </cell>
        </row>
      </sheetData>
      <sheetData sheetId="8">
        <row r="52">
          <cell r="I52">
            <v>56220480</v>
          </cell>
        </row>
      </sheetData>
      <sheetData sheetId="9"/>
      <sheetData sheetId="10"/>
      <sheetData sheetId="11">
        <row r="5">
          <cell r="E5">
            <v>1513249</v>
          </cell>
        </row>
      </sheetData>
      <sheetData sheetId="12">
        <row r="37">
          <cell r="D37">
            <v>112480442.59999999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25">
          <cell r="O25">
            <v>37412282.200000003</v>
          </cell>
        </row>
      </sheetData>
      <sheetData sheetId="36">
        <row r="48">
          <cell r="O48">
            <v>46578931</v>
          </cell>
        </row>
      </sheetData>
      <sheetData sheetId="37">
        <row r="31">
          <cell r="O31">
            <v>14516369</v>
          </cell>
        </row>
      </sheetData>
      <sheetData sheetId="38">
        <row r="34">
          <cell r="O34">
            <v>1508019</v>
          </cell>
        </row>
      </sheetData>
      <sheetData sheetId="39">
        <row r="103">
          <cell r="O103">
            <v>2592448.7500000005</v>
          </cell>
        </row>
      </sheetData>
      <sheetData sheetId="40">
        <row r="19">
          <cell r="E19">
            <v>241600</v>
          </cell>
        </row>
      </sheetData>
      <sheetData sheetId="41">
        <row r="25">
          <cell r="N25">
            <v>39141595.989999995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บบฟอร์มที่ 1"/>
      <sheetName val="1.เวชภัณฑ์ ยา (2)"/>
      <sheetName val="2.เวชภัณฑ์มิใช่ยา"/>
      <sheetName val="3.วัสดุการแพทย์"/>
      <sheetName val="4.วัสุดวิทยาศาสตร์"/>
      <sheetName val="5.วัสดุทั่วไป"/>
      <sheetName val="6.เชื้อเพลิง"/>
      <sheetName val="7.ช่าง"/>
      <sheetName val="8.โภชนาการ"/>
      <sheetName val="9.เครื่องแต่งกาย"/>
      <sheetName val="10.ค่าของใช้ถ่ายรูป"/>
      <sheetName val="รว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E5">
            <v>256326281.72</v>
          </cell>
        </row>
        <row r="19">
          <cell r="L19">
            <v>20000000</v>
          </cell>
        </row>
        <row r="20">
          <cell r="L20">
            <v>10000000</v>
          </cell>
        </row>
        <row r="28">
          <cell r="L28">
            <v>1900000</v>
          </cell>
        </row>
        <row r="29">
          <cell r="L29">
            <v>100000</v>
          </cell>
        </row>
        <row r="30">
          <cell r="L30">
            <v>2000000</v>
          </cell>
        </row>
        <row r="36">
          <cell r="L36">
            <v>4500000</v>
          </cell>
        </row>
        <row r="38">
          <cell r="L38">
            <v>1500000</v>
          </cell>
        </row>
        <row r="39">
          <cell r="L39">
            <v>18000000</v>
          </cell>
        </row>
        <row r="40">
          <cell r="L40">
            <v>7000000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Q1013"/>
  <sheetViews>
    <sheetView showGridLines="0" view="pageBreakPreview" zoomScale="85" zoomScaleNormal="90" zoomScaleSheetLayoutView="85" workbookViewId="0">
      <pane ySplit="6" topLeftCell="A62" activePane="bottomLeft" state="frozen"/>
      <selection pane="bottomLeft" activeCell="L65" sqref="L65"/>
    </sheetView>
  </sheetViews>
  <sheetFormatPr defaultColWidth="12.5703125" defaultRowHeight="21"/>
  <cols>
    <col min="1" max="1" width="1.42578125" style="3" customWidth="1"/>
    <col min="2" max="4" width="1.85546875" style="3" customWidth="1"/>
    <col min="5" max="5" width="53.7109375" style="3" customWidth="1"/>
    <col min="6" max="8" width="17.42578125" style="15" customWidth="1"/>
    <col min="9" max="9" width="15.5703125" style="15" bestFit="1" customWidth="1"/>
    <col min="10" max="10" width="15.5703125" style="15" customWidth="1"/>
    <col min="11" max="11" width="7.7109375" style="15" customWidth="1"/>
    <col min="12" max="12" width="16.7109375" style="15" customWidth="1"/>
    <col min="13" max="13" width="10.42578125" style="15" customWidth="1"/>
    <col min="14" max="14" width="11" style="15" customWidth="1"/>
    <col min="15" max="15" width="29.28515625" style="3" bestFit="1" customWidth="1"/>
    <col min="16" max="16" width="12.85546875" style="3" customWidth="1"/>
    <col min="17" max="17" width="29" style="3" customWidth="1"/>
    <col min="18" max="30" width="7.5703125" style="3" customWidth="1"/>
    <col min="31" max="259" width="12.5703125" style="3"/>
    <col min="260" max="260" width="2" style="3" customWidth="1"/>
    <col min="261" max="263" width="2.42578125" style="3" customWidth="1"/>
    <col min="264" max="264" width="65" style="3" customWidth="1"/>
    <col min="265" max="270" width="13.42578125" style="3" customWidth="1"/>
    <col min="271" max="271" width="20.42578125" style="3" customWidth="1"/>
    <col min="272" max="272" width="7.5703125" style="3" customWidth="1"/>
    <col min="273" max="273" width="14.42578125" style="3" bestFit="1" customWidth="1"/>
    <col min="274" max="286" width="7.5703125" style="3" customWidth="1"/>
    <col min="287" max="515" width="12.5703125" style="3"/>
    <col min="516" max="516" width="2" style="3" customWidth="1"/>
    <col min="517" max="519" width="2.42578125" style="3" customWidth="1"/>
    <col min="520" max="520" width="65" style="3" customWidth="1"/>
    <col min="521" max="526" width="13.42578125" style="3" customWidth="1"/>
    <col min="527" max="527" width="20.42578125" style="3" customWidth="1"/>
    <col min="528" max="528" width="7.5703125" style="3" customWidth="1"/>
    <col min="529" max="529" width="14.42578125" style="3" bestFit="1" customWidth="1"/>
    <col min="530" max="542" width="7.5703125" style="3" customWidth="1"/>
    <col min="543" max="771" width="12.5703125" style="3"/>
    <col min="772" max="772" width="2" style="3" customWidth="1"/>
    <col min="773" max="775" width="2.42578125" style="3" customWidth="1"/>
    <col min="776" max="776" width="65" style="3" customWidth="1"/>
    <col min="777" max="782" width="13.42578125" style="3" customWidth="1"/>
    <col min="783" max="783" width="20.42578125" style="3" customWidth="1"/>
    <col min="784" max="784" width="7.5703125" style="3" customWidth="1"/>
    <col min="785" max="785" width="14.42578125" style="3" bestFit="1" customWidth="1"/>
    <col min="786" max="798" width="7.5703125" style="3" customWidth="1"/>
    <col min="799" max="1027" width="12.5703125" style="3"/>
    <col min="1028" max="1028" width="2" style="3" customWidth="1"/>
    <col min="1029" max="1031" width="2.42578125" style="3" customWidth="1"/>
    <col min="1032" max="1032" width="65" style="3" customWidth="1"/>
    <col min="1033" max="1038" width="13.42578125" style="3" customWidth="1"/>
    <col min="1039" max="1039" width="20.42578125" style="3" customWidth="1"/>
    <col min="1040" max="1040" width="7.5703125" style="3" customWidth="1"/>
    <col min="1041" max="1041" width="14.42578125" style="3" bestFit="1" customWidth="1"/>
    <col min="1042" max="1054" width="7.5703125" style="3" customWidth="1"/>
    <col min="1055" max="1283" width="12.5703125" style="3"/>
    <col min="1284" max="1284" width="2" style="3" customWidth="1"/>
    <col min="1285" max="1287" width="2.42578125" style="3" customWidth="1"/>
    <col min="1288" max="1288" width="65" style="3" customWidth="1"/>
    <col min="1289" max="1294" width="13.42578125" style="3" customWidth="1"/>
    <col min="1295" max="1295" width="20.42578125" style="3" customWidth="1"/>
    <col min="1296" max="1296" width="7.5703125" style="3" customWidth="1"/>
    <col min="1297" max="1297" width="14.42578125" style="3" bestFit="1" customWidth="1"/>
    <col min="1298" max="1310" width="7.5703125" style="3" customWidth="1"/>
    <col min="1311" max="1539" width="12.5703125" style="3"/>
    <col min="1540" max="1540" width="2" style="3" customWidth="1"/>
    <col min="1541" max="1543" width="2.42578125" style="3" customWidth="1"/>
    <col min="1544" max="1544" width="65" style="3" customWidth="1"/>
    <col min="1545" max="1550" width="13.42578125" style="3" customWidth="1"/>
    <col min="1551" max="1551" width="20.42578125" style="3" customWidth="1"/>
    <col min="1552" max="1552" width="7.5703125" style="3" customWidth="1"/>
    <col min="1553" max="1553" width="14.42578125" style="3" bestFit="1" customWidth="1"/>
    <col min="1554" max="1566" width="7.5703125" style="3" customWidth="1"/>
    <col min="1567" max="1795" width="12.5703125" style="3"/>
    <col min="1796" max="1796" width="2" style="3" customWidth="1"/>
    <col min="1797" max="1799" width="2.42578125" style="3" customWidth="1"/>
    <col min="1800" max="1800" width="65" style="3" customWidth="1"/>
    <col min="1801" max="1806" width="13.42578125" style="3" customWidth="1"/>
    <col min="1807" max="1807" width="20.42578125" style="3" customWidth="1"/>
    <col min="1808" max="1808" width="7.5703125" style="3" customWidth="1"/>
    <col min="1809" max="1809" width="14.42578125" style="3" bestFit="1" customWidth="1"/>
    <col min="1810" max="1822" width="7.5703125" style="3" customWidth="1"/>
    <col min="1823" max="2051" width="12.5703125" style="3"/>
    <col min="2052" max="2052" width="2" style="3" customWidth="1"/>
    <col min="2053" max="2055" width="2.42578125" style="3" customWidth="1"/>
    <col min="2056" max="2056" width="65" style="3" customWidth="1"/>
    <col min="2057" max="2062" width="13.42578125" style="3" customWidth="1"/>
    <col min="2063" max="2063" width="20.42578125" style="3" customWidth="1"/>
    <col min="2064" max="2064" width="7.5703125" style="3" customWidth="1"/>
    <col min="2065" max="2065" width="14.42578125" style="3" bestFit="1" customWidth="1"/>
    <col min="2066" max="2078" width="7.5703125" style="3" customWidth="1"/>
    <col min="2079" max="2307" width="12.5703125" style="3"/>
    <col min="2308" max="2308" width="2" style="3" customWidth="1"/>
    <col min="2309" max="2311" width="2.42578125" style="3" customWidth="1"/>
    <col min="2312" max="2312" width="65" style="3" customWidth="1"/>
    <col min="2313" max="2318" width="13.42578125" style="3" customWidth="1"/>
    <col min="2319" max="2319" width="20.42578125" style="3" customWidth="1"/>
    <col min="2320" max="2320" width="7.5703125" style="3" customWidth="1"/>
    <col min="2321" max="2321" width="14.42578125" style="3" bestFit="1" customWidth="1"/>
    <col min="2322" max="2334" width="7.5703125" style="3" customWidth="1"/>
    <col min="2335" max="2563" width="12.5703125" style="3"/>
    <col min="2564" max="2564" width="2" style="3" customWidth="1"/>
    <col min="2565" max="2567" width="2.42578125" style="3" customWidth="1"/>
    <col min="2568" max="2568" width="65" style="3" customWidth="1"/>
    <col min="2569" max="2574" width="13.42578125" style="3" customWidth="1"/>
    <col min="2575" max="2575" width="20.42578125" style="3" customWidth="1"/>
    <col min="2576" max="2576" width="7.5703125" style="3" customWidth="1"/>
    <col min="2577" max="2577" width="14.42578125" style="3" bestFit="1" customWidth="1"/>
    <col min="2578" max="2590" width="7.5703125" style="3" customWidth="1"/>
    <col min="2591" max="2819" width="12.5703125" style="3"/>
    <col min="2820" max="2820" width="2" style="3" customWidth="1"/>
    <col min="2821" max="2823" width="2.42578125" style="3" customWidth="1"/>
    <col min="2824" max="2824" width="65" style="3" customWidth="1"/>
    <col min="2825" max="2830" width="13.42578125" style="3" customWidth="1"/>
    <col min="2831" max="2831" width="20.42578125" style="3" customWidth="1"/>
    <col min="2832" max="2832" width="7.5703125" style="3" customWidth="1"/>
    <col min="2833" max="2833" width="14.42578125" style="3" bestFit="1" customWidth="1"/>
    <col min="2834" max="2846" width="7.5703125" style="3" customWidth="1"/>
    <col min="2847" max="3075" width="12.5703125" style="3"/>
    <col min="3076" max="3076" width="2" style="3" customWidth="1"/>
    <col min="3077" max="3079" width="2.42578125" style="3" customWidth="1"/>
    <col min="3080" max="3080" width="65" style="3" customWidth="1"/>
    <col min="3081" max="3086" width="13.42578125" style="3" customWidth="1"/>
    <col min="3087" max="3087" width="20.42578125" style="3" customWidth="1"/>
    <col min="3088" max="3088" width="7.5703125" style="3" customWidth="1"/>
    <col min="3089" max="3089" width="14.42578125" style="3" bestFit="1" customWidth="1"/>
    <col min="3090" max="3102" width="7.5703125" style="3" customWidth="1"/>
    <col min="3103" max="3331" width="12.5703125" style="3"/>
    <col min="3332" max="3332" width="2" style="3" customWidth="1"/>
    <col min="3333" max="3335" width="2.42578125" style="3" customWidth="1"/>
    <col min="3336" max="3336" width="65" style="3" customWidth="1"/>
    <col min="3337" max="3342" width="13.42578125" style="3" customWidth="1"/>
    <col min="3343" max="3343" width="20.42578125" style="3" customWidth="1"/>
    <col min="3344" max="3344" width="7.5703125" style="3" customWidth="1"/>
    <col min="3345" max="3345" width="14.42578125" style="3" bestFit="1" customWidth="1"/>
    <col min="3346" max="3358" width="7.5703125" style="3" customWidth="1"/>
    <col min="3359" max="3587" width="12.5703125" style="3"/>
    <col min="3588" max="3588" width="2" style="3" customWidth="1"/>
    <col min="3589" max="3591" width="2.42578125" style="3" customWidth="1"/>
    <col min="3592" max="3592" width="65" style="3" customWidth="1"/>
    <col min="3593" max="3598" width="13.42578125" style="3" customWidth="1"/>
    <col min="3599" max="3599" width="20.42578125" style="3" customWidth="1"/>
    <col min="3600" max="3600" width="7.5703125" style="3" customWidth="1"/>
    <col min="3601" max="3601" width="14.42578125" style="3" bestFit="1" customWidth="1"/>
    <col min="3602" max="3614" width="7.5703125" style="3" customWidth="1"/>
    <col min="3615" max="3843" width="12.5703125" style="3"/>
    <col min="3844" max="3844" width="2" style="3" customWidth="1"/>
    <col min="3845" max="3847" width="2.42578125" style="3" customWidth="1"/>
    <col min="3848" max="3848" width="65" style="3" customWidth="1"/>
    <col min="3849" max="3854" width="13.42578125" style="3" customWidth="1"/>
    <col min="3855" max="3855" width="20.42578125" style="3" customWidth="1"/>
    <col min="3856" max="3856" width="7.5703125" style="3" customWidth="1"/>
    <col min="3857" max="3857" width="14.42578125" style="3" bestFit="1" customWidth="1"/>
    <col min="3858" max="3870" width="7.5703125" style="3" customWidth="1"/>
    <col min="3871" max="4099" width="12.5703125" style="3"/>
    <col min="4100" max="4100" width="2" style="3" customWidth="1"/>
    <col min="4101" max="4103" width="2.42578125" style="3" customWidth="1"/>
    <col min="4104" max="4104" width="65" style="3" customWidth="1"/>
    <col min="4105" max="4110" width="13.42578125" style="3" customWidth="1"/>
    <col min="4111" max="4111" width="20.42578125" style="3" customWidth="1"/>
    <col min="4112" max="4112" width="7.5703125" style="3" customWidth="1"/>
    <col min="4113" max="4113" width="14.42578125" style="3" bestFit="1" customWidth="1"/>
    <col min="4114" max="4126" width="7.5703125" style="3" customWidth="1"/>
    <col min="4127" max="4355" width="12.5703125" style="3"/>
    <col min="4356" max="4356" width="2" style="3" customWidth="1"/>
    <col min="4357" max="4359" width="2.42578125" style="3" customWidth="1"/>
    <col min="4360" max="4360" width="65" style="3" customWidth="1"/>
    <col min="4361" max="4366" width="13.42578125" style="3" customWidth="1"/>
    <col min="4367" max="4367" width="20.42578125" style="3" customWidth="1"/>
    <col min="4368" max="4368" width="7.5703125" style="3" customWidth="1"/>
    <col min="4369" max="4369" width="14.42578125" style="3" bestFit="1" customWidth="1"/>
    <col min="4370" max="4382" width="7.5703125" style="3" customWidth="1"/>
    <col min="4383" max="4611" width="12.5703125" style="3"/>
    <col min="4612" max="4612" width="2" style="3" customWidth="1"/>
    <col min="4613" max="4615" width="2.42578125" style="3" customWidth="1"/>
    <col min="4616" max="4616" width="65" style="3" customWidth="1"/>
    <col min="4617" max="4622" width="13.42578125" style="3" customWidth="1"/>
    <col min="4623" max="4623" width="20.42578125" style="3" customWidth="1"/>
    <col min="4624" max="4624" width="7.5703125" style="3" customWidth="1"/>
    <col min="4625" max="4625" width="14.42578125" style="3" bestFit="1" customWidth="1"/>
    <col min="4626" max="4638" width="7.5703125" style="3" customWidth="1"/>
    <col min="4639" max="4867" width="12.5703125" style="3"/>
    <col min="4868" max="4868" width="2" style="3" customWidth="1"/>
    <col min="4869" max="4871" width="2.42578125" style="3" customWidth="1"/>
    <col min="4872" max="4872" width="65" style="3" customWidth="1"/>
    <col min="4873" max="4878" width="13.42578125" style="3" customWidth="1"/>
    <col min="4879" max="4879" width="20.42578125" style="3" customWidth="1"/>
    <col min="4880" max="4880" width="7.5703125" style="3" customWidth="1"/>
    <col min="4881" max="4881" width="14.42578125" style="3" bestFit="1" customWidth="1"/>
    <col min="4882" max="4894" width="7.5703125" style="3" customWidth="1"/>
    <col min="4895" max="5123" width="12.5703125" style="3"/>
    <col min="5124" max="5124" width="2" style="3" customWidth="1"/>
    <col min="5125" max="5127" width="2.42578125" style="3" customWidth="1"/>
    <col min="5128" max="5128" width="65" style="3" customWidth="1"/>
    <col min="5129" max="5134" width="13.42578125" style="3" customWidth="1"/>
    <col min="5135" max="5135" width="20.42578125" style="3" customWidth="1"/>
    <col min="5136" max="5136" width="7.5703125" style="3" customWidth="1"/>
    <col min="5137" max="5137" width="14.42578125" style="3" bestFit="1" customWidth="1"/>
    <col min="5138" max="5150" width="7.5703125" style="3" customWidth="1"/>
    <col min="5151" max="5379" width="12.5703125" style="3"/>
    <col min="5380" max="5380" width="2" style="3" customWidth="1"/>
    <col min="5381" max="5383" width="2.42578125" style="3" customWidth="1"/>
    <col min="5384" max="5384" width="65" style="3" customWidth="1"/>
    <col min="5385" max="5390" width="13.42578125" style="3" customWidth="1"/>
    <col min="5391" max="5391" width="20.42578125" style="3" customWidth="1"/>
    <col min="5392" max="5392" width="7.5703125" style="3" customWidth="1"/>
    <col min="5393" max="5393" width="14.42578125" style="3" bestFit="1" customWidth="1"/>
    <col min="5394" max="5406" width="7.5703125" style="3" customWidth="1"/>
    <col min="5407" max="5635" width="12.5703125" style="3"/>
    <col min="5636" max="5636" width="2" style="3" customWidth="1"/>
    <col min="5637" max="5639" width="2.42578125" style="3" customWidth="1"/>
    <col min="5640" max="5640" width="65" style="3" customWidth="1"/>
    <col min="5641" max="5646" width="13.42578125" style="3" customWidth="1"/>
    <col min="5647" max="5647" width="20.42578125" style="3" customWidth="1"/>
    <col min="5648" max="5648" width="7.5703125" style="3" customWidth="1"/>
    <col min="5649" max="5649" width="14.42578125" style="3" bestFit="1" customWidth="1"/>
    <col min="5650" max="5662" width="7.5703125" style="3" customWidth="1"/>
    <col min="5663" max="5891" width="12.5703125" style="3"/>
    <col min="5892" max="5892" width="2" style="3" customWidth="1"/>
    <col min="5893" max="5895" width="2.42578125" style="3" customWidth="1"/>
    <col min="5896" max="5896" width="65" style="3" customWidth="1"/>
    <col min="5897" max="5902" width="13.42578125" style="3" customWidth="1"/>
    <col min="5903" max="5903" width="20.42578125" style="3" customWidth="1"/>
    <col min="5904" max="5904" width="7.5703125" style="3" customWidth="1"/>
    <col min="5905" max="5905" width="14.42578125" style="3" bestFit="1" customWidth="1"/>
    <col min="5906" max="5918" width="7.5703125" style="3" customWidth="1"/>
    <col min="5919" max="6147" width="12.5703125" style="3"/>
    <col min="6148" max="6148" width="2" style="3" customWidth="1"/>
    <col min="6149" max="6151" width="2.42578125" style="3" customWidth="1"/>
    <col min="6152" max="6152" width="65" style="3" customWidth="1"/>
    <col min="6153" max="6158" width="13.42578125" style="3" customWidth="1"/>
    <col min="6159" max="6159" width="20.42578125" style="3" customWidth="1"/>
    <col min="6160" max="6160" width="7.5703125" style="3" customWidth="1"/>
    <col min="6161" max="6161" width="14.42578125" style="3" bestFit="1" customWidth="1"/>
    <col min="6162" max="6174" width="7.5703125" style="3" customWidth="1"/>
    <col min="6175" max="6403" width="12.5703125" style="3"/>
    <col min="6404" max="6404" width="2" style="3" customWidth="1"/>
    <col min="6405" max="6407" width="2.42578125" style="3" customWidth="1"/>
    <col min="6408" max="6408" width="65" style="3" customWidth="1"/>
    <col min="6409" max="6414" width="13.42578125" style="3" customWidth="1"/>
    <col min="6415" max="6415" width="20.42578125" style="3" customWidth="1"/>
    <col min="6416" max="6416" width="7.5703125" style="3" customWidth="1"/>
    <col min="6417" max="6417" width="14.42578125" style="3" bestFit="1" customWidth="1"/>
    <col min="6418" max="6430" width="7.5703125" style="3" customWidth="1"/>
    <col min="6431" max="6659" width="12.5703125" style="3"/>
    <col min="6660" max="6660" width="2" style="3" customWidth="1"/>
    <col min="6661" max="6663" width="2.42578125" style="3" customWidth="1"/>
    <col min="6664" max="6664" width="65" style="3" customWidth="1"/>
    <col min="6665" max="6670" width="13.42578125" style="3" customWidth="1"/>
    <col min="6671" max="6671" width="20.42578125" style="3" customWidth="1"/>
    <col min="6672" max="6672" width="7.5703125" style="3" customWidth="1"/>
    <col min="6673" max="6673" width="14.42578125" style="3" bestFit="1" customWidth="1"/>
    <col min="6674" max="6686" width="7.5703125" style="3" customWidth="1"/>
    <col min="6687" max="6915" width="12.5703125" style="3"/>
    <col min="6916" max="6916" width="2" style="3" customWidth="1"/>
    <col min="6917" max="6919" width="2.42578125" style="3" customWidth="1"/>
    <col min="6920" max="6920" width="65" style="3" customWidth="1"/>
    <col min="6921" max="6926" width="13.42578125" style="3" customWidth="1"/>
    <col min="6927" max="6927" width="20.42578125" style="3" customWidth="1"/>
    <col min="6928" max="6928" width="7.5703125" style="3" customWidth="1"/>
    <col min="6929" max="6929" width="14.42578125" style="3" bestFit="1" customWidth="1"/>
    <col min="6930" max="6942" width="7.5703125" style="3" customWidth="1"/>
    <col min="6943" max="7171" width="12.5703125" style="3"/>
    <col min="7172" max="7172" width="2" style="3" customWidth="1"/>
    <col min="7173" max="7175" width="2.42578125" style="3" customWidth="1"/>
    <col min="7176" max="7176" width="65" style="3" customWidth="1"/>
    <col min="7177" max="7182" width="13.42578125" style="3" customWidth="1"/>
    <col min="7183" max="7183" width="20.42578125" style="3" customWidth="1"/>
    <col min="7184" max="7184" width="7.5703125" style="3" customWidth="1"/>
    <col min="7185" max="7185" width="14.42578125" style="3" bestFit="1" customWidth="1"/>
    <col min="7186" max="7198" width="7.5703125" style="3" customWidth="1"/>
    <col min="7199" max="7427" width="12.5703125" style="3"/>
    <col min="7428" max="7428" width="2" style="3" customWidth="1"/>
    <col min="7429" max="7431" width="2.42578125" style="3" customWidth="1"/>
    <col min="7432" max="7432" width="65" style="3" customWidth="1"/>
    <col min="7433" max="7438" width="13.42578125" style="3" customWidth="1"/>
    <col min="7439" max="7439" width="20.42578125" style="3" customWidth="1"/>
    <col min="7440" max="7440" width="7.5703125" style="3" customWidth="1"/>
    <col min="7441" max="7441" width="14.42578125" style="3" bestFit="1" customWidth="1"/>
    <col min="7442" max="7454" width="7.5703125" style="3" customWidth="1"/>
    <col min="7455" max="7683" width="12.5703125" style="3"/>
    <col min="7684" max="7684" width="2" style="3" customWidth="1"/>
    <col min="7685" max="7687" width="2.42578125" style="3" customWidth="1"/>
    <col min="7688" max="7688" width="65" style="3" customWidth="1"/>
    <col min="7689" max="7694" width="13.42578125" style="3" customWidth="1"/>
    <col min="7695" max="7695" width="20.42578125" style="3" customWidth="1"/>
    <col min="7696" max="7696" width="7.5703125" style="3" customWidth="1"/>
    <col min="7697" max="7697" width="14.42578125" style="3" bestFit="1" customWidth="1"/>
    <col min="7698" max="7710" width="7.5703125" style="3" customWidth="1"/>
    <col min="7711" max="7939" width="12.5703125" style="3"/>
    <col min="7940" max="7940" width="2" style="3" customWidth="1"/>
    <col min="7941" max="7943" width="2.42578125" style="3" customWidth="1"/>
    <col min="7944" max="7944" width="65" style="3" customWidth="1"/>
    <col min="7945" max="7950" width="13.42578125" style="3" customWidth="1"/>
    <col min="7951" max="7951" width="20.42578125" style="3" customWidth="1"/>
    <col min="7952" max="7952" width="7.5703125" style="3" customWidth="1"/>
    <col min="7953" max="7953" width="14.42578125" style="3" bestFit="1" customWidth="1"/>
    <col min="7954" max="7966" width="7.5703125" style="3" customWidth="1"/>
    <col min="7967" max="8195" width="12.5703125" style="3"/>
    <col min="8196" max="8196" width="2" style="3" customWidth="1"/>
    <col min="8197" max="8199" width="2.42578125" style="3" customWidth="1"/>
    <col min="8200" max="8200" width="65" style="3" customWidth="1"/>
    <col min="8201" max="8206" width="13.42578125" style="3" customWidth="1"/>
    <col min="8207" max="8207" width="20.42578125" style="3" customWidth="1"/>
    <col min="8208" max="8208" width="7.5703125" style="3" customWidth="1"/>
    <col min="8209" max="8209" width="14.42578125" style="3" bestFit="1" customWidth="1"/>
    <col min="8210" max="8222" width="7.5703125" style="3" customWidth="1"/>
    <col min="8223" max="8451" width="12.5703125" style="3"/>
    <col min="8452" max="8452" width="2" style="3" customWidth="1"/>
    <col min="8453" max="8455" width="2.42578125" style="3" customWidth="1"/>
    <col min="8456" max="8456" width="65" style="3" customWidth="1"/>
    <col min="8457" max="8462" width="13.42578125" style="3" customWidth="1"/>
    <col min="8463" max="8463" width="20.42578125" style="3" customWidth="1"/>
    <col min="8464" max="8464" width="7.5703125" style="3" customWidth="1"/>
    <col min="8465" max="8465" width="14.42578125" style="3" bestFit="1" customWidth="1"/>
    <col min="8466" max="8478" width="7.5703125" style="3" customWidth="1"/>
    <col min="8479" max="8707" width="12.5703125" style="3"/>
    <col min="8708" max="8708" width="2" style="3" customWidth="1"/>
    <col min="8709" max="8711" width="2.42578125" style="3" customWidth="1"/>
    <col min="8712" max="8712" width="65" style="3" customWidth="1"/>
    <col min="8713" max="8718" width="13.42578125" style="3" customWidth="1"/>
    <col min="8719" max="8719" width="20.42578125" style="3" customWidth="1"/>
    <col min="8720" max="8720" width="7.5703125" style="3" customWidth="1"/>
    <col min="8721" max="8721" width="14.42578125" style="3" bestFit="1" customWidth="1"/>
    <col min="8722" max="8734" width="7.5703125" style="3" customWidth="1"/>
    <col min="8735" max="8963" width="12.5703125" style="3"/>
    <col min="8964" max="8964" width="2" style="3" customWidth="1"/>
    <col min="8965" max="8967" width="2.42578125" style="3" customWidth="1"/>
    <col min="8968" max="8968" width="65" style="3" customWidth="1"/>
    <col min="8969" max="8974" width="13.42578125" style="3" customWidth="1"/>
    <col min="8975" max="8975" width="20.42578125" style="3" customWidth="1"/>
    <col min="8976" max="8976" width="7.5703125" style="3" customWidth="1"/>
    <col min="8977" max="8977" width="14.42578125" style="3" bestFit="1" customWidth="1"/>
    <col min="8978" max="8990" width="7.5703125" style="3" customWidth="1"/>
    <col min="8991" max="9219" width="12.5703125" style="3"/>
    <col min="9220" max="9220" width="2" style="3" customWidth="1"/>
    <col min="9221" max="9223" width="2.42578125" style="3" customWidth="1"/>
    <col min="9224" max="9224" width="65" style="3" customWidth="1"/>
    <col min="9225" max="9230" width="13.42578125" style="3" customWidth="1"/>
    <col min="9231" max="9231" width="20.42578125" style="3" customWidth="1"/>
    <col min="9232" max="9232" width="7.5703125" style="3" customWidth="1"/>
    <col min="9233" max="9233" width="14.42578125" style="3" bestFit="1" customWidth="1"/>
    <col min="9234" max="9246" width="7.5703125" style="3" customWidth="1"/>
    <col min="9247" max="9475" width="12.5703125" style="3"/>
    <col min="9476" max="9476" width="2" style="3" customWidth="1"/>
    <col min="9477" max="9479" width="2.42578125" style="3" customWidth="1"/>
    <col min="9480" max="9480" width="65" style="3" customWidth="1"/>
    <col min="9481" max="9486" width="13.42578125" style="3" customWidth="1"/>
    <col min="9487" max="9487" width="20.42578125" style="3" customWidth="1"/>
    <col min="9488" max="9488" width="7.5703125" style="3" customWidth="1"/>
    <col min="9489" max="9489" width="14.42578125" style="3" bestFit="1" customWidth="1"/>
    <col min="9490" max="9502" width="7.5703125" style="3" customWidth="1"/>
    <col min="9503" max="9731" width="12.5703125" style="3"/>
    <col min="9732" max="9732" width="2" style="3" customWidth="1"/>
    <col min="9733" max="9735" width="2.42578125" style="3" customWidth="1"/>
    <col min="9736" max="9736" width="65" style="3" customWidth="1"/>
    <col min="9737" max="9742" width="13.42578125" style="3" customWidth="1"/>
    <col min="9743" max="9743" width="20.42578125" style="3" customWidth="1"/>
    <col min="9744" max="9744" width="7.5703125" style="3" customWidth="1"/>
    <col min="9745" max="9745" width="14.42578125" style="3" bestFit="1" customWidth="1"/>
    <col min="9746" max="9758" width="7.5703125" style="3" customWidth="1"/>
    <col min="9759" max="9987" width="12.5703125" style="3"/>
    <col min="9988" max="9988" width="2" style="3" customWidth="1"/>
    <col min="9989" max="9991" width="2.42578125" style="3" customWidth="1"/>
    <col min="9992" max="9992" width="65" style="3" customWidth="1"/>
    <col min="9993" max="9998" width="13.42578125" style="3" customWidth="1"/>
    <col min="9999" max="9999" width="20.42578125" style="3" customWidth="1"/>
    <col min="10000" max="10000" width="7.5703125" style="3" customWidth="1"/>
    <col min="10001" max="10001" width="14.42578125" style="3" bestFit="1" customWidth="1"/>
    <col min="10002" max="10014" width="7.5703125" style="3" customWidth="1"/>
    <col min="10015" max="10243" width="12.5703125" style="3"/>
    <col min="10244" max="10244" width="2" style="3" customWidth="1"/>
    <col min="10245" max="10247" width="2.42578125" style="3" customWidth="1"/>
    <col min="10248" max="10248" width="65" style="3" customWidth="1"/>
    <col min="10249" max="10254" width="13.42578125" style="3" customWidth="1"/>
    <col min="10255" max="10255" width="20.42578125" style="3" customWidth="1"/>
    <col min="10256" max="10256" width="7.5703125" style="3" customWidth="1"/>
    <col min="10257" max="10257" width="14.42578125" style="3" bestFit="1" customWidth="1"/>
    <col min="10258" max="10270" width="7.5703125" style="3" customWidth="1"/>
    <col min="10271" max="10499" width="12.5703125" style="3"/>
    <col min="10500" max="10500" width="2" style="3" customWidth="1"/>
    <col min="10501" max="10503" width="2.42578125" style="3" customWidth="1"/>
    <col min="10504" max="10504" width="65" style="3" customWidth="1"/>
    <col min="10505" max="10510" width="13.42578125" style="3" customWidth="1"/>
    <col min="10511" max="10511" width="20.42578125" style="3" customWidth="1"/>
    <col min="10512" max="10512" width="7.5703125" style="3" customWidth="1"/>
    <col min="10513" max="10513" width="14.42578125" style="3" bestFit="1" customWidth="1"/>
    <col min="10514" max="10526" width="7.5703125" style="3" customWidth="1"/>
    <col min="10527" max="10755" width="12.5703125" style="3"/>
    <col min="10756" max="10756" width="2" style="3" customWidth="1"/>
    <col min="10757" max="10759" width="2.42578125" style="3" customWidth="1"/>
    <col min="10760" max="10760" width="65" style="3" customWidth="1"/>
    <col min="10761" max="10766" width="13.42578125" style="3" customWidth="1"/>
    <col min="10767" max="10767" width="20.42578125" style="3" customWidth="1"/>
    <col min="10768" max="10768" width="7.5703125" style="3" customWidth="1"/>
    <col min="10769" max="10769" width="14.42578125" style="3" bestFit="1" customWidth="1"/>
    <col min="10770" max="10782" width="7.5703125" style="3" customWidth="1"/>
    <col min="10783" max="11011" width="12.5703125" style="3"/>
    <col min="11012" max="11012" width="2" style="3" customWidth="1"/>
    <col min="11013" max="11015" width="2.42578125" style="3" customWidth="1"/>
    <col min="11016" max="11016" width="65" style="3" customWidth="1"/>
    <col min="11017" max="11022" width="13.42578125" style="3" customWidth="1"/>
    <col min="11023" max="11023" width="20.42578125" style="3" customWidth="1"/>
    <col min="11024" max="11024" width="7.5703125" style="3" customWidth="1"/>
    <col min="11025" max="11025" width="14.42578125" style="3" bestFit="1" customWidth="1"/>
    <col min="11026" max="11038" width="7.5703125" style="3" customWidth="1"/>
    <col min="11039" max="11267" width="12.5703125" style="3"/>
    <col min="11268" max="11268" width="2" style="3" customWidth="1"/>
    <col min="11269" max="11271" width="2.42578125" style="3" customWidth="1"/>
    <col min="11272" max="11272" width="65" style="3" customWidth="1"/>
    <col min="11273" max="11278" width="13.42578125" style="3" customWidth="1"/>
    <col min="11279" max="11279" width="20.42578125" style="3" customWidth="1"/>
    <col min="11280" max="11280" width="7.5703125" style="3" customWidth="1"/>
    <col min="11281" max="11281" width="14.42578125" style="3" bestFit="1" customWidth="1"/>
    <col min="11282" max="11294" width="7.5703125" style="3" customWidth="1"/>
    <col min="11295" max="11523" width="12.5703125" style="3"/>
    <col min="11524" max="11524" width="2" style="3" customWidth="1"/>
    <col min="11525" max="11527" width="2.42578125" style="3" customWidth="1"/>
    <col min="11528" max="11528" width="65" style="3" customWidth="1"/>
    <col min="11529" max="11534" width="13.42578125" style="3" customWidth="1"/>
    <col min="11535" max="11535" width="20.42578125" style="3" customWidth="1"/>
    <col min="11536" max="11536" width="7.5703125" style="3" customWidth="1"/>
    <col min="11537" max="11537" width="14.42578125" style="3" bestFit="1" customWidth="1"/>
    <col min="11538" max="11550" width="7.5703125" style="3" customWidth="1"/>
    <col min="11551" max="11779" width="12.5703125" style="3"/>
    <col min="11780" max="11780" width="2" style="3" customWidth="1"/>
    <col min="11781" max="11783" width="2.42578125" style="3" customWidth="1"/>
    <col min="11784" max="11784" width="65" style="3" customWidth="1"/>
    <col min="11785" max="11790" width="13.42578125" style="3" customWidth="1"/>
    <col min="11791" max="11791" width="20.42578125" style="3" customWidth="1"/>
    <col min="11792" max="11792" width="7.5703125" style="3" customWidth="1"/>
    <col min="11793" max="11793" width="14.42578125" style="3" bestFit="1" customWidth="1"/>
    <col min="11794" max="11806" width="7.5703125" style="3" customWidth="1"/>
    <col min="11807" max="12035" width="12.5703125" style="3"/>
    <col min="12036" max="12036" width="2" style="3" customWidth="1"/>
    <col min="12037" max="12039" width="2.42578125" style="3" customWidth="1"/>
    <col min="12040" max="12040" width="65" style="3" customWidth="1"/>
    <col min="12041" max="12046" width="13.42578125" style="3" customWidth="1"/>
    <col min="12047" max="12047" width="20.42578125" style="3" customWidth="1"/>
    <col min="12048" max="12048" width="7.5703125" style="3" customWidth="1"/>
    <col min="12049" max="12049" width="14.42578125" style="3" bestFit="1" customWidth="1"/>
    <col min="12050" max="12062" width="7.5703125" style="3" customWidth="1"/>
    <col min="12063" max="12291" width="12.5703125" style="3"/>
    <col min="12292" max="12292" width="2" style="3" customWidth="1"/>
    <col min="12293" max="12295" width="2.42578125" style="3" customWidth="1"/>
    <col min="12296" max="12296" width="65" style="3" customWidth="1"/>
    <col min="12297" max="12302" width="13.42578125" style="3" customWidth="1"/>
    <col min="12303" max="12303" width="20.42578125" style="3" customWidth="1"/>
    <col min="12304" max="12304" width="7.5703125" style="3" customWidth="1"/>
    <col min="12305" max="12305" width="14.42578125" style="3" bestFit="1" customWidth="1"/>
    <col min="12306" max="12318" width="7.5703125" style="3" customWidth="1"/>
    <col min="12319" max="12547" width="12.5703125" style="3"/>
    <col min="12548" max="12548" width="2" style="3" customWidth="1"/>
    <col min="12549" max="12551" width="2.42578125" style="3" customWidth="1"/>
    <col min="12552" max="12552" width="65" style="3" customWidth="1"/>
    <col min="12553" max="12558" width="13.42578125" style="3" customWidth="1"/>
    <col min="12559" max="12559" width="20.42578125" style="3" customWidth="1"/>
    <col min="12560" max="12560" width="7.5703125" style="3" customWidth="1"/>
    <col min="12561" max="12561" width="14.42578125" style="3" bestFit="1" customWidth="1"/>
    <col min="12562" max="12574" width="7.5703125" style="3" customWidth="1"/>
    <col min="12575" max="12803" width="12.5703125" style="3"/>
    <col min="12804" max="12804" width="2" style="3" customWidth="1"/>
    <col min="12805" max="12807" width="2.42578125" style="3" customWidth="1"/>
    <col min="12808" max="12808" width="65" style="3" customWidth="1"/>
    <col min="12809" max="12814" width="13.42578125" style="3" customWidth="1"/>
    <col min="12815" max="12815" width="20.42578125" style="3" customWidth="1"/>
    <col min="12816" max="12816" width="7.5703125" style="3" customWidth="1"/>
    <col min="12817" max="12817" width="14.42578125" style="3" bestFit="1" customWidth="1"/>
    <col min="12818" max="12830" width="7.5703125" style="3" customWidth="1"/>
    <col min="12831" max="13059" width="12.5703125" style="3"/>
    <col min="13060" max="13060" width="2" style="3" customWidth="1"/>
    <col min="13061" max="13063" width="2.42578125" style="3" customWidth="1"/>
    <col min="13064" max="13064" width="65" style="3" customWidth="1"/>
    <col min="13065" max="13070" width="13.42578125" style="3" customWidth="1"/>
    <col min="13071" max="13071" width="20.42578125" style="3" customWidth="1"/>
    <col min="13072" max="13072" width="7.5703125" style="3" customWidth="1"/>
    <col min="13073" max="13073" width="14.42578125" style="3" bestFit="1" customWidth="1"/>
    <col min="13074" max="13086" width="7.5703125" style="3" customWidth="1"/>
    <col min="13087" max="13315" width="12.5703125" style="3"/>
    <col min="13316" max="13316" width="2" style="3" customWidth="1"/>
    <col min="13317" max="13319" width="2.42578125" style="3" customWidth="1"/>
    <col min="13320" max="13320" width="65" style="3" customWidth="1"/>
    <col min="13321" max="13326" width="13.42578125" style="3" customWidth="1"/>
    <col min="13327" max="13327" width="20.42578125" style="3" customWidth="1"/>
    <col min="13328" max="13328" width="7.5703125" style="3" customWidth="1"/>
    <col min="13329" max="13329" width="14.42578125" style="3" bestFit="1" customWidth="1"/>
    <col min="13330" max="13342" width="7.5703125" style="3" customWidth="1"/>
    <col min="13343" max="13571" width="12.5703125" style="3"/>
    <col min="13572" max="13572" width="2" style="3" customWidth="1"/>
    <col min="13573" max="13575" width="2.42578125" style="3" customWidth="1"/>
    <col min="13576" max="13576" width="65" style="3" customWidth="1"/>
    <col min="13577" max="13582" width="13.42578125" style="3" customWidth="1"/>
    <col min="13583" max="13583" width="20.42578125" style="3" customWidth="1"/>
    <col min="13584" max="13584" width="7.5703125" style="3" customWidth="1"/>
    <col min="13585" max="13585" width="14.42578125" style="3" bestFit="1" customWidth="1"/>
    <col min="13586" max="13598" width="7.5703125" style="3" customWidth="1"/>
    <col min="13599" max="13827" width="12.5703125" style="3"/>
    <col min="13828" max="13828" width="2" style="3" customWidth="1"/>
    <col min="13829" max="13831" width="2.42578125" style="3" customWidth="1"/>
    <col min="13832" max="13832" width="65" style="3" customWidth="1"/>
    <col min="13833" max="13838" width="13.42578125" style="3" customWidth="1"/>
    <col min="13839" max="13839" width="20.42578125" style="3" customWidth="1"/>
    <col min="13840" max="13840" width="7.5703125" style="3" customWidth="1"/>
    <col min="13841" max="13841" width="14.42578125" style="3" bestFit="1" customWidth="1"/>
    <col min="13842" max="13854" width="7.5703125" style="3" customWidth="1"/>
    <col min="13855" max="14083" width="12.5703125" style="3"/>
    <col min="14084" max="14084" width="2" style="3" customWidth="1"/>
    <col min="14085" max="14087" width="2.42578125" style="3" customWidth="1"/>
    <col min="14088" max="14088" width="65" style="3" customWidth="1"/>
    <col min="14089" max="14094" width="13.42578125" style="3" customWidth="1"/>
    <col min="14095" max="14095" width="20.42578125" style="3" customWidth="1"/>
    <col min="14096" max="14096" width="7.5703125" style="3" customWidth="1"/>
    <col min="14097" max="14097" width="14.42578125" style="3" bestFit="1" customWidth="1"/>
    <col min="14098" max="14110" width="7.5703125" style="3" customWidth="1"/>
    <col min="14111" max="14339" width="12.5703125" style="3"/>
    <col min="14340" max="14340" width="2" style="3" customWidth="1"/>
    <col min="14341" max="14343" width="2.42578125" style="3" customWidth="1"/>
    <col min="14344" max="14344" width="65" style="3" customWidth="1"/>
    <col min="14345" max="14350" width="13.42578125" style="3" customWidth="1"/>
    <col min="14351" max="14351" width="20.42578125" style="3" customWidth="1"/>
    <col min="14352" max="14352" width="7.5703125" style="3" customWidth="1"/>
    <col min="14353" max="14353" width="14.42578125" style="3" bestFit="1" customWidth="1"/>
    <col min="14354" max="14366" width="7.5703125" style="3" customWidth="1"/>
    <col min="14367" max="14595" width="12.5703125" style="3"/>
    <col min="14596" max="14596" width="2" style="3" customWidth="1"/>
    <col min="14597" max="14599" width="2.42578125" style="3" customWidth="1"/>
    <col min="14600" max="14600" width="65" style="3" customWidth="1"/>
    <col min="14601" max="14606" width="13.42578125" style="3" customWidth="1"/>
    <col min="14607" max="14607" width="20.42578125" style="3" customWidth="1"/>
    <col min="14608" max="14608" width="7.5703125" style="3" customWidth="1"/>
    <col min="14609" max="14609" width="14.42578125" style="3" bestFit="1" customWidth="1"/>
    <col min="14610" max="14622" width="7.5703125" style="3" customWidth="1"/>
    <col min="14623" max="14851" width="12.5703125" style="3"/>
    <col min="14852" max="14852" width="2" style="3" customWidth="1"/>
    <col min="14853" max="14855" width="2.42578125" style="3" customWidth="1"/>
    <col min="14856" max="14856" width="65" style="3" customWidth="1"/>
    <col min="14857" max="14862" width="13.42578125" style="3" customWidth="1"/>
    <col min="14863" max="14863" width="20.42578125" style="3" customWidth="1"/>
    <col min="14864" max="14864" width="7.5703125" style="3" customWidth="1"/>
    <col min="14865" max="14865" width="14.42578125" style="3" bestFit="1" customWidth="1"/>
    <col min="14866" max="14878" width="7.5703125" style="3" customWidth="1"/>
    <col min="14879" max="15107" width="12.5703125" style="3"/>
    <col min="15108" max="15108" width="2" style="3" customWidth="1"/>
    <col min="15109" max="15111" width="2.42578125" style="3" customWidth="1"/>
    <col min="15112" max="15112" width="65" style="3" customWidth="1"/>
    <col min="15113" max="15118" width="13.42578125" style="3" customWidth="1"/>
    <col min="15119" max="15119" width="20.42578125" style="3" customWidth="1"/>
    <col min="15120" max="15120" width="7.5703125" style="3" customWidth="1"/>
    <col min="15121" max="15121" width="14.42578125" style="3" bestFit="1" customWidth="1"/>
    <col min="15122" max="15134" width="7.5703125" style="3" customWidth="1"/>
    <col min="15135" max="15363" width="12.5703125" style="3"/>
    <col min="15364" max="15364" width="2" style="3" customWidth="1"/>
    <col min="15365" max="15367" width="2.42578125" style="3" customWidth="1"/>
    <col min="15368" max="15368" width="65" style="3" customWidth="1"/>
    <col min="15369" max="15374" width="13.42578125" style="3" customWidth="1"/>
    <col min="15375" max="15375" width="20.42578125" style="3" customWidth="1"/>
    <col min="15376" max="15376" width="7.5703125" style="3" customWidth="1"/>
    <col min="15377" max="15377" width="14.42578125" style="3" bestFit="1" customWidth="1"/>
    <col min="15378" max="15390" width="7.5703125" style="3" customWidth="1"/>
    <col min="15391" max="15619" width="12.5703125" style="3"/>
    <col min="15620" max="15620" width="2" style="3" customWidth="1"/>
    <col min="15621" max="15623" width="2.42578125" style="3" customWidth="1"/>
    <col min="15624" max="15624" width="65" style="3" customWidth="1"/>
    <col min="15625" max="15630" width="13.42578125" style="3" customWidth="1"/>
    <col min="15631" max="15631" width="20.42578125" style="3" customWidth="1"/>
    <col min="15632" max="15632" width="7.5703125" style="3" customWidth="1"/>
    <col min="15633" max="15633" width="14.42578125" style="3" bestFit="1" customWidth="1"/>
    <col min="15634" max="15646" width="7.5703125" style="3" customWidth="1"/>
    <col min="15647" max="15875" width="12.5703125" style="3"/>
    <col min="15876" max="15876" width="2" style="3" customWidth="1"/>
    <col min="15877" max="15879" width="2.42578125" style="3" customWidth="1"/>
    <col min="15880" max="15880" width="65" style="3" customWidth="1"/>
    <col min="15881" max="15886" width="13.42578125" style="3" customWidth="1"/>
    <col min="15887" max="15887" width="20.42578125" style="3" customWidth="1"/>
    <col min="15888" max="15888" width="7.5703125" style="3" customWidth="1"/>
    <col min="15889" max="15889" width="14.42578125" style="3" bestFit="1" customWidth="1"/>
    <col min="15890" max="15902" width="7.5703125" style="3" customWidth="1"/>
    <col min="15903" max="16131" width="12.5703125" style="3"/>
    <col min="16132" max="16132" width="2" style="3" customWidth="1"/>
    <col min="16133" max="16135" width="2.42578125" style="3" customWidth="1"/>
    <col min="16136" max="16136" width="65" style="3" customWidth="1"/>
    <col min="16137" max="16142" width="13.42578125" style="3" customWidth="1"/>
    <col min="16143" max="16143" width="20.42578125" style="3" customWidth="1"/>
    <col min="16144" max="16144" width="7.5703125" style="3" customWidth="1"/>
    <col min="16145" max="16145" width="14.42578125" style="3" bestFit="1" customWidth="1"/>
    <col min="16146" max="16158" width="7.5703125" style="3" customWidth="1"/>
    <col min="16159" max="16384" width="12.5703125" style="3"/>
  </cols>
  <sheetData>
    <row r="1" spans="1:16" s="20" customFormat="1" ht="21" customHeight="1">
      <c r="A1" s="2633" t="s">
        <v>183</v>
      </c>
      <c r="B1" s="2633"/>
      <c r="C1" s="2633"/>
      <c r="D1" s="2633"/>
      <c r="E1" s="2633"/>
      <c r="F1" s="2633"/>
      <c r="G1" s="2633"/>
      <c r="H1" s="2633"/>
      <c r="I1" s="2633"/>
      <c r="J1" s="2633"/>
      <c r="K1" s="2633"/>
      <c r="L1" s="2633"/>
      <c r="M1" s="2633"/>
      <c r="N1" s="2633"/>
      <c r="O1" s="2633"/>
      <c r="P1" s="2633"/>
    </row>
    <row r="2" spans="1:16" s="20" customFormat="1" ht="21" customHeight="1">
      <c r="A2" s="2633" t="s">
        <v>184</v>
      </c>
      <c r="B2" s="2633"/>
      <c r="C2" s="2633"/>
      <c r="D2" s="2633"/>
      <c r="E2" s="2633"/>
      <c r="F2" s="2633"/>
      <c r="G2" s="2633"/>
      <c r="H2" s="2633"/>
      <c r="I2" s="2633"/>
      <c r="J2" s="2633"/>
      <c r="K2" s="2633"/>
      <c r="L2" s="2633"/>
      <c r="M2" s="2633"/>
      <c r="N2" s="2633"/>
      <c r="O2" s="2633"/>
      <c r="P2" s="2633"/>
    </row>
    <row r="3" spans="1:16" s="20" customFormat="1" ht="21" customHeight="1">
      <c r="A3" s="2633" t="s">
        <v>497</v>
      </c>
      <c r="B3" s="2633"/>
      <c r="C3" s="2633"/>
      <c r="D3" s="2633"/>
      <c r="E3" s="2633"/>
      <c r="F3" s="2633"/>
      <c r="G3" s="2633"/>
      <c r="H3" s="2633"/>
      <c r="I3" s="2633"/>
      <c r="J3" s="2633"/>
      <c r="K3" s="2633"/>
      <c r="L3" s="2633"/>
      <c r="M3" s="2633"/>
      <c r="N3" s="2633"/>
      <c r="O3" s="2633"/>
      <c r="P3" s="2633"/>
    </row>
    <row r="4" spans="1:16" ht="20.25" customHeight="1">
      <c r="A4" s="2"/>
      <c r="B4" s="2"/>
      <c r="C4" s="2"/>
      <c r="D4" s="2"/>
      <c r="E4" s="79"/>
      <c r="F4" s="4"/>
      <c r="G4" s="4"/>
      <c r="H4" s="4"/>
      <c r="I4" s="4"/>
      <c r="J4" s="4"/>
      <c r="K4" s="4"/>
      <c r="L4" s="193" t="s">
        <v>1</v>
      </c>
      <c r="M4" s="4"/>
      <c r="N4" s="4"/>
      <c r="P4" s="3" t="s">
        <v>1</v>
      </c>
    </row>
    <row r="5" spans="1:16" ht="21" customHeight="1">
      <c r="A5" s="2"/>
      <c r="B5" s="2634" t="s">
        <v>3</v>
      </c>
      <c r="C5" s="2634"/>
      <c r="D5" s="2634"/>
      <c r="E5" s="2634"/>
      <c r="F5" s="2635" t="s">
        <v>12</v>
      </c>
      <c r="G5" s="2635"/>
      <c r="H5" s="2635"/>
      <c r="I5" s="2636" t="s">
        <v>217</v>
      </c>
      <c r="J5" s="2636" t="s">
        <v>218</v>
      </c>
      <c r="K5" s="2637" t="s">
        <v>215</v>
      </c>
      <c r="L5" s="2636" t="s">
        <v>499</v>
      </c>
      <c r="M5" s="2638" t="s">
        <v>219</v>
      </c>
      <c r="N5" s="2639" t="s">
        <v>500</v>
      </c>
      <c r="O5" s="2640" t="s">
        <v>213</v>
      </c>
      <c r="P5" s="2642" t="s">
        <v>212</v>
      </c>
    </row>
    <row r="6" spans="1:16" ht="21" customHeight="1">
      <c r="A6" s="2"/>
      <c r="B6" s="2634"/>
      <c r="C6" s="2634"/>
      <c r="D6" s="2634"/>
      <c r="E6" s="2634"/>
      <c r="F6" s="206" t="s">
        <v>182</v>
      </c>
      <c r="G6" s="206" t="s">
        <v>181</v>
      </c>
      <c r="H6" s="206" t="s">
        <v>180</v>
      </c>
      <c r="I6" s="2637"/>
      <c r="J6" s="2637"/>
      <c r="K6" s="2637"/>
      <c r="L6" s="2637"/>
      <c r="M6" s="2638"/>
      <c r="N6" s="2639"/>
      <c r="O6" s="2641"/>
      <c r="P6" s="2643"/>
    </row>
    <row r="7" spans="1:16" s="32" customFormat="1" ht="24.95" customHeight="1">
      <c r="A7" s="33"/>
      <c r="B7" s="70" t="s">
        <v>15</v>
      </c>
      <c r="C7" s="70"/>
      <c r="D7" s="70"/>
      <c r="E7" s="70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</row>
    <row r="8" spans="1:16" s="32" customFormat="1" ht="24.95" customHeight="1">
      <c r="A8" s="33"/>
      <c r="B8" s="70"/>
      <c r="C8" s="70" t="s">
        <v>16</v>
      </c>
      <c r="D8" s="70"/>
      <c r="E8" s="70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</row>
    <row r="9" spans="1:16" s="32" customFormat="1" ht="24.95" customHeight="1">
      <c r="A9" s="33"/>
      <c r="B9" s="31"/>
      <c r="C9" s="31"/>
      <c r="D9" s="31"/>
      <c r="E9" s="35" t="s">
        <v>17</v>
      </c>
      <c r="F9" s="129">
        <v>530486207.92000002</v>
      </c>
      <c r="G9" s="129">
        <v>708594620.15999997</v>
      </c>
      <c r="H9" s="24">
        <f>256205985.2+147863308.35+108660563.33</f>
        <v>512729856.87999994</v>
      </c>
      <c r="I9" s="68">
        <f>250000000+155000000</f>
        <v>405000000</v>
      </c>
      <c r="J9" s="68">
        <f>150133838.1+113286366.95+3886925.15</f>
        <v>267307130.20000002</v>
      </c>
      <c r="K9" s="68">
        <f>+J9/I9*100</f>
        <v>66.001760543209883</v>
      </c>
      <c r="L9" s="68">
        <f>+ประมาณการรายรับ!P12+ประมาณการรายรับ!P13</f>
        <v>152677570.19</v>
      </c>
      <c r="M9" s="68">
        <f>+(L9-I9)/I9*100</f>
        <v>-62.301834520987654</v>
      </c>
      <c r="N9" s="68">
        <f>+L9-I9</f>
        <v>-252322429.81</v>
      </c>
      <c r="O9" s="152">
        <f>82032759.91+75105825.64</f>
        <v>157138585.55000001</v>
      </c>
      <c r="P9" s="151">
        <f t="shared" ref="P9:P17" si="0">+O9/I9*100</f>
        <v>38.799650753086425</v>
      </c>
    </row>
    <row r="10" spans="1:16" s="32" customFormat="1" ht="24.95" customHeight="1">
      <c r="A10" s="33"/>
      <c r="B10" s="31"/>
      <c r="C10" s="31"/>
      <c r="D10" s="31"/>
      <c r="E10" s="35" t="s">
        <v>18</v>
      </c>
      <c r="F10" s="129">
        <v>19207318.109999999</v>
      </c>
      <c r="G10" s="129">
        <v>19448683.25</v>
      </c>
      <c r="H10" s="24">
        <v>17480288.41</v>
      </c>
      <c r="I10" s="68">
        <v>17000000</v>
      </c>
      <c r="J10" s="68">
        <v>0</v>
      </c>
      <c r="K10" s="68">
        <f t="shared" ref="K10:K17" si="1">+J10/I10*100</f>
        <v>0</v>
      </c>
      <c r="L10" s="68">
        <f>+ประมาณการรายรับ!P18</f>
        <v>0</v>
      </c>
      <c r="M10" s="68">
        <f t="shared" ref="M10:M17" si="2">+(L10-I10)/I10*100</f>
        <v>-100</v>
      </c>
      <c r="N10" s="68">
        <f t="shared" ref="N10:N17" si="3">+L10-I10</f>
        <v>-17000000</v>
      </c>
      <c r="O10" s="152">
        <v>0</v>
      </c>
      <c r="P10" s="43">
        <f t="shared" si="0"/>
        <v>0</v>
      </c>
    </row>
    <row r="11" spans="1:16" s="32" customFormat="1" ht="24.95" customHeight="1">
      <c r="A11" s="33"/>
      <c r="B11" s="31"/>
      <c r="C11" s="31"/>
      <c r="D11" s="31"/>
      <c r="E11" s="36" t="s">
        <v>19</v>
      </c>
      <c r="F11" s="130">
        <v>1538817.06</v>
      </c>
      <c r="G11" s="130">
        <v>1644850</v>
      </c>
      <c r="H11" s="24">
        <v>1081750</v>
      </c>
      <c r="I11" s="68">
        <v>1500000</v>
      </c>
      <c r="J11" s="68">
        <v>1060291.5</v>
      </c>
      <c r="K11" s="68">
        <f t="shared" si="1"/>
        <v>70.686099999999996</v>
      </c>
      <c r="L11" s="68">
        <f>+ประมาณการรายรับ!P9</f>
        <v>0</v>
      </c>
      <c r="M11" s="68">
        <f t="shared" si="2"/>
        <v>-100</v>
      </c>
      <c r="N11" s="68">
        <f t="shared" si="3"/>
        <v>-1500000</v>
      </c>
      <c r="O11" s="152">
        <v>9754</v>
      </c>
      <c r="P11" s="151">
        <f t="shared" si="0"/>
        <v>0.65026666666666666</v>
      </c>
    </row>
    <row r="12" spans="1:16" s="32" customFormat="1" ht="24.95" customHeight="1">
      <c r="A12" s="33"/>
      <c r="B12" s="31"/>
      <c r="C12" s="31"/>
      <c r="D12" s="31"/>
      <c r="E12" s="35" t="s">
        <v>20</v>
      </c>
      <c r="F12" s="131">
        <v>317202709.10000002</v>
      </c>
      <c r="G12" s="131">
        <v>358071658.10000002</v>
      </c>
      <c r="H12" s="24">
        <v>335753903.76999998</v>
      </c>
      <c r="I12" s="68">
        <v>370000000</v>
      </c>
      <c r="J12" s="68">
        <v>184678628.63</v>
      </c>
      <c r="K12" s="68">
        <f t="shared" si="1"/>
        <v>49.913142872972969</v>
      </c>
      <c r="L12" s="68">
        <f>+ประมาณการรายรับ!P5</f>
        <v>101318550.87</v>
      </c>
      <c r="M12" s="68">
        <f t="shared" si="2"/>
        <v>-72.616607872972978</v>
      </c>
      <c r="N12" s="68">
        <f t="shared" si="3"/>
        <v>-268681449.13</v>
      </c>
      <c r="O12" s="152">
        <v>91062438.140000001</v>
      </c>
      <c r="P12" s="151">
        <f t="shared" si="0"/>
        <v>24.611469767567566</v>
      </c>
    </row>
    <row r="13" spans="1:16" s="32" customFormat="1" ht="24.95" customHeight="1">
      <c r="A13" s="33"/>
      <c r="B13" s="31"/>
      <c r="C13" s="31"/>
      <c r="D13" s="31"/>
      <c r="E13" s="35" t="s">
        <v>21</v>
      </c>
      <c r="F13" s="131">
        <v>80308337.230000004</v>
      </c>
      <c r="G13" s="131">
        <v>199068334.88999999</v>
      </c>
      <c r="H13" s="24">
        <v>113391295.02</v>
      </c>
      <c r="I13" s="68">
        <v>140000000</v>
      </c>
      <c r="J13" s="68">
        <v>59921807.07</v>
      </c>
      <c r="K13" s="68">
        <f t="shared" si="1"/>
        <v>42.801290764285717</v>
      </c>
      <c r="L13" s="68">
        <f>+ประมาณการรายรับ!P6</f>
        <v>30508548.23</v>
      </c>
      <c r="M13" s="68">
        <f t="shared" si="2"/>
        <v>-78.20817983571429</v>
      </c>
      <c r="N13" s="68">
        <f t="shared" si="3"/>
        <v>-109491451.77</v>
      </c>
      <c r="O13" s="152">
        <v>28464879.370000001</v>
      </c>
      <c r="P13" s="151">
        <f t="shared" si="0"/>
        <v>20.332056692857144</v>
      </c>
    </row>
    <row r="14" spans="1:16" s="32" customFormat="1" ht="24.95" customHeight="1">
      <c r="A14" s="33"/>
      <c r="B14" s="31"/>
      <c r="C14" s="31"/>
      <c r="D14" s="31"/>
      <c r="E14" s="36" t="s">
        <v>22</v>
      </c>
      <c r="F14" s="131">
        <v>33519999.82</v>
      </c>
      <c r="G14" s="131">
        <v>34138822.619999997</v>
      </c>
      <c r="H14" s="24">
        <v>33388979.420000002</v>
      </c>
      <c r="I14" s="68">
        <v>40000000</v>
      </c>
      <c r="J14" s="68">
        <v>34162533.93</v>
      </c>
      <c r="K14" s="68">
        <f t="shared" si="1"/>
        <v>85.406334825000002</v>
      </c>
      <c r="L14" s="68">
        <f>+ประมาณการรายรับ!P8</f>
        <v>49241185.75</v>
      </c>
      <c r="M14" s="68">
        <f t="shared" si="2"/>
        <v>23.102964375000003</v>
      </c>
      <c r="N14" s="68">
        <f t="shared" si="3"/>
        <v>9241185.75</v>
      </c>
      <c r="O14" s="152">
        <v>33589840.93</v>
      </c>
      <c r="P14" s="151">
        <f t="shared" si="0"/>
        <v>83.974602325000006</v>
      </c>
    </row>
    <row r="15" spans="1:16" s="32" customFormat="1" ht="24.95" customHeight="1">
      <c r="A15" s="33"/>
      <c r="B15" s="31"/>
      <c r="C15" s="31"/>
      <c r="D15" s="31"/>
      <c r="E15" s="36" t="s">
        <v>23</v>
      </c>
      <c r="F15" s="131">
        <v>319777344.06999999</v>
      </c>
      <c r="G15" s="131">
        <v>424079959.12</v>
      </c>
      <c r="H15" s="24">
        <f>294588801.48+8298890.2</f>
        <v>302887691.68000001</v>
      </c>
      <c r="I15" s="68">
        <v>340000000</v>
      </c>
      <c r="J15" s="68">
        <v>205413626.63999999</v>
      </c>
      <c r="K15" s="68">
        <f t="shared" si="1"/>
        <v>60.415772541176473</v>
      </c>
      <c r="L15" s="68">
        <f>+ประมาณการรายรับ!P14</f>
        <v>89799428.819999993</v>
      </c>
      <c r="M15" s="68">
        <f t="shared" si="2"/>
        <v>-73.588403288235298</v>
      </c>
      <c r="N15" s="68">
        <f t="shared" si="3"/>
        <v>-250200571.18000001</v>
      </c>
      <c r="O15" s="152">
        <v>110219054.31999999</v>
      </c>
      <c r="P15" s="151">
        <f t="shared" si="0"/>
        <v>32.417368917647053</v>
      </c>
    </row>
    <row r="16" spans="1:16" s="32" customFormat="1" ht="24.95" customHeight="1">
      <c r="A16" s="33"/>
      <c r="B16" s="31"/>
      <c r="C16" s="31"/>
      <c r="D16" s="31"/>
      <c r="E16" s="36" t="s">
        <v>24</v>
      </c>
      <c r="F16" s="131">
        <v>52237456.57</v>
      </c>
      <c r="G16" s="131">
        <v>59446164.280000001</v>
      </c>
      <c r="H16" s="24">
        <v>53074741.299999997</v>
      </c>
      <c r="I16" s="68">
        <v>63000000</v>
      </c>
      <c r="J16" s="68">
        <v>32355624.920000002</v>
      </c>
      <c r="K16" s="68">
        <f t="shared" si="1"/>
        <v>51.358134793650798</v>
      </c>
      <c r="L16" s="68">
        <f>+ประมาณการรายรับ!P16</f>
        <v>17533964.920000002</v>
      </c>
      <c r="M16" s="68">
        <f t="shared" si="2"/>
        <v>-72.168309650793645</v>
      </c>
      <c r="N16" s="68">
        <f t="shared" si="3"/>
        <v>-45466035.079999998</v>
      </c>
      <c r="O16" s="152">
        <v>15213104.98</v>
      </c>
      <c r="P16" s="151">
        <f t="shared" si="0"/>
        <v>24.147785682539684</v>
      </c>
    </row>
    <row r="17" spans="1:17" s="32" customFormat="1" ht="24.95" customHeight="1">
      <c r="A17" s="33"/>
      <c r="B17" s="31"/>
      <c r="C17" s="31"/>
      <c r="D17" s="31"/>
      <c r="E17" s="36" t="s">
        <v>25</v>
      </c>
      <c r="F17" s="131">
        <v>306617962.72000003</v>
      </c>
      <c r="G17" s="131">
        <v>393883511.29000002</v>
      </c>
      <c r="H17" s="24">
        <f>1774113364.95+152985171.02-(H9+H10+H11+H12+H13+H14+H15+H16)-H21-H22-H23</f>
        <v>496650325.08000028</v>
      </c>
      <c r="I17" s="68">
        <f>1969000000-(I9+I10+I11+I12+I13+I14+I15+I16)-I21-I22-I23</f>
        <v>491000000</v>
      </c>
      <c r="J17" s="68">
        <f>1615290+215736235.03+20157485.24</f>
        <v>237509010.27000001</v>
      </c>
      <c r="K17" s="68">
        <f t="shared" si="1"/>
        <v>48.37250718329939</v>
      </c>
      <c r="L17" s="207">
        <f>+ประมาณการรายรับ!P10+ประมาณการรายรับ!P11+ประมาณการรายรับ!P15</f>
        <v>131393860.56</v>
      </c>
      <c r="M17" s="68">
        <f t="shared" si="2"/>
        <v>-73.239539600814666</v>
      </c>
      <c r="N17" s="68">
        <f t="shared" si="3"/>
        <v>-359606139.44</v>
      </c>
      <c r="O17" s="152">
        <f>104712808.69+9364522.61+764700</f>
        <v>114842031.3</v>
      </c>
      <c r="P17" s="151">
        <f t="shared" si="0"/>
        <v>23.389415743380855</v>
      </c>
    </row>
    <row r="18" spans="1:17" s="32" customFormat="1" ht="24.95" customHeight="1">
      <c r="A18" s="33"/>
      <c r="B18" s="31"/>
      <c r="C18" s="70" t="s">
        <v>26</v>
      </c>
      <c r="D18" s="70"/>
      <c r="E18" s="74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spans="1:17" s="32" customFormat="1" ht="24.95" customHeight="1">
      <c r="A19" s="33"/>
      <c r="B19" s="31"/>
      <c r="C19" s="31"/>
      <c r="D19" s="31"/>
      <c r="E19" s="36" t="s">
        <v>27</v>
      </c>
      <c r="F19" s="132">
        <v>0</v>
      </c>
      <c r="G19" s="132">
        <v>0</v>
      </c>
      <c r="H19" s="24">
        <v>0</v>
      </c>
      <c r="I19" s="68">
        <v>0</v>
      </c>
      <c r="J19" s="68">
        <v>0</v>
      </c>
      <c r="K19" s="68"/>
      <c r="L19" s="68">
        <v>0</v>
      </c>
      <c r="M19" s="68"/>
      <c r="N19" s="68"/>
      <c r="O19" s="43"/>
      <c r="P19" s="43"/>
    </row>
    <row r="20" spans="1:17" s="32" customFormat="1" ht="24.95" customHeight="1">
      <c r="A20" s="33"/>
      <c r="B20" s="31"/>
      <c r="C20" s="31"/>
      <c r="D20" s="31"/>
      <c r="E20" s="36" t="s">
        <v>28</v>
      </c>
      <c r="F20" s="132">
        <v>0</v>
      </c>
      <c r="G20" s="132">
        <v>0</v>
      </c>
      <c r="H20" s="24">
        <v>0</v>
      </c>
      <c r="I20" s="68">
        <v>0</v>
      </c>
      <c r="J20" s="68">
        <v>0</v>
      </c>
      <c r="K20" s="68"/>
      <c r="L20" s="68">
        <v>0</v>
      </c>
      <c r="M20" s="68"/>
      <c r="N20" s="68"/>
      <c r="O20" s="43"/>
      <c r="P20" s="43"/>
    </row>
    <row r="21" spans="1:17" s="32" customFormat="1" ht="24.95" customHeight="1">
      <c r="A21" s="33"/>
      <c r="B21" s="31"/>
      <c r="C21" s="31"/>
      <c r="D21" s="31"/>
      <c r="E21" s="36" t="s">
        <v>29</v>
      </c>
      <c r="F21" s="7">
        <v>24490529.170000002</v>
      </c>
      <c r="G21" s="7">
        <v>23281928.710000001</v>
      </c>
      <c r="H21" s="24">
        <v>39570973.75</v>
      </c>
      <c r="I21" s="68">
        <v>80000000</v>
      </c>
      <c r="J21" s="68">
        <v>33693691.200000003</v>
      </c>
      <c r="K21" s="68">
        <f>+J21/I21*100</f>
        <v>42.117114000000008</v>
      </c>
      <c r="L21" s="68">
        <f>+ประมาณการรายรับ!P20</f>
        <v>99899938.140000001</v>
      </c>
      <c r="M21" s="68">
        <f>+(L21-I21)/I21*100</f>
        <v>24.874922675000001</v>
      </c>
      <c r="N21" s="68">
        <f>+L21-I21</f>
        <v>19899938.140000001</v>
      </c>
      <c r="O21" s="152">
        <v>20382897.199999999</v>
      </c>
      <c r="P21" s="151">
        <f>+O21/I21*100</f>
        <v>25.478621499999999</v>
      </c>
    </row>
    <row r="22" spans="1:17" s="32" customFormat="1" ht="24.95" customHeight="1">
      <c r="A22" s="33"/>
      <c r="B22" s="31"/>
      <c r="C22" s="31"/>
      <c r="D22" s="31"/>
      <c r="E22" s="36" t="s">
        <v>30</v>
      </c>
      <c r="F22" s="7">
        <v>365997.15</v>
      </c>
      <c r="G22" s="7">
        <v>706946.53</v>
      </c>
      <c r="H22" s="24">
        <v>2022594.46</v>
      </c>
      <c r="I22" s="68">
        <v>1500000</v>
      </c>
      <c r="J22" s="68">
        <v>1426104.77</v>
      </c>
      <c r="K22" s="68">
        <f>+J22/I22*100</f>
        <v>95.073651333333331</v>
      </c>
      <c r="L22" s="68">
        <f>+ประมาณการรายรับ!P17</f>
        <v>1097157.96</v>
      </c>
      <c r="M22" s="68">
        <f>+(L22-I22)/I22*100</f>
        <v>-26.856136000000003</v>
      </c>
      <c r="N22" s="68">
        <f t="shared" ref="N22:N23" si="4">+L22-I22</f>
        <v>-402842.04000000004</v>
      </c>
      <c r="O22" s="152">
        <v>1240872.19</v>
      </c>
      <c r="P22" s="151">
        <f>+O22/I22*100</f>
        <v>82.724812666666665</v>
      </c>
    </row>
    <row r="23" spans="1:17" s="32" customFormat="1" ht="24.95" customHeight="1">
      <c r="A23" s="33"/>
      <c r="B23" s="31"/>
      <c r="C23" s="31"/>
      <c r="D23" s="31"/>
      <c r="E23" s="36" t="s">
        <v>31</v>
      </c>
      <c r="F23" s="7">
        <f>20906672.21-732637</f>
        <v>20174035.210000001</v>
      </c>
      <c r="G23" s="7">
        <v>19066649.559999999</v>
      </c>
      <c r="H23" s="24">
        <v>19066136.199999999</v>
      </c>
      <c r="I23" s="68">
        <v>20000000</v>
      </c>
      <c r="J23" s="68">
        <v>10961291.880000001</v>
      </c>
      <c r="K23" s="68">
        <f>+J23/I23*100</f>
        <v>54.806459400000008</v>
      </c>
      <c r="L23" s="68">
        <f>+ประมาณการรายรับ!P19</f>
        <v>10121037.18</v>
      </c>
      <c r="M23" s="68">
        <f>+(L23-I23)/I23*100</f>
        <v>-49.394814099999998</v>
      </c>
      <c r="N23" s="68">
        <f t="shared" si="4"/>
        <v>-9878962.8200000003</v>
      </c>
      <c r="O23" s="152">
        <v>4684540.2</v>
      </c>
      <c r="P23" s="151">
        <f>+O23/I23*100</f>
        <v>23.422701</v>
      </c>
    </row>
    <row r="24" spans="1:17" s="32" customFormat="1" ht="24.95" customHeight="1">
      <c r="A24" s="33"/>
      <c r="B24" s="31"/>
      <c r="C24" s="31"/>
      <c r="D24" s="31"/>
      <c r="E24" s="208" t="s">
        <v>32</v>
      </c>
      <c r="F24" s="154">
        <f>SUM(F9:F23)</f>
        <v>1705926714.1300001</v>
      </c>
      <c r="G24" s="154">
        <f>SUM(G9:G23)</f>
        <v>2241432128.5100002</v>
      </c>
      <c r="H24" s="154">
        <f>SUM(H9:H23)</f>
        <v>1927098535.97</v>
      </c>
      <c r="I24" s="154">
        <f>SUM(I9:I23)</f>
        <v>1969000000</v>
      </c>
      <c r="J24" s="154">
        <f>SUM(J9:J23)</f>
        <v>1068489741.01</v>
      </c>
      <c r="K24" s="154">
        <f>+J24/I24*100</f>
        <v>54.265603911122398</v>
      </c>
      <c r="L24" s="154">
        <f>SUM(L9:L23)</f>
        <v>683591242.62</v>
      </c>
      <c r="M24" s="177">
        <f>+(L24-I24)/I24*100</f>
        <v>-65.282313731843573</v>
      </c>
      <c r="N24" s="177"/>
      <c r="O24" s="154">
        <f>SUM(O9:O23)</f>
        <v>576847998.18000019</v>
      </c>
      <c r="P24" s="155">
        <f>+O24/I24*100</f>
        <v>29.296495590655162</v>
      </c>
      <c r="Q24" s="157"/>
    </row>
    <row r="25" spans="1:17" s="32" customFormat="1" ht="24.95" customHeight="1">
      <c r="A25" s="33"/>
      <c r="B25" s="70" t="s">
        <v>33</v>
      </c>
      <c r="C25" s="70"/>
      <c r="D25" s="70"/>
      <c r="E25" s="74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</row>
    <row r="26" spans="1:17" s="32" customFormat="1" ht="24.95" customHeight="1">
      <c r="A26" s="33"/>
      <c r="B26" s="70"/>
      <c r="C26" s="70" t="s">
        <v>34</v>
      </c>
      <c r="D26" s="70"/>
      <c r="E26" s="74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</row>
    <row r="27" spans="1:17" s="32" customFormat="1" ht="24.95" customHeight="1">
      <c r="A27" s="33"/>
      <c r="B27" s="31"/>
      <c r="C27" s="31"/>
      <c r="D27" s="31"/>
      <c r="E27" s="36" t="s">
        <v>35</v>
      </c>
      <c r="F27" s="7">
        <v>180533834.22999999</v>
      </c>
      <c r="G27" s="7">
        <v>188204023.53</v>
      </c>
      <c r="H27" s="24">
        <v>188464884.25</v>
      </c>
      <c r="I27" s="68">
        <v>195000000</v>
      </c>
      <c r="J27" s="68">
        <v>94467538.909999996</v>
      </c>
      <c r="K27" s="68">
        <f t="shared" ref="K27:K48" si="5">+J27/I27*100</f>
        <v>48.444891748717943</v>
      </c>
      <c r="L27" s="68">
        <f>+รายละเอียดรายจ่าย!Y5</f>
        <v>205000000</v>
      </c>
      <c r="M27" s="68">
        <f>+(L27-I27)/I27*100</f>
        <v>5.1282051282051277</v>
      </c>
      <c r="N27" s="68">
        <f>+L27-I27</f>
        <v>10000000</v>
      </c>
      <c r="O27" s="152">
        <v>47953471.240000002</v>
      </c>
      <c r="P27" s="151">
        <f>+O27/I27*100</f>
        <v>24.591523712820514</v>
      </c>
    </row>
    <row r="28" spans="1:17" s="32" customFormat="1" ht="24.95" customHeight="1">
      <c r="A28" s="33"/>
      <c r="B28" s="31"/>
      <c r="C28" s="31"/>
      <c r="D28" s="31"/>
      <c r="E28" s="36" t="s">
        <v>83</v>
      </c>
      <c r="F28" s="68">
        <v>0</v>
      </c>
      <c r="G28" s="68">
        <v>0</v>
      </c>
      <c r="H28" s="24">
        <v>0</v>
      </c>
      <c r="I28" s="68">
        <v>0</v>
      </c>
      <c r="J28" s="68">
        <v>0</v>
      </c>
      <c r="K28" s="68"/>
      <c r="L28" s="68">
        <v>0</v>
      </c>
      <c r="M28" s="68"/>
      <c r="N28" s="68">
        <f t="shared" ref="N28:N49" si="6">+L28-I28</f>
        <v>0</v>
      </c>
      <c r="O28" s="152"/>
      <c r="P28" s="151">
        <v>0</v>
      </c>
    </row>
    <row r="29" spans="1:17" s="32" customFormat="1" ht="24.95" customHeight="1">
      <c r="B29" s="43"/>
      <c r="C29" s="43"/>
      <c r="D29" s="43"/>
      <c r="E29" s="36" t="s">
        <v>120</v>
      </c>
      <c r="F29" s="133">
        <v>31484140</v>
      </c>
      <c r="G29" s="133">
        <v>30139045</v>
      </c>
      <c r="H29" s="24">
        <v>26605920</v>
      </c>
      <c r="I29" s="68">
        <v>30000000</v>
      </c>
      <c r="J29" s="68">
        <v>29945470</v>
      </c>
      <c r="K29" s="68">
        <f t="shared" si="5"/>
        <v>99.818233333333325</v>
      </c>
      <c r="L29" s="68">
        <v>40000000</v>
      </c>
      <c r="M29" s="68">
        <f t="shared" ref="M29:M48" si="7">+(L29-I29)/I29*100</f>
        <v>33.333333333333329</v>
      </c>
      <c r="N29" s="68">
        <f t="shared" si="6"/>
        <v>10000000</v>
      </c>
      <c r="O29" s="159">
        <v>17331340</v>
      </c>
      <c r="P29" s="151">
        <f>+O29/I29*100</f>
        <v>57.771133333333339</v>
      </c>
    </row>
    <row r="30" spans="1:17" s="32" customFormat="1" ht="24.95" customHeight="1">
      <c r="B30" s="43"/>
      <c r="C30" s="43"/>
      <c r="D30" s="43"/>
      <c r="E30" s="36" t="s">
        <v>36</v>
      </c>
      <c r="F30" s="7">
        <v>1167600</v>
      </c>
      <c r="G30" s="7">
        <v>10385000</v>
      </c>
      <c r="H30" s="24">
        <v>10495200</v>
      </c>
      <c r="I30" s="68">
        <v>10960000</v>
      </c>
      <c r="J30" s="68">
        <v>5346600</v>
      </c>
      <c r="K30" s="68">
        <f t="shared" si="5"/>
        <v>48.782846715328468</v>
      </c>
      <c r="L30" s="68">
        <f>+รายละเอียดรายจ่าย!Y130</f>
        <v>11136000</v>
      </c>
      <c r="M30" s="68">
        <f t="shared" si="7"/>
        <v>1.6058394160583942</v>
      </c>
      <c r="N30" s="68">
        <f t="shared" si="6"/>
        <v>176000</v>
      </c>
      <c r="O30" s="159">
        <v>2687000</v>
      </c>
      <c r="P30" s="151">
        <f>+O30/I30*100</f>
        <v>24.516423357664234</v>
      </c>
    </row>
    <row r="31" spans="1:17" s="32" customFormat="1" ht="24.95" customHeight="1">
      <c r="B31" s="43"/>
      <c r="C31" s="43"/>
      <c r="D31" s="43"/>
      <c r="E31" s="36" t="s">
        <v>37</v>
      </c>
      <c r="F31" s="68">
        <v>0</v>
      </c>
      <c r="G31" s="68">
        <v>0</v>
      </c>
      <c r="H31" s="24">
        <v>0</v>
      </c>
      <c r="I31" s="68">
        <v>0</v>
      </c>
      <c r="J31" s="68">
        <v>0</v>
      </c>
      <c r="K31" s="68"/>
      <c r="L31" s="68">
        <v>0</v>
      </c>
      <c r="M31" s="68"/>
      <c r="N31" s="68">
        <f t="shared" si="6"/>
        <v>0</v>
      </c>
      <c r="O31" s="152"/>
      <c r="P31" s="151">
        <v>0</v>
      </c>
    </row>
    <row r="32" spans="1:17" s="32" customFormat="1" ht="24.95" customHeight="1">
      <c r="B32" s="43"/>
      <c r="C32" s="43"/>
      <c r="D32" s="43"/>
      <c r="E32" s="36" t="s">
        <v>38</v>
      </c>
      <c r="F32" s="7">
        <v>10193251</v>
      </c>
      <c r="G32" s="7">
        <v>5202971</v>
      </c>
      <c r="H32" s="24">
        <v>8605550.9800000004</v>
      </c>
      <c r="I32" s="68">
        <v>41200000</v>
      </c>
      <c r="J32" s="68">
        <v>17747007</v>
      </c>
      <c r="K32" s="68">
        <f t="shared" si="5"/>
        <v>43.07525970873786</v>
      </c>
      <c r="L32" s="68">
        <f>+รายละเอียดรายจ่าย!Y10</f>
        <v>41200000</v>
      </c>
      <c r="M32" s="68">
        <f t="shared" si="7"/>
        <v>0</v>
      </c>
      <c r="N32" s="68">
        <f t="shared" si="6"/>
        <v>0</v>
      </c>
      <c r="O32" s="152">
        <v>17747007</v>
      </c>
      <c r="P32" s="151">
        <f>+O32/I32*100</f>
        <v>43.07525970873786</v>
      </c>
    </row>
    <row r="33" spans="2:16" s="32" customFormat="1" ht="24.95" customHeight="1">
      <c r="B33" s="43"/>
      <c r="C33" s="43"/>
      <c r="D33" s="43"/>
      <c r="E33" s="36" t="s">
        <v>39</v>
      </c>
      <c r="F33" s="68">
        <v>0</v>
      </c>
      <c r="G33" s="68">
        <v>0</v>
      </c>
      <c r="H33" s="24">
        <v>225000</v>
      </c>
      <c r="I33" s="68">
        <v>300000</v>
      </c>
      <c r="J33" s="68">
        <v>0</v>
      </c>
      <c r="K33" s="68">
        <f t="shared" si="5"/>
        <v>0</v>
      </c>
      <c r="L33" s="68">
        <f>+รายละเอียดรายจ่าย!Y13</f>
        <v>300000</v>
      </c>
      <c r="M33" s="68">
        <f t="shared" si="7"/>
        <v>0</v>
      </c>
      <c r="N33" s="68">
        <f t="shared" si="6"/>
        <v>0</v>
      </c>
      <c r="O33" s="152">
        <v>0</v>
      </c>
      <c r="P33" s="151">
        <f>+O33/I33*100</f>
        <v>0</v>
      </c>
    </row>
    <row r="34" spans="2:16" s="32" customFormat="1" ht="24.95" customHeight="1">
      <c r="B34" s="43"/>
      <c r="C34" s="43"/>
      <c r="D34" s="43"/>
      <c r="E34" s="36" t="s">
        <v>86</v>
      </c>
      <c r="F34" s="2651">
        <v>278309970.18000001</v>
      </c>
      <c r="G34" s="2651">
        <f>340999774.4-G29-G30</f>
        <v>300475729.39999998</v>
      </c>
      <c r="H34" s="2652">
        <f>367202135.79+10495200-H29-H30</f>
        <v>340596215.79000002</v>
      </c>
      <c r="I34" s="2647">
        <f>432000000+10960000-I29-I30</f>
        <v>402000000</v>
      </c>
      <c r="J34" s="2647">
        <f>216192538.77-J29</f>
        <v>186247068.77000001</v>
      </c>
      <c r="K34" s="2647">
        <f t="shared" si="5"/>
        <v>46.330116609452737</v>
      </c>
      <c r="L34" s="2647">
        <f>432000000-L29</f>
        <v>392000000</v>
      </c>
      <c r="M34" s="2647">
        <f t="shared" si="7"/>
        <v>-2.4875621890547266</v>
      </c>
      <c r="N34" s="2647">
        <f t="shared" si="6"/>
        <v>-10000000</v>
      </c>
      <c r="O34" s="2649">
        <f>107757770.55-O29</f>
        <v>90426430.549999997</v>
      </c>
      <c r="P34" s="2645">
        <f>+O34/I34*100</f>
        <v>22.494136952736319</v>
      </c>
    </row>
    <row r="35" spans="2:16" s="32" customFormat="1" ht="24.95" customHeight="1">
      <c r="B35" s="31"/>
      <c r="C35" s="31"/>
      <c r="D35" s="31"/>
      <c r="E35" s="36" t="s">
        <v>40</v>
      </c>
      <c r="F35" s="2651"/>
      <c r="G35" s="2651"/>
      <c r="H35" s="2652"/>
      <c r="I35" s="2647"/>
      <c r="J35" s="2647"/>
      <c r="K35" s="2647"/>
      <c r="L35" s="2647"/>
      <c r="M35" s="2647"/>
      <c r="N35" s="2647"/>
      <c r="O35" s="2650"/>
      <c r="P35" s="2646"/>
    </row>
    <row r="36" spans="2:16" s="32" customFormat="1" ht="24.95" customHeight="1">
      <c r="B36" s="31"/>
      <c r="C36" s="31"/>
      <c r="D36" s="31"/>
      <c r="E36" s="36" t="s">
        <v>78</v>
      </c>
      <c r="F36" s="7">
        <v>709725</v>
      </c>
      <c r="G36" s="7">
        <f>868400+299500+618600+9852500</f>
        <v>11639000</v>
      </c>
      <c r="H36" s="24">
        <f>555000+295380+1278500</f>
        <v>2128880</v>
      </c>
      <c r="I36" s="68">
        <f>550000+300000+1250000+100000</f>
        <v>2200000</v>
      </c>
      <c r="J36" s="68">
        <f>255000+105500+1035900</f>
        <v>1396400</v>
      </c>
      <c r="K36" s="68">
        <f t="shared" si="5"/>
        <v>63.472727272727269</v>
      </c>
      <c r="L36" s="68">
        <f>+รายละเอียดรายจ่าย!Y8+รายละเอียดรายจ่าย!Y11+รายละเอียดรายจ่าย!Y12+รายละเอียดรายจ่าย!Y15</f>
        <v>2200000</v>
      </c>
      <c r="M36" s="68">
        <f t="shared" si="7"/>
        <v>0</v>
      </c>
      <c r="N36" s="68">
        <f t="shared" si="6"/>
        <v>0</v>
      </c>
      <c r="O36" s="152">
        <f>130000+586800+46400</f>
        <v>763200</v>
      </c>
      <c r="P36" s="151">
        <f>+O36/I36*100</f>
        <v>34.690909090909088</v>
      </c>
    </row>
    <row r="37" spans="2:16" s="176" customFormat="1" ht="24.95" customHeight="1">
      <c r="B37" s="146"/>
      <c r="C37" s="146"/>
      <c r="D37" s="146"/>
      <c r="E37" s="147" t="s">
        <v>41</v>
      </c>
      <c r="F37" s="131">
        <v>88500</v>
      </c>
      <c r="G37" s="131">
        <v>223200</v>
      </c>
      <c r="H37" s="148">
        <f>189000+247200</f>
        <v>436200</v>
      </c>
      <c r="I37" s="149">
        <f>200000+300000</f>
        <v>500000</v>
      </c>
      <c r="J37" s="149">
        <v>66300</v>
      </c>
      <c r="K37" s="68">
        <f t="shared" si="5"/>
        <v>13.26</v>
      </c>
      <c r="L37" s="149">
        <f>+รายละเอียดรายจ่าย!Y9+รายละเอียดรายจ่าย!Y16</f>
        <v>500000</v>
      </c>
      <c r="M37" s="68">
        <f t="shared" si="7"/>
        <v>0</v>
      </c>
      <c r="N37" s="68">
        <f t="shared" si="6"/>
        <v>0</v>
      </c>
      <c r="O37" s="156">
        <v>46200</v>
      </c>
      <c r="P37" s="151">
        <f>+O37/I37*100</f>
        <v>9.24</v>
      </c>
    </row>
    <row r="38" spans="2:16" s="32" customFormat="1" ht="24.95" customHeight="1">
      <c r="B38" s="43"/>
      <c r="C38" s="70" t="s">
        <v>42</v>
      </c>
      <c r="D38" s="70"/>
      <c r="E38" s="74"/>
      <c r="F38" s="73"/>
      <c r="G38" s="73"/>
      <c r="H38" s="73"/>
      <c r="I38" s="73"/>
      <c r="J38" s="73"/>
      <c r="K38" s="73"/>
      <c r="L38" s="73"/>
      <c r="M38" s="73"/>
      <c r="N38" s="73"/>
      <c r="O38" s="168"/>
      <c r="P38" s="168"/>
    </row>
    <row r="39" spans="2:16" s="32" customFormat="1" ht="24.95" customHeight="1">
      <c r="B39" s="43"/>
      <c r="C39" s="31"/>
      <c r="D39" s="31"/>
      <c r="E39" s="37" t="s">
        <v>43</v>
      </c>
      <c r="F39" s="7">
        <v>381568335.67000002</v>
      </c>
      <c r="G39" s="7">
        <v>402783945.05000001</v>
      </c>
      <c r="H39" s="24">
        <v>423646772.83999997</v>
      </c>
      <c r="I39" s="68">
        <f>410000000+12000000</f>
        <v>422000000</v>
      </c>
      <c r="J39" s="68">
        <v>223446874.94999999</v>
      </c>
      <c r="K39" s="68">
        <f t="shared" si="5"/>
        <v>52.949496433649287</v>
      </c>
      <c r="L39" s="68">
        <f>+รายละเอียดรายจ่าย!Y155</f>
        <v>480000000</v>
      </c>
      <c r="M39" s="68">
        <f t="shared" si="7"/>
        <v>13.744075829383887</v>
      </c>
      <c r="N39" s="68">
        <f t="shared" si="6"/>
        <v>58000000</v>
      </c>
      <c r="O39" s="159">
        <v>113828659.47</v>
      </c>
      <c r="P39" s="151">
        <f>+O39/I39*100</f>
        <v>26.973615988151657</v>
      </c>
    </row>
    <row r="40" spans="2:16" s="32" customFormat="1" ht="24.95" customHeight="1">
      <c r="B40" s="43"/>
      <c r="C40" s="31"/>
      <c r="D40" s="31"/>
      <c r="E40" s="37" t="s">
        <v>112</v>
      </c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</row>
    <row r="41" spans="2:16" s="32" customFormat="1" ht="24.95" customHeight="1">
      <c r="B41" s="43"/>
      <c r="C41" s="31"/>
      <c r="D41" s="43"/>
      <c r="E41" s="36" t="s">
        <v>45</v>
      </c>
      <c r="F41" s="135">
        <v>283383304.85000002</v>
      </c>
      <c r="G41" s="135">
        <v>269171871.07999998</v>
      </c>
      <c r="H41" s="25">
        <v>294582710.36000001</v>
      </c>
      <c r="I41" s="68">
        <v>278600000</v>
      </c>
      <c r="J41" s="68">
        <v>184615422.77000001</v>
      </c>
      <c r="K41" s="68">
        <f t="shared" si="5"/>
        <v>66.265406593682712</v>
      </c>
      <c r="L41" s="68">
        <f>+รายละเอียดรายจ่าย!Y163</f>
        <v>332850000</v>
      </c>
      <c r="M41" s="68">
        <f t="shared" si="7"/>
        <v>19.472361809045228</v>
      </c>
      <c r="N41" s="68">
        <f t="shared" si="6"/>
        <v>54250000</v>
      </c>
      <c r="O41" s="152">
        <v>88895304.400000006</v>
      </c>
      <c r="P41" s="151">
        <f t="shared" ref="P41:P48" si="8">+O41/I41*100</f>
        <v>31.907862311557789</v>
      </c>
    </row>
    <row r="42" spans="2:16" s="32" customFormat="1" ht="24.95" customHeight="1">
      <c r="B42" s="43"/>
      <c r="C42" s="31"/>
      <c r="D42" s="43"/>
      <c r="E42" s="36" t="s">
        <v>46</v>
      </c>
      <c r="F42" s="135">
        <v>113598032.58</v>
      </c>
      <c r="G42" s="135">
        <v>173517852.77000001</v>
      </c>
      <c r="H42" s="25">
        <v>108302691.62</v>
      </c>
      <c r="I42" s="68">
        <f>1500000+29000000+2500000+2000000+62000000+3600000</f>
        <v>100600000</v>
      </c>
      <c r="J42" s="68">
        <v>51084516.140000001</v>
      </c>
      <c r="K42" s="68">
        <f t="shared" si="5"/>
        <v>50.779837117296225</v>
      </c>
      <c r="L42" s="209">
        <f>+รายละเอียดรายจ่าย!Y147</f>
        <v>115000000</v>
      </c>
      <c r="M42" s="68">
        <f t="shared" si="7"/>
        <v>14.314115308151093</v>
      </c>
      <c r="N42" s="68">
        <f t="shared" si="6"/>
        <v>14400000</v>
      </c>
      <c r="O42" s="152">
        <v>22290949.23</v>
      </c>
      <c r="P42" s="151">
        <f t="shared" si="8"/>
        <v>22.158001222664016</v>
      </c>
    </row>
    <row r="43" spans="2:16" s="32" customFormat="1" ht="24.95" customHeight="1">
      <c r="B43" s="43"/>
      <c r="C43" s="31"/>
      <c r="D43" s="43"/>
      <c r="E43" s="36" t="s">
        <v>47</v>
      </c>
      <c r="F43" s="135">
        <v>4624692.5599999996</v>
      </c>
      <c r="G43" s="135">
        <v>5063862.54</v>
      </c>
      <c r="H43" s="25">
        <v>4860582.3600000003</v>
      </c>
      <c r="I43" s="68">
        <v>5000000</v>
      </c>
      <c r="J43" s="68">
        <v>4374958.88</v>
      </c>
      <c r="K43" s="68">
        <f t="shared" si="5"/>
        <v>87.499177599999996</v>
      </c>
      <c r="L43" s="68">
        <f>+รายละเอียดรายจ่าย!Y157</f>
        <v>8000000</v>
      </c>
      <c r="M43" s="68">
        <f t="shared" si="7"/>
        <v>60</v>
      </c>
      <c r="N43" s="68">
        <f t="shared" si="6"/>
        <v>3000000</v>
      </c>
      <c r="O43" s="159">
        <v>1699498.04</v>
      </c>
      <c r="P43" s="151">
        <f t="shared" si="8"/>
        <v>33.989960799999999</v>
      </c>
    </row>
    <row r="44" spans="2:16" s="32" customFormat="1" ht="24.95" customHeight="1">
      <c r="B44" s="43"/>
      <c r="C44" s="31"/>
      <c r="D44" s="43"/>
      <c r="E44" s="36" t="s">
        <v>48</v>
      </c>
      <c r="F44" s="135">
        <v>8920065.0600000005</v>
      </c>
      <c r="G44" s="135">
        <v>7202711.8600000003</v>
      </c>
      <c r="H44" s="25">
        <v>10163306.949999999</v>
      </c>
      <c r="I44" s="68">
        <v>10000000</v>
      </c>
      <c r="J44" s="68">
        <v>5630163.2800000003</v>
      </c>
      <c r="K44" s="68">
        <f t="shared" si="5"/>
        <v>56.3016328</v>
      </c>
      <c r="L44" s="68">
        <f>+รายละเอียดรายจ่าย!Y158</f>
        <v>10000000</v>
      </c>
      <c r="M44" s="68">
        <f t="shared" si="7"/>
        <v>0</v>
      </c>
      <c r="N44" s="68">
        <f t="shared" si="6"/>
        <v>0</v>
      </c>
      <c r="O44" s="159">
        <v>1906294.56</v>
      </c>
      <c r="P44" s="151">
        <f t="shared" si="8"/>
        <v>19.062945599999999</v>
      </c>
    </row>
    <row r="45" spans="2:16" s="32" customFormat="1" ht="24.95" customHeight="1">
      <c r="B45" s="43"/>
      <c r="C45" s="31"/>
      <c r="D45" s="43"/>
      <c r="E45" s="36" t="s">
        <v>49</v>
      </c>
      <c r="F45" s="135">
        <v>12301882</v>
      </c>
      <c r="G45" s="135">
        <v>2353159.4</v>
      </c>
      <c r="H45" s="25">
        <v>4427235.5</v>
      </c>
      <c r="I45" s="68">
        <v>14000000</v>
      </c>
      <c r="J45" s="68">
        <v>6825150</v>
      </c>
      <c r="K45" s="68">
        <f t="shared" si="5"/>
        <v>48.751071428571429</v>
      </c>
      <c r="L45" s="68">
        <f>+รายละเอียดรายจ่าย!Y159</f>
        <v>30000000</v>
      </c>
      <c r="M45" s="68">
        <f t="shared" si="7"/>
        <v>114.28571428571428</v>
      </c>
      <c r="N45" s="68">
        <f t="shared" si="6"/>
        <v>16000000</v>
      </c>
      <c r="O45" s="159">
        <v>3163628</v>
      </c>
      <c r="P45" s="151">
        <f t="shared" si="8"/>
        <v>22.597342857142859</v>
      </c>
    </row>
    <row r="46" spans="2:16" s="32" customFormat="1" ht="24.95" customHeight="1">
      <c r="B46" s="43"/>
      <c r="C46" s="31"/>
      <c r="D46" s="31"/>
      <c r="E46" s="37" t="s">
        <v>118</v>
      </c>
      <c r="F46" s="7">
        <v>52239803.799999997</v>
      </c>
      <c r="G46" s="7">
        <v>52142381.509999998</v>
      </c>
      <c r="H46" s="24">
        <f>904032336.97-H41-H42-H43-H44-H45-H39</f>
        <v>58049037.340000033</v>
      </c>
      <c r="I46" s="68">
        <f>891600000-I41-I42-I43-I44-I45-I39</f>
        <v>61400000</v>
      </c>
      <c r="J46" s="68">
        <f>508399313.78-J39-J41-J42-J43-J44-J45</f>
        <v>32422227.759999968</v>
      </c>
      <c r="K46" s="68">
        <f t="shared" si="5"/>
        <v>52.804931205211666</v>
      </c>
      <c r="L46" s="68">
        <f>+รายละเอียดรายจ่าย!Y135-L39-L41-L42-L43-L44-L45</f>
        <v>74130000</v>
      </c>
      <c r="M46" s="68">
        <f t="shared" si="7"/>
        <v>20.732899022801302</v>
      </c>
      <c r="N46" s="68">
        <f t="shared" si="6"/>
        <v>12730000</v>
      </c>
      <c r="O46" s="159">
        <v>12888114.880000001</v>
      </c>
      <c r="P46" s="151">
        <f t="shared" si="8"/>
        <v>20.990415114006517</v>
      </c>
    </row>
    <row r="47" spans="2:16" s="32" customFormat="1" ht="24.95" customHeight="1">
      <c r="B47" s="43"/>
      <c r="C47" s="31"/>
      <c r="D47" s="31"/>
      <c r="E47" s="37" t="s">
        <v>51</v>
      </c>
      <c r="F47" s="7">
        <v>46273598.899999999</v>
      </c>
      <c r="G47" s="7">
        <v>57251974.939999998</v>
      </c>
      <c r="H47" s="24">
        <v>64033302.310000002</v>
      </c>
      <c r="I47" s="68">
        <v>63200000</v>
      </c>
      <c r="J47" s="68">
        <v>28765949.420000002</v>
      </c>
      <c r="K47" s="68">
        <f t="shared" si="5"/>
        <v>45.51574275316456</v>
      </c>
      <c r="L47" s="68">
        <f>+รายละเอียดรายจ่าย!Y125</f>
        <v>70000000</v>
      </c>
      <c r="M47" s="68">
        <f t="shared" si="7"/>
        <v>10.759493670886076</v>
      </c>
      <c r="N47" s="68">
        <f t="shared" si="6"/>
        <v>6800000</v>
      </c>
      <c r="O47" s="152">
        <v>14127010.15</v>
      </c>
      <c r="P47" s="151">
        <f t="shared" si="8"/>
        <v>22.352864161392404</v>
      </c>
    </row>
    <row r="48" spans="2:16" s="32" customFormat="1" ht="24.95" customHeight="1">
      <c r="B48" s="43"/>
      <c r="C48" s="31"/>
      <c r="D48" s="31"/>
      <c r="E48" s="37" t="s">
        <v>52</v>
      </c>
      <c r="F48" s="7">
        <v>143384959.49000001</v>
      </c>
      <c r="G48" s="7">
        <v>230607987.06</v>
      </c>
      <c r="H48" s="24">
        <v>170224752.50999999</v>
      </c>
      <c r="I48" s="68">
        <v>182776000</v>
      </c>
      <c r="J48" s="68">
        <v>112622051.33</v>
      </c>
      <c r="K48" s="68">
        <f t="shared" si="5"/>
        <v>61.617527098743821</v>
      </c>
      <c r="L48" s="68" t="e">
        <f>+รายละเอียดรายจ่าย!#REF!</f>
        <v>#REF!</v>
      </c>
      <c r="M48" s="68" t="e">
        <f t="shared" si="7"/>
        <v>#REF!</v>
      </c>
      <c r="N48" s="68" t="e">
        <f t="shared" si="6"/>
        <v>#REF!</v>
      </c>
      <c r="O48" s="152">
        <v>64208414.890000001</v>
      </c>
      <c r="P48" s="151">
        <f t="shared" si="8"/>
        <v>35.129565637720489</v>
      </c>
    </row>
    <row r="49" spans="2:17" s="32" customFormat="1" ht="24.95" customHeight="1">
      <c r="B49" s="43"/>
      <c r="C49" s="31"/>
      <c r="D49" s="31"/>
      <c r="E49" s="37" t="s">
        <v>53</v>
      </c>
      <c r="F49" s="136">
        <v>0</v>
      </c>
      <c r="G49" s="136">
        <v>0</v>
      </c>
      <c r="H49" s="24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f t="shared" si="6"/>
        <v>0</v>
      </c>
      <c r="O49" s="43"/>
      <c r="P49" s="43"/>
    </row>
    <row r="50" spans="2:17" s="32" customFormat="1" ht="24.95" customHeight="1">
      <c r="B50" s="43"/>
      <c r="C50" s="126" t="s">
        <v>108</v>
      </c>
      <c r="D50" s="126"/>
      <c r="E50" s="127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</row>
    <row r="51" spans="2:17" s="32" customFormat="1" ht="24.95" customHeight="1">
      <c r="B51" s="43"/>
      <c r="C51" s="31"/>
      <c r="D51" s="31"/>
      <c r="E51" s="31" t="s">
        <v>80</v>
      </c>
      <c r="F51" s="73"/>
      <c r="G51" s="73"/>
      <c r="H51" s="73"/>
      <c r="I51" s="77"/>
      <c r="J51" s="77"/>
      <c r="K51" s="77"/>
      <c r="L51" s="77"/>
      <c r="M51" s="77"/>
      <c r="N51" s="77"/>
      <c r="O51" s="77"/>
      <c r="P51" s="77"/>
      <c r="Q51" s="44"/>
    </row>
    <row r="52" spans="2:17" s="32" customFormat="1" ht="24.95" customHeight="1">
      <c r="B52" s="43"/>
      <c r="C52" s="31"/>
      <c r="D52" s="31"/>
      <c r="E52" s="43" t="s">
        <v>115</v>
      </c>
      <c r="F52" s="24">
        <v>19207318.109999999</v>
      </c>
      <c r="G52" s="24">
        <v>18299059.25</v>
      </c>
      <c r="H52" s="24">
        <v>16655750</v>
      </c>
      <c r="I52" s="68">
        <v>17000000</v>
      </c>
      <c r="J52" s="68">
        <v>0</v>
      </c>
      <c r="K52" s="68"/>
      <c r="L52" s="68">
        <f>+รายละเอียดรายจ่าย!Y193</f>
        <v>16000000</v>
      </c>
      <c r="M52" s="68">
        <f>+(L52-I52)/I52*100</f>
        <v>-5.8823529411764701</v>
      </c>
      <c r="N52" s="68">
        <f t="shared" ref="N52:N54" si="9">+L52-I52</f>
        <v>-1000000</v>
      </c>
      <c r="O52" s="158">
        <v>0</v>
      </c>
      <c r="P52" s="151">
        <f>+O52/I52*100</f>
        <v>0</v>
      </c>
      <c r="Q52" s="44"/>
    </row>
    <row r="53" spans="2:17" s="32" customFormat="1" ht="24.95" customHeight="1">
      <c r="B53" s="43"/>
      <c r="C53" s="31"/>
      <c r="D53" s="31"/>
      <c r="E53" s="43" t="s">
        <v>116</v>
      </c>
      <c r="F53" s="24">
        <v>22086315.170000002</v>
      </c>
      <c r="G53" s="24">
        <v>9966511.5</v>
      </c>
      <c r="H53" s="2647">
        <f>62031461.74-H52</f>
        <v>45375711.740000002</v>
      </c>
      <c r="I53" s="68">
        <v>0</v>
      </c>
      <c r="J53" s="68">
        <v>0</v>
      </c>
      <c r="K53" s="68"/>
      <c r="L53" s="68" t="e">
        <f>+รายละเอียดรายจ่าย!#REF!</f>
        <v>#REF!</v>
      </c>
      <c r="M53" s="68"/>
      <c r="N53" s="68" t="e">
        <f t="shared" si="9"/>
        <v>#REF!</v>
      </c>
      <c r="O53" s="43"/>
      <c r="P53" s="151"/>
      <c r="Q53" s="44"/>
    </row>
    <row r="54" spans="2:17" s="32" customFormat="1" ht="24.95" customHeight="1">
      <c r="B54" s="43"/>
      <c r="C54" s="31"/>
      <c r="D54" s="31"/>
      <c r="E54" s="43" t="s">
        <v>117</v>
      </c>
      <c r="F54" s="24">
        <v>31693585.300000001</v>
      </c>
      <c r="G54" s="24">
        <f>50941596.51-G52</f>
        <v>32642537.259999998</v>
      </c>
      <c r="H54" s="2647"/>
      <c r="I54" s="68">
        <f>125588976.2-I52</f>
        <v>108588976.2</v>
      </c>
      <c r="J54" s="68">
        <v>24892105.98</v>
      </c>
      <c r="K54" s="68">
        <f>+J54/I54*100</f>
        <v>22.923234798856129</v>
      </c>
      <c r="L54" s="68" t="e">
        <f>+รายละเอียดรายจ่าย!Y178-L52-L53</f>
        <v>#REF!</v>
      </c>
      <c r="M54" s="68" t="e">
        <f>+(L54-I54)/I54*100</f>
        <v>#REF!</v>
      </c>
      <c r="N54" s="68" t="e">
        <f t="shared" si="9"/>
        <v>#REF!</v>
      </c>
      <c r="O54" s="152">
        <v>15572406.82</v>
      </c>
      <c r="P54" s="151">
        <f>+O54/I54*100</f>
        <v>14.340688497991383</v>
      </c>
      <c r="Q54" s="44"/>
    </row>
    <row r="55" spans="2:17" s="32" customFormat="1" ht="24.95" customHeight="1">
      <c r="B55" s="43"/>
      <c r="C55" s="31"/>
      <c r="D55" s="31"/>
      <c r="E55" s="31" t="s">
        <v>54</v>
      </c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</row>
    <row r="56" spans="2:17" s="32" customFormat="1" ht="24.95" customHeight="1">
      <c r="B56" s="43"/>
      <c r="C56" s="31"/>
      <c r="D56" s="31"/>
      <c r="E56" s="43" t="s">
        <v>109</v>
      </c>
      <c r="F56" s="137">
        <v>0</v>
      </c>
      <c r="G56" s="137">
        <v>0</v>
      </c>
      <c r="H56" s="24">
        <v>0</v>
      </c>
      <c r="I56" s="68">
        <v>0</v>
      </c>
      <c r="J56" s="68">
        <v>0</v>
      </c>
      <c r="K56" s="68"/>
      <c r="L56" s="68">
        <v>0</v>
      </c>
      <c r="M56" s="68"/>
      <c r="N56" s="68">
        <f t="shared" ref="N56:N58" si="10">+L56-I56</f>
        <v>0</v>
      </c>
      <c r="O56" s="43"/>
      <c r="P56" s="43"/>
    </row>
    <row r="57" spans="2:17" s="32" customFormat="1" ht="24.95" customHeight="1">
      <c r="B57" s="43"/>
      <c r="C57" s="31"/>
      <c r="D57" s="31"/>
      <c r="E57" s="43" t="s">
        <v>110</v>
      </c>
      <c r="F57" s="137">
        <v>0</v>
      </c>
      <c r="G57" s="137">
        <v>0</v>
      </c>
      <c r="H57" s="24">
        <v>0</v>
      </c>
      <c r="I57" s="68">
        <v>0</v>
      </c>
      <c r="J57" s="68">
        <v>0</v>
      </c>
      <c r="K57" s="68"/>
      <c r="L57" s="68">
        <f>+รายละเอียดรายจ่าย!Y197</f>
        <v>24000000</v>
      </c>
      <c r="M57" s="68"/>
      <c r="N57" s="68">
        <f t="shared" si="10"/>
        <v>24000000</v>
      </c>
      <c r="O57" s="43"/>
      <c r="P57" s="43"/>
    </row>
    <row r="58" spans="2:17" s="32" customFormat="1" ht="24.95" customHeight="1">
      <c r="B58" s="43"/>
      <c r="C58" s="31"/>
      <c r="D58" s="31"/>
      <c r="E58" s="43" t="s">
        <v>111</v>
      </c>
      <c r="F58" s="137">
        <v>0</v>
      </c>
      <c r="G58" s="24">
        <v>13265578</v>
      </c>
      <c r="H58" s="24">
        <v>0</v>
      </c>
      <c r="I58" s="68">
        <v>112480442.59999999</v>
      </c>
      <c r="J58" s="68">
        <v>0</v>
      </c>
      <c r="K58" s="68"/>
      <c r="L58" s="68">
        <f>+รายละเอียดรายจ่าย!Y196</f>
        <v>226026911.13999999</v>
      </c>
      <c r="M58" s="68">
        <f t="shared" ref="M58:M63" si="11">+(L58-I58)/I58*100</f>
        <v>100.94774337241094</v>
      </c>
      <c r="N58" s="68">
        <f t="shared" si="10"/>
        <v>113546468.53999999</v>
      </c>
      <c r="O58" s="158">
        <v>0</v>
      </c>
      <c r="P58" s="151">
        <f>+O58/I58*100</f>
        <v>0</v>
      </c>
    </row>
    <row r="59" spans="2:17" s="32" customFormat="1" ht="24.95" customHeight="1">
      <c r="B59" s="43"/>
      <c r="C59" s="70" t="s">
        <v>107</v>
      </c>
      <c r="D59" s="70"/>
      <c r="E59" s="70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</row>
    <row r="60" spans="2:17" s="32" customFormat="1" ht="24.95" customHeight="1">
      <c r="B60" s="43"/>
      <c r="C60" s="31"/>
      <c r="D60" s="43" t="s">
        <v>119</v>
      </c>
      <c r="E60" s="43"/>
      <c r="F60" s="24">
        <f>8164178.01+2129000</f>
        <v>10293178.01</v>
      </c>
      <c r="G60" s="24">
        <f>8208166.77+64500</f>
        <v>8272666.7699999996</v>
      </c>
      <c r="H60" s="24">
        <f>127930+1102457.67+1099806.51+4230700</f>
        <v>6560894.1799999997</v>
      </c>
      <c r="I60" s="68">
        <f>600000+2000000</f>
        <v>2600000</v>
      </c>
      <c r="J60" s="68">
        <v>87000</v>
      </c>
      <c r="K60" s="68">
        <f>+J60/I60*100</f>
        <v>3.3461538461538458</v>
      </c>
      <c r="L60" s="68" t="e">
        <f>+รายละเอียดรายจ่าย!Y203+รายละเอียดรายจ่าย!#REF!</f>
        <v>#REF!</v>
      </c>
      <c r="M60" s="68" t="e">
        <f t="shared" si="11"/>
        <v>#REF!</v>
      </c>
      <c r="N60" s="68" t="e">
        <f t="shared" ref="N60:N62" si="12">+L60-I60</f>
        <v>#REF!</v>
      </c>
      <c r="O60" s="43">
        <v>0</v>
      </c>
      <c r="P60" s="43"/>
    </row>
    <row r="61" spans="2:17" s="32" customFormat="1" ht="24.95" customHeight="1">
      <c r="B61" s="43"/>
      <c r="C61" s="31"/>
      <c r="D61" s="43" t="s">
        <v>106</v>
      </c>
      <c r="E61" s="43"/>
      <c r="F61" s="24">
        <f>18494540.71-F60</f>
        <v>8201362.7000000011</v>
      </c>
      <c r="G61" s="24">
        <f>13567272.48-G60</f>
        <v>5294605.7100000009</v>
      </c>
      <c r="H61" s="24">
        <f>12299449.89-H60+4357500</f>
        <v>10096055.710000001</v>
      </c>
      <c r="I61" s="68">
        <f>8000000-I60</f>
        <v>5400000</v>
      </c>
      <c r="J61" s="68">
        <f>10722949.75-J60</f>
        <v>10635949.75</v>
      </c>
      <c r="K61" s="68">
        <f>+J61/I61*100</f>
        <v>196.96203240740741</v>
      </c>
      <c r="L61" s="68" t="e">
        <f>+รายละเอียดรายจ่าย!#REF!+รายละเอียดรายจ่าย!#REF!+รายละเอียดรายจ่าย!#REF!</f>
        <v>#REF!</v>
      </c>
      <c r="M61" s="68" t="e">
        <f t="shared" si="11"/>
        <v>#REF!</v>
      </c>
      <c r="N61" s="68" t="e">
        <f t="shared" si="12"/>
        <v>#REF!</v>
      </c>
      <c r="O61" s="159">
        <v>3757346.75</v>
      </c>
      <c r="P61" s="151">
        <f>+O61/I61*100</f>
        <v>69.580495370370372</v>
      </c>
    </row>
    <row r="62" spans="2:17" s="32" customFormat="1" ht="24.95" customHeight="1">
      <c r="B62" s="43"/>
      <c r="C62" s="31" t="s">
        <v>176</v>
      </c>
      <c r="D62" s="31"/>
      <c r="E62" s="43"/>
      <c r="F62" s="25"/>
      <c r="G62" s="25"/>
      <c r="H62" s="25"/>
      <c r="I62" s="68">
        <v>10000000</v>
      </c>
      <c r="J62" s="68">
        <v>0</v>
      </c>
      <c r="K62" s="68">
        <f>+J62/I62*100</f>
        <v>0</v>
      </c>
      <c r="L62" s="68">
        <f>+รายละเอียดรายจ่าย!Y224</f>
        <v>10000000</v>
      </c>
      <c r="M62" s="68">
        <f t="shared" si="11"/>
        <v>0</v>
      </c>
      <c r="N62" s="68">
        <f t="shared" si="12"/>
        <v>0</v>
      </c>
      <c r="O62" s="158">
        <v>0</v>
      </c>
      <c r="P62" s="151">
        <f>+O62/I62*100</f>
        <v>0</v>
      </c>
    </row>
    <row r="63" spans="2:17" s="32" customFormat="1" ht="24.95" customHeight="1">
      <c r="B63" s="210"/>
      <c r="C63" s="162"/>
      <c r="D63" s="162"/>
      <c r="E63" s="163" t="s">
        <v>55</v>
      </c>
      <c r="F63" s="154">
        <f>SUM(F27:F62)</f>
        <v>1640263454.6099997</v>
      </c>
      <c r="G63" s="154">
        <f t="shared" ref="G63:O63" si="13">SUM(G27:G62)</f>
        <v>1834105673.6299999</v>
      </c>
      <c r="H63" s="154">
        <f t="shared" si="13"/>
        <v>1794536654.4399998</v>
      </c>
      <c r="I63" s="154">
        <f t="shared" si="13"/>
        <v>2075805418.8</v>
      </c>
      <c r="J63" s="154">
        <f t="shared" si="13"/>
        <v>1020618754.9399999</v>
      </c>
      <c r="K63" s="177">
        <f>+J63/I63*100</f>
        <v>49.167361530928474</v>
      </c>
      <c r="L63" s="154" t="e">
        <f>SUM(L25:L62)</f>
        <v>#REF!</v>
      </c>
      <c r="M63" s="177" t="e">
        <f t="shared" si="11"/>
        <v>#REF!</v>
      </c>
      <c r="N63" s="177"/>
      <c r="O63" s="154">
        <f t="shared" si="13"/>
        <v>519292275.97999996</v>
      </c>
      <c r="P63" s="164">
        <f>+O63/I63*100</f>
        <v>25.016423566337785</v>
      </c>
    </row>
    <row r="64" spans="2:17" s="32" customFormat="1" ht="24.95" customHeight="1">
      <c r="B64" s="43"/>
      <c r="C64" s="31"/>
      <c r="D64" s="31"/>
      <c r="E64" s="46" t="s">
        <v>56</v>
      </c>
      <c r="F64" s="24">
        <f t="shared" ref="F64:H64" si="14">F24-F63</f>
        <v>65663259.520000458</v>
      </c>
      <c r="G64" s="24">
        <f t="shared" si="14"/>
        <v>407326454.88000035</v>
      </c>
      <c r="H64" s="24">
        <f t="shared" si="14"/>
        <v>132561881.53000021</v>
      </c>
      <c r="I64" s="24">
        <f>I24-I63</f>
        <v>-106805418.79999995</v>
      </c>
      <c r="J64" s="24"/>
      <c r="K64" s="24"/>
      <c r="L64" s="24" t="e">
        <f>L24-L63</f>
        <v>#REF!</v>
      </c>
      <c r="M64" s="24"/>
      <c r="N64" s="68"/>
      <c r="O64" s="150">
        <f>+O24-O63</f>
        <v>57555722.200000226</v>
      </c>
      <c r="P64" s="151">
        <f>+P24-P63</f>
        <v>4.2800720243173771</v>
      </c>
    </row>
    <row r="65" spans="1:16" s="32" customFormat="1" ht="24.95" customHeight="1">
      <c r="A65" s="173"/>
      <c r="B65" s="43"/>
      <c r="C65" s="43"/>
      <c r="D65" s="43"/>
      <c r="E65" s="46" t="s">
        <v>57</v>
      </c>
      <c r="F65" s="24">
        <v>136248645.56999972</v>
      </c>
      <c r="G65" s="24">
        <v>201105725.03000024</v>
      </c>
      <c r="H65" s="24">
        <f>+G66</f>
        <v>608432179.91000056</v>
      </c>
      <c r="I65" s="24">
        <f>+H66</f>
        <v>740994061.44000077</v>
      </c>
      <c r="J65" s="24"/>
      <c r="K65" s="24"/>
      <c r="L65" s="213">
        <f>+I66</f>
        <v>634188642.64000082</v>
      </c>
      <c r="M65" s="24"/>
      <c r="N65" s="68"/>
      <c r="O65" s="159">
        <f>+I66</f>
        <v>634188642.64000082</v>
      </c>
      <c r="P65" s="151">
        <f>+O65/I65*100</f>
        <v>85.586197736532327</v>
      </c>
    </row>
    <row r="66" spans="1:16" s="32" customFormat="1" ht="24.95" customHeight="1">
      <c r="B66" s="43"/>
      <c r="C66" s="43"/>
      <c r="D66" s="43"/>
      <c r="E66" s="46" t="s">
        <v>58</v>
      </c>
      <c r="F66" s="24">
        <f>+F64+F65</f>
        <v>201911905.09000018</v>
      </c>
      <c r="G66" s="24">
        <f>+G64+G65</f>
        <v>608432179.91000056</v>
      </c>
      <c r="H66" s="24">
        <f>+H64+H65</f>
        <v>740994061.44000077</v>
      </c>
      <c r="I66" s="24">
        <f>+I64+I65</f>
        <v>634188642.64000082</v>
      </c>
      <c r="J66" s="24"/>
      <c r="K66" s="24"/>
      <c r="L66" s="24" t="e">
        <f>+L64+L65</f>
        <v>#REF!</v>
      </c>
      <c r="M66" s="24"/>
      <c r="N66" s="68"/>
      <c r="O66" s="171">
        <f>+O64+O65</f>
        <v>691744364.84000111</v>
      </c>
      <c r="P66" s="172">
        <f>+P64+P65</f>
        <v>89.866269760849704</v>
      </c>
    </row>
    <row r="67" spans="1:16" s="32" customFormat="1" ht="24.95" customHeight="1">
      <c r="B67" s="43"/>
      <c r="C67" s="43"/>
      <c r="D67" s="43"/>
      <c r="E67" s="46" t="s">
        <v>59</v>
      </c>
      <c r="F67" s="24">
        <v>58045277.850000001</v>
      </c>
      <c r="G67" s="24">
        <v>56325869.409999996</v>
      </c>
      <c r="H67" s="24">
        <v>85488666.950000003</v>
      </c>
      <c r="I67" s="24" t="e">
        <f>+รายได้รอการจัดสรร!#REF!</f>
        <v>#REF!</v>
      </c>
      <c r="J67" s="24"/>
      <c r="K67" s="24"/>
      <c r="L67" s="24" t="e">
        <f>+I67</f>
        <v>#REF!</v>
      </c>
      <c r="M67" s="24"/>
      <c r="N67" s="68"/>
      <c r="O67" s="159">
        <f>76296849.02</f>
        <v>76296849.019999996</v>
      </c>
      <c r="P67" s="43"/>
    </row>
    <row r="68" spans="1:16" s="32" customFormat="1" ht="24.95" customHeight="1">
      <c r="B68" s="43"/>
      <c r="C68" s="43"/>
      <c r="D68" s="43"/>
      <c r="E68" s="46" t="s">
        <v>60</v>
      </c>
      <c r="F68" s="24">
        <v>493604929.52999997</v>
      </c>
      <c r="G68" s="24">
        <v>399847504.07000005</v>
      </c>
      <c r="H68" s="24">
        <v>523497531.72000003</v>
      </c>
      <c r="I68" s="24">
        <f>+ภาระผูกพัน!F30</f>
        <v>379000000</v>
      </c>
      <c r="J68" s="24"/>
      <c r="K68" s="24"/>
      <c r="L68" s="24">
        <f>+ภาระผูกพัน!F30</f>
        <v>379000000</v>
      </c>
      <c r="M68" s="24"/>
      <c r="N68" s="68"/>
      <c r="O68" s="160">
        <f>501750088.48-O67</f>
        <v>425453239.46000004</v>
      </c>
      <c r="P68" s="43"/>
    </row>
    <row r="69" spans="1:16" s="32" customFormat="1" ht="24.95" customHeight="1">
      <c r="B69" s="43"/>
      <c r="C69" s="43"/>
      <c r="D69" s="43"/>
      <c r="E69" s="46" t="s">
        <v>114</v>
      </c>
      <c r="F69" s="24">
        <f>+F66-F67-F68</f>
        <v>-349738302.28999978</v>
      </c>
      <c r="G69" s="24">
        <f t="shared" ref="G69:L69" si="15">+G66-G67-G68</f>
        <v>152258806.43000054</v>
      </c>
      <c r="H69" s="24">
        <f t="shared" si="15"/>
        <v>132007862.7700007</v>
      </c>
      <c r="I69" s="24" t="e">
        <f t="shared" si="15"/>
        <v>#REF!</v>
      </c>
      <c r="J69" s="24"/>
      <c r="K69" s="24"/>
      <c r="L69" s="24" t="e">
        <f t="shared" si="15"/>
        <v>#REF!</v>
      </c>
      <c r="M69" s="24"/>
      <c r="N69" s="68"/>
      <c r="O69" s="150">
        <f>+O66-O67-O68</f>
        <v>189994276.36000109</v>
      </c>
      <c r="P69" s="151">
        <f>+P66-P67-P68</f>
        <v>89.866269760849704</v>
      </c>
    </row>
    <row r="70" spans="1:16" s="32" customFormat="1" ht="24.95" customHeight="1">
      <c r="B70" s="31" t="s">
        <v>61</v>
      </c>
      <c r="C70" s="31"/>
      <c r="D70" s="31"/>
      <c r="E70" s="31"/>
      <c r="F70" s="24"/>
      <c r="G70" s="24"/>
      <c r="H70" s="24"/>
      <c r="I70" s="24"/>
      <c r="J70" s="24"/>
      <c r="K70" s="24"/>
      <c r="L70" s="24"/>
      <c r="M70" s="24"/>
      <c r="N70" s="24"/>
      <c r="O70" s="43"/>
      <c r="P70" s="43"/>
    </row>
    <row r="71" spans="1:16" s="32" customFormat="1" ht="24.95" customHeight="1">
      <c r="B71" s="31"/>
      <c r="C71" s="31" t="s">
        <v>62</v>
      </c>
      <c r="D71" s="31"/>
      <c r="E71" s="43"/>
      <c r="F71" s="24">
        <v>0</v>
      </c>
      <c r="G71" s="24">
        <v>0</v>
      </c>
      <c r="H71" s="25"/>
      <c r="I71" s="68">
        <v>0</v>
      </c>
      <c r="J71" s="68"/>
      <c r="K71" s="68"/>
      <c r="L71" s="68">
        <v>0</v>
      </c>
      <c r="M71" s="68"/>
      <c r="N71" s="68"/>
      <c r="O71" s="43"/>
      <c r="P71" s="43"/>
    </row>
    <row r="72" spans="1:16" s="32" customFormat="1" ht="24.95" customHeight="1">
      <c r="B72" s="31"/>
      <c r="C72" s="31" t="s">
        <v>63</v>
      </c>
      <c r="D72" s="31"/>
      <c r="E72" s="43"/>
      <c r="F72" s="24">
        <v>13450973.619999999</v>
      </c>
      <c r="G72" s="24">
        <v>14604822.869999999</v>
      </c>
      <c r="H72" s="24">
        <v>83264087.5</v>
      </c>
      <c r="I72" s="68">
        <v>63000000</v>
      </c>
      <c r="J72" s="68"/>
      <c r="K72" s="68"/>
      <c r="L72" s="68">
        <v>158000000</v>
      </c>
      <c r="M72" s="68"/>
      <c r="N72" s="68"/>
      <c r="O72" s="159">
        <v>99409351.780000001</v>
      </c>
      <c r="P72" s="43"/>
    </row>
    <row r="73" spans="1:16" s="32" customFormat="1" ht="24.95" customHeight="1">
      <c r="B73" s="31"/>
      <c r="C73" s="31" t="s">
        <v>64</v>
      </c>
      <c r="D73" s="31"/>
      <c r="E73" s="31"/>
      <c r="F73" s="73"/>
      <c r="G73" s="73"/>
      <c r="H73" s="73"/>
      <c r="I73" s="73"/>
      <c r="J73" s="73"/>
      <c r="K73" s="73"/>
      <c r="L73" s="73"/>
      <c r="M73" s="73"/>
      <c r="N73" s="73"/>
      <c r="O73" s="78"/>
      <c r="P73" s="73"/>
    </row>
    <row r="74" spans="1:16" s="32" customFormat="1" ht="24.95" customHeight="1">
      <c r="B74" s="31"/>
      <c r="C74" s="31"/>
      <c r="D74" s="31"/>
      <c r="E74" s="31" t="s">
        <v>65</v>
      </c>
      <c r="F74" s="24">
        <v>0</v>
      </c>
      <c r="G74" s="24">
        <v>0</v>
      </c>
      <c r="H74" s="24">
        <v>0</v>
      </c>
      <c r="I74" s="68">
        <v>0</v>
      </c>
      <c r="J74" s="68"/>
      <c r="K74" s="68"/>
      <c r="L74" s="68">
        <v>0</v>
      </c>
      <c r="M74" s="68"/>
      <c r="N74" s="68"/>
      <c r="O74" s="43"/>
      <c r="P74" s="43"/>
    </row>
    <row r="75" spans="1:16" s="32" customFormat="1" ht="24.95" customHeight="1">
      <c r="B75" s="31"/>
      <c r="C75" s="31"/>
      <c r="D75" s="31"/>
      <c r="E75" s="31" t="s">
        <v>66</v>
      </c>
      <c r="F75" s="24">
        <v>95785349.439999998</v>
      </c>
      <c r="G75" s="24">
        <v>438711968.37</v>
      </c>
      <c r="H75" s="24">
        <v>613592120.99000001</v>
      </c>
      <c r="I75" s="68">
        <v>350000000</v>
      </c>
      <c r="J75" s="68"/>
      <c r="K75" s="68"/>
      <c r="L75" s="68">
        <v>673395471.58000004</v>
      </c>
      <c r="M75" s="68"/>
      <c r="N75" s="68"/>
      <c r="O75" s="159">
        <v>487723348.81</v>
      </c>
      <c r="P75" s="43"/>
    </row>
    <row r="76" spans="1:16" s="32" customFormat="1" ht="24.95" customHeight="1">
      <c r="B76" s="31"/>
      <c r="C76" s="31"/>
      <c r="D76" s="31"/>
      <c r="E76" s="31" t="s">
        <v>67</v>
      </c>
      <c r="F76" s="24">
        <v>0</v>
      </c>
      <c r="G76" s="24">
        <v>0</v>
      </c>
      <c r="H76" s="24">
        <v>0</v>
      </c>
      <c r="I76" s="68">
        <v>0</v>
      </c>
      <c r="J76" s="68"/>
      <c r="K76" s="68"/>
      <c r="L76" s="68">
        <v>0</v>
      </c>
      <c r="M76" s="68"/>
      <c r="N76" s="68"/>
      <c r="O76" s="43"/>
      <c r="P76" s="43"/>
    </row>
    <row r="77" spans="1:16" s="32" customFormat="1" ht="24.95" customHeight="1">
      <c r="B77" s="31"/>
      <c r="C77" s="31"/>
      <c r="D77" s="31"/>
      <c r="E77" s="48" t="s">
        <v>68</v>
      </c>
      <c r="F77" s="24">
        <f>SUM(F71:F72,F74,F75,F76)</f>
        <v>109236323.06</v>
      </c>
      <c r="G77" s="24">
        <f>SUM(G71:G72,G74,G75,G76)</f>
        <v>453316791.24000001</v>
      </c>
      <c r="H77" s="24">
        <f>SUM(H71:H72,H74,H75,H76)</f>
        <v>696856208.49000001</v>
      </c>
      <c r="I77" s="24">
        <f>SUM(I71:I72,I74,I75,I76)</f>
        <v>413000000</v>
      </c>
      <c r="J77" s="24"/>
      <c r="K77" s="24"/>
      <c r="L77" s="24">
        <f>SUM(L71:L72,L74,L75,L76)</f>
        <v>831395471.58000004</v>
      </c>
      <c r="M77" s="24"/>
      <c r="N77" s="24"/>
      <c r="O77" s="150">
        <f>+(I77+O24)-O63</f>
        <v>470555722.20000023</v>
      </c>
      <c r="P77" s="43"/>
    </row>
    <row r="78" spans="1:16" ht="21.75" customHeight="1">
      <c r="B78" s="2"/>
      <c r="C78" s="2"/>
      <c r="D78" s="2"/>
      <c r="E78" s="9"/>
      <c r="F78" s="10"/>
      <c r="G78" s="10"/>
      <c r="H78" s="10"/>
      <c r="I78" s="11"/>
      <c r="J78" s="11"/>
      <c r="K78" s="11"/>
      <c r="L78" s="11"/>
      <c r="M78" s="11"/>
      <c r="N78" s="11"/>
    </row>
    <row r="79" spans="1:16" ht="21.75" hidden="1" customHeight="1">
      <c r="B79" s="12" t="s">
        <v>69</v>
      </c>
      <c r="C79" s="2"/>
      <c r="D79" s="2"/>
      <c r="E79" s="9"/>
      <c r="F79" s="13"/>
      <c r="G79" s="13"/>
      <c r="H79" s="13"/>
      <c r="I79" s="22" t="s">
        <v>13</v>
      </c>
      <c r="J79" s="22"/>
      <c r="K79" s="22"/>
      <c r="L79" s="22"/>
      <c r="M79" s="22"/>
      <c r="N79" s="22"/>
    </row>
    <row r="80" spans="1:16" ht="21.75" hidden="1" customHeight="1">
      <c r="B80" s="2"/>
      <c r="C80" s="2"/>
      <c r="D80" s="2"/>
      <c r="E80" s="9" t="s">
        <v>70</v>
      </c>
      <c r="F80" s="13"/>
      <c r="G80" s="13"/>
      <c r="H80" s="13"/>
      <c r="I80" s="23">
        <f>+(I24-H24)/H24</f>
        <v>2.1743290884142039E-2</v>
      </c>
      <c r="J80" s="23"/>
      <c r="K80" s="23"/>
      <c r="L80" s="23"/>
      <c r="M80" s="23"/>
      <c r="N80" s="194"/>
    </row>
    <row r="81" spans="2:14" ht="21.75" hidden="1" customHeight="1">
      <c r="B81" s="2"/>
      <c r="C81" s="2"/>
      <c r="D81" s="2"/>
      <c r="E81" s="9" t="s">
        <v>71</v>
      </c>
      <c r="F81" s="13"/>
      <c r="G81" s="13"/>
      <c r="H81" s="13"/>
      <c r="I81" s="23">
        <f>+(I63-H63)/H63</f>
        <v>0.15673614894635429</v>
      </c>
      <c r="J81" s="23"/>
      <c r="K81" s="23"/>
      <c r="L81" s="23"/>
      <c r="M81" s="23"/>
      <c r="N81" s="194"/>
    </row>
    <row r="82" spans="2:14" ht="21.75" hidden="1" customHeight="1">
      <c r="B82" s="2"/>
      <c r="C82" s="2"/>
      <c r="D82" s="2"/>
      <c r="E82" s="9" t="s">
        <v>72</v>
      </c>
      <c r="F82" s="13"/>
      <c r="G82" s="13"/>
      <c r="H82" s="13"/>
      <c r="I82" s="23">
        <f>+(I52+I53+I54+I56+I57+I58)/I63</f>
        <v>0.11468773356301637</v>
      </c>
      <c r="J82" s="23"/>
      <c r="K82" s="23"/>
      <c r="L82" s="23"/>
      <c r="M82" s="23"/>
      <c r="N82" s="194"/>
    </row>
    <row r="83" spans="2:14" ht="21.75" hidden="1" customHeight="1">
      <c r="B83" s="3" t="s">
        <v>84</v>
      </c>
      <c r="C83" s="2"/>
      <c r="D83" s="2"/>
      <c r="E83" s="9"/>
      <c r="F83" s="13"/>
      <c r="G83" s="13"/>
      <c r="H83" s="13"/>
      <c r="I83" s="16"/>
      <c r="J83" s="16"/>
      <c r="K83" s="16"/>
      <c r="L83" s="16"/>
      <c r="M83" s="16"/>
      <c r="N83" s="16"/>
    </row>
    <row r="84" spans="2:14" ht="21.75" hidden="1" customHeight="1">
      <c r="E84" s="144" t="s">
        <v>85</v>
      </c>
      <c r="F84" s="8"/>
      <c r="G84" s="8"/>
      <c r="H84" s="8"/>
      <c r="I84" s="8"/>
      <c r="J84" s="8"/>
      <c r="K84" s="8"/>
      <c r="L84" s="8"/>
      <c r="M84" s="8"/>
      <c r="N84" s="8"/>
    </row>
    <row r="85" spans="2:14" ht="21.75" hidden="1" customHeight="1">
      <c r="B85" s="2"/>
      <c r="E85" s="144" t="s">
        <v>73</v>
      </c>
      <c r="F85" s="4"/>
      <c r="G85" s="4"/>
      <c r="H85" s="4"/>
      <c r="I85" s="4"/>
      <c r="J85" s="4"/>
      <c r="K85" s="4"/>
      <c r="L85" s="4"/>
      <c r="M85" s="4"/>
      <c r="N85" s="4"/>
    </row>
    <row r="86" spans="2:14" ht="21.75" hidden="1" customHeight="1">
      <c r="E86" s="144" t="s">
        <v>74</v>
      </c>
      <c r="F86" s="4"/>
      <c r="G86" s="4"/>
      <c r="H86" s="4"/>
      <c r="I86" s="4"/>
      <c r="J86" s="4"/>
      <c r="K86" s="4"/>
      <c r="L86" s="4"/>
      <c r="M86" s="4"/>
      <c r="N86" s="4"/>
    </row>
    <row r="87" spans="2:14" ht="21.75" hidden="1" customHeight="1">
      <c r="E87" s="144" t="s">
        <v>75</v>
      </c>
      <c r="F87" s="4"/>
      <c r="G87" s="4"/>
      <c r="H87" s="4"/>
      <c r="I87" s="4"/>
      <c r="J87" s="4"/>
      <c r="K87" s="4"/>
      <c r="L87" s="4"/>
      <c r="M87" s="4"/>
      <c r="N87" s="4"/>
    </row>
    <row r="88" spans="2:14" ht="21.75" hidden="1" customHeight="1">
      <c r="E88" s="144" t="s">
        <v>76</v>
      </c>
      <c r="F88" s="4"/>
      <c r="G88" s="4"/>
      <c r="H88" s="4"/>
      <c r="I88" s="4"/>
      <c r="J88" s="4"/>
      <c r="K88" s="4"/>
      <c r="L88" s="4"/>
      <c r="M88" s="4"/>
      <c r="N88" s="4"/>
    </row>
    <row r="89" spans="2:14" ht="21.75" customHeight="1">
      <c r="E89" s="144"/>
      <c r="F89" s="4"/>
      <c r="G89" s="4"/>
      <c r="H89" s="4"/>
      <c r="I89" s="4"/>
      <c r="J89" s="4"/>
      <c r="K89" s="4"/>
      <c r="L89" s="4"/>
      <c r="M89" s="4"/>
      <c r="N89" s="4"/>
    </row>
    <row r="90" spans="2:14" ht="21.75" customHeight="1">
      <c r="E90" s="144"/>
      <c r="F90" s="4"/>
      <c r="G90" s="4"/>
      <c r="H90" s="4"/>
      <c r="I90" s="4"/>
      <c r="J90" s="4"/>
      <c r="K90" s="4"/>
      <c r="L90" s="4"/>
      <c r="M90" s="4"/>
      <c r="N90" s="4"/>
    </row>
    <row r="91" spans="2:14" ht="21.75" customHeight="1">
      <c r="F91" s="4"/>
      <c r="G91" s="4"/>
      <c r="H91" s="4"/>
      <c r="I91" s="4"/>
      <c r="J91" s="4"/>
      <c r="K91" s="4"/>
      <c r="L91" s="4"/>
      <c r="M91" s="4"/>
      <c r="N91" s="4"/>
    </row>
    <row r="92" spans="2:14" ht="21.75" customHeight="1">
      <c r="E92" s="2"/>
      <c r="F92" s="4"/>
      <c r="G92" s="4"/>
      <c r="H92" s="4"/>
      <c r="I92" s="4"/>
      <c r="J92" s="4"/>
      <c r="K92" s="4"/>
      <c r="L92" s="4"/>
      <c r="M92" s="4"/>
      <c r="N92" s="4"/>
    </row>
    <row r="93" spans="2:14" ht="21.75" customHeight="1">
      <c r="B93" s="2"/>
      <c r="C93" s="2" t="s">
        <v>77</v>
      </c>
      <c r="D93" s="2"/>
      <c r="E93" s="2644" t="s">
        <v>214</v>
      </c>
      <c r="F93" s="2648"/>
      <c r="G93" s="2648"/>
      <c r="H93" s="2648"/>
      <c r="I93" s="2648"/>
      <c r="J93" s="2648"/>
      <c r="K93" s="2648"/>
      <c r="L93" s="2648"/>
      <c r="M93" s="2648"/>
      <c r="N93" s="49"/>
    </row>
    <row r="94" spans="2:14" ht="21.75" customHeight="1">
      <c r="B94" s="2"/>
      <c r="C94" s="2"/>
      <c r="D94" s="2"/>
      <c r="E94" s="50"/>
      <c r="F94" s="49"/>
      <c r="G94" s="49"/>
      <c r="H94" s="49"/>
      <c r="I94" s="49"/>
      <c r="J94" s="49"/>
      <c r="K94" s="49"/>
      <c r="L94" s="49"/>
      <c r="M94" s="49"/>
      <c r="N94" s="49"/>
    </row>
    <row r="95" spans="2:14" ht="21.75" customHeight="1">
      <c r="B95" s="2"/>
      <c r="C95" s="2"/>
      <c r="D95" s="2"/>
      <c r="E95" s="50"/>
      <c r="F95" s="49"/>
      <c r="G95" s="49"/>
      <c r="H95" s="49"/>
      <c r="I95" s="49"/>
      <c r="J95" s="49"/>
      <c r="K95" s="49"/>
      <c r="L95" s="49"/>
      <c r="M95" s="49"/>
      <c r="N95" s="49"/>
    </row>
    <row r="96" spans="2:14" s="49" customFormat="1" ht="21.75" customHeight="1">
      <c r="B96" s="50"/>
      <c r="C96" s="50"/>
      <c r="D96" s="50"/>
      <c r="E96" s="2644"/>
      <c r="F96" s="2648"/>
      <c r="G96" s="2648"/>
      <c r="H96" s="2648"/>
      <c r="I96" s="2648"/>
      <c r="J96" s="2648"/>
      <c r="K96" s="2648"/>
      <c r="L96" s="2648"/>
      <c r="M96" s="2648"/>
    </row>
    <row r="97" spans="2:14" s="49" customFormat="1" ht="21.75" customHeight="1">
      <c r="B97" s="50"/>
      <c r="C97" s="50"/>
      <c r="D97" s="50"/>
      <c r="E97" s="50"/>
    </row>
    <row r="98" spans="2:14" s="49" customFormat="1" ht="21.75" customHeight="1">
      <c r="E98" s="2644"/>
      <c r="F98" s="2644"/>
      <c r="G98" s="2644"/>
      <c r="H98" s="2644"/>
      <c r="I98" s="2644"/>
      <c r="J98" s="2644"/>
      <c r="K98" s="2644"/>
      <c r="L98" s="2644"/>
      <c r="M98" s="2644"/>
      <c r="N98" s="50"/>
    </row>
    <row r="99" spans="2:14" s="49" customFormat="1" ht="21.75" customHeight="1">
      <c r="E99" s="2644"/>
      <c r="F99" s="2644"/>
      <c r="G99" s="2644"/>
      <c r="H99" s="2644"/>
      <c r="I99" s="2644"/>
      <c r="J99" s="2644"/>
      <c r="K99" s="2644"/>
      <c r="L99" s="2644"/>
      <c r="M99" s="2644"/>
      <c r="N99" s="50"/>
    </row>
    <row r="100" spans="2:14" ht="21.75" customHeight="1"/>
    <row r="101" spans="2:14" ht="20.25" customHeight="1">
      <c r="F101" s="8"/>
      <c r="G101" s="8"/>
      <c r="H101" s="8"/>
      <c r="I101" s="8"/>
      <c r="J101" s="8"/>
      <c r="K101" s="8"/>
      <c r="L101" s="8"/>
      <c r="M101" s="8"/>
      <c r="N101" s="8"/>
    </row>
    <row r="102" spans="2:14" ht="20.25" customHeight="1">
      <c r="F102" s="8"/>
      <c r="G102" s="8"/>
      <c r="H102" s="8"/>
      <c r="I102" s="8"/>
      <c r="J102" s="8"/>
      <c r="K102" s="8"/>
      <c r="L102" s="8"/>
      <c r="M102" s="8"/>
      <c r="N102" s="8"/>
    </row>
    <row r="103" spans="2:14" ht="20.25" customHeight="1">
      <c r="F103" s="8"/>
      <c r="G103" s="8"/>
      <c r="H103" s="8"/>
      <c r="I103" s="8"/>
      <c r="J103" s="8"/>
      <c r="K103" s="8"/>
      <c r="L103" s="8"/>
      <c r="M103" s="8"/>
      <c r="N103" s="8"/>
    </row>
    <row r="104" spans="2:14" ht="20.25" customHeight="1">
      <c r="F104" s="8"/>
      <c r="G104" s="8"/>
      <c r="H104" s="8"/>
      <c r="I104" s="8"/>
      <c r="J104" s="8"/>
      <c r="K104" s="8"/>
      <c r="L104" s="8"/>
      <c r="M104" s="8"/>
      <c r="N104" s="8"/>
    </row>
    <row r="105" spans="2:14" ht="20.25" customHeight="1">
      <c r="F105" s="8"/>
      <c r="G105" s="8"/>
      <c r="H105" s="8"/>
      <c r="I105" s="8"/>
      <c r="J105" s="8"/>
      <c r="K105" s="8"/>
      <c r="L105" s="8"/>
      <c r="M105" s="8"/>
      <c r="N105" s="8"/>
    </row>
    <row r="106" spans="2:14" ht="20.25" customHeight="1">
      <c r="F106" s="8"/>
      <c r="G106" s="8"/>
      <c r="H106" s="8"/>
      <c r="I106" s="8"/>
      <c r="J106" s="8"/>
      <c r="K106" s="8"/>
      <c r="L106" s="8"/>
      <c r="M106" s="8"/>
      <c r="N106" s="8"/>
    </row>
    <row r="107" spans="2:14" ht="20.25" customHeight="1">
      <c r="F107" s="8"/>
      <c r="G107" s="8"/>
      <c r="H107" s="8"/>
      <c r="I107" s="8"/>
      <c r="J107" s="8"/>
      <c r="K107" s="8"/>
      <c r="L107" s="8"/>
      <c r="M107" s="8"/>
      <c r="N107" s="8"/>
    </row>
    <row r="108" spans="2:14" ht="20.25" customHeight="1">
      <c r="F108" s="8"/>
      <c r="G108" s="8"/>
      <c r="H108" s="8"/>
      <c r="I108" s="8"/>
      <c r="J108" s="8"/>
      <c r="K108" s="8"/>
      <c r="L108" s="8"/>
      <c r="M108" s="8"/>
      <c r="N108" s="8"/>
    </row>
    <row r="109" spans="2:14" ht="20.25" customHeight="1">
      <c r="F109" s="8"/>
      <c r="G109" s="8"/>
      <c r="H109" s="8"/>
      <c r="I109" s="8"/>
      <c r="J109" s="8"/>
      <c r="K109" s="8"/>
      <c r="L109" s="8"/>
      <c r="M109" s="8"/>
      <c r="N109" s="8"/>
    </row>
    <row r="110" spans="2:14" ht="20.25" customHeight="1">
      <c r="F110" s="8"/>
      <c r="G110" s="8"/>
      <c r="H110" s="8"/>
      <c r="I110" s="8"/>
      <c r="J110" s="8"/>
      <c r="K110" s="8"/>
      <c r="L110" s="8"/>
      <c r="M110" s="8"/>
      <c r="N110" s="8"/>
    </row>
    <row r="111" spans="2:14" ht="20.25" customHeight="1">
      <c r="F111" s="8"/>
      <c r="G111" s="8"/>
      <c r="H111" s="8"/>
      <c r="I111" s="8"/>
      <c r="J111" s="8"/>
      <c r="K111" s="8"/>
      <c r="L111" s="8"/>
      <c r="M111" s="8"/>
      <c r="N111" s="8"/>
    </row>
    <row r="112" spans="2:14" ht="20.25" customHeight="1">
      <c r="F112" s="8"/>
      <c r="G112" s="8"/>
      <c r="H112" s="8"/>
      <c r="I112" s="8"/>
      <c r="J112" s="8"/>
      <c r="K112" s="8"/>
      <c r="L112" s="8"/>
      <c r="M112" s="8"/>
      <c r="N112" s="8"/>
    </row>
    <row r="113" spans="6:14" s="14" customFormat="1" ht="20.25" customHeight="1">
      <c r="F113" s="8"/>
      <c r="G113" s="8"/>
      <c r="H113" s="8"/>
      <c r="I113" s="8"/>
      <c r="J113" s="8"/>
      <c r="K113" s="8"/>
      <c r="L113" s="8"/>
      <c r="M113" s="8"/>
      <c r="N113" s="8"/>
    </row>
    <row r="114" spans="6:14" s="14" customFormat="1" ht="20.25" customHeight="1">
      <c r="F114" s="8"/>
      <c r="G114" s="8"/>
      <c r="H114" s="8"/>
      <c r="I114" s="8"/>
      <c r="J114" s="8"/>
      <c r="K114" s="8"/>
      <c r="L114" s="8"/>
      <c r="M114" s="8"/>
      <c r="N114" s="8"/>
    </row>
    <row r="115" spans="6:14" s="14" customFormat="1" ht="20.25" customHeight="1">
      <c r="F115" s="8"/>
      <c r="G115" s="8"/>
      <c r="H115" s="8"/>
      <c r="I115" s="8"/>
      <c r="J115" s="8"/>
      <c r="K115" s="8"/>
      <c r="L115" s="8"/>
      <c r="M115" s="8"/>
      <c r="N115" s="8"/>
    </row>
    <row r="116" spans="6:14" s="14" customFormat="1" ht="20.25" customHeight="1">
      <c r="F116" s="8"/>
      <c r="G116" s="8"/>
      <c r="H116" s="8"/>
      <c r="I116" s="8"/>
      <c r="J116" s="8"/>
      <c r="K116" s="8"/>
      <c r="L116" s="8"/>
      <c r="M116" s="8"/>
      <c r="N116" s="8"/>
    </row>
    <row r="117" spans="6:14" s="14" customFormat="1" ht="20.25" customHeight="1">
      <c r="F117" s="8"/>
      <c r="G117" s="8"/>
      <c r="H117" s="8"/>
      <c r="I117" s="8"/>
      <c r="J117" s="8"/>
      <c r="K117" s="8"/>
      <c r="L117" s="8"/>
      <c r="M117" s="8"/>
      <c r="N117" s="8"/>
    </row>
    <row r="118" spans="6:14" s="14" customFormat="1" ht="14.25" customHeight="1">
      <c r="F118" s="8"/>
      <c r="G118" s="8"/>
      <c r="H118" s="8"/>
      <c r="I118" s="8"/>
      <c r="J118" s="8"/>
      <c r="K118" s="8"/>
      <c r="L118" s="8"/>
      <c r="M118" s="8"/>
      <c r="N118" s="8"/>
    </row>
    <row r="119" spans="6:14" s="14" customFormat="1" ht="14.25" customHeight="1">
      <c r="F119" s="8"/>
      <c r="G119" s="8"/>
      <c r="H119" s="8"/>
      <c r="I119" s="8"/>
      <c r="J119" s="8"/>
      <c r="K119" s="8"/>
      <c r="L119" s="8"/>
      <c r="M119" s="8"/>
      <c r="N119" s="8"/>
    </row>
    <row r="120" spans="6:14" s="14" customFormat="1" ht="14.25" customHeight="1">
      <c r="F120" s="8"/>
      <c r="G120" s="8"/>
      <c r="H120" s="8"/>
      <c r="I120" s="8"/>
      <c r="J120" s="8"/>
      <c r="K120" s="8"/>
      <c r="L120" s="8"/>
      <c r="M120" s="8"/>
      <c r="N120" s="8"/>
    </row>
    <row r="121" spans="6:14" s="14" customFormat="1" ht="14.25" customHeight="1">
      <c r="F121" s="8"/>
      <c r="G121" s="8"/>
      <c r="H121" s="8"/>
      <c r="I121" s="8"/>
      <c r="J121" s="8"/>
      <c r="K121" s="8"/>
      <c r="L121" s="8"/>
      <c r="M121" s="8"/>
      <c r="N121" s="8"/>
    </row>
    <row r="122" spans="6:14" s="14" customFormat="1" ht="14.25" customHeight="1">
      <c r="F122" s="8"/>
      <c r="G122" s="8"/>
      <c r="H122" s="8"/>
      <c r="I122" s="8"/>
      <c r="J122" s="8"/>
      <c r="K122" s="8"/>
      <c r="L122" s="8"/>
      <c r="M122" s="8"/>
      <c r="N122" s="8"/>
    </row>
    <row r="123" spans="6:14" s="14" customFormat="1" ht="14.25" customHeight="1">
      <c r="F123" s="8"/>
      <c r="G123" s="8"/>
      <c r="H123" s="8"/>
      <c r="I123" s="8"/>
      <c r="J123" s="8"/>
      <c r="K123" s="8"/>
      <c r="L123" s="8"/>
      <c r="M123" s="8"/>
      <c r="N123" s="8"/>
    </row>
    <row r="124" spans="6:14" s="14" customFormat="1" ht="14.25" customHeight="1">
      <c r="F124" s="8"/>
      <c r="G124" s="8"/>
      <c r="H124" s="8"/>
      <c r="I124" s="8"/>
      <c r="J124" s="8"/>
      <c r="K124" s="8"/>
      <c r="L124" s="8"/>
      <c r="M124" s="8"/>
      <c r="N124" s="8"/>
    </row>
    <row r="125" spans="6:14" s="14" customFormat="1" ht="14.25" customHeight="1">
      <c r="F125" s="8"/>
      <c r="G125" s="8"/>
      <c r="H125" s="8"/>
      <c r="I125" s="8"/>
      <c r="J125" s="8"/>
      <c r="K125" s="8"/>
      <c r="L125" s="8"/>
      <c r="M125" s="8"/>
      <c r="N125" s="8"/>
    </row>
    <row r="126" spans="6:14" s="14" customFormat="1" ht="14.25" customHeight="1">
      <c r="F126" s="8"/>
      <c r="G126" s="8"/>
      <c r="H126" s="8"/>
      <c r="I126" s="8"/>
      <c r="J126" s="8"/>
      <c r="K126" s="8"/>
      <c r="L126" s="8"/>
      <c r="M126" s="8"/>
      <c r="N126" s="8"/>
    </row>
    <row r="127" spans="6:14" s="14" customFormat="1" ht="14.25" customHeight="1">
      <c r="F127" s="8"/>
      <c r="G127" s="8"/>
      <c r="H127" s="8"/>
      <c r="I127" s="8"/>
      <c r="J127" s="8"/>
      <c r="K127" s="8"/>
      <c r="L127" s="8"/>
      <c r="M127" s="8"/>
      <c r="N127" s="8"/>
    </row>
    <row r="128" spans="6:14" s="14" customFormat="1" ht="14.25" customHeight="1">
      <c r="F128" s="8"/>
      <c r="G128" s="8"/>
      <c r="H128" s="8"/>
      <c r="I128" s="8"/>
      <c r="J128" s="8"/>
      <c r="K128" s="8"/>
      <c r="L128" s="8"/>
      <c r="M128" s="8"/>
      <c r="N128" s="8"/>
    </row>
    <row r="129" spans="6:14" s="14" customFormat="1" ht="14.25" customHeight="1">
      <c r="F129" s="8"/>
      <c r="G129" s="8"/>
      <c r="H129" s="8"/>
      <c r="I129" s="8"/>
      <c r="J129" s="8"/>
      <c r="K129" s="8"/>
      <c r="L129" s="8"/>
      <c r="M129" s="8"/>
      <c r="N129" s="8"/>
    </row>
    <row r="130" spans="6:14" s="14" customFormat="1" ht="14.25" customHeight="1">
      <c r="F130" s="8"/>
      <c r="G130" s="8"/>
      <c r="H130" s="8"/>
      <c r="I130" s="8"/>
      <c r="J130" s="8"/>
      <c r="K130" s="8"/>
      <c r="L130" s="8"/>
      <c r="M130" s="8"/>
      <c r="N130" s="8"/>
    </row>
    <row r="131" spans="6:14" s="14" customFormat="1" ht="14.25" customHeight="1">
      <c r="F131" s="8"/>
      <c r="G131" s="8"/>
      <c r="H131" s="8"/>
      <c r="I131" s="8"/>
      <c r="J131" s="8"/>
      <c r="K131" s="8"/>
      <c r="L131" s="8"/>
      <c r="M131" s="8"/>
      <c r="N131" s="8"/>
    </row>
    <row r="132" spans="6:14" s="14" customFormat="1" ht="14.25" customHeight="1">
      <c r="F132" s="8"/>
      <c r="G132" s="8"/>
      <c r="H132" s="8"/>
      <c r="I132" s="8"/>
      <c r="J132" s="8"/>
      <c r="K132" s="8"/>
      <c r="L132" s="8"/>
      <c r="M132" s="8"/>
      <c r="N132" s="8"/>
    </row>
    <row r="133" spans="6:14" s="14" customFormat="1" ht="14.25" customHeight="1">
      <c r="F133" s="8"/>
      <c r="G133" s="8"/>
      <c r="H133" s="8"/>
      <c r="I133" s="8"/>
      <c r="J133" s="8"/>
      <c r="K133" s="8"/>
      <c r="L133" s="8"/>
      <c r="M133" s="8"/>
      <c r="N133" s="8"/>
    </row>
    <row r="134" spans="6:14" s="14" customFormat="1" ht="14.25" customHeight="1">
      <c r="F134" s="8"/>
      <c r="G134" s="8"/>
      <c r="H134" s="8"/>
      <c r="I134" s="8"/>
      <c r="J134" s="8"/>
      <c r="K134" s="8"/>
      <c r="L134" s="8"/>
      <c r="M134" s="8"/>
      <c r="N134" s="8"/>
    </row>
    <row r="135" spans="6:14" s="14" customFormat="1" ht="14.25" customHeight="1">
      <c r="F135" s="8"/>
      <c r="G135" s="8"/>
      <c r="H135" s="8"/>
      <c r="I135" s="8"/>
      <c r="J135" s="8"/>
      <c r="K135" s="8"/>
      <c r="L135" s="8"/>
      <c r="M135" s="8"/>
      <c r="N135" s="8"/>
    </row>
    <row r="136" spans="6:14" s="14" customFormat="1" ht="14.25" customHeight="1">
      <c r="F136" s="8"/>
      <c r="G136" s="8"/>
      <c r="H136" s="8"/>
      <c r="I136" s="8"/>
      <c r="J136" s="8"/>
      <c r="K136" s="8"/>
      <c r="L136" s="8"/>
      <c r="M136" s="8"/>
      <c r="N136" s="8"/>
    </row>
    <row r="137" spans="6:14" s="14" customFormat="1" ht="14.25" customHeight="1">
      <c r="F137" s="8"/>
      <c r="G137" s="8"/>
      <c r="H137" s="8"/>
      <c r="I137" s="8"/>
      <c r="J137" s="8"/>
      <c r="K137" s="8"/>
      <c r="L137" s="8"/>
      <c r="M137" s="8"/>
      <c r="N137" s="8"/>
    </row>
    <row r="138" spans="6:14" s="14" customFormat="1" ht="14.25" customHeight="1">
      <c r="F138" s="8"/>
      <c r="G138" s="8"/>
      <c r="H138" s="8"/>
      <c r="I138" s="8"/>
      <c r="J138" s="8"/>
      <c r="K138" s="8"/>
      <c r="L138" s="8"/>
      <c r="M138" s="8"/>
      <c r="N138" s="8"/>
    </row>
    <row r="139" spans="6:14" s="14" customFormat="1" ht="14.25" customHeight="1">
      <c r="F139" s="8"/>
      <c r="G139" s="8"/>
      <c r="H139" s="8"/>
      <c r="I139" s="8"/>
      <c r="J139" s="8"/>
      <c r="K139" s="8"/>
      <c r="L139" s="8"/>
      <c r="M139" s="8"/>
      <c r="N139" s="8"/>
    </row>
    <row r="140" spans="6:14" s="14" customFormat="1" ht="14.25" customHeight="1">
      <c r="F140" s="8"/>
      <c r="G140" s="8"/>
      <c r="H140" s="8"/>
      <c r="I140" s="8"/>
      <c r="J140" s="8"/>
      <c r="K140" s="8"/>
      <c r="L140" s="8"/>
      <c r="M140" s="8"/>
      <c r="N140" s="8"/>
    </row>
    <row r="141" spans="6:14" s="14" customFormat="1" ht="14.25" customHeight="1">
      <c r="F141" s="8"/>
      <c r="G141" s="8"/>
      <c r="H141" s="8"/>
      <c r="I141" s="8"/>
      <c r="J141" s="8"/>
      <c r="K141" s="8"/>
      <c r="L141" s="8"/>
      <c r="M141" s="8"/>
      <c r="N141" s="8"/>
    </row>
    <row r="142" spans="6:14" s="14" customFormat="1" ht="14.25" customHeight="1">
      <c r="F142" s="8"/>
      <c r="G142" s="8"/>
      <c r="H142" s="8"/>
      <c r="I142" s="8"/>
      <c r="J142" s="8"/>
      <c r="K142" s="8"/>
      <c r="L142" s="8"/>
      <c r="M142" s="8"/>
      <c r="N142" s="8"/>
    </row>
    <row r="143" spans="6:14" s="14" customFormat="1" ht="14.25" customHeight="1">
      <c r="F143" s="8"/>
      <c r="G143" s="8"/>
      <c r="H143" s="8"/>
      <c r="I143" s="8"/>
      <c r="J143" s="8"/>
      <c r="K143" s="8"/>
      <c r="L143" s="8"/>
      <c r="M143" s="8"/>
      <c r="N143" s="8"/>
    </row>
    <row r="144" spans="6:14" s="14" customFormat="1" ht="14.25" customHeight="1">
      <c r="F144" s="8"/>
      <c r="G144" s="8"/>
      <c r="H144" s="8"/>
      <c r="I144" s="8"/>
      <c r="J144" s="8"/>
      <c r="K144" s="8"/>
      <c r="L144" s="8"/>
      <c r="M144" s="8"/>
      <c r="N144" s="8"/>
    </row>
    <row r="145" spans="6:14" s="14" customFormat="1" ht="14.25" customHeight="1">
      <c r="F145" s="8"/>
      <c r="G145" s="8"/>
      <c r="H145" s="8"/>
      <c r="I145" s="8"/>
      <c r="J145" s="8"/>
      <c r="K145" s="8"/>
      <c r="L145" s="8"/>
      <c r="M145" s="8"/>
      <c r="N145" s="8"/>
    </row>
    <row r="146" spans="6:14" s="14" customFormat="1" ht="14.25" customHeight="1">
      <c r="F146" s="8"/>
      <c r="G146" s="8"/>
      <c r="H146" s="8"/>
      <c r="I146" s="8"/>
      <c r="J146" s="8"/>
      <c r="K146" s="8"/>
      <c r="L146" s="8"/>
      <c r="M146" s="8"/>
      <c r="N146" s="8"/>
    </row>
    <row r="147" spans="6:14" s="14" customFormat="1" ht="14.25" customHeight="1">
      <c r="F147" s="8"/>
      <c r="G147" s="8"/>
      <c r="H147" s="8"/>
      <c r="I147" s="8"/>
      <c r="J147" s="8"/>
      <c r="K147" s="8"/>
      <c r="L147" s="8"/>
      <c r="M147" s="8"/>
      <c r="N147" s="8"/>
    </row>
    <row r="148" spans="6:14" s="14" customFormat="1" ht="14.25" customHeight="1">
      <c r="F148" s="8"/>
      <c r="G148" s="8"/>
      <c r="H148" s="8"/>
      <c r="I148" s="8"/>
      <c r="J148" s="8"/>
      <c r="K148" s="8"/>
      <c r="L148" s="8"/>
      <c r="M148" s="8"/>
      <c r="N148" s="8"/>
    </row>
    <row r="149" spans="6:14" s="14" customFormat="1" ht="14.25" customHeight="1">
      <c r="F149" s="8"/>
      <c r="G149" s="8"/>
      <c r="H149" s="8"/>
      <c r="I149" s="8"/>
      <c r="J149" s="8"/>
      <c r="K149" s="8"/>
      <c r="L149" s="8"/>
      <c r="M149" s="8"/>
      <c r="N149" s="8"/>
    </row>
    <row r="150" spans="6:14" s="14" customFormat="1" ht="14.25" customHeight="1">
      <c r="F150" s="8"/>
      <c r="G150" s="8"/>
      <c r="H150" s="8"/>
      <c r="I150" s="8"/>
      <c r="J150" s="8"/>
      <c r="K150" s="8"/>
      <c r="L150" s="8"/>
      <c r="M150" s="8"/>
      <c r="N150" s="8"/>
    </row>
    <row r="151" spans="6:14" s="14" customFormat="1" ht="14.25" customHeight="1">
      <c r="F151" s="8"/>
      <c r="G151" s="8"/>
      <c r="H151" s="8"/>
      <c r="I151" s="8"/>
      <c r="J151" s="8"/>
      <c r="K151" s="8"/>
      <c r="L151" s="8"/>
      <c r="M151" s="8"/>
      <c r="N151" s="8"/>
    </row>
    <row r="152" spans="6:14" s="14" customFormat="1" ht="14.25" customHeight="1">
      <c r="F152" s="8"/>
      <c r="G152" s="8"/>
      <c r="H152" s="8"/>
      <c r="I152" s="8"/>
      <c r="J152" s="8"/>
      <c r="K152" s="8"/>
      <c r="L152" s="8"/>
      <c r="M152" s="8"/>
      <c r="N152" s="8"/>
    </row>
    <row r="153" spans="6:14" s="14" customFormat="1" ht="14.25" customHeight="1">
      <c r="F153" s="8"/>
      <c r="G153" s="8"/>
      <c r="H153" s="8"/>
      <c r="I153" s="8"/>
      <c r="J153" s="8"/>
      <c r="K153" s="8"/>
      <c r="L153" s="8"/>
      <c r="M153" s="8"/>
      <c r="N153" s="8"/>
    </row>
    <row r="154" spans="6:14" s="14" customFormat="1" ht="14.25" customHeight="1">
      <c r="F154" s="8"/>
      <c r="G154" s="8"/>
      <c r="H154" s="8"/>
      <c r="I154" s="8"/>
      <c r="J154" s="8"/>
      <c r="K154" s="8"/>
      <c r="L154" s="8"/>
      <c r="M154" s="8"/>
      <c r="N154" s="8"/>
    </row>
    <row r="155" spans="6:14" s="14" customFormat="1" ht="14.25" customHeight="1">
      <c r="F155" s="8"/>
      <c r="G155" s="8"/>
      <c r="H155" s="8"/>
      <c r="I155" s="8"/>
      <c r="J155" s="8"/>
      <c r="K155" s="8"/>
      <c r="L155" s="8"/>
      <c r="M155" s="8"/>
      <c r="N155" s="8"/>
    </row>
    <row r="156" spans="6:14" s="14" customFormat="1" ht="14.25" customHeight="1">
      <c r="F156" s="8"/>
      <c r="G156" s="8"/>
      <c r="H156" s="8"/>
      <c r="I156" s="8"/>
      <c r="J156" s="8"/>
      <c r="K156" s="8"/>
      <c r="L156" s="8"/>
      <c r="M156" s="8"/>
      <c r="N156" s="8"/>
    </row>
    <row r="157" spans="6:14" s="14" customFormat="1" ht="14.25" customHeight="1">
      <c r="F157" s="8"/>
      <c r="G157" s="8"/>
      <c r="H157" s="8"/>
      <c r="I157" s="8"/>
      <c r="J157" s="8"/>
      <c r="K157" s="8"/>
      <c r="L157" s="8"/>
      <c r="M157" s="8"/>
      <c r="N157" s="8"/>
    </row>
    <row r="158" spans="6:14" s="14" customFormat="1" ht="14.25" customHeight="1">
      <c r="F158" s="8"/>
      <c r="G158" s="8"/>
      <c r="H158" s="8"/>
      <c r="I158" s="8"/>
      <c r="J158" s="8"/>
      <c r="K158" s="8"/>
      <c r="L158" s="8"/>
      <c r="M158" s="8"/>
      <c r="N158" s="8"/>
    </row>
    <row r="159" spans="6:14" s="14" customFormat="1" ht="14.25" customHeight="1">
      <c r="F159" s="8"/>
      <c r="G159" s="8"/>
      <c r="H159" s="8"/>
      <c r="I159" s="8"/>
      <c r="J159" s="8"/>
      <c r="K159" s="8"/>
      <c r="L159" s="8"/>
      <c r="M159" s="8"/>
      <c r="N159" s="8"/>
    </row>
    <row r="160" spans="6:14" s="14" customFormat="1" ht="14.25" customHeight="1">
      <c r="F160" s="8"/>
      <c r="G160" s="8"/>
      <c r="H160" s="8"/>
      <c r="I160" s="8"/>
      <c r="J160" s="8"/>
      <c r="K160" s="8"/>
      <c r="L160" s="8"/>
      <c r="M160" s="8"/>
      <c r="N160" s="8"/>
    </row>
    <row r="161" spans="6:14" s="14" customFormat="1" ht="14.25" customHeight="1">
      <c r="F161" s="8"/>
      <c r="G161" s="8"/>
      <c r="H161" s="8"/>
      <c r="I161" s="8"/>
      <c r="J161" s="8"/>
      <c r="K161" s="8"/>
      <c r="L161" s="8"/>
      <c r="M161" s="8"/>
      <c r="N161" s="8"/>
    </row>
    <row r="162" spans="6:14" s="14" customFormat="1" ht="14.25" customHeight="1">
      <c r="F162" s="8"/>
      <c r="G162" s="8"/>
      <c r="H162" s="8"/>
      <c r="I162" s="8"/>
      <c r="J162" s="8"/>
      <c r="K162" s="8"/>
      <c r="L162" s="8"/>
      <c r="M162" s="8"/>
      <c r="N162" s="8"/>
    </row>
    <row r="163" spans="6:14" s="14" customFormat="1" ht="14.25" customHeight="1">
      <c r="F163" s="8"/>
      <c r="G163" s="8"/>
      <c r="H163" s="8"/>
      <c r="I163" s="8"/>
      <c r="J163" s="8"/>
      <c r="K163" s="8"/>
      <c r="L163" s="8"/>
      <c r="M163" s="8"/>
      <c r="N163" s="8"/>
    </row>
    <row r="164" spans="6:14" s="14" customFormat="1" ht="14.25" customHeight="1">
      <c r="F164" s="8"/>
      <c r="G164" s="8"/>
      <c r="H164" s="8"/>
      <c r="I164" s="8"/>
      <c r="J164" s="8"/>
      <c r="K164" s="8"/>
      <c r="L164" s="8"/>
      <c r="M164" s="8"/>
      <c r="N164" s="8"/>
    </row>
    <row r="165" spans="6:14" s="14" customFormat="1" ht="14.25" customHeight="1">
      <c r="F165" s="8"/>
      <c r="G165" s="8"/>
      <c r="H165" s="8"/>
      <c r="I165" s="8"/>
      <c r="J165" s="8"/>
      <c r="K165" s="8"/>
      <c r="L165" s="8"/>
      <c r="M165" s="8"/>
      <c r="N165" s="8"/>
    </row>
    <row r="166" spans="6:14" s="14" customFormat="1" ht="14.25" customHeight="1">
      <c r="F166" s="8"/>
      <c r="G166" s="8"/>
      <c r="H166" s="8"/>
      <c r="I166" s="8"/>
      <c r="J166" s="8"/>
      <c r="K166" s="8"/>
      <c r="L166" s="8"/>
      <c r="M166" s="8"/>
      <c r="N166" s="8"/>
    </row>
    <row r="167" spans="6:14" s="14" customFormat="1" ht="14.25" customHeight="1">
      <c r="F167" s="8"/>
      <c r="G167" s="8"/>
      <c r="H167" s="8"/>
      <c r="I167" s="8"/>
      <c r="J167" s="8"/>
      <c r="K167" s="8"/>
      <c r="L167" s="8"/>
      <c r="M167" s="8"/>
      <c r="N167" s="8"/>
    </row>
    <row r="168" spans="6:14" s="14" customFormat="1" ht="14.25" customHeight="1">
      <c r="F168" s="8"/>
      <c r="G168" s="8"/>
      <c r="H168" s="8"/>
      <c r="I168" s="8"/>
      <c r="J168" s="8"/>
      <c r="K168" s="8"/>
      <c r="L168" s="8"/>
      <c r="M168" s="8"/>
      <c r="N168" s="8"/>
    </row>
    <row r="169" spans="6:14" s="14" customFormat="1" ht="14.25" customHeight="1">
      <c r="F169" s="8"/>
      <c r="G169" s="8"/>
      <c r="H169" s="8"/>
      <c r="I169" s="8"/>
      <c r="J169" s="8"/>
      <c r="K169" s="8"/>
      <c r="L169" s="8"/>
      <c r="M169" s="8"/>
      <c r="N169" s="8"/>
    </row>
    <row r="170" spans="6:14" s="14" customFormat="1" ht="14.25" customHeight="1">
      <c r="F170" s="8"/>
      <c r="G170" s="8"/>
      <c r="H170" s="8"/>
      <c r="I170" s="8"/>
      <c r="J170" s="8"/>
      <c r="K170" s="8"/>
      <c r="L170" s="8"/>
      <c r="M170" s="8"/>
      <c r="N170" s="8"/>
    </row>
    <row r="171" spans="6:14" s="14" customFormat="1" ht="14.25" customHeight="1">
      <c r="F171" s="8"/>
      <c r="G171" s="8"/>
      <c r="H171" s="8"/>
      <c r="I171" s="8"/>
      <c r="J171" s="8"/>
      <c r="K171" s="8"/>
      <c r="L171" s="8"/>
      <c r="M171" s="8"/>
      <c r="N171" s="8"/>
    </row>
    <row r="172" spans="6:14" s="14" customFormat="1" ht="14.25" customHeight="1">
      <c r="F172" s="8"/>
      <c r="G172" s="8"/>
      <c r="H172" s="8"/>
      <c r="I172" s="8"/>
      <c r="J172" s="8"/>
      <c r="K172" s="8"/>
      <c r="L172" s="8"/>
      <c r="M172" s="8"/>
      <c r="N172" s="8"/>
    </row>
    <row r="173" spans="6:14" s="14" customFormat="1" ht="14.25" customHeight="1">
      <c r="F173" s="8"/>
      <c r="G173" s="8"/>
      <c r="H173" s="8"/>
      <c r="I173" s="8"/>
      <c r="J173" s="8"/>
      <c r="K173" s="8"/>
      <c r="L173" s="8"/>
      <c r="M173" s="8"/>
      <c r="N173" s="8"/>
    </row>
    <row r="174" spans="6:14" s="14" customFormat="1" ht="14.25" customHeight="1">
      <c r="F174" s="8"/>
      <c r="G174" s="8"/>
      <c r="H174" s="8"/>
      <c r="I174" s="8"/>
      <c r="J174" s="8"/>
      <c r="K174" s="8"/>
      <c r="L174" s="8"/>
      <c r="M174" s="8"/>
      <c r="N174" s="8"/>
    </row>
    <row r="175" spans="6:14" s="14" customFormat="1" ht="14.25" customHeight="1">
      <c r="F175" s="8"/>
      <c r="G175" s="8"/>
      <c r="H175" s="8"/>
      <c r="I175" s="8"/>
      <c r="J175" s="8"/>
      <c r="K175" s="8"/>
      <c r="L175" s="8"/>
      <c r="M175" s="8"/>
      <c r="N175" s="8"/>
    </row>
    <row r="176" spans="6:14" s="14" customFormat="1" ht="14.25" customHeight="1">
      <c r="F176" s="8"/>
      <c r="G176" s="8"/>
      <c r="H176" s="8"/>
      <c r="I176" s="8"/>
      <c r="J176" s="8"/>
      <c r="K176" s="8"/>
      <c r="L176" s="8"/>
      <c r="M176" s="8"/>
      <c r="N176" s="8"/>
    </row>
    <row r="177" spans="6:14" s="14" customFormat="1" ht="14.25" customHeight="1">
      <c r="F177" s="8"/>
      <c r="G177" s="8"/>
      <c r="H177" s="8"/>
      <c r="I177" s="8"/>
      <c r="J177" s="8"/>
      <c r="K177" s="8"/>
      <c r="L177" s="8"/>
      <c r="M177" s="8"/>
      <c r="N177" s="8"/>
    </row>
    <row r="178" spans="6:14" s="14" customFormat="1" ht="14.25" customHeight="1">
      <c r="F178" s="8"/>
      <c r="G178" s="8"/>
      <c r="H178" s="8"/>
      <c r="I178" s="8"/>
      <c r="J178" s="8"/>
      <c r="K178" s="8"/>
      <c r="L178" s="8"/>
      <c r="M178" s="8"/>
      <c r="N178" s="8"/>
    </row>
    <row r="179" spans="6:14" s="14" customFormat="1" ht="14.25" customHeight="1">
      <c r="F179" s="8"/>
      <c r="G179" s="8"/>
      <c r="H179" s="8"/>
      <c r="I179" s="8"/>
      <c r="J179" s="8"/>
      <c r="K179" s="8"/>
      <c r="L179" s="8"/>
      <c r="M179" s="8"/>
      <c r="N179" s="8"/>
    </row>
    <row r="180" spans="6:14" s="14" customFormat="1" ht="14.25" customHeight="1">
      <c r="F180" s="8"/>
      <c r="G180" s="8"/>
      <c r="H180" s="8"/>
      <c r="I180" s="8"/>
      <c r="J180" s="8"/>
      <c r="K180" s="8"/>
      <c r="L180" s="8"/>
      <c r="M180" s="8"/>
      <c r="N180" s="8"/>
    </row>
    <row r="181" spans="6:14" s="14" customFormat="1" ht="14.25" customHeight="1">
      <c r="F181" s="8"/>
      <c r="G181" s="8"/>
      <c r="H181" s="8"/>
      <c r="I181" s="8"/>
      <c r="J181" s="8"/>
      <c r="K181" s="8"/>
      <c r="L181" s="8"/>
      <c r="M181" s="8"/>
      <c r="N181" s="8"/>
    </row>
    <row r="182" spans="6:14" s="14" customFormat="1" ht="14.25" customHeight="1">
      <c r="F182" s="8"/>
      <c r="G182" s="8"/>
      <c r="H182" s="8"/>
      <c r="I182" s="8"/>
      <c r="J182" s="8"/>
      <c r="K182" s="8"/>
      <c r="L182" s="8"/>
      <c r="M182" s="8"/>
      <c r="N182" s="8"/>
    </row>
    <row r="183" spans="6:14" s="14" customFormat="1" ht="14.25" customHeight="1">
      <c r="F183" s="8"/>
      <c r="G183" s="8"/>
      <c r="H183" s="8"/>
      <c r="I183" s="8"/>
      <c r="J183" s="8"/>
      <c r="K183" s="8"/>
      <c r="L183" s="8"/>
      <c r="M183" s="8"/>
      <c r="N183" s="8"/>
    </row>
    <row r="184" spans="6:14" s="14" customFormat="1" ht="14.25" customHeight="1">
      <c r="F184" s="8"/>
      <c r="G184" s="8"/>
      <c r="H184" s="8"/>
      <c r="I184" s="8"/>
      <c r="J184" s="8"/>
      <c r="K184" s="8"/>
      <c r="L184" s="8"/>
      <c r="M184" s="8"/>
      <c r="N184" s="8"/>
    </row>
    <row r="185" spans="6:14" s="14" customFormat="1" ht="14.25" customHeight="1">
      <c r="F185" s="8"/>
      <c r="G185" s="8"/>
      <c r="H185" s="8"/>
      <c r="I185" s="8"/>
      <c r="J185" s="8"/>
      <c r="K185" s="8"/>
      <c r="L185" s="8"/>
      <c r="M185" s="8"/>
      <c r="N185" s="8"/>
    </row>
    <row r="186" spans="6:14" s="14" customFormat="1" ht="14.25" customHeight="1">
      <c r="F186" s="8"/>
      <c r="G186" s="8"/>
      <c r="H186" s="8"/>
      <c r="I186" s="8"/>
      <c r="J186" s="8"/>
      <c r="K186" s="8"/>
      <c r="L186" s="8"/>
      <c r="M186" s="8"/>
      <c r="N186" s="8"/>
    </row>
    <row r="187" spans="6:14" s="14" customFormat="1" ht="14.25" customHeight="1">
      <c r="F187" s="8"/>
      <c r="G187" s="8"/>
      <c r="H187" s="8"/>
      <c r="I187" s="8"/>
      <c r="J187" s="8"/>
      <c r="K187" s="8"/>
      <c r="L187" s="8"/>
      <c r="M187" s="8"/>
      <c r="N187" s="8"/>
    </row>
    <row r="188" spans="6:14" s="14" customFormat="1" ht="14.25" customHeight="1">
      <c r="F188" s="8"/>
      <c r="G188" s="8"/>
      <c r="H188" s="8"/>
      <c r="I188" s="8"/>
      <c r="J188" s="8"/>
      <c r="K188" s="8"/>
      <c r="L188" s="8"/>
      <c r="M188" s="8"/>
      <c r="N188" s="8"/>
    </row>
    <row r="189" spans="6:14" s="14" customFormat="1" ht="14.25" customHeight="1">
      <c r="F189" s="8"/>
      <c r="G189" s="8"/>
      <c r="H189" s="8"/>
      <c r="I189" s="8"/>
      <c r="J189" s="8"/>
      <c r="K189" s="8"/>
      <c r="L189" s="8"/>
      <c r="M189" s="8"/>
      <c r="N189" s="8"/>
    </row>
    <row r="190" spans="6:14" s="14" customFormat="1" ht="14.25" customHeight="1">
      <c r="F190" s="8"/>
      <c r="G190" s="8"/>
      <c r="H190" s="8"/>
      <c r="I190" s="8"/>
      <c r="J190" s="8"/>
      <c r="K190" s="8"/>
      <c r="L190" s="8"/>
      <c r="M190" s="8"/>
      <c r="N190" s="8"/>
    </row>
    <row r="191" spans="6:14" s="14" customFormat="1" ht="14.25" customHeight="1">
      <c r="F191" s="8"/>
      <c r="G191" s="8"/>
      <c r="H191" s="8"/>
      <c r="I191" s="8"/>
      <c r="J191" s="8"/>
      <c r="K191" s="8"/>
      <c r="L191" s="8"/>
      <c r="M191" s="8"/>
      <c r="N191" s="8"/>
    </row>
    <row r="192" spans="6:14" s="14" customFormat="1" ht="14.25" customHeight="1">
      <c r="F192" s="8"/>
      <c r="G192" s="8"/>
      <c r="H192" s="8"/>
      <c r="I192" s="8"/>
      <c r="J192" s="8"/>
      <c r="K192" s="8"/>
      <c r="L192" s="8"/>
      <c r="M192" s="8"/>
      <c r="N192" s="8"/>
    </row>
    <row r="193" spans="6:14" s="14" customFormat="1" ht="14.25" customHeight="1">
      <c r="F193" s="8"/>
      <c r="G193" s="8"/>
      <c r="H193" s="8"/>
      <c r="I193" s="8"/>
      <c r="J193" s="8"/>
      <c r="K193" s="8"/>
      <c r="L193" s="8"/>
      <c r="M193" s="8"/>
      <c r="N193" s="8"/>
    </row>
    <row r="194" spans="6:14" s="14" customFormat="1" ht="14.25" customHeight="1">
      <c r="F194" s="8"/>
      <c r="G194" s="8"/>
      <c r="H194" s="8"/>
      <c r="I194" s="8"/>
      <c r="J194" s="8"/>
      <c r="K194" s="8"/>
      <c r="L194" s="8"/>
      <c r="M194" s="8"/>
      <c r="N194" s="8"/>
    </row>
    <row r="195" spans="6:14" s="14" customFormat="1" ht="14.25" customHeight="1">
      <c r="F195" s="8"/>
      <c r="G195" s="8"/>
      <c r="H195" s="8"/>
      <c r="I195" s="8"/>
      <c r="J195" s="8"/>
      <c r="K195" s="8"/>
      <c r="L195" s="8"/>
      <c r="M195" s="8"/>
      <c r="N195" s="8"/>
    </row>
    <row r="196" spans="6:14" s="14" customFormat="1" ht="14.25" customHeight="1">
      <c r="F196" s="8"/>
      <c r="G196" s="8"/>
      <c r="H196" s="8"/>
      <c r="I196" s="8"/>
      <c r="J196" s="8"/>
      <c r="K196" s="8"/>
      <c r="L196" s="8"/>
      <c r="M196" s="8"/>
      <c r="N196" s="8"/>
    </row>
    <row r="197" spans="6:14" s="14" customFormat="1" ht="14.25" customHeight="1">
      <c r="F197" s="8"/>
      <c r="G197" s="8"/>
      <c r="H197" s="8"/>
      <c r="I197" s="8"/>
      <c r="J197" s="8"/>
      <c r="K197" s="8"/>
      <c r="L197" s="8"/>
      <c r="M197" s="8"/>
      <c r="N197" s="8"/>
    </row>
    <row r="198" spans="6:14" s="14" customFormat="1" ht="14.25" customHeight="1">
      <c r="F198" s="8"/>
      <c r="G198" s="8"/>
      <c r="H198" s="8"/>
      <c r="I198" s="8"/>
      <c r="J198" s="8"/>
      <c r="K198" s="8"/>
      <c r="L198" s="8"/>
      <c r="M198" s="8"/>
      <c r="N198" s="8"/>
    </row>
    <row r="199" spans="6:14" s="14" customFormat="1" ht="14.25" customHeight="1">
      <c r="F199" s="8"/>
      <c r="G199" s="8"/>
      <c r="H199" s="8"/>
      <c r="I199" s="8"/>
      <c r="J199" s="8"/>
      <c r="K199" s="8"/>
      <c r="L199" s="8"/>
      <c r="M199" s="8"/>
      <c r="N199" s="8"/>
    </row>
    <row r="200" spans="6:14" s="14" customFormat="1" ht="14.25" customHeight="1">
      <c r="F200" s="8"/>
      <c r="G200" s="8"/>
      <c r="H200" s="8"/>
      <c r="I200" s="8"/>
      <c r="J200" s="8"/>
      <c r="K200" s="8"/>
      <c r="L200" s="8"/>
      <c r="M200" s="8"/>
      <c r="N200" s="8"/>
    </row>
    <row r="201" spans="6:14" s="14" customFormat="1" ht="14.25" customHeight="1">
      <c r="F201" s="8"/>
      <c r="G201" s="8"/>
      <c r="H201" s="8"/>
      <c r="I201" s="8"/>
      <c r="J201" s="8"/>
      <c r="K201" s="8"/>
      <c r="L201" s="8"/>
      <c r="M201" s="8"/>
      <c r="N201" s="8"/>
    </row>
    <row r="202" spans="6:14" s="14" customFormat="1" ht="14.25" customHeight="1">
      <c r="F202" s="8"/>
      <c r="G202" s="8"/>
      <c r="H202" s="8"/>
      <c r="I202" s="8"/>
      <c r="J202" s="8"/>
      <c r="K202" s="8"/>
      <c r="L202" s="8"/>
      <c r="M202" s="8"/>
      <c r="N202" s="8"/>
    </row>
    <row r="203" spans="6:14" s="14" customFormat="1" ht="14.25" customHeight="1">
      <c r="F203" s="8"/>
      <c r="G203" s="8"/>
      <c r="H203" s="8"/>
      <c r="I203" s="8"/>
      <c r="J203" s="8"/>
      <c r="K203" s="8"/>
      <c r="L203" s="8"/>
      <c r="M203" s="8"/>
      <c r="N203" s="8"/>
    </row>
    <row r="204" spans="6:14" s="14" customFormat="1" ht="14.25" customHeight="1">
      <c r="F204" s="8"/>
      <c r="G204" s="8"/>
      <c r="H204" s="8"/>
      <c r="I204" s="8"/>
      <c r="J204" s="8"/>
      <c r="K204" s="8"/>
      <c r="L204" s="8"/>
      <c r="M204" s="8"/>
      <c r="N204" s="8"/>
    </row>
    <row r="205" spans="6:14" s="14" customFormat="1" ht="14.25" customHeight="1">
      <c r="F205" s="8"/>
      <c r="G205" s="8"/>
      <c r="H205" s="8"/>
      <c r="I205" s="8"/>
      <c r="J205" s="8"/>
      <c r="K205" s="8"/>
      <c r="L205" s="8"/>
      <c r="M205" s="8"/>
      <c r="N205" s="8"/>
    </row>
    <row r="206" spans="6:14" s="14" customFormat="1" ht="14.25" customHeight="1">
      <c r="F206" s="8"/>
      <c r="G206" s="8"/>
      <c r="H206" s="8"/>
      <c r="I206" s="8"/>
      <c r="J206" s="8"/>
      <c r="K206" s="8"/>
      <c r="L206" s="8"/>
      <c r="M206" s="8"/>
      <c r="N206" s="8"/>
    </row>
    <row r="207" spans="6:14" s="14" customFormat="1" ht="14.25" customHeight="1">
      <c r="F207" s="8"/>
      <c r="G207" s="8"/>
      <c r="H207" s="8"/>
      <c r="I207" s="8"/>
      <c r="J207" s="8"/>
      <c r="K207" s="8"/>
      <c r="L207" s="8"/>
      <c r="M207" s="8"/>
      <c r="N207" s="8"/>
    </row>
    <row r="208" spans="6:14" s="14" customFormat="1" ht="14.25" customHeight="1">
      <c r="F208" s="8"/>
      <c r="G208" s="8"/>
      <c r="H208" s="8"/>
      <c r="I208" s="8"/>
      <c r="J208" s="8"/>
      <c r="K208" s="8"/>
      <c r="L208" s="8"/>
      <c r="M208" s="8"/>
      <c r="N208" s="8"/>
    </row>
    <row r="209" spans="6:14" s="14" customFormat="1" ht="14.25" customHeight="1">
      <c r="F209" s="8"/>
      <c r="G209" s="8"/>
      <c r="H209" s="8"/>
      <c r="I209" s="8"/>
      <c r="J209" s="8"/>
      <c r="K209" s="8"/>
      <c r="L209" s="8"/>
      <c r="M209" s="8"/>
      <c r="N209" s="8"/>
    </row>
    <row r="210" spans="6:14" s="14" customFormat="1" ht="14.25" customHeight="1">
      <c r="F210" s="8"/>
      <c r="G210" s="8"/>
      <c r="H210" s="8"/>
      <c r="I210" s="8"/>
      <c r="J210" s="8"/>
      <c r="K210" s="8"/>
      <c r="L210" s="8"/>
      <c r="M210" s="8"/>
      <c r="N210" s="8"/>
    </row>
    <row r="211" spans="6:14" s="14" customFormat="1" ht="14.25" customHeight="1">
      <c r="F211" s="8"/>
      <c r="G211" s="8"/>
      <c r="H211" s="8"/>
      <c r="I211" s="8"/>
      <c r="J211" s="8"/>
      <c r="K211" s="8"/>
      <c r="L211" s="8"/>
      <c r="M211" s="8"/>
      <c r="N211" s="8"/>
    </row>
    <row r="212" spans="6:14" s="14" customFormat="1" ht="14.25" customHeight="1">
      <c r="F212" s="8"/>
      <c r="G212" s="8"/>
      <c r="H212" s="8"/>
      <c r="I212" s="8"/>
      <c r="J212" s="8"/>
      <c r="K212" s="8"/>
      <c r="L212" s="8"/>
      <c r="M212" s="8"/>
      <c r="N212" s="8"/>
    </row>
    <row r="213" spans="6:14" s="14" customFormat="1" ht="14.25" customHeight="1">
      <c r="F213" s="8"/>
      <c r="G213" s="8"/>
      <c r="H213" s="8"/>
      <c r="I213" s="8"/>
      <c r="J213" s="8"/>
      <c r="K213" s="8"/>
      <c r="L213" s="8"/>
      <c r="M213" s="8"/>
      <c r="N213" s="8"/>
    </row>
    <row r="214" spans="6:14" s="14" customFormat="1" ht="14.25" customHeight="1">
      <c r="F214" s="8"/>
      <c r="G214" s="8"/>
      <c r="H214" s="8"/>
      <c r="I214" s="8"/>
      <c r="J214" s="8"/>
      <c r="K214" s="8"/>
      <c r="L214" s="8"/>
      <c r="M214" s="8"/>
      <c r="N214" s="8"/>
    </row>
    <row r="215" spans="6:14" s="14" customFormat="1" ht="14.25" customHeight="1">
      <c r="F215" s="8"/>
      <c r="G215" s="8"/>
      <c r="H215" s="8"/>
      <c r="I215" s="8"/>
      <c r="J215" s="8"/>
      <c r="K215" s="8"/>
      <c r="L215" s="8"/>
      <c r="M215" s="8"/>
      <c r="N215" s="8"/>
    </row>
    <row r="216" spans="6:14" s="14" customFormat="1" ht="14.25" customHeight="1">
      <c r="F216" s="8"/>
      <c r="G216" s="8"/>
      <c r="H216" s="8"/>
      <c r="I216" s="8"/>
      <c r="J216" s="8"/>
      <c r="K216" s="8"/>
      <c r="L216" s="8"/>
      <c r="M216" s="8"/>
      <c r="N216" s="8"/>
    </row>
    <row r="217" spans="6:14" s="14" customFormat="1" ht="14.25" customHeight="1">
      <c r="F217" s="8"/>
      <c r="G217" s="8"/>
      <c r="H217" s="8"/>
      <c r="I217" s="8"/>
      <c r="J217" s="8"/>
      <c r="K217" s="8"/>
      <c r="L217" s="8"/>
      <c r="M217" s="8"/>
      <c r="N217" s="8"/>
    </row>
    <row r="218" spans="6:14" s="14" customFormat="1" ht="14.25" customHeight="1">
      <c r="F218" s="8"/>
      <c r="G218" s="8"/>
      <c r="H218" s="8"/>
      <c r="I218" s="8"/>
      <c r="J218" s="8"/>
      <c r="K218" s="8"/>
      <c r="L218" s="8"/>
      <c r="M218" s="8"/>
      <c r="N218" s="8"/>
    </row>
    <row r="219" spans="6:14" s="14" customFormat="1" ht="14.25" customHeight="1">
      <c r="F219" s="8"/>
      <c r="G219" s="8"/>
      <c r="H219" s="8"/>
      <c r="I219" s="8"/>
      <c r="J219" s="8"/>
      <c r="K219" s="8"/>
      <c r="L219" s="8"/>
      <c r="M219" s="8"/>
      <c r="N219" s="8"/>
    </row>
    <row r="220" spans="6:14" s="14" customFormat="1" ht="14.25" customHeight="1">
      <c r="F220" s="8"/>
      <c r="G220" s="8"/>
      <c r="H220" s="8"/>
      <c r="I220" s="8"/>
      <c r="J220" s="8"/>
      <c r="K220" s="8"/>
      <c r="L220" s="8"/>
      <c r="M220" s="8"/>
      <c r="N220" s="8"/>
    </row>
    <row r="221" spans="6:14" s="14" customFormat="1" ht="14.25" customHeight="1">
      <c r="F221" s="8"/>
      <c r="G221" s="8"/>
      <c r="H221" s="8"/>
      <c r="I221" s="8"/>
      <c r="J221" s="8"/>
      <c r="K221" s="8"/>
      <c r="L221" s="8"/>
      <c r="M221" s="8"/>
      <c r="N221" s="8"/>
    </row>
    <row r="222" spans="6:14" s="14" customFormat="1" ht="14.25" customHeight="1">
      <c r="F222" s="8"/>
      <c r="G222" s="8"/>
      <c r="H222" s="8"/>
      <c r="I222" s="8"/>
      <c r="J222" s="8"/>
      <c r="K222" s="8"/>
      <c r="L222" s="8"/>
      <c r="M222" s="8"/>
      <c r="N222" s="8"/>
    </row>
    <row r="223" spans="6:14" s="14" customFormat="1" ht="14.25" customHeight="1">
      <c r="F223" s="8"/>
      <c r="G223" s="8"/>
      <c r="H223" s="8"/>
      <c r="I223" s="8"/>
      <c r="J223" s="8"/>
      <c r="K223" s="8"/>
      <c r="L223" s="8"/>
      <c r="M223" s="8"/>
      <c r="N223" s="8"/>
    </row>
    <row r="224" spans="6:14" s="14" customFormat="1" ht="14.25" customHeight="1">
      <c r="F224" s="8"/>
      <c r="G224" s="8"/>
      <c r="H224" s="8"/>
      <c r="I224" s="8"/>
      <c r="J224" s="8"/>
      <c r="K224" s="8"/>
      <c r="L224" s="8"/>
      <c r="M224" s="8"/>
      <c r="N224" s="8"/>
    </row>
    <row r="225" spans="6:14" s="14" customFormat="1" ht="14.25" customHeight="1">
      <c r="F225" s="8"/>
      <c r="G225" s="8"/>
      <c r="H225" s="8"/>
      <c r="I225" s="8"/>
      <c r="J225" s="8"/>
      <c r="K225" s="8"/>
      <c r="L225" s="8"/>
      <c r="M225" s="8"/>
      <c r="N225" s="8"/>
    </row>
    <row r="226" spans="6:14" s="14" customFormat="1" ht="14.25" customHeight="1">
      <c r="F226" s="8"/>
      <c r="G226" s="8"/>
      <c r="H226" s="8"/>
      <c r="I226" s="8"/>
      <c r="J226" s="8"/>
      <c r="K226" s="8"/>
      <c r="L226" s="8"/>
      <c r="M226" s="8"/>
      <c r="N226" s="8"/>
    </row>
    <row r="227" spans="6:14" s="14" customFormat="1" ht="14.25" customHeight="1">
      <c r="F227" s="8"/>
      <c r="G227" s="8"/>
      <c r="H227" s="8"/>
      <c r="I227" s="8"/>
      <c r="J227" s="8"/>
      <c r="K227" s="8"/>
      <c r="L227" s="8"/>
      <c r="M227" s="8"/>
      <c r="N227" s="8"/>
    </row>
    <row r="228" spans="6:14" s="14" customFormat="1" ht="14.25" customHeight="1">
      <c r="F228" s="8"/>
      <c r="G228" s="8"/>
      <c r="H228" s="8"/>
      <c r="I228" s="8"/>
      <c r="J228" s="8"/>
      <c r="K228" s="8"/>
      <c r="L228" s="8"/>
      <c r="M228" s="8"/>
      <c r="N228" s="8"/>
    </row>
    <row r="229" spans="6:14" s="14" customFormat="1" ht="14.25" customHeight="1">
      <c r="F229" s="8"/>
      <c r="G229" s="8"/>
      <c r="H229" s="8"/>
      <c r="I229" s="8"/>
      <c r="J229" s="8"/>
      <c r="K229" s="8"/>
      <c r="L229" s="8"/>
      <c r="M229" s="8"/>
      <c r="N229" s="8"/>
    </row>
    <row r="230" spans="6:14" s="14" customFormat="1" ht="14.25" customHeight="1">
      <c r="F230" s="8"/>
      <c r="G230" s="8"/>
      <c r="H230" s="8"/>
      <c r="I230" s="8"/>
      <c r="J230" s="8"/>
      <c r="K230" s="8"/>
      <c r="L230" s="8"/>
      <c r="M230" s="8"/>
      <c r="N230" s="8"/>
    </row>
    <row r="231" spans="6:14" s="14" customFormat="1" ht="14.25" customHeight="1">
      <c r="F231" s="8"/>
      <c r="G231" s="8"/>
      <c r="H231" s="8"/>
      <c r="I231" s="8"/>
      <c r="J231" s="8"/>
      <c r="K231" s="8"/>
      <c r="L231" s="8"/>
      <c r="M231" s="8"/>
      <c r="N231" s="8"/>
    </row>
    <row r="232" spans="6:14" s="14" customFormat="1" ht="14.25" customHeight="1">
      <c r="F232" s="8"/>
      <c r="G232" s="8"/>
      <c r="H232" s="8"/>
      <c r="I232" s="8"/>
      <c r="J232" s="8"/>
      <c r="K232" s="8"/>
      <c r="L232" s="8"/>
      <c r="M232" s="8"/>
      <c r="N232" s="8"/>
    </row>
    <row r="233" spans="6:14" s="14" customFormat="1" ht="14.25" customHeight="1">
      <c r="F233" s="8"/>
      <c r="G233" s="8"/>
      <c r="H233" s="8"/>
      <c r="I233" s="8"/>
      <c r="J233" s="8"/>
      <c r="K233" s="8"/>
      <c r="L233" s="8"/>
      <c r="M233" s="8"/>
      <c r="N233" s="8"/>
    </row>
    <row r="234" spans="6:14" s="14" customFormat="1" ht="14.25" customHeight="1">
      <c r="F234" s="8"/>
      <c r="G234" s="8"/>
      <c r="H234" s="8"/>
      <c r="I234" s="8"/>
      <c r="J234" s="8"/>
      <c r="K234" s="8"/>
      <c r="L234" s="8"/>
      <c r="M234" s="8"/>
      <c r="N234" s="8"/>
    </row>
    <row r="235" spans="6:14" s="14" customFormat="1" ht="14.25" customHeight="1">
      <c r="F235" s="8"/>
      <c r="G235" s="8"/>
      <c r="H235" s="8"/>
      <c r="I235" s="8"/>
      <c r="J235" s="8"/>
      <c r="K235" s="8"/>
      <c r="L235" s="8"/>
      <c r="M235" s="8"/>
      <c r="N235" s="8"/>
    </row>
    <row r="236" spans="6:14" s="14" customFormat="1" ht="14.25" customHeight="1">
      <c r="F236" s="8"/>
      <c r="G236" s="8"/>
      <c r="H236" s="8"/>
      <c r="I236" s="8"/>
      <c r="J236" s="8"/>
      <c r="K236" s="8"/>
      <c r="L236" s="8"/>
      <c r="M236" s="8"/>
      <c r="N236" s="8"/>
    </row>
    <row r="237" spans="6:14" s="14" customFormat="1" ht="14.25" customHeight="1">
      <c r="F237" s="8"/>
      <c r="G237" s="8"/>
      <c r="H237" s="8"/>
      <c r="I237" s="8"/>
      <c r="J237" s="8"/>
      <c r="K237" s="8"/>
      <c r="L237" s="8"/>
      <c r="M237" s="8"/>
      <c r="N237" s="8"/>
    </row>
    <row r="238" spans="6:14" s="14" customFormat="1" ht="14.25" customHeight="1">
      <c r="F238" s="8"/>
      <c r="G238" s="8"/>
      <c r="H238" s="8"/>
      <c r="I238" s="8"/>
      <c r="J238" s="8"/>
      <c r="K238" s="8"/>
      <c r="L238" s="8"/>
      <c r="M238" s="8"/>
      <c r="N238" s="8"/>
    </row>
    <row r="239" spans="6:14" s="14" customFormat="1" ht="14.25" customHeight="1">
      <c r="F239" s="8"/>
      <c r="G239" s="8"/>
      <c r="H239" s="8"/>
      <c r="I239" s="8"/>
      <c r="J239" s="8"/>
      <c r="K239" s="8"/>
      <c r="L239" s="8"/>
      <c r="M239" s="8"/>
      <c r="N239" s="8"/>
    </row>
    <row r="240" spans="6:14" s="14" customFormat="1" ht="14.25" customHeight="1">
      <c r="F240" s="8"/>
      <c r="G240" s="8"/>
      <c r="H240" s="8"/>
      <c r="I240" s="8"/>
      <c r="J240" s="8"/>
      <c r="K240" s="8"/>
      <c r="L240" s="8"/>
      <c r="M240" s="8"/>
      <c r="N240" s="8"/>
    </row>
    <row r="241" spans="6:14" s="14" customFormat="1" ht="14.25" customHeight="1">
      <c r="F241" s="8"/>
      <c r="G241" s="8"/>
      <c r="H241" s="8"/>
      <c r="I241" s="8"/>
      <c r="J241" s="8"/>
      <c r="K241" s="8"/>
      <c r="L241" s="8"/>
      <c r="M241" s="8"/>
      <c r="N241" s="8"/>
    </row>
    <row r="242" spans="6:14" s="14" customFormat="1" ht="14.25" customHeight="1">
      <c r="F242" s="8"/>
      <c r="G242" s="8"/>
      <c r="H242" s="8"/>
      <c r="I242" s="8"/>
      <c r="J242" s="8"/>
      <c r="K242" s="8"/>
      <c r="L242" s="8"/>
      <c r="M242" s="8"/>
      <c r="N242" s="8"/>
    </row>
    <row r="243" spans="6:14" s="14" customFormat="1" ht="14.25" customHeight="1">
      <c r="F243" s="8"/>
      <c r="G243" s="8"/>
      <c r="H243" s="8"/>
      <c r="I243" s="8"/>
      <c r="J243" s="8"/>
      <c r="K243" s="8"/>
      <c r="L243" s="8"/>
      <c r="M243" s="8"/>
      <c r="N243" s="8"/>
    </row>
    <row r="244" spans="6:14" s="14" customFormat="1" ht="14.25" customHeight="1">
      <c r="F244" s="8"/>
      <c r="G244" s="8"/>
      <c r="H244" s="8"/>
      <c r="I244" s="8"/>
      <c r="J244" s="8"/>
      <c r="K244" s="8"/>
      <c r="L244" s="8"/>
      <c r="M244" s="8"/>
      <c r="N244" s="8"/>
    </row>
    <row r="245" spans="6:14" s="14" customFormat="1" ht="14.25" customHeight="1">
      <c r="F245" s="8"/>
      <c r="G245" s="8"/>
      <c r="H245" s="8"/>
      <c r="I245" s="8"/>
      <c r="J245" s="8"/>
      <c r="K245" s="8"/>
      <c r="L245" s="8"/>
      <c r="M245" s="8"/>
      <c r="N245" s="8"/>
    </row>
    <row r="246" spans="6:14" s="14" customFormat="1" ht="14.25" customHeight="1">
      <c r="F246" s="8"/>
      <c r="G246" s="8"/>
      <c r="H246" s="8"/>
      <c r="I246" s="8"/>
      <c r="J246" s="8"/>
      <c r="K246" s="8"/>
      <c r="L246" s="8"/>
      <c r="M246" s="8"/>
      <c r="N246" s="8"/>
    </row>
    <row r="247" spans="6:14" s="14" customFormat="1" ht="14.25" customHeight="1">
      <c r="F247" s="8"/>
      <c r="G247" s="8"/>
      <c r="H247" s="8"/>
      <c r="I247" s="8"/>
      <c r="J247" s="8"/>
      <c r="K247" s="8"/>
      <c r="L247" s="8"/>
      <c r="M247" s="8"/>
      <c r="N247" s="8"/>
    </row>
    <row r="248" spans="6:14" s="14" customFormat="1" ht="14.25" customHeight="1">
      <c r="F248" s="8"/>
      <c r="G248" s="8"/>
      <c r="H248" s="8"/>
      <c r="I248" s="8"/>
      <c r="J248" s="8"/>
      <c r="K248" s="8"/>
      <c r="L248" s="8"/>
      <c r="M248" s="8"/>
      <c r="N248" s="8"/>
    </row>
    <row r="249" spans="6:14" s="14" customFormat="1" ht="14.25" customHeight="1">
      <c r="F249" s="8"/>
      <c r="G249" s="8"/>
      <c r="H249" s="8"/>
      <c r="I249" s="8"/>
      <c r="J249" s="8"/>
      <c r="K249" s="8"/>
      <c r="L249" s="8"/>
      <c r="M249" s="8"/>
      <c r="N249" s="8"/>
    </row>
    <row r="250" spans="6:14" s="14" customFormat="1" ht="14.25" customHeight="1">
      <c r="F250" s="8"/>
      <c r="G250" s="8"/>
      <c r="H250" s="8"/>
      <c r="I250" s="8"/>
      <c r="J250" s="8"/>
      <c r="K250" s="8"/>
      <c r="L250" s="8"/>
      <c r="M250" s="8"/>
      <c r="N250" s="8"/>
    </row>
    <row r="251" spans="6:14" s="14" customFormat="1" ht="14.25" customHeight="1">
      <c r="F251" s="8"/>
      <c r="G251" s="8"/>
      <c r="H251" s="8"/>
      <c r="I251" s="8"/>
      <c r="J251" s="8"/>
      <c r="K251" s="8"/>
      <c r="L251" s="8"/>
      <c r="M251" s="8"/>
      <c r="N251" s="8"/>
    </row>
    <row r="252" spans="6:14" s="14" customFormat="1" ht="14.25" customHeight="1">
      <c r="F252" s="8"/>
      <c r="G252" s="8"/>
      <c r="H252" s="8"/>
      <c r="I252" s="8"/>
      <c r="J252" s="8"/>
      <c r="K252" s="8"/>
      <c r="L252" s="8"/>
      <c r="M252" s="8"/>
      <c r="N252" s="8"/>
    </row>
    <row r="253" spans="6:14" s="14" customFormat="1" ht="14.25" customHeight="1">
      <c r="F253" s="8"/>
      <c r="G253" s="8"/>
      <c r="H253" s="8"/>
      <c r="I253" s="8"/>
      <c r="J253" s="8"/>
      <c r="K253" s="8"/>
      <c r="L253" s="8"/>
      <c r="M253" s="8"/>
      <c r="N253" s="8"/>
    </row>
    <row r="254" spans="6:14" s="14" customFormat="1" ht="14.25" customHeight="1">
      <c r="F254" s="8"/>
      <c r="G254" s="8"/>
      <c r="H254" s="8"/>
      <c r="I254" s="8"/>
      <c r="J254" s="8"/>
      <c r="K254" s="8"/>
      <c r="L254" s="8"/>
      <c r="M254" s="8"/>
      <c r="N254" s="8"/>
    </row>
    <row r="255" spans="6:14" s="14" customFormat="1" ht="14.25" customHeight="1">
      <c r="F255" s="8"/>
      <c r="G255" s="8"/>
      <c r="H255" s="8"/>
      <c r="I255" s="8"/>
      <c r="J255" s="8"/>
      <c r="K255" s="8"/>
      <c r="L255" s="8"/>
      <c r="M255" s="8"/>
      <c r="N255" s="8"/>
    </row>
    <row r="256" spans="6:14" s="14" customFormat="1" ht="14.25" customHeight="1">
      <c r="F256" s="8"/>
      <c r="G256" s="8"/>
      <c r="H256" s="8"/>
      <c r="I256" s="8"/>
      <c r="J256" s="8"/>
      <c r="K256" s="8"/>
      <c r="L256" s="8"/>
      <c r="M256" s="8"/>
      <c r="N256" s="8"/>
    </row>
    <row r="257" spans="6:14" s="14" customFormat="1" ht="14.25" customHeight="1">
      <c r="F257" s="8"/>
      <c r="G257" s="8"/>
      <c r="H257" s="8"/>
      <c r="I257" s="8"/>
      <c r="J257" s="8"/>
      <c r="K257" s="8"/>
      <c r="L257" s="8"/>
      <c r="M257" s="8"/>
      <c r="N257" s="8"/>
    </row>
    <row r="258" spans="6:14" s="14" customFormat="1" ht="14.25" customHeight="1">
      <c r="F258" s="8"/>
      <c r="G258" s="8"/>
      <c r="H258" s="8"/>
      <c r="I258" s="8"/>
      <c r="J258" s="8"/>
      <c r="K258" s="8"/>
      <c r="L258" s="8"/>
      <c r="M258" s="8"/>
      <c r="N258" s="8"/>
    </row>
    <row r="259" spans="6:14" s="14" customFormat="1" ht="14.25" customHeight="1">
      <c r="F259" s="8"/>
      <c r="G259" s="8"/>
      <c r="H259" s="8"/>
      <c r="I259" s="8"/>
      <c r="J259" s="8"/>
      <c r="K259" s="8"/>
      <c r="L259" s="8"/>
      <c r="M259" s="8"/>
      <c r="N259" s="8"/>
    </row>
    <row r="260" spans="6:14" s="14" customFormat="1" ht="14.25" customHeight="1">
      <c r="F260" s="8"/>
      <c r="G260" s="8"/>
      <c r="H260" s="8"/>
      <c r="I260" s="8"/>
      <c r="J260" s="8"/>
      <c r="K260" s="8"/>
      <c r="L260" s="8"/>
      <c r="M260" s="8"/>
      <c r="N260" s="8"/>
    </row>
    <row r="261" spans="6:14" s="14" customFormat="1" ht="14.25" customHeight="1">
      <c r="F261" s="8"/>
      <c r="G261" s="8"/>
      <c r="H261" s="8"/>
      <c r="I261" s="8"/>
      <c r="J261" s="8"/>
      <c r="K261" s="8"/>
      <c r="L261" s="8"/>
      <c r="M261" s="8"/>
      <c r="N261" s="8"/>
    </row>
    <row r="262" spans="6:14" s="14" customFormat="1" ht="14.25" customHeight="1">
      <c r="F262" s="8"/>
      <c r="G262" s="8"/>
      <c r="H262" s="8"/>
      <c r="I262" s="8"/>
      <c r="J262" s="8"/>
      <c r="K262" s="8"/>
      <c r="L262" s="8"/>
      <c r="M262" s="8"/>
      <c r="N262" s="8"/>
    </row>
    <row r="263" spans="6:14" s="14" customFormat="1" ht="14.25" customHeight="1">
      <c r="F263" s="8"/>
      <c r="G263" s="8"/>
      <c r="H263" s="8"/>
      <c r="I263" s="8"/>
      <c r="J263" s="8"/>
      <c r="K263" s="8"/>
      <c r="L263" s="8"/>
      <c r="M263" s="8"/>
      <c r="N263" s="8"/>
    </row>
    <row r="264" spans="6:14" s="14" customFormat="1" ht="14.25" customHeight="1">
      <c r="F264" s="8"/>
      <c r="G264" s="8"/>
      <c r="H264" s="8"/>
      <c r="I264" s="8"/>
      <c r="J264" s="8"/>
      <c r="K264" s="8"/>
      <c r="L264" s="8"/>
      <c r="M264" s="8"/>
      <c r="N264" s="8"/>
    </row>
    <row r="265" spans="6:14" s="14" customFormat="1" ht="14.25" customHeight="1">
      <c r="F265" s="8"/>
      <c r="G265" s="8"/>
      <c r="H265" s="8"/>
      <c r="I265" s="8"/>
      <c r="J265" s="8"/>
      <c r="K265" s="8"/>
      <c r="L265" s="8"/>
      <c r="M265" s="8"/>
      <c r="N265" s="8"/>
    </row>
    <row r="266" spans="6:14" s="14" customFormat="1" ht="14.25" customHeight="1">
      <c r="F266" s="8"/>
      <c r="G266" s="8"/>
      <c r="H266" s="8"/>
      <c r="I266" s="8"/>
      <c r="J266" s="8"/>
      <c r="K266" s="8"/>
      <c r="L266" s="8"/>
      <c r="M266" s="8"/>
      <c r="N266" s="8"/>
    </row>
    <row r="267" spans="6:14" s="14" customFormat="1" ht="14.25" customHeight="1">
      <c r="F267" s="8"/>
      <c r="G267" s="8"/>
      <c r="H267" s="8"/>
      <c r="I267" s="8"/>
      <c r="J267" s="8"/>
      <c r="K267" s="8"/>
      <c r="L267" s="8"/>
      <c r="M267" s="8"/>
      <c r="N267" s="8"/>
    </row>
    <row r="268" spans="6:14" s="14" customFormat="1" ht="14.25" customHeight="1">
      <c r="F268" s="8"/>
      <c r="G268" s="8"/>
      <c r="H268" s="8"/>
      <c r="I268" s="8"/>
      <c r="J268" s="8"/>
      <c r="K268" s="8"/>
      <c r="L268" s="8"/>
      <c r="M268" s="8"/>
      <c r="N268" s="8"/>
    </row>
    <row r="269" spans="6:14" s="14" customFormat="1" ht="14.25" customHeight="1">
      <c r="F269" s="8"/>
      <c r="G269" s="8"/>
      <c r="H269" s="8"/>
      <c r="I269" s="8"/>
      <c r="J269" s="8"/>
      <c r="K269" s="8"/>
      <c r="L269" s="8"/>
      <c r="M269" s="8"/>
      <c r="N269" s="8"/>
    </row>
    <row r="270" spans="6:14" s="14" customFormat="1" ht="14.25" customHeight="1">
      <c r="F270" s="8"/>
      <c r="G270" s="8"/>
      <c r="H270" s="8"/>
      <c r="I270" s="8"/>
      <c r="J270" s="8"/>
      <c r="K270" s="8"/>
      <c r="L270" s="8"/>
      <c r="M270" s="8"/>
      <c r="N270" s="8"/>
    </row>
    <row r="271" spans="6:14" s="14" customFormat="1" ht="14.25" customHeight="1">
      <c r="F271" s="8"/>
      <c r="G271" s="8"/>
      <c r="H271" s="8"/>
      <c r="I271" s="8"/>
      <c r="J271" s="8"/>
      <c r="K271" s="8"/>
      <c r="L271" s="8"/>
      <c r="M271" s="8"/>
      <c r="N271" s="8"/>
    </row>
    <row r="272" spans="6:14" s="14" customFormat="1" ht="14.25" customHeight="1">
      <c r="F272" s="8"/>
      <c r="G272" s="8"/>
      <c r="H272" s="8"/>
      <c r="I272" s="8"/>
      <c r="J272" s="8"/>
      <c r="K272" s="8"/>
      <c r="L272" s="8"/>
      <c r="M272" s="8"/>
      <c r="N272" s="8"/>
    </row>
    <row r="273" spans="6:14" s="14" customFormat="1" ht="14.25" customHeight="1">
      <c r="F273" s="8"/>
      <c r="G273" s="8"/>
      <c r="H273" s="8"/>
      <c r="I273" s="8"/>
      <c r="J273" s="8"/>
      <c r="K273" s="8"/>
      <c r="L273" s="8"/>
      <c r="M273" s="8"/>
      <c r="N273" s="8"/>
    </row>
    <row r="274" spans="6:14" s="14" customFormat="1" ht="14.25" customHeight="1">
      <c r="F274" s="8"/>
      <c r="G274" s="8"/>
      <c r="H274" s="8"/>
      <c r="I274" s="8"/>
      <c r="J274" s="8"/>
      <c r="K274" s="8"/>
      <c r="L274" s="8"/>
      <c r="M274" s="8"/>
      <c r="N274" s="8"/>
    </row>
    <row r="275" spans="6:14" s="14" customFormat="1" ht="14.25" customHeight="1">
      <c r="F275" s="8"/>
      <c r="G275" s="8"/>
      <c r="H275" s="8"/>
      <c r="I275" s="8"/>
      <c r="J275" s="8"/>
      <c r="K275" s="8"/>
      <c r="L275" s="8"/>
      <c r="M275" s="8"/>
      <c r="N275" s="8"/>
    </row>
    <row r="276" spans="6:14" s="14" customFormat="1" ht="14.25" customHeight="1">
      <c r="F276" s="8"/>
      <c r="G276" s="8"/>
      <c r="H276" s="8"/>
      <c r="I276" s="8"/>
      <c r="J276" s="8"/>
      <c r="K276" s="8"/>
      <c r="L276" s="8"/>
      <c r="M276" s="8"/>
      <c r="N276" s="8"/>
    </row>
    <row r="277" spans="6:14" s="14" customFormat="1" ht="14.25" customHeight="1">
      <c r="F277" s="8"/>
      <c r="G277" s="8"/>
      <c r="H277" s="8"/>
      <c r="I277" s="8"/>
      <c r="J277" s="8"/>
      <c r="K277" s="8"/>
      <c r="L277" s="8"/>
      <c r="M277" s="8"/>
      <c r="N277" s="8"/>
    </row>
    <row r="278" spans="6:14" s="14" customFormat="1" ht="14.25" customHeight="1">
      <c r="F278" s="8"/>
      <c r="G278" s="8"/>
      <c r="H278" s="8"/>
      <c r="I278" s="8"/>
      <c r="J278" s="8"/>
      <c r="K278" s="8"/>
      <c r="L278" s="8"/>
      <c r="M278" s="8"/>
      <c r="N278" s="8"/>
    </row>
    <row r="279" spans="6:14" s="14" customFormat="1" ht="14.25" customHeight="1">
      <c r="F279" s="8"/>
      <c r="G279" s="8"/>
      <c r="H279" s="8"/>
      <c r="I279" s="8"/>
      <c r="J279" s="8"/>
      <c r="K279" s="8"/>
      <c r="L279" s="8"/>
      <c r="M279" s="8"/>
      <c r="N279" s="8"/>
    </row>
    <row r="280" spans="6:14" s="14" customFormat="1" ht="14.25" customHeight="1">
      <c r="F280" s="8"/>
      <c r="G280" s="8"/>
      <c r="H280" s="8"/>
      <c r="I280" s="8"/>
      <c r="J280" s="8"/>
      <c r="K280" s="8"/>
      <c r="L280" s="8"/>
      <c r="M280" s="8"/>
      <c r="N280" s="8"/>
    </row>
    <row r="281" spans="6:14" s="14" customFormat="1" ht="14.25" customHeight="1">
      <c r="F281" s="8"/>
      <c r="G281" s="8"/>
      <c r="H281" s="8"/>
      <c r="I281" s="8"/>
      <c r="J281" s="8"/>
      <c r="K281" s="8"/>
      <c r="L281" s="8"/>
      <c r="M281" s="8"/>
      <c r="N281" s="8"/>
    </row>
    <row r="282" spans="6:14" s="14" customFormat="1" ht="14.25" customHeight="1">
      <c r="F282" s="8"/>
      <c r="G282" s="8"/>
      <c r="H282" s="8"/>
      <c r="I282" s="8"/>
      <c r="J282" s="8"/>
      <c r="K282" s="8"/>
      <c r="L282" s="8"/>
      <c r="M282" s="8"/>
      <c r="N282" s="8"/>
    </row>
    <row r="283" spans="6:14" s="14" customFormat="1" ht="14.25" customHeight="1">
      <c r="F283" s="8"/>
      <c r="G283" s="8"/>
      <c r="H283" s="8"/>
      <c r="I283" s="8"/>
      <c r="J283" s="8"/>
      <c r="K283" s="8"/>
      <c r="L283" s="8"/>
      <c r="M283" s="8"/>
      <c r="N283" s="8"/>
    </row>
    <row r="284" spans="6:14" s="14" customFormat="1" ht="14.25" customHeight="1">
      <c r="F284" s="8"/>
      <c r="G284" s="8"/>
      <c r="H284" s="8"/>
      <c r="I284" s="8"/>
      <c r="J284" s="8"/>
      <c r="K284" s="8"/>
      <c r="L284" s="8"/>
      <c r="M284" s="8"/>
      <c r="N284" s="8"/>
    </row>
    <row r="285" spans="6:14" s="14" customFormat="1" ht="14.25" customHeight="1">
      <c r="F285" s="8"/>
      <c r="G285" s="8"/>
      <c r="H285" s="8"/>
      <c r="I285" s="8"/>
      <c r="J285" s="8"/>
      <c r="K285" s="8"/>
      <c r="L285" s="8"/>
      <c r="M285" s="8"/>
      <c r="N285" s="8"/>
    </row>
    <row r="286" spans="6:14" s="14" customFormat="1" ht="14.25" customHeight="1">
      <c r="F286" s="8"/>
      <c r="G286" s="8"/>
      <c r="H286" s="8"/>
      <c r="I286" s="8"/>
      <c r="J286" s="8"/>
      <c r="K286" s="8"/>
      <c r="L286" s="8"/>
      <c r="M286" s="8"/>
      <c r="N286" s="8"/>
    </row>
    <row r="287" spans="6:14" s="14" customFormat="1" ht="14.25" customHeight="1">
      <c r="F287" s="8"/>
      <c r="G287" s="8"/>
      <c r="H287" s="8"/>
      <c r="I287" s="8"/>
      <c r="J287" s="8"/>
      <c r="K287" s="8"/>
      <c r="L287" s="8"/>
      <c r="M287" s="8"/>
      <c r="N287" s="8"/>
    </row>
    <row r="288" spans="6:14" s="14" customFormat="1" ht="14.25" customHeight="1">
      <c r="F288" s="8"/>
      <c r="G288" s="8"/>
      <c r="H288" s="8"/>
      <c r="I288" s="8"/>
      <c r="J288" s="8"/>
      <c r="K288" s="8"/>
      <c r="L288" s="8"/>
      <c r="M288" s="8"/>
      <c r="N288" s="8"/>
    </row>
    <row r="289" spans="6:14" s="14" customFormat="1" ht="14.25" customHeight="1">
      <c r="F289" s="8"/>
      <c r="G289" s="8"/>
      <c r="H289" s="8"/>
      <c r="I289" s="8"/>
      <c r="J289" s="8"/>
      <c r="K289" s="8"/>
      <c r="L289" s="8"/>
      <c r="M289" s="8"/>
      <c r="N289" s="8"/>
    </row>
    <row r="290" spans="6:14" s="14" customFormat="1" ht="14.25" customHeight="1">
      <c r="F290" s="8"/>
      <c r="G290" s="8"/>
      <c r="H290" s="8"/>
      <c r="I290" s="8"/>
      <c r="J290" s="8"/>
      <c r="K290" s="8"/>
      <c r="L290" s="8"/>
      <c r="M290" s="8"/>
      <c r="N290" s="8"/>
    </row>
    <row r="291" spans="6:14" s="14" customFormat="1" ht="14.25" customHeight="1">
      <c r="F291" s="8"/>
      <c r="G291" s="8"/>
      <c r="H291" s="8"/>
      <c r="I291" s="8"/>
      <c r="J291" s="8"/>
      <c r="K291" s="8"/>
      <c r="L291" s="8"/>
      <c r="M291" s="8"/>
      <c r="N291" s="8"/>
    </row>
    <row r="292" spans="6:14" s="14" customFormat="1" ht="14.25" customHeight="1">
      <c r="F292" s="8"/>
      <c r="G292" s="8"/>
      <c r="H292" s="8"/>
      <c r="I292" s="8"/>
      <c r="J292" s="8"/>
      <c r="K292" s="8"/>
      <c r="L292" s="8"/>
      <c r="M292" s="8"/>
      <c r="N292" s="8"/>
    </row>
    <row r="293" spans="6:14" s="14" customFormat="1" ht="14.25" customHeight="1">
      <c r="F293" s="8"/>
      <c r="G293" s="8"/>
      <c r="H293" s="8"/>
      <c r="I293" s="8"/>
      <c r="J293" s="8"/>
      <c r="K293" s="8"/>
      <c r="L293" s="8"/>
      <c r="M293" s="8"/>
      <c r="N293" s="8"/>
    </row>
    <row r="294" spans="6:14" s="14" customFormat="1" ht="14.25" customHeight="1">
      <c r="F294" s="8"/>
      <c r="G294" s="8"/>
      <c r="H294" s="8"/>
      <c r="I294" s="8"/>
      <c r="J294" s="8"/>
      <c r="K294" s="8"/>
      <c r="L294" s="8"/>
      <c r="M294" s="8"/>
      <c r="N294" s="8"/>
    </row>
    <row r="295" spans="6:14" s="14" customFormat="1" ht="14.25" customHeight="1">
      <c r="F295" s="8"/>
      <c r="G295" s="8"/>
      <c r="H295" s="8"/>
      <c r="I295" s="8"/>
      <c r="J295" s="8"/>
      <c r="K295" s="8"/>
      <c r="L295" s="8"/>
      <c r="M295" s="8"/>
      <c r="N295" s="8"/>
    </row>
    <row r="296" spans="6:14" s="14" customFormat="1" ht="14.25" customHeight="1">
      <c r="F296" s="8"/>
      <c r="G296" s="8"/>
      <c r="H296" s="8"/>
      <c r="I296" s="8"/>
      <c r="J296" s="8"/>
      <c r="K296" s="8"/>
      <c r="L296" s="8"/>
      <c r="M296" s="8"/>
      <c r="N296" s="8"/>
    </row>
    <row r="297" spans="6:14" s="14" customFormat="1" ht="14.25" customHeight="1">
      <c r="F297" s="8"/>
      <c r="G297" s="8"/>
      <c r="H297" s="8"/>
      <c r="I297" s="8"/>
      <c r="J297" s="8"/>
      <c r="K297" s="8"/>
      <c r="L297" s="8"/>
      <c r="M297" s="8"/>
      <c r="N297" s="8"/>
    </row>
    <row r="298" spans="6:14" s="14" customFormat="1" ht="14.25" customHeight="1">
      <c r="F298" s="8"/>
      <c r="G298" s="8"/>
      <c r="H298" s="8"/>
      <c r="I298" s="8"/>
      <c r="J298" s="8"/>
      <c r="K298" s="8"/>
      <c r="L298" s="8"/>
      <c r="M298" s="8"/>
      <c r="N298" s="8"/>
    </row>
    <row r="299" spans="6:14" s="14" customFormat="1" ht="14.25" customHeight="1">
      <c r="F299" s="8"/>
      <c r="G299" s="8"/>
      <c r="H299" s="8"/>
      <c r="I299" s="8"/>
      <c r="J299" s="8"/>
      <c r="K299" s="8"/>
      <c r="L299" s="8"/>
      <c r="M299" s="8"/>
      <c r="N299" s="8"/>
    </row>
    <row r="300" spans="6:14" s="14" customFormat="1" ht="14.25" customHeight="1">
      <c r="F300" s="8"/>
      <c r="G300" s="8"/>
      <c r="H300" s="8"/>
      <c r="I300" s="8"/>
      <c r="J300" s="8"/>
      <c r="K300" s="8"/>
      <c r="L300" s="8"/>
      <c r="M300" s="8"/>
      <c r="N300" s="8"/>
    </row>
    <row r="301" spans="6:14" s="14" customFormat="1" ht="14.25" customHeight="1">
      <c r="F301" s="8"/>
      <c r="G301" s="8"/>
      <c r="H301" s="8"/>
      <c r="I301" s="8"/>
      <c r="J301" s="8"/>
      <c r="K301" s="8"/>
      <c r="L301" s="8"/>
      <c r="M301" s="8"/>
      <c r="N301" s="8"/>
    </row>
    <row r="302" spans="6:14" s="14" customFormat="1" ht="14.25" customHeight="1">
      <c r="F302" s="8"/>
      <c r="G302" s="8"/>
      <c r="H302" s="8"/>
      <c r="I302" s="8"/>
      <c r="J302" s="8"/>
      <c r="K302" s="8"/>
      <c r="L302" s="8"/>
      <c r="M302" s="8"/>
      <c r="N302" s="8"/>
    </row>
    <row r="303" spans="6:14" s="14" customFormat="1" ht="14.25" customHeight="1">
      <c r="F303" s="8"/>
      <c r="G303" s="8"/>
      <c r="H303" s="8"/>
      <c r="I303" s="8"/>
      <c r="J303" s="8"/>
      <c r="K303" s="8"/>
      <c r="L303" s="8"/>
      <c r="M303" s="8"/>
      <c r="N303" s="8"/>
    </row>
    <row r="304" spans="6:14" s="14" customFormat="1" ht="14.25" customHeight="1">
      <c r="F304" s="8"/>
      <c r="G304" s="8"/>
      <c r="H304" s="8"/>
      <c r="I304" s="8"/>
      <c r="J304" s="8"/>
      <c r="K304" s="8"/>
      <c r="L304" s="8"/>
      <c r="M304" s="8"/>
      <c r="N304" s="8"/>
    </row>
    <row r="305" spans="6:14" s="14" customFormat="1" ht="14.25" customHeight="1">
      <c r="F305" s="8"/>
      <c r="G305" s="8"/>
      <c r="H305" s="8"/>
      <c r="I305" s="8"/>
      <c r="J305" s="8"/>
      <c r="K305" s="8"/>
      <c r="L305" s="8"/>
      <c r="M305" s="8"/>
      <c r="N305" s="8"/>
    </row>
    <row r="306" spans="6:14" s="14" customFormat="1" ht="14.25" customHeight="1">
      <c r="F306" s="8"/>
      <c r="G306" s="8"/>
      <c r="H306" s="8"/>
      <c r="I306" s="8"/>
      <c r="J306" s="8"/>
      <c r="K306" s="8"/>
      <c r="L306" s="8"/>
      <c r="M306" s="8"/>
      <c r="N306" s="8"/>
    </row>
    <row r="307" spans="6:14" s="14" customFormat="1" ht="14.25" customHeight="1">
      <c r="F307" s="8"/>
      <c r="G307" s="8"/>
      <c r="H307" s="8"/>
      <c r="I307" s="8"/>
      <c r="J307" s="8"/>
      <c r="K307" s="8"/>
      <c r="L307" s="8"/>
      <c r="M307" s="8"/>
      <c r="N307" s="8"/>
    </row>
    <row r="308" spans="6:14" s="14" customFormat="1" ht="14.25" customHeight="1">
      <c r="F308" s="8"/>
      <c r="G308" s="8"/>
      <c r="H308" s="8"/>
      <c r="I308" s="8"/>
      <c r="J308" s="8"/>
      <c r="K308" s="8"/>
      <c r="L308" s="8"/>
      <c r="M308" s="8"/>
      <c r="N308" s="8"/>
    </row>
    <row r="309" spans="6:14" s="14" customFormat="1" ht="14.25" customHeight="1">
      <c r="F309" s="8"/>
      <c r="G309" s="8"/>
      <c r="H309" s="8"/>
      <c r="I309" s="8"/>
      <c r="J309" s="8"/>
      <c r="K309" s="8"/>
      <c r="L309" s="8"/>
      <c r="M309" s="8"/>
      <c r="N309" s="8"/>
    </row>
    <row r="310" spans="6:14" s="14" customFormat="1" ht="14.25" customHeight="1">
      <c r="F310" s="8"/>
      <c r="G310" s="8"/>
      <c r="H310" s="8"/>
      <c r="I310" s="8"/>
      <c r="J310" s="8"/>
      <c r="K310" s="8"/>
      <c r="L310" s="8"/>
      <c r="M310" s="8"/>
      <c r="N310" s="8"/>
    </row>
    <row r="311" spans="6:14" s="14" customFormat="1" ht="14.25" customHeight="1">
      <c r="F311" s="8"/>
      <c r="G311" s="8"/>
      <c r="H311" s="8"/>
      <c r="I311" s="8"/>
      <c r="J311" s="8"/>
      <c r="K311" s="8"/>
      <c r="L311" s="8"/>
      <c r="M311" s="8"/>
      <c r="N311" s="8"/>
    </row>
    <row r="312" spans="6:14" s="14" customFormat="1" ht="14.25" customHeight="1">
      <c r="F312" s="8"/>
      <c r="G312" s="8"/>
      <c r="H312" s="8"/>
      <c r="I312" s="8"/>
      <c r="J312" s="8"/>
      <c r="K312" s="8"/>
      <c r="L312" s="8"/>
      <c r="M312" s="8"/>
      <c r="N312" s="8"/>
    </row>
    <row r="313" spans="6:14" s="14" customFormat="1" ht="14.25" customHeight="1">
      <c r="F313" s="8"/>
      <c r="G313" s="8"/>
      <c r="H313" s="8"/>
      <c r="I313" s="8"/>
      <c r="J313" s="8"/>
      <c r="K313" s="8"/>
      <c r="L313" s="8"/>
      <c r="M313" s="8"/>
      <c r="N313" s="8"/>
    </row>
    <row r="314" spans="6:14" s="14" customFormat="1" ht="14.25" customHeight="1">
      <c r="F314" s="8"/>
      <c r="G314" s="8"/>
      <c r="H314" s="8"/>
      <c r="I314" s="8"/>
      <c r="J314" s="8"/>
      <c r="K314" s="8"/>
      <c r="L314" s="8"/>
      <c r="M314" s="8"/>
      <c r="N314" s="8"/>
    </row>
    <row r="315" spans="6:14" s="14" customFormat="1" ht="14.25" customHeight="1">
      <c r="F315" s="8"/>
      <c r="G315" s="8"/>
      <c r="H315" s="8"/>
      <c r="I315" s="8"/>
      <c r="J315" s="8"/>
      <c r="K315" s="8"/>
      <c r="L315" s="8"/>
      <c r="M315" s="8"/>
      <c r="N315" s="8"/>
    </row>
    <row r="316" spans="6:14" s="14" customFormat="1" ht="14.25" customHeight="1">
      <c r="F316" s="8"/>
      <c r="G316" s="8"/>
      <c r="H316" s="8"/>
      <c r="I316" s="8"/>
      <c r="J316" s="8"/>
      <c r="K316" s="8"/>
      <c r="L316" s="8"/>
      <c r="M316" s="8"/>
      <c r="N316" s="8"/>
    </row>
    <row r="317" spans="6:14" s="14" customFormat="1" ht="14.25" customHeight="1">
      <c r="F317" s="8"/>
      <c r="G317" s="8"/>
      <c r="H317" s="8"/>
      <c r="I317" s="8"/>
      <c r="J317" s="8"/>
      <c r="K317" s="8"/>
      <c r="L317" s="8"/>
      <c r="M317" s="8"/>
      <c r="N317" s="8"/>
    </row>
    <row r="318" spans="6:14" s="14" customFormat="1" ht="14.25" customHeight="1">
      <c r="F318" s="8"/>
      <c r="G318" s="8"/>
      <c r="H318" s="8"/>
      <c r="I318" s="8"/>
      <c r="J318" s="8"/>
      <c r="K318" s="8"/>
      <c r="L318" s="8"/>
      <c r="M318" s="8"/>
      <c r="N318" s="8"/>
    </row>
    <row r="319" spans="6:14" s="14" customFormat="1" ht="14.25" customHeight="1">
      <c r="F319" s="8"/>
      <c r="G319" s="8"/>
      <c r="H319" s="8"/>
      <c r="I319" s="8"/>
      <c r="J319" s="8"/>
      <c r="K319" s="8"/>
      <c r="L319" s="8"/>
      <c r="M319" s="8"/>
      <c r="N319" s="8"/>
    </row>
    <row r="320" spans="6:14" s="14" customFormat="1" ht="14.25" customHeight="1">
      <c r="F320" s="8"/>
      <c r="G320" s="8"/>
      <c r="H320" s="8"/>
      <c r="I320" s="8"/>
      <c r="J320" s="8"/>
      <c r="K320" s="8"/>
      <c r="L320" s="8"/>
      <c r="M320" s="8"/>
      <c r="N320" s="8"/>
    </row>
    <row r="321" spans="6:14" s="14" customFormat="1" ht="14.25" customHeight="1">
      <c r="F321" s="8"/>
      <c r="G321" s="8"/>
      <c r="H321" s="8"/>
      <c r="I321" s="8"/>
      <c r="J321" s="8"/>
      <c r="K321" s="8"/>
      <c r="L321" s="8"/>
      <c r="M321" s="8"/>
      <c r="N321" s="8"/>
    </row>
    <row r="322" spans="6:14" s="14" customFormat="1" ht="14.25" customHeight="1">
      <c r="F322" s="8"/>
      <c r="G322" s="8"/>
      <c r="H322" s="8"/>
      <c r="I322" s="8"/>
      <c r="J322" s="8"/>
      <c r="K322" s="8"/>
      <c r="L322" s="8"/>
      <c r="M322" s="8"/>
      <c r="N322" s="8"/>
    </row>
    <row r="323" spans="6:14" s="14" customFormat="1" ht="14.25" customHeight="1">
      <c r="F323" s="8"/>
      <c r="G323" s="8"/>
      <c r="H323" s="8"/>
      <c r="I323" s="8"/>
      <c r="J323" s="8"/>
      <c r="K323" s="8"/>
      <c r="L323" s="8"/>
      <c r="M323" s="8"/>
      <c r="N323" s="8"/>
    </row>
    <row r="324" spans="6:14" s="14" customFormat="1" ht="14.25" customHeight="1">
      <c r="F324" s="8"/>
      <c r="G324" s="8"/>
      <c r="H324" s="8"/>
      <c r="I324" s="8"/>
      <c r="J324" s="8"/>
      <c r="K324" s="8"/>
      <c r="L324" s="8"/>
      <c r="M324" s="8"/>
      <c r="N324" s="8"/>
    </row>
    <row r="325" spans="6:14" s="14" customFormat="1" ht="14.25" customHeight="1">
      <c r="F325" s="8"/>
      <c r="G325" s="8"/>
      <c r="H325" s="8"/>
      <c r="I325" s="8"/>
      <c r="J325" s="8"/>
      <c r="K325" s="8"/>
      <c r="L325" s="8"/>
      <c r="M325" s="8"/>
      <c r="N325" s="8"/>
    </row>
    <row r="326" spans="6:14" s="14" customFormat="1" ht="14.25" customHeight="1">
      <c r="F326" s="8"/>
      <c r="G326" s="8"/>
      <c r="H326" s="8"/>
      <c r="I326" s="8"/>
      <c r="J326" s="8"/>
      <c r="K326" s="8"/>
      <c r="L326" s="8"/>
      <c r="M326" s="8"/>
      <c r="N326" s="8"/>
    </row>
    <row r="327" spans="6:14" s="14" customFormat="1" ht="14.25" customHeight="1">
      <c r="F327" s="8"/>
      <c r="G327" s="8"/>
      <c r="H327" s="8"/>
      <c r="I327" s="8"/>
      <c r="J327" s="8"/>
      <c r="K327" s="8"/>
      <c r="L327" s="8"/>
      <c r="M327" s="8"/>
      <c r="N327" s="8"/>
    </row>
    <row r="328" spans="6:14" s="14" customFormat="1" ht="14.25" customHeight="1">
      <c r="F328" s="8"/>
      <c r="G328" s="8"/>
      <c r="H328" s="8"/>
      <c r="I328" s="8"/>
      <c r="J328" s="8"/>
      <c r="K328" s="8"/>
      <c r="L328" s="8"/>
      <c r="M328" s="8"/>
      <c r="N328" s="8"/>
    </row>
    <row r="329" spans="6:14" s="14" customFormat="1" ht="14.25" customHeight="1">
      <c r="F329" s="8"/>
      <c r="G329" s="8"/>
      <c r="H329" s="8"/>
      <c r="I329" s="8"/>
      <c r="J329" s="8"/>
      <c r="K329" s="8"/>
      <c r="L329" s="8"/>
      <c r="M329" s="8"/>
      <c r="N329" s="8"/>
    </row>
    <row r="330" spans="6:14" s="14" customFormat="1" ht="14.25" customHeight="1">
      <c r="F330" s="8"/>
      <c r="G330" s="8"/>
      <c r="H330" s="8"/>
      <c r="I330" s="8"/>
      <c r="J330" s="8"/>
      <c r="K330" s="8"/>
      <c r="L330" s="8"/>
      <c r="M330" s="8"/>
      <c r="N330" s="8"/>
    </row>
    <row r="331" spans="6:14" s="14" customFormat="1" ht="14.25" customHeight="1">
      <c r="F331" s="8"/>
      <c r="G331" s="8"/>
      <c r="H331" s="8"/>
      <c r="I331" s="8"/>
      <c r="J331" s="8"/>
      <c r="K331" s="8"/>
      <c r="L331" s="8"/>
      <c r="M331" s="8"/>
      <c r="N331" s="8"/>
    </row>
    <row r="332" spans="6:14" s="14" customFormat="1" ht="14.25" customHeight="1">
      <c r="F332" s="8"/>
      <c r="G332" s="8"/>
      <c r="H332" s="8"/>
      <c r="I332" s="8"/>
      <c r="J332" s="8"/>
      <c r="K332" s="8"/>
      <c r="L332" s="8"/>
      <c r="M332" s="8"/>
      <c r="N332" s="8"/>
    </row>
    <row r="333" spans="6:14" s="14" customFormat="1" ht="14.25" customHeight="1">
      <c r="F333" s="8"/>
      <c r="G333" s="8"/>
      <c r="H333" s="8"/>
      <c r="I333" s="8"/>
      <c r="J333" s="8"/>
      <c r="K333" s="8"/>
      <c r="L333" s="8"/>
      <c r="M333" s="8"/>
      <c r="N333" s="8"/>
    </row>
    <row r="334" spans="6:14" s="14" customFormat="1" ht="14.25" customHeight="1">
      <c r="F334" s="8"/>
      <c r="G334" s="8"/>
      <c r="H334" s="8"/>
      <c r="I334" s="8"/>
      <c r="J334" s="8"/>
      <c r="K334" s="8"/>
      <c r="L334" s="8"/>
      <c r="M334" s="8"/>
      <c r="N334" s="8"/>
    </row>
    <row r="335" spans="6:14" s="14" customFormat="1" ht="14.25" customHeight="1">
      <c r="F335" s="8"/>
      <c r="G335" s="8"/>
      <c r="H335" s="8"/>
      <c r="I335" s="8"/>
      <c r="J335" s="8"/>
      <c r="K335" s="8"/>
      <c r="L335" s="8"/>
      <c r="M335" s="8"/>
      <c r="N335" s="8"/>
    </row>
    <row r="336" spans="6:14" s="14" customFormat="1" ht="14.25" customHeight="1">
      <c r="F336" s="8"/>
      <c r="G336" s="8"/>
      <c r="H336" s="8"/>
      <c r="I336" s="8"/>
      <c r="J336" s="8"/>
      <c r="K336" s="8"/>
      <c r="L336" s="8"/>
      <c r="M336" s="8"/>
      <c r="N336" s="8"/>
    </row>
    <row r="337" spans="6:14" s="14" customFormat="1" ht="14.25" customHeight="1">
      <c r="F337" s="8"/>
      <c r="G337" s="8"/>
      <c r="H337" s="8"/>
      <c r="I337" s="8"/>
      <c r="J337" s="8"/>
      <c r="K337" s="8"/>
      <c r="L337" s="8"/>
      <c r="M337" s="8"/>
      <c r="N337" s="8"/>
    </row>
    <row r="338" spans="6:14" s="14" customFormat="1" ht="14.25" customHeight="1">
      <c r="F338" s="8"/>
      <c r="G338" s="8"/>
      <c r="H338" s="8"/>
      <c r="I338" s="8"/>
      <c r="J338" s="8"/>
      <c r="K338" s="8"/>
      <c r="L338" s="8"/>
      <c r="M338" s="8"/>
      <c r="N338" s="8"/>
    </row>
    <row r="339" spans="6:14" s="14" customFormat="1" ht="14.25" customHeight="1">
      <c r="F339" s="8"/>
      <c r="G339" s="8"/>
      <c r="H339" s="8"/>
      <c r="I339" s="8"/>
      <c r="J339" s="8"/>
      <c r="K339" s="8"/>
      <c r="L339" s="8"/>
      <c r="M339" s="8"/>
      <c r="N339" s="8"/>
    </row>
    <row r="340" spans="6:14" s="14" customFormat="1" ht="14.25" customHeight="1">
      <c r="F340" s="8"/>
      <c r="G340" s="8"/>
      <c r="H340" s="8"/>
      <c r="I340" s="8"/>
      <c r="J340" s="8"/>
      <c r="K340" s="8"/>
      <c r="L340" s="8"/>
      <c r="M340" s="8"/>
      <c r="N340" s="8"/>
    </row>
    <row r="341" spans="6:14" s="14" customFormat="1" ht="14.25" customHeight="1">
      <c r="F341" s="8"/>
      <c r="G341" s="8"/>
      <c r="H341" s="8"/>
      <c r="I341" s="8"/>
      <c r="J341" s="8"/>
      <c r="K341" s="8"/>
      <c r="L341" s="8"/>
      <c r="M341" s="8"/>
      <c r="N341" s="8"/>
    </row>
    <row r="342" spans="6:14" s="14" customFormat="1" ht="14.25" customHeight="1">
      <c r="F342" s="8"/>
      <c r="G342" s="8"/>
      <c r="H342" s="8"/>
      <c r="I342" s="8"/>
      <c r="J342" s="8"/>
      <c r="K342" s="8"/>
      <c r="L342" s="8"/>
      <c r="M342" s="8"/>
      <c r="N342" s="8"/>
    </row>
    <row r="343" spans="6:14" s="14" customFormat="1" ht="14.25" customHeight="1">
      <c r="F343" s="8"/>
      <c r="G343" s="8"/>
      <c r="H343" s="8"/>
      <c r="I343" s="8"/>
      <c r="J343" s="8"/>
      <c r="K343" s="8"/>
      <c r="L343" s="8"/>
      <c r="M343" s="8"/>
      <c r="N343" s="8"/>
    </row>
    <row r="344" spans="6:14" s="14" customFormat="1" ht="14.25" customHeight="1">
      <c r="F344" s="8"/>
      <c r="G344" s="8"/>
      <c r="H344" s="8"/>
      <c r="I344" s="8"/>
      <c r="J344" s="8"/>
      <c r="K344" s="8"/>
      <c r="L344" s="8"/>
      <c r="M344" s="8"/>
      <c r="N344" s="8"/>
    </row>
    <row r="345" spans="6:14" s="14" customFormat="1" ht="14.25" customHeight="1">
      <c r="F345" s="8"/>
      <c r="G345" s="8"/>
      <c r="H345" s="8"/>
      <c r="I345" s="8"/>
      <c r="J345" s="8"/>
      <c r="K345" s="8"/>
      <c r="L345" s="8"/>
      <c r="M345" s="8"/>
      <c r="N345" s="8"/>
    </row>
    <row r="346" spans="6:14" s="14" customFormat="1" ht="14.25" customHeight="1">
      <c r="F346" s="8"/>
      <c r="G346" s="8"/>
      <c r="H346" s="8"/>
      <c r="I346" s="8"/>
      <c r="J346" s="8"/>
      <c r="K346" s="8"/>
      <c r="L346" s="8"/>
      <c r="M346" s="8"/>
      <c r="N346" s="8"/>
    </row>
    <row r="347" spans="6:14" s="14" customFormat="1" ht="14.25" customHeight="1">
      <c r="F347" s="8"/>
      <c r="G347" s="8"/>
      <c r="H347" s="8"/>
      <c r="I347" s="8"/>
      <c r="J347" s="8"/>
      <c r="K347" s="8"/>
      <c r="L347" s="8"/>
      <c r="M347" s="8"/>
      <c r="N347" s="8"/>
    </row>
    <row r="348" spans="6:14" s="14" customFormat="1" ht="14.25" customHeight="1">
      <c r="F348" s="8"/>
      <c r="G348" s="8"/>
      <c r="H348" s="8"/>
      <c r="I348" s="8"/>
      <c r="J348" s="8"/>
      <c r="K348" s="8"/>
      <c r="L348" s="8"/>
      <c r="M348" s="8"/>
      <c r="N348" s="8"/>
    </row>
    <row r="349" spans="6:14" s="14" customFormat="1" ht="14.25" customHeight="1">
      <c r="F349" s="8"/>
      <c r="G349" s="8"/>
      <c r="H349" s="8"/>
      <c r="I349" s="8"/>
      <c r="J349" s="8"/>
      <c r="K349" s="8"/>
      <c r="L349" s="8"/>
      <c r="M349" s="8"/>
      <c r="N349" s="8"/>
    </row>
    <row r="350" spans="6:14" s="14" customFormat="1" ht="14.25" customHeight="1">
      <c r="F350" s="8"/>
      <c r="G350" s="8"/>
      <c r="H350" s="8"/>
      <c r="I350" s="8"/>
      <c r="J350" s="8"/>
      <c r="K350" s="8"/>
      <c r="L350" s="8"/>
      <c r="M350" s="8"/>
      <c r="N350" s="8"/>
    </row>
    <row r="351" spans="6:14" s="14" customFormat="1" ht="14.25" customHeight="1">
      <c r="F351" s="8"/>
      <c r="G351" s="8"/>
      <c r="H351" s="8"/>
      <c r="I351" s="8"/>
      <c r="J351" s="8"/>
      <c r="K351" s="8"/>
      <c r="L351" s="8"/>
      <c r="M351" s="8"/>
      <c r="N351" s="8"/>
    </row>
    <row r="352" spans="6:14" s="14" customFormat="1" ht="14.25" customHeight="1">
      <c r="F352" s="8"/>
      <c r="G352" s="8"/>
      <c r="H352" s="8"/>
      <c r="I352" s="8"/>
      <c r="J352" s="8"/>
      <c r="K352" s="8"/>
      <c r="L352" s="8"/>
      <c r="M352" s="8"/>
      <c r="N352" s="8"/>
    </row>
    <row r="353" spans="6:14" s="14" customFormat="1" ht="14.25" customHeight="1">
      <c r="F353" s="8"/>
      <c r="G353" s="8"/>
      <c r="H353" s="8"/>
      <c r="I353" s="8"/>
      <c r="J353" s="8"/>
      <c r="K353" s="8"/>
      <c r="L353" s="8"/>
      <c r="M353" s="8"/>
      <c r="N353" s="8"/>
    </row>
    <row r="354" spans="6:14" s="14" customFormat="1" ht="14.25" customHeight="1">
      <c r="F354" s="8"/>
      <c r="G354" s="8"/>
      <c r="H354" s="8"/>
      <c r="I354" s="8"/>
      <c r="J354" s="8"/>
      <c r="K354" s="8"/>
      <c r="L354" s="8"/>
      <c r="M354" s="8"/>
      <c r="N354" s="8"/>
    </row>
    <row r="355" spans="6:14" s="14" customFormat="1" ht="14.25" customHeight="1">
      <c r="F355" s="8"/>
      <c r="G355" s="8"/>
      <c r="H355" s="8"/>
      <c r="I355" s="8"/>
      <c r="J355" s="8"/>
      <c r="K355" s="8"/>
      <c r="L355" s="8"/>
      <c r="M355" s="8"/>
      <c r="N355" s="8"/>
    </row>
    <row r="356" spans="6:14" s="14" customFormat="1" ht="14.25" customHeight="1">
      <c r="F356" s="8"/>
      <c r="G356" s="8"/>
      <c r="H356" s="8"/>
      <c r="I356" s="8"/>
      <c r="J356" s="8"/>
      <c r="K356" s="8"/>
      <c r="L356" s="8"/>
      <c r="M356" s="8"/>
      <c r="N356" s="8"/>
    </row>
    <row r="357" spans="6:14" s="14" customFormat="1" ht="14.25" customHeight="1">
      <c r="F357" s="8"/>
      <c r="G357" s="8"/>
      <c r="H357" s="8"/>
      <c r="I357" s="8"/>
      <c r="J357" s="8"/>
      <c r="K357" s="8"/>
      <c r="L357" s="8"/>
      <c r="M357" s="8"/>
      <c r="N357" s="8"/>
    </row>
    <row r="358" spans="6:14" s="14" customFormat="1" ht="14.25" customHeight="1">
      <c r="F358" s="8"/>
      <c r="G358" s="8"/>
      <c r="H358" s="8"/>
      <c r="I358" s="8"/>
      <c r="J358" s="8"/>
      <c r="K358" s="8"/>
      <c r="L358" s="8"/>
      <c r="M358" s="8"/>
      <c r="N358" s="8"/>
    </row>
    <row r="359" spans="6:14" s="14" customFormat="1" ht="14.25" customHeight="1">
      <c r="F359" s="8"/>
      <c r="G359" s="8"/>
      <c r="H359" s="8"/>
      <c r="I359" s="8"/>
      <c r="J359" s="8"/>
      <c r="K359" s="8"/>
      <c r="L359" s="8"/>
      <c r="M359" s="8"/>
      <c r="N359" s="8"/>
    </row>
    <row r="360" spans="6:14" s="14" customFormat="1" ht="14.25" customHeight="1">
      <c r="F360" s="8"/>
      <c r="G360" s="8"/>
      <c r="H360" s="8"/>
      <c r="I360" s="8"/>
      <c r="J360" s="8"/>
      <c r="K360" s="8"/>
      <c r="L360" s="8"/>
      <c r="M360" s="8"/>
      <c r="N360" s="8"/>
    </row>
    <row r="361" spans="6:14" s="14" customFormat="1" ht="14.25" customHeight="1">
      <c r="F361" s="8"/>
      <c r="G361" s="8"/>
      <c r="H361" s="8"/>
      <c r="I361" s="8"/>
      <c r="J361" s="8"/>
      <c r="K361" s="8"/>
      <c r="L361" s="8"/>
      <c r="M361" s="8"/>
      <c r="N361" s="8"/>
    </row>
    <row r="362" spans="6:14" s="14" customFormat="1" ht="14.25" customHeight="1">
      <c r="F362" s="8"/>
      <c r="G362" s="8"/>
      <c r="H362" s="8"/>
      <c r="I362" s="8"/>
      <c r="J362" s="8"/>
      <c r="K362" s="8"/>
      <c r="L362" s="8"/>
      <c r="M362" s="8"/>
      <c r="N362" s="8"/>
    </row>
    <row r="363" spans="6:14" s="14" customFormat="1" ht="14.25" customHeight="1">
      <c r="F363" s="8"/>
      <c r="G363" s="8"/>
      <c r="H363" s="8"/>
      <c r="I363" s="8"/>
      <c r="J363" s="8"/>
      <c r="K363" s="8"/>
      <c r="L363" s="8"/>
      <c r="M363" s="8"/>
      <c r="N363" s="8"/>
    </row>
    <row r="364" spans="6:14" s="14" customFormat="1" ht="14.25" customHeight="1">
      <c r="F364" s="8"/>
      <c r="G364" s="8"/>
      <c r="H364" s="8"/>
      <c r="I364" s="8"/>
      <c r="J364" s="8"/>
      <c r="K364" s="8"/>
      <c r="L364" s="8"/>
      <c r="M364" s="8"/>
      <c r="N364" s="8"/>
    </row>
    <row r="365" spans="6:14" s="14" customFormat="1" ht="14.25" customHeight="1">
      <c r="F365" s="8"/>
      <c r="G365" s="8"/>
      <c r="H365" s="8"/>
      <c r="I365" s="8"/>
      <c r="J365" s="8"/>
      <c r="K365" s="8"/>
      <c r="L365" s="8"/>
      <c r="M365" s="8"/>
      <c r="N365" s="8"/>
    </row>
    <row r="366" spans="6:14" s="14" customFormat="1" ht="14.25" customHeight="1">
      <c r="F366" s="8"/>
      <c r="G366" s="8"/>
      <c r="H366" s="8"/>
      <c r="I366" s="8"/>
      <c r="J366" s="8"/>
      <c r="K366" s="8"/>
      <c r="L366" s="8"/>
      <c r="M366" s="8"/>
      <c r="N366" s="8"/>
    </row>
    <row r="367" spans="6:14" s="14" customFormat="1" ht="14.25" customHeight="1">
      <c r="F367" s="8"/>
      <c r="G367" s="8"/>
      <c r="H367" s="8"/>
      <c r="I367" s="8"/>
      <c r="J367" s="8"/>
      <c r="K367" s="8"/>
      <c r="L367" s="8"/>
      <c r="M367" s="8"/>
      <c r="N367" s="8"/>
    </row>
    <row r="368" spans="6:14" s="14" customFormat="1" ht="14.25" customHeight="1">
      <c r="F368" s="8"/>
      <c r="G368" s="8"/>
      <c r="H368" s="8"/>
      <c r="I368" s="8"/>
      <c r="J368" s="8"/>
      <c r="K368" s="8"/>
      <c r="L368" s="8"/>
      <c r="M368" s="8"/>
      <c r="N368" s="8"/>
    </row>
    <row r="369" spans="6:14" s="14" customFormat="1" ht="14.25" customHeight="1">
      <c r="F369" s="8"/>
      <c r="G369" s="8"/>
      <c r="H369" s="8"/>
      <c r="I369" s="8"/>
      <c r="J369" s="8"/>
      <c r="K369" s="8"/>
      <c r="L369" s="8"/>
      <c r="M369" s="8"/>
      <c r="N369" s="8"/>
    </row>
    <row r="370" spans="6:14" s="14" customFormat="1" ht="14.25" customHeight="1">
      <c r="F370" s="8"/>
      <c r="G370" s="8"/>
      <c r="H370" s="8"/>
      <c r="I370" s="8"/>
      <c r="J370" s="8"/>
      <c r="K370" s="8"/>
      <c r="L370" s="8"/>
      <c r="M370" s="8"/>
      <c r="N370" s="8"/>
    </row>
    <row r="371" spans="6:14" s="14" customFormat="1" ht="14.25" customHeight="1">
      <c r="F371" s="8"/>
      <c r="G371" s="8"/>
      <c r="H371" s="8"/>
      <c r="I371" s="8"/>
      <c r="J371" s="8"/>
      <c r="K371" s="8"/>
      <c r="L371" s="8"/>
      <c r="M371" s="8"/>
      <c r="N371" s="8"/>
    </row>
    <row r="372" spans="6:14" s="14" customFormat="1" ht="14.25" customHeight="1">
      <c r="F372" s="8"/>
      <c r="G372" s="8"/>
      <c r="H372" s="8"/>
      <c r="I372" s="8"/>
      <c r="J372" s="8"/>
      <c r="K372" s="8"/>
      <c r="L372" s="8"/>
      <c r="M372" s="8"/>
      <c r="N372" s="8"/>
    </row>
    <row r="373" spans="6:14" s="14" customFormat="1" ht="14.25" customHeight="1">
      <c r="F373" s="8"/>
      <c r="G373" s="8"/>
      <c r="H373" s="8"/>
      <c r="I373" s="8"/>
      <c r="J373" s="8"/>
      <c r="K373" s="8"/>
      <c r="L373" s="8"/>
      <c r="M373" s="8"/>
      <c r="N373" s="8"/>
    </row>
    <row r="374" spans="6:14" s="14" customFormat="1" ht="14.25" customHeight="1">
      <c r="F374" s="8"/>
      <c r="G374" s="8"/>
      <c r="H374" s="8"/>
      <c r="I374" s="8"/>
      <c r="J374" s="8"/>
      <c r="K374" s="8"/>
      <c r="L374" s="8"/>
      <c r="M374" s="8"/>
      <c r="N374" s="8"/>
    </row>
    <row r="375" spans="6:14" s="14" customFormat="1" ht="14.25" customHeight="1">
      <c r="F375" s="8"/>
      <c r="G375" s="8"/>
      <c r="H375" s="8"/>
      <c r="I375" s="8"/>
      <c r="J375" s="8"/>
      <c r="K375" s="8"/>
      <c r="L375" s="8"/>
      <c r="M375" s="8"/>
      <c r="N375" s="8"/>
    </row>
    <row r="376" spans="6:14" s="14" customFormat="1" ht="14.25" customHeight="1">
      <c r="F376" s="8"/>
      <c r="G376" s="8"/>
      <c r="H376" s="8"/>
      <c r="I376" s="8"/>
      <c r="J376" s="8"/>
      <c r="K376" s="8"/>
      <c r="L376" s="8"/>
      <c r="M376" s="8"/>
      <c r="N376" s="8"/>
    </row>
    <row r="377" spans="6:14" s="14" customFormat="1" ht="14.25" customHeight="1">
      <c r="F377" s="8"/>
      <c r="G377" s="8"/>
      <c r="H377" s="8"/>
      <c r="I377" s="8"/>
      <c r="J377" s="8"/>
      <c r="K377" s="8"/>
      <c r="L377" s="8"/>
      <c r="M377" s="8"/>
      <c r="N377" s="8"/>
    </row>
    <row r="378" spans="6:14" s="14" customFormat="1" ht="14.25" customHeight="1">
      <c r="F378" s="8"/>
      <c r="G378" s="8"/>
      <c r="H378" s="8"/>
      <c r="I378" s="8"/>
      <c r="J378" s="8"/>
      <c r="K378" s="8"/>
      <c r="L378" s="8"/>
      <c r="M378" s="8"/>
      <c r="N378" s="8"/>
    </row>
    <row r="379" spans="6:14" s="14" customFormat="1" ht="14.25" customHeight="1">
      <c r="F379" s="8"/>
      <c r="G379" s="8"/>
      <c r="H379" s="8"/>
      <c r="I379" s="8"/>
      <c r="J379" s="8"/>
      <c r="K379" s="8"/>
      <c r="L379" s="8"/>
      <c r="M379" s="8"/>
      <c r="N379" s="8"/>
    </row>
    <row r="380" spans="6:14" s="14" customFormat="1" ht="14.25" customHeight="1">
      <c r="F380" s="8"/>
      <c r="G380" s="8"/>
      <c r="H380" s="8"/>
      <c r="I380" s="8"/>
      <c r="J380" s="8"/>
      <c r="K380" s="8"/>
      <c r="L380" s="8"/>
      <c r="M380" s="8"/>
      <c r="N380" s="8"/>
    </row>
    <row r="381" spans="6:14" s="14" customFormat="1" ht="14.25" customHeight="1">
      <c r="F381" s="8"/>
      <c r="G381" s="8"/>
      <c r="H381" s="8"/>
      <c r="I381" s="8"/>
      <c r="J381" s="8"/>
      <c r="K381" s="8"/>
      <c r="L381" s="8"/>
      <c r="M381" s="8"/>
      <c r="N381" s="8"/>
    </row>
    <row r="382" spans="6:14" s="14" customFormat="1" ht="14.25" customHeight="1">
      <c r="F382" s="8"/>
      <c r="G382" s="8"/>
      <c r="H382" s="8"/>
      <c r="I382" s="8"/>
      <c r="J382" s="8"/>
      <c r="K382" s="8"/>
      <c r="L382" s="8"/>
      <c r="M382" s="8"/>
      <c r="N382" s="8"/>
    </row>
    <row r="383" spans="6:14" s="14" customFormat="1" ht="14.25" customHeight="1">
      <c r="F383" s="8"/>
      <c r="G383" s="8"/>
      <c r="H383" s="8"/>
      <c r="I383" s="8"/>
      <c r="J383" s="8"/>
      <c r="K383" s="8"/>
      <c r="L383" s="8"/>
      <c r="M383" s="8"/>
      <c r="N383" s="8"/>
    </row>
    <row r="384" spans="6:14" s="14" customFormat="1" ht="14.25" customHeight="1">
      <c r="F384" s="8"/>
      <c r="G384" s="8"/>
      <c r="H384" s="8"/>
      <c r="I384" s="8"/>
      <c r="J384" s="8"/>
      <c r="K384" s="8"/>
      <c r="L384" s="8"/>
      <c r="M384" s="8"/>
      <c r="N384" s="8"/>
    </row>
    <row r="385" spans="6:14" s="14" customFormat="1" ht="14.25" customHeight="1">
      <c r="F385" s="8"/>
      <c r="G385" s="8"/>
      <c r="H385" s="8"/>
      <c r="I385" s="8"/>
      <c r="J385" s="8"/>
      <c r="K385" s="8"/>
      <c r="L385" s="8"/>
      <c r="M385" s="8"/>
      <c r="N385" s="8"/>
    </row>
    <row r="386" spans="6:14" s="14" customFormat="1" ht="14.25" customHeight="1">
      <c r="F386" s="8"/>
      <c r="G386" s="8"/>
      <c r="H386" s="8"/>
      <c r="I386" s="8"/>
      <c r="J386" s="8"/>
      <c r="K386" s="8"/>
      <c r="L386" s="8"/>
      <c r="M386" s="8"/>
      <c r="N386" s="8"/>
    </row>
    <row r="387" spans="6:14" s="14" customFormat="1" ht="14.25" customHeight="1">
      <c r="F387" s="8"/>
      <c r="G387" s="8"/>
      <c r="H387" s="8"/>
      <c r="I387" s="8"/>
      <c r="J387" s="8"/>
      <c r="K387" s="8"/>
      <c r="L387" s="8"/>
      <c r="M387" s="8"/>
      <c r="N387" s="8"/>
    </row>
    <row r="388" spans="6:14" s="14" customFormat="1" ht="14.25" customHeight="1">
      <c r="F388" s="8"/>
      <c r="G388" s="8"/>
      <c r="H388" s="8"/>
      <c r="I388" s="8"/>
      <c r="J388" s="8"/>
      <c r="K388" s="8"/>
      <c r="L388" s="8"/>
      <c r="M388" s="8"/>
      <c r="N388" s="8"/>
    </row>
    <row r="389" spans="6:14" s="14" customFormat="1" ht="14.25" customHeight="1">
      <c r="F389" s="8"/>
      <c r="G389" s="8"/>
      <c r="H389" s="8"/>
      <c r="I389" s="8"/>
      <c r="J389" s="8"/>
      <c r="K389" s="8"/>
      <c r="L389" s="8"/>
      <c r="M389" s="8"/>
      <c r="N389" s="8"/>
    </row>
    <row r="390" spans="6:14" s="14" customFormat="1" ht="14.25" customHeight="1">
      <c r="F390" s="8"/>
      <c r="G390" s="8"/>
      <c r="H390" s="8"/>
      <c r="I390" s="8"/>
      <c r="J390" s="8"/>
      <c r="K390" s="8"/>
      <c r="L390" s="8"/>
      <c r="M390" s="8"/>
      <c r="N390" s="8"/>
    </row>
    <row r="391" spans="6:14" s="14" customFormat="1" ht="14.25" customHeight="1">
      <c r="F391" s="8"/>
      <c r="G391" s="8"/>
      <c r="H391" s="8"/>
      <c r="I391" s="8"/>
      <c r="J391" s="8"/>
      <c r="K391" s="8"/>
      <c r="L391" s="8"/>
      <c r="M391" s="8"/>
      <c r="N391" s="8"/>
    </row>
    <row r="392" spans="6:14" s="14" customFormat="1" ht="14.25" customHeight="1">
      <c r="F392" s="8"/>
      <c r="G392" s="8"/>
      <c r="H392" s="8"/>
      <c r="I392" s="8"/>
      <c r="J392" s="8"/>
      <c r="K392" s="8"/>
      <c r="L392" s="8"/>
      <c r="M392" s="8"/>
      <c r="N392" s="8"/>
    </row>
    <row r="393" spans="6:14" s="14" customFormat="1" ht="14.25" customHeight="1">
      <c r="F393" s="8"/>
      <c r="G393" s="8"/>
      <c r="H393" s="8"/>
      <c r="I393" s="8"/>
      <c r="J393" s="8"/>
      <c r="K393" s="8"/>
      <c r="L393" s="8"/>
      <c r="M393" s="8"/>
      <c r="N393" s="8"/>
    </row>
    <row r="394" spans="6:14" s="14" customFormat="1" ht="14.25" customHeight="1">
      <c r="F394" s="8"/>
      <c r="G394" s="8"/>
      <c r="H394" s="8"/>
      <c r="I394" s="8"/>
      <c r="J394" s="8"/>
      <c r="K394" s="8"/>
      <c r="L394" s="8"/>
      <c r="M394" s="8"/>
      <c r="N394" s="8"/>
    </row>
    <row r="395" spans="6:14" s="14" customFormat="1" ht="14.25" customHeight="1">
      <c r="F395" s="8"/>
      <c r="G395" s="8"/>
      <c r="H395" s="8"/>
      <c r="I395" s="8"/>
      <c r="J395" s="8"/>
      <c r="K395" s="8"/>
      <c r="L395" s="8"/>
      <c r="M395" s="8"/>
      <c r="N395" s="8"/>
    </row>
    <row r="396" spans="6:14" s="14" customFormat="1" ht="14.25" customHeight="1">
      <c r="F396" s="8"/>
      <c r="G396" s="8"/>
      <c r="H396" s="8"/>
      <c r="I396" s="8"/>
      <c r="J396" s="8"/>
      <c r="K396" s="8"/>
      <c r="L396" s="8"/>
      <c r="M396" s="8"/>
      <c r="N396" s="8"/>
    </row>
    <row r="397" spans="6:14" s="14" customFormat="1" ht="14.25" customHeight="1">
      <c r="F397" s="8"/>
      <c r="G397" s="8"/>
      <c r="H397" s="8"/>
      <c r="I397" s="8"/>
      <c r="J397" s="8"/>
      <c r="K397" s="8"/>
      <c r="L397" s="8"/>
      <c r="M397" s="8"/>
      <c r="N397" s="8"/>
    </row>
    <row r="398" spans="6:14" s="14" customFormat="1" ht="14.25" customHeight="1">
      <c r="F398" s="8"/>
      <c r="G398" s="8"/>
      <c r="H398" s="8"/>
      <c r="I398" s="8"/>
      <c r="J398" s="8"/>
      <c r="K398" s="8"/>
      <c r="L398" s="8"/>
      <c r="M398" s="8"/>
      <c r="N398" s="8"/>
    </row>
    <row r="399" spans="6:14" s="14" customFormat="1" ht="14.25" customHeight="1">
      <c r="F399" s="8"/>
      <c r="G399" s="8"/>
      <c r="H399" s="8"/>
      <c r="I399" s="8"/>
      <c r="J399" s="8"/>
      <c r="K399" s="8"/>
      <c r="L399" s="8"/>
      <c r="M399" s="8"/>
      <c r="N399" s="8"/>
    </row>
    <row r="400" spans="6:14" s="14" customFormat="1" ht="14.25" customHeight="1">
      <c r="F400" s="8"/>
      <c r="G400" s="8"/>
      <c r="H400" s="8"/>
      <c r="I400" s="8"/>
      <c r="J400" s="8"/>
      <c r="K400" s="8"/>
      <c r="L400" s="8"/>
      <c r="M400" s="8"/>
      <c r="N400" s="8"/>
    </row>
    <row r="401" spans="6:14" s="14" customFormat="1" ht="14.25" customHeight="1">
      <c r="F401" s="8"/>
      <c r="G401" s="8"/>
      <c r="H401" s="8"/>
      <c r="I401" s="8"/>
      <c r="J401" s="8"/>
      <c r="K401" s="8"/>
      <c r="L401" s="8"/>
      <c r="M401" s="8"/>
      <c r="N401" s="8"/>
    </row>
    <row r="402" spans="6:14" s="14" customFormat="1" ht="14.25" customHeight="1">
      <c r="F402" s="8"/>
      <c r="G402" s="8"/>
      <c r="H402" s="8"/>
      <c r="I402" s="8"/>
      <c r="J402" s="8"/>
      <c r="K402" s="8"/>
      <c r="L402" s="8"/>
      <c r="M402" s="8"/>
      <c r="N402" s="8"/>
    </row>
    <row r="403" spans="6:14" s="14" customFormat="1" ht="14.25" customHeight="1">
      <c r="F403" s="8"/>
      <c r="G403" s="8"/>
      <c r="H403" s="8"/>
      <c r="I403" s="8"/>
      <c r="J403" s="8"/>
      <c r="K403" s="8"/>
      <c r="L403" s="8"/>
      <c r="M403" s="8"/>
      <c r="N403" s="8"/>
    </row>
    <row r="404" spans="6:14" s="14" customFormat="1" ht="14.25" customHeight="1">
      <c r="F404" s="8"/>
      <c r="G404" s="8"/>
      <c r="H404" s="8"/>
      <c r="I404" s="8"/>
      <c r="J404" s="8"/>
      <c r="K404" s="8"/>
      <c r="L404" s="8"/>
      <c r="M404" s="8"/>
      <c r="N404" s="8"/>
    </row>
    <row r="405" spans="6:14" s="14" customFormat="1" ht="14.25" customHeight="1">
      <c r="F405" s="8"/>
      <c r="G405" s="8"/>
      <c r="H405" s="8"/>
      <c r="I405" s="8"/>
      <c r="J405" s="8"/>
      <c r="K405" s="8"/>
      <c r="L405" s="8"/>
      <c r="M405" s="8"/>
      <c r="N405" s="8"/>
    </row>
    <row r="406" spans="6:14" s="14" customFormat="1" ht="14.25" customHeight="1">
      <c r="F406" s="8"/>
      <c r="G406" s="8"/>
      <c r="H406" s="8"/>
      <c r="I406" s="8"/>
      <c r="J406" s="8"/>
      <c r="K406" s="8"/>
      <c r="L406" s="8"/>
      <c r="M406" s="8"/>
      <c r="N406" s="8"/>
    </row>
    <row r="407" spans="6:14" s="14" customFormat="1" ht="14.25" customHeight="1">
      <c r="F407" s="8"/>
      <c r="G407" s="8"/>
      <c r="H407" s="8"/>
      <c r="I407" s="8"/>
      <c r="J407" s="8"/>
      <c r="K407" s="8"/>
      <c r="L407" s="8"/>
      <c r="M407" s="8"/>
      <c r="N407" s="8"/>
    </row>
    <row r="408" spans="6:14" s="14" customFormat="1" ht="14.25" customHeight="1">
      <c r="F408" s="8"/>
      <c r="G408" s="8"/>
      <c r="H408" s="8"/>
      <c r="I408" s="8"/>
      <c r="J408" s="8"/>
      <c r="K408" s="8"/>
      <c r="L408" s="8"/>
      <c r="M408" s="8"/>
      <c r="N408" s="8"/>
    </row>
    <row r="409" spans="6:14" s="14" customFormat="1" ht="14.25" customHeight="1">
      <c r="F409" s="8"/>
      <c r="G409" s="8"/>
      <c r="H409" s="8"/>
      <c r="I409" s="8"/>
      <c r="J409" s="8"/>
      <c r="K409" s="8"/>
      <c r="L409" s="8"/>
      <c r="M409" s="8"/>
      <c r="N409" s="8"/>
    </row>
    <row r="410" spans="6:14" s="14" customFormat="1" ht="14.25" customHeight="1">
      <c r="F410" s="8"/>
      <c r="G410" s="8"/>
      <c r="H410" s="8"/>
      <c r="I410" s="8"/>
      <c r="J410" s="8"/>
      <c r="K410" s="8"/>
      <c r="L410" s="8"/>
      <c r="M410" s="8"/>
      <c r="N410" s="8"/>
    </row>
    <row r="411" spans="6:14" s="14" customFormat="1" ht="14.25" customHeight="1">
      <c r="F411" s="8"/>
      <c r="G411" s="8"/>
      <c r="H411" s="8"/>
      <c r="I411" s="8"/>
      <c r="J411" s="8"/>
      <c r="K411" s="8"/>
      <c r="L411" s="8"/>
      <c r="M411" s="8"/>
      <c r="N411" s="8"/>
    </row>
    <row r="412" spans="6:14" s="14" customFormat="1" ht="14.25" customHeight="1">
      <c r="F412" s="8"/>
      <c r="G412" s="8"/>
      <c r="H412" s="8"/>
      <c r="I412" s="8"/>
      <c r="J412" s="8"/>
      <c r="K412" s="8"/>
      <c r="L412" s="8"/>
      <c r="M412" s="8"/>
      <c r="N412" s="8"/>
    </row>
    <row r="413" spans="6:14" s="14" customFormat="1" ht="14.25" customHeight="1">
      <c r="F413" s="8"/>
      <c r="G413" s="8"/>
      <c r="H413" s="8"/>
      <c r="I413" s="8"/>
      <c r="J413" s="8"/>
      <c r="K413" s="8"/>
      <c r="L413" s="8"/>
      <c r="M413" s="8"/>
      <c r="N413" s="8"/>
    </row>
    <row r="414" spans="6:14" s="14" customFormat="1" ht="14.25" customHeight="1">
      <c r="F414" s="8"/>
      <c r="G414" s="8"/>
      <c r="H414" s="8"/>
      <c r="I414" s="8"/>
      <c r="J414" s="8"/>
      <c r="K414" s="8"/>
      <c r="L414" s="8"/>
      <c r="M414" s="8"/>
      <c r="N414" s="8"/>
    </row>
    <row r="415" spans="6:14" s="14" customFormat="1" ht="14.25" customHeight="1">
      <c r="F415" s="8"/>
      <c r="G415" s="8"/>
      <c r="H415" s="8"/>
      <c r="I415" s="8"/>
      <c r="J415" s="8"/>
      <c r="K415" s="8"/>
      <c r="L415" s="8"/>
      <c r="M415" s="8"/>
      <c r="N415" s="8"/>
    </row>
    <row r="416" spans="6:14" s="14" customFormat="1" ht="14.25" customHeight="1">
      <c r="F416" s="8"/>
      <c r="G416" s="8"/>
      <c r="H416" s="8"/>
      <c r="I416" s="8"/>
      <c r="J416" s="8"/>
      <c r="K416" s="8"/>
      <c r="L416" s="8"/>
      <c r="M416" s="8"/>
      <c r="N416" s="8"/>
    </row>
    <row r="417" spans="6:14" s="14" customFormat="1" ht="14.25" customHeight="1">
      <c r="F417" s="8"/>
      <c r="G417" s="8"/>
      <c r="H417" s="8"/>
      <c r="I417" s="8"/>
      <c r="J417" s="8"/>
      <c r="K417" s="8"/>
      <c r="L417" s="8"/>
      <c r="M417" s="8"/>
      <c r="N417" s="8"/>
    </row>
    <row r="418" spans="6:14" s="14" customFormat="1" ht="14.25" customHeight="1">
      <c r="F418" s="8"/>
      <c r="G418" s="8"/>
      <c r="H418" s="8"/>
      <c r="I418" s="8"/>
      <c r="J418" s="8"/>
      <c r="K418" s="8"/>
      <c r="L418" s="8"/>
      <c r="M418" s="8"/>
      <c r="N418" s="8"/>
    </row>
    <row r="419" spans="6:14" s="14" customFormat="1" ht="14.25" customHeight="1">
      <c r="F419" s="8"/>
      <c r="G419" s="8"/>
      <c r="H419" s="8"/>
      <c r="I419" s="8"/>
      <c r="J419" s="8"/>
      <c r="K419" s="8"/>
      <c r="L419" s="8"/>
      <c r="M419" s="8"/>
      <c r="N419" s="8"/>
    </row>
    <row r="420" spans="6:14" s="14" customFormat="1" ht="14.25" customHeight="1">
      <c r="F420" s="8"/>
      <c r="G420" s="8"/>
      <c r="H420" s="8"/>
      <c r="I420" s="8"/>
      <c r="J420" s="8"/>
      <c r="K420" s="8"/>
      <c r="L420" s="8"/>
      <c r="M420" s="8"/>
      <c r="N420" s="8"/>
    </row>
    <row r="421" spans="6:14" s="14" customFormat="1" ht="14.25" customHeight="1">
      <c r="F421" s="8"/>
      <c r="G421" s="8"/>
      <c r="H421" s="8"/>
      <c r="I421" s="8"/>
      <c r="J421" s="8"/>
      <c r="K421" s="8"/>
      <c r="L421" s="8"/>
      <c r="M421" s="8"/>
      <c r="N421" s="8"/>
    </row>
    <row r="422" spans="6:14" s="14" customFormat="1" ht="14.25" customHeight="1">
      <c r="F422" s="8"/>
      <c r="G422" s="8"/>
      <c r="H422" s="8"/>
      <c r="I422" s="8"/>
      <c r="J422" s="8"/>
      <c r="K422" s="8"/>
      <c r="L422" s="8"/>
      <c r="M422" s="8"/>
      <c r="N422" s="8"/>
    </row>
    <row r="423" spans="6:14" s="14" customFormat="1" ht="14.25" customHeight="1">
      <c r="F423" s="8"/>
      <c r="G423" s="8"/>
      <c r="H423" s="8"/>
      <c r="I423" s="8"/>
      <c r="J423" s="8"/>
      <c r="K423" s="8"/>
      <c r="L423" s="8"/>
      <c r="M423" s="8"/>
      <c r="N423" s="8"/>
    </row>
    <row r="424" spans="6:14" s="14" customFormat="1" ht="14.25" customHeight="1">
      <c r="F424" s="8"/>
      <c r="G424" s="8"/>
      <c r="H424" s="8"/>
      <c r="I424" s="8"/>
      <c r="J424" s="8"/>
      <c r="K424" s="8"/>
      <c r="L424" s="8"/>
      <c r="M424" s="8"/>
      <c r="N424" s="8"/>
    </row>
    <row r="425" spans="6:14" s="14" customFormat="1" ht="14.25" customHeight="1">
      <c r="F425" s="8"/>
      <c r="G425" s="8"/>
      <c r="H425" s="8"/>
      <c r="I425" s="8"/>
      <c r="J425" s="8"/>
      <c r="K425" s="8"/>
      <c r="L425" s="8"/>
      <c r="M425" s="8"/>
      <c r="N425" s="8"/>
    </row>
    <row r="426" spans="6:14" s="14" customFormat="1" ht="14.25" customHeight="1">
      <c r="F426" s="8"/>
      <c r="G426" s="8"/>
      <c r="H426" s="8"/>
      <c r="I426" s="8"/>
      <c r="J426" s="8"/>
      <c r="K426" s="8"/>
      <c r="L426" s="8"/>
      <c r="M426" s="8"/>
      <c r="N426" s="8"/>
    </row>
    <row r="427" spans="6:14" s="14" customFormat="1" ht="14.25" customHeight="1">
      <c r="F427" s="8"/>
      <c r="G427" s="8"/>
      <c r="H427" s="8"/>
      <c r="I427" s="8"/>
      <c r="J427" s="8"/>
      <c r="K427" s="8"/>
      <c r="L427" s="8"/>
      <c r="M427" s="8"/>
      <c r="N427" s="8"/>
    </row>
    <row r="428" spans="6:14" s="14" customFormat="1" ht="14.25" customHeight="1">
      <c r="F428" s="8"/>
      <c r="G428" s="8"/>
      <c r="H428" s="8"/>
      <c r="I428" s="8"/>
      <c r="J428" s="8"/>
      <c r="K428" s="8"/>
      <c r="L428" s="8"/>
      <c r="M428" s="8"/>
      <c r="N428" s="8"/>
    </row>
    <row r="429" spans="6:14" s="14" customFormat="1" ht="14.25" customHeight="1">
      <c r="F429" s="8"/>
      <c r="G429" s="8"/>
      <c r="H429" s="8"/>
      <c r="I429" s="8"/>
      <c r="J429" s="8"/>
      <c r="K429" s="8"/>
      <c r="L429" s="8"/>
      <c r="M429" s="8"/>
      <c r="N429" s="8"/>
    </row>
    <row r="430" spans="6:14" s="14" customFormat="1" ht="14.25" customHeight="1">
      <c r="F430" s="8"/>
      <c r="G430" s="8"/>
      <c r="H430" s="8"/>
      <c r="I430" s="8"/>
      <c r="J430" s="8"/>
      <c r="K430" s="8"/>
      <c r="L430" s="8"/>
      <c r="M430" s="8"/>
      <c r="N430" s="8"/>
    </row>
    <row r="431" spans="6:14" s="14" customFormat="1" ht="14.25" customHeight="1">
      <c r="F431" s="8"/>
      <c r="G431" s="8"/>
      <c r="H431" s="8"/>
      <c r="I431" s="8"/>
      <c r="J431" s="8"/>
      <c r="K431" s="8"/>
      <c r="L431" s="8"/>
      <c r="M431" s="8"/>
      <c r="N431" s="8"/>
    </row>
    <row r="432" spans="6:14" s="14" customFormat="1" ht="14.25" customHeight="1">
      <c r="F432" s="8"/>
      <c r="G432" s="8"/>
      <c r="H432" s="8"/>
      <c r="I432" s="8"/>
      <c r="J432" s="8"/>
      <c r="K432" s="8"/>
      <c r="L432" s="8"/>
      <c r="M432" s="8"/>
      <c r="N432" s="8"/>
    </row>
    <row r="433" spans="6:14" s="14" customFormat="1" ht="14.25" customHeight="1">
      <c r="F433" s="8"/>
      <c r="G433" s="8"/>
      <c r="H433" s="8"/>
      <c r="I433" s="8"/>
      <c r="J433" s="8"/>
      <c r="K433" s="8"/>
      <c r="L433" s="8"/>
      <c r="M433" s="8"/>
      <c r="N433" s="8"/>
    </row>
    <row r="434" spans="6:14" s="14" customFormat="1" ht="14.25" customHeight="1">
      <c r="F434" s="8"/>
      <c r="G434" s="8"/>
      <c r="H434" s="8"/>
      <c r="I434" s="8"/>
      <c r="J434" s="8"/>
      <c r="K434" s="8"/>
      <c r="L434" s="8"/>
      <c r="M434" s="8"/>
      <c r="N434" s="8"/>
    </row>
    <row r="435" spans="6:14" s="14" customFormat="1" ht="14.25" customHeight="1">
      <c r="F435" s="8"/>
      <c r="G435" s="8"/>
      <c r="H435" s="8"/>
      <c r="I435" s="8"/>
      <c r="J435" s="8"/>
      <c r="K435" s="8"/>
      <c r="L435" s="8"/>
      <c r="M435" s="8"/>
      <c r="N435" s="8"/>
    </row>
    <row r="436" spans="6:14" s="14" customFormat="1" ht="14.25" customHeight="1">
      <c r="F436" s="8"/>
      <c r="G436" s="8"/>
      <c r="H436" s="8"/>
      <c r="I436" s="8"/>
      <c r="J436" s="8"/>
      <c r="K436" s="8"/>
      <c r="L436" s="8"/>
      <c r="M436" s="8"/>
      <c r="N436" s="8"/>
    </row>
    <row r="437" spans="6:14" s="14" customFormat="1" ht="14.25" customHeight="1">
      <c r="F437" s="8"/>
      <c r="G437" s="8"/>
      <c r="H437" s="8"/>
      <c r="I437" s="8"/>
      <c r="J437" s="8"/>
      <c r="K437" s="8"/>
      <c r="L437" s="8"/>
      <c r="M437" s="8"/>
      <c r="N437" s="8"/>
    </row>
    <row r="438" spans="6:14" s="14" customFormat="1" ht="14.25" customHeight="1">
      <c r="F438" s="8"/>
      <c r="G438" s="8"/>
      <c r="H438" s="8"/>
      <c r="I438" s="8"/>
      <c r="J438" s="8"/>
      <c r="K438" s="8"/>
      <c r="L438" s="8"/>
      <c r="M438" s="8"/>
      <c r="N438" s="8"/>
    </row>
    <row r="439" spans="6:14" s="14" customFormat="1" ht="14.25" customHeight="1">
      <c r="F439" s="8"/>
      <c r="G439" s="8"/>
      <c r="H439" s="8"/>
      <c r="I439" s="8"/>
      <c r="J439" s="8"/>
      <c r="K439" s="8"/>
      <c r="L439" s="8"/>
      <c r="M439" s="8"/>
      <c r="N439" s="8"/>
    </row>
    <row r="440" spans="6:14" s="14" customFormat="1" ht="14.25" customHeight="1">
      <c r="F440" s="8"/>
      <c r="G440" s="8"/>
      <c r="H440" s="8"/>
      <c r="I440" s="8"/>
      <c r="J440" s="8"/>
      <c r="K440" s="8"/>
      <c r="L440" s="8"/>
      <c r="M440" s="8"/>
      <c r="N440" s="8"/>
    </row>
    <row r="441" spans="6:14" s="14" customFormat="1" ht="14.25" customHeight="1">
      <c r="F441" s="8"/>
      <c r="G441" s="8"/>
      <c r="H441" s="8"/>
      <c r="I441" s="8"/>
      <c r="J441" s="8"/>
      <c r="K441" s="8"/>
      <c r="L441" s="8"/>
      <c r="M441" s="8"/>
      <c r="N441" s="8"/>
    </row>
    <row r="442" spans="6:14" s="14" customFormat="1" ht="14.25" customHeight="1">
      <c r="F442" s="8"/>
      <c r="G442" s="8"/>
      <c r="H442" s="8"/>
      <c r="I442" s="8"/>
      <c r="J442" s="8"/>
      <c r="K442" s="8"/>
      <c r="L442" s="8"/>
      <c r="M442" s="8"/>
      <c r="N442" s="8"/>
    </row>
    <row r="443" spans="6:14" s="14" customFormat="1" ht="14.25" customHeight="1">
      <c r="F443" s="8"/>
      <c r="G443" s="8"/>
      <c r="H443" s="8"/>
      <c r="I443" s="8"/>
      <c r="J443" s="8"/>
      <c r="K443" s="8"/>
      <c r="L443" s="8"/>
      <c r="M443" s="8"/>
      <c r="N443" s="8"/>
    </row>
    <row r="444" spans="6:14" s="14" customFormat="1" ht="14.25" customHeight="1">
      <c r="F444" s="8"/>
      <c r="G444" s="8"/>
      <c r="H444" s="8"/>
      <c r="I444" s="8"/>
      <c r="J444" s="8"/>
      <c r="K444" s="8"/>
      <c r="L444" s="8"/>
      <c r="M444" s="8"/>
      <c r="N444" s="8"/>
    </row>
    <row r="445" spans="6:14" s="14" customFormat="1" ht="14.25" customHeight="1">
      <c r="F445" s="8"/>
      <c r="G445" s="8"/>
      <c r="H445" s="8"/>
      <c r="I445" s="8"/>
      <c r="J445" s="8"/>
      <c r="K445" s="8"/>
      <c r="L445" s="8"/>
      <c r="M445" s="8"/>
      <c r="N445" s="8"/>
    </row>
    <row r="446" spans="6:14" s="14" customFormat="1" ht="14.25" customHeight="1">
      <c r="F446" s="8"/>
      <c r="G446" s="8"/>
      <c r="H446" s="8"/>
      <c r="I446" s="8"/>
      <c r="J446" s="8"/>
      <c r="K446" s="8"/>
      <c r="L446" s="8"/>
      <c r="M446" s="8"/>
      <c r="N446" s="8"/>
    </row>
    <row r="447" spans="6:14" s="14" customFormat="1" ht="14.25" customHeight="1">
      <c r="F447" s="8"/>
      <c r="G447" s="8"/>
      <c r="H447" s="8"/>
      <c r="I447" s="8"/>
      <c r="J447" s="8"/>
      <c r="K447" s="8"/>
      <c r="L447" s="8"/>
      <c r="M447" s="8"/>
      <c r="N447" s="8"/>
    </row>
    <row r="448" spans="6:14" s="14" customFormat="1" ht="14.25" customHeight="1">
      <c r="F448" s="8"/>
      <c r="G448" s="8"/>
      <c r="H448" s="8"/>
      <c r="I448" s="8"/>
      <c r="J448" s="8"/>
      <c r="K448" s="8"/>
      <c r="L448" s="8"/>
      <c r="M448" s="8"/>
      <c r="N448" s="8"/>
    </row>
    <row r="449" spans="6:14" s="14" customFormat="1" ht="14.25" customHeight="1">
      <c r="F449" s="8"/>
      <c r="G449" s="8"/>
      <c r="H449" s="8"/>
      <c r="I449" s="8"/>
      <c r="J449" s="8"/>
      <c r="K449" s="8"/>
      <c r="L449" s="8"/>
      <c r="M449" s="8"/>
      <c r="N449" s="8"/>
    </row>
    <row r="450" spans="6:14" s="14" customFormat="1" ht="14.25" customHeight="1">
      <c r="F450" s="8"/>
      <c r="G450" s="8"/>
      <c r="H450" s="8"/>
      <c r="I450" s="8"/>
      <c r="J450" s="8"/>
      <c r="K450" s="8"/>
      <c r="L450" s="8"/>
      <c r="M450" s="8"/>
      <c r="N450" s="8"/>
    </row>
    <row r="451" spans="6:14" s="14" customFormat="1" ht="14.25" customHeight="1">
      <c r="F451" s="8"/>
      <c r="G451" s="8"/>
      <c r="H451" s="8"/>
      <c r="I451" s="8"/>
      <c r="J451" s="8"/>
      <c r="K451" s="8"/>
      <c r="L451" s="8"/>
      <c r="M451" s="8"/>
      <c r="N451" s="8"/>
    </row>
    <row r="452" spans="6:14" s="14" customFormat="1" ht="14.25" customHeight="1">
      <c r="F452" s="8"/>
      <c r="G452" s="8"/>
      <c r="H452" s="8"/>
      <c r="I452" s="8"/>
      <c r="J452" s="8"/>
      <c r="K452" s="8"/>
      <c r="L452" s="8"/>
      <c r="M452" s="8"/>
      <c r="N452" s="8"/>
    </row>
    <row r="453" spans="6:14" s="14" customFormat="1" ht="14.25" customHeight="1">
      <c r="F453" s="8"/>
      <c r="G453" s="8"/>
      <c r="H453" s="8"/>
      <c r="I453" s="8"/>
      <c r="J453" s="8"/>
      <c r="K453" s="8"/>
      <c r="L453" s="8"/>
      <c r="M453" s="8"/>
      <c r="N453" s="8"/>
    </row>
    <row r="454" spans="6:14" s="14" customFormat="1" ht="14.25" customHeight="1">
      <c r="F454" s="8"/>
      <c r="G454" s="8"/>
      <c r="H454" s="8"/>
      <c r="I454" s="8"/>
      <c r="J454" s="8"/>
      <c r="K454" s="8"/>
      <c r="L454" s="8"/>
      <c r="M454" s="8"/>
      <c r="N454" s="8"/>
    </row>
    <row r="455" spans="6:14" s="14" customFormat="1" ht="14.25" customHeight="1">
      <c r="F455" s="8"/>
      <c r="G455" s="8"/>
      <c r="H455" s="8"/>
      <c r="I455" s="8"/>
      <c r="J455" s="8"/>
      <c r="K455" s="8"/>
      <c r="L455" s="8"/>
      <c r="M455" s="8"/>
      <c r="N455" s="8"/>
    </row>
    <row r="456" spans="6:14" s="14" customFormat="1" ht="14.25" customHeight="1">
      <c r="F456" s="8"/>
      <c r="G456" s="8"/>
      <c r="H456" s="8"/>
      <c r="I456" s="8"/>
      <c r="J456" s="8"/>
      <c r="K456" s="8"/>
      <c r="L456" s="8"/>
      <c r="M456" s="8"/>
      <c r="N456" s="8"/>
    </row>
    <row r="457" spans="6:14" s="14" customFormat="1" ht="14.25" customHeight="1">
      <c r="F457" s="8"/>
      <c r="G457" s="8"/>
      <c r="H457" s="8"/>
      <c r="I457" s="8"/>
      <c r="J457" s="8"/>
      <c r="K457" s="8"/>
      <c r="L457" s="8"/>
      <c r="M457" s="8"/>
      <c r="N457" s="8"/>
    </row>
    <row r="458" spans="6:14" s="14" customFormat="1" ht="14.25" customHeight="1">
      <c r="F458" s="8"/>
      <c r="G458" s="8"/>
      <c r="H458" s="8"/>
      <c r="I458" s="8"/>
      <c r="J458" s="8"/>
      <c r="K458" s="8"/>
      <c r="L458" s="8"/>
      <c r="M458" s="8"/>
      <c r="N458" s="8"/>
    </row>
    <row r="459" spans="6:14" s="14" customFormat="1" ht="14.25" customHeight="1">
      <c r="F459" s="8"/>
      <c r="G459" s="8"/>
      <c r="H459" s="8"/>
      <c r="I459" s="8"/>
      <c r="J459" s="8"/>
      <c r="K459" s="8"/>
      <c r="L459" s="8"/>
      <c r="M459" s="8"/>
      <c r="N459" s="8"/>
    </row>
    <row r="460" spans="6:14" s="14" customFormat="1" ht="14.25" customHeight="1">
      <c r="F460" s="8"/>
      <c r="G460" s="8"/>
      <c r="H460" s="8"/>
      <c r="I460" s="8"/>
      <c r="J460" s="8"/>
      <c r="K460" s="8"/>
      <c r="L460" s="8"/>
      <c r="M460" s="8"/>
      <c r="N460" s="8"/>
    </row>
    <row r="461" spans="6:14" s="14" customFormat="1" ht="14.25" customHeight="1">
      <c r="F461" s="8"/>
      <c r="G461" s="8"/>
      <c r="H461" s="8"/>
      <c r="I461" s="8"/>
      <c r="J461" s="8"/>
      <c r="K461" s="8"/>
      <c r="L461" s="8"/>
      <c r="M461" s="8"/>
      <c r="N461" s="8"/>
    </row>
    <row r="462" spans="6:14" s="14" customFormat="1" ht="14.25" customHeight="1">
      <c r="F462" s="8"/>
      <c r="G462" s="8"/>
      <c r="H462" s="8"/>
      <c r="I462" s="8"/>
      <c r="J462" s="8"/>
      <c r="K462" s="8"/>
      <c r="L462" s="8"/>
      <c r="M462" s="8"/>
      <c r="N462" s="8"/>
    </row>
    <row r="463" spans="6:14" s="14" customFormat="1" ht="14.25" customHeight="1">
      <c r="F463" s="8"/>
      <c r="G463" s="8"/>
      <c r="H463" s="8"/>
      <c r="I463" s="8"/>
      <c r="J463" s="8"/>
      <c r="K463" s="8"/>
      <c r="L463" s="8"/>
      <c r="M463" s="8"/>
      <c r="N463" s="8"/>
    </row>
    <row r="464" spans="6:14" s="14" customFormat="1" ht="14.25" customHeight="1">
      <c r="F464" s="8"/>
      <c r="G464" s="8"/>
      <c r="H464" s="8"/>
      <c r="I464" s="8"/>
      <c r="J464" s="8"/>
      <c r="K464" s="8"/>
      <c r="L464" s="8"/>
      <c r="M464" s="8"/>
      <c r="N464" s="8"/>
    </row>
    <row r="465" spans="6:14" s="14" customFormat="1" ht="14.25" customHeight="1">
      <c r="F465" s="8"/>
      <c r="G465" s="8"/>
      <c r="H465" s="8"/>
      <c r="I465" s="8"/>
      <c r="J465" s="8"/>
      <c r="K465" s="8"/>
      <c r="L465" s="8"/>
      <c r="M465" s="8"/>
      <c r="N465" s="8"/>
    </row>
    <row r="466" spans="6:14" s="14" customFormat="1" ht="14.25" customHeight="1">
      <c r="F466" s="8"/>
      <c r="G466" s="8"/>
      <c r="H466" s="8"/>
      <c r="I466" s="8"/>
      <c r="J466" s="8"/>
      <c r="K466" s="8"/>
      <c r="L466" s="8"/>
      <c r="M466" s="8"/>
      <c r="N466" s="8"/>
    </row>
    <row r="467" spans="6:14" s="14" customFormat="1" ht="14.25" customHeight="1">
      <c r="F467" s="8"/>
      <c r="G467" s="8"/>
      <c r="H467" s="8"/>
      <c r="I467" s="8"/>
      <c r="J467" s="8"/>
      <c r="K467" s="8"/>
      <c r="L467" s="8"/>
      <c r="M467" s="8"/>
      <c r="N467" s="8"/>
    </row>
    <row r="468" spans="6:14" s="14" customFormat="1" ht="14.25" customHeight="1">
      <c r="F468" s="8"/>
      <c r="G468" s="8"/>
      <c r="H468" s="8"/>
      <c r="I468" s="8"/>
      <c r="J468" s="8"/>
      <c r="K468" s="8"/>
      <c r="L468" s="8"/>
      <c r="M468" s="8"/>
      <c r="N468" s="8"/>
    </row>
    <row r="469" spans="6:14" s="14" customFormat="1" ht="14.25" customHeight="1">
      <c r="F469" s="8"/>
      <c r="G469" s="8"/>
      <c r="H469" s="8"/>
      <c r="I469" s="8"/>
      <c r="J469" s="8"/>
      <c r="K469" s="8"/>
      <c r="L469" s="8"/>
      <c r="M469" s="8"/>
      <c r="N469" s="8"/>
    </row>
    <row r="470" spans="6:14" s="14" customFormat="1" ht="14.25" customHeight="1">
      <c r="F470" s="8"/>
      <c r="G470" s="8"/>
      <c r="H470" s="8"/>
      <c r="I470" s="8"/>
      <c r="J470" s="8"/>
      <c r="K470" s="8"/>
      <c r="L470" s="8"/>
      <c r="M470" s="8"/>
      <c r="N470" s="8"/>
    </row>
    <row r="471" spans="6:14" s="14" customFormat="1" ht="14.25" customHeight="1">
      <c r="F471" s="8"/>
      <c r="G471" s="8"/>
      <c r="H471" s="8"/>
      <c r="I471" s="8"/>
      <c r="J471" s="8"/>
      <c r="K471" s="8"/>
      <c r="L471" s="8"/>
      <c r="M471" s="8"/>
      <c r="N471" s="8"/>
    </row>
    <row r="472" spans="6:14" s="14" customFormat="1" ht="14.25" customHeight="1">
      <c r="F472" s="8"/>
      <c r="G472" s="8"/>
      <c r="H472" s="8"/>
      <c r="I472" s="8"/>
      <c r="J472" s="8"/>
      <c r="K472" s="8"/>
      <c r="L472" s="8"/>
      <c r="M472" s="8"/>
      <c r="N472" s="8"/>
    </row>
    <row r="473" spans="6:14" s="14" customFormat="1" ht="14.25" customHeight="1">
      <c r="F473" s="8"/>
      <c r="G473" s="8"/>
      <c r="H473" s="8"/>
      <c r="I473" s="8"/>
      <c r="J473" s="8"/>
      <c r="K473" s="8"/>
      <c r="L473" s="8"/>
      <c r="M473" s="8"/>
      <c r="N473" s="8"/>
    </row>
    <row r="474" spans="6:14" s="14" customFormat="1" ht="14.25" customHeight="1">
      <c r="F474" s="8"/>
      <c r="G474" s="8"/>
      <c r="H474" s="8"/>
      <c r="I474" s="8"/>
      <c r="J474" s="8"/>
      <c r="K474" s="8"/>
      <c r="L474" s="8"/>
      <c r="M474" s="8"/>
      <c r="N474" s="8"/>
    </row>
    <row r="475" spans="6:14" s="14" customFormat="1" ht="14.25" customHeight="1">
      <c r="F475" s="8"/>
      <c r="G475" s="8"/>
      <c r="H475" s="8"/>
      <c r="I475" s="8"/>
      <c r="J475" s="8"/>
      <c r="K475" s="8"/>
      <c r="L475" s="8"/>
      <c r="M475" s="8"/>
      <c r="N475" s="8"/>
    </row>
    <row r="476" spans="6:14" s="14" customFormat="1" ht="14.25" customHeight="1">
      <c r="F476" s="8"/>
      <c r="G476" s="8"/>
      <c r="H476" s="8"/>
      <c r="I476" s="8"/>
      <c r="J476" s="8"/>
      <c r="K476" s="8"/>
      <c r="L476" s="8"/>
      <c r="M476" s="8"/>
      <c r="N476" s="8"/>
    </row>
    <row r="477" spans="6:14" s="14" customFormat="1" ht="14.25" customHeight="1">
      <c r="F477" s="8"/>
      <c r="G477" s="8"/>
      <c r="H477" s="8"/>
      <c r="I477" s="8"/>
      <c r="J477" s="8"/>
      <c r="K477" s="8"/>
      <c r="L477" s="8"/>
      <c r="M477" s="8"/>
      <c r="N477" s="8"/>
    </row>
    <row r="478" spans="6:14" s="14" customFormat="1" ht="14.25" customHeight="1">
      <c r="F478" s="8"/>
      <c r="G478" s="8"/>
      <c r="H478" s="8"/>
      <c r="I478" s="8"/>
      <c r="J478" s="8"/>
      <c r="K478" s="8"/>
      <c r="L478" s="8"/>
      <c r="M478" s="8"/>
      <c r="N478" s="8"/>
    </row>
    <row r="479" spans="6:14" s="14" customFormat="1" ht="14.25" customHeight="1">
      <c r="F479" s="8"/>
      <c r="G479" s="8"/>
      <c r="H479" s="8"/>
      <c r="I479" s="8"/>
      <c r="J479" s="8"/>
      <c r="K479" s="8"/>
      <c r="L479" s="8"/>
      <c r="M479" s="8"/>
      <c r="N479" s="8"/>
    </row>
    <row r="480" spans="6:14" s="14" customFormat="1" ht="14.25" customHeight="1">
      <c r="F480" s="8"/>
      <c r="G480" s="8"/>
      <c r="H480" s="8"/>
      <c r="I480" s="8"/>
      <c r="J480" s="8"/>
      <c r="K480" s="8"/>
      <c r="L480" s="8"/>
      <c r="M480" s="8"/>
      <c r="N480" s="8"/>
    </row>
    <row r="481" spans="6:14" s="14" customFormat="1" ht="14.25" customHeight="1">
      <c r="F481" s="8"/>
      <c r="G481" s="8"/>
      <c r="H481" s="8"/>
      <c r="I481" s="8"/>
      <c r="J481" s="8"/>
      <c r="K481" s="8"/>
      <c r="L481" s="8"/>
      <c r="M481" s="8"/>
      <c r="N481" s="8"/>
    </row>
    <row r="482" spans="6:14" s="14" customFormat="1" ht="14.25" customHeight="1">
      <c r="F482" s="8"/>
      <c r="G482" s="8"/>
      <c r="H482" s="8"/>
      <c r="I482" s="8"/>
      <c r="J482" s="8"/>
      <c r="K482" s="8"/>
      <c r="L482" s="8"/>
      <c r="M482" s="8"/>
      <c r="N482" s="8"/>
    </row>
    <row r="483" spans="6:14" s="14" customFormat="1" ht="14.25" customHeight="1">
      <c r="F483" s="8"/>
      <c r="G483" s="8"/>
      <c r="H483" s="8"/>
      <c r="I483" s="8"/>
      <c r="J483" s="8"/>
      <c r="K483" s="8"/>
      <c r="L483" s="8"/>
      <c r="M483" s="8"/>
      <c r="N483" s="8"/>
    </row>
    <row r="484" spans="6:14" s="14" customFormat="1" ht="14.25" customHeight="1">
      <c r="F484" s="8"/>
      <c r="G484" s="8"/>
      <c r="H484" s="8"/>
      <c r="I484" s="8"/>
      <c r="J484" s="8"/>
      <c r="K484" s="8"/>
      <c r="L484" s="8"/>
      <c r="M484" s="8"/>
      <c r="N484" s="8"/>
    </row>
    <row r="485" spans="6:14" s="14" customFormat="1" ht="14.25" customHeight="1">
      <c r="F485" s="8"/>
      <c r="G485" s="8"/>
      <c r="H485" s="8"/>
      <c r="I485" s="8"/>
      <c r="J485" s="8"/>
      <c r="K485" s="8"/>
      <c r="L485" s="8"/>
      <c r="M485" s="8"/>
      <c r="N485" s="8"/>
    </row>
    <row r="486" spans="6:14" s="14" customFormat="1" ht="14.25" customHeight="1">
      <c r="F486" s="8"/>
      <c r="G486" s="8"/>
      <c r="H486" s="8"/>
      <c r="I486" s="8"/>
      <c r="J486" s="8"/>
      <c r="K486" s="8"/>
      <c r="L486" s="8"/>
      <c r="M486" s="8"/>
      <c r="N486" s="8"/>
    </row>
    <row r="487" spans="6:14" s="14" customFormat="1" ht="14.25" customHeight="1">
      <c r="F487" s="8"/>
      <c r="G487" s="8"/>
      <c r="H487" s="8"/>
      <c r="I487" s="8"/>
      <c r="J487" s="8"/>
      <c r="K487" s="8"/>
      <c r="L487" s="8"/>
      <c r="M487" s="8"/>
      <c r="N487" s="8"/>
    </row>
    <row r="488" spans="6:14" s="14" customFormat="1" ht="14.25" customHeight="1">
      <c r="F488" s="8"/>
      <c r="G488" s="8"/>
      <c r="H488" s="8"/>
      <c r="I488" s="8"/>
      <c r="J488" s="8"/>
      <c r="K488" s="8"/>
      <c r="L488" s="8"/>
      <c r="M488" s="8"/>
      <c r="N488" s="8"/>
    </row>
    <row r="489" spans="6:14" s="14" customFormat="1" ht="14.25" customHeight="1">
      <c r="F489" s="8"/>
      <c r="G489" s="8"/>
      <c r="H489" s="8"/>
      <c r="I489" s="8"/>
      <c r="J489" s="8"/>
      <c r="K489" s="8"/>
      <c r="L489" s="8"/>
      <c r="M489" s="8"/>
      <c r="N489" s="8"/>
    </row>
    <row r="490" spans="6:14" s="14" customFormat="1" ht="14.25" customHeight="1">
      <c r="F490" s="8"/>
      <c r="G490" s="8"/>
      <c r="H490" s="8"/>
      <c r="I490" s="8"/>
      <c r="J490" s="8"/>
      <c r="K490" s="8"/>
      <c r="L490" s="8"/>
      <c r="M490" s="8"/>
      <c r="N490" s="8"/>
    </row>
    <row r="491" spans="6:14" s="14" customFormat="1" ht="14.25" customHeight="1">
      <c r="F491" s="8"/>
      <c r="G491" s="8"/>
      <c r="H491" s="8"/>
      <c r="I491" s="8"/>
      <c r="J491" s="8"/>
      <c r="K491" s="8"/>
      <c r="L491" s="8"/>
      <c r="M491" s="8"/>
      <c r="N491" s="8"/>
    </row>
    <row r="492" spans="6:14" s="14" customFormat="1" ht="14.25" customHeight="1">
      <c r="F492" s="8"/>
      <c r="G492" s="8"/>
      <c r="H492" s="8"/>
      <c r="I492" s="8"/>
      <c r="J492" s="8"/>
      <c r="K492" s="8"/>
      <c r="L492" s="8"/>
      <c r="M492" s="8"/>
      <c r="N492" s="8"/>
    </row>
    <row r="493" spans="6:14" s="14" customFormat="1" ht="14.25" customHeight="1">
      <c r="F493" s="8"/>
      <c r="G493" s="8"/>
      <c r="H493" s="8"/>
      <c r="I493" s="8"/>
      <c r="J493" s="8"/>
      <c r="K493" s="8"/>
      <c r="L493" s="8"/>
      <c r="M493" s="8"/>
      <c r="N493" s="8"/>
    </row>
    <row r="494" spans="6:14" s="14" customFormat="1" ht="14.25" customHeight="1">
      <c r="F494" s="8"/>
      <c r="G494" s="8"/>
      <c r="H494" s="8"/>
      <c r="I494" s="8"/>
      <c r="J494" s="8"/>
      <c r="K494" s="8"/>
      <c r="L494" s="8"/>
      <c r="M494" s="8"/>
      <c r="N494" s="8"/>
    </row>
    <row r="495" spans="6:14" s="14" customFormat="1" ht="14.25" customHeight="1">
      <c r="F495" s="8"/>
      <c r="G495" s="8"/>
      <c r="H495" s="8"/>
      <c r="I495" s="8"/>
      <c r="J495" s="8"/>
      <c r="K495" s="8"/>
      <c r="L495" s="8"/>
      <c r="M495" s="8"/>
      <c r="N495" s="8"/>
    </row>
    <row r="496" spans="6:14" s="14" customFormat="1" ht="14.25" customHeight="1">
      <c r="F496" s="8"/>
      <c r="G496" s="8"/>
      <c r="H496" s="8"/>
      <c r="I496" s="8"/>
      <c r="J496" s="8"/>
      <c r="K496" s="8"/>
      <c r="L496" s="8"/>
      <c r="M496" s="8"/>
      <c r="N496" s="8"/>
    </row>
    <row r="497" spans="6:14" s="14" customFormat="1" ht="14.25" customHeight="1">
      <c r="F497" s="8"/>
      <c r="G497" s="8"/>
      <c r="H497" s="8"/>
      <c r="I497" s="8"/>
      <c r="J497" s="8"/>
      <c r="K497" s="8"/>
      <c r="L497" s="8"/>
      <c r="M497" s="8"/>
      <c r="N497" s="8"/>
    </row>
    <row r="498" spans="6:14" s="14" customFormat="1" ht="14.25" customHeight="1">
      <c r="F498" s="8"/>
      <c r="G498" s="8"/>
      <c r="H498" s="8"/>
      <c r="I498" s="8"/>
      <c r="J498" s="8"/>
      <c r="K498" s="8"/>
      <c r="L498" s="8"/>
      <c r="M498" s="8"/>
      <c r="N498" s="8"/>
    </row>
    <row r="499" spans="6:14" s="14" customFormat="1" ht="14.25" customHeight="1">
      <c r="F499" s="8"/>
      <c r="G499" s="8"/>
      <c r="H499" s="8"/>
      <c r="I499" s="8"/>
      <c r="J499" s="8"/>
      <c r="K499" s="8"/>
      <c r="L499" s="8"/>
      <c r="M499" s="8"/>
      <c r="N499" s="8"/>
    </row>
    <row r="500" spans="6:14" s="14" customFormat="1" ht="14.25" customHeight="1">
      <c r="F500" s="8"/>
      <c r="G500" s="8"/>
      <c r="H500" s="8"/>
      <c r="I500" s="8"/>
      <c r="J500" s="8"/>
      <c r="K500" s="8"/>
      <c r="L500" s="8"/>
      <c r="M500" s="8"/>
      <c r="N500" s="8"/>
    </row>
    <row r="501" spans="6:14" s="14" customFormat="1" ht="14.25" customHeight="1">
      <c r="F501" s="8"/>
      <c r="G501" s="8"/>
      <c r="H501" s="8"/>
      <c r="I501" s="8"/>
      <c r="J501" s="8"/>
      <c r="K501" s="8"/>
      <c r="L501" s="8"/>
      <c r="M501" s="8"/>
      <c r="N501" s="8"/>
    </row>
    <row r="502" spans="6:14" s="14" customFormat="1" ht="14.25" customHeight="1">
      <c r="F502" s="8"/>
      <c r="G502" s="8"/>
      <c r="H502" s="8"/>
      <c r="I502" s="8"/>
      <c r="J502" s="8"/>
      <c r="K502" s="8"/>
      <c r="L502" s="8"/>
      <c r="M502" s="8"/>
      <c r="N502" s="8"/>
    </row>
    <row r="503" spans="6:14" s="14" customFormat="1" ht="14.25" customHeight="1">
      <c r="F503" s="8"/>
      <c r="G503" s="8"/>
      <c r="H503" s="8"/>
      <c r="I503" s="8"/>
      <c r="J503" s="8"/>
      <c r="K503" s="8"/>
      <c r="L503" s="8"/>
      <c r="M503" s="8"/>
      <c r="N503" s="8"/>
    </row>
    <row r="504" spans="6:14" s="14" customFormat="1" ht="14.25" customHeight="1">
      <c r="F504" s="8"/>
      <c r="G504" s="8"/>
      <c r="H504" s="8"/>
      <c r="I504" s="8"/>
      <c r="J504" s="8"/>
      <c r="K504" s="8"/>
      <c r="L504" s="8"/>
      <c r="M504" s="8"/>
      <c r="N504" s="8"/>
    </row>
    <row r="505" spans="6:14" s="14" customFormat="1" ht="14.25" customHeight="1">
      <c r="F505" s="8"/>
      <c r="G505" s="8"/>
      <c r="H505" s="8"/>
      <c r="I505" s="8"/>
      <c r="J505" s="8"/>
      <c r="K505" s="8"/>
      <c r="L505" s="8"/>
      <c r="M505" s="8"/>
      <c r="N505" s="8"/>
    </row>
    <row r="506" spans="6:14" s="14" customFormat="1" ht="14.25" customHeight="1">
      <c r="F506" s="8"/>
      <c r="G506" s="8"/>
      <c r="H506" s="8"/>
      <c r="I506" s="8"/>
      <c r="J506" s="8"/>
      <c r="K506" s="8"/>
      <c r="L506" s="8"/>
      <c r="M506" s="8"/>
      <c r="N506" s="8"/>
    </row>
    <row r="507" spans="6:14" s="14" customFormat="1" ht="14.25" customHeight="1">
      <c r="F507" s="8"/>
      <c r="G507" s="8"/>
      <c r="H507" s="8"/>
      <c r="I507" s="8"/>
      <c r="J507" s="8"/>
      <c r="K507" s="8"/>
      <c r="L507" s="8"/>
      <c r="M507" s="8"/>
      <c r="N507" s="8"/>
    </row>
    <row r="508" spans="6:14" s="14" customFormat="1" ht="14.25" customHeight="1">
      <c r="F508" s="8"/>
      <c r="G508" s="8"/>
      <c r="H508" s="8"/>
      <c r="I508" s="8"/>
      <c r="J508" s="8"/>
      <c r="K508" s="8"/>
      <c r="L508" s="8"/>
      <c r="M508" s="8"/>
      <c r="N508" s="8"/>
    </row>
    <row r="509" spans="6:14" s="14" customFormat="1" ht="14.25" customHeight="1">
      <c r="F509" s="8"/>
      <c r="G509" s="8"/>
      <c r="H509" s="8"/>
      <c r="I509" s="8"/>
      <c r="J509" s="8"/>
      <c r="K509" s="8"/>
      <c r="L509" s="8"/>
      <c r="M509" s="8"/>
      <c r="N509" s="8"/>
    </row>
    <row r="510" spans="6:14" s="14" customFormat="1" ht="14.25" customHeight="1">
      <c r="F510" s="8"/>
      <c r="G510" s="8"/>
      <c r="H510" s="8"/>
      <c r="I510" s="8"/>
      <c r="J510" s="8"/>
      <c r="K510" s="8"/>
      <c r="L510" s="8"/>
      <c r="M510" s="8"/>
      <c r="N510" s="8"/>
    </row>
    <row r="511" spans="6:14" s="14" customFormat="1" ht="14.25" customHeight="1">
      <c r="F511" s="8"/>
      <c r="G511" s="8"/>
      <c r="H511" s="8"/>
      <c r="I511" s="8"/>
      <c r="J511" s="8"/>
      <c r="K511" s="8"/>
      <c r="L511" s="8"/>
      <c r="M511" s="8"/>
      <c r="N511" s="8"/>
    </row>
    <row r="512" spans="6:14" s="14" customFormat="1" ht="14.25" customHeight="1">
      <c r="F512" s="8"/>
      <c r="G512" s="8"/>
      <c r="H512" s="8"/>
      <c r="I512" s="8"/>
      <c r="J512" s="8"/>
      <c r="K512" s="8"/>
      <c r="L512" s="8"/>
      <c r="M512" s="8"/>
      <c r="N512" s="8"/>
    </row>
    <row r="513" spans="6:14" s="14" customFormat="1" ht="14.25" customHeight="1">
      <c r="F513" s="8"/>
      <c r="G513" s="8"/>
      <c r="H513" s="8"/>
      <c r="I513" s="8"/>
      <c r="J513" s="8"/>
      <c r="K513" s="8"/>
      <c r="L513" s="8"/>
      <c r="M513" s="8"/>
      <c r="N513" s="8"/>
    </row>
    <row r="514" spans="6:14" s="14" customFormat="1" ht="14.25" customHeight="1">
      <c r="F514" s="8"/>
      <c r="G514" s="8"/>
      <c r="H514" s="8"/>
      <c r="I514" s="8"/>
      <c r="J514" s="8"/>
      <c r="K514" s="8"/>
      <c r="L514" s="8"/>
      <c r="M514" s="8"/>
      <c r="N514" s="8"/>
    </row>
    <row r="515" spans="6:14" s="14" customFormat="1" ht="14.25" customHeight="1">
      <c r="F515" s="8"/>
      <c r="G515" s="8"/>
      <c r="H515" s="8"/>
      <c r="I515" s="8"/>
      <c r="J515" s="8"/>
      <c r="K515" s="8"/>
      <c r="L515" s="8"/>
      <c r="M515" s="8"/>
      <c r="N515" s="8"/>
    </row>
    <row r="516" spans="6:14" s="14" customFormat="1" ht="14.25" customHeight="1">
      <c r="F516" s="8"/>
      <c r="G516" s="8"/>
      <c r="H516" s="8"/>
      <c r="I516" s="8"/>
      <c r="J516" s="8"/>
      <c r="K516" s="8"/>
      <c r="L516" s="8"/>
      <c r="M516" s="8"/>
      <c r="N516" s="8"/>
    </row>
    <row r="517" spans="6:14" s="14" customFormat="1" ht="14.25" customHeight="1">
      <c r="F517" s="8"/>
      <c r="G517" s="8"/>
      <c r="H517" s="8"/>
      <c r="I517" s="8"/>
      <c r="J517" s="8"/>
      <c r="K517" s="8"/>
      <c r="L517" s="8"/>
      <c r="M517" s="8"/>
      <c r="N517" s="8"/>
    </row>
    <row r="518" spans="6:14" s="14" customFormat="1" ht="14.25" customHeight="1">
      <c r="F518" s="8"/>
      <c r="G518" s="8"/>
      <c r="H518" s="8"/>
      <c r="I518" s="8"/>
      <c r="J518" s="8"/>
      <c r="K518" s="8"/>
      <c r="L518" s="8"/>
      <c r="M518" s="8"/>
      <c r="N518" s="8"/>
    </row>
    <row r="519" spans="6:14" s="14" customFormat="1" ht="14.25" customHeight="1">
      <c r="F519" s="8"/>
      <c r="G519" s="8"/>
      <c r="H519" s="8"/>
      <c r="I519" s="8"/>
      <c r="J519" s="8"/>
      <c r="K519" s="8"/>
      <c r="L519" s="8"/>
      <c r="M519" s="8"/>
      <c r="N519" s="8"/>
    </row>
    <row r="520" spans="6:14" s="14" customFormat="1" ht="14.25" customHeight="1">
      <c r="F520" s="8"/>
      <c r="G520" s="8"/>
      <c r="H520" s="8"/>
      <c r="I520" s="8"/>
      <c r="J520" s="8"/>
      <c r="K520" s="8"/>
      <c r="L520" s="8"/>
      <c r="M520" s="8"/>
      <c r="N520" s="8"/>
    </row>
    <row r="521" spans="6:14" s="14" customFormat="1" ht="14.25" customHeight="1">
      <c r="F521" s="8"/>
      <c r="G521" s="8"/>
      <c r="H521" s="8"/>
      <c r="I521" s="8"/>
      <c r="J521" s="8"/>
      <c r="K521" s="8"/>
      <c r="L521" s="8"/>
      <c r="M521" s="8"/>
      <c r="N521" s="8"/>
    </row>
    <row r="522" spans="6:14" s="14" customFormat="1" ht="14.25" customHeight="1">
      <c r="F522" s="8"/>
      <c r="G522" s="8"/>
      <c r="H522" s="8"/>
      <c r="I522" s="8"/>
      <c r="J522" s="8"/>
      <c r="K522" s="8"/>
      <c r="L522" s="8"/>
      <c r="M522" s="8"/>
      <c r="N522" s="8"/>
    </row>
    <row r="523" spans="6:14" s="14" customFormat="1" ht="14.25" customHeight="1">
      <c r="F523" s="8"/>
      <c r="G523" s="8"/>
      <c r="H523" s="8"/>
      <c r="I523" s="8"/>
      <c r="J523" s="8"/>
      <c r="K523" s="8"/>
      <c r="L523" s="8"/>
      <c r="M523" s="8"/>
      <c r="N523" s="8"/>
    </row>
    <row r="524" spans="6:14" s="14" customFormat="1" ht="14.25" customHeight="1">
      <c r="F524" s="8"/>
      <c r="G524" s="8"/>
      <c r="H524" s="8"/>
      <c r="I524" s="8"/>
      <c r="J524" s="8"/>
      <c r="K524" s="8"/>
      <c r="L524" s="8"/>
      <c r="M524" s="8"/>
      <c r="N524" s="8"/>
    </row>
    <row r="525" spans="6:14" s="14" customFormat="1" ht="14.25" customHeight="1">
      <c r="F525" s="8"/>
      <c r="G525" s="8"/>
      <c r="H525" s="8"/>
      <c r="I525" s="8"/>
      <c r="J525" s="8"/>
      <c r="K525" s="8"/>
      <c r="L525" s="8"/>
      <c r="M525" s="8"/>
      <c r="N525" s="8"/>
    </row>
    <row r="526" spans="6:14" s="14" customFormat="1" ht="14.25" customHeight="1">
      <c r="F526" s="8"/>
      <c r="G526" s="8"/>
      <c r="H526" s="8"/>
      <c r="I526" s="8"/>
      <c r="J526" s="8"/>
      <c r="K526" s="8"/>
      <c r="L526" s="8"/>
      <c r="M526" s="8"/>
      <c r="N526" s="8"/>
    </row>
    <row r="527" spans="6:14" s="14" customFormat="1" ht="14.25" customHeight="1">
      <c r="F527" s="8"/>
      <c r="G527" s="8"/>
      <c r="H527" s="8"/>
      <c r="I527" s="8"/>
      <c r="J527" s="8"/>
      <c r="K527" s="8"/>
      <c r="L527" s="8"/>
      <c r="M527" s="8"/>
      <c r="N527" s="8"/>
    </row>
    <row r="528" spans="6:14" s="14" customFormat="1" ht="14.25" customHeight="1">
      <c r="F528" s="8"/>
      <c r="G528" s="8"/>
      <c r="H528" s="8"/>
      <c r="I528" s="8"/>
      <c r="J528" s="8"/>
      <c r="K528" s="8"/>
      <c r="L528" s="8"/>
      <c r="M528" s="8"/>
      <c r="N528" s="8"/>
    </row>
    <row r="529" spans="6:14" s="14" customFormat="1" ht="14.25" customHeight="1">
      <c r="F529" s="8"/>
      <c r="G529" s="8"/>
      <c r="H529" s="8"/>
      <c r="I529" s="8"/>
      <c r="J529" s="8"/>
      <c r="K529" s="8"/>
      <c r="L529" s="8"/>
      <c r="M529" s="8"/>
      <c r="N529" s="8"/>
    </row>
    <row r="530" spans="6:14" s="14" customFormat="1" ht="14.25" customHeight="1">
      <c r="F530" s="8"/>
      <c r="G530" s="8"/>
      <c r="H530" s="8"/>
      <c r="I530" s="8"/>
      <c r="J530" s="8"/>
      <c r="K530" s="8"/>
      <c r="L530" s="8"/>
      <c r="M530" s="8"/>
      <c r="N530" s="8"/>
    </row>
    <row r="531" spans="6:14" s="14" customFormat="1" ht="14.25" customHeight="1">
      <c r="F531" s="8"/>
      <c r="G531" s="8"/>
      <c r="H531" s="8"/>
      <c r="I531" s="8"/>
      <c r="J531" s="8"/>
      <c r="K531" s="8"/>
      <c r="L531" s="8"/>
      <c r="M531" s="8"/>
      <c r="N531" s="8"/>
    </row>
    <row r="532" spans="6:14" s="14" customFormat="1" ht="14.25" customHeight="1">
      <c r="F532" s="8"/>
      <c r="G532" s="8"/>
      <c r="H532" s="8"/>
      <c r="I532" s="8"/>
      <c r="J532" s="8"/>
      <c r="K532" s="8"/>
      <c r="L532" s="8"/>
      <c r="M532" s="8"/>
      <c r="N532" s="8"/>
    </row>
    <row r="533" spans="6:14" s="14" customFormat="1" ht="14.25" customHeight="1">
      <c r="F533" s="8"/>
      <c r="G533" s="8"/>
      <c r="H533" s="8"/>
      <c r="I533" s="8"/>
      <c r="J533" s="8"/>
      <c r="K533" s="8"/>
      <c r="L533" s="8"/>
      <c r="M533" s="8"/>
      <c r="N533" s="8"/>
    </row>
    <row r="534" spans="6:14" s="14" customFormat="1" ht="14.25" customHeight="1">
      <c r="F534" s="8"/>
      <c r="G534" s="8"/>
      <c r="H534" s="8"/>
      <c r="I534" s="8"/>
      <c r="J534" s="8"/>
      <c r="K534" s="8"/>
      <c r="L534" s="8"/>
      <c r="M534" s="8"/>
      <c r="N534" s="8"/>
    </row>
    <row r="535" spans="6:14" s="14" customFormat="1" ht="14.25" customHeight="1">
      <c r="F535" s="8"/>
      <c r="G535" s="8"/>
      <c r="H535" s="8"/>
      <c r="I535" s="8"/>
      <c r="J535" s="8"/>
      <c r="K535" s="8"/>
      <c r="L535" s="8"/>
      <c r="M535" s="8"/>
      <c r="N535" s="8"/>
    </row>
    <row r="536" spans="6:14" s="14" customFormat="1" ht="14.25" customHeight="1">
      <c r="F536" s="8"/>
      <c r="G536" s="8"/>
      <c r="H536" s="8"/>
      <c r="I536" s="8"/>
      <c r="J536" s="8"/>
      <c r="K536" s="8"/>
      <c r="L536" s="8"/>
      <c r="M536" s="8"/>
      <c r="N536" s="8"/>
    </row>
    <row r="537" spans="6:14" s="14" customFormat="1" ht="14.25" customHeight="1">
      <c r="F537" s="8"/>
      <c r="G537" s="8"/>
      <c r="H537" s="8"/>
      <c r="I537" s="8"/>
      <c r="J537" s="8"/>
      <c r="K537" s="8"/>
      <c r="L537" s="8"/>
      <c r="M537" s="8"/>
      <c r="N537" s="8"/>
    </row>
    <row r="538" spans="6:14" s="14" customFormat="1" ht="14.25" customHeight="1">
      <c r="F538" s="8"/>
      <c r="G538" s="8"/>
      <c r="H538" s="8"/>
      <c r="I538" s="8"/>
      <c r="J538" s="8"/>
      <c r="K538" s="8"/>
      <c r="L538" s="8"/>
      <c r="M538" s="8"/>
      <c r="N538" s="8"/>
    </row>
    <row r="539" spans="6:14" s="14" customFormat="1" ht="14.25" customHeight="1">
      <c r="F539" s="8"/>
      <c r="G539" s="8"/>
      <c r="H539" s="8"/>
      <c r="I539" s="8"/>
      <c r="J539" s="8"/>
      <c r="K539" s="8"/>
      <c r="L539" s="8"/>
      <c r="M539" s="8"/>
      <c r="N539" s="8"/>
    </row>
    <row r="540" spans="6:14" s="14" customFormat="1" ht="14.25" customHeight="1">
      <c r="F540" s="8"/>
      <c r="G540" s="8"/>
      <c r="H540" s="8"/>
      <c r="I540" s="8"/>
      <c r="J540" s="8"/>
      <c r="K540" s="8"/>
      <c r="L540" s="8"/>
      <c r="M540" s="8"/>
      <c r="N540" s="8"/>
    </row>
    <row r="541" spans="6:14" s="14" customFormat="1" ht="14.25" customHeight="1">
      <c r="F541" s="8"/>
      <c r="G541" s="8"/>
      <c r="H541" s="8"/>
      <c r="I541" s="8"/>
      <c r="J541" s="8"/>
      <c r="K541" s="8"/>
      <c r="L541" s="8"/>
      <c r="M541" s="8"/>
      <c r="N541" s="8"/>
    </row>
    <row r="542" spans="6:14" s="14" customFormat="1" ht="14.25" customHeight="1">
      <c r="F542" s="8"/>
      <c r="G542" s="8"/>
      <c r="H542" s="8"/>
      <c r="I542" s="8"/>
      <c r="J542" s="8"/>
      <c r="K542" s="8"/>
      <c r="L542" s="8"/>
      <c r="M542" s="8"/>
      <c r="N542" s="8"/>
    </row>
    <row r="543" spans="6:14" s="14" customFormat="1" ht="14.25" customHeight="1">
      <c r="F543" s="8"/>
      <c r="G543" s="8"/>
      <c r="H543" s="8"/>
      <c r="I543" s="8"/>
      <c r="J543" s="8"/>
      <c r="K543" s="8"/>
      <c r="L543" s="8"/>
      <c r="M543" s="8"/>
      <c r="N543" s="8"/>
    </row>
    <row r="544" spans="6:14" s="14" customFormat="1" ht="14.25" customHeight="1">
      <c r="F544" s="8"/>
      <c r="G544" s="8"/>
      <c r="H544" s="8"/>
      <c r="I544" s="8"/>
      <c r="J544" s="8"/>
      <c r="K544" s="8"/>
      <c r="L544" s="8"/>
      <c r="M544" s="8"/>
      <c r="N544" s="8"/>
    </row>
    <row r="545" spans="6:14" s="14" customFormat="1" ht="14.25" customHeight="1">
      <c r="F545" s="8"/>
      <c r="G545" s="8"/>
      <c r="H545" s="8"/>
      <c r="I545" s="8"/>
      <c r="J545" s="8"/>
      <c r="K545" s="8"/>
      <c r="L545" s="8"/>
      <c r="M545" s="8"/>
      <c r="N545" s="8"/>
    </row>
    <row r="546" spans="6:14" s="14" customFormat="1" ht="14.25" customHeight="1">
      <c r="F546" s="8"/>
      <c r="G546" s="8"/>
      <c r="H546" s="8"/>
      <c r="I546" s="8"/>
      <c r="J546" s="8"/>
      <c r="K546" s="8"/>
      <c r="L546" s="8"/>
      <c r="M546" s="8"/>
      <c r="N546" s="8"/>
    </row>
    <row r="547" spans="6:14" s="14" customFormat="1" ht="14.25" customHeight="1">
      <c r="F547" s="8"/>
      <c r="G547" s="8"/>
      <c r="H547" s="8"/>
      <c r="I547" s="8"/>
      <c r="J547" s="8"/>
      <c r="K547" s="8"/>
      <c r="L547" s="8"/>
      <c r="M547" s="8"/>
      <c r="N547" s="8"/>
    </row>
    <row r="548" spans="6:14" s="14" customFormat="1" ht="14.25" customHeight="1">
      <c r="F548" s="8"/>
      <c r="G548" s="8"/>
      <c r="H548" s="8"/>
      <c r="I548" s="8"/>
      <c r="J548" s="8"/>
      <c r="K548" s="8"/>
      <c r="L548" s="8"/>
      <c r="M548" s="8"/>
      <c r="N548" s="8"/>
    </row>
    <row r="549" spans="6:14" s="14" customFormat="1" ht="14.25" customHeight="1">
      <c r="F549" s="8"/>
      <c r="G549" s="8"/>
      <c r="H549" s="8"/>
      <c r="I549" s="8"/>
      <c r="J549" s="8"/>
      <c r="K549" s="8"/>
      <c r="L549" s="8"/>
      <c r="M549" s="8"/>
      <c r="N549" s="8"/>
    </row>
    <row r="550" spans="6:14" s="14" customFormat="1" ht="14.25" customHeight="1">
      <c r="F550" s="8"/>
      <c r="G550" s="8"/>
      <c r="H550" s="8"/>
      <c r="I550" s="8"/>
      <c r="J550" s="8"/>
      <c r="K550" s="8"/>
      <c r="L550" s="8"/>
      <c r="M550" s="8"/>
      <c r="N550" s="8"/>
    </row>
    <row r="551" spans="6:14" s="14" customFormat="1" ht="14.25" customHeight="1">
      <c r="F551" s="8"/>
      <c r="G551" s="8"/>
      <c r="H551" s="8"/>
      <c r="I551" s="8"/>
      <c r="J551" s="8"/>
      <c r="K551" s="8"/>
      <c r="L551" s="8"/>
      <c r="M551" s="8"/>
      <c r="N551" s="8"/>
    </row>
    <row r="552" spans="6:14" s="14" customFormat="1" ht="14.25" customHeight="1">
      <c r="F552" s="8"/>
      <c r="G552" s="8"/>
      <c r="H552" s="8"/>
      <c r="I552" s="8"/>
      <c r="J552" s="8"/>
      <c r="K552" s="8"/>
      <c r="L552" s="8"/>
      <c r="M552" s="8"/>
      <c r="N552" s="8"/>
    </row>
    <row r="553" spans="6:14" s="14" customFormat="1" ht="14.25" customHeight="1">
      <c r="F553" s="8"/>
      <c r="G553" s="8"/>
      <c r="H553" s="8"/>
      <c r="I553" s="8"/>
      <c r="J553" s="8"/>
      <c r="K553" s="8"/>
      <c r="L553" s="8"/>
      <c r="M553" s="8"/>
      <c r="N553" s="8"/>
    </row>
    <row r="554" spans="6:14" s="14" customFormat="1" ht="14.25" customHeight="1">
      <c r="F554" s="8"/>
      <c r="G554" s="8"/>
      <c r="H554" s="8"/>
      <c r="I554" s="8"/>
      <c r="J554" s="8"/>
      <c r="K554" s="8"/>
      <c r="L554" s="8"/>
      <c r="M554" s="8"/>
      <c r="N554" s="8"/>
    </row>
    <row r="555" spans="6:14" s="14" customFormat="1" ht="14.25" customHeight="1">
      <c r="F555" s="8"/>
      <c r="G555" s="8"/>
      <c r="H555" s="8"/>
      <c r="I555" s="8"/>
      <c r="J555" s="8"/>
      <c r="K555" s="8"/>
      <c r="L555" s="8"/>
      <c r="M555" s="8"/>
      <c r="N555" s="8"/>
    </row>
    <row r="556" spans="6:14" s="14" customFormat="1" ht="14.25" customHeight="1">
      <c r="F556" s="8"/>
      <c r="G556" s="8"/>
      <c r="H556" s="8"/>
      <c r="I556" s="8"/>
      <c r="J556" s="8"/>
      <c r="K556" s="8"/>
      <c r="L556" s="8"/>
      <c r="M556" s="8"/>
      <c r="N556" s="8"/>
    </row>
    <row r="557" spans="6:14" s="14" customFormat="1" ht="14.25" customHeight="1">
      <c r="F557" s="8"/>
      <c r="G557" s="8"/>
      <c r="H557" s="8"/>
      <c r="I557" s="8"/>
      <c r="J557" s="8"/>
      <c r="K557" s="8"/>
      <c r="L557" s="8"/>
      <c r="M557" s="8"/>
      <c r="N557" s="8"/>
    </row>
    <row r="558" spans="6:14" s="14" customFormat="1" ht="14.25" customHeight="1">
      <c r="F558" s="8"/>
      <c r="G558" s="8"/>
      <c r="H558" s="8"/>
      <c r="I558" s="8"/>
      <c r="J558" s="8"/>
      <c r="K558" s="8"/>
      <c r="L558" s="8"/>
      <c r="M558" s="8"/>
      <c r="N558" s="8"/>
    </row>
    <row r="559" spans="6:14" s="14" customFormat="1" ht="14.25" customHeight="1">
      <c r="F559" s="8"/>
      <c r="G559" s="8"/>
      <c r="H559" s="8"/>
      <c r="I559" s="8"/>
      <c r="J559" s="8"/>
      <c r="K559" s="8"/>
      <c r="L559" s="8"/>
      <c r="M559" s="8"/>
      <c r="N559" s="8"/>
    </row>
    <row r="560" spans="6:14" s="14" customFormat="1" ht="14.25" customHeight="1">
      <c r="F560" s="8"/>
      <c r="G560" s="8"/>
      <c r="H560" s="8"/>
      <c r="I560" s="8"/>
      <c r="J560" s="8"/>
      <c r="K560" s="8"/>
      <c r="L560" s="8"/>
      <c r="M560" s="8"/>
      <c r="N560" s="8"/>
    </row>
    <row r="561" spans="6:14" s="14" customFormat="1" ht="14.25" customHeight="1">
      <c r="F561" s="8"/>
      <c r="G561" s="8"/>
      <c r="H561" s="8"/>
      <c r="I561" s="8"/>
      <c r="J561" s="8"/>
      <c r="K561" s="8"/>
      <c r="L561" s="8"/>
      <c r="M561" s="8"/>
      <c r="N561" s="8"/>
    </row>
    <row r="562" spans="6:14" s="14" customFormat="1" ht="14.25" customHeight="1">
      <c r="F562" s="8"/>
      <c r="G562" s="8"/>
      <c r="H562" s="8"/>
      <c r="I562" s="8"/>
      <c r="J562" s="8"/>
      <c r="K562" s="8"/>
      <c r="L562" s="8"/>
      <c r="M562" s="8"/>
      <c r="N562" s="8"/>
    </row>
    <row r="563" spans="6:14" s="14" customFormat="1" ht="14.25" customHeight="1">
      <c r="F563" s="8"/>
      <c r="G563" s="8"/>
      <c r="H563" s="8"/>
      <c r="I563" s="8"/>
      <c r="J563" s="8"/>
      <c r="K563" s="8"/>
      <c r="L563" s="8"/>
      <c r="M563" s="8"/>
      <c r="N563" s="8"/>
    </row>
    <row r="564" spans="6:14" s="14" customFormat="1" ht="14.25" customHeight="1">
      <c r="F564" s="8"/>
      <c r="G564" s="8"/>
      <c r="H564" s="8"/>
      <c r="I564" s="8"/>
      <c r="J564" s="8"/>
      <c r="K564" s="8"/>
      <c r="L564" s="8"/>
      <c r="M564" s="8"/>
      <c r="N564" s="8"/>
    </row>
    <row r="565" spans="6:14" s="14" customFormat="1" ht="14.25" customHeight="1">
      <c r="F565" s="8"/>
      <c r="G565" s="8"/>
      <c r="H565" s="8"/>
      <c r="I565" s="8"/>
      <c r="J565" s="8"/>
      <c r="K565" s="8"/>
      <c r="L565" s="8"/>
      <c r="M565" s="8"/>
      <c r="N565" s="8"/>
    </row>
    <row r="566" spans="6:14" s="14" customFormat="1" ht="14.25" customHeight="1">
      <c r="F566" s="8"/>
      <c r="G566" s="8"/>
      <c r="H566" s="8"/>
      <c r="I566" s="8"/>
      <c r="J566" s="8"/>
      <c r="K566" s="8"/>
      <c r="L566" s="8"/>
      <c r="M566" s="8"/>
      <c r="N566" s="8"/>
    </row>
    <row r="567" spans="6:14" s="14" customFormat="1" ht="14.25" customHeight="1">
      <c r="F567" s="8"/>
      <c r="G567" s="8"/>
      <c r="H567" s="8"/>
      <c r="I567" s="8"/>
      <c r="J567" s="8"/>
      <c r="K567" s="8"/>
      <c r="L567" s="8"/>
      <c r="M567" s="8"/>
      <c r="N567" s="8"/>
    </row>
    <row r="568" spans="6:14" s="14" customFormat="1" ht="14.25" customHeight="1">
      <c r="F568" s="8"/>
      <c r="G568" s="8"/>
      <c r="H568" s="8"/>
      <c r="I568" s="8"/>
      <c r="J568" s="8"/>
      <c r="K568" s="8"/>
      <c r="L568" s="8"/>
      <c r="M568" s="8"/>
      <c r="N568" s="8"/>
    </row>
    <row r="569" spans="6:14" s="14" customFormat="1" ht="14.25" customHeight="1">
      <c r="F569" s="8"/>
      <c r="G569" s="8"/>
      <c r="H569" s="8"/>
      <c r="I569" s="8"/>
      <c r="J569" s="8"/>
      <c r="K569" s="8"/>
      <c r="L569" s="8"/>
      <c r="M569" s="8"/>
      <c r="N569" s="8"/>
    </row>
    <row r="570" spans="6:14" s="14" customFormat="1" ht="14.25" customHeight="1">
      <c r="F570" s="8"/>
      <c r="G570" s="8"/>
      <c r="H570" s="8"/>
      <c r="I570" s="8"/>
      <c r="J570" s="8"/>
      <c r="K570" s="8"/>
      <c r="L570" s="8"/>
      <c r="M570" s="8"/>
      <c r="N570" s="8"/>
    </row>
    <row r="571" spans="6:14" s="14" customFormat="1" ht="14.25" customHeight="1">
      <c r="F571" s="8"/>
      <c r="G571" s="8"/>
      <c r="H571" s="8"/>
      <c r="I571" s="8"/>
      <c r="J571" s="8"/>
      <c r="K571" s="8"/>
      <c r="L571" s="8"/>
      <c r="M571" s="8"/>
      <c r="N571" s="8"/>
    </row>
    <row r="572" spans="6:14" s="14" customFormat="1" ht="14.25" customHeight="1">
      <c r="F572" s="8"/>
      <c r="G572" s="8"/>
      <c r="H572" s="8"/>
      <c r="I572" s="8"/>
      <c r="J572" s="8"/>
      <c r="K572" s="8"/>
      <c r="L572" s="8"/>
      <c r="M572" s="8"/>
      <c r="N572" s="8"/>
    </row>
    <row r="573" spans="6:14" s="14" customFormat="1" ht="14.25" customHeight="1">
      <c r="F573" s="8"/>
      <c r="G573" s="8"/>
      <c r="H573" s="8"/>
      <c r="I573" s="8"/>
      <c r="J573" s="8"/>
      <c r="K573" s="8"/>
      <c r="L573" s="8"/>
      <c r="M573" s="8"/>
      <c r="N573" s="8"/>
    </row>
    <row r="574" spans="6:14" s="14" customFormat="1" ht="14.25" customHeight="1">
      <c r="F574" s="8"/>
      <c r="G574" s="8"/>
      <c r="H574" s="8"/>
      <c r="I574" s="8"/>
      <c r="J574" s="8"/>
      <c r="K574" s="8"/>
      <c r="L574" s="8"/>
      <c r="M574" s="8"/>
      <c r="N574" s="8"/>
    </row>
    <row r="575" spans="6:14" s="14" customFormat="1" ht="14.25" customHeight="1">
      <c r="F575" s="8"/>
      <c r="G575" s="8"/>
      <c r="H575" s="8"/>
      <c r="I575" s="8"/>
      <c r="J575" s="8"/>
      <c r="K575" s="8"/>
      <c r="L575" s="8"/>
      <c r="M575" s="8"/>
      <c r="N575" s="8"/>
    </row>
    <row r="576" spans="6:14" s="14" customFormat="1" ht="14.25" customHeight="1">
      <c r="F576" s="8"/>
      <c r="G576" s="8"/>
      <c r="H576" s="8"/>
      <c r="I576" s="8"/>
      <c r="J576" s="8"/>
      <c r="K576" s="8"/>
      <c r="L576" s="8"/>
      <c r="M576" s="8"/>
      <c r="N576" s="8"/>
    </row>
    <row r="577" spans="6:14" s="14" customFormat="1" ht="14.25" customHeight="1">
      <c r="F577" s="8"/>
      <c r="G577" s="8"/>
      <c r="H577" s="8"/>
      <c r="I577" s="8"/>
      <c r="J577" s="8"/>
      <c r="K577" s="8"/>
      <c r="L577" s="8"/>
      <c r="M577" s="8"/>
      <c r="N577" s="8"/>
    </row>
    <row r="578" spans="6:14" s="14" customFormat="1" ht="14.25" customHeight="1">
      <c r="F578" s="8"/>
      <c r="G578" s="8"/>
      <c r="H578" s="8"/>
      <c r="I578" s="8"/>
      <c r="J578" s="8"/>
      <c r="K578" s="8"/>
      <c r="L578" s="8"/>
      <c r="M578" s="8"/>
      <c r="N578" s="8"/>
    </row>
    <row r="579" spans="6:14" s="14" customFormat="1" ht="14.25" customHeight="1">
      <c r="F579" s="8"/>
      <c r="G579" s="8"/>
      <c r="H579" s="8"/>
      <c r="I579" s="8"/>
      <c r="J579" s="8"/>
      <c r="K579" s="8"/>
      <c r="L579" s="8"/>
      <c r="M579" s="8"/>
      <c r="N579" s="8"/>
    </row>
    <row r="580" spans="6:14" s="14" customFormat="1" ht="14.25" customHeight="1">
      <c r="F580" s="8"/>
      <c r="G580" s="8"/>
      <c r="H580" s="8"/>
      <c r="I580" s="8"/>
      <c r="J580" s="8"/>
      <c r="K580" s="8"/>
      <c r="L580" s="8"/>
      <c r="M580" s="8"/>
      <c r="N580" s="8"/>
    </row>
    <row r="581" spans="6:14" s="14" customFormat="1" ht="14.25" customHeight="1">
      <c r="F581" s="8"/>
      <c r="G581" s="8"/>
      <c r="H581" s="8"/>
      <c r="I581" s="8"/>
      <c r="J581" s="8"/>
      <c r="K581" s="8"/>
      <c r="L581" s="8"/>
      <c r="M581" s="8"/>
      <c r="N581" s="8"/>
    </row>
    <row r="582" spans="6:14" s="14" customFormat="1" ht="14.25" customHeight="1">
      <c r="F582" s="8"/>
      <c r="G582" s="8"/>
      <c r="H582" s="8"/>
      <c r="I582" s="8"/>
      <c r="J582" s="8"/>
      <c r="K582" s="8"/>
      <c r="L582" s="8"/>
      <c r="M582" s="8"/>
      <c r="N582" s="8"/>
    </row>
    <row r="583" spans="6:14" s="14" customFormat="1" ht="14.25" customHeight="1">
      <c r="F583" s="8"/>
      <c r="G583" s="8"/>
      <c r="H583" s="8"/>
      <c r="I583" s="8"/>
      <c r="J583" s="8"/>
      <c r="K583" s="8"/>
      <c r="L583" s="8"/>
      <c r="M583" s="8"/>
      <c r="N583" s="8"/>
    </row>
    <row r="584" spans="6:14" s="14" customFormat="1" ht="14.25" customHeight="1">
      <c r="F584" s="8"/>
      <c r="G584" s="8"/>
      <c r="H584" s="8"/>
      <c r="I584" s="8"/>
      <c r="J584" s="8"/>
      <c r="K584" s="8"/>
      <c r="L584" s="8"/>
      <c r="M584" s="8"/>
      <c r="N584" s="8"/>
    </row>
    <row r="585" spans="6:14" s="14" customFormat="1" ht="14.25" customHeight="1">
      <c r="F585" s="8"/>
      <c r="G585" s="8"/>
      <c r="H585" s="8"/>
      <c r="I585" s="8"/>
      <c r="J585" s="8"/>
      <c r="K585" s="8"/>
      <c r="L585" s="8"/>
      <c r="M585" s="8"/>
      <c r="N585" s="8"/>
    </row>
    <row r="586" spans="6:14" s="14" customFormat="1" ht="14.25" customHeight="1">
      <c r="F586" s="8"/>
      <c r="G586" s="8"/>
      <c r="H586" s="8"/>
      <c r="I586" s="8"/>
      <c r="J586" s="8"/>
      <c r="K586" s="8"/>
      <c r="L586" s="8"/>
      <c r="M586" s="8"/>
      <c r="N586" s="8"/>
    </row>
    <row r="587" spans="6:14" s="14" customFormat="1" ht="14.25" customHeight="1">
      <c r="F587" s="8"/>
      <c r="G587" s="8"/>
      <c r="H587" s="8"/>
      <c r="I587" s="8"/>
      <c r="J587" s="8"/>
      <c r="K587" s="8"/>
      <c r="L587" s="8"/>
      <c r="M587" s="8"/>
      <c r="N587" s="8"/>
    </row>
    <row r="588" spans="6:14" s="14" customFormat="1" ht="14.25" customHeight="1">
      <c r="F588" s="8"/>
      <c r="G588" s="8"/>
      <c r="H588" s="8"/>
      <c r="I588" s="8"/>
      <c r="J588" s="8"/>
      <c r="K588" s="8"/>
      <c r="L588" s="8"/>
      <c r="M588" s="8"/>
      <c r="N588" s="8"/>
    </row>
    <row r="589" spans="6:14" s="14" customFormat="1" ht="14.25" customHeight="1">
      <c r="F589" s="8"/>
      <c r="G589" s="8"/>
      <c r="H589" s="8"/>
      <c r="I589" s="8"/>
      <c r="J589" s="8"/>
      <c r="K589" s="8"/>
      <c r="L589" s="8"/>
      <c r="M589" s="8"/>
      <c r="N589" s="8"/>
    </row>
    <row r="590" spans="6:14" s="14" customFormat="1" ht="14.25" customHeight="1">
      <c r="F590" s="8"/>
      <c r="G590" s="8"/>
      <c r="H590" s="8"/>
      <c r="I590" s="8"/>
      <c r="J590" s="8"/>
      <c r="K590" s="8"/>
      <c r="L590" s="8"/>
      <c r="M590" s="8"/>
      <c r="N590" s="8"/>
    </row>
    <row r="591" spans="6:14" s="14" customFormat="1" ht="14.25" customHeight="1">
      <c r="F591" s="8"/>
      <c r="G591" s="8"/>
      <c r="H591" s="8"/>
      <c r="I591" s="8"/>
      <c r="J591" s="8"/>
      <c r="K591" s="8"/>
      <c r="L591" s="8"/>
      <c r="M591" s="8"/>
      <c r="N591" s="8"/>
    </row>
    <row r="592" spans="6:14" s="14" customFormat="1" ht="14.25" customHeight="1">
      <c r="F592" s="8"/>
      <c r="G592" s="8"/>
      <c r="H592" s="8"/>
      <c r="I592" s="8"/>
      <c r="J592" s="8"/>
      <c r="K592" s="8"/>
      <c r="L592" s="8"/>
      <c r="M592" s="8"/>
      <c r="N592" s="8"/>
    </row>
    <row r="593" spans="6:14" s="14" customFormat="1" ht="14.25" customHeight="1">
      <c r="F593" s="8"/>
      <c r="G593" s="8"/>
      <c r="H593" s="8"/>
      <c r="I593" s="8"/>
      <c r="J593" s="8"/>
      <c r="K593" s="8"/>
      <c r="L593" s="8"/>
      <c r="M593" s="8"/>
      <c r="N593" s="8"/>
    </row>
    <row r="594" spans="6:14" s="14" customFormat="1" ht="14.25" customHeight="1">
      <c r="F594" s="8"/>
      <c r="G594" s="8"/>
      <c r="H594" s="8"/>
      <c r="I594" s="8"/>
      <c r="J594" s="8"/>
      <c r="K594" s="8"/>
      <c r="L594" s="8"/>
      <c r="M594" s="8"/>
      <c r="N594" s="8"/>
    </row>
    <row r="595" spans="6:14" s="14" customFormat="1" ht="14.25" customHeight="1">
      <c r="F595" s="8"/>
      <c r="G595" s="8"/>
      <c r="H595" s="8"/>
      <c r="I595" s="8"/>
      <c r="J595" s="8"/>
      <c r="K595" s="8"/>
      <c r="L595" s="8"/>
      <c r="M595" s="8"/>
      <c r="N595" s="8"/>
    </row>
    <row r="596" spans="6:14" s="14" customFormat="1" ht="14.25" customHeight="1">
      <c r="F596" s="8"/>
      <c r="G596" s="8"/>
      <c r="H596" s="8"/>
      <c r="I596" s="8"/>
      <c r="J596" s="8"/>
      <c r="K596" s="8"/>
      <c r="L596" s="8"/>
      <c r="M596" s="8"/>
      <c r="N596" s="8"/>
    </row>
    <row r="597" spans="6:14" s="14" customFormat="1" ht="14.25" customHeight="1">
      <c r="F597" s="8"/>
      <c r="G597" s="8"/>
      <c r="H597" s="8"/>
      <c r="I597" s="8"/>
      <c r="J597" s="8"/>
      <c r="K597" s="8"/>
      <c r="L597" s="8"/>
      <c r="M597" s="8"/>
      <c r="N597" s="8"/>
    </row>
    <row r="598" spans="6:14" s="14" customFormat="1" ht="14.25" customHeight="1">
      <c r="F598" s="8"/>
      <c r="G598" s="8"/>
      <c r="H598" s="8"/>
      <c r="I598" s="8"/>
      <c r="J598" s="8"/>
      <c r="K598" s="8"/>
      <c r="L598" s="8"/>
      <c r="M598" s="8"/>
      <c r="N598" s="8"/>
    </row>
    <row r="599" spans="6:14" s="14" customFormat="1" ht="14.25" customHeight="1">
      <c r="F599" s="8"/>
      <c r="G599" s="8"/>
      <c r="H599" s="8"/>
      <c r="I599" s="8"/>
      <c r="J599" s="8"/>
      <c r="K599" s="8"/>
      <c r="L599" s="8"/>
      <c r="M599" s="8"/>
      <c r="N599" s="8"/>
    </row>
    <row r="600" spans="6:14" s="14" customFormat="1" ht="14.25" customHeight="1">
      <c r="F600" s="8"/>
      <c r="G600" s="8"/>
      <c r="H600" s="8"/>
      <c r="I600" s="8"/>
      <c r="J600" s="8"/>
      <c r="K600" s="8"/>
      <c r="L600" s="8"/>
      <c r="M600" s="8"/>
      <c r="N600" s="8"/>
    </row>
    <row r="601" spans="6:14" s="14" customFormat="1" ht="14.25" customHeight="1">
      <c r="F601" s="8"/>
      <c r="G601" s="8"/>
      <c r="H601" s="8"/>
      <c r="I601" s="8"/>
      <c r="J601" s="8"/>
      <c r="K601" s="8"/>
      <c r="L601" s="8"/>
      <c r="M601" s="8"/>
      <c r="N601" s="8"/>
    </row>
    <row r="602" spans="6:14" s="14" customFormat="1" ht="14.25" customHeight="1">
      <c r="F602" s="8"/>
      <c r="G602" s="8"/>
      <c r="H602" s="8"/>
      <c r="I602" s="8"/>
      <c r="J602" s="8"/>
      <c r="K602" s="8"/>
      <c r="L602" s="8"/>
      <c r="M602" s="8"/>
      <c r="N602" s="8"/>
    </row>
    <row r="603" spans="6:14" s="14" customFormat="1" ht="14.25" customHeight="1">
      <c r="F603" s="8"/>
      <c r="G603" s="8"/>
      <c r="H603" s="8"/>
      <c r="I603" s="8"/>
      <c r="J603" s="8"/>
      <c r="K603" s="8"/>
      <c r="L603" s="8"/>
      <c r="M603" s="8"/>
      <c r="N603" s="8"/>
    </row>
    <row r="604" spans="6:14" s="14" customFormat="1" ht="14.25" customHeight="1">
      <c r="F604" s="8"/>
      <c r="G604" s="8"/>
      <c r="H604" s="8"/>
      <c r="I604" s="8"/>
      <c r="J604" s="8"/>
      <c r="K604" s="8"/>
      <c r="L604" s="8"/>
      <c r="M604" s="8"/>
      <c r="N604" s="8"/>
    </row>
    <row r="605" spans="6:14" s="14" customFormat="1" ht="14.25" customHeight="1">
      <c r="F605" s="8"/>
      <c r="G605" s="8"/>
      <c r="H605" s="8"/>
      <c r="I605" s="8"/>
      <c r="J605" s="8"/>
      <c r="K605" s="8"/>
      <c r="L605" s="8"/>
      <c r="M605" s="8"/>
      <c r="N605" s="8"/>
    </row>
    <row r="606" spans="6:14" s="14" customFormat="1" ht="14.25" customHeight="1">
      <c r="F606" s="8"/>
      <c r="G606" s="8"/>
      <c r="H606" s="8"/>
      <c r="I606" s="8"/>
      <c r="J606" s="8"/>
      <c r="K606" s="8"/>
      <c r="L606" s="8"/>
      <c r="M606" s="8"/>
      <c r="N606" s="8"/>
    </row>
    <row r="607" spans="6:14" s="14" customFormat="1" ht="14.25" customHeight="1">
      <c r="F607" s="8"/>
      <c r="G607" s="8"/>
      <c r="H607" s="8"/>
      <c r="I607" s="8"/>
      <c r="J607" s="8"/>
      <c r="K607" s="8"/>
      <c r="L607" s="8"/>
      <c r="M607" s="8"/>
      <c r="N607" s="8"/>
    </row>
    <row r="608" spans="6:14" s="14" customFormat="1" ht="14.25" customHeight="1">
      <c r="F608" s="8"/>
      <c r="G608" s="8"/>
      <c r="H608" s="8"/>
      <c r="I608" s="8"/>
      <c r="J608" s="8"/>
      <c r="K608" s="8"/>
      <c r="L608" s="8"/>
      <c r="M608" s="8"/>
      <c r="N608" s="8"/>
    </row>
    <row r="609" spans="6:14" s="14" customFormat="1" ht="14.25" customHeight="1">
      <c r="F609" s="8"/>
      <c r="G609" s="8"/>
      <c r="H609" s="8"/>
      <c r="I609" s="8"/>
      <c r="J609" s="8"/>
      <c r="K609" s="8"/>
      <c r="L609" s="8"/>
      <c r="M609" s="8"/>
      <c r="N609" s="8"/>
    </row>
    <row r="610" spans="6:14" s="14" customFormat="1" ht="14.25" customHeight="1">
      <c r="F610" s="8"/>
      <c r="G610" s="8"/>
      <c r="H610" s="8"/>
      <c r="I610" s="8"/>
      <c r="J610" s="8"/>
      <c r="K610" s="8"/>
      <c r="L610" s="8"/>
      <c r="M610" s="8"/>
      <c r="N610" s="8"/>
    </row>
    <row r="611" spans="6:14" s="14" customFormat="1" ht="14.25" customHeight="1">
      <c r="F611" s="8"/>
      <c r="G611" s="8"/>
      <c r="H611" s="8"/>
      <c r="I611" s="8"/>
      <c r="J611" s="8"/>
      <c r="K611" s="8"/>
      <c r="L611" s="8"/>
      <c r="M611" s="8"/>
      <c r="N611" s="8"/>
    </row>
    <row r="612" spans="6:14" s="14" customFormat="1" ht="14.25" customHeight="1">
      <c r="F612" s="8"/>
      <c r="G612" s="8"/>
      <c r="H612" s="8"/>
      <c r="I612" s="8"/>
      <c r="J612" s="8"/>
      <c r="K612" s="8"/>
      <c r="L612" s="8"/>
      <c r="M612" s="8"/>
      <c r="N612" s="8"/>
    </row>
    <row r="613" spans="6:14" s="14" customFormat="1" ht="14.25" customHeight="1">
      <c r="F613" s="8"/>
      <c r="G613" s="8"/>
      <c r="H613" s="8"/>
      <c r="I613" s="8"/>
      <c r="J613" s="8"/>
      <c r="K613" s="8"/>
      <c r="L613" s="8"/>
      <c r="M613" s="8"/>
      <c r="N613" s="8"/>
    </row>
    <row r="614" spans="6:14" s="14" customFormat="1" ht="14.25" customHeight="1">
      <c r="F614" s="8"/>
      <c r="G614" s="8"/>
      <c r="H614" s="8"/>
      <c r="I614" s="8"/>
      <c r="J614" s="8"/>
      <c r="K614" s="8"/>
      <c r="L614" s="8"/>
      <c r="M614" s="8"/>
      <c r="N614" s="8"/>
    </row>
    <row r="615" spans="6:14" s="14" customFormat="1" ht="14.25" customHeight="1">
      <c r="F615" s="8"/>
      <c r="G615" s="8"/>
      <c r="H615" s="8"/>
      <c r="I615" s="8"/>
      <c r="J615" s="8"/>
      <c r="K615" s="8"/>
      <c r="L615" s="8"/>
      <c r="M615" s="8"/>
      <c r="N615" s="8"/>
    </row>
    <row r="616" spans="6:14" s="14" customFormat="1" ht="14.25" customHeight="1">
      <c r="F616" s="8"/>
      <c r="G616" s="8"/>
      <c r="H616" s="8"/>
      <c r="I616" s="8"/>
      <c r="J616" s="8"/>
      <c r="K616" s="8"/>
      <c r="L616" s="8"/>
      <c r="M616" s="8"/>
      <c r="N616" s="8"/>
    </row>
    <row r="617" spans="6:14" s="14" customFormat="1" ht="14.25" customHeight="1">
      <c r="F617" s="8"/>
      <c r="G617" s="8"/>
      <c r="H617" s="8"/>
      <c r="I617" s="8"/>
      <c r="J617" s="8"/>
      <c r="K617" s="8"/>
      <c r="L617" s="8"/>
      <c r="M617" s="8"/>
      <c r="N617" s="8"/>
    </row>
    <row r="618" spans="6:14" s="14" customFormat="1" ht="14.25" customHeight="1">
      <c r="F618" s="8"/>
      <c r="G618" s="8"/>
      <c r="H618" s="8"/>
      <c r="I618" s="8"/>
      <c r="J618" s="8"/>
      <c r="K618" s="8"/>
      <c r="L618" s="8"/>
      <c r="M618" s="8"/>
      <c r="N618" s="8"/>
    </row>
    <row r="619" spans="6:14" s="14" customFormat="1" ht="14.25" customHeight="1">
      <c r="F619" s="8"/>
      <c r="G619" s="8"/>
      <c r="H619" s="8"/>
      <c r="I619" s="8"/>
      <c r="J619" s="8"/>
      <c r="K619" s="8"/>
      <c r="L619" s="8"/>
      <c r="M619" s="8"/>
      <c r="N619" s="8"/>
    </row>
    <row r="620" spans="6:14" s="14" customFormat="1" ht="14.25" customHeight="1">
      <c r="F620" s="8"/>
      <c r="G620" s="8"/>
      <c r="H620" s="8"/>
      <c r="I620" s="8"/>
      <c r="J620" s="8"/>
      <c r="K620" s="8"/>
      <c r="L620" s="8"/>
      <c r="M620" s="8"/>
      <c r="N620" s="8"/>
    </row>
    <row r="621" spans="6:14" s="14" customFormat="1" ht="14.25" customHeight="1">
      <c r="F621" s="8"/>
      <c r="G621" s="8"/>
      <c r="H621" s="8"/>
      <c r="I621" s="8"/>
      <c r="J621" s="8"/>
      <c r="K621" s="8"/>
      <c r="L621" s="8"/>
      <c r="M621" s="8"/>
      <c r="N621" s="8"/>
    </row>
    <row r="622" spans="6:14" s="14" customFormat="1" ht="14.25" customHeight="1">
      <c r="F622" s="8"/>
      <c r="G622" s="8"/>
      <c r="H622" s="8"/>
      <c r="I622" s="8"/>
      <c r="J622" s="8"/>
      <c r="K622" s="8"/>
      <c r="L622" s="8"/>
      <c r="M622" s="8"/>
      <c r="N622" s="8"/>
    </row>
    <row r="623" spans="6:14" s="14" customFormat="1" ht="14.25" customHeight="1">
      <c r="F623" s="8"/>
      <c r="G623" s="8"/>
      <c r="H623" s="8"/>
      <c r="I623" s="8"/>
      <c r="J623" s="8"/>
      <c r="K623" s="8"/>
      <c r="L623" s="8"/>
      <c r="M623" s="8"/>
      <c r="N623" s="8"/>
    </row>
    <row r="624" spans="6:14" s="14" customFormat="1" ht="14.25" customHeight="1">
      <c r="F624" s="8"/>
      <c r="G624" s="8"/>
      <c r="H624" s="8"/>
      <c r="I624" s="8"/>
      <c r="J624" s="8"/>
      <c r="K624" s="8"/>
      <c r="L624" s="8"/>
      <c r="M624" s="8"/>
      <c r="N624" s="8"/>
    </row>
    <row r="625" spans="6:14" s="14" customFormat="1" ht="14.25" customHeight="1">
      <c r="F625" s="8"/>
      <c r="G625" s="8"/>
      <c r="H625" s="8"/>
      <c r="I625" s="8"/>
      <c r="J625" s="8"/>
      <c r="K625" s="8"/>
      <c r="L625" s="8"/>
      <c r="M625" s="8"/>
      <c r="N625" s="8"/>
    </row>
    <row r="626" spans="6:14" s="14" customFormat="1" ht="14.25" customHeight="1">
      <c r="F626" s="8"/>
      <c r="G626" s="8"/>
      <c r="H626" s="8"/>
      <c r="I626" s="8"/>
      <c r="J626" s="8"/>
      <c r="K626" s="8"/>
      <c r="L626" s="8"/>
      <c r="M626" s="8"/>
      <c r="N626" s="8"/>
    </row>
    <row r="627" spans="6:14" s="14" customFormat="1" ht="14.25" customHeight="1">
      <c r="F627" s="8"/>
      <c r="G627" s="8"/>
      <c r="H627" s="8"/>
      <c r="I627" s="8"/>
      <c r="J627" s="8"/>
      <c r="K627" s="8"/>
      <c r="L627" s="8"/>
      <c r="M627" s="8"/>
      <c r="N627" s="8"/>
    </row>
    <row r="628" spans="6:14" s="14" customFormat="1" ht="14.25" customHeight="1">
      <c r="F628" s="8"/>
      <c r="G628" s="8"/>
      <c r="H628" s="8"/>
      <c r="I628" s="8"/>
      <c r="J628" s="8"/>
      <c r="K628" s="8"/>
      <c r="L628" s="8"/>
      <c r="M628" s="8"/>
      <c r="N628" s="8"/>
    </row>
    <row r="629" spans="6:14" s="14" customFormat="1" ht="14.25" customHeight="1">
      <c r="F629" s="8"/>
      <c r="G629" s="8"/>
      <c r="H629" s="8"/>
      <c r="I629" s="8"/>
      <c r="J629" s="8"/>
      <c r="K629" s="8"/>
      <c r="L629" s="8"/>
      <c r="M629" s="8"/>
      <c r="N629" s="8"/>
    </row>
    <row r="630" spans="6:14" s="14" customFormat="1" ht="14.25" customHeight="1">
      <c r="F630" s="8"/>
      <c r="G630" s="8"/>
      <c r="H630" s="8"/>
      <c r="I630" s="8"/>
      <c r="J630" s="8"/>
      <c r="K630" s="8"/>
      <c r="L630" s="8"/>
      <c r="M630" s="8"/>
      <c r="N630" s="8"/>
    </row>
    <row r="631" spans="6:14" s="14" customFormat="1" ht="14.25" customHeight="1">
      <c r="F631" s="8"/>
      <c r="G631" s="8"/>
      <c r="H631" s="8"/>
      <c r="I631" s="8"/>
      <c r="J631" s="8"/>
      <c r="K631" s="8"/>
      <c r="L631" s="8"/>
      <c r="M631" s="8"/>
      <c r="N631" s="8"/>
    </row>
    <row r="632" spans="6:14" s="14" customFormat="1" ht="14.25" customHeight="1">
      <c r="F632" s="8"/>
      <c r="G632" s="8"/>
      <c r="H632" s="8"/>
      <c r="I632" s="8"/>
      <c r="J632" s="8"/>
      <c r="K632" s="8"/>
      <c r="L632" s="8"/>
      <c r="M632" s="8"/>
      <c r="N632" s="8"/>
    </row>
    <row r="633" spans="6:14" s="14" customFormat="1" ht="14.25" customHeight="1">
      <c r="F633" s="8"/>
      <c r="G633" s="8"/>
      <c r="H633" s="8"/>
      <c r="I633" s="8"/>
      <c r="J633" s="8"/>
      <c r="K633" s="8"/>
      <c r="L633" s="8"/>
      <c r="M633" s="8"/>
      <c r="N633" s="8"/>
    </row>
    <row r="634" spans="6:14" s="14" customFormat="1" ht="14.25" customHeight="1">
      <c r="F634" s="8"/>
      <c r="G634" s="8"/>
      <c r="H634" s="8"/>
      <c r="I634" s="8"/>
      <c r="J634" s="8"/>
      <c r="K634" s="8"/>
      <c r="L634" s="8"/>
      <c r="M634" s="8"/>
      <c r="N634" s="8"/>
    </row>
    <row r="635" spans="6:14" s="14" customFormat="1" ht="14.25" customHeight="1">
      <c r="F635" s="8"/>
      <c r="G635" s="8"/>
      <c r="H635" s="8"/>
      <c r="I635" s="8"/>
      <c r="J635" s="8"/>
      <c r="K635" s="8"/>
      <c r="L635" s="8"/>
      <c r="M635" s="8"/>
      <c r="N635" s="8"/>
    </row>
    <row r="636" spans="6:14" s="14" customFormat="1" ht="14.25" customHeight="1">
      <c r="F636" s="8"/>
      <c r="G636" s="8"/>
      <c r="H636" s="8"/>
      <c r="I636" s="8"/>
      <c r="J636" s="8"/>
      <c r="K636" s="8"/>
      <c r="L636" s="8"/>
      <c r="M636" s="8"/>
      <c r="N636" s="8"/>
    </row>
    <row r="637" spans="6:14" s="14" customFormat="1" ht="14.25" customHeight="1">
      <c r="F637" s="8"/>
      <c r="G637" s="8"/>
      <c r="H637" s="8"/>
      <c r="I637" s="8"/>
      <c r="J637" s="8"/>
      <c r="K637" s="8"/>
      <c r="L637" s="8"/>
      <c r="M637" s="8"/>
      <c r="N637" s="8"/>
    </row>
    <row r="638" spans="6:14" s="14" customFormat="1" ht="14.25" customHeight="1">
      <c r="F638" s="8"/>
      <c r="G638" s="8"/>
      <c r="H638" s="8"/>
      <c r="I638" s="8"/>
      <c r="J638" s="8"/>
      <c r="K638" s="8"/>
      <c r="L638" s="8"/>
      <c r="M638" s="8"/>
      <c r="N638" s="8"/>
    </row>
    <row r="639" spans="6:14" s="14" customFormat="1" ht="14.25" customHeight="1">
      <c r="F639" s="8"/>
      <c r="G639" s="8"/>
      <c r="H639" s="8"/>
      <c r="I639" s="8"/>
      <c r="J639" s="8"/>
      <c r="K639" s="8"/>
      <c r="L639" s="8"/>
      <c r="M639" s="8"/>
      <c r="N639" s="8"/>
    </row>
    <row r="640" spans="6:14" s="14" customFormat="1" ht="14.25" customHeight="1">
      <c r="F640" s="8"/>
      <c r="G640" s="8"/>
      <c r="H640" s="8"/>
      <c r="I640" s="8"/>
      <c r="J640" s="8"/>
      <c r="K640" s="8"/>
      <c r="L640" s="8"/>
      <c r="M640" s="8"/>
      <c r="N640" s="8"/>
    </row>
    <row r="641" spans="6:14" s="14" customFormat="1" ht="14.25" customHeight="1">
      <c r="F641" s="8"/>
      <c r="G641" s="8"/>
      <c r="H641" s="8"/>
      <c r="I641" s="8"/>
      <c r="J641" s="8"/>
      <c r="K641" s="8"/>
      <c r="L641" s="8"/>
      <c r="M641" s="8"/>
      <c r="N641" s="8"/>
    </row>
    <row r="642" spans="6:14" s="14" customFormat="1" ht="14.25" customHeight="1">
      <c r="F642" s="8"/>
      <c r="G642" s="8"/>
      <c r="H642" s="8"/>
      <c r="I642" s="8"/>
      <c r="J642" s="8"/>
      <c r="K642" s="8"/>
      <c r="L642" s="8"/>
      <c r="M642" s="8"/>
      <c r="N642" s="8"/>
    </row>
    <row r="643" spans="6:14" s="14" customFormat="1" ht="14.25" customHeight="1">
      <c r="F643" s="8"/>
      <c r="G643" s="8"/>
      <c r="H643" s="8"/>
      <c r="I643" s="8"/>
      <c r="J643" s="8"/>
      <c r="K643" s="8"/>
      <c r="L643" s="8"/>
      <c r="M643" s="8"/>
      <c r="N643" s="8"/>
    </row>
    <row r="644" spans="6:14" s="14" customFormat="1" ht="14.25" customHeight="1">
      <c r="F644" s="8"/>
      <c r="G644" s="8"/>
      <c r="H644" s="8"/>
      <c r="I644" s="8"/>
      <c r="J644" s="8"/>
      <c r="K644" s="8"/>
      <c r="L644" s="8"/>
      <c r="M644" s="8"/>
      <c r="N644" s="8"/>
    </row>
    <row r="645" spans="6:14" s="14" customFormat="1" ht="14.25" customHeight="1">
      <c r="F645" s="8"/>
      <c r="G645" s="8"/>
      <c r="H645" s="8"/>
      <c r="I645" s="8"/>
      <c r="J645" s="8"/>
      <c r="K645" s="8"/>
      <c r="L645" s="8"/>
      <c r="M645" s="8"/>
      <c r="N645" s="8"/>
    </row>
    <row r="646" spans="6:14" s="14" customFormat="1" ht="14.25" customHeight="1">
      <c r="F646" s="8"/>
      <c r="G646" s="8"/>
      <c r="H646" s="8"/>
      <c r="I646" s="8"/>
      <c r="J646" s="8"/>
      <c r="K646" s="8"/>
      <c r="L646" s="8"/>
      <c r="M646" s="8"/>
      <c r="N646" s="8"/>
    </row>
    <row r="647" spans="6:14" s="14" customFormat="1" ht="14.25" customHeight="1">
      <c r="F647" s="8"/>
      <c r="G647" s="8"/>
      <c r="H647" s="8"/>
      <c r="I647" s="8"/>
      <c r="J647" s="8"/>
      <c r="K647" s="8"/>
      <c r="L647" s="8"/>
      <c r="M647" s="8"/>
      <c r="N647" s="8"/>
    </row>
    <row r="648" spans="6:14" s="14" customFormat="1" ht="14.25" customHeight="1">
      <c r="F648" s="8"/>
      <c r="G648" s="8"/>
      <c r="H648" s="8"/>
      <c r="I648" s="8"/>
      <c r="J648" s="8"/>
      <c r="K648" s="8"/>
      <c r="L648" s="8"/>
      <c r="M648" s="8"/>
      <c r="N648" s="8"/>
    </row>
    <row r="649" spans="6:14" s="14" customFormat="1" ht="14.25" customHeight="1">
      <c r="F649" s="8"/>
      <c r="G649" s="8"/>
      <c r="H649" s="8"/>
      <c r="I649" s="8"/>
      <c r="J649" s="8"/>
      <c r="K649" s="8"/>
      <c r="L649" s="8"/>
      <c r="M649" s="8"/>
      <c r="N649" s="8"/>
    </row>
    <row r="650" spans="6:14" s="14" customFormat="1" ht="14.25" customHeight="1">
      <c r="F650" s="8"/>
      <c r="G650" s="8"/>
      <c r="H650" s="8"/>
      <c r="I650" s="8"/>
      <c r="J650" s="8"/>
      <c r="K650" s="8"/>
      <c r="L650" s="8"/>
      <c r="M650" s="8"/>
      <c r="N650" s="8"/>
    </row>
    <row r="651" spans="6:14" s="14" customFormat="1" ht="14.25" customHeight="1">
      <c r="F651" s="8"/>
      <c r="G651" s="8"/>
      <c r="H651" s="8"/>
      <c r="I651" s="8"/>
      <c r="J651" s="8"/>
      <c r="K651" s="8"/>
      <c r="L651" s="8"/>
      <c r="M651" s="8"/>
      <c r="N651" s="8"/>
    </row>
    <row r="652" spans="6:14" s="14" customFormat="1" ht="14.25" customHeight="1">
      <c r="F652" s="8"/>
      <c r="G652" s="8"/>
      <c r="H652" s="8"/>
      <c r="I652" s="8"/>
      <c r="J652" s="8"/>
      <c r="K652" s="8"/>
      <c r="L652" s="8"/>
      <c r="M652" s="8"/>
      <c r="N652" s="8"/>
    </row>
    <row r="653" spans="6:14" s="14" customFormat="1" ht="14.25" customHeight="1">
      <c r="F653" s="8"/>
      <c r="G653" s="8"/>
      <c r="H653" s="8"/>
      <c r="I653" s="8"/>
      <c r="J653" s="8"/>
      <c r="K653" s="8"/>
      <c r="L653" s="8"/>
      <c r="M653" s="8"/>
      <c r="N653" s="8"/>
    </row>
    <row r="654" spans="6:14" s="14" customFormat="1" ht="14.25" customHeight="1">
      <c r="F654" s="8"/>
      <c r="G654" s="8"/>
      <c r="H654" s="8"/>
      <c r="I654" s="8"/>
      <c r="J654" s="8"/>
      <c r="K654" s="8"/>
      <c r="L654" s="8"/>
      <c r="M654" s="8"/>
      <c r="N654" s="8"/>
    </row>
    <row r="655" spans="6:14" s="14" customFormat="1" ht="14.25" customHeight="1">
      <c r="F655" s="8"/>
      <c r="G655" s="8"/>
      <c r="H655" s="8"/>
      <c r="I655" s="8"/>
      <c r="J655" s="8"/>
      <c r="K655" s="8"/>
      <c r="L655" s="8"/>
      <c r="M655" s="8"/>
      <c r="N655" s="8"/>
    </row>
    <row r="656" spans="6:14" s="14" customFormat="1" ht="14.25" customHeight="1">
      <c r="F656" s="8"/>
      <c r="G656" s="8"/>
      <c r="H656" s="8"/>
      <c r="I656" s="8"/>
      <c r="J656" s="8"/>
      <c r="K656" s="8"/>
      <c r="L656" s="8"/>
      <c r="M656" s="8"/>
      <c r="N656" s="8"/>
    </row>
    <row r="657" spans="6:14" s="14" customFormat="1" ht="14.25" customHeight="1">
      <c r="F657" s="8"/>
      <c r="G657" s="8"/>
      <c r="H657" s="8"/>
      <c r="I657" s="8"/>
      <c r="J657" s="8"/>
      <c r="K657" s="8"/>
      <c r="L657" s="8"/>
      <c r="M657" s="8"/>
      <c r="N657" s="8"/>
    </row>
    <row r="658" spans="6:14" s="14" customFormat="1" ht="14.25" customHeight="1">
      <c r="F658" s="8"/>
      <c r="G658" s="8"/>
      <c r="H658" s="8"/>
      <c r="I658" s="8"/>
      <c r="J658" s="8"/>
      <c r="K658" s="8"/>
      <c r="L658" s="8"/>
      <c r="M658" s="8"/>
      <c r="N658" s="8"/>
    </row>
    <row r="659" spans="6:14" s="14" customFormat="1" ht="14.25" customHeight="1">
      <c r="F659" s="8"/>
      <c r="G659" s="8"/>
      <c r="H659" s="8"/>
      <c r="I659" s="8"/>
      <c r="J659" s="8"/>
      <c r="K659" s="8"/>
      <c r="L659" s="8"/>
      <c r="M659" s="8"/>
      <c r="N659" s="8"/>
    </row>
    <row r="660" spans="6:14" s="14" customFormat="1" ht="14.25" customHeight="1">
      <c r="F660" s="8"/>
      <c r="G660" s="8"/>
      <c r="H660" s="8"/>
      <c r="I660" s="8"/>
      <c r="J660" s="8"/>
      <c r="K660" s="8"/>
      <c r="L660" s="8"/>
      <c r="M660" s="8"/>
      <c r="N660" s="8"/>
    </row>
    <row r="661" spans="6:14" s="14" customFormat="1" ht="14.25" customHeight="1">
      <c r="F661" s="8"/>
      <c r="G661" s="8"/>
      <c r="H661" s="8"/>
      <c r="I661" s="8"/>
      <c r="J661" s="8"/>
      <c r="K661" s="8"/>
      <c r="L661" s="8"/>
      <c r="M661" s="8"/>
      <c r="N661" s="8"/>
    </row>
    <row r="662" spans="6:14" s="14" customFormat="1" ht="14.25" customHeight="1">
      <c r="F662" s="8"/>
      <c r="G662" s="8"/>
      <c r="H662" s="8"/>
      <c r="I662" s="8"/>
      <c r="J662" s="8"/>
      <c r="K662" s="8"/>
      <c r="L662" s="8"/>
      <c r="M662" s="8"/>
      <c r="N662" s="8"/>
    </row>
    <row r="663" spans="6:14" s="14" customFormat="1" ht="14.25" customHeight="1">
      <c r="F663" s="8"/>
      <c r="G663" s="8"/>
      <c r="H663" s="8"/>
      <c r="I663" s="8"/>
      <c r="J663" s="8"/>
      <c r="K663" s="8"/>
      <c r="L663" s="8"/>
      <c r="M663" s="8"/>
      <c r="N663" s="8"/>
    </row>
    <row r="664" spans="6:14" s="14" customFormat="1" ht="14.25" customHeight="1">
      <c r="F664" s="8"/>
      <c r="G664" s="8"/>
      <c r="H664" s="8"/>
      <c r="I664" s="8"/>
      <c r="J664" s="8"/>
      <c r="K664" s="8"/>
      <c r="L664" s="8"/>
      <c r="M664" s="8"/>
      <c r="N664" s="8"/>
    </row>
    <row r="665" spans="6:14" s="14" customFormat="1" ht="14.25" customHeight="1">
      <c r="F665" s="8"/>
      <c r="G665" s="8"/>
      <c r="H665" s="8"/>
      <c r="I665" s="8"/>
      <c r="J665" s="8"/>
      <c r="K665" s="8"/>
      <c r="L665" s="8"/>
      <c r="M665" s="8"/>
      <c r="N665" s="8"/>
    </row>
    <row r="666" spans="6:14" s="14" customFormat="1" ht="14.25" customHeight="1">
      <c r="F666" s="8"/>
      <c r="G666" s="8"/>
      <c r="H666" s="8"/>
      <c r="I666" s="8"/>
      <c r="J666" s="8"/>
      <c r="K666" s="8"/>
      <c r="L666" s="8"/>
      <c r="M666" s="8"/>
      <c r="N666" s="8"/>
    </row>
    <row r="667" spans="6:14" s="14" customFormat="1" ht="14.25" customHeight="1">
      <c r="F667" s="8"/>
      <c r="G667" s="8"/>
      <c r="H667" s="8"/>
      <c r="I667" s="8"/>
      <c r="J667" s="8"/>
      <c r="K667" s="8"/>
      <c r="L667" s="8"/>
      <c r="M667" s="8"/>
      <c r="N667" s="8"/>
    </row>
    <row r="668" spans="6:14" s="14" customFormat="1" ht="14.25" customHeight="1">
      <c r="F668" s="8"/>
      <c r="G668" s="8"/>
      <c r="H668" s="8"/>
      <c r="I668" s="8"/>
      <c r="J668" s="8"/>
      <c r="K668" s="8"/>
      <c r="L668" s="8"/>
      <c r="M668" s="8"/>
      <c r="N668" s="8"/>
    </row>
    <row r="669" spans="6:14" s="14" customFormat="1" ht="14.25" customHeight="1">
      <c r="F669" s="8"/>
      <c r="G669" s="8"/>
      <c r="H669" s="8"/>
      <c r="I669" s="8"/>
      <c r="J669" s="8"/>
      <c r="K669" s="8"/>
      <c r="L669" s="8"/>
      <c r="M669" s="8"/>
      <c r="N669" s="8"/>
    </row>
    <row r="670" spans="6:14" s="14" customFormat="1" ht="14.25" customHeight="1">
      <c r="F670" s="8"/>
      <c r="G670" s="8"/>
      <c r="H670" s="8"/>
      <c r="I670" s="8"/>
      <c r="J670" s="8"/>
      <c r="K670" s="8"/>
      <c r="L670" s="8"/>
      <c r="M670" s="8"/>
      <c r="N670" s="8"/>
    </row>
    <row r="671" spans="6:14" s="14" customFormat="1" ht="14.25" customHeight="1">
      <c r="F671" s="8"/>
      <c r="G671" s="8"/>
      <c r="H671" s="8"/>
      <c r="I671" s="8"/>
      <c r="J671" s="8"/>
      <c r="K671" s="8"/>
      <c r="L671" s="8"/>
      <c r="M671" s="8"/>
      <c r="N671" s="8"/>
    </row>
    <row r="672" spans="6:14" s="14" customFormat="1" ht="14.25" customHeight="1">
      <c r="F672" s="8"/>
      <c r="G672" s="8"/>
      <c r="H672" s="8"/>
      <c r="I672" s="8"/>
      <c r="J672" s="8"/>
      <c r="K672" s="8"/>
      <c r="L672" s="8"/>
      <c r="M672" s="8"/>
      <c r="N672" s="8"/>
    </row>
    <row r="673" spans="6:14" s="14" customFormat="1" ht="14.25" customHeight="1">
      <c r="F673" s="8"/>
      <c r="G673" s="8"/>
      <c r="H673" s="8"/>
      <c r="I673" s="8"/>
      <c r="J673" s="8"/>
      <c r="K673" s="8"/>
      <c r="L673" s="8"/>
      <c r="M673" s="8"/>
      <c r="N673" s="8"/>
    </row>
    <row r="674" spans="6:14" s="14" customFormat="1" ht="14.25" customHeight="1">
      <c r="F674" s="8"/>
      <c r="G674" s="8"/>
      <c r="H674" s="8"/>
      <c r="I674" s="8"/>
      <c r="J674" s="8"/>
      <c r="K674" s="8"/>
      <c r="L674" s="8"/>
      <c r="M674" s="8"/>
      <c r="N674" s="8"/>
    </row>
    <row r="675" spans="6:14" s="14" customFormat="1" ht="14.25" customHeight="1">
      <c r="F675" s="8"/>
      <c r="G675" s="8"/>
      <c r="H675" s="8"/>
      <c r="I675" s="8"/>
      <c r="J675" s="8"/>
      <c r="K675" s="8"/>
      <c r="L675" s="8"/>
      <c r="M675" s="8"/>
      <c r="N675" s="8"/>
    </row>
    <row r="676" spans="6:14" s="14" customFormat="1" ht="14.25" customHeight="1">
      <c r="F676" s="8"/>
      <c r="G676" s="8"/>
      <c r="H676" s="8"/>
      <c r="I676" s="8"/>
      <c r="J676" s="8"/>
      <c r="K676" s="8"/>
      <c r="L676" s="8"/>
      <c r="M676" s="8"/>
      <c r="N676" s="8"/>
    </row>
    <row r="677" spans="6:14" s="14" customFormat="1" ht="14.25" customHeight="1">
      <c r="F677" s="8"/>
      <c r="G677" s="8"/>
      <c r="H677" s="8"/>
      <c r="I677" s="8"/>
      <c r="J677" s="8"/>
      <c r="K677" s="8"/>
      <c r="L677" s="8"/>
      <c r="M677" s="8"/>
      <c r="N677" s="8"/>
    </row>
    <row r="678" spans="6:14" s="14" customFormat="1" ht="14.25" customHeight="1">
      <c r="F678" s="8"/>
      <c r="G678" s="8"/>
      <c r="H678" s="8"/>
      <c r="I678" s="8"/>
      <c r="J678" s="8"/>
      <c r="K678" s="8"/>
      <c r="L678" s="8"/>
      <c r="M678" s="8"/>
      <c r="N678" s="8"/>
    </row>
    <row r="679" spans="6:14" s="14" customFormat="1" ht="14.25" customHeight="1">
      <c r="F679" s="8"/>
      <c r="G679" s="8"/>
      <c r="H679" s="8"/>
      <c r="I679" s="8"/>
      <c r="J679" s="8"/>
      <c r="K679" s="8"/>
      <c r="L679" s="8"/>
      <c r="M679" s="8"/>
      <c r="N679" s="8"/>
    </row>
    <row r="680" spans="6:14" s="14" customFormat="1" ht="14.25" customHeight="1">
      <c r="F680" s="8"/>
      <c r="G680" s="8"/>
      <c r="H680" s="8"/>
      <c r="I680" s="8"/>
      <c r="J680" s="8"/>
      <c r="K680" s="8"/>
      <c r="L680" s="8"/>
      <c r="M680" s="8"/>
      <c r="N680" s="8"/>
    </row>
    <row r="681" spans="6:14" s="14" customFormat="1" ht="14.25" customHeight="1">
      <c r="F681" s="8"/>
      <c r="G681" s="8"/>
      <c r="H681" s="8"/>
      <c r="I681" s="8"/>
      <c r="J681" s="8"/>
      <c r="K681" s="8"/>
      <c r="L681" s="8"/>
      <c r="M681" s="8"/>
      <c r="N681" s="8"/>
    </row>
    <row r="682" spans="6:14" s="14" customFormat="1" ht="14.25" customHeight="1">
      <c r="F682" s="8"/>
      <c r="G682" s="8"/>
      <c r="H682" s="8"/>
      <c r="I682" s="8"/>
      <c r="J682" s="8"/>
      <c r="K682" s="8"/>
      <c r="L682" s="8"/>
      <c r="M682" s="8"/>
      <c r="N682" s="8"/>
    </row>
    <row r="683" spans="6:14" s="14" customFormat="1" ht="14.25" customHeight="1">
      <c r="F683" s="8"/>
      <c r="G683" s="8"/>
      <c r="H683" s="8"/>
      <c r="I683" s="8"/>
      <c r="J683" s="8"/>
      <c r="K683" s="8"/>
      <c r="L683" s="8"/>
      <c r="M683" s="8"/>
      <c r="N683" s="8"/>
    </row>
    <row r="684" spans="6:14" s="14" customFormat="1" ht="14.25" customHeight="1">
      <c r="F684" s="8"/>
      <c r="G684" s="8"/>
      <c r="H684" s="8"/>
      <c r="I684" s="8"/>
      <c r="J684" s="8"/>
      <c r="K684" s="8"/>
      <c r="L684" s="8"/>
      <c r="M684" s="8"/>
      <c r="N684" s="8"/>
    </row>
    <row r="685" spans="6:14" s="14" customFormat="1" ht="14.25" customHeight="1">
      <c r="F685" s="8"/>
      <c r="G685" s="8"/>
      <c r="H685" s="8"/>
      <c r="I685" s="8"/>
      <c r="J685" s="8"/>
      <c r="K685" s="8"/>
      <c r="L685" s="8"/>
      <c r="M685" s="8"/>
      <c r="N685" s="8"/>
    </row>
    <row r="686" spans="6:14" s="14" customFormat="1" ht="14.25" customHeight="1">
      <c r="F686" s="8"/>
      <c r="G686" s="8"/>
      <c r="H686" s="8"/>
      <c r="I686" s="8"/>
      <c r="J686" s="8"/>
      <c r="K686" s="8"/>
      <c r="L686" s="8"/>
      <c r="M686" s="8"/>
      <c r="N686" s="8"/>
    </row>
    <row r="687" spans="6:14" s="14" customFormat="1" ht="14.25" customHeight="1">
      <c r="F687" s="8"/>
      <c r="G687" s="8"/>
      <c r="H687" s="8"/>
      <c r="I687" s="8"/>
      <c r="J687" s="8"/>
      <c r="K687" s="8"/>
      <c r="L687" s="8"/>
      <c r="M687" s="8"/>
      <c r="N687" s="8"/>
    </row>
    <row r="688" spans="6:14" s="14" customFormat="1" ht="14.25" customHeight="1">
      <c r="F688" s="8"/>
      <c r="G688" s="8"/>
      <c r="H688" s="8"/>
      <c r="I688" s="8"/>
      <c r="J688" s="8"/>
      <c r="K688" s="8"/>
      <c r="L688" s="8"/>
      <c r="M688" s="8"/>
      <c r="N688" s="8"/>
    </row>
    <row r="689" spans="6:14" s="14" customFormat="1" ht="14.25" customHeight="1">
      <c r="F689" s="8"/>
      <c r="G689" s="8"/>
      <c r="H689" s="8"/>
      <c r="I689" s="8"/>
      <c r="J689" s="8"/>
      <c r="K689" s="8"/>
      <c r="L689" s="8"/>
      <c r="M689" s="8"/>
      <c r="N689" s="8"/>
    </row>
    <row r="690" spans="6:14" s="14" customFormat="1" ht="14.25" customHeight="1">
      <c r="F690" s="8"/>
      <c r="G690" s="8"/>
      <c r="H690" s="8"/>
      <c r="I690" s="8"/>
      <c r="J690" s="8"/>
      <c r="K690" s="8"/>
      <c r="L690" s="8"/>
      <c r="M690" s="8"/>
      <c r="N690" s="8"/>
    </row>
    <row r="691" spans="6:14" s="14" customFormat="1" ht="14.25" customHeight="1">
      <c r="F691" s="8"/>
      <c r="G691" s="8"/>
      <c r="H691" s="8"/>
      <c r="I691" s="8"/>
      <c r="J691" s="8"/>
      <c r="K691" s="8"/>
      <c r="L691" s="8"/>
      <c r="M691" s="8"/>
      <c r="N691" s="8"/>
    </row>
    <row r="692" spans="6:14" s="14" customFormat="1" ht="14.25" customHeight="1">
      <c r="F692" s="8"/>
      <c r="G692" s="8"/>
      <c r="H692" s="8"/>
      <c r="I692" s="8"/>
      <c r="J692" s="8"/>
      <c r="K692" s="8"/>
      <c r="L692" s="8"/>
      <c r="M692" s="8"/>
      <c r="N692" s="8"/>
    </row>
    <row r="693" spans="6:14" s="14" customFormat="1" ht="14.25" customHeight="1">
      <c r="F693" s="8"/>
      <c r="G693" s="8"/>
      <c r="H693" s="8"/>
      <c r="I693" s="8"/>
      <c r="J693" s="8"/>
      <c r="K693" s="8"/>
      <c r="L693" s="8"/>
      <c r="M693" s="8"/>
      <c r="N693" s="8"/>
    </row>
    <row r="694" spans="6:14" s="14" customFormat="1" ht="14.25" customHeight="1">
      <c r="F694" s="8"/>
      <c r="G694" s="8"/>
      <c r="H694" s="8"/>
      <c r="I694" s="8"/>
      <c r="J694" s="8"/>
      <c r="K694" s="8"/>
      <c r="L694" s="8"/>
      <c r="M694" s="8"/>
      <c r="N694" s="8"/>
    </row>
    <row r="695" spans="6:14" s="14" customFormat="1" ht="14.25" customHeight="1">
      <c r="F695" s="8"/>
      <c r="G695" s="8"/>
      <c r="H695" s="8"/>
      <c r="I695" s="8"/>
      <c r="J695" s="8"/>
      <c r="K695" s="8"/>
      <c r="L695" s="8"/>
      <c r="M695" s="8"/>
      <c r="N695" s="8"/>
    </row>
    <row r="696" spans="6:14" s="14" customFormat="1" ht="14.25" customHeight="1">
      <c r="F696" s="8"/>
      <c r="G696" s="8"/>
      <c r="H696" s="8"/>
      <c r="I696" s="8"/>
      <c r="J696" s="8"/>
      <c r="K696" s="8"/>
      <c r="L696" s="8"/>
      <c r="M696" s="8"/>
      <c r="N696" s="8"/>
    </row>
    <row r="697" spans="6:14" s="14" customFormat="1" ht="14.25" customHeight="1">
      <c r="F697" s="8"/>
      <c r="G697" s="8"/>
      <c r="H697" s="8"/>
      <c r="I697" s="8"/>
      <c r="J697" s="8"/>
      <c r="K697" s="8"/>
      <c r="L697" s="8"/>
      <c r="M697" s="8"/>
      <c r="N697" s="8"/>
    </row>
    <row r="698" spans="6:14" s="14" customFormat="1" ht="14.25" customHeight="1">
      <c r="F698" s="8"/>
      <c r="G698" s="8"/>
      <c r="H698" s="8"/>
      <c r="I698" s="8"/>
      <c r="J698" s="8"/>
      <c r="K698" s="8"/>
      <c r="L698" s="8"/>
      <c r="M698" s="8"/>
      <c r="N698" s="8"/>
    </row>
    <row r="699" spans="6:14" s="14" customFormat="1" ht="14.25" customHeight="1">
      <c r="F699" s="8"/>
      <c r="G699" s="8"/>
      <c r="H699" s="8"/>
      <c r="I699" s="8"/>
      <c r="J699" s="8"/>
      <c r="K699" s="8"/>
      <c r="L699" s="8"/>
      <c r="M699" s="8"/>
      <c r="N699" s="8"/>
    </row>
    <row r="700" spans="6:14" s="14" customFormat="1" ht="14.25" customHeight="1">
      <c r="F700" s="8"/>
      <c r="G700" s="8"/>
      <c r="H700" s="8"/>
      <c r="I700" s="8"/>
      <c r="J700" s="8"/>
      <c r="K700" s="8"/>
      <c r="L700" s="8"/>
      <c r="M700" s="8"/>
      <c r="N700" s="8"/>
    </row>
    <row r="701" spans="6:14" s="14" customFormat="1" ht="14.25" customHeight="1">
      <c r="F701" s="8"/>
      <c r="G701" s="8"/>
      <c r="H701" s="8"/>
      <c r="I701" s="8"/>
      <c r="J701" s="8"/>
      <c r="K701" s="8"/>
      <c r="L701" s="8"/>
      <c r="M701" s="8"/>
      <c r="N701" s="8"/>
    </row>
    <row r="702" spans="6:14" s="14" customFormat="1" ht="14.25" customHeight="1">
      <c r="F702" s="8"/>
      <c r="G702" s="8"/>
      <c r="H702" s="8"/>
      <c r="I702" s="8"/>
      <c r="J702" s="8"/>
      <c r="K702" s="8"/>
      <c r="L702" s="8"/>
      <c r="M702" s="8"/>
      <c r="N702" s="8"/>
    </row>
    <row r="703" spans="6:14" s="14" customFormat="1" ht="14.25" customHeight="1">
      <c r="F703" s="8"/>
      <c r="G703" s="8"/>
      <c r="H703" s="8"/>
      <c r="I703" s="8"/>
      <c r="J703" s="8"/>
      <c r="K703" s="8"/>
      <c r="L703" s="8"/>
      <c r="M703" s="8"/>
      <c r="N703" s="8"/>
    </row>
    <row r="704" spans="6:14" s="14" customFormat="1" ht="14.25" customHeight="1">
      <c r="F704" s="8"/>
      <c r="G704" s="8"/>
      <c r="H704" s="8"/>
      <c r="I704" s="8"/>
      <c r="J704" s="8"/>
      <c r="K704" s="8"/>
      <c r="L704" s="8"/>
      <c r="M704" s="8"/>
      <c r="N704" s="8"/>
    </row>
    <row r="705" spans="6:14" s="14" customFormat="1" ht="14.25" customHeight="1">
      <c r="F705" s="8"/>
      <c r="G705" s="8"/>
      <c r="H705" s="8"/>
      <c r="I705" s="8"/>
      <c r="J705" s="8"/>
      <c r="K705" s="8"/>
      <c r="L705" s="8"/>
      <c r="M705" s="8"/>
      <c r="N705" s="8"/>
    </row>
    <row r="706" spans="6:14" s="14" customFormat="1" ht="14.25" customHeight="1">
      <c r="F706" s="8"/>
      <c r="G706" s="8"/>
      <c r="H706" s="8"/>
      <c r="I706" s="8"/>
      <c r="J706" s="8"/>
      <c r="K706" s="8"/>
      <c r="L706" s="8"/>
      <c r="M706" s="8"/>
      <c r="N706" s="8"/>
    </row>
    <row r="707" spans="6:14" s="14" customFormat="1" ht="14.25" customHeight="1">
      <c r="F707" s="8"/>
      <c r="G707" s="8"/>
      <c r="H707" s="8"/>
      <c r="I707" s="8"/>
      <c r="J707" s="8"/>
      <c r="K707" s="8"/>
      <c r="L707" s="8"/>
      <c r="M707" s="8"/>
      <c r="N707" s="8"/>
    </row>
    <row r="708" spans="6:14" s="14" customFormat="1" ht="14.25" customHeight="1">
      <c r="F708" s="8"/>
      <c r="G708" s="8"/>
      <c r="H708" s="8"/>
      <c r="I708" s="8"/>
      <c r="J708" s="8"/>
      <c r="K708" s="8"/>
      <c r="L708" s="8"/>
      <c r="M708" s="8"/>
      <c r="N708" s="8"/>
    </row>
    <row r="709" spans="6:14" s="14" customFormat="1" ht="14.25" customHeight="1">
      <c r="F709" s="8"/>
      <c r="G709" s="8"/>
      <c r="H709" s="8"/>
      <c r="I709" s="8"/>
      <c r="J709" s="8"/>
      <c r="K709" s="8"/>
      <c r="L709" s="8"/>
      <c r="M709" s="8"/>
      <c r="N709" s="8"/>
    </row>
    <row r="710" spans="6:14" s="14" customFormat="1" ht="14.25" customHeight="1">
      <c r="F710" s="8"/>
      <c r="G710" s="8"/>
      <c r="H710" s="8"/>
      <c r="I710" s="8"/>
      <c r="J710" s="8"/>
      <c r="K710" s="8"/>
      <c r="L710" s="8"/>
      <c r="M710" s="8"/>
      <c r="N710" s="8"/>
    </row>
    <row r="711" spans="6:14" s="14" customFormat="1" ht="14.25" customHeight="1">
      <c r="F711" s="8"/>
      <c r="G711" s="8"/>
      <c r="H711" s="8"/>
      <c r="I711" s="8"/>
      <c r="J711" s="8"/>
      <c r="K711" s="8"/>
      <c r="L711" s="8"/>
      <c r="M711" s="8"/>
      <c r="N711" s="8"/>
    </row>
    <row r="712" spans="6:14" s="14" customFormat="1" ht="14.25" customHeight="1">
      <c r="F712" s="8"/>
      <c r="G712" s="8"/>
      <c r="H712" s="8"/>
      <c r="I712" s="8"/>
      <c r="J712" s="8"/>
      <c r="K712" s="8"/>
      <c r="L712" s="8"/>
      <c r="M712" s="8"/>
      <c r="N712" s="8"/>
    </row>
    <row r="713" spans="6:14" s="14" customFormat="1" ht="14.25" customHeight="1">
      <c r="F713" s="8"/>
      <c r="G713" s="8"/>
      <c r="H713" s="8"/>
      <c r="I713" s="8"/>
      <c r="J713" s="8"/>
      <c r="K713" s="8"/>
      <c r="L713" s="8"/>
      <c r="M713" s="8"/>
      <c r="N713" s="8"/>
    </row>
    <row r="714" spans="6:14" s="14" customFormat="1" ht="14.25" customHeight="1">
      <c r="F714" s="8"/>
      <c r="G714" s="8"/>
      <c r="H714" s="8"/>
      <c r="I714" s="8"/>
      <c r="J714" s="8"/>
      <c r="K714" s="8"/>
      <c r="L714" s="8"/>
      <c r="M714" s="8"/>
      <c r="N714" s="8"/>
    </row>
    <row r="715" spans="6:14" s="14" customFormat="1" ht="14.25" customHeight="1">
      <c r="F715" s="8"/>
      <c r="G715" s="8"/>
      <c r="H715" s="8"/>
      <c r="I715" s="8"/>
      <c r="J715" s="8"/>
      <c r="K715" s="8"/>
      <c r="L715" s="8"/>
      <c r="M715" s="8"/>
      <c r="N715" s="8"/>
    </row>
    <row r="716" spans="6:14" s="14" customFormat="1" ht="14.25" customHeight="1">
      <c r="F716" s="8"/>
      <c r="G716" s="8"/>
      <c r="H716" s="8"/>
      <c r="I716" s="8"/>
      <c r="J716" s="8"/>
      <c r="K716" s="8"/>
      <c r="L716" s="8"/>
      <c r="M716" s="8"/>
      <c r="N716" s="8"/>
    </row>
    <row r="717" spans="6:14" s="14" customFormat="1" ht="14.25" customHeight="1">
      <c r="F717" s="8"/>
      <c r="G717" s="8"/>
      <c r="H717" s="8"/>
      <c r="I717" s="8"/>
      <c r="J717" s="8"/>
      <c r="K717" s="8"/>
      <c r="L717" s="8"/>
      <c r="M717" s="8"/>
      <c r="N717" s="8"/>
    </row>
    <row r="718" spans="6:14" s="14" customFormat="1" ht="14.25" customHeight="1">
      <c r="F718" s="8"/>
      <c r="G718" s="8"/>
      <c r="H718" s="8"/>
      <c r="I718" s="8"/>
      <c r="J718" s="8"/>
      <c r="K718" s="8"/>
      <c r="L718" s="8"/>
      <c r="M718" s="8"/>
      <c r="N718" s="8"/>
    </row>
    <row r="719" spans="6:14" s="14" customFormat="1" ht="14.25" customHeight="1">
      <c r="F719" s="8"/>
      <c r="G719" s="8"/>
      <c r="H719" s="8"/>
      <c r="I719" s="8"/>
      <c r="J719" s="8"/>
      <c r="K719" s="8"/>
      <c r="L719" s="8"/>
      <c r="M719" s="8"/>
      <c r="N719" s="8"/>
    </row>
    <row r="720" spans="6:14" s="14" customFormat="1" ht="14.25" customHeight="1">
      <c r="F720" s="8"/>
      <c r="G720" s="8"/>
      <c r="H720" s="8"/>
      <c r="I720" s="8"/>
      <c r="J720" s="8"/>
      <c r="K720" s="8"/>
      <c r="L720" s="8"/>
      <c r="M720" s="8"/>
      <c r="N720" s="8"/>
    </row>
    <row r="721" spans="6:14" s="14" customFormat="1" ht="14.25" customHeight="1">
      <c r="F721" s="8"/>
      <c r="G721" s="8"/>
      <c r="H721" s="8"/>
      <c r="I721" s="8"/>
      <c r="J721" s="8"/>
      <c r="K721" s="8"/>
      <c r="L721" s="8"/>
      <c r="M721" s="8"/>
      <c r="N721" s="8"/>
    </row>
    <row r="722" spans="6:14" s="14" customFormat="1" ht="14.25" customHeight="1">
      <c r="F722" s="8"/>
      <c r="G722" s="8"/>
      <c r="H722" s="8"/>
      <c r="I722" s="8"/>
      <c r="J722" s="8"/>
      <c r="K722" s="8"/>
      <c r="L722" s="8"/>
      <c r="M722" s="8"/>
      <c r="N722" s="8"/>
    </row>
    <row r="723" spans="6:14" s="14" customFormat="1" ht="14.25" customHeight="1">
      <c r="F723" s="8"/>
      <c r="G723" s="8"/>
      <c r="H723" s="8"/>
      <c r="I723" s="8"/>
      <c r="J723" s="8"/>
      <c r="K723" s="8"/>
      <c r="L723" s="8"/>
      <c r="M723" s="8"/>
      <c r="N723" s="8"/>
    </row>
    <row r="724" spans="6:14" s="14" customFormat="1" ht="14.25" customHeight="1">
      <c r="F724" s="8"/>
      <c r="G724" s="8"/>
      <c r="H724" s="8"/>
      <c r="I724" s="8"/>
      <c r="J724" s="8"/>
      <c r="K724" s="8"/>
      <c r="L724" s="8"/>
      <c r="M724" s="8"/>
      <c r="N724" s="8"/>
    </row>
    <row r="725" spans="6:14" s="14" customFormat="1" ht="14.25" customHeight="1">
      <c r="F725" s="8"/>
      <c r="G725" s="8"/>
      <c r="H725" s="8"/>
      <c r="I725" s="8"/>
      <c r="J725" s="8"/>
      <c r="K725" s="8"/>
      <c r="L725" s="8"/>
      <c r="M725" s="8"/>
      <c r="N725" s="8"/>
    </row>
    <row r="726" spans="6:14" s="14" customFormat="1" ht="14.25" customHeight="1">
      <c r="F726" s="8"/>
      <c r="G726" s="8"/>
      <c r="H726" s="8"/>
      <c r="I726" s="8"/>
      <c r="J726" s="8"/>
      <c r="K726" s="8"/>
      <c r="L726" s="8"/>
      <c r="M726" s="8"/>
      <c r="N726" s="8"/>
    </row>
    <row r="727" spans="6:14" s="14" customFormat="1" ht="14.25" customHeight="1">
      <c r="F727" s="8"/>
      <c r="G727" s="8"/>
      <c r="H727" s="8"/>
      <c r="I727" s="8"/>
      <c r="J727" s="8"/>
      <c r="K727" s="8"/>
      <c r="L727" s="8"/>
      <c r="M727" s="8"/>
      <c r="N727" s="8"/>
    </row>
    <row r="728" spans="6:14" s="14" customFormat="1" ht="14.25" customHeight="1">
      <c r="F728" s="8"/>
      <c r="G728" s="8"/>
      <c r="H728" s="8"/>
      <c r="I728" s="8"/>
      <c r="J728" s="8"/>
      <c r="K728" s="8"/>
      <c r="L728" s="8"/>
      <c r="M728" s="8"/>
      <c r="N728" s="8"/>
    </row>
    <row r="729" spans="6:14" s="14" customFormat="1" ht="14.25" customHeight="1">
      <c r="F729" s="8"/>
      <c r="G729" s="8"/>
      <c r="H729" s="8"/>
      <c r="I729" s="8"/>
      <c r="J729" s="8"/>
      <c r="K729" s="8"/>
      <c r="L729" s="8"/>
      <c r="M729" s="8"/>
      <c r="N729" s="8"/>
    </row>
    <row r="730" spans="6:14" s="14" customFormat="1" ht="14.25" customHeight="1">
      <c r="F730" s="8"/>
      <c r="G730" s="8"/>
      <c r="H730" s="8"/>
      <c r="I730" s="8"/>
      <c r="J730" s="8"/>
      <c r="K730" s="8"/>
      <c r="L730" s="8"/>
      <c r="M730" s="8"/>
      <c r="N730" s="8"/>
    </row>
    <row r="731" spans="6:14" s="14" customFormat="1" ht="14.25" customHeight="1">
      <c r="F731" s="8"/>
      <c r="G731" s="8"/>
      <c r="H731" s="8"/>
      <c r="I731" s="8"/>
      <c r="J731" s="8"/>
      <c r="K731" s="8"/>
      <c r="L731" s="8"/>
      <c r="M731" s="8"/>
      <c r="N731" s="8"/>
    </row>
    <row r="732" spans="6:14" s="14" customFormat="1" ht="14.25" customHeight="1">
      <c r="F732" s="8"/>
      <c r="G732" s="8"/>
      <c r="H732" s="8"/>
      <c r="I732" s="8"/>
      <c r="J732" s="8"/>
      <c r="K732" s="8"/>
      <c r="L732" s="8"/>
      <c r="M732" s="8"/>
      <c r="N732" s="8"/>
    </row>
    <row r="733" spans="6:14" s="14" customFormat="1" ht="14.25" customHeight="1">
      <c r="F733" s="8"/>
      <c r="G733" s="8"/>
      <c r="H733" s="8"/>
      <c r="I733" s="8"/>
      <c r="J733" s="8"/>
      <c r="K733" s="8"/>
      <c r="L733" s="8"/>
      <c r="M733" s="8"/>
      <c r="N733" s="8"/>
    </row>
    <row r="734" spans="6:14" s="14" customFormat="1" ht="14.25" customHeight="1">
      <c r="F734" s="8"/>
      <c r="G734" s="8"/>
      <c r="H734" s="8"/>
      <c r="I734" s="8"/>
      <c r="J734" s="8"/>
      <c r="K734" s="8"/>
      <c r="L734" s="8"/>
      <c r="M734" s="8"/>
      <c r="N734" s="8"/>
    </row>
    <row r="735" spans="6:14" s="14" customFormat="1" ht="14.25" customHeight="1">
      <c r="F735" s="8"/>
      <c r="G735" s="8"/>
      <c r="H735" s="8"/>
      <c r="I735" s="8"/>
      <c r="J735" s="8"/>
      <c r="K735" s="8"/>
      <c r="L735" s="8"/>
      <c r="M735" s="8"/>
      <c r="N735" s="8"/>
    </row>
    <row r="736" spans="6:14" s="14" customFormat="1" ht="14.25" customHeight="1">
      <c r="F736" s="8"/>
      <c r="G736" s="8"/>
      <c r="H736" s="8"/>
      <c r="I736" s="8"/>
      <c r="J736" s="8"/>
      <c r="K736" s="8"/>
      <c r="L736" s="8"/>
      <c r="M736" s="8"/>
      <c r="N736" s="8"/>
    </row>
    <row r="737" spans="6:14" s="14" customFormat="1" ht="14.25" customHeight="1">
      <c r="F737" s="8"/>
      <c r="G737" s="8"/>
      <c r="H737" s="8"/>
      <c r="I737" s="8"/>
      <c r="J737" s="8"/>
      <c r="K737" s="8"/>
      <c r="L737" s="8"/>
      <c r="M737" s="8"/>
      <c r="N737" s="8"/>
    </row>
    <row r="738" spans="6:14" s="14" customFormat="1" ht="14.25" customHeight="1">
      <c r="F738" s="8"/>
      <c r="G738" s="8"/>
      <c r="H738" s="8"/>
      <c r="I738" s="8"/>
      <c r="J738" s="8"/>
      <c r="K738" s="8"/>
      <c r="L738" s="8"/>
      <c r="M738" s="8"/>
      <c r="N738" s="8"/>
    </row>
    <row r="739" spans="6:14" s="14" customFormat="1" ht="14.25" customHeight="1">
      <c r="F739" s="8"/>
      <c r="G739" s="8"/>
      <c r="H739" s="8"/>
      <c r="I739" s="8"/>
      <c r="J739" s="8"/>
      <c r="K739" s="8"/>
      <c r="L739" s="8"/>
      <c r="M739" s="8"/>
      <c r="N739" s="8"/>
    </row>
    <row r="740" spans="6:14" s="14" customFormat="1" ht="14.25" customHeight="1">
      <c r="F740" s="8"/>
      <c r="G740" s="8"/>
      <c r="H740" s="8"/>
      <c r="I740" s="8"/>
      <c r="J740" s="8"/>
      <c r="K740" s="8"/>
      <c r="L740" s="8"/>
      <c r="M740" s="8"/>
      <c r="N740" s="8"/>
    </row>
    <row r="741" spans="6:14" s="14" customFormat="1" ht="14.25" customHeight="1">
      <c r="F741" s="8"/>
      <c r="G741" s="8"/>
      <c r="H741" s="8"/>
      <c r="I741" s="8"/>
      <c r="J741" s="8"/>
      <c r="K741" s="8"/>
      <c r="L741" s="8"/>
      <c r="M741" s="8"/>
      <c r="N741" s="8"/>
    </row>
    <row r="742" spans="6:14" s="14" customFormat="1" ht="14.25" customHeight="1">
      <c r="F742" s="8"/>
      <c r="G742" s="8"/>
      <c r="H742" s="8"/>
      <c r="I742" s="8"/>
      <c r="J742" s="8"/>
      <c r="K742" s="8"/>
      <c r="L742" s="8"/>
      <c r="M742" s="8"/>
      <c r="N742" s="8"/>
    </row>
    <row r="743" spans="6:14" s="14" customFormat="1" ht="14.25" customHeight="1">
      <c r="F743" s="8"/>
      <c r="G743" s="8"/>
      <c r="H743" s="8"/>
      <c r="I743" s="8"/>
      <c r="J743" s="8"/>
      <c r="K743" s="8"/>
      <c r="L743" s="8"/>
      <c r="M743" s="8"/>
      <c r="N743" s="8"/>
    </row>
    <row r="744" spans="6:14" s="14" customFormat="1" ht="14.25" customHeight="1">
      <c r="F744" s="8"/>
      <c r="G744" s="8"/>
      <c r="H744" s="8"/>
      <c r="I744" s="8"/>
      <c r="J744" s="8"/>
      <c r="K744" s="8"/>
      <c r="L744" s="8"/>
      <c r="M744" s="8"/>
      <c r="N744" s="8"/>
    </row>
    <row r="745" spans="6:14" s="14" customFormat="1" ht="14.25" customHeight="1">
      <c r="F745" s="8"/>
      <c r="G745" s="8"/>
      <c r="H745" s="8"/>
      <c r="I745" s="8"/>
      <c r="J745" s="8"/>
      <c r="K745" s="8"/>
      <c r="L745" s="8"/>
      <c r="M745" s="8"/>
      <c r="N745" s="8"/>
    </row>
    <row r="746" spans="6:14" s="14" customFormat="1" ht="14.25" customHeight="1">
      <c r="F746" s="8"/>
      <c r="G746" s="8"/>
      <c r="H746" s="8"/>
      <c r="I746" s="8"/>
      <c r="J746" s="8"/>
      <c r="K746" s="8"/>
      <c r="L746" s="8"/>
      <c r="M746" s="8"/>
      <c r="N746" s="8"/>
    </row>
    <row r="747" spans="6:14" s="14" customFormat="1" ht="14.25" customHeight="1">
      <c r="F747" s="8"/>
      <c r="G747" s="8"/>
      <c r="H747" s="8"/>
      <c r="I747" s="8"/>
      <c r="J747" s="8"/>
      <c r="K747" s="8"/>
      <c r="L747" s="8"/>
      <c r="M747" s="8"/>
      <c r="N747" s="8"/>
    </row>
    <row r="748" spans="6:14" s="14" customFormat="1" ht="14.25" customHeight="1">
      <c r="F748" s="8"/>
      <c r="G748" s="8"/>
      <c r="H748" s="8"/>
      <c r="I748" s="8"/>
      <c r="J748" s="8"/>
      <c r="K748" s="8"/>
      <c r="L748" s="8"/>
      <c r="M748" s="8"/>
      <c r="N748" s="8"/>
    </row>
    <row r="749" spans="6:14" s="14" customFormat="1" ht="14.25" customHeight="1">
      <c r="F749" s="8"/>
      <c r="G749" s="8"/>
      <c r="H749" s="8"/>
      <c r="I749" s="8"/>
      <c r="J749" s="8"/>
      <c r="K749" s="8"/>
      <c r="L749" s="8"/>
      <c r="M749" s="8"/>
      <c r="N749" s="8"/>
    </row>
    <row r="750" spans="6:14" s="14" customFormat="1" ht="14.25" customHeight="1">
      <c r="F750" s="8"/>
      <c r="G750" s="8"/>
      <c r="H750" s="8"/>
      <c r="I750" s="8"/>
      <c r="J750" s="8"/>
      <c r="K750" s="8"/>
      <c r="L750" s="8"/>
      <c r="M750" s="8"/>
      <c r="N750" s="8"/>
    </row>
    <row r="751" spans="6:14" s="14" customFormat="1" ht="14.25" customHeight="1">
      <c r="F751" s="8"/>
      <c r="G751" s="8"/>
      <c r="H751" s="8"/>
      <c r="I751" s="8"/>
      <c r="J751" s="8"/>
      <c r="K751" s="8"/>
      <c r="L751" s="8"/>
      <c r="M751" s="8"/>
      <c r="N751" s="8"/>
    </row>
    <row r="752" spans="6:14" s="14" customFormat="1" ht="14.25" customHeight="1">
      <c r="F752" s="8"/>
      <c r="G752" s="8"/>
      <c r="H752" s="8"/>
      <c r="I752" s="8"/>
      <c r="J752" s="8"/>
      <c r="K752" s="8"/>
      <c r="L752" s="8"/>
      <c r="M752" s="8"/>
      <c r="N752" s="8"/>
    </row>
    <row r="753" spans="6:14" s="14" customFormat="1" ht="14.25" customHeight="1">
      <c r="F753" s="8"/>
      <c r="G753" s="8"/>
      <c r="H753" s="8"/>
      <c r="I753" s="8"/>
      <c r="J753" s="8"/>
      <c r="K753" s="8"/>
      <c r="L753" s="8"/>
      <c r="M753" s="8"/>
      <c r="N753" s="8"/>
    </row>
    <row r="754" spans="6:14" s="14" customFormat="1" ht="14.25" customHeight="1">
      <c r="F754" s="8"/>
      <c r="G754" s="8"/>
      <c r="H754" s="8"/>
      <c r="I754" s="8"/>
      <c r="J754" s="8"/>
      <c r="K754" s="8"/>
      <c r="L754" s="8"/>
      <c r="M754" s="8"/>
      <c r="N754" s="8"/>
    </row>
    <row r="755" spans="6:14" s="14" customFormat="1" ht="14.25" customHeight="1">
      <c r="F755" s="8"/>
      <c r="G755" s="8"/>
      <c r="H755" s="8"/>
      <c r="I755" s="8"/>
      <c r="J755" s="8"/>
      <c r="K755" s="8"/>
      <c r="L755" s="8"/>
      <c r="M755" s="8"/>
      <c r="N755" s="8"/>
    </row>
    <row r="756" spans="6:14" s="14" customFormat="1" ht="14.25" customHeight="1">
      <c r="F756" s="8"/>
      <c r="G756" s="8"/>
      <c r="H756" s="8"/>
      <c r="I756" s="8"/>
      <c r="J756" s="8"/>
      <c r="K756" s="8"/>
      <c r="L756" s="8"/>
      <c r="M756" s="8"/>
      <c r="N756" s="8"/>
    </row>
    <row r="757" spans="6:14" s="14" customFormat="1" ht="14.25" customHeight="1">
      <c r="F757" s="8"/>
      <c r="G757" s="8"/>
      <c r="H757" s="8"/>
      <c r="I757" s="8"/>
      <c r="J757" s="8"/>
      <c r="K757" s="8"/>
      <c r="L757" s="8"/>
      <c r="M757" s="8"/>
      <c r="N757" s="8"/>
    </row>
    <row r="758" spans="6:14" s="14" customFormat="1" ht="14.25" customHeight="1">
      <c r="F758" s="8"/>
      <c r="G758" s="8"/>
      <c r="H758" s="8"/>
      <c r="I758" s="8"/>
      <c r="J758" s="8"/>
      <c r="K758" s="8"/>
      <c r="L758" s="8"/>
      <c r="M758" s="8"/>
      <c r="N758" s="8"/>
    </row>
    <row r="759" spans="6:14" s="14" customFormat="1" ht="14.25" customHeight="1">
      <c r="F759" s="8"/>
      <c r="G759" s="8"/>
      <c r="H759" s="8"/>
      <c r="I759" s="8"/>
      <c r="J759" s="8"/>
      <c r="K759" s="8"/>
      <c r="L759" s="8"/>
      <c r="M759" s="8"/>
      <c r="N759" s="8"/>
    </row>
    <row r="760" spans="6:14" s="14" customFormat="1" ht="14.25" customHeight="1">
      <c r="F760" s="8"/>
      <c r="G760" s="8"/>
      <c r="H760" s="8"/>
      <c r="I760" s="8"/>
      <c r="J760" s="8"/>
      <c r="K760" s="8"/>
      <c r="L760" s="8"/>
      <c r="M760" s="8"/>
      <c r="N760" s="8"/>
    </row>
    <row r="761" spans="6:14" s="14" customFormat="1" ht="14.25" customHeight="1">
      <c r="F761" s="8"/>
      <c r="G761" s="8"/>
      <c r="H761" s="8"/>
      <c r="I761" s="8"/>
      <c r="J761" s="8"/>
      <c r="K761" s="8"/>
      <c r="L761" s="8"/>
      <c r="M761" s="8"/>
      <c r="N761" s="8"/>
    </row>
    <row r="762" spans="6:14" s="14" customFormat="1" ht="14.25" customHeight="1">
      <c r="F762" s="8"/>
      <c r="G762" s="8"/>
      <c r="H762" s="8"/>
      <c r="I762" s="8"/>
      <c r="J762" s="8"/>
      <c r="K762" s="8"/>
      <c r="L762" s="8"/>
      <c r="M762" s="8"/>
      <c r="N762" s="8"/>
    </row>
    <row r="763" spans="6:14" s="14" customFormat="1" ht="14.25" customHeight="1">
      <c r="F763" s="8"/>
      <c r="G763" s="8"/>
      <c r="H763" s="8"/>
      <c r="I763" s="8"/>
      <c r="J763" s="8"/>
      <c r="K763" s="8"/>
      <c r="L763" s="8"/>
      <c r="M763" s="8"/>
      <c r="N763" s="8"/>
    </row>
    <row r="764" spans="6:14" s="14" customFormat="1" ht="14.25" customHeight="1">
      <c r="F764" s="8"/>
      <c r="G764" s="8"/>
      <c r="H764" s="8"/>
      <c r="I764" s="8"/>
      <c r="J764" s="8"/>
      <c r="K764" s="8"/>
      <c r="L764" s="8"/>
      <c r="M764" s="8"/>
      <c r="N764" s="8"/>
    </row>
    <row r="765" spans="6:14" s="14" customFormat="1" ht="14.25" customHeight="1">
      <c r="F765" s="8"/>
      <c r="G765" s="8"/>
      <c r="H765" s="8"/>
      <c r="I765" s="8"/>
      <c r="J765" s="8"/>
      <c r="K765" s="8"/>
      <c r="L765" s="8"/>
      <c r="M765" s="8"/>
      <c r="N765" s="8"/>
    </row>
    <row r="766" spans="6:14" s="14" customFormat="1" ht="14.25" customHeight="1">
      <c r="F766" s="8"/>
      <c r="G766" s="8"/>
      <c r="H766" s="8"/>
      <c r="I766" s="8"/>
      <c r="J766" s="8"/>
      <c r="K766" s="8"/>
      <c r="L766" s="8"/>
      <c r="M766" s="8"/>
      <c r="N766" s="8"/>
    </row>
    <row r="767" spans="6:14" s="14" customFormat="1" ht="14.25" customHeight="1">
      <c r="F767" s="8"/>
      <c r="G767" s="8"/>
      <c r="H767" s="8"/>
      <c r="I767" s="8"/>
      <c r="J767" s="8"/>
      <c r="K767" s="8"/>
      <c r="L767" s="8"/>
      <c r="M767" s="8"/>
      <c r="N767" s="8"/>
    </row>
    <row r="768" spans="6:14" s="14" customFormat="1" ht="14.25" customHeight="1">
      <c r="F768" s="8"/>
      <c r="G768" s="8"/>
      <c r="H768" s="8"/>
      <c r="I768" s="8"/>
      <c r="J768" s="8"/>
      <c r="K768" s="8"/>
      <c r="L768" s="8"/>
      <c r="M768" s="8"/>
      <c r="N768" s="8"/>
    </row>
    <row r="769" spans="6:14" s="14" customFormat="1" ht="14.25" customHeight="1">
      <c r="F769" s="8"/>
      <c r="G769" s="8"/>
      <c r="H769" s="8"/>
      <c r="I769" s="8"/>
      <c r="J769" s="8"/>
      <c r="K769" s="8"/>
      <c r="L769" s="8"/>
      <c r="M769" s="8"/>
      <c r="N769" s="8"/>
    </row>
    <row r="770" spans="6:14" s="14" customFormat="1" ht="14.25" customHeight="1">
      <c r="F770" s="8"/>
      <c r="G770" s="8"/>
      <c r="H770" s="8"/>
      <c r="I770" s="8"/>
      <c r="J770" s="8"/>
      <c r="K770" s="8"/>
      <c r="L770" s="8"/>
      <c r="M770" s="8"/>
      <c r="N770" s="8"/>
    </row>
    <row r="771" spans="6:14" s="14" customFormat="1" ht="14.25" customHeight="1">
      <c r="F771" s="8"/>
      <c r="G771" s="8"/>
      <c r="H771" s="8"/>
      <c r="I771" s="8"/>
      <c r="J771" s="8"/>
      <c r="K771" s="8"/>
      <c r="L771" s="8"/>
      <c r="M771" s="8"/>
      <c r="N771" s="8"/>
    </row>
    <row r="772" spans="6:14" s="14" customFormat="1" ht="14.25" customHeight="1">
      <c r="F772" s="8"/>
      <c r="G772" s="8"/>
      <c r="H772" s="8"/>
      <c r="I772" s="8"/>
      <c r="J772" s="8"/>
      <c r="K772" s="8"/>
      <c r="L772" s="8"/>
      <c r="M772" s="8"/>
      <c r="N772" s="8"/>
    </row>
    <row r="773" spans="6:14" s="14" customFormat="1" ht="14.25" customHeight="1">
      <c r="F773" s="8"/>
      <c r="G773" s="8"/>
      <c r="H773" s="8"/>
      <c r="I773" s="8"/>
      <c r="J773" s="8"/>
      <c r="K773" s="8"/>
      <c r="L773" s="8"/>
      <c r="M773" s="8"/>
      <c r="N773" s="8"/>
    </row>
    <row r="774" spans="6:14" s="14" customFormat="1" ht="14.25" customHeight="1">
      <c r="F774" s="8"/>
      <c r="G774" s="8"/>
      <c r="H774" s="8"/>
      <c r="I774" s="8"/>
      <c r="J774" s="8"/>
      <c r="K774" s="8"/>
      <c r="L774" s="8"/>
      <c r="M774" s="8"/>
      <c r="N774" s="8"/>
    </row>
    <row r="775" spans="6:14" s="14" customFormat="1" ht="14.25" customHeight="1">
      <c r="F775" s="8"/>
      <c r="G775" s="8"/>
      <c r="H775" s="8"/>
      <c r="I775" s="8"/>
      <c r="J775" s="8"/>
      <c r="K775" s="8"/>
      <c r="L775" s="8"/>
      <c r="M775" s="8"/>
      <c r="N775" s="8"/>
    </row>
    <row r="776" spans="6:14" s="14" customFormat="1" ht="14.25" customHeight="1">
      <c r="F776" s="8"/>
      <c r="G776" s="8"/>
      <c r="H776" s="8"/>
      <c r="I776" s="8"/>
      <c r="J776" s="8"/>
      <c r="K776" s="8"/>
      <c r="L776" s="8"/>
      <c r="M776" s="8"/>
      <c r="N776" s="8"/>
    </row>
    <row r="777" spans="6:14" s="14" customFormat="1" ht="14.25" customHeight="1">
      <c r="F777" s="8"/>
      <c r="G777" s="8"/>
      <c r="H777" s="8"/>
      <c r="I777" s="8"/>
      <c r="J777" s="8"/>
      <c r="K777" s="8"/>
      <c r="L777" s="8"/>
      <c r="M777" s="8"/>
      <c r="N777" s="8"/>
    </row>
    <row r="778" spans="6:14" s="14" customFormat="1" ht="14.25" customHeight="1">
      <c r="F778" s="8"/>
      <c r="G778" s="8"/>
      <c r="H778" s="8"/>
      <c r="I778" s="8"/>
      <c r="J778" s="8"/>
      <c r="K778" s="8"/>
      <c r="L778" s="8"/>
      <c r="M778" s="8"/>
      <c r="N778" s="8"/>
    </row>
    <row r="779" spans="6:14" s="14" customFormat="1" ht="14.25" customHeight="1">
      <c r="F779" s="8"/>
      <c r="G779" s="8"/>
      <c r="H779" s="8"/>
      <c r="I779" s="8"/>
      <c r="J779" s="8"/>
      <c r="K779" s="8"/>
      <c r="L779" s="8"/>
      <c r="M779" s="8"/>
      <c r="N779" s="8"/>
    </row>
    <row r="780" spans="6:14" s="14" customFormat="1" ht="14.25" customHeight="1">
      <c r="F780" s="8"/>
      <c r="G780" s="8"/>
      <c r="H780" s="8"/>
      <c r="I780" s="8"/>
      <c r="J780" s="8"/>
      <c r="K780" s="8"/>
      <c r="L780" s="8"/>
      <c r="M780" s="8"/>
      <c r="N780" s="8"/>
    </row>
    <row r="781" spans="6:14" s="14" customFormat="1" ht="14.25" customHeight="1">
      <c r="F781" s="8"/>
      <c r="G781" s="8"/>
      <c r="H781" s="8"/>
      <c r="I781" s="8"/>
      <c r="J781" s="8"/>
      <c r="K781" s="8"/>
      <c r="L781" s="8"/>
      <c r="M781" s="8"/>
      <c r="N781" s="8"/>
    </row>
    <row r="782" spans="6:14" s="14" customFormat="1" ht="14.25" customHeight="1">
      <c r="F782" s="8"/>
      <c r="G782" s="8"/>
      <c r="H782" s="8"/>
      <c r="I782" s="8"/>
      <c r="J782" s="8"/>
      <c r="K782" s="8"/>
      <c r="L782" s="8"/>
      <c r="M782" s="8"/>
      <c r="N782" s="8"/>
    </row>
    <row r="783" spans="6:14" s="14" customFormat="1" ht="14.25" customHeight="1">
      <c r="F783" s="8"/>
      <c r="G783" s="8"/>
      <c r="H783" s="8"/>
      <c r="I783" s="8"/>
      <c r="J783" s="8"/>
      <c r="K783" s="8"/>
      <c r="L783" s="8"/>
      <c r="M783" s="8"/>
      <c r="N783" s="8"/>
    </row>
    <row r="784" spans="6:14" s="14" customFormat="1" ht="14.25" customHeight="1">
      <c r="F784" s="8"/>
      <c r="G784" s="8"/>
      <c r="H784" s="8"/>
      <c r="I784" s="8"/>
      <c r="J784" s="8"/>
      <c r="K784" s="8"/>
      <c r="L784" s="8"/>
      <c r="M784" s="8"/>
      <c r="N784" s="8"/>
    </row>
    <row r="785" spans="6:14" s="14" customFormat="1" ht="14.25" customHeight="1">
      <c r="F785" s="8"/>
      <c r="G785" s="8"/>
      <c r="H785" s="8"/>
      <c r="I785" s="8"/>
      <c r="J785" s="8"/>
      <c r="K785" s="8"/>
      <c r="L785" s="8"/>
      <c r="M785" s="8"/>
      <c r="N785" s="8"/>
    </row>
    <row r="786" spans="6:14" s="14" customFormat="1" ht="14.25" customHeight="1">
      <c r="F786" s="8"/>
      <c r="G786" s="8"/>
      <c r="H786" s="8"/>
      <c r="I786" s="8"/>
      <c r="J786" s="8"/>
      <c r="K786" s="8"/>
      <c r="L786" s="8"/>
      <c r="M786" s="8"/>
      <c r="N786" s="8"/>
    </row>
    <row r="787" spans="6:14" s="14" customFormat="1" ht="14.25" customHeight="1">
      <c r="F787" s="8"/>
      <c r="G787" s="8"/>
      <c r="H787" s="8"/>
      <c r="I787" s="8"/>
      <c r="J787" s="8"/>
      <c r="K787" s="8"/>
      <c r="L787" s="8"/>
      <c r="M787" s="8"/>
      <c r="N787" s="8"/>
    </row>
    <row r="788" spans="6:14" s="14" customFormat="1" ht="14.25" customHeight="1">
      <c r="F788" s="8"/>
      <c r="G788" s="8"/>
      <c r="H788" s="8"/>
      <c r="I788" s="8"/>
      <c r="J788" s="8"/>
      <c r="K788" s="8"/>
      <c r="L788" s="8"/>
      <c r="M788" s="8"/>
      <c r="N788" s="8"/>
    </row>
    <row r="789" spans="6:14" s="14" customFormat="1" ht="14.25" customHeight="1">
      <c r="F789" s="8"/>
      <c r="G789" s="8"/>
      <c r="H789" s="8"/>
      <c r="I789" s="8"/>
      <c r="J789" s="8"/>
      <c r="K789" s="8"/>
      <c r="L789" s="8"/>
      <c r="M789" s="8"/>
      <c r="N789" s="8"/>
    </row>
    <row r="790" spans="6:14" s="14" customFormat="1" ht="14.25" customHeight="1">
      <c r="F790" s="8"/>
      <c r="G790" s="8"/>
      <c r="H790" s="8"/>
      <c r="I790" s="8"/>
      <c r="J790" s="8"/>
      <c r="K790" s="8"/>
      <c r="L790" s="8"/>
      <c r="M790" s="8"/>
      <c r="N790" s="8"/>
    </row>
    <row r="791" spans="6:14" s="14" customFormat="1" ht="14.25" customHeight="1">
      <c r="F791" s="8"/>
      <c r="G791" s="8"/>
      <c r="H791" s="8"/>
      <c r="I791" s="8"/>
      <c r="J791" s="8"/>
      <c r="K791" s="8"/>
      <c r="L791" s="8"/>
      <c r="M791" s="8"/>
      <c r="N791" s="8"/>
    </row>
    <row r="792" spans="6:14" s="14" customFormat="1" ht="14.25" customHeight="1">
      <c r="F792" s="8"/>
      <c r="G792" s="8"/>
      <c r="H792" s="8"/>
      <c r="I792" s="8"/>
      <c r="J792" s="8"/>
      <c r="K792" s="8"/>
      <c r="L792" s="8"/>
      <c r="M792" s="8"/>
      <c r="N792" s="8"/>
    </row>
    <row r="793" spans="6:14" s="14" customFormat="1" ht="14.25" customHeight="1">
      <c r="F793" s="8"/>
      <c r="G793" s="8"/>
      <c r="H793" s="8"/>
      <c r="I793" s="8"/>
      <c r="J793" s="8"/>
      <c r="K793" s="8"/>
      <c r="L793" s="8"/>
      <c r="M793" s="8"/>
      <c r="N793" s="8"/>
    </row>
    <row r="794" spans="6:14" s="14" customFormat="1" ht="14.25" customHeight="1">
      <c r="F794" s="8"/>
      <c r="G794" s="8"/>
      <c r="H794" s="8"/>
      <c r="I794" s="8"/>
      <c r="J794" s="8"/>
      <c r="K794" s="8"/>
      <c r="L794" s="8"/>
      <c r="M794" s="8"/>
      <c r="N794" s="8"/>
    </row>
    <row r="795" spans="6:14" s="14" customFormat="1" ht="14.25" customHeight="1">
      <c r="F795" s="8"/>
      <c r="G795" s="8"/>
      <c r="H795" s="8"/>
      <c r="I795" s="8"/>
      <c r="J795" s="8"/>
      <c r="K795" s="8"/>
      <c r="L795" s="8"/>
      <c r="M795" s="8"/>
      <c r="N795" s="8"/>
    </row>
    <row r="796" spans="6:14" s="14" customFormat="1" ht="14.25" customHeight="1">
      <c r="F796" s="8"/>
      <c r="G796" s="8"/>
      <c r="H796" s="8"/>
      <c r="I796" s="8"/>
      <c r="J796" s="8"/>
      <c r="K796" s="8"/>
      <c r="L796" s="8"/>
      <c r="M796" s="8"/>
      <c r="N796" s="8"/>
    </row>
    <row r="797" spans="6:14" s="14" customFormat="1" ht="14.25" customHeight="1">
      <c r="F797" s="8"/>
      <c r="G797" s="8"/>
      <c r="H797" s="8"/>
      <c r="I797" s="8"/>
      <c r="J797" s="8"/>
      <c r="K797" s="8"/>
      <c r="L797" s="8"/>
      <c r="M797" s="8"/>
      <c r="N797" s="8"/>
    </row>
    <row r="798" spans="6:14" s="14" customFormat="1" ht="14.25" customHeight="1">
      <c r="F798" s="8"/>
      <c r="G798" s="8"/>
      <c r="H798" s="8"/>
      <c r="I798" s="8"/>
      <c r="J798" s="8"/>
      <c r="K798" s="8"/>
      <c r="L798" s="8"/>
      <c r="M798" s="8"/>
      <c r="N798" s="8"/>
    </row>
    <row r="799" spans="6:14" s="14" customFormat="1" ht="14.25" customHeight="1">
      <c r="F799" s="8"/>
      <c r="G799" s="8"/>
      <c r="H799" s="8"/>
      <c r="I799" s="8"/>
      <c r="J799" s="8"/>
      <c r="K799" s="8"/>
      <c r="L799" s="8"/>
      <c r="M799" s="8"/>
      <c r="N799" s="8"/>
    </row>
    <row r="800" spans="6:14" s="14" customFormat="1" ht="14.25" customHeight="1">
      <c r="F800" s="8"/>
      <c r="G800" s="8"/>
      <c r="H800" s="8"/>
      <c r="I800" s="8"/>
      <c r="J800" s="8"/>
      <c r="K800" s="8"/>
      <c r="L800" s="8"/>
      <c r="M800" s="8"/>
      <c r="N800" s="8"/>
    </row>
    <row r="801" spans="6:14" s="14" customFormat="1" ht="14.25" customHeight="1">
      <c r="F801" s="8"/>
      <c r="G801" s="8"/>
      <c r="H801" s="8"/>
      <c r="I801" s="8"/>
      <c r="J801" s="8"/>
      <c r="K801" s="8"/>
      <c r="L801" s="8"/>
      <c r="M801" s="8"/>
      <c r="N801" s="8"/>
    </row>
    <row r="802" spans="6:14" s="14" customFormat="1" ht="14.25" customHeight="1">
      <c r="F802" s="8"/>
      <c r="G802" s="8"/>
      <c r="H802" s="8"/>
      <c r="I802" s="8"/>
      <c r="J802" s="8"/>
      <c r="K802" s="8"/>
      <c r="L802" s="8"/>
      <c r="M802" s="8"/>
      <c r="N802" s="8"/>
    </row>
    <row r="803" spans="6:14" s="14" customFormat="1" ht="14.25" customHeight="1">
      <c r="F803" s="8"/>
      <c r="G803" s="8"/>
      <c r="H803" s="8"/>
      <c r="I803" s="8"/>
      <c r="J803" s="8"/>
      <c r="K803" s="8"/>
      <c r="L803" s="8"/>
      <c r="M803" s="8"/>
      <c r="N803" s="8"/>
    </row>
    <row r="804" spans="6:14" s="14" customFormat="1" ht="14.25" customHeight="1">
      <c r="F804" s="8"/>
      <c r="G804" s="8"/>
      <c r="H804" s="8"/>
      <c r="I804" s="8"/>
      <c r="J804" s="8"/>
      <c r="K804" s="8"/>
      <c r="L804" s="8"/>
      <c r="M804" s="8"/>
      <c r="N804" s="8"/>
    </row>
    <row r="805" spans="6:14" s="14" customFormat="1" ht="14.25" customHeight="1">
      <c r="F805" s="8"/>
      <c r="G805" s="8"/>
      <c r="H805" s="8"/>
      <c r="I805" s="8"/>
      <c r="J805" s="8"/>
      <c r="K805" s="8"/>
      <c r="L805" s="8"/>
      <c r="M805" s="8"/>
      <c r="N805" s="8"/>
    </row>
    <row r="806" spans="6:14" s="14" customFormat="1" ht="14.25" customHeight="1">
      <c r="F806" s="8"/>
      <c r="G806" s="8"/>
      <c r="H806" s="8"/>
      <c r="I806" s="8"/>
      <c r="J806" s="8"/>
      <c r="K806" s="8"/>
      <c r="L806" s="8"/>
      <c r="M806" s="8"/>
      <c r="N806" s="8"/>
    </row>
    <row r="807" spans="6:14" s="14" customFormat="1" ht="14.25" customHeight="1">
      <c r="F807" s="8"/>
      <c r="G807" s="8"/>
      <c r="H807" s="8"/>
      <c r="I807" s="8"/>
      <c r="J807" s="8"/>
      <c r="K807" s="8"/>
      <c r="L807" s="8"/>
      <c r="M807" s="8"/>
      <c r="N807" s="8"/>
    </row>
    <row r="808" spans="6:14" s="14" customFormat="1" ht="14.25" customHeight="1">
      <c r="F808" s="8"/>
      <c r="G808" s="8"/>
      <c r="H808" s="8"/>
      <c r="I808" s="8"/>
      <c r="J808" s="8"/>
      <c r="K808" s="8"/>
      <c r="L808" s="8"/>
      <c r="M808" s="8"/>
      <c r="N808" s="8"/>
    </row>
    <row r="809" spans="6:14" s="14" customFormat="1" ht="14.25" customHeight="1">
      <c r="F809" s="8"/>
      <c r="G809" s="8"/>
      <c r="H809" s="8"/>
      <c r="I809" s="8"/>
      <c r="J809" s="8"/>
      <c r="K809" s="8"/>
      <c r="L809" s="8"/>
      <c r="M809" s="8"/>
      <c r="N809" s="8"/>
    </row>
    <row r="810" spans="6:14" s="14" customFormat="1" ht="14.25" customHeight="1">
      <c r="F810" s="8"/>
      <c r="G810" s="8"/>
      <c r="H810" s="8"/>
      <c r="I810" s="8"/>
      <c r="J810" s="8"/>
      <c r="K810" s="8"/>
      <c r="L810" s="8"/>
      <c r="M810" s="8"/>
      <c r="N810" s="8"/>
    </row>
    <row r="811" spans="6:14" s="14" customFormat="1" ht="14.25" customHeight="1">
      <c r="F811" s="8"/>
      <c r="G811" s="8"/>
      <c r="H811" s="8"/>
      <c r="I811" s="8"/>
      <c r="J811" s="8"/>
      <c r="K811" s="8"/>
      <c r="L811" s="8"/>
      <c r="M811" s="8"/>
      <c r="N811" s="8"/>
    </row>
    <row r="812" spans="6:14" s="14" customFormat="1" ht="14.25" customHeight="1">
      <c r="F812" s="8"/>
      <c r="G812" s="8"/>
      <c r="H812" s="8"/>
      <c r="I812" s="8"/>
      <c r="J812" s="8"/>
      <c r="K812" s="8"/>
      <c r="L812" s="8"/>
      <c r="M812" s="8"/>
      <c r="N812" s="8"/>
    </row>
    <row r="813" spans="6:14" s="14" customFormat="1" ht="14.25" customHeight="1">
      <c r="F813" s="8"/>
      <c r="G813" s="8"/>
      <c r="H813" s="8"/>
      <c r="I813" s="8"/>
      <c r="J813" s="8"/>
      <c r="K813" s="8"/>
      <c r="L813" s="8"/>
      <c r="M813" s="8"/>
      <c r="N813" s="8"/>
    </row>
    <row r="814" spans="6:14" s="14" customFormat="1" ht="14.25" customHeight="1">
      <c r="F814" s="8"/>
      <c r="G814" s="8"/>
      <c r="H814" s="8"/>
      <c r="I814" s="8"/>
      <c r="J814" s="8"/>
      <c r="K814" s="8"/>
      <c r="L814" s="8"/>
      <c r="M814" s="8"/>
      <c r="N814" s="8"/>
    </row>
    <row r="815" spans="6:14" s="14" customFormat="1" ht="14.25" customHeight="1">
      <c r="F815" s="8"/>
      <c r="G815" s="8"/>
      <c r="H815" s="8"/>
      <c r="I815" s="8"/>
      <c r="J815" s="8"/>
      <c r="K815" s="8"/>
      <c r="L815" s="8"/>
      <c r="M815" s="8"/>
      <c r="N815" s="8"/>
    </row>
    <row r="816" spans="6:14" s="14" customFormat="1" ht="14.25" customHeight="1">
      <c r="F816" s="8"/>
      <c r="G816" s="8"/>
      <c r="H816" s="8"/>
      <c r="I816" s="8"/>
      <c r="J816" s="8"/>
      <c r="K816" s="8"/>
      <c r="L816" s="8"/>
      <c r="M816" s="8"/>
      <c r="N816" s="8"/>
    </row>
    <row r="817" spans="6:14" s="14" customFormat="1" ht="14.25" customHeight="1">
      <c r="F817" s="8"/>
      <c r="G817" s="8"/>
      <c r="H817" s="8"/>
      <c r="I817" s="8"/>
      <c r="J817" s="8"/>
      <c r="K817" s="8"/>
      <c r="L817" s="8"/>
      <c r="M817" s="8"/>
      <c r="N817" s="8"/>
    </row>
    <row r="818" spans="6:14" s="14" customFormat="1" ht="14.25" customHeight="1">
      <c r="F818" s="8"/>
      <c r="G818" s="8"/>
      <c r="H818" s="8"/>
      <c r="I818" s="8"/>
      <c r="J818" s="8"/>
      <c r="K818" s="8"/>
      <c r="L818" s="8"/>
      <c r="M818" s="8"/>
      <c r="N818" s="8"/>
    </row>
    <row r="819" spans="6:14" s="14" customFormat="1" ht="14.25" customHeight="1">
      <c r="F819" s="8"/>
      <c r="G819" s="8"/>
      <c r="H819" s="8"/>
      <c r="I819" s="8"/>
      <c r="J819" s="8"/>
      <c r="K819" s="8"/>
      <c r="L819" s="8"/>
      <c r="M819" s="8"/>
      <c r="N819" s="8"/>
    </row>
    <row r="820" spans="6:14" s="14" customFormat="1" ht="14.25" customHeight="1">
      <c r="F820" s="8"/>
      <c r="G820" s="8"/>
      <c r="H820" s="8"/>
      <c r="I820" s="8"/>
      <c r="J820" s="8"/>
      <c r="K820" s="8"/>
      <c r="L820" s="8"/>
      <c r="M820" s="8"/>
      <c r="N820" s="8"/>
    </row>
    <row r="821" spans="6:14" s="14" customFormat="1" ht="14.25" customHeight="1">
      <c r="F821" s="8"/>
      <c r="G821" s="8"/>
      <c r="H821" s="8"/>
      <c r="I821" s="8"/>
      <c r="J821" s="8"/>
      <c r="K821" s="8"/>
      <c r="L821" s="8"/>
      <c r="M821" s="8"/>
      <c r="N821" s="8"/>
    </row>
    <row r="822" spans="6:14" s="14" customFormat="1" ht="14.25" customHeight="1">
      <c r="F822" s="8"/>
      <c r="G822" s="8"/>
      <c r="H822" s="8"/>
      <c r="I822" s="8"/>
      <c r="J822" s="8"/>
      <c r="K822" s="8"/>
      <c r="L822" s="8"/>
      <c r="M822" s="8"/>
      <c r="N822" s="8"/>
    </row>
    <row r="823" spans="6:14" s="14" customFormat="1" ht="14.25" customHeight="1">
      <c r="F823" s="8"/>
      <c r="G823" s="8"/>
      <c r="H823" s="8"/>
      <c r="I823" s="8"/>
      <c r="J823" s="8"/>
      <c r="K823" s="8"/>
      <c r="L823" s="8"/>
      <c r="M823" s="8"/>
      <c r="N823" s="8"/>
    </row>
    <row r="824" spans="6:14" s="14" customFormat="1" ht="14.25" customHeight="1">
      <c r="F824" s="8"/>
      <c r="G824" s="8"/>
      <c r="H824" s="8"/>
      <c r="I824" s="8"/>
      <c r="J824" s="8"/>
      <c r="K824" s="8"/>
      <c r="L824" s="8"/>
      <c r="M824" s="8"/>
      <c r="N824" s="8"/>
    </row>
    <row r="825" spans="6:14" s="14" customFormat="1" ht="14.25" customHeight="1">
      <c r="F825" s="8"/>
      <c r="G825" s="8"/>
      <c r="H825" s="8"/>
      <c r="I825" s="8"/>
      <c r="J825" s="8"/>
      <c r="K825" s="8"/>
      <c r="L825" s="8"/>
      <c r="M825" s="8"/>
      <c r="N825" s="8"/>
    </row>
    <row r="826" spans="6:14" s="14" customFormat="1" ht="14.25" customHeight="1">
      <c r="F826" s="8"/>
      <c r="G826" s="8"/>
      <c r="H826" s="8"/>
      <c r="I826" s="8"/>
      <c r="J826" s="8"/>
      <c r="K826" s="8"/>
      <c r="L826" s="8"/>
      <c r="M826" s="8"/>
      <c r="N826" s="8"/>
    </row>
    <row r="827" spans="6:14" s="14" customFormat="1" ht="14.25" customHeight="1">
      <c r="F827" s="8"/>
      <c r="G827" s="8"/>
      <c r="H827" s="8"/>
      <c r="I827" s="8"/>
      <c r="J827" s="8"/>
      <c r="K827" s="8"/>
      <c r="L827" s="8"/>
      <c r="M827" s="8"/>
      <c r="N827" s="8"/>
    </row>
    <row r="828" spans="6:14" s="14" customFormat="1" ht="14.25" customHeight="1">
      <c r="F828" s="8"/>
      <c r="G828" s="8"/>
      <c r="H828" s="8"/>
      <c r="I828" s="8"/>
      <c r="J828" s="8"/>
      <c r="K828" s="8"/>
      <c r="L828" s="8"/>
      <c r="M828" s="8"/>
      <c r="N828" s="8"/>
    </row>
    <row r="829" spans="6:14" s="14" customFormat="1" ht="14.25" customHeight="1">
      <c r="F829" s="8"/>
      <c r="G829" s="8"/>
      <c r="H829" s="8"/>
      <c r="I829" s="8"/>
      <c r="J829" s="8"/>
      <c r="K829" s="8"/>
      <c r="L829" s="8"/>
      <c r="M829" s="8"/>
      <c r="N829" s="8"/>
    </row>
    <row r="830" spans="6:14" s="14" customFormat="1" ht="14.25" customHeight="1">
      <c r="F830" s="8"/>
      <c r="G830" s="8"/>
      <c r="H830" s="8"/>
      <c r="I830" s="8"/>
      <c r="J830" s="8"/>
      <c r="K830" s="8"/>
      <c r="L830" s="8"/>
      <c r="M830" s="8"/>
      <c r="N830" s="8"/>
    </row>
    <row r="831" spans="6:14" s="14" customFormat="1" ht="14.25" customHeight="1">
      <c r="F831" s="8"/>
      <c r="G831" s="8"/>
      <c r="H831" s="8"/>
      <c r="I831" s="8"/>
      <c r="J831" s="8"/>
      <c r="K831" s="8"/>
      <c r="L831" s="8"/>
      <c r="M831" s="8"/>
      <c r="N831" s="8"/>
    </row>
    <row r="832" spans="6:14" s="14" customFormat="1" ht="14.25" customHeight="1">
      <c r="F832" s="8"/>
      <c r="G832" s="8"/>
      <c r="H832" s="8"/>
      <c r="I832" s="8"/>
      <c r="J832" s="8"/>
      <c r="K832" s="8"/>
      <c r="L832" s="8"/>
      <c r="M832" s="8"/>
      <c r="N832" s="8"/>
    </row>
    <row r="833" spans="6:14" s="14" customFormat="1" ht="14.25" customHeight="1">
      <c r="F833" s="8"/>
      <c r="G833" s="8"/>
      <c r="H833" s="8"/>
      <c r="I833" s="8"/>
      <c r="J833" s="8"/>
      <c r="K833" s="8"/>
      <c r="L833" s="8"/>
      <c r="M833" s="8"/>
      <c r="N833" s="8"/>
    </row>
    <row r="834" spans="6:14" s="14" customFormat="1" ht="14.25" customHeight="1">
      <c r="F834" s="8"/>
      <c r="G834" s="8"/>
      <c r="H834" s="8"/>
      <c r="I834" s="8"/>
      <c r="J834" s="8"/>
      <c r="K834" s="8"/>
      <c r="L834" s="8"/>
      <c r="M834" s="8"/>
      <c r="N834" s="8"/>
    </row>
    <row r="835" spans="6:14" s="14" customFormat="1" ht="14.25" customHeight="1">
      <c r="F835" s="8"/>
      <c r="G835" s="8"/>
      <c r="H835" s="8"/>
      <c r="I835" s="8"/>
      <c r="J835" s="8"/>
      <c r="K835" s="8"/>
      <c r="L835" s="8"/>
      <c r="M835" s="8"/>
      <c r="N835" s="8"/>
    </row>
    <row r="836" spans="6:14" s="14" customFormat="1" ht="14.25" customHeight="1">
      <c r="F836" s="8"/>
      <c r="G836" s="8"/>
      <c r="H836" s="8"/>
      <c r="I836" s="8"/>
      <c r="J836" s="8"/>
      <c r="K836" s="8"/>
      <c r="L836" s="8"/>
      <c r="M836" s="8"/>
      <c r="N836" s="8"/>
    </row>
    <row r="837" spans="6:14" s="14" customFormat="1" ht="14.25" customHeight="1">
      <c r="F837" s="8"/>
      <c r="G837" s="8"/>
      <c r="H837" s="8"/>
      <c r="I837" s="8"/>
      <c r="J837" s="8"/>
      <c r="K837" s="8"/>
      <c r="L837" s="8"/>
      <c r="M837" s="8"/>
      <c r="N837" s="8"/>
    </row>
    <row r="838" spans="6:14" s="14" customFormat="1" ht="14.25" customHeight="1">
      <c r="F838" s="8"/>
      <c r="G838" s="8"/>
      <c r="H838" s="8"/>
      <c r="I838" s="8"/>
      <c r="J838" s="8"/>
      <c r="K838" s="8"/>
      <c r="L838" s="8"/>
      <c r="M838" s="8"/>
      <c r="N838" s="8"/>
    </row>
    <row r="839" spans="6:14" s="14" customFormat="1" ht="14.25" customHeight="1">
      <c r="F839" s="8"/>
      <c r="G839" s="8"/>
      <c r="H839" s="8"/>
      <c r="I839" s="8"/>
      <c r="J839" s="8"/>
      <c r="K839" s="8"/>
      <c r="L839" s="8"/>
      <c r="M839" s="8"/>
      <c r="N839" s="8"/>
    </row>
    <row r="840" spans="6:14" s="14" customFormat="1" ht="14.25" customHeight="1">
      <c r="F840" s="8"/>
      <c r="G840" s="8"/>
      <c r="H840" s="8"/>
      <c r="I840" s="8"/>
      <c r="J840" s="8"/>
      <c r="K840" s="8"/>
      <c r="L840" s="8"/>
      <c r="M840" s="8"/>
      <c r="N840" s="8"/>
    </row>
    <row r="841" spans="6:14" s="14" customFormat="1" ht="14.25" customHeight="1">
      <c r="F841" s="8"/>
      <c r="G841" s="8"/>
      <c r="H841" s="8"/>
      <c r="I841" s="8"/>
      <c r="J841" s="8"/>
      <c r="K841" s="8"/>
      <c r="L841" s="8"/>
      <c r="M841" s="8"/>
      <c r="N841" s="8"/>
    </row>
    <row r="842" spans="6:14" s="14" customFormat="1" ht="14.25" customHeight="1">
      <c r="F842" s="8"/>
      <c r="G842" s="8"/>
      <c r="H842" s="8"/>
      <c r="I842" s="8"/>
      <c r="J842" s="8"/>
      <c r="K842" s="8"/>
      <c r="L842" s="8"/>
      <c r="M842" s="8"/>
      <c r="N842" s="8"/>
    </row>
    <row r="843" spans="6:14" s="14" customFormat="1" ht="14.25" customHeight="1">
      <c r="F843" s="8"/>
      <c r="G843" s="8"/>
      <c r="H843" s="8"/>
      <c r="I843" s="8"/>
      <c r="J843" s="8"/>
      <c r="K843" s="8"/>
      <c r="L843" s="8"/>
      <c r="M843" s="8"/>
      <c r="N843" s="8"/>
    </row>
    <row r="844" spans="6:14" s="14" customFormat="1" ht="14.25" customHeight="1">
      <c r="F844" s="8"/>
      <c r="G844" s="8"/>
      <c r="H844" s="8"/>
      <c r="I844" s="8"/>
      <c r="J844" s="8"/>
      <c r="K844" s="8"/>
      <c r="L844" s="8"/>
      <c r="M844" s="8"/>
      <c r="N844" s="8"/>
    </row>
    <row r="845" spans="6:14" s="14" customFormat="1" ht="14.25" customHeight="1">
      <c r="F845" s="8"/>
      <c r="G845" s="8"/>
      <c r="H845" s="8"/>
      <c r="I845" s="8"/>
      <c r="J845" s="8"/>
      <c r="K845" s="8"/>
      <c r="L845" s="8"/>
      <c r="M845" s="8"/>
      <c r="N845" s="8"/>
    </row>
    <row r="846" spans="6:14" s="14" customFormat="1" ht="14.25" customHeight="1">
      <c r="F846" s="8"/>
      <c r="G846" s="8"/>
      <c r="H846" s="8"/>
      <c r="I846" s="8"/>
      <c r="J846" s="8"/>
      <c r="K846" s="8"/>
      <c r="L846" s="8"/>
      <c r="M846" s="8"/>
      <c r="N846" s="8"/>
    </row>
    <row r="847" spans="6:14" s="14" customFormat="1" ht="14.25" customHeight="1">
      <c r="F847" s="8"/>
      <c r="G847" s="8"/>
      <c r="H847" s="8"/>
      <c r="I847" s="8"/>
      <c r="J847" s="8"/>
      <c r="K847" s="8"/>
      <c r="L847" s="8"/>
      <c r="M847" s="8"/>
      <c r="N847" s="8"/>
    </row>
    <row r="848" spans="6:14" s="14" customFormat="1" ht="14.25" customHeight="1">
      <c r="F848" s="8"/>
      <c r="G848" s="8"/>
      <c r="H848" s="8"/>
      <c r="I848" s="8"/>
      <c r="J848" s="8"/>
      <c r="K848" s="8"/>
      <c r="L848" s="8"/>
      <c r="M848" s="8"/>
      <c r="N848" s="8"/>
    </row>
    <row r="849" spans="6:14" s="14" customFormat="1" ht="14.25" customHeight="1">
      <c r="F849" s="8"/>
      <c r="G849" s="8"/>
      <c r="H849" s="8"/>
      <c r="I849" s="8"/>
      <c r="J849" s="8"/>
      <c r="K849" s="8"/>
      <c r="L849" s="8"/>
      <c r="M849" s="8"/>
      <c r="N849" s="8"/>
    </row>
    <row r="850" spans="6:14" s="14" customFormat="1" ht="14.25" customHeight="1">
      <c r="F850" s="8"/>
      <c r="G850" s="8"/>
      <c r="H850" s="8"/>
      <c r="I850" s="8"/>
      <c r="J850" s="8"/>
      <c r="K850" s="8"/>
      <c r="L850" s="8"/>
      <c r="M850" s="8"/>
      <c r="N850" s="8"/>
    </row>
    <row r="851" spans="6:14" s="14" customFormat="1" ht="14.25" customHeight="1">
      <c r="F851" s="8"/>
      <c r="G851" s="8"/>
      <c r="H851" s="8"/>
      <c r="I851" s="8"/>
      <c r="J851" s="8"/>
      <c r="K851" s="8"/>
      <c r="L851" s="8"/>
      <c r="M851" s="8"/>
      <c r="N851" s="8"/>
    </row>
    <row r="852" spans="6:14" s="14" customFormat="1" ht="14.25" customHeight="1">
      <c r="F852" s="8"/>
      <c r="G852" s="8"/>
      <c r="H852" s="8"/>
      <c r="I852" s="8"/>
      <c r="J852" s="8"/>
      <c r="K852" s="8"/>
      <c r="L852" s="8"/>
      <c r="M852" s="8"/>
      <c r="N852" s="8"/>
    </row>
    <row r="853" spans="6:14" s="14" customFormat="1" ht="14.25" customHeight="1">
      <c r="F853" s="8"/>
      <c r="G853" s="8"/>
      <c r="H853" s="8"/>
      <c r="I853" s="8"/>
      <c r="J853" s="8"/>
      <c r="K853" s="8"/>
      <c r="L853" s="8"/>
      <c r="M853" s="8"/>
      <c r="N853" s="8"/>
    </row>
    <row r="854" spans="6:14" s="14" customFormat="1" ht="14.25" customHeight="1">
      <c r="F854" s="8"/>
      <c r="G854" s="8"/>
      <c r="H854" s="8"/>
      <c r="I854" s="8"/>
      <c r="J854" s="8"/>
      <c r="K854" s="8"/>
      <c r="L854" s="8"/>
      <c r="M854" s="8"/>
      <c r="N854" s="8"/>
    </row>
    <row r="855" spans="6:14" s="14" customFormat="1" ht="14.25" customHeight="1">
      <c r="F855" s="8"/>
      <c r="G855" s="8"/>
      <c r="H855" s="8"/>
      <c r="I855" s="8"/>
      <c r="J855" s="8"/>
      <c r="K855" s="8"/>
      <c r="L855" s="8"/>
      <c r="M855" s="8"/>
      <c r="N855" s="8"/>
    </row>
    <row r="856" spans="6:14" s="14" customFormat="1" ht="14.25" customHeight="1">
      <c r="F856" s="8"/>
      <c r="G856" s="8"/>
      <c r="H856" s="8"/>
      <c r="I856" s="8"/>
      <c r="J856" s="8"/>
      <c r="K856" s="8"/>
      <c r="L856" s="8"/>
      <c r="M856" s="8"/>
      <c r="N856" s="8"/>
    </row>
    <row r="857" spans="6:14" s="14" customFormat="1" ht="14.25" customHeight="1">
      <c r="F857" s="8"/>
      <c r="G857" s="8"/>
      <c r="H857" s="8"/>
      <c r="I857" s="8"/>
      <c r="J857" s="8"/>
      <c r="K857" s="8"/>
      <c r="L857" s="8"/>
      <c r="M857" s="8"/>
      <c r="N857" s="8"/>
    </row>
    <row r="858" spans="6:14" s="14" customFormat="1" ht="14.25" customHeight="1">
      <c r="F858" s="8"/>
      <c r="G858" s="8"/>
      <c r="H858" s="8"/>
      <c r="I858" s="8"/>
      <c r="J858" s="8"/>
      <c r="K858" s="8"/>
      <c r="L858" s="8"/>
      <c r="M858" s="8"/>
      <c r="N858" s="8"/>
    </row>
    <row r="859" spans="6:14" s="14" customFormat="1" ht="14.25" customHeight="1">
      <c r="F859" s="8"/>
      <c r="G859" s="8"/>
      <c r="H859" s="8"/>
      <c r="I859" s="8"/>
      <c r="J859" s="8"/>
      <c r="K859" s="8"/>
      <c r="L859" s="8"/>
      <c r="M859" s="8"/>
      <c r="N859" s="8"/>
    </row>
    <row r="860" spans="6:14" s="14" customFormat="1" ht="14.25" customHeight="1">
      <c r="F860" s="8"/>
      <c r="G860" s="8"/>
      <c r="H860" s="8"/>
      <c r="I860" s="8"/>
      <c r="J860" s="8"/>
      <c r="K860" s="8"/>
      <c r="L860" s="8"/>
      <c r="M860" s="8"/>
      <c r="N860" s="8"/>
    </row>
    <row r="861" spans="6:14" s="14" customFormat="1" ht="14.25" customHeight="1">
      <c r="F861" s="8"/>
      <c r="G861" s="8"/>
      <c r="H861" s="8"/>
      <c r="I861" s="8"/>
      <c r="J861" s="8"/>
      <c r="K861" s="8"/>
      <c r="L861" s="8"/>
      <c r="M861" s="8"/>
      <c r="N861" s="8"/>
    </row>
    <row r="862" spans="6:14" s="14" customFormat="1" ht="14.25" customHeight="1">
      <c r="F862" s="8"/>
      <c r="G862" s="8"/>
      <c r="H862" s="8"/>
      <c r="I862" s="8"/>
      <c r="J862" s="8"/>
      <c r="K862" s="8"/>
      <c r="L862" s="8"/>
      <c r="M862" s="8"/>
      <c r="N862" s="8"/>
    </row>
    <row r="863" spans="6:14" s="14" customFormat="1" ht="14.25" customHeight="1">
      <c r="F863" s="8"/>
      <c r="G863" s="8"/>
      <c r="H863" s="8"/>
      <c r="I863" s="8"/>
      <c r="J863" s="8"/>
      <c r="K863" s="8"/>
      <c r="L863" s="8"/>
      <c r="M863" s="8"/>
      <c r="N863" s="8"/>
    </row>
    <row r="864" spans="6:14" s="14" customFormat="1" ht="14.25" customHeight="1">
      <c r="F864" s="8"/>
      <c r="G864" s="8"/>
      <c r="H864" s="8"/>
      <c r="I864" s="8"/>
      <c r="J864" s="8"/>
      <c r="K864" s="8"/>
      <c r="L864" s="8"/>
      <c r="M864" s="8"/>
      <c r="N864" s="8"/>
    </row>
    <row r="865" spans="6:14" s="14" customFormat="1" ht="14.25" customHeight="1">
      <c r="F865" s="8"/>
      <c r="G865" s="8"/>
      <c r="H865" s="8"/>
      <c r="I865" s="8"/>
      <c r="J865" s="8"/>
      <c r="K865" s="8"/>
      <c r="L865" s="8"/>
      <c r="M865" s="8"/>
      <c r="N865" s="8"/>
    </row>
    <row r="866" spans="6:14" s="14" customFormat="1" ht="14.25" customHeight="1">
      <c r="F866" s="8"/>
      <c r="G866" s="8"/>
      <c r="H866" s="8"/>
      <c r="I866" s="8"/>
      <c r="J866" s="8"/>
      <c r="K866" s="8"/>
      <c r="L866" s="8"/>
      <c r="M866" s="8"/>
      <c r="N866" s="8"/>
    </row>
    <row r="867" spans="6:14" s="14" customFormat="1" ht="14.25" customHeight="1">
      <c r="F867" s="8"/>
      <c r="G867" s="8"/>
      <c r="H867" s="8"/>
      <c r="I867" s="8"/>
      <c r="J867" s="8"/>
      <c r="K867" s="8"/>
      <c r="L867" s="8"/>
      <c r="M867" s="8"/>
      <c r="N867" s="8"/>
    </row>
    <row r="868" spans="6:14" s="14" customFormat="1" ht="14.25" customHeight="1">
      <c r="F868" s="8"/>
      <c r="G868" s="8"/>
      <c r="H868" s="8"/>
      <c r="I868" s="8"/>
      <c r="J868" s="8"/>
      <c r="K868" s="8"/>
      <c r="L868" s="8"/>
      <c r="M868" s="8"/>
      <c r="N868" s="8"/>
    </row>
    <row r="869" spans="6:14" s="14" customFormat="1" ht="14.25" customHeight="1">
      <c r="F869" s="8"/>
      <c r="G869" s="8"/>
      <c r="H869" s="8"/>
      <c r="I869" s="8"/>
      <c r="J869" s="8"/>
      <c r="K869" s="8"/>
      <c r="L869" s="8"/>
      <c r="M869" s="8"/>
      <c r="N869" s="8"/>
    </row>
    <row r="870" spans="6:14" s="14" customFormat="1" ht="14.25" customHeight="1">
      <c r="F870" s="8"/>
      <c r="G870" s="8"/>
      <c r="H870" s="8"/>
      <c r="I870" s="8"/>
      <c r="J870" s="8"/>
      <c r="K870" s="8"/>
      <c r="L870" s="8"/>
      <c r="M870" s="8"/>
      <c r="N870" s="8"/>
    </row>
    <row r="871" spans="6:14" s="14" customFormat="1" ht="14.25" customHeight="1">
      <c r="F871" s="8"/>
      <c r="G871" s="8"/>
      <c r="H871" s="8"/>
      <c r="I871" s="8"/>
      <c r="J871" s="8"/>
      <c r="K871" s="8"/>
      <c r="L871" s="8"/>
      <c r="M871" s="8"/>
      <c r="N871" s="8"/>
    </row>
    <row r="872" spans="6:14" s="14" customFormat="1" ht="14.25" customHeight="1">
      <c r="F872" s="8"/>
      <c r="G872" s="8"/>
      <c r="H872" s="8"/>
      <c r="I872" s="8"/>
      <c r="J872" s="8"/>
      <c r="K872" s="8"/>
      <c r="L872" s="8"/>
      <c r="M872" s="8"/>
      <c r="N872" s="8"/>
    </row>
    <row r="873" spans="6:14" s="14" customFormat="1" ht="14.25" customHeight="1">
      <c r="F873" s="8"/>
      <c r="G873" s="8"/>
      <c r="H873" s="8"/>
      <c r="I873" s="8"/>
      <c r="J873" s="8"/>
      <c r="K873" s="8"/>
      <c r="L873" s="8"/>
      <c r="M873" s="8"/>
      <c r="N873" s="8"/>
    </row>
    <row r="874" spans="6:14" s="14" customFormat="1" ht="14.25" customHeight="1">
      <c r="F874" s="8"/>
      <c r="G874" s="8"/>
      <c r="H874" s="8"/>
      <c r="I874" s="8"/>
      <c r="J874" s="8"/>
      <c r="K874" s="8"/>
      <c r="L874" s="8"/>
      <c r="M874" s="8"/>
      <c r="N874" s="8"/>
    </row>
    <row r="875" spans="6:14" s="14" customFormat="1" ht="14.25" customHeight="1">
      <c r="F875" s="8"/>
      <c r="G875" s="8"/>
      <c r="H875" s="8"/>
      <c r="I875" s="8"/>
      <c r="J875" s="8"/>
      <c r="K875" s="8"/>
      <c r="L875" s="8"/>
      <c r="M875" s="8"/>
      <c r="N875" s="8"/>
    </row>
    <row r="876" spans="6:14" s="14" customFormat="1" ht="14.25" customHeight="1">
      <c r="F876" s="8"/>
      <c r="G876" s="8"/>
      <c r="H876" s="8"/>
      <c r="I876" s="8"/>
      <c r="J876" s="8"/>
      <c r="K876" s="8"/>
      <c r="L876" s="8"/>
      <c r="M876" s="8"/>
      <c r="N876" s="8"/>
    </row>
    <row r="877" spans="6:14" s="14" customFormat="1" ht="14.25" customHeight="1">
      <c r="F877" s="8"/>
      <c r="G877" s="8"/>
      <c r="H877" s="8"/>
      <c r="I877" s="8"/>
      <c r="J877" s="8"/>
      <c r="K877" s="8"/>
      <c r="L877" s="8"/>
      <c r="M877" s="8"/>
      <c r="N877" s="8"/>
    </row>
    <row r="878" spans="6:14" s="14" customFormat="1" ht="14.25" customHeight="1">
      <c r="F878" s="8"/>
      <c r="G878" s="8"/>
      <c r="H878" s="8"/>
      <c r="I878" s="8"/>
      <c r="J878" s="8"/>
      <c r="K878" s="8"/>
      <c r="L878" s="8"/>
      <c r="M878" s="8"/>
      <c r="N878" s="8"/>
    </row>
    <row r="879" spans="6:14" s="14" customFormat="1" ht="14.25" customHeight="1">
      <c r="F879" s="8"/>
      <c r="G879" s="8"/>
      <c r="H879" s="8"/>
      <c r="I879" s="8"/>
      <c r="J879" s="8"/>
      <c r="K879" s="8"/>
      <c r="L879" s="8"/>
      <c r="M879" s="8"/>
      <c r="N879" s="8"/>
    </row>
    <row r="880" spans="6:14" s="14" customFormat="1" ht="14.25" customHeight="1">
      <c r="F880" s="8"/>
      <c r="G880" s="8"/>
      <c r="H880" s="8"/>
      <c r="I880" s="8"/>
      <c r="J880" s="8"/>
      <c r="K880" s="8"/>
      <c r="L880" s="8"/>
      <c r="M880" s="8"/>
      <c r="N880" s="8"/>
    </row>
    <row r="881" spans="6:14" s="14" customFormat="1" ht="14.25" customHeight="1">
      <c r="F881" s="8"/>
      <c r="G881" s="8"/>
      <c r="H881" s="8"/>
      <c r="I881" s="8"/>
      <c r="J881" s="8"/>
      <c r="K881" s="8"/>
      <c r="L881" s="8"/>
      <c r="M881" s="8"/>
      <c r="N881" s="8"/>
    </row>
    <row r="882" spans="6:14" s="14" customFormat="1" ht="14.25" customHeight="1">
      <c r="F882" s="8"/>
      <c r="G882" s="8"/>
      <c r="H882" s="8"/>
      <c r="I882" s="8"/>
      <c r="J882" s="8"/>
      <c r="K882" s="8"/>
      <c r="L882" s="8"/>
      <c r="M882" s="8"/>
      <c r="N882" s="8"/>
    </row>
    <row r="883" spans="6:14" s="14" customFormat="1" ht="14.25" customHeight="1">
      <c r="F883" s="8"/>
      <c r="G883" s="8"/>
      <c r="H883" s="8"/>
      <c r="I883" s="8"/>
      <c r="J883" s="8"/>
      <c r="K883" s="8"/>
      <c r="L883" s="8"/>
      <c r="M883" s="8"/>
      <c r="N883" s="8"/>
    </row>
    <row r="884" spans="6:14" s="14" customFormat="1" ht="14.25" customHeight="1">
      <c r="F884" s="8"/>
      <c r="G884" s="8"/>
      <c r="H884" s="8"/>
      <c r="I884" s="8"/>
      <c r="J884" s="8"/>
      <c r="K884" s="8"/>
      <c r="L884" s="8"/>
      <c r="M884" s="8"/>
      <c r="N884" s="8"/>
    </row>
    <row r="885" spans="6:14" s="14" customFormat="1" ht="14.25" customHeight="1">
      <c r="F885" s="8"/>
      <c r="G885" s="8"/>
      <c r="H885" s="8"/>
      <c r="I885" s="8"/>
      <c r="J885" s="8"/>
      <c r="K885" s="8"/>
      <c r="L885" s="8"/>
      <c r="M885" s="8"/>
      <c r="N885" s="8"/>
    </row>
    <row r="886" spans="6:14" s="14" customFormat="1" ht="14.25" customHeight="1">
      <c r="F886" s="8"/>
      <c r="G886" s="8"/>
      <c r="H886" s="8"/>
      <c r="I886" s="8"/>
      <c r="J886" s="8"/>
      <c r="K886" s="8"/>
      <c r="L886" s="8"/>
      <c r="M886" s="8"/>
      <c r="N886" s="8"/>
    </row>
    <row r="887" spans="6:14" s="14" customFormat="1" ht="14.25" customHeight="1">
      <c r="F887" s="8"/>
      <c r="G887" s="8"/>
      <c r="H887" s="8"/>
      <c r="I887" s="8"/>
      <c r="J887" s="8"/>
      <c r="K887" s="8"/>
      <c r="L887" s="8"/>
      <c r="M887" s="8"/>
      <c r="N887" s="8"/>
    </row>
    <row r="888" spans="6:14" s="14" customFormat="1" ht="14.25" customHeight="1">
      <c r="F888" s="8"/>
      <c r="G888" s="8"/>
      <c r="H888" s="8"/>
      <c r="I888" s="8"/>
      <c r="J888" s="8"/>
      <c r="K888" s="8"/>
      <c r="L888" s="8"/>
      <c r="M888" s="8"/>
      <c r="N888" s="8"/>
    </row>
    <row r="889" spans="6:14" s="14" customFormat="1" ht="14.25" customHeight="1">
      <c r="F889" s="8"/>
      <c r="G889" s="8"/>
      <c r="H889" s="8"/>
      <c r="I889" s="8"/>
      <c r="J889" s="8"/>
      <c r="K889" s="8"/>
      <c r="L889" s="8"/>
      <c r="M889" s="8"/>
      <c r="N889" s="8"/>
    </row>
    <row r="890" spans="6:14" s="14" customFormat="1" ht="14.25" customHeight="1">
      <c r="F890" s="8"/>
      <c r="G890" s="8"/>
      <c r="H890" s="8"/>
      <c r="I890" s="8"/>
      <c r="J890" s="8"/>
      <c r="K890" s="8"/>
      <c r="L890" s="8"/>
      <c r="M890" s="8"/>
      <c r="N890" s="8"/>
    </row>
    <row r="891" spans="6:14" s="14" customFormat="1" ht="14.25" customHeight="1">
      <c r="F891" s="8"/>
      <c r="G891" s="8"/>
      <c r="H891" s="8"/>
      <c r="I891" s="8"/>
      <c r="J891" s="8"/>
      <c r="K891" s="8"/>
      <c r="L891" s="8"/>
      <c r="M891" s="8"/>
      <c r="N891" s="8"/>
    </row>
    <row r="892" spans="6:14" s="14" customFormat="1" ht="14.25" customHeight="1">
      <c r="F892" s="8"/>
      <c r="G892" s="8"/>
      <c r="H892" s="8"/>
      <c r="I892" s="8"/>
      <c r="J892" s="8"/>
      <c r="K892" s="8"/>
      <c r="L892" s="8"/>
      <c r="M892" s="8"/>
      <c r="N892" s="8"/>
    </row>
    <row r="893" spans="6:14" s="14" customFormat="1" ht="14.25" customHeight="1">
      <c r="F893" s="8"/>
      <c r="G893" s="8"/>
      <c r="H893" s="8"/>
      <c r="I893" s="8"/>
      <c r="J893" s="8"/>
      <c r="K893" s="8"/>
      <c r="L893" s="8"/>
      <c r="M893" s="8"/>
      <c r="N893" s="8"/>
    </row>
    <row r="894" spans="6:14" s="14" customFormat="1" ht="14.25" customHeight="1">
      <c r="F894" s="8"/>
      <c r="G894" s="8"/>
      <c r="H894" s="8"/>
      <c r="I894" s="8"/>
      <c r="J894" s="8"/>
      <c r="K894" s="8"/>
      <c r="L894" s="8"/>
      <c r="M894" s="8"/>
      <c r="N894" s="8"/>
    </row>
    <row r="895" spans="6:14" s="14" customFormat="1" ht="14.25" customHeight="1">
      <c r="F895" s="8"/>
      <c r="G895" s="8"/>
      <c r="H895" s="8"/>
      <c r="I895" s="8"/>
      <c r="J895" s="8"/>
      <c r="K895" s="8"/>
      <c r="L895" s="8"/>
      <c r="M895" s="8"/>
      <c r="N895" s="8"/>
    </row>
    <row r="896" spans="6:14" s="14" customFormat="1" ht="14.25" customHeight="1">
      <c r="F896" s="8"/>
      <c r="G896" s="8"/>
      <c r="H896" s="8"/>
      <c r="I896" s="8"/>
      <c r="J896" s="8"/>
      <c r="K896" s="8"/>
      <c r="L896" s="8"/>
      <c r="M896" s="8"/>
      <c r="N896" s="8"/>
    </row>
    <row r="897" spans="6:14" s="14" customFormat="1" ht="14.25" customHeight="1">
      <c r="F897" s="8"/>
      <c r="G897" s="8"/>
      <c r="H897" s="8"/>
      <c r="I897" s="8"/>
      <c r="J897" s="8"/>
      <c r="K897" s="8"/>
      <c r="L897" s="8"/>
      <c r="M897" s="8"/>
      <c r="N897" s="8"/>
    </row>
    <row r="898" spans="6:14" s="14" customFormat="1" ht="14.25" customHeight="1">
      <c r="F898" s="8"/>
      <c r="G898" s="8"/>
      <c r="H898" s="8"/>
      <c r="I898" s="8"/>
      <c r="J898" s="8"/>
      <c r="K898" s="8"/>
      <c r="L898" s="8"/>
      <c r="M898" s="8"/>
      <c r="N898" s="8"/>
    </row>
    <row r="899" spans="6:14" s="14" customFormat="1" ht="14.25" customHeight="1">
      <c r="F899" s="8"/>
      <c r="G899" s="8"/>
      <c r="H899" s="8"/>
      <c r="I899" s="8"/>
      <c r="J899" s="8"/>
      <c r="K899" s="8"/>
      <c r="L899" s="8"/>
      <c r="M899" s="8"/>
      <c r="N899" s="8"/>
    </row>
    <row r="900" spans="6:14" s="14" customFormat="1" ht="14.25" customHeight="1">
      <c r="F900" s="8"/>
      <c r="G900" s="8"/>
      <c r="H900" s="8"/>
      <c r="I900" s="8"/>
      <c r="J900" s="8"/>
      <c r="K900" s="8"/>
      <c r="L900" s="8"/>
      <c r="M900" s="8"/>
      <c r="N900" s="8"/>
    </row>
    <row r="901" spans="6:14" s="14" customFormat="1" ht="14.25" customHeight="1">
      <c r="F901" s="8"/>
      <c r="G901" s="8"/>
      <c r="H901" s="8"/>
      <c r="I901" s="8"/>
      <c r="J901" s="8"/>
      <c r="K901" s="8"/>
      <c r="L901" s="8"/>
      <c r="M901" s="8"/>
      <c r="N901" s="8"/>
    </row>
    <row r="902" spans="6:14" s="14" customFormat="1" ht="14.25" customHeight="1">
      <c r="F902" s="8"/>
      <c r="G902" s="8"/>
      <c r="H902" s="8"/>
      <c r="I902" s="8"/>
      <c r="J902" s="8"/>
      <c r="K902" s="8"/>
      <c r="L902" s="8"/>
      <c r="M902" s="8"/>
      <c r="N902" s="8"/>
    </row>
    <row r="903" spans="6:14" s="14" customFormat="1" ht="14.25" customHeight="1">
      <c r="F903" s="8"/>
      <c r="G903" s="8"/>
      <c r="H903" s="8"/>
      <c r="I903" s="8"/>
      <c r="J903" s="8"/>
      <c r="K903" s="8"/>
      <c r="L903" s="8"/>
      <c r="M903" s="8"/>
      <c r="N903" s="8"/>
    </row>
    <row r="904" spans="6:14" s="14" customFormat="1" ht="14.25" customHeight="1">
      <c r="F904" s="8"/>
      <c r="G904" s="8"/>
      <c r="H904" s="8"/>
      <c r="I904" s="8"/>
      <c r="J904" s="8"/>
      <c r="K904" s="8"/>
      <c r="L904" s="8"/>
      <c r="M904" s="8"/>
      <c r="N904" s="8"/>
    </row>
    <row r="905" spans="6:14" s="14" customFormat="1" ht="14.25" customHeight="1">
      <c r="F905" s="8"/>
      <c r="G905" s="8"/>
      <c r="H905" s="8"/>
      <c r="I905" s="8"/>
      <c r="J905" s="8"/>
      <c r="K905" s="8"/>
      <c r="L905" s="8"/>
      <c r="M905" s="8"/>
      <c r="N905" s="8"/>
    </row>
    <row r="906" spans="6:14" s="14" customFormat="1" ht="14.25" customHeight="1">
      <c r="F906" s="8"/>
      <c r="G906" s="8"/>
      <c r="H906" s="8"/>
      <c r="I906" s="8"/>
      <c r="J906" s="8"/>
      <c r="K906" s="8"/>
      <c r="L906" s="8"/>
      <c r="M906" s="8"/>
      <c r="N906" s="8"/>
    </row>
    <row r="907" spans="6:14" s="14" customFormat="1" ht="14.25" customHeight="1">
      <c r="F907" s="8"/>
      <c r="G907" s="8"/>
      <c r="H907" s="8"/>
      <c r="I907" s="8"/>
      <c r="J907" s="8"/>
      <c r="K907" s="8"/>
      <c r="L907" s="8"/>
      <c r="M907" s="8"/>
      <c r="N907" s="8"/>
    </row>
    <row r="908" spans="6:14" s="14" customFormat="1" ht="14.25" customHeight="1">
      <c r="F908" s="8"/>
      <c r="G908" s="8"/>
      <c r="H908" s="8"/>
      <c r="I908" s="8"/>
      <c r="J908" s="8"/>
      <c r="K908" s="8"/>
      <c r="L908" s="8"/>
      <c r="M908" s="8"/>
      <c r="N908" s="8"/>
    </row>
    <row r="909" spans="6:14" s="14" customFormat="1" ht="14.25" customHeight="1">
      <c r="F909" s="8"/>
      <c r="G909" s="8"/>
      <c r="H909" s="8"/>
      <c r="I909" s="8"/>
      <c r="J909" s="8"/>
      <c r="K909" s="8"/>
      <c r="L909" s="8"/>
      <c r="M909" s="8"/>
      <c r="N909" s="8"/>
    </row>
    <row r="910" spans="6:14" s="14" customFormat="1" ht="14.25" customHeight="1">
      <c r="F910" s="8"/>
      <c r="G910" s="8"/>
      <c r="H910" s="8"/>
      <c r="I910" s="8"/>
      <c r="J910" s="8"/>
      <c r="K910" s="8"/>
      <c r="L910" s="8"/>
      <c r="M910" s="8"/>
      <c r="N910" s="8"/>
    </row>
    <row r="911" spans="6:14" s="14" customFormat="1" ht="14.25" customHeight="1">
      <c r="F911" s="8"/>
      <c r="G911" s="8"/>
      <c r="H911" s="8"/>
      <c r="I911" s="8"/>
      <c r="J911" s="8"/>
      <c r="K911" s="8"/>
      <c r="L911" s="8"/>
      <c r="M911" s="8"/>
      <c r="N911" s="8"/>
    </row>
    <row r="912" spans="6:14" s="14" customFormat="1" ht="14.25" customHeight="1">
      <c r="F912" s="8"/>
      <c r="G912" s="8"/>
      <c r="H912" s="8"/>
      <c r="I912" s="8"/>
      <c r="J912" s="8"/>
      <c r="K912" s="8"/>
      <c r="L912" s="8"/>
      <c r="M912" s="8"/>
      <c r="N912" s="8"/>
    </row>
    <row r="913" spans="6:14" s="14" customFormat="1" ht="14.25" customHeight="1">
      <c r="F913" s="8"/>
      <c r="G913" s="8"/>
      <c r="H913" s="8"/>
      <c r="I913" s="8"/>
      <c r="J913" s="8"/>
      <c r="K913" s="8"/>
      <c r="L913" s="8"/>
      <c r="M913" s="8"/>
      <c r="N913" s="8"/>
    </row>
    <row r="914" spans="6:14" s="14" customFormat="1" ht="14.25" customHeight="1">
      <c r="F914" s="8"/>
      <c r="G914" s="8"/>
      <c r="H914" s="8"/>
      <c r="I914" s="8"/>
      <c r="J914" s="8"/>
      <c r="K914" s="8"/>
      <c r="L914" s="8"/>
      <c r="M914" s="8"/>
      <c r="N914" s="8"/>
    </row>
    <row r="915" spans="6:14" s="14" customFormat="1" ht="14.25" customHeight="1">
      <c r="F915" s="8"/>
      <c r="G915" s="8"/>
      <c r="H915" s="8"/>
      <c r="I915" s="8"/>
      <c r="J915" s="8"/>
      <c r="K915" s="8"/>
      <c r="L915" s="8"/>
      <c r="M915" s="8"/>
      <c r="N915" s="8"/>
    </row>
    <row r="916" spans="6:14" s="14" customFormat="1" ht="14.25" customHeight="1">
      <c r="F916" s="8"/>
      <c r="G916" s="8"/>
      <c r="H916" s="8"/>
      <c r="I916" s="8"/>
      <c r="J916" s="8"/>
      <c r="K916" s="8"/>
      <c r="L916" s="8"/>
      <c r="M916" s="8"/>
      <c r="N916" s="8"/>
    </row>
    <row r="917" spans="6:14" s="14" customFormat="1" ht="14.25" customHeight="1">
      <c r="F917" s="8"/>
      <c r="G917" s="8"/>
      <c r="H917" s="8"/>
      <c r="I917" s="8"/>
      <c r="J917" s="8"/>
      <c r="K917" s="8"/>
      <c r="L917" s="8"/>
      <c r="M917" s="8"/>
      <c r="N917" s="8"/>
    </row>
    <row r="918" spans="6:14" s="14" customFormat="1" ht="14.25" customHeight="1">
      <c r="F918" s="8"/>
      <c r="G918" s="8"/>
      <c r="H918" s="8"/>
      <c r="I918" s="8"/>
      <c r="J918" s="8"/>
      <c r="K918" s="8"/>
      <c r="L918" s="8"/>
      <c r="M918" s="8"/>
      <c r="N918" s="8"/>
    </row>
    <row r="919" spans="6:14" s="14" customFormat="1" ht="14.25" customHeight="1">
      <c r="F919" s="8"/>
      <c r="G919" s="8"/>
      <c r="H919" s="8"/>
      <c r="I919" s="8"/>
      <c r="J919" s="8"/>
      <c r="K919" s="8"/>
      <c r="L919" s="8"/>
      <c r="M919" s="8"/>
      <c r="N919" s="8"/>
    </row>
    <row r="920" spans="6:14" s="14" customFormat="1" ht="14.25" customHeight="1">
      <c r="F920" s="8"/>
      <c r="G920" s="8"/>
      <c r="H920" s="8"/>
      <c r="I920" s="8"/>
      <c r="J920" s="8"/>
      <c r="K920" s="8"/>
      <c r="L920" s="8"/>
      <c r="M920" s="8"/>
      <c r="N920" s="8"/>
    </row>
    <row r="921" spans="6:14" s="14" customFormat="1" ht="14.25" customHeight="1">
      <c r="F921" s="8"/>
      <c r="G921" s="8"/>
      <c r="H921" s="8"/>
      <c r="I921" s="8"/>
      <c r="J921" s="8"/>
      <c r="K921" s="8"/>
      <c r="L921" s="8"/>
      <c r="M921" s="8"/>
      <c r="N921" s="8"/>
    </row>
    <row r="922" spans="6:14" s="14" customFormat="1" ht="14.25" customHeight="1">
      <c r="F922" s="8"/>
      <c r="G922" s="8"/>
      <c r="H922" s="8"/>
      <c r="I922" s="8"/>
      <c r="J922" s="8"/>
      <c r="K922" s="8"/>
      <c r="L922" s="8"/>
      <c r="M922" s="8"/>
      <c r="N922" s="8"/>
    </row>
    <row r="923" spans="6:14" s="14" customFormat="1" ht="14.25" customHeight="1">
      <c r="F923" s="8"/>
      <c r="G923" s="8"/>
      <c r="H923" s="8"/>
      <c r="I923" s="8"/>
      <c r="J923" s="8"/>
      <c r="K923" s="8"/>
      <c r="L923" s="8"/>
      <c r="M923" s="8"/>
      <c r="N923" s="8"/>
    </row>
    <row r="924" spans="6:14" s="14" customFormat="1" ht="14.25" customHeight="1">
      <c r="F924" s="8"/>
      <c r="G924" s="8"/>
      <c r="H924" s="8"/>
      <c r="I924" s="8"/>
      <c r="J924" s="8"/>
      <c r="K924" s="8"/>
      <c r="L924" s="8"/>
      <c r="M924" s="8"/>
      <c r="N924" s="8"/>
    </row>
    <row r="925" spans="6:14" s="14" customFormat="1" ht="14.25" customHeight="1">
      <c r="F925" s="8"/>
      <c r="G925" s="8"/>
      <c r="H925" s="8"/>
      <c r="I925" s="8"/>
      <c r="J925" s="8"/>
      <c r="K925" s="8"/>
      <c r="L925" s="8"/>
      <c r="M925" s="8"/>
      <c r="N925" s="8"/>
    </row>
    <row r="926" spans="6:14" s="14" customFormat="1" ht="14.25" customHeight="1">
      <c r="F926" s="8"/>
      <c r="G926" s="8"/>
      <c r="H926" s="8"/>
      <c r="I926" s="8"/>
      <c r="J926" s="8"/>
      <c r="K926" s="8"/>
      <c r="L926" s="8"/>
      <c r="M926" s="8"/>
      <c r="N926" s="8"/>
    </row>
    <row r="927" spans="6:14" s="14" customFormat="1" ht="14.25" customHeight="1">
      <c r="F927" s="8"/>
      <c r="G927" s="8"/>
      <c r="H927" s="8"/>
      <c r="I927" s="8"/>
      <c r="J927" s="8"/>
      <c r="K927" s="8"/>
      <c r="L927" s="8"/>
      <c r="M927" s="8"/>
      <c r="N927" s="8"/>
    </row>
    <row r="928" spans="6:14" s="14" customFormat="1" ht="14.25" customHeight="1">
      <c r="F928" s="8"/>
      <c r="G928" s="8"/>
      <c r="H928" s="8"/>
      <c r="I928" s="8"/>
      <c r="J928" s="8"/>
      <c r="K928" s="8"/>
      <c r="L928" s="8"/>
      <c r="M928" s="8"/>
      <c r="N928" s="8"/>
    </row>
    <row r="929" spans="6:14" s="14" customFormat="1" ht="14.25" customHeight="1">
      <c r="F929" s="8"/>
      <c r="G929" s="8"/>
      <c r="H929" s="8"/>
      <c r="I929" s="8"/>
      <c r="J929" s="8"/>
      <c r="K929" s="8"/>
      <c r="L929" s="8"/>
      <c r="M929" s="8"/>
      <c r="N929" s="8"/>
    </row>
    <row r="930" spans="6:14" s="14" customFormat="1" ht="14.25" customHeight="1">
      <c r="F930" s="8"/>
      <c r="G930" s="8"/>
      <c r="H930" s="8"/>
      <c r="I930" s="8"/>
      <c r="J930" s="8"/>
      <c r="K930" s="8"/>
      <c r="L930" s="8"/>
      <c r="M930" s="8"/>
      <c r="N930" s="8"/>
    </row>
    <row r="931" spans="6:14" s="14" customFormat="1" ht="14.25" customHeight="1">
      <c r="F931" s="8"/>
      <c r="G931" s="8"/>
      <c r="H931" s="8"/>
      <c r="I931" s="8"/>
      <c r="J931" s="8"/>
      <c r="K931" s="8"/>
      <c r="L931" s="8"/>
      <c r="M931" s="8"/>
      <c r="N931" s="8"/>
    </row>
    <row r="932" spans="6:14" s="14" customFormat="1" ht="14.25" customHeight="1">
      <c r="F932" s="8"/>
      <c r="G932" s="8"/>
      <c r="H932" s="8"/>
      <c r="I932" s="8"/>
      <c r="J932" s="8"/>
      <c r="K932" s="8"/>
      <c r="L932" s="8"/>
      <c r="M932" s="8"/>
      <c r="N932" s="8"/>
    </row>
    <row r="933" spans="6:14" s="14" customFormat="1" ht="14.25" customHeight="1">
      <c r="F933" s="8"/>
      <c r="G933" s="8"/>
      <c r="H933" s="8"/>
      <c r="I933" s="8"/>
      <c r="J933" s="8"/>
      <c r="K933" s="8"/>
      <c r="L933" s="8"/>
      <c r="M933" s="8"/>
      <c r="N933" s="8"/>
    </row>
    <row r="934" spans="6:14" s="14" customFormat="1" ht="14.25" customHeight="1">
      <c r="F934" s="8"/>
      <c r="G934" s="8"/>
      <c r="H934" s="8"/>
      <c r="I934" s="8"/>
      <c r="J934" s="8"/>
      <c r="K934" s="8"/>
      <c r="L934" s="8"/>
      <c r="M934" s="8"/>
      <c r="N934" s="8"/>
    </row>
    <row r="935" spans="6:14" s="14" customFormat="1" ht="14.25" customHeight="1">
      <c r="F935" s="8"/>
      <c r="G935" s="8"/>
      <c r="H935" s="8"/>
      <c r="I935" s="8"/>
      <c r="J935" s="8"/>
      <c r="K935" s="8"/>
      <c r="L935" s="8"/>
      <c r="M935" s="8"/>
      <c r="N935" s="8"/>
    </row>
    <row r="936" spans="6:14" s="14" customFormat="1" ht="14.25" customHeight="1">
      <c r="F936" s="8"/>
      <c r="G936" s="8"/>
      <c r="H936" s="8"/>
      <c r="I936" s="8"/>
      <c r="J936" s="8"/>
      <c r="K936" s="8"/>
      <c r="L936" s="8"/>
      <c r="M936" s="8"/>
      <c r="N936" s="8"/>
    </row>
    <row r="937" spans="6:14" s="14" customFormat="1" ht="14.25" customHeight="1">
      <c r="F937" s="8"/>
      <c r="G937" s="8"/>
      <c r="H937" s="8"/>
      <c r="I937" s="8"/>
      <c r="J937" s="8"/>
      <c r="K937" s="8"/>
      <c r="L937" s="8"/>
      <c r="M937" s="8"/>
      <c r="N937" s="8"/>
    </row>
    <row r="938" spans="6:14" s="14" customFormat="1" ht="14.25" customHeight="1">
      <c r="F938" s="8"/>
      <c r="G938" s="8"/>
      <c r="H938" s="8"/>
      <c r="I938" s="8"/>
      <c r="J938" s="8"/>
      <c r="K938" s="8"/>
      <c r="L938" s="8"/>
      <c r="M938" s="8"/>
      <c r="N938" s="8"/>
    </row>
    <row r="939" spans="6:14" s="14" customFormat="1" ht="14.25" customHeight="1">
      <c r="F939" s="8"/>
      <c r="G939" s="8"/>
      <c r="H939" s="8"/>
      <c r="I939" s="8"/>
      <c r="J939" s="8"/>
      <c r="K939" s="8"/>
      <c r="L939" s="8"/>
      <c r="M939" s="8"/>
      <c r="N939" s="8"/>
    </row>
    <row r="940" spans="6:14" s="14" customFormat="1" ht="14.25" customHeight="1">
      <c r="F940" s="8"/>
      <c r="G940" s="8"/>
      <c r="H940" s="8"/>
      <c r="I940" s="8"/>
      <c r="J940" s="8"/>
      <c r="K940" s="8"/>
      <c r="L940" s="8"/>
      <c r="M940" s="8"/>
      <c r="N940" s="8"/>
    </row>
    <row r="941" spans="6:14" s="14" customFormat="1" ht="14.25" customHeight="1">
      <c r="F941" s="8"/>
      <c r="G941" s="8"/>
      <c r="H941" s="8"/>
      <c r="I941" s="8"/>
      <c r="J941" s="8"/>
      <c r="K941" s="8"/>
      <c r="L941" s="8"/>
      <c r="M941" s="8"/>
      <c r="N941" s="8"/>
    </row>
    <row r="942" spans="6:14" s="14" customFormat="1" ht="14.25" customHeight="1">
      <c r="F942" s="8"/>
      <c r="G942" s="8"/>
      <c r="H942" s="8"/>
      <c r="I942" s="8"/>
      <c r="J942" s="8"/>
      <c r="K942" s="8"/>
      <c r="L942" s="8"/>
      <c r="M942" s="8"/>
      <c r="N942" s="8"/>
    </row>
    <row r="943" spans="6:14" s="14" customFormat="1" ht="14.25" customHeight="1">
      <c r="F943" s="8"/>
      <c r="G943" s="8"/>
      <c r="H943" s="8"/>
      <c r="I943" s="8"/>
      <c r="J943" s="8"/>
      <c r="K943" s="8"/>
      <c r="L943" s="8"/>
      <c r="M943" s="8"/>
      <c r="N943" s="8"/>
    </row>
    <row r="944" spans="6:14" s="14" customFormat="1" ht="14.25" customHeight="1">
      <c r="F944" s="8"/>
      <c r="G944" s="8"/>
      <c r="H944" s="8"/>
      <c r="I944" s="8"/>
      <c r="J944" s="8"/>
      <c r="K944" s="8"/>
      <c r="L944" s="8"/>
      <c r="M944" s="8"/>
      <c r="N944" s="8"/>
    </row>
    <row r="945" spans="6:14" s="14" customFormat="1" ht="14.25" customHeight="1">
      <c r="F945" s="8"/>
      <c r="G945" s="8"/>
      <c r="H945" s="8"/>
      <c r="I945" s="8"/>
      <c r="J945" s="8"/>
      <c r="K945" s="8"/>
      <c r="L945" s="8"/>
      <c r="M945" s="8"/>
      <c r="N945" s="8"/>
    </row>
    <row r="946" spans="6:14" s="14" customFormat="1" ht="14.25" customHeight="1">
      <c r="F946" s="8"/>
      <c r="G946" s="8"/>
      <c r="H946" s="8"/>
      <c r="I946" s="8"/>
      <c r="J946" s="8"/>
      <c r="K946" s="8"/>
      <c r="L946" s="8"/>
      <c r="M946" s="8"/>
      <c r="N946" s="8"/>
    </row>
    <row r="947" spans="6:14" s="14" customFormat="1" ht="14.25" customHeight="1">
      <c r="F947" s="8"/>
      <c r="G947" s="8"/>
      <c r="H947" s="8"/>
      <c r="I947" s="8"/>
      <c r="J947" s="8"/>
      <c r="K947" s="8"/>
      <c r="L947" s="8"/>
      <c r="M947" s="8"/>
      <c r="N947" s="8"/>
    </row>
    <row r="948" spans="6:14" s="14" customFormat="1" ht="14.25" customHeight="1">
      <c r="F948" s="8"/>
      <c r="G948" s="8"/>
      <c r="H948" s="8"/>
      <c r="I948" s="8"/>
      <c r="J948" s="8"/>
      <c r="K948" s="8"/>
      <c r="L948" s="8"/>
      <c r="M948" s="8"/>
      <c r="N948" s="8"/>
    </row>
    <row r="949" spans="6:14" s="14" customFormat="1" ht="14.25" customHeight="1">
      <c r="F949" s="8"/>
      <c r="G949" s="8"/>
      <c r="H949" s="8"/>
      <c r="I949" s="8"/>
      <c r="J949" s="8"/>
      <c r="K949" s="8"/>
      <c r="L949" s="8"/>
      <c r="M949" s="8"/>
      <c r="N949" s="8"/>
    </row>
    <row r="950" spans="6:14" s="14" customFormat="1" ht="14.25" customHeight="1">
      <c r="F950" s="8"/>
      <c r="G950" s="8"/>
      <c r="H950" s="8"/>
      <c r="I950" s="8"/>
      <c r="J950" s="8"/>
      <c r="K950" s="8"/>
      <c r="L950" s="8"/>
      <c r="M950" s="8"/>
      <c r="N950" s="8"/>
    </row>
    <row r="951" spans="6:14" s="14" customFormat="1" ht="14.25" customHeight="1">
      <c r="F951" s="8"/>
      <c r="G951" s="8"/>
      <c r="H951" s="8"/>
      <c r="I951" s="8"/>
      <c r="J951" s="8"/>
      <c r="K951" s="8"/>
      <c r="L951" s="8"/>
      <c r="M951" s="8"/>
      <c r="N951" s="8"/>
    </row>
    <row r="952" spans="6:14" s="14" customFormat="1" ht="14.25" customHeight="1">
      <c r="F952" s="8"/>
      <c r="G952" s="8"/>
      <c r="H952" s="8"/>
      <c r="I952" s="8"/>
      <c r="J952" s="8"/>
      <c r="K952" s="8"/>
      <c r="L952" s="8"/>
      <c r="M952" s="8"/>
      <c r="N952" s="8"/>
    </row>
    <row r="953" spans="6:14" s="14" customFormat="1" ht="14.25" customHeight="1">
      <c r="F953" s="8"/>
      <c r="G953" s="8"/>
      <c r="H953" s="8"/>
      <c r="I953" s="8"/>
      <c r="J953" s="8"/>
      <c r="K953" s="8"/>
      <c r="L953" s="8"/>
      <c r="M953" s="8"/>
      <c r="N953" s="8"/>
    </row>
    <row r="954" spans="6:14" s="14" customFormat="1" ht="14.25" customHeight="1">
      <c r="F954" s="8"/>
      <c r="G954" s="8"/>
      <c r="H954" s="8"/>
      <c r="I954" s="8"/>
      <c r="J954" s="8"/>
      <c r="K954" s="8"/>
      <c r="L954" s="8"/>
      <c r="M954" s="8"/>
      <c r="N954" s="8"/>
    </row>
    <row r="955" spans="6:14" s="14" customFormat="1" ht="14.25" customHeight="1">
      <c r="F955" s="8"/>
      <c r="G955" s="8"/>
      <c r="H955" s="8"/>
      <c r="I955" s="8"/>
      <c r="J955" s="8"/>
      <c r="K955" s="8"/>
      <c r="L955" s="8"/>
      <c r="M955" s="8"/>
      <c r="N955" s="8"/>
    </row>
    <row r="956" spans="6:14" s="14" customFormat="1" ht="14.25" customHeight="1">
      <c r="F956" s="8"/>
      <c r="G956" s="8"/>
      <c r="H956" s="8"/>
      <c r="I956" s="8"/>
      <c r="J956" s="8"/>
      <c r="K956" s="8"/>
      <c r="L956" s="8"/>
      <c r="M956" s="8"/>
      <c r="N956" s="8"/>
    </row>
    <row r="957" spans="6:14" s="14" customFormat="1" ht="14.25" customHeight="1">
      <c r="F957" s="8"/>
      <c r="G957" s="8"/>
      <c r="H957" s="8"/>
      <c r="I957" s="8"/>
      <c r="J957" s="8"/>
      <c r="K957" s="8"/>
      <c r="L957" s="8"/>
      <c r="M957" s="8"/>
      <c r="N957" s="8"/>
    </row>
    <row r="958" spans="6:14" s="14" customFormat="1" ht="14.25" customHeight="1">
      <c r="F958" s="8"/>
      <c r="G958" s="8"/>
      <c r="H958" s="8"/>
      <c r="I958" s="8"/>
      <c r="J958" s="8"/>
      <c r="K958" s="8"/>
      <c r="L958" s="8"/>
      <c r="M958" s="8"/>
      <c r="N958" s="8"/>
    </row>
    <row r="959" spans="6:14" s="14" customFormat="1" ht="14.25" customHeight="1">
      <c r="F959" s="8"/>
      <c r="G959" s="8"/>
      <c r="H959" s="8"/>
      <c r="I959" s="8"/>
      <c r="J959" s="8"/>
      <c r="K959" s="8"/>
      <c r="L959" s="8"/>
      <c r="M959" s="8"/>
      <c r="N959" s="8"/>
    </row>
    <row r="960" spans="6:14" s="14" customFormat="1" ht="14.25" customHeight="1">
      <c r="F960" s="8"/>
      <c r="G960" s="8"/>
      <c r="H960" s="8"/>
      <c r="I960" s="8"/>
      <c r="J960" s="8"/>
      <c r="K960" s="8"/>
      <c r="L960" s="8"/>
      <c r="M960" s="8"/>
      <c r="N960" s="8"/>
    </row>
    <row r="961" spans="6:14" s="14" customFormat="1" ht="14.25" customHeight="1">
      <c r="F961" s="8"/>
      <c r="G961" s="8"/>
      <c r="H961" s="8"/>
      <c r="I961" s="8"/>
      <c r="J961" s="8"/>
      <c r="K961" s="8"/>
      <c r="L961" s="8"/>
      <c r="M961" s="8"/>
      <c r="N961" s="8"/>
    </row>
    <row r="962" spans="6:14" s="14" customFormat="1" ht="14.25" customHeight="1">
      <c r="F962" s="8"/>
      <c r="G962" s="8"/>
      <c r="H962" s="8"/>
      <c r="I962" s="8"/>
      <c r="J962" s="8"/>
      <c r="K962" s="8"/>
      <c r="L962" s="8"/>
      <c r="M962" s="8"/>
      <c r="N962" s="8"/>
    </row>
    <row r="963" spans="6:14" s="14" customFormat="1" ht="14.25" customHeight="1">
      <c r="F963" s="8"/>
      <c r="G963" s="8"/>
      <c r="H963" s="8"/>
      <c r="I963" s="8"/>
      <c r="J963" s="8"/>
      <c r="K963" s="8"/>
      <c r="L963" s="8"/>
      <c r="M963" s="8"/>
      <c r="N963" s="8"/>
    </row>
    <row r="964" spans="6:14" s="14" customFormat="1" ht="14.25" customHeight="1">
      <c r="F964" s="8"/>
      <c r="G964" s="8"/>
      <c r="H964" s="8"/>
      <c r="I964" s="8"/>
      <c r="J964" s="8"/>
      <c r="K964" s="8"/>
      <c r="L964" s="8"/>
      <c r="M964" s="8"/>
      <c r="N964" s="8"/>
    </row>
    <row r="965" spans="6:14" s="14" customFormat="1" ht="14.25" customHeight="1">
      <c r="F965" s="8"/>
      <c r="G965" s="8"/>
      <c r="H965" s="8"/>
      <c r="I965" s="8"/>
      <c r="J965" s="8"/>
      <c r="K965" s="8"/>
      <c r="L965" s="8"/>
      <c r="M965" s="8"/>
      <c r="N965" s="8"/>
    </row>
    <row r="966" spans="6:14" s="14" customFormat="1" ht="14.25" customHeight="1">
      <c r="F966" s="8"/>
      <c r="G966" s="8"/>
      <c r="H966" s="8"/>
      <c r="I966" s="8"/>
      <c r="J966" s="8"/>
      <c r="K966" s="8"/>
      <c r="L966" s="8"/>
      <c r="M966" s="8"/>
      <c r="N966" s="8"/>
    </row>
    <row r="967" spans="6:14" s="14" customFormat="1" ht="14.25" customHeight="1">
      <c r="F967" s="8"/>
      <c r="G967" s="8"/>
      <c r="H967" s="8"/>
      <c r="I967" s="8"/>
      <c r="J967" s="8"/>
      <c r="K967" s="8"/>
      <c r="L967" s="8"/>
      <c r="M967" s="8"/>
      <c r="N967" s="8"/>
    </row>
    <row r="968" spans="6:14" s="14" customFormat="1" ht="14.25" customHeight="1">
      <c r="F968" s="8"/>
      <c r="G968" s="8"/>
      <c r="H968" s="8"/>
      <c r="I968" s="8"/>
      <c r="J968" s="8"/>
      <c r="K968" s="8"/>
      <c r="L968" s="8"/>
      <c r="M968" s="8"/>
      <c r="N968" s="8"/>
    </row>
    <row r="969" spans="6:14" s="14" customFormat="1" ht="14.25" customHeight="1">
      <c r="F969" s="8"/>
      <c r="G969" s="8"/>
      <c r="H969" s="8"/>
      <c r="I969" s="8"/>
      <c r="J969" s="8"/>
      <c r="K969" s="8"/>
      <c r="L969" s="8"/>
      <c r="M969" s="8"/>
      <c r="N969" s="8"/>
    </row>
    <row r="970" spans="6:14" s="14" customFormat="1" ht="14.25" customHeight="1">
      <c r="F970" s="8"/>
      <c r="G970" s="8"/>
      <c r="H970" s="8"/>
      <c r="I970" s="8"/>
      <c r="J970" s="8"/>
      <c r="K970" s="8"/>
      <c r="L970" s="8"/>
      <c r="M970" s="8"/>
      <c r="N970" s="8"/>
    </row>
    <row r="971" spans="6:14" s="14" customFormat="1" ht="14.25" customHeight="1">
      <c r="F971" s="8"/>
      <c r="G971" s="8"/>
      <c r="H971" s="8"/>
      <c r="I971" s="8"/>
      <c r="J971" s="8"/>
      <c r="K971" s="8"/>
      <c r="L971" s="8"/>
      <c r="M971" s="8"/>
      <c r="N971" s="8"/>
    </row>
    <row r="972" spans="6:14" s="14" customFormat="1" ht="14.25" customHeight="1">
      <c r="F972" s="8"/>
      <c r="G972" s="8"/>
      <c r="H972" s="8"/>
      <c r="I972" s="8"/>
      <c r="J972" s="8"/>
      <c r="K972" s="8"/>
      <c r="L972" s="8"/>
      <c r="M972" s="8"/>
      <c r="N972" s="8"/>
    </row>
    <row r="973" spans="6:14" s="14" customFormat="1" ht="14.25" customHeight="1">
      <c r="F973" s="8"/>
      <c r="G973" s="8"/>
      <c r="H973" s="8"/>
      <c r="I973" s="8"/>
      <c r="J973" s="8"/>
      <c r="K973" s="8"/>
      <c r="L973" s="8"/>
      <c r="M973" s="8"/>
      <c r="N973" s="8"/>
    </row>
    <row r="974" spans="6:14" s="14" customFormat="1" ht="14.25" customHeight="1">
      <c r="F974" s="8"/>
      <c r="G974" s="8"/>
      <c r="H974" s="8"/>
      <c r="I974" s="8"/>
      <c r="J974" s="8"/>
      <c r="K974" s="8"/>
      <c r="L974" s="8"/>
      <c r="M974" s="8"/>
      <c r="N974" s="8"/>
    </row>
    <row r="975" spans="6:14" s="14" customFormat="1" ht="14.25" customHeight="1">
      <c r="F975" s="8"/>
      <c r="G975" s="8"/>
      <c r="H975" s="8"/>
      <c r="I975" s="8"/>
      <c r="J975" s="8"/>
      <c r="K975" s="8"/>
      <c r="L975" s="8"/>
      <c r="M975" s="8"/>
      <c r="N975" s="8"/>
    </row>
    <row r="976" spans="6:14" s="14" customFormat="1" ht="14.25" customHeight="1">
      <c r="F976" s="8"/>
      <c r="G976" s="8"/>
      <c r="H976" s="8"/>
      <c r="I976" s="8"/>
      <c r="J976" s="8"/>
      <c r="K976" s="8"/>
      <c r="L976" s="8"/>
      <c r="M976" s="8"/>
      <c r="N976" s="8"/>
    </row>
    <row r="977" spans="6:14" s="14" customFormat="1" ht="14.25" customHeight="1">
      <c r="F977" s="8"/>
      <c r="G977" s="8"/>
      <c r="H977" s="8"/>
      <c r="I977" s="8"/>
      <c r="J977" s="8"/>
      <c r="K977" s="8"/>
      <c r="L977" s="8"/>
      <c r="M977" s="8"/>
      <c r="N977" s="8"/>
    </row>
    <row r="978" spans="6:14" s="14" customFormat="1" ht="14.25" customHeight="1">
      <c r="F978" s="8"/>
      <c r="G978" s="8"/>
      <c r="H978" s="8"/>
      <c r="I978" s="8"/>
      <c r="J978" s="8"/>
      <c r="K978" s="8"/>
      <c r="L978" s="8"/>
      <c r="M978" s="8"/>
      <c r="N978" s="8"/>
    </row>
    <row r="979" spans="6:14" s="14" customFormat="1" ht="14.25" customHeight="1">
      <c r="F979" s="8"/>
      <c r="G979" s="8"/>
      <c r="H979" s="8"/>
      <c r="I979" s="8"/>
      <c r="J979" s="8"/>
      <c r="K979" s="8"/>
      <c r="L979" s="8"/>
      <c r="M979" s="8"/>
      <c r="N979" s="8"/>
    </row>
    <row r="980" spans="6:14" s="14" customFormat="1" ht="14.25" customHeight="1">
      <c r="F980" s="8"/>
      <c r="G980" s="8"/>
      <c r="H980" s="8"/>
      <c r="I980" s="8"/>
      <c r="J980" s="8"/>
      <c r="K980" s="8"/>
      <c r="L980" s="8"/>
      <c r="M980" s="8"/>
      <c r="N980" s="8"/>
    </row>
    <row r="981" spans="6:14" s="14" customFormat="1" ht="14.25" customHeight="1">
      <c r="F981" s="8"/>
      <c r="G981" s="8"/>
      <c r="H981" s="8"/>
      <c r="I981" s="8"/>
      <c r="J981" s="8"/>
      <c r="K981" s="8"/>
      <c r="L981" s="8"/>
      <c r="M981" s="8"/>
      <c r="N981" s="8"/>
    </row>
    <row r="982" spans="6:14" s="14" customFormat="1" ht="14.25" customHeight="1">
      <c r="F982" s="8"/>
      <c r="G982" s="8"/>
      <c r="H982" s="8"/>
      <c r="I982" s="8"/>
      <c r="J982" s="8"/>
      <c r="K982" s="8"/>
      <c r="L982" s="8"/>
      <c r="M982" s="8"/>
      <c r="N982" s="8"/>
    </row>
    <row r="983" spans="6:14" s="14" customFormat="1" ht="14.25" customHeight="1">
      <c r="F983" s="8"/>
      <c r="G983" s="8"/>
      <c r="H983" s="8"/>
      <c r="I983" s="8"/>
      <c r="J983" s="8"/>
      <c r="K983" s="8"/>
      <c r="L983" s="8"/>
      <c r="M983" s="8"/>
      <c r="N983" s="8"/>
    </row>
    <row r="984" spans="6:14" s="14" customFormat="1" ht="14.25" customHeight="1">
      <c r="F984" s="8"/>
      <c r="G984" s="8"/>
      <c r="H984" s="8"/>
      <c r="I984" s="8"/>
      <c r="J984" s="8"/>
      <c r="K984" s="8"/>
      <c r="L984" s="8"/>
      <c r="M984" s="8"/>
      <c r="N984" s="8"/>
    </row>
    <row r="985" spans="6:14" s="14" customFormat="1" ht="14.25" customHeight="1">
      <c r="F985" s="8"/>
      <c r="G985" s="8"/>
      <c r="H985" s="8"/>
      <c r="I985" s="8"/>
      <c r="J985" s="8"/>
      <c r="K985" s="8"/>
      <c r="L985" s="8"/>
      <c r="M985" s="8"/>
      <c r="N985" s="8"/>
    </row>
    <row r="986" spans="6:14" s="14" customFormat="1" ht="14.25" customHeight="1">
      <c r="F986" s="8"/>
      <c r="G986" s="8"/>
      <c r="H986" s="8"/>
      <c r="I986" s="8"/>
      <c r="J986" s="8"/>
      <c r="K986" s="8"/>
      <c r="L986" s="8"/>
      <c r="M986" s="8"/>
      <c r="N986" s="8"/>
    </row>
    <row r="987" spans="6:14" s="14" customFormat="1" ht="14.25" customHeight="1">
      <c r="F987" s="8"/>
      <c r="G987" s="8"/>
      <c r="H987" s="8"/>
      <c r="I987" s="8"/>
      <c r="J987" s="8"/>
      <c r="K987" s="8"/>
      <c r="L987" s="8"/>
      <c r="M987" s="8"/>
      <c r="N987" s="8"/>
    </row>
    <row r="988" spans="6:14" s="14" customFormat="1" ht="14.25" customHeight="1">
      <c r="F988" s="8"/>
      <c r="G988" s="8"/>
      <c r="H988" s="8"/>
      <c r="I988" s="8"/>
      <c r="J988" s="8"/>
      <c r="K988" s="8"/>
      <c r="L988" s="8"/>
      <c r="M988" s="8"/>
      <c r="N988" s="8"/>
    </row>
    <row r="989" spans="6:14" s="14" customFormat="1" ht="14.25" customHeight="1">
      <c r="F989" s="8"/>
      <c r="G989" s="8"/>
      <c r="H989" s="8"/>
      <c r="I989" s="8"/>
      <c r="J989" s="8"/>
      <c r="K989" s="8"/>
      <c r="L989" s="8"/>
      <c r="M989" s="8"/>
      <c r="N989" s="8"/>
    </row>
    <row r="990" spans="6:14" s="14" customFormat="1" ht="14.25" customHeight="1">
      <c r="F990" s="8"/>
      <c r="G990" s="8"/>
      <c r="H990" s="8"/>
      <c r="I990" s="8"/>
      <c r="J990" s="8"/>
      <c r="K990" s="8"/>
      <c r="L990" s="8"/>
      <c r="M990" s="8"/>
      <c r="N990" s="8"/>
    </row>
    <row r="991" spans="6:14" s="14" customFormat="1" ht="14.25" customHeight="1">
      <c r="F991" s="8"/>
      <c r="G991" s="8"/>
      <c r="H991" s="8"/>
      <c r="I991" s="8"/>
      <c r="J991" s="8"/>
      <c r="K991" s="8"/>
      <c r="L991" s="8"/>
      <c r="M991" s="8"/>
      <c r="N991" s="8"/>
    </row>
    <row r="992" spans="6:14" s="14" customFormat="1" ht="14.25" customHeight="1">
      <c r="F992" s="8"/>
      <c r="G992" s="8"/>
      <c r="H992" s="8"/>
      <c r="I992" s="8"/>
      <c r="J992" s="8"/>
      <c r="K992" s="8"/>
      <c r="L992" s="8"/>
      <c r="M992" s="8"/>
      <c r="N992" s="8"/>
    </row>
    <row r="993" spans="6:14" s="14" customFormat="1" ht="14.25" customHeight="1">
      <c r="F993" s="8"/>
      <c r="G993" s="8"/>
      <c r="H993" s="8"/>
      <c r="I993" s="8"/>
      <c r="J993" s="8"/>
      <c r="K993" s="8"/>
      <c r="L993" s="8"/>
      <c r="M993" s="8"/>
      <c r="N993" s="8"/>
    </row>
    <row r="994" spans="6:14" s="14" customFormat="1" ht="14.25" customHeight="1">
      <c r="F994" s="8"/>
      <c r="G994" s="8"/>
      <c r="H994" s="8"/>
      <c r="I994" s="8"/>
      <c r="J994" s="8"/>
      <c r="K994" s="8"/>
      <c r="L994" s="8"/>
      <c r="M994" s="8"/>
      <c r="N994" s="8"/>
    </row>
    <row r="995" spans="6:14" s="14" customFormat="1" ht="14.25" customHeight="1">
      <c r="F995" s="8"/>
      <c r="G995" s="8"/>
      <c r="H995" s="8"/>
      <c r="I995" s="8"/>
      <c r="J995" s="8"/>
      <c r="K995" s="8"/>
      <c r="L995" s="8"/>
      <c r="M995" s="8"/>
      <c r="N995" s="8"/>
    </row>
    <row r="996" spans="6:14" s="14" customFormat="1" ht="14.25" customHeight="1">
      <c r="F996" s="8"/>
      <c r="G996" s="8"/>
      <c r="H996" s="8"/>
      <c r="I996" s="8"/>
      <c r="J996" s="8"/>
      <c r="K996" s="8"/>
      <c r="L996" s="8"/>
      <c r="M996" s="8"/>
      <c r="N996" s="8"/>
    </row>
    <row r="997" spans="6:14" s="14" customFormat="1" ht="14.25" customHeight="1">
      <c r="F997" s="8"/>
      <c r="G997" s="8"/>
      <c r="H997" s="8"/>
      <c r="I997" s="8"/>
      <c r="J997" s="8"/>
      <c r="K997" s="8"/>
      <c r="L997" s="8"/>
      <c r="M997" s="8"/>
      <c r="N997" s="8"/>
    </row>
    <row r="998" spans="6:14" s="14" customFormat="1" ht="14.25" customHeight="1">
      <c r="F998" s="8"/>
      <c r="G998" s="8"/>
      <c r="H998" s="8"/>
      <c r="I998" s="8"/>
      <c r="J998" s="8"/>
      <c r="K998" s="8"/>
      <c r="L998" s="8"/>
      <c r="M998" s="8"/>
      <c r="N998" s="8"/>
    </row>
    <row r="999" spans="6:14" s="14" customFormat="1" ht="14.25" customHeight="1">
      <c r="F999" s="8"/>
      <c r="G999" s="8"/>
      <c r="H999" s="8"/>
      <c r="I999" s="8"/>
      <c r="J999" s="8"/>
      <c r="K999" s="8"/>
      <c r="L999" s="8"/>
      <c r="M999" s="8"/>
      <c r="N999" s="8"/>
    </row>
    <row r="1000" spans="6:14" s="14" customFormat="1" ht="14.25" customHeight="1">
      <c r="F1000" s="8"/>
      <c r="G1000" s="8"/>
      <c r="H1000" s="8"/>
      <c r="I1000" s="8"/>
      <c r="J1000" s="8"/>
      <c r="K1000" s="8"/>
      <c r="L1000" s="8"/>
      <c r="M1000" s="8"/>
      <c r="N1000" s="8"/>
    </row>
    <row r="1001" spans="6:14" s="14" customFormat="1" ht="14.25" customHeight="1">
      <c r="F1001" s="8"/>
      <c r="G1001" s="8"/>
      <c r="H1001" s="8"/>
      <c r="I1001" s="8"/>
      <c r="J1001" s="8"/>
      <c r="K1001" s="8"/>
      <c r="L1001" s="8"/>
      <c r="M1001" s="8"/>
      <c r="N1001" s="8"/>
    </row>
    <row r="1002" spans="6:14" s="14" customFormat="1" ht="14.25" customHeight="1">
      <c r="F1002" s="8"/>
      <c r="G1002" s="8"/>
      <c r="H1002" s="8"/>
      <c r="I1002" s="8"/>
      <c r="J1002" s="8"/>
      <c r="K1002" s="8"/>
      <c r="L1002" s="8"/>
      <c r="M1002" s="8"/>
      <c r="N1002" s="8"/>
    </row>
    <row r="1003" spans="6:14" s="14" customFormat="1" ht="14.25" customHeight="1">
      <c r="F1003" s="8"/>
      <c r="G1003" s="8"/>
      <c r="H1003" s="8"/>
      <c r="I1003" s="8"/>
      <c r="J1003" s="8"/>
      <c r="K1003" s="8"/>
      <c r="L1003" s="8"/>
      <c r="M1003" s="8"/>
      <c r="N1003" s="8"/>
    </row>
    <row r="1004" spans="6:14" s="14" customFormat="1" ht="14.25" customHeight="1">
      <c r="F1004" s="8"/>
      <c r="G1004" s="8"/>
      <c r="H1004" s="8"/>
      <c r="I1004" s="8"/>
      <c r="J1004" s="8"/>
      <c r="K1004" s="8"/>
      <c r="L1004" s="8"/>
      <c r="M1004" s="8"/>
      <c r="N1004" s="8"/>
    </row>
    <row r="1005" spans="6:14" s="14" customFormat="1" ht="14.25" customHeight="1">
      <c r="F1005" s="8"/>
      <c r="G1005" s="8"/>
      <c r="H1005" s="8"/>
      <c r="I1005" s="8"/>
      <c r="J1005" s="8"/>
      <c r="K1005" s="8"/>
      <c r="L1005" s="8"/>
      <c r="M1005" s="8"/>
      <c r="N1005" s="8"/>
    </row>
    <row r="1006" spans="6:14" s="14" customFormat="1" ht="14.25" customHeight="1">
      <c r="F1006" s="8"/>
      <c r="G1006" s="8"/>
      <c r="H1006" s="8"/>
      <c r="I1006" s="8"/>
      <c r="J1006" s="8"/>
      <c r="K1006" s="8"/>
      <c r="L1006" s="8"/>
      <c r="M1006" s="8"/>
      <c r="N1006" s="8"/>
    </row>
    <row r="1007" spans="6:14" s="14" customFormat="1" ht="14.25" customHeight="1">
      <c r="F1007" s="8"/>
      <c r="G1007" s="8"/>
      <c r="H1007" s="8"/>
      <c r="I1007" s="8"/>
      <c r="J1007" s="8"/>
      <c r="K1007" s="8"/>
      <c r="L1007" s="8"/>
      <c r="M1007" s="8"/>
      <c r="N1007" s="8"/>
    </row>
    <row r="1008" spans="6:14" s="14" customFormat="1" ht="14.25" customHeight="1">
      <c r="F1008" s="8"/>
      <c r="G1008" s="8"/>
      <c r="H1008" s="8"/>
      <c r="I1008" s="8"/>
      <c r="J1008" s="8"/>
      <c r="K1008" s="8"/>
      <c r="L1008" s="8"/>
      <c r="M1008" s="8"/>
      <c r="N1008" s="8"/>
    </row>
    <row r="1009" spans="6:14" s="14" customFormat="1" ht="14.25" customHeight="1">
      <c r="F1009" s="8"/>
      <c r="G1009" s="8"/>
      <c r="H1009" s="8"/>
      <c r="I1009" s="8"/>
      <c r="J1009" s="8"/>
      <c r="K1009" s="8"/>
      <c r="L1009" s="8"/>
      <c r="M1009" s="8"/>
      <c r="N1009" s="8"/>
    </row>
    <row r="1010" spans="6:14" s="14" customFormat="1" ht="14.25" customHeight="1">
      <c r="F1010" s="8"/>
      <c r="G1010" s="8"/>
      <c r="H1010" s="8"/>
      <c r="I1010" s="8"/>
      <c r="J1010" s="8"/>
      <c r="K1010" s="8"/>
      <c r="L1010" s="8"/>
      <c r="M1010" s="8"/>
      <c r="N1010" s="8"/>
    </row>
    <row r="1011" spans="6:14" s="14" customFormat="1" ht="14.25" customHeight="1">
      <c r="F1011" s="8"/>
      <c r="G1011" s="8"/>
      <c r="H1011" s="8"/>
      <c r="I1011" s="8"/>
      <c r="J1011" s="8"/>
      <c r="K1011" s="8"/>
      <c r="L1011" s="8"/>
      <c r="M1011" s="8"/>
      <c r="N1011" s="8"/>
    </row>
    <row r="1012" spans="6:14" s="14" customFormat="1" ht="14.25" customHeight="1">
      <c r="F1012" s="8"/>
      <c r="G1012" s="8"/>
      <c r="H1012" s="8"/>
      <c r="I1012" s="8"/>
      <c r="J1012" s="8"/>
      <c r="K1012" s="8"/>
      <c r="L1012" s="8"/>
      <c r="M1012" s="8"/>
      <c r="N1012" s="8"/>
    </row>
    <row r="1013" spans="6:14" s="14" customFormat="1" ht="14.25" customHeight="1">
      <c r="F1013" s="8"/>
      <c r="G1013" s="8"/>
      <c r="H1013" s="8"/>
      <c r="I1013" s="8"/>
      <c r="J1013" s="8"/>
      <c r="K1013" s="8"/>
      <c r="L1013" s="8"/>
      <c r="M1013" s="8"/>
      <c r="N1013" s="8"/>
    </row>
  </sheetData>
  <mergeCells count="29">
    <mergeCell ref="E99:M99"/>
    <mergeCell ref="P34:P35"/>
    <mergeCell ref="H53:H54"/>
    <mergeCell ref="E93:M93"/>
    <mergeCell ref="E96:M96"/>
    <mergeCell ref="E98:M98"/>
    <mergeCell ref="K34:K35"/>
    <mergeCell ref="L34:L35"/>
    <mergeCell ref="M34:M35"/>
    <mergeCell ref="N34:N35"/>
    <mergeCell ref="O34:O35"/>
    <mergeCell ref="F34:F35"/>
    <mergeCell ref="G34:G35"/>
    <mergeCell ref="H34:H35"/>
    <mergeCell ref="I34:I35"/>
    <mergeCell ref="J34:J35"/>
    <mergeCell ref="A1:P1"/>
    <mergeCell ref="A2:P2"/>
    <mergeCell ref="A3:P3"/>
    <mergeCell ref="B5:E6"/>
    <mergeCell ref="F5:H5"/>
    <mergeCell ref="I5:I6"/>
    <mergeCell ref="J5:J6"/>
    <mergeCell ref="K5:K6"/>
    <mergeCell ref="L5:L6"/>
    <mergeCell ref="M5:M6"/>
    <mergeCell ref="N5:N6"/>
    <mergeCell ref="O5:O6"/>
    <mergeCell ref="P5:P6"/>
  </mergeCells>
  <printOptions horizontalCentered="1"/>
  <pageMargins left="0.23622047244094491" right="0.19685039370078741" top="0.31496062992125984" bottom="0.19685039370078741" header="0.55118110236220474" footer="0.19685039370078741"/>
  <pageSetup paperSize="9" scale="7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1013"/>
  <sheetViews>
    <sheetView showGridLines="0" view="pageBreakPreview" zoomScale="85" zoomScaleNormal="90" zoomScaleSheetLayoutView="85" workbookViewId="0">
      <pane ySplit="6" topLeftCell="A67" activePane="bottomLeft" state="frozen"/>
      <selection pane="bottomLeft" activeCell="N64" sqref="N64"/>
    </sheetView>
  </sheetViews>
  <sheetFormatPr defaultColWidth="12.5703125" defaultRowHeight="21"/>
  <cols>
    <col min="1" max="1" width="1.42578125" style="3" customWidth="1"/>
    <col min="2" max="4" width="1.85546875" style="3" customWidth="1"/>
    <col min="5" max="5" width="53.7109375" style="3" customWidth="1"/>
    <col min="6" max="8" width="17.42578125" style="15" customWidth="1"/>
    <col min="9" max="10" width="15.5703125" style="15" hidden="1" customWidth="1"/>
    <col min="11" max="11" width="7.7109375" style="15" hidden="1" customWidth="1"/>
    <col min="12" max="12" width="23.140625" style="15" bestFit="1" customWidth="1"/>
    <col min="13" max="13" width="11" style="15" hidden="1" customWidth="1"/>
    <col min="14" max="14" width="15.5703125" style="15" bestFit="1" customWidth="1"/>
    <col min="15" max="15" width="15.5703125" style="14" bestFit="1" customWidth="1"/>
    <col min="16" max="16" width="29.28515625" style="3" bestFit="1" customWidth="1"/>
    <col min="17" max="17" width="12.85546875" style="3" customWidth="1"/>
    <col min="18" max="18" width="29" style="3" customWidth="1"/>
    <col min="19" max="31" width="7.5703125" style="3" customWidth="1"/>
    <col min="32" max="260" width="12.5703125" style="3"/>
    <col min="261" max="261" width="2" style="3" customWidth="1"/>
    <col min="262" max="264" width="2.42578125" style="3" customWidth="1"/>
    <col min="265" max="265" width="65" style="3" customWidth="1"/>
    <col min="266" max="271" width="13.42578125" style="3" customWidth="1"/>
    <col min="272" max="272" width="20.42578125" style="3" customWidth="1"/>
    <col min="273" max="273" width="7.5703125" style="3" customWidth="1"/>
    <col min="274" max="274" width="14.42578125" style="3" bestFit="1" customWidth="1"/>
    <col min="275" max="287" width="7.5703125" style="3" customWidth="1"/>
    <col min="288" max="516" width="12.5703125" style="3"/>
    <col min="517" max="517" width="2" style="3" customWidth="1"/>
    <col min="518" max="520" width="2.42578125" style="3" customWidth="1"/>
    <col min="521" max="521" width="65" style="3" customWidth="1"/>
    <col min="522" max="527" width="13.42578125" style="3" customWidth="1"/>
    <col min="528" max="528" width="20.42578125" style="3" customWidth="1"/>
    <col min="529" max="529" width="7.5703125" style="3" customWidth="1"/>
    <col min="530" max="530" width="14.42578125" style="3" bestFit="1" customWidth="1"/>
    <col min="531" max="543" width="7.5703125" style="3" customWidth="1"/>
    <col min="544" max="772" width="12.5703125" style="3"/>
    <col min="773" max="773" width="2" style="3" customWidth="1"/>
    <col min="774" max="776" width="2.42578125" style="3" customWidth="1"/>
    <col min="777" max="777" width="65" style="3" customWidth="1"/>
    <col min="778" max="783" width="13.42578125" style="3" customWidth="1"/>
    <col min="784" max="784" width="20.42578125" style="3" customWidth="1"/>
    <col min="785" max="785" width="7.5703125" style="3" customWidth="1"/>
    <col min="786" max="786" width="14.42578125" style="3" bestFit="1" customWidth="1"/>
    <col min="787" max="799" width="7.5703125" style="3" customWidth="1"/>
    <col min="800" max="1028" width="12.5703125" style="3"/>
    <col min="1029" max="1029" width="2" style="3" customWidth="1"/>
    <col min="1030" max="1032" width="2.42578125" style="3" customWidth="1"/>
    <col min="1033" max="1033" width="65" style="3" customWidth="1"/>
    <col min="1034" max="1039" width="13.42578125" style="3" customWidth="1"/>
    <col min="1040" max="1040" width="20.42578125" style="3" customWidth="1"/>
    <col min="1041" max="1041" width="7.5703125" style="3" customWidth="1"/>
    <col min="1042" max="1042" width="14.42578125" style="3" bestFit="1" customWidth="1"/>
    <col min="1043" max="1055" width="7.5703125" style="3" customWidth="1"/>
    <col min="1056" max="1284" width="12.5703125" style="3"/>
    <col min="1285" max="1285" width="2" style="3" customWidth="1"/>
    <col min="1286" max="1288" width="2.42578125" style="3" customWidth="1"/>
    <col min="1289" max="1289" width="65" style="3" customWidth="1"/>
    <col min="1290" max="1295" width="13.42578125" style="3" customWidth="1"/>
    <col min="1296" max="1296" width="20.42578125" style="3" customWidth="1"/>
    <col min="1297" max="1297" width="7.5703125" style="3" customWidth="1"/>
    <col min="1298" max="1298" width="14.42578125" style="3" bestFit="1" customWidth="1"/>
    <col min="1299" max="1311" width="7.5703125" style="3" customWidth="1"/>
    <col min="1312" max="1540" width="12.5703125" style="3"/>
    <col min="1541" max="1541" width="2" style="3" customWidth="1"/>
    <col min="1542" max="1544" width="2.42578125" style="3" customWidth="1"/>
    <col min="1545" max="1545" width="65" style="3" customWidth="1"/>
    <col min="1546" max="1551" width="13.42578125" style="3" customWidth="1"/>
    <col min="1552" max="1552" width="20.42578125" style="3" customWidth="1"/>
    <col min="1553" max="1553" width="7.5703125" style="3" customWidth="1"/>
    <col min="1554" max="1554" width="14.42578125" style="3" bestFit="1" customWidth="1"/>
    <col min="1555" max="1567" width="7.5703125" style="3" customWidth="1"/>
    <col min="1568" max="1796" width="12.5703125" style="3"/>
    <col min="1797" max="1797" width="2" style="3" customWidth="1"/>
    <col min="1798" max="1800" width="2.42578125" style="3" customWidth="1"/>
    <col min="1801" max="1801" width="65" style="3" customWidth="1"/>
    <col min="1802" max="1807" width="13.42578125" style="3" customWidth="1"/>
    <col min="1808" max="1808" width="20.42578125" style="3" customWidth="1"/>
    <col min="1809" max="1809" width="7.5703125" style="3" customWidth="1"/>
    <col min="1810" max="1810" width="14.42578125" style="3" bestFit="1" customWidth="1"/>
    <col min="1811" max="1823" width="7.5703125" style="3" customWidth="1"/>
    <col min="1824" max="2052" width="12.5703125" style="3"/>
    <col min="2053" max="2053" width="2" style="3" customWidth="1"/>
    <col min="2054" max="2056" width="2.42578125" style="3" customWidth="1"/>
    <col min="2057" max="2057" width="65" style="3" customWidth="1"/>
    <col min="2058" max="2063" width="13.42578125" style="3" customWidth="1"/>
    <col min="2064" max="2064" width="20.42578125" style="3" customWidth="1"/>
    <col min="2065" max="2065" width="7.5703125" style="3" customWidth="1"/>
    <col min="2066" max="2066" width="14.42578125" style="3" bestFit="1" customWidth="1"/>
    <col min="2067" max="2079" width="7.5703125" style="3" customWidth="1"/>
    <col min="2080" max="2308" width="12.5703125" style="3"/>
    <col min="2309" max="2309" width="2" style="3" customWidth="1"/>
    <col min="2310" max="2312" width="2.42578125" style="3" customWidth="1"/>
    <col min="2313" max="2313" width="65" style="3" customWidth="1"/>
    <col min="2314" max="2319" width="13.42578125" style="3" customWidth="1"/>
    <col min="2320" max="2320" width="20.42578125" style="3" customWidth="1"/>
    <col min="2321" max="2321" width="7.5703125" style="3" customWidth="1"/>
    <col min="2322" max="2322" width="14.42578125" style="3" bestFit="1" customWidth="1"/>
    <col min="2323" max="2335" width="7.5703125" style="3" customWidth="1"/>
    <col min="2336" max="2564" width="12.5703125" style="3"/>
    <col min="2565" max="2565" width="2" style="3" customWidth="1"/>
    <col min="2566" max="2568" width="2.42578125" style="3" customWidth="1"/>
    <col min="2569" max="2569" width="65" style="3" customWidth="1"/>
    <col min="2570" max="2575" width="13.42578125" style="3" customWidth="1"/>
    <col min="2576" max="2576" width="20.42578125" style="3" customWidth="1"/>
    <col min="2577" max="2577" width="7.5703125" style="3" customWidth="1"/>
    <col min="2578" max="2578" width="14.42578125" style="3" bestFit="1" customWidth="1"/>
    <col min="2579" max="2591" width="7.5703125" style="3" customWidth="1"/>
    <col min="2592" max="2820" width="12.5703125" style="3"/>
    <col min="2821" max="2821" width="2" style="3" customWidth="1"/>
    <col min="2822" max="2824" width="2.42578125" style="3" customWidth="1"/>
    <col min="2825" max="2825" width="65" style="3" customWidth="1"/>
    <col min="2826" max="2831" width="13.42578125" style="3" customWidth="1"/>
    <col min="2832" max="2832" width="20.42578125" style="3" customWidth="1"/>
    <col min="2833" max="2833" width="7.5703125" style="3" customWidth="1"/>
    <col min="2834" max="2834" width="14.42578125" style="3" bestFit="1" customWidth="1"/>
    <col min="2835" max="2847" width="7.5703125" style="3" customWidth="1"/>
    <col min="2848" max="3076" width="12.5703125" style="3"/>
    <col min="3077" max="3077" width="2" style="3" customWidth="1"/>
    <col min="3078" max="3080" width="2.42578125" style="3" customWidth="1"/>
    <col min="3081" max="3081" width="65" style="3" customWidth="1"/>
    <col min="3082" max="3087" width="13.42578125" style="3" customWidth="1"/>
    <col min="3088" max="3088" width="20.42578125" style="3" customWidth="1"/>
    <col min="3089" max="3089" width="7.5703125" style="3" customWidth="1"/>
    <col min="3090" max="3090" width="14.42578125" style="3" bestFit="1" customWidth="1"/>
    <col min="3091" max="3103" width="7.5703125" style="3" customWidth="1"/>
    <col min="3104" max="3332" width="12.5703125" style="3"/>
    <col min="3333" max="3333" width="2" style="3" customWidth="1"/>
    <col min="3334" max="3336" width="2.42578125" style="3" customWidth="1"/>
    <col min="3337" max="3337" width="65" style="3" customWidth="1"/>
    <col min="3338" max="3343" width="13.42578125" style="3" customWidth="1"/>
    <col min="3344" max="3344" width="20.42578125" style="3" customWidth="1"/>
    <col min="3345" max="3345" width="7.5703125" style="3" customWidth="1"/>
    <col min="3346" max="3346" width="14.42578125" style="3" bestFit="1" customWidth="1"/>
    <col min="3347" max="3359" width="7.5703125" style="3" customWidth="1"/>
    <col min="3360" max="3588" width="12.5703125" style="3"/>
    <col min="3589" max="3589" width="2" style="3" customWidth="1"/>
    <col min="3590" max="3592" width="2.42578125" style="3" customWidth="1"/>
    <col min="3593" max="3593" width="65" style="3" customWidth="1"/>
    <col min="3594" max="3599" width="13.42578125" style="3" customWidth="1"/>
    <col min="3600" max="3600" width="20.42578125" style="3" customWidth="1"/>
    <col min="3601" max="3601" width="7.5703125" style="3" customWidth="1"/>
    <col min="3602" max="3602" width="14.42578125" style="3" bestFit="1" customWidth="1"/>
    <col min="3603" max="3615" width="7.5703125" style="3" customWidth="1"/>
    <col min="3616" max="3844" width="12.5703125" style="3"/>
    <col min="3845" max="3845" width="2" style="3" customWidth="1"/>
    <col min="3846" max="3848" width="2.42578125" style="3" customWidth="1"/>
    <col min="3849" max="3849" width="65" style="3" customWidth="1"/>
    <col min="3850" max="3855" width="13.42578125" style="3" customWidth="1"/>
    <col min="3856" max="3856" width="20.42578125" style="3" customWidth="1"/>
    <col min="3857" max="3857" width="7.5703125" style="3" customWidth="1"/>
    <col min="3858" max="3858" width="14.42578125" style="3" bestFit="1" customWidth="1"/>
    <col min="3859" max="3871" width="7.5703125" style="3" customWidth="1"/>
    <col min="3872" max="4100" width="12.5703125" style="3"/>
    <col min="4101" max="4101" width="2" style="3" customWidth="1"/>
    <col min="4102" max="4104" width="2.42578125" style="3" customWidth="1"/>
    <col min="4105" max="4105" width="65" style="3" customWidth="1"/>
    <col min="4106" max="4111" width="13.42578125" style="3" customWidth="1"/>
    <col min="4112" max="4112" width="20.42578125" style="3" customWidth="1"/>
    <col min="4113" max="4113" width="7.5703125" style="3" customWidth="1"/>
    <col min="4114" max="4114" width="14.42578125" style="3" bestFit="1" customWidth="1"/>
    <col min="4115" max="4127" width="7.5703125" style="3" customWidth="1"/>
    <col min="4128" max="4356" width="12.5703125" style="3"/>
    <col min="4357" max="4357" width="2" style="3" customWidth="1"/>
    <col min="4358" max="4360" width="2.42578125" style="3" customWidth="1"/>
    <col min="4361" max="4361" width="65" style="3" customWidth="1"/>
    <col min="4362" max="4367" width="13.42578125" style="3" customWidth="1"/>
    <col min="4368" max="4368" width="20.42578125" style="3" customWidth="1"/>
    <col min="4369" max="4369" width="7.5703125" style="3" customWidth="1"/>
    <col min="4370" max="4370" width="14.42578125" style="3" bestFit="1" customWidth="1"/>
    <col min="4371" max="4383" width="7.5703125" style="3" customWidth="1"/>
    <col min="4384" max="4612" width="12.5703125" style="3"/>
    <col min="4613" max="4613" width="2" style="3" customWidth="1"/>
    <col min="4614" max="4616" width="2.42578125" style="3" customWidth="1"/>
    <col min="4617" max="4617" width="65" style="3" customWidth="1"/>
    <col min="4618" max="4623" width="13.42578125" style="3" customWidth="1"/>
    <col min="4624" max="4624" width="20.42578125" style="3" customWidth="1"/>
    <col min="4625" max="4625" width="7.5703125" style="3" customWidth="1"/>
    <col min="4626" max="4626" width="14.42578125" style="3" bestFit="1" customWidth="1"/>
    <col min="4627" max="4639" width="7.5703125" style="3" customWidth="1"/>
    <col min="4640" max="4868" width="12.5703125" style="3"/>
    <col min="4869" max="4869" width="2" style="3" customWidth="1"/>
    <col min="4870" max="4872" width="2.42578125" style="3" customWidth="1"/>
    <col min="4873" max="4873" width="65" style="3" customWidth="1"/>
    <col min="4874" max="4879" width="13.42578125" style="3" customWidth="1"/>
    <col min="4880" max="4880" width="20.42578125" style="3" customWidth="1"/>
    <col min="4881" max="4881" width="7.5703125" style="3" customWidth="1"/>
    <col min="4882" max="4882" width="14.42578125" style="3" bestFit="1" customWidth="1"/>
    <col min="4883" max="4895" width="7.5703125" style="3" customWidth="1"/>
    <col min="4896" max="5124" width="12.5703125" style="3"/>
    <col min="5125" max="5125" width="2" style="3" customWidth="1"/>
    <col min="5126" max="5128" width="2.42578125" style="3" customWidth="1"/>
    <col min="5129" max="5129" width="65" style="3" customWidth="1"/>
    <col min="5130" max="5135" width="13.42578125" style="3" customWidth="1"/>
    <col min="5136" max="5136" width="20.42578125" style="3" customWidth="1"/>
    <col min="5137" max="5137" width="7.5703125" style="3" customWidth="1"/>
    <col min="5138" max="5138" width="14.42578125" style="3" bestFit="1" customWidth="1"/>
    <col min="5139" max="5151" width="7.5703125" style="3" customWidth="1"/>
    <col min="5152" max="5380" width="12.5703125" style="3"/>
    <col min="5381" max="5381" width="2" style="3" customWidth="1"/>
    <col min="5382" max="5384" width="2.42578125" style="3" customWidth="1"/>
    <col min="5385" max="5385" width="65" style="3" customWidth="1"/>
    <col min="5386" max="5391" width="13.42578125" style="3" customWidth="1"/>
    <col min="5392" max="5392" width="20.42578125" style="3" customWidth="1"/>
    <col min="5393" max="5393" width="7.5703125" style="3" customWidth="1"/>
    <col min="5394" max="5394" width="14.42578125" style="3" bestFit="1" customWidth="1"/>
    <col min="5395" max="5407" width="7.5703125" style="3" customWidth="1"/>
    <col min="5408" max="5636" width="12.5703125" style="3"/>
    <col min="5637" max="5637" width="2" style="3" customWidth="1"/>
    <col min="5638" max="5640" width="2.42578125" style="3" customWidth="1"/>
    <col min="5641" max="5641" width="65" style="3" customWidth="1"/>
    <col min="5642" max="5647" width="13.42578125" style="3" customWidth="1"/>
    <col min="5648" max="5648" width="20.42578125" style="3" customWidth="1"/>
    <col min="5649" max="5649" width="7.5703125" style="3" customWidth="1"/>
    <col min="5650" max="5650" width="14.42578125" style="3" bestFit="1" customWidth="1"/>
    <col min="5651" max="5663" width="7.5703125" style="3" customWidth="1"/>
    <col min="5664" max="5892" width="12.5703125" style="3"/>
    <col min="5893" max="5893" width="2" style="3" customWidth="1"/>
    <col min="5894" max="5896" width="2.42578125" style="3" customWidth="1"/>
    <col min="5897" max="5897" width="65" style="3" customWidth="1"/>
    <col min="5898" max="5903" width="13.42578125" style="3" customWidth="1"/>
    <col min="5904" max="5904" width="20.42578125" style="3" customWidth="1"/>
    <col min="5905" max="5905" width="7.5703125" style="3" customWidth="1"/>
    <col min="5906" max="5906" width="14.42578125" style="3" bestFit="1" customWidth="1"/>
    <col min="5907" max="5919" width="7.5703125" style="3" customWidth="1"/>
    <col min="5920" max="6148" width="12.5703125" style="3"/>
    <col min="6149" max="6149" width="2" style="3" customWidth="1"/>
    <col min="6150" max="6152" width="2.42578125" style="3" customWidth="1"/>
    <col min="6153" max="6153" width="65" style="3" customWidth="1"/>
    <col min="6154" max="6159" width="13.42578125" style="3" customWidth="1"/>
    <col min="6160" max="6160" width="20.42578125" style="3" customWidth="1"/>
    <col min="6161" max="6161" width="7.5703125" style="3" customWidth="1"/>
    <col min="6162" max="6162" width="14.42578125" style="3" bestFit="1" customWidth="1"/>
    <col min="6163" max="6175" width="7.5703125" style="3" customWidth="1"/>
    <col min="6176" max="6404" width="12.5703125" style="3"/>
    <col min="6405" max="6405" width="2" style="3" customWidth="1"/>
    <col min="6406" max="6408" width="2.42578125" style="3" customWidth="1"/>
    <col min="6409" max="6409" width="65" style="3" customWidth="1"/>
    <col min="6410" max="6415" width="13.42578125" style="3" customWidth="1"/>
    <col min="6416" max="6416" width="20.42578125" style="3" customWidth="1"/>
    <col min="6417" max="6417" width="7.5703125" style="3" customWidth="1"/>
    <col min="6418" max="6418" width="14.42578125" style="3" bestFit="1" customWidth="1"/>
    <col min="6419" max="6431" width="7.5703125" style="3" customWidth="1"/>
    <col min="6432" max="6660" width="12.5703125" style="3"/>
    <col min="6661" max="6661" width="2" style="3" customWidth="1"/>
    <col min="6662" max="6664" width="2.42578125" style="3" customWidth="1"/>
    <col min="6665" max="6665" width="65" style="3" customWidth="1"/>
    <col min="6666" max="6671" width="13.42578125" style="3" customWidth="1"/>
    <col min="6672" max="6672" width="20.42578125" style="3" customWidth="1"/>
    <col min="6673" max="6673" width="7.5703125" style="3" customWidth="1"/>
    <col min="6674" max="6674" width="14.42578125" style="3" bestFit="1" customWidth="1"/>
    <col min="6675" max="6687" width="7.5703125" style="3" customWidth="1"/>
    <col min="6688" max="6916" width="12.5703125" style="3"/>
    <col min="6917" max="6917" width="2" style="3" customWidth="1"/>
    <col min="6918" max="6920" width="2.42578125" style="3" customWidth="1"/>
    <col min="6921" max="6921" width="65" style="3" customWidth="1"/>
    <col min="6922" max="6927" width="13.42578125" style="3" customWidth="1"/>
    <col min="6928" max="6928" width="20.42578125" style="3" customWidth="1"/>
    <col min="6929" max="6929" width="7.5703125" style="3" customWidth="1"/>
    <col min="6930" max="6930" width="14.42578125" style="3" bestFit="1" customWidth="1"/>
    <col min="6931" max="6943" width="7.5703125" style="3" customWidth="1"/>
    <col min="6944" max="7172" width="12.5703125" style="3"/>
    <col min="7173" max="7173" width="2" style="3" customWidth="1"/>
    <col min="7174" max="7176" width="2.42578125" style="3" customWidth="1"/>
    <col min="7177" max="7177" width="65" style="3" customWidth="1"/>
    <col min="7178" max="7183" width="13.42578125" style="3" customWidth="1"/>
    <col min="7184" max="7184" width="20.42578125" style="3" customWidth="1"/>
    <col min="7185" max="7185" width="7.5703125" style="3" customWidth="1"/>
    <col min="7186" max="7186" width="14.42578125" style="3" bestFit="1" customWidth="1"/>
    <col min="7187" max="7199" width="7.5703125" style="3" customWidth="1"/>
    <col min="7200" max="7428" width="12.5703125" style="3"/>
    <col min="7429" max="7429" width="2" style="3" customWidth="1"/>
    <col min="7430" max="7432" width="2.42578125" style="3" customWidth="1"/>
    <col min="7433" max="7433" width="65" style="3" customWidth="1"/>
    <col min="7434" max="7439" width="13.42578125" style="3" customWidth="1"/>
    <col min="7440" max="7440" width="20.42578125" style="3" customWidth="1"/>
    <col min="7441" max="7441" width="7.5703125" style="3" customWidth="1"/>
    <col min="7442" max="7442" width="14.42578125" style="3" bestFit="1" customWidth="1"/>
    <col min="7443" max="7455" width="7.5703125" style="3" customWidth="1"/>
    <col min="7456" max="7684" width="12.5703125" style="3"/>
    <col min="7685" max="7685" width="2" style="3" customWidth="1"/>
    <col min="7686" max="7688" width="2.42578125" style="3" customWidth="1"/>
    <col min="7689" max="7689" width="65" style="3" customWidth="1"/>
    <col min="7690" max="7695" width="13.42578125" style="3" customWidth="1"/>
    <col min="7696" max="7696" width="20.42578125" style="3" customWidth="1"/>
    <col min="7697" max="7697" width="7.5703125" style="3" customWidth="1"/>
    <col min="7698" max="7698" width="14.42578125" style="3" bestFit="1" customWidth="1"/>
    <col min="7699" max="7711" width="7.5703125" style="3" customWidth="1"/>
    <col min="7712" max="7940" width="12.5703125" style="3"/>
    <col min="7941" max="7941" width="2" style="3" customWidth="1"/>
    <col min="7942" max="7944" width="2.42578125" style="3" customWidth="1"/>
    <col min="7945" max="7945" width="65" style="3" customWidth="1"/>
    <col min="7946" max="7951" width="13.42578125" style="3" customWidth="1"/>
    <col min="7952" max="7952" width="20.42578125" style="3" customWidth="1"/>
    <col min="7953" max="7953" width="7.5703125" style="3" customWidth="1"/>
    <col min="7954" max="7954" width="14.42578125" style="3" bestFit="1" customWidth="1"/>
    <col min="7955" max="7967" width="7.5703125" style="3" customWidth="1"/>
    <col min="7968" max="8196" width="12.5703125" style="3"/>
    <col min="8197" max="8197" width="2" style="3" customWidth="1"/>
    <col min="8198" max="8200" width="2.42578125" style="3" customWidth="1"/>
    <col min="8201" max="8201" width="65" style="3" customWidth="1"/>
    <col min="8202" max="8207" width="13.42578125" style="3" customWidth="1"/>
    <col min="8208" max="8208" width="20.42578125" style="3" customWidth="1"/>
    <col min="8209" max="8209" width="7.5703125" style="3" customWidth="1"/>
    <col min="8210" max="8210" width="14.42578125" style="3" bestFit="1" customWidth="1"/>
    <col min="8211" max="8223" width="7.5703125" style="3" customWidth="1"/>
    <col min="8224" max="8452" width="12.5703125" style="3"/>
    <col min="8453" max="8453" width="2" style="3" customWidth="1"/>
    <col min="8454" max="8456" width="2.42578125" style="3" customWidth="1"/>
    <col min="8457" max="8457" width="65" style="3" customWidth="1"/>
    <col min="8458" max="8463" width="13.42578125" style="3" customWidth="1"/>
    <col min="8464" max="8464" width="20.42578125" style="3" customWidth="1"/>
    <col min="8465" max="8465" width="7.5703125" style="3" customWidth="1"/>
    <col min="8466" max="8466" width="14.42578125" style="3" bestFit="1" customWidth="1"/>
    <col min="8467" max="8479" width="7.5703125" style="3" customWidth="1"/>
    <col min="8480" max="8708" width="12.5703125" style="3"/>
    <col min="8709" max="8709" width="2" style="3" customWidth="1"/>
    <col min="8710" max="8712" width="2.42578125" style="3" customWidth="1"/>
    <col min="8713" max="8713" width="65" style="3" customWidth="1"/>
    <col min="8714" max="8719" width="13.42578125" style="3" customWidth="1"/>
    <col min="8720" max="8720" width="20.42578125" style="3" customWidth="1"/>
    <col min="8721" max="8721" width="7.5703125" style="3" customWidth="1"/>
    <col min="8722" max="8722" width="14.42578125" style="3" bestFit="1" customWidth="1"/>
    <col min="8723" max="8735" width="7.5703125" style="3" customWidth="1"/>
    <col min="8736" max="8964" width="12.5703125" style="3"/>
    <col min="8965" max="8965" width="2" style="3" customWidth="1"/>
    <col min="8966" max="8968" width="2.42578125" style="3" customWidth="1"/>
    <col min="8969" max="8969" width="65" style="3" customWidth="1"/>
    <col min="8970" max="8975" width="13.42578125" style="3" customWidth="1"/>
    <col min="8976" max="8976" width="20.42578125" style="3" customWidth="1"/>
    <col min="8977" max="8977" width="7.5703125" style="3" customWidth="1"/>
    <col min="8978" max="8978" width="14.42578125" style="3" bestFit="1" customWidth="1"/>
    <col min="8979" max="8991" width="7.5703125" style="3" customWidth="1"/>
    <col min="8992" max="9220" width="12.5703125" style="3"/>
    <col min="9221" max="9221" width="2" style="3" customWidth="1"/>
    <col min="9222" max="9224" width="2.42578125" style="3" customWidth="1"/>
    <col min="9225" max="9225" width="65" style="3" customWidth="1"/>
    <col min="9226" max="9231" width="13.42578125" style="3" customWidth="1"/>
    <col min="9232" max="9232" width="20.42578125" style="3" customWidth="1"/>
    <col min="9233" max="9233" width="7.5703125" style="3" customWidth="1"/>
    <col min="9234" max="9234" width="14.42578125" style="3" bestFit="1" customWidth="1"/>
    <col min="9235" max="9247" width="7.5703125" style="3" customWidth="1"/>
    <col min="9248" max="9476" width="12.5703125" style="3"/>
    <col min="9477" max="9477" width="2" style="3" customWidth="1"/>
    <col min="9478" max="9480" width="2.42578125" style="3" customWidth="1"/>
    <col min="9481" max="9481" width="65" style="3" customWidth="1"/>
    <col min="9482" max="9487" width="13.42578125" style="3" customWidth="1"/>
    <col min="9488" max="9488" width="20.42578125" style="3" customWidth="1"/>
    <col min="9489" max="9489" width="7.5703125" style="3" customWidth="1"/>
    <col min="9490" max="9490" width="14.42578125" style="3" bestFit="1" customWidth="1"/>
    <col min="9491" max="9503" width="7.5703125" style="3" customWidth="1"/>
    <col min="9504" max="9732" width="12.5703125" style="3"/>
    <col min="9733" max="9733" width="2" style="3" customWidth="1"/>
    <col min="9734" max="9736" width="2.42578125" style="3" customWidth="1"/>
    <col min="9737" max="9737" width="65" style="3" customWidth="1"/>
    <col min="9738" max="9743" width="13.42578125" style="3" customWidth="1"/>
    <col min="9744" max="9744" width="20.42578125" style="3" customWidth="1"/>
    <col min="9745" max="9745" width="7.5703125" style="3" customWidth="1"/>
    <col min="9746" max="9746" width="14.42578125" style="3" bestFit="1" customWidth="1"/>
    <col min="9747" max="9759" width="7.5703125" style="3" customWidth="1"/>
    <col min="9760" max="9988" width="12.5703125" style="3"/>
    <col min="9989" max="9989" width="2" style="3" customWidth="1"/>
    <col min="9990" max="9992" width="2.42578125" style="3" customWidth="1"/>
    <col min="9993" max="9993" width="65" style="3" customWidth="1"/>
    <col min="9994" max="9999" width="13.42578125" style="3" customWidth="1"/>
    <col min="10000" max="10000" width="20.42578125" style="3" customWidth="1"/>
    <col min="10001" max="10001" width="7.5703125" style="3" customWidth="1"/>
    <col min="10002" max="10002" width="14.42578125" style="3" bestFit="1" customWidth="1"/>
    <col min="10003" max="10015" width="7.5703125" style="3" customWidth="1"/>
    <col min="10016" max="10244" width="12.5703125" style="3"/>
    <col min="10245" max="10245" width="2" style="3" customWidth="1"/>
    <col min="10246" max="10248" width="2.42578125" style="3" customWidth="1"/>
    <col min="10249" max="10249" width="65" style="3" customWidth="1"/>
    <col min="10250" max="10255" width="13.42578125" style="3" customWidth="1"/>
    <col min="10256" max="10256" width="20.42578125" style="3" customWidth="1"/>
    <col min="10257" max="10257" width="7.5703125" style="3" customWidth="1"/>
    <col min="10258" max="10258" width="14.42578125" style="3" bestFit="1" customWidth="1"/>
    <col min="10259" max="10271" width="7.5703125" style="3" customWidth="1"/>
    <col min="10272" max="10500" width="12.5703125" style="3"/>
    <col min="10501" max="10501" width="2" style="3" customWidth="1"/>
    <col min="10502" max="10504" width="2.42578125" style="3" customWidth="1"/>
    <col min="10505" max="10505" width="65" style="3" customWidth="1"/>
    <col min="10506" max="10511" width="13.42578125" style="3" customWidth="1"/>
    <col min="10512" max="10512" width="20.42578125" style="3" customWidth="1"/>
    <col min="10513" max="10513" width="7.5703125" style="3" customWidth="1"/>
    <col min="10514" max="10514" width="14.42578125" style="3" bestFit="1" customWidth="1"/>
    <col min="10515" max="10527" width="7.5703125" style="3" customWidth="1"/>
    <col min="10528" max="10756" width="12.5703125" style="3"/>
    <col min="10757" max="10757" width="2" style="3" customWidth="1"/>
    <col min="10758" max="10760" width="2.42578125" style="3" customWidth="1"/>
    <col min="10761" max="10761" width="65" style="3" customWidth="1"/>
    <col min="10762" max="10767" width="13.42578125" style="3" customWidth="1"/>
    <col min="10768" max="10768" width="20.42578125" style="3" customWidth="1"/>
    <col min="10769" max="10769" width="7.5703125" style="3" customWidth="1"/>
    <col min="10770" max="10770" width="14.42578125" style="3" bestFit="1" customWidth="1"/>
    <col min="10771" max="10783" width="7.5703125" style="3" customWidth="1"/>
    <col min="10784" max="11012" width="12.5703125" style="3"/>
    <col min="11013" max="11013" width="2" style="3" customWidth="1"/>
    <col min="11014" max="11016" width="2.42578125" style="3" customWidth="1"/>
    <col min="11017" max="11017" width="65" style="3" customWidth="1"/>
    <col min="11018" max="11023" width="13.42578125" style="3" customWidth="1"/>
    <col min="11024" max="11024" width="20.42578125" style="3" customWidth="1"/>
    <col min="11025" max="11025" width="7.5703125" style="3" customWidth="1"/>
    <col min="11026" max="11026" width="14.42578125" style="3" bestFit="1" customWidth="1"/>
    <col min="11027" max="11039" width="7.5703125" style="3" customWidth="1"/>
    <col min="11040" max="11268" width="12.5703125" style="3"/>
    <col min="11269" max="11269" width="2" style="3" customWidth="1"/>
    <col min="11270" max="11272" width="2.42578125" style="3" customWidth="1"/>
    <col min="11273" max="11273" width="65" style="3" customWidth="1"/>
    <col min="11274" max="11279" width="13.42578125" style="3" customWidth="1"/>
    <col min="11280" max="11280" width="20.42578125" style="3" customWidth="1"/>
    <col min="11281" max="11281" width="7.5703125" style="3" customWidth="1"/>
    <col min="11282" max="11282" width="14.42578125" style="3" bestFit="1" customWidth="1"/>
    <col min="11283" max="11295" width="7.5703125" style="3" customWidth="1"/>
    <col min="11296" max="11524" width="12.5703125" style="3"/>
    <col min="11525" max="11525" width="2" style="3" customWidth="1"/>
    <col min="11526" max="11528" width="2.42578125" style="3" customWidth="1"/>
    <col min="11529" max="11529" width="65" style="3" customWidth="1"/>
    <col min="11530" max="11535" width="13.42578125" style="3" customWidth="1"/>
    <col min="11536" max="11536" width="20.42578125" style="3" customWidth="1"/>
    <col min="11537" max="11537" width="7.5703125" style="3" customWidth="1"/>
    <col min="11538" max="11538" width="14.42578125" style="3" bestFit="1" customWidth="1"/>
    <col min="11539" max="11551" width="7.5703125" style="3" customWidth="1"/>
    <col min="11552" max="11780" width="12.5703125" style="3"/>
    <col min="11781" max="11781" width="2" style="3" customWidth="1"/>
    <col min="11782" max="11784" width="2.42578125" style="3" customWidth="1"/>
    <col min="11785" max="11785" width="65" style="3" customWidth="1"/>
    <col min="11786" max="11791" width="13.42578125" style="3" customWidth="1"/>
    <col min="11792" max="11792" width="20.42578125" style="3" customWidth="1"/>
    <col min="11793" max="11793" width="7.5703125" style="3" customWidth="1"/>
    <col min="11794" max="11794" width="14.42578125" style="3" bestFit="1" customWidth="1"/>
    <col min="11795" max="11807" width="7.5703125" style="3" customWidth="1"/>
    <col min="11808" max="12036" width="12.5703125" style="3"/>
    <col min="12037" max="12037" width="2" style="3" customWidth="1"/>
    <col min="12038" max="12040" width="2.42578125" style="3" customWidth="1"/>
    <col min="12041" max="12041" width="65" style="3" customWidth="1"/>
    <col min="12042" max="12047" width="13.42578125" style="3" customWidth="1"/>
    <col min="12048" max="12048" width="20.42578125" style="3" customWidth="1"/>
    <col min="12049" max="12049" width="7.5703125" style="3" customWidth="1"/>
    <col min="12050" max="12050" width="14.42578125" style="3" bestFit="1" customWidth="1"/>
    <col min="12051" max="12063" width="7.5703125" style="3" customWidth="1"/>
    <col min="12064" max="12292" width="12.5703125" style="3"/>
    <col min="12293" max="12293" width="2" style="3" customWidth="1"/>
    <col min="12294" max="12296" width="2.42578125" style="3" customWidth="1"/>
    <col min="12297" max="12297" width="65" style="3" customWidth="1"/>
    <col min="12298" max="12303" width="13.42578125" style="3" customWidth="1"/>
    <col min="12304" max="12304" width="20.42578125" style="3" customWidth="1"/>
    <col min="12305" max="12305" width="7.5703125" style="3" customWidth="1"/>
    <col min="12306" max="12306" width="14.42578125" style="3" bestFit="1" customWidth="1"/>
    <col min="12307" max="12319" width="7.5703125" style="3" customWidth="1"/>
    <col min="12320" max="12548" width="12.5703125" style="3"/>
    <col min="12549" max="12549" width="2" style="3" customWidth="1"/>
    <col min="12550" max="12552" width="2.42578125" style="3" customWidth="1"/>
    <col min="12553" max="12553" width="65" style="3" customWidth="1"/>
    <col min="12554" max="12559" width="13.42578125" style="3" customWidth="1"/>
    <col min="12560" max="12560" width="20.42578125" style="3" customWidth="1"/>
    <col min="12561" max="12561" width="7.5703125" style="3" customWidth="1"/>
    <col min="12562" max="12562" width="14.42578125" style="3" bestFit="1" customWidth="1"/>
    <col min="12563" max="12575" width="7.5703125" style="3" customWidth="1"/>
    <col min="12576" max="12804" width="12.5703125" style="3"/>
    <col min="12805" max="12805" width="2" style="3" customWidth="1"/>
    <col min="12806" max="12808" width="2.42578125" style="3" customWidth="1"/>
    <col min="12809" max="12809" width="65" style="3" customWidth="1"/>
    <col min="12810" max="12815" width="13.42578125" style="3" customWidth="1"/>
    <col min="12816" max="12816" width="20.42578125" style="3" customWidth="1"/>
    <col min="12817" max="12817" width="7.5703125" style="3" customWidth="1"/>
    <col min="12818" max="12818" width="14.42578125" style="3" bestFit="1" customWidth="1"/>
    <col min="12819" max="12831" width="7.5703125" style="3" customWidth="1"/>
    <col min="12832" max="13060" width="12.5703125" style="3"/>
    <col min="13061" max="13061" width="2" style="3" customWidth="1"/>
    <col min="13062" max="13064" width="2.42578125" style="3" customWidth="1"/>
    <col min="13065" max="13065" width="65" style="3" customWidth="1"/>
    <col min="13066" max="13071" width="13.42578125" style="3" customWidth="1"/>
    <col min="13072" max="13072" width="20.42578125" style="3" customWidth="1"/>
    <col min="13073" max="13073" width="7.5703125" style="3" customWidth="1"/>
    <col min="13074" max="13074" width="14.42578125" style="3" bestFit="1" customWidth="1"/>
    <col min="13075" max="13087" width="7.5703125" style="3" customWidth="1"/>
    <col min="13088" max="13316" width="12.5703125" style="3"/>
    <col min="13317" max="13317" width="2" style="3" customWidth="1"/>
    <col min="13318" max="13320" width="2.42578125" style="3" customWidth="1"/>
    <col min="13321" max="13321" width="65" style="3" customWidth="1"/>
    <col min="13322" max="13327" width="13.42578125" style="3" customWidth="1"/>
    <col min="13328" max="13328" width="20.42578125" style="3" customWidth="1"/>
    <col min="13329" max="13329" width="7.5703125" style="3" customWidth="1"/>
    <col min="13330" max="13330" width="14.42578125" style="3" bestFit="1" customWidth="1"/>
    <col min="13331" max="13343" width="7.5703125" style="3" customWidth="1"/>
    <col min="13344" max="13572" width="12.5703125" style="3"/>
    <col min="13573" max="13573" width="2" style="3" customWidth="1"/>
    <col min="13574" max="13576" width="2.42578125" style="3" customWidth="1"/>
    <col min="13577" max="13577" width="65" style="3" customWidth="1"/>
    <col min="13578" max="13583" width="13.42578125" style="3" customWidth="1"/>
    <col min="13584" max="13584" width="20.42578125" style="3" customWidth="1"/>
    <col min="13585" max="13585" width="7.5703125" style="3" customWidth="1"/>
    <col min="13586" max="13586" width="14.42578125" style="3" bestFit="1" customWidth="1"/>
    <col min="13587" max="13599" width="7.5703125" style="3" customWidth="1"/>
    <col min="13600" max="13828" width="12.5703125" style="3"/>
    <col min="13829" max="13829" width="2" style="3" customWidth="1"/>
    <col min="13830" max="13832" width="2.42578125" style="3" customWidth="1"/>
    <col min="13833" max="13833" width="65" style="3" customWidth="1"/>
    <col min="13834" max="13839" width="13.42578125" style="3" customWidth="1"/>
    <col min="13840" max="13840" width="20.42578125" style="3" customWidth="1"/>
    <col min="13841" max="13841" width="7.5703125" style="3" customWidth="1"/>
    <col min="13842" max="13842" width="14.42578125" style="3" bestFit="1" customWidth="1"/>
    <col min="13843" max="13855" width="7.5703125" style="3" customWidth="1"/>
    <col min="13856" max="14084" width="12.5703125" style="3"/>
    <col min="14085" max="14085" width="2" style="3" customWidth="1"/>
    <col min="14086" max="14088" width="2.42578125" style="3" customWidth="1"/>
    <col min="14089" max="14089" width="65" style="3" customWidth="1"/>
    <col min="14090" max="14095" width="13.42578125" style="3" customWidth="1"/>
    <col min="14096" max="14096" width="20.42578125" style="3" customWidth="1"/>
    <col min="14097" max="14097" width="7.5703125" style="3" customWidth="1"/>
    <col min="14098" max="14098" width="14.42578125" style="3" bestFit="1" customWidth="1"/>
    <col min="14099" max="14111" width="7.5703125" style="3" customWidth="1"/>
    <col min="14112" max="14340" width="12.5703125" style="3"/>
    <col min="14341" max="14341" width="2" style="3" customWidth="1"/>
    <col min="14342" max="14344" width="2.42578125" style="3" customWidth="1"/>
    <col min="14345" max="14345" width="65" style="3" customWidth="1"/>
    <col min="14346" max="14351" width="13.42578125" style="3" customWidth="1"/>
    <col min="14352" max="14352" width="20.42578125" style="3" customWidth="1"/>
    <col min="14353" max="14353" width="7.5703125" style="3" customWidth="1"/>
    <col min="14354" max="14354" width="14.42578125" style="3" bestFit="1" customWidth="1"/>
    <col min="14355" max="14367" width="7.5703125" style="3" customWidth="1"/>
    <col min="14368" max="14596" width="12.5703125" style="3"/>
    <col min="14597" max="14597" width="2" style="3" customWidth="1"/>
    <col min="14598" max="14600" width="2.42578125" style="3" customWidth="1"/>
    <col min="14601" max="14601" width="65" style="3" customWidth="1"/>
    <col min="14602" max="14607" width="13.42578125" style="3" customWidth="1"/>
    <col min="14608" max="14608" width="20.42578125" style="3" customWidth="1"/>
    <col min="14609" max="14609" width="7.5703125" style="3" customWidth="1"/>
    <col min="14610" max="14610" width="14.42578125" style="3" bestFit="1" customWidth="1"/>
    <col min="14611" max="14623" width="7.5703125" style="3" customWidth="1"/>
    <col min="14624" max="14852" width="12.5703125" style="3"/>
    <col min="14853" max="14853" width="2" style="3" customWidth="1"/>
    <col min="14854" max="14856" width="2.42578125" style="3" customWidth="1"/>
    <col min="14857" max="14857" width="65" style="3" customWidth="1"/>
    <col min="14858" max="14863" width="13.42578125" style="3" customWidth="1"/>
    <col min="14864" max="14864" width="20.42578125" style="3" customWidth="1"/>
    <col min="14865" max="14865" width="7.5703125" style="3" customWidth="1"/>
    <col min="14866" max="14866" width="14.42578125" style="3" bestFit="1" customWidth="1"/>
    <col min="14867" max="14879" width="7.5703125" style="3" customWidth="1"/>
    <col min="14880" max="15108" width="12.5703125" style="3"/>
    <col min="15109" max="15109" width="2" style="3" customWidth="1"/>
    <col min="15110" max="15112" width="2.42578125" style="3" customWidth="1"/>
    <col min="15113" max="15113" width="65" style="3" customWidth="1"/>
    <col min="15114" max="15119" width="13.42578125" style="3" customWidth="1"/>
    <col min="15120" max="15120" width="20.42578125" style="3" customWidth="1"/>
    <col min="15121" max="15121" width="7.5703125" style="3" customWidth="1"/>
    <col min="15122" max="15122" width="14.42578125" style="3" bestFit="1" customWidth="1"/>
    <col min="15123" max="15135" width="7.5703125" style="3" customWidth="1"/>
    <col min="15136" max="15364" width="12.5703125" style="3"/>
    <col min="15365" max="15365" width="2" style="3" customWidth="1"/>
    <col min="15366" max="15368" width="2.42578125" style="3" customWidth="1"/>
    <col min="15369" max="15369" width="65" style="3" customWidth="1"/>
    <col min="15370" max="15375" width="13.42578125" style="3" customWidth="1"/>
    <col min="15376" max="15376" width="20.42578125" style="3" customWidth="1"/>
    <col min="15377" max="15377" width="7.5703125" style="3" customWidth="1"/>
    <col min="15378" max="15378" width="14.42578125" style="3" bestFit="1" customWidth="1"/>
    <col min="15379" max="15391" width="7.5703125" style="3" customWidth="1"/>
    <col min="15392" max="15620" width="12.5703125" style="3"/>
    <col min="15621" max="15621" width="2" style="3" customWidth="1"/>
    <col min="15622" max="15624" width="2.42578125" style="3" customWidth="1"/>
    <col min="15625" max="15625" width="65" style="3" customWidth="1"/>
    <col min="15626" max="15631" width="13.42578125" style="3" customWidth="1"/>
    <col min="15632" max="15632" width="20.42578125" style="3" customWidth="1"/>
    <col min="15633" max="15633" width="7.5703125" style="3" customWidth="1"/>
    <col min="15634" max="15634" width="14.42578125" style="3" bestFit="1" customWidth="1"/>
    <col min="15635" max="15647" width="7.5703125" style="3" customWidth="1"/>
    <col min="15648" max="15876" width="12.5703125" style="3"/>
    <col min="15877" max="15877" width="2" style="3" customWidth="1"/>
    <col min="15878" max="15880" width="2.42578125" style="3" customWidth="1"/>
    <col min="15881" max="15881" width="65" style="3" customWidth="1"/>
    <col min="15882" max="15887" width="13.42578125" style="3" customWidth="1"/>
    <col min="15888" max="15888" width="20.42578125" style="3" customWidth="1"/>
    <col min="15889" max="15889" width="7.5703125" style="3" customWidth="1"/>
    <col min="15890" max="15890" width="14.42578125" style="3" bestFit="1" customWidth="1"/>
    <col min="15891" max="15903" width="7.5703125" style="3" customWidth="1"/>
    <col min="15904" max="16132" width="12.5703125" style="3"/>
    <col min="16133" max="16133" width="2" style="3" customWidth="1"/>
    <col min="16134" max="16136" width="2.42578125" style="3" customWidth="1"/>
    <col min="16137" max="16137" width="65" style="3" customWidth="1"/>
    <col min="16138" max="16143" width="13.42578125" style="3" customWidth="1"/>
    <col min="16144" max="16144" width="20.42578125" style="3" customWidth="1"/>
    <col min="16145" max="16145" width="7.5703125" style="3" customWidth="1"/>
    <col min="16146" max="16146" width="14.42578125" style="3" bestFit="1" customWidth="1"/>
    <col min="16147" max="16159" width="7.5703125" style="3" customWidth="1"/>
    <col min="16160" max="16384" width="12.5703125" style="3"/>
  </cols>
  <sheetData>
    <row r="1" spans="1:17" s="20" customFormat="1" ht="21" customHeight="1">
      <c r="A1" s="2633" t="s">
        <v>183</v>
      </c>
      <c r="B1" s="2633"/>
      <c r="C1" s="2633"/>
      <c r="D1" s="2633"/>
      <c r="E1" s="2633"/>
      <c r="F1" s="2633"/>
      <c r="G1" s="2633"/>
      <c r="H1" s="2633"/>
      <c r="I1" s="2633"/>
      <c r="J1" s="2633"/>
      <c r="K1" s="2633"/>
      <c r="L1" s="2633"/>
      <c r="M1" s="2633"/>
      <c r="N1" s="2633"/>
      <c r="O1" s="2633"/>
      <c r="P1" s="2633"/>
      <c r="Q1" s="2633"/>
    </row>
    <row r="2" spans="1:17" s="20" customFormat="1" ht="21" customHeight="1">
      <c r="A2" s="2633" t="s">
        <v>184</v>
      </c>
      <c r="B2" s="2633"/>
      <c r="C2" s="2633"/>
      <c r="D2" s="2633"/>
      <c r="E2" s="2633"/>
      <c r="F2" s="2633"/>
      <c r="G2" s="2633"/>
      <c r="H2" s="2633"/>
      <c r="I2" s="2633"/>
      <c r="J2" s="2633"/>
      <c r="K2" s="2633"/>
      <c r="L2" s="2633"/>
      <c r="M2" s="2633"/>
      <c r="N2" s="2633"/>
      <c r="O2" s="2633"/>
      <c r="P2" s="2633"/>
      <c r="Q2" s="2633"/>
    </row>
    <row r="3" spans="1:17" s="20" customFormat="1" ht="21" customHeight="1">
      <c r="A3" s="2633" t="s">
        <v>498</v>
      </c>
      <c r="B3" s="2633"/>
      <c r="C3" s="2633"/>
      <c r="D3" s="2633"/>
      <c r="E3" s="2633"/>
      <c r="F3" s="2633"/>
      <c r="G3" s="2633"/>
      <c r="H3" s="2633"/>
      <c r="I3" s="2633"/>
      <c r="J3" s="2633"/>
      <c r="K3" s="2633"/>
      <c r="L3" s="2633"/>
      <c r="M3" s="2633"/>
      <c r="N3" s="2633"/>
      <c r="O3" s="2633"/>
      <c r="P3" s="2633"/>
      <c r="Q3" s="2633"/>
    </row>
    <row r="4" spans="1:17" ht="21" customHeight="1">
      <c r="A4" s="2"/>
      <c r="B4" s="2"/>
      <c r="C4" s="2"/>
      <c r="D4" s="2"/>
      <c r="E4" s="79"/>
      <c r="F4" s="4"/>
      <c r="G4" s="4"/>
      <c r="H4" s="4"/>
      <c r="I4" s="4"/>
      <c r="J4" s="4"/>
      <c r="K4" s="4"/>
      <c r="L4" s="4"/>
      <c r="M4" s="4"/>
      <c r="N4" s="4"/>
      <c r="O4" s="5" t="s">
        <v>1</v>
      </c>
      <c r="Q4" s="3" t="s">
        <v>1</v>
      </c>
    </row>
    <row r="5" spans="1:17" ht="21" customHeight="1">
      <c r="A5" s="2"/>
      <c r="B5" s="2665" t="s">
        <v>3</v>
      </c>
      <c r="C5" s="2666"/>
      <c r="D5" s="2666"/>
      <c r="E5" s="2666"/>
      <c r="F5" s="2653" t="s">
        <v>12</v>
      </c>
      <c r="G5" s="2654"/>
      <c r="H5" s="2655"/>
      <c r="I5" s="2658" t="s">
        <v>217</v>
      </c>
      <c r="J5" s="2658" t="s">
        <v>218</v>
      </c>
      <c r="K5" s="2642" t="s">
        <v>215</v>
      </c>
      <c r="L5" s="2668" t="s">
        <v>216</v>
      </c>
      <c r="M5" s="2669" t="s">
        <v>219</v>
      </c>
      <c r="N5" s="2659" t="s">
        <v>14</v>
      </c>
      <c r="O5" s="2659" t="s">
        <v>178</v>
      </c>
      <c r="P5" s="2640" t="s">
        <v>213</v>
      </c>
      <c r="Q5" s="2642" t="s">
        <v>212</v>
      </c>
    </row>
    <row r="6" spans="1:17" ht="21" customHeight="1">
      <c r="A6" s="2"/>
      <c r="B6" s="2667"/>
      <c r="C6" s="2644"/>
      <c r="D6" s="2644"/>
      <c r="E6" s="2644"/>
      <c r="F6" s="21" t="s">
        <v>182</v>
      </c>
      <c r="G6" s="6" t="s">
        <v>181</v>
      </c>
      <c r="H6" s="6" t="s">
        <v>180</v>
      </c>
      <c r="I6" s="2643"/>
      <c r="J6" s="2643"/>
      <c r="K6" s="2643"/>
      <c r="L6" s="2660"/>
      <c r="M6" s="2670"/>
      <c r="N6" s="2660"/>
      <c r="O6" s="2660"/>
      <c r="P6" s="2641"/>
      <c r="Q6" s="2643"/>
    </row>
    <row r="7" spans="1:17" s="32" customFormat="1" ht="21.95" customHeight="1">
      <c r="A7" s="33"/>
      <c r="B7" s="69" t="s">
        <v>15</v>
      </c>
      <c r="C7" s="70"/>
      <c r="D7" s="70"/>
      <c r="E7" s="70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spans="1:17" s="32" customFormat="1" ht="21.95" customHeight="1">
      <c r="A8" s="33"/>
      <c r="B8" s="72"/>
      <c r="C8" s="70" t="s">
        <v>16</v>
      </c>
      <c r="D8" s="70"/>
      <c r="E8" s="70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</row>
    <row r="9" spans="1:17" s="32" customFormat="1" ht="21.95" customHeight="1">
      <c r="A9" s="33"/>
      <c r="B9" s="34"/>
      <c r="C9" s="31"/>
      <c r="D9" s="31"/>
      <c r="E9" s="35" t="s">
        <v>17</v>
      </c>
      <c r="F9" s="129">
        <v>530486207.92000002</v>
      </c>
      <c r="G9" s="129">
        <v>708594620.15999997</v>
      </c>
      <c r="H9" s="24">
        <f>256205985.2+147863308.35+108660563.33</f>
        <v>512729856.87999994</v>
      </c>
      <c r="I9" s="68">
        <f>250000000+155000000</f>
        <v>405000000</v>
      </c>
      <c r="J9" s="68">
        <f>150133838.1+113286366.95+3886925.15</f>
        <v>267307130.20000002</v>
      </c>
      <c r="K9" s="68">
        <f>+J9/I9*100</f>
        <v>66.001760543209883</v>
      </c>
      <c r="L9" s="68">
        <f>+ประมาณการรายรับ!P12+ประมาณการรายรับ!P13</f>
        <v>152677570.19</v>
      </c>
      <c r="M9" s="68">
        <f>+(L9-I9)/I9*100</f>
        <v>-62.301834520987654</v>
      </c>
      <c r="N9" s="68">
        <v>420250000</v>
      </c>
      <c r="O9" s="68">
        <v>462275000</v>
      </c>
      <c r="P9" s="152">
        <f>82032759.91+75105825.64</f>
        <v>157138585.55000001</v>
      </c>
      <c r="Q9" s="151">
        <f t="shared" ref="Q9:Q17" si="0">+P9/I9*100</f>
        <v>38.799650753086425</v>
      </c>
    </row>
    <row r="10" spans="1:17" s="32" customFormat="1" ht="21.95" customHeight="1">
      <c r="A10" s="33"/>
      <c r="B10" s="34"/>
      <c r="C10" s="31"/>
      <c r="D10" s="31"/>
      <c r="E10" s="35" t="s">
        <v>18</v>
      </c>
      <c r="F10" s="129">
        <v>19207318.109999999</v>
      </c>
      <c r="G10" s="129">
        <v>19448683.25</v>
      </c>
      <c r="H10" s="24">
        <v>17480288.41</v>
      </c>
      <c r="I10" s="68">
        <v>17000000</v>
      </c>
      <c r="J10" s="68">
        <v>0</v>
      </c>
      <c r="K10" s="68">
        <f t="shared" ref="K10:K17" si="1">+J10/I10*100</f>
        <v>0</v>
      </c>
      <c r="L10" s="68">
        <f>+ประมาณการรายรับ!P18</f>
        <v>0</v>
      </c>
      <c r="M10" s="68">
        <f t="shared" ref="M10:M17" si="2">+(L10-I10)/I10*100</f>
        <v>-100</v>
      </c>
      <c r="N10" s="68">
        <f>+I10</f>
        <v>17000000</v>
      </c>
      <c r="O10" s="68">
        <v>18000000</v>
      </c>
      <c r="P10" s="152">
        <v>0</v>
      </c>
      <c r="Q10" s="43">
        <f t="shared" si="0"/>
        <v>0</v>
      </c>
    </row>
    <row r="11" spans="1:17" s="32" customFormat="1" ht="21.95" customHeight="1">
      <c r="A11" s="33"/>
      <c r="B11" s="34"/>
      <c r="C11" s="31"/>
      <c r="D11" s="31"/>
      <c r="E11" s="36" t="s">
        <v>19</v>
      </c>
      <c r="F11" s="130">
        <v>1538817.06</v>
      </c>
      <c r="G11" s="130">
        <v>1644850</v>
      </c>
      <c r="H11" s="24">
        <v>1081750</v>
      </c>
      <c r="I11" s="68">
        <v>1500000</v>
      </c>
      <c r="J11" s="68">
        <v>1060291.5</v>
      </c>
      <c r="K11" s="68">
        <f t="shared" si="1"/>
        <v>70.686099999999996</v>
      </c>
      <c r="L11" s="68">
        <f>+ประมาณการรายรับ!P9</f>
        <v>0</v>
      </c>
      <c r="M11" s="68">
        <f t="shared" si="2"/>
        <v>-100</v>
      </c>
      <c r="N11" s="68">
        <v>1500000</v>
      </c>
      <c r="O11" s="68">
        <v>1500000</v>
      </c>
      <c r="P11" s="152">
        <v>9754</v>
      </c>
      <c r="Q11" s="151">
        <f t="shared" si="0"/>
        <v>0.65026666666666666</v>
      </c>
    </row>
    <row r="12" spans="1:17" s="32" customFormat="1" ht="21.95" customHeight="1">
      <c r="A12" s="33"/>
      <c r="B12" s="34"/>
      <c r="C12" s="31"/>
      <c r="D12" s="31"/>
      <c r="E12" s="35" t="s">
        <v>20</v>
      </c>
      <c r="F12" s="131">
        <v>317202709.10000002</v>
      </c>
      <c r="G12" s="131">
        <v>358071658.10000002</v>
      </c>
      <c r="H12" s="24">
        <v>335753903.76999998</v>
      </c>
      <c r="I12" s="68">
        <v>370000000</v>
      </c>
      <c r="J12" s="68">
        <v>184678628.63</v>
      </c>
      <c r="K12" s="68">
        <f t="shared" si="1"/>
        <v>49.913142872972969</v>
      </c>
      <c r="L12" s="68">
        <f>+ประมาณการรายรับ!P5</f>
        <v>101318550.87</v>
      </c>
      <c r="M12" s="68">
        <f t="shared" si="2"/>
        <v>-72.616607872972978</v>
      </c>
      <c r="N12" s="68">
        <v>370000000</v>
      </c>
      <c r="O12" s="68">
        <v>370000000</v>
      </c>
      <c r="P12" s="152">
        <v>91062438.140000001</v>
      </c>
      <c r="Q12" s="151">
        <f t="shared" si="0"/>
        <v>24.611469767567566</v>
      </c>
    </row>
    <row r="13" spans="1:17" s="32" customFormat="1" ht="21.95" customHeight="1">
      <c r="A13" s="33"/>
      <c r="B13" s="34"/>
      <c r="C13" s="31"/>
      <c r="D13" s="31"/>
      <c r="E13" s="35" t="s">
        <v>21</v>
      </c>
      <c r="F13" s="131">
        <v>80308337.230000004</v>
      </c>
      <c r="G13" s="131">
        <v>199068334.88999999</v>
      </c>
      <c r="H13" s="24">
        <v>113391295.02</v>
      </c>
      <c r="I13" s="68">
        <v>140000000</v>
      </c>
      <c r="J13" s="68">
        <v>59921807.07</v>
      </c>
      <c r="K13" s="68">
        <f t="shared" si="1"/>
        <v>42.801290764285717</v>
      </c>
      <c r="L13" s="68">
        <f>+ประมาณการรายรับ!P6</f>
        <v>30508548.23</v>
      </c>
      <c r="M13" s="68">
        <f t="shared" si="2"/>
        <v>-78.20817983571429</v>
      </c>
      <c r="N13" s="68">
        <v>140000000</v>
      </c>
      <c r="O13" s="68">
        <v>140000000</v>
      </c>
      <c r="P13" s="152">
        <v>28464879.370000001</v>
      </c>
      <c r="Q13" s="151">
        <f t="shared" si="0"/>
        <v>20.332056692857144</v>
      </c>
    </row>
    <row r="14" spans="1:17" s="32" customFormat="1" ht="21.95" customHeight="1">
      <c r="A14" s="33"/>
      <c r="B14" s="34"/>
      <c r="C14" s="31"/>
      <c r="D14" s="31"/>
      <c r="E14" s="36" t="s">
        <v>22</v>
      </c>
      <c r="F14" s="131">
        <v>33519999.82</v>
      </c>
      <c r="G14" s="131">
        <v>34138822.619999997</v>
      </c>
      <c r="H14" s="24">
        <v>33388979.420000002</v>
      </c>
      <c r="I14" s="68">
        <v>40000000</v>
      </c>
      <c r="J14" s="68">
        <v>34162533.93</v>
      </c>
      <c r="K14" s="68">
        <f t="shared" si="1"/>
        <v>85.406334825000002</v>
      </c>
      <c r="L14" s="68">
        <f>+ประมาณการรายรับ!P8</f>
        <v>49241185.75</v>
      </c>
      <c r="M14" s="68">
        <f t="shared" si="2"/>
        <v>23.102964375000003</v>
      </c>
      <c r="N14" s="68">
        <v>40000000</v>
      </c>
      <c r="O14" s="68">
        <v>40000000</v>
      </c>
      <c r="P14" s="152">
        <v>33589840.93</v>
      </c>
      <c r="Q14" s="151">
        <f t="shared" si="0"/>
        <v>83.974602325000006</v>
      </c>
    </row>
    <row r="15" spans="1:17" s="32" customFormat="1" ht="21.95" customHeight="1">
      <c r="A15" s="33"/>
      <c r="B15" s="34"/>
      <c r="C15" s="31"/>
      <c r="D15" s="31"/>
      <c r="E15" s="36" t="s">
        <v>23</v>
      </c>
      <c r="F15" s="131">
        <v>319777344.06999999</v>
      </c>
      <c r="G15" s="131">
        <v>424079959.12</v>
      </c>
      <c r="H15" s="24">
        <f>294588801.48+8298890.2</f>
        <v>302887691.68000001</v>
      </c>
      <c r="I15" s="68">
        <v>340000000</v>
      </c>
      <c r="J15" s="68">
        <v>205413626.63999999</v>
      </c>
      <c r="K15" s="68">
        <f t="shared" si="1"/>
        <v>60.415772541176473</v>
      </c>
      <c r="L15" s="68">
        <f>+ประมาณการรายรับ!P14</f>
        <v>89799428.819999993</v>
      </c>
      <c r="M15" s="68">
        <f t="shared" si="2"/>
        <v>-73.588403288235298</v>
      </c>
      <c r="N15" s="68">
        <v>357000000</v>
      </c>
      <c r="O15" s="68">
        <v>382000000</v>
      </c>
      <c r="P15" s="152">
        <v>110219054.31999999</v>
      </c>
      <c r="Q15" s="151">
        <f t="shared" si="0"/>
        <v>32.417368917647053</v>
      </c>
    </row>
    <row r="16" spans="1:17" s="32" customFormat="1" ht="21.95" customHeight="1">
      <c r="A16" s="33"/>
      <c r="B16" s="34"/>
      <c r="C16" s="31"/>
      <c r="D16" s="31"/>
      <c r="E16" s="36" t="s">
        <v>24</v>
      </c>
      <c r="F16" s="131">
        <v>52237456.57</v>
      </c>
      <c r="G16" s="131">
        <v>59446164.280000001</v>
      </c>
      <c r="H16" s="24">
        <v>53074741.299999997</v>
      </c>
      <c r="I16" s="68">
        <v>63000000</v>
      </c>
      <c r="J16" s="68">
        <v>32355624.920000002</v>
      </c>
      <c r="K16" s="68">
        <f t="shared" si="1"/>
        <v>51.358134793650798</v>
      </c>
      <c r="L16" s="68">
        <f>+ประมาณการรายรับ!P16</f>
        <v>17533964.920000002</v>
      </c>
      <c r="M16" s="68">
        <f t="shared" si="2"/>
        <v>-72.168309650793645</v>
      </c>
      <c r="N16" s="68">
        <v>64890000</v>
      </c>
      <c r="O16" s="68">
        <v>66836700</v>
      </c>
      <c r="P16" s="152">
        <v>15213104.98</v>
      </c>
      <c r="Q16" s="151">
        <f t="shared" si="0"/>
        <v>24.147785682539684</v>
      </c>
    </row>
    <row r="17" spans="1:18" s="32" customFormat="1" ht="21.95" customHeight="1">
      <c r="A17" s="33"/>
      <c r="B17" s="34"/>
      <c r="C17" s="31"/>
      <c r="D17" s="31"/>
      <c r="E17" s="36" t="s">
        <v>25</v>
      </c>
      <c r="F17" s="131">
        <v>306617962.72000003</v>
      </c>
      <c r="G17" s="131">
        <v>393883511.29000002</v>
      </c>
      <c r="H17" s="24">
        <f>1774113364.95+152985171.02-(H9+H10+H11+H12+H13+H14+H15+H16)-H21-H22-H23</f>
        <v>496650325.08000028</v>
      </c>
      <c r="I17" s="68">
        <f>1969000000-(I9+I10+I11+I12+I13+I14+I15+I16)-I21-I22-I23</f>
        <v>491000000</v>
      </c>
      <c r="J17" s="68">
        <f>1615290+215736235.03+20157485.24</f>
        <v>237509010.27000001</v>
      </c>
      <c r="K17" s="68">
        <f t="shared" si="1"/>
        <v>48.37250718329939</v>
      </c>
      <c r="L17" s="174">
        <f>+ประมาณการรายรับ!P10+ประมาณการรายรับ!P11+ประมาณการรายรับ!P15</f>
        <v>131393860.56</v>
      </c>
      <c r="M17" s="68">
        <f t="shared" si="2"/>
        <v>-73.239539600814666</v>
      </c>
      <c r="N17" s="68">
        <v>490000000</v>
      </c>
      <c r="O17" s="68">
        <v>490000000</v>
      </c>
      <c r="P17" s="152">
        <f>104712808.69+9364522.61+764700</f>
        <v>114842031.3</v>
      </c>
      <c r="Q17" s="151">
        <f t="shared" si="0"/>
        <v>23.389415743380855</v>
      </c>
    </row>
    <row r="18" spans="1:18" s="32" customFormat="1" ht="21.95" customHeight="1">
      <c r="A18" s="33"/>
      <c r="B18" s="34"/>
      <c r="C18" s="70" t="s">
        <v>26</v>
      </c>
      <c r="D18" s="70"/>
      <c r="E18" s="74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</row>
    <row r="19" spans="1:18" s="32" customFormat="1" ht="21.95" customHeight="1">
      <c r="A19" s="33"/>
      <c r="B19" s="34"/>
      <c r="C19" s="31"/>
      <c r="D19" s="31"/>
      <c r="E19" s="36" t="s">
        <v>27</v>
      </c>
      <c r="F19" s="132">
        <v>0</v>
      </c>
      <c r="G19" s="132">
        <v>0</v>
      </c>
      <c r="H19" s="24">
        <v>0</v>
      </c>
      <c r="I19" s="68">
        <v>0</v>
      </c>
      <c r="J19" s="68">
        <v>0</v>
      </c>
      <c r="K19" s="68"/>
      <c r="L19" s="68">
        <v>0</v>
      </c>
      <c r="M19" s="68"/>
      <c r="N19" s="68">
        <v>0</v>
      </c>
      <c r="O19" s="68">
        <v>0</v>
      </c>
      <c r="P19" s="43"/>
      <c r="Q19" s="43"/>
    </row>
    <row r="20" spans="1:18" s="32" customFormat="1" ht="21.95" customHeight="1">
      <c r="A20" s="33"/>
      <c r="B20" s="34"/>
      <c r="C20" s="31"/>
      <c r="D20" s="31"/>
      <c r="E20" s="36" t="s">
        <v>28</v>
      </c>
      <c r="F20" s="132">
        <v>0</v>
      </c>
      <c r="G20" s="132">
        <v>0</v>
      </c>
      <c r="H20" s="24">
        <v>0</v>
      </c>
      <c r="I20" s="68">
        <v>0</v>
      </c>
      <c r="J20" s="68">
        <v>0</v>
      </c>
      <c r="K20" s="68"/>
      <c r="L20" s="68">
        <v>0</v>
      </c>
      <c r="M20" s="68"/>
      <c r="N20" s="68">
        <v>0</v>
      </c>
      <c r="O20" s="68">
        <v>0</v>
      </c>
      <c r="P20" s="43"/>
      <c r="Q20" s="43"/>
    </row>
    <row r="21" spans="1:18" s="32" customFormat="1" ht="21.95" customHeight="1">
      <c r="A21" s="33"/>
      <c r="B21" s="34"/>
      <c r="C21" s="31"/>
      <c r="D21" s="31"/>
      <c r="E21" s="36" t="s">
        <v>29</v>
      </c>
      <c r="F21" s="7">
        <v>24490529.170000002</v>
      </c>
      <c r="G21" s="7">
        <v>23281928.710000001</v>
      </c>
      <c r="H21" s="24">
        <v>39570973.75</v>
      </c>
      <c r="I21" s="68">
        <v>80000000</v>
      </c>
      <c r="J21" s="68">
        <v>33693691.200000003</v>
      </c>
      <c r="K21" s="68">
        <f>+J21/I21*100</f>
        <v>42.117114000000008</v>
      </c>
      <c r="L21" s="68">
        <f>+ประมาณการรายรับ!P20</f>
        <v>99899938.140000001</v>
      </c>
      <c r="M21" s="68">
        <f>+(L21-I21)/I21*100</f>
        <v>24.874922675000001</v>
      </c>
      <c r="N21" s="68">
        <v>80000000</v>
      </c>
      <c r="O21" s="68">
        <v>80000000</v>
      </c>
      <c r="P21" s="152">
        <v>20382897.199999999</v>
      </c>
      <c r="Q21" s="151">
        <f>+P21/I21*100</f>
        <v>25.478621499999999</v>
      </c>
    </row>
    <row r="22" spans="1:18" s="32" customFormat="1" ht="21.95" customHeight="1">
      <c r="A22" s="33"/>
      <c r="B22" s="34"/>
      <c r="C22" s="31"/>
      <c r="D22" s="31"/>
      <c r="E22" s="36" t="s">
        <v>30</v>
      </c>
      <c r="F22" s="7">
        <v>365997.15</v>
      </c>
      <c r="G22" s="7">
        <v>706946.53</v>
      </c>
      <c r="H22" s="24">
        <v>2022594.46</v>
      </c>
      <c r="I22" s="68">
        <v>1500000</v>
      </c>
      <c r="J22" s="68">
        <v>1426104.77</v>
      </c>
      <c r="K22" s="68">
        <f>+J22/I22*100</f>
        <v>95.073651333333331</v>
      </c>
      <c r="L22" s="68">
        <f>+ประมาณการรายรับ!P17</f>
        <v>1097157.96</v>
      </c>
      <c r="M22" s="68">
        <f>+(L22-I22)/I22*100</f>
        <v>-26.856136000000003</v>
      </c>
      <c r="N22" s="68">
        <v>1000000</v>
      </c>
      <c r="O22" s="68">
        <f>+N22</f>
        <v>1000000</v>
      </c>
      <c r="P22" s="152">
        <v>1240872.19</v>
      </c>
      <c r="Q22" s="151">
        <f>+P22/I22*100</f>
        <v>82.724812666666665</v>
      </c>
    </row>
    <row r="23" spans="1:18" s="32" customFormat="1" ht="21.95" customHeight="1">
      <c r="A23" s="33"/>
      <c r="B23" s="34"/>
      <c r="C23" s="31"/>
      <c r="D23" s="31"/>
      <c r="E23" s="36" t="s">
        <v>31</v>
      </c>
      <c r="F23" s="7">
        <f>20906672.21-732637</f>
        <v>20174035.210000001</v>
      </c>
      <c r="G23" s="7">
        <v>19066649.559999999</v>
      </c>
      <c r="H23" s="24">
        <v>19066136.199999999</v>
      </c>
      <c r="I23" s="68">
        <v>20000000</v>
      </c>
      <c r="J23" s="68">
        <v>10961291.880000001</v>
      </c>
      <c r="K23" s="68">
        <f>+J23/I23*100</f>
        <v>54.806459400000008</v>
      </c>
      <c r="L23" s="68">
        <f>+ประมาณการรายรับ!P19</f>
        <v>10121037.18</v>
      </c>
      <c r="M23" s="68">
        <f>+(L23-I23)/I23*100</f>
        <v>-49.394814099999998</v>
      </c>
      <c r="N23" s="68">
        <v>20000000</v>
      </c>
      <c r="O23" s="68">
        <v>20000000</v>
      </c>
      <c r="P23" s="152">
        <v>4684540.2</v>
      </c>
      <c r="Q23" s="151">
        <f>+P23/I23*100</f>
        <v>23.422701</v>
      </c>
    </row>
    <row r="24" spans="1:18" s="32" customFormat="1" ht="21.95" customHeight="1">
      <c r="A24" s="33"/>
      <c r="B24" s="34"/>
      <c r="C24" s="38"/>
      <c r="D24" s="38"/>
      <c r="E24" s="153" t="s">
        <v>32</v>
      </c>
      <c r="F24" s="154">
        <f>SUM(F9:F23)</f>
        <v>1705926714.1300001</v>
      </c>
      <c r="G24" s="154">
        <f>SUM(G9:G23)</f>
        <v>2241432128.5100002</v>
      </c>
      <c r="H24" s="154">
        <f>SUM(H9:H23)</f>
        <v>1927098535.97</v>
      </c>
      <c r="I24" s="154">
        <f>SUM(I9:I23)</f>
        <v>1969000000</v>
      </c>
      <c r="J24" s="154">
        <f>SUM(J9:J23)</f>
        <v>1068489741.01</v>
      </c>
      <c r="K24" s="154">
        <f>+J24/I24*100</f>
        <v>54.265603911122398</v>
      </c>
      <c r="L24" s="154">
        <f>SUM(L9:L23)</f>
        <v>683591242.62</v>
      </c>
      <c r="M24" s="177">
        <f>+(L24-I24)/I24*100</f>
        <v>-65.282313731843573</v>
      </c>
      <c r="N24" s="154">
        <f>SUM(N9:N23)</f>
        <v>2001640000</v>
      </c>
      <c r="O24" s="154">
        <f>SUM(O9:O23)</f>
        <v>2071611700</v>
      </c>
      <c r="P24" s="154">
        <f>SUM(P9:P23)</f>
        <v>576847998.18000019</v>
      </c>
      <c r="Q24" s="155">
        <f>+P24/I24*100</f>
        <v>29.296495590655162</v>
      </c>
      <c r="R24" s="157"/>
    </row>
    <row r="25" spans="1:18" s="32" customFormat="1" ht="21.95" customHeight="1">
      <c r="A25" s="33"/>
      <c r="B25" s="75" t="s">
        <v>33</v>
      </c>
      <c r="C25" s="70"/>
      <c r="D25" s="70"/>
      <c r="E25" s="74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6" spans="1:18" s="32" customFormat="1" ht="21.95" customHeight="1">
      <c r="A26" s="33"/>
      <c r="B26" s="75"/>
      <c r="C26" s="76" t="s">
        <v>34</v>
      </c>
      <c r="D26" s="70"/>
      <c r="E26" s="74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spans="1:18" s="32" customFormat="1" ht="21.95" customHeight="1">
      <c r="A27" s="33"/>
      <c r="B27" s="40"/>
      <c r="C27" s="39"/>
      <c r="D27" s="31"/>
      <c r="E27" s="36" t="s">
        <v>35</v>
      </c>
      <c r="F27" s="7">
        <v>180533834.22999999</v>
      </c>
      <c r="G27" s="7">
        <v>188204023.53</v>
      </c>
      <c r="H27" s="24">
        <v>188464884.25</v>
      </c>
      <c r="I27" s="68">
        <v>195000000</v>
      </c>
      <c r="J27" s="68">
        <v>94467538.909999996</v>
      </c>
      <c r="K27" s="68">
        <f t="shared" ref="K27:K48" si="3">+J27/I27*100</f>
        <v>48.444891748717943</v>
      </c>
      <c r="L27" s="68">
        <f>+รายละเอียดรายจ่าย!Y5</f>
        <v>205000000</v>
      </c>
      <c r="M27" s="68">
        <f>+(L27-I27)/I27*100</f>
        <v>5.1282051282051277</v>
      </c>
      <c r="N27" s="139">
        <f>+I27*0.04+I27</f>
        <v>202800000</v>
      </c>
      <c r="O27" s="139">
        <f>+N27*0.04+N27</f>
        <v>210912000</v>
      </c>
      <c r="P27" s="152">
        <v>47953471.240000002</v>
      </c>
      <c r="Q27" s="151">
        <f>+P27/I27*100</f>
        <v>24.591523712820514</v>
      </c>
    </row>
    <row r="28" spans="1:18" s="32" customFormat="1" ht="21.95" customHeight="1">
      <c r="A28" s="33"/>
      <c r="B28" s="40"/>
      <c r="C28" s="39"/>
      <c r="D28" s="31"/>
      <c r="E28" s="36" t="s">
        <v>83</v>
      </c>
      <c r="F28" s="68">
        <v>0</v>
      </c>
      <c r="G28" s="68">
        <v>0</v>
      </c>
      <c r="H28" s="24">
        <v>0</v>
      </c>
      <c r="I28" s="68">
        <v>0</v>
      </c>
      <c r="J28" s="68">
        <v>0</v>
      </c>
      <c r="K28" s="68"/>
      <c r="L28" s="68">
        <v>0</v>
      </c>
      <c r="M28" s="68"/>
      <c r="N28" s="68">
        <v>0</v>
      </c>
      <c r="O28" s="68">
        <v>0</v>
      </c>
      <c r="P28" s="152"/>
      <c r="Q28" s="151">
        <v>0</v>
      </c>
    </row>
    <row r="29" spans="1:18" s="32" customFormat="1" ht="21.95" customHeight="1">
      <c r="B29" s="41"/>
      <c r="C29" s="42"/>
      <c r="D29" s="43"/>
      <c r="E29" s="36" t="s">
        <v>120</v>
      </c>
      <c r="F29" s="133">
        <v>31484140</v>
      </c>
      <c r="G29" s="133">
        <v>30139045</v>
      </c>
      <c r="H29" s="24">
        <v>26605920</v>
      </c>
      <c r="I29" s="68">
        <v>30000000</v>
      </c>
      <c r="J29" s="68">
        <v>29945470</v>
      </c>
      <c r="K29" s="68">
        <f t="shared" si="3"/>
        <v>99.818233333333325</v>
      </c>
      <c r="L29" s="68">
        <v>40000000</v>
      </c>
      <c r="M29" s="68">
        <f t="shared" ref="M29:M48" si="4">+(L29-I29)/I29*100</f>
        <v>33.333333333333329</v>
      </c>
      <c r="N29" s="139">
        <v>30000000</v>
      </c>
      <c r="O29" s="139">
        <v>30000000</v>
      </c>
      <c r="P29" s="159">
        <v>17331340</v>
      </c>
      <c r="Q29" s="151">
        <f>+P29/I29*100</f>
        <v>57.771133333333339</v>
      </c>
    </row>
    <row r="30" spans="1:18" s="32" customFormat="1" ht="21.95" customHeight="1">
      <c r="B30" s="41"/>
      <c r="C30" s="42"/>
      <c r="D30" s="43"/>
      <c r="E30" s="36" t="s">
        <v>36</v>
      </c>
      <c r="F30" s="7">
        <v>1167600</v>
      </c>
      <c r="G30" s="7">
        <v>10385000</v>
      </c>
      <c r="H30" s="24">
        <v>10495200</v>
      </c>
      <c r="I30" s="68">
        <v>10960000</v>
      </c>
      <c r="J30" s="68">
        <v>5346600</v>
      </c>
      <c r="K30" s="68">
        <f t="shared" si="3"/>
        <v>48.782846715328468</v>
      </c>
      <c r="L30" s="68">
        <f>+รายละเอียดรายจ่าย!Y130</f>
        <v>11136000</v>
      </c>
      <c r="M30" s="68">
        <f t="shared" si="4"/>
        <v>1.6058394160583942</v>
      </c>
      <c r="N30" s="139">
        <v>11000000</v>
      </c>
      <c r="O30" s="139">
        <f>+N30</f>
        <v>11000000</v>
      </c>
      <c r="P30" s="159">
        <v>2687000</v>
      </c>
      <c r="Q30" s="151">
        <f>+P30/I30*100</f>
        <v>24.516423357664234</v>
      </c>
    </row>
    <row r="31" spans="1:18" s="32" customFormat="1" ht="21.95" customHeight="1">
      <c r="B31" s="41"/>
      <c r="C31" s="42"/>
      <c r="D31" s="43"/>
      <c r="E31" s="36" t="s">
        <v>37</v>
      </c>
      <c r="F31" s="68">
        <v>0</v>
      </c>
      <c r="G31" s="68">
        <v>0</v>
      </c>
      <c r="H31" s="24">
        <v>0</v>
      </c>
      <c r="I31" s="68">
        <v>0</v>
      </c>
      <c r="J31" s="68">
        <v>0</v>
      </c>
      <c r="K31" s="68"/>
      <c r="L31" s="68">
        <v>0</v>
      </c>
      <c r="M31" s="68"/>
      <c r="N31" s="139">
        <v>0</v>
      </c>
      <c r="O31" s="139">
        <v>0</v>
      </c>
      <c r="P31" s="152"/>
      <c r="Q31" s="151">
        <v>0</v>
      </c>
    </row>
    <row r="32" spans="1:18" s="32" customFormat="1" ht="21.95" customHeight="1">
      <c r="B32" s="41"/>
      <c r="C32" s="42"/>
      <c r="D32" s="43"/>
      <c r="E32" s="36" t="s">
        <v>38</v>
      </c>
      <c r="F32" s="7">
        <v>10193251</v>
      </c>
      <c r="G32" s="7">
        <v>5202971</v>
      </c>
      <c r="H32" s="24">
        <v>8605550.9800000004</v>
      </c>
      <c r="I32" s="68">
        <v>41200000</v>
      </c>
      <c r="J32" s="68">
        <v>17747007</v>
      </c>
      <c r="K32" s="68">
        <f t="shared" si="3"/>
        <v>43.07525970873786</v>
      </c>
      <c r="L32" s="68">
        <f>+รายละเอียดรายจ่าย!Y10</f>
        <v>41200000</v>
      </c>
      <c r="M32" s="68">
        <f t="shared" si="4"/>
        <v>0</v>
      </c>
      <c r="N32" s="139">
        <f>+I32</f>
        <v>41200000</v>
      </c>
      <c r="O32" s="139">
        <f>+N32</f>
        <v>41200000</v>
      </c>
      <c r="P32" s="152">
        <v>17747007</v>
      </c>
      <c r="Q32" s="151">
        <f>+P32/I32*100</f>
        <v>43.07525970873786</v>
      </c>
    </row>
    <row r="33" spans="2:17" s="32" customFormat="1" ht="21.95" customHeight="1">
      <c r="B33" s="41"/>
      <c r="C33" s="42"/>
      <c r="D33" s="43"/>
      <c r="E33" s="36" t="s">
        <v>39</v>
      </c>
      <c r="F33" s="68">
        <v>0</v>
      </c>
      <c r="G33" s="68">
        <v>0</v>
      </c>
      <c r="H33" s="24">
        <v>225000</v>
      </c>
      <c r="I33" s="68">
        <v>300000</v>
      </c>
      <c r="J33" s="68">
        <v>0</v>
      </c>
      <c r="K33" s="68">
        <f t="shared" si="3"/>
        <v>0</v>
      </c>
      <c r="L33" s="68">
        <f>+รายละเอียดรายจ่าย!Y13</f>
        <v>300000</v>
      </c>
      <c r="M33" s="68">
        <f t="shared" si="4"/>
        <v>0</v>
      </c>
      <c r="N33" s="68">
        <f>+I33</f>
        <v>300000</v>
      </c>
      <c r="O33" s="68">
        <f>+N33</f>
        <v>300000</v>
      </c>
      <c r="P33" s="152">
        <v>0</v>
      </c>
      <c r="Q33" s="151">
        <f>+P33/I33*100</f>
        <v>0</v>
      </c>
    </row>
    <row r="34" spans="2:17" s="32" customFormat="1" ht="21.95" customHeight="1">
      <c r="B34" s="41"/>
      <c r="C34" s="42"/>
      <c r="D34" s="43"/>
      <c r="E34" s="36" t="s">
        <v>86</v>
      </c>
      <c r="F34" s="2656">
        <v>278309970.18000001</v>
      </c>
      <c r="G34" s="2656">
        <f>340999774.4-G29-G30</f>
        <v>300475729.39999998</v>
      </c>
      <c r="H34" s="2661">
        <f>367202135.79+10495200-H29-H30</f>
        <v>340596215.79000002</v>
      </c>
      <c r="I34" s="2663">
        <f>432000000+10960000-I29-I30</f>
        <v>402000000</v>
      </c>
      <c r="J34" s="2663">
        <f>216192538.77-J29</f>
        <v>186247068.77000001</v>
      </c>
      <c r="K34" s="2663">
        <f t="shared" si="3"/>
        <v>46.330116609452737</v>
      </c>
      <c r="L34" s="2663">
        <f>432000000-L29</f>
        <v>392000000</v>
      </c>
      <c r="M34" s="2663">
        <f t="shared" si="4"/>
        <v>-2.4875621890547266</v>
      </c>
      <c r="N34" s="2663">
        <v>402000000</v>
      </c>
      <c r="O34" s="2663">
        <v>402000000</v>
      </c>
      <c r="P34" s="2649">
        <f>107757770.55-P29</f>
        <v>90426430.549999997</v>
      </c>
      <c r="Q34" s="2645">
        <f>+P34/I34*100</f>
        <v>22.494136952736319</v>
      </c>
    </row>
    <row r="35" spans="2:17" s="32" customFormat="1" ht="21.95" customHeight="1">
      <c r="B35" s="40"/>
      <c r="C35" s="39"/>
      <c r="D35" s="31"/>
      <c r="E35" s="36" t="s">
        <v>40</v>
      </c>
      <c r="F35" s="2657"/>
      <c r="G35" s="2657"/>
      <c r="H35" s="2662"/>
      <c r="I35" s="2664"/>
      <c r="J35" s="2664"/>
      <c r="K35" s="2664"/>
      <c r="L35" s="2664"/>
      <c r="M35" s="2664"/>
      <c r="N35" s="2664"/>
      <c r="O35" s="2664"/>
      <c r="P35" s="2650"/>
      <c r="Q35" s="2646"/>
    </row>
    <row r="36" spans="2:17" s="32" customFormat="1" ht="21.95" customHeight="1">
      <c r="B36" s="40"/>
      <c r="C36" s="39"/>
      <c r="D36" s="31"/>
      <c r="E36" s="36" t="s">
        <v>78</v>
      </c>
      <c r="F36" s="7">
        <v>709725</v>
      </c>
      <c r="G36" s="7">
        <f>868400+299500+618600+9852500</f>
        <v>11639000</v>
      </c>
      <c r="H36" s="24">
        <f>555000+295380+1278500</f>
        <v>2128880</v>
      </c>
      <c r="I36" s="68">
        <f>550000+300000+1250000+100000</f>
        <v>2200000</v>
      </c>
      <c r="J36" s="68">
        <f>255000+105500+1035900</f>
        <v>1396400</v>
      </c>
      <c r="K36" s="68">
        <f t="shared" si="3"/>
        <v>63.472727272727269</v>
      </c>
      <c r="L36" s="68">
        <f>+รายละเอียดรายจ่าย!Y8+รายละเอียดรายจ่าย!Y11+รายละเอียดรายจ่าย!Y12+รายละเอียดรายจ่าย!Y15</f>
        <v>2200000</v>
      </c>
      <c r="M36" s="68">
        <f t="shared" si="4"/>
        <v>0</v>
      </c>
      <c r="N36" s="68">
        <v>2000000</v>
      </c>
      <c r="O36" s="68">
        <v>2000000</v>
      </c>
      <c r="P36" s="152">
        <f>130000+586800+46400</f>
        <v>763200</v>
      </c>
      <c r="Q36" s="151">
        <f>+P36/I36*100</f>
        <v>34.690909090909088</v>
      </c>
    </row>
    <row r="37" spans="2:17" s="176" customFormat="1" ht="21.95" customHeight="1">
      <c r="B37" s="169"/>
      <c r="C37" s="145"/>
      <c r="D37" s="146"/>
      <c r="E37" s="147" t="s">
        <v>41</v>
      </c>
      <c r="F37" s="131">
        <v>88500</v>
      </c>
      <c r="G37" s="131">
        <v>223200</v>
      </c>
      <c r="H37" s="148">
        <f>189000+247200</f>
        <v>436200</v>
      </c>
      <c r="I37" s="149">
        <f>200000+300000</f>
        <v>500000</v>
      </c>
      <c r="J37" s="149">
        <v>66300</v>
      </c>
      <c r="K37" s="68">
        <f t="shared" si="3"/>
        <v>13.26</v>
      </c>
      <c r="L37" s="149">
        <f>+รายละเอียดรายจ่าย!Y9+รายละเอียดรายจ่าย!Y16</f>
        <v>500000</v>
      </c>
      <c r="M37" s="68">
        <f t="shared" si="4"/>
        <v>0</v>
      </c>
      <c r="N37" s="149">
        <v>500000</v>
      </c>
      <c r="O37" s="149">
        <v>500000</v>
      </c>
      <c r="P37" s="156">
        <v>46200</v>
      </c>
      <c r="Q37" s="151">
        <f>+P37/I37*100</f>
        <v>9.24</v>
      </c>
    </row>
    <row r="38" spans="2:17" s="32" customFormat="1" ht="21.95" customHeight="1">
      <c r="B38" s="41"/>
      <c r="C38" s="165" t="s">
        <v>42</v>
      </c>
      <c r="D38" s="166"/>
      <c r="E38" s="167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</row>
    <row r="39" spans="2:17" s="32" customFormat="1" ht="21.95" customHeight="1">
      <c r="B39" s="41"/>
      <c r="C39" s="31"/>
      <c r="D39" s="31"/>
      <c r="E39" s="37" t="s">
        <v>43</v>
      </c>
      <c r="F39" s="134">
        <v>381568335.67000002</v>
      </c>
      <c r="G39" s="134">
        <v>402783945.05000001</v>
      </c>
      <c r="H39" s="26">
        <v>423646772.83999997</v>
      </c>
      <c r="I39" s="68">
        <f>410000000+12000000</f>
        <v>422000000</v>
      </c>
      <c r="J39" s="68">
        <v>223446874.94999999</v>
      </c>
      <c r="K39" s="68">
        <f t="shared" si="3"/>
        <v>52.949496433649287</v>
      </c>
      <c r="L39" s="68">
        <f>+รายละเอียดรายจ่าย!Y155</f>
        <v>480000000</v>
      </c>
      <c r="M39" s="68">
        <f t="shared" si="4"/>
        <v>13.744075829383887</v>
      </c>
      <c r="N39" s="68">
        <f>438000000+13000000</f>
        <v>451000000</v>
      </c>
      <c r="O39" s="68">
        <f>470000000+14000000</f>
        <v>484000000</v>
      </c>
      <c r="P39" s="159">
        <v>113828659.47</v>
      </c>
      <c r="Q39" s="151">
        <f>+P39/I39*100</f>
        <v>26.973615988151657</v>
      </c>
    </row>
    <row r="40" spans="2:17" s="32" customFormat="1" ht="21.95" customHeight="1">
      <c r="B40" s="41"/>
      <c r="C40" s="39"/>
      <c r="D40" s="31"/>
      <c r="E40" s="37" t="s">
        <v>112</v>
      </c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</row>
    <row r="41" spans="2:17" s="32" customFormat="1" ht="21.95" customHeight="1">
      <c r="B41" s="41"/>
      <c r="C41" s="39"/>
      <c r="D41" s="43"/>
      <c r="E41" s="36" t="s">
        <v>45</v>
      </c>
      <c r="F41" s="135">
        <v>283383304.85000002</v>
      </c>
      <c r="G41" s="135">
        <v>269171871.07999998</v>
      </c>
      <c r="H41" s="25">
        <v>294582710.36000001</v>
      </c>
      <c r="I41" s="68">
        <v>278600000</v>
      </c>
      <c r="J41" s="68">
        <v>184615422.77000001</v>
      </c>
      <c r="K41" s="68">
        <f t="shared" si="3"/>
        <v>66.265406593682712</v>
      </c>
      <c r="L41" s="68">
        <f>+รายละเอียดรายจ่าย!Y163</f>
        <v>332850000</v>
      </c>
      <c r="M41" s="68">
        <f t="shared" si="4"/>
        <v>19.472361809045228</v>
      </c>
      <c r="N41" s="68">
        <f>+I41</f>
        <v>278600000</v>
      </c>
      <c r="O41" s="68">
        <f>+N41</f>
        <v>278600000</v>
      </c>
      <c r="P41" s="152">
        <v>88895304.400000006</v>
      </c>
      <c r="Q41" s="151">
        <f t="shared" ref="Q41:Q48" si="5">+P41/I41*100</f>
        <v>31.907862311557789</v>
      </c>
    </row>
    <row r="42" spans="2:17" s="32" customFormat="1" ht="21.95" customHeight="1">
      <c r="B42" s="41"/>
      <c r="C42" s="39"/>
      <c r="D42" s="43"/>
      <c r="E42" s="36" t="s">
        <v>46</v>
      </c>
      <c r="F42" s="135">
        <v>113598032.58</v>
      </c>
      <c r="G42" s="135">
        <v>173517852.77000001</v>
      </c>
      <c r="H42" s="25">
        <v>108302691.62</v>
      </c>
      <c r="I42" s="68">
        <f>1500000+29000000+2500000+2000000+62000000+3600000</f>
        <v>100600000</v>
      </c>
      <c r="J42" s="68">
        <v>51084516.140000001</v>
      </c>
      <c r="K42" s="68">
        <f t="shared" si="3"/>
        <v>50.779837117296225</v>
      </c>
      <c r="L42" s="175">
        <f>+รายละเอียดรายจ่าย!Y147</f>
        <v>115000000</v>
      </c>
      <c r="M42" s="68">
        <f t="shared" si="4"/>
        <v>14.314115308151093</v>
      </c>
      <c r="N42" s="68">
        <f>105000000+3600000+1500000</f>
        <v>110100000</v>
      </c>
      <c r="O42" s="68">
        <f>110000000+3600000+1500000</f>
        <v>115100000</v>
      </c>
      <c r="P42" s="152">
        <v>22290949.23</v>
      </c>
      <c r="Q42" s="151">
        <f t="shared" si="5"/>
        <v>22.158001222664016</v>
      </c>
    </row>
    <row r="43" spans="2:17" s="32" customFormat="1" ht="21.95" customHeight="1">
      <c r="B43" s="41"/>
      <c r="C43" s="39"/>
      <c r="D43" s="43"/>
      <c r="E43" s="36" t="s">
        <v>47</v>
      </c>
      <c r="F43" s="135">
        <v>4624692.5599999996</v>
      </c>
      <c r="G43" s="135">
        <v>5063862.54</v>
      </c>
      <c r="H43" s="25">
        <v>4860582.3600000003</v>
      </c>
      <c r="I43" s="68">
        <v>5000000</v>
      </c>
      <c r="J43" s="68">
        <v>4374958.88</v>
      </c>
      <c r="K43" s="68">
        <f t="shared" si="3"/>
        <v>87.499177599999996</v>
      </c>
      <c r="L43" s="68">
        <f>+รายละเอียดรายจ่าย!Y157</f>
        <v>8000000</v>
      </c>
      <c r="M43" s="68">
        <f t="shared" si="4"/>
        <v>60</v>
      </c>
      <c r="N43" s="68">
        <f>+I43</f>
        <v>5000000</v>
      </c>
      <c r="O43" s="68">
        <f>+N43</f>
        <v>5000000</v>
      </c>
      <c r="P43" s="159">
        <v>1699498.04</v>
      </c>
      <c r="Q43" s="151">
        <f t="shared" si="5"/>
        <v>33.989960799999999</v>
      </c>
    </row>
    <row r="44" spans="2:17" s="32" customFormat="1" ht="21.95" customHeight="1">
      <c r="B44" s="41"/>
      <c r="C44" s="39"/>
      <c r="D44" s="43"/>
      <c r="E44" s="36" t="s">
        <v>48</v>
      </c>
      <c r="F44" s="135">
        <v>8920065.0600000005</v>
      </c>
      <c r="G44" s="135">
        <v>7202711.8600000003</v>
      </c>
      <c r="H44" s="25">
        <v>10163306.949999999</v>
      </c>
      <c r="I44" s="68">
        <v>10000000</v>
      </c>
      <c r="J44" s="68">
        <v>5630163.2800000003</v>
      </c>
      <c r="K44" s="68">
        <f t="shared" si="3"/>
        <v>56.3016328</v>
      </c>
      <c r="L44" s="68">
        <f>+รายละเอียดรายจ่าย!Y158</f>
        <v>10000000</v>
      </c>
      <c r="M44" s="68">
        <f t="shared" si="4"/>
        <v>0</v>
      </c>
      <c r="N44" s="68">
        <f>+I44</f>
        <v>10000000</v>
      </c>
      <c r="O44" s="68">
        <f>+N44</f>
        <v>10000000</v>
      </c>
      <c r="P44" s="159">
        <v>1906294.56</v>
      </c>
      <c r="Q44" s="151">
        <f t="shared" si="5"/>
        <v>19.062945599999999</v>
      </c>
    </row>
    <row r="45" spans="2:17" s="32" customFormat="1" ht="21.95" customHeight="1">
      <c r="B45" s="41"/>
      <c r="C45" s="39"/>
      <c r="D45" s="43"/>
      <c r="E45" s="36" t="s">
        <v>49</v>
      </c>
      <c r="F45" s="135">
        <v>12301882</v>
      </c>
      <c r="G45" s="135">
        <v>2353159.4</v>
      </c>
      <c r="H45" s="25">
        <v>4427235.5</v>
      </c>
      <c r="I45" s="68">
        <v>14000000</v>
      </c>
      <c r="J45" s="68">
        <v>6825150</v>
      </c>
      <c r="K45" s="68">
        <f t="shared" si="3"/>
        <v>48.751071428571429</v>
      </c>
      <c r="L45" s="68">
        <f>+รายละเอียดรายจ่าย!Y159</f>
        <v>30000000</v>
      </c>
      <c r="M45" s="68">
        <f t="shared" si="4"/>
        <v>114.28571428571428</v>
      </c>
      <c r="N45" s="68">
        <f>+I45</f>
        <v>14000000</v>
      </c>
      <c r="O45" s="68">
        <f>+N45</f>
        <v>14000000</v>
      </c>
      <c r="P45" s="159">
        <v>3163628</v>
      </c>
      <c r="Q45" s="151">
        <f t="shared" si="5"/>
        <v>22.597342857142859</v>
      </c>
    </row>
    <row r="46" spans="2:17" s="32" customFormat="1" ht="21.95" customHeight="1">
      <c r="B46" s="41"/>
      <c r="C46" s="39"/>
      <c r="D46" s="31"/>
      <c r="E46" s="37" t="s">
        <v>118</v>
      </c>
      <c r="F46" s="7">
        <v>52239803.799999997</v>
      </c>
      <c r="G46" s="7">
        <v>52142381.509999998</v>
      </c>
      <c r="H46" s="24">
        <f>904032336.97-H41-H42-H43-H44-H45-H39</f>
        <v>58049037.340000033</v>
      </c>
      <c r="I46" s="68">
        <f>891600000-I41-I42-I43-I44-I45-I39</f>
        <v>61400000</v>
      </c>
      <c r="J46" s="68">
        <f>508399313.78-J39-J41-J42-J43-J44-J45</f>
        <v>32422227.759999968</v>
      </c>
      <c r="K46" s="68">
        <f t="shared" si="3"/>
        <v>52.804931205211666</v>
      </c>
      <c r="L46" s="68">
        <f>+รายละเอียดรายจ่าย!Y135-L39-L41-L42-L43-L44-L45</f>
        <v>74130000</v>
      </c>
      <c r="M46" s="68">
        <f t="shared" si="4"/>
        <v>20.732899022801302</v>
      </c>
      <c r="N46" s="68">
        <f>+I46</f>
        <v>61400000</v>
      </c>
      <c r="O46" s="68">
        <f>+N46</f>
        <v>61400000</v>
      </c>
      <c r="P46" s="159">
        <v>12888114.880000001</v>
      </c>
      <c r="Q46" s="151">
        <f t="shared" si="5"/>
        <v>20.990415114006517</v>
      </c>
    </row>
    <row r="47" spans="2:17" s="32" customFormat="1" ht="21.95" customHeight="1">
      <c r="B47" s="41"/>
      <c r="C47" s="39"/>
      <c r="D47" s="31"/>
      <c r="E47" s="37" t="s">
        <v>51</v>
      </c>
      <c r="F47" s="7">
        <v>46273598.899999999</v>
      </c>
      <c r="G47" s="7">
        <v>57251974.939999998</v>
      </c>
      <c r="H47" s="24">
        <v>64033302.310000002</v>
      </c>
      <c r="I47" s="68">
        <v>63200000</v>
      </c>
      <c r="J47" s="68">
        <v>28765949.420000002</v>
      </c>
      <c r="K47" s="68">
        <f t="shared" si="3"/>
        <v>45.51574275316456</v>
      </c>
      <c r="L47" s="68">
        <f>+รายละเอียดรายจ่าย!Y125</f>
        <v>70000000</v>
      </c>
      <c r="M47" s="68">
        <f t="shared" si="4"/>
        <v>10.759493670886076</v>
      </c>
      <c r="N47" s="68">
        <v>64000000</v>
      </c>
      <c r="O47" s="68">
        <v>64000000</v>
      </c>
      <c r="P47" s="152">
        <v>14127010.15</v>
      </c>
      <c r="Q47" s="151">
        <f t="shared" si="5"/>
        <v>22.352864161392404</v>
      </c>
    </row>
    <row r="48" spans="2:17" s="32" customFormat="1" ht="21.95" customHeight="1">
      <c r="B48" s="41"/>
      <c r="C48" s="39"/>
      <c r="D48" s="31"/>
      <c r="E48" s="37" t="s">
        <v>52</v>
      </c>
      <c r="F48" s="7">
        <v>143384959.49000001</v>
      </c>
      <c r="G48" s="7">
        <v>230607987.06</v>
      </c>
      <c r="H48" s="24">
        <v>170224752.50999999</v>
      </c>
      <c r="I48" s="68">
        <v>182776000</v>
      </c>
      <c r="J48" s="68">
        <v>112622051.33</v>
      </c>
      <c r="K48" s="68">
        <f t="shared" si="3"/>
        <v>61.617527098743821</v>
      </c>
      <c r="L48" s="68" t="e">
        <f>+รายละเอียดรายจ่าย!#REF!</f>
        <v>#REF!</v>
      </c>
      <c r="M48" s="68" t="e">
        <f t="shared" si="4"/>
        <v>#REF!</v>
      </c>
      <c r="N48" s="68">
        <f>+I48</f>
        <v>182776000</v>
      </c>
      <c r="O48" s="68">
        <f>+N48</f>
        <v>182776000</v>
      </c>
      <c r="P48" s="152">
        <v>64208414.890000001</v>
      </c>
      <c r="Q48" s="151">
        <f t="shared" si="5"/>
        <v>35.129565637720489</v>
      </c>
    </row>
    <row r="49" spans="2:18" s="32" customFormat="1" ht="21.95" customHeight="1">
      <c r="B49" s="41"/>
      <c r="C49" s="39"/>
      <c r="D49" s="31"/>
      <c r="E49" s="37" t="s">
        <v>53</v>
      </c>
      <c r="F49" s="136">
        <v>0</v>
      </c>
      <c r="G49" s="136">
        <v>0</v>
      </c>
      <c r="H49" s="24">
        <v>0</v>
      </c>
      <c r="I49" s="68">
        <v>0</v>
      </c>
      <c r="J49" s="68">
        <v>0</v>
      </c>
      <c r="K49" s="68"/>
      <c r="L49" s="68">
        <v>0</v>
      </c>
      <c r="M49" s="68"/>
      <c r="N49" s="68">
        <v>0</v>
      </c>
      <c r="O49" s="68">
        <v>0</v>
      </c>
      <c r="P49" s="43"/>
      <c r="Q49" s="43"/>
    </row>
    <row r="50" spans="2:18" s="32" customFormat="1" ht="21.95" customHeight="1">
      <c r="B50" s="41"/>
      <c r="C50" s="125" t="s">
        <v>108</v>
      </c>
      <c r="D50" s="126"/>
      <c r="E50" s="127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</row>
    <row r="51" spans="2:18" s="32" customFormat="1" ht="21.95" customHeight="1">
      <c r="B51" s="41"/>
      <c r="C51" s="39"/>
      <c r="D51" s="31"/>
      <c r="E51" s="39" t="s">
        <v>80</v>
      </c>
      <c r="F51" s="73"/>
      <c r="G51" s="73"/>
      <c r="H51" s="73"/>
      <c r="I51" s="77"/>
      <c r="J51" s="77"/>
      <c r="K51" s="77"/>
      <c r="L51" s="77"/>
      <c r="M51" s="77"/>
      <c r="N51" s="77"/>
      <c r="O51" s="77"/>
      <c r="P51" s="77"/>
      <c r="Q51" s="77"/>
      <c r="R51" s="44"/>
    </row>
    <row r="52" spans="2:18" s="32" customFormat="1" ht="21.95" customHeight="1">
      <c r="B52" s="41"/>
      <c r="C52" s="39"/>
      <c r="D52" s="31"/>
      <c r="E52" s="43" t="s">
        <v>115</v>
      </c>
      <c r="F52" s="24">
        <v>19207318.109999999</v>
      </c>
      <c r="G52" s="24">
        <v>18299059.25</v>
      </c>
      <c r="H52" s="24">
        <v>16655750</v>
      </c>
      <c r="I52" s="68">
        <v>17000000</v>
      </c>
      <c r="J52" s="68">
        <v>0</v>
      </c>
      <c r="K52" s="68"/>
      <c r="L52" s="68">
        <f>+รายละเอียดรายจ่าย!Y193</f>
        <v>16000000</v>
      </c>
      <c r="M52" s="68">
        <f>+(L52-I52)/I52*100</f>
        <v>-5.8823529411764701</v>
      </c>
      <c r="N52" s="68">
        <v>17000000</v>
      </c>
      <c r="O52" s="68">
        <v>18000000</v>
      </c>
      <c r="P52" s="158">
        <v>0</v>
      </c>
      <c r="Q52" s="151">
        <f>+P52/I52*100</f>
        <v>0</v>
      </c>
      <c r="R52" s="44"/>
    </row>
    <row r="53" spans="2:18" s="32" customFormat="1" ht="21.95" customHeight="1">
      <c r="B53" s="41"/>
      <c r="C53" s="39"/>
      <c r="D53" s="31"/>
      <c r="E53" s="43" t="s">
        <v>116</v>
      </c>
      <c r="F53" s="24">
        <v>22086315.170000002</v>
      </c>
      <c r="G53" s="24">
        <v>9966511.5</v>
      </c>
      <c r="H53" s="2663">
        <f>62031461.74-H52</f>
        <v>45375711.740000002</v>
      </c>
      <c r="I53" s="68">
        <v>0</v>
      </c>
      <c r="J53" s="68">
        <v>0</v>
      </c>
      <c r="K53" s="68"/>
      <c r="L53" s="68" t="e">
        <f>+รายละเอียดรายจ่าย!#REF!</f>
        <v>#REF!</v>
      </c>
      <c r="M53" s="68"/>
      <c r="N53" s="68">
        <v>0</v>
      </c>
      <c r="O53" s="68">
        <v>0</v>
      </c>
      <c r="P53" s="43"/>
      <c r="Q53" s="151"/>
      <c r="R53" s="44"/>
    </row>
    <row r="54" spans="2:18" s="32" customFormat="1" ht="21.95" customHeight="1">
      <c r="B54" s="41"/>
      <c r="C54" s="39"/>
      <c r="D54" s="31"/>
      <c r="E54" s="43" t="s">
        <v>117</v>
      </c>
      <c r="F54" s="24">
        <v>31693585.300000001</v>
      </c>
      <c r="G54" s="24">
        <f>50941596.51-G52</f>
        <v>32642537.259999998</v>
      </c>
      <c r="H54" s="2664"/>
      <c r="I54" s="68">
        <f>125588976.2-I52</f>
        <v>108588976.2</v>
      </c>
      <c r="J54" s="68">
        <v>24892105.98</v>
      </c>
      <c r="K54" s="68">
        <f>+J54/I54*100</f>
        <v>22.923234798856129</v>
      </c>
      <c r="L54" s="68" t="e">
        <f>+รายละเอียดรายจ่าย!Y178-L52-L53</f>
        <v>#REF!</v>
      </c>
      <c r="M54" s="68" t="e">
        <f>+(L54-I54)/I54*100</f>
        <v>#REF!</v>
      </c>
      <c r="N54" s="68">
        <v>19863290</v>
      </c>
      <c r="O54" s="68">
        <f>+'แผนลงทุน 3 ปี'!K313-O52</f>
        <v>199000000</v>
      </c>
      <c r="P54" s="152">
        <v>15572406.82</v>
      </c>
      <c r="Q54" s="151">
        <f>+P54/I54*100</f>
        <v>14.340688497991383</v>
      </c>
      <c r="R54" s="44"/>
    </row>
    <row r="55" spans="2:18" s="32" customFormat="1" ht="21.95" customHeight="1">
      <c r="B55" s="41"/>
      <c r="C55" s="39"/>
      <c r="D55" s="31"/>
      <c r="E55" s="39" t="s">
        <v>54</v>
      </c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</row>
    <row r="56" spans="2:18" s="32" customFormat="1" ht="21.95" customHeight="1">
      <c r="B56" s="41"/>
      <c r="C56" s="39"/>
      <c r="D56" s="31"/>
      <c r="E56" s="42" t="s">
        <v>109</v>
      </c>
      <c r="F56" s="137">
        <v>0</v>
      </c>
      <c r="G56" s="137">
        <v>0</v>
      </c>
      <c r="H56" s="24">
        <v>0</v>
      </c>
      <c r="I56" s="68">
        <v>0</v>
      </c>
      <c r="J56" s="68">
        <v>0</v>
      </c>
      <c r="K56" s="68"/>
      <c r="L56" s="68">
        <v>0</v>
      </c>
      <c r="M56" s="68"/>
      <c r="N56" s="68">
        <v>0</v>
      </c>
      <c r="O56" s="68">
        <v>0</v>
      </c>
      <c r="P56" s="43"/>
      <c r="Q56" s="43"/>
    </row>
    <row r="57" spans="2:18" s="32" customFormat="1" ht="21.95" customHeight="1">
      <c r="B57" s="41"/>
      <c r="C57" s="39"/>
      <c r="D57" s="31"/>
      <c r="E57" s="42" t="s">
        <v>110</v>
      </c>
      <c r="F57" s="137">
        <v>0</v>
      </c>
      <c r="G57" s="137">
        <v>0</v>
      </c>
      <c r="H57" s="24">
        <v>0</v>
      </c>
      <c r="I57" s="68">
        <v>0</v>
      </c>
      <c r="J57" s="68">
        <v>0</v>
      </c>
      <c r="K57" s="68"/>
      <c r="L57" s="68">
        <f>+รายละเอียดรายจ่าย!Y197</f>
        <v>24000000</v>
      </c>
      <c r="M57" s="68"/>
      <c r="N57" s="68">
        <v>10340000</v>
      </c>
      <c r="O57" s="68">
        <v>0</v>
      </c>
      <c r="P57" s="43"/>
      <c r="Q57" s="43"/>
    </row>
    <row r="58" spans="2:18" s="32" customFormat="1" ht="21.95" customHeight="1">
      <c r="B58" s="41"/>
      <c r="C58" s="39"/>
      <c r="D58" s="31"/>
      <c r="E58" s="42" t="s">
        <v>111</v>
      </c>
      <c r="F58" s="137">
        <v>0</v>
      </c>
      <c r="G58" s="24">
        <v>13265578</v>
      </c>
      <c r="H58" s="24">
        <v>0</v>
      </c>
      <c r="I58" s="68">
        <v>112480442.59999999</v>
      </c>
      <c r="J58" s="68">
        <v>0</v>
      </c>
      <c r="K58" s="68"/>
      <c r="L58" s="68">
        <f>+รายละเอียดรายจ่าย!Y196</f>
        <v>226026911.13999999</v>
      </c>
      <c r="M58" s="68">
        <f t="shared" ref="M58:M63" si="6">+(L58-I58)/I58*100</f>
        <v>100.94774337241094</v>
      </c>
      <c r="N58" s="68">
        <v>16844400</v>
      </c>
      <c r="O58" s="68"/>
      <c r="P58" s="158">
        <v>0</v>
      </c>
      <c r="Q58" s="151">
        <f>+P58/I58*100</f>
        <v>0</v>
      </c>
    </row>
    <row r="59" spans="2:18" s="32" customFormat="1" ht="21.95" customHeight="1">
      <c r="B59" s="45"/>
      <c r="C59" s="76" t="s">
        <v>107</v>
      </c>
      <c r="D59" s="70"/>
      <c r="E59" s="70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</row>
    <row r="60" spans="2:18" s="32" customFormat="1" ht="21.95" customHeight="1">
      <c r="B60" s="45"/>
      <c r="C60" s="39"/>
      <c r="D60" s="43" t="s">
        <v>119</v>
      </c>
      <c r="E60" s="43"/>
      <c r="F60" s="24">
        <f>8164178.01+2129000</f>
        <v>10293178.01</v>
      </c>
      <c r="G60" s="24">
        <f>8208166.77+64500</f>
        <v>8272666.7699999996</v>
      </c>
      <c r="H60" s="24">
        <f>127930+1102457.67+1099806.51+4230700</f>
        <v>6560894.1799999997</v>
      </c>
      <c r="I60" s="68">
        <f>600000+2000000</f>
        <v>2600000</v>
      </c>
      <c r="J60" s="68">
        <v>87000</v>
      </c>
      <c r="K60" s="68">
        <f>+J60/I60*100</f>
        <v>3.3461538461538458</v>
      </c>
      <c r="L60" s="68" t="e">
        <f>+รายละเอียดรายจ่าย!Y203+รายละเอียดรายจ่าย!#REF!</f>
        <v>#REF!</v>
      </c>
      <c r="M60" s="68" t="e">
        <f t="shared" si="6"/>
        <v>#REF!</v>
      </c>
      <c r="N60" s="68">
        <v>4000000</v>
      </c>
      <c r="O60" s="68">
        <v>4000000</v>
      </c>
      <c r="P60" s="43">
        <v>0</v>
      </c>
      <c r="Q60" s="43"/>
    </row>
    <row r="61" spans="2:18" s="32" customFormat="1" ht="21.95" customHeight="1">
      <c r="B61" s="45"/>
      <c r="C61" s="39"/>
      <c r="D61" s="32" t="s">
        <v>106</v>
      </c>
      <c r="E61" s="42"/>
      <c r="F61" s="24">
        <f>18494540.71-F60</f>
        <v>8201362.7000000011</v>
      </c>
      <c r="G61" s="24">
        <f>13567272.48-G60</f>
        <v>5294605.7100000009</v>
      </c>
      <c r="H61" s="24">
        <f>12299449.89-H60+4357500</f>
        <v>10096055.710000001</v>
      </c>
      <c r="I61" s="68">
        <f>8000000-I60</f>
        <v>5400000</v>
      </c>
      <c r="J61" s="68">
        <f>10722949.75-J60</f>
        <v>10635949.75</v>
      </c>
      <c r="K61" s="68">
        <f>+J61/I61*100</f>
        <v>196.96203240740741</v>
      </c>
      <c r="L61" s="68" t="e">
        <f>+รายละเอียดรายจ่าย!#REF!+รายละเอียดรายจ่าย!#REF!+รายละเอียดรายจ่าย!#REF!</f>
        <v>#REF!</v>
      </c>
      <c r="M61" s="68" t="e">
        <f t="shared" si="6"/>
        <v>#REF!</v>
      </c>
      <c r="N61" s="68">
        <v>6000000</v>
      </c>
      <c r="O61" s="68">
        <v>6000000</v>
      </c>
      <c r="P61" s="159">
        <v>3757346.75</v>
      </c>
      <c r="Q61" s="151">
        <f>+P61/I61*100</f>
        <v>69.580495370370372</v>
      </c>
    </row>
    <row r="62" spans="2:18" s="32" customFormat="1" ht="21.95" customHeight="1">
      <c r="B62" s="45"/>
      <c r="C62" s="31" t="s">
        <v>176</v>
      </c>
      <c r="D62" s="31"/>
      <c r="F62" s="25"/>
      <c r="G62" s="25"/>
      <c r="H62" s="25"/>
      <c r="I62" s="68">
        <v>10000000</v>
      </c>
      <c r="J62" s="68">
        <v>0</v>
      </c>
      <c r="K62" s="68">
        <f>+J62/I62*100</f>
        <v>0</v>
      </c>
      <c r="L62" s="68">
        <f>+รายละเอียดรายจ่าย!Y224</f>
        <v>10000000</v>
      </c>
      <c r="M62" s="68">
        <f t="shared" si="6"/>
        <v>0</v>
      </c>
      <c r="N62" s="68">
        <v>10000000</v>
      </c>
      <c r="O62" s="68">
        <v>10000000</v>
      </c>
      <c r="P62" s="158">
        <v>0</v>
      </c>
      <c r="Q62" s="151">
        <f>+P62/I62*100</f>
        <v>0</v>
      </c>
    </row>
    <row r="63" spans="2:18" s="32" customFormat="1" ht="21.95" customHeight="1">
      <c r="B63" s="161"/>
      <c r="C63" s="162"/>
      <c r="D63" s="162"/>
      <c r="E63" s="163" t="s">
        <v>55</v>
      </c>
      <c r="F63" s="154">
        <f>SUM(F27:F62)</f>
        <v>1640263454.6099997</v>
      </c>
      <c r="G63" s="154">
        <f t="shared" ref="G63:P63" si="7">SUM(G27:G62)</f>
        <v>1834105673.6299999</v>
      </c>
      <c r="H63" s="154">
        <f t="shared" si="7"/>
        <v>1794536654.4399998</v>
      </c>
      <c r="I63" s="154">
        <f t="shared" si="7"/>
        <v>2075805418.8</v>
      </c>
      <c r="J63" s="154">
        <f t="shared" si="7"/>
        <v>1020618754.9399999</v>
      </c>
      <c r="K63" s="177">
        <f>+J63/I63*100</f>
        <v>49.167361530928474</v>
      </c>
      <c r="L63" s="154" t="e">
        <f>SUM(L25:L62)</f>
        <v>#REF!</v>
      </c>
      <c r="M63" s="177" t="e">
        <f t="shared" si="6"/>
        <v>#REF!</v>
      </c>
      <c r="N63" s="154">
        <f t="shared" si="7"/>
        <v>1950723690</v>
      </c>
      <c r="O63" s="154">
        <f t="shared" si="7"/>
        <v>2149788000</v>
      </c>
      <c r="P63" s="154">
        <f t="shared" si="7"/>
        <v>519292275.97999996</v>
      </c>
      <c r="Q63" s="164">
        <f>+P63/I63*100</f>
        <v>25.016423566337785</v>
      </c>
    </row>
    <row r="64" spans="2:18" s="32" customFormat="1" ht="21.95" customHeight="1">
      <c r="B64" s="43"/>
      <c r="C64" s="31"/>
      <c r="D64" s="31"/>
      <c r="E64" s="46" t="s">
        <v>56</v>
      </c>
      <c r="F64" s="24">
        <f t="shared" ref="F64:O64" si="8">F24-F63</f>
        <v>65663259.520000458</v>
      </c>
      <c r="G64" s="24">
        <f t="shared" si="8"/>
        <v>407326454.88000035</v>
      </c>
      <c r="H64" s="24">
        <f t="shared" si="8"/>
        <v>132561881.53000021</v>
      </c>
      <c r="I64" s="24">
        <f t="shared" si="8"/>
        <v>-106805418.79999995</v>
      </c>
      <c r="J64" s="24"/>
      <c r="K64" s="24"/>
      <c r="L64" s="24" t="e">
        <f t="shared" si="8"/>
        <v>#REF!</v>
      </c>
      <c r="M64" s="24"/>
      <c r="N64" s="211">
        <v>-157345600</v>
      </c>
      <c r="O64" s="24">
        <f t="shared" si="8"/>
        <v>-78176300</v>
      </c>
      <c r="P64" s="150">
        <f>+P24-P63</f>
        <v>57555722.200000226</v>
      </c>
      <c r="Q64" s="151">
        <f>+Q24-Q63</f>
        <v>4.2800720243173771</v>
      </c>
    </row>
    <row r="65" spans="1:17" s="32" customFormat="1" ht="21.95" customHeight="1">
      <c r="A65" s="173"/>
      <c r="B65" s="43"/>
      <c r="C65" s="43"/>
      <c r="D65" s="43"/>
      <c r="E65" s="46" t="s">
        <v>57</v>
      </c>
      <c r="F65" s="24">
        <v>136248645.56999972</v>
      </c>
      <c r="G65" s="24">
        <v>201105725.03000024</v>
      </c>
      <c r="H65" s="24">
        <f>+G66</f>
        <v>608432179.91000056</v>
      </c>
      <c r="I65" s="24">
        <f>+H66</f>
        <v>740994061.44000077</v>
      </c>
      <c r="J65" s="24"/>
      <c r="K65" s="24"/>
      <c r="L65" s="212">
        <f>+I66</f>
        <v>634188642.64000082</v>
      </c>
      <c r="M65" s="24"/>
      <c r="N65" s="211">
        <f>+I66</f>
        <v>634188642.64000082</v>
      </c>
      <c r="O65" s="24">
        <f>+N66</f>
        <v>200145465.04000044</v>
      </c>
      <c r="P65" s="159">
        <f>+I66</f>
        <v>634188642.64000082</v>
      </c>
      <c r="Q65" s="151">
        <f>+P65/I65*100</f>
        <v>85.586197736532327</v>
      </c>
    </row>
    <row r="66" spans="1:17" s="32" customFormat="1" ht="21.95" customHeight="1">
      <c r="B66" s="45"/>
      <c r="C66" s="45"/>
      <c r="D66" s="45"/>
      <c r="E66" s="170" t="s">
        <v>58</v>
      </c>
      <c r="F66" s="26">
        <f>+F64+F65</f>
        <v>201911905.09000018</v>
      </c>
      <c r="G66" s="26">
        <f>+G64+G65</f>
        <v>608432179.91000056</v>
      </c>
      <c r="H66" s="26">
        <f>+H64+H65</f>
        <v>740994061.44000077</v>
      </c>
      <c r="I66" s="26">
        <f>+I64+I65</f>
        <v>634188642.64000082</v>
      </c>
      <c r="J66" s="26"/>
      <c r="K66" s="26"/>
      <c r="L66" s="26" t="e">
        <f>+L64+L65</f>
        <v>#REF!</v>
      </c>
      <c r="M66" s="26"/>
      <c r="N66" s="26">
        <v>200145465.04000044</v>
      </c>
      <c r="O66" s="26">
        <f>+O64+O65</f>
        <v>121969165.04000044</v>
      </c>
      <c r="P66" s="171">
        <f>+P64+P65</f>
        <v>691744364.84000111</v>
      </c>
      <c r="Q66" s="172">
        <f>+Q64+Q65</f>
        <v>89.866269760849704</v>
      </c>
    </row>
    <row r="67" spans="1:17" s="32" customFormat="1" ht="21.95" customHeight="1">
      <c r="B67" s="43"/>
      <c r="C67" s="43"/>
      <c r="D67" s="43"/>
      <c r="E67" s="46" t="s">
        <v>59</v>
      </c>
      <c r="F67" s="24">
        <v>58045277.850000001</v>
      </c>
      <c r="G67" s="24">
        <v>56325869.409999996</v>
      </c>
      <c r="H67" s="24">
        <v>85488666.950000003</v>
      </c>
      <c r="I67" s="24" t="e">
        <f>+รายได้รอการจัดสรร!#REF!</f>
        <v>#REF!</v>
      </c>
      <c r="J67" s="24"/>
      <c r="K67" s="24"/>
      <c r="L67" s="24" t="e">
        <f>+I67</f>
        <v>#REF!</v>
      </c>
      <c r="M67" s="24"/>
      <c r="N67" s="24">
        <f>+รายได้รอการจัดสรร!F11</f>
        <v>56000000</v>
      </c>
      <c r="O67" s="24">
        <f>+รายได้รอการจัดสรร!G11</f>
        <v>56000000</v>
      </c>
      <c r="P67" s="159">
        <f>76296849.02</f>
        <v>76296849.019999996</v>
      </c>
      <c r="Q67" s="43"/>
    </row>
    <row r="68" spans="1:17" s="32" customFormat="1" ht="21.95" customHeight="1">
      <c r="B68" s="43"/>
      <c r="C68" s="43"/>
      <c r="D68" s="43"/>
      <c r="E68" s="46" t="s">
        <v>60</v>
      </c>
      <c r="F68" s="24">
        <v>493604929.52999997</v>
      </c>
      <c r="G68" s="24">
        <v>399847504.07000005</v>
      </c>
      <c r="H68" s="24">
        <v>523497531.72000003</v>
      </c>
      <c r="I68" s="24">
        <f>+ภาระผูกพัน!F30</f>
        <v>379000000</v>
      </c>
      <c r="J68" s="24"/>
      <c r="K68" s="24"/>
      <c r="L68" s="24">
        <f>+ภาระผูกพัน!F30</f>
        <v>379000000</v>
      </c>
      <c r="M68" s="24"/>
      <c r="N68" s="24">
        <f>+ภาระผูกพัน!G30</f>
        <v>389000000</v>
      </c>
      <c r="O68" s="24">
        <f>+ภาระผูกพัน!H30</f>
        <v>399000000</v>
      </c>
      <c r="P68" s="160">
        <f>501750088.48-P67</f>
        <v>425453239.46000004</v>
      </c>
      <c r="Q68" s="43"/>
    </row>
    <row r="69" spans="1:17" s="32" customFormat="1" ht="21.95" customHeight="1">
      <c r="B69" s="43"/>
      <c r="C69" s="43"/>
      <c r="D69" s="43"/>
      <c r="E69" s="46" t="s">
        <v>114</v>
      </c>
      <c r="F69" s="24">
        <f>+F66-F67-F68</f>
        <v>-349738302.28999978</v>
      </c>
      <c r="G69" s="24">
        <f t="shared" ref="G69:O69" si="9">+G66-G67-G68</f>
        <v>152258806.43000054</v>
      </c>
      <c r="H69" s="24">
        <f t="shared" si="9"/>
        <v>132007862.7700007</v>
      </c>
      <c r="I69" s="24" t="e">
        <f t="shared" si="9"/>
        <v>#REF!</v>
      </c>
      <c r="J69" s="24"/>
      <c r="K69" s="24"/>
      <c r="L69" s="24" t="e">
        <f t="shared" si="9"/>
        <v>#REF!</v>
      </c>
      <c r="M69" s="24"/>
      <c r="N69" s="24">
        <v>-331154534.95999956</v>
      </c>
      <c r="O69" s="24">
        <f t="shared" si="9"/>
        <v>-333030834.95999956</v>
      </c>
      <c r="P69" s="150">
        <f>+P66-P67-P68</f>
        <v>189994276.36000109</v>
      </c>
      <c r="Q69" s="151">
        <f>+Q66-Q67-Q68</f>
        <v>89.866269760849704</v>
      </c>
    </row>
    <row r="70" spans="1:17" s="32" customFormat="1" ht="21.95" customHeight="1">
      <c r="B70" s="34" t="s">
        <v>61</v>
      </c>
      <c r="C70" s="33"/>
      <c r="D70" s="33"/>
      <c r="E70" s="47"/>
      <c r="F70" s="27"/>
      <c r="G70" s="27"/>
      <c r="H70" s="27"/>
      <c r="I70" s="28"/>
      <c r="J70" s="28"/>
      <c r="K70" s="28"/>
      <c r="L70" s="28"/>
      <c r="M70" s="28"/>
      <c r="N70" s="28"/>
      <c r="O70" s="29"/>
      <c r="P70" s="43"/>
      <c r="Q70" s="43"/>
    </row>
    <row r="71" spans="1:17" s="32" customFormat="1" ht="21.95" customHeight="1">
      <c r="B71" s="31"/>
      <c r="C71" s="31" t="s">
        <v>62</v>
      </c>
      <c r="D71" s="31"/>
      <c r="E71" s="43"/>
      <c r="F71" s="24">
        <v>0</v>
      </c>
      <c r="G71" s="24">
        <v>0</v>
      </c>
      <c r="H71" s="25"/>
      <c r="I71" s="68">
        <v>0</v>
      </c>
      <c r="J71" s="68"/>
      <c r="K71" s="68"/>
      <c r="L71" s="68">
        <v>0</v>
      </c>
      <c r="M71" s="68"/>
      <c r="N71" s="68">
        <v>0</v>
      </c>
      <c r="O71" s="68">
        <v>0</v>
      </c>
      <c r="P71" s="43"/>
      <c r="Q71" s="43"/>
    </row>
    <row r="72" spans="1:17" s="32" customFormat="1" ht="21.95" customHeight="1">
      <c r="B72" s="31"/>
      <c r="C72" s="31" t="s">
        <v>63</v>
      </c>
      <c r="D72" s="31"/>
      <c r="E72" s="43"/>
      <c r="F72" s="24">
        <v>13450973.619999999</v>
      </c>
      <c r="G72" s="24">
        <v>14604822.869999999</v>
      </c>
      <c r="H72" s="24">
        <v>83264087.5</v>
      </c>
      <c r="I72" s="68">
        <v>63000000</v>
      </c>
      <c r="J72" s="68"/>
      <c r="K72" s="68"/>
      <c r="L72" s="68">
        <v>158000000</v>
      </c>
      <c r="M72" s="68"/>
      <c r="N72" s="68">
        <v>62000000</v>
      </c>
      <c r="O72" s="68">
        <v>62000000</v>
      </c>
      <c r="P72" s="159">
        <v>99409351.780000001</v>
      </c>
      <c r="Q72" s="43"/>
    </row>
    <row r="73" spans="1:17" s="32" customFormat="1" ht="21.95" customHeight="1">
      <c r="B73" s="31"/>
      <c r="C73" s="31" t="s">
        <v>64</v>
      </c>
      <c r="D73" s="31"/>
      <c r="E73" s="31"/>
      <c r="F73" s="73"/>
      <c r="G73" s="73"/>
      <c r="H73" s="73"/>
      <c r="I73" s="78"/>
      <c r="J73" s="78"/>
      <c r="K73" s="78"/>
      <c r="L73" s="78"/>
      <c r="M73" s="78"/>
      <c r="N73" s="78"/>
      <c r="O73" s="78"/>
      <c r="P73" s="78"/>
      <c r="Q73" s="73"/>
    </row>
    <row r="74" spans="1:17" s="32" customFormat="1" ht="21.95" customHeight="1">
      <c r="B74" s="31"/>
      <c r="C74" s="31"/>
      <c r="D74" s="31"/>
      <c r="E74" s="31" t="s">
        <v>65</v>
      </c>
      <c r="F74" s="24">
        <v>0</v>
      </c>
      <c r="G74" s="24">
        <v>0</v>
      </c>
      <c r="H74" s="24">
        <v>0</v>
      </c>
      <c r="I74" s="68">
        <v>0</v>
      </c>
      <c r="J74" s="68"/>
      <c r="K74" s="68"/>
      <c r="L74" s="68">
        <v>0</v>
      </c>
      <c r="M74" s="68"/>
      <c r="N74" s="68">
        <v>0</v>
      </c>
      <c r="O74" s="68">
        <v>0</v>
      </c>
      <c r="P74" s="43"/>
      <c r="Q74" s="43"/>
    </row>
    <row r="75" spans="1:17" s="32" customFormat="1" ht="21.95" customHeight="1">
      <c r="B75" s="31"/>
      <c r="C75" s="31"/>
      <c r="D75" s="31"/>
      <c r="E75" s="31" t="s">
        <v>66</v>
      </c>
      <c r="F75" s="24">
        <v>95785349.439999998</v>
      </c>
      <c r="G75" s="24">
        <v>438711968.37</v>
      </c>
      <c r="H75" s="24">
        <v>613592120.99000001</v>
      </c>
      <c r="I75" s="68">
        <v>350000000</v>
      </c>
      <c r="J75" s="68"/>
      <c r="K75" s="68"/>
      <c r="L75" s="68">
        <v>673395471.58000004</v>
      </c>
      <c r="M75" s="68"/>
      <c r="N75" s="68">
        <v>300000000</v>
      </c>
      <c r="O75" s="68">
        <v>250000000</v>
      </c>
      <c r="P75" s="159">
        <v>487723348.81</v>
      </c>
      <c r="Q75" s="43"/>
    </row>
    <row r="76" spans="1:17" s="32" customFormat="1" ht="21.95" customHeight="1">
      <c r="B76" s="31"/>
      <c r="C76" s="31"/>
      <c r="D76" s="31"/>
      <c r="E76" s="31" t="s">
        <v>67</v>
      </c>
      <c r="F76" s="24">
        <v>0</v>
      </c>
      <c r="G76" s="24">
        <v>0</v>
      </c>
      <c r="H76" s="24">
        <v>0</v>
      </c>
      <c r="I76" s="68">
        <v>0</v>
      </c>
      <c r="J76" s="68"/>
      <c r="K76" s="68"/>
      <c r="L76" s="68">
        <v>0</v>
      </c>
      <c r="M76" s="68"/>
      <c r="N76" s="68">
        <v>0</v>
      </c>
      <c r="O76" s="68">
        <v>0</v>
      </c>
      <c r="P76" s="43"/>
      <c r="Q76" s="43"/>
    </row>
    <row r="77" spans="1:17" s="32" customFormat="1" ht="21.95" customHeight="1">
      <c r="B77" s="31"/>
      <c r="C77" s="31"/>
      <c r="D77" s="31"/>
      <c r="E77" s="48" t="s">
        <v>68</v>
      </c>
      <c r="F77" s="24">
        <f>SUM(F71:F72,F74,F75,F76)</f>
        <v>109236323.06</v>
      </c>
      <c r="G77" s="24">
        <f>SUM(G71:G72,G74,G75,G76)</f>
        <v>453316791.24000001</v>
      </c>
      <c r="H77" s="24">
        <f>SUM(H71:H72,H74,H75,H76)</f>
        <v>696856208.49000001</v>
      </c>
      <c r="I77" s="24">
        <f>SUM(I71:I72,I74,I75,I76)</f>
        <v>413000000</v>
      </c>
      <c r="J77" s="24"/>
      <c r="K77" s="24"/>
      <c r="L77" s="24">
        <f>SUM(L71:L72,L74,L75,L76)</f>
        <v>831395471.58000004</v>
      </c>
      <c r="M77" s="24"/>
      <c r="N77" s="24">
        <v>462000000</v>
      </c>
      <c r="O77" s="24">
        <f>SUM(O71:O72,O74,O75,O76)</f>
        <v>312000000</v>
      </c>
      <c r="P77" s="150">
        <f>+(I77+P24)-P63</f>
        <v>470555722.20000023</v>
      </c>
      <c r="Q77" s="43"/>
    </row>
    <row r="78" spans="1:17" ht="21.75" customHeight="1">
      <c r="B78" s="2"/>
      <c r="C78" s="2"/>
      <c r="D78" s="2"/>
      <c r="E78" s="9"/>
      <c r="F78" s="10"/>
      <c r="G78" s="10"/>
      <c r="H78" s="10"/>
      <c r="I78" s="11"/>
      <c r="J78" s="11"/>
      <c r="K78" s="11"/>
      <c r="L78" s="11"/>
      <c r="M78" s="11"/>
      <c r="N78" s="11"/>
      <c r="O78" s="11"/>
    </row>
    <row r="79" spans="1:17" ht="21.75" hidden="1" customHeight="1">
      <c r="B79" s="12" t="s">
        <v>69</v>
      </c>
      <c r="C79" s="2"/>
      <c r="D79" s="2"/>
      <c r="E79" s="9"/>
      <c r="F79" s="13"/>
      <c r="G79" s="13"/>
      <c r="H79" s="13"/>
      <c r="I79" s="22" t="s">
        <v>13</v>
      </c>
      <c r="J79" s="22"/>
      <c r="K79" s="22"/>
      <c r="L79" s="22"/>
      <c r="M79" s="22"/>
      <c r="N79" s="22" t="s">
        <v>14</v>
      </c>
      <c r="O79" s="22" t="s">
        <v>178</v>
      </c>
    </row>
    <row r="80" spans="1:17" ht="21.75" hidden="1" customHeight="1">
      <c r="B80" s="2"/>
      <c r="C80" s="2"/>
      <c r="D80" s="2"/>
      <c r="E80" s="9" t="s">
        <v>70</v>
      </c>
      <c r="F80" s="13"/>
      <c r="G80" s="13"/>
      <c r="H80" s="13"/>
      <c r="I80" s="23">
        <f>+(I24-H24)/H24</f>
        <v>2.1743290884142039E-2</v>
      </c>
      <c r="J80" s="23"/>
      <c r="K80" s="23"/>
      <c r="L80" s="23"/>
      <c r="M80" s="23"/>
      <c r="N80" s="23">
        <f>+(N24-I24)/I24</f>
        <v>1.6576942610462164E-2</v>
      </c>
      <c r="O80" s="23">
        <f>+(O24-N24)/N24</f>
        <v>3.4957185108211268E-2</v>
      </c>
    </row>
    <row r="81" spans="2:15" ht="21.75" hidden="1" customHeight="1">
      <c r="B81" s="2"/>
      <c r="C81" s="2"/>
      <c r="D81" s="2"/>
      <c r="E81" s="9" t="s">
        <v>71</v>
      </c>
      <c r="F81" s="13"/>
      <c r="G81" s="13"/>
      <c r="H81" s="13"/>
      <c r="I81" s="23">
        <f>+(I63-H63)/H63</f>
        <v>0.15673614894635429</v>
      </c>
      <c r="J81" s="23"/>
      <c r="K81" s="23"/>
      <c r="L81" s="23"/>
      <c r="M81" s="23"/>
      <c r="N81" s="23">
        <f>+(N63-I63)/I63</f>
        <v>-6.0256962269762411E-2</v>
      </c>
      <c r="O81" s="23">
        <f>+(O63-N63)/N63</f>
        <v>0.10204638976830184</v>
      </c>
    </row>
    <row r="82" spans="2:15" ht="21.75" hidden="1" customHeight="1">
      <c r="B82" s="2"/>
      <c r="C82" s="2"/>
      <c r="D82" s="2"/>
      <c r="E82" s="9" t="s">
        <v>72</v>
      </c>
      <c r="F82" s="13"/>
      <c r="G82" s="13"/>
      <c r="H82" s="13"/>
      <c r="I82" s="23">
        <f>+(I52+I53+I54+I56+I57+I58)/I63</f>
        <v>0.11468773356301637</v>
      </c>
      <c r="J82" s="23"/>
      <c r="K82" s="23"/>
      <c r="L82" s="23"/>
      <c r="M82" s="23"/>
      <c r="N82" s="23">
        <f>+(N52+N53+N54+N56+N57+N58)/N63</f>
        <v>3.2832784226863004E-2</v>
      </c>
      <c r="O82" s="23">
        <f>+(O52+O53+O54+O56+O57+O58)/O63</f>
        <v>0.10094018572994175</v>
      </c>
    </row>
    <row r="83" spans="2:15" ht="21.75" hidden="1" customHeight="1">
      <c r="B83" s="3" t="s">
        <v>84</v>
      </c>
      <c r="C83" s="2"/>
      <c r="D83" s="2"/>
      <c r="E83" s="9"/>
      <c r="F83" s="13"/>
      <c r="G83" s="13"/>
      <c r="H83" s="13"/>
      <c r="I83" s="16"/>
      <c r="J83" s="16"/>
      <c r="K83" s="16"/>
      <c r="L83" s="16"/>
      <c r="M83" s="16"/>
      <c r="N83" s="16"/>
      <c r="O83" s="16"/>
    </row>
    <row r="84" spans="2:15" ht="21.75" hidden="1" customHeight="1">
      <c r="E84" s="144" t="s">
        <v>85</v>
      </c>
      <c r="F84" s="8"/>
      <c r="G84" s="8"/>
      <c r="H84" s="8"/>
      <c r="I84" s="8"/>
      <c r="J84" s="8"/>
      <c r="K84" s="8"/>
      <c r="L84" s="8"/>
      <c r="M84" s="8"/>
      <c r="N84" s="8"/>
    </row>
    <row r="85" spans="2:15" ht="21.75" hidden="1" customHeight="1">
      <c r="B85" s="2"/>
      <c r="E85" s="144" t="s">
        <v>73</v>
      </c>
      <c r="F85" s="4"/>
      <c r="G85" s="4"/>
      <c r="H85" s="4"/>
      <c r="I85" s="4"/>
      <c r="J85" s="4"/>
      <c r="K85" s="4"/>
      <c r="L85" s="4"/>
      <c r="M85" s="4"/>
      <c r="N85" s="4"/>
    </row>
    <row r="86" spans="2:15" ht="21.75" hidden="1" customHeight="1">
      <c r="E86" s="144" t="s">
        <v>74</v>
      </c>
      <c r="F86" s="4"/>
      <c r="G86" s="4"/>
      <c r="H86" s="4"/>
      <c r="I86" s="4"/>
      <c r="J86" s="4"/>
      <c r="K86" s="4"/>
      <c r="L86" s="4"/>
      <c r="M86" s="4"/>
      <c r="N86" s="4"/>
    </row>
    <row r="87" spans="2:15" ht="21.75" hidden="1" customHeight="1">
      <c r="E87" s="144" t="s">
        <v>75</v>
      </c>
      <c r="F87" s="4"/>
      <c r="G87" s="4"/>
      <c r="H87" s="4"/>
      <c r="I87" s="4"/>
      <c r="J87" s="4"/>
      <c r="K87" s="4"/>
      <c r="L87" s="4"/>
      <c r="M87" s="4"/>
      <c r="N87" s="4"/>
    </row>
    <row r="88" spans="2:15" ht="21.75" hidden="1" customHeight="1">
      <c r="E88" s="144" t="s">
        <v>76</v>
      </c>
      <c r="F88" s="4"/>
      <c r="G88" s="4"/>
      <c r="H88" s="4"/>
      <c r="I88" s="4"/>
      <c r="J88" s="4"/>
      <c r="K88" s="4"/>
      <c r="L88" s="4"/>
      <c r="M88" s="4"/>
      <c r="N88" s="4"/>
    </row>
    <row r="89" spans="2:15" ht="21.75" customHeight="1">
      <c r="E89" s="144"/>
      <c r="F89" s="4"/>
      <c r="G89" s="4"/>
      <c r="H89" s="4"/>
      <c r="I89" s="4"/>
      <c r="J89" s="4"/>
      <c r="K89" s="4"/>
      <c r="L89" s="4"/>
      <c r="M89" s="4"/>
      <c r="N89" s="4"/>
    </row>
    <row r="90" spans="2:15" ht="21.75" customHeight="1">
      <c r="E90" s="144"/>
      <c r="F90" s="4"/>
      <c r="G90" s="4"/>
      <c r="H90" s="4"/>
      <c r="I90" s="4"/>
      <c r="J90" s="4"/>
      <c r="K90" s="4"/>
      <c r="L90" s="4"/>
      <c r="M90" s="4"/>
      <c r="N90" s="4"/>
    </row>
    <row r="91" spans="2:15" ht="21.75" customHeight="1">
      <c r="F91" s="4"/>
      <c r="G91" s="4"/>
      <c r="H91" s="4"/>
      <c r="I91" s="4"/>
      <c r="J91" s="4"/>
      <c r="K91" s="4"/>
      <c r="L91" s="4"/>
      <c r="M91" s="4"/>
      <c r="N91" s="4"/>
    </row>
    <row r="92" spans="2:15" ht="21.75" customHeight="1">
      <c r="E92" s="2"/>
      <c r="F92" s="4"/>
      <c r="G92" s="4"/>
      <c r="H92" s="4"/>
      <c r="I92" s="4"/>
      <c r="J92" s="4"/>
      <c r="K92" s="4"/>
      <c r="L92" s="4"/>
      <c r="M92" s="4"/>
      <c r="N92" s="4"/>
    </row>
    <row r="93" spans="2:15" ht="21.75" customHeight="1">
      <c r="B93" s="2"/>
      <c r="C93" s="2" t="s">
        <v>77</v>
      </c>
      <c r="D93" s="2"/>
      <c r="E93" s="2644" t="s">
        <v>214</v>
      </c>
      <c r="F93" s="2648"/>
      <c r="G93" s="2648"/>
      <c r="H93" s="2648"/>
      <c r="I93" s="2648"/>
      <c r="J93" s="2648"/>
      <c r="K93" s="2648"/>
      <c r="L93" s="2648"/>
      <c r="M93" s="2648"/>
      <c r="N93" s="2648"/>
      <c r="O93" s="2648"/>
    </row>
    <row r="94" spans="2:15" ht="21.75" customHeight="1">
      <c r="B94" s="2"/>
      <c r="C94" s="2"/>
      <c r="D94" s="2"/>
      <c r="E94" s="50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2:15" ht="21.75" customHeight="1">
      <c r="B95" s="2"/>
      <c r="C95" s="2"/>
      <c r="D95" s="2"/>
      <c r="E95" s="50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2:15" s="49" customFormat="1" ht="21.75" customHeight="1">
      <c r="B96" s="50"/>
      <c r="C96" s="50"/>
      <c r="D96" s="50"/>
      <c r="E96" s="2644"/>
      <c r="F96" s="2648"/>
      <c r="G96" s="2648"/>
      <c r="H96" s="2648"/>
      <c r="I96" s="2648"/>
      <c r="J96" s="2648"/>
      <c r="K96" s="2648"/>
      <c r="L96" s="2648"/>
      <c r="M96" s="2648"/>
      <c r="N96" s="2648"/>
      <c r="O96" s="2648"/>
    </row>
    <row r="97" spans="2:15" s="49" customFormat="1" ht="21.75" customHeight="1">
      <c r="B97" s="50"/>
      <c r="C97" s="50"/>
      <c r="D97" s="50"/>
      <c r="E97" s="50"/>
    </row>
    <row r="98" spans="2:15" s="49" customFormat="1" ht="21.75" customHeight="1">
      <c r="E98" s="2644"/>
      <c r="F98" s="2644"/>
      <c r="G98" s="2644"/>
      <c r="H98" s="2644"/>
      <c r="I98" s="2644"/>
      <c r="J98" s="2644"/>
      <c r="K98" s="2644"/>
      <c r="L98" s="2644"/>
      <c r="M98" s="2644"/>
      <c r="N98" s="2644"/>
      <c r="O98" s="2644"/>
    </row>
    <row r="99" spans="2:15" s="49" customFormat="1" ht="21.75" customHeight="1">
      <c r="E99" s="2644"/>
      <c r="F99" s="2644"/>
      <c r="G99" s="2644"/>
      <c r="H99" s="2644"/>
      <c r="I99" s="2644"/>
      <c r="J99" s="2644"/>
      <c r="K99" s="2644"/>
      <c r="L99" s="2644"/>
      <c r="M99" s="2644"/>
      <c r="N99" s="2644"/>
      <c r="O99" s="2644"/>
    </row>
    <row r="100" spans="2:15" ht="21.75" customHeight="1"/>
    <row r="101" spans="2:15" ht="20.25" customHeight="1">
      <c r="F101" s="8"/>
      <c r="G101" s="8"/>
      <c r="H101" s="8"/>
      <c r="I101" s="8"/>
      <c r="J101" s="8"/>
      <c r="K101" s="8"/>
      <c r="L101" s="8"/>
      <c r="M101" s="8"/>
      <c r="N101" s="8"/>
    </row>
    <row r="102" spans="2:15" ht="20.25" customHeight="1">
      <c r="F102" s="8"/>
      <c r="G102" s="8"/>
      <c r="H102" s="8"/>
      <c r="I102" s="8"/>
      <c r="J102" s="8"/>
      <c r="K102" s="8"/>
      <c r="L102" s="8"/>
      <c r="M102" s="8"/>
      <c r="N102" s="8"/>
    </row>
    <row r="103" spans="2:15" ht="20.25" customHeight="1">
      <c r="F103" s="8"/>
      <c r="G103" s="8"/>
      <c r="H103" s="8"/>
      <c r="I103" s="8"/>
      <c r="J103" s="8"/>
      <c r="K103" s="8"/>
      <c r="L103" s="8"/>
      <c r="M103" s="8"/>
      <c r="N103" s="8"/>
    </row>
    <row r="104" spans="2:15" ht="20.25" customHeight="1">
      <c r="F104" s="8"/>
      <c r="G104" s="8"/>
      <c r="H104" s="8"/>
      <c r="I104" s="8"/>
      <c r="J104" s="8"/>
      <c r="K104" s="8"/>
      <c r="L104" s="8"/>
      <c r="M104" s="8"/>
      <c r="N104" s="8"/>
    </row>
    <row r="105" spans="2:15" ht="20.25" customHeight="1">
      <c r="F105" s="8"/>
      <c r="G105" s="8"/>
      <c r="H105" s="8"/>
      <c r="I105" s="8"/>
      <c r="J105" s="8"/>
      <c r="K105" s="8"/>
      <c r="L105" s="8"/>
      <c r="M105" s="8"/>
      <c r="N105" s="8"/>
    </row>
    <row r="106" spans="2:15" ht="20.25" customHeight="1">
      <c r="F106" s="8"/>
      <c r="G106" s="8"/>
      <c r="H106" s="8"/>
      <c r="I106" s="8"/>
      <c r="J106" s="8"/>
      <c r="K106" s="8"/>
      <c r="L106" s="8"/>
      <c r="M106" s="8"/>
      <c r="N106" s="8"/>
    </row>
    <row r="107" spans="2:15" ht="20.25" customHeight="1">
      <c r="F107" s="8"/>
      <c r="G107" s="8"/>
      <c r="H107" s="8"/>
      <c r="I107" s="8"/>
      <c r="J107" s="8"/>
      <c r="K107" s="8"/>
      <c r="L107" s="8"/>
      <c r="M107" s="8"/>
      <c r="N107" s="8"/>
    </row>
    <row r="108" spans="2:15" ht="20.25" customHeight="1">
      <c r="F108" s="8"/>
      <c r="G108" s="8"/>
      <c r="H108" s="8"/>
      <c r="I108" s="8"/>
      <c r="J108" s="8"/>
      <c r="K108" s="8"/>
      <c r="L108" s="8"/>
      <c r="M108" s="8"/>
      <c r="N108" s="8"/>
    </row>
    <row r="109" spans="2:15" ht="20.25" customHeight="1">
      <c r="F109" s="8"/>
      <c r="G109" s="8"/>
      <c r="H109" s="8"/>
      <c r="I109" s="8"/>
      <c r="J109" s="8"/>
      <c r="K109" s="8"/>
      <c r="L109" s="8"/>
      <c r="M109" s="8"/>
      <c r="N109" s="8"/>
    </row>
    <row r="110" spans="2:15" ht="20.25" customHeight="1">
      <c r="F110" s="8"/>
      <c r="G110" s="8"/>
      <c r="H110" s="8"/>
      <c r="I110" s="8"/>
      <c r="J110" s="8"/>
      <c r="K110" s="8"/>
      <c r="L110" s="8"/>
      <c r="M110" s="8"/>
      <c r="N110" s="8"/>
    </row>
    <row r="111" spans="2:15" ht="20.25" customHeight="1">
      <c r="F111" s="8"/>
      <c r="G111" s="8"/>
      <c r="H111" s="8"/>
      <c r="I111" s="8"/>
      <c r="J111" s="8"/>
      <c r="K111" s="8"/>
      <c r="L111" s="8"/>
      <c r="M111" s="8"/>
      <c r="N111" s="8"/>
    </row>
    <row r="112" spans="2:15" ht="20.25" customHeight="1">
      <c r="F112" s="8"/>
      <c r="G112" s="8"/>
      <c r="H112" s="8"/>
      <c r="I112" s="8"/>
      <c r="J112" s="8"/>
      <c r="K112" s="8"/>
      <c r="L112" s="8"/>
      <c r="M112" s="8"/>
      <c r="N112" s="8"/>
    </row>
    <row r="113" spans="6:14" ht="20.25" customHeight="1">
      <c r="F113" s="8"/>
      <c r="G113" s="8"/>
      <c r="H113" s="8"/>
      <c r="I113" s="8"/>
      <c r="J113" s="8"/>
      <c r="K113" s="8"/>
      <c r="L113" s="8"/>
      <c r="M113" s="8"/>
      <c r="N113" s="8"/>
    </row>
    <row r="114" spans="6:14" ht="20.25" customHeight="1">
      <c r="F114" s="8"/>
      <c r="G114" s="8"/>
      <c r="H114" s="8"/>
      <c r="I114" s="8"/>
      <c r="J114" s="8"/>
      <c r="K114" s="8"/>
      <c r="L114" s="8"/>
      <c r="M114" s="8"/>
      <c r="N114" s="8"/>
    </row>
    <row r="115" spans="6:14" ht="20.25" customHeight="1">
      <c r="F115" s="8"/>
      <c r="G115" s="8"/>
      <c r="H115" s="8"/>
      <c r="I115" s="8"/>
      <c r="J115" s="8"/>
      <c r="K115" s="8"/>
      <c r="L115" s="8"/>
      <c r="M115" s="8"/>
      <c r="N115" s="8"/>
    </row>
    <row r="116" spans="6:14" ht="20.25" customHeight="1">
      <c r="F116" s="8"/>
      <c r="G116" s="8"/>
      <c r="H116" s="8"/>
      <c r="I116" s="8"/>
      <c r="J116" s="8"/>
      <c r="K116" s="8"/>
      <c r="L116" s="8"/>
      <c r="M116" s="8"/>
      <c r="N116" s="8"/>
    </row>
    <row r="117" spans="6:14" ht="20.25" customHeight="1">
      <c r="F117" s="8"/>
      <c r="G117" s="8"/>
      <c r="H117" s="8"/>
      <c r="I117" s="8"/>
      <c r="J117" s="8"/>
      <c r="K117" s="8"/>
      <c r="L117" s="8"/>
      <c r="M117" s="8"/>
      <c r="N117" s="8"/>
    </row>
    <row r="118" spans="6:14" ht="14.25" customHeight="1">
      <c r="F118" s="8"/>
      <c r="G118" s="8"/>
      <c r="H118" s="8"/>
      <c r="I118" s="8"/>
      <c r="J118" s="8"/>
      <c r="K118" s="8"/>
      <c r="L118" s="8"/>
      <c r="M118" s="8"/>
      <c r="N118" s="8"/>
    </row>
    <row r="119" spans="6:14" ht="14.25" customHeight="1">
      <c r="F119" s="8"/>
      <c r="G119" s="8"/>
      <c r="H119" s="8"/>
      <c r="I119" s="8"/>
      <c r="J119" s="8"/>
      <c r="K119" s="8"/>
      <c r="L119" s="8"/>
      <c r="M119" s="8"/>
      <c r="N119" s="8"/>
    </row>
    <row r="120" spans="6:14" ht="14.25" customHeight="1">
      <c r="F120" s="8"/>
      <c r="G120" s="8"/>
      <c r="H120" s="8"/>
      <c r="I120" s="8"/>
      <c r="J120" s="8"/>
      <c r="K120" s="8"/>
      <c r="L120" s="8"/>
      <c r="M120" s="8"/>
      <c r="N120" s="8"/>
    </row>
    <row r="121" spans="6:14" ht="14.25" customHeight="1">
      <c r="F121" s="8"/>
      <c r="G121" s="8"/>
      <c r="H121" s="8"/>
      <c r="I121" s="8"/>
      <c r="J121" s="8"/>
      <c r="K121" s="8"/>
      <c r="L121" s="8"/>
      <c r="M121" s="8"/>
      <c r="N121" s="8"/>
    </row>
    <row r="122" spans="6:14" ht="14.25" customHeight="1">
      <c r="F122" s="8"/>
      <c r="G122" s="8"/>
      <c r="H122" s="8"/>
      <c r="I122" s="8"/>
      <c r="J122" s="8"/>
      <c r="K122" s="8"/>
      <c r="L122" s="8"/>
      <c r="M122" s="8"/>
      <c r="N122" s="8"/>
    </row>
    <row r="123" spans="6:14" ht="14.25" customHeight="1">
      <c r="F123" s="8"/>
      <c r="G123" s="8"/>
      <c r="H123" s="8"/>
      <c r="I123" s="8"/>
      <c r="J123" s="8"/>
      <c r="K123" s="8"/>
      <c r="L123" s="8"/>
      <c r="M123" s="8"/>
      <c r="N123" s="8"/>
    </row>
    <row r="124" spans="6:14" ht="14.25" customHeight="1">
      <c r="F124" s="8"/>
      <c r="G124" s="8"/>
      <c r="H124" s="8"/>
      <c r="I124" s="8"/>
      <c r="J124" s="8"/>
      <c r="K124" s="8"/>
      <c r="L124" s="8"/>
      <c r="M124" s="8"/>
      <c r="N124" s="8"/>
    </row>
    <row r="125" spans="6:14" ht="14.25" customHeight="1">
      <c r="F125" s="8"/>
      <c r="G125" s="8"/>
      <c r="H125" s="8"/>
      <c r="I125" s="8"/>
      <c r="J125" s="8"/>
      <c r="K125" s="8"/>
      <c r="L125" s="8"/>
      <c r="M125" s="8"/>
      <c r="N125" s="8"/>
    </row>
    <row r="126" spans="6:14" ht="14.25" customHeight="1">
      <c r="F126" s="8"/>
      <c r="G126" s="8"/>
      <c r="H126" s="8"/>
      <c r="I126" s="8"/>
      <c r="J126" s="8"/>
      <c r="K126" s="8"/>
      <c r="L126" s="8"/>
      <c r="M126" s="8"/>
      <c r="N126" s="8"/>
    </row>
    <row r="127" spans="6:14" ht="14.25" customHeight="1">
      <c r="F127" s="8"/>
      <c r="G127" s="8"/>
      <c r="H127" s="8"/>
      <c r="I127" s="8"/>
      <c r="J127" s="8"/>
      <c r="K127" s="8"/>
      <c r="L127" s="8"/>
      <c r="M127" s="8"/>
      <c r="N127" s="8"/>
    </row>
    <row r="128" spans="6:14" ht="14.25" customHeight="1">
      <c r="F128" s="8"/>
      <c r="G128" s="8"/>
      <c r="H128" s="8"/>
      <c r="I128" s="8"/>
      <c r="J128" s="8"/>
      <c r="K128" s="8"/>
      <c r="L128" s="8"/>
      <c r="M128" s="8"/>
      <c r="N128" s="8"/>
    </row>
    <row r="129" spans="6:14" ht="14.25" customHeight="1">
      <c r="F129" s="8"/>
      <c r="G129" s="8"/>
      <c r="H129" s="8"/>
      <c r="I129" s="8"/>
      <c r="J129" s="8"/>
      <c r="K129" s="8"/>
      <c r="L129" s="8"/>
      <c r="M129" s="8"/>
      <c r="N129" s="8"/>
    </row>
    <row r="130" spans="6:14" ht="14.25" customHeight="1">
      <c r="F130" s="8"/>
      <c r="G130" s="8"/>
      <c r="H130" s="8"/>
      <c r="I130" s="8"/>
      <c r="J130" s="8"/>
      <c r="K130" s="8"/>
      <c r="L130" s="8"/>
      <c r="M130" s="8"/>
      <c r="N130" s="8"/>
    </row>
    <row r="131" spans="6:14" ht="14.25" customHeight="1">
      <c r="F131" s="8"/>
      <c r="G131" s="8"/>
      <c r="H131" s="8"/>
      <c r="I131" s="8"/>
      <c r="J131" s="8"/>
      <c r="K131" s="8"/>
      <c r="L131" s="8"/>
      <c r="M131" s="8"/>
      <c r="N131" s="8"/>
    </row>
    <row r="132" spans="6:14" ht="14.25" customHeight="1">
      <c r="F132" s="8"/>
      <c r="G132" s="8"/>
      <c r="H132" s="8"/>
      <c r="I132" s="8"/>
      <c r="J132" s="8"/>
      <c r="K132" s="8"/>
      <c r="L132" s="8"/>
      <c r="M132" s="8"/>
      <c r="N132" s="8"/>
    </row>
    <row r="133" spans="6:14" ht="14.25" customHeight="1">
      <c r="F133" s="8"/>
      <c r="G133" s="8"/>
      <c r="H133" s="8"/>
      <c r="I133" s="8"/>
      <c r="J133" s="8"/>
      <c r="K133" s="8"/>
      <c r="L133" s="8"/>
      <c r="M133" s="8"/>
      <c r="N133" s="8"/>
    </row>
    <row r="134" spans="6:14" ht="14.25" customHeight="1">
      <c r="F134" s="8"/>
      <c r="G134" s="8"/>
      <c r="H134" s="8"/>
      <c r="I134" s="8"/>
      <c r="J134" s="8"/>
      <c r="K134" s="8"/>
      <c r="L134" s="8"/>
      <c r="M134" s="8"/>
      <c r="N134" s="8"/>
    </row>
    <row r="135" spans="6:14" ht="14.25" customHeight="1">
      <c r="F135" s="8"/>
      <c r="G135" s="8"/>
      <c r="H135" s="8"/>
      <c r="I135" s="8"/>
      <c r="J135" s="8"/>
      <c r="K135" s="8"/>
      <c r="L135" s="8"/>
      <c r="M135" s="8"/>
      <c r="N135" s="8"/>
    </row>
    <row r="136" spans="6:14" ht="14.25" customHeight="1">
      <c r="F136" s="8"/>
      <c r="G136" s="8"/>
      <c r="H136" s="8"/>
      <c r="I136" s="8"/>
      <c r="J136" s="8"/>
      <c r="K136" s="8"/>
      <c r="L136" s="8"/>
      <c r="M136" s="8"/>
      <c r="N136" s="8"/>
    </row>
    <row r="137" spans="6:14" ht="14.25" customHeight="1">
      <c r="F137" s="8"/>
      <c r="G137" s="8"/>
      <c r="H137" s="8"/>
      <c r="I137" s="8"/>
      <c r="J137" s="8"/>
      <c r="K137" s="8"/>
      <c r="L137" s="8"/>
      <c r="M137" s="8"/>
      <c r="N137" s="8"/>
    </row>
    <row r="138" spans="6:14" ht="14.25" customHeight="1">
      <c r="F138" s="8"/>
      <c r="G138" s="8"/>
      <c r="H138" s="8"/>
      <c r="I138" s="8"/>
      <c r="J138" s="8"/>
      <c r="K138" s="8"/>
      <c r="L138" s="8"/>
      <c r="M138" s="8"/>
      <c r="N138" s="8"/>
    </row>
    <row r="139" spans="6:14" ht="14.25" customHeight="1">
      <c r="F139" s="8"/>
      <c r="G139" s="8"/>
      <c r="H139" s="8"/>
      <c r="I139" s="8"/>
      <c r="J139" s="8"/>
      <c r="K139" s="8"/>
      <c r="L139" s="8"/>
      <c r="M139" s="8"/>
      <c r="N139" s="8"/>
    </row>
    <row r="140" spans="6:14" ht="14.25" customHeight="1">
      <c r="F140" s="8"/>
      <c r="G140" s="8"/>
      <c r="H140" s="8"/>
      <c r="I140" s="8"/>
      <c r="J140" s="8"/>
      <c r="K140" s="8"/>
      <c r="L140" s="8"/>
      <c r="M140" s="8"/>
      <c r="N140" s="8"/>
    </row>
    <row r="141" spans="6:14" ht="14.25" customHeight="1">
      <c r="F141" s="8"/>
      <c r="G141" s="8"/>
      <c r="H141" s="8"/>
      <c r="I141" s="8"/>
      <c r="J141" s="8"/>
      <c r="K141" s="8"/>
      <c r="L141" s="8"/>
      <c r="M141" s="8"/>
      <c r="N141" s="8"/>
    </row>
    <row r="142" spans="6:14" ht="14.25" customHeight="1">
      <c r="F142" s="8"/>
      <c r="G142" s="8"/>
      <c r="H142" s="8"/>
      <c r="I142" s="8"/>
      <c r="J142" s="8"/>
      <c r="K142" s="8"/>
      <c r="L142" s="8"/>
      <c r="M142" s="8"/>
      <c r="N142" s="8"/>
    </row>
    <row r="143" spans="6:14" ht="14.25" customHeight="1">
      <c r="F143" s="8"/>
      <c r="G143" s="8"/>
      <c r="H143" s="8"/>
      <c r="I143" s="8"/>
      <c r="J143" s="8"/>
      <c r="K143" s="8"/>
      <c r="L143" s="8"/>
      <c r="M143" s="8"/>
      <c r="N143" s="8"/>
    </row>
    <row r="144" spans="6:14" ht="14.25" customHeight="1">
      <c r="F144" s="8"/>
      <c r="G144" s="8"/>
      <c r="H144" s="8"/>
      <c r="I144" s="8"/>
      <c r="J144" s="8"/>
      <c r="K144" s="8"/>
      <c r="L144" s="8"/>
      <c r="M144" s="8"/>
      <c r="N144" s="8"/>
    </row>
    <row r="145" spans="6:14" ht="14.25" customHeight="1">
      <c r="F145" s="8"/>
      <c r="G145" s="8"/>
      <c r="H145" s="8"/>
      <c r="I145" s="8"/>
      <c r="J145" s="8"/>
      <c r="K145" s="8"/>
      <c r="L145" s="8"/>
      <c r="M145" s="8"/>
      <c r="N145" s="8"/>
    </row>
    <row r="146" spans="6:14" ht="14.25" customHeight="1">
      <c r="F146" s="8"/>
      <c r="G146" s="8"/>
      <c r="H146" s="8"/>
      <c r="I146" s="8"/>
      <c r="J146" s="8"/>
      <c r="K146" s="8"/>
      <c r="L146" s="8"/>
      <c r="M146" s="8"/>
      <c r="N146" s="8"/>
    </row>
    <row r="147" spans="6:14" ht="14.25" customHeight="1">
      <c r="F147" s="8"/>
      <c r="G147" s="8"/>
      <c r="H147" s="8"/>
      <c r="I147" s="8"/>
      <c r="J147" s="8"/>
      <c r="K147" s="8"/>
      <c r="L147" s="8"/>
      <c r="M147" s="8"/>
      <c r="N147" s="8"/>
    </row>
    <row r="148" spans="6:14" ht="14.25" customHeight="1">
      <c r="F148" s="8"/>
      <c r="G148" s="8"/>
      <c r="H148" s="8"/>
      <c r="I148" s="8"/>
      <c r="J148" s="8"/>
      <c r="K148" s="8"/>
      <c r="L148" s="8"/>
      <c r="M148" s="8"/>
      <c r="N148" s="8"/>
    </row>
    <row r="149" spans="6:14" ht="14.25" customHeight="1">
      <c r="F149" s="8"/>
      <c r="G149" s="8"/>
      <c r="H149" s="8"/>
      <c r="I149" s="8"/>
      <c r="J149" s="8"/>
      <c r="K149" s="8"/>
      <c r="L149" s="8"/>
      <c r="M149" s="8"/>
      <c r="N149" s="8"/>
    </row>
    <row r="150" spans="6:14" ht="14.25" customHeight="1">
      <c r="F150" s="8"/>
      <c r="G150" s="8"/>
      <c r="H150" s="8"/>
      <c r="I150" s="8"/>
      <c r="J150" s="8"/>
      <c r="K150" s="8"/>
      <c r="L150" s="8"/>
      <c r="M150" s="8"/>
      <c r="N150" s="8"/>
    </row>
    <row r="151" spans="6:14" ht="14.25" customHeight="1">
      <c r="F151" s="8"/>
      <c r="G151" s="8"/>
      <c r="H151" s="8"/>
      <c r="I151" s="8"/>
      <c r="J151" s="8"/>
      <c r="K151" s="8"/>
      <c r="L151" s="8"/>
      <c r="M151" s="8"/>
      <c r="N151" s="8"/>
    </row>
    <row r="152" spans="6:14" ht="14.25" customHeight="1">
      <c r="F152" s="8"/>
      <c r="G152" s="8"/>
      <c r="H152" s="8"/>
      <c r="I152" s="8"/>
      <c r="J152" s="8"/>
      <c r="K152" s="8"/>
      <c r="L152" s="8"/>
      <c r="M152" s="8"/>
      <c r="N152" s="8"/>
    </row>
    <row r="153" spans="6:14" ht="14.25" customHeight="1">
      <c r="F153" s="8"/>
      <c r="G153" s="8"/>
      <c r="H153" s="8"/>
      <c r="I153" s="8"/>
      <c r="J153" s="8"/>
      <c r="K153" s="8"/>
      <c r="L153" s="8"/>
      <c r="M153" s="8"/>
      <c r="N153" s="8"/>
    </row>
    <row r="154" spans="6:14" ht="14.25" customHeight="1">
      <c r="F154" s="8"/>
      <c r="G154" s="8"/>
      <c r="H154" s="8"/>
      <c r="I154" s="8"/>
      <c r="J154" s="8"/>
      <c r="K154" s="8"/>
      <c r="L154" s="8"/>
      <c r="M154" s="8"/>
      <c r="N154" s="8"/>
    </row>
    <row r="155" spans="6:14" ht="14.25" customHeight="1">
      <c r="F155" s="8"/>
      <c r="G155" s="8"/>
      <c r="H155" s="8"/>
      <c r="I155" s="8"/>
      <c r="J155" s="8"/>
      <c r="K155" s="8"/>
      <c r="L155" s="8"/>
      <c r="M155" s="8"/>
      <c r="N155" s="8"/>
    </row>
    <row r="156" spans="6:14" ht="14.25" customHeight="1">
      <c r="F156" s="8"/>
      <c r="G156" s="8"/>
      <c r="H156" s="8"/>
      <c r="I156" s="8"/>
      <c r="J156" s="8"/>
      <c r="K156" s="8"/>
      <c r="L156" s="8"/>
      <c r="M156" s="8"/>
      <c r="N156" s="8"/>
    </row>
    <row r="157" spans="6:14" ht="14.25" customHeight="1">
      <c r="F157" s="8"/>
      <c r="G157" s="8"/>
      <c r="H157" s="8"/>
      <c r="I157" s="8"/>
      <c r="J157" s="8"/>
      <c r="K157" s="8"/>
      <c r="L157" s="8"/>
      <c r="M157" s="8"/>
      <c r="N157" s="8"/>
    </row>
    <row r="158" spans="6:14" ht="14.25" customHeight="1">
      <c r="F158" s="8"/>
      <c r="G158" s="8"/>
      <c r="H158" s="8"/>
      <c r="I158" s="8"/>
      <c r="J158" s="8"/>
      <c r="K158" s="8"/>
      <c r="L158" s="8"/>
      <c r="M158" s="8"/>
      <c r="N158" s="8"/>
    </row>
    <row r="159" spans="6:14" ht="14.25" customHeight="1">
      <c r="F159" s="8"/>
      <c r="G159" s="8"/>
      <c r="H159" s="8"/>
      <c r="I159" s="8"/>
      <c r="J159" s="8"/>
      <c r="K159" s="8"/>
      <c r="L159" s="8"/>
      <c r="M159" s="8"/>
      <c r="N159" s="8"/>
    </row>
    <row r="160" spans="6:14" ht="14.25" customHeight="1">
      <c r="F160" s="8"/>
      <c r="G160" s="8"/>
      <c r="H160" s="8"/>
      <c r="I160" s="8"/>
      <c r="J160" s="8"/>
      <c r="K160" s="8"/>
      <c r="L160" s="8"/>
      <c r="M160" s="8"/>
      <c r="N160" s="8"/>
    </row>
    <row r="161" spans="6:14" ht="14.25" customHeight="1">
      <c r="F161" s="8"/>
      <c r="G161" s="8"/>
      <c r="H161" s="8"/>
      <c r="I161" s="8"/>
      <c r="J161" s="8"/>
      <c r="K161" s="8"/>
      <c r="L161" s="8"/>
      <c r="M161" s="8"/>
      <c r="N161" s="8"/>
    </row>
    <row r="162" spans="6:14" ht="14.25" customHeight="1">
      <c r="F162" s="8"/>
      <c r="G162" s="8"/>
      <c r="H162" s="8"/>
      <c r="I162" s="8"/>
      <c r="J162" s="8"/>
      <c r="K162" s="8"/>
      <c r="L162" s="8"/>
      <c r="M162" s="8"/>
      <c r="N162" s="8"/>
    </row>
    <row r="163" spans="6:14" ht="14.25" customHeight="1">
      <c r="F163" s="8"/>
      <c r="G163" s="8"/>
      <c r="H163" s="8"/>
      <c r="I163" s="8"/>
      <c r="J163" s="8"/>
      <c r="K163" s="8"/>
      <c r="L163" s="8"/>
      <c r="M163" s="8"/>
      <c r="N163" s="8"/>
    </row>
    <row r="164" spans="6:14" ht="14.25" customHeight="1">
      <c r="F164" s="8"/>
      <c r="G164" s="8"/>
      <c r="H164" s="8"/>
      <c r="I164" s="8"/>
      <c r="J164" s="8"/>
      <c r="K164" s="8"/>
      <c r="L164" s="8"/>
      <c r="M164" s="8"/>
      <c r="N164" s="8"/>
    </row>
    <row r="165" spans="6:14" ht="14.25" customHeight="1">
      <c r="F165" s="8"/>
      <c r="G165" s="8"/>
      <c r="H165" s="8"/>
      <c r="I165" s="8"/>
      <c r="J165" s="8"/>
      <c r="K165" s="8"/>
      <c r="L165" s="8"/>
      <c r="M165" s="8"/>
      <c r="N165" s="8"/>
    </row>
    <row r="166" spans="6:14" ht="14.25" customHeight="1">
      <c r="F166" s="8"/>
      <c r="G166" s="8"/>
      <c r="H166" s="8"/>
      <c r="I166" s="8"/>
      <c r="J166" s="8"/>
      <c r="K166" s="8"/>
      <c r="L166" s="8"/>
      <c r="M166" s="8"/>
      <c r="N166" s="8"/>
    </row>
    <row r="167" spans="6:14" ht="14.25" customHeight="1">
      <c r="F167" s="8"/>
      <c r="G167" s="8"/>
      <c r="H167" s="8"/>
      <c r="I167" s="8"/>
      <c r="J167" s="8"/>
      <c r="K167" s="8"/>
      <c r="L167" s="8"/>
      <c r="M167" s="8"/>
      <c r="N167" s="8"/>
    </row>
    <row r="168" spans="6:14" ht="14.25" customHeight="1">
      <c r="F168" s="8"/>
      <c r="G168" s="8"/>
      <c r="H168" s="8"/>
      <c r="I168" s="8"/>
      <c r="J168" s="8"/>
      <c r="K168" s="8"/>
      <c r="L168" s="8"/>
      <c r="M168" s="8"/>
      <c r="N168" s="8"/>
    </row>
    <row r="169" spans="6:14" ht="14.25" customHeight="1">
      <c r="F169" s="8"/>
      <c r="G169" s="8"/>
      <c r="H169" s="8"/>
      <c r="I169" s="8"/>
      <c r="J169" s="8"/>
      <c r="K169" s="8"/>
      <c r="L169" s="8"/>
      <c r="M169" s="8"/>
      <c r="N169" s="8"/>
    </row>
    <row r="170" spans="6:14" ht="14.25" customHeight="1">
      <c r="F170" s="8"/>
      <c r="G170" s="8"/>
      <c r="H170" s="8"/>
      <c r="I170" s="8"/>
      <c r="J170" s="8"/>
      <c r="K170" s="8"/>
      <c r="L170" s="8"/>
      <c r="M170" s="8"/>
      <c r="N170" s="8"/>
    </row>
    <row r="171" spans="6:14" ht="14.25" customHeight="1">
      <c r="F171" s="8"/>
      <c r="G171" s="8"/>
      <c r="H171" s="8"/>
      <c r="I171" s="8"/>
      <c r="J171" s="8"/>
      <c r="K171" s="8"/>
      <c r="L171" s="8"/>
      <c r="M171" s="8"/>
      <c r="N171" s="8"/>
    </row>
    <row r="172" spans="6:14" ht="14.25" customHeight="1">
      <c r="F172" s="8"/>
      <c r="G172" s="8"/>
      <c r="H172" s="8"/>
      <c r="I172" s="8"/>
      <c r="J172" s="8"/>
      <c r="K172" s="8"/>
      <c r="L172" s="8"/>
      <c r="M172" s="8"/>
      <c r="N172" s="8"/>
    </row>
    <row r="173" spans="6:14" ht="14.25" customHeight="1">
      <c r="F173" s="8"/>
      <c r="G173" s="8"/>
      <c r="H173" s="8"/>
      <c r="I173" s="8"/>
      <c r="J173" s="8"/>
      <c r="K173" s="8"/>
      <c r="L173" s="8"/>
      <c r="M173" s="8"/>
      <c r="N173" s="8"/>
    </row>
    <row r="174" spans="6:14" ht="14.25" customHeight="1">
      <c r="F174" s="8"/>
      <c r="G174" s="8"/>
      <c r="H174" s="8"/>
      <c r="I174" s="8"/>
      <c r="J174" s="8"/>
      <c r="K174" s="8"/>
      <c r="L174" s="8"/>
      <c r="M174" s="8"/>
      <c r="N174" s="8"/>
    </row>
    <row r="175" spans="6:14" ht="14.25" customHeight="1">
      <c r="F175" s="8"/>
      <c r="G175" s="8"/>
      <c r="H175" s="8"/>
      <c r="I175" s="8"/>
      <c r="J175" s="8"/>
      <c r="K175" s="8"/>
      <c r="L175" s="8"/>
      <c r="M175" s="8"/>
      <c r="N175" s="8"/>
    </row>
    <row r="176" spans="6:14" ht="14.25" customHeight="1">
      <c r="F176" s="8"/>
      <c r="G176" s="8"/>
      <c r="H176" s="8"/>
      <c r="I176" s="8"/>
      <c r="J176" s="8"/>
      <c r="K176" s="8"/>
      <c r="L176" s="8"/>
      <c r="M176" s="8"/>
      <c r="N176" s="8"/>
    </row>
    <row r="177" spans="6:14" ht="14.25" customHeight="1">
      <c r="F177" s="8"/>
      <c r="G177" s="8"/>
      <c r="H177" s="8"/>
      <c r="I177" s="8"/>
      <c r="J177" s="8"/>
      <c r="K177" s="8"/>
      <c r="L177" s="8"/>
      <c r="M177" s="8"/>
      <c r="N177" s="8"/>
    </row>
    <row r="178" spans="6:14" ht="14.25" customHeight="1">
      <c r="F178" s="8"/>
      <c r="G178" s="8"/>
      <c r="H178" s="8"/>
      <c r="I178" s="8"/>
      <c r="J178" s="8"/>
      <c r="K178" s="8"/>
      <c r="L178" s="8"/>
      <c r="M178" s="8"/>
      <c r="N178" s="8"/>
    </row>
    <row r="179" spans="6:14" ht="14.25" customHeight="1">
      <c r="F179" s="8"/>
      <c r="G179" s="8"/>
      <c r="H179" s="8"/>
      <c r="I179" s="8"/>
      <c r="J179" s="8"/>
      <c r="K179" s="8"/>
      <c r="L179" s="8"/>
      <c r="M179" s="8"/>
      <c r="N179" s="8"/>
    </row>
    <row r="180" spans="6:14" ht="14.25" customHeight="1">
      <c r="F180" s="8"/>
      <c r="G180" s="8"/>
      <c r="H180" s="8"/>
      <c r="I180" s="8"/>
      <c r="J180" s="8"/>
      <c r="K180" s="8"/>
      <c r="L180" s="8"/>
      <c r="M180" s="8"/>
      <c r="N180" s="8"/>
    </row>
    <row r="181" spans="6:14" ht="14.25" customHeight="1">
      <c r="F181" s="8"/>
      <c r="G181" s="8"/>
      <c r="H181" s="8"/>
      <c r="I181" s="8"/>
      <c r="J181" s="8"/>
      <c r="K181" s="8"/>
      <c r="L181" s="8"/>
      <c r="M181" s="8"/>
      <c r="N181" s="8"/>
    </row>
    <row r="182" spans="6:14" ht="14.25" customHeight="1">
      <c r="F182" s="8"/>
      <c r="G182" s="8"/>
      <c r="H182" s="8"/>
      <c r="I182" s="8"/>
      <c r="J182" s="8"/>
      <c r="K182" s="8"/>
      <c r="L182" s="8"/>
      <c r="M182" s="8"/>
      <c r="N182" s="8"/>
    </row>
    <row r="183" spans="6:14" ht="14.25" customHeight="1">
      <c r="F183" s="8"/>
      <c r="G183" s="8"/>
      <c r="H183" s="8"/>
      <c r="I183" s="8"/>
      <c r="J183" s="8"/>
      <c r="K183" s="8"/>
      <c r="L183" s="8"/>
      <c r="M183" s="8"/>
      <c r="N183" s="8"/>
    </row>
    <row r="184" spans="6:14" ht="14.25" customHeight="1">
      <c r="F184" s="8"/>
      <c r="G184" s="8"/>
      <c r="H184" s="8"/>
      <c r="I184" s="8"/>
      <c r="J184" s="8"/>
      <c r="K184" s="8"/>
      <c r="L184" s="8"/>
      <c r="M184" s="8"/>
      <c r="N184" s="8"/>
    </row>
    <row r="185" spans="6:14" ht="14.25" customHeight="1">
      <c r="F185" s="8"/>
      <c r="G185" s="8"/>
      <c r="H185" s="8"/>
      <c r="I185" s="8"/>
      <c r="J185" s="8"/>
      <c r="K185" s="8"/>
      <c r="L185" s="8"/>
      <c r="M185" s="8"/>
      <c r="N185" s="8"/>
    </row>
    <row r="186" spans="6:14" ht="14.25" customHeight="1">
      <c r="F186" s="8"/>
      <c r="G186" s="8"/>
      <c r="H186" s="8"/>
      <c r="I186" s="8"/>
      <c r="J186" s="8"/>
      <c r="K186" s="8"/>
      <c r="L186" s="8"/>
      <c r="M186" s="8"/>
      <c r="N186" s="8"/>
    </row>
    <row r="187" spans="6:14" ht="14.25" customHeight="1">
      <c r="F187" s="8"/>
      <c r="G187" s="8"/>
      <c r="H187" s="8"/>
      <c r="I187" s="8"/>
      <c r="J187" s="8"/>
      <c r="K187" s="8"/>
      <c r="L187" s="8"/>
      <c r="M187" s="8"/>
      <c r="N187" s="8"/>
    </row>
    <row r="188" spans="6:14" ht="14.25" customHeight="1">
      <c r="F188" s="8"/>
      <c r="G188" s="8"/>
      <c r="H188" s="8"/>
      <c r="I188" s="8"/>
      <c r="J188" s="8"/>
      <c r="K188" s="8"/>
      <c r="L188" s="8"/>
      <c r="M188" s="8"/>
      <c r="N188" s="8"/>
    </row>
    <row r="189" spans="6:14" ht="14.25" customHeight="1">
      <c r="F189" s="8"/>
      <c r="G189" s="8"/>
      <c r="H189" s="8"/>
      <c r="I189" s="8"/>
      <c r="J189" s="8"/>
      <c r="K189" s="8"/>
      <c r="L189" s="8"/>
      <c r="M189" s="8"/>
      <c r="N189" s="8"/>
    </row>
    <row r="190" spans="6:14" ht="14.25" customHeight="1">
      <c r="F190" s="8"/>
      <c r="G190" s="8"/>
      <c r="H190" s="8"/>
      <c r="I190" s="8"/>
      <c r="J190" s="8"/>
      <c r="K190" s="8"/>
      <c r="L190" s="8"/>
      <c r="M190" s="8"/>
      <c r="N190" s="8"/>
    </row>
    <row r="191" spans="6:14" ht="14.25" customHeight="1">
      <c r="F191" s="8"/>
      <c r="G191" s="8"/>
      <c r="H191" s="8"/>
      <c r="I191" s="8"/>
      <c r="J191" s="8"/>
      <c r="K191" s="8"/>
      <c r="L191" s="8"/>
      <c r="M191" s="8"/>
      <c r="N191" s="8"/>
    </row>
    <row r="192" spans="6:14" ht="14.25" customHeight="1">
      <c r="F192" s="8"/>
      <c r="G192" s="8"/>
      <c r="H192" s="8"/>
      <c r="I192" s="8"/>
      <c r="J192" s="8"/>
      <c r="K192" s="8"/>
      <c r="L192" s="8"/>
      <c r="M192" s="8"/>
      <c r="N192" s="8"/>
    </row>
    <row r="193" spans="6:14" ht="14.25" customHeight="1">
      <c r="F193" s="8"/>
      <c r="G193" s="8"/>
      <c r="H193" s="8"/>
      <c r="I193" s="8"/>
      <c r="J193" s="8"/>
      <c r="K193" s="8"/>
      <c r="L193" s="8"/>
      <c r="M193" s="8"/>
      <c r="N193" s="8"/>
    </row>
    <row r="194" spans="6:14" ht="14.25" customHeight="1">
      <c r="F194" s="8"/>
      <c r="G194" s="8"/>
      <c r="H194" s="8"/>
      <c r="I194" s="8"/>
      <c r="J194" s="8"/>
      <c r="K194" s="8"/>
      <c r="L194" s="8"/>
      <c r="M194" s="8"/>
      <c r="N194" s="8"/>
    </row>
    <row r="195" spans="6:14" ht="14.25" customHeight="1">
      <c r="F195" s="8"/>
      <c r="G195" s="8"/>
      <c r="H195" s="8"/>
      <c r="I195" s="8"/>
      <c r="J195" s="8"/>
      <c r="K195" s="8"/>
      <c r="L195" s="8"/>
      <c r="M195" s="8"/>
      <c r="N195" s="8"/>
    </row>
    <row r="196" spans="6:14" ht="14.25" customHeight="1">
      <c r="F196" s="8"/>
      <c r="G196" s="8"/>
      <c r="H196" s="8"/>
      <c r="I196" s="8"/>
      <c r="J196" s="8"/>
      <c r="K196" s="8"/>
      <c r="L196" s="8"/>
      <c r="M196" s="8"/>
      <c r="N196" s="8"/>
    </row>
    <row r="197" spans="6:14" ht="14.25" customHeight="1">
      <c r="F197" s="8"/>
      <c r="G197" s="8"/>
      <c r="H197" s="8"/>
      <c r="I197" s="8"/>
      <c r="J197" s="8"/>
      <c r="K197" s="8"/>
      <c r="L197" s="8"/>
      <c r="M197" s="8"/>
      <c r="N197" s="8"/>
    </row>
    <row r="198" spans="6:14" ht="14.25" customHeight="1">
      <c r="F198" s="8"/>
      <c r="G198" s="8"/>
      <c r="H198" s="8"/>
      <c r="I198" s="8"/>
      <c r="J198" s="8"/>
      <c r="K198" s="8"/>
      <c r="L198" s="8"/>
      <c r="M198" s="8"/>
      <c r="N198" s="8"/>
    </row>
    <row r="199" spans="6:14" ht="14.25" customHeight="1">
      <c r="F199" s="8"/>
      <c r="G199" s="8"/>
      <c r="H199" s="8"/>
      <c r="I199" s="8"/>
      <c r="J199" s="8"/>
      <c r="K199" s="8"/>
      <c r="L199" s="8"/>
      <c r="M199" s="8"/>
      <c r="N199" s="8"/>
    </row>
    <row r="200" spans="6:14" ht="14.25" customHeight="1">
      <c r="F200" s="8"/>
      <c r="G200" s="8"/>
      <c r="H200" s="8"/>
      <c r="I200" s="8"/>
      <c r="J200" s="8"/>
      <c r="K200" s="8"/>
      <c r="L200" s="8"/>
      <c r="M200" s="8"/>
      <c r="N200" s="8"/>
    </row>
    <row r="201" spans="6:14" ht="14.25" customHeight="1">
      <c r="F201" s="8"/>
      <c r="G201" s="8"/>
      <c r="H201" s="8"/>
      <c r="I201" s="8"/>
      <c r="J201" s="8"/>
      <c r="K201" s="8"/>
      <c r="L201" s="8"/>
      <c r="M201" s="8"/>
      <c r="N201" s="8"/>
    </row>
    <row r="202" spans="6:14" ht="14.25" customHeight="1">
      <c r="F202" s="8"/>
      <c r="G202" s="8"/>
      <c r="H202" s="8"/>
      <c r="I202" s="8"/>
      <c r="J202" s="8"/>
      <c r="K202" s="8"/>
      <c r="L202" s="8"/>
      <c r="M202" s="8"/>
      <c r="N202" s="8"/>
    </row>
    <row r="203" spans="6:14" ht="14.25" customHeight="1">
      <c r="F203" s="8"/>
      <c r="G203" s="8"/>
      <c r="H203" s="8"/>
      <c r="I203" s="8"/>
      <c r="J203" s="8"/>
      <c r="K203" s="8"/>
      <c r="L203" s="8"/>
      <c r="M203" s="8"/>
      <c r="N203" s="8"/>
    </row>
    <row r="204" spans="6:14" ht="14.25" customHeight="1">
      <c r="F204" s="8"/>
      <c r="G204" s="8"/>
      <c r="H204" s="8"/>
      <c r="I204" s="8"/>
      <c r="J204" s="8"/>
      <c r="K204" s="8"/>
      <c r="L204" s="8"/>
      <c r="M204" s="8"/>
      <c r="N204" s="8"/>
    </row>
    <row r="205" spans="6:14" ht="14.25" customHeight="1">
      <c r="F205" s="8"/>
      <c r="G205" s="8"/>
      <c r="H205" s="8"/>
      <c r="I205" s="8"/>
      <c r="J205" s="8"/>
      <c r="K205" s="8"/>
      <c r="L205" s="8"/>
      <c r="M205" s="8"/>
      <c r="N205" s="8"/>
    </row>
    <row r="206" spans="6:14" ht="14.25" customHeight="1">
      <c r="F206" s="8"/>
      <c r="G206" s="8"/>
      <c r="H206" s="8"/>
      <c r="I206" s="8"/>
      <c r="J206" s="8"/>
      <c r="K206" s="8"/>
      <c r="L206" s="8"/>
      <c r="M206" s="8"/>
      <c r="N206" s="8"/>
    </row>
    <row r="207" spans="6:14" ht="14.25" customHeight="1">
      <c r="F207" s="8"/>
      <c r="G207" s="8"/>
      <c r="H207" s="8"/>
      <c r="I207" s="8"/>
      <c r="J207" s="8"/>
      <c r="K207" s="8"/>
      <c r="L207" s="8"/>
      <c r="M207" s="8"/>
      <c r="N207" s="8"/>
    </row>
    <row r="208" spans="6:14" ht="14.25" customHeight="1">
      <c r="F208" s="8"/>
      <c r="G208" s="8"/>
      <c r="H208" s="8"/>
      <c r="I208" s="8"/>
      <c r="J208" s="8"/>
      <c r="K208" s="8"/>
      <c r="L208" s="8"/>
      <c r="M208" s="8"/>
      <c r="N208" s="8"/>
    </row>
    <row r="209" spans="6:14" ht="14.25" customHeight="1">
      <c r="F209" s="8"/>
      <c r="G209" s="8"/>
      <c r="H209" s="8"/>
      <c r="I209" s="8"/>
      <c r="J209" s="8"/>
      <c r="K209" s="8"/>
      <c r="L209" s="8"/>
      <c r="M209" s="8"/>
      <c r="N209" s="8"/>
    </row>
    <row r="210" spans="6:14" ht="14.25" customHeight="1">
      <c r="F210" s="8"/>
      <c r="G210" s="8"/>
      <c r="H210" s="8"/>
      <c r="I210" s="8"/>
      <c r="J210" s="8"/>
      <c r="K210" s="8"/>
      <c r="L210" s="8"/>
      <c r="M210" s="8"/>
      <c r="N210" s="8"/>
    </row>
    <row r="211" spans="6:14" ht="14.25" customHeight="1">
      <c r="F211" s="8"/>
      <c r="G211" s="8"/>
      <c r="H211" s="8"/>
      <c r="I211" s="8"/>
      <c r="J211" s="8"/>
      <c r="K211" s="8"/>
      <c r="L211" s="8"/>
      <c r="M211" s="8"/>
      <c r="N211" s="8"/>
    </row>
    <row r="212" spans="6:14" ht="14.25" customHeight="1">
      <c r="F212" s="8"/>
      <c r="G212" s="8"/>
      <c r="H212" s="8"/>
      <c r="I212" s="8"/>
      <c r="J212" s="8"/>
      <c r="K212" s="8"/>
      <c r="L212" s="8"/>
      <c r="M212" s="8"/>
      <c r="N212" s="8"/>
    </row>
    <row r="213" spans="6:14" ht="14.25" customHeight="1">
      <c r="F213" s="8"/>
      <c r="G213" s="8"/>
      <c r="H213" s="8"/>
      <c r="I213" s="8"/>
      <c r="J213" s="8"/>
      <c r="K213" s="8"/>
      <c r="L213" s="8"/>
      <c r="M213" s="8"/>
      <c r="N213" s="8"/>
    </row>
    <row r="214" spans="6:14" ht="14.25" customHeight="1">
      <c r="F214" s="8"/>
      <c r="G214" s="8"/>
      <c r="H214" s="8"/>
      <c r="I214" s="8"/>
      <c r="J214" s="8"/>
      <c r="K214" s="8"/>
      <c r="L214" s="8"/>
      <c r="M214" s="8"/>
      <c r="N214" s="8"/>
    </row>
    <row r="215" spans="6:14" ht="14.25" customHeight="1">
      <c r="F215" s="8"/>
      <c r="G215" s="8"/>
      <c r="H215" s="8"/>
      <c r="I215" s="8"/>
      <c r="J215" s="8"/>
      <c r="K215" s="8"/>
      <c r="L215" s="8"/>
      <c r="M215" s="8"/>
      <c r="N215" s="8"/>
    </row>
    <row r="216" spans="6:14" ht="14.25" customHeight="1">
      <c r="F216" s="8"/>
      <c r="G216" s="8"/>
      <c r="H216" s="8"/>
      <c r="I216" s="8"/>
      <c r="J216" s="8"/>
      <c r="K216" s="8"/>
      <c r="L216" s="8"/>
      <c r="M216" s="8"/>
      <c r="N216" s="8"/>
    </row>
    <row r="217" spans="6:14" ht="14.25" customHeight="1">
      <c r="F217" s="8"/>
      <c r="G217" s="8"/>
      <c r="H217" s="8"/>
      <c r="I217" s="8"/>
      <c r="J217" s="8"/>
      <c r="K217" s="8"/>
      <c r="L217" s="8"/>
      <c r="M217" s="8"/>
      <c r="N217" s="8"/>
    </row>
    <row r="218" spans="6:14" ht="14.25" customHeight="1">
      <c r="F218" s="8"/>
      <c r="G218" s="8"/>
      <c r="H218" s="8"/>
      <c r="I218" s="8"/>
      <c r="J218" s="8"/>
      <c r="K218" s="8"/>
      <c r="L218" s="8"/>
      <c r="M218" s="8"/>
      <c r="N218" s="8"/>
    </row>
    <row r="219" spans="6:14" ht="14.25" customHeight="1">
      <c r="F219" s="8"/>
      <c r="G219" s="8"/>
      <c r="H219" s="8"/>
      <c r="I219" s="8"/>
      <c r="J219" s="8"/>
      <c r="K219" s="8"/>
      <c r="L219" s="8"/>
      <c r="M219" s="8"/>
      <c r="N219" s="8"/>
    </row>
    <row r="220" spans="6:14" ht="14.25" customHeight="1">
      <c r="F220" s="8"/>
      <c r="G220" s="8"/>
      <c r="H220" s="8"/>
      <c r="I220" s="8"/>
      <c r="J220" s="8"/>
      <c r="K220" s="8"/>
      <c r="L220" s="8"/>
      <c r="M220" s="8"/>
      <c r="N220" s="8"/>
    </row>
    <row r="221" spans="6:14" ht="14.25" customHeight="1">
      <c r="F221" s="8"/>
      <c r="G221" s="8"/>
      <c r="H221" s="8"/>
      <c r="I221" s="8"/>
      <c r="J221" s="8"/>
      <c r="K221" s="8"/>
      <c r="L221" s="8"/>
      <c r="M221" s="8"/>
      <c r="N221" s="8"/>
    </row>
    <row r="222" spans="6:14" ht="14.25" customHeight="1">
      <c r="F222" s="8"/>
      <c r="G222" s="8"/>
      <c r="H222" s="8"/>
      <c r="I222" s="8"/>
      <c r="J222" s="8"/>
      <c r="K222" s="8"/>
      <c r="L222" s="8"/>
      <c r="M222" s="8"/>
      <c r="N222" s="8"/>
    </row>
    <row r="223" spans="6:14" ht="14.25" customHeight="1">
      <c r="F223" s="8"/>
      <c r="G223" s="8"/>
      <c r="H223" s="8"/>
      <c r="I223" s="8"/>
      <c r="J223" s="8"/>
      <c r="K223" s="8"/>
      <c r="L223" s="8"/>
      <c r="M223" s="8"/>
      <c r="N223" s="8"/>
    </row>
    <row r="224" spans="6:14" ht="14.25" customHeight="1">
      <c r="F224" s="8"/>
      <c r="G224" s="8"/>
      <c r="H224" s="8"/>
      <c r="I224" s="8"/>
      <c r="J224" s="8"/>
      <c r="K224" s="8"/>
      <c r="L224" s="8"/>
      <c r="M224" s="8"/>
      <c r="N224" s="8"/>
    </row>
    <row r="225" spans="6:14" ht="14.25" customHeight="1">
      <c r="F225" s="8"/>
      <c r="G225" s="8"/>
      <c r="H225" s="8"/>
      <c r="I225" s="8"/>
      <c r="J225" s="8"/>
      <c r="K225" s="8"/>
      <c r="L225" s="8"/>
      <c r="M225" s="8"/>
      <c r="N225" s="8"/>
    </row>
    <row r="226" spans="6:14" ht="14.25" customHeight="1">
      <c r="F226" s="8"/>
      <c r="G226" s="8"/>
      <c r="H226" s="8"/>
      <c r="I226" s="8"/>
      <c r="J226" s="8"/>
      <c r="K226" s="8"/>
      <c r="L226" s="8"/>
      <c r="M226" s="8"/>
      <c r="N226" s="8"/>
    </row>
    <row r="227" spans="6:14" ht="14.25" customHeight="1">
      <c r="F227" s="8"/>
      <c r="G227" s="8"/>
      <c r="H227" s="8"/>
      <c r="I227" s="8"/>
      <c r="J227" s="8"/>
      <c r="K227" s="8"/>
      <c r="L227" s="8"/>
      <c r="M227" s="8"/>
      <c r="N227" s="8"/>
    </row>
    <row r="228" spans="6:14" ht="14.25" customHeight="1">
      <c r="F228" s="8"/>
      <c r="G228" s="8"/>
      <c r="H228" s="8"/>
      <c r="I228" s="8"/>
      <c r="J228" s="8"/>
      <c r="K228" s="8"/>
      <c r="L228" s="8"/>
      <c r="M228" s="8"/>
      <c r="N228" s="8"/>
    </row>
    <row r="229" spans="6:14" ht="14.25" customHeight="1">
      <c r="F229" s="8"/>
      <c r="G229" s="8"/>
      <c r="H229" s="8"/>
      <c r="I229" s="8"/>
      <c r="J229" s="8"/>
      <c r="K229" s="8"/>
      <c r="L229" s="8"/>
      <c r="M229" s="8"/>
      <c r="N229" s="8"/>
    </row>
    <row r="230" spans="6:14" ht="14.25" customHeight="1">
      <c r="F230" s="8"/>
      <c r="G230" s="8"/>
      <c r="H230" s="8"/>
      <c r="I230" s="8"/>
      <c r="J230" s="8"/>
      <c r="K230" s="8"/>
      <c r="L230" s="8"/>
      <c r="M230" s="8"/>
      <c r="N230" s="8"/>
    </row>
    <row r="231" spans="6:14" ht="14.25" customHeight="1">
      <c r="F231" s="8"/>
      <c r="G231" s="8"/>
      <c r="H231" s="8"/>
      <c r="I231" s="8"/>
      <c r="J231" s="8"/>
      <c r="K231" s="8"/>
      <c r="L231" s="8"/>
      <c r="M231" s="8"/>
      <c r="N231" s="8"/>
    </row>
    <row r="232" spans="6:14" ht="14.25" customHeight="1">
      <c r="F232" s="8"/>
      <c r="G232" s="8"/>
      <c r="H232" s="8"/>
      <c r="I232" s="8"/>
      <c r="J232" s="8"/>
      <c r="K232" s="8"/>
      <c r="L232" s="8"/>
      <c r="M232" s="8"/>
      <c r="N232" s="8"/>
    </row>
    <row r="233" spans="6:14" ht="14.25" customHeight="1">
      <c r="F233" s="8"/>
      <c r="G233" s="8"/>
      <c r="H233" s="8"/>
      <c r="I233" s="8"/>
      <c r="J233" s="8"/>
      <c r="K233" s="8"/>
      <c r="L233" s="8"/>
      <c r="M233" s="8"/>
      <c r="N233" s="8"/>
    </row>
    <row r="234" spans="6:14" ht="14.25" customHeight="1">
      <c r="F234" s="8"/>
      <c r="G234" s="8"/>
      <c r="H234" s="8"/>
      <c r="I234" s="8"/>
      <c r="J234" s="8"/>
      <c r="K234" s="8"/>
      <c r="L234" s="8"/>
      <c r="M234" s="8"/>
      <c r="N234" s="8"/>
    </row>
    <row r="235" spans="6:14" ht="14.25" customHeight="1">
      <c r="F235" s="8"/>
      <c r="G235" s="8"/>
      <c r="H235" s="8"/>
      <c r="I235" s="8"/>
      <c r="J235" s="8"/>
      <c r="K235" s="8"/>
      <c r="L235" s="8"/>
      <c r="M235" s="8"/>
      <c r="N235" s="8"/>
    </row>
    <row r="236" spans="6:14" ht="14.25" customHeight="1">
      <c r="F236" s="8"/>
      <c r="G236" s="8"/>
      <c r="H236" s="8"/>
      <c r="I236" s="8"/>
      <c r="J236" s="8"/>
      <c r="K236" s="8"/>
      <c r="L236" s="8"/>
      <c r="M236" s="8"/>
      <c r="N236" s="8"/>
    </row>
    <row r="237" spans="6:14" ht="14.25" customHeight="1">
      <c r="F237" s="8"/>
      <c r="G237" s="8"/>
      <c r="H237" s="8"/>
      <c r="I237" s="8"/>
      <c r="J237" s="8"/>
      <c r="K237" s="8"/>
      <c r="L237" s="8"/>
      <c r="M237" s="8"/>
      <c r="N237" s="8"/>
    </row>
    <row r="238" spans="6:14" ht="14.25" customHeight="1">
      <c r="F238" s="8"/>
      <c r="G238" s="8"/>
      <c r="H238" s="8"/>
      <c r="I238" s="8"/>
      <c r="J238" s="8"/>
      <c r="K238" s="8"/>
      <c r="L238" s="8"/>
      <c r="M238" s="8"/>
      <c r="N238" s="8"/>
    </row>
    <row r="239" spans="6:14" ht="14.25" customHeight="1">
      <c r="F239" s="8"/>
      <c r="G239" s="8"/>
      <c r="H239" s="8"/>
      <c r="I239" s="8"/>
      <c r="J239" s="8"/>
      <c r="K239" s="8"/>
      <c r="L239" s="8"/>
      <c r="M239" s="8"/>
      <c r="N239" s="8"/>
    </row>
    <row r="240" spans="6:14" ht="14.25" customHeight="1">
      <c r="F240" s="8"/>
      <c r="G240" s="8"/>
      <c r="H240" s="8"/>
      <c r="I240" s="8"/>
      <c r="J240" s="8"/>
      <c r="K240" s="8"/>
      <c r="L240" s="8"/>
      <c r="M240" s="8"/>
      <c r="N240" s="8"/>
    </row>
    <row r="241" spans="6:14" ht="14.25" customHeight="1">
      <c r="F241" s="8"/>
      <c r="G241" s="8"/>
      <c r="H241" s="8"/>
      <c r="I241" s="8"/>
      <c r="J241" s="8"/>
      <c r="K241" s="8"/>
      <c r="L241" s="8"/>
      <c r="M241" s="8"/>
      <c r="N241" s="8"/>
    </row>
    <row r="242" spans="6:14" ht="14.25" customHeight="1">
      <c r="F242" s="8"/>
      <c r="G242" s="8"/>
      <c r="H242" s="8"/>
      <c r="I242" s="8"/>
      <c r="J242" s="8"/>
      <c r="K242" s="8"/>
      <c r="L242" s="8"/>
      <c r="M242" s="8"/>
      <c r="N242" s="8"/>
    </row>
    <row r="243" spans="6:14" ht="14.25" customHeight="1">
      <c r="F243" s="8"/>
      <c r="G243" s="8"/>
      <c r="H243" s="8"/>
      <c r="I243" s="8"/>
      <c r="J243" s="8"/>
      <c r="K243" s="8"/>
      <c r="L243" s="8"/>
      <c r="M243" s="8"/>
      <c r="N243" s="8"/>
    </row>
    <row r="244" spans="6:14" ht="14.25" customHeight="1">
      <c r="F244" s="8"/>
      <c r="G244" s="8"/>
      <c r="H244" s="8"/>
      <c r="I244" s="8"/>
      <c r="J244" s="8"/>
      <c r="K244" s="8"/>
      <c r="L244" s="8"/>
      <c r="M244" s="8"/>
      <c r="N244" s="8"/>
    </row>
    <row r="245" spans="6:14" ht="14.25" customHeight="1">
      <c r="F245" s="8"/>
      <c r="G245" s="8"/>
      <c r="H245" s="8"/>
      <c r="I245" s="8"/>
      <c r="J245" s="8"/>
      <c r="K245" s="8"/>
      <c r="L245" s="8"/>
      <c r="M245" s="8"/>
      <c r="N245" s="8"/>
    </row>
    <row r="246" spans="6:14" ht="14.25" customHeight="1">
      <c r="F246" s="8"/>
      <c r="G246" s="8"/>
      <c r="H246" s="8"/>
      <c r="I246" s="8"/>
      <c r="J246" s="8"/>
      <c r="K246" s="8"/>
      <c r="L246" s="8"/>
      <c r="M246" s="8"/>
      <c r="N246" s="8"/>
    </row>
    <row r="247" spans="6:14" ht="14.25" customHeight="1">
      <c r="F247" s="8"/>
      <c r="G247" s="8"/>
      <c r="H247" s="8"/>
      <c r="I247" s="8"/>
      <c r="J247" s="8"/>
      <c r="K247" s="8"/>
      <c r="L247" s="8"/>
      <c r="M247" s="8"/>
      <c r="N247" s="8"/>
    </row>
    <row r="248" spans="6:14" ht="14.25" customHeight="1">
      <c r="F248" s="8"/>
      <c r="G248" s="8"/>
      <c r="H248" s="8"/>
      <c r="I248" s="8"/>
      <c r="J248" s="8"/>
      <c r="K248" s="8"/>
      <c r="L248" s="8"/>
      <c r="M248" s="8"/>
      <c r="N248" s="8"/>
    </row>
    <row r="249" spans="6:14" ht="14.25" customHeight="1">
      <c r="F249" s="8"/>
      <c r="G249" s="8"/>
      <c r="H249" s="8"/>
      <c r="I249" s="8"/>
      <c r="J249" s="8"/>
      <c r="K249" s="8"/>
      <c r="L249" s="8"/>
      <c r="M249" s="8"/>
      <c r="N249" s="8"/>
    </row>
    <row r="250" spans="6:14" ht="14.25" customHeight="1">
      <c r="F250" s="8"/>
      <c r="G250" s="8"/>
      <c r="H250" s="8"/>
      <c r="I250" s="8"/>
      <c r="J250" s="8"/>
      <c r="K250" s="8"/>
      <c r="L250" s="8"/>
      <c r="M250" s="8"/>
      <c r="N250" s="8"/>
    </row>
    <row r="251" spans="6:14" ht="14.25" customHeight="1">
      <c r="F251" s="8"/>
      <c r="G251" s="8"/>
      <c r="H251" s="8"/>
      <c r="I251" s="8"/>
      <c r="J251" s="8"/>
      <c r="K251" s="8"/>
      <c r="L251" s="8"/>
      <c r="M251" s="8"/>
      <c r="N251" s="8"/>
    </row>
    <row r="252" spans="6:14" ht="14.25" customHeight="1">
      <c r="F252" s="8"/>
      <c r="G252" s="8"/>
      <c r="H252" s="8"/>
      <c r="I252" s="8"/>
      <c r="J252" s="8"/>
      <c r="K252" s="8"/>
      <c r="L252" s="8"/>
      <c r="M252" s="8"/>
      <c r="N252" s="8"/>
    </row>
    <row r="253" spans="6:14" ht="14.25" customHeight="1">
      <c r="F253" s="8"/>
      <c r="G253" s="8"/>
      <c r="H253" s="8"/>
      <c r="I253" s="8"/>
      <c r="J253" s="8"/>
      <c r="K253" s="8"/>
      <c r="L253" s="8"/>
      <c r="M253" s="8"/>
      <c r="N253" s="8"/>
    </row>
    <row r="254" spans="6:14" ht="14.25" customHeight="1">
      <c r="F254" s="8"/>
      <c r="G254" s="8"/>
      <c r="H254" s="8"/>
      <c r="I254" s="8"/>
      <c r="J254" s="8"/>
      <c r="K254" s="8"/>
      <c r="L254" s="8"/>
      <c r="M254" s="8"/>
      <c r="N254" s="8"/>
    </row>
    <row r="255" spans="6:14" ht="14.25" customHeight="1">
      <c r="F255" s="8"/>
      <c r="G255" s="8"/>
      <c r="H255" s="8"/>
      <c r="I255" s="8"/>
      <c r="J255" s="8"/>
      <c r="K255" s="8"/>
      <c r="L255" s="8"/>
      <c r="M255" s="8"/>
      <c r="N255" s="8"/>
    </row>
    <row r="256" spans="6:14" ht="14.25" customHeight="1">
      <c r="F256" s="8"/>
      <c r="G256" s="8"/>
      <c r="H256" s="8"/>
      <c r="I256" s="8"/>
      <c r="J256" s="8"/>
      <c r="K256" s="8"/>
      <c r="L256" s="8"/>
      <c r="M256" s="8"/>
      <c r="N256" s="8"/>
    </row>
    <row r="257" spans="6:14" ht="14.25" customHeight="1">
      <c r="F257" s="8"/>
      <c r="G257" s="8"/>
      <c r="H257" s="8"/>
      <c r="I257" s="8"/>
      <c r="J257" s="8"/>
      <c r="K257" s="8"/>
      <c r="L257" s="8"/>
      <c r="M257" s="8"/>
      <c r="N257" s="8"/>
    </row>
    <row r="258" spans="6:14" ht="14.25" customHeight="1">
      <c r="F258" s="8"/>
      <c r="G258" s="8"/>
      <c r="H258" s="8"/>
      <c r="I258" s="8"/>
      <c r="J258" s="8"/>
      <c r="K258" s="8"/>
      <c r="L258" s="8"/>
      <c r="M258" s="8"/>
      <c r="N258" s="8"/>
    </row>
    <row r="259" spans="6:14" ht="14.25" customHeight="1">
      <c r="F259" s="8"/>
      <c r="G259" s="8"/>
      <c r="H259" s="8"/>
      <c r="I259" s="8"/>
      <c r="J259" s="8"/>
      <c r="K259" s="8"/>
      <c r="L259" s="8"/>
      <c r="M259" s="8"/>
      <c r="N259" s="8"/>
    </row>
    <row r="260" spans="6:14" ht="14.25" customHeight="1">
      <c r="F260" s="8"/>
      <c r="G260" s="8"/>
      <c r="H260" s="8"/>
      <c r="I260" s="8"/>
      <c r="J260" s="8"/>
      <c r="K260" s="8"/>
      <c r="L260" s="8"/>
      <c r="M260" s="8"/>
      <c r="N260" s="8"/>
    </row>
    <row r="261" spans="6:14" ht="14.25" customHeight="1">
      <c r="F261" s="8"/>
      <c r="G261" s="8"/>
      <c r="H261" s="8"/>
      <c r="I261" s="8"/>
      <c r="J261" s="8"/>
      <c r="K261" s="8"/>
      <c r="L261" s="8"/>
      <c r="M261" s="8"/>
      <c r="N261" s="8"/>
    </row>
    <row r="262" spans="6:14" ht="14.25" customHeight="1">
      <c r="F262" s="8"/>
      <c r="G262" s="8"/>
      <c r="H262" s="8"/>
      <c r="I262" s="8"/>
      <c r="J262" s="8"/>
      <c r="K262" s="8"/>
      <c r="L262" s="8"/>
      <c r="M262" s="8"/>
      <c r="N262" s="8"/>
    </row>
    <row r="263" spans="6:14" ht="14.25" customHeight="1">
      <c r="F263" s="8"/>
      <c r="G263" s="8"/>
      <c r="H263" s="8"/>
      <c r="I263" s="8"/>
      <c r="J263" s="8"/>
      <c r="K263" s="8"/>
      <c r="L263" s="8"/>
      <c r="M263" s="8"/>
      <c r="N263" s="8"/>
    </row>
    <row r="264" spans="6:14" ht="14.25" customHeight="1">
      <c r="F264" s="8"/>
      <c r="G264" s="8"/>
      <c r="H264" s="8"/>
      <c r="I264" s="8"/>
      <c r="J264" s="8"/>
      <c r="K264" s="8"/>
      <c r="L264" s="8"/>
      <c r="M264" s="8"/>
      <c r="N264" s="8"/>
    </row>
    <row r="265" spans="6:14" ht="14.25" customHeight="1">
      <c r="F265" s="8"/>
      <c r="G265" s="8"/>
      <c r="H265" s="8"/>
      <c r="I265" s="8"/>
      <c r="J265" s="8"/>
      <c r="K265" s="8"/>
      <c r="L265" s="8"/>
      <c r="M265" s="8"/>
      <c r="N265" s="8"/>
    </row>
    <row r="266" spans="6:14" ht="14.25" customHeight="1">
      <c r="F266" s="8"/>
      <c r="G266" s="8"/>
      <c r="H266" s="8"/>
      <c r="I266" s="8"/>
      <c r="J266" s="8"/>
      <c r="K266" s="8"/>
      <c r="L266" s="8"/>
      <c r="M266" s="8"/>
      <c r="N266" s="8"/>
    </row>
    <row r="267" spans="6:14" ht="14.25" customHeight="1">
      <c r="F267" s="8"/>
      <c r="G267" s="8"/>
      <c r="H267" s="8"/>
      <c r="I267" s="8"/>
      <c r="J267" s="8"/>
      <c r="K267" s="8"/>
      <c r="L267" s="8"/>
      <c r="M267" s="8"/>
      <c r="N267" s="8"/>
    </row>
    <row r="268" spans="6:14" ht="14.25" customHeight="1">
      <c r="F268" s="8"/>
      <c r="G268" s="8"/>
      <c r="H268" s="8"/>
      <c r="I268" s="8"/>
      <c r="J268" s="8"/>
      <c r="K268" s="8"/>
      <c r="L268" s="8"/>
      <c r="M268" s="8"/>
      <c r="N268" s="8"/>
    </row>
    <row r="269" spans="6:14" ht="14.25" customHeight="1">
      <c r="F269" s="8"/>
      <c r="G269" s="8"/>
      <c r="H269" s="8"/>
      <c r="I269" s="8"/>
      <c r="J269" s="8"/>
      <c r="K269" s="8"/>
      <c r="L269" s="8"/>
      <c r="M269" s="8"/>
      <c r="N269" s="8"/>
    </row>
    <row r="270" spans="6:14" ht="14.25" customHeight="1">
      <c r="F270" s="8"/>
      <c r="G270" s="8"/>
      <c r="H270" s="8"/>
      <c r="I270" s="8"/>
      <c r="J270" s="8"/>
      <c r="K270" s="8"/>
      <c r="L270" s="8"/>
      <c r="M270" s="8"/>
      <c r="N270" s="8"/>
    </row>
    <row r="271" spans="6:14" ht="14.25" customHeight="1">
      <c r="F271" s="8"/>
      <c r="G271" s="8"/>
      <c r="H271" s="8"/>
      <c r="I271" s="8"/>
      <c r="J271" s="8"/>
      <c r="K271" s="8"/>
      <c r="L271" s="8"/>
      <c r="M271" s="8"/>
      <c r="N271" s="8"/>
    </row>
    <row r="272" spans="6:14" ht="14.25" customHeight="1">
      <c r="F272" s="8"/>
      <c r="G272" s="8"/>
      <c r="H272" s="8"/>
      <c r="I272" s="8"/>
      <c r="J272" s="8"/>
      <c r="K272" s="8"/>
      <c r="L272" s="8"/>
      <c r="M272" s="8"/>
      <c r="N272" s="8"/>
    </row>
    <row r="273" spans="6:14" ht="14.25" customHeight="1">
      <c r="F273" s="8"/>
      <c r="G273" s="8"/>
      <c r="H273" s="8"/>
      <c r="I273" s="8"/>
      <c r="J273" s="8"/>
      <c r="K273" s="8"/>
      <c r="L273" s="8"/>
      <c r="M273" s="8"/>
      <c r="N273" s="8"/>
    </row>
    <row r="274" spans="6:14" ht="14.25" customHeight="1">
      <c r="F274" s="8"/>
      <c r="G274" s="8"/>
      <c r="H274" s="8"/>
      <c r="I274" s="8"/>
      <c r="J274" s="8"/>
      <c r="K274" s="8"/>
      <c r="L274" s="8"/>
      <c r="M274" s="8"/>
      <c r="N274" s="8"/>
    </row>
    <row r="275" spans="6:14" ht="14.25" customHeight="1">
      <c r="F275" s="8"/>
      <c r="G275" s="8"/>
      <c r="H275" s="8"/>
      <c r="I275" s="8"/>
      <c r="J275" s="8"/>
      <c r="K275" s="8"/>
      <c r="L275" s="8"/>
      <c r="M275" s="8"/>
      <c r="N275" s="8"/>
    </row>
    <row r="276" spans="6:14" ht="14.25" customHeight="1">
      <c r="F276" s="8"/>
      <c r="G276" s="8"/>
      <c r="H276" s="8"/>
      <c r="I276" s="8"/>
      <c r="J276" s="8"/>
      <c r="K276" s="8"/>
      <c r="L276" s="8"/>
      <c r="M276" s="8"/>
      <c r="N276" s="8"/>
    </row>
    <row r="277" spans="6:14" ht="14.25" customHeight="1">
      <c r="F277" s="8"/>
      <c r="G277" s="8"/>
      <c r="H277" s="8"/>
      <c r="I277" s="8"/>
      <c r="J277" s="8"/>
      <c r="K277" s="8"/>
      <c r="L277" s="8"/>
      <c r="M277" s="8"/>
      <c r="N277" s="8"/>
    </row>
    <row r="278" spans="6:14" ht="14.25" customHeight="1">
      <c r="F278" s="8"/>
      <c r="G278" s="8"/>
      <c r="H278" s="8"/>
      <c r="I278" s="8"/>
      <c r="J278" s="8"/>
      <c r="K278" s="8"/>
      <c r="L278" s="8"/>
      <c r="M278" s="8"/>
      <c r="N278" s="8"/>
    </row>
    <row r="279" spans="6:14" ht="14.25" customHeight="1">
      <c r="F279" s="8"/>
      <c r="G279" s="8"/>
      <c r="H279" s="8"/>
      <c r="I279" s="8"/>
      <c r="J279" s="8"/>
      <c r="K279" s="8"/>
      <c r="L279" s="8"/>
      <c r="M279" s="8"/>
      <c r="N279" s="8"/>
    </row>
    <row r="280" spans="6:14" ht="14.25" customHeight="1">
      <c r="F280" s="8"/>
      <c r="G280" s="8"/>
      <c r="H280" s="8"/>
      <c r="I280" s="8"/>
      <c r="J280" s="8"/>
      <c r="K280" s="8"/>
      <c r="L280" s="8"/>
      <c r="M280" s="8"/>
      <c r="N280" s="8"/>
    </row>
    <row r="281" spans="6:14" ht="14.25" customHeight="1">
      <c r="F281" s="8"/>
      <c r="G281" s="8"/>
      <c r="H281" s="8"/>
      <c r="I281" s="8"/>
      <c r="J281" s="8"/>
      <c r="K281" s="8"/>
      <c r="L281" s="8"/>
      <c r="M281" s="8"/>
      <c r="N281" s="8"/>
    </row>
    <row r="282" spans="6:14" ht="14.25" customHeight="1">
      <c r="F282" s="8"/>
      <c r="G282" s="8"/>
      <c r="H282" s="8"/>
      <c r="I282" s="8"/>
      <c r="J282" s="8"/>
      <c r="K282" s="8"/>
      <c r="L282" s="8"/>
      <c r="M282" s="8"/>
      <c r="N282" s="8"/>
    </row>
    <row r="283" spans="6:14" ht="14.25" customHeight="1">
      <c r="F283" s="8"/>
      <c r="G283" s="8"/>
      <c r="H283" s="8"/>
      <c r="I283" s="8"/>
      <c r="J283" s="8"/>
      <c r="K283" s="8"/>
      <c r="L283" s="8"/>
      <c r="M283" s="8"/>
      <c r="N283" s="8"/>
    </row>
    <row r="284" spans="6:14" ht="14.25" customHeight="1">
      <c r="F284" s="8"/>
      <c r="G284" s="8"/>
      <c r="H284" s="8"/>
      <c r="I284" s="8"/>
      <c r="J284" s="8"/>
      <c r="K284" s="8"/>
      <c r="L284" s="8"/>
      <c r="M284" s="8"/>
      <c r="N284" s="8"/>
    </row>
    <row r="285" spans="6:14" ht="14.25" customHeight="1">
      <c r="F285" s="8"/>
      <c r="G285" s="8"/>
      <c r="H285" s="8"/>
      <c r="I285" s="8"/>
      <c r="J285" s="8"/>
      <c r="K285" s="8"/>
      <c r="L285" s="8"/>
      <c r="M285" s="8"/>
      <c r="N285" s="8"/>
    </row>
    <row r="286" spans="6:14" ht="14.25" customHeight="1">
      <c r="F286" s="8"/>
      <c r="G286" s="8"/>
      <c r="H286" s="8"/>
      <c r="I286" s="8"/>
      <c r="J286" s="8"/>
      <c r="K286" s="8"/>
      <c r="L286" s="8"/>
      <c r="M286" s="8"/>
      <c r="N286" s="8"/>
    </row>
    <row r="287" spans="6:14" ht="14.25" customHeight="1">
      <c r="F287" s="8"/>
      <c r="G287" s="8"/>
      <c r="H287" s="8"/>
      <c r="I287" s="8"/>
      <c r="J287" s="8"/>
      <c r="K287" s="8"/>
      <c r="L287" s="8"/>
      <c r="M287" s="8"/>
      <c r="N287" s="8"/>
    </row>
    <row r="288" spans="6:14" ht="14.25" customHeight="1">
      <c r="F288" s="8"/>
      <c r="G288" s="8"/>
      <c r="H288" s="8"/>
      <c r="I288" s="8"/>
      <c r="J288" s="8"/>
      <c r="K288" s="8"/>
      <c r="L288" s="8"/>
      <c r="M288" s="8"/>
      <c r="N288" s="8"/>
    </row>
    <row r="289" spans="6:14" ht="14.25" customHeight="1">
      <c r="F289" s="8"/>
      <c r="G289" s="8"/>
      <c r="H289" s="8"/>
      <c r="I289" s="8"/>
      <c r="J289" s="8"/>
      <c r="K289" s="8"/>
      <c r="L289" s="8"/>
      <c r="M289" s="8"/>
      <c r="N289" s="8"/>
    </row>
    <row r="290" spans="6:14" ht="14.25" customHeight="1">
      <c r="F290" s="8"/>
      <c r="G290" s="8"/>
      <c r="H290" s="8"/>
      <c r="I290" s="8"/>
      <c r="J290" s="8"/>
      <c r="K290" s="8"/>
      <c r="L290" s="8"/>
      <c r="M290" s="8"/>
      <c r="N290" s="8"/>
    </row>
    <row r="291" spans="6:14" ht="14.25" customHeight="1">
      <c r="F291" s="8"/>
      <c r="G291" s="8"/>
      <c r="H291" s="8"/>
      <c r="I291" s="8"/>
      <c r="J291" s="8"/>
      <c r="K291" s="8"/>
      <c r="L291" s="8"/>
      <c r="M291" s="8"/>
      <c r="N291" s="8"/>
    </row>
    <row r="292" spans="6:14" ht="14.25" customHeight="1">
      <c r="F292" s="8"/>
      <c r="G292" s="8"/>
      <c r="H292" s="8"/>
      <c r="I292" s="8"/>
      <c r="J292" s="8"/>
      <c r="K292" s="8"/>
      <c r="L292" s="8"/>
      <c r="M292" s="8"/>
      <c r="N292" s="8"/>
    </row>
    <row r="293" spans="6:14" ht="14.25" customHeight="1">
      <c r="F293" s="8"/>
      <c r="G293" s="8"/>
      <c r="H293" s="8"/>
      <c r="I293" s="8"/>
      <c r="J293" s="8"/>
      <c r="K293" s="8"/>
      <c r="L293" s="8"/>
      <c r="M293" s="8"/>
      <c r="N293" s="8"/>
    </row>
    <row r="294" spans="6:14" ht="14.25" customHeight="1">
      <c r="F294" s="8"/>
      <c r="G294" s="8"/>
      <c r="H294" s="8"/>
      <c r="I294" s="8"/>
      <c r="J294" s="8"/>
      <c r="K294" s="8"/>
      <c r="L294" s="8"/>
      <c r="M294" s="8"/>
      <c r="N294" s="8"/>
    </row>
    <row r="295" spans="6:14" ht="14.25" customHeight="1">
      <c r="F295" s="8"/>
      <c r="G295" s="8"/>
      <c r="H295" s="8"/>
      <c r="I295" s="8"/>
      <c r="J295" s="8"/>
      <c r="K295" s="8"/>
      <c r="L295" s="8"/>
      <c r="M295" s="8"/>
      <c r="N295" s="8"/>
    </row>
    <row r="296" spans="6:14" ht="14.25" customHeight="1">
      <c r="F296" s="8"/>
      <c r="G296" s="8"/>
      <c r="H296" s="8"/>
      <c r="I296" s="8"/>
      <c r="J296" s="8"/>
      <c r="K296" s="8"/>
      <c r="L296" s="8"/>
      <c r="M296" s="8"/>
      <c r="N296" s="8"/>
    </row>
    <row r="297" spans="6:14" ht="14.25" customHeight="1">
      <c r="F297" s="8"/>
      <c r="G297" s="8"/>
      <c r="H297" s="8"/>
      <c r="I297" s="8"/>
      <c r="J297" s="8"/>
      <c r="K297" s="8"/>
      <c r="L297" s="8"/>
      <c r="M297" s="8"/>
      <c r="N297" s="8"/>
    </row>
    <row r="298" spans="6:14" ht="14.25" customHeight="1">
      <c r="F298" s="8"/>
      <c r="G298" s="8"/>
      <c r="H298" s="8"/>
      <c r="I298" s="8"/>
      <c r="J298" s="8"/>
      <c r="K298" s="8"/>
      <c r="L298" s="8"/>
      <c r="M298" s="8"/>
      <c r="N298" s="8"/>
    </row>
    <row r="299" spans="6:14" ht="14.25" customHeight="1">
      <c r="F299" s="8"/>
      <c r="G299" s="8"/>
      <c r="H299" s="8"/>
      <c r="I299" s="8"/>
      <c r="J299" s="8"/>
      <c r="K299" s="8"/>
      <c r="L299" s="8"/>
      <c r="M299" s="8"/>
      <c r="N299" s="8"/>
    </row>
    <row r="300" spans="6:14" ht="14.25" customHeight="1">
      <c r="F300" s="8"/>
      <c r="G300" s="8"/>
      <c r="H300" s="8"/>
      <c r="I300" s="8"/>
      <c r="J300" s="8"/>
      <c r="K300" s="8"/>
      <c r="L300" s="8"/>
      <c r="M300" s="8"/>
      <c r="N300" s="8"/>
    </row>
    <row r="301" spans="6:14" ht="14.25" customHeight="1">
      <c r="F301" s="8"/>
      <c r="G301" s="8"/>
      <c r="H301" s="8"/>
      <c r="I301" s="8"/>
      <c r="J301" s="8"/>
      <c r="K301" s="8"/>
      <c r="L301" s="8"/>
      <c r="M301" s="8"/>
      <c r="N301" s="8"/>
    </row>
    <row r="302" spans="6:14" ht="14.25" customHeight="1">
      <c r="F302" s="8"/>
      <c r="G302" s="8"/>
      <c r="H302" s="8"/>
      <c r="I302" s="8"/>
      <c r="J302" s="8"/>
      <c r="K302" s="8"/>
      <c r="L302" s="8"/>
      <c r="M302" s="8"/>
      <c r="N302" s="8"/>
    </row>
    <row r="303" spans="6:14" ht="14.25" customHeight="1">
      <c r="F303" s="8"/>
      <c r="G303" s="8"/>
      <c r="H303" s="8"/>
      <c r="I303" s="8"/>
      <c r="J303" s="8"/>
      <c r="K303" s="8"/>
      <c r="L303" s="8"/>
      <c r="M303" s="8"/>
      <c r="N303" s="8"/>
    </row>
    <row r="304" spans="6:14" ht="14.25" customHeight="1">
      <c r="F304" s="8"/>
      <c r="G304" s="8"/>
      <c r="H304" s="8"/>
      <c r="I304" s="8"/>
      <c r="J304" s="8"/>
      <c r="K304" s="8"/>
      <c r="L304" s="8"/>
      <c r="M304" s="8"/>
      <c r="N304" s="8"/>
    </row>
    <row r="305" spans="6:14" ht="14.25" customHeight="1">
      <c r="F305" s="8"/>
      <c r="G305" s="8"/>
      <c r="H305" s="8"/>
      <c r="I305" s="8"/>
      <c r="J305" s="8"/>
      <c r="K305" s="8"/>
      <c r="L305" s="8"/>
      <c r="M305" s="8"/>
      <c r="N305" s="8"/>
    </row>
    <row r="306" spans="6:14" ht="14.25" customHeight="1">
      <c r="F306" s="8"/>
      <c r="G306" s="8"/>
      <c r="H306" s="8"/>
      <c r="I306" s="8"/>
      <c r="J306" s="8"/>
      <c r="K306" s="8"/>
      <c r="L306" s="8"/>
      <c r="M306" s="8"/>
      <c r="N306" s="8"/>
    </row>
    <row r="307" spans="6:14" ht="14.25" customHeight="1">
      <c r="F307" s="8"/>
      <c r="G307" s="8"/>
      <c r="H307" s="8"/>
      <c r="I307" s="8"/>
      <c r="J307" s="8"/>
      <c r="K307" s="8"/>
      <c r="L307" s="8"/>
      <c r="M307" s="8"/>
      <c r="N307" s="8"/>
    </row>
    <row r="308" spans="6:14" ht="14.25" customHeight="1">
      <c r="F308" s="8"/>
      <c r="G308" s="8"/>
      <c r="H308" s="8"/>
      <c r="I308" s="8"/>
      <c r="J308" s="8"/>
      <c r="K308" s="8"/>
      <c r="L308" s="8"/>
      <c r="M308" s="8"/>
      <c r="N308" s="8"/>
    </row>
    <row r="309" spans="6:14" ht="14.25" customHeight="1">
      <c r="F309" s="8"/>
      <c r="G309" s="8"/>
      <c r="H309" s="8"/>
      <c r="I309" s="8"/>
      <c r="J309" s="8"/>
      <c r="K309" s="8"/>
      <c r="L309" s="8"/>
      <c r="M309" s="8"/>
      <c r="N309" s="8"/>
    </row>
    <row r="310" spans="6:14" ht="14.25" customHeight="1">
      <c r="F310" s="8"/>
      <c r="G310" s="8"/>
      <c r="H310" s="8"/>
      <c r="I310" s="8"/>
      <c r="J310" s="8"/>
      <c r="K310" s="8"/>
      <c r="L310" s="8"/>
      <c r="M310" s="8"/>
      <c r="N310" s="8"/>
    </row>
    <row r="311" spans="6:14" ht="14.25" customHeight="1">
      <c r="F311" s="8"/>
      <c r="G311" s="8"/>
      <c r="H311" s="8"/>
      <c r="I311" s="8"/>
      <c r="J311" s="8"/>
      <c r="K311" s="8"/>
      <c r="L311" s="8"/>
      <c r="M311" s="8"/>
      <c r="N311" s="8"/>
    </row>
    <row r="312" spans="6:14" ht="14.25" customHeight="1">
      <c r="F312" s="8"/>
      <c r="G312" s="8"/>
      <c r="H312" s="8"/>
      <c r="I312" s="8"/>
      <c r="J312" s="8"/>
      <c r="K312" s="8"/>
      <c r="L312" s="8"/>
      <c r="M312" s="8"/>
      <c r="N312" s="8"/>
    </row>
    <row r="313" spans="6:14" ht="14.25" customHeight="1">
      <c r="F313" s="8"/>
      <c r="G313" s="8"/>
      <c r="H313" s="8"/>
      <c r="I313" s="8"/>
      <c r="J313" s="8"/>
      <c r="K313" s="8"/>
      <c r="L313" s="8"/>
      <c r="M313" s="8"/>
      <c r="N313" s="8"/>
    </row>
    <row r="314" spans="6:14" ht="14.25" customHeight="1">
      <c r="F314" s="8"/>
      <c r="G314" s="8"/>
      <c r="H314" s="8"/>
      <c r="I314" s="8"/>
      <c r="J314" s="8"/>
      <c r="K314" s="8"/>
      <c r="L314" s="8"/>
      <c r="M314" s="8"/>
      <c r="N314" s="8"/>
    </row>
    <row r="315" spans="6:14" ht="14.25" customHeight="1">
      <c r="F315" s="8"/>
      <c r="G315" s="8"/>
      <c r="H315" s="8"/>
      <c r="I315" s="8"/>
      <c r="J315" s="8"/>
      <c r="K315" s="8"/>
      <c r="L315" s="8"/>
      <c r="M315" s="8"/>
      <c r="N315" s="8"/>
    </row>
    <row r="316" spans="6:14" ht="14.25" customHeight="1">
      <c r="F316" s="8"/>
      <c r="G316" s="8"/>
      <c r="H316" s="8"/>
      <c r="I316" s="8"/>
      <c r="J316" s="8"/>
      <c r="K316" s="8"/>
      <c r="L316" s="8"/>
      <c r="M316" s="8"/>
      <c r="N316" s="8"/>
    </row>
    <row r="317" spans="6:14" ht="14.25" customHeight="1">
      <c r="F317" s="8"/>
      <c r="G317" s="8"/>
      <c r="H317" s="8"/>
      <c r="I317" s="8"/>
      <c r="J317" s="8"/>
      <c r="K317" s="8"/>
      <c r="L317" s="8"/>
      <c r="M317" s="8"/>
      <c r="N317" s="8"/>
    </row>
    <row r="318" spans="6:14" ht="14.25" customHeight="1">
      <c r="F318" s="8"/>
      <c r="G318" s="8"/>
      <c r="H318" s="8"/>
      <c r="I318" s="8"/>
      <c r="J318" s="8"/>
      <c r="K318" s="8"/>
      <c r="L318" s="8"/>
      <c r="M318" s="8"/>
      <c r="N318" s="8"/>
    </row>
    <row r="319" spans="6:14" ht="14.25" customHeight="1">
      <c r="F319" s="8"/>
      <c r="G319" s="8"/>
      <c r="H319" s="8"/>
      <c r="I319" s="8"/>
      <c r="J319" s="8"/>
      <c r="K319" s="8"/>
      <c r="L319" s="8"/>
      <c r="M319" s="8"/>
      <c r="N319" s="8"/>
    </row>
    <row r="320" spans="6:14" ht="14.25" customHeight="1">
      <c r="F320" s="8"/>
      <c r="G320" s="8"/>
      <c r="H320" s="8"/>
      <c r="I320" s="8"/>
      <c r="J320" s="8"/>
      <c r="K320" s="8"/>
      <c r="L320" s="8"/>
      <c r="M320" s="8"/>
      <c r="N320" s="8"/>
    </row>
    <row r="321" spans="6:14" ht="14.25" customHeight="1">
      <c r="F321" s="8"/>
      <c r="G321" s="8"/>
      <c r="H321" s="8"/>
      <c r="I321" s="8"/>
      <c r="J321" s="8"/>
      <c r="K321" s="8"/>
      <c r="L321" s="8"/>
      <c r="M321" s="8"/>
      <c r="N321" s="8"/>
    </row>
    <row r="322" spans="6:14" ht="14.25" customHeight="1">
      <c r="F322" s="8"/>
      <c r="G322" s="8"/>
      <c r="H322" s="8"/>
      <c r="I322" s="8"/>
      <c r="J322" s="8"/>
      <c r="K322" s="8"/>
      <c r="L322" s="8"/>
      <c r="M322" s="8"/>
      <c r="N322" s="8"/>
    </row>
    <row r="323" spans="6:14" ht="14.25" customHeight="1">
      <c r="F323" s="8"/>
      <c r="G323" s="8"/>
      <c r="H323" s="8"/>
      <c r="I323" s="8"/>
      <c r="J323" s="8"/>
      <c r="K323" s="8"/>
      <c r="L323" s="8"/>
      <c r="M323" s="8"/>
      <c r="N323" s="8"/>
    </row>
    <row r="324" spans="6:14" ht="14.25" customHeight="1">
      <c r="F324" s="8"/>
      <c r="G324" s="8"/>
      <c r="H324" s="8"/>
      <c r="I324" s="8"/>
      <c r="J324" s="8"/>
      <c r="K324" s="8"/>
      <c r="L324" s="8"/>
      <c r="M324" s="8"/>
      <c r="N324" s="8"/>
    </row>
    <row r="325" spans="6:14" ht="14.25" customHeight="1">
      <c r="F325" s="8"/>
      <c r="G325" s="8"/>
      <c r="H325" s="8"/>
      <c r="I325" s="8"/>
      <c r="J325" s="8"/>
      <c r="K325" s="8"/>
      <c r="L325" s="8"/>
      <c r="M325" s="8"/>
      <c r="N325" s="8"/>
    </row>
    <row r="326" spans="6:14" ht="14.25" customHeight="1">
      <c r="F326" s="8"/>
      <c r="G326" s="8"/>
      <c r="H326" s="8"/>
      <c r="I326" s="8"/>
      <c r="J326" s="8"/>
      <c r="K326" s="8"/>
      <c r="L326" s="8"/>
      <c r="M326" s="8"/>
      <c r="N326" s="8"/>
    </row>
    <row r="327" spans="6:14" ht="14.25" customHeight="1">
      <c r="F327" s="8"/>
      <c r="G327" s="8"/>
      <c r="H327" s="8"/>
      <c r="I327" s="8"/>
      <c r="J327" s="8"/>
      <c r="K327" s="8"/>
      <c r="L327" s="8"/>
      <c r="M327" s="8"/>
      <c r="N327" s="8"/>
    </row>
    <row r="328" spans="6:14" ht="14.25" customHeight="1">
      <c r="F328" s="8"/>
      <c r="G328" s="8"/>
      <c r="H328" s="8"/>
      <c r="I328" s="8"/>
      <c r="J328" s="8"/>
      <c r="K328" s="8"/>
      <c r="L328" s="8"/>
      <c r="M328" s="8"/>
      <c r="N328" s="8"/>
    </row>
    <row r="329" spans="6:14" ht="14.25" customHeight="1">
      <c r="F329" s="8"/>
      <c r="G329" s="8"/>
      <c r="H329" s="8"/>
      <c r="I329" s="8"/>
      <c r="J329" s="8"/>
      <c r="K329" s="8"/>
      <c r="L329" s="8"/>
      <c r="M329" s="8"/>
      <c r="N329" s="8"/>
    </row>
    <row r="330" spans="6:14" ht="14.25" customHeight="1">
      <c r="F330" s="8"/>
      <c r="G330" s="8"/>
      <c r="H330" s="8"/>
      <c r="I330" s="8"/>
      <c r="J330" s="8"/>
      <c r="K330" s="8"/>
      <c r="L330" s="8"/>
      <c r="M330" s="8"/>
      <c r="N330" s="8"/>
    </row>
    <row r="331" spans="6:14" ht="14.25" customHeight="1">
      <c r="F331" s="8"/>
      <c r="G331" s="8"/>
      <c r="H331" s="8"/>
      <c r="I331" s="8"/>
      <c r="J331" s="8"/>
      <c r="K331" s="8"/>
      <c r="L331" s="8"/>
      <c r="M331" s="8"/>
      <c r="N331" s="8"/>
    </row>
    <row r="332" spans="6:14" ht="14.25" customHeight="1">
      <c r="F332" s="8"/>
      <c r="G332" s="8"/>
      <c r="H332" s="8"/>
      <c r="I332" s="8"/>
      <c r="J332" s="8"/>
      <c r="K332" s="8"/>
      <c r="L332" s="8"/>
      <c r="M332" s="8"/>
      <c r="N332" s="8"/>
    </row>
    <row r="333" spans="6:14" ht="14.25" customHeight="1">
      <c r="F333" s="8"/>
      <c r="G333" s="8"/>
      <c r="H333" s="8"/>
      <c r="I333" s="8"/>
      <c r="J333" s="8"/>
      <c r="K333" s="8"/>
      <c r="L333" s="8"/>
      <c r="M333" s="8"/>
      <c r="N333" s="8"/>
    </row>
    <row r="334" spans="6:14" ht="14.25" customHeight="1">
      <c r="F334" s="8"/>
      <c r="G334" s="8"/>
      <c r="H334" s="8"/>
      <c r="I334" s="8"/>
      <c r="J334" s="8"/>
      <c r="K334" s="8"/>
      <c r="L334" s="8"/>
      <c r="M334" s="8"/>
      <c r="N334" s="8"/>
    </row>
    <row r="335" spans="6:14" ht="14.25" customHeight="1">
      <c r="F335" s="8"/>
      <c r="G335" s="8"/>
      <c r="H335" s="8"/>
      <c r="I335" s="8"/>
      <c r="J335" s="8"/>
      <c r="K335" s="8"/>
      <c r="L335" s="8"/>
      <c r="M335" s="8"/>
      <c r="N335" s="8"/>
    </row>
    <row r="336" spans="6:14" ht="14.25" customHeight="1">
      <c r="F336" s="8"/>
      <c r="G336" s="8"/>
      <c r="H336" s="8"/>
      <c r="I336" s="8"/>
      <c r="J336" s="8"/>
      <c r="K336" s="8"/>
      <c r="L336" s="8"/>
      <c r="M336" s="8"/>
      <c r="N336" s="8"/>
    </row>
    <row r="337" spans="6:14" ht="14.25" customHeight="1">
      <c r="F337" s="8"/>
      <c r="G337" s="8"/>
      <c r="H337" s="8"/>
      <c r="I337" s="8"/>
      <c r="J337" s="8"/>
      <c r="K337" s="8"/>
      <c r="L337" s="8"/>
      <c r="M337" s="8"/>
      <c r="N337" s="8"/>
    </row>
    <row r="338" spans="6:14" ht="14.25" customHeight="1">
      <c r="F338" s="8"/>
      <c r="G338" s="8"/>
      <c r="H338" s="8"/>
      <c r="I338" s="8"/>
      <c r="J338" s="8"/>
      <c r="K338" s="8"/>
      <c r="L338" s="8"/>
      <c r="M338" s="8"/>
      <c r="N338" s="8"/>
    </row>
    <row r="339" spans="6:14" ht="14.25" customHeight="1">
      <c r="F339" s="8"/>
      <c r="G339" s="8"/>
      <c r="H339" s="8"/>
      <c r="I339" s="8"/>
      <c r="J339" s="8"/>
      <c r="K339" s="8"/>
      <c r="L339" s="8"/>
      <c r="M339" s="8"/>
      <c r="N339" s="8"/>
    </row>
    <row r="340" spans="6:14" ht="14.25" customHeight="1">
      <c r="F340" s="8"/>
      <c r="G340" s="8"/>
      <c r="H340" s="8"/>
      <c r="I340" s="8"/>
      <c r="J340" s="8"/>
      <c r="K340" s="8"/>
      <c r="L340" s="8"/>
      <c r="M340" s="8"/>
      <c r="N340" s="8"/>
    </row>
    <row r="341" spans="6:14" ht="14.25" customHeight="1">
      <c r="F341" s="8"/>
      <c r="G341" s="8"/>
      <c r="H341" s="8"/>
      <c r="I341" s="8"/>
      <c r="J341" s="8"/>
      <c r="K341" s="8"/>
      <c r="L341" s="8"/>
      <c r="M341" s="8"/>
      <c r="N341" s="8"/>
    </row>
    <row r="342" spans="6:14" ht="14.25" customHeight="1">
      <c r="F342" s="8"/>
      <c r="G342" s="8"/>
      <c r="H342" s="8"/>
      <c r="I342" s="8"/>
      <c r="J342" s="8"/>
      <c r="K342" s="8"/>
      <c r="L342" s="8"/>
      <c r="M342" s="8"/>
      <c r="N342" s="8"/>
    </row>
    <row r="343" spans="6:14" ht="14.25" customHeight="1">
      <c r="F343" s="8"/>
      <c r="G343" s="8"/>
      <c r="H343" s="8"/>
      <c r="I343" s="8"/>
      <c r="J343" s="8"/>
      <c r="K343" s="8"/>
      <c r="L343" s="8"/>
      <c r="M343" s="8"/>
      <c r="N343" s="8"/>
    </row>
    <row r="344" spans="6:14" ht="14.25" customHeight="1">
      <c r="F344" s="8"/>
      <c r="G344" s="8"/>
      <c r="H344" s="8"/>
      <c r="I344" s="8"/>
      <c r="J344" s="8"/>
      <c r="K344" s="8"/>
      <c r="L344" s="8"/>
      <c r="M344" s="8"/>
      <c r="N344" s="8"/>
    </row>
    <row r="345" spans="6:14" ht="14.25" customHeight="1">
      <c r="F345" s="8"/>
      <c r="G345" s="8"/>
      <c r="H345" s="8"/>
      <c r="I345" s="8"/>
      <c r="J345" s="8"/>
      <c r="K345" s="8"/>
      <c r="L345" s="8"/>
      <c r="M345" s="8"/>
      <c r="N345" s="8"/>
    </row>
    <row r="346" spans="6:14" ht="14.25" customHeight="1">
      <c r="F346" s="8"/>
      <c r="G346" s="8"/>
      <c r="H346" s="8"/>
      <c r="I346" s="8"/>
      <c r="J346" s="8"/>
      <c r="K346" s="8"/>
      <c r="L346" s="8"/>
      <c r="M346" s="8"/>
      <c r="N346" s="8"/>
    </row>
    <row r="347" spans="6:14" ht="14.25" customHeight="1">
      <c r="F347" s="8"/>
      <c r="G347" s="8"/>
      <c r="H347" s="8"/>
      <c r="I347" s="8"/>
      <c r="J347" s="8"/>
      <c r="K347" s="8"/>
      <c r="L347" s="8"/>
      <c r="M347" s="8"/>
      <c r="N347" s="8"/>
    </row>
    <row r="348" spans="6:14" ht="14.25" customHeight="1">
      <c r="F348" s="8"/>
      <c r="G348" s="8"/>
      <c r="H348" s="8"/>
      <c r="I348" s="8"/>
      <c r="J348" s="8"/>
      <c r="K348" s="8"/>
      <c r="L348" s="8"/>
      <c r="M348" s="8"/>
      <c r="N348" s="8"/>
    </row>
    <row r="349" spans="6:14" ht="14.25" customHeight="1">
      <c r="F349" s="8"/>
      <c r="G349" s="8"/>
      <c r="H349" s="8"/>
      <c r="I349" s="8"/>
      <c r="J349" s="8"/>
      <c r="K349" s="8"/>
      <c r="L349" s="8"/>
      <c r="M349" s="8"/>
      <c r="N349" s="8"/>
    </row>
    <row r="350" spans="6:14" ht="14.25" customHeight="1">
      <c r="F350" s="8"/>
      <c r="G350" s="8"/>
      <c r="H350" s="8"/>
      <c r="I350" s="8"/>
      <c r="J350" s="8"/>
      <c r="K350" s="8"/>
      <c r="L350" s="8"/>
      <c r="M350" s="8"/>
      <c r="N350" s="8"/>
    </row>
    <row r="351" spans="6:14" ht="14.25" customHeight="1">
      <c r="F351" s="8"/>
      <c r="G351" s="8"/>
      <c r="H351" s="8"/>
      <c r="I351" s="8"/>
      <c r="J351" s="8"/>
      <c r="K351" s="8"/>
      <c r="L351" s="8"/>
      <c r="M351" s="8"/>
      <c r="N351" s="8"/>
    </row>
    <row r="352" spans="6:14" ht="14.25" customHeight="1">
      <c r="F352" s="8"/>
      <c r="G352" s="8"/>
      <c r="H352" s="8"/>
      <c r="I352" s="8"/>
      <c r="J352" s="8"/>
      <c r="K352" s="8"/>
      <c r="L352" s="8"/>
      <c r="M352" s="8"/>
      <c r="N352" s="8"/>
    </row>
    <row r="353" spans="6:14" ht="14.25" customHeight="1">
      <c r="F353" s="8"/>
      <c r="G353" s="8"/>
      <c r="H353" s="8"/>
      <c r="I353" s="8"/>
      <c r="J353" s="8"/>
      <c r="K353" s="8"/>
      <c r="L353" s="8"/>
      <c r="M353" s="8"/>
      <c r="N353" s="8"/>
    </row>
    <row r="354" spans="6:14" ht="14.25" customHeight="1">
      <c r="F354" s="8"/>
      <c r="G354" s="8"/>
      <c r="H354" s="8"/>
      <c r="I354" s="8"/>
      <c r="J354" s="8"/>
      <c r="K354" s="8"/>
      <c r="L354" s="8"/>
      <c r="M354" s="8"/>
      <c r="N354" s="8"/>
    </row>
    <row r="355" spans="6:14" ht="14.25" customHeight="1">
      <c r="F355" s="8"/>
      <c r="G355" s="8"/>
      <c r="H355" s="8"/>
      <c r="I355" s="8"/>
      <c r="J355" s="8"/>
      <c r="K355" s="8"/>
      <c r="L355" s="8"/>
      <c r="M355" s="8"/>
      <c r="N355" s="8"/>
    </row>
    <row r="356" spans="6:14" ht="14.25" customHeight="1">
      <c r="F356" s="8"/>
      <c r="G356" s="8"/>
      <c r="H356" s="8"/>
      <c r="I356" s="8"/>
      <c r="J356" s="8"/>
      <c r="K356" s="8"/>
      <c r="L356" s="8"/>
      <c r="M356" s="8"/>
      <c r="N356" s="8"/>
    </row>
    <row r="357" spans="6:14" ht="14.25" customHeight="1">
      <c r="F357" s="8"/>
      <c r="G357" s="8"/>
      <c r="H357" s="8"/>
      <c r="I357" s="8"/>
      <c r="J357" s="8"/>
      <c r="K357" s="8"/>
      <c r="L357" s="8"/>
      <c r="M357" s="8"/>
      <c r="N357" s="8"/>
    </row>
    <row r="358" spans="6:14" ht="14.25" customHeight="1">
      <c r="F358" s="8"/>
      <c r="G358" s="8"/>
      <c r="H358" s="8"/>
      <c r="I358" s="8"/>
      <c r="J358" s="8"/>
      <c r="K358" s="8"/>
      <c r="L358" s="8"/>
      <c r="M358" s="8"/>
      <c r="N358" s="8"/>
    </row>
    <row r="359" spans="6:14" ht="14.25" customHeight="1">
      <c r="F359" s="8"/>
      <c r="G359" s="8"/>
      <c r="H359" s="8"/>
      <c r="I359" s="8"/>
      <c r="J359" s="8"/>
      <c r="K359" s="8"/>
      <c r="L359" s="8"/>
      <c r="M359" s="8"/>
      <c r="N359" s="8"/>
    </row>
    <row r="360" spans="6:14" ht="14.25" customHeight="1">
      <c r="F360" s="8"/>
      <c r="G360" s="8"/>
      <c r="H360" s="8"/>
      <c r="I360" s="8"/>
      <c r="J360" s="8"/>
      <c r="K360" s="8"/>
      <c r="L360" s="8"/>
      <c r="M360" s="8"/>
      <c r="N360" s="8"/>
    </row>
    <row r="361" spans="6:14" ht="14.25" customHeight="1">
      <c r="F361" s="8"/>
      <c r="G361" s="8"/>
      <c r="H361" s="8"/>
      <c r="I361" s="8"/>
      <c r="J361" s="8"/>
      <c r="K361" s="8"/>
      <c r="L361" s="8"/>
      <c r="M361" s="8"/>
      <c r="N361" s="8"/>
    </row>
    <row r="362" spans="6:14" ht="14.25" customHeight="1">
      <c r="F362" s="8"/>
      <c r="G362" s="8"/>
      <c r="H362" s="8"/>
      <c r="I362" s="8"/>
      <c r="J362" s="8"/>
      <c r="K362" s="8"/>
      <c r="L362" s="8"/>
      <c r="M362" s="8"/>
      <c r="N362" s="8"/>
    </row>
    <row r="363" spans="6:14" ht="14.25" customHeight="1">
      <c r="F363" s="8"/>
      <c r="G363" s="8"/>
      <c r="H363" s="8"/>
      <c r="I363" s="8"/>
      <c r="J363" s="8"/>
      <c r="K363" s="8"/>
      <c r="L363" s="8"/>
      <c r="M363" s="8"/>
      <c r="N363" s="8"/>
    </row>
    <row r="364" spans="6:14" ht="14.25" customHeight="1">
      <c r="F364" s="8"/>
      <c r="G364" s="8"/>
      <c r="H364" s="8"/>
      <c r="I364" s="8"/>
      <c r="J364" s="8"/>
      <c r="K364" s="8"/>
      <c r="L364" s="8"/>
      <c r="M364" s="8"/>
      <c r="N364" s="8"/>
    </row>
    <row r="365" spans="6:14" ht="14.25" customHeight="1">
      <c r="F365" s="8"/>
      <c r="G365" s="8"/>
      <c r="H365" s="8"/>
      <c r="I365" s="8"/>
      <c r="J365" s="8"/>
      <c r="K365" s="8"/>
      <c r="L365" s="8"/>
      <c r="M365" s="8"/>
      <c r="N365" s="8"/>
    </row>
    <row r="366" spans="6:14" ht="14.25" customHeight="1">
      <c r="F366" s="8"/>
      <c r="G366" s="8"/>
      <c r="H366" s="8"/>
      <c r="I366" s="8"/>
      <c r="J366" s="8"/>
      <c r="K366" s="8"/>
      <c r="L366" s="8"/>
      <c r="M366" s="8"/>
      <c r="N366" s="8"/>
    </row>
    <row r="367" spans="6:14" ht="14.25" customHeight="1">
      <c r="F367" s="8"/>
      <c r="G367" s="8"/>
      <c r="H367" s="8"/>
      <c r="I367" s="8"/>
      <c r="J367" s="8"/>
      <c r="K367" s="8"/>
      <c r="L367" s="8"/>
      <c r="M367" s="8"/>
      <c r="N367" s="8"/>
    </row>
    <row r="368" spans="6:14" ht="14.25" customHeight="1">
      <c r="F368" s="8"/>
      <c r="G368" s="8"/>
      <c r="H368" s="8"/>
      <c r="I368" s="8"/>
      <c r="J368" s="8"/>
      <c r="K368" s="8"/>
      <c r="L368" s="8"/>
      <c r="M368" s="8"/>
      <c r="N368" s="8"/>
    </row>
    <row r="369" spans="6:14" ht="14.25" customHeight="1">
      <c r="F369" s="8"/>
      <c r="G369" s="8"/>
      <c r="H369" s="8"/>
      <c r="I369" s="8"/>
      <c r="J369" s="8"/>
      <c r="K369" s="8"/>
      <c r="L369" s="8"/>
      <c r="M369" s="8"/>
      <c r="N369" s="8"/>
    </row>
    <row r="370" spans="6:14" ht="14.25" customHeight="1">
      <c r="F370" s="8"/>
      <c r="G370" s="8"/>
      <c r="H370" s="8"/>
      <c r="I370" s="8"/>
      <c r="J370" s="8"/>
      <c r="K370" s="8"/>
      <c r="L370" s="8"/>
      <c r="M370" s="8"/>
      <c r="N370" s="8"/>
    </row>
    <row r="371" spans="6:14" ht="14.25" customHeight="1">
      <c r="F371" s="8"/>
      <c r="G371" s="8"/>
      <c r="H371" s="8"/>
      <c r="I371" s="8"/>
      <c r="J371" s="8"/>
      <c r="K371" s="8"/>
      <c r="L371" s="8"/>
      <c r="M371" s="8"/>
      <c r="N371" s="8"/>
    </row>
    <row r="372" spans="6:14" ht="14.25" customHeight="1">
      <c r="F372" s="8"/>
      <c r="G372" s="8"/>
      <c r="H372" s="8"/>
      <c r="I372" s="8"/>
      <c r="J372" s="8"/>
      <c r="K372" s="8"/>
      <c r="L372" s="8"/>
      <c r="M372" s="8"/>
      <c r="N372" s="8"/>
    </row>
    <row r="373" spans="6:14" ht="14.25" customHeight="1">
      <c r="F373" s="8"/>
      <c r="G373" s="8"/>
      <c r="H373" s="8"/>
      <c r="I373" s="8"/>
      <c r="J373" s="8"/>
      <c r="K373" s="8"/>
      <c r="L373" s="8"/>
      <c r="M373" s="8"/>
      <c r="N373" s="8"/>
    </row>
    <row r="374" spans="6:14" ht="14.25" customHeight="1">
      <c r="F374" s="8"/>
      <c r="G374" s="8"/>
      <c r="H374" s="8"/>
      <c r="I374" s="8"/>
      <c r="J374" s="8"/>
      <c r="K374" s="8"/>
      <c r="L374" s="8"/>
      <c r="M374" s="8"/>
      <c r="N374" s="8"/>
    </row>
    <row r="375" spans="6:14" ht="14.25" customHeight="1">
      <c r="F375" s="8"/>
      <c r="G375" s="8"/>
      <c r="H375" s="8"/>
      <c r="I375" s="8"/>
      <c r="J375" s="8"/>
      <c r="K375" s="8"/>
      <c r="L375" s="8"/>
      <c r="M375" s="8"/>
      <c r="N375" s="8"/>
    </row>
    <row r="376" spans="6:14" ht="14.25" customHeight="1">
      <c r="F376" s="8"/>
      <c r="G376" s="8"/>
      <c r="H376" s="8"/>
      <c r="I376" s="8"/>
      <c r="J376" s="8"/>
      <c r="K376" s="8"/>
      <c r="L376" s="8"/>
      <c r="M376" s="8"/>
      <c r="N376" s="8"/>
    </row>
    <row r="377" spans="6:14" ht="14.25" customHeight="1">
      <c r="F377" s="8"/>
      <c r="G377" s="8"/>
      <c r="H377" s="8"/>
      <c r="I377" s="8"/>
      <c r="J377" s="8"/>
      <c r="K377" s="8"/>
      <c r="L377" s="8"/>
      <c r="M377" s="8"/>
      <c r="N377" s="8"/>
    </row>
    <row r="378" spans="6:14" ht="14.25" customHeight="1">
      <c r="F378" s="8"/>
      <c r="G378" s="8"/>
      <c r="H378" s="8"/>
      <c r="I378" s="8"/>
      <c r="J378" s="8"/>
      <c r="K378" s="8"/>
      <c r="L378" s="8"/>
      <c r="M378" s="8"/>
      <c r="N378" s="8"/>
    </row>
    <row r="379" spans="6:14" ht="14.25" customHeight="1">
      <c r="F379" s="8"/>
      <c r="G379" s="8"/>
      <c r="H379" s="8"/>
      <c r="I379" s="8"/>
      <c r="J379" s="8"/>
      <c r="K379" s="8"/>
      <c r="L379" s="8"/>
      <c r="M379" s="8"/>
      <c r="N379" s="8"/>
    </row>
    <row r="380" spans="6:14" ht="14.25" customHeight="1">
      <c r="F380" s="8"/>
      <c r="G380" s="8"/>
      <c r="H380" s="8"/>
      <c r="I380" s="8"/>
      <c r="J380" s="8"/>
      <c r="K380" s="8"/>
      <c r="L380" s="8"/>
      <c r="M380" s="8"/>
      <c r="N380" s="8"/>
    </row>
    <row r="381" spans="6:14" ht="14.25" customHeight="1">
      <c r="F381" s="8"/>
      <c r="G381" s="8"/>
      <c r="H381" s="8"/>
      <c r="I381" s="8"/>
      <c r="J381" s="8"/>
      <c r="K381" s="8"/>
      <c r="L381" s="8"/>
      <c r="M381" s="8"/>
      <c r="N381" s="8"/>
    </row>
    <row r="382" spans="6:14" ht="14.25" customHeight="1">
      <c r="F382" s="8"/>
      <c r="G382" s="8"/>
      <c r="H382" s="8"/>
      <c r="I382" s="8"/>
      <c r="J382" s="8"/>
      <c r="K382" s="8"/>
      <c r="L382" s="8"/>
      <c r="M382" s="8"/>
      <c r="N382" s="8"/>
    </row>
    <row r="383" spans="6:14" ht="14.25" customHeight="1">
      <c r="F383" s="8"/>
      <c r="G383" s="8"/>
      <c r="H383" s="8"/>
      <c r="I383" s="8"/>
      <c r="J383" s="8"/>
      <c r="K383" s="8"/>
      <c r="L383" s="8"/>
      <c r="M383" s="8"/>
      <c r="N383" s="8"/>
    </row>
    <row r="384" spans="6:14" ht="14.25" customHeight="1">
      <c r="F384" s="8"/>
      <c r="G384" s="8"/>
      <c r="H384" s="8"/>
      <c r="I384" s="8"/>
      <c r="J384" s="8"/>
      <c r="K384" s="8"/>
      <c r="L384" s="8"/>
      <c r="M384" s="8"/>
      <c r="N384" s="8"/>
    </row>
    <row r="385" spans="6:14" ht="14.25" customHeight="1">
      <c r="F385" s="8"/>
      <c r="G385" s="8"/>
      <c r="H385" s="8"/>
      <c r="I385" s="8"/>
      <c r="J385" s="8"/>
      <c r="K385" s="8"/>
      <c r="L385" s="8"/>
      <c r="M385" s="8"/>
      <c r="N385" s="8"/>
    </row>
    <row r="386" spans="6:14" ht="14.25" customHeight="1">
      <c r="F386" s="8"/>
      <c r="G386" s="8"/>
      <c r="H386" s="8"/>
      <c r="I386" s="8"/>
      <c r="J386" s="8"/>
      <c r="K386" s="8"/>
      <c r="L386" s="8"/>
      <c r="M386" s="8"/>
      <c r="N386" s="8"/>
    </row>
    <row r="387" spans="6:14" ht="14.25" customHeight="1">
      <c r="F387" s="8"/>
      <c r="G387" s="8"/>
      <c r="H387" s="8"/>
      <c r="I387" s="8"/>
      <c r="J387" s="8"/>
      <c r="K387" s="8"/>
      <c r="L387" s="8"/>
      <c r="M387" s="8"/>
      <c r="N387" s="8"/>
    </row>
    <row r="388" spans="6:14" ht="14.25" customHeight="1">
      <c r="F388" s="8"/>
      <c r="G388" s="8"/>
      <c r="H388" s="8"/>
      <c r="I388" s="8"/>
      <c r="J388" s="8"/>
      <c r="K388" s="8"/>
      <c r="L388" s="8"/>
      <c r="M388" s="8"/>
      <c r="N388" s="8"/>
    </row>
    <row r="389" spans="6:14" ht="14.25" customHeight="1">
      <c r="F389" s="8"/>
      <c r="G389" s="8"/>
      <c r="H389" s="8"/>
      <c r="I389" s="8"/>
      <c r="J389" s="8"/>
      <c r="K389" s="8"/>
      <c r="L389" s="8"/>
      <c r="M389" s="8"/>
      <c r="N389" s="8"/>
    </row>
    <row r="390" spans="6:14" ht="14.25" customHeight="1">
      <c r="F390" s="8"/>
      <c r="G390" s="8"/>
      <c r="H390" s="8"/>
      <c r="I390" s="8"/>
      <c r="J390" s="8"/>
      <c r="K390" s="8"/>
      <c r="L390" s="8"/>
      <c r="M390" s="8"/>
      <c r="N390" s="8"/>
    </row>
    <row r="391" spans="6:14" ht="14.25" customHeight="1">
      <c r="F391" s="8"/>
      <c r="G391" s="8"/>
      <c r="H391" s="8"/>
      <c r="I391" s="8"/>
      <c r="J391" s="8"/>
      <c r="K391" s="8"/>
      <c r="L391" s="8"/>
      <c r="M391" s="8"/>
      <c r="N391" s="8"/>
    </row>
    <row r="392" spans="6:14" ht="14.25" customHeight="1">
      <c r="F392" s="8"/>
      <c r="G392" s="8"/>
      <c r="H392" s="8"/>
      <c r="I392" s="8"/>
      <c r="J392" s="8"/>
      <c r="K392" s="8"/>
      <c r="L392" s="8"/>
      <c r="M392" s="8"/>
      <c r="N392" s="8"/>
    </row>
    <row r="393" spans="6:14" ht="14.25" customHeight="1">
      <c r="F393" s="8"/>
      <c r="G393" s="8"/>
      <c r="H393" s="8"/>
      <c r="I393" s="8"/>
      <c r="J393" s="8"/>
      <c r="K393" s="8"/>
      <c r="L393" s="8"/>
      <c r="M393" s="8"/>
      <c r="N393" s="8"/>
    </row>
    <row r="394" spans="6:14" ht="14.25" customHeight="1">
      <c r="F394" s="8"/>
      <c r="G394" s="8"/>
      <c r="H394" s="8"/>
      <c r="I394" s="8"/>
      <c r="J394" s="8"/>
      <c r="K394" s="8"/>
      <c r="L394" s="8"/>
      <c r="M394" s="8"/>
      <c r="N394" s="8"/>
    </row>
    <row r="395" spans="6:14" ht="14.25" customHeight="1">
      <c r="F395" s="8"/>
      <c r="G395" s="8"/>
      <c r="H395" s="8"/>
      <c r="I395" s="8"/>
      <c r="J395" s="8"/>
      <c r="K395" s="8"/>
      <c r="L395" s="8"/>
      <c r="M395" s="8"/>
      <c r="N395" s="8"/>
    </row>
    <row r="396" spans="6:14" ht="14.25" customHeight="1">
      <c r="F396" s="8"/>
      <c r="G396" s="8"/>
      <c r="H396" s="8"/>
      <c r="I396" s="8"/>
      <c r="J396" s="8"/>
      <c r="K396" s="8"/>
      <c r="L396" s="8"/>
      <c r="M396" s="8"/>
      <c r="N396" s="8"/>
    </row>
    <row r="397" spans="6:14" ht="14.25" customHeight="1">
      <c r="F397" s="8"/>
      <c r="G397" s="8"/>
      <c r="H397" s="8"/>
      <c r="I397" s="8"/>
      <c r="J397" s="8"/>
      <c r="K397" s="8"/>
      <c r="L397" s="8"/>
      <c r="M397" s="8"/>
      <c r="N397" s="8"/>
    </row>
    <row r="398" spans="6:14" ht="14.25" customHeight="1">
      <c r="F398" s="8"/>
      <c r="G398" s="8"/>
      <c r="H398" s="8"/>
      <c r="I398" s="8"/>
      <c r="J398" s="8"/>
      <c r="K398" s="8"/>
      <c r="L398" s="8"/>
      <c r="M398" s="8"/>
      <c r="N398" s="8"/>
    </row>
    <row r="399" spans="6:14" ht="14.25" customHeight="1">
      <c r="F399" s="8"/>
      <c r="G399" s="8"/>
      <c r="H399" s="8"/>
      <c r="I399" s="8"/>
      <c r="J399" s="8"/>
      <c r="K399" s="8"/>
      <c r="L399" s="8"/>
      <c r="M399" s="8"/>
      <c r="N399" s="8"/>
    </row>
    <row r="400" spans="6:14" ht="14.25" customHeight="1">
      <c r="F400" s="8"/>
      <c r="G400" s="8"/>
      <c r="H400" s="8"/>
      <c r="I400" s="8"/>
      <c r="J400" s="8"/>
      <c r="K400" s="8"/>
      <c r="L400" s="8"/>
      <c r="M400" s="8"/>
      <c r="N400" s="8"/>
    </row>
    <row r="401" spans="6:14" ht="14.25" customHeight="1">
      <c r="F401" s="8"/>
      <c r="G401" s="8"/>
      <c r="H401" s="8"/>
      <c r="I401" s="8"/>
      <c r="J401" s="8"/>
      <c r="K401" s="8"/>
      <c r="L401" s="8"/>
      <c r="M401" s="8"/>
      <c r="N401" s="8"/>
    </row>
    <row r="402" spans="6:14" ht="14.25" customHeight="1">
      <c r="F402" s="8"/>
      <c r="G402" s="8"/>
      <c r="H402" s="8"/>
      <c r="I402" s="8"/>
      <c r="J402" s="8"/>
      <c r="K402" s="8"/>
      <c r="L402" s="8"/>
      <c r="M402" s="8"/>
      <c r="N402" s="8"/>
    </row>
    <row r="403" spans="6:14" ht="14.25" customHeight="1">
      <c r="F403" s="8"/>
      <c r="G403" s="8"/>
      <c r="H403" s="8"/>
      <c r="I403" s="8"/>
      <c r="J403" s="8"/>
      <c r="K403" s="8"/>
      <c r="L403" s="8"/>
      <c r="M403" s="8"/>
      <c r="N403" s="8"/>
    </row>
    <row r="404" spans="6:14" ht="14.25" customHeight="1">
      <c r="F404" s="8"/>
      <c r="G404" s="8"/>
      <c r="H404" s="8"/>
      <c r="I404" s="8"/>
      <c r="J404" s="8"/>
      <c r="K404" s="8"/>
      <c r="L404" s="8"/>
      <c r="M404" s="8"/>
      <c r="N404" s="8"/>
    </row>
    <row r="405" spans="6:14" ht="14.25" customHeight="1">
      <c r="F405" s="8"/>
      <c r="G405" s="8"/>
      <c r="H405" s="8"/>
      <c r="I405" s="8"/>
      <c r="J405" s="8"/>
      <c r="K405" s="8"/>
      <c r="L405" s="8"/>
      <c r="M405" s="8"/>
      <c r="N405" s="8"/>
    </row>
    <row r="406" spans="6:14" ht="14.25" customHeight="1">
      <c r="F406" s="8"/>
      <c r="G406" s="8"/>
      <c r="H406" s="8"/>
      <c r="I406" s="8"/>
      <c r="J406" s="8"/>
      <c r="K406" s="8"/>
      <c r="L406" s="8"/>
      <c r="M406" s="8"/>
      <c r="N406" s="8"/>
    </row>
    <row r="407" spans="6:14" ht="14.25" customHeight="1">
      <c r="F407" s="8"/>
      <c r="G407" s="8"/>
      <c r="H407" s="8"/>
      <c r="I407" s="8"/>
      <c r="J407" s="8"/>
      <c r="K407" s="8"/>
      <c r="L407" s="8"/>
      <c r="M407" s="8"/>
      <c r="N407" s="8"/>
    </row>
    <row r="408" spans="6:14" ht="14.25" customHeight="1">
      <c r="F408" s="8"/>
      <c r="G408" s="8"/>
      <c r="H408" s="8"/>
      <c r="I408" s="8"/>
      <c r="J408" s="8"/>
      <c r="K408" s="8"/>
      <c r="L408" s="8"/>
      <c r="M408" s="8"/>
      <c r="N408" s="8"/>
    </row>
    <row r="409" spans="6:14" ht="14.25" customHeight="1">
      <c r="F409" s="8"/>
      <c r="G409" s="8"/>
      <c r="H409" s="8"/>
      <c r="I409" s="8"/>
      <c r="J409" s="8"/>
      <c r="K409" s="8"/>
      <c r="L409" s="8"/>
      <c r="M409" s="8"/>
      <c r="N409" s="8"/>
    </row>
    <row r="410" spans="6:14" ht="14.25" customHeight="1">
      <c r="F410" s="8"/>
      <c r="G410" s="8"/>
      <c r="H410" s="8"/>
      <c r="I410" s="8"/>
      <c r="J410" s="8"/>
      <c r="K410" s="8"/>
      <c r="L410" s="8"/>
      <c r="M410" s="8"/>
      <c r="N410" s="8"/>
    </row>
    <row r="411" spans="6:14" ht="14.25" customHeight="1">
      <c r="F411" s="8"/>
      <c r="G411" s="8"/>
      <c r="H411" s="8"/>
      <c r="I411" s="8"/>
      <c r="J411" s="8"/>
      <c r="K411" s="8"/>
      <c r="L411" s="8"/>
      <c r="M411" s="8"/>
      <c r="N411" s="8"/>
    </row>
    <row r="412" spans="6:14" ht="14.25" customHeight="1">
      <c r="F412" s="8"/>
      <c r="G412" s="8"/>
      <c r="H412" s="8"/>
      <c r="I412" s="8"/>
      <c r="J412" s="8"/>
      <c r="K412" s="8"/>
      <c r="L412" s="8"/>
      <c r="M412" s="8"/>
      <c r="N412" s="8"/>
    </row>
    <row r="413" spans="6:14" ht="14.25" customHeight="1">
      <c r="F413" s="8"/>
      <c r="G413" s="8"/>
      <c r="H413" s="8"/>
      <c r="I413" s="8"/>
      <c r="J413" s="8"/>
      <c r="K413" s="8"/>
      <c r="L413" s="8"/>
      <c r="M413" s="8"/>
      <c r="N413" s="8"/>
    </row>
    <row r="414" spans="6:14" ht="14.25" customHeight="1">
      <c r="F414" s="8"/>
      <c r="G414" s="8"/>
      <c r="H414" s="8"/>
      <c r="I414" s="8"/>
      <c r="J414" s="8"/>
      <c r="K414" s="8"/>
      <c r="L414" s="8"/>
      <c r="M414" s="8"/>
      <c r="N414" s="8"/>
    </row>
    <row r="415" spans="6:14" ht="14.25" customHeight="1">
      <c r="F415" s="8"/>
      <c r="G415" s="8"/>
      <c r="H415" s="8"/>
      <c r="I415" s="8"/>
      <c r="J415" s="8"/>
      <c r="K415" s="8"/>
      <c r="L415" s="8"/>
      <c r="M415" s="8"/>
      <c r="N415" s="8"/>
    </row>
    <row r="416" spans="6:14" ht="14.25" customHeight="1">
      <c r="F416" s="8"/>
      <c r="G416" s="8"/>
      <c r="H416" s="8"/>
      <c r="I416" s="8"/>
      <c r="J416" s="8"/>
      <c r="K416" s="8"/>
      <c r="L416" s="8"/>
      <c r="M416" s="8"/>
      <c r="N416" s="8"/>
    </row>
    <row r="417" spans="6:14" ht="14.25" customHeight="1">
      <c r="F417" s="8"/>
      <c r="G417" s="8"/>
      <c r="H417" s="8"/>
      <c r="I417" s="8"/>
      <c r="J417" s="8"/>
      <c r="K417" s="8"/>
      <c r="L417" s="8"/>
      <c r="M417" s="8"/>
      <c r="N417" s="8"/>
    </row>
    <row r="418" spans="6:14" ht="14.25" customHeight="1">
      <c r="F418" s="8"/>
      <c r="G418" s="8"/>
      <c r="H418" s="8"/>
      <c r="I418" s="8"/>
      <c r="J418" s="8"/>
      <c r="K418" s="8"/>
      <c r="L418" s="8"/>
      <c r="M418" s="8"/>
      <c r="N418" s="8"/>
    </row>
    <row r="419" spans="6:14" ht="14.25" customHeight="1">
      <c r="F419" s="8"/>
      <c r="G419" s="8"/>
      <c r="H419" s="8"/>
      <c r="I419" s="8"/>
      <c r="J419" s="8"/>
      <c r="K419" s="8"/>
      <c r="L419" s="8"/>
      <c r="M419" s="8"/>
      <c r="N419" s="8"/>
    </row>
    <row r="420" spans="6:14" ht="14.25" customHeight="1">
      <c r="F420" s="8"/>
      <c r="G420" s="8"/>
      <c r="H420" s="8"/>
      <c r="I420" s="8"/>
      <c r="J420" s="8"/>
      <c r="K420" s="8"/>
      <c r="L420" s="8"/>
      <c r="M420" s="8"/>
      <c r="N420" s="8"/>
    </row>
    <row r="421" spans="6:14" ht="14.25" customHeight="1">
      <c r="F421" s="8"/>
      <c r="G421" s="8"/>
      <c r="H421" s="8"/>
      <c r="I421" s="8"/>
      <c r="J421" s="8"/>
      <c r="K421" s="8"/>
      <c r="L421" s="8"/>
      <c r="M421" s="8"/>
      <c r="N421" s="8"/>
    </row>
    <row r="422" spans="6:14" ht="14.25" customHeight="1">
      <c r="F422" s="8"/>
      <c r="G422" s="8"/>
      <c r="H422" s="8"/>
      <c r="I422" s="8"/>
      <c r="J422" s="8"/>
      <c r="K422" s="8"/>
      <c r="L422" s="8"/>
      <c r="M422" s="8"/>
      <c r="N422" s="8"/>
    </row>
    <row r="423" spans="6:14" ht="14.25" customHeight="1">
      <c r="F423" s="8"/>
      <c r="G423" s="8"/>
      <c r="H423" s="8"/>
      <c r="I423" s="8"/>
      <c r="J423" s="8"/>
      <c r="K423" s="8"/>
      <c r="L423" s="8"/>
      <c r="M423" s="8"/>
      <c r="N423" s="8"/>
    </row>
    <row r="424" spans="6:14" ht="14.25" customHeight="1">
      <c r="F424" s="8"/>
      <c r="G424" s="8"/>
      <c r="H424" s="8"/>
      <c r="I424" s="8"/>
      <c r="J424" s="8"/>
      <c r="K424" s="8"/>
      <c r="L424" s="8"/>
      <c r="M424" s="8"/>
      <c r="N424" s="8"/>
    </row>
    <row r="425" spans="6:14" ht="14.25" customHeight="1">
      <c r="F425" s="8"/>
      <c r="G425" s="8"/>
      <c r="H425" s="8"/>
      <c r="I425" s="8"/>
      <c r="J425" s="8"/>
      <c r="K425" s="8"/>
      <c r="L425" s="8"/>
      <c r="M425" s="8"/>
      <c r="N425" s="8"/>
    </row>
    <row r="426" spans="6:14" ht="14.25" customHeight="1">
      <c r="F426" s="8"/>
      <c r="G426" s="8"/>
      <c r="H426" s="8"/>
      <c r="I426" s="8"/>
      <c r="J426" s="8"/>
      <c r="K426" s="8"/>
      <c r="L426" s="8"/>
      <c r="M426" s="8"/>
      <c r="N426" s="8"/>
    </row>
    <row r="427" spans="6:14" ht="14.25" customHeight="1">
      <c r="F427" s="8"/>
      <c r="G427" s="8"/>
      <c r="H427" s="8"/>
      <c r="I427" s="8"/>
      <c r="J427" s="8"/>
      <c r="K427" s="8"/>
      <c r="L427" s="8"/>
      <c r="M427" s="8"/>
      <c r="N427" s="8"/>
    </row>
    <row r="428" spans="6:14" ht="14.25" customHeight="1">
      <c r="F428" s="8"/>
      <c r="G428" s="8"/>
      <c r="H428" s="8"/>
      <c r="I428" s="8"/>
      <c r="J428" s="8"/>
      <c r="K428" s="8"/>
      <c r="L428" s="8"/>
      <c r="M428" s="8"/>
      <c r="N428" s="8"/>
    </row>
    <row r="429" spans="6:14" ht="14.25" customHeight="1">
      <c r="F429" s="8"/>
      <c r="G429" s="8"/>
      <c r="H429" s="8"/>
      <c r="I429" s="8"/>
      <c r="J429" s="8"/>
      <c r="K429" s="8"/>
      <c r="L429" s="8"/>
      <c r="M429" s="8"/>
      <c r="N429" s="8"/>
    </row>
    <row r="430" spans="6:14" ht="14.25" customHeight="1">
      <c r="F430" s="8"/>
      <c r="G430" s="8"/>
      <c r="H430" s="8"/>
      <c r="I430" s="8"/>
      <c r="J430" s="8"/>
      <c r="K430" s="8"/>
      <c r="L430" s="8"/>
      <c r="M430" s="8"/>
      <c r="N430" s="8"/>
    </row>
    <row r="431" spans="6:14" ht="14.25" customHeight="1">
      <c r="F431" s="8"/>
      <c r="G431" s="8"/>
      <c r="H431" s="8"/>
      <c r="I431" s="8"/>
      <c r="J431" s="8"/>
      <c r="K431" s="8"/>
      <c r="L431" s="8"/>
      <c r="M431" s="8"/>
      <c r="N431" s="8"/>
    </row>
    <row r="432" spans="6:14" ht="14.25" customHeight="1">
      <c r="F432" s="8"/>
      <c r="G432" s="8"/>
      <c r="H432" s="8"/>
      <c r="I432" s="8"/>
      <c r="J432" s="8"/>
      <c r="K432" s="8"/>
      <c r="L432" s="8"/>
      <c r="M432" s="8"/>
      <c r="N432" s="8"/>
    </row>
    <row r="433" spans="6:14" ht="14.25" customHeight="1">
      <c r="F433" s="8"/>
      <c r="G433" s="8"/>
      <c r="H433" s="8"/>
      <c r="I433" s="8"/>
      <c r="J433" s="8"/>
      <c r="K433" s="8"/>
      <c r="L433" s="8"/>
      <c r="M433" s="8"/>
      <c r="N433" s="8"/>
    </row>
    <row r="434" spans="6:14" ht="14.25" customHeight="1">
      <c r="F434" s="8"/>
      <c r="G434" s="8"/>
      <c r="H434" s="8"/>
      <c r="I434" s="8"/>
      <c r="J434" s="8"/>
      <c r="K434" s="8"/>
      <c r="L434" s="8"/>
      <c r="M434" s="8"/>
      <c r="N434" s="8"/>
    </row>
    <row r="435" spans="6:14" ht="14.25" customHeight="1">
      <c r="F435" s="8"/>
      <c r="G435" s="8"/>
      <c r="H435" s="8"/>
      <c r="I435" s="8"/>
      <c r="J435" s="8"/>
      <c r="K435" s="8"/>
      <c r="L435" s="8"/>
      <c r="M435" s="8"/>
      <c r="N435" s="8"/>
    </row>
    <row r="436" spans="6:14" ht="14.25" customHeight="1">
      <c r="F436" s="8"/>
      <c r="G436" s="8"/>
      <c r="H436" s="8"/>
      <c r="I436" s="8"/>
      <c r="J436" s="8"/>
      <c r="K436" s="8"/>
      <c r="L436" s="8"/>
      <c r="M436" s="8"/>
      <c r="N436" s="8"/>
    </row>
    <row r="437" spans="6:14" ht="14.25" customHeight="1">
      <c r="F437" s="8"/>
      <c r="G437" s="8"/>
      <c r="H437" s="8"/>
      <c r="I437" s="8"/>
      <c r="J437" s="8"/>
      <c r="K437" s="8"/>
      <c r="L437" s="8"/>
      <c r="M437" s="8"/>
      <c r="N437" s="8"/>
    </row>
    <row r="438" spans="6:14" ht="14.25" customHeight="1">
      <c r="F438" s="8"/>
      <c r="G438" s="8"/>
      <c r="H438" s="8"/>
      <c r="I438" s="8"/>
      <c r="J438" s="8"/>
      <c r="K438" s="8"/>
      <c r="L438" s="8"/>
      <c r="M438" s="8"/>
      <c r="N438" s="8"/>
    </row>
    <row r="439" spans="6:14" ht="14.25" customHeight="1">
      <c r="F439" s="8"/>
      <c r="G439" s="8"/>
      <c r="H439" s="8"/>
      <c r="I439" s="8"/>
      <c r="J439" s="8"/>
      <c r="K439" s="8"/>
      <c r="L439" s="8"/>
      <c r="M439" s="8"/>
      <c r="N439" s="8"/>
    </row>
    <row r="440" spans="6:14" ht="14.25" customHeight="1">
      <c r="F440" s="8"/>
      <c r="G440" s="8"/>
      <c r="H440" s="8"/>
      <c r="I440" s="8"/>
      <c r="J440" s="8"/>
      <c r="K440" s="8"/>
      <c r="L440" s="8"/>
      <c r="M440" s="8"/>
      <c r="N440" s="8"/>
    </row>
    <row r="441" spans="6:14" ht="14.25" customHeight="1">
      <c r="F441" s="8"/>
      <c r="G441" s="8"/>
      <c r="H441" s="8"/>
      <c r="I441" s="8"/>
      <c r="J441" s="8"/>
      <c r="K441" s="8"/>
      <c r="L441" s="8"/>
      <c r="M441" s="8"/>
      <c r="N441" s="8"/>
    </row>
    <row r="442" spans="6:14" ht="14.25" customHeight="1">
      <c r="F442" s="8"/>
      <c r="G442" s="8"/>
      <c r="H442" s="8"/>
      <c r="I442" s="8"/>
      <c r="J442" s="8"/>
      <c r="K442" s="8"/>
      <c r="L442" s="8"/>
      <c r="M442" s="8"/>
      <c r="N442" s="8"/>
    </row>
    <row r="443" spans="6:14" ht="14.25" customHeight="1">
      <c r="F443" s="8"/>
      <c r="G443" s="8"/>
      <c r="H443" s="8"/>
      <c r="I443" s="8"/>
      <c r="J443" s="8"/>
      <c r="K443" s="8"/>
      <c r="L443" s="8"/>
      <c r="M443" s="8"/>
      <c r="N443" s="8"/>
    </row>
    <row r="444" spans="6:14" ht="14.25" customHeight="1">
      <c r="F444" s="8"/>
      <c r="G444" s="8"/>
      <c r="H444" s="8"/>
      <c r="I444" s="8"/>
      <c r="J444" s="8"/>
      <c r="K444" s="8"/>
      <c r="L444" s="8"/>
      <c r="M444" s="8"/>
      <c r="N444" s="8"/>
    </row>
    <row r="445" spans="6:14" ht="14.25" customHeight="1">
      <c r="F445" s="8"/>
      <c r="G445" s="8"/>
      <c r="H445" s="8"/>
      <c r="I445" s="8"/>
      <c r="J445" s="8"/>
      <c r="K445" s="8"/>
      <c r="L445" s="8"/>
      <c r="M445" s="8"/>
      <c r="N445" s="8"/>
    </row>
    <row r="446" spans="6:14" ht="14.25" customHeight="1">
      <c r="F446" s="8"/>
      <c r="G446" s="8"/>
      <c r="H446" s="8"/>
      <c r="I446" s="8"/>
      <c r="J446" s="8"/>
      <c r="K446" s="8"/>
      <c r="L446" s="8"/>
      <c r="M446" s="8"/>
      <c r="N446" s="8"/>
    </row>
    <row r="447" spans="6:14" ht="14.25" customHeight="1">
      <c r="F447" s="8"/>
      <c r="G447" s="8"/>
      <c r="H447" s="8"/>
      <c r="I447" s="8"/>
      <c r="J447" s="8"/>
      <c r="K447" s="8"/>
      <c r="L447" s="8"/>
      <c r="M447" s="8"/>
      <c r="N447" s="8"/>
    </row>
    <row r="448" spans="6:14" ht="14.25" customHeight="1">
      <c r="F448" s="8"/>
      <c r="G448" s="8"/>
      <c r="H448" s="8"/>
      <c r="I448" s="8"/>
      <c r="J448" s="8"/>
      <c r="K448" s="8"/>
      <c r="L448" s="8"/>
      <c r="M448" s="8"/>
      <c r="N448" s="8"/>
    </row>
    <row r="449" spans="6:14" ht="14.25" customHeight="1">
      <c r="F449" s="8"/>
      <c r="G449" s="8"/>
      <c r="H449" s="8"/>
      <c r="I449" s="8"/>
      <c r="J449" s="8"/>
      <c r="K449" s="8"/>
      <c r="L449" s="8"/>
      <c r="M449" s="8"/>
      <c r="N449" s="8"/>
    </row>
    <row r="450" spans="6:14" ht="14.25" customHeight="1">
      <c r="F450" s="8"/>
      <c r="G450" s="8"/>
      <c r="H450" s="8"/>
      <c r="I450" s="8"/>
      <c r="J450" s="8"/>
      <c r="K450" s="8"/>
      <c r="L450" s="8"/>
      <c r="M450" s="8"/>
      <c r="N450" s="8"/>
    </row>
    <row r="451" spans="6:14" ht="14.25" customHeight="1">
      <c r="F451" s="8"/>
      <c r="G451" s="8"/>
      <c r="H451" s="8"/>
      <c r="I451" s="8"/>
      <c r="J451" s="8"/>
      <c r="K451" s="8"/>
      <c r="L451" s="8"/>
      <c r="M451" s="8"/>
      <c r="N451" s="8"/>
    </row>
    <row r="452" spans="6:14" ht="14.25" customHeight="1">
      <c r="F452" s="8"/>
      <c r="G452" s="8"/>
      <c r="H452" s="8"/>
      <c r="I452" s="8"/>
      <c r="J452" s="8"/>
      <c r="K452" s="8"/>
      <c r="L452" s="8"/>
      <c r="M452" s="8"/>
      <c r="N452" s="8"/>
    </row>
    <row r="453" spans="6:14" ht="14.25" customHeight="1">
      <c r="F453" s="8"/>
      <c r="G453" s="8"/>
      <c r="H453" s="8"/>
      <c r="I453" s="8"/>
      <c r="J453" s="8"/>
      <c r="K453" s="8"/>
      <c r="L453" s="8"/>
      <c r="M453" s="8"/>
      <c r="N453" s="8"/>
    </row>
    <row r="454" spans="6:14" ht="14.25" customHeight="1">
      <c r="F454" s="8"/>
      <c r="G454" s="8"/>
      <c r="H454" s="8"/>
      <c r="I454" s="8"/>
      <c r="J454" s="8"/>
      <c r="K454" s="8"/>
      <c r="L454" s="8"/>
      <c r="M454" s="8"/>
      <c r="N454" s="8"/>
    </row>
    <row r="455" spans="6:14" ht="14.25" customHeight="1">
      <c r="F455" s="8"/>
      <c r="G455" s="8"/>
      <c r="H455" s="8"/>
      <c r="I455" s="8"/>
      <c r="J455" s="8"/>
      <c r="K455" s="8"/>
      <c r="L455" s="8"/>
      <c r="M455" s="8"/>
      <c r="N455" s="8"/>
    </row>
    <row r="456" spans="6:14" ht="14.25" customHeight="1">
      <c r="F456" s="8"/>
      <c r="G456" s="8"/>
      <c r="H456" s="8"/>
      <c r="I456" s="8"/>
      <c r="J456" s="8"/>
      <c r="K456" s="8"/>
      <c r="L456" s="8"/>
      <c r="M456" s="8"/>
      <c r="N456" s="8"/>
    </row>
    <row r="457" spans="6:14" ht="14.25" customHeight="1">
      <c r="F457" s="8"/>
      <c r="G457" s="8"/>
      <c r="H457" s="8"/>
      <c r="I457" s="8"/>
      <c r="J457" s="8"/>
      <c r="K457" s="8"/>
      <c r="L457" s="8"/>
      <c r="M457" s="8"/>
      <c r="N457" s="8"/>
    </row>
    <row r="458" spans="6:14" ht="14.25" customHeight="1">
      <c r="F458" s="8"/>
      <c r="G458" s="8"/>
      <c r="H458" s="8"/>
      <c r="I458" s="8"/>
      <c r="J458" s="8"/>
      <c r="K458" s="8"/>
      <c r="L458" s="8"/>
      <c r="M458" s="8"/>
      <c r="N458" s="8"/>
    </row>
    <row r="459" spans="6:14" ht="14.25" customHeight="1">
      <c r="F459" s="8"/>
      <c r="G459" s="8"/>
      <c r="H459" s="8"/>
      <c r="I459" s="8"/>
      <c r="J459" s="8"/>
      <c r="K459" s="8"/>
      <c r="L459" s="8"/>
      <c r="M459" s="8"/>
      <c r="N459" s="8"/>
    </row>
    <row r="460" spans="6:14" ht="14.25" customHeight="1">
      <c r="F460" s="8"/>
      <c r="G460" s="8"/>
      <c r="H460" s="8"/>
      <c r="I460" s="8"/>
      <c r="J460" s="8"/>
      <c r="K460" s="8"/>
      <c r="L460" s="8"/>
      <c r="M460" s="8"/>
      <c r="N460" s="8"/>
    </row>
    <row r="461" spans="6:14" ht="14.25" customHeight="1">
      <c r="F461" s="8"/>
      <c r="G461" s="8"/>
      <c r="H461" s="8"/>
      <c r="I461" s="8"/>
      <c r="J461" s="8"/>
      <c r="K461" s="8"/>
      <c r="L461" s="8"/>
      <c r="M461" s="8"/>
      <c r="N461" s="8"/>
    </row>
    <row r="462" spans="6:14" ht="14.25" customHeight="1">
      <c r="F462" s="8"/>
      <c r="G462" s="8"/>
      <c r="H462" s="8"/>
      <c r="I462" s="8"/>
      <c r="J462" s="8"/>
      <c r="K462" s="8"/>
      <c r="L462" s="8"/>
      <c r="M462" s="8"/>
      <c r="N462" s="8"/>
    </row>
    <row r="463" spans="6:14" ht="14.25" customHeight="1">
      <c r="F463" s="8"/>
      <c r="G463" s="8"/>
      <c r="H463" s="8"/>
      <c r="I463" s="8"/>
      <c r="J463" s="8"/>
      <c r="K463" s="8"/>
      <c r="L463" s="8"/>
      <c r="M463" s="8"/>
      <c r="N463" s="8"/>
    </row>
    <row r="464" spans="6:14" ht="14.25" customHeight="1">
      <c r="F464" s="8"/>
      <c r="G464" s="8"/>
      <c r="H464" s="8"/>
      <c r="I464" s="8"/>
      <c r="J464" s="8"/>
      <c r="K464" s="8"/>
      <c r="L464" s="8"/>
      <c r="M464" s="8"/>
      <c r="N464" s="8"/>
    </row>
    <row r="465" spans="6:14" ht="14.25" customHeight="1">
      <c r="F465" s="8"/>
      <c r="G465" s="8"/>
      <c r="H465" s="8"/>
      <c r="I465" s="8"/>
      <c r="J465" s="8"/>
      <c r="K465" s="8"/>
      <c r="L465" s="8"/>
      <c r="M465" s="8"/>
      <c r="N465" s="8"/>
    </row>
    <row r="466" spans="6:14" ht="14.25" customHeight="1">
      <c r="F466" s="8"/>
      <c r="G466" s="8"/>
      <c r="H466" s="8"/>
      <c r="I466" s="8"/>
      <c r="J466" s="8"/>
      <c r="K466" s="8"/>
      <c r="L466" s="8"/>
      <c r="M466" s="8"/>
      <c r="N466" s="8"/>
    </row>
    <row r="467" spans="6:14" ht="14.25" customHeight="1">
      <c r="F467" s="8"/>
      <c r="G467" s="8"/>
      <c r="H467" s="8"/>
      <c r="I467" s="8"/>
      <c r="J467" s="8"/>
      <c r="K467" s="8"/>
      <c r="L467" s="8"/>
      <c r="M467" s="8"/>
      <c r="N467" s="8"/>
    </row>
    <row r="468" spans="6:14" ht="14.25" customHeight="1">
      <c r="F468" s="8"/>
      <c r="G468" s="8"/>
      <c r="H468" s="8"/>
      <c r="I468" s="8"/>
      <c r="J468" s="8"/>
      <c r="K468" s="8"/>
      <c r="L468" s="8"/>
      <c r="M468" s="8"/>
      <c r="N468" s="8"/>
    </row>
    <row r="469" spans="6:14" ht="14.25" customHeight="1">
      <c r="F469" s="8"/>
      <c r="G469" s="8"/>
      <c r="H469" s="8"/>
      <c r="I469" s="8"/>
      <c r="J469" s="8"/>
      <c r="K469" s="8"/>
      <c r="L469" s="8"/>
      <c r="M469" s="8"/>
      <c r="N469" s="8"/>
    </row>
    <row r="470" spans="6:14" ht="14.25" customHeight="1">
      <c r="F470" s="8"/>
      <c r="G470" s="8"/>
      <c r="H470" s="8"/>
      <c r="I470" s="8"/>
      <c r="J470" s="8"/>
      <c r="K470" s="8"/>
      <c r="L470" s="8"/>
      <c r="M470" s="8"/>
      <c r="N470" s="8"/>
    </row>
    <row r="471" spans="6:14" ht="14.25" customHeight="1">
      <c r="F471" s="8"/>
      <c r="G471" s="8"/>
      <c r="H471" s="8"/>
      <c r="I471" s="8"/>
      <c r="J471" s="8"/>
      <c r="K471" s="8"/>
      <c r="L471" s="8"/>
      <c r="M471" s="8"/>
      <c r="N471" s="8"/>
    </row>
    <row r="472" spans="6:14" ht="14.25" customHeight="1">
      <c r="F472" s="8"/>
      <c r="G472" s="8"/>
      <c r="H472" s="8"/>
      <c r="I472" s="8"/>
      <c r="J472" s="8"/>
      <c r="K472" s="8"/>
      <c r="L472" s="8"/>
      <c r="M472" s="8"/>
      <c r="N472" s="8"/>
    </row>
    <row r="473" spans="6:14" ht="14.25" customHeight="1">
      <c r="F473" s="8"/>
      <c r="G473" s="8"/>
      <c r="H473" s="8"/>
      <c r="I473" s="8"/>
      <c r="J473" s="8"/>
      <c r="K473" s="8"/>
      <c r="L473" s="8"/>
      <c r="M473" s="8"/>
      <c r="N473" s="8"/>
    </row>
    <row r="474" spans="6:14" ht="14.25" customHeight="1">
      <c r="F474" s="8"/>
      <c r="G474" s="8"/>
      <c r="H474" s="8"/>
      <c r="I474" s="8"/>
      <c r="J474" s="8"/>
      <c r="K474" s="8"/>
      <c r="L474" s="8"/>
      <c r="M474" s="8"/>
      <c r="N474" s="8"/>
    </row>
    <row r="475" spans="6:14" ht="14.25" customHeight="1">
      <c r="F475" s="8"/>
      <c r="G475" s="8"/>
      <c r="H475" s="8"/>
      <c r="I475" s="8"/>
      <c r="J475" s="8"/>
      <c r="K475" s="8"/>
      <c r="L475" s="8"/>
      <c r="M475" s="8"/>
      <c r="N475" s="8"/>
    </row>
    <row r="476" spans="6:14" ht="14.25" customHeight="1">
      <c r="F476" s="8"/>
      <c r="G476" s="8"/>
      <c r="H476" s="8"/>
      <c r="I476" s="8"/>
      <c r="J476" s="8"/>
      <c r="K476" s="8"/>
      <c r="L476" s="8"/>
      <c r="M476" s="8"/>
      <c r="N476" s="8"/>
    </row>
    <row r="477" spans="6:14" ht="14.25" customHeight="1">
      <c r="F477" s="8"/>
      <c r="G477" s="8"/>
      <c r="H477" s="8"/>
      <c r="I477" s="8"/>
      <c r="J477" s="8"/>
      <c r="K477" s="8"/>
      <c r="L477" s="8"/>
      <c r="M477" s="8"/>
      <c r="N477" s="8"/>
    </row>
    <row r="478" spans="6:14" ht="14.25" customHeight="1">
      <c r="F478" s="8"/>
      <c r="G478" s="8"/>
      <c r="H478" s="8"/>
      <c r="I478" s="8"/>
      <c r="J478" s="8"/>
      <c r="K478" s="8"/>
      <c r="L478" s="8"/>
      <c r="M478" s="8"/>
      <c r="N478" s="8"/>
    </row>
    <row r="479" spans="6:14" ht="14.25" customHeight="1">
      <c r="F479" s="8"/>
      <c r="G479" s="8"/>
      <c r="H479" s="8"/>
      <c r="I479" s="8"/>
      <c r="J479" s="8"/>
      <c r="K479" s="8"/>
      <c r="L479" s="8"/>
      <c r="M479" s="8"/>
      <c r="N479" s="8"/>
    </row>
    <row r="480" spans="6:14" ht="14.25" customHeight="1">
      <c r="F480" s="8"/>
      <c r="G480" s="8"/>
      <c r="H480" s="8"/>
      <c r="I480" s="8"/>
      <c r="J480" s="8"/>
      <c r="K480" s="8"/>
      <c r="L480" s="8"/>
      <c r="M480" s="8"/>
      <c r="N480" s="8"/>
    </row>
    <row r="481" spans="6:14" ht="14.25" customHeight="1">
      <c r="F481" s="8"/>
      <c r="G481" s="8"/>
      <c r="H481" s="8"/>
      <c r="I481" s="8"/>
      <c r="J481" s="8"/>
      <c r="K481" s="8"/>
      <c r="L481" s="8"/>
      <c r="M481" s="8"/>
      <c r="N481" s="8"/>
    </row>
    <row r="482" spans="6:14" ht="14.25" customHeight="1">
      <c r="F482" s="8"/>
      <c r="G482" s="8"/>
      <c r="H482" s="8"/>
      <c r="I482" s="8"/>
      <c r="J482" s="8"/>
      <c r="K482" s="8"/>
      <c r="L482" s="8"/>
      <c r="M482" s="8"/>
      <c r="N482" s="8"/>
    </row>
    <row r="483" spans="6:14" ht="14.25" customHeight="1">
      <c r="F483" s="8"/>
      <c r="G483" s="8"/>
      <c r="H483" s="8"/>
      <c r="I483" s="8"/>
      <c r="J483" s="8"/>
      <c r="K483" s="8"/>
      <c r="L483" s="8"/>
      <c r="M483" s="8"/>
      <c r="N483" s="8"/>
    </row>
    <row r="484" spans="6:14" ht="14.25" customHeight="1">
      <c r="F484" s="8"/>
      <c r="G484" s="8"/>
      <c r="H484" s="8"/>
      <c r="I484" s="8"/>
      <c r="J484" s="8"/>
      <c r="K484" s="8"/>
      <c r="L484" s="8"/>
      <c r="M484" s="8"/>
      <c r="N484" s="8"/>
    </row>
    <row r="485" spans="6:14" ht="14.25" customHeight="1">
      <c r="F485" s="8"/>
      <c r="G485" s="8"/>
      <c r="H485" s="8"/>
      <c r="I485" s="8"/>
      <c r="J485" s="8"/>
      <c r="K485" s="8"/>
      <c r="L485" s="8"/>
      <c r="M485" s="8"/>
      <c r="N485" s="8"/>
    </row>
    <row r="486" spans="6:14" ht="14.25" customHeight="1">
      <c r="F486" s="8"/>
      <c r="G486" s="8"/>
      <c r="H486" s="8"/>
      <c r="I486" s="8"/>
      <c r="J486" s="8"/>
      <c r="K486" s="8"/>
      <c r="L486" s="8"/>
      <c r="M486" s="8"/>
      <c r="N486" s="8"/>
    </row>
    <row r="487" spans="6:14" ht="14.25" customHeight="1">
      <c r="F487" s="8"/>
      <c r="G487" s="8"/>
      <c r="H487" s="8"/>
      <c r="I487" s="8"/>
      <c r="J487" s="8"/>
      <c r="K487" s="8"/>
      <c r="L487" s="8"/>
      <c r="M487" s="8"/>
      <c r="N487" s="8"/>
    </row>
    <row r="488" spans="6:14" ht="14.25" customHeight="1">
      <c r="F488" s="8"/>
      <c r="G488" s="8"/>
      <c r="H488" s="8"/>
      <c r="I488" s="8"/>
      <c r="J488" s="8"/>
      <c r="K488" s="8"/>
      <c r="L488" s="8"/>
      <c r="M488" s="8"/>
      <c r="N488" s="8"/>
    </row>
    <row r="489" spans="6:14" ht="14.25" customHeight="1">
      <c r="F489" s="8"/>
      <c r="G489" s="8"/>
      <c r="H489" s="8"/>
      <c r="I489" s="8"/>
      <c r="J489" s="8"/>
      <c r="K489" s="8"/>
      <c r="L489" s="8"/>
      <c r="M489" s="8"/>
      <c r="N489" s="8"/>
    </row>
    <row r="490" spans="6:14" ht="14.25" customHeight="1">
      <c r="F490" s="8"/>
      <c r="G490" s="8"/>
      <c r="H490" s="8"/>
      <c r="I490" s="8"/>
      <c r="J490" s="8"/>
      <c r="K490" s="8"/>
      <c r="L490" s="8"/>
      <c r="M490" s="8"/>
      <c r="N490" s="8"/>
    </row>
    <row r="491" spans="6:14" ht="14.25" customHeight="1">
      <c r="F491" s="8"/>
      <c r="G491" s="8"/>
      <c r="H491" s="8"/>
      <c r="I491" s="8"/>
      <c r="J491" s="8"/>
      <c r="K491" s="8"/>
      <c r="L491" s="8"/>
      <c r="M491" s="8"/>
      <c r="N491" s="8"/>
    </row>
    <row r="492" spans="6:14" ht="14.25" customHeight="1">
      <c r="F492" s="8"/>
      <c r="G492" s="8"/>
      <c r="H492" s="8"/>
      <c r="I492" s="8"/>
      <c r="J492" s="8"/>
      <c r="K492" s="8"/>
      <c r="L492" s="8"/>
      <c r="M492" s="8"/>
      <c r="N492" s="8"/>
    </row>
    <row r="493" spans="6:14" ht="14.25" customHeight="1">
      <c r="F493" s="8"/>
      <c r="G493" s="8"/>
      <c r="H493" s="8"/>
      <c r="I493" s="8"/>
      <c r="J493" s="8"/>
      <c r="K493" s="8"/>
      <c r="L493" s="8"/>
      <c r="M493" s="8"/>
      <c r="N493" s="8"/>
    </row>
    <row r="494" spans="6:14" ht="14.25" customHeight="1">
      <c r="F494" s="8"/>
      <c r="G494" s="8"/>
      <c r="H494" s="8"/>
      <c r="I494" s="8"/>
      <c r="J494" s="8"/>
      <c r="K494" s="8"/>
      <c r="L494" s="8"/>
      <c r="M494" s="8"/>
      <c r="N494" s="8"/>
    </row>
    <row r="495" spans="6:14" ht="14.25" customHeight="1">
      <c r="F495" s="8"/>
      <c r="G495" s="8"/>
      <c r="H495" s="8"/>
      <c r="I495" s="8"/>
      <c r="J495" s="8"/>
      <c r="K495" s="8"/>
      <c r="L495" s="8"/>
      <c r="M495" s="8"/>
      <c r="N495" s="8"/>
    </row>
    <row r="496" spans="6:14" ht="14.25" customHeight="1">
      <c r="F496" s="8"/>
      <c r="G496" s="8"/>
      <c r="H496" s="8"/>
      <c r="I496" s="8"/>
      <c r="J496" s="8"/>
      <c r="K496" s="8"/>
      <c r="L496" s="8"/>
      <c r="M496" s="8"/>
      <c r="N496" s="8"/>
    </row>
    <row r="497" spans="6:14" ht="14.25" customHeight="1">
      <c r="F497" s="8"/>
      <c r="G497" s="8"/>
      <c r="H497" s="8"/>
      <c r="I497" s="8"/>
      <c r="J497" s="8"/>
      <c r="K497" s="8"/>
      <c r="L497" s="8"/>
      <c r="M497" s="8"/>
      <c r="N497" s="8"/>
    </row>
    <row r="498" spans="6:14" ht="14.25" customHeight="1">
      <c r="F498" s="8"/>
      <c r="G498" s="8"/>
      <c r="H498" s="8"/>
      <c r="I498" s="8"/>
      <c r="J498" s="8"/>
      <c r="K498" s="8"/>
      <c r="L498" s="8"/>
      <c r="M498" s="8"/>
      <c r="N498" s="8"/>
    </row>
    <row r="499" spans="6:14" ht="14.25" customHeight="1">
      <c r="F499" s="8"/>
      <c r="G499" s="8"/>
      <c r="H499" s="8"/>
      <c r="I499" s="8"/>
      <c r="J499" s="8"/>
      <c r="K499" s="8"/>
      <c r="L499" s="8"/>
      <c r="M499" s="8"/>
      <c r="N499" s="8"/>
    </row>
    <row r="500" spans="6:14" ht="14.25" customHeight="1">
      <c r="F500" s="8"/>
      <c r="G500" s="8"/>
      <c r="H500" s="8"/>
      <c r="I500" s="8"/>
      <c r="J500" s="8"/>
      <c r="K500" s="8"/>
      <c r="L500" s="8"/>
      <c r="M500" s="8"/>
      <c r="N500" s="8"/>
    </row>
    <row r="501" spans="6:14" ht="14.25" customHeight="1">
      <c r="F501" s="8"/>
      <c r="G501" s="8"/>
      <c r="H501" s="8"/>
      <c r="I501" s="8"/>
      <c r="J501" s="8"/>
      <c r="K501" s="8"/>
      <c r="L501" s="8"/>
      <c r="M501" s="8"/>
      <c r="N501" s="8"/>
    </row>
    <row r="502" spans="6:14" ht="14.25" customHeight="1">
      <c r="F502" s="8"/>
      <c r="G502" s="8"/>
      <c r="H502" s="8"/>
      <c r="I502" s="8"/>
      <c r="J502" s="8"/>
      <c r="K502" s="8"/>
      <c r="L502" s="8"/>
      <c r="M502" s="8"/>
      <c r="N502" s="8"/>
    </row>
    <row r="503" spans="6:14" ht="14.25" customHeight="1">
      <c r="F503" s="8"/>
      <c r="G503" s="8"/>
      <c r="H503" s="8"/>
      <c r="I503" s="8"/>
      <c r="J503" s="8"/>
      <c r="K503" s="8"/>
      <c r="L503" s="8"/>
      <c r="M503" s="8"/>
      <c r="N503" s="8"/>
    </row>
    <row r="504" spans="6:14" ht="14.25" customHeight="1">
      <c r="F504" s="8"/>
      <c r="G504" s="8"/>
      <c r="H504" s="8"/>
      <c r="I504" s="8"/>
      <c r="J504" s="8"/>
      <c r="K504" s="8"/>
      <c r="L504" s="8"/>
      <c r="M504" s="8"/>
      <c r="N504" s="8"/>
    </row>
    <row r="505" spans="6:14" ht="14.25" customHeight="1">
      <c r="F505" s="8"/>
      <c r="G505" s="8"/>
      <c r="H505" s="8"/>
      <c r="I505" s="8"/>
      <c r="J505" s="8"/>
      <c r="K505" s="8"/>
      <c r="L505" s="8"/>
      <c r="M505" s="8"/>
      <c r="N505" s="8"/>
    </row>
    <row r="506" spans="6:14" ht="14.25" customHeight="1">
      <c r="F506" s="8"/>
      <c r="G506" s="8"/>
      <c r="H506" s="8"/>
      <c r="I506" s="8"/>
      <c r="J506" s="8"/>
      <c r="K506" s="8"/>
      <c r="L506" s="8"/>
      <c r="M506" s="8"/>
      <c r="N506" s="8"/>
    </row>
    <row r="507" spans="6:14" ht="14.25" customHeight="1">
      <c r="F507" s="8"/>
      <c r="G507" s="8"/>
      <c r="H507" s="8"/>
      <c r="I507" s="8"/>
      <c r="J507" s="8"/>
      <c r="K507" s="8"/>
      <c r="L507" s="8"/>
      <c r="M507" s="8"/>
      <c r="N507" s="8"/>
    </row>
    <row r="508" spans="6:14" ht="14.25" customHeight="1">
      <c r="F508" s="8"/>
      <c r="G508" s="8"/>
      <c r="H508" s="8"/>
      <c r="I508" s="8"/>
      <c r="J508" s="8"/>
      <c r="K508" s="8"/>
      <c r="L508" s="8"/>
      <c r="M508" s="8"/>
      <c r="N508" s="8"/>
    </row>
    <row r="509" spans="6:14" ht="14.25" customHeight="1">
      <c r="F509" s="8"/>
      <c r="G509" s="8"/>
      <c r="H509" s="8"/>
      <c r="I509" s="8"/>
      <c r="J509" s="8"/>
      <c r="K509" s="8"/>
      <c r="L509" s="8"/>
      <c r="M509" s="8"/>
      <c r="N509" s="8"/>
    </row>
    <row r="510" spans="6:14" ht="14.25" customHeight="1">
      <c r="F510" s="8"/>
      <c r="G510" s="8"/>
      <c r="H510" s="8"/>
      <c r="I510" s="8"/>
      <c r="J510" s="8"/>
      <c r="K510" s="8"/>
      <c r="L510" s="8"/>
      <c r="M510" s="8"/>
      <c r="N510" s="8"/>
    </row>
    <row r="511" spans="6:14" ht="14.25" customHeight="1">
      <c r="F511" s="8"/>
      <c r="G511" s="8"/>
      <c r="H511" s="8"/>
      <c r="I511" s="8"/>
      <c r="J511" s="8"/>
      <c r="K511" s="8"/>
      <c r="L511" s="8"/>
      <c r="M511" s="8"/>
      <c r="N511" s="8"/>
    </row>
    <row r="512" spans="6:14" ht="14.25" customHeight="1">
      <c r="F512" s="8"/>
      <c r="G512" s="8"/>
      <c r="H512" s="8"/>
      <c r="I512" s="8"/>
      <c r="J512" s="8"/>
      <c r="K512" s="8"/>
      <c r="L512" s="8"/>
      <c r="M512" s="8"/>
      <c r="N512" s="8"/>
    </row>
    <row r="513" spans="6:14" ht="14.25" customHeight="1">
      <c r="F513" s="8"/>
      <c r="G513" s="8"/>
      <c r="H513" s="8"/>
      <c r="I513" s="8"/>
      <c r="J513" s="8"/>
      <c r="K513" s="8"/>
      <c r="L513" s="8"/>
      <c r="M513" s="8"/>
      <c r="N513" s="8"/>
    </row>
    <row r="514" spans="6:14" ht="14.25" customHeight="1">
      <c r="F514" s="8"/>
      <c r="G514" s="8"/>
      <c r="H514" s="8"/>
      <c r="I514" s="8"/>
      <c r="J514" s="8"/>
      <c r="K514" s="8"/>
      <c r="L514" s="8"/>
      <c r="M514" s="8"/>
      <c r="N514" s="8"/>
    </row>
    <row r="515" spans="6:14" ht="14.25" customHeight="1">
      <c r="F515" s="8"/>
      <c r="G515" s="8"/>
      <c r="H515" s="8"/>
      <c r="I515" s="8"/>
      <c r="J515" s="8"/>
      <c r="K515" s="8"/>
      <c r="L515" s="8"/>
      <c r="M515" s="8"/>
      <c r="N515" s="8"/>
    </row>
    <row r="516" spans="6:14" ht="14.25" customHeight="1">
      <c r="F516" s="8"/>
      <c r="G516" s="8"/>
      <c r="H516" s="8"/>
      <c r="I516" s="8"/>
      <c r="J516" s="8"/>
      <c r="K516" s="8"/>
      <c r="L516" s="8"/>
      <c r="M516" s="8"/>
      <c r="N516" s="8"/>
    </row>
    <row r="517" spans="6:14" ht="14.25" customHeight="1">
      <c r="F517" s="8"/>
      <c r="G517" s="8"/>
      <c r="H517" s="8"/>
      <c r="I517" s="8"/>
      <c r="J517" s="8"/>
      <c r="K517" s="8"/>
      <c r="L517" s="8"/>
      <c r="M517" s="8"/>
      <c r="N517" s="8"/>
    </row>
    <row r="518" spans="6:14" ht="14.25" customHeight="1">
      <c r="F518" s="8"/>
      <c r="G518" s="8"/>
      <c r="H518" s="8"/>
      <c r="I518" s="8"/>
      <c r="J518" s="8"/>
      <c r="K518" s="8"/>
      <c r="L518" s="8"/>
      <c r="M518" s="8"/>
      <c r="N518" s="8"/>
    </row>
    <row r="519" spans="6:14" ht="14.25" customHeight="1">
      <c r="F519" s="8"/>
      <c r="G519" s="8"/>
      <c r="H519" s="8"/>
      <c r="I519" s="8"/>
      <c r="J519" s="8"/>
      <c r="K519" s="8"/>
      <c r="L519" s="8"/>
      <c r="M519" s="8"/>
      <c r="N519" s="8"/>
    </row>
    <row r="520" spans="6:14" ht="14.25" customHeight="1">
      <c r="F520" s="8"/>
      <c r="G520" s="8"/>
      <c r="H520" s="8"/>
      <c r="I520" s="8"/>
      <c r="J520" s="8"/>
      <c r="K520" s="8"/>
      <c r="L520" s="8"/>
      <c r="M520" s="8"/>
      <c r="N520" s="8"/>
    </row>
    <row r="521" spans="6:14" ht="14.25" customHeight="1">
      <c r="F521" s="8"/>
      <c r="G521" s="8"/>
      <c r="H521" s="8"/>
      <c r="I521" s="8"/>
      <c r="J521" s="8"/>
      <c r="K521" s="8"/>
      <c r="L521" s="8"/>
      <c r="M521" s="8"/>
      <c r="N521" s="8"/>
    </row>
    <row r="522" spans="6:14" ht="14.25" customHeight="1">
      <c r="F522" s="8"/>
      <c r="G522" s="8"/>
      <c r="H522" s="8"/>
      <c r="I522" s="8"/>
      <c r="J522" s="8"/>
      <c r="K522" s="8"/>
      <c r="L522" s="8"/>
      <c r="M522" s="8"/>
      <c r="N522" s="8"/>
    </row>
    <row r="523" spans="6:14" ht="14.25" customHeight="1">
      <c r="F523" s="8"/>
      <c r="G523" s="8"/>
      <c r="H523" s="8"/>
      <c r="I523" s="8"/>
      <c r="J523" s="8"/>
      <c r="K523" s="8"/>
      <c r="L523" s="8"/>
      <c r="M523" s="8"/>
      <c r="N523" s="8"/>
    </row>
    <row r="524" spans="6:14" ht="14.25" customHeight="1">
      <c r="F524" s="8"/>
      <c r="G524" s="8"/>
      <c r="H524" s="8"/>
      <c r="I524" s="8"/>
      <c r="J524" s="8"/>
      <c r="K524" s="8"/>
      <c r="L524" s="8"/>
      <c r="M524" s="8"/>
      <c r="N524" s="8"/>
    </row>
    <row r="525" spans="6:14" ht="14.25" customHeight="1">
      <c r="F525" s="8"/>
      <c r="G525" s="8"/>
      <c r="H525" s="8"/>
      <c r="I525" s="8"/>
      <c r="J525" s="8"/>
      <c r="K525" s="8"/>
      <c r="L525" s="8"/>
      <c r="M525" s="8"/>
      <c r="N525" s="8"/>
    </row>
    <row r="526" spans="6:14" ht="14.25" customHeight="1">
      <c r="F526" s="8"/>
      <c r="G526" s="8"/>
      <c r="H526" s="8"/>
      <c r="I526" s="8"/>
      <c r="J526" s="8"/>
      <c r="K526" s="8"/>
      <c r="L526" s="8"/>
      <c r="M526" s="8"/>
      <c r="N526" s="8"/>
    </row>
    <row r="527" spans="6:14" ht="14.25" customHeight="1">
      <c r="F527" s="8"/>
      <c r="G527" s="8"/>
      <c r="H527" s="8"/>
      <c r="I527" s="8"/>
      <c r="J527" s="8"/>
      <c r="K527" s="8"/>
      <c r="L527" s="8"/>
      <c r="M527" s="8"/>
      <c r="N527" s="8"/>
    </row>
    <row r="528" spans="6:14" ht="14.25" customHeight="1">
      <c r="F528" s="8"/>
      <c r="G528" s="8"/>
      <c r="H528" s="8"/>
      <c r="I528" s="8"/>
      <c r="J528" s="8"/>
      <c r="K528" s="8"/>
      <c r="L528" s="8"/>
      <c r="M528" s="8"/>
      <c r="N528" s="8"/>
    </row>
    <row r="529" spans="6:14" ht="14.25" customHeight="1">
      <c r="F529" s="8"/>
      <c r="G529" s="8"/>
      <c r="H529" s="8"/>
      <c r="I529" s="8"/>
      <c r="J529" s="8"/>
      <c r="K529" s="8"/>
      <c r="L529" s="8"/>
      <c r="M529" s="8"/>
      <c r="N529" s="8"/>
    </row>
    <row r="530" spans="6:14" ht="14.25" customHeight="1">
      <c r="F530" s="8"/>
      <c r="G530" s="8"/>
      <c r="H530" s="8"/>
      <c r="I530" s="8"/>
      <c r="J530" s="8"/>
      <c r="K530" s="8"/>
      <c r="L530" s="8"/>
      <c r="M530" s="8"/>
      <c r="N530" s="8"/>
    </row>
    <row r="531" spans="6:14" ht="14.25" customHeight="1">
      <c r="F531" s="8"/>
      <c r="G531" s="8"/>
      <c r="H531" s="8"/>
      <c r="I531" s="8"/>
      <c r="J531" s="8"/>
      <c r="K531" s="8"/>
      <c r="L531" s="8"/>
      <c r="M531" s="8"/>
      <c r="N531" s="8"/>
    </row>
    <row r="532" spans="6:14" ht="14.25" customHeight="1">
      <c r="F532" s="8"/>
      <c r="G532" s="8"/>
      <c r="H532" s="8"/>
      <c r="I532" s="8"/>
      <c r="J532" s="8"/>
      <c r="K532" s="8"/>
      <c r="L532" s="8"/>
      <c r="M532" s="8"/>
      <c r="N532" s="8"/>
    </row>
    <row r="533" spans="6:14" ht="14.25" customHeight="1">
      <c r="F533" s="8"/>
      <c r="G533" s="8"/>
      <c r="H533" s="8"/>
      <c r="I533" s="8"/>
      <c r="J533" s="8"/>
      <c r="K533" s="8"/>
      <c r="L533" s="8"/>
      <c r="M533" s="8"/>
      <c r="N533" s="8"/>
    </row>
    <row r="534" spans="6:14" ht="14.25" customHeight="1">
      <c r="F534" s="8"/>
      <c r="G534" s="8"/>
      <c r="H534" s="8"/>
      <c r="I534" s="8"/>
      <c r="J534" s="8"/>
      <c r="K534" s="8"/>
      <c r="L534" s="8"/>
      <c r="M534" s="8"/>
      <c r="N534" s="8"/>
    </row>
    <row r="535" spans="6:14" ht="14.25" customHeight="1">
      <c r="F535" s="8"/>
      <c r="G535" s="8"/>
      <c r="H535" s="8"/>
      <c r="I535" s="8"/>
      <c r="J535" s="8"/>
      <c r="K535" s="8"/>
      <c r="L535" s="8"/>
      <c r="M535" s="8"/>
      <c r="N535" s="8"/>
    </row>
    <row r="536" spans="6:14" ht="14.25" customHeight="1">
      <c r="F536" s="8"/>
      <c r="G536" s="8"/>
      <c r="H536" s="8"/>
      <c r="I536" s="8"/>
      <c r="J536" s="8"/>
      <c r="K536" s="8"/>
      <c r="L536" s="8"/>
      <c r="M536" s="8"/>
      <c r="N536" s="8"/>
    </row>
    <row r="537" spans="6:14" ht="14.25" customHeight="1">
      <c r="F537" s="8"/>
      <c r="G537" s="8"/>
      <c r="H537" s="8"/>
      <c r="I537" s="8"/>
      <c r="J537" s="8"/>
      <c r="K537" s="8"/>
      <c r="L537" s="8"/>
      <c r="M537" s="8"/>
      <c r="N537" s="8"/>
    </row>
    <row r="538" spans="6:14" ht="14.25" customHeight="1">
      <c r="F538" s="8"/>
      <c r="G538" s="8"/>
      <c r="H538" s="8"/>
      <c r="I538" s="8"/>
      <c r="J538" s="8"/>
      <c r="K538" s="8"/>
      <c r="L538" s="8"/>
      <c r="M538" s="8"/>
      <c r="N538" s="8"/>
    </row>
    <row r="539" spans="6:14" ht="14.25" customHeight="1">
      <c r="F539" s="8"/>
      <c r="G539" s="8"/>
      <c r="H539" s="8"/>
      <c r="I539" s="8"/>
      <c r="J539" s="8"/>
      <c r="K539" s="8"/>
      <c r="L539" s="8"/>
      <c r="M539" s="8"/>
      <c r="N539" s="8"/>
    </row>
    <row r="540" spans="6:14" ht="14.25" customHeight="1">
      <c r="F540" s="8"/>
      <c r="G540" s="8"/>
      <c r="H540" s="8"/>
      <c r="I540" s="8"/>
      <c r="J540" s="8"/>
      <c r="K540" s="8"/>
      <c r="L540" s="8"/>
      <c r="M540" s="8"/>
      <c r="N540" s="8"/>
    </row>
    <row r="541" spans="6:14" ht="14.25" customHeight="1">
      <c r="F541" s="8"/>
      <c r="G541" s="8"/>
      <c r="H541" s="8"/>
      <c r="I541" s="8"/>
      <c r="J541" s="8"/>
      <c r="K541" s="8"/>
      <c r="L541" s="8"/>
      <c r="M541" s="8"/>
      <c r="N541" s="8"/>
    </row>
    <row r="542" spans="6:14" ht="14.25" customHeight="1">
      <c r="F542" s="8"/>
      <c r="G542" s="8"/>
      <c r="H542" s="8"/>
      <c r="I542" s="8"/>
      <c r="J542" s="8"/>
      <c r="K542" s="8"/>
      <c r="L542" s="8"/>
      <c r="M542" s="8"/>
      <c r="N542" s="8"/>
    </row>
    <row r="543" spans="6:14" ht="14.25" customHeight="1">
      <c r="F543" s="8"/>
      <c r="G543" s="8"/>
      <c r="H543" s="8"/>
      <c r="I543" s="8"/>
      <c r="J543" s="8"/>
      <c r="K543" s="8"/>
      <c r="L543" s="8"/>
      <c r="M543" s="8"/>
      <c r="N543" s="8"/>
    </row>
    <row r="544" spans="6:14" ht="14.25" customHeight="1">
      <c r="F544" s="8"/>
      <c r="G544" s="8"/>
      <c r="H544" s="8"/>
      <c r="I544" s="8"/>
      <c r="J544" s="8"/>
      <c r="K544" s="8"/>
      <c r="L544" s="8"/>
      <c r="M544" s="8"/>
      <c r="N544" s="8"/>
    </row>
    <row r="545" spans="6:14" ht="14.25" customHeight="1">
      <c r="F545" s="8"/>
      <c r="G545" s="8"/>
      <c r="H545" s="8"/>
      <c r="I545" s="8"/>
      <c r="J545" s="8"/>
      <c r="K545" s="8"/>
      <c r="L545" s="8"/>
      <c r="M545" s="8"/>
      <c r="N545" s="8"/>
    </row>
    <row r="546" spans="6:14" ht="14.25" customHeight="1">
      <c r="F546" s="8"/>
      <c r="G546" s="8"/>
      <c r="H546" s="8"/>
      <c r="I546" s="8"/>
      <c r="J546" s="8"/>
      <c r="K546" s="8"/>
      <c r="L546" s="8"/>
      <c r="M546" s="8"/>
      <c r="N546" s="8"/>
    </row>
    <row r="547" spans="6:14" ht="14.25" customHeight="1">
      <c r="F547" s="8"/>
      <c r="G547" s="8"/>
      <c r="H547" s="8"/>
      <c r="I547" s="8"/>
      <c r="J547" s="8"/>
      <c r="K547" s="8"/>
      <c r="L547" s="8"/>
      <c r="M547" s="8"/>
      <c r="N547" s="8"/>
    </row>
    <row r="548" spans="6:14" ht="14.25" customHeight="1">
      <c r="F548" s="8"/>
      <c r="G548" s="8"/>
      <c r="H548" s="8"/>
      <c r="I548" s="8"/>
      <c r="J548" s="8"/>
      <c r="K548" s="8"/>
      <c r="L548" s="8"/>
      <c r="M548" s="8"/>
      <c r="N548" s="8"/>
    </row>
    <row r="549" spans="6:14" ht="14.25" customHeight="1">
      <c r="F549" s="8"/>
      <c r="G549" s="8"/>
      <c r="H549" s="8"/>
      <c r="I549" s="8"/>
      <c r="J549" s="8"/>
      <c r="K549" s="8"/>
      <c r="L549" s="8"/>
      <c r="M549" s="8"/>
      <c r="N549" s="8"/>
    </row>
    <row r="550" spans="6:14" ht="14.25" customHeight="1">
      <c r="F550" s="8"/>
      <c r="G550" s="8"/>
      <c r="H550" s="8"/>
      <c r="I550" s="8"/>
      <c r="J550" s="8"/>
      <c r="K550" s="8"/>
      <c r="L550" s="8"/>
      <c r="M550" s="8"/>
      <c r="N550" s="8"/>
    </row>
    <row r="551" spans="6:14" ht="14.25" customHeight="1">
      <c r="F551" s="8"/>
      <c r="G551" s="8"/>
      <c r="H551" s="8"/>
      <c r="I551" s="8"/>
      <c r="J551" s="8"/>
      <c r="K551" s="8"/>
      <c r="L551" s="8"/>
      <c r="M551" s="8"/>
      <c r="N551" s="8"/>
    </row>
    <row r="552" spans="6:14" ht="14.25" customHeight="1">
      <c r="F552" s="8"/>
      <c r="G552" s="8"/>
      <c r="H552" s="8"/>
      <c r="I552" s="8"/>
      <c r="J552" s="8"/>
      <c r="K552" s="8"/>
      <c r="L552" s="8"/>
      <c r="M552" s="8"/>
      <c r="N552" s="8"/>
    </row>
    <row r="553" spans="6:14" ht="14.25" customHeight="1">
      <c r="F553" s="8"/>
      <c r="G553" s="8"/>
      <c r="H553" s="8"/>
      <c r="I553" s="8"/>
      <c r="J553" s="8"/>
      <c r="K553" s="8"/>
      <c r="L553" s="8"/>
      <c r="M553" s="8"/>
      <c r="N553" s="8"/>
    </row>
    <row r="554" spans="6:14" ht="14.25" customHeight="1">
      <c r="F554" s="8"/>
      <c r="G554" s="8"/>
      <c r="H554" s="8"/>
      <c r="I554" s="8"/>
      <c r="J554" s="8"/>
      <c r="K554" s="8"/>
      <c r="L554" s="8"/>
      <c r="M554" s="8"/>
      <c r="N554" s="8"/>
    </row>
    <row r="555" spans="6:14" ht="14.25" customHeight="1">
      <c r="F555" s="8"/>
      <c r="G555" s="8"/>
      <c r="H555" s="8"/>
      <c r="I555" s="8"/>
      <c r="J555" s="8"/>
      <c r="K555" s="8"/>
      <c r="L555" s="8"/>
      <c r="M555" s="8"/>
      <c r="N555" s="8"/>
    </row>
    <row r="556" spans="6:14" ht="14.25" customHeight="1">
      <c r="F556" s="8"/>
      <c r="G556" s="8"/>
      <c r="H556" s="8"/>
      <c r="I556" s="8"/>
      <c r="J556" s="8"/>
      <c r="K556" s="8"/>
      <c r="L556" s="8"/>
      <c r="M556" s="8"/>
      <c r="N556" s="8"/>
    </row>
    <row r="557" spans="6:14" ht="14.25" customHeight="1">
      <c r="F557" s="8"/>
      <c r="G557" s="8"/>
      <c r="H557" s="8"/>
      <c r="I557" s="8"/>
      <c r="J557" s="8"/>
      <c r="K557" s="8"/>
      <c r="L557" s="8"/>
      <c r="M557" s="8"/>
      <c r="N557" s="8"/>
    </row>
    <row r="558" spans="6:14" ht="14.25" customHeight="1">
      <c r="F558" s="8"/>
      <c r="G558" s="8"/>
      <c r="H558" s="8"/>
      <c r="I558" s="8"/>
      <c r="J558" s="8"/>
      <c r="K558" s="8"/>
      <c r="L558" s="8"/>
      <c r="M558" s="8"/>
      <c r="N558" s="8"/>
    </row>
    <row r="559" spans="6:14" ht="14.25" customHeight="1">
      <c r="F559" s="8"/>
      <c r="G559" s="8"/>
      <c r="H559" s="8"/>
      <c r="I559" s="8"/>
      <c r="J559" s="8"/>
      <c r="K559" s="8"/>
      <c r="L559" s="8"/>
      <c r="M559" s="8"/>
      <c r="N559" s="8"/>
    </row>
    <row r="560" spans="6:14" ht="14.25" customHeight="1">
      <c r="F560" s="8"/>
      <c r="G560" s="8"/>
      <c r="H560" s="8"/>
      <c r="I560" s="8"/>
      <c r="J560" s="8"/>
      <c r="K560" s="8"/>
      <c r="L560" s="8"/>
      <c r="M560" s="8"/>
      <c r="N560" s="8"/>
    </row>
    <row r="561" spans="6:14" ht="14.25" customHeight="1">
      <c r="F561" s="8"/>
      <c r="G561" s="8"/>
      <c r="H561" s="8"/>
      <c r="I561" s="8"/>
      <c r="J561" s="8"/>
      <c r="K561" s="8"/>
      <c r="L561" s="8"/>
      <c r="M561" s="8"/>
      <c r="N561" s="8"/>
    </row>
    <row r="562" spans="6:14" ht="14.25" customHeight="1">
      <c r="F562" s="8"/>
      <c r="G562" s="8"/>
      <c r="H562" s="8"/>
      <c r="I562" s="8"/>
      <c r="J562" s="8"/>
      <c r="K562" s="8"/>
      <c r="L562" s="8"/>
      <c r="M562" s="8"/>
      <c r="N562" s="8"/>
    </row>
    <row r="563" spans="6:14" ht="14.25" customHeight="1">
      <c r="F563" s="8"/>
      <c r="G563" s="8"/>
      <c r="H563" s="8"/>
      <c r="I563" s="8"/>
      <c r="J563" s="8"/>
      <c r="K563" s="8"/>
      <c r="L563" s="8"/>
      <c r="M563" s="8"/>
      <c r="N563" s="8"/>
    </row>
    <row r="564" spans="6:14" ht="14.25" customHeight="1">
      <c r="F564" s="8"/>
      <c r="G564" s="8"/>
      <c r="H564" s="8"/>
      <c r="I564" s="8"/>
      <c r="J564" s="8"/>
      <c r="K564" s="8"/>
      <c r="L564" s="8"/>
      <c r="M564" s="8"/>
      <c r="N564" s="8"/>
    </row>
    <row r="565" spans="6:14" ht="14.25" customHeight="1">
      <c r="F565" s="8"/>
      <c r="G565" s="8"/>
      <c r="H565" s="8"/>
      <c r="I565" s="8"/>
      <c r="J565" s="8"/>
      <c r="K565" s="8"/>
      <c r="L565" s="8"/>
      <c r="M565" s="8"/>
      <c r="N565" s="8"/>
    </row>
    <row r="566" spans="6:14" ht="14.25" customHeight="1">
      <c r="F566" s="8"/>
      <c r="G566" s="8"/>
      <c r="H566" s="8"/>
      <c r="I566" s="8"/>
      <c r="J566" s="8"/>
      <c r="K566" s="8"/>
      <c r="L566" s="8"/>
      <c r="M566" s="8"/>
      <c r="N566" s="8"/>
    </row>
    <row r="567" spans="6:14" ht="14.25" customHeight="1">
      <c r="F567" s="8"/>
      <c r="G567" s="8"/>
      <c r="H567" s="8"/>
      <c r="I567" s="8"/>
      <c r="J567" s="8"/>
      <c r="K567" s="8"/>
      <c r="L567" s="8"/>
      <c r="M567" s="8"/>
      <c r="N567" s="8"/>
    </row>
    <row r="568" spans="6:14" ht="14.25" customHeight="1">
      <c r="F568" s="8"/>
      <c r="G568" s="8"/>
      <c r="H568" s="8"/>
      <c r="I568" s="8"/>
      <c r="J568" s="8"/>
      <c r="K568" s="8"/>
      <c r="L568" s="8"/>
      <c r="M568" s="8"/>
      <c r="N568" s="8"/>
    </row>
    <row r="569" spans="6:14" ht="14.25" customHeight="1">
      <c r="F569" s="8"/>
      <c r="G569" s="8"/>
      <c r="H569" s="8"/>
      <c r="I569" s="8"/>
      <c r="J569" s="8"/>
      <c r="K569" s="8"/>
      <c r="L569" s="8"/>
      <c r="M569" s="8"/>
      <c r="N569" s="8"/>
    </row>
    <row r="570" spans="6:14" ht="14.25" customHeight="1">
      <c r="F570" s="8"/>
      <c r="G570" s="8"/>
      <c r="H570" s="8"/>
      <c r="I570" s="8"/>
      <c r="J570" s="8"/>
      <c r="K570" s="8"/>
      <c r="L570" s="8"/>
      <c r="M570" s="8"/>
      <c r="N570" s="8"/>
    </row>
    <row r="571" spans="6:14" ht="14.25" customHeight="1">
      <c r="F571" s="8"/>
      <c r="G571" s="8"/>
      <c r="H571" s="8"/>
      <c r="I571" s="8"/>
      <c r="J571" s="8"/>
      <c r="K571" s="8"/>
      <c r="L571" s="8"/>
      <c r="M571" s="8"/>
      <c r="N571" s="8"/>
    </row>
    <row r="572" spans="6:14" ht="14.25" customHeight="1">
      <c r="F572" s="8"/>
      <c r="G572" s="8"/>
      <c r="H572" s="8"/>
      <c r="I572" s="8"/>
      <c r="J572" s="8"/>
      <c r="K572" s="8"/>
      <c r="L572" s="8"/>
      <c r="M572" s="8"/>
      <c r="N572" s="8"/>
    </row>
    <row r="573" spans="6:14" ht="14.25" customHeight="1">
      <c r="F573" s="8"/>
      <c r="G573" s="8"/>
      <c r="H573" s="8"/>
      <c r="I573" s="8"/>
      <c r="J573" s="8"/>
      <c r="K573" s="8"/>
      <c r="L573" s="8"/>
      <c r="M573" s="8"/>
      <c r="N573" s="8"/>
    </row>
    <row r="574" spans="6:14" ht="14.25" customHeight="1">
      <c r="F574" s="8"/>
      <c r="G574" s="8"/>
      <c r="H574" s="8"/>
      <c r="I574" s="8"/>
      <c r="J574" s="8"/>
      <c r="K574" s="8"/>
      <c r="L574" s="8"/>
      <c r="M574" s="8"/>
      <c r="N574" s="8"/>
    </row>
    <row r="575" spans="6:14" ht="14.25" customHeight="1">
      <c r="F575" s="8"/>
      <c r="G575" s="8"/>
      <c r="H575" s="8"/>
      <c r="I575" s="8"/>
      <c r="J575" s="8"/>
      <c r="K575" s="8"/>
      <c r="L575" s="8"/>
      <c r="M575" s="8"/>
      <c r="N575" s="8"/>
    </row>
    <row r="576" spans="6:14" ht="14.25" customHeight="1">
      <c r="F576" s="8"/>
      <c r="G576" s="8"/>
      <c r="H576" s="8"/>
      <c r="I576" s="8"/>
      <c r="J576" s="8"/>
      <c r="K576" s="8"/>
      <c r="L576" s="8"/>
      <c r="M576" s="8"/>
      <c r="N576" s="8"/>
    </row>
    <row r="577" spans="6:14" ht="14.25" customHeight="1">
      <c r="F577" s="8"/>
      <c r="G577" s="8"/>
      <c r="H577" s="8"/>
      <c r="I577" s="8"/>
      <c r="J577" s="8"/>
      <c r="K577" s="8"/>
      <c r="L577" s="8"/>
      <c r="M577" s="8"/>
      <c r="N577" s="8"/>
    </row>
    <row r="578" spans="6:14" ht="14.25" customHeight="1">
      <c r="F578" s="8"/>
      <c r="G578" s="8"/>
      <c r="H578" s="8"/>
      <c r="I578" s="8"/>
      <c r="J578" s="8"/>
      <c r="K578" s="8"/>
      <c r="L578" s="8"/>
      <c r="M578" s="8"/>
      <c r="N578" s="8"/>
    </row>
    <row r="579" spans="6:14" ht="14.25" customHeight="1">
      <c r="F579" s="8"/>
      <c r="G579" s="8"/>
      <c r="H579" s="8"/>
      <c r="I579" s="8"/>
      <c r="J579" s="8"/>
      <c r="K579" s="8"/>
      <c r="L579" s="8"/>
      <c r="M579" s="8"/>
      <c r="N579" s="8"/>
    </row>
    <row r="580" spans="6:14" ht="14.25" customHeight="1">
      <c r="F580" s="8"/>
      <c r="G580" s="8"/>
      <c r="H580" s="8"/>
      <c r="I580" s="8"/>
      <c r="J580" s="8"/>
      <c r="K580" s="8"/>
      <c r="L580" s="8"/>
      <c r="M580" s="8"/>
      <c r="N580" s="8"/>
    </row>
    <row r="581" spans="6:14" ht="14.25" customHeight="1">
      <c r="F581" s="8"/>
      <c r="G581" s="8"/>
      <c r="H581" s="8"/>
      <c r="I581" s="8"/>
      <c r="J581" s="8"/>
      <c r="K581" s="8"/>
      <c r="L581" s="8"/>
      <c r="M581" s="8"/>
      <c r="N581" s="8"/>
    </row>
    <row r="582" spans="6:14" ht="14.25" customHeight="1">
      <c r="F582" s="8"/>
      <c r="G582" s="8"/>
      <c r="H582" s="8"/>
      <c r="I582" s="8"/>
      <c r="J582" s="8"/>
      <c r="K582" s="8"/>
      <c r="L582" s="8"/>
      <c r="M582" s="8"/>
      <c r="N582" s="8"/>
    </row>
    <row r="583" spans="6:14" ht="14.25" customHeight="1">
      <c r="F583" s="8"/>
      <c r="G583" s="8"/>
      <c r="H583" s="8"/>
      <c r="I583" s="8"/>
      <c r="J583" s="8"/>
      <c r="K583" s="8"/>
      <c r="L583" s="8"/>
      <c r="M583" s="8"/>
      <c r="N583" s="8"/>
    </row>
    <row r="584" spans="6:14" ht="14.25" customHeight="1">
      <c r="F584" s="8"/>
      <c r="G584" s="8"/>
      <c r="H584" s="8"/>
      <c r="I584" s="8"/>
      <c r="J584" s="8"/>
      <c r="K584" s="8"/>
      <c r="L584" s="8"/>
      <c r="M584" s="8"/>
      <c r="N584" s="8"/>
    </row>
    <row r="585" spans="6:14" ht="14.25" customHeight="1">
      <c r="F585" s="8"/>
      <c r="G585" s="8"/>
      <c r="H585" s="8"/>
      <c r="I585" s="8"/>
      <c r="J585" s="8"/>
      <c r="K585" s="8"/>
      <c r="L585" s="8"/>
      <c r="M585" s="8"/>
      <c r="N585" s="8"/>
    </row>
    <row r="586" spans="6:14" ht="14.25" customHeight="1">
      <c r="F586" s="8"/>
      <c r="G586" s="8"/>
      <c r="H586" s="8"/>
      <c r="I586" s="8"/>
      <c r="J586" s="8"/>
      <c r="K586" s="8"/>
      <c r="L586" s="8"/>
      <c r="M586" s="8"/>
      <c r="N586" s="8"/>
    </row>
    <row r="587" spans="6:14" ht="14.25" customHeight="1">
      <c r="F587" s="8"/>
      <c r="G587" s="8"/>
      <c r="H587" s="8"/>
      <c r="I587" s="8"/>
      <c r="J587" s="8"/>
      <c r="K587" s="8"/>
      <c r="L587" s="8"/>
      <c r="M587" s="8"/>
      <c r="N587" s="8"/>
    </row>
    <row r="588" spans="6:14" ht="14.25" customHeight="1">
      <c r="F588" s="8"/>
      <c r="G588" s="8"/>
      <c r="H588" s="8"/>
      <c r="I588" s="8"/>
      <c r="J588" s="8"/>
      <c r="K588" s="8"/>
      <c r="L588" s="8"/>
      <c r="M588" s="8"/>
      <c r="N588" s="8"/>
    </row>
    <row r="589" spans="6:14" ht="14.25" customHeight="1">
      <c r="F589" s="8"/>
      <c r="G589" s="8"/>
      <c r="H589" s="8"/>
      <c r="I589" s="8"/>
      <c r="J589" s="8"/>
      <c r="K589" s="8"/>
      <c r="L589" s="8"/>
      <c r="M589" s="8"/>
      <c r="N589" s="8"/>
    </row>
    <row r="590" spans="6:14" ht="14.25" customHeight="1">
      <c r="F590" s="8"/>
      <c r="G590" s="8"/>
      <c r="H590" s="8"/>
      <c r="I590" s="8"/>
      <c r="J590" s="8"/>
      <c r="K590" s="8"/>
      <c r="L590" s="8"/>
      <c r="M590" s="8"/>
      <c r="N590" s="8"/>
    </row>
    <row r="591" spans="6:14" ht="14.25" customHeight="1">
      <c r="F591" s="8"/>
      <c r="G591" s="8"/>
      <c r="H591" s="8"/>
      <c r="I591" s="8"/>
      <c r="J591" s="8"/>
      <c r="K591" s="8"/>
      <c r="L591" s="8"/>
      <c r="M591" s="8"/>
      <c r="N591" s="8"/>
    </row>
    <row r="592" spans="6:14" ht="14.25" customHeight="1">
      <c r="F592" s="8"/>
      <c r="G592" s="8"/>
      <c r="H592" s="8"/>
      <c r="I592" s="8"/>
      <c r="J592" s="8"/>
      <c r="K592" s="8"/>
      <c r="L592" s="8"/>
      <c r="M592" s="8"/>
      <c r="N592" s="8"/>
    </row>
    <row r="593" spans="6:14" ht="14.25" customHeight="1">
      <c r="F593" s="8"/>
      <c r="G593" s="8"/>
      <c r="H593" s="8"/>
      <c r="I593" s="8"/>
      <c r="J593" s="8"/>
      <c r="K593" s="8"/>
      <c r="L593" s="8"/>
      <c r="M593" s="8"/>
      <c r="N593" s="8"/>
    </row>
    <row r="594" spans="6:14" ht="14.25" customHeight="1">
      <c r="F594" s="8"/>
      <c r="G594" s="8"/>
      <c r="H594" s="8"/>
      <c r="I594" s="8"/>
      <c r="J594" s="8"/>
      <c r="K594" s="8"/>
      <c r="L594" s="8"/>
      <c r="M594" s="8"/>
      <c r="N594" s="8"/>
    </row>
    <row r="595" spans="6:14" ht="14.25" customHeight="1">
      <c r="F595" s="8"/>
      <c r="G595" s="8"/>
      <c r="H595" s="8"/>
      <c r="I595" s="8"/>
      <c r="J595" s="8"/>
      <c r="K595" s="8"/>
      <c r="L595" s="8"/>
      <c r="M595" s="8"/>
      <c r="N595" s="8"/>
    </row>
    <row r="596" spans="6:14" ht="14.25" customHeight="1">
      <c r="F596" s="8"/>
      <c r="G596" s="8"/>
      <c r="H596" s="8"/>
      <c r="I596" s="8"/>
      <c r="J596" s="8"/>
      <c r="K596" s="8"/>
      <c r="L596" s="8"/>
      <c r="M596" s="8"/>
      <c r="N596" s="8"/>
    </row>
    <row r="597" spans="6:14" ht="14.25" customHeight="1">
      <c r="F597" s="8"/>
      <c r="G597" s="8"/>
      <c r="H597" s="8"/>
      <c r="I597" s="8"/>
      <c r="J597" s="8"/>
      <c r="K597" s="8"/>
      <c r="L597" s="8"/>
      <c r="M597" s="8"/>
      <c r="N597" s="8"/>
    </row>
    <row r="598" spans="6:14" ht="14.25" customHeight="1">
      <c r="F598" s="8"/>
      <c r="G598" s="8"/>
      <c r="H598" s="8"/>
      <c r="I598" s="8"/>
      <c r="J598" s="8"/>
      <c r="K598" s="8"/>
      <c r="L598" s="8"/>
      <c r="M598" s="8"/>
      <c r="N598" s="8"/>
    </row>
    <row r="599" spans="6:14" ht="14.25" customHeight="1">
      <c r="F599" s="8"/>
      <c r="G599" s="8"/>
      <c r="H599" s="8"/>
      <c r="I599" s="8"/>
      <c r="J599" s="8"/>
      <c r="K599" s="8"/>
      <c r="L599" s="8"/>
      <c r="M599" s="8"/>
      <c r="N599" s="8"/>
    </row>
    <row r="600" spans="6:14" ht="14.25" customHeight="1">
      <c r="F600" s="8"/>
      <c r="G600" s="8"/>
      <c r="H600" s="8"/>
      <c r="I600" s="8"/>
      <c r="J600" s="8"/>
      <c r="K600" s="8"/>
      <c r="L600" s="8"/>
      <c r="M600" s="8"/>
      <c r="N600" s="8"/>
    </row>
    <row r="601" spans="6:14" ht="14.25" customHeight="1">
      <c r="F601" s="8"/>
      <c r="G601" s="8"/>
      <c r="H601" s="8"/>
      <c r="I601" s="8"/>
      <c r="J601" s="8"/>
      <c r="K601" s="8"/>
      <c r="L601" s="8"/>
      <c r="M601" s="8"/>
      <c r="N601" s="8"/>
    </row>
    <row r="602" spans="6:14" ht="14.25" customHeight="1">
      <c r="F602" s="8"/>
      <c r="G602" s="8"/>
      <c r="H602" s="8"/>
      <c r="I602" s="8"/>
      <c r="J602" s="8"/>
      <c r="K602" s="8"/>
      <c r="L602" s="8"/>
      <c r="M602" s="8"/>
      <c r="N602" s="8"/>
    </row>
    <row r="603" spans="6:14" ht="14.25" customHeight="1">
      <c r="F603" s="8"/>
      <c r="G603" s="8"/>
      <c r="H603" s="8"/>
      <c r="I603" s="8"/>
      <c r="J603" s="8"/>
      <c r="K603" s="8"/>
      <c r="L603" s="8"/>
      <c r="M603" s="8"/>
      <c r="N603" s="8"/>
    </row>
    <row r="604" spans="6:14" ht="14.25" customHeight="1">
      <c r="F604" s="8"/>
      <c r="G604" s="8"/>
      <c r="H604" s="8"/>
      <c r="I604" s="8"/>
      <c r="J604" s="8"/>
      <c r="K604" s="8"/>
      <c r="L604" s="8"/>
      <c r="M604" s="8"/>
      <c r="N604" s="8"/>
    </row>
    <row r="605" spans="6:14" ht="14.25" customHeight="1">
      <c r="F605" s="8"/>
      <c r="G605" s="8"/>
      <c r="H605" s="8"/>
      <c r="I605" s="8"/>
      <c r="J605" s="8"/>
      <c r="K605" s="8"/>
      <c r="L605" s="8"/>
      <c r="M605" s="8"/>
      <c r="N605" s="8"/>
    </row>
    <row r="606" spans="6:14" ht="14.25" customHeight="1">
      <c r="F606" s="8"/>
      <c r="G606" s="8"/>
      <c r="H606" s="8"/>
      <c r="I606" s="8"/>
      <c r="J606" s="8"/>
      <c r="K606" s="8"/>
      <c r="L606" s="8"/>
      <c r="M606" s="8"/>
      <c r="N606" s="8"/>
    </row>
    <row r="607" spans="6:14" ht="14.25" customHeight="1">
      <c r="F607" s="8"/>
      <c r="G607" s="8"/>
      <c r="H607" s="8"/>
      <c r="I607" s="8"/>
      <c r="J607" s="8"/>
      <c r="K607" s="8"/>
      <c r="L607" s="8"/>
      <c r="M607" s="8"/>
      <c r="N607" s="8"/>
    </row>
    <row r="608" spans="6:14" ht="14.25" customHeight="1">
      <c r="F608" s="8"/>
      <c r="G608" s="8"/>
      <c r="H608" s="8"/>
      <c r="I608" s="8"/>
      <c r="J608" s="8"/>
      <c r="K608" s="8"/>
      <c r="L608" s="8"/>
      <c r="M608" s="8"/>
      <c r="N608" s="8"/>
    </row>
    <row r="609" spans="6:14" ht="14.25" customHeight="1">
      <c r="F609" s="8"/>
      <c r="G609" s="8"/>
      <c r="H609" s="8"/>
      <c r="I609" s="8"/>
      <c r="J609" s="8"/>
      <c r="K609" s="8"/>
      <c r="L609" s="8"/>
      <c r="M609" s="8"/>
      <c r="N609" s="8"/>
    </row>
    <row r="610" spans="6:14" ht="14.25" customHeight="1">
      <c r="F610" s="8"/>
      <c r="G610" s="8"/>
      <c r="H610" s="8"/>
      <c r="I610" s="8"/>
      <c r="J610" s="8"/>
      <c r="K610" s="8"/>
      <c r="L610" s="8"/>
      <c r="M610" s="8"/>
      <c r="N610" s="8"/>
    </row>
    <row r="611" spans="6:14" ht="14.25" customHeight="1">
      <c r="F611" s="8"/>
      <c r="G611" s="8"/>
      <c r="H611" s="8"/>
      <c r="I611" s="8"/>
      <c r="J611" s="8"/>
      <c r="K611" s="8"/>
      <c r="L611" s="8"/>
      <c r="M611" s="8"/>
      <c r="N611" s="8"/>
    </row>
    <row r="612" spans="6:14" ht="14.25" customHeight="1">
      <c r="F612" s="8"/>
      <c r="G612" s="8"/>
      <c r="H612" s="8"/>
      <c r="I612" s="8"/>
      <c r="J612" s="8"/>
      <c r="K612" s="8"/>
      <c r="L612" s="8"/>
      <c r="M612" s="8"/>
      <c r="N612" s="8"/>
    </row>
    <row r="613" spans="6:14" ht="14.25" customHeight="1">
      <c r="F613" s="8"/>
      <c r="G613" s="8"/>
      <c r="H613" s="8"/>
      <c r="I613" s="8"/>
      <c r="J613" s="8"/>
      <c r="K613" s="8"/>
      <c r="L613" s="8"/>
      <c r="M613" s="8"/>
      <c r="N613" s="8"/>
    </row>
    <row r="614" spans="6:14" ht="14.25" customHeight="1">
      <c r="F614" s="8"/>
      <c r="G614" s="8"/>
      <c r="H614" s="8"/>
      <c r="I614" s="8"/>
      <c r="J614" s="8"/>
      <c r="K614" s="8"/>
      <c r="L614" s="8"/>
      <c r="M614" s="8"/>
      <c r="N614" s="8"/>
    </row>
    <row r="615" spans="6:14" ht="14.25" customHeight="1">
      <c r="F615" s="8"/>
      <c r="G615" s="8"/>
      <c r="H615" s="8"/>
      <c r="I615" s="8"/>
      <c r="J615" s="8"/>
      <c r="K615" s="8"/>
      <c r="L615" s="8"/>
      <c r="M615" s="8"/>
      <c r="N615" s="8"/>
    </row>
    <row r="616" spans="6:14" ht="14.25" customHeight="1">
      <c r="F616" s="8"/>
      <c r="G616" s="8"/>
      <c r="H616" s="8"/>
      <c r="I616" s="8"/>
      <c r="J616" s="8"/>
      <c r="K616" s="8"/>
      <c r="L616" s="8"/>
      <c r="M616" s="8"/>
      <c r="N616" s="8"/>
    </row>
    <row r="617" spans="6:14" ht="14.25" customHeight="1">
      <c r="F617" s="8"/>
      <c r="G617" s="8"/>
      <c r="H617" s="8"/>
      <c r="I617" s="8"/>
      <c r="J617" s="8"/>
      <c r="K617" s="8"/>
      <c r="L617" s="8"/>
      <c r="M617" s="8"/>
      <c r="N617" s="8"/>
    </row>
    <row r="618" spans="6:14" ht="14.25" customHeight="1">
      <c r="F618" s="8"/>
      <c r="G618" s="8"/>
      <c r="H618" s="8"/>
      <c r="I618" s="8"/>
      <c r="J618" s="8"/>
      <c r="K618" s="8"/>
      <c r="L618" s="8"/>
      <c r="M618" s="8"/>
      <c r="N618" s="8"/>
    </row>
    <row r="619" spans="6:14" ht="14.25" customHeight="1">
      <c r="F619" s="8"/>
      <c r="G619" s="8"/>
      <c r="H619" s="8"/>
      <c r="I619" s="8"/>
      <c r="J619" s="8"/>
      <c r="K619" s="8"/>
      <c r="L619" s="8"/>
      <c r="M619" s="8"/>
      <c r="N619" s="8"/>
    </row>
    <row r="620" spans="6:14" ht="14.25" customHeight="1">
      <c r="F620" s="8"/>
      <c r="G620" s="8"/>
      <c r="H620" s="8"/>
      <c r="I620" s="8"/>
      <c r="J620" s="8"/>
      <c r="K620" s="8"/>
      <c r="L620" s="8"/>
      <c r="M620" s="8"/>
      <c r="N620" s="8"/>
    </row>
    <row r="621" spans="6:14" ht="14.25" customHeight="1">
      <c r="F621" s="8"/>
      <c r="G621" s="8"/>
      <c r="H621" s="8"/>
      <c r="I621" s="8"/>
      <c r="J621" s="8"/>
      <c r="K621" s="8"/>
      <c r="L621" s="8"/>
      <c r="M621" s="8"/>
      <c r="N621" s="8"/>
    </row>
    <row r="622" spans="6:14" ht="14.25" customHeight="1">
      <c r="F622" s="8"/>
      <c r="G622" s="8"/>
      <c r="H622" s="8"/>
      <c r="I622" s="8"/>
      <c r="J622" s="8"/>
      <c r="K622" s="8"/>
      <c r="L622" s="8"/>
      <c r="M622" s="8"/>
      <c r="N622" s="8"/>
    </row>
    <row r="623" spans="6:14" ht="14.25" customHeight="1">
      <c r="F623" s="8"/>
      <c r="G623" s="8"/>
      <c r="H623" s="8"/>
      <c r="I623" s="8"/>
      <c r="J623" s="8"/>
      <c r="K623" s="8"/>
      <c r="L623" s="8"/>
      <c r="M623" s="8"/>
      <c r="N623" s="8"/>
    </row>
    <row r="624" spans="6:14" ht="14.25" customHeight="1">
      <c r="F624" s="8"/>
      <c r="G624" s="8"/>
      <c r="H624" s="8"/>
      <c r="I624" s="8"/>
      <c r="J624" s="8"/>
      <c r="K624" s="8"/>
      <c r="L624" s="8"/>
      <c r="M624" s="8"/>
      <c r="N624" s="8"/>
    </row>
    <row r="625" spans="6:14" ht="14.25" customHeight="1">
      <c r="F625" s="8"/>
      <c r="G625" s="8"/>
      <c r="H625" s="8"/>
      <c r="I625" s="8"/>
      <c r="J625" s="8"/>
      <c r="K625" s="8"/>
      <c r="L625" s="8"/>
      <c r="M625" s="8"/>
      <c r="N625" s="8"/>
    </row>
    <row r="626" spans="6:14" ht="14.25" customHeight="1">
      <c r="F626" s="8"/>
      <c r="G626" s="8"/>
      <c r="H626" s="8"/>
      <c r="I626" s="8"/>
      <c r="J626" s="8"/>
      <c r="K626" s="8"/>
      <c r="L626" s="8"/>
      <c r="M626" s="8"/>
      <c r="N626" s="8"/>
    </row>
    <row r="627" spans="6:14" ht="14.25" customHeight="1">
      <c r="F627" s="8"/>
      <c r="G627" s="8"/>
      <c r="H627" s="8"/>
      <c r="I627" s="8"/>
      <c r="J627" s="8"/>
      <c r="K627" s="8"/>
      <c r="L627" s="8"/>
      <c r="M627" s="8"/>
      <c r="N627" s="8"/>
    </row>
    <row r="628" spans="6:14" ht="14.25" customHeight="1">
      <c r="F628" s="8"/>
      <c r="G628" s="8"/>
      <c r="H628" s="8"/>
      <c r="I628" s="8"/>
      <c r="J628" s="8"/>
      <c r="K628" s="8"/>
      <c r="L628" s="8"/>
      <c r="M628" s="8"/>
      <c r="N628" s="8"/>
    </row>
    <row r="629" spans="6:14" ht="14.25" customHeight="1">
      <c r="F629" s="8"/>
      <c r="G629" s="8"/>
      <c r="H629" s="8"/>
      <c r="I629" s="8"/>
      <c r="J629" s="8"/>
      <c r="K629" s="8"/>
      <c r="L629" s="8"/>
      <c r="M629" s="8"/>
      <c r="N629" s="8"/>
    </row>
    <row r="630" spans="6:14" ht="14.25" customHeight="1">
      <c r="F630" s="8"/>
      <c r="G630" s="8"/>
      <c r="H630" s="8"/>
      <c r="I630" s="8"/>
      <c r="J630" s="8"/>
      <c r="K630" s="8"/>
      <c r="L630" s="8"/>
      <c r="M630" s="8"/>
      <c r="N630" s="8"/>
    </row>
    <row r="631" spans="6:14" ht="14.25" customHeight="1">
      <c r="F631" s="8"/>
      <c r="G631" s="8"/>
      <c r="H631" s="8"/>
      <c r="I631" s="8"/>
      <c r="J631" s="8"/>
      <c r="K631" s="8"/>
      <c r="L631" s="8"/>
      <c r="M631" s="8"/>
      <c r="N631" s="8"/>
    </row>
    <row r="632" spans="6:14" ht="14.25" customHeight="1">
      <c r="F632" s="8"/>
      <c r="G632" s="8"/>
      <c r="H632" s="8"/>
      <c r="I632" s="8"/>
      <c r="J632" s="8"/>
      <c r="K632" s="8"/>
      <c r="L632" s="8"/>
      <c r="M632" s="8"/>
      <c r="N632" s="8"/>
    </row>
    <row r="633" spans="6:14" ht="14.25" customHeight="1">
      <c r="F633" s="8"/>
      <c r="G633" s="8"/>
      <c r="H633" s="8"/>
      <c r="I633" s="8"/>
      <c r="J633" s="8"/>
      <c r="K633" s="8"/>
      <c r="L633" s="8"/>
      <c r="M633" s="8"/>
      <c r="N633" s="8"/>
    </row>
    <row r="634" spans="6:14" ht="14.25" customHeight="1">
      <c r="F634" s="8"/>
      <c r="G634" s="8"/>
      <c r="H634" s="8"/>
      <c r="I634" s="8"/>
      <c r="J634" s="8"/>
      <c r="K634" s="8"/>
      <c r="L634" s="8"/>
      <c r="M634" s="8"/>
      <c r="N634" s="8"/>
    </row>
    <row r="635" spans="6:14" ht="14.25" customHeight="1">
      <c r="F635" s="8"/>
      <c r="G635" s="8"/>
      <c r="H635" s="8"/>
      <c r="I635" s="8"/>
      <c r="J635" s="8"/>
      <c r="K635" s="8"/>
      <c r="L635" s="8"/>
      <c r="M635" s="8"/>
      <c r="N635" s="8"/>
    </row>
    <row r="636" spans="6:14" ht="14.25" customHeight="1">
      <c r="F636" s="8"/>
      <c r="G636" s="8"/>
      <c r="H636" s="8"/>
      <c r="I636" s="8"/>
      <c r="J636" s="8"/>
      <c r="K636" s="8"/>
      <c r="L636" s="8"/>
      <c r="M636" s="8"/>
      <c r="N636" s="8"/>
    </row>
    <row r="637" spans="6:14" ht="14.25" customHeight="1">
      <c r="F637" s="8"/>
      <c r="G637" s="8"/>
      <c r="H637" s="8"/>
      <c r="I637" s="8"/>
      <c r="J637" s="8"/>
      <c r="K637" s="8"/>
      <c r="L637" s="8"/>
      <c r="M637" s="8"/>
      <c r="N637" s="8"/>
    </row>
    <row r="638" spans="6:14" ht="14.25" customHeight="1">
      <c r="F638" s="8"/>
      <c r="G638" s="8"/>
      <c r="H638" s="8"/>
      <c r="I638" s="8"/>
      <c r="J638" s="8"/>
      <c r="K638" s="8"/>
      <c r="L638" s="8"/>
      <c r="M638" s="8"/>
      <c r="N638" s="8"/>
    </row>
    <row r="639" spans="6:14" ht="14.25" customHeight="1">
      <c r="F639" s="8"/>
      <c r="G639" s="8"/>
      <c r="H639" s="8"/>
      <c r="I639" s="8"/>
      <c r="J639" s="8"/>
      <c r="K639" s="8"/>
      <c r="L639" s="8"/>
      <c r="M639" s="8"/>
      <c r="N639" s="8"/>
    </row>
    <row r="640" spans="6:14" ht="14.25" customHeight="1">
      <c r="F640" s="8"/>
      <c r="G640" s="8"/>
      <c r="H640" s="8"/>
      <c r="I640" s="8"/>
      <c r="J640" s="8"/>
      <c r="K640" s="8"/>
      <c r="L640" s="8"/>
      <c r="M640" s="8"/>
      <c r="N640" s="8"/>
    </row>
    <row r="641" spans="6:14" ht="14.25" customHeight="1">
      <c r="F641" s="8"/>
      <c r="G641" s="8"/>
      <c r="H641" s="8"/>
      <c r="I641" s="8"/>
      <c r="J641" s="8"/>
      <c r="K641" s="8"/>
      <c r="L641" s="8"/>
      <c r="M641" s="8"/>
      <c r="N641" s="8"/>
    </row>
    <row r="642" spans="6:14" ht="14.25" customHeight="1">
      <c r="F642" s="8"/>
      <c r="G642" s="8"/>
      <c r="H642" s="8"/>
      <c r="I642" s="8"/>
      <c r="J642" s="8"/>
      <c r="K642" s="8"/>
      <c r="L642" s="8"/>
      <c r="M642" s="8"/>
      <c r="N642" s="8"/>
    </row>
    <row r="643" spans="6:14" ht="14.25" customHeight="1">
      <c r="F643" s="8"/>
      <c r="G643" s="8"/>
      <c r="H643" s="8"/>
      <c r="I643" s="8"/>
      <c r="J643" s="8"/>
      <c r="K643" s="8"/>
      <c r="L643" s="8"/>
      <c r="M643" s="8"/>
      <c r="N643" s="8"/>
    </row>
    <row r="644" spans="6:14" ht="14.25" customHeight="1">
      <c r="F644" s="8"/>
      <c r="G644" s="8"/>
      <c r="H644" s="8"/>
      <c r="I644" s="8"/>
      <c r="J644" s="8"/>
      <c r="K644" s="8"/>
      <c r="L644" s="8"/>
      <c r="M644" s="8"/>
      <c r="N644" s="8"/>
    </row>
    <row r="645" spans="6:14" ht="14.25" customHeight="1">
      <c r="F645" s="8"/>
      <c r="G645" s="8"/>
      <c r="H645" s="8"/>
      <c r="I645" s="8"/>
      <c r="J645" s="8"/>
      <c r="K645" s="8"/>
      <c r="L645" s="8"/>
      <c r="M645" s="8"/>
      <c r="N645" s="8"/>
    </row>
    <row r="646" spans="6:14" ht="14.25" customHeight="1">
      <c r="F646" s="8"/>
      <c r="G646" s="8"/>
      <c r="H646" s="8"/>
      <c r="I646" s="8"/>
      <c r="J646" s="8"/>
      <c r="K646" s="8"/>
      <c r="L646" s="8"/>
      <c r="M646" s="8"/>
      <c r="N646" s="8"/>
    </row>
    <row r="647" spans="6:14" ht="14.25" customHeight="1">
      <c r="F647" s="8"/>
      <c r="G647" s="8"/>
      <c r="H647" s="8"/>
      <c r="I647" s="8"/>
      <c r="J647" s="8"/>
      <c r="K647" s="8"/>
      <c r="L647" s="8"/>
      <c r="M647" s="8"/>
      <c r="N647" s="8"/>
    </row>
    <row r="648" spans="6:14" ht="14.25" customHeight="1">
      <c r="F648" s="8"/>
      <c r="G648" s="8"/>
      <c r="H648" s="8"/>
      <c r="I648" s="8"/>
      <c r="J648" s="8"/>
      <c r="K648" s="8"/>
      <c r="L648" s="8"/>
      <c r="M648" s="8"/>
      <c r="N648" s="8"/>
    </row>
    <row r="649" spans="6:14" ht="14.25" customHeight="1">
      <c r="F649" s="8"/>
      <c r="G649" s="8"/>
      <c r="H649" s="8"/>
      <c r="I649" s="8"/>
      <c r="J649" s="8"/>
      <c r="K649" s="8"/>
      <c r="L649" s="8"/>
      <c r="M649" s="8"/>
      <c r="N649" s="8"/>
    </row>
    <row r="650" spans="6:14" ht="14.25" customHeight="1">
      <c r="F650" s="8"/>
      <c r="G650" s="8"/>
      <c r="H650" s="8"/>
      <c r="I650" s="8"/>
      <c r="J650" s="8"/>
      <c r="K650" s="8"/>
      <c r="L650" s="8"/>
      <c r="M650" s="8"/>
      <c r="N650" s="8"/>
    </row>
    <row r="651" spans="6:14" ht="14.25" customHeight="1">
      <c r="F651" s="8"/>
      <c r="G651" s="8"/>
      <c r="H651" s="8"/>
      <c r="I651" s="8"/>
      <c r="J651" s="8"/>
      <c r="K651" s="8"/>
      <c r="L651" s="8"/>
      <c r="M651" s="8"/>
      <c r="N651" s="8"/>
    </row>
    <row r="652" spans="6:14" ht="14.25" customHeight="1">
      <c r="F652" s="8"/>
      <c r="G652" s="8"/>
      <c r="H652" s="8"/>
      <c r="I652" s="8"/>
      <c r="J652" s="8"/>
      <c r="K652" s="8"/>
      <c r="L652" s="8"/>
      <c r="M652" s="8"/>
      <c r="N652" s="8"/>
    </row>
    <row r="653" spans="6:14" ht="14.25" customHeight="1">
      <c r="F653" s="8"/>
      <c r="G653" s="8"/>
      <c r="H653" s="8"/>
      <c r="I653" s="8"/>
      <c r="J653" s="8"/>
      <c r="K653" s="8"/>
      <c r="L653" s="8"/>
      <c r="M653" s="8"/>
      <c r="N653" s="8"/>
    </row>
    <row r="654" spans="6:14" ht="14.25" customHeight="1">
      <c r="F654" s="8"/>
      <c r="G654" s="8"/>
      <c r="H654" s="8"/>
      <c r="I654" s="8"/>
      <c r="J654" s="8"/>
      <c r="K654" s="8"/>
      <c r="L654" s="8"/>
      <c r="M654" s="8"/>
      <c r="N654" s="8"/>
    </row>
    <row r="655" spans="6:14" ht="14.25" customHeight="1">
      <c r="F655" s="8"/>
      <c r="G655" s="8"/>
      <c r="H655" s="8"/>
      <c r="I655" s="8"/>
      <c r="J655" s="8"/>
      <c r="K655" s="8"/>
      <c r="L655" s="8"/>
      <c r="M655" s="8"/>
      <c r="N655" s="8"/>
    </row>
    <row r="656" spans="6:14" ht="14.25" customHeight="1">
      <c r="F656" s="8"/>
      <c r="G656" s="8"/>
      <c r="H656" s="8"/>
      <c r="I656" s="8"/>
      <c r="J656" s="8"/>
      <c r="K656" s="8"/>
      <c r="L656" s="8"/>
      <c r="M656" s="8"/>
      <c r="N656" s="8"/>
    </row>
    <row r="657" spans="6:14" ht="14.25" customHeight="1">
      <c r="F657" s="8"/>
      <c r="G657" s="8"/>
      <c r="H657" s="8"/>
      <c r="I657" s="8"/>
      <c r="J657" s="8"/>
      <c r="K657" s="8"/>
      <c r="L657" s="8"/>
      <c r="M657" s="8"/>
      <c r="N657" s="8"/>
    </row>
    <row r="658" spans="6:14" ht="14.25" customHeight="1">
      <c r="F658" s="8"/>
      <c r="G658" s="8"/>
      <c r="H658" s="8"/>
      <c r="I658" s="8"/>
      <c r="J658" s="8"/>
      <c r="K658" s="8"/>
      <c r="L658" s="8"/>
      <c r="M658" s="8"/>
      <c r="N658" s="8"/>
    </row>
    <row r="659" spans="6:14" ht="14.25" customHeight="1">
      <c r="F659" s="8"/>
      <c r="G659" s="8"/>
      <c r="H659" s="8"/>
      <c r="I659" s="8"/>
      <c r="J659" s="8"/>
      <c r="K659" s="8"/>
      <c r="L659" s="8"/>
      <c r="M659" s="8"/>
      <c r="N659" s="8"/>
    </row>
    <row r="660" spans="6:14" ht="14.25" customHeight="1">
      <c r="F660" s="8"/>
      <c r="G660" s="8"/>
      <c r="H660" s="8"/>
      <c r="I660" s="8"/>
      <c r="J660" s="8"/>
      <c r="K660" s="8"/>
      <c r="L660" s="8"/>
      <c r="M660" s="8"/>
      <c r="N660" s="8"/>
    </row>
    <row r="661" spans="6:14" ht="14.25" customHeight="1">
      <c r="F661" s="8"/>
      <c r="G661" s="8"/>
      <c r="H661" s="8"/>
      <c r="I661" s="8"/>
      <c r="J661" s="8"/>
      <c r="K661" s="8"/>
      <c r="L661" s="8"/>
      <c r="M661" s="8"/>
      <c r="N661" s="8"/>
    </row>
    <row r="662" spans="6:14" ht="14.25" customHeight="1">
      <c r="F662" s="8"/>
      <c r="G662" s="8"/>
      <c r="H662" s="8"/>
      <c r="I662" s="8"/>
      <c r="J662" s="8"/>
      <c r="K662" s="8"/>
      <c r="L662" s="8"/>
      <c r="M662" s="8"/>
      <c r="N662" s="8"/>
    </row>
    <row r="663" spans="6:14" ht="14.25" customHeight="1">
      <c r="F663" s="8"/>
      <c r="G663" s="8"/>
      <c r="H663" s="8"/>
      <c r="I663" s="8"/>
      <c r="J663" s="8"/>
      <c r="K663" s="8"/>
      <c r="L663" s="8"/>
      <c r="M663" s="8"/>
      <c r="N663" s="8"/>
    </row>
    <row r="664" spans="6:14" ht="14.25" customHeight="1">
      <c r="F664" s="8"/>
      <c r="G664" s="8"/>
      <c r="H664" s="8"/>
      <c r="I664" s="8"/>
      <c r="J664" s="8"/>
      <c r="K664" s="8"/>
      <c r="L664" s="8"/>
      <c r="M664" s="8"/>
      <c r="N664" s="8"/>
    </row>
    <row r="665" spans="6:14" ht="14.25" customHeight="1">
      <c r="F665" s="8"/>
      <c r="G665" s="8"/>
      <c r="H665" s="8"/>
      <c r="I665" s="8"/>
      <c r="J665" s="8"/>
      <c r="K665" s="8"/>
      <c r="L665" s="8"/>
      <c r="M665" s="8"/>
      <c r="N665" s="8"/>
    </row>
    <row r="666" spans="6:14" ht="14.25" customHeight="1">
      <c r="F666" s="8"/>
      <c r="G666" s="8"/>
      <c r="H666" s="8"/>
      <c r="I666" s="8"/>
      <c r="J666" s="8"/>
      <c r="K666" s="8"/>
      <c r="L666" s="8"/>
      <c r="M666" s="8"/>
      <c r="N666" s="8"/>
    </row>
    <row r="667" spans="6:14" ht="14.25" customHeight="1">
      <c r="F667" s="8"/>
      <c r="G667" s="8"/>
      <c r="H667" s="8"/>
      <c r="I667" s="8"/>
      <c r="J667" s="8"/>
      <c r="K667" s="8"/>
      <c r="L667" s="8"/>
      <c r="M667" s="8"/>
      <c r="N667" s="8"/>
    </row>
    <row r="668" spans="6:14" ht="14.25" customHeight="1">
      <c r="F668" s="8"/>
      <c r="G668" s="8"/>
      <c r="H668" s="8"/>
      <c r="I668" s="8"/>
      <c r="J668" s="8"/>
      <c r="K668" s="8"/>
      <c r="L668" s="8"/>
      <c r="M668" s="8"/>
      <c r="N668" s="8"/>
    </row>
    <row r="669" spans="6:14" ht="14.25" customHeight="1">
      <c r="F669" s="8"/>
      <c r="G669" s="8"/>
      <c r="H669" s="8"/>
      <c r="I669" s="8"/>
      <c r="J669" s="8"/>
      <c r="K669" s="8"/>
      <c r="L669" s="8"/>
      <c r="M669" s="8"/>
      <c r="N669" s="8"/>
    </row>
    <row r="670" spans="6:14" ht="14.25" customHeight="1">
      <c r="F670" s="8"/>
      <c r="G670" s="8"/>
      <c r="H670" s="8"/>
      <c r="I670" s="8"/>
      <c r="J670" s="8"/>
      <c r="K670" s="8"/>
      <c r="L670" s="8"/>
      <c r="M670" s="8"/>
      <c r="N670" s="8"/>
    </row>
    <row r="671" spans="6:14" ht="14.25" customHeight="1">
      <c r="F671" s="8"/>
      <c r="G671" s="8"/>
      <c r="H671" s="8"/>
      <c r="I671" s="8"/>
      <c r="J671" s="8"/>
      <c r="K671" s="8"/>
      <c r="L671" s="8"/>
      <c r="M671" s="8"/>
      <c r="N671" s="8"/>
    </row>
    <row r="672" spans="6:14" ht="14.25" customHeight="1">
      <c r="F672" s="8"/>
      <c r="G672" s="8"/>
      <c r="H672" s="8"/>
      <c r="I672" s="8"/>
      <c r="J672" s="8"/>
      <c r="K672" s="8"/>
      <c r="L672" s="8"/>
      <c r="M672" s="8"/>
      <c r="N672" s="8"/>
    </row>
    <row r="673" spans="6:14" ht="14.25" customHeight="1">
      <c r="F673" s="8"/>
      <c r="G673" s="8"/>
      <c r="H673" s="8"/>
      <c r="I673" s="8"/>
      <c r="J673" s="8"/>
      <c r="K673" s="8"/>
      <c r="L673" s="8"/>
      <c r="M673" s="8"/>
      <c r="N673" s="8"/>
    </row>
    <row r="674" spans="6:14" ht="14.25" customHeight="1">
      <c r="F674" s="8"/>
      <c r="G674" s="8"/>
      <c r="H674" s="8"/>
      <c r="I674" s="8"/>
      <c r="J674" s="8"/>
      <c r="K674" s="8"/>
      <c r="L674" s="8"/>
      <c r="M674" s="8"/>
      <c r="N674" s="8"/>
    </row>
    <row r="675" spans="6:14" ht="14.25" customHeight="1">
      <c r="F675" s="8"/>
      <c r="G675" s="8"/>
      <c r="H675" s="8"/>
      <c r="I675" s="8"/>
      <c r="J675" s="8"/>
      <c r="K675" s="8"/>
      <c r="L675" s="8"/>
      <c r="M675" s="8"/>
      <c r="N675" s="8"/>
    </row>
    <row r="676" spans="6:14" ht="14.25" customHeight="1">
      <c r="F676" s="8"/>
      <c r="G676" s="8"/>
      <c r="H676" s="8"/>
      <c r="I676" s="8"/>
      <c r="J676" s="8"/>
      <c r="K676" s="8"/>
      <c r="L676" s="8"/>
      <c r="M676" s="8"/>
      <c r="N676" s="8"/>
    </row>
    <row r="677" spans="6:14" ht="14.25" customHeight="1">
      <c r="F677" s="8"/>
      <c r="G677" s="8"/>
      <c r="H677" s="8"/>
      <c r="I677" s="8"/>
      <c r="J677" s="8"/>
      <c r="K677" s="8"/>
      <c r="L677" s="8"/>
      <c r="M677" s="8"/>
      <c r="N677" s="8"/>
    </row>
    <row r="678" spans="6:14" ht="14.25" customHeight="1">
      <c r="F678" s="8"/>
      <c r="G678" s="8"/>
      <c r="H678" s="8"/>
      <c r="I678" s="8"/>
      <c r="J678" s="8"/>
      <c r="K678" s="8"/>
      <c r="L678" s="8"/>
      <c r="M678" s="8"/>
      <c r="N678" s="8"/>
    </row>
    <row r="679" spans="6:14" ht="14.25" customHeight="1">
      <c r="F679" s="8"/>
      <c r="G679" s="8"/>
      <c r="H679" s="8"/>
      <c r="I679" s="8"/>
      <c r="J679" s="8"/>
      <c r="K679" s="8"/>
      <c r="L679" s="8"/>
      <c r="M679" s="8"/>
      <c r="N679" s="8"/>
    </row>
    <row r="680" spans="6:14" ht="14.25" customHeight="1">
      <c r="F680" s="8"/>
      <c r="G680" s="8"/>
      <c r="H680" s="8"/>
      <c r="I680" s="8"/>
      <c r="J680" s="8"/>
      <c r="K680" s="8"/>
      <c r="L680" s="8"/>
      <c r="M680" s="8"/>
      <c r="N680" s="8"/>
    </row>
    <row r="681" spans="6:14" ht="14.25" customHeight="1">
      <c r="F681" s="8"/>
      <c r="G681" s="8"/>
      <c r="H681" s="8"/>
      <c r="I681" s="8"/>
      <c r="J681" s="8"/>
      <c r="K681" s="8"/>
      <c r="L681" s="8"/>
      <c r="M681" s="8"/>
      <c r="N681" s="8"/>
    </row>
    <row r="682" spans="6:14" ht="14.25" customHeight="1">
      <c r="F682" s="8"/>
      <c r="G682" s="8"/>
      <c r="H682" s="8"/>
      <c r="I682" s="8"/>
      <c r="J682" s="8"/>
      <c r="K682" s="8"/>
      <c r="L682" s="8"/>
      <c r="M682" s="8"/>
      <c r="N682" s="8"/>
    </row>
    <row r="683" spans="6:14" ht="14.25" customHeight="1">
      <c r="F683" s="8"/>
      <c r="G683" s="8"/>
      <c r="H683" s="8"/>
      <c r="I683" s="8"/>
      <c r="J683" s="8"/>
      <c r="K683" s="8"/>
      <c r="L683" s="8"/>
      <c r="M683" s="8"/>
      <c r="N683" s="8"/>
    </row>
    <row r="684" spans="6:14" ht="14.25" customHeight="1">
      <c r="F684" s="8"/>
      <c r="G684" s="8"/>
      <c r="H684" s="8"/>
      <c r="I684" s="8"/>
      <c r="J684" s="8"/>
      <c r="K684" s="8"/>
      <c r="L684" s="8"/>
      <c r="M684" s="8"/>
      <c r="N684" s="8"/>
    </row>
    <row r="685" spans="6:14" ht="14.25" customHeight="1">
      <c r="F685" s="8"/>
      <c r="G685" s="8"/>
      <c r="H685" s="8"/>
      <c r="I685" s="8"/>
      <c r="J685" s="8"/>
      <c r="K685" s="8"/>
      <c r="L685" s="8"/>
      <c r="M685" s="8"/>
      <c r="N685" s="8"/>
    </row>
    <row r="686" spans="6:14" ht="14.25" customHeight="1">
      <c r="F686" s="8"/>
      <c r="G686" s="8"/>
      <c r="H686" s="8"/>
      <c r="I686" s="8"/>
      <c r="J686" s="8"/>
      <c r="K686" s="8"/>
      <c r="L686" s="8"/>
      <c r="M686" s="8"/>
      <c r="N686" s="8"/>
    </row>
    <row r="687" spans="6:14" ht="14.25" customHeight="1">
      <c r="F687" s="8"/>
      <c r="G687" s="8"/>
      <c r="H687" s="8"/>
      <c r="I687" s="8"/>
      <c r="J687" s="8"/>
      <c r="K687" s="8"/>
      <c r="L687" s="8"/>
      <c r="M687" s="8"/>
      <c r="N687" s="8"/>
    </row>
    <row r="688" spans="6:14" ht="14.25" customHeight="1">
      <c r="F688" s="8"/>
      <c r="G688" s="8"/>
      <c r="H688" s="8"/>
      <c r="I688" s="8"/>
      <c r="J688" s="8"/>
      <c r="K688" s="8"/>
      <c r="L688" s="8"/>
      <c r="M688" s="8"/>
      <c r="N688" s="8"/>
    </row>
    <row r="689" spans="6:14" ht="14.25" customHeight="1">
      <c r="F689" s="8"/>
      <c r="G689" s="8"/>
      <c r="H689" s="8"/>
      <c r="I689" s="8"/>
      <c r="J689" s="8"/>
      <c r="K689" s="8"/>
      <c r="L689" s="8"/>
      <c r="M689" s="8"/>
      <c r="N689" s="8"/>
    </row>
    <row r="690" spans="6:14" ht="14.25" customHeight="1">
      <c r="F690" s="8"/>
      <c r="G690" s="8"/>
      <c r="H690" s="8"/>
      <c r="I690" s="8"/>
      <c r="J690" s="8"/>
      <c r="K690" s="8"/>
      <c r="L690" s="8"/>
      <c r="M690" s="8"/>
      <c r="N690" s="8"/>
    </row>
    <row r="691" spans="6:14" ht="14.25" customHeight="1">
      <c r="F691" s="8"/>
      <c r="G691" s="8"/>
      <c r="H691" s="8"/>
      <c r="I691" s="8"/>
      <c r="J691" s="8"/>
      <c r="K691" s="8"/>
      <c r="L691" s="8"/>
      <c r="M691" s="8"/>
      <c r="N691" s="8"/>
    </row>
    <row r="692" spans="6:14" ht="14.25" customHeight="1">
      <c r="F692" s="8"/>
      <c r="G692" s="8"/>
      <c r="H692" s="8"/>
      <c r="I692" s="8"/>
      <c r="J692" s="8"/>
      <c r="K692" s="8"/>
      <c r="L692" s="8"/>
      <c r="M692" s="8"/>
      <c r="N692" s="8"/>
    </row>
    <row r="693" spans="6:14" ht="14.25" customHeight="1">
      <c r="F693" s="8"/>
      <c r="G693" s="8"/>
      <c r="H693" s="8"/>
      <c r="I693" s="8"/>
      <c r="J693" s="8"/>
      <c r="K693" s="8"/>
      <c r="L693" s="8"/>
      <c r="M693" s="8"/>
      <c r="N693" s="8"/>
    </row>
    <row r="694" spans="6:14" ht="14.25" customHeight="1">
      <c r="F694" s="8"/>
      <c r="G694" s="8"/>
      <c r="H694" s="8"/>
      <c r="I694" s="8"/>
      <c r="J694" s="8"/>
      <c r="K694" s="8"/>
      <c r="L694" s="8"/>
      <c r="M694" s="8"/>
      <c r="N694" s="8"/>
    </row>
    <row r="695" spans="6:14" ht="14.25" customHeight="1">
      <c r="F695" s="8"/>
      <c r="G695" s="8"/>
      <c r="H695" s="8"/>
      <c r="I695" s="8"/>
      <c r="J695" s="8"/>
      <c r="K695" s="8"/>
      <c r="L695" s="8"/>
      <c r="M695" s="8"/>
      <c r="N695" s="8"/>
    </row>
    <row r="696" spans="6:14" ht="14.25" customHeight="1">
      <c r="F696" s="8"/>
      <c r="G696" s="8"/>
      <c r="H696" s="8"/>
      <c r="I696" s="8"/>
      <c r="J696" s="8"/>
      <c r="K696" s="8"/>
      <c r="L696" s="8"/>
      <c r="M696" s="8"/>
      <c r="N696" s="8"/>
    </row>
    <row r="697" spans="6:14" ht="14.25" customHeight="1">
      <c r="F697" s="8"/>
      <c r="G697" s="8"/>
      <c r="H697" s="8"/>
      <c r="I697" s="8"/>
      <c r="J697" s="8"/>
      <c r="K697" s="8"/>
      <c r="L697" s="8"/>
      <c r="M697" s="8"/>
      <c r="N697" s="8"/>
    </row>
    <row r="698" spans="6:14" ht="14.25" customHeight="1">
      <c r="F698" s="8"/>
      <c r="G698" s="8"/>
      <c r="H698" s="8"/>
      <c r="I698" s="8"/>
      <c r="J698" s="8"/>
      <c r="K698" s="8"/>
      <c r="L698" s="8"/>
      <c r="M698" s="8"/>
      <c r="N698" s="8"/>
    </row>
    <row r="699" spans="6:14" ht="14.25" customHeight="1">
      <c r="F699" s="8"/>
      <c r="G699" s="8"/>
      <c r="H699" s="8"/>
      <c r="I699" s="8"/>
      <c r="J699" s="8"/>
      <c r="K699" s="8"/>
      <c r="L699" s="8"/>
      <c r="M699" s="8"/>
      <c r="N699" s="8"/>
    </row>
    <row r="700" spans="6:14" ht="14.25" customHeight="1">
      <c r="F700" s="8"/>
      <c r="G700" s="8"/>
      <c r="H700" s="8"/>
      <c r="I700" s="8"/>
      <c r="J700" s="8"/>
      <c r="K700" s="8"/>
      <c r="L700" s="8"/>
      <c r="M700" s="8"/>
      <c r="N700" s="8"/>
    </row>
    <row r="701" spans="6:14" ht="14.25" customHeight="1">
      <c r="F701" s="8"/>
      <c r="G701" s="8"/>
      <c r="H701" s="8"/>
      <c r="I701" s="8"/>
      <c r="J701" s="8"/>
      <c r="K701" s="8"/>
      <c r="L701" s="8"/>
      <c r="M701" s="8"/>
      <c r="N701" s="8"/>
    </row>
    <row r="702" spans="6:14" ht="14.25" customHeight="1">
      <c r="F702" s="8"/>
      <c r="G702" s="8"/>
      <c r="H702" s="8"/>
      <c r="I702" s="8"/>
      <c r="J702" s="8"/>
      <c r="K702" s="8"/>
      <c r="L702" s="8"/>
      <c r="M702" s="8"/>
      <c r="N702" s="8"/>
    </row>
    <row r="703" spans="6:14" ht="14.25" customHeight="1">
      <c r="F703" s="8"/>
      <c r="G703" s="8"/>
      <c r="H703" s="8"/>
      <c r="I703" s="8"/>
      <c r="J703" s="8"/>
      <c r="K703" s="8"/>
      <c r="L703" s="8"/>
      <c r="M703" s="8"/>
      <c r="N703" s="8"/>
    </row>
    <row r="704" spans="6:14" ht="14.25" customHeight="1">
      <c r="F704" s="8"/>
      <c r="G704" s="8"/>
      <c r="H704" s="8"/>
      <c r="I704" s="8"/>
      <c r="J704" s="8"/>
      <c r="K704" s="8"/>
      <c r="L704" s="8"/>
      <c r="M704" s="8"/>
      <c r="N704" s="8"/>
    </row>
    <row r="705" spans="6:14" ht="14.25" customHeight="1">
      <c r="F705" s="8"/>
      <c r="G705" s="8"/>
      <c r="H705" s="8"/>
      <c r="I705" s="8"/>
      <c r="J705" s="8"/>
      <c r="K705" s="8"/>
      <c r="L705" s="8"/>
      <c r="M705" s="8"/>
      <c r="N705" s="8"/>
    </row>
    <row r="706" spans="6:14" ht="14.25" customHeight="1">
      <c r="F706" s="8"/>
      <c r="G706" s="8"/>
      <c r="H706" s="8"/>
      <c r="I706" s="8"/>
      <c r="J706" s="8"/>
      <c r="K706" s="8"/>
      <c r="L706" s="8"/>
      <c r="M706" s="8"/>
      <c r="N706" s="8"/>
    </row>
    <row r="707" spans="6:14" ht="14.25" customHeight="1">
      <c r="F707" s="8"/>
      <c r="G707" s="8"/>
      <c r="H707" s="8"/>
      <c r="I707" s="8"/>
      <c r="J707" s="8"/>
      <c r="K707" s="8"/>
      <c r="L707" s="8"/>
      <c r="M707" s="8"/>
      <c r="N707" s="8"/>
    </row>
    <row r="708" spans="6:14" ht="14.25" customHeight="1">
      <c r="F708" s="8"/>
      <c r="G708" s="8"/>
      <c r="H708" s="8"/>
      <c r="I708" s="8"/>
      <c r="J708" s="8"/>
      <c r="K708" s="8"/>
      <c r="L708" s="8"/>
      <c r="M708" s="8"/>
      <c r="N708" s="8"/>
    </row>
    <row r="709" spans="6:14" ht="14.25" customHeight="1">
      <c r="F709" s="8"/>
      <c r="G709" s="8"/>
      <c r="H709" s="8"/>
      <c r="I709" s="8"/>
      <c r="J709" s="8"/>
      <c r="K709" s="8"/>
      <c r="L709" s="8"/>
      <c r="M709" s="8"/>
      <c r="N709" s="8"/>
    </row>
    <row r="710" spans="6:14" ht="14.25" customHeight="1">
      <c r="F710" s="8"/>
      <c r="G710" s="8"/>
      <c r="H710" s="8"/>
      <c r="I710" s="8"/>
      <c r="J710" s="8"/>
      <c r="K710" s="8"/>
      <c r="L710" s="8"/>
      <c r="M710" s="8"/>
      <c r="N710" s="8"/>
    </row>
    <row r="711" spans="6:14" ht="14.25" customHeight="1">
      <c r="F711" s="8"/>
      <c r="G711" s="8"/>
      <c r="H711" s="8"/>
      <c r="I711" s="8"/>
      <c r="J711" s="8"/>
      <c r="K711" s="8"/>
      <c r="L711" s="8"/>
      <c r="M711" s="8"/>
      <c r="N711" s="8"/>
    </row>
    <row r="712" spans="6:14" ht="14.25" customHeight="1">
      <c r="F712" s="8"/>
      <c r="G712" s="8"/>
      <c r="H712" s="8"/>
      <c r="I712" s="8"/>
      <c r="J712" s="8"/>
      <c r="K712" s="8"/>
      <c r="L712" s="8"/>
      <c r="M712" s="8"/>
      <c r="N712" s="8"/>
    </row>
    <row r="713" spans="6:14" ht="14.25" customHeight="1">
      <c r="F713" s="8"/>
      <c r="G713" s="8"/>
      <c r="H713" s="8"/>
      <c r="I713" s="8"/>
      <c r="J713" s="8"/>
      <c r="K713" s="8"/>
      <c r="L713" s="8"/>
      <c r="M713" s="8"/>
      <c r="N713" s="8"/>
    </row>
    <row r="714" spans="6:14" ht="14.25" customHeight="1">
      <c r="F714" s="8"/>
      <c r="G714" s="8"/>
      <c r="H714" s="8"/>
      <c r="I714" s="8"/>
      <c r="J714" s="8"/>
      <c r="K714" s="8"/>
      <c r="L714" s="8"/>
      <c r="M714" s="8"/>
      <c r="N714" s="8"/>
    </row>
    <row r="715" spans="6:14" ht="14.25" customHeight="1">
      <c r="F715" s="8"/>
      <c r="G715" s="8"/>
      <c r="H715" s="8"/>
      <c r="I715" s="8"/>
      <c r="J715" s="8"/>
      <c r="K715" s="8"/>
      <c r="L715" s="8"/>
      <c r="M715" s="8"/>
      <c r="N715" s="8"/>
    </row>
    <row r="716" spans="6:14" ht="14.25" customHeight="1">
      <c r="F716" s="8"/>
      <c r="G716" s="8"/>
      <c r="H716" s="8"/>
      <c r="I716" s="8"/>
      <c r="J716" s="8"/>
      <c r="K716" s="8"/>
      <c r="L716" s="8"/>
      <c r="M716" s="8"/>
      <c r="N716" s="8"/>
    </row>
    <row r="717" spans="6:14" ht="14.25" customHeight="1">
      <c r="F717" s="8"/>
      <c r="G717" s="8"/>
      <c r="H717" s="8"/>
      <c r="I717" s="8"/>
      <c r="J717" s="8"/>
      <c r="K717" s="8"/>
      <c r="L717" s="8"/>
      <c r="M717" s="8"/>
      <c r="N717" s="8"/>
    </row>
    <row r="718" spans="6:14" ht="14.25" customHeight="1">
      <c r="F718" s="8"/>
      <c r="G718" s="8"/>
      <c r="H718" s="8"/>
      <c r="I718" s="8"/>
      <c r="J718" s="8"/>
      <c r="K718" s="8"/>
      <c r="L718" s="8"/>
      <c r="M718" s="8"/>
      <c r="N718" s="8"/>
    </row>
    <row r="719" spans="6:14" ht="14.25" customHeight="1">
      <c r="F719" s="8"/>
      <c r="G719" s="8"/>
      <c r="H719" s="8"/>
      <c r="I719" s="8"/>
      <c r="J719" s="8"/>
      <c r="K719" s="8"/>
      <c r="L719" s="8"/>
      <c r="M719" s="8"/>
      <c r="N719" s="8"/>
    </row>
    <row r="720" spans="6:14" ht="14.25" customHeight="1">
      <c r="F720" s="8"/>
      <c r="G720" s="8"/>
      <c r="H720" s="8"/>
      <c r="I720" s="8"/>
      <c r="J720" s="8"/>
      <c r="K720" s="8"/>
      <c r="L720" s="8"/>
      <c r="M720" s="8"/>
      <c r="N720" s="8"/>
    </row>
    <row r="721" spans="6:14" ht="14.25" customHeight="1">
      <c r="F721" s="8"/>
      <c r="G721" s="8"/>
      <c r="H721" s="8"/>
      <c r="I721" s="8"/>
      <c r="J721" s="8"/>
      <c r="K721" s="8"/>
      <c r="L721" s="8"/>
      <c r="M721" s="8"/>
      <c r="N721" s="8"/>
    </row>
    <row r="722" spans="6:14" ht="14.25" customHeight="1">
      <c r="F722" s="8"/>
      <c r="G722" s="8"/>
      <c r="H722" s="8"/>
      <c r="I722" s="8"/>
      <c r="J722" s="8"/>
      <c r="K722" s="8"/>
      <c r="L722" s="8"/>
      <c r="M722" s="8"/>
      <c r="N722" s="8"/>
    </row>
    <row r="723" spans="6:14" ht="14.25" customHeight="1">
      <c r="F723" s="8"/>
      <c r="G723" s="8"/>
      <c r="H723" s="8"/>
      <c r="I723" s="8"/>
      <c r="J723" s="8"/>
      <c r="K723" s="8"/>
      <c r="L723" s="8"/>
      <c r="M723" s="8"/>
      <c r="N723" s="8"/>
    </row>
    <row r="724" spans="6:14" ht="14.25" customHeight="1">
      <c r="F724" s="8"/>
      <c r="G724" s="8"/>
      <c r="H724" s="8"/>
      <c r="I724" s="8"/>
      <c r="J724" s="8"/>
      <c r="K724" s="8"/>
      <c r="L724" s="8"/>
      <c r="M724" s="8"/>
      <c r="N724" s="8"/>
    </row>
    <row r="725" spans="6:14" ht="14.25" customHeight="1">
      <c r="F725" s="8"/>
      <c r="G725" s="8"/>
      <c r="H725" s="8"/>
      <c r="I725" s="8"/>
      <c r="J725" s="8"/>
      <c r="K725" s="8"/>
      <c r="L725" s="8"/>
      <c r="M725" s="8"/>
      <c r="N725" s="8"/>
    </row>
    <row r="726" spans="6:14" ht="14.25" customHeight="1">
      <c r="F726" s="8"/>
      <c r="G726" s="8"/>
      <c r="H726" s="8"/>
      <c r="I726" s="8"/>
      <c r="J726" s="8"/>
      <c r="K726" s="8"/>
      <c r="L726" s="8"/>
      <c r="M726" s="8"/>
      <c r="N726" s="8"/>
    </row>
    <row r="727" spans="6:14" ht="14.25" customHeight="1">
      <c r="F727" s="8"/>
      <c r="G727" s="8"/>
      <c r="H727" s="8"/>
      <c r="I727" s="8"/>
      <c r="J727" s="8"/>
      <c r="K727" s="8"/>
      <c r="L727" s="8"/>
      <c r="M727" s="8"/>
      <c r="N727" s="8"/>
    </row>
    <row r="728" spans="6:14" ht="14.25" customHeight="1">
      <c r="F728" s="8"/>
      <c r="G728" s="8"/>
      <c r="H728" s="8"/>
      <c r="I728" s="8"/>
      <c r="J728" s="8"/>
      <c r="K728" s="8"/>
      <c r="L728" s="8"/>
      <c r="M728" s="8"/>
      <c r="N728" s="8"/>
    </row>
    <row r="729" spans="6:14" ht="14.25" customHeight="1">
      <c r="F729" s="8"/>
      <c r="G729" s="8"/>
      <c r="H729" s="8"/>
      <c r="I729" s="8"/>
      <c r="J729" s="8"/>
      <c r="K729" s="8"/>
      <c r="L729" s="8"/>
      <c r="M729" s="8"/>
      <c r="N729" s="8"/>
    </row>
    <row r="730" spans="6:14" ht="14.25" customHeight="1">
      <c r="F730" s="8"/>
      <c r="G730" s="8"/>
      <c r="H730" s="8"/>
      <c r="I730" s="8"/>
      <c r="J730" s="8"/>
      <c r="K730" s="8"/>
      <c r="L730" s="8"/>
      <c r="M730" s="8"/>
      <c r="N730" s="8"/>
    </row>
    <row r="731" spans="6:14" ht="14.25" customHeight="1">
      <c r="F731" s="8"/>
      <c r="G731" s="8"/>
      <c r="H731" s="8"/>
      <c r="I731" s="8"/>
      <c r="J731" s="8"/>
      <c r="K731" s="8"/>
      <c r="L731" s="8"/>
      <c r="M731" s="8"/>
      <c r="N731" s="8"/>
    </row>
    <row r="732" spans="6:14" ht="14.25" customHeight="1">
      <c r="F732" s="8"/>
      <c r="G732" s="8"/>
      <c r="H732" s="8"/>
      <c r="I732" s="8"/>
      <c r="J732" s="8"/>
      <c r="K732" s="8"/>
      <c r="L732" s="8"/>
      <c r="M732" s="8"/>
      <c r="N732" s="8"/>
    </row>
    <row r="733" spans="6:14" ht="14.25" customHeight="1">
      <c r="F733" s="8"/>
      <c r="G733" s="8"/>
      <c r="H733" s="8"/>
      <c r="I733" s="8"/>
      <c r="J733" s="8"/>
      <c r="K733" s="8"/>
      <c r="L733" s="8"/>
      <c r="M733" s="8"/>
      <c r="N733" s="8"/>
    </row>
    <row r="734" spans="6:14" ht="14.25" customHeight="1">
      <c r="F734" s="8"/>
      <c r="G734" s="8"/>
      <c r="H734" s="8"/>
      <c r="I734" s="8"/>
      <c r="J734" s="8"/>
      <c r="K734" s="8"/>
      <c r="L734" s="8"/>
      <c r="M734" s="8"/>
      <c r="N734" s="8"/>
    </row>
    <row r="735" spans="6:14" ht="14.25" customHeight="1">
      <c r="F735" s="8"/>
      <c r="G735" s="8"/>
      <c r="H735" s="8"/>
      <c r="I735" s="8"/>
      <c r="J735" s="8"/>
      <c r="K735" s="8"/>
      <c r="L735" s="8"/>
      <c r="M735" s="8"/>
      <c r="N735" s="8"/>
    </row>
    <row r="736" spans="6:14" ht="14.25" customHeight="1">
      <c r="F736" s="8"/>
      <c r="G736" s="8"/>
      <c r="H736" s="8"/>
      <c r="I736" s="8"/>
      <c r="J736" s="8"/>
      <c r="K736" s="8"/>
      <c r="L736" s="8"/>
      <c r="M736" s="8"/>
      <c r="N736" s="8"/>
    </row>
    <row r="737" spans="6:14" ht="14.25" customHeight="1">
      <c r="F737" s="8"/>
      <c r="G737" s="8"/>
      <c r="H737" s="8"/>
      <c r="I737" s="8"/>
      <c r="J737" s="8"/>
      <c r="K737" s="8"/>
      <c r="L737" s="8"/>
      <c r="M737" s="8"/>
      <c r="N737" s="8"/>
    </row>
    <row r="738" spans="6:14" ht="14.25" customHeight="1">
      <c r="F738" s="8"/>
      <c r="G738" s="8"/>
      <c r="H738" s="8"/>
      <c r="I738" s="8"/>
      <c r="J738" s="8"/>
      <c r="K738" s="8"/>
      <c r="L738" s="8"/>
      <c r="M738" s="8"/>
      <c r="N738" s="8"/>
    </row>
    <row r="739" spans="6:14" ht="14.25" customHeight="1">
      <c r="F739" s="8"/>
      <c r="G739" s="8"/>
      <c r="H739" s="8"/>
      <c r="I739" s="8"/>
      <c r="J739" s="8"/>
      <c r="K739" s="8"/>
      <c r="L739" s="8"/>
      <c r="M739" s="8"/>
      <c r="N739" s="8"/>
    </row>
    <row r="740" spans="6:14" ht="14.25" customHeight="1">
      <c r="F740" s="8"/>
      <c r="G740" s="8"/>
      <c r="H740" s="8"/>
      <c r="I740" s="8"/>
      <c r="J740" s="8"/>
      <c r="K740" s="8"/>
      <c r="L740" s="8"/>
      <c r="M740" s="8"/>
      <c r="N740" s="8"/>
    </row>
    <row r="741" spans="6:14" ht="14.25" customHeight="1">
      <c r="F741" s="8"/>
      <c r="G741" s="8"/>
      <c r="H741" s="8"/>
      <c r="I741" s="8"/>
      <c r="J741" s="8"/>
      <c r="K741" s="8"/>
      <c r="L741" s="8"/>
      <c r="M741" s="8"/>
      <c r="N741" s="8"/>
    </row>
    <row r="742" spans="6:14" ht="14.25" customHeight="1">
      <c r="F742" s="8"/>
      <c r="G742" s="8"/>
      <c r="H742" s="8"/>
      <c r="I742" s="8"/>
      <c r="J742" s="8"/>
      <c r="K742" s="8"/>
      <c r="L742" s="8"/>
      <c r="M742" s="8"/>
      <c r="N742" s="8"/>
    </row>
    <row r="743" spans="6:14" ht="14.25" customHeight="1">
      <c r="F743" s="8"/>
      <c r="G743" s="8"/>
      <c r="H743" s="8"/>
      <c r="I743" s="8"/>
      <c r="J743" s="8"/>
      <c r="K743" s="8"/>
      <c r="L743" s="8"/>
      <c r="M743" s="8"/>
      <c r="N743" s="8"/>
    </row>
    <row r="744" spans="6:14" ht="14.25" customHeight="1">
      <c r="F744" s="8"/>
      <c r="G744" s="8"/>
      <c r="H744" s="8"/>
      <c r="I744" s="8"/>
      <c r="J744" s="8"/>
      <c r="K744" s="8"/>
      <c r="L744" s="8"/>
      <c r="M744" s="8"/>
      <c r="N744" s="8"/>
    </row>
    <row r="745" spans="6:14" ht="14.25" customHeight="1">
      <c r="F745" s="8"/>
      <c r="G745" s="8"/>
      <c r="H745" s="8"/>
      <c r="I745" s="8"/>
      <c r="J745" s="8"/>
      <c r="K745" s="8"/>
      <c r="L745" s="8"/>
      <c r="M745" s="8"/>
      <c r="N745" s="8"/>
    </row>
    <row r="746" spans="6:14" ht="14.25" customHeight="1">
      <c r="F746" s="8"/>
      <c r="G746" s="8"/>
      <c r="H746" s="8"/>
      <c r="I746" s="8"/>
      <c r="J746" s="8"/>
      <c r="K746" s="8"/>
      <c r="L746" s="8"/>
      <c r="M746" s="8"/>
      <c r="N746" s="8"/>
    </row>
    <row r="747" spans="6:14" ht="14.25" customHeight="1">
      <c r="F747" s="8"/>
      <c r="G747" s="8"/>
      <c r="H747" s="8"/>
      <c r="I747" s="8"/>
      <c r="J747" s="8"/>
      <c r="K747" s="8"/>
      <c r="L747" s="8"/>
      <c r="M747" s="8"/>
      <c r="N747" s="8"/>
    </row>
    <row r="748" spans="6:14" ht="14.25" customHeight="1">
      <c r="F748" s="8"/>
      <c r="G748" s="8"/>
      <c r="H748" s="8"/>
      <c r="I748" s="8"/>
      <c r="J748" s="8"/>
      <c r="K748" s="8"/>
      <c r="L748" s="8"/>
      <c r="M748" s="8"/>
      <c r="N748" s="8"/>
    </row>
    <row r="749" spans="6:14" ht="14.25" customHeight="1">
      <c r="F749" s="8"/>
      <c r="G749" s="8"/>
      <c r="H749" s="8"/>
      <c r="I749" s="8"/>
      <c r="J749" s="8"/>
      <c r="K749" s="8"/>
      <c r="L749" s="8"/>
      <c r="M749" s="8"/>
      <c r="N749" s="8"/>
    </row>
    <row r="750" spans="6:14" ht="14.25" customHeight="1">
      <c r="F750" s="8"/>
      <c r="G750" s="8"/>
      <c r="H750" s="8"/>
      <c r="I750" s="8"/>
      <c r="J750" s="8"/>
      <c r="K750" s="8"/>
      <c r="L750" s="8"/>
      <c r="M750" s="8"/>
      <c r="N750" s="8"/>
    </row>
    <row r="751" spans="6:14" ht="14.25" customHeight="1">
      <c r="F751" s="8"/>
      <c r="G751" s="8"/>
      <c r="H751" s="8"/>
      <c r="I751" s="8"/>
      <c r="J751" s="8"/>
      <c r="K751" s="8"/>
      <c r="L751" s="8"/>
      <c r="M751" s="8"/>
      <c r="N751" s="8"/>
    </row>
    <row r="752" spans="6:14" ht="14.25" customHeight="1">
      <c r="F752" s="8"/>
      <c r="G752" s="8"/>
      <c r="H752" s="8"/>
      <c r="I752" s="8"/>
      <c r="J752" s="8"/>
      <c r="K752" s="8"/>
      <c r="L752" s="8"/>
      <c r="M752" s="8"/>
      <c r="N752" s="8"/>
    </row>
    <row r="753" spans="6:14" ht="14.25" customHeight="1">
      <c r="F753" s="8"/>
      <c r="G753" s="8"/>
      <c r="H753" s="8"/>
      <c r="I753" s="8"/>
      <c r="J753" s="8"/>
      <c r="K753" s="8"/>
      <c r="L753" s="8"/>
      <c r="M753" s="8"/>
      <c r="N753" s="8"/>
    </row>
    <row r="754" spans="6:14" ht="14.25" customHeight="1">
      <c r="F754" s="8"/>
      <c r="G754" s="8"/>
      <c r="H754" s="8"/>
      <c r="I754" s="8"/>
      <c r="J754" s="8"/>
      <c r="K754" s="8"/>
      <c r="L754" s="8"/>
      <c r="M754" s="8"/>
      <c r="N754" s="8"/>
    </row>
    <row r="755" spans="6:14" ht="14.25" customHeight="1">
      <c r="F755" s="8"/>
      <c r="G755" s="8"/>
      <c r="H755" s="8"/>
      <c r="I755" s="8"/>
      <c r="J755" s="8"/>
      <c r="K755" s="8"/>
      <c r="L755" s="8"/>
      <c r="M755" s="8"/>
      <c r="N755" s="8"/>
    </row>
    <row r="756" spans="6:14" ht="14.25" customHeight="1">
      <c r="F756" s="8"/>
      <c r="G756" s="8"/>
      <c r="H756" s="8"/>
      <c r="I756" s="8"/>
      <c r="J756" s="8"/>
      <c r="K756" s="8"/>
      <c r="L756" s="8"/>
      <c r="M756" s="8"/>
      <c r="N756" s="8"/>
    </row>
    <row r="757" spans="6:14" ht="14.25" customHeight="1">
      <c r="F757" s="8"/>
      <c r="G757" s="8"/>
      <c r="H757" s="8"/>
      <c r="I757" s="8"/>
      <c r="J757" s="8"/>
      <c r="K757" s="8"/>
      <c r="L757" s="8"/>
      <c r="M757" s="8"/>
      <c r="N757" s="8"/>
    </row>
    <row r="758" spans="6:14" ht="14.25" customHeight="1">
      <c r="F758" s="8"/>
      <c r="G758" s="8"/>
      <c r="H758" s="8"/>
      <c r="I758" s="8"/>
      <c r="J758" s="8"/>
      <c r="K758" s="8"/>
      <c r="L758" s="8"/>
      <c r="M758" s="8"/>
      <c r="N758" s="8"/>
    </row>
    <row r="759" spans="6:14" ht="14.25" customHeight="1">
      <c r="F759" s="8"/>
      <c r="G759" s="8"/>
      <c r="H759" s="8"/>
      <c r="I759" s="8"/>
      <c r="J759" s="8"/>
      <c r="K759" s="8"/>
      <c r="L759" s="8"/>
      <c r="M759" s="8"/>
      <c r="N759" s="8"/>
    </row>
    <row r="760" spans="6:14" ht="14.25" customHeight="1">
      <c r="F760" s="8"/>
      <c r="G760" s="8"/>
      <c r="H760" s="8"/>
      <c r="I760" s="8"/>
      <c r="J760" s="8"/>
      <c r="K760" s="8"/>
      <c r="L760" s="8"/>
      <c r="M760" s="8"/>
      <c r="N760" s="8"/>
    </row>
    <row r="761" spans="6:14" ht="14.25" customHeight="1">
      <c r="F761" s="8"/>
      <c r="G761" s="8"/>
      <c r="H761" s="8"/>
      <c r="I761" s="8"/>
      <c r="J761" s="8"/>
      <c r="K761" s="8"/>
      <c r="L761" s="8"/>
      <c r="M761" s="8"/>
      <c r="N761" s="8"/>
    </row>
    <row r="762" spans="6:14" ht="14.25" customHeight="1">
      <c r="F762" s="8"/>
      <c r="G762" s="8"/>
      <c r="H762" s="8"/>
      <c r="I762" s="8"/>
      <c r="J762" s="8"/>
      <c r="K762" s="8"/>
      <c r="L762" s="8"/>
      <c r="M762" s="8"/>
      <c r="N762" s="8"/>
    </row>
    <row r="763" spans="6:14" ht="14.25" customHeight="1">
      <c r="F763" s="8"/>
      <c r="G763" s="8"/>
      <c r="H763" s="8"/>
      <c r="I763" s="8"/>
      <c r="J763" s="8"/>
      <c r="K763" s="8"/>
      <c r="L763" s="8"/>
      <c r="M763" s="8"/>
      <c r="N763" s="8"/>
    </row>
    <row r="764" spans="6:14" ht="14.25" customHeight="1">
      <c r="F764" s="8"/>
      <c r="G764" s="8"/>
      <c r="H764" s="8"/>
      <c r="I764" s="8"/>
      <c r="J764" s="8"/>
      <c r="K764" s="8"/>
      <c r="L764" s="8"/>
      <c r="M764" s="8"/>
      <c r="N764" s="8"/>
    </row>
    <row r="765" spans="6:14" ht="14.25" customHeight="1">
      <c r="F765" s="8"/>
      <c r="G765" s="8"/>
      <c r="H765" s="8"/>
      <c r="I765" s="8"/>
      <c r="J765" s="8"/>
      <c r="K765" s="8"/>
      <c r="L765" s="8"/>
      <c r="M765" s="8"/>
      <c r="N765" s="8"/>
    </row>
    <row r="766" spans="6:14" ht="14.25" customHeight="1">
      <c r="F766" s="8"/>
      <c r="G766" s="8"/>
      <c r="H766" s="8"/>
      <c r="I766" s="8"/>
      <c r="J766" s="8"/>
      <c r="K766" s="8"/>
      <c r="L766" s="8"/>
      <c r="M766" s="8"/>
      <c r="N766" s="8"/>
    </row>
    <row r="767" spans="6:14" ht="14.25" customHeight="1">
      <c r="F767" s="8"/>
      <c r="G767" s="8"/>
      <c r="H767" s="8"/>
      <c r="I767" s="8"/>
      <c r="J767" s="8"/>
      <c r="K767" s="8"/>
      <c r="L767" s="8"/>
      <c r="M767" s="8"/>
      <c r="N767" s="8"/>
    </row>
    <row r="768" spans="6:14" ht="14.25" customHeight="1">
      <c r="F768" s="8"/>
      <c r="G768" s="8"/>
      <c r="H768" s="8"/>
      <c r="I768" s="8"/>
      <c r="J768" s="8"/>
      <c r="K768" s="8"/>
      <c r="L768" s="8"/>
      <c r="M768" s="8"/>
      <c r="N768" s="8"/>
    </row>
    <row r="769" spans="6:14" ht="14.25" customHeight="1">
      <c r="F769" s="8"/>
      <c r="G769" s="8"/>
      <c r="H769" s="8"/>
      <c r="I769" s="8"/>
      <c r="J769" s="8"/>
      <c r="K769" s="8"/>
      <c r="L769" s="8"/>
      <c r="M769" s="8"/>
      <c r="N769" s="8"/>
    </row>
    <row r="770" spans="6:14" ht="14.25" customHeight="1">
      <c r="F770" s="8"/>
      <c r="G770" s="8"/>
      <c r="H770" s="8"/>
      <c r="I770" s="8"/>
      <c r="J770" s="8"/>
      <c r="K770" s="8"/>
      <c r="L770" s="8"/>
      <c r="M770" s="8"/>
      <c r="N770" s="8"/>
    </row>
    <row r="771" spans="6:14" ht="14.25" customHeight="1">
      <c r="F771" s="8"/>
      <c r="G771" s="8"/>
      <c r="H771" s="8"/>
      <c r="I771" s="8"/>
      <c r="J771" s="8"/>
      <c r="K771" s="8"/>
      <c r="L771" s="8"/>
      <c r="M771" s="8"/>
      <c r="N771" s="8"/>
    </row>
    <row r="772" spans="6:14" ht="14.25" customHeight="1">
      <c r="F772" s="8"/>
      <c r="G772" s="8"/>
      <c r="H772" s="8"/>
      <c r="I772" s="8"/>
      <c r="J772" s="8"/>
      <c r="K772" s="8"/>
      <c r="L772" s="8"/>
      <c r="M772" s="8"/>
      <c r="N772" s="8"/>
    </row>
    <row r="773" spans="6:14" ht="14.25" customHeight="1">
      <c r="F773" s="8"/>
      <c r="G773" s="8"/>
      <c r="H773" s="8"/>
      <c r="I773" s="8"/>
      <c r="J773" s="8"/>
      <c r="K773" s="8"/>
      <c r="L773" s="8"/>
      <c r="M773" s="8"/>
      <c r="N773" s="8"/>
    </row>
    <row r="774" spans="6:14" ht="14.25" customHeight="1">
      <c r="F774" s="8"/>
      <c r="G774" s="8"/>
      <c r="H774" s="8"/>
      <c r="I774" s="8"/>
      <c r="J774" s="8"/>
      <c r="K774" s="8"/>
      <c r="L774" s="8"/>
      <c r="M774" s="8"/>
      <c r="N774" s="8"/>
    </row>
    <row r="775" spans="6:14" ht="14.25" customHeight="1">
      <c r="F775" s="8"/>
      <c r="G775" s="8"/>
      <c r="H775" s="8"/>
      <c r="I775" s="8"/>
      <c r="J775" s="8"/>
      <c r="K775" s="8"/>
      <c r="L775" s="8"/>
      <c r="M775" s="8"/>
      <c r="N775" s="8"/>
    </row>
    <row r="776" spans="6:14" ht="14.25" customHeight="1">
      <c r="F776" s="8"/>
      <c r="G776" s="8"/>
      <c r="H776" s="8"/>
      <c r="I776" s="8"/>
      <c r="J776" s="8"/>
      <c r="K776" s="8"/>
      <c r="L776" s="8"/>
      <c r="M776" s="8"/>
      <c r="N776" s="8"/>
    </row>
    <row r="777" spans="6:14" ht="14.25" customHeight="1">
      <c r="F777" s="8"/>
      <c r="G777" s="8"/>
      <c r="H777" s="8"/>
      <c r="I777" s="8"/>
      <c r="J777" s="8"/>
      <c r="K777" s="8"/>
      <c r="L777" s="8"/>
      <c r="M777" s="8"/>
      <c r="N777" s="8"/>
    </row>
    <row r="778" spans="6:14" ht="14.25" customHeight="1">
      <c r="F778" s="8"/>
      <c r="G778" s="8"/>
      <c r="H778" s="8"/>
      <c r="I778" s="8"/>
      <c r="J778" s="8"/>
      <c r="K778" s="8"/>
      <c r="L778" s="8"/>
      <c r="M778" s="8"/>
      <c r="N778" s="8"/>
    </row>
    <row r="779" spans="6:14" ht="14.25" customHeight="1">
      <c r="F779" s="8"/>
      <c r="G779" s="8"/>
      <c r="H779" s="8"/>
      <c r="I779" s="8"/>
      <c r="J779" s="8"/>
      <c r="K779" s="8"/>
      <c r="L779" s="8"/>
      <c r="M779" s="8"/>
      <c r="N779" s="8"/>
    </row>
    <row r="780" spans="6:14" ht="14.25" customHeight="1">
      <c r="F780" s="8"/>
      <c r="G780" s="8"/>
      <c r="H780" s="8"/>
      <c r="I780" s="8"/>
      <c r="J780" s="8"/>
      <c r="K780" s="8"/>
      <c r="L780" s="8"/>
      <c r="M780" s="8"/>
      <c r="N780" s="8"/>
    </row>
    <row r="781" spans="6:14" ht="14.25" customHeight="1">
      <c r="F781" s="8"/>
      <c r="G781" s="8"/>
      <c r="H781" s="8"/>
      <c r="I781" s="8"/>
      <c r="J781" s="8"/>
      <c r="K781" s="8"/>
      <c r="L781" s="8"/>
      <c r="M781" s="8"/>
      <c r="N781" s="8"/>
    </row>
    <row r="782" spans="6:14" ht="14.25" customHeight="1">
      <c r="F782" s="8"/>
      <c r="G782" s="8"/>
      <c r="H782" s="8"/>
      <c r="I782" s="8"/>
      <c r="J782" s="8"/>
      <c r="K782" s="8"/>
      <c r="L782" s="8"/>
      <c r="M782" s="8"/>
      <c r="N782" s="8"/>
    </row>
    <row r="783" spans="6:14" ht="14.25" customHeight="1">
      <c r="F783" s="8"/>
      <c r="G783" s="8"/>
      <c r="H783" s="8"/>
      <c r="I783" s="8"/>
      <c r="J783" s="8"/>
      <c r="K783" s="8"/>
      <c r="L783" s="8"/>
      <c r="M783" s="8"/>
      <c r="N783" s="8"/>
    </row>
    <row r="784" spans="6:14" ht="14.25" customHeight="1">
      <c r="F784" s="8"/>
      <c r="G784" s="8"/>
      <c r="H784" s="8"/>
      <c r="I784" s="8"/>
      <c r="J784" s="8"/>
      <c r="K784" s="8"/>
      <c r="L784" s="8"/>
      <c r="M784" s="8"/>
      <c r="N784" s="8"/>
    </row>
    <row r="785" spans="6:14" ht="14.25" customHeight="1">
      <c r="F785" s="8"/>
      <c r="G785" s="8"/>
      <c r="H785" s="8"/>
      <c r="I785" s="8"/>
      <c r="J785" s="8"/>
      <c r="K785" s="8"/>
      <c r="L785" s="8"/>
      <c r="M785" s="8"/>
      <c r="N785" s="8"/>
    </row>
    <row r="786" spans="6:14" ht="14.25" customHeight="1">
      <c r="F786" s="8"/>
      <c r="G786" s="8"/>
      <c r="H786" s="8"/>
      <c r="I786" s="8"/>
      <c r="J786" s="8"/>
      <c r="K786" s="8"/>
      <c r="L786" s="8"/>
      <c r="M786" s="8"/>
      <c r="N786" s="8"/>
    </row>
    <row r="787" spans="6:14" ht="14.25" customHeight="1">
      <c r="F787" s="8"/>
      <c r="G787" s="8"/>
      <c r="H787" s="8"/>
      <c r="I787" s="8"/>
      <c r="J787" s="8"/>
      <c r="K787" s="8"/>
      <c r="L787" s="8"/>
      <c r="M787" s="8"/>
      <c r="N787" s="8"/>
    </row>
    <row r="788" spans="6:14" ht="14.25" customHeight="1">
      <c r="F788" s="8"/>
      <c r="G788" s="8"/>
      <c r="H788" s="8"/>
      <c r="I788" s="8"/>
      <c r="J788" s="8"/>
      <c r="K788" s="8"/>
      <c r="L788" s="8"/>
      <c r="M788" s="8"/>
      <c r="N788" s="8"/>
    </row>
    <row r="789" spans="6:14" ht="14.25" customHeight="1">
      <c r="F789" s="8"/>
      <c r="G789" s="8"/>
      <c r="H789" s="8"/>
      <c r="I789" s="8"/>
      <c r="J789" s="8"/>
      <c r="K789" s="8"/>
      <c r="L789" s="8"/>
      <c r="M789" s="8"/>
      <c r="N789" s="8"/>
    </row>
    <row r="790" spans="6:14" ht="14.25" customHeight="1">
      <c r="F790" s="8"/>
      <c r="G790" s="8"/>
      <c r="H790" s="8"/>
      <c r="I790" s="8"/>
      <c r="J790" s="8"/>
      <c r="K790" s="8"/>
      <c r="L790" s="8"/>
      <c r="M790" s="8"/>
      <c r="N790" s="8"/>
    </row>
    <row r="791" spans="6:14" ht="14.25" customHeight="1">
      <c r="F791" s="8"/>
      <c r="G791" s="8"/>
      <c r="H791" s="8"/>
      <c r="I791" s="8"/>
      <c r="J791" s="8"/>
      <c r="K791" s="8"/>
      <c r="L791" s="8"/>
      <c r="M791" s="8"/>
      <c r="N791" s="8"/>
    </row>
    <row r="792" spans="6:14" ht="14.25" customHeight="1">
      <c r="F792" s="8"/>
      <c r="G792" s="8"/>
      <c r="H792" s="8"/>
      <c r="I792" s="8"/>
      <c r="J792" s="8"/>
      <c r="K792" s="8"/>
      <c r="L792" s="8"/>
      <c r="M792" s="8"/>
      <c r="N792" s="8"/>
    </row>
    <row r="793" spans="6:14" ht="14.25" customHeight="1">
      <c r="F793" s="8"/>
      <c r="G793" s="8"/>
      <c r="H793" s="8"/>
      <c r="I793" s="8"/>
      <c r="J793" s="8"/>
      <c r="K793" s="8"/>
      <c r="L793" s="8"/>
      <c r="M793" s="8"/>
      <c r="N793" s="8"/>
    </row>
    <row r="794" spans="6:14" ht="14.25" customHeight="1">
      <c r="F794" s="8"/>
      <c r="G794" s="8"/>
      <c r="H794" s="8"/>
      <c r="I794" s="8"/>
      <c r="J794" s="8"/>
      <c r="K794" s="8"/>
      <c r="L794" s="8"/>
      <c r="M794" s="8"/>
      <c r="N794" s="8"/>
    </row>
    <row r="795" spans="6:14" ht="14.25" customHeight="1">
      <c r="F795" s="8"/>
      <c r="G795" s="8"/>
      <c r="H795" s="8"/>
      <c r="I795" s="8"/>
      <c r="J795" s="8"/>
      <c r="K795" s="8"/>
      <c r="L795" s="8"/>
      <c r="M795" s="8"/>
      <c r="N795" s="8"/>
    </row>
    <row r="796" spans="6:14" ht="14.25" customHeight="1">
      <c r="F796" s="8"/>
      <c r="G796" s="8"/>
      <c r="H796" s="8"/>
      <c r="I796" s="8"/>
      <c r="J796" s="8"/>
      <c r="K796" s="8"/>
      <c r="L796" s="8"/>
      <c r="M796" s="8"/>
      <c r="N796" s="8"/>
    </row>
    <row r="797" spans="6:14" ht="14.25" customHeight="1">
      <c r="F797" s="8"/>
      <c r="G797" s="8"/>
      <c r="H797" s="8"/>
      <c r="I797" s="8"/>
      <c r="J797" s="8"/>
      <c r="K797" s="8"/>
      <c r="L797" s="8"/>
      <c r="M797" s="8"/>
      <c r="N797" s="8"/>
    </row>
    <row r="798" spans="6:14" ht="14.25" customHeight="1">
      <c r="F798" s="8"/>
      <c r="G798" s="8"/>
      <c r="H798" s="8"/>
      <c r="I798" s="8"/>
      <c r="J798" s="8"/>
      <c r="K798" s="8"/>
      <c r="L798" s="8"/>
      <c r="M798" s="8"/>
      <c r="N798" s="8"/>
    </row>
    <row r="799" spans="6:14" ht="14.25" customHeight="1">
      <c r="F799" s="8"/>
      <c r="G799" s="8"/>
      <c r="H799" s="8"/>
      <c r="I799" s="8"/>
      <c r="J799" s="8"/>
      <c r="K799" s="8"/>
      <c r="L799" s="8"/>
      <c r="M799" s="8"/>
      <c r="N799" s="8"/>
    </row>
    <row r="800" spans="6:14" ht="14.25" customHeight="1">
      <c r="F800" s="8"/>
      <c r="G800" s="8"/>
      <c r="H800" s="8"/>
      <c r="I800" s="8"/>
      <c r="J800" s="8"/>
      <c r="K800" s="8"/>
      <c r="L800" s="8"/>
      <c r="M800" s="8"/>
      <c r="N800" s="8"/>
    </row>
    <row r="801" spans="6:14" ht="14.25" customHeight="1">
      <c r="F801" s="8"/>
      <c r="G801" s="8"/>
      <c r="H801" s="8"/>
      <c r="I801" s="8"/>
      <c r="J801" s="8"/>
      <c r="K801" s="8"/>
      <c r="L801" s="8"/>
      <c r="M801" s="8"/>
      <c r="N801" s="8"/>
    </row>
    <row r="802" spans="6:14" ht="14.25" customHeight="1">
      <c r="F802" s="8"/>
      <c r="G802" s="8"/>
      <c r="H802" s="8"/>
      <c r="I802" s="8"/>
      <c r="J802" s="8"/>
      <c r="K802" s="8"/>
      <c r="L802" s="8"/>
      <c r="M802" s="8"/>
      <c r="N802" s="8"/>
    </row>
    <row r="803" spans="6:14" ht="14.25" customHeight="1">
      <c r="F803" s="8"/>
      <c r="G803" s="8"/>
      <c r="H803" s="8"/>
      <c r="I803" s="8"/>
      <c r="J803" s="8"/>
      <c r="K803" s="8"/>
      <c r="L803" s="8"/>
      <c r="M803" s="8"/>
      <c r="N803" s="8"/>
    </row>
    <row r="804" spans="6:14" ht="14.25" customHeight="1">
      <c r="F804" s="8"/>
      <c r="G804" s="8"/>
      <c r="H804" s="8"/>
      <c r="I804" s="8"/>
      <c r="J804" s="8"/>
      <c r="K804" s="8"/>
      <c r="L804" s="8"/>
      <c r="M804" s="8"/>
      <c r="N804" s="8"/>
    </row>
    <row r="805" spans="6:14" ht="14.25" customHeight="1">
      <c r="F805" s="8"/>
      <c r="G805" s="8"/>
      <c r="H805" s="8"/>
      <c r="I805" s="8"/>
      <c r="J805" s="8"/>
      <c r="K805" s="8"/>
      <c r="L805" s="8"/>
      <c r="M805" s="8"/>
      <c r="N805" s="8"/>
    </row>
    <row r="806" spans="6:14" ht="14.25" customHeight="1">
      <c r="F806" s="8"/>
      <c r="G806" s="8"/>
      <c r="H806" s="8"/>
      <c r="I806" s="8"/>
      <c r="J806" s="8"/>
      <c r="K806" s="8"/>
      <c r="L806" s="8"/>
      <c r="M806" s="8"/>
      <c r="N806" s="8"/>
    </row>
    <row r="807" spans="6:14" ht="14.25" customHeight="1">
      <c r="F807" s="8"/>
      <c r="G807" s="8"/>
      <c r="H807" s="8"/>
      <c r="I807" s="8"/>
      <c r="J807" s="8"/>
      <c r="K807" s="8"/>
      <c r="L807" s="8"/>
      <c r="M807" s="8"/>
      <c r="N807" s="8"/>
    </row>
    <row r="808" spans="6:14" ht="14.25" customHeight="1">
      <c r="F808" s="8"/>
      <c r="G808" s="8"/>
      <c r="H808" s="8"/>
      <c r="I808" s="8"/>
      <c r="J808" s="8"/>
      <c r="K808" s="8"/>
      <c r="L808" s="8"/>
      <c r="M808" s="8"/>
      <c r="N808" s="8"/>
    </row>
    <row r="809" spans="6:14" ht="14.25" customHeight="1">
      <c r="F809" s="8"/>
      <c r="G809" s="8"/>
      <c r="H809" s="8"/>
      <c r="I809" s="8"/>
      <c r="J809" s="8"/>
      <c r="K809" s="8"/>
      <c r="L809" s="8"/>
      <c r="M809" s="8"/>
      <c r="N809" s="8"/>
    </row>
    <row r="810" spans="6:14" ht="14.25" customHeight="1">
      <c r="F810" s="8"/>
      <c r="G810" s="8"/>
      <c r="H810" s="8"/>
      <c r="I810" s="8"/>
      <c r="J810" s="8"/>
      <c r="K810" s="8"/>
      <c r="L810" s="8"/>
      <c r="M810" s="8"/>
      <c r="N810" s="8"/>
    </row>
    <row r="811" spans="6:14" ht="14.25" customHeight="1">
      <c r="F811" s="8"/>
      <c r="G811" s="8"/>
      <c r="H811" s="8"/>
      <c r="I811" s="8"/>
      <c r="J811" s="8"/>
      <c r="K811" s="8"/>
      <c r="L811" s="8"/>
      <c r="M811" s="8"/>
      <c r="N811" s="8"/>
    </row>
    <row r="812" spans="6:14" ht="14.25" customHeight="1">
      <c r="F812" s="8"/>
      <c r="G812" s="8"/>
      <c r="H812" s="8"/>
      <c r="I812" s="8"/>
      <c r="J812" s="8"/>
      <c r="K812" s="8"/>
      <c r="L812" s="8"/>
      <c r="M812" s="8"/>
      <c r="N812" s="8"/>
    </row>
    <row r="813" spans="6:14" ht="14.25" customHeight="1">
      <c r="F813" s="8"/>
      <c r="G813" s="8"/>
      <c r="H813" s="8"/>
      <c r="I813" s="8"/>
      <c r="J813" s="8"/>
      <c r="K813" s="8"/>
      <c r="L813" s="8"/>
      <c r="M813" s="8"/>
      <c r="N813" s="8"/>
    </row>
    <row r="814" spans="6:14" ht="14.25" customHeight="1">
      <c r="F814" s="8"/>
      <c r="G814" s="8"/>
      <c r="H814" s="8"/>
      <c r="I814" s="8"/>
      <c r="J814" s="8"/>
      <c r="K814" s="8"/>
      <c r="L814" s="8"/>
      <c r="M814" s="8"/>
      <c r="N814" s="8"/>
    </row>
    <row r="815" spans="6:14" ht="14.25" customHeight="1">
      <c r="F815" s="8"/>
      <c r="G815" s="8"/>
      <c r="H815" s="8"/>
      <c r="I815" s="8"/>
      <c r="J815" s="8"/>
      <c r="K815" s="8"/>
      <c r="L815" s="8"/>
      <c r="M815" s="8"/>
      <c r="N815" s="8"/>
    </row>
    <row r="816" spans="6:14" ht="14.25" customHeight="1">
      <c r="F816" s="8"/>
      <c r="G816" s="8"/>
      <c r="H816" s="8"/>
      <c r="I816" s="8"/>
      <c r="J816" s="8"/>
      <c r="K816" s="8"/>
      <c r="L816" s="8"/>
      <c r="M816" s="8"/>
      <c r="N816" s="8"/>
    </row>
    <row r="817" spans="6:14" ht="14.25" customHeight="1">
      <c r="F817" s="8"/>
      <c r="G817" s="8"/>
      <c r="H817" s="8"/>
      <c r="I817" s="8"/>
      <c r="J817" s="8"/>
      <c r="K817" s="8"/>
      <c r="L817" s="8"/>
      <c r="M817" s="8"/>
      <c r="N817" s="8"/>
    </row>
    <row r="818" spans="6:14" ht="14.25" customHeight="1">
      <c r="F818" s="8"/>
      <c r="G818" s="8"/>
      <c r="H818" s="8"/>
      <c r="I818" s="8"/>
      <c r="J818" s="8"/>
      <c r="K818" s="8"/>
      <c r="L818" s="8"/>
      <c r="M818" s="8"/>
      <c r="N818" s="8"/>
    </row>
    <row r="819" spans="6:14" ht="14.25" customHeight="1">
      <c r="F819" s="8"/>
      <c r="G819" s="8"/>
      <c r="H819" s="8"/>
      <c r="I819" s="8"/>
      <c r="J819" s="8"/>
      <c r="K819" s="8"/>
      <c r="L819" s="8"/>
      <c r="M819" s="8"/>
      <c r="N819" s="8"/>
    </row>
    <row r="820" spans="6:14" ht="14.25" customHeight="1">
      <c r="F820" s="8"/>
      <c r="G820" s="8"/>
      <c r="H820" s="8"/>
      <c r="I820" s="8"/>
      <c r="J820" s="8"/>
      <c r="K820" s="8"/>
      <c r="L820" s="8"/>
      <c r="M820" s="8"/>
      <c r="N820" s="8"/>
    </row>
    <row r="821" spans="6:14" ht="14.25" customHeight="1">
      <c r="F821" s="8"/>
      <c r="G821" s="8"/>
      <c r="H821" s="8"/>
      <c r="I821" s="8"/>
      <c r="J821" s="8"/>
      <c r="K821" s="8"/>
      <c r="L821" s="8"/>
      <c r="M821" s="8"/>
      <c r="N821" s="8"/>
    </row>
    <row r="822" spans="6:14" ht="14.25" customHeight="1">
      <c r="F822" s="8"/>
      <c r="G822" s="8"/>
      <c r="H822" s="8"/>
      <c r="I822" s="8"/>
      <c r="J822" s="8"/>
      <c r="K822" s="8"/>
      <c r="L822" s="8"/>
      <c r="M822" s="8"/>
      <c r="N822" s="8"/>
    </row>
    <row r="823" spans="6:14" ht="14.25" customHeight="1">
      <c r="F823" s="8"/>
      <c r="G823" s="8"/>
      <c r="H823" s="8"/>
      <c r="I823" s="8"/>
      <c r="J823" s="8"/>
      <c r="K823" s="8"/>
      <c r="L823" s="8"/>
      <c r="M823" s="8"/>
      <c r="N823" s="8"/>
    </row>
    <row r="824" spans="6:14" ht="14.25" customHeight="1">
      <c r="F824" s="8"/>
      <c r="G824" s="8"/>
      <c r="H824" s="8"/>
      <c r="I824" s="8"/>
      <c r="J824" s="8"/>
      <c r="K824" s="8"/>
      <c r="L824" s="8"/>
      <c r="M824" s="8"/>
      <c r="N824" s="8"/>
    </row>
    <row r="825" spans="6:14" ht="14.25" customHeight="1">
      <c r="F825" s="8"/>
      <c r="G825" s="8"/>
      <c r="H825" s="8"/>
      <c r="I825" s="8"/>
      <c r="J825" s="8"/>
      <c r="K825" s="8"/>
      <c r="L825" s="8"/>
      <c r="M825" s="8"/>
      <c r="N825" s="8"/>
    </row>
    <row r="826" spans="6:14" ht="14.25" customHeight="1">
      <c r="F826" s="8"/>
      <c r="G826" s="8"/>
      <c r="H826" s="8"/>
      <c r="I826" s="8"/>
      <c r="J826" s="8"/>
      <c r="K826" s="8"/>
      <c r="L826" s="8"/>
      <c r="M826" s="8"/>
      <c r="N826" s="8"/>
    </row>
    <row r="827" spans="6:14" ht="14.25" customHeight="1">
      <c r="F827" s="8"/>
      <c r="G827" s="8"/>
      <c r="H827" s="8"/>
      <c r="I827" s="8"/>
      <c r="J827" s="8"/>
      <c r="K827" s="8"/>
      <c r="L827" s="8"/>
      <c r="M827" s="8"/>
      <c r="N827" s="8"/>
    </row>
    <row r="828" spans="6:14" ht="14.25" customHeight="1">
      <c r="F828" s="8"/>
      <c r="G828" s="8"/>
      <c r="H828" s="8"/>
      <c r="I828" s="8"/>
      <c r="J828" s="8"/>
      <c r="K828" s="8"/>
      <c r="L828" s="8"/>
      <c r="M828" s="8"/>
      <c r="N828" s="8"/>
    </row>
    <row r="829" spans="6:14" ht="14.25" customHeight="1">
      <c r="F829" s="8"/>
      <c r="G829" s="8"/>
      <c r="H829" s="8"/>
      <c r="I829" s="8"/>
      <c r="J829" s="8"/>
      <c r="K829" s="8"/>
      <c r="L829" s="8"/>
      <c r="M829" s="8"/>
      <c r="N829" s="8"/>
    </row>
    <row r="830" spans="6:14" ht="14.25" customHeight="1">
      <c r="F830" s="8"/>
      <c r="G830" s="8"/>
      <c r="H830" s="8"/>
      <c r="I830" s="8"/>
      <c r="J830" s="8"/>
      <c r="K830" s="8"/>
      <c r="L830" s="8"/>
      <c r="M830" s="8"/>
      <c r="N830" s="8"/>
    </row>
    <row r="831" spans="6:14" ht="14.25" customHeight="1">
      <c r="F831" s="8"/>
      <c r="G831" s="8"/>
      <c r="H831" s="8"/>
      <c r="I831" s="8"/>
      <c r="J831" s="8"/>
      <c r="K831" s="8"/>
      <c r="L831" s="8"/>
      <c r="M831" s="8"/>
      <c r="N831" s="8"/>
    </row>
    <row r="832" spans="6:14" ht="14.25" customHeight="1">
      <c r="F832" s="8"/>
      <c r="G832" s="8"/>
      <c r="H832" s="8"/>
      <c r="I832" s="8"/>
      <c r="J832" s="8"/>
      <c r="K832" s="8"/>
      <c r="L832" s="8"/>
      <c r="M832" s="8"/>
      <c r="N832" s="8"/>
    </row>
    <row r="833" spans="6:14" ht="14.25" customHeight="1">
      <c r="F833" s="8"/>
      <c r="G833" s="8"/>
      <c r="H833" s="8"/>
      <c r="I833" s="8"/>
      <c r="J833" s="8"/>
      <c r="K833" s="8"/>
      <c r="L833" s="8"/>
      <c r="M833" s="8"/>
      <c r="N833" s="8"/>
    </row>
    <row r="834" spans="6:14" ht="14.25" customHeight="1">
      <c r="F834" s="8"/>
      <c r="G834" s="8"/>
      <c r="H834" s="8"/>
      <c r="I834" s="8"/>
      <c r="J834" s="8"/>
      <c r="K834" s="8"/>
      <c r="L834" s="8"/>
      <c r="M834" s="8"/>
      <c r="N834" s="8"/>
    </row>
    <row r="835" spans="6:14" ht="14.25" customHeight="1">
      <c r="F835" s="8"/>
      <c r="G835" s="8"/>
      <c r="H835" s="8"/>
      <c r="I835" s="8"/>
      <c r="J835" s="8"/>
      <c r="K835" s="8"/>
      <c r="L835" s="8"/>
      <c r="M835" s="8"/>
      <c r="N835" s="8"/>
    </row>
    <row r="836" spans="6:14" ht="14.25" customHeight="1">
      <c r="F836" s="8"/>
      <c r="G836" s="8"/>
      <c r="H836" s="8"/>
      <c r="I836" s="8"/>
      <c r="J836" s="8"/>
      <c r="K836" s="8"/>
      <c r="L836" s="8"/>
      <c r="M836" s="8"/>
      <c r="N836" s="8"/>
    </row>
    <row r="837" spans="6:14" ht="14.25" customHeight="1">
      <c r="F837" s="8"/>
      <c r="G837" s="8"/>
      <c r="H837" s="8"/>
      <c r="I837" s="8"/>
      <c r="J837" s="8"/>
      <c r="K837" s="8"/>
      <c r="L837" s="8"/>
      <c r="M837" s="8"/>
      <c r="N837" s="8"/>
    </row>
    <row r="838" spans="6:14" ht="14.25" customHeight="1">
      <c r="F838" s="8"/>
      <c r="G838" s="8"/>
      <c r="H838" s="8"/>
      <c r="I838" s="8"/>
      <c r="J838" s="8"/>
      <c r="K838" s="8"/>
      <c r="L838" s="8"/>
      <c r="M838" s="8"/>
      <c r="N838" s="8"/>
    </row>
    <row r="839" spans="6:14" ht="14.25" customHeight="1">
      <c r="F839" s="8"/>
      <c r="G839" s="8"/>
      <c r="H839" s="8"/>
      <c r="I839" s="8"/>
      <c r="J839" s="8"/>
      <c r="K839" s="8"/>
      <c r="L839" s="8"/>
      <c r="M839" s="8"/>
      <c r="N839" s="8"/>
    </row>
    <row r="840" spans="6:14" ht="14.25" customHeight="1">
      <c r="F840" s="8"/>
      <c r="G840" s="8"/>
      <c r="H840" s="8"/>
      <c r="I840" s="8"/>
      <c r="J840" s="8"/>
      <c r="K840" s="8"/>
      <c r="L840" s="8"/>
      <c r="M840" s="8"/>
      <c r="N840" s="8"/>
    </row>
    <row r="841" spans="6:14" ht="14.25" customHeight="1">
      <c r="F841" s="8"/>
      <c r="G841" s="8"/>
      <c r="H841" s="8"/>
      <c r="I841" s="8"/>
      <c r="J841" s="8"/>
      <c r="K841" s="8"/>
      <c r="L841" s="8"/>
      <c r="M841" s="8"/>
      <c r="N841" s="8"/>
    </row>
    <row r="842" spans="6:14" ht="14.25" customHeight="1">
      <c r="F842" s="8"/>
      <c r="G842" s="8"/>
      <c r="H842" s="8"/>
      <c r="I842" s="8"/>
      <c r="J842" s="8"/>
      <c r="K842" s="8"/>
      <c r="L842" s="8"/>
      <c r="M842" s="8"/>
      <c r="N842" s="8"/>
    </row>
    <row r="843" spans="6:14" ht="14.25" customHeight="1">
      <c r="F843" s="8"/>
      <c r="G843" s="8"/>
      <c r="H843" s="8"/>
      <c r="I843" s="8"/>
      <c r="J843" s="8"/>
      <c r="K843" s="8"/>
      <c r="L843" s="8"/>
      <c r="M843" s="8"/>
      <c r="N843" s="8"/>
    </row>
    <row r="844" spans="6:14" ht="14.25" customHeight="1">
      <c r="F844" s="8"/>
      <c r="G844" s="8"/>
      <c r="H844" s="8"/>
      <c r="I844" s="8"/>
      <c r="J844" s="8"/>
      <c r="K844" s="8"/>
      <c r="L844" s="8"/>
      <c r="M844" s="8"/>
      <c r="N844" s="8"/>
    </row>
    <row r="845" spans="6:14" ht="14.25" customHeight="1">
      <c r="F845" s="8"/>
      <c r="G845" s="8"/>
      <c r="H845" s="8"/>
      <c r="I845" s="8"/>
      <c r="J845" s="8"/>
      <c r="K845" s="8"/>
      <c r="L845" s="8"/>
      <c r="M845" s="8"/>
      <c r="N845" s="8"/>
    </row>
    <row r="846" spans="6:14" ht="14.25" customHeight="1">
      <c r="F846" s="8"/>
      <c r="G846" s="8"/>
      <c r="H846" s="8"/>
      <c r="I846" s="8"/>
      <c r="J846" s="8"/>
      <c r="K846" s="8"/>
      <c r="L846" s="8"/>
      <c r="M846" s="8"/>
      <c r="N846" s="8"/>
    </row>
    <row r="847" spans="6:14" ht="14.25" customHeight="1">
      <c r="F847" s="8"/>
      <c r="G847" s="8"/>
      <c r="H847" s="8"/>
      <c r="I847" s="8"/>
      <c r="J847" s="8"/>
      <c r="K847" s="8"/>
      <c r="L847" s="8"/>
      <c r="M847" s="8"/>
      <c r="N847" s="8"/>
    </row>
    <row r="848" spans="6:14" ht="14.25" customHeight="1">
      <c r="F848" s="8"/>
      <c r="G848" s="8"/>
      <c r="H848" s="8"/>
      <c r="I848" s="8"/>
      <c r="J848" s="8"/>
      <c r="K848" s="8"/>
      <c r="L848" s="8"/>
      <c r="M848" s="8"/>
      <c r="N848" s="8"/>
    </row>
    <row r="849" spans="6:14" ht="14.25" customHeight="1">
      <c r="F849" s="8"/>
      <c r="G849" s="8"/>
      <c r="H849" s="8"/>
      <c r="I849" s="8"/>
      <c r="J849" s="8"/>
      <c r="K849" s="8"/>
      <c r="L849" s="8"/>
      <c r="M849" s="8"/>
      <c r="N849" s="8"/>
    </row>
    <row r="850" spans="6:14" ht="14.25" customHeight="1">
      <c r="F850" s="8"/>
      <c r="G850" s="8"/>
      <c r="H850" s="8"/>
      <c r="I850" s="8"/>
      <c r="J850" s="8"/>
      <c r="K850" s="8"/>
      <c r="L850" s="8"/>
      <c r="M850" s="8"/>
      <c r="N850" s="8"/>
    </row>
    <row r="851" spans="6:14" ht="14.25" customHeight="1">
      <c r="F851" s="8"/>
      <c r="G851" s="8"/>
      <c r="H851" s="8"/>
      <c r="I851" s="8"/>
      <c r="J851" s="8"/>
      <c r="K851" s="8"/>
      <c r="L851" s="8"/>
      <c r="M851" s="8"/>
      <c r="N851" s="8"/>
    </row>
    <row r="852" spans="6:14" ht="14.25" customHeight="1">
      <c r="F852" s="8"/>
      <c r="G852" s="8"/>
      <c r="H852" s="8"/>
      <c r="I852" s="8"/>
      <c r="J852" s="8"/>
      <c r="K852" s="8"/>
      <c r="L852" s="8"/>
      <c r="M852" s="8"/>
      <c r="N852" s="8"/>
    </row>
    <row r="853" spans="6:14" ht="14.25" customHeight="1">
      <c r="F853" s="8"/>
      <c r="G853" s="8"/>
      <c r="H853" s="8"/>
      <c r="I853" s="8"/>
      <c r="J853" s="8"/>
      <c r="K853" s="8"/>
      <c r="L853" s="8"/>
      <c r="M853" s="8"/>
      <c r="N853" s="8"/>
    </row>
    <row r="854" spans="6:14" ht="14.25" customHeight="1">
      <c r="F854" s="8"/>
      <c r="G854" s="8"/>
      <c r="H854" s="8"/>
      <c r="I854" s="8"/>
      <c r="J854" s="8"/>
      <c r="K854" s="8"/>
      <c r="L854" s="8"/>
      <c r="M854" s="8"/>
      <c r="N854" s="8"/>
    </row>
    <row r="855" spans="6:14" ht="14.25" customHeight="1">
      <c r="F855" s="8"/>
      <c r="G855" s="8"/>
      <c r="H855" s="8"/>
      <c r="I855" s="8"/>
      <c r="J855" s="8"/>
      <c r="K855" s="8"/>
      <c r="L855" s="8"/>
      <c r="M855" s="8"/>
      <c r="N855" s="8"/>
    </row>
    <row r="856" spans="6:14" ht="14.25" customHeight="1">
      <c r="F856" s="8"/>
      <c r="G856" s="8"/>
      <c r="H856" s="8"/>
      <c r="I856" s="8"/>
      <c r="J856" s="8"/>
      <c r="K856" s="8"/>
      <c r="L856" s="8"/>
      <c r="M856" s="8"/>
      <c r="N856" s="8"/>
    </row>
    <row r="857" spans="6:14" ht="14.25" customHeight="1">
      <c r="F857" s="8"/>
      <c r="G857" s="8"/>
      <c r="H857" s="8"/>
      <c r="I857" s="8"/>
      <c r="J857" s="8"/>
      <c r="K857" s="8"/>
      <c r="L857" s="8"/>
      <c r="M857" s="8"/>
      <c r="N857" s="8"/>
    </row>
    <row r="858" spans="6:14" ht="14.25" customHeight="1">
      <c r="F858" s="8"/>
      <c r="G858" s="8"/>
      <c r="H858" s="8"/>
      <c r="I858" s="8"/>
      <c r="J858" s="8"/>
      <c r="K858" s="8"/>
      <c r="L858" s="8"/>
      <c r="M858" s="8"/>
      <c r="N858" s="8"/>
    </row>
    <row r="859" spans="6:14" ht="14.25" customHeight="1">
      <c r="F859" s="8"/>
      <c r="G859" s="8"/>
      <c r="H859" s="8"/>
      <c r="I859" s="8"/>
      <c r="J859" s="8"/>
      <c r="K859" s="8"/>
      <c r="L859" s="8"/>
      <c r="M859" s="8"/>
      <c r="N859" s="8"/>
    </row>
    <row r="860" spans="6:14" ht="14.25" customHeight="1">
      <c r="F860" s="8"/>
      <c r="G860" s="8"/>
      <c r="H860" s="8"/>
      <c r="I860" s="8"/>
      <c r="J860" s="8"/>
      <c r="K860" s="8"/>
      <c r="L860" s="8"/>
      <c r="M860" s="8"/>
      <c r="N860" s="8"/>
    </row>
    <row r="861" spans="6:14" ht="14.25" customHeight="1">
      <c r="F861" s="8"/>
      <c r="G861" s="8"/>
      <c r="H861" s="8"/>
      <c r="I861" s="8"/>
      <c r="J861" s="8"/>
      <c r="K861" s="8"/>
      <c r="L861" s="8"/>
      <c r="M861" s="8"/>
      <c r="N861" s="8"/>
    </row>
    <row r="862" spans="6:14" ht="14.25" customHeight="1">
      <c r="F862" s="8"/>
      <c r="G862" s="8"/>
      <c r="H862" s="8"/>
      <c r="I862" s="8"/>
      <c r="J862" s="8"/>
      <c r="K862" s="8"/>
      <c r="L862" s="8"/>
      <c r="M862" s="8"/>
      <c r="N862" s="8"/>
    </row>
    <row r="863" spans="6:14" ht="14.25" customHeight="1">
      <c r="F863" s="8"/>
      <c r="G863" s="8"/>
      <c r="H863" s="8"/>
      <c r="I863" s="8"/>
      <c r="J863" s="8"/>
      <c r="K863" s="8"/>
      <c r="L863" s="8"/>
      <c r="M863" s="8"/>
      <c r="N863" s="8"/>
    </row>
    <row r="864" spans="6:14" ht="14.25" customHeight="1">
      <c r="F864" s="8"/>
      <c r="G864" s="8"/>
      <c r="H864" s="8"/>
      <c r="I864" s="8"/>
      <c r="J864" s="8"/>
      <c r="K864" s="8"/>
      <c r="L864" s="8"/>
      <c r="M864" s="8"/>
      <c r="N864" s="8"/>
    </row>
    <row r="865" spans="6:14" ht="14.25" customHeight="1">
      <c r="F865" s="8"/>
      <c r="G865" s="8"/>
      <c r="H865" s="8"/>
      <c r="I865" s="8"/>
      <c r="J865" s="8"/>
      <c r="K865" s="8"/>
      <c r="L865" s="8"/>
      <c r="M865" s="8"/>
      <c r="N865" s="8"/>
    </row>
    <row r="866" spans="6:14" ht="14.25" customHeight="1">
      <c r="F866" s="8"/>
      <c r="G866" s="8"/>
      <c r="H866" s="8"/>
      <c r="I866" s="8"/>
      <c r="J866" s="8"/>
      <c r="K866" s="8"/>
      <c r="L866" s="8"/>
      <c r="M866" s="8"/>
      <c r="N866" s="8"/>
    </row>
    <row r="867" spans="6:14" ht="14.25" customHeight="1">
      <c r="F867" s="8"/>
      <c r="G867" s="8"/>
      <c r="H867" s="8"/>
      <c r="I867" s="8"/>
      <c r="J867" s="8"/>
      <c r="K867" s="8"/>
      <c r="L867" s="8"/>
      <c r="M867" s="8"/>
      <c r="N867" s="8"/>
    </row>
    <row r="868" spans="6:14" ht="14.25" customHeight="1">
      <c r="F868" s="8"/>
      <c r="G868" s="8"/>
      <c r="H868" s="8"/>
      <c r="I868" s="8"/>
      <c r="J868" s="8"/>
      <c r="K868" s="8"/>
      <c r="L868" s="8"/>
      <c r="M868" s="8"/>
      <c r="N868" s="8"/>
    </row>
    <row r="869" spans="6:14" ht="14.25" customHeight="1">
      <c r="F869" s="8"/>
      <c r="G869" s="8"/>
      <c r="H869" s="8"/>
      <c r="I869" s="8"/>
      <c r="J869" s="8"/>
      <c r="K869" s="8"/>
      <c r="L869" s="8"/>
      <c r="M869" s="8"/>
      <c r="N869" s="8"/>
    </row>
    <row r="870" spans="6:14" ht="14.25" customHeight="1">
      <c r="F870" s="8"/>
      <c r="G870" s="8"/>
      <c r="H870" s="8"/>
      <c r="I870" s="8"/>
      <c r="J870" s="8"/>
      <c r="K870" s="8"/>
      <c r="L870" s="8"/>
      <c r="M870" s="8"/>
      <c r="N870" s="8"/>
    </row>
    <row r="871" spans="6:14" ht="14.25" customHeight="1">
      <c r="F871" s="8"/>
      <c r="G871" s="8"/>
      <c r="H871" s="8"/>
      <c r="I871" s="8"/>
      <c r="J871" s="8"/>
      <c r="K871" s="8"/>
      <c r="L871" s="8"/>
      <c r="M871" s="8"/>
      <c r="N871" s="8"/>
    </row>
    <row r="872" spans="6:14" ht="14.25" customHeight="1">
      <c r="F872" s="8"/>
      <c r="G872" s="8"/>
      <c r="H872" s="8"/>
      <c r="I872" s="8"/>
      <c r="J872" s="8"/>
      <c r="K872" s="8"/>
      <c r="L872" s="8"/>
      <c r="M872" s="8"/>
      <c r="N872" s="8"/>
    </row>
    <row r="873" spans="6:14" ht="14.25" customHeight="1">
      <c r="F873" s="8"/>
      <c r="G873" s="8"/>
      <c r="H873" s="8"/>
      <c r="I873" s="8"/>
      <c r="J873" s="8"/>
      <c r="K873" s="8"/>
      <c r="L873" s="8"/>
      <c r="M873" s="8"/>
      <c r="N873" s="8"/>
    </row>
    <row r="874" spans="6:14" ht="14.25" customHeight="1">
      <c r="F874" s="8"/>
      <c r="G874" s="8"/>
      <c r="H874" s="8"/>
      <c r="I874" s="8"/>
      <c r="J874" s="8"/>
      <c r="K874" s="8"/>
      <c r="L874" s="8"/>
      <c r="M874" s="8"/>
      <c r="N874" s="8"/>
    </row>
    <row r="875" spans="6:14" ht="14.25" customHeight="1">
      <c r="F875" s="8"/>
      <c r="G875" s="8"/>
      <c r="H875" s="8"/>
      <c r="I875" s="8"/>
      <c r="J875" s="8"/>
      <c r="K875" s="8"/>
      <c r="L875" s="8"/>
      <c r="M875" s="8"/>
      <c r="N875" s="8"/>
    </row>
    <row r="876" spans="6:14" ht="14.25" customHeight="1">
      <c r="F876" s="8"/>
      <c r="G876" s="8"/>
      <c r="H876" s="8"/>
      <c r="I876" s="8"/>
      <c r="J876" s="8"/>
      <c r="K876" s="8"/>
      <c r="L876" s="8"/>
      <c r="M876" s="8"/>
      <c r="N876" s="8"/>
    </row>
    <row r="877" spans="6:14" ht="14.25" customHeight="1">
      <c r="F877" s="8"/>
      <c r="G877" s="8"/>
      <c r="H877" s="8"/>
      <c r="I877" s="8"/>
      <c r="J877" s="8"/>
      <c r="K877" s="8"/>
      <c r="L877" s="8"/>
      <c r="M877" s="8"/>
      <c r="N877" s="8"/>
    </row>
    <row r="878" spans="6:14" ht="14.25" customHeight="1">
      <c r="F878" s="8"/>
      <c r="G878" s="8"/>
      <c r="H878" s="8"/>
      <c r="I878" s="8"/>
      <c r="J878" s="8"/>
      <c r="K878" s="8"/>
      <c r="L878" s="8"/>
      <c r="M878" s="8"/>
      <c r="N878" s="8"/>
    </row>
    <row r="879" spans="6:14" ht="14.25" customHeight="1">
      <c r="F879" s="8"/>
      <c r="G879" s="8"/>
      <c r="H879" s="8"/>
      <c r="I879" s="8"/>
      <c r="J879" s="8"/>
      <c r="K879" s="8"/>
      <c r="L879" s="8"/>
      <c r="M879" s="8"/>
      <c r="N879" s="8"/>
    </row>
    <row r="880" spans="6:14" ht="14.25" customHeight="1">
      <c r="F880" s="8"/>
      <c r="G880" s="8"/>
      <c r="H880" s="8"/>
      <c r="I880" s="8"/>
      <c r="J880" s="8"/>
      <c r="K880" s="8"/>
      <c r="L880" s="8"/>
      <c r="M880" s="8"/>
      <c r="N880" s="8"/>
    </row>
    <row r="881" spans="6:14" ht="14.25" customHeight="1">
      <c r="F881" s="8"/>
      <c r="G881" s="8"/>
      <c r="H881" s="8"/>
      <c r="I881" s="8"/>
      <c r="J881" s="8"/>
      <c r="K881" s="8"/>
      <c r="L881" s="8"/>
      <c r="M881" s="8"/>
      <c r="N881" s="8"/>
    </row>
    <row r="882" spans="6:14" ht="14.25" customHeight="1">
      <c r="F882" s="8"/>
      <c r="G882" s="8"/>
      <c r="H882" s="8"/>
      <c r="I882" s="8"/>
      <c r="J882" s="8"/>
      <c r="K882" s="8"/>
      <c r="L882" s="8"/>
      <c r="M882" s="8"/>
      <c r="N882" s="8"/>
    </row>
    <row r="883" spans="6:14" ht="14.25" customHeight="1">
      <c r="F883" s="8"/>
      <c r="G883" s="8"/>
      <c r="H883" s="8"/>
      <c r="I883" s="8"/>
      <c r="J883" s="8"/>
      <c r="K883" s="8"/>
      <c r="L883" s="8"/>
      <c r="M883" s="8"/>
      <c r="N883" s="8"/>
    </row>
    <row r="884" spans="6:14" ht="14.25" customHeight="1">
      <c r="F884" s="8"/>
      <c r="G884" s="8"/>
      <c r="H884" s="8"/>
      <c r="I884" s="8"/>
      <c r="J884" s="8"/>
      <c r="K884" s="8"/>
      <c r="L884" s="8"/>
      <c r="M884" s="8"/>
      <c r="N884" s="8"/>
    </row>
    <row r="885" spans="6:14" ht="14.25" customHeight="1">
      <c r="F885" s="8"/>
      <c r="G885" s="8"/>
      <c r="H885" s="8"/>
      <c r="I885" s="8"/>
      <c r="J885" s="8"/>
      <c r="K885" s="8"/>
      <c r="L885" s="8"/>
      <c r="M885" s="8"/>
      <c r="N885" s="8"/>
    </row>
    <row r="886" spans="6:14" ht="14.25" customHeight="1">
      <c r="F886" s="8"/>
      <c r="G886" s="8"/>
      <c r="H886" s="8"/>
      <c r="I886" s="8"/>
      <c r="J886" s="8"/>
      <c r="K886" s="8"/>
      <c r="L886" s="8"/>
      <c r="M886" s="8"/>
      <c r="N886" s="8"/>
    </row>
    <row r="887" spans="6:14" ht="14.25" customHeight="1">
      <c r="F887" s="8"/>
      <c r="G887" s="8"/>
      <c r="H887" s="8"/>
      <c r="I887" s="8"/>
      <c r="J887" s="8"/>
      <c r="K887" s="8"/>
      <c r="L887" s="8"/>
      <c r="M887" s="8"/>
      <c r="N887" s="8"/>
    </row>
    <row r="888" spans="6:14" ht="14.25" customHeight="1">
      <c r="F888" s="8"/>
      <c r="G888" s="8"/>
      <c r="H888" s="8"/>
      <c r="I888" s="8"/>
      <c r="J888" s="8"/>
      <c r="K888" s="8"/>
      <c r="L888" s="8"/>
      <c r="M888" s="8"/>
      <c r="N888" s="8"/>
    </row>
    <row r="889" spans="6:14" ht="14.25" customHeight="1">
      <c r="F889" s="8"/>
      <c r="G889" s="8"/>
      <c r="H889" s="8"/>
      <c r="I889" s="8"/>
      <c r="J889" s="8"/>
      <c r="K889" s="8"/>
      <c r="L889" s="8"/>
      <c r="M889" s="8"/>
      <c r="N889" s="8"/>
    </row>
    <row r="890" spans="6:14" ht="14.25" customHeight="1">
      <c r="F890" s="8"/>
      <c r="G890" s="8"/>
      <c r="H890" s="8"/>
      <c r="I890" s="8"/>
      <c r="J890" s="8"/>
      <c r="K890" s="8"/>
      <c r="L890" s="8"/>
      <c r="M890" s="8"/>
      <c r="N890" s="8"/>
    </row>
    <row r="891" spans="6:14" ht="14.25" customHeight="1">
      <c r="F891" s="8"/>
      <c r="G891" s="8"/>
      <c r="H891" s="8"/>
      <c r="I891" s="8"/>
      <c r="J891" s="8"/>
      <c r="K891" s="8"/>
      <c r="L891" s="8"/>
      <c r="M891" s="8"/>
      <c r="N891" s="8"/>
    </row>
    <row r="892" spans="6:14" ht="14.25" customHeight="1">
      <c r="F892" s="8"/>
      <c r="G892" s="8"/>
      <c r="H892" s="8"/>
      <c r="I892" s="8"/>
      <c r="J892" s="8"/>
      <c r="K892" s="8"/>
      <c r="L892" s="8"/>
      <c r="M892" s="8"/>
      <c r="N892" s="8"/>
    </row>
    <row r="893" spans="6:14" ht="14.25" customHeight="1">
      <c r="F893" s="8"/>
      <c r="G893" s="8"/>
      <c r="H893" s="8"/>
      <c r="I893" s="8"/>
      <c r="J893" s="8"/>
      <c r="K893" s="8"/>
      <c r="L893" s="8"/>
      <c r="M893" s="8"/>
      <c r="N893" s="8"/>
    </row>
    <row r="894" spans="6:14" ht="14.25" customHeight="1">
      <c r="F894" s="8"/>
      <c r="G894" s="8"/>
      <c r="H894" s="8"/>
      <c r="I894" s="8"/>
      <c r="J894" s="8"/>
      <c r="K894" s="8"/>
      <c r="L894" s="8"/>
      <c r="M894" s="8"/>
      <c r="N894" s="8"/>
    </row>
    <row r="895" spans="6:14" ht="14.25" customHeight="1">
      <c r="F895" s="8"/>
      <c r="G895" s="8"/>
      <c r="H895" s="8"/>
      <c r="I895" s="8"/>
      <c r="J895" s="8"/>
      <c r="K895" s="8"/>
      <c r="L895" s="8"/>
      <c r="M895" s="8"/>
      <c r="N895" s="8"/>
    </row>
    <row r="896" spans="6:14" ht="14.25" customHeight="1">
      <c r="F896" s="8"/>
      <c r="G896" s="8"/>
      <c r="H896" s="8"/>
      <c r="I896" s="8"/>
      <c r="J896" s="8"/>
      <c r="K896" s="8"/>
      <c r="L896" s="8"/>
      <c r="M896" s="8"/>
      <c r="N896" s="8"/>
    </row>
    <row r="897" spans="6:14" ht="14.25" customHeight="1">
      <c r="F897" s="8"/>
      <c r="G897" s="8"/>
      <c r="H897" s="8"/>
      <c r="I897" s="8"/>
      <c r="J897" s="8"/>
      <c r="K897" s="8"/>
      <c r="L897" s="8"/>
      <c r="M897" s="8"/>
      <c r="N897" s="8"/>
    </row>
    <row r="898" spans="6:14" ht="14.25" customHeight="1">
      <c r="F898" s="8"/>
      <c r="G898" s="8"/>
      <c r="H898" s="8"/>
      <c r="I898" s="8"/>
      <c r="J898" s="8"/>
      <c r="K898" s="8"/>
      <c r="L898" s="8"/>
      <c r="M898" s="8"/>
      <c r="N898" s="8"/>
    </row>
    <row r="899" spans="6:14" ht="14.25" customHeight="1">
      <c r="F899" s="8"/>
      <c r="G899" s="8"/>
      <c r="H899" s="8"/>
      <c r="I899" s="8"/>
      <c r="J899" s="8"/>
      <c r="K899" s="8"/>
      <c r="L899" s="8"/>
      <c r="M899" s="8"/>
      <c r="N899" s="8"/>
    </row>
    <row r="900" spans="6:14" ht="14.25" customHeight="1">
      <c r="F900" s="8"/>
      <c r="G900" s="8"/>
      <c r="H900" s="8"/>
      <c r="I900" s="8"/>
      <c r="J900" s="8"/>
      <c r="K900" s="8"/>
      <c r="L900" s="8"/>
      <c r="M900" s="8"/>
      <c r="N900" s="8"/>
    </row>
    <row r="901" spans="6:14" ht="14.25" customHeight="1">
      <c r="F901" s="8"/>
      <c r="G901" s="8"/>
      <c r="H901" s="8"/>
      <c r="I901" s="8"/>
      <c r="J901" s="8"/>
      <c r="K901" s="8"/>
      <c r="L901" s="8"/>
      <c r="M901" s="8"/>
      <c r="N901" s="8"/>
    </row>
    <row r="902" spans="6:14" ht="14.25" customHeight="1">
      <c r="F902" s="8"/>
      <c r="G902" s="8"/>
      <c r="H902" s="8"/>
      <c r="I902" s="8"/>
      <c r="J902" s="8"/>
      <c r="K902" s="8"/>
      <c r="L902" s="8"/>
      <c r="M902" s="8"/>
      <c r="N902" s="8"/>
    </row>
    <row r="903" spans="6:14" ht="14.25" customHeight="1">
      <c r="F903" s="8"/>
      <c r="G903" s="8"/>
      <c r="H903" s="8"/>
      <c r="I903" s="8"/>
      <c r="J903" s="8"/>
      <c r="K903" s="8"/>
      <c r="L903" s="8"/>
      <c r="M903" s="8"/>
      <c r="N903" s="8"/>
    </row>
    <row r="904" spans="6:14" ht="14.25" customHeight="1">
      <c r="F904" s="8"/>
      <c r="G904" s="8"/>
      <c r="H904" s="8"/>
      <c r="I904" s="8"/>
      <c r="J904" s="8"/>
      <c r="K904" s="8"/>
      <c r="L904" s="8"/>
      <c r="M904" s="8"/>
      <c r="N904" s="8"/>
    </row>
    <row r="905" spans="6:14" ht="14.25" customHeight="1">
      <c r="F905" s="8"/>
      <c r="G905" s="8"/>
      <c r="H905" s="8"/>
      <c r="I905" s="8"/>
      <c r="J905" s="8"/>
      <c r="K905" s="8"/>
      <c r="L905" s="8"/>
      <c r="M905" s="8"/>
      <c r="N905" s="8"/>
    </row>
    <row r="906" spans="6:14" ht="14.25" customHeight="1">
      <c r="F906" s="8"/>
      <c r="G906" s="8"/>
      <c r="H906" s="8"/>
      <c r="I906" s="8"/>
      <c r="J906" s="8"/>
      <c r="K906" s="8"/>
      <c r="L906" s="8"/>
      <c r="M906" s="8"/>
      <c r="N906" s="8"/>
    </row>
    <row r="907" spans="6:14" ht="14.25" customHeight="1">
      <c r="F907" s="8"/>
      <c r="G907" s="8"/>
      <c r="H907" s="8"/>
      <c r="I907" s="8"/>
      <c r="J907" s="8"/>
      <c r="K907" s="8"/>
      <c r="L907" s="8"/>
      <c r="M907" s="8"/>
      <c r="N907" s="8"/>
    </row>
    <row r="908" spans="6:14" ht="14.25" customHeight="1">
      <c r="F908" s="8"/>
      <c r="G908" s="8"/>
      <c r="H908" s="8"/>
      <c r="I908" s="8"/>
      <c r="J908" s="8"/>
      <c r="K908" s="8"/>
      <c r="L908" s="8"/>
      <c r="M908" s="8"/>
      <c r="N908" s="8"/>
    </row>
    <row r="909" spans="6:14" ht="14.25" customHeight="1">
      <c r="F909" s="8"/>
      <c r="G909" s="8"/>
      <c r="H909" s="8"/>
      <c r="I909" s="8"/>
      <c r="J909" s="8"/>
      <c r="K909" s="8"/>
      <c r="L909" s="8"/>
      <c r="M909" s="8"/>
      <c r="N909" s="8"/>
    </row>
    <row r="910" spans="6:14" ht="14.25" customHeight="1">
      <c r="F910" s="8"/>
      <c r="G910" s="8"/>
      <c r="H910" s="8"/>
      <c r="I910" s="8"/>
      <c r="J910" s="8"/>
      <c r="K910" s="8"/>
      <c r="L910" s="8"/>
      <c r="M910" s="8"/>
      <c r="N910" s="8"/>
    </row>
    <row r="911" spans="6:14" ht="14.25" customHeight="1">
      <c r="F911" s="8"/>
      <c r="G911" s="8"/>
      <c r="H911" s="8"/>
      <c r="I911" s="8"/>
      <c r="J911" s="8"/>
      <c r="K911" s="8"/>
      <c r="L911" s="8"/>
      <c r="M911" s="8"/>
      <c r="N911" s="8"/>
    </row>
    <row r="912" spans="6:14" ht="14.25" customHeight="1">
      <c r="F912" s="8"/>
      <c r="G912" s="8"/>
      <c r="H912" s="8"/>
      <c r="I912" s="8"/>
      <c r="J912" s="8"/>
      <c r="K912" s="8"/>
      <c r="L912" s="8"/>
      <c r="M912" s="8"/>
      <c r="N912" s="8"/>
    </row>
    <row r="913" spans="6:14" ht="14.25" customHeight="1">
      <c r="F913" s="8"/>
      <c r="G913" s="8"/>
      <c r="H913" s="8"/>
      <c r="I913" s="8"/>
      <c r="J913" s="8"/>
      <c r="K913" s="8"/>
      <c r="L913" s="8"/>
      <c r="M913" s="8"/>
      <c r="N913" s="8"/>
    </row>
    <row r="914" spans="6:14" ht="14.25" customHeight="1">
      <c r="F914" s="8"/>
      <c r="G914" s="8"/>
      <c r="H914" s="8"/>
      <c r="I914" s="8"/>
      <c r="J914" s="8"/>
      <c r="K914" s="8"/>
      <c r="L914" s="8"/>
      <c r="M914" s="8"/>
      <c r="N914" s="8"/>
    </row>
    <row r="915" spans="6:14" ht="14.25" customHeight="1">
      <c r="F915" s="8"/>
      <c r="G915" s="8"/>
      <c r="H915" s="8"/>
      <c r="I915" s="8"/>
      <c r="J915" s="8"/>
      <c r="K915" s="8"/>
      <c r="L915" s="8"/>
      <c r="M915" s="8"/>
      <c r="N915" s="8"/>
    </row>
    <row r="916" spans="6:14" ht="14.25" customHeight="1">
      <c r="F916" s="8"/>
      <c r="G916" s="8"/>
      <c r="H916" s="8"/>
      <c r="I916" s="8"/>
      <c r="J916" s="8"/>
      <c r="K916" s="8"/>
      <c r="L916" s="8"/>
      <c r="M916" s="8"/>
      <c r="N916" s="8"/>
    </row>
    <row r="917" spans="6:14" ht="14.25" customHeight="1">
      <c r="F917" s="8"/>
      <c r="G917" s="8"/>
      <c r="H917" s="8"/>
      <c r="I917" s="8"/>
      <c r="J917" s="8"/>
      <c r="K917" s="8"/>
      <c r="L917" s="8"/>
      <c r="M917" s="8"/>
      <c r="N917" s="8"/>
    </row>
    <row r="918" spans="6:14" ht="14.25" customHeight="1">
      <c r="F918" s="8"/>
      <c r="G918" s="8"/>
      <c r="H918" s="8"/>
      <c r="I918" s="8"/>
      <c r="J918" s="8"/>
      <c r="K918" s="8"/>
      <c r="L918" s="8"/>
      <c r="M918" s="8"/>
      <c r="N918" s="8"/>
    </row>
    <row r="919" spans="6:14" ht="14.25" customHeight="1">
      <c r="F919" s="8"/>
      <c r="G919" s="8"/>
      <c r="H919" s="8"/>
      <c r="I919" s="8"/>
      <c r="J919" s="8"/>
      <c r="K919" s="8"/>
      <c r="L919" s="8"/>
      <c r="M919" s="8"/>
      <c r="N919" s="8"/>
    </row>
    <row r="920" spans="6:14" ht="14.25" customHeight="1">
      <c r="F920" s="8"/>
      <c r="G920" s="8"/>
      <c r="H920" s="8"/>
      <c r="I920" s="8"/>
      <c r="J920" s="8"/>
      <c r="K920" s="8"/>
      <c r="L920" s="8"/>
      <c r="M920" s="8"/>
      <c r="N920" s="8"/>
    </row>
    <row r="921" spans="6:14" ht="14.25" customHeight="1">
      <c r="F921" s="8"/>
      <c r="G921" s="8"/>
      <c r="H921" s="8"/>
      <c r="I921" s="8"/>
      <c r="J921" s="8"/>
      <c r="K921" s="8"/>
      <c r="L921" s="8"/>
      <c r="M921" s="8"/>
      <c r="N921" s="8"/>
    </row>
    <row r="922" spans="6:14" ht="14.25" customHeight="1">
      <c r="F922" s="8"/>
      <c r="G922" s="8"/>
      <c r="H922" s="8"/>
      <c r="I922" s="8"/>
      <c r="J922" s="8"/>
      <c r="K922" s="8"/>
      <c r="L922" s="8"/>
      <c r="M922" s="8"/>
      <c r="N922" s="8"/>
    </row>
    <row r="923" spans="6:14" ht="14.25" customHeight="1">
      <c r="F923" s="8"/>
      <c r="G923" s="8"/>
      <c r="H923" s="8"/>
      <c r="I923" s="8"/>
      <c r="J923" s="8"/>
      <c r="K923" s="8"/>
      <c r="L923" s="8"/>
      <c r="M923" s="8"/>
      <c r="N923" s="8"/>
    </row>
    <row r="924" spans="6:14" ht="14.25" customHeight="1">
      <c r="F924" s="8"/>
      <c r="G924" s="8"/>
      <c r="H924" s="8"/>
      <c r="I924" s="8"/>
      <c r="J924" s="8"/>
      <c r="K924" s="8"/>
      <c r="L924" s="8"/>
      <c r="M924" s="8"/>
      <c r="N924" s="8"/>
    </row>
    <row r="925" spans="6:14" ht="14.25" customHeight="1">
      <c r="F925" s="8"/>
      <c r="G925" s="8"/>
      <c r="H925" s="8"/>
      <c r="I925" s="8"/>
      <c r="J925" s="8"/>
      <c r="K925" s="8"/>
      <c r="L925" s="8"/>
      <c r="M925" s="8"/>
      <c r="N925" s="8"/>
    </row>
    <row r="926" spans="6:14" ht="14.25" customHeight="1">
      <c r="F926" s="8"/>
      <c r="G926" s="8"/>
      <c r="H926" s="8"/>
      <c r="I926" s="8"/>
      <c r="J926" s="8"/>
      <c r="K926" s="8"/>
      <c r="L926" s="8"/>
      <c r="M926" s="8"/>
      <c r="N926" s="8"/>
    </row>
    <row r="927" spans="6:14" ht="14.25" customHeight="1">
      <c r="F927" s="8"/>
      <c r="G927" s="8"/>
      <c r="H927" s="8"/>
      <c r="I927" s="8"/>
      <c r="J927" s="8"/>
      <c r="K927" s="8"/>
      <c r="L927" s="8"/>
      <c r="M927" s="8"/>
      <c r="N927" s="8"/>
    </row>
    <row r="928" spans="6:14" ht="14.25" customHeight="1">
      <c r="F928" s="8"/>
      <c r="G928" s="8"/>
      <c r="H928" s="8"/>
      <c r="I928" s="8"/>
      <c r="J928" s="8"/>
      <c r="K928" s="8"/>
      <c r="L928" s="8"/>
      <c r="M928" s="8"/>
      <c r="N928" s="8"/>
    </row>
    <row r="929" spans="6:14" ht="14.25" customHeight="1">
      <c r="F929" s="8"/>
      <c r="G929" s="8"/>
      <c r="H929" s="8"/>
      <c r="I929" s="8"/>
      <c r="J929" s="8"/>
      <c r="K929" s="8"/>
      <c r="L929" s="8"/>
      <c r="M929" s="8"/>
      <c r="N929" s="8"/>
    </row>
    <row r="930" spans="6:14" ht="14.25" customHeight="1">
      <c r="F930" s="8"/>
      <c r="G930" s="8"/>
      <c r="H930" s="8"/>
      <c r="I930" s="8"/>
      <c r="J930" s="8"/>
      <c r="K930" s="8"/>
      <c r="L930" s="8"/>
      <c r="M930" s="8"/>
      <c r="N930" s="8"/>
    </row>
    <row r="931" spans="6:14" ht="14.25" customHeight="1">
      <c r="F931" s="8"/>
      <c r="G931" s="8"/>
      <c r="H931" s="8"/>
      <c r="I931" s="8"/>
      <c r="J931" s="8"/>
      <c r="K931" s="8"/>
      <c r="L931" s="8"/>
      <c r="M931" s="8"/>
      <c r="N931" s="8"/>
    </row>
    <row r="932" spans="6:14" ht="14.25" customHeight="1">
      <c r="F932" s="8"/>
      <c r="G932" s="8"/>
      <c r="H932" s="8"/>
      <c r="I932" s="8"/>
      <c r="J932" s="8"/>
      <c r="K932" s="8"/>
      <c r="L932" s="8"/>
      <c r="M932" s="8"/>
      <c r="N932" s="8"/>
    </row>
    <row r="933" spans="6:14" ht="14.25" customHeight="1">
      <c r="F933" s="8"/>
      <c r="G933" s="8"/>
      <c r="H933" s="8"/>
      <c r="I933" s="8"/>
      <c r="J933" s="8"/>
      <c r="K933" s="8"/>
      <c r="L933" s="8"/>
      <c r="M933" s="8"/>
      <c r="N933" s="8"/>
    </row>
    <row r="934" spans="6:14" ht="14.25" customHeight="1">
      <c r="F934" s="8"/>
      <c r="G934" s="8"/>
      <c r="H934" s="8"/>
      <c r="I934" s="8"/>
      <c r="J934" s="8"/>
      <c r="K934" s="8"/>
      <c r="L934" s="8"/>
      <c r="M934" s="8"/>
      <c r="N934" s="8"/>
    </row>
    <row r="935" spans="6:14" ht="14.25" customHeight="1">
      <c r="F935" s="8"/>
      <c r="G935" s="8"/>
      <c r="H935" s="8"/>
      <c r="I935" s="8"/>
      <c r="J935" s="8"/>
      <c r="K935" s="8"/>
      <c r="L935" s="8"/>
      <c r="M935" s="8"/>
      <c r="N935" s="8"/>
    </row>
    <row r="936" spans="6:14" ht="14.25" customHeight="1">
      <c r="F936" s="8"/>
      <c r="G936" s="8"/>
      <c r="H936" s="8"/>
      <c r="I936" s="8"/>
      <c r="J936" s="8"/>
      <c r="K936" s="8"/>
      <c r="L936" s="8"/>
      <c r="M936" s="8"/>
      <c r="N936" s="8"/>
    </row>
    <row r="937" spans="6:14" ht="14.25" customHeight="1">
      <c r="F937" s="8"/>
      <c r="G937" s="8"/>
      <c r="H937" s="8"/>
      <c r="I937" s="8"/>
      <c r="J937" s="8"/>
      <c r="K937" s="8"/>
      <c r="L937" s="8"/>
      <c r="M937" s="8"/>
      <c r="N937" s="8"/>
    </row>
    <row r="938" spans="6:14" ht="14.25" customHeight="1">
      <c r="F938" s="8"/>
      <c r="G938" s="8"/>
      <c r="H938" s="8"/>
      <c r="I938" s="8"/>
      <c r="J938" s="8"/>
      <c r="K938" s="8"/>
      <c r="L938" s="8"/>
      <c r="M938" s="8"/>
      <c r="N938" s="8"/>
    </row>
    <row r="939" spans="6:14" ht="14.25" customHeight="1">
      <c r="F939" s="8"/>
      <c r="G939" s="8"/>
      <c r="H939" s="8"/>
      <c r="I939" s="8"/>
      <c r="J939" s="8"/>
      <c r="K939" s="8"/>
      <c r="L939" s="8"/>
      <c r="M939" s="8"/>
      <c r="N939" s="8"/>
    </row>
    <row r="940" spans="6:14" ht="14.25" customHeight="1">
      <c r="F940" s="8"/>
      <c r="G940" s="8"/>
      <c r="H940" s="8"/>
      <c r="I940" s="8"/>
      <c r="J940" s="8"/>
      <c r="K940" s="8"/>
      <c r="L940" s="8"/>
      <c r="M940" s="8"/>
      <c r="N940" s="8"/>
    </row>
    <row r="941" spans="6:14" ht="14.25" customHeight="1">
      <c r="F941" s="8"/>
      <c r="G941" s="8"/>
      <c r="H941" s="8"/>
      <c r="I941" s="8"/>
      <c r="J941" s="8"/>
      <c r="K941" s="8"/>
      <c r="L941" s="8"/>
      <c r="M941" s="8"/>
      <c r="N941" s="8"/>
    </row>
    <row r="942" spans="6:14" ht="14.25" customHeight="1">
      <c r="F942" s="8"/>
      <c r="G942" s="8"/>
      <c r="H942" s="8"/>
      <c r="I942" s="8"/>
      <c r="J942" s="8"/>
      <c r="K942" s="8"/>
      <c r="L942" s="8"/>
      <c r="M942" s="8"/>
      <c r="N942" s="8"/>
    </row>
    <row r="943" spans="6:14" ht="14.25" customHeight="1">
      <c r="F943" s="8"/>
      <c r="G943" s="8"/>
      <c r="H943" s="8"/>
      <c r="I943" s="8"/>
      <c r="J943" s="8"/>
      <c r="K943" s="8"/>
      <c r="L943" s="8"/>
      <c r="M943" s="8"/>
      <c r="N943" s="8"/>
    </row>
    <row r="944" spans="6:14" ht="14.25" customHeight="1">
      <c r="F944" s="8"/>
      <c r="G944" s="8"/>
      <c r="H944" s="8"/>
      <c r="I944" s="8"/>
      <c r="J944" s="8"/>
      <c r="K944" s="8"/>
      <c r="L944" s="8"/>
      <c r="M944" s="8"/>
      <c r="N944" s="8"/>
    </row>
    <row r="945" spans="6:14" ht="14.25" customHeight="1">
      <c r="F945" s="8"/>
      <c r="G945" s="8"/>
      <c r="H945" s="8"/>
      <c r="I945" s="8"/>
      <c r="J945" s="8"/>
      <c r="K945" s="8"/>
      <c r="L945" s="8"/>
      <c r="M945" s="8"/>
      <c r="N945" s="8"/>
    </row>
    <row r="946" spans="6:14" ht="14.25" customHeight="1">
      <c r="F946" s="8"/>
      <c r="G946" s="8"/>
      <c r="H946" s="8"/>
      <c r="I946" s="8"/>
      <c r="J946" s="8"/>
      <c r="K946" s="8"/>
      <c r="L946" s="8"/>
      <c r="M946" s="8"/>
      <c r="N946" s="8"/>
    </row>
    <row r="947" spans="6:14" ht="14.25" customHeight="1">
      <c r="F947" s="8"/>
      <c r="G947" s="8"/>
      <c r="H947" s="8"/>
      <c r="I947" s="8"/>
      <c r="J947" s="8"/>
      <c r="K947" s="8"/>
      <c r="L947" s="8"/>
      <c r="M947" s="8"/>
      <c r="N947" s="8"/>
    </row>
    <row r="948" spans="6:14" ht="14.25" customHeight="1">
      <c r="F948" s="8"/>
      <c r="G948" s="8"/>
      <c r="H948" s="8"/>
      <c r="I948" s="8"/>
      <c r="J948" s="8"/>
      <c r="K948" s="8"/>
      <c r="L948" s="8"/>
      <c r="M948" s="8"/>
      <c r="N948" s="8"/>
    </row>
    <row r="949" spans="6:14" ht="14.25" customHeight="1">
      <c r="F949" s="8"/>
      <c r="G949" s="8"/>
      <c r="H949" s="8"/>
      <c r="I949" s="8"/>
      <c r="J949" s="8"/>
      <c r="K949" s="8"/>
      <c r="L949" s="8"/>
      <c r="M949" s="8"/>
      <c r="N949" s="8"/>
    </row>
    <row r="950" spans="6:14" ht="14.25" customHeight="1">
      <c r="F950" s="8"/>
      <c r="G950" s="8"/>
      <c r="H950" s="8"/>
      <c r="I950" s="8"/>
      <c r="J950" s="8"/>
      <c r="K950" s="8"/>
      <c r="L950" s="8"/>
      <c r="M950" s="8"/>
      <c r="N950" s="8"/>
    </row>
    <row r="951" spans="6:14" ht="14.25" customHeight="1">
      <c r="F951" s="8"/>
      <c r="G951" s="8"/>
      <c r="H951" s="8"/>
      <c r="I951" s="8"/>
      <c r="J951" s="8"/>
      <c r="K951" s="8"/>
      <c r="L951" s="8"/>
      <c r="M951" s="8"/>
      <c r="N951" s="8"/>
    </row>
    <row r="952" spans="6:14" ht="14.25" customHeight="1">
      <c r="F952" s="8"/>
      <c r="G952" s="8"/>
      <c r="H952" s="8"/>
      <c r="I952" s="8"/>
      <c r="J952" s="8"/>
      <c r="K952" s="8"/>
      <c r="L952" s="8"/>
      <c r="M952" s="8"/>
      <c r="N952" s="8"/>
    </row>
    <row r="953" spans="6:14" ht="14.25" customHeight="1">
      <c r="F953" s="8"/>
      <c r="G953" s="8"/>
      <c r="H953" s="8"/>
      <c r="I953" s="8"/>
      <c r="J953" s="8"/>
      <c r="K953" s="8"/>
      <c r="L953" s="8"/>
      <c r="M953" s="8"/>
      <c r="N953" s="8"/>
    </row>
    <row r="954" spans="6:14" ht="14.25" customHeight="1">
      <c r="F954" s="8"/>
      <c r="G954" s="8"/>
      <c r="H954" s="8"/>
      <c r="I954" s="8"/>
      <c r="J954" s="8"/>
      <c r="K954" s="8"/>
      <c r="L954" s="8"/>
      <c r="M954" s="8"/>
      <c r="N954" s="8"/>
    </row>
    <row r="955" spans="6:14" ht="14.25" customHeight="1">
      <c r="F955" s="8"/>
      <c r="G955" s="8"/>
      <c r="H955" s="8"/>
      <c r="I955" s="8"/>
      <c r="J955" s="8"/>
      <c r="K955" s="8"/>
      <c r="L955" s="8"/>
      <c r="M955" s="8"/>
      <c r="N955" s="8"/>
    </row>
    <row r="956" spans="6:14" ht="14.25" customHeight="1">
      <c r="F956" s="8"/>
      <c r="G956" s="8"/>
      <c r="H956" s="8"/>
      <c r="I956" s="8"/>
      <c r="J956" s="8"/>
      <c r="K956" s="8"/>
      <c r="L956" s="8"/>
      <c r="M956" s="8"/>
      <c r="N956" s="8"/>
    </row>
    <row r="957" spans="6:14" ht="14.25" customHeight="1">
      <c r="F957" s="8"/>
      <c r="G957" s="8"/>
      <c r="H957" s="8"/>
      <c r="I957" s="8"/>
      <c r="J957" s="8"/>
      <c r="K957" s="8"/>
      <c r="L957" s="8"/>
      <c r="M957" s="8"/>
      <c r="N957" s="8"/>
    </row>
    <row r="958" spans="6:14" ht="14.25" customHeight="1">
      <c r="F958" s="8"/>
      <c r="G958" s="8"/>
      <c r="H958" s="8"/>
      <c r="I958" s="8"/>
      <c r="J958" s="8"/>
      <c r="K958" s="8"/>
      <c r="L958" s="8"/>
      <c r="M958" s="8"/>
      <c r="N958" s="8"/>
    </row>
    <row r="959" spans="6:14" ht="14.25" customHeight="1">
      <c r="F959" s="8"/>
      <c r="G959" s="8"/>
      <c r="H959" s="8"/>
      <c r="I959" s="8"/>
      <c r="J959" s="8"/>
      <c r="K959" s="8"/>
      <c r="L959" s="8"/>
      <c r="M959" s="8"/>
      <c r="N959" s="8"/>
    </row>
    <row r="960" spans="6:14" ht="14.25" customHeight="1">
      <c r="F960" s="8"/>
      <c r="G960" s="8"/>
      <c r="H960" s="8"/>
      <c r="I960" s="8"/>
      <c r="J960" s="8"/>
      <c r="K960" s="8"/>
      <c r="L960" s="8"/>
      <c r="M960" s="8"/>
      <c r="N960" s="8"/>
    </row>
    <row r="961" spans="6:14" ht="14.25" customHeight="1">
      <c r="F961" s="8"/>
      <c r="G961" s="8"/>
      <c r="H961" s="8"/>
      <c r="I961" s="8"/>
      <c r="J961" s="8"/>
      <c r="K961" s="8"/>
      <c r="L961" s="8"/>
      <c r="M961" s="8"/>
      <c r="N961" s="8"/>
    </row>
    <row r="962" spans="6:14" ht="14.25" customHeight="1">
      <c r="F962" s="8"/>
      <c r="G962" s="8"/>
      <c r="H962" s="8"/>
      <c r="I962" s="8"/>
      <c r="J962" s="8"/>
      <c r="K962" s="8"/>
      <c r="L962" s="8"/>
      <c r="M962" s="8"/>
      <c r="N962" s="8"/>
    </row>
    <row r="963" spans="6:14" ht="14.25" customHeight="1">
      <c r="F963" s="8"/>
      <c r="G963" s="8"/>
      <c r="H963" s="8"/>
      <c r="I963" s="8"/>
      <c r="J963" s="8"/>
      <c r="K963" s="8"/>
      <c r="L963" s="8"/>
      <c r="M963" s="8"/>
      <c r="N963" s="8"/>
    </row>
    <row r="964" spans="6:14" ht="14.25" customHeight="1">
      <c r="F964" s="8"/>
      <c r="G964" s="8"/>
      <c r="H964" s="8"/>
      <c r="I964" s="8"/>
      <c r="J964" s="8"/>
      <c r="K964" s="8"/>
      <c r="L964" s="8"/>
      <c r="M964" s="8"/>
      <c r="N964" s="8"/>
    </row>
    <row r="965" spans="6:14" ht="14.25" customHeight="1">
      <c r="F965" s="8"/>
      <c r="G965" s="8"/>
      <c r="H965" s="8"/>
      <c r="I965" s="8"/>
      <c r="J965" s="8"/>
      <c r="K965" s="8"/>
      <c r="L965" s="8"/>
      <c r="M965" s="8"/>
      <c r="N965" s="8"/>
    </row>
    <row r="966" spans="6:14" ht="14.25" customHeight="1">
      <c r="F966" s="8"/>
      <c r="G966" s="8"/>
      <c r="H966" s="8"/>
      <c r="I966" s="8"/>
      <c r="J966" s="8"/>
      <c r="K966" s="8"/>
      <c r="L966" s="8"/>
      <c r="M966" s="8"/>
      <c r="N966" s="8"/>
    </row>
    <row r="967" spans="6:14" ht="14.25" customHeight="1">
      <c r="F967" s="8"/>
      <c r="G967" s="8"/>
      <c r="H967" s="8"/>
      <c r="I967" s="8"/>
      <c r="J967" s="8"/>
      <c r="K967" s="8"/>
      <c r="L967" s="8"/>
      <c r="M967" s="8"/>
      <c r="N967" s="8"/>
    </row>
    <row r="968" spans="6:14" ht="14.25" customHeight="1">
      <c r="F968" s="8"/>
      <c r="G968" s="8"/>
      <c r="H968" s="8"/>
      <c r="I968" s="8"/>
      <c r="J968" s="8"/>
      <c r="K968" s="8"/>
      <c r="L968" s="8"/>
      <c r="M968" s="8"/>
      <c r="N968" s="8"/>
    </row>
    <row r="969" spans="6:14" ht="14.25" customHeight="1">
      <c r="F969" s="8"/>
      <c r="G969" s="8"/>
      <c r="H969" s="8"/>
      <c r="I969" s="8"/>
      <c r="J969" s="8"/>
      <c r="K969" s="8"/>
      <c r="L969" s="8"/>
      <c r="M969" s="8"/>
      <c r="N969" s="8"/>
    </row>
    <row r="970" spans="6:14" ht="14.25" customHeight="1">
      <c r="F970" s="8"/>
      <c r="G970" s="8"/>
      <c r="H970" s="8"/>
      <c r="I970" s="8"/>
      <c r="J970" s="8"/>
      <c r="K970" s="8"/>
      <c r="L970" s="8"/>
      <c r="M970" s="8"/>
      <c r="N970" s="8"/>
    </row>
    <row r="971" spans="6:14" ht="14.25" customHeight="1">
      <c r="F971" s="8"/>
      <c r="G971" s="8"/>
      <c r="H971" s="8"/>
      <c r="I971" s="8"/>
      <c r="J971" s="8"/>
      <c r="K971" s="8"/>
      <c r="L971" s="8"/>
      <c r="M971" s="8"/>
      <c r="N971" s="8"/>
    </row>
    <row r="972" spans="6:14" ht="14.25" customHeight="1">
      <c r="F972" s="8"/>
      <c r="G972" s="8"/>
      <c r="H972" s="8"/>
      <c r="I972" s="8"/>
      <c r="J972" s="8"/>
      <c r="K972" s="8"/>
      <c r="L972" s="8"/>
      <c r="M972" s="8"/>
      <c r="N972" s="8"/>
    </row>
    <row r="973" spans="6:14" ht="14.25" customHeight="1">
      <c r="F973" s="8"/>
      <c r="G973" s="8"/>
      <c r="H973" s="8"/>
      <c r="I973" s="8"/>
      <c r="J973" s="8"/>
      <c r="K973" s="8"/>
      <c r="L973" s="8"/>
      <c r="M973" s="8"/>
      <c r="N973" s="8"/>
    </row>
    <row r="974" spans="6:14" ht="14.25" customHeight="1">
      <c r="F974" s="8"/>
      <c r="G974" s="8"/>
      <c r="H974" s="8"/>
      <c r="I974" s="8"/>
      <c r="J974" s="8"/>
      <c r="K974" s="8"/>
      <c r="L974" s="8"/>
      <c r="M974" s="8"/>
      <c r="N974" s="8"/>
    </row>
    <row r="975" spans="6:14" ht="14.25" customHeight="1">
      <c r="F975" s="8"/>
      <c r="G975" s="8"/>
      <c r="H975" s="8"/>
      <c r="I975" s="8"/>
      <c r="J975" s="8"/>
      <c r="K975" s="8"/>
      <c r="L975" s="8"/>
      <c r="M975" s="8"/>
      <c r="N975" s="8"/>
    </row>
    <row r="976" spans="6:14" ht="14.25" customHeight="1">
      <c r="F976" s="8"/>
      <c r="G976" s="8"/>
      <c r="H976" s="8"/>
      <c r="I976" s="8"/>
      <c r="J976" s="8"/>
      <c r="K976" s="8"/>
      <c r="L976" s="8"/>
      <c r="M976" s="8"/>
      <c r="N976" s="8"/>
    </row>
    <row r="977" spans="6:14" ht="14.25" customHeight="1">
      <c r="F977" s="8"/>
      <c r="G977" s="8"/>
      <c r="H977" s="8"/>
      <c r="I977" s="8"/>
      <c r="J977" s="8"/>
      <c r="K977" s="8"/>
      <c r="L977" s="8"/>
      <c r="M977" s="8"/>
      <c r="N977" s="8"/>
    </row>
    <row r="978" spans="6:14" ht="14.25" customHeight="1">
      <c r="F978" s="8"/>
      <c r="G978" s="8"/>
      <c r="H978" s="8"/>
      <c r="I978" s="8"/>
      <c r="J978" s="8"/>
      <c r="K978" s="8"/>
      <c r="L978" s="8"/>
      <c r="M978" s="8"/>
      <c r="N978" s="8"/>
    </row>
    <row r="979" spans="6:14" ht="14.25" customHeight="1">
      <c r="F979" s="8"/>
      <c r="G979" s="8"/>
      <c r="H979" s="8"/>
      <c r="I979" s="8"/>
      <c r="J979" s="8"/>
      <c r="K979" s="8"/>
      <c r="L979" s="8"/>
      <c r="M979" s="8"/>
      <c r="N979" s="8"/>
    </row>
    <row r="980" spans="6:14" ht="14.25" customHeight="1">
      <c r="F980" s="8"/>
      <c r="G980" s="8"/>
      <c r="H980" s="8"/>
      <c r="I980" s="8"/>
      <c r="J980" s="8"/>
      <c r="K980" s="8"/>
      <c r="L980" s="8"/>
      <c r="M980" s="8"/>
      <c r="N980" s="8"/>
    </row>
    <row r="981" spans="6:14" ht="14.25" customHeight="1">
      <c r="F981" s="8"/>
      <c r="G981" s="8"/>
      <c r="H981" s="8"/>
      <c r="I981" s="8"/>
      <c r="J981" s="8"/>
      <c r="K981" s="8"/>
      <c r="L981" s="8"/>
      <c r="M981" s="8"/>
      <c r="N981" s="8"/>
    </row>
    <row r="982" spans="6:14" ht="14.25" customHeight="1">
      <c r="F982" s="8"/>
      <c r="G982" s="8"/>
      <c r="H982" s="8"/>
      <c r="I982" s="8"/>
      <c r="J982" s="8"/>
      <c r="K982" s="8"/>
      <c r="L982" s="8"/>
      <c r="M982" s="8"/>
      <c r="N982" s="8"/>
    </row>
    <row r="983" spans="6:14" ht="14.25" customHeight="1">
      <c r="F983" s="8"/>
      <c r="G983" s="8"/>
      <c r="H983" s="8"/>
      <c r="I983" s="8"/>
      <c r="J983" s="8"/>
      <c r="K983" s="8"/>
      <c r="L983" s="8"/>
      <c r="M983" s="8"/>
      <c r="N983" s="8"/>
    </row>
    <row r="984" spans="6:14" ht="14.25" customHeight="1">
      <c r="F984" s="8"/>
      <c r="G984" s="8"/>
      <c r="H984" s="8"/>
      <c r="I984" s="8"/>
      <c r="J984" s="8"/>
      <c r="K984" s="8"/>
      <c r="L984" s="8"/>
      <c r="M984" s="8"/>
      <c r="N984" s="8"/>
    </row>
    <row r="985" spans="6:14" ht="14.25" customHeight="1">
      <c r="F985" s="8"/>
      <c r="G985" s="8"/>
      <c r="H985" s="8"/>
      <c r="I985" s="8"/>
      <c r="J985" s="8"/>
      <c r="K985" s="8"/>
      <c r="L985" s="8"/>
      <c r="M985" s="8"/>
      <c r="N985" s="8"/>
    </row>
    <row r="986" spans="6:14" ht="14.25" customHeight="1">
      <c r="F986" s="8"/>
      <c r="G986" s="8"/>
      <c r="H986" s="8"/>
      <c r="I986" s="8"/>
      <c r="J986" s="8"/>
      <c r="K986" s="8"/>
      <c r="L986" s="8"/>
      <c r="M986" s="8"/>
      <c r="N986" s="8"/>
    </row>
    <row r="987" spans="6:14" ht="14.25" customHeight="1">
      <c r="F987" s="8"/>
      <c r="G987" s="8"/>
      <c r="H987" s="8"/>
      <c r="I987" s="8"/>
      <c r="J987" s="8"/>
      <c r="K987" s="8"/>
      <c r="L987" s="8"/>
      <c r="M987" s="8"/>
      <c r="N987" s="8"/>
    </row>
    <row r="988" spans="6:14" ht="14.25" customHeight="1">
      <c r="F988" s="8"/>
      <c r="G988" s="8"/>
      <c r="H988" s="8"/>
      <c r="I988" s="8"/>
      <c r="J988" s="8"/>
      <c r="K988" s="8"/>
      <c r="L988" s="8"/>
      <c r="M988" s="8"/>
      <c r="N988" s="8"/>
    </row>
    <row r="989" spans="6:14" ht="14.25" customHeight="1">
      <c r="F989" s="8"/>
      <c r="G989" s="8"/>
      <c r="H989" s="8"/>
      <c r="I989" s="8"/>
      <c r="J989" s="8"/>
      <c r="K989" s="8"/>
      <c r="L989" s="8"/>
      <c r="M989" s="8"/>
      <c r="N989" s="8"/>
    </row>
    <row r="990" spans="6:14" ht="14.25" customHeight="1">
      <c r="F990" s="8"/>
      <c r="G990" s="8"/>
      <c r="H990" s="8"/>
      <c r="I990" s="8"/>
      <c r="J990" s="8"/>
      <c r="K990" s="8"/>
      <c r="L990" s="8"/>
      <c r="M990" s="8"/>
      <c r="N990" s="8"/>
    </row>
    <row r="991" spans="6:14" ht="14.25" customHeight="1">
      <c r="F991" s="8"/>
      <c r="G991" s="8"/>
      <c r="H991" s="8"/>
      <c r="I991" s="8"/>
      <c r="J991" s="8"/>
      <c r="K991" s="8"/>
      <c r="L991" s="8"/>
      <c r="M991" s="8"/>
      <c r="N991" s="8"/>
    </row>
    <row r="992" spans="6:14" ht="14.25" customHeight="1">
      <c r="F992" s="8"/>
      <c r="G992" s="8"/>
      <c r="H992" s="8"/>
      <c r="I992" s="8"/>
      <c r="J992" s="8"/>
      <c r="K992" s="8"/>
      <c r="L992" s="8"/>
      <c r="M992" s="8"/>
      <c r="N992" s="8"/>
    </row>
    <row r="993" spans="6:14" ht="14.25" customHeight="1">
      <c r="F993" s="8"/>
      <c r="G993" s="8"/>
      <c r="H993" s="8"/>
      <c r="I993" s="8"/>
      <c r="J993" s="8"/>
      <c r="K993" s="8"/>
      <c r="L993" s="8"/>
      <c r="M993" s="8"/>
      <c r="N993" s="8"/>
    </row>
    <row r="994" spans="6:14" ht="14.25" customHeight="1">
      <c r="F994" s="8"/>
      <c r="G994" s="8"/>
      <c r="H994" s="8"/>
      <c r="I994" s="8"/>
      <c r="J994" s="8"/>
      <c r="K994" s="8"/>
      <c r="L994" s="8"/>
      <c r="M994" s="8"/>
      <c r="N994" s="8"/>
    </row>
    <row r="995" spans="6:14" ht="14.25" customHeight="1">
      <c r="F995" s="8"/>
      <c r="G995" s="8"/>
      <c r="H995" s="8"/>
      <c r="I995" s="8"/>
      <c r="J995" s="8"/>
      <c r="K995" s="8"/>
      <c r="L995" s="8"/>
      <c r="M995" s="8"/>
      <c r="N995" s="8"/>
    </row>
    <row r="996" spans="6:14" ht="14.25" customHeight="1">
      <c r="F996" s="8"/>
      <c r="G996" s="8"/>
      <c r="H996" s="8"/>
      <c r="I996" s="8"/>
      <c r="J996" s="8"/>
      <c r="K996" s="8"/>
      <c r="L996" s="8"/>
      <c r="M996" s="8"/>
      <c r="N996" s="8"/>
    </row>
    <row r="997" spans="6:14" ht="14.25" customHeight="1">
      <c r="F997" s="8"/>
      <c r="G997" s="8"/>
      <c r="H997" s="8"/>
      <c r="I997" s="8"/>
      <c r="J997" s="8"/>
      <c r="K997" s="8"/>
      <c r="L997" s="8"/>
      <c r="M997" s="8"/>
      <c r="N997" s="8"/>
    </row>
    <row r="998" spans="6:14" ht="14.25" customHeight="1">
      <c r="F998" s="8"/>
      <c r="G998" s="8"/>
      <c r="H998" s="8"/>
      <c r="I998" s="8"/>
      <c r="J998" s="8"/>
      <c r="K998" s="8"/>
      <c r="L998" s="8"/>
      <c r="M998" s="8"/>
      <c r="N998" s="8"/>
    </row>
    <row r="999" spans="6:14" ht="14.25" customHeight="1">
      <c r="F999" s="8"/>
      <c r="G999" s="8"/>
      <c r="H999" s="8"/>
      <c r="I999" s="8"/>
      <c r="J999" s="8"/>
      <c r="K999" s="8"/>
      <c r="L999" s="8"/>
      <c r="M999" s="8"/>
      <c r="N999" s="8"/>
    </row>
    <row r="1000" spans="6:14" ht="14.25" customHeight="1">
      <c r="F1000" s="8"/>
      <c r="G1000" s="8"/>
      <c r="H1000" s="8"/>
      <c r="I1000" s="8"/>
      <c r="J1000" s="8"/>
      <c r="K1000" s="8"/>
      <c r="L1000" s="8"/>
      <c r="M1000" s="8"/>
      <c r="N1000" s="8"/>
    </row>
    <row r="1001" spans="6:14" ht="14.25" customHeight="1">
      <c r="F1001" s="8"/>
      <c r="G1001" s="8"/>
      <c r="H1001" s="8"/>
      <c r="I1001" s="8"/>
      <c r="J1001" s="8"/>
      <c r="K1001" s="8"/>
      <c r="L1001" s="8"/>
      <c r="M1001" s="8"/>
      <c r="N1001" s="8"/>
    </row>
    <row r="1002" spans="6:14" ht="14.25" customHeight="1">
      <c r="F1002" s="8"/>
      <c r="G1002" s="8"/>
      <c r="H1002" s="8"/>
      <c r="I1002" s="8"/>
      <c r="J1002" s="8"/>
      <c r="K1002" s="8"/>
      <c r="L1002" s="8"/>
      <c r="M1002" s="8"/>
      <c r="N1002" s="8"/>
    </row>
    <row r="1003" spans="6:14" ht="14.25" customHeight="1">
      <c r="F1003" s="8"/>
      <c r="G1003" s="8"/>
      <c r="H1003" s="8"/>
      <c r="I1003" s="8"/>
      <c r="J1003" s="8"/>
      <c r="K1003" s="8"/>
      <c r="L1003" s="8"/>
      <c r="M1003" s="8"/>
      <c r="N1003" s="8"/>
    </row>
    <row r="1004" spans="6:14" ht="14.25" customHeight="1">
      <c r="F1004" s="8"/>
      <c r="G1004" s="8"/>
      <c r="H1004" s="8"/>
      <c r="I1004" s="8"/>
      <c r="J1004" s="8"/>
      <c r="K1004" s="8"/>
      <c r="L1004" s="8"/>
      <c r="M1004" s="8"/>
      <c r="N1004" s="8"/>
    </row>
    <row r="1005" spans="6:14" ht="14.25" customHeight="1">
      <c r="F1005" s="8"/>
      <c r="G1005" s="8"/>
      <c r="H1005" s="8"/>
      <c r="I1005" s="8"/>
      <c r="J1005" s="8"/>
      <c r="K1005" s="8"/>
      <c r="L1005" s="8"/>
      <c r="M1005" s="8"/>
      <c r="N1005" s="8"/>
    </row>
    <row r="1006" spans="6:14" ht="14.25" customHeight="1">
      <c r="F1006" s="8"/>
      <c r="G1006" s="8"/>
      <c r="H1006" s="8"/>
      <c r="I1006" s="8"/>
      <c r="J1006" s="8"/>
      <c r="K1006" s="8"/>
      <c r="L1006" s="8"/>
      <c r="M1006" s="8"/>
      <c r="N1006" s="8"/>
    </row>
    <row r="1007" spans="6:14" ht="14.25" customHeight="1">
      <c r="F1007" s="8"/>
      <c r="G1007" s="8"/>
      <c r="H1007" s="8"/>
      <c r="I1007" s="8"/>
      <c r="J1007" s="8"/>
      <c r="K1007" s="8"/>
      <c r="L1007" s="8"/>
      <c r="M1007" s="8"/>
      <c r="N1007" s="8"/>
    </row>
    <row r="1008" spans="6:14" ht="14.25" customHeight="1">
      <c r="F1008" s="8"/>
      <c r="G1008" s="8"/>
      <c r="H1008" s="8"/>
      <c r="I1008" s="8"/>
      <c r="J1008" s="8"/>
      <c r="K1008" s="8"/>
      <c r="L1008" s="8"/>
      <c r="M1008" s="8"/>
      <c r="N1008" s="8"/>
    </row>
    <row r="1009" spans="6:14" ht="14.25" customHeight="1">
      <c r="F1009" s="8"/>
      <c r="G1009" s="8"/>
      <c r="H1009" s="8"/>
      <c r="I1009" s="8"/>
      <c r="J1009" s="8"/>
      <c r="K1009" s="8"/>
      <c r="L1009" s="8"/>
      <c r="M1009" s="8"/>
      <c r="N1009" s="8"/>
    </row>
    <row r="1010" spans="6:14" ht="14.25" customHeight="1">
      <c r="F1010" s="8"/>
      <c r="G1010" s="8"/>
      <c r="H1010" s="8"/>
      <c r="I1010" s="8"/>
      <c r="J1010" s="8"/>
      <c r="K1010" s="8"/>
      <c r="L1010" s="8"/>
      <c r="M1010" s="8"/>
      <c r="N1010" s="8"/>
    </row>
    <row r="1011" spans="6:14" ht="14.25" customHeight="1">
      <c r="F1011" s="8"/>
      <c r="G1011" s="8"/>
      <c r="H1011" s="8"/>
      <c r="I1011" s="8"/>
      <c r="J1011" s="8"/>
      <c r="K1011" s="8"/>
      <c r="L1011" s="8"/>
      <c r="M1011" s="8"/>
      <c r="N1011" s="8"/>
    </row>
    <row r="1012" spans="6:14" ht="14.25" customHeight="1">
      <c r="F1012" s="8"/>
      <c r="G1012" s="8"/>
      <c r="H1012" s="8"/>
      <c r="I1012" s="8"/>
      <c r="J1012" s="8"/>
      <c r="K1012" s="8"/>
      <c r="L1012" s="8"/>
      <c r="M1012" s="8"/>
      <c r="N1012" s="8"/>
    </row>
    <row r="1013" spans="6:14" ht="14.25" customHeight="1">
      <c r="F1013" s="8"/>
      <c r="G1013" s="8"/>
      <c r="H1013" s="8"/>
      <c r="I1013" s="8"/>
      <c r="J1013" s="8"/>
      <c r="K1013" s="8"/>
      <c r="L1013" s="8"/>
      <c r="M1013" s="8"/>
      <c r="N1013" s="8"/>
    </row>
  </sheetData>
  <mergeCells count="31">
    <mergeCell ref="B5:E6"/>
    <mergeCell ref="A1:Q1"/>
    <mergeCell ref="A2:Q2"/>
    <mergeCell ref="A3:Q3"/>
    <mergeCell ref="P5:P6"/>
    <mergeCell ref="Q5:Q6"/>
    <mergeCell ref="J5:J6"/>
    <mergeCell ref="K5:K6"/>
    <mergeCell ref="L5:L6"/>
    <mergeCell ref="M5:M6"/>
    <mergeCell ref="E99:O99"/>
    <mergeCell ref="E93:O93"/>
    <mergeCell ref="E96:O96"/>
    <mergeCell ref="E98:O98"/>
    <mergeCell ref="H34:H35"/>
    <mergeCell ref="I34:I35"/>
    <mergeCell ref="H53:H54"/>
    <mergeCell ref="N34:N35"/>
    <mergeCell ref="O34:O35"/>
    <mergeCell ref="J34:J35"/>
    <mergeCell ref="L34:L35"/>
    <mergeCell ref="M34:M35"/>
    <mergeCell ref="K34:K35"/>
    <mergeCell ref="P34:P35"/>
    <mergeCell ref="Q34:Q35"/>
    <mergeCell ref="F5:H5"/>
    <mergeCell ref="F34:F35"/>
    <mergeCell ref="G34:G35"/>
    <mergeCell ref="I5:I6"/>
    <mergeCell ref="N5:N6"/>
    <mergeCell ref="O5:O6"/>
  </mergeCells>
  <printOptions horizontalCentered="1"/>
  <pageMargins left="0.23622047244094491" right="0.19685039370078741" top="0.31496062992125984" bottom="0.19685039370078741" header="0.55118110236220474" footer="0.19685039370078741"/>
  <pageSetup paperSize="9" scale="80"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2"/>
  <sheetViews>
    <sheetView showGridLines="0" view="pageBreakPreview" zoomScale="60" zoomScaleNormal="7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K28" sqref="K28"/>
    </sheetView>
  </sheetViews>
  <sheetFormatPr defaultColWidth="8.85546875" defaultRowHeight="15"/>
  <cols>
    <col min="1" max="1" width="3.85546875" style="17" customWidth="1"/>
    <col min="2" max="2" width="7" style="17" customWidth="1"/>
    <col min="3" max="3" width="4.140625" style="17" customWidth="1"/>
    <col min="4" max="4" width="76.7109375" style="17" customWidth="1"/>
    <col min="5" max="5" width="164.5703125" style="17" customWidth="1"/>
    <col min="6" max="16384" width="8.85546875" style="17"/>
  </cols>
  <sheetData>
    <row r="1" spans="2:5" ht="46.7" customHeight="1" thickBot="1">
      <c r="B1" s="128" t="s">
        <v>177</v>
      </c>
    </row>
    <row r="2" spans="2:5" s="99" customFormat="1" ht="36.75" thickBot="1">
      <c r="B2" s="2671" t="s">
        <v>3</v>
      </c>
      <c r="C2" s="2672"/>
      <c r="D2" s="2673"/>
      <c r="E2" s="97" t="s">
        <v>121</v>
      </c>
    </row>
    <row r="3" spans="2:5" s="100" customFormat="1" ht="32.25" thickTop="1" thickBot="1">
      <c r="B3" s="2674" t="s">
        <v>164</v>
      </c>
      <c r="C3" s="2675"/>
      <c r="D3" s="2676"/>
      <c r="E3" s="124"/>
    </row>
    <row r="4" spans="2:5" s="100" customFormat="1" ht="32.25" thickTop="1" thickBot="1">
      <c r="B4" s="103" t="s">
        <v>16</v>
      </c>
      <c r="C4" s="104"/>
      <c r="D4" s="104"/>
      <c r="E4" s="105"/>
    </row>
    <row r="5" spans="2:5" ht="27" thickBot="1">
      <c r="B5" s="80"/>
      <c r="C5" s="81" t="s">
        <v>17</v>
      </c>
      <c r="D5" s="81"/>
      <c r="E5" s="98" t="s">
        <v>165</v>
      </c>
    </row>
    <row r="6" spans="2:5" ht="27" thickBot="1">
      <c r="B6" s="80"/>
      <c r="C6" s="81" t="s">
        <v>18</v>
      </c>
      <c r="D6" s="81"/>
      <c r="E6" s="98" t="s">
        <v>166</v>
      </c>
    </row>
    <row r="7" spans="2:5" ht="27" thickBot="1">
      <c r="B7" s="80"/>
      <c r="C7" s="81" t="s">
        <v>19</v>
      </c>
      <c r="D7" s="81"/>
      <c r="E7" s="98" t="s">
        <v>167</v>
      </c>
    </row>
    <row r="8" spans="2:5" ht="27" thickBot="1">
      <c r="B8" s="80"/>
      <c r="C8" s="81" t="s">
        <v>20</v>
      </c>
      <c r="D8" s="81"/>
      <c r="E8" s="98" t="s">
        <v>168</v>
      </c>
    </row>
    <row r="9" spans="2:5" ht="27" thickBot="1">
      <c r="B9" s="80"/>
      <c r="C9" s="81" t="s">
        <v>21</v>
      </c>
      <c r="D9" s="81"/>
      <c r="E9" s="98" t="s">
        <v>169</v>
      </c>
    </row>
    <row r="10" spans="2:5" ht="27" thickBot="1">
      <c r="B10" s="80"/>
      <c r="C10" s="81" t="s">
        <v>22</v>
      </c>
      <c r="D10" s="81"/>
      <c r="E10" s="98" t="s">
        <v>122</v>
      </c>
    </row>
    <row r="11" spans="2:5" ht="27" thickBot="1">
      <c r="B11" s="80"/>
      <c r="C11" s="81" t="s">
        <v>23</v>
      </c>
      <c r="D11" s="81"/>
      <c r="E11" s="98" t="s">
        <v>123</v>
      </c>
    </row>
    <row r="12" spans="2:5" ht="53.25" thickBot="1">
      <c r="B12" s="80"/>
      <c r="C12" s="81" t="s">
        <v>24</v>
      </c>
      <c r="D12" s="81"/>
      <c r="E12" s="98" t="s">
        <v>124</v>
      </c>
    </row>
    <row r="13" spans="2:5" ht="53.25" thickBot="1">
      <c r="B13" s="80"/>
      <c r="C13" s="81" t="s">
        <v>25</v>
      </c>
      <c r="D13" s="81"/>
      <c r="E13" s="98" t="s">
        <v>125</v>
      </c>
    </row>
    <row r="14" spans="2:5" s="101" customFormat="1" ht="32.25" thickTop="1" thickBot="1">
      <c r="B14" s="106" t="s">
        <v>170</v>
      </c>
      <c r="C14" s="107"/>
      <c r="D14" s="107"/>
      <c r="E14" s="108"/>
    </row>
    <row r="15" spans="2:5" ht="24" thickBot="1">
      <c r="B15" s="80"/>
      <c r="C15" s="81" t="s">
        <v>27</v>
      </c>
      <c r="D15" s="81"/>
      <c r="E15" s="82" t="s">
        <v>126</v>
      </c>
    </row>
    <row r="16" spans="2:5" ht="47.25" thickBot="1">
      <c r="B16" s="80"/>
      <c r="C16" s="81" t="s">
        <v>28</v>
      </c>
      <c r="D16" s="81"/>
      <c r="E16" s="82" t="s">
        <v>127</v>
      </c>
    </row>
    <row r="17" spans="2:5" ht="47.25" thickBot="1">
      <c r="B17" s="80"/>
      <c r="C17" s="81" t="s">
        <v>29</v>
      </c>
      <c r="D17" s="81"/>
      <c r="E17" s="82" t="s">
        <v>128</v>
      </c>
    </row>
    <row r="18" spans="2:5" ht="24" thickBot="1">
      <c r="B18" s="80"/>
      <c r="C18" s="81" t="s">
        <v>30</v>
      </c>
      <c r="D18" s="81"/>
      <c r="E18" s="82" t="s">
        <v>129</v>
      </c>
    </row>
    <row r="19" spans="2:5" ht="47.25" thickBot="1">
      <c r="B19" s="80"/>
      <c r="C19" s="81" t="s">
        <v>130</v>
      </c>
      <c r="D19" s="81"/>
      <c r="E19" s="82" t="s">
        <v>161</v>
      </c>
    </row>
    <row r="20" spans="2:5" s="100" customFormat="1" ht="31.5" thickBot="1">
      <c r="B20" s="2677" t="s">
        <v>171</v>
      </c>
      <c r="C20" s="2678"/>
      <c r="D20" s="2679"/>
      <c r="E20" s="123"/>
    </row>
    <row r="21" spans="2:5" s="102" customFormat="1" ht="30" thickTop="1" thickBot="1">
      <c r="B21" s="109" t="s">
        <v>34</v>
      </c>
      <c r="C21" s="110"/>
      <c r="D21" s="110"/>
      <c r="E21" s="111"/>
    </row>
    <row r="22" spans="2:5" ht="24" thickBot="1">
      <c r="B22" s="80"/>
      <c r="C22" s="81" t="s">
        <v>35</v>
      </c>
      <c r="D22" s="81"/>
      <c r="E22" s="82" t="s">
        <v>131</v>
      </c>
    </row>
    <row r="23" spans="2:5" ht="24" thickBot="1">
      <c r="B23" s="80"/>
      <c r="C23" s="81" t="s">
        <v>83</v>
      </c>
      <c r="D23" s="81"/>
      <c r="E23" s="82" t="s">
        <v>132</v>
      </c>
    </row>
    <row r="24" spans="2:5" ht="24" thickBot="1">
      <c r="B24" s="80"/>
      <c r="C24" s="81" t="s">
        <v>120</v>
      </c>
      <c r="D24" s="81"/>
      <c r="E24" s="82" t="s">
        <v>133</v>
      </c>
    </row>
    <row r="25" spans="2:5" ht="24" thickBot="1">
      <c r="B25" s="80"/>
      <c r="C25" s="81" t="s">
        <v>36</v>
      </c>
      <c r="D25" s="81"/>
      <c r="E25" s="82" t="s">
        <v>134</v>
      </c>
    </row>
    <row r="26" spans="2:5" ht="24" thickBot="1">
      <c r="B26" s="80"/>
      <c r="C26" s="81" t="s">
        <v>37</v>
      </c>
      <c r="D26" s="81"/>
      <c r="E26" s="82" t="s">
        <v>135</v>
      </c>
    </row>
    <row r="27" spans="2:5" ht="24" thickBot="1">
      <c r="B27" s="80"/>
      <c r="C27" s="81" t="s">
        <v>38</v>
      </c>
      <c r="D27" s="81"/>
      <c r="E27" s="82" t="s">
        <v>136</v>
      </c>
    </row>
    <row r="28" spans="2:5" ht="24" thickBot="1">
      <c r="B28" s="80"/>
      <c r="C28" s="81" t="s">
        <v>39</v>
      </c>
      <c r="D28" s="81"/>
      <c r="E28" s="82" t="s">
        <v>137</v>
      </c>
    </row>
    <row r="29" spans="2:5" ht="24" thickBot="1">
      <c r="B29" s="80"/>
      <c r="C29" s="81" t="s">
        <v>86</v>
      </c>
      <c r="D29" s="81"/>
      <c r="E29" s="82" t="s">
        <v>138</v>
      </c>
    </row>
    <row r="30" spans="2:5" ht="24" thickBot="1">
      <c r="B30" s="80"/>
      <c r="C30" s="81" t="s">
        <v>40</v>
      </c>
      <c r="D30" s="81"/>
      <c r="E30" s="82" t="s">
        <v>139</v>
      </c>
    </row>
    <row r="31" spans="2:5" ht="24" thickBot="1">
      <c r="B31" s="80"/>
      <c r="C31" s="81" t="s">
        <v>78</v>
      </c>
      <c r="D31" s="81"/>
      <c r="E31" s="82" t="s">
        <v>140</v>
      </c>
    </row>
    <row r="32" spans="2:5" ht="47.25" thickBot="1">
      <c r="B32" s="80"/>
      <c r="C32" s="81" t="s">
        <v>41</v>
      </c>
      <c r="D32" s="81"/>
      <c r="E32" s="82" t="s">
        <v>141</v>
      </c>
    </row>
    <row r="33" spans="2:5" ht="30" thickTop="1" thickBot="1">
      <c r="B33" s="109" t="s">
        <v>142</v>
      </c>
      <c r="C33" s="112"/>
      <c r="D33" s="112"/>
      <c r="E33" s="113"/>
    </row>
    <row r="34" spans="2:5" ht="24" thickBot="1">
      <c r="B34" s="83"/>
      <c r="C34" s="81" t="s">
        <v>43</v>
      </c>
      <c r="D34" s="81"/>
      <c r="E34" s="82" t="s">
        <v>143</v>
      </c>
    </row>
    <row r="35" spans="2:5" ht="47.25" thickBot="1">
      <c r="B35" s="83"/>
      <c r="C35" s="81" t="s">
        <v>174</v>
      </c>
      <c r="D35" s="81"/>
      <c r="E35" s="82" t="s">
        <v>144</v>
      </c>
    </row>
    <row r="36" spans="2:5" ht="47.25" thickBot="1">
      <c r="B36" s="80"/>
      <c r="C36" s="81" t="s">
        <v>118</v>
      </c>
      <c r="D36" s="81"/>
      <c r="E36" s="82" t="s">
        <v>145</v>
      </c>
    </row>
    <row r="37" spans="2:5" ht="24" thickBot="1">
      <c r="B37" s="80"/>
      <c r="C37" s="81" t="s">
        <v>51</v>
      </c>
      <c r="D37" s="81"/>
      <c r="E37" s="82" t="s">
        <v>146</v>
      </c>
    </row>
    <row r="38" spans="2:5" ht="24" thickBot="1">
      <c r="B38" s="80"/>
      <c r="C38" s="81" t="s">
        <v>52</v>
      </c>
      <c r="D38" s="81"/>
      <c r="E38" s="82" t="s">
        <v>147</v>
      </c>
    </row>
    <row r="39" spans="2:5" ht="24" thickBot="1">
      <c r="B39" s="84"/>
      <c r="C39" s="85" t="s">
        <v>148</v>
      </c>
      <c r="D39" s="85"/>
      <c r="E39" s="86" t="s">
        <v>172</v>
      </c>
    </row>
    <row r="40" spans="2:5" ht="30" thickTop="1" thickBot="1">
      <c r="B40" s="109" t="s">
        <v>108</v>
      </c>
      <c r="C40" s="114"/>
      <c r="D40" s="114"/>
      <c r="E40" s="115"/>
    </row>
    <row r="41" spans="2:5" ht="24" thickBot="1">
      <c r="C41" s="87" t="s">
        <v>80</v>
      </c>
      <c r="D41" s="88"/>
      <c r="E41" s="89"/>
    </row>
    <row r="42" spans="2:5" ht="24" thickBot="1">
      <c r="C42" s="80"/>
      <c r="D42" s="90" t="s">
        <v>149</v>
      </c>
      <c r="E42" s="82" t="s">
        <v>150</v>
      </c>
    </row>
    <row r="43" spans="2:5" ht="24" thickBot="1">
      <c r="C43" s="80"/>
      <c r="D43" s="90" t="s">
        <v>151</v>
      </c>
      <c r="E43" s="82" t="s">
        <v>152</v>
      </c>
    </row>
    <row r="44" spans="2:5" ht="24" thickBot="1">
      <c r="C44" s="80"/>
      <c r="D44" s="90" t="s">
        <v>153</v>
      </c>
      <c r="E44" s="82" t="s">
        <v>154</v>
      </c>
    </row>
    <row r="45" spans="2:5" ht="24" thickBot="1">
      <c r="C45" s="87" t="s">
        <v>54</v>
      </c>
      <c r="D45" s="88"/>
      <c r="E45" s="91"/>
    </row>
    <row r="46" spans="2:5" ht="24" thickBot="1">
      <c r="C46" s="92"/>
      <c r="D46" s="90" t="s">
        <v>155</v>
      </c>
      <c r="E46" s="82" t="s">
        <v>156</v>
      </c>
    </row>
    <row r="47" spans="2:5" ht="24" thickBot="1">
      <c r="C47" s="92"/>
      <c r="D47" s="90" t="s">
        <v>157</v>
      </c>
      <c r="E47" s="82" t="s">
        <v>158</v>
      </c>
    </row>
    <row r="48" spans="2:5" ht="24" thickBot="1">
      <c r="C48" s="92"/>
      <c r="D48" s="90" t="s">
        <v>159</v>
      </c>
      <c r="E48" s="82" t="s">
        <v>160</v>
      </c>
    </row>
    <row r="49" spans="2:5" ht="29.25" thickBot="1">
      <c r="B49" s="119" t="s">
        <v>107</v>
      </c>
      <c r="C49" s="116"/>
      <c r="D49" s="117"/>
      <c r="E49" s="118"/>
    </row>
    <row r="50" spans="2:5" ht="24" thickBot="1">
      <c r="B50" s="93"/>
      <c r="C50" s="94" t="s">
        <v>119</v>
      </c>
      <c r="E50" s="86" t="s">
        <v>163</v>
      </c>
    </row>
    <row r="51" spans="2:5" ht="47.25" thickBot="1">
      <c r="B51" s="95"/>
      <c r="C51" s="81" t="s">
        <v>81</v>
      </c>
      <c r="E51" s="82" t="s">
        <v>162</v>
      </c>
    </row>
    <row r="52" spans="2:5" ht="29.25" thickBot="1">
      <c r="B52" s="122" t="s">
        <v>175</v>
      </c>
      <c r="C52" s="96"/>
      <c r="D52" s="96"/>
      <c r="E52" s="82" t="s">
        <v>173</v>
      </c>
    </row>
  </sheetData>
  <mergeCells count="3">
    <mergeCell ref="B2:D2"/>
    <mergeCell ref="B3:D3"/>
    <mergeCell ref="B20:D2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V1012"/>
  <sheetViews>
    <sheetView showGridLines="0" view="pageBreakPreview" topLeftCell="B1" zoomScale="90" zoomScaleNormal="100" zoomScaleSheetLayoutView="90" workbookViewId="0">
      <pane ySplit="6" topLeftCell="A63" activePane="bottomLeft" state="frozen"/>
      <selection activeCell="B1" sqref="B1"/>
      <selection pane="bottomLeft" activeCell="T52" sqref="T52:T58"/>
    </sheetView>
  </sheetViews>
  <sheetFormatPr defaultColWidth="12.5703125" defaultRowHeight="21"/>
  <cols>
    <col min="1" max="1" width="1.7109375" style="3" hidden="1" customWidth="1"/>
    <col min="2" max="4" width="1.85546875" style="3" customWidth="1"/>
    <col min="5" max="5" width="64.42578125" style="3" customWidth="1"/>
    <col min="6" max="7" width="19.42578125" style="573" customWidth="1"/>
    <col min="8" max="9" width="19.42578125" style="573" hidden="1" customWidth="1"/>
    <col min="10" max="10" width="19.42578125" style="601" hidden="1" customWidth="1"/>
    <col min="11" max="14" width="19.42578125" style="596" hidden="1" customWidth="1"/>
    <col min="15" max="15" width="19.42578125" style="596" customWidth="1"/>
    <col min="16" max="16" width="19.42578125" style="596" hidden="1" customWidth="1"/>
    <col min="17" max="17" width="19" style="596" customWidth="1"/>
    <col min="18" max="18" width="18" style="3" bestFit="1" customWidth="1"/>
    <col min="19" max="19" width="11" style="3" customWidth="1"/>
    <col min="20" max="20" width="19.7109375" style="3" customWidth="1"/>
    <col min="21" max="21" width="20" style="3" customWidth="1"/>
    <col min="22" max="22" width="18.28515625" style="1613" customWidth="1"/>
    <col min="23" max="32" width="7.5703125" style="3" customWidth="1"/>
    <col min="33" max="261" width="12.5703125" style="3"/>
    <col min="262" max="262" width="2" style="3" customWidth="1"/>
    <col min="263" max="265" width="2.42578125" style="3" customWidth="1"/>
    <col min="266" max="266" width="65" style="3" customWidth="1"/>
    <col min="267" max="272" width="13.42578125" style="3" customWidth="1"/>
    <col min="273" max="273" width="20.42578125" style="3" customWidth="1"/>
    <col min="274" max="274" width="7.5703125" style="3" customWidth="1"/>
    <col min="275" max="275" width="14.42578125" style="3" bestFit="1" customWidth="1"/>
    <col min="276" max="288" width="7.5703125" style="3" customWidth="1"/>
    <col min="289" max="517" width="12.5703125" style="3"/>
    <col min="518" max="518" width="2" style="3" customWidth="1"/>
    <col min="519" max="521" width="2.42578125" style="3" customWidth="1"/>
    <col min="522" max="522" width="65" style="3" customWidth="1"/>
    <col min="523" max="528" width="13.42578125" style="3" customWidth="1"/>
    <col min="529" max="529" width="20.42578125" style="3" customWidth="1"/>
    <col min="530" max="530" width="7.5703125" style="3" customWidth="1"/>
    <col min="531" max="531" width="14.42578125" style="3" bestFit="1" customWidth="1"/>
    <col min="532" max="544" width="7.5703125" style="3" customWidth="1"/>
    <col min="545" max="773" width="12.5703125" style="3"/>
    <col min="774" max="774" width="2" style="3" customWidth="1"/>
    <col min="775" max="777" width="2.42578125" style="3" customWidth="1"/>
    <col min="778" max="778" width="65" style="3" customWidth="1"/>
    <col min="779" max="784" width="13.42578125" style="3" customWidth="1"/>
    <col min="785" max="785" width="20.42578125" style="3" customWidth="1"/>
    <col min="786" max="786" width="7.5703125" style="3" customWidth="1"/>
    <col min="787" max="787" width="14.42578125" style="3" bestFit="1" customWidth="1"/>
    <col min="788" max="800" width="7.5703125" style="3" customWidth="1"/>
    <col min="801" max="1029" width="12.5703125" style="3"/>
    <col min="1030" max="1030" width="2" style="3" customWidth="1"/>
    <col min="1031" max="1033" width="2.42578125" style="3" customWidth="1"/>
    <col min="1034" max="1034" width="65" style="3" customWidth="1"/>
    <col min="1035" max="1040" width="13.42578125" style="3" customWidth="1"/>
    <col min="1041" max="1041" width="20.42578125" style="3" customWidth="1"/>
    <col min="1042" max="1042" width="7.5703125" style="3" customWidth="1"/>
    <col min="1043" max="1043" width="14.42578125" style="3" bestFit="1" customWidth="1"/>
    <col min="1044" max="1056" width="7.5703125" style="3" customWidth="1"/>
    <col min="1057" max="1285" width="12.5703125" style="3"/>
    <col min="1286" max="1286" width="2" style="3" customWidth="1"/>
    <col min="1287" max="1289" width="2.42578125" style="3" customWidth="1"/>
    <col min="1290" max="1290" width="65" style="3" customWidth="1"/>
    <col min="1291" max="1296" width="13.42578125" style="3" customWidth="1"/>
    <col min="1297" max="1297" width="20.42578125" style="3" customWidth="1"/>
    <col min="1298" max="1298" width="7.5703125" style="3" customWidth="1"/>
    <col min="1299" max="1299" width="14.42578125" style="3" bestFit="1" customWidth="1"/>
    <col min="1300" max="1312" width="7.5703125" style="3" customWidth="1"/>
    <col min="1313" max="1541" width="12.5703125" style="3"/>
    <col min="1542" max="1542" width="2" style="3" customWidth="1"/>
    <col min="1543" max="1545" width="2.42578125" style="3" customWidth="1"/>
    <col min="1546" max="1546" width="65" style="3" customWidth="1"/>
    <col min="1547" max="1552" width="13.42578125" style="3" customWidth="1"/>
    <col min="1553" max="1553" width="20.42578125" style="3" customWidth="1"/>
    <col min="1554" max="1554" width="7.5703125" style="3" customWidth="1"/>
    <col min="1555" max="1555" width="14.42578125" style="3" bestFit="1" customWidth="1"/>
    <col min="1556" max="1568" width="7.5703125" style="3" customWidth="1"/>
    <col min="1569" max="1797" width="12.5703125" style="3"/>
    <col min="1798" max="1798" width="2" style="3" customWidth="1"/>
    <col min="1799" max="1801" width="2.42578125" style="3" customWidth="1"/>
    <col min="1802" max="1802" width="65" style="3" customWidth="1"/>
    <col min="1803" max="1808" width="13.42578125" style="3" customWidth="1"/>
    <col min="1809" max="1809" width="20.42578125" style="3" customWidth="1"/>
    <col min="1810" max="1810" width="7.5703125" style="3" customWidth="1"/>
    <col min="1811" max="1811" width="14.42578125" style="3" bestFit="1" customWidth="1"/>
    <col min="1812" max="1824" width="7.5703125" style="3" customWidth="1"/>
    <col min="1825" max="2053" width="12.5703125" style="3"/>
    <col min="2054" max="2054" width="2" style="3" customWidth="1"/>
    <col min="2055" max="2057" width="2.42578125" style="3" customWidth="1"/>
    <col min="2058" max="2058" width="65" style="3" customWidth="1"/>
    <col min="2059" max="2064" width="13.42578125" style="3" customWidth="1"/>
    <col min="2065" max="2065" width="20.42578125" style="3" customWidth="1"/>
    <col min="2066" max="2066" width="7.5703125" style="3" customWidth="1"/>
    <col min="2067" max="2067" width="14.42578125" style="3" bestFit="1" customWidth="1"/>
    <col min="2068" max="2080" width="7.5703125" style="3" customWidth="1"/>
    <col min="2081" max="2309" width="12.5703125" style="3"/>
    <col min="2310" max="2310" width="2" style="3" customWidth="1"/>
    <col min="2311" max="2313" width="2.42578125" style="3" customWidth="1"/>
    <col min="2314" max="2314" width="65" style="3" customWidth="1"/>
    <col min="2315" max="2320" width="13.42578125" style="3" customWidth="1"/>
    <col min="2321" max="2321" width="20.42578125" style="3" customWidth="1"/>
    <col min="2322" max="2322" width="7.5703125" style="3" customWidth="1"/>
    <col min="2323" max="2323" width="14.42578125" style="3" bestFit="1" customWidth="1"/>
    <col min="2324" max="2336" width="7.5703125" style="3" customWidth="1"/>
    <col min="2337" max="2565" width="12.5703125" style="3"/>
    <col min="2566" max="2566" width="2" style="3" customWidth="1"/>
    <col min="2567" max="2569" width="2.42578125" style="3" customWidth="1"/>
    <col min="2570" max="2570" width="65" style="3" customWidth="1"/>
    <col min="2571" max="2576" width="13.42578125" style="3" customWidth="1"/>
    <col min="2577" max="2577" width="20.42578125" style="3" customWidth="1"/>
    <col min="2578" max="2578" width="7.5703125" style="3" customWidth="1"/>
    <col min="2579" max="2579" width="14.42578125" style="3" bestFit="1" customWidth="1"/>
    <col min="2580" max="2592" width="7.5703125" style="3" customWidth="1"/>
    <col min="2593" max="2821" width="12.5703125" style="3"/>
    <col min="2822" max="2822" width="2" style="3" customWidth="1"/>
    <col min="2823" max="2825" width="2.42578125" style="3" customWidth="1"/>
    <col min="2826" max="2826" width="65" style="3" customWidth="1"/>
    <col min="2827" max="2832" width="13.42578125" style="3" customWidth="1"/>
    <col min="2833" max="2833" width="20.42578125" style="3" customWidth="1"/>
    <col min="2834" max="2834" width="7.5703125" style="3" customWidth="1"/>
    <col min="2835" max="2835" width="14.42578125" style="3" bestFit="1" customWidth="1"/>
    <col min="2836" max="2848" width="7.5703125" style="3" customWidth="1"/>
    <col min="2849" max="3077" width="12.5703125" style="3"/>
    <col min="3078" max="3078" width="2" style="3" customWidth="1"/>
    <col min="3079" max="3081" width="2.42578125" style="3" customWidth="1"/>
    <col min="3082" max="3082" width="65" style="3" customWidth="1"/>
    <col min="3083" max="3088" width="13.42578125" style="3" customWidth="1"/>
    <col min="3089" max="3089" width="20.42578125" style="3" customWidth="1"/>
    <col min="3090" max="3090" width="7.5703125" style="3" customWidth="1"/>
    <col min="3091" max="3091" width="14.42578125" style="3" bestFit="1" customWidth="1"/>
    <col min="3092" max="3104" width="7.5703125" style="3" customWidth="1"/>
    <col min="3105" max="3333" width="12.5703125" style="3"/>
    <col min="3334" max="3334" width="2" style="3" customWidth="1"/>
    <col min="3335" max="3337" width="2.42578125" style="3" customWidth="1"/>
    <col min="3338" max="3338" width="65" style="3" customWidth="1"/>
    <col min="3339" max="3344" width="13.42578125" style="3" customWidth="1"/>
    <col min="3345" max="3345" width="20.42578125" style="3" customWidth="1"/>
    <col min="3346" max="3346" width="7.5703125" style="3" customWidth="1"/>
    <col min="3347" max="3347" width="14.42578125" style="3" bestFit="1" customWidth="1"/>
    <col min="3348" max="3360" width="7.5703125" style="3" customWidth="1"/>
    <col min="3361" max="3589" width="12.5703125" style="3"/>
    <col min="3590" max="3590" width="2" style="3" customWidth="1"/>
    <col min="3591" max="3593" width="2.42578125" style="3" customWidth="1"/>
    <col min="3594" max="3594" width="65" style="3" customWidth="1"/>
    <col min="3595" max="3600" width="13.42578125" style="3" customWidth="1"/>
    <col min="3601" max="3601" width="20.42578125" style="3" customWidth="1"/>
    <col min="3602" max="3602" width="7.5703125" style="3" customWidth="1"/>
    <col min="3603" max="3603" width="14.42578125" style="3" bestFit="1" customWidth="1"/>
    <col min="3604" max="3616" width="7.5703125" style="3" customWidth="1"/>
    <col min="3617" max="3845" width="12.5703125" style="3"/>
    <col min="3846" max="3846" width="2" style="3" customWidth="1"/>
    <col min="3847" max="3849" width="2.42578125" style="3" customWidth="1"/>
    <col min="3850" max="3850" width="65" style="3" customWidth="1"/>
    <col min="3851" max="3856" width="13.42578125" style="3" customWidth="1"/>
    <col min="3857" max="3857" width="20.42578125" style="3" customWidth="1"/>
    <col min="3858" max="3858" width="7.5703125" style="3" customWidth="1"/>
    <col min="3859" max="3859" width="14.42578125" style="3" bestFit="1" customWidth="1"/>
    <col min="3860" max="3872" width="7.5703125" style="3" customWidth="1"/>
    <col min="3873" max="4101" width="12.5703125" style="3"/>
    <col min="4102" max="4102" width="2" style="3" customWidth="1"/>
    <col min="4103" max="4105" width="2.42578125" style="3" customWidth="1"/>
    <col min="4106" max="4106" width="65" style="3" customWidth="1"/>
    <col min="4107" max="4112" width="13.42578125" style="3" customWidth="1"/>
    <col min="4113" max="4113" width="20.42578125" style="3" customWidth="1"/>
    <col min="4114" max="4114" width="7.5703125" style="3" customWidth="1"/>
    <col min="4115" max="4115" width="14.42578125" style="3" bestFit="1" customWidth="1"/>
    <col min="4116" max="4128" width="7.5703125" style="3" customWidth="1"/>
    <col min="4129" max="4357" width="12.5703125" style="3"/>
    <col min="4358" max="4358" width="2" style="3" customWidth="1"/>
    <col min="4359" max="4361" width="2.42578125" style="3" customWidth="1"/>
    <col min="4362" max="4362" width="65" style="3" customWidth="1"/>
    <col min="4363" max="4368" width="13.42578125" style="3" customWidth="1"/>
    <col min="4369" max="4369" width="20.42578125" style="3" customWidth="1"/>
    <col min="4370" max="4370" width="7.5703125" style="3" customWidth="1"/>
    <col min="4371" max="4371" width="14.42578125" style="3" bestFit="1" customWidth="1"/>
    <col min="4372" max="4384" width="7.5703125" style="3" customWidth="1"/>
    <col min="4385" max="4613" width="12.5703125" style="3"/>
    <col min="4614" max="4614" width="2" style="3" customWidth="1"/>
    <col min="4615" max="4617" width="2.42578125" style="3" customWidth="1"/>
    <col min="4618" max="4618" width="65" style="3" customWidth="1"/>
    <col min="4619" max="4624" width="13.42578125" style="3" customWidth="1"/>
    <col min="4625" max="4625" width="20.42578125" style="3" customWidth="1"/>
    <col min="4626" max="4626" width="7.5703125" style="3" customWidth="1"/>
    <col min="4627" max="4627" width="14.42578125" style="3" bestFit="1" customWidth="1"/>
    <col min="4628" max="4640" width="7.5703125" style="3" customWidth="1"/>
    <col min="4641" max="4869" width="12.5703125" style="3"/>
    <col min="4870" max="4870" width="2" style="3" customWidth="1"/>
    <col min="4871" max="4873" width="2.42578125" style="3" customWidth="1"/>
    <col min="4874" max="4874" width="65" style="3" customWidth="1"/>
    <col min="4875" max="4880" width="13.42578125" style="3" customWidth="1"/>
    <col min="4881" max="4881" width="20.42578125" style="3" customWidth="1"/>
    <col min="4882" max="4882" width="7.5703125" style="3" customWidth="1"/>
    <col min="4883" max="4883" width="14.42578125" style="3" bestFit="1" customWidth="1"/>
    <col min="4884" max="4896" width="7.5703125" style="3" customWidth="1"/>
    <col min="4897" max="5125" width="12.5703125" style="3"/>
    <col min="5126" max="5126" width="2" style="3" customWidth="1"/>
    <col min="5127" max="5129" width="2.42578125" style="3" customWidth="1"/>
    <col min="5130" max="5130" width="65" style="3" customWidth="1"/>
    <col min="5131" max="5136" width="13.42578125" style="3" customWidth="1"/>
    <col min="5137" max="5137" width="20.42578125" style="3" customWidth="1"/>
    <col min="5138" max="5138" width="7.5703125" style="3" customWidth="1"/>
    <col min="5139" max="5139" width="14.42578125" style="3" bestFit="1" customWidth="1"/>
    <col min="5140" max="5152" width="7.5703125" style="3" customWidth="1"/>
    <col min="5153" max="5381" width="12.5703125" style="3"/>
    <col min="5382" max="5382" width="2" style="3" customWidth="1"/>
    <col min="5383" max="5385" width="2.42578125" style="3" customWidth="1"/>
    <col min="5386" max="5386" width="65" style="3" customWidth="1"/>
    <col min="5387" max="5392" width="13.42578125" style="3" customWidth="1"/>
    <col min="5393" max="5393" width="20.42578125" style="3" customWidth="1"/>
    <col min="5394" max="5394" width="7.5703125" style="3" customWidth="1"/>
    <col min="5395" max="5395" width="14.42578125" style="3" bestFit="1" customWidth="1"/>
    <col min="5396" max="5408" width="7.5703125" style="3" customWidth="1"/>
    <col min="5409" max="5637" width="12.5703125" style="3"/>
    <col min="5638" max="5638" width="2" style="3" customWidth="1"/>
    <col min="5639" max="5641" width="2.42578125" style="3" customWidth="1"/>
    <col min="5642" max="5642" width="65" style="3" customWidth="1"/>
    <col min="5643" max="5648" width="13.42578125" style="3" customWidth="1"/>
    <col min="5649" max="5649" width="20.42578125" style="3" customWidth="1"/>
    <col min="5650" max="5650" width="7.5703125" style="3" customWidth="1"/>
    <col min="5651" max="5651" width="14.42578125" style="3" bestFit="1" customWidth="1"/>
    <col min="5652" max="5664" width="7.5703125" style="3" customWidth="1"/>
    <col min="5665" max="5893" width="12.5703125" style="3"/>
    <col min="5894" max="5894" width="2" style="3" customWidth="1"/>
    <col min="5895" max="5897" width="2.42578125" style="3" customWidth="1"/>
    <col min="5898" max="5898" width="65" style="3" customWidth="1"/>
    <col min="5899" max="5904" width="13.42578125" style="3" customWidth="1"/>
    <col min="5905" max="5905" width="20.42578125" style="3" customWidth="1"/>
    <col min="5906" max="5906" width="7.5703125" style="3" customWidth="1"/>
    <col min="5907" max="5907" width="14.42578125" style="3" bestFit="1" customWidth="1"/>
    <col min="5908" max="5920" width="7.5703125" style="3" customWidth="1"/>
    <col min="5921" max="6149" width="12.5703125" style="3"/>
    <col min="6150" max="6150" width="2" style="3" customWidth="1"/>
    <col min="6151" max="6153" width="2.42578125" style="3" customWidth="1"/>
    <col min="6154" max="6154" width="65" style="3" customWidth="1"/>
    <col min="6155" max="6160" width="13.42578125" style="3" customWidth="1"/>
    <col min="6161" max="6161" width="20.42578125" style="3" customWidth="1"/>
    <col min="6162" max="6162" width="7.5703125" style="3" customWidth="1"/>
    <col min="6163" max="6163" width="14.42578125" style="3" bestFit="1" customWidth="1"/>
    <col min="6164" max="6176" width="7.5703125" style="3" customWidth="1"/>
    <col min="6177" max="6405" width="12.5703125" style="3"/>
    <col min="6406" max="6406" width="2" style="3" customWidth="1"/>
    <col min="6407" max="6409" width="2.42578125" style="3" customWidth="1"/>
    <col min="6410" max="6410" width="65" style="3" customWidth="1"/>
    <col min="6411" max="6416" width="13.42578125" style="3" customWidth="1"/>
    <col min="6417" max="6417" width="20.42578125" style="3" customWidth="1"/>
    <col min="6418" max="6418" width="7.5703125" style="3" customWidth="1"/>
    <col min="6419" max="6419" width="14.42578125" style="3" bestFit="1" customWidth="1"/>
    <col min="6420" max="6432" width="7.5703125" style="3" customWidth="1"/>
    <col min="6433" max="6661" width="12.5703125" style="3"/>
    <col min="6662" max="6662" width="2" style="3" customWidth="1"/>
    <col min="6663" max="6665" width="2.42578125" style="3" customWidth="1"/>
    <col min="6666" max="6666" width="65" style="3" customWidth="1"/>
    <col min="6667" max="6672" width="13.42578125" style="3" customWidth="1"/>
    <col min="6673" max="6673" width="20.42578125" style="3" customWidth="1"/>
    <col min="6674" max="6674" width="7.5703125" style="3" customWidth="1"/>
    <col min="6675" max="6675" width="14.42578125" style="3" bestFit="1" customWidth="1"/>
    <col min="6676" max="6688" width="7.5703125" style="3" customWidth="1"/>
    <col min="6689" max="6917" width="12.5703125" style="3"/>
    <col min="6918" max="6918" width="2" style="3" customWidth="1"/>
    <col min="6919" max="6921" width="2.42578125" style="3" customWidth="1"/>
    <col min="6922" max="6922" width="65" style="3" customWidth="1"/>
    <col min="6923" max="6928" width="13.42578125" style="3" customWidth="1"/>
    <col min="6929" max="6929" width="20.42578125" style="3" customWidth="1"/>
    <col min="6930" max="6930" width="7.5703125" style="3" customWidth="1"/>
    <col min="6931" max="6931" width="14.42578125" style="3" bestFit="1" customWidth="1"/>
    <col min="6932" max="6944" width="7.5703125" style="3" customWidth="1"/>
    <col min="6945" max="7173" width="12.5703125" style="3"/>
    <col min="7174" max="7174" width="2" style="3" customWidth="1"/>
    <col min="7175" max="7177" width="2.42578125" style="3" customWidth="1"/>
    <col min="7178" max="7178" width="65" style="3" customWidth="1"/>
    <col min="7179" max="7184" width="13.42578125" style="3" customWidth="1"/>
    <col min="7185" max="7185" width="20.42578125" style="3" customWidth="1"/>
    <col min="7186" max="7186" width="7.5703125" style="3" customWidth="1"/>
    <col min="7187" max="7187" width="14.42578125" style="3" bestFit="1" customWidth="1"/>
    <col min="7188" max="7200" width="7.5703125" style="3" customWidth="1"/>
    <col min="7201" max="7429" width="12.5703125" style="3"/>
    <col min="7430" max="7430" width="2" style="3" customWidth="1"/>
    <col min="7431" max="7433" width="2.42578125" style="3" customWidth="1"/>
    <col min="7434" max="7434" width="65" style="3" customWidth="1"/>
    <col min="7435" max="7440" width="13.42578125" style="3" customWidth="1"/>
    <col min="7441" max="7441" width="20.42578125" style="3" customWidth="1"/>
    <col min="7442" max="7442" width="7.5703125" style="3" customWidth="1"/>
    <col min="7443" max="7443" width="14.42578125" style="3" bestFit="1" customWidth="1"/>
    <col min="7444" max="7456" width="7.5703125" style="3" customWidth="1"/>
    <col min="7457" max="7685" width="12.5703125" style="3"/>
    <col min="7686" max="7686" width="2" style="3" customWidth="1"/>
    <col min="7687" max="7689" width="2.42578125" style="3" customWidth="1"/>
    <col min="7690" max="7690" width="65" style="3" customWidth="1"/>
    <col min="7691" max="7696" width="13.42578125" style="3" customWidth="1"/>
    <col min="7697" max="7697" width="20.42578125" style="3" customWidth="1"/>
    <col min="7698" max="7698" width="7.5703125" style="3" customWidth="1"/>
    <col min="7699" max="7699" width="14.42578125" style="3" bestFit="1" customWidth="1"/>
    <col min="7700" max="7712" width="7.5703125" style="3" customWidth="1"/>
    <col min="7713" max="7941" width="12.5703125" style="3"/>
    <col min="7942" max="7942" width="2" style="3" customWidth="1"/>
    <col min="7943" max="7945" width="2.42578125" style="3" customWidth="1"/>
    <col min="7946" max="7946" width="65" style="3" customWidth="1"/>
    <col min="7947" max="7952" width="13.42578125" style="3" customWidth="1"/>
    <col min="7953" max="7953" width="20.42578125" style="3" customWidth="1"/>
    <col min="7954" max="7954" width="7.5703125" style="3" customWidth="1"/>
    <col min="7955" max="7955" width="14.42578125" style="3" bestFit="1" customWidth="1"/>
    <col min="7956" max="7968" width="7.5703125" style="3" customWidth="1"/>
    <col min="7969" max="8197" width="12.5703125" style="3"/>
    <col min="8198" max="8198" width="2" style="3" customWidth="1"/>
    <col min="8199" max="8201" width="2.42578125" style="3" customWidth="1"/>
    <col min="8202" max="8202" width="65" style="3" customWidth="1"/>
    <col min="8203" max="8208" width="13.42578125" style="3" customWidth="1"/>
    <col min="8209" max="8209" width="20.42578125" style="3" customWidth="1"/>
    <col min="8210" max="8210" width="7.5703125" style="3" customWidth="1"/>
    <col min="8211" max="8211" width="14.42578125" style="3" bestFit="1" customWidth="1"/>
    <col min="8212" max="8224" width="7.5703125" style="3" customWidth="1"/>
    <col min="8225" max="8453" width="12.5703125" style="3"/>
    <col min="8454" max="8454" width="2" style="3" customWidth="1"/>
    <col min="8455" max="8457" width="2.42578125" style="3" customWidth="1"/>
    <col min="8458" max="8458" width="65" style="3" customWidth="1"/>
    <col min="8459" max="8464" width="13.42578125" style="3" customWidth="1"/>
    <col min="8465" max="8465" width="20.42578125" style="3" customWidth="1"/>
    <col min="8466" max="8466" width="7.5703125" style="3" customWidth="1"/>
    <col min="8467" max="8467" width="14.42578125" style="3" bestFit="1" customWidth="1"/>
    <col min="8468" max="8480" width="7.5703125" style="3" customWidth="1"/>
    <col min="8481" max="8709" width="12.5703125" style="3"/>
    <col min="8710" max="8710" width="2" style="3" customWidth="1"/>
    <col min="8711" max="8713" width="2.42578125" style="3" customWidth="1"/>
    <col min="8714" max="8714" width="65" style="3" customWidth="1"/>
    <col min="8715" max="8720" width="13.42578125" style="3" customWidth="1"/>
    <col min="8721" max="8721" width="20.42578125" style="3" customWidth="1"/>
    <col min="8722" max="8722" width="7.5703125" style="3" customWidth="1"/>
    <col min="8723" max="8723" width="14.42578125" style="3" bestFit="1" customWidth="1"/>
    <col min="8724" max="8736" width="7.5703125" style="3" customWidth="1"/>
    <col min="8737" max="8965" width="12.5703125" style="3"/>
    <col min="8966" max="8966" width="2" style="3" customWidth="1"/>
    <col min="8967" max="8969" width="2.42578125" style="3" customWidth="1"/>
    <col min="8970" max="8970" width="65" style="3" customWidth="1"/>
    <col min="8971" max="8976" width="13.42578125" style="3" customWidth="1"/>
    <col min="8977" max="8977" width="20.42578125" style="3" customWidth="1"/>
    <col min="8978" max="8978" width="7.5703125" style="3" customWidth="1"/>
    <col min="8979" max="8979" width="14.42578125" style="3" bestFit="1" customWidth="1"/>
    <col min="8980" max="8992" width="7.5703125" style="3" customWidth="1"/>
    <col min="8993" max="9221" width="12.5703125" style="3"/>
    <col min="9222" max="9222" width="2" style="3" customWidth="1"/>
    <col min="9223" max="9225" width="2.42578125" style="3" customWidth="1"/>
    <col min="9226" max="9226" width="65" style="3" customWidth="1"/>
    <col min="9227" max="9232" width="13.42578125" style="3" customWidth="1"/>
    <col min="9233" max="9233" width="20.42578125" style="3" customWidth="1"/>
    <col min="9234" max="9234" width="7.5703125" style="3" customWidth="1"/>
    <col min="9235" max="9235" width="14.42578125" style="3" bestFit="1" customWidth="1"/>
    <col min="9236" max="9248" width="7.5703125" style="3" customWidth="1"/>
    <col min="9249" max="9477" width="12.5703125" style="3"/>
    <col min="9478" max="9478" width="2" style="3" customWidth="1"/>
    <col min="9479" max="9481" width="2.42578125" style="3" customWidth="1"/>
    <col min="9482" max="9482" width="65" style="3" customWidth="1"/>
    <col min="9483" max="9488" width="13.42578125" style="3" customWidth="1"/>
    <col min="9489" max="9489" width="20.42578125" style="3" customWidth="1"/>
    <col min="9490" max="9490" width="7.5703125" style="3" customWidth="1"/>
    <col min="9491" max="9491" width="14.42578125" style="3" bestFit="1" customWidth="1"/>
    <col min="9492" max="9504" width="7.5703125" style="3" customWidth="1"/>
    <col min="9505" max="9733" width="12.5703125" style="3"/>
    <col min="9734" max="9734" width="2" style="3" customWidth="1"/>
    <col min="9735" max="9737" width="2.42578125" style="3" customWidth="1"/>
    <col min="9738" max="9738" width="65" style="3" customWidth="1"/>
    <col min="9739" max="9744" width="13.42578125" style="3" customWidth="1"/>
    <col min="9745" max="9745" width="20.42578125" style="3" customWidth="1"/>
    <col min="9746" max="9746" width="7.5703125" style="3" customWidth="1"/>
    <col min="9747" max="9747" width="14.42578125" style="3" bestFit="1" customWidth="1"/>
    <col min="9748" max="9760" width="7.5703125" style="3" customWidth="1"/>
    <col min="9761" max="9989" width="12.5703125" style="3"/>
    <col min="9990" max="9990" width="2" style="3" customWidth="1"/>
    <col min="9991" max="9993" width="2.42578125" style="3" customWidth="1"/>
    <col min="9994" max="9994" width="65" style="3" customWidth="1"/>
    <col min="9995" max="10000" width="13.42578125" style="3" customWidth="1"/>
    <col min="10001" max="10001" width="20.42578125" style="3" customWidth="1"/>
    <col min="10002" max="10002" width="7.5703125" style="3" customWidth="1"/>
    <col min="10003" max="10003" width="14.42578125" style="3" bestFit="1" customWidth="1"/>
    <col min="10004" max="10016" width="7.5703125" style="3" customWidth="1"/>
    <col min="10017" max="10245" width="12.5703125" style="3"/>
    <col min="10246" max="10246" width="2" style="3" customWidth="1"/>
    <col min="10247" max="10249" width="2.42578125" style="3" customWidth="1"/>
    <col min="10250" max="10250" width="65" style="3" customWidth="1"/>
    <col min="10251" max="10256" width="13.42578125" style="3" customWidth="1"/>
    <col min="10257" max="10257" width="20.42578125" style="3" customWidth="1"/>
    <col min="10258" max="10258" width="7.5703125" style="3" customWidth="1"/>
    <col min="10259" max="10259" width="14.42578125" style="3" bestFit="1" customWidth="1"/>
    <col min="10260" max="10272" width="7.5703125" style="3" customWidth="1"/>
    <col min="10273" max="10501" width="12.5703125" style="3"/>
    <col min="10502" max="10502" width="2" style="3" customWidth="1"/>
    <col min="10503" max="10505" width="2.42578125" style="3" customWidth="1"/>
    <col min="10506" max="10506" width="65" style="3" customWidth="1"/>
    <col min="10507" max="10512" width="13.42578125" style="3" customWidth="1"/>
    <col min="10513" max="10513" width="20.42578125" style="3" customWidth="1"/>
    <col min="10514" max="10514" width="7.5703125" style="3" customWidth="1"/>
    <col min="10515" max="10515" width="14.42578125" style="3" bestFit="1" customWidth="1"/>
    <col min="10516" max="10528" width="7.5703125" style="3" customWidth="1"/>
    <col min="10529" max="10757" width="12.5703125" style="3"/>
    <col min="10758" max="10758" width="2" style="3" customWidth="1"/>
    <col min="10759" max="10761" width="2.42578125" style="3" customWidth="1"/>
    <col min="10762" max="10762" width="65" style="3" customWidth="1"/>
    <col min="10763" max="10768" width="13.42578125" style="3" customWidth="1"/>
    <col min="10769" max="10769" width="20.42578125" style="3" customWidth="1"/>
    <col min="10770" max="10770" width="7.5703125" style="3" customWidth="1"/>
    <col min="10771" max="10771" width="14.42578125" style="3" bestFit="1" customWidth="1"/>
    <col min="10772" max="10784" width="7.5703125" style="3" customWidth="1"/>
    <col min="10785" max="11013" width="12.5703125" style="3"/>
    <col min="11014" max="11014" width="2" style="3" customWidth="1"/>
    <col min="11015" max="11017" width="2.42578125" style="3" customWidth="1"/>
    <col min="11018" max="11018" width="65" style="3" customWidth="1"/>
    <col min="11019" max="11024" width="13.42578125" style="3" customWidth="1"/>
    <col min="11025" max="11025" width="20.42578125" style="3" customWidth="1"/>
    <col min="11026" max="11026" width="7.5703125" style="3" customWidth="1"/>
    <col min="11027" max="11027" width="14.42578125" style="3" bestFit="1" customWidth="1"/>
    <col min="11028" max="11040" width="7.5703125" style="3" customWidth="1"/>
    <col min="11041" max="11269" width="12.5703125" style="3"/>
    <col min="11270" max="11270" width="2" style="3" customWidth="1"/>
    <col min="11271" max="11273" width="2.42578125" style="3" customWidth="1"/>
    <col min="11274" max="11274" width="65" style="3" customWidth="1"/>
    <col min="11275" max="11280" width="13.42578125" style="3" customWidth="1"/>
    <col min="11281" max="11281" width="20.42578125" style="3" customWidth="1"/>
    <col min="11282" max="11282" width="7.5703125" style="3" customWidth="1"/>
    <col min="11283" max="11283" width="14.42578125" style="3" bestFit="1" customWidth="1"/>
    <col min="11284" max="11296" width="7.5703125" style="3" customWidth="1"/>
    <col min="11297" max="11525" width="12.5703125" style="3"/>
    <col min="11526" max="11526" width="2" style="3" customWidth="1"/>
    <col min="11527" max="11529" width="2.42578125" style="3" customWidth="1"/>
    <col min="11530" max="11530" width="65" style="3" customWidth="1"/>
    <col min="11531" max="11536" width="13.42578125" style="3" customWidth="1"/>
    <col min="11537" max="11537" width="20.42578125" style="3" customWidth="1"/>
    <col min="11538" max="11538" width="7.5703125" style="3" customWidth="1"/>
    <col min="11539" max="11539" width="14.42578125" style="3" bestFit="1" customWidth="1"/>
    <col min="11540" max="11552" width="7.5703125" style="3" customWidth="1"/>
    <col min="11553" max="11781" width="12.5703125" style="3"/>
    <col min="11782" max="11782" width="2" style="3" customWidth="1"/>
    <col min="11783" max="11785" width="2.42578125" style="3" customWidth="1"/>
    <col min="11786" max="11786" width="65" style="3" customWidth="1"/>
    <col min="11787" max="11792" width="13.42578125" style="3" customWidth="1"/>
    <col min="11793" max="11793" width="20.42578125" style="3" customWidth="1"/>
    <col min="11794" max="11794" width="7.5703125" style="3" customWidth="1"/>
    <col min="11795" max="11795" width="14.42578125" style="3" bestFit="1" customWidth="1"/>
    <col min="11796" max="11808" width="7.5703125" style="3" customWidth="1"/>
    <col min="11809" max="12037" width="12.5703125" style="3"/>
    <col min="12038" max="12038" width="2" style="3" customWidth="1"/>
    <col min="12039" max="12041" width="2.42578125" style="3" customWidth="1"/>
    <col min="12042" max="12042" width="65" style="3" customWidth="1"/>
    <col min="12043" max="12048" width="13.42578125" style="3" customWidth="1"/>
    <col min="12049" max="12049" width="20.42578125" style="3" customWidth="1"/>
    <col min="12050" max="12050" width="7.5703125" style="3" customWidth="1"/>
    <col min="12051" max="12051" width="14.42578125" style="3" bestFit="1" customWidth="1"/>
    <col min="12052" max="12064" width="7.5703125" style="3" customWidth="1"/>
    <col min="12065" max="12293" width="12.5703125" style="3"/>
    <col min="12294" max="12294" width="2" style="3" customWidth="1"/>
    <col min="12295" max="12297" width="2.42578125" style="3" customWidth="1"/>
    <col min="12298" max="12298" width="65" style="3" customWidth="1"/>
    <col min="12299" max="12304" width="13.42578125" style="3" customWidth="1"/>
    <col min="12305" max="12305" width="20.42578125" style="3" customWidth="1"/>
    <col min="12306" max="12306" width="7.5703125" style="3" customWidth="1"/>
    <col min="12307" max="12307" width="14.42578125" style="3" bestFit="1" customWidth="1"/>
    <col min="12308" max="12320" width="7.5703125" style="3" customWidth="1"/>
    <col min="12321" max="12549" width="12.5703125" style="3"/>
    <col min="12550" max="12550" width="2" style="3" customWidth="1"/>
    <col min="12551" max="12553" width="2.42578125" style="3" customWidth="1"/>
    <col min="12554" max="12554" width="65" style="3" customWidth="1"/>
    <col min="12555" max="12560" width="13.42578125" style="3" customWidth="1"/>
    <col min="12561" max="12561" width="20.42578125" style="3" customWidth="1"/>
    <col min="12562" max="12562" width="7.5703125" style="3" customWidth="1"/>
    <col min="12563" max="12563" width="14.42578125" style="3" bestFit="1" customWidth="1"/>
    <col min="12564" max="12576" width="7.5703125" style="3" customWidth="1"/>
    <col min="12577" max="12805" width="12.5703125" style="3"/>
    <col min="12806" max="12806" width="2" style="3" customWidth="1"/>
    <col min="12807" max="12809" width="2.42578125" style="3" customWidth="1"/>
    <col min="12810" max="12810" width="65" style="3" customWidth="1"/>
    <col min="12811" max="12816" width="13.42578125" style="3" customWidth="1"/>
    <col min="12817" max="12817" width="20.42578125" style="3" customWidth="1"/>
    <col min="12818" max="12818" width="7.5703125" style="3" customWidth="1"/>
    <col min="12819" max="12819" width="14.42578125" style="3" bestFit="1" customWidth="1"/>
    <col min="12820" max="12832" width="7.5703125" style="3" customWidth="1"/>
    <col min="12833" max="13061" width="12.5703125" style="3"/>
    <col min="13062" max="13062" width="2" style="3" customWidth="1"/>
    <col min="13063" max="13065" width="2.42578125" style="3" customWidth="1"/>
    <col min="13066" max="13066" width="65" style="3" customWidth="1"/>
    <col min="13067" max="13072" width="13.42578125" style="3" customWidth="1"/>
    <col min="13073" max="13073" width="20.42578125" style="3" customWidth="1"/>
    <col min="13074" max="13074" width="7.5703125" style="3" customWidth="1"/>
    <col min="13075" max="13075" width="14.42578125" style="3" bestFit="1" customWidth="1"/>
    <col min="13076" max="13088" width="7.5703125" style="3" customWidth="1"/>
    <col min="13089" max="13317" width="12.5703125" style="3"/>
    <col min="13318" max="13318" width="2" style="3" customWidth="1"/>
    <col min="13319" max="13321" width="2.42578125" style="3" customWidth="1"/>
    <col min="13322" max="13322" width="65" style="3" customWidth="1"/>
    <col min="13323" max="13328" width="13.42578125" style="3" customWidth="1"/>
    <col min="13329" max="13329" width="20.42578125" style="3" customWidth="1"/>
    <col min="13330" max="13330" width="7.5703125" style="3" customWidth="1"/>
    <col min="13331" max="13331" width="14.42578125" style="3" bestFit="1" customWidth="1"/>
    <col min="13332" max="13344" width="7.5703125" style="3" customWidth="1"/>
    <col min="13345" max="13573" width="12.5703125" style="3"/>
    <col min="13574" max="13574" width="2" style="3" customWidth="1"/>
    <col min="13575" max="13577" width="2.42578125" style="3" customWidth="1"/>
    <col min="13578" max="13578" width="65" style="3" customWidth="1"/>
    <col min="13579" max="13584" width="13.42578125" style="3" customWidth="1"/>
    <col min="13585" max="13585" width="20.42578125" style="3" customWidth="1"/>
    <col min="13586" max="13586" width="7.5703125" style="3" customWidth="1"/>
    <col min="13587" max="13587" width="14.42578125" style="3" bestFit="1" customWidth="1"/>
    <col min="13588" max="13600" width="7.5703125" style="3" customWidth="1"/>
    <col min="13601" max="13829" width="12.5703125" style="3"/>
    <col min="13830" max="13830" width="2" style="3" customWidth="1"/>
    <col min="13831" max="13833" width="2.42578125" style="3" customWidth="1"/>
    <col min="13834" max="13834" width="65" style="3" customWidth="1"/>
    <col min="13835" max="13840" width="13.42578125" style="3" customWidth="1"/>
    <col min="13841" max="13841" width="20.42578125" style="3" customWidth="1"/>
    <col min="13842" max="13842" width="7.5703125" style="3" customWidth="1"/>
    <col min="13843" max="13843" width="14.42578125" style="3" bestFit="1" customWidth="1"/>
    <col min="13844" max="13856" width="7.5703125" style="3" customWidth="1"/>
    <col min="13857" max="14085" width="12.5703125" style="3"/>
    <col min="14086" max="14086" width="2" style="3" customWidth="1"/>
    <col min="14087" max="14089" width="2.42578125" style="3" customWidth="1"/>
    <col min="14090" max="14090" width="65" style="3" customWidth="1"/>
    <col min="14091" max="14096" width="13.42578125" style="3" customWidth="1"/>
    <col min="14097" max="14097" width="20.42578125" style="3" customWidth="1"/>
    <col min="14098" max="14098" width="7.5703125" style="3" customWidth="1"/>
    <col min="14099" max="14099" width="14.42578125" style="3" bestFit="1" customWidth="1"/>
    <col min="14100" max="14112" width="7.5703125" style="3" customWidth="1"/>
    <col min="14113" max="14341" width="12.5703125" style="3"/>
    <col min="14342" max="14342" width="2" style="3" customWidth="1"/>
    <col min="14343" max="14345" width="2.42578125" style="3" customWidth="1"/>
    <col min="14346" max="14346" width="65" style="3" customWidth="1"/>
    <col min="14347" max="14352" width="13.42578125" style="3" customWidth="1"/>
    <col min="14353" max="14353" width="20.42578125" style="3" customWidth="1"/>
    <col min="14354" max="14354" width="7.5703125" style="3" customWidth="1"/>
    <col min="14355" max="14355" width="14.42578125" style="3" bestFit="1" customWidth="1"/>
    <col min="14356" max="14368" width="7.5703125" style="3" customWidth="1"/>
    <col min="14369" max="14597" width="12.5703125" style="3"/>
    <col min="14598" max="14598" width="2" style="3" customWidth="1"/>
    <col min="14599" max="14601" width="2.42578125" style="3" customWidth="1"/>
    <col min="14602" max="14602" width="65" style="3" customWidth="1"/>
    <col min="14603" max="14608" width="13.42578125" style="3" customWidth="1"/>
    <col min="14609" max="14609" width="20.42578125" style="3" customWidth="1"/>
    <col min="14610" max="14610" width="7.5703125" style="3" customWidth="1"/>
    <col min="14611" max="14611" width="14.42578125" style="3" bestFit="1" customWidth="1"/>
    <col min="14612" max="14624" width="7.5703125" style="3" customWidth="1"/>
    <col min="14625" max="14853" width="12.5703125" style="3"/>
    <col min="14854" max="14854" width="2" style="3" customWidth="1"/>
    <col min="14855" max="14857" width="2.42578125" style="3" customWidth="1"/>
    <col min="14858" max="14858" width="65" style="3" customWidth="1"/>
    <col min="14859" max="14864" width="13.42578125" style="3" customWidth="1"/>
    <col min="14865" max="14865" width="20.42578125" style="3" customWidth="1"/>
    <col min="14866" max="14866" width="7.5703125" style="3" customWidth="1"/>
    <col min="14867" max="14867" width="14.42578125" style="3" bestFit="1" customWidth="1"/>
    <col min="14868" max="14880" width="7.5703125" style="3" customWidth="1"/>
    <col min="14881" max="15109" width="12.5703125" style="3"/>
    <col min="15110" max="15110" width="2" style="3" customWidth="1"/>
    <col min="15111" max="15113" width="2.42578125" style="3" customWidth="1"/>
    <col min="15114" max="15114" width="65" style="3" customWidth="1"/>
    <col min="15115" max="15120" width="13.42578125" style="3" customWidth="1"/>
    <col min="15121" max="15121" width="20.42578125" style="3" customWidth="1"/>
    <col min="15122" max="15122" width="7.5703125" style="3" customWidth="1"/>
    <col min="15123" max="15123" width="14.42578125" style="3" bestFit="1" customWidth="1"/>
    <col min="15124" max="15136" width="7.5703125" style="3" customWidth="1"/>
    <col min="15137" max="15365" width="12.5703125" style="3"/>
    <col min="15366" max="15366" width="2" style="3" customWidth="1"/>
    <col min="15367" max="15369" width="2.42578125" style="3" customWidth="1"/>
    <col min="15370" max="15370" width="65" style="3" customWidth="1"/>
    <col min="15371" max="15376" width="13.42578125" style="3" customWidth="1"/>
    <col min="15377" max="15377" width="20.42578125" style="3" customWidth="1"/>
    <col min="15378" max="15378" width="7.5703125" style="3" customWidth="1"/>
    <col min="15379" max="15379" width="14.42578125" style="3" bestFit="1" customWidth="1"/>
    <col min="15380" max="15392" width="7.5703125" style="3" customWidth="1"/>
    <col min="15393" max="15621" width="12.5703125" style="3"/>
    <col min="15622" max="15622" width="2" style="3" customWidth="1"/>
    <col min="15623" max="15625" width="2.42578125" style="3" customWidth="1"/>
    <col min="15626" max="15626" width="65" style="3" customWidth="1"/>
    <col min="15627" max="15632" width="13.42578125" style="3" customWidth="1"/>
    <col min="15633" max="15633" width="20.42578125" style="3" customWidth="1"/>
    <col min="15634" max="15634" width="7.5703125" style="3" customWidth="1"/>
    <col min="15635" max="15635" width="14.42578125" style="3" bestFit="1" customWidth="1"/>
    <col min="15636" max="15648" width="7.5703125" style="3" customWidth="1"/>
    <col min="15649" max="15877" width="12.5703125" style="3"/>
    <col min="15878" max="15878" width="2" style="3" customWidth="1"/>
    <col min="15879" max="15881" width="2.42578125" style="3" customWidth="1"/>
    <col min="15882" max="15882" width="65" style="3" customWidth="1"/>
    <col min="15883" max="15888" width="13.42578125" style="3" customWidth="1"/>
    <col min="15889" max="15889" width="20.42578125" style="3" customWidth="1"/>
    <col min="15890" max="15890" width="7.5703125" style="3" customWidth="1"/>
    <col min="15891" max="15891" width="14.42578125" style="3" bestFit="1" customWidth="1"/>
    <col min="15892" max="15904" width="7.5703125" style="3" customWidth="1"/>
    <col min="15905" max="16133" width="12.5703125" style="3"/>
    <col min="16134" max="16134" width="2" style="3" customWidth="1"/>
    <col min="16135" max="16137" width="2.42578125" style="3" customWidth="1"/>
    <col min="16138" max="16138" width="65" style="3" customWidth="1"/>
    <col min="16139" max="16144" width="13.42578125" style="3" customWidth="1"/>
    <col min="16145" max="16145" width="20.42578125" style="3" customWidth="1"/>
    <col min="16146" max="16146" width="7.5703125" style="3" customWidth="1"/>
    <col min="16147" max="16147" width="14.42578125" style="3" bestFit="1" customWidth="1"/>
    <col min="16148" max="16160" width="7.5703125" style="3" customWidth="1"/>
    <col min="16161" max="16384" width="12.5703125" style="3"/>
  </cols>
  <sheetData>
    <row r="1" spans="1:22" s="20" customFormat="1" ht="21" customHeight="1">
      <c r="A1" s="2633" t="s">
        <v>183</v>
      </c>
      <c r="B1" s="2633"/>
      <c r="C1" s="2633"/>
      <c r="D1" s="2633"/>
      <c r="E1" s="2633"/>
      <c r="F1" s="2633"/>
      <c r="G1" s="2633"/>
      <c r="H1" s="2633"/>
      <c r="I1" s="2633"/>
      <c r="J1" s="2633"/>
      <c r="K1" s="2633"/>
      <c r="L1" s="2633"/>
      <c r="M1" s="2633"/>
      <c r="N1" s="2633"/>
      <c r="O1" s="2633"/>
      <c r="P1" s="2633"/>
      <c r="Q1" s="2633"/>
      <c r="R1" s="2633"/>
      <c r="S1" s="2633"/>
      <c r="T1" s="2633"/>
      <c r="V1" s="1612"/>
    </row>
    <row r="2" spans="1:22" s="20" customFormat="1" ht="21" customHeight="1">
      <c r="A2" s="2633" t="s">
        <v>184</v>
      </c>
      <c r="B2" s="2633"/>
      <c r="C2" s="2633"/>
      <c r="D2" s="2633"/>
      <c r="E2" s="2633"/>
      <c r="F2" s="2633"/>
      <c r="G2" s="2633"/>
      <c r="H2" s="2633"/>
      <c r="I2" s="2633"/>
      <c r="J2" s="2633"/>
      <c r="K2" s="2633"/>
      <c r="L2" s="2633"/>
      <c r="M2" s="2633"/>
      <c r="N2" s="2633"/>
      <c r="O2" s="2633"/>
      <c r="P2" s="2633"/>
      <c r="Q2" s="2633"/>
      <c r="R2" s="2633"/>
      <c r="S2" s="2633"/>
      <c r="T2" s="2633"/>
      <c r="V2" s="1612"/>
    </row>
    <row r="3" spans="1:22" s="20" customFormat="1" ht="21" customHeight="1">
      <c r="A3" s="2633" t="s">
        <v>1441</v>
      </c>
      <c r="B3" s="2633"/>
      <c r="C3" s="2633"/>
      <c r="D3" s="2633"/>
      <c r="E3" s="2633"/>
      <c r="F3" s="2633"/>
      <c r="G3" s="2633"/>
      <c r="H3" s="2633"/>
      <c r="I3" s="2633"/>
      <c r="J3" s="2633"/>
      <c r="K3" s="2633"/>
      <c r="L3" s="2633"/>
      <c r="M3" s="2633"/>
      <c r="N3" s="2633"/>
      <c r="O3" s="2633"/>
      <c r="P3" s="2633"/>
      <c r="Q3" s="2633"/>
      <c r="R3" s="2633"/>
      <c r="S3" s="2633"/>
      <c r="T3" s="2633"/>
      <c r="V3" s="1612"/>
    </row>
    <row r="4" spans="1:22" ht="20.25" customHeight="1">
      <c r="A4" s="2"/>
      <c r="B4" s="2"/>
      <c r="C4" s="2"/>
      <c r="D4" s="2"/>
      <c r="E4" s="79"/>
      <c r="F4" s="193"/>
      <c r="G4" s="193"/>
      <c r="I4" s="193"/>
      <c r="J4" s="598"/>
      <c r="K4" s="193" t="s">
        <v>1</v>
      </c>
      <c r="L4" s="193"/>
      <c r="M4" s="193"/>
      <c r="N4" s="193" t="s">
        <v>1</v>
      </c>
      <c r="O4" s="193"/>
      <c r="P4" s="193"/>
    </row>
    <row r="5" spans="1:22" ht="24.95" customHeight="1">
      <c r="A5" s="2"/>
      <c r="B5" s="2634" t="s">
        <v>3</v>
      </c>
      <c r="C5" s="2634"/>
      <c r="D5" s="2634"/>
      <c r="E5" s="2634"/>
      <c r="F5" s="2711" t="s">
        <v>12</v>
      </c>
      <c r="G5" s="2711"/>
      <c r="H5" s="2711"/>
      <c r="I5" s="2711"/>
      <c r="J5" s="2711"/>
      <c r="K5" s="2711"/>
      <c r="L5" s="2711"/>
      <c r="M5" s="2711"/>
      <c r="N5" s="2711"/>
      <c r="O5" s="2711"/>
      <c r="P5" s="1588"/>
      <c r="Q5" s="2712" t="s">
        <v>178</v>
      </c>
      <c r="R5" s="2714" t="s">
        <v>571</v>
      </c>
      <c r="S5" s="2715"/>
      <c r="T5" s="2709" t="s">
        <v>1515</v>
      </c>
      <c r="U5" s="2707" t="s">
        <v>1718</v>
      </c>
      <c r="V5" s="2708" t="s">
        <v>1000</v>
      </c>
    </row>
    <row r="6" spans="1:22" s="32" customFormat="1" ht="24.95" customHeight="1">
      <c r="A6" s="33"/>
      <c r="B6" s="2634"/>
      <c r="C6" s="2634"/>
      <c r="D6" s="2634"/>
      <c r="E6" s="2634"/>
      <c r="F6" s="359" t="s">
        <v>180</v>
      </c>
      <c r="G6" s="359" t="s">
        <v>620</v>
      </c>
      <c r="H6" s="359"/>
      <c r="I6" s="359"/>
      <c r="J6" s="359"/>
      <c r="K6" s="359"/>
      <c r="L6" s="359"/>
      <c r="M6" s="359"/>
      <c r="N6" s="359"/>
      <c r="O6" s="359" t="s">
        <v>1442</v>
      </c>
      <c r="P6" s="1589">
        <f>+M6</f>
        <v>0</v>
      </c>
      <c r="Q6" s="2713"/>
      <c r="R6" s="1698" t="s">
        <v>1514</v>
      </c>
      <c r="S6" s="1698" t="s">
        <v>1053</v>
      </c>
      <c r="T6" s="2710"/>
      <c r="U6" s="2707"/>
      <c r="V6" s="2708"/>
    </row>
    <row r="7" spans="1:22" s="32" customFormat="1" ht="24.95" customHeight="1">
      <c r="A7" s="33"/>
      <c r="B7" s="70" t="s">
        <v>15</v>
      </c>
      <c r="C7" s="70"/>
      <c r="D7" s="70"/>
      <c r="E7" s="70"/>
      <c r="F7" s="574"/>
      <c r="G7" s="575"/>
      <c r="H7" s="575"/>
      <c r="I7" s="575"/>
      <c r="J7" s="599"/>
      <c r="K7" s="576"/>
      <c r="L7" s="576"/>
      <c r="M7" s="576"/>
      <c r="N7" s="576"/>
      <c r="O7" s="576"/>
      <c r="P7" s="576"/>
      <c r="Q7" s="576"/>
      <c r="R7" s="576"/>
      <c r="S7" s="576"/>
      <c r="T7" s="576"/>
      <c r="V7" s="157"/>
    </row>
    <row r="8" spans="1:22" s="32" customFormat="1" ht="24.95" customHeight="1">
      <c r="A8" s="33"/>
      <c r="B8" s="70"/>
      <c r="C8" s="70" t="s">
        <v>16</v>
      </c>
      <c r="D8" s="70"/>
      <c r="E8" s="70"/>
      <c r="F8" s="577"/>
      <c r="G8" s="578"/>
      <c r="H8" s="578"/>
      <c r="I8" s="578"/>
      <c r="J8" s="77"/>
      <c r="K8" s="576"/>
      <c r="L8" s="576"/>
      <c r="M8" s="576"/>
      <c r="N8" s="576"/>
      <c r="O8" s="576"/>
      <c r="P8" s="576"/>
      <c r="Q8" s="576"/>
      <c r="R8" s="576"/>
      <c r="S8" s="576"/>
      <c r="T8" s="576"/>
      <c r="V8" s="157"/>
    </row>
    <row r="9" spans="1:22" s="729" customFormat="1" ht="24.95" customHeight="1">
      <c r="A9" s="725"/>
      <c r="B9" s="726"/>
      <c r="C9" s="726"/>
      <c r="D9" s="726"/>
      <c r="E9" s="727" t="s">
        <v>17</v>
      </c>
      <c r="F9" s="584">
        <f>+ประมาณการรายรับ!K12+ประมาณการรายรับ!K13+ประมาณการรายรับ!L13</f>
        <v>512729856.87999994</v>
      </c>
      <c r="G9" s="585">
        <f>+ประมาณการรายรับ!M12+ประมาณการรายรับ!M13+ประมาณการรายรับ!N13</f>
        <v>612875266.59000003</v>
      </c>
      <c r="H9" s="585">
        <f>+ประมาณการรายรับ!O12+ประมาณการรายรับ!O13</f>
        <v>620000000</v>
      </c>
      <c r="I9" s="585">
        <f>+ประมาณการรายรับ!R12+ประมาณการรายรับ!R13</f>
        <v>286522226.51000005</v>
      </c>
      <c r="J9" s="149">
        <f>+I9/H9*100</f>
        <v>46.213262340322586</v>
      </c>
      <c r="K9" s="586">
        <f>+ประมาณการรายรับ!T12+ประมาณการรายรับ!T13</f>
        <v>605000000</v>
      </c>
      <c r="L9" s="586">
        <f>+ประมาณการรายรับ!V12+ประมาณการรายรับ!V13</f>
        <v>429745381.89999998</v>
      </c>
      <c r="M9" s="586">
        <f>+L9/K9*100</f>
        <v>71.032294528925618</v>
      </c>
      <c r="N9" s="586">
        <f>+ประมาณการรายรับ!Y12+ประมาณการรายรับ!Y13</f>
        <v>555000000</v>
      </c>
      <c r="O9" s="586">
        <f>+ประมาณการรายรับ!Z12+ประมาณการรายรับ!Z13</f>
        <v>511539186.28000003</v>
      </c>
      <c r="P9" s="586">
        <f>+O9/N9*100</f>
        <v>92.16922275315315</v>
      </c>
      <c r="Q9" s="586">
        <f>+ประมาณการรายรับ!AB12+ประมาณการรายรับ!AB13</f>
        <v>550000000</v>
      </c>
      <c r="R9" s="1700">
        <f>+ประมาณการรายรับ!AE12+ประมาณการรายรับ!AE13</f>
        <v>389462493.66000003</v>
      </c>
      <c r="S9" s="1923">
        <f t="shared" ref="S9:S17" si="0">+R9/Q9*100</f>
        <v>70.811362483636358</v>
      </c>
      <c r="T9" s="1700">
        <f>+ประมาณการรายรับ!AG12+ประมาณการรายรับ!AG13</f>
        <v>590000000</v>
      </c>
      <c r="U9" s="728">
        <f>+(T9-Q9)/T9*100</f>
        <v>6.7796610169491522</v>
      </c>
      <c r="V9" s="728">
        <f>+T9-Q9</f>
        <v>40000000</v>
      </c>
    </row>
    <row r="10" spans="1:22" s="729" customFormat="1" ht="24.95" customHeight="1">
      <c r="A10" s="725"/>
      <c r="B10" s="726"/>
      <c r="C10" s="726"/>
      <c r="D10" s="726"/>
      <c r="E10" s="727" t="s">
        <v>18</v>
      </c>
      <c r="F10" s="584">
        <f>+ประมาณการรายรับ!K18</f>
        <v>17480288.41</v>
      </c>
      <c r="G10" s="585">
        <f>+ประมาณการรายรับ!M18</f>
        <v>16162272.77</v>
      </c>
      <c r="H10" s="585">
        <f>+ประมาณการรายรับ!O18</f>
        <v>16000000</v>
      </c>
      <c r="I10" s="585">
        <f>+ประมาณการรายรับ!R18</f>
        <v>0</v>
      </c>
      <c r="J10" s="149">
        <f t="shared" ref="J10:J17" si="1">+I10/H10*100</f>
        <v>0</v>
      </c>
      <c r="K10" s="586">
        <f>+ประมาณการรายรับ!T18</f>
        <v>30827352.009999998</v>
      </c>
      <c r="L10" s="586">
        <f>+ประมาณการรายรับ!V18</f>
        <v>30827352.010000002</v>
      </c>
      <c r="M10" s="586">
        <f t="shared" ref="M10:M17" si="2">+L10/K10*100</f>
        <v>100.00000000000003</v>
      </c>
      <c r="N10" s="586">
        <f>+ประมาณการรายรับ!Y18</f>
        <v>30827352.009999998</v>
      </c>
      <c r="O10" s="586">
        <f>+ประมาณการรายรับ!Z18</f>
        <v>30827352.010000002</v>
      </c>
      <c r="P10" s="586">
        <f t="shared" ref="P10:P23" si="3">+O10/N10*100</f>
        <v>100.00000000000003</v>
      </c>
      <c r="Q10" s="586">
        <f>+ประมาณการรายรับ!AB18</f>
        <v>17000000</v>
      </c>
      <c r="R10" s="1700">
        <f>+ประมาณการรายรับ!AE18</f>
        <v>22596016.190000001</v>
      </c>
      <c r="S10" s="1923">
        <f t="shared" si="0"/>
        <v>132.91774229411766</v>
      </c>
      <c r="T10" s="1700">
        <f>+ประมาณการรายรับ!AG18</f>
        <v>22596016.190000001</v>
      </c>
      <c r="U10" s="728">
        <f t="shared" ref="U10:U24" si="4">+(T10-Q10)/T10*100</f>
        <v>24.765499116948547</v>
      </c>
      <c r="V10" s="728">
        <f t="shared" ref="V10:V17" si="5">+T10-Q10</f>
        <v>5596016.1900000013</v>
      </c>
    </row>
    <row r="11" spans="1:22" s="32" customFormat="1" ht="24.95" customHeight="1">
      <c r="A11" s="33"/>
      <c r="B11" s="31"/>
      <c r="C11" s="31"/>
      <c r="D11" s="31"/>
      <c r="E11" s="36" t="s">
        <v>19</v>
      </c>
      <c r="F11" s="570">
        <f>+ประมาณการรายรับ!K9</f>
        <v>1081750</v>
      </c>
      <c r="G11" s="316">
        <f>+ประมาณการรายรับ!M9</f>
        <v>2316591.5</v>
      </c>
      <c r="H11" s="316">
        <f>+ประมาณการรายรับ!O9</f>
        <v>2500000</v>
      </c>
      <c r="I11" s="316">
        <v>0</v>
      </c>
      <c r="J11" s="68">
        <f t="shared" si="1"/>
        <v>0</v>
      </c>
      <c r="K11" s="579">
        <f>+ประมาณการรายรับ!T9</f>
        <v>1500000</v>
      </c>
      <c r="L11" s="579">
        <f>+ประมาณการรายรับ!V9</f>
        <v>446800</v>
      </c>
      <c r="M11" s="579">
        <f t="shared" si="2"/>
        <v>29.786666666666665</v>
      </c>
      <c r="N11" s="579">
        <f>+ประมาณการรายรับ!Y9</f>
        <v>1500000</v>
      </c>
      <c r="O11" s="579">
        <f>+ประมาณการรายรับ!Z9</f>
        <v>1023450</v>
      </c>
      <c r="P11" s="586">
        <f t="shared" si="3"/>
        <v>68.23</v>
      </c>
      <c r="Q11" s="579">
        <f>+ประมาณการรายรับ!AB9</f>
        <v>1500000</v>
      </c>
      <c r="R11" s="1700">
        <f>+ประมาณการรายรับ!AE9</f>
        <v>565632</v>
      </c>
      <c r="S11" s="1700">
        <f t="shared" si="0"/>
        <v>37.708799999999997</v>
      </c>
      <c r="T11" s="1700">
        <f>+ประมาณการรายรับ!AG9</f>
        <v>1500000</v>
      </c>
      <c r="U11" s="728">
        <f t="shared" si="4"/>
        <v>0</v>
      </c>
      <c r="V11" s="728">
        <f t="shared" si="5"/>
        <v>0</v>
      </c>
    </row>
    <row r="12" spans="1:22" s="32" customFormat="1" ht="24.95" customHeight="1">
      <c r="A12" s="33"/>
      <c r="B12" s="31"/>
      <c r="C12" s="31"/>
      <c r="D12" s="31"/>
      <c r="E12" s="35" t="s">
        <v>20</v>
      </c>
      <c r="F12" s="570">
        <f>+ประมาณการรายรับ!K5</f>
        <v>335753903.76999998</v>
      </c>
      <c r="G12" s="316">
        <f>+ประมาณการรายรับ!M5</f>
        <v>377311396.82999998</v>
      </c>
      <c r="H12" s="316">
        <f>+ประมาณการรายรับ!O5</f>
        <v>380000000</v>
      </c>
      <c r="I12" s="316">
        <f>+ประมาณการรายรับ!R5</f>
        <v>203888566.25</v>
      </c>
      <c r="J12" s="68">
        <f t="shared" si="1"/>
        <v>53.65488585526316</v>
      </c>
      <c r="K12" s="579">
        <f>+ประมาณการรายรับ!T5</f>
        <v>380000000</v>
      </c>
      <c r="L12" s="579">
        <f>+ประมาณการรายรับ!V5</f>
        <v>306987125.54000002</v>
      </c>
      <c r="M12" s="579">
        <f t="shared" si="2"/>
        <v>80.786085668421066</v>
      </c>
      <c r="N12" s="579">
        <f>+ประมาณการรายรับ!Y5</f>
        <v>380000000</v>
      </c>
      <c r="O12" s="579">
        <f>+ประมาณการรายรับ!Z5</f>
        <v>409011018.95999998</v>
      </c>
      <c r="P12" s="586">
        <f t="shared" si="3"/>
        <v>107.63447867368421</v>
      </c>
      <c r="Q12" s="579">
        <f>+ประมาณการรายรับ!AB5</f>
        <v>420000000</v>
      </c>
      <c r="R12" s="1700">
        <f>+ประมาณการรายรับ!AE5</f>
        <v>247148855.59</v>
      </c>
      <c r="S12" s="1923">
        <f t="shared" si="0"/>
        <v>58.84496561666667</v>
      </c>
      <c r="T12" s="1700">
        <f>+ประมาณการรายรับ!AG5</f>
        <v>420000000</v>
      </c>
      <c r="U12" s="728">
        <f t="shared" si="4"/>
        <v>0</v>
      </c>
      <c r="V12" s="728">
        <f t="shared" si="5"/>
        <v>0</v>
      </c>
    </row>
    <row r="13" spans="1:22" s="32" customFormat="1" ht="24.95" customHeight="1">
      <c r="A13" s="33"/>
      <c r="B13" s="31"/>
      <c r="C13" s="31"/>
      <c r="D13" s="31"/>
      <c r="E13" s="35" t="s">
        <v>21</v>
      </c>
      <c r="F13" s="570">
        <f>+ประมาณการรายรับ!K6+ประมาณการรายรับ!K7</f>
        <v>113391295.02</v>
      </c>
      <c r="G13" s="316">
        <f>+ประมาณการรายรับ!M6</f>
        <v>149782909.38999999</v>
      </c>
      <c r="H13" s="316">
        <f>+ประมาณการรายรับ!O6</f>
        <v>160000000</v>
      </c>
      <c r="I13" s="316">
        <f>+ประมาณการรายรับ!R6</f>
        <v>68939728.170000002</v>
      </c>
      <c r="J13" s="68">
        <f t="shared" si="1"/>
        <v>43.08733010625</v>
      </c>
      <c r="K13" s="579">
        <f>+ประมาณการรายรับ!T6</f>
        <v>160000000</v>
      </c>
      <c r="L13" s="579">
        <f>+ประมาณการรายรับ!V6</f>
        <v>106693206.81999999</v>
      </c>
      <c r="M13" s="579">
        <f t="shared" si="2"/>
        <v>66.683254262499986</v>
      </c>
      <c r="N13" s="579">
        <f>+ประมาณการรายรับ!Y6</f>
        <v>160000000</v>
      </c>
      <c r="O13" s="579">
        <f>+ประมาณการรายรับ!Z6+ประมาณการรายรับ!Z7</f>
        <v>140314219.30000001</v>
      </c>
      <c r="P13" s="586">
        <f t="shared" si="3"/>
        <v>87.696387062500008</v>
      </c>
      <c r="Q13" s="579">
        <f>+ประมาณการรายรับ!AB6+ประมาณการรายรับ!AB7</f>
        <v>150000000</v>
      </c>
      <c r="R13" s="1700">
        <f>+ประมาณการรายรับ!AE6+ประมาณการรายรับ!AE7</f>
        <v>79330276.659999996</v>
      </c>
      <c r="S13" s="1923">
        <f t="shared" si="0"/>
        <v>52.886851106666668</v>
      </c>
      <c r="T13" s="1700">
        <f>+ประมาณการรายรับ!AG6+ประมาณการรายรับ!AG7</f>
        <v>160000000</v>
      </c>
      <c r="U13" s="728">
        <f t="shared" si="4"/>
        <v>6.25</v>
      </c>
      <c r="V13" s="728">
        <f t="shared" si="5"/>
        <v>10000000</v>
      </c>
    </row>
    <row r="14" spans="1:22" s="32" customFormat="1" ht="24.95" customHeight="1">
      <c r="A14" s="33"/>
      <c r="B14" s="31"/>
      <c r="C14" s="31"/>
      <c r="D14" s="31"/>
      <c r="E14" s="36" t="s">
        <v>22</v>
      </c>
      <c r="F14" s="570">
        <f>+ประมาณการรายรับ!K8</f>
        <v>33388979.420000002</v>
      </c>
      <c r="G14" s="316">
        <f>+ประมาณการรายรับ!M8</f>
        <v>53444240.979999997</v>
      </c>
      <c r="H14" s="316">
        <f>+ประมาณการรายรับ!O8</f>
        <v>60000000</v>
      </c>
      <c r="I14" s="316">
        <f>+ประมาณการรายรับ!R8</f>
        <v>55379689.560000002</v>
      </c>
      <c r="J14" s="68">
        <f t="shared" si="1"/>
        <v>92.299482600000005</v>
      </c>
      <c r="K14" s="579">
        <f>+ประมาณการรายรับ!T8</f>
        <v>60000000</v>
      </c>
      <c r="L14" s="579">
        <f>+ประมาณการรายรับ!V8</f>
        <v>75077175.620000005</v>
      </c>
      <c r="M14" s="579">
        <f t="shared" si="2"/>
        <v>125.12862603333335</v>
      </c>
      <c r="N14" s="579">
        <f>+ประมาณการรายรับ!Y8</f>
        <v>60000000</v>
      </c>
      <c r="O14" s="579">
        <f>+ประมาณการรายรับ!Z8</f>
        <v>75273783.620000005</v>
      </c>
      <c r="P14" s="586">
        <f t="shared" si="3"/>
        <v>125.45630603333333</v>
      </c>
      <c r="Q14" s="579">
        <f>+ประมาณการรายรับ!AB8</f>
        <v>60000000</v>
      </c>
      <c r="R14" s="1700">
        <f>+ประมาณการรายรับ!AE8</f>
        <v>23904232.82</v>
      </c>
      <c r="S14" s="1700">
        <f t="shared" si="0"/>
        <v>39.840388033333333</v>
      </c>
      <c r="T14" s="1700">
        <f>+ประมาณการรายรับ!AG8</f>
        <v>60000000</v>
      </c>
      <c r="U14" s="728">
        <f t="shared" si="4"/>
        <v>0</v>
      </c>
      <c r="V14" s="728">
        <f t="shared" si="5"/>
        <v>0</v>
      </c>
    </row>
    <row r="15" spans="1:22" s="32" customFormat="1" ht="24.95" customHeight="1">
      <c r="A15" s="33"/>
      <c r="B15" s="31"/>
      <c r="C15" s="31"/>
      <c r="D15" s="31"/>
      <c r="E15" s="36" t="s">
        <v>23</v>
      </c>
      <c r="F15" s="570">
        <f>+ประมาณการรายรับ!K14+ประมาณการรายรับ!L14</f>
        <v>302887691.68000001</v>
      </c>
      <c r="G15" s="316">
        <f>+ประมาณการรายรับ!M14</f>
        <v>372644207.60000002</v>
      </c>
      <c r="H15" s="316">
        <f>+ประมาณการรายรับ!O14</f>
        <v>381582997.38</v>
      </c>
      <c r="I15" s="316">
        <f>+ประมาณการรายรับ!R14</f>
        <v>174612602.28</v>
      </c>
      <c r="J15" s="68">
        <f t="shared" si="1"/>
        <v>45.760058356612724</v>
      </c>
      <c r="K15" s="579">
        <f>+ประมาณการรายรับ!T14</f>
        <v>365000000</v>
      </c>
      <c r="L15" s="579">
        <f>+ประมาณการรายรับ!V14</f>
        <v>244429167.63</v>
      </c>
      <c r="M15" s="579">
        <f t="shared" si="2"/>
        <v>66.966895241095898</v>
      </c>
      <c r="N15" s="579">
        <f>+ประมาณการรายรับ!Y14</f>
        <v>315000000</v>
      </c>
      <c r="O15" s="579">
        <f>+ประมาณการรายรับ!Z14</f>
        <v>346980309.44</v>
      </c>
      <c r="P15" s="586">
        <f t="shared" si="3"/>
        <v>110.15247918730158</v>
      </c>
      <c r="Q15" s="579">
        <f>+ประมาณการรายรับ!AB14</f>
        <v>350000000</v>
      </c>
      <c r="R15" s="1700">
        <f>+ประมาณการรายรับ!AE14</f>
        <v>129931817.86</v>
      </c>
      <c r="S15" s="1700">
        <f t="shared" si="0"/>
        <v>37.123376531428569</v>
      </c>
      <c r="T15" s="1700">
        <f>+ประมาณการรายรับ!AG14</f>
        <v>350000000</v>
      </c>
      <c r="U15" s="728">
        <f t="shared" si="4"/>
        <v>0</v>
      </c>
      <c r="V15" s="728">
        <f t="shared" si="5"/>
        <v>0</v>
      </c>
    </row>
    <row r="16" spans="1:22" s="32" customFormat="1" ht="24.95" customHeight="1">
      <c r="A16" s="33"/>
      <c r="B16" s="31"/>
      <c r="C16" s="31"/>
      <c r="D16" s="31"/>
      <c r="E16" s="36" t="s">
        <v>24</v>
      </c>
      <c r="F16" s="570">
        <f>+ประมาณการรายรับ!K16</f>
        <v>53074741.299999997</v>
      </c>
      <c r="G16" s="316">
        <f>+ประมาณการรายรับ!M16</f>
        <v>62740890.890000001</v>
      </c>
      <c r="H16" s="316">
        <f>+ประมาณการรายรับ!O16</f>
        <v>63000000</v>
      </c>
      <c r="I16" s="316">
        <f>+ประมาณการรายรับ!R16</f>
        <v>53809230.849999994</v>
      </c>
      <c r="J16" s="68">
        <f t="shared" si="1"/>
        <v>85.411477539682537</v>
      </c>
      <c r="K16" s="579">
        <f>+ประมาณการรายรับ!T16</f>
        <v>65000000</v>
      </c>
      <c r="L16" s="579">
        <f>+ประมาณการรายรับ!V16</f>
        <v>67600169.870000005</v>
      </c>
      <c r="M16" s="579">
        <f t="shared" si="2"/>
        <v>104.00026133846154</v>
      </c>
      <c r="N16" s="579">
        <f>+ประมาณการรายรับ!Y16</f>
        <v>65000000</v>
      </c>
      <c r="O16" s="579">
        <f>+ประมาณการรายรับ!Z16</f>
        <v>87645150.670000002</v>
      </c>
      <c r="P16" s="586">
        <f t="shared" si="3"/>
        <v>134.83869333846155</v>
      </c>
      <c r="Q16" s="579">
        <f>+ประมาณการรายรับ!AB16</f>
        <v>60000000</v>
      </c>
      <c r="R16" s="1700">
        <f>+ประมาณการรายรับ!AE16</f>
        <v>51470548.159999996</v>
      </c>
      <c r="S16" s="1923">
        <f t="shared" si="0"/>
        <v>85.784246933333336</v>
      </c>
      <c r="T16" s="1700">
        <f>+ประมาณการรายรับ!AG16</f>
        <v>60000000</v>
      </c>
      <c r="U16" s="728">
        <f t="shared" si="4"/>
        <v>0</v>
      </c>
      <c r="V16" s="728">
        <f t="shared" si="5"/>
        <v>0</v>
      </c>
    </row>
    <row r="17" spans="1:22" s="32" customFormat="1" ht="24.95" customHeight="1">
      <c r="A17" s="33"/>
      <c r="B17" s="31"/>
      <c r="C17" s="31"/>
      <c r="D17" s="31"/>
      <c r="E17" s="36" t="s">
        <v>25</v>
      </c>
      <c r="F17" s="570">
        <f>+ประมาณการรายรับ!K10+ประมาณการรายรับ!K11+ประมาณการรายรับ!K15+ประมาณการรายรับ!L11</f>
        <v>460624607.58999997</v>
      </c>
      <c r="G17" s="316">
        <f>+ประมาณการรายรับ!M10+ประมาณการรายรับ!M15+ประมาณการรายรับ!M11</f>
        <v>492290715.99000001</v>
      </c>
      <c r="H17" s="580">
        <f>+ประมาณการรายรับ!O10+ประมาณการรายรับ!O11+ประมาณการรายรับ!O15</f>
        <v>549000000</v>
      </c>
      <c r="I17" s="580">
        <f>+ประมาณการรายรับ!R10+ประมาณการรายรับ!R15+ประมาณการรายรับ!R11</f>
        <v>288458604.67999995</v>
      </c>
      <c r="J17" s="68">
        <f t="shared" si="1"/>
        <v>52.542550943533683</v>
      </c>
      <c r="K17" s="579">
        <f>+ประมาณการรายรับ!T10+ประมาณการรายรับ!T11+ประมาณการรายรับ!T15</f>
        <v>544000000</v>
      </c>
      <c r="L17" s="579">
        <f>+ประมาณการรายรับ!V10+ประมาณการรายรับ!V11+ประมาณการรายรับ!V15</f>
        <v>439299902.57999998</v>
      </c>
      <c r="M17" s="579">
        <f t="shared" si="2"/>
        <v>80.753658562499993</v>
      </c>
      <c r="N17" s="579">
        <f>+ประมาณการรายรับ!Y10+ประมาณการรายรับ!Y11+ประมาณการรายรับ!Y15</f>
        <v>544000000</v>
      </c>
      <c r="O17" s="579">
        <f>+ประมาณการรายรับ!Z10+ประมาณการรายรับ!Z11+ประมาณการรายรับ!Z15</f>
        <v>592691448.83999991</v>
      </c>
      <c r="P17" s="586">
        <f t="shared" si="3"/>
        <v>108.95063397794115</v>
      </c>
      <c r="Q17" s="579">
        <f>+ประมาณการรายรับ!AB10+ประมาณการรายรับ!AB11+ประมาณการรายรับ!AB15</f>
        <v>610273460</v>
      </c>
      <c r="R17" s="1700">
        <f>+ประมาณการรายรับ!AE10+ประมาณการรายรับ!AE11+ประมาณการรายรับ!AE15</f>
        <v>327800438.78999996</v>
      </c>
      <c r="S17" s="1923">
        <f t="shared" si="0"/>
        <v>53.713697264501711</v>
      </c>
      <c r="T17" s="1700">
        <f>+ประมาณการรายรับ!AG10+ประมาณการรายรับ!AG11+ประมาณการรายรับ!AG15</f>
        <v>614500000</v>
      </c>
      <c r="U17" s="728">
        <f t="shared" si="4"/>
        <v>0.68780146460537017</v>
      </c>
      <c r="V17" s="728">
        <f t="shared" si="5"/>
        <v>4226540</v>
      </c>
    </row>
    <row r="18" spans="1:22" s="32" customFormat="1" ht="24.95" customHeight="1">
      <c r="A18" s="33"/>
      <c r="B18" s="31"/>
      <c r="C18" s="70" t="s">
        <v>26</v>
      </c>
      <c r="D18" s="70"/>
      <c r="E18" s="74"/>
      <c r="F18" s="577"/>
      <c r="G18" s="578"/>
      <c r="H18" s="578"/>
      <c r="I18" s="578"/>
      <c r="J18" s="77"/>
      <c r="K18" s="577"/>
      <c r="L18" s="578"/>
      <c r="M18" s="578"/>
      <c r="N18" s="578"/>
      <c r="O18" s="578"/>
      <c r="P18" s="578"/>
      <c r="Q18" s="578"/>
      <c r="R18" s="578"/>
      <c r="S18" s="578"/>
      <c r="T18" s="578"/>
      <c r="V18" s="157"/>
    </row>
    <row r="19" spans="1:22" s="32" customFormat="1" ht="24.95" customHeight="1">
      <c r="A19" s="33"/>
      <c r="B19" s="31"/>
      <c r="C19" s="31"/>
      <c r="D19" s="31"/>
      <c r="E19" s="36" t="s">
        <v>27</v>
      </c>
      <c r="F19" s="570">
        <v>0</v>
      </c>
      <c r="G19" s="570">
        <v>0</v>
      </c>
      <c r="H19" s="316">
        <v>0</v>
      </c>
      <c r="I19" s="316">
        <v>0</v>
      </c>
      <c r="J19" s="317">
        <v>0</v>
      </c>
      <c r="K19" s="316">
        <v>0</v>
      </c>
      <c r="L19" s="316">
        <v>0</v>
      </c>
      <c r="M19" s="316">
        <v>0</v>
      </c>
      <c r="N19" s="316">
        <v>0</v>
      </c>
      <c r="O19" s="316">
        <v>0</v>
      </c>
      <c r="P19" s="316">
        <v>0</v>
      </c>
      <c r="Q19" s="316">
        <v>0</v>
      </c>
      <c r="R19" s="316">
        <v>0</v>
      </c>
      <c r="S19" s="316">
        <v>0</v>
      </c>
      <c r="T19" s="316">
        <v>0</v>
      </c>
      <c r="U19" s="728">
        <v>0</v>
      </c>
      <c r="V19" s="157"/>
    </row>
    <row r="20" spans="1:22" s="32" customFormat="1" ht="24.95" customHeight="1">
      <c r="A20" s="33"/>
      <c r="B20" s="31"/>
      <c r="C20" s="31"/>
      <c r="D20" s="31"/>
      <c r="E20" s="36" t="s">
        <v>28</v>
      </c>
      <c r="F20" s="570">
        <v>0</v>
      </c>
      <c r="G20" s="570">
        <v>0</v>
      </c>
      <c r="H20" s="316">
        <v>0</v>
      </c>
      <c r="I20" s="316">
        <v>0</v>
      </c>
      <c r="J20" s="317">
        <v>0</v>
      </c>
      <c r="K20" s="316">
        <v>0</v>
      </c>
      <c r="L20" s="316">
        <v>0</v>
      </c>
      <c r="M20" s="316">
        <v>0</v>
      </c>
      <c r="N20" s="316">
        <v>0</v>
      </c>
      <c r="O20" s="316">
        <v>0</v>
      </c>
      <c r="P20" s="316">
        <v>0</v>
      </c>
      <c r="Q20" s="316">
        <v>0</v>
      </c>
      <c r="R20" s="316">
        <v>0</v>
      </c>
      <c r="S20" s="316">
        <v>0</v>
      </c>
      <c r="T20" s="316">
        <v>0</v>
      </c>
      <c r="U20" s="728">
        <v>0</v>
      </c>
      <c r="V20" s="157"/>
    </row>
    <row r="21" spans="1:22" s="32" customFormat="1" ht="24.95" customHeight="1">
      <c r="A21" s="33"/>
      <c r="B21" s="31"/>
      <c r="C21" s="31"/>
      <c r="D21" s="31"/>
      <c r="E21" s="36" t="s">
        <v>29</v>
      </c>
      <c r="F21" s="570">
        <f>+ประมาณการรายรับ!K20</f>
        <v>39570973.75</v>
      </c>
      <c r="G21" s="316">
        <f>+ประมาณการรายรับ!M20</f>
        <v>57795479.579999998</v>
      </c>
      <c r="H21" s="316">
        <f>+ประมาณการรายรับ!O20</f>
        <v>123000000</v>
      </c>
      <c r="I21" s="316">
        <f>+ประมาณการรายรับ!R20</f>
        <v>335965088.60999995</v>
      </c>
      <c r="J21" s="68">
        <f>+I21/H21*100</f>
        <v>273.14234846341463</v>
      </c>
      <c r="K21" s="579">
        <f>+ประมาณการรายรับ!T20</f>
        <v>420000000</v>
      </c>
      <c r="L21" s="579">
        <f>+ประมาณการรายรับ!V20</f>
        <v>411950697.06999999</v>
      </c>
      <c r="M21" s="579">
        <f>+L21/K21*100</f>
        <v>98.083499302380943</v>
      </c>
      <c r="N21" s="579">
        <f>+ประมาณการรายรับ!Y20</f>
        <v>411950697.06999999</v>
      </c>
      <c r="O21" s="579">
        <f>+ประมาณการรายรับ!Z20</f>
        <v>424193988.41000003</v>
      </c>
      <c r="P21" s="586">
        <f t="shared" si="3"/>
        <v>102.97202830996051</v>
      </c>
      <c r="Q21" s="579">
        <f>+ประมาณการรายรับ!AB20</f>
        <v>100000000</v>
      </c>
      <c r="R21" s="1630">
        <f>+ประมาณการรายรับ!AE20</f>
        <v>60933732.009999998</v>
      </c>
      <c r="S21" s="1923">
        <f>+R21/Q21*100</f>
        <v>60.93373201</v>
      </c>
      <c r="T21" s="1700">
        <f>+ประมาณการรายรับ!AG20</f>
        <v>150000000</v>
      </c>
      <c r="U21" s="728">
        <f t="shared" si="4"/>
        <v>33.333333333333329</v>
      </c>
      <c r="V21" s="728">
        <f t="shared" ref="V21:V24" si="6">+T21-Q21</f>
        <v>50000000</v>
      </c>
    </row>
    <row r="22" spans="1:22" s="32" customFormat="1" ht="24.95" customHeight="1">
      <c r="A22" s="33"/>
      <c r="B22" s="31"/>
      <c r="C22" s="31"/>
      <c r="D22" s="31"/>
      <c r="E22" s="36" t="s">
        <v>30</v>
      </c>
      <c r="F22" s="570">
        <f>+ประมาณการรายรับ!K17</f>
        <v>2022594.46</v>
      </c>
      <c r="G22" s="316">
        <f>+ประมาณการรายรับ!M17</f>
        <v>2896990.42</v>
      </c>
      <c r="H22" s="316">
        <f>+ประมาณการรายรับ!O17</f>
        <v>3000000</v>
      </c>
      <c r="I22" s="316">
        <f>+ประมาณการรายรับ!R17</f>
        <v>1322097.26</v>
      </c>
      <c r="J22" s="68">
        <f>+I22/H22*100</f>
        <v>44.06990866666667</v>
      </c>
      <c r="K22" s="579">
        <f>+ประมาณการรายรับ!T17</f>
        <v>2500000</v>
      </c>
      <c r="L22" s="579">
        <f>+ประมาณการรายรับ!V17</f>
        <v>3096143.23</v>
      </c>
      <c r="M22" s="579">
        <f t="shared" ref="M22:M24" si="7">+L22/K22*100</f>
        <v>123.84572920000001</v>
      </c>
      <c r="N22" s="579">
        <f>+ประมาณการรายรับ!Y17</f>
        <v>2500000</v>
      </c>
      <c r="O22" s="579">
        <f>+ประมาณการรายรับ!Z17</f>
        <v>3269077.56</v>
      </c>
      <c r="P22" s="586">
        <f t="shared" si="3"/>
        <v>130.76310240000001</v>
      </c>
      <c r="Q22" s="579">
        <f>+ประมาณการรายรับ!AB17</f>
        <v>2500000</v>
      </c>
      <c r="R22" s="1630">
        <f>+ประมาณการรายรับ!AE17</f>
        <v>1353525.49</v>
      </c>
      <c r="S22" s="1923">
        <f>+R22/Q22*100</f>
        <v>54.141019599999993</v>
      </c>
      <c r="T22" s="1700">
        <f>+ประมาณการรายรับ!AG17</f>
        <v>2500000</v>
      </c>
      <c r="U22" s="728">
        <f t="shared" si="4"/>
        <v>0</v>
      </c>
      <c r="V22" s="728">
        <f t="shared" si="6"/>
        <v>0</v>
      </c>
    </row>
    <row r="23" spans="1:22" s="32" customFormat="1" ht="24.95" customHeight="1">
      <c r="A23" s="33"/>
      <c r="B23" s="31"/>
      <c r="C23" s="31"/>
      <c r="D23" s="31"/>
      <c r="E23" s="36" t="s">
        <v>31</v>
      </c>
      <c r="F23" s="570">
        <f>+ประมาณการรายรับ!K19</f>
        <v>19066136.199999999</v>
      </c>
      <c r="G23" s="316">
        <f>+ประมาณการรายรับ!M19</f>
        <v>52743682.310000002</v>
      </c>
      <c r="H23" s="316">
        <f>+ประมาณการรายรับ!O19</f>
        <v>52540890.560000002</v>
      </c>
      <c r="I23" s="316">
        <f>+ประมาณการรายรับ!R19</f>
        <v>18239955.349999998</v>
      </c>
      <c r="J23" s="68">
        <f>+I23/H23*100</f>
        <v>34.715733128220499</v>
      </c>
      <c r="K23" s="579">
        <f>+ประมาณการรายรับ!T19</f>
        <v>25000000</v>
      </c>
      <c r="L23" s="579">
        <f>+ประมาณการรายรับ!V19</f>
        <v>21765857.219999999</v>
      </c>
      <c r="M23" s="579">
        <f t="shared" si="7"/>
        <v>87.063428879999989</v>
      </c>
      <c r="N23" s="579">
        <f>+ประมาณการรายรับ!Y19</f>
        <v>25000000</v>
      </c>
      <c r="O23" s="579">
        <f>+ประมาณการรายรับ!Z19</f>
        <v>55181492.18</v>
      </c>
      <c r="P23" s="586">
        <f t="shared" si="3"/>
        <v>220.72596872</v>
      </c>
      <c r="Q23" s="579">
        <f>+ประมาณการรายรับ!AB19</f>
        <v>28000000</v>
      </c>
      <c r="R23" s="1630">
        <f>+ประมาณการรายรับ!AE19</f>
        <v>10378143.029999999</v>
      </c>
      <c r="S23" s="1700">
        <f>+R23/Q23*100</f>
        <v>37.064796535714287</v>
      </c>
      <c r="T23" s="1700">
        <f>+ประมาณการรายรับ!AG19</f>
        <v>28000000</v>
      </c>
      <c r="U23" s="728">
        <f t="shared" si="4"/>
        <v>0</v>
      </c>
      <c r="V23" s="728">
        <f t="shared" si="6"/>
        <v>0</v>
      </c>
    </row>
    <row r="24" spans="1:22" s="32" customFormat="1" ht="24.95" customHeight="1">
      <c r="A24" s="33"/>
      <c r="B24" s="31"/>
      <c r="C24" s="31"/>
      <c r="D24" s="31"/>
      <c r="E24" s="208" t="s">
        <v>32</v>
      </c>
      <c r="F24" s="581">
        <f>SUM(F9:F23)</f>
        <v>1891072818.4799998</v>
      </c>
      <c r="G24" s="581">
        <f t="shared" ref="G24:K24" si="8">SUM(G9:G23)</f>
        <v>2253004644.8499999</v>
      </c>
      <c r="H24" s="582">
        <f t="shared" si="8"/>
        <v>2410623887.9400001</v>
      </c>
      <c r="I24" s="582">
        <f t="shared" si="8"/>
        <v>1487137789.5199997</v>
      </c>
      <c r="J24" s="360">
        <f>+I24/H24*100</f>
        <v>61.690991985930829</v>
      </c>
      <c r="K24" s="582">
        <f t="shared" si="8"/>
        <v>2658827352.0100002</v>
      </c>
      <c r="L24" s="582">
        <f>SUM(L9:L23)</f>
        <v>2137918979.4899998</v>
      </c>
      <c r="M24" s="670">
        <f t="shared" si="7"/>
        <v>80.408341589903984</v>
      </c>
      <c r="N24" s="582">
        <f>SUM(N9:N23)</f>
        <v>2550778049.0799999</v>
      </c>
      <c r="O24" s="582">
        <f>SUM(O9:O23)</f>
        <v>2677950477.2699995</v>
      </c>
      <c r="P24" s="582">
        <f>+O24/N24*100</f>
        <v>104.98563284390296</v>
      </c>
      <c r="Q24" s="582">
        <f>SUM(Q9:Q23)</f>
        <v>2349273460</v>
      </c>
      <c r="R24" s="582">
        <f t="shared" ref="R24" si="9">SUM(R9:R23)</f>
        <v>1344875712.26</v>
      </c>
      <c r="S24" s="582">
        <f>+R24/Q24*100</f>
        <v>57.246452367448107</v>
      </c>
      <c r="T24" s="582">
        <f>SUM(T9:T23)</f>
        <v>2459096016.1900001</v>
      </c>
      <c r="U24" s="728">
        <f t="shared" si="4"/>
        <v>4.4659726772341983</v>
      </c>
      <c r="V24" s="728">
        <f t="shared" si="6"/>
        <v>109822556.19000006</v>
      </c>
    </row>
    <row r="25" spans="1:22" s="32" customFormat="1" ht="27.95" customHeight="1">
      <c r="A25" s="33"/>
      <c r="B25" s="70" t="s">
        <v>33</v>
      </c>
      <c r="C25" s="70"/>
      <c r="D25" s="70"/>
      <c r="E25" s="74"/>
      <c r="F25" s="577"/>
      <c r="G25" s="578"/>
      <c r="H25" s="578"/>
      <c r="I25" s="578"/>
      <c r="J25" s="77"/>
      <c r="K25" s="577"/>
      <c r="L25" s="578"/>
      <c r="M25" s="578"/>
      <c r="N25" s="578"/>
      <c r="O25" s="578"/>
      <c r="P25" s="578"/>
      <c r="Q25" s="578"/>
      <c r="R25" s="578"/>
      <c r="S25" s="578"/>
      <c r="T25" s="578"/>
      <c r="V25" s="157"/>
    </row>
    <row r="26" spans="1:22" s="32" customFormat="1" ht="27.95" customHeight="1">
      <c r="A26" s="33"/>
      <c r="B26" s="70"/>
      <c r="C26" s="70" t="s">
        <v>34</v>
      </c>
      <c r="D26" s="70"/>
      <c r="E26" s="74"/>
      <c r="F26" s="577"/>
      <c r="G26" s="578"/>
      <c r="H26" s="578"/>
      <c r="I26" s="578"/>
      <c r="J26" s="77"/>
      <c r="K26" s="577"/>
      <c r="L26" s="578"/>
      <c r="M26" s="578"/>
      <c r="N26" s="578"/>
      <c r="O26" s="578"/>
      <c r="P26" s="578"/>
      <c r="Q26" s="578"/>
      <c r="R26" s="578"/>
      <c r="S26" s="578"/>
      <c r="T26" s="578"/>
      <c r="V26" s="157"/>
    </row>
    <row r="27" spans="1:22" s="32" customFormat="1" ht="26.25" customHeight="1">
      <c r="A27" s="33"/>
      <c r="B27" s="31"/>
      <c r="C27" s="31"/>
      <c r="D27" s="31"/>
      <c r="E27" s="36" t="s">
        <v>35</v>
      </c>
      <c r="F27" s="570">
        <v>188464884.25</v>
      </c>
      <c r="G27" s="316">
        <f>+ประมาณการรายจ่าย!M5</f>
        <v>191760801.52000001</v>
      </c>
      <c r="H27" s="316">
        <f>+รายละเอียดรายจ่าย!Y5</f>
        <v>205000000</v>
      </c>
      <c r="I27" s="316">
        <f>+ประมาณการรายจ่าย!R5</f>
        <v>100870203.28</v>
      </c>
      <c r="J27" s="68">
        <f>+I27/H27*100</f>
        <v>49.204977209756095</v>
      </c>
      <c r="K27" s="579">
        <f>+รายละเอียดรายจ่าย!AF5</f>
        <v>205000000</v>
      </c>
      <c r="L27" s="579">
        <f>+รายละเอียดรายจ่าย!AG5</f>
        <v>151325858.96000001</v>
      </c>
      <c r="M27" s="579">
        <f>+L27/K27*100</f>
        <v>73.817492175609758</v>
      </c>
      <c r="N27" s="579">
        <f>+รายละเอียดรายจ่าย!AJ5</f>
        <v>205000000</v>
      </c>
      <c r="O27" s="579">
        <f>+ประมาณการรายจ่าย!Z5</f>
        <v>206401625.15000001</v>
      </c>
      <c r="P27" s="586">
        <f t="shared" ref="P27:P33" si="10">+O27/N27*100</f>
        <v>100.68371958536586</v>
      </c>
      <c r="Q27" s="579">
        <f>+รายละเอียดรายจ่าย!AN5+รายละเอียดรายจ่าย!AN222</f>
        <v>212329680</v>
      </c>
      <c r="R27" s="1630">
        <f>+รายละเอียดรายจ่าย!AR5</f>
        <v>113307087.90000001</v>
      </c>
      <c r="S27" s="1923">
        <f>+R27/Q27*100</f>
        <v>53.363753903834834</v>
      </c>
      <c r="T27" s="1700">
        <f>+รายละเอียดรายจ่าย!AU5</f>
        <v>212000000</v>
      </c>
      <c r="U27" s="728">
        <f>+(T27-Q27)/T27*100</f>
        <v>-0.15550943396226416</v>
      </c>
      <c r="V27" s="728">
        <f t="shared" ref="V27:V49" si="11">+T27-Q27</f>
        <v>-329680</v>
      </c>
    </row>
    <row r="28" spans="1:22" s="32" customFormat="1" ht="26.25" customHeight="1">
      <c r="A28" s="33"/>
      <c r="B28" s="31"/>
      <c r="C28" s="31"/>
      <c r="D28" s="31"/>
      <c r="E28" s="36" t="s">
        <v>83</v>
      </c>
      <c r="F28" s="570">
        <v>0</v>
      </c>
      <c r="G28" s="570">
        <v>0</v>
      </c>
      <c r="H28" s="316">
        <v>0</v>
      </c>
      <c r="I28" s="316">
        <v>0</v>
      </c>
      <c r="J28" s="68">
        <v>0</v>
      </c>
      <c r="K28" s="570">
        <v>0</v>
      </c>
      <c r="L28" s="570">
        <v>0</v>
      </c>
      <c r="M28" s="570">
        <v>0</v>
      </c>
      <c r="N28" s="570">
        <v>0</v>
      </c>
      <c r="O28" s="570">
        <v>0</v>
      </c>
      <c r="P28" s="570">
        <v>0</v>
      </c>
      <c r="Q28" s="570">
        <v>0</v>
      </c>
      <c r="R28" s="570">
        <v>0</v>
      </c>
      <c r="S28" s="570">
        <v>0</v>
      </c>
      <c r="T28" s="570">
        <v>0</v>
      </c>
      <c r="U28" s="157"/>
      <c r="V28" s="728">
        <f t="shared" si="11"/>
        <v>0</v>
      </c>
    </row>
    <row r="29" spans="1:22" s="729" customFormat="1" ht="24" customHeight="1">
      <c r="B29" s="146"/>
      <c r="C29" s="146"/>
      <c r="D29" s="146"/>
      <c r="E29" s="731" t="s">
        <v>120</v>
      </c>
      <c r="F29" s="584">
        <v>26605920</v>
      </c>
      <c r="G29" s="585">
        <f>3801440+5627970+3063870+2496060+3050640+2634390+3027090+2362770+2731950+2622150+2979720+2955780</f>
        <v>37353830</v>
      </c>
      <c r="H29" s="585">
        <v>40000000</v>
      </c>
      <c r="I29" s="585">
        <v>28124363</v>
      </c>
      <c r="J29" s="149">
        <f>+I29/H29*100</f>
        <v>70.310907499999999</v>
      </c>
      <c r="K29" s="732">
        <v>48000000</v>
      </c>
      <c r="L29" s="732">
        <v>41070563</v>
      </c>
      <c r="M29" s="586">
        <f t="shared" ref="M29:M30" si="12">+L29/K29*100</f>
        <v>85.563672916666661</v>
      </c>
      <c r="N29" s="586">
        <f>+K29</f>
        <v>48000000</v>
      </c>
      <c r="O29" s="586">
        <f>49997833+2609125</f>
        <v>52606958</v>
      </c>
      <c r="P29" s="586">
        <f t="shared" si="10"/>
        <v>109.59782916666667</v>
      </c>
      <c r="Q29" s="586">
        <v>50000000</v>
      </c>
      <c r="R29" s="1700">
        <v>28232440</v>
      </c>
      <c r="S29" s="1923">
        <f>+R29/Q29*100</f>
        <v>56.464879999999994</v>
      </c>
      <c r="T29" s="1700">
        <v>50000000</v>
      </c>
      <c r="U29" s="728">
        <f>+(T29-Q29)/T29*100</f>
        <v>0</v>
      </c>
      <c r="V29" s="728">
        <f t="shared" si="11"/>
        <v>0</v>
      </c>
    </row>
    <row r="30" spans="1:22" s="729" customFormat="1" ht="24" customHeight="1">
      <c r="B30" s="146"/>
      <c r="C30" s="146"/>
      <c r="D30" s="146"/>
      <c r="E30" s="733" t="s">
        <v>36</v>
      </c>
      <c r="F30" s="584">
        <v>10495200</v>
      </c>
      <c r="G30" s="585">
        <f>+ประมาณการรายจ่าย!M12</f>
        <v>10899200</v>
      </c>
      <c r="H30" s="585">
        <f>+รายละเอียดรายจ่าย!Y130</f>
        <v>11136000</v>
      </c>
      <c r="I30" s="585">
        <f>+รายละเอียดรายจ่าย!AD131+รายละเอียดรายจ่าย!AD132+รายละเอียดรายจ่าย!AD133</f>
        <v>5445000</v>
      </c>
      <c r="J30" s="149">
        <f t="shared" ref="J30:J33" si="13">+I30/H30*100</f>
        <v>48.895474137931032</v>
      </c>
      <c r="K30" s="586">
        <f>+รายละเอียดรายจ่าย!AF131+รายละเอียดรายจ่าย!AF132+รายละเอียดรายจ่าย!AF133</f>
        <v>11040000</v>
      </c>
      <c r="L30" s="586">
        <f>+รายละเอียดรายจ่าย!AG131+รายละเอียดรายจ่าย!AG132+รายละเอียดรายจ่าย!AG133</f>
        <v>8100000</v>
      </c>
      <c r="M30" s="586">
        <f t="shared" si="12"/>
        <v>73.369565217391312</v>
      </c>
      <c r="N30" s="586">
        <f>+รายละเอียดรายจ่าย!AJ131+รายละเอียดรายจ่าย!AJ132+รายละเอียดรายจ่าย!AJ133</f>
        <v>11040000</v>
      </c>
      <c r="O30" s="586">
        <f>+รายละเอียดรายจ่าย!AK131+รายละเอียดรายจ่าย!AK132+รายละเอียดรายจ่าย!AK133</f>
        <v>10915000</v>
      </c>
      <c r="P30" s="586">
        <f t="shared" si="10"/>
        <v>98.867753623188406</v>
      </c>
      <c r="Q30" s="586">
        <f>+รายละเอียดรายจ่าย!AN131+รายละเอียดรายจ่าย!AN132+รายละเอียดรายจ่าย!AN133</f>
        <v>11040000</v>
      </c>
      <c r="R30" s="1700">
        <f>+รายละเอียดรายจ่าย!AR131+รายละเอียดรายจ่าย!AR132+รายละเอียดรายจ่าย!AR133</f>
        <v>5185000</v>
      </c>
      <c r="S30" s="1923">
        <f>+R30/Q30*100</f>
        <v>46.965579710144929</v>
      </c>
      <c r="T30" s="1700">
        <f>+รายละเอียดรายจ่าย!AU131+รายละเอียดรายจ่าย!AU132+รายละเอียดรายจ่าย!AU133</f>
        <v>11040000</v>
      </c>
      <c r="U30" s="728">
        <f>+(T30-Q30)/T30*100</f>
        <v>0</v>
      </c>
      <c r="V30" s="728">
        <f t="shared" si="11"/>
        <v>0</v>
      </c>
    </row>
    <row r="31" spans="1:22" s="32" customFormat="1" ht="24" customHeight="1">
      <c r="B31" s="43"/>
      <c r="C31" s="43"/>
      <c r="D31" s="43"/>
      <c r="E31" s="36" t="s">
        <v>37</v>
      </c>
      <c r="F31" s="570">
        <v>0</v>
      </c>
      <c r="G31" s="570">
        <v>0</v>
      </c>
      <c r="H31" s="316">
        <v>0</v>
      </c>
      <c r="I31" s="316">
        <v>0</v>
      </c>
      <c r="J31" s="317">
        <v>0</v>
      </c>
      <c r="K31" s="316">
        <v>0</v>
      </c>
      <c r="L31" s="316">
        <v>0</v>
      </c>
      <c r="M31" s="316">
        <v>0</v>
      </c>
      <c r="N31" s="316">
        <v>0</v>
      </c>
      <c r="O31" s="316">
        <v>0</v>
      </c>
      <c r="P31" s="316">
        <v>0</v>
      </c>
      <c r="Q31" s="316">
        <v>0</v>
      </c>
      <c r="R31" s="316">
        <v>0</v>
      </c>
      <c r="S31" s="316">
        <v>0</v>
      </c>
      <c r="T31" s="316">
        <v>0</v>
      </c>
      <c r="U31" s="157"/>
      <c r="V31" s="728">
        <f t="shared" si="11"/>
        <v>0</v>
      </c>
    </row>
    <row r="32" spans="1:22" s="32" customFormat="1" ht="24" customHeight="1">
      <c r="B32" s="43"/>
      <c r="C32" s="43"/>
      <c r="D32" s="43"/>
      <c r="E32" s="36" t="s">
        <v>38</v>
      </c>
      <c r="F32" s="570">
        <v>8605550.9800000004</v>
      </c>
      <c r="G32" s="316">
        <f>+รายละเอียดรายจ่าย!R10</f>
        <v>41374949.659999996</v>
      </c>
      <c r="H32" s="316">
        <f>+รายละเอียดรายจ่าย!Y10</f>
        <v>41200000</v>
      </c>
      <c r="I32" s="316">
        <f>+รายละเอียดรายจ่าย!AD10</f>
        <v>13805834</v>
      </c>
      <c r="J32" s="68">
        <f t="shared" si="13"/>
        <v>33.50930582524272</v>
      </c>
      <c r="K32" s="579">
        <f>+รายละเอียดรายจ่าย!AF10</f>
        <v>41200000</v>
      </c>
      <c r="L32" s="579">
        <f>+รายละเอียดรายจ่าย!AG10</f>
        <v>15644233</v>
      </c>
      <c r="M32" s="579">
        <f>+L32/K32*100</f>
        <v>37.971439320388349</v>
      </c>
      <c r="N32" s="579">
        <f>+รายละเอียดรายจ่าย!AJ10</f>
        <v>41200000</v>
      </c>
      <c r="O32" s="579">
        <f>+รายละเอียดรายจ่าย!AK10</f>
        <v>25896114</v>
      </c>
      <c r="P32" s="586">
        <f t="shared" si="10"/>
        <v>62.85464563106796</v>
      </c>
      <c r="Q32" s="579">
        <f>+รายละเอียดรายจ่าย!AN10</f>
        <v>52600000</v>
      </c>
      <c r="R32" s="1630">
        <f>+รายละเอียดรายจ่าย!AR10</f>
        <v>10163706</v>
      </c>
      <c r="S32" s="1700">
        <f>+R32/Q32*100</f>
        <v>19.322634980988592</v>
      </c>
      <c r="T32" s="1700">
        <f>+รายละเอียดรายจ่าย!AU10</f>
        <v>52600000</v>
      </c>
      <c r="U32" s="728">
        <f>+(T32-Q32)/T32*100</f>
        <v>0</v>
      </c>
      <c r="V32" s="728">
        <f t="shared" si="11"/>
        <v>0</v>
      </c>
    </row>
    <row r="33" spans="2:22" s="32" customFormat="1" ht="24" customHeight="1">
      <c r="B33" s="43"/>
      <c r="C33" s="43"/>
      <c r="D33" s="43"/>
      <c r="E33" s="36" t="s">
        <v>39</v>
      </c>
      <c r="F33" s="570">
        <v>225000</v>
      </c>
      <c r="G33" s="316">
        <f>+รายละเอียดรายจ่าย!R13</f>
        <v>0</v>
      </c>
      <c r="H33" s="316">
        <f>+รายละเอียดรายจ่าย!Y13</f>
        <v>300000</v>
      </c>
      <c r="I33" s="316">
        <v>0</v>
      </c>
      <c r="J33" s="68">
        <f t="shared" si="13"/>
        <v>0</v>
      </c>
      <c r="K33" s="579">
        <f>+รายละเอียดรายจ่าย!AF13</f>
        <v>300000</v>
      </c>
      <c r="L33" s="671">
        <f>+รายละเอียดรายจ่าย!AG13</f>
        <v>0</v>
      </c>
      <c r="M33" s="671">
        <f>+รายละเอียดรายจ่าย!AI13</f>
        <v>0</v>
      </c>
      <c r="N33" s="579">
        <f>+รายละเอียดรายจ่าย!AJ13</f>
        <v>300000</v>
      </c>
      <c r="O33" s="579">
        <f>+รายละเอียดรายจ่าย!AK13</f>
        <v>70000</v>
      </c>
      <c r="P33" s="586">
        <f t="shared" si="10"/>
        <v>23.333333333333332</v>
      </c>
      <c r="Q33" s="579">
        <f>+รายละเอียดรายจ่าย!AN13</f>
        <v>300000</v>
      </c>
      <c r="R33" s="1630">
        <f>+รายละเอียดรายจ่าย!AR13</f>
        <v>210000</v>
      </c>
      <c r="S33" s="1923">
        <f>+R33/Q33*100</f>
        <v>70</v>
      </c>
      <c r="T33" s="1700">
        <f>+รายละเอียดรายจ่าย!AU13</f>
        <v>300000</v>
      </c>
      <c r="U33" s="728">
        <f>+(T33-Q33)/T33*100</f>
        <v>0</v>
      </c>
      <c r="V33" s="728">
        <f t="shared" si="11"/>
        <v>0</v>
      </c>
    </row>
    <row r="34" spans="2:22" s="507" customFormat="1" ht="24" customHeight="1">
      <c r="B34" s="506"/>
      <c r="C34" s="506"/>
      <c r="D34" s="506"/>
      <c r="E34" s="721" t="s">
        <v>86</v>
      </c>
      <c r="F34" s="2682">
        <f>367202135.79+10495200-F29-F30</f>
        <v>340596215.79000002</v>
      </c>
      <c r="G34" s="2687">
        <f>+รายละเอียดรายจ่าย!R7-G29</f>
        <v>394593165.07999998</v>
      </c>
      <c r="H34" s="2686">
        <f>432000000-H29</f>
        <v>392000000</v>
      </c>
      <c r="I34" s="2687">
        <f>+รายละเอียดรายจ่าย!AD7-I29</f>
        <v>194641145.22999999</v>
      </c>
      <c r="J34" s="2683">
        <f>+I34/H34*100</f>
        <v>49.653353374999995</v>
      </c>
      <c r="K34" s="2701">
        <f>+รายละเอียดรายจ่าย!AF7-K29</f>
        <v>384000000</v>
      </c>
      <c r="L34" s="2693">
        <f>+รายละเอียดรายจ่าย!AG7-L29</f>
        <v>302668275.62</v>
      </c>
      <c r="M34" s="2693">
        <f>+L34/K34*100</f>
        <v>78.819863442708339</v>
      </c>
      <c r="N34" s="2697">
        <f>+รายละเอียดรายจ่าย!AJ7-N29</f>
        <v>384000000</v>
      </c>
      <c r="O34" s="2693">
        <f>+รายละเอียดรายจ่าย!AK7-O29</f>
        <v>410442533.99000001</v>
      </c>
      <c r="P34" s="2697">
        <f>+O34/N34*100</f>
        <v>106.88607655989584</v>
      </c>
      <c r="Q34" s="2697">
        <f>+รายละเอียดรายจ่าย!AN7-Q29</f>
        <v>382000000</v>
      </c>
      <c r="R34" s="2703">
        <f>+รายละเอียดรายจ่าย!AR7-R29</f>
        <v>205887149.83000001</v>
      </c>
      <c r="S34" s="2705">
        <f>+R34/Q34*100</f>
        <v>53.897159641361256</v>
      </c>
      <c r="T34" s="2695">
        <f>+รายละเอียดรายจ่าย!AU7-T29</f>
        <v>382000000</v>
      </c>
      <c r="U34" s="728">
        <f>+(T34-Q34)/T34*100</f>
        <v>0</v>
      </c>
      <c r="V34" s="728">
        <f t="shared" si="11"/>
        <v>0</v>
      </c>
    </row>
    <row r="35" spans="2:22" s="1592" customFormat="1" ht="24" customHeight="1">
      <c r="B35" s="1590"/>
      <c r="C35" s="1590"/>
      <c r="D35" s="1590"/>
      <c r="E35" s="1591" t="s">
        <v>40</v>
      </c>
      <c r="F35" s="2682"/>
      <c r="G35" s="2688"/>
      <c r="H35" s="2686"/>
      <c r="I35" s="2688"/>
      <c r="J35" s="2684"/>
      <c r="K35" s="2702"/>
      <c r="L35" s="2694"/>
      <c r="M35" s="2694"/>
      <c r="N35" s="2698"/>
      <c r="O35" s="2694"/>
      <c r="P35" s="2698"/>
      <c r="Q35" s="2698"/>
      <c r="R35" s="2704"/>
      <c r="S35" s="2706"/>
      <c r="T35" s="2696"/>
      <c r="U35" s="728"/>
      <c r="V35" s="728">
        <f t="shared" si="11"/>
        <v>0</v>
      </c>
    </row>
    <row r="36" spans="2:22" s="32" customFormat="1" ht="24" customHeight="1">
      <c r="B36" s="31"/>
      <c r="C36" s="31"/>
      <c r="D36" s="31"/>
      <c r="E36" s="36" t="s">
        <v>78</v>
      </c>
      <c r="F36" s="570">
        <f>555000+295380+1278500</f>
        <v>2128880</v>
      </c>
      <c r="G36" s="316">
        <f>+รายละเอียดรายจ่าย!R8+รายละเอียดรายจ่าย!R11+รายละเอียดรายจ่าย!R12</f>
        <v>2342425</v>
      </c>
      <c r="H36" s="316">
        <f>+รายละเอียดรายจ่าย!Y8+รายละเอียดรายจ่าย!Y11+รายละเอียดรายจ่าย!Y12+รายละเอียดรายจ่าย!Y15</f>
        <v>2200000</v>
      </c>
      <c r="I36" s="316">
        <f>+รายละเอียดรายจ่าย!AD134+รายละเอียดรายจ่าย!AD8+รายละเอียดรายจ่าย!AD11+รายละเอียดรายจ่าย!AD12</f>
        <v>1219775</v>
      </c>
      <c r="J36" s="68">
        <f>+I36/H36*100</f>
        <v>55.44431818181819</v>
      </c>
      <c r="K36" s="579">
        <f>+รายละเอียดรายจ่าย!AF134+รายละเอียดรายจ่าย!AF8+รายละเอียดรายจ่าย!AF11+รายละเอียดรายจ่าย!AF12+รายละเอียดรายจ่าย!AF15</f>
        <v>2296000</v>
      </c>
      <c r="L36" s="579">
        <f>+รายละเอียดรายจ่าย!AG8+รายละเอียดรายจ่าย!AG11+รายละเอียดรายจ่าย!AG12+รายละเอียดรายจ่าย!AG134</f>
        <v>1765925</v>
      </c>
      <c r="M36" s="579">
        <f>+L36/K36*100</f>
        <v>76.913109756097569</v>
      </c>
      <c r="N36" s="579">
        <f>+รายละเอียดรายจ่าย!AJ8+รายละเอียดรายจ่าย!AJ11+รายละเอียดรายจ่าย!AJ12+รายละเอียดรายจ่าย!AJ15+รายละเอียดรายจ่าย!AJ134</f>
        <v>2296000</v>
      </c>
      <c r="O36" s="579">
        <f>+รายละเอียดรายจ่าย!AK11+รายละเอียดรายจ่าย!AK12+รายละเอียดรายจ่าย!AK8</f>
        <v>2482475</v>
      </c>
      <c r="P36" s="579">
        <f>+O36/N36*100</f>
        <v>108.12173344947735</v>
      </c>
      <c r="Q36" s="579">
        <f>+รายละเอียดรายจ่าย!AN8+รายละเอียดรายจ่าย!AN11+รายละเอียดรายจ่าย!AN12+รายละเอียดรายจ่าย!AN15+รายละเอียดรายจ่าย!AN134</f>
        <v>2296000</v>
      </c>
      <c r="R36" s="1630">
        <f>+รายละเอียดรายจ่าย!AR8+รายละเอียดรายจ่าย!AR11+รายละเอียดรายจ่าย!AR12+รายละเอียดรายจ่าย!AR15+รายละเอียดรายจ่าย!AR134</f>
        <v>1290015</v>
      </c>
      <c r="S36" s="1923">
        <f>+R36/Q36*100</f>
        <v>56.18532229965156</v>
      </c>
      <c r="T36" s="1700">
        <f>+รายละเอียดรายจ่าย!AU8+รายละเอียดรายจ่าย!AU11+รายละเอียดรายจ่าย!AU12+รายละเอียดรายจ่าย!AU15+รายละเอียดรายจ่าย!AU134</f>
        <v>2296000</v>
      </c>
      <c r="U36" s="728">
        <f>+(T36-Q36)/T36*100</f>
        <v>0</v>
      </c>
      <c r="V36" s="728">
        <f t="shared" si="11"/>
        <v>0</v>
      </c>
    </row>
    <row r="37" spans="2:22" s="176" customFormat="1" ht="24" customHeight="1">
      <c r="B37" s="146"/>
      <c r="C37" s="146"/>
      <c r="D37" s="146"/>
      <c r="E37" s="147" t="s">
        <v>41</v>
      </c>
      <c r="F37" s="584">
        <f>189000+247200</f>
        <v>436200</v>
      </c>
      <c r="G37" s="585">
        <f>+รายละเอียดรายจ่าย!R9</f>
        <v>147300</v>
      </c>
      <c r="H37" s="585">
        <f>+รายละเอียดรายจ่าย!Y9+รายละเอียดรายจ่าย!Y16</f>
        <v>500000</v>
      </c>
      <c r="I37" s="585">
        <f>+รายละเอียดรายจ่าย!AD9+รายละเอียดรายจ่าย!AD16</f>
        <v>53400</v>
      </c>
      <c r="J37" s="68">
        <f>+I37/H37*100</f>
        <v>10.68</v>
      </c>
      <c r="K37" s="586">
        <f>+รายละเอียดรายจ่าย!AF16+รายละเอียดรายจ่าย!AF9</f>
        <v>500000</v>
      </c>
      <c r="L37" s="586">
        <f>+รายละเอียดรายจ่าย!AG16+รายละเอียดรายจ่าย!AG9</f>
        <v>120592</v>
      </c>
      <c r="M37" s="579">
        <f>+L37/K37*100</f>
        <v>24.118400000000001</v>
      </c>
      <c r="N37" s="579">
        <f>+รายละเอียดรายจ่าย!AJ9+รายละเอียดรายจ่าย!AJ16</f>
        <v>500000</v>
      </c>
      <c r="O37" s="579">
        <f>+รายละเอียดรายจ่าย!AK16+รายละเอียดรายจ่าย!AK9+รายละเอียดรายจ่าย!AK134</f>
        <v>229492</v>
      </c>
      <c r="P37" s="579">
        <f>+O37/N37*100</f>
        <v>45.898400000000002</v>
      </c>
      <c r="Q37" s="579">
        <f>+รายละเอียดรายจ่าย!AN9+รายละเอียดรายจ่าย!AN16</f>
        <v>500000</v>
      </c>
      <c r="R37" s="1630">
        <f>+รายละเอียดรายจ่าย!AR9+รายละเอียดรายจ่าย!AR16</f>
        <v>164400</v>
      </c>
      <c r="S37" s="1700">
        <f>+R37/Q37*100</f>
        <v>32.879999999999995</v>
      </c>
      <c r="T37" s="1700">
        <f>+รายละเอียดรายจ่าย!AU9+รายละเอียดรายจ่าย!AU16</f>
        <v>500000</v>
      </c>
      <c r="U37" s="728">
        <f>+(T37-Q37)/T37*100</f>
        <v>0</v>
      </c>
      <c r="V37" s="728">
        <f t="shared" si="11"/>
        <v>0</v>
      </c>
    </row>
    <row r="38" spans="2:22" s="32" customFormat="1" ht="26.25" customHeight="1">
      <c r="B38" s="43"/>
      <c r="C38" s="70" t="s">
        <v>42</v>
      </c>
      <c r="D38" s="70"/>
      <c r="E38" s="74"/>
      <c r="F38" s="577"/>
      <c r="G38" s="578"/>
      <c r="H38" s="578"/>
      <c r="I38" s="578"/>
      <c r="J38" s="77"/>
      <c r="K38" s="577"/>
      <c r="L38" s="578"/>
      <c r="M38" s="578"/>
      <c r="N38" s="578"/>
      <c r="O38" s="578"/>
      <c r="P38" s="578"/>
      <c r="Q38" s="578"/>
      <c r="R38" s="578"/>
      <c r="S38" s="578"/>
      <c r="T38" s="578"/>
      <c r="V38" s="157"/>
    </row>
    <row r="39" spans="2:22" s="32" customFormat="1" ht="26.25" customHeight="1">
      <c r="B39" s="43"/>
      <c r="C39" s="31"/>
      <c r="D39" s="31"/>
      <c r="E39" s="37" t="s">
        <v>43</v>
      </c>
      <c r="F39" s="570">
        <v>423646772.83999997</v>
      </c>
      <c r="G39" s="316">
        <f>+รายละเอียดรายจ่าย!R155</f>
        <v>506852465.06</v>
      </c>
      <c r="H39" s="316">
        <f>+รายละเอียดรายจ่าย!Y155</f>
        <v>480000000</v>
      </c>
      <c r="I39" s="316">
        <f>+รายละเอียดรายจ่าย!AD155</f>
        <v>249860112.15000001</v>
      </c>
      <c r="J39" s="68">
        <f>+I39/H39*100</f>
        <v>52.054190031250002</v>
      </c>
      <c r="K39" s="579">
        <f>+รายละเอียดรายจ่าย!AF155</f>
        <v>500000000</v>
      </c>
      <c r="L39" s="579">
        <f>+รายละเอียดรายจ่าย!AG155</f>
        <v>381117846.63</v>
      </c>
      <c r="M39" s="579">
        <f>+L39/K39*100</f>
        <v>76.223569325999989</v>
      </c>
      <c r="N39" s="579">
        <f>+รายละเอียดรายจ่าย!AJ155</f>
        <v>530000000</v>
      </c>
      <c r="O39" s="579">
        <f>+รายละเอียดรายจ่าย!AK155</f>
        <v>543287245.50999999</v>
      </c>
      <c r="P39" s="579">
        <f>+O39/N39*100</f>
        <v>102.50702745471698</v>
      </c>
      <c r="Q39" s="579">
        <f>+รายละเอียดรายจ่าย!AN155</f>
        <v>500000000</v>
      </c>
      <c r="R39" s="1630">
        <f>+รายละเอียดรายจ่าย!AR155</f>
        <v>329298598.94</v>
      </c>
      <c r="S39" s="1923">
        <f>+R39/Q39*100</f>
        <v>65.859719788000007</v>
      </c>
      <c r="T39" s="1700">
        <f>+รายละเอียดรายจ่าย!AU155</f>
        <v>530000000</v>
      </c>
      <c r="U39" s="728">
        <f>+(T39-Q39)/T39*100</f>
        <v>5.6603773584905666</v>
      </c>
      <c r="V39" s="728">
        <f t="shared" si="11"/>
        <v>30000000</v>
      </c>
    </row>
    <row r="40" spans="2:22" s="32" customFormat="1" ht="24.75" customHeight="1">
      <c r="B40" s="43"/>
      <c r="C40" s="31"/>
      <c r="D40" s="31"/>
      <c r="E40" s="74" t="s">
        <v>112</v>
      </c>
      <c r="F40" s="577"/>
      <c r="G40" s="578"/>
      <c r="H40" s="578"/>
      <c r="I40" s="578"/>
      <c r="J40" s="77"/>
      <c r="K40" s="577"/>
      <c r="L40" s="578"/>
      <c r="M40" s="578"/>
      <c r="N40" s="578"/>
      <c r="O40" s="578"/>
      <c r="P40" s="578"/>
      <c r="Q40" s="578"/>
      <c r="R40" s="578"/>
      <c r="S40" s="578"/>
      <c r="T40" s="578"/>
      <c r="V40" s="157"/>
    </row>
    <row r="41" spans="2:22" s="32" customFormat="1" ht="24.75" customHeight="1">
      <c r="B41" s="43"/>
      <c r="C41" s="31"/>
      <c r="D41" s="43"/>
      <c r="E41" s="36" t="s">
        <v>45</v>
      </c>
      <c r="F41" s="570">
        <v>294582710.36000001</v>
      </c>
      <c r="G41" s="316">
        <f>+รายละเอียดรายจ่าย!R163</f>
        <v>380811985.63</v>
      </c>
      <c r="H41" s="587">
        <f>+รายละเอียดรายจ่าย!Y163</f>
        <v>332850000</v>
      </c>
      <c r="I41" s="587">
        <f>+รายละเอียดรายจ่าย!AD163</f>
        <v>183826925.05000001</v>
      </c>
      <c r="J41" s="68">
        <f>+I41/H41*100</f>
        <v>55.228158344599677</v>
      </c>
      <c r="K41" s="579">
        <f>+รายละเอียดรายจ่าย!AF164+รายละเอียดรายจ่าย!AF165+รายละเอียดรายจ่าย!AF166+รายละเอียดรายจ่าย!AF167+รายละเอียดรายจ่าย!AF168+รายละเอียดรายจ่าย!AF169+รายละเอียดรายจ่าย!AF170+รายละเอียดรายจ่าย!AF171+รายละเอียดรายจ่าย!AF172+รายละเอียดรายจ่าย!AF173+รายละเอียดรายจ่าย!AF174</f>
        <v>357850000</v>
      </c>
      <c r="L41" s="579">
        <f>+รายละเอียดรายจ่าย!AG163</f>
        <v>274477791.02000004</v>
      </c>
      <c r="M41" s="579">
        <f>+L41/K41*100</f>
        <v>76.701911700433158</v>
      </c>
      <c r="N41" s="579">
        <f>+รายละเอียดรายจ่าย!AJ164+รายละเอียดรายจ่าย!AJ165+รายละเอียดรายจ่าย!AJ166+รายละเอียดรายจ่าย!AJ167+รายละเอียดรายจ่าย!AJ168+รายละเอียดรายจ่าย!AJ169+รายละเอียดรายจ่าย!AJ170+รายละเอียดรายจ่าย!AJ171+รายละเอียดรายจ่าย!AJ172+รายละเอียดรายจ่าย!AJ173+รายละเอียดรายจ่าย!AJ174</f>
        <v>362090000</v>
      </c>
      <c r="O41" s="579">
        <f>+รายละเอียดรายจ่าย!AK163</f>
        <v>367023217.1099999</v>
      </c>
      <c r="P41" s="579">
        <f t="shared" ref="P41:P48" si="14">+O41/N41*100</f>
        <v>101.36242843215773</v>
      </c>
      <c r="Q41" s="579">
        <f>+รายละเอียดรายจ่าย!AN163</f>
        <v>356040000</v>
      </c>
      <c r="R41" s="1630">
        <f>+รายละเอียดรายจ่าย!AR163</f>
        <v>204725072.93999997</v>
      </c>
      <c r="S41" s="1923">
        <f t="shared" ref="S41:S48" si="15">+R41/Q41*100</f>
        <v>57.500582221098739</v>
      </c>
      <c r="T41" s="1700">
        <f>+รายละเอียดรายจ่าย!AU163</f>
        <v>366540000</v>
      </c>
      <c r="U41" s="728">
        <f t="shared" ref="U41:U48" si="16">+(T41-Q41)/T41*100</f>
        <v>2.8646259616958587</v>
      </c>
      <c r="V41" s="728">
        <f t="shared" si="11"/>
        <v>10500000</v>
      </c>
    </row>
    <row r="42" spans="2:22" s="32" customFormat="1" ht="24.75" customHeight="1">
      <c r="B42" s="43"/>
      <c r="C42" s="31"/>
      <c r="D42" s="43"/>
      <c r="E42" s="36" t="s">
        <v>46</v>
      </c>
      <c r="F42" s="570">
        <v>108302691.62</v>
      </c>
      <c r="G42" s="316">
        <f>+รายละเอียดรายจ่าย!R147</f>
        <v>115724946</v>
      </c>
      <c r="H42" s="588">
        <f>+รายละเอียดรายจ่าย!Y147</f>
        <v>115000000</v>
      </c>
      <c r="I42" s="588">
        <f>+รายละเอียดรายจ่าย!AA147</f>
        <v>18202621.969999999</v>
      </c>
      <c r="J42" s="68">
        <f t="shared" ref="J42:J48" si="17">+I42/H42*100</f>
        <v>15.828366930434781</v>
      </c>
      <c r="K42" s="579">
        <f>+รายละเอียดรายจ่าย!AF147</f>
        <v>114000000</v>
      </c>
      <c r="L42" s="579">
        <f>+รายละเอียดรายจ่าย!AG147</f>
        <v>77604034.519999996</v>
      </c>
      <c r="M42" s="579">
        <f t="shared" ref="M42:M48" si="18">+L42/K42*100</f>
        <v>68.07371449122806</v>
      </c>
      <c r="N42" s="579">
        <f>+รายละเอียดรายจ่าย!AJ147</f>
        <v>114000000</v>
      </c>
      <c r="O42" s="579">
        <f>+รายละเอียดรายจ่าย!AK147</f>
        <v>121717388.38</v>
      </c>
      <c r="P42" s="579">
        <f t="shared" si="14"/>
        <v>106.76963892982457</v>
      </c>
      <c r="Q42" s="579">
        <f>+รายละเอียดรายจ่าย!AN147</f>
        <v>126500000</v>
      </c>
      <c r="R42" s="1630">
        <f>+รายละเอียดรายจ่าย!AR147</f>
        <v>31645459.149999999</v>
      </c>
      <c r="S42" s="1700">
        <f t="shared" si="15"/>
        <v>25.016173241106721</v>
      </c>
      <c r="T42" s="1700">
        <f>+รายละเอียดรายจ่าย!AU147</f>
        <v>126500000</v>
      </c>
      <c r="U42" s="728">
        <f t="shared" si="16"/>
        <v>0</v>
      </c>
      <c r="V42" s="728">
        <f t="shared" si="11"/>
        <v>0</v>
      </c>
    </row>
    <row r="43" spans="2:22" s="32" customFormat="1" ht="24.75" customHeight="1">
      <c r="B43" s="43"/>
      <c r="C43" s="31"/>
      <c r="D43" s="43"/>
      <c r="E43" s="36" t="s">
        <v>47</v>
      </c>
      <c r="F43" s="570">
        <v>4860582.3600000003</v>
      </c>
      <c r="G43" s="316">
        <f>+รายละเอียดรายจ่าย!R157</f>
        <v>7758767.6799999997</v>
      </c>
      <c r="H43" s="587">
        <f>+รายละเอียดรายจ่าย!Y157</f>
        <v>8000000</v>
      </c>
      <c r="I43" s="587">
        <f>+รายละเอียดรายจ่าย!AD157</f>
        <v>3932785.09</v>
      </c>
      <c r="J43" s="68">
        <f t="shared" si="17"/>
        <v>49.159813624999998</v>
      </c>
      <c r="K43" s="579">
        <f>+รายละเอียดรายจ่าย!AF157</f>
        <v>8000000</v>
      </c>
      <c r="L43" s="579">
        <f>+รายละเอียดรายจ่าย!AG157</f>
        <v>4822656.6500000004</v>
      </c>
      <c r="M43" s="579">
        <f t="shared" si="18"/>
        <v>60.283208125000009</v>
      </c>
      <c r="N43" s="579">
        <f>+รายละเอียดรายจ่าย!AJ157</f>
        <v>8000000</v>
      </c>
      <c r="O43" s="579">
        <f>+รายละเอียดรายจ่าย!AK157</f>
        <v>7196561.5499999998</v>
      </c>
      <c r="P43" s="579">
        <f t="shared" si="14"/>
        <v>89.957019375000002</v>
      </c>
      <c r="Q43" s="579">
        <f>+รายละเอียดรายจ่าย!AN157</f>
        <v>8000000</v>
      </c>
      <c r="R43" s="1630">
        <f>+รายละเอียดรายจ่าย!AR157</f>
        <v>3612236.58</v>
      </c>
      <c r="S43" s="1700">
        <f t="shared" si="15"/>
        <v>45.15295725</v>
      </c>
      <c r="T43" s="1700">
        <f>+รายละเอียดรายจ่าย!AU157</f>
        <v>8000000</v>
      </c>
      <c r="U43" s="728">
        <f t="shared" si="16"/>
        <v>0</v>
      </c>
      <c r="V43" s="728">
        <f t="shared" si="11"/>
        <v>0</v>
      </c>
    </row>
    <row r="44" spans="2:22" s="32" customFormat="1" ht="24.75" customHeight="1">
      <c r="B44" s="43"/>
      <c r="C44" s="31"/>
      <c r="D44" s="43"/>
      <c r="E44" s="36" t="s">
        <v>48</v>
      </c>
      <c r="F44" s="570">
        <v>10163306.949999999</v>
      </c>
      <c r="G44" s="316">
        <f>+รายละเอียดรายจ่าย!R158</f>
        <v>12136643.4</v>
      </c>
      <c r="H44" s="587">
        <f>+รายละเอียดรายจ่าย!Y158</f>
        <v>10000000</v>
      </c>
      <c r="I44" s="587">
        <f>+รายละเอียดรายจ่าย!AD158</f>
        <v>4292423.54</v>
      </c>
      <c r="J44" s="68">
        <f t="shared" si="17"/>
        <v>42.924235400000001</v>
      </c>
      <c r="K44" s="579">
        <f>+รายละเอียดรายจ่าย!AF158</f>
        <v>13000000</v>
      </c>
      <c r="L44" s="579">
        <f>+รายละเอียดรายจ่าย!AG158</f>
        <v>7656813.04</v>
      </c>
      <c r="M44" s="579">
        <f t="shared" si="18"/>
        <v>58.898561846153854</v>
      </c>
      <c r="N44" s="579">
        <f>+รายละเอียดรายจ่าย!AJ158</f>
        <v>13000000</v>
      </c>
      <c r="O44" s="579">
        <f>+รายละเอียดรายจ่าย!AK158</f>
        <v>10784868.16</v>
      </c>
      <c r="P44" s="579">
        <f t="shared" si="14"/>
        <v>82.96052430769231</v>
      </c>
      <c r="Q44" s="579">
        <f>+รายละเอียดรายจ่าย!AN158</f>
        <v>10000000</v>
      </c>
      <c r="R44" s="1630">
        <f>+รายละเอียดรายจ่าย!AR158</f>
        <v>6134433.3300000001</v>
      </c>
      <c r="S44" s="1923">
        <f t="shared" si="15"/>
        <v>61.344333299999995</v>
      </c>
      <c r="T44" s="1700">
        <f>+รายละเอียดรายจ่าย!AU158</f>
        <v>10000000</v>
      </c>
      <c r="U44" s="728">
        <f t="shared" si="16"/>
        <v>0</v>
      </c>
      <c r="V44" s="728">
        <f t="shared" si="11"/>
        <v>0</v>
      </c>
    </row>
    <row r="45" spans="2:22" s="32" customFormat="1" ht="24.75" customHeight="1">
      <c r="B45" s="43"/>
      <c r="C45" s="31"/>
      <c r="D45" s="43"/>
      <c r="E45" s="36" t="s">
        <v>49</v>
      </c>
      <c r="F45" s="570">
        <v>4427235.5</v>
      </c>
      <c r="G45" s="316">
        <f>+รายละเอียดรายจ่าย!R159</f>
        <v>22896823.600000001</v>
      </c>
      <c r="H45" s="587">
        <f>+รายละเอียดรายจ่าย!Y159</f>
        <v>30000000</v>
      </c>
      <c r="I45" s="587">
        <f>+รายละเอียดรายจ่าย!AD159</f>
        <v>10926773.800000001</v>
      </c>
      <c r="J45" s="68">
        <f t="shared" si="17"/>
        <v>36.422579333333339</v>
      </c>
      <c r="K45" s="579">
        <f>+รายละเอียดรายจ่าย!AF159</f>
        <v>30000000</v>
      </c>
      <c r="L45" s="579">
        <f>+รายละเอียดรายจ่าย!AG159</f>
        <v>17196706.800000001</v>
      </c>
      <c r="M45" s="579">
        <f t="shared" si="18"/>
        <v>57.322356000000006</v>
      </c>
      <c r="N45" s="579">
        <f>+รายละเอียดรายจ่าย!AJ159</f>
        <v>30000000</v>
      </c>
      <c r="O45" s="579">
        <f>+รายละเอียดรายจ่าย!AK159</f>
        <v>23154494.699999999</v>
      </c>
      <c r="P45" s="579">
        <f t="shared" si="14"/>
        <v>77.181648999999993</v>
      </c>
      <c r="Q45" s="579">
        <f>+รายละเอียดรายจ่าย!AN159</f>
        <v>30000000</v>
      </c>
      <c r="R45" s="1630">
        <f>+รายละเอียดรายจ่าย!AR159</f>
        <v>12615605.15</v>
      </c>
      <c r="S45" s="1700">
        <f t="shared" si="15"/>
        <v>42.052017166666666</v>
      </c>
      <c r="T45" s="1700">
        <f>+รายละเอียดรายจ่าย!AU159</f>
        <v>30000000</v>
      </c>
      <c r="U45" s="728">
        <f t="shared" si="16"/>
        <v>0</v>
      </c>
      <c r="V45" s="728">
        <f t="shared" si="11"/>
        <v>0</v>
      </c>
    </row>
    <row r="46" spans="2:22" s="32" customFormat="1" ht="24.75" customHeight="1">
      <c r="B46" s="43"/>
      <c r="C46" s="31"/>
      <c r="D46" s="31"/>
      <c r="E46" s="37" t="s">
        <v>118</v>
      </c>
      <c r="F46" s="570">
        <f>904032336.97-F41-F42-F43-F44-F45-F39</f>
        <v>58049037.340000033</v>
      </c>
      <c r="G46" s="316">
        <f>+รายละเอียดรายจ่าย!R135-G39-G41-G42-G43-G44-G45</f>
        <v>66635517.020000152</v>
      </c>
      <c r="H46" s="316">
        <f>+รายละเอียดรายจ่าย!Y135-H39-H41-H42-H43-H44-H45</f>
        <v>74130000</v>
      </c>
      <c r="I46" s="316">
        <f>+รายละเอียดรายจ่าย!AD135-I39-I41-I42-I43-I44-I45</f>
        <v>61962203.369999915</v>
      </c>
      <c r="J46" s="68">
        <f t="shared" si="17"/>
        <v>83.585867219748977</v>
      </c>
      <c r="K46" s="579">
        <f>+รายละเอียดรายจ่าย!AF135-K39-K41-K42-K43-K44-K45</f>
        <v>74890000</v>
      </c>
      <c r="L46" s="579">
        <f>+รายละเอียดรายจ่าย!AG135-L39-L41-L42-L43-L44-L45</f>
        <v>48412914.460000083</v>
      </c>
      <c r="M46" s="579">
        <f t="shared" si="18"/>
        <v>64.645365816531026</v>
      </c>
      <c r="N46" s="579">
        <f>+รายละเอียดรายจ่าย!AJ135-N39-N41-N42-N43-N44-N45</f>
        <v>74890000</v>
      </c>
      <c r="O46" s="579">
        <f>+รายละเอียดรายจ่าย!AK135-O45-O44-O43-O42-O41-O39</f>
        <v>69659346.130000234</v>
      </c>
      <c r="P46" s="579">
        <f t="shared" si="14"/>
        <v>93.015550981439759</v>
      </c>
      <c r="Q46" s="579">
        <f>+รายละเอียดรายจ่าย!AN135-Q39-Q41-Q42-Q43-Q44-Q45</f>
        <v>71020000</v>
      </c>
      <c r="R46" s="1630">
        <f>+รายละเอียดรายจ่าย!AR135-R39-R41-R42-R43-R44-R45</f>
        <v>42322372.480000094</v>
      </c>
      <c r="S46" s="1923">
        <f t="shared" si="15"/>
        <v>59.592188791889747</v>
      </c>
      <c r="T46" s="1700">
        <f>+รายละเอียดรายจ่าย!AU135-T39-T41-T42-T43-T44-T45</f>
        <v>74120000</v>
      </c>
      <c r="U46" s="728">
        <f t="shared" si="16"/>
        <v>4.1824069077172155</v>
      </c>
      <c r="V46" s="728">
        <f t="shared" si="11"/>
        <v>3100000</v>
      </c>
    </row>
    <row r="47" spans="2:22" s="32" customFormat="1" ht="24.75" customHeight="1">
      <c r="B47" s="43"/>
      <c r="C47" s="31"/>
      <c r="D47" s="31"/>
      <c r="E47" s="37" t="s">
        <v>51</v>
      </c>
      <c r="F47" s="570">
        <v>64033302.310000002</v>
      </c>
      <c r="G47" s="316">
        <f>+รายละเอียดรายจ่าย!R125</f>
        <v>59796624.25</v>
      </c>
      <c r="H47" s="316">
        <f>+รายละเอียดรายจ่าย!Y125</f>
        <v>70000000</v>
      </c>
      <c r="I47" s="316">
        <f>+รายละเอียดรายจ่าย!AD125</f>
        <v>29100809.289999999</v>
      </c>
      <c r="J47" s="68">
        <f t="shared" si="17"/>
        <v>41.5725847</v>
      </c>
      <c r="K47" s="579">
        <f>+รายละเอียดรายจ่าย!AF125</f>
        <v>70000000</v>
      </c>
      <c r="L47" s="579">
        <f>+รายละเอียดรายจ่าย!AG125</f>
        <v>44400793.759999998</v>
      </c>
      <c r="M47" s="579">
        <f t="shared" si="18"/>
        <v>63.429705371428568</v>
      </c>
      <c r="N47" s="579">
        <f>+รายละเอียดรายจ่าย!AJ125</f>
        <v>70000000</v>
      </c>
      <c r="O47" s="579">
        <f>+รายละเอียดรายจ่าย!AK125</f>
        <v>59560213.590000004</v>
      </c>
      <c r="P47" s="579">
        <f t="shared" si="14"/>
        <v>85.086019414285715</v>
      </c>
      <c r="Q47" s="579">
        <f>+รายละเอียดรายจ่าย!AN125</f>
        <v>70000000</v>
      </c>
      <c r="R47" s="1630">
        <f>+รายละเอียดรายจ่าย!AR125</f>
        <v>29037249.710000001</v>
      </c>
      <c r="S47" s="1700">
        <f t="shared" si="15"/>
        <v>41.481785299999999</v>
      </c>
      <c r="T47" s="1700">
        <f>+รายละเอียดรายจ่าย!AU125</f>
        <v>60000000</v>
      </c>
      <c r="U47" s="728">
        <f t="shared" si="16"/>
        <v>-16.666666666666664</v>
      </c>
      <c r="V47" s="728">
        <f t="shared" si="11"/>
        <v>-10000000</v>
      </c>
    </row>
    <row r="48" spans="2:22" s="32" customFormat="1" ht="24.75" customHeight="1">
      <c r="B48" s="43"/>
      <c r="C48" s="31"/>
      <c r="D48" s="31"/>
      <c r="E48" s="37" t="s">
        <v>52</v>
      </c>
      <c r="F48" s="570">
        <v>170224752.50999999</v>
      </c>
      <c r="G48" s="316">
        <f>+รายละเอียดรายจ่าย!R17</f>
        <v>219379411.42000005</v>
      </c>
      <c r="H48" s="316">
        <f>+รายละเอียดรายจ่าย!Y17</f>
        <v>209321600</v>
      </c>
      <c r="I48" s="316">
        <f>+รายละเอียดรายจ่าย!AD17</f>
        <v>92750469.38000001</v>
      </c>
      <c r="J48" s="68">
        <f t="shared" si="17"/>
        <v>44.31003268654549</v>
      </c>
      <c r="K48" s="579">
        <f>+รายละเอียดรายจ่าย!AF17+รายละเอียดรายจ่าย!AF218</f>
        <v>203054997.38</v>
      </c>
      <c r="L48" s="579">
        <f>+รายละเอียดรายจ่าย!AG17</f>
        <v>144211898.39000002</v>
      </c>
      <c r="M48" s="579">
        <f t="shared" si="18"/>
        <v>71.021102780405755</v>
      </c>
      <c r="N48" s="579">
        <f>+รายละเอียดรายจ่าย!AJ17+รายละเอียดรายจ่าย!AJ218</f>
        <v>203054997.38</v>
      </c>
      <c r="O48" s="579">
        <f>+รายละเอียดรายจ่าย!AK17+325000</f>
        <v>200417441.31999996</v>
      </c>
      <c r="P48" s="579">
        <f t="shared" si="14"/>
        <v>98.701063212414283</v>
      </c>
      <c r="Q48" s="579">
        <f>+รายละเอียดรายจ่าย!AN17+รายละเอียดรายจ่าย!AN223</f>
        <v>236517690</v>
      </c>
      <c r="R48" s="1630">
        <f>+รายละเอียดรายจ่าย!AR17</f>
        <v>107529647.7</v>
      </c>
      <c r="S48" s="1700">
        <f t="shared" si="15"/>
        <v>45.463680835036065</v>
      </c>
      <c r="T48" s="1700">
        <f>+รายละเอียดรายจ่าย!AU17+รายละเอียดรายจ่าย!AU222+รายละเอียดรายจ่าย!AU223</f>
        <v>268157520</v>
      </c>
      <c r="U48" s="728">
        <f t="shared" si="16"/>
        <v>11.798971738700448</v>
      </c>
      <c r="V48" s="728">
        <f t="shared" si="11"/>
        <v>31639830</v>
      </c>
    </row>
    <row r="49" spans="2:22" s="32" customFormat="1" ht="24.75" customHeight="1">
      <c r="B49" s="43"/>
      <c r="C49" s="31"/>
      <c r="D49" s="31"/>
      <c r="E49" s="37" t="s">
        <v>53</v>
      </c>
      <c r="F49" s="570">
        <v>0</v>
      </c>
      <c r="G49" s="570">
        <v>0</v>
      </c>
      <c r="H49" s="316">
        <v>0</v>
      </c>
      <c r="I49" s="316">
        <v>0</v>
      </c>
      <c r="J49" s="68">
        <v>0</v>
      </c>
      <c r="K49" s="570">
        <v>0</v>
      </c>
      <c r="L49" s="570">
        <v>0</v>
      </c>
      <c r="M49" s="570">
        <v>0</v>
      </c>
      <c r="N49" s="570">
        <v>0</v>
      </c>
      <c r="O49" s="570">
        <v>0</v>
      </c>
      <c r="P49" s="570">
        <v>0</v>
      </c>
      <c r="Q49" s="570">
        <v>0</v>
      </c>
      <c r="R49" s="570">
        <v>0</v>
      </c>
      <c r="S49" s="570">
        <v>0</v>
      </c>
      <c r="T49" s="570">
        <v>0</v>
      </c>
      <c r="U49" s="157"/>
      <c r="V49" s="728">
        <f t="shared" si="11"/>
        <v>0</v>
      </c>
    </row>
    <row r="50" spans="2:22" s="32" customFormat="1" ht="27.95" customHeight="1">
      <c r="B50" s="43"/>
      <c r="C50" s="126" t="s">
        <v>108</v>
      </c>
      <c r="D50" s="126"/>
      <c r="E50" s="127"/>
      <c r="F50" s="577"/>
      <c r="G50" s="578"/>
      <c r="H50" s="578"/>
      <c r="I50" s="578"/>
      <c r="J50" s="77"/>
      <c r="K50" s="577"/>
      <c r="L50" s="578"/>
      <c r="M50" s="578"/>
      <c r="N50" s="578"/>
      <c r="O50" s="578"/>
      <c r="P50" s="578"/>
      <c r="Q50" s="578"/>
      <c r="R50" s="578"/>
      <c r="S50" s="578"/>
      <c r="T50" s="578"/>
      <c r="V50" s="157"/>
    </row>
    <row r="51" spans="2:22" s="32" customFormat="1" ht="27.95" customHeight="1">
      <c r="B51" s="43"/>
      <c r="C51" s="31"/>
      <c r="D51" s="31"/>
      <c r="E51" s="31" t="s">
        <v>80</v>
      </c>
      <c r="F51" s="577"/>
      <c r="G51" s="578"/>
      <c r="H51" s="578"/>
      <c r="I51" s="578"/>
      <c r="J51" s="77"/>
      <c r="K51" s="577"/>
      <c r="L51" s="578"/>
      <c r="M51" s="578"/>
      <c r="N51" s="578"/>
      <c r="O51" s="578"/>
      <c r="P51" s="578"/>
      <c r="Q51" s="578"/>
      <c r="R51" s="578"/>
      <c r="S51" s="578"/>
      <c r="T51" s="578"/>
      <c r="V51" s="157"/>
    </row>
    <row r="52" spans="2:22" s="729" customFormat="1" ht="27.95" customHeight="1">
      <c r="B52" s="146"/>
      <c r="C52" s="726"/>
      <c r="D52" s="726"/>
      <c r="E52" s="146" t="s">
        <v>115</v>
      </c>
      <c r="F52" s="584">
        <v>16655750</v>
      </c>
      <c r="G52" s="585">
        <f>+รายละเอียดรายจ่าย!R193</f>
        <v>0</v>
      </c>
      <c r="H52" s="585">
        <f>+รายละเอียดรายจ่าย!Y193</f>
        <v>16000000</v>
      </c>
      <c r="I52" s="585">
        <v>0</v>
      </c>
      <c r="J52" s="1916">
        <v>0</v>
      </c>
      <c r="K52" s="1917">
        <f>+รายละเอียดรายจ่าย!AF193</f>
        <v>30827352.009999998</v>
      </c>
      <c r="L52" s="1918">
        <f>+รายละเอียดรายจ่าย!AG193</f>
        <v>0</v>
      </c>
      <c r="M52" s="1918">
        <f>+L52/K52*100</f>
        <v>0</v>
      </c>
      <c r="N52" s="732">
        <f>+รายละเอียดรายจ่าย!AJ193</f>
        <v>30827352.009999998</v>
      </c>
      <c r="O52" s="732">
        <f>+รายละเอียดรายจ่าย!AW193</f>
        <v>16665000</v>
      </c>
      <c r="P52" s="732">
        <f>+O52/N52*100</f>
        <v>54.05913551898356</v>
      </c>
      <c r="Q52" s="732">
        <f>+รายละเอียดรายจ่าย!AN193</f>
        <v>17000000</v>
      </c>
      <c r="R52" s="1700">
        <f>+รายละเอียดรายจ่าย!AR193</f>
        <v>10122384.42</v>
      </c>
      <c r="S52" s="1923">
        <f>+R52/Q52*100</f>
        <v>59.543437764705885</v>
      </c>
      <c r="T52" s="1700">
        <f>+รายละเอียดรายจ่าย!AU193</f>
        <v>22596016.190000001</v>
      </c>
      <c r="U52" s="728">
        <f>+(T52-Q52)/T52*100</f>
        <v>24.765499116948547</v>
      </c>
      <c r="V52" s="728">
        <f t="shared" ref="V52:V54" si="19">+T52-Q52</f>
        <v>5596016.1900000013</v>
      </c>
    </row>
    <row r="53" spans="2:22" s="729" customFormat="1" ht="27.95" customHeight="1">
      <c r="B53" s="146"/>
      <c r="C53" s="726"/>
      <c r="D53" s="726"/>
      <c r="E53" s="146" t="s">
        <v>116</v>
      </c>
      <c r="F53" s="2685">
        <f>62031461.74-F52</f>
        <v>45375711.740000002</v>
      </c>
      <c r="G53" s="2699">
        <f>+รายละเอียดรายจ่าย!R178</f>
        <v>89194195.700000003</v>
      </c>
      <c r="H53" s="585">
        <v>0</v>
      </c>
      <c r="I53" s="585">
        <v>0</v>
      </c>
      <c r="J53" s="1916">
        <v>0</v>
      </c>
      <c r="K53" s="585">
        <v>0</v>
      </c>
      <c r="L53" s="585">
        <v>0</v>
      </c>
      <c r="M53" s="585">
        <v>0</v>
      </c>
      <c r="N53" s="1919">
        <v>0</v>
      </c>
      <c r="O53" s="1919">
        <v>0</v>
      </c>
      <c r="P53" s="1919">
        <v>0</v>
      </c>
      <c r="Q53" s="1919">
        <v>0</v>
      </c>
      <c r="R53" s="1919">
        <v>0</v>
      </c>
      <c r="S53" s="1919">
        <v>0</v>
      </c>
      <c r="T53" s="1919">
        <v>0</v>
      </c>
      <c r="V53" s="728">
        <f t="shared" si="19"/>
        <v>0</v>
      </c>
    </row>
    <row r="54" spans="2:22" s="729" customFormat="1" ht="27.95" customHeight="1">
      <c r="B54" s="146"/>
      <c r="C54" s="726"/>
      <c r="D54" s="726"/>
      <c r="E54" s="146" t="s">
        <v>998</v>
      </c>
      <c r="F54" s="2685"/>
      <c r="G54" s="2700"/>
      <c r="H54" s="585">
        <f>+รายละเอียดรายจ่าย!Y178-H52+รายละเอียดรายจ่าย!Y218+รายละเอียดรายจ่าย!Y219</f>
        <v>88046936.819999993</v>
      </c>
      <c r="I54" s="585">
        <f>+รายละเอียดรายจ่าย!AD178</f>
        <v>39114995.789999999</v>
      </c>
      <c r="J54" s="149">
        <f>+I54/H54*100</f>
        <v>44.425163671469114</v>
      </c>
      <c r="K54" s="1917">
        <f>+รายละเอียดรายจ่าย!AF178-K52+รายละเอียดรายจ่าย!AF219</f>
        <v>147553315.70000002</v>
      </c>
      <c r="L54" s="1918">
        <f>+รายละเอียดรายจ่าย!AG178</f>
        <v>44725394.780000001</v>
      </c>
      <c r="M54" s="1918">
        <f>+L54/K54*100</f>
        <v>30.311345135024975</v>
      </c>
      <c r="N54" s="732">
        <f>+รายละเอียดรายจ่าย!AJ178-N52+ประมาณการรายจ่าย!Y15</f>
        <v>103341833.20000002</v>
      </c>
      <c r="O54" s="732">
        <f>+รายละเอียดรายจ่าย!AK178-O52+รายละเอียดรายจ่าย!AK219</f>
        <v>98849619.930000007</v>
      </c>
      <c r="P54" s="732">
        <f>+O54/N54*100</f>
        <v>95.653054401206418</v>
      </c>
      <c r="Q54" s="732">
        <f>+รายละเอียดรายจ่าย!AN178-Q52</f>
        <v>140283315.04666668</v>
      </c>
      <c r="R54" s="1700">
        <f>+รายละเอียดรายจ่าย!AR178-R52</f>
        <v>52319170.909999996</v>
      </c>
      <c r="S54" s="1700">
        <f>+R54/Q54*100</f>
        <v>37.2953625258966</v>
      </c>
      <c r="T54" s="1700">
        <f>+รายละเอียดรายจ่าย!AU178-T52+รายละเอียดรายจ่าย!AU220</f>
        <v>190738225.55666664</v>
      </c>
      <c r="U54" s="728">
        <f>+(T54-Q54)/T54*100</f>
        <v>26.452437817720103</v>
      </c>
      <c r="V54" s="728">
        <f t="shared" si="19"/>
        <v>50454910.509999961</v>
      </c>
    </row>
    <row r="55" spans="2:22" s="32" customFormat="1" ht="27.95" customHeight="1">
      <c r="B55" s="43"/>
      <c r="C55" s="31"/>
      <c r="D55" s="31"/>
      <c r="E55" s="31" t="s">
        <v>54</v>
      </c>
      <c r="F55" s="577"/>
      <c r="G55" s="578"/>
      <c r="H55" s="578"/>
      <c r="I55" s="578"/>
      <c r="J55" s="77"/>
      <c r="K55" s="577"/>
      <c r="L55" s="673"/>
      <c r="M55" s="673"/>
      <c r="N55" s="673"/>
      <c r="O55" s="673"/>
      <c r="P55" s="673"/>
      <c r="Q55" s="673"/>
      <c r="R55" s="673"/>
      <c r="S55" s="673"/>
      <c r="T55" s="673"/>
      <c r="V55" s="157"/>
    </row>
    <row r="56" spans="2:22" s="32" customFormat="1" ht="27.95" customHeight="1">
      <c r="B56" s="43"/>
      <c r="C56" s="31"/>
      <c r="D56" s="31"/>
      <c r="E56" s="43" t="s">
        <v>109</v>
      </c>
      <c r="F56" s="570">
        <v>0</v>
      </c>
      <c r="G56" s="570">
        <v>0</v>
      </c>
      <c r="H56" s="316">
        <v>0</v>
      </c>
      <c r="I56" s="316">
        <v>0</v>
      </c>
      <c r="J56" s="317">
        <v>0</v>
      </c>
      <c r="K56" s="316">
        <v>0</v>
      </c>
      <c r="L56" s="316">
        <v>0</v>
      </c>
      <c r="M56" s="316">
        <v>0</v>
      </c>
      <c r="N56" s="316">
        <v>0</v>
      </c>
      <c r="O56" s="316">
        <v>0</v>
      </c>
      <c r="P56" s="316">
        <v>0</v>
      </c>
      <c r="Q56" s="316">
        <v>0</v>
      </c>
      <c r="R56" s="316">
        <v>0</v>
      </c>
      <c r="S56" s="1700">
        <v>0</v>
      </c>
      <c r="T56" s="1700">
        <v>0</v>
      </c>
      <c r="V56" s="157"/>
    </row>
    <row r="57" spans="2:22" s="32" customFormat="1" ht="27.95" customHeight="1">
      <c r="B57" s="43"/>
      <c r="C57" s="31"/>
      <c r="D57" s="31"/>
      <c r="E57" s="43" t="s">
        <v>110</v>
      </c>
      <c r="F57" s="570">
        <v>0</v>
      </c>
      <c r="G57" s="316">
        <f>+รายละเอียดรายจ่าย!R195</f>
        <v>0</v>
      </c>
      <c r="H57" s="316">
        <f>+รายละเอียดรายจ่าย!Y197</f>
        <v>24000000</v>
      </c>
      <c r="I57" s="316">
        <v>0</v>
      </c>
      <c r="J57" s="317">
        <v>0</v>
      </c>
      <c r="K57" s="579">
        <f>+รายละเอียดรายจ่าย!AF197</f>
        <v>200000000</v>
      </c>
      <c r="L57" s="316">
        <f>+L56</f>
        <v>0</v>
      </c>
      <c r="M57" s="316">
        <v>0</v>
      </c>
      <c r="N57" s="580">
        <f>+รายละเอียดรายจ่าย!AJ197</f>
        <v>14465000</v>
      </c>
      <c r="O57" s="734">
        <f>+รายละเอียดรายจ่าย!AK197</f>
        <v>0</v>
      </c>
      <c r="P57" s="734">
        <f>+รายละเอียดรายจ่าย!AL197</f>
        <v>0</v>
      </c>
      <c r="Q57" s="580">
        <f>+รายละเอียดรายจ่าย!AN197+รายละเอียดรายจ่าย!AN198</f>
        <v>229000000</v>
      </c>
      <c r="R57" s="1630">
        <f>+รายละเอียดรายจ่าย!AR198</f>
        <v>41982193.759999998</v>
      </c>
      <c r="S57" s="1922">
        <f>+R57/Q57*100</f>
        <v>18.332835703056769</v>
      </c>
      <c r="T57" s="1700">
        <f>+'สิ่งก่อสร้าง (NEW)'!E38</f>
        <v>104700000</v>
      </c>
      <c r="U57" s="728">
        <f>+(T57-Q57)/T57*100</f>
        <v>-118.72015281757402</v>
      </c>
      <c r="V57" s="728">
        <f t="shared" ref="V57:V58" si="20">+T57-Q57</f>
        <v>-124300000</v>
      </c>
    </row>
    <row r="58" spans="2:22" s="32" customFormat="1" ht="27.95" customHeight="1">
      <c r="B58" s="43"/>
      <c r="C58" s="31"/>
      <c r="D58" s="31"/>
      <c r="E58" s="43" t="s">
        <v>111</v>
      </c>
      <c r="F58" s="570">
        <v>0</v>
      </c>
      <c r="G58" s="316">
        <f>+รายละเอียดรายจ่าย!R196</f>
        <v>0</v>
      </c>
      <c r="H58" s="316">
        <f>+รายละเอียดรายจ่าย!Y196</f>
        <v>226026911.13999999</v>
      </c>
      <c r="I58" s="316">
        <f>+รายละเอียดรายจ่าย!AD195</f>
        <v>1237363</v>
      </c>
      <c r="J58" s="68">
        <f>+I58/H58*100</f>
        <v>0.54744056526684259</v>
      </c>
      <c r="K58" s="579">
        <f>+รายละเอียดรายจ่าย!AF196</f>
        <v>173640511.13999999</v>
      </c>
      <c r="L58" s="580">
        <f>+รายละเอียดรายจ่าย!AG195</f>
        <v>6270963</v>
      </c>
      <c r="M58" s="674">
        <f>+L58/K58*100</f>
        <v>3.6114631077905273</v>
      </c>
      <c r="N58" s="580">
        <f>+รายละเอียดรายจ่าย!AJ196</f>
        <v>28350511.140000001</v>
      </c>
      <c r="O58" s="580">
        <f>+รายละเอียดรายจ่าย!AK196</f>
        <v>20311325.890000001</v>
      </c>
      <c r="P58" s="583">
        <f>+O58/N58*100</f>
        <v>71.643596793366314</v>
      </c>
      <c r="Q58" s="580">
        <f>+รายละเอียดรายจ่าย!AN196+รายละเอียดรายจ่าย!AN220</f>
        <v>275081165.70999998</v>
      </c>
      <c r="R58" s="1630">
        <f>+รายละเอียดรายจ่าย!AR195-R57</f>
        <v>34545499.999999993</v>
      </c>
      <c r="S58" s="1922">
        <f>+R58/Q58*100</f>
        <v>12.558293444349818</v>
      </c>
      <c r="T58" s="1700">
        <f>+รายละเอียดรายจ่าย!AU196</f>
        <v>89577751.049999997</v>
      </c>
      <c r="U58" s="728">
        <f>+(T58-Q58)/T58*100</f>
        <v>-207.0864835135867</v>
      </c>
      <c r="V58" s="728">
        <f t="shared" si="20"/>
        <v>-185503414.65999997</v>
      </c>
    </row>
    <row r="59" spans="2:22" s="32" customFormat="1" ht="27.95" customHeight="1">
      <c r="B59" s="43"/>
      <c r="C59" s="70" t="s">
        <v>107</v>
      </c>
      <c r="D59" s="70"/>
      <c r="E59" s="70"/>
      <c r="F59" s="577"/>
      <c r="G59" s="578"/>
      <c r="H59" s="578"/>
      <c r="I59" s="578"/>
      <c r="J59" s="77"/>
      <c r="K59" s="577"/>
      <c r="L59" s="673"/>
      <c r="M59" s="673"/>
      <c r="N59" s="673"/>
      <c r="O59" s="673"/>
      <c r="P59" s="673"/>
      <c r="Q59" s="673"/>
      <c r="R59" s="673"/>
      <c r="S59" s="673"/>
      <c r="T59" s="673"/>
      <c r="V59" s="157"/>
    </row>
    <row r="60" spans="2:22" s="32" customFormat="1" ht="27.95" customHeight="1">
      <c r="B60" s="43"/>
      <c r="C60" s="31"/>
      <c r="D60" s="43" t="s">
        <v>119</v>
      </c>
      <c r="E60" s="43"/>
      <c r="F60" s="570">
        <f>127930+1102457.67+1099806.51+4230700</f>
        <v>6560894.1799999997</v>
      </c>
      <c r="G60" s="316">
        <v>11105887.34</v>
      </c>
      <c r="H60" s="316">
        <f>+รายละเอียดรายจ่าย!Y210</f>
        <v>2000000</v>
      </c>
      <c r="I60" s="316">
        <f>+รายละเอียดรายจ่าย!AD210</f>
        <v>31200</v>
      </c>
      <c r="J60" s="317">
        <v>0</v>
      </c>
      <c r="K60" s="579">
        <f>+รายละเอียดรายจ่าย!AF210</f>
        <v>2000000</v>
      </c>
      <c r="L60" s="2689">
        <f>+รายละเอียดรายจ่าย!AG199</f>
        <v>10621099.23</v>
      </c>
      <c r="M60" s="2691">
        <f>+L60/(K60+K61)*100</f>
        <v>47.30382408477805</v>
      </c>
      <c r="N60" s="580">
        <v>17600000</v>
      </c>
      <c r="O60" s="580">
        <f>+รายละเอียดรายจ่าย!AK210+รายละเอียดรายจ่าย!AK205</f>
        <v>11673320</v>
      </c>
      <c r="P60" s="583">
        <f>+O60/N60*100</f>
        <v>66.32568181818182</v>
      </c>
      <c r="Q60" s="580">
        <f>+รายละเอียดรายจ่าย!AN205</f>
        <v>5071005.09</v>
      </c>
      <c r="R60" s="1760">
        <f>+รายละเอียดรายจ่าย!AR205</f>
        <v>5194485.09</v>
      </c>
      <c r="S60" s="1700">
        <v>59.543437764705885</v>
      </c>
      <c r="T60" s="1700">
        <f>+รายละเอียดรายจ่าย!AU210</f>
        <v>6545000</v>
      </c>
      <c r="U60" s="728">
        <f>+(T60-Q60)/T60*100</f>
        <v>22.52093063407181</v>
      </c>
      <c r="V60" s="728">
        <f t="shared" ref="V60:V63" si="21">+T60-Q60</f>
        <v>1473994.9100000001</v>
      </c>
    </row>
    <row r="61" spans="2:22" s="32" customFormat="1" ht="27.95" customHeight="1">
      <c r="B61" s="43"/>
      <c r="C61" s="31"/>
      <c r="D61" s="43" t="s">
        <v>106</v>
      </c>
      <c r="E61" s="43"/>
      <c r="F61" s="570">
        <f>12299449.89-F60+4357500</f>
        <v>10096055.710000001</v>
      </c>
      <c r="G61" s="316">
        <v>16943336.68</v>
      </c>
      <c r="H61" s="316">
        <f>+รายละเอียดรายจ่าย!Y199-H60</f>
        <v>20452939.98</v>
      </c>
      <c r="I61" s="316">
        <f>+รายละเอียดรายจ่าย!AD199-I60</f>
        <v>7729774.3300000001</v>
      </c>
      <c r="J61" s="68">
        <f>+I61/H61</f>
        <v>0.37792974201061535</v>
      </c>
      <c r="K61" s="579">
        <f>+รายละเอียดรายจ่าย!AF199-K60</f>
        <v>20452939.98</v>
      </c>
      <c r="L61" s="2690"/>
      <c r="M61" s="2692"/>
      <c r="N61" s="580">
        <f>+รายละเอียดรายจ่าย!AJ199-N60</f>
        <v>4864939.9800000004</v>
      </c>
      <c r="O61" s="580">
        <f>+รายละเอียดรายจ่าย!AK199-O60</f>
        <v>13116961.41</v>
      </c>
      <c r="P61" s="583">
        <f>+O61/N61*100</f>
        <v>269.62226592567333</v>
      </c>
      <c r="Q61" s="580">
        <f>+รายละเอียดรายจ่าย!AN199-Q60</f>
        <v>7100000</v>
      </c>
      <c r="R61" s="1760">
        <f>+รายละเอียดรายจ่าย!AR199-R60</f>
        <v>14256325.540000003</v>
      </c>
      <c r="S61" s="1921">
        <f>+R61/Q61*100</f>
        <v>200.79331746478877</v>
      </c>
      <c r="T61" s="1700">
        <f>+รายละเอียดรายจ่าย!AU199-T60</f>
        <v>21280000</v>
      </c>
      <c r="U61" s="728">
        <f>+(T61-Q61)/T61*100</f>
        <v>66.635338345864653</v>
      </c>
      <c r="V61" s="728">
        <f t="shared" si="21"/>
        <v>14180000</v>
      </c>
    </row>
    <row r="62" spans="2:22" s="32" customFormat="1" ht="27.95" customHeight="1">
      <c r="B62" s="43"/>
      <c r="C62" s="31" t="s">
        <v>176</v>
      </c>
      <c r="D62" s="31"/>
      <c r="E62" s="43"/>
      <c r="F62" s="570">
        <v>0</v>
      </c>
      <c r="G62" s="570">
        <v>0</v>
      </c>
      <c r="H62" s="316">
        <f>+รายละเอียดรายจ่าย!Y224</f>
        <v>10000000</v>
      </c>
      <c r="I62" s="316">
        <f>+รายละเอียดรายจ่าย!AA224</f>
        <v>0</v>
      </c>
      <c r="J62" s="317">
        <f>+รายละเอียดรายจ่าย!AB224</f>
        <v>0</v>
      </c>
      <c r="K62" s="579">
        <f>+รายละเอียดรายจ่าย!AF224</f>
        <v>10000000</v>
      </c>
      <c r="L62" s="674">
        <v>0</v>
      </c>
      <c r="M62" s="674">
        <v>0</v>
      </c>
      <c r="N62" s="580">
        <f>+รายละเอียดรายจ่าย!AJ224</f>
        <v>10000000</v>
      </c>
      <c r="O62" s="734">
        <f>+รายละเอียดรายจ่าย!AK224</f>
        <v>0</v>
      </c>
      <c r="P62" s="1554">
        <f>+O62/N62*100</f>
        <v>0</v>
      </c>
      <c r="Q62" s="580">
        <f>+รายละเอียดรายจ่าย!AN224</f>
        <v>10000000</v>
      </c>
      <c r="R62" s="1630">
        <f>+รายละเอียดรายจ่าย!AO224</f>
        <v>0</v>
      </c>
      <c r="S62" s="1700">
        <v>0</v>
      </c>
      <c r="T62" s="1700">
        <f>+รายละเอียดรายจ่าย!AU224</f>
        <v>10000000</v>
      </c>
      <c r="U62" s="728">
        <f>+(T62-Q62)/T62*100</f>
        <v>0</v>
      </c>
      <c r="V62" s="728">
        <f t="shared" si="21"/>
        <v>0</v>
      </c>
    </row>
    <row r="63" spans="2:22" s="32" customFormat="1" ht="27.95" customHeight="1">
      <c r="B63" s="210"/>
      <c r="C63" s="162"/>
      <c r="D63" s="162"/>
      <c r="E63" s="163" t="s">
        <v>55</v>
      </c>
      <c r="F63" s="581">
        <f t="shared" ref="F63:G63" si="22">SUM(F27:F62)</f>
        <v>1794536654.4399998</v>
      </c>
      <c r="G63" s="581">
        <f t="shared" si="22"/>
        <v>2187708275.04</v>
      </c>
      <c r="H63" s="582">
        <f>SUM(H25:H62)</f>
        <v>2408164387.9399996</v>
      </c>
      <c r="I63" s="582">
        <f>SUM(I25:I62)</f>
        <v>1047128177.2699999</v>
      </c>
      <c r="J63" s="360">
        <f>+I63/H63*100</f>
        <v>43.482420988948263</v>
      </c>
      <c r="K63" s="582">
        <f>SUM(K25:K62)</f>
        <v>2647605116.21</v>
      </c>
      <c r="L63" s="679">
        <f>SUM(L27:L62)</f>
        <v>1582214359.8600001</v>
      </c>
      <c r="M63" s="675">
        <f>+L63/K63*100</f>
        <v>59.760209336840688</v>
      </c>
      <c r="N63" s="679">
        <f>SUM(N27:N62)</f>
        <v>2306820633.71</v>
      </c>
      <c r="O63" s="679">
        <f>SUM(O27:O62)</f>
        <v>2272461201.8199997</v>
      </c>
      <c r="P63" s="1555">
        <f>+O63/N63*100</f>
        <v>98.510528673625529</v>
      </c>
      <c r="Q63" s="679">
        <f>SUM(Q27:Q62)</f>
        <v>2802678855.8466668</v>
      </c>
      <c r="R63" s="679">
        <f t="shared" ref="R63" si="23">SUM(R27:R62)</f>
        <v>1289780534.4300003</v>
      </c>
      <c r="S63" s="679">
        <f>+R63/Q63*100</f>
        <v>46.019562025074329</v>
      </c>
      <c r="T63" s="679">
        <f>SUM(T27:T62)</f>
        <v>2629490512.7966671</v>
      </c>
      <c r="U63" s="728">
        <f>+(T63-Q63)/T63*100</f>
        <v>-6.5863840240975229</v>
      </c>
      <c r="V63" s="728">
        <f t="shared" si="21"/>
        <v>-173188343.04999971</v>
      </c>
    </row>
    <row r="64" spans="2:22" s="32" customFormat="1" ht="27.95" customHeight="1">
      <c r="B64" s="43"/>
      <c r="C64" s="31"/>
      <c r="D64" s="31"/>
      <c r="E64" s="46" t="s">
        <v>56</v>
      </c>
      <c r="F64" s="570">
        <f t="shared" ref="F64:I64" si="24">F24-F63</f>
        <v>96536164.039999962</v>
      </c>
      <c r="G64" s="570">
        <f t="shared" ref="G64" si="25">G24-G63</f>
        <v>65296369.809999943</v>
      </c>
      <c r="H64" s="316">
        <f t="shared" si="24"/>
        <v>2459500.0000004768</v>
      </c>
      <c r="I64" s="316">
        <f t="shared" si="24"/>
        <v>440009612.24999988</v>
      </c>
      <c r="J64" s="68"/>
      <c r="K64" s="316">
        <f t="shared" ref="K64" si="26">K24-K63</f>
        <v>11222235.800000191</v>
      </c>
      <c r="L64" s="678">
        <f>+L24-L63</f>
        <v>555704619.62999964</v>
      </c>
      <c r="M64" s="672"/>
      <c r="N64" s="678">
        <f>+N24-N63</f>
        <v>243957415.36999989</v>
      </c>
      <c r="O64" s="678">
        <f>+O24-O63</f>
        <v>405489275.44999981</v>
      </c>
      <c r="P64" s="678"/>
      <c r="Q64" s="1553">
        <f>+Q24-Q63</f>
        <v>-453405395.84666681</v>
      </c>
      <c r="R64" s="678">
        <f t="shared" ref="R64" si="27">+R24-R63</f>
        <v>55095177.829999685</v>
      </c>
      <c r="S64" s="1699"/>
      <c r="T64" s="1553">
        <f>+T24-T63</f>
        <v>-170394496.60666704</v>
      </c>
      <c r="U64" s="505"/>
      <c r="V64" s="157"/>
    </row>
    <row r="65" spans="1:22" s="32" customFormat="1" ht="27.95" customHeight="1">
      <c r="A65" s="173"/>
      <c r="B65" s="43"/>
      <c r="C65" s="43"/>
      <c r="D65" s="43"/>
      <c r="E65" s="46" t="s">
        <v>57</v>
      </c>
      <c r="F65" s="1593">
        <v>600320044.45000005</v>
      </c>
      <c r="G65" s="570">
        <f>+F66</f>
        <v>696856208.49000001</v>
      </c>
      <c r="H65" s="503">
        <f>+G66</f>
        <v>762152578.29999995</v>
      </c>
      <c r="I65" s="503">
        <f>+H66</f>
        <v>764612078.30000043</v>
      </c>
      <c r="J65" s="68"/>
      <c r="K65" s="572">
        <f>+H66</f>
        <v>764612078.30000043</v>
      </c>
      <c r="L65" s="680">
        <f>+H66</f>
        <v>764612078.30000043</v>
      </c>
      <c r="M65" s="676"/>
      <c r="N65" s="680">
        <f>+G66</f>
        <v>762152578.29999995</v>
      </c>
      <c r="O65" s="680">
        <f>+G66</f>
        <v>762152578.29999995</v>
      </c>
      <c r="P65" s="680"/>
      <c r="Q65" s="680">
        <f>+O66</f>
        <v>1167641853.7499998</v>
      </c>
      <c r="R65" s="1699"/>
      <c r="S65" s="1699"/>
      <c r="T65" s="1630">
        <f>+Q65</f>
        <v>1167641853.7499998</v>
      </c>
      <c r="U65" s="157"/>
      <c r="V65" s="157"/>
    </row>
    <row r="66" spans="1:22" s="32" customFormat="1" ht="27.95" customHeight="1">
      <c r="B66" s="43"/>
      <c r="C66" s="43"/>
      <c r="D66" s="43"/>
      <c r="E66" s="46" t="s">
        <v>58</v>
      </c>
      <c r="F66" s="570">
        <f t="shared" ref="F66:I66" si="28">+F64+F65</f>
        <v>696856208.49000001</v>
      </c>
      <c r="G66" s="570">
        <f t="shared" si="28"/>
        <v>762152578.29999995</v>
      </c>
      <c r="H66" s="316">
        <f t="shared" si="28"/>
        <v>764612078.30000043</v>
      </c>
      <c r="I66" s="316">
        <f t="shared" si="28"/>
        <v>1204621690.5500002</v>
      </c>
      <c r="J66" s="68"/>
      <c r="K66" s="316">
        <f>+K64+K65</f>
        <v>775834314.10000062</v>
      </c>
      <c r="L66" s="678">
        <f>+L64+L65</f>
        <v>1320316697.9300001</v>
      </c>
      <c r="M66" s="672"/>
      <c r="N66" s="678">
        <f>+N64+N65</f>
        <v>1006109993.6699998</v>
      </c>
      <c r="O66" s="678">
        <f>+O64+O65</f>
        <v>1167641853.7499998</v>
      </c>
      <c r="P66" s="678"/>
      <c r="Q66" s="678">
        <f>+Q64+Q65</f>
        <v>714236457.90333295</v>
      </c>
      <c r="R66" s="1699"/>
      <c r="S66" s="1699"/>
      <c r="T66" s="678">
        <f>+T64+T65</f>
        <v>997247357.14333272</v>
      </c>
      <c r="U66" s="157"/>
      <c r="V66" s="157"/>
    </row>
    <row r="67" spans="1:22" s="32" customFormat="1" ht="27.95" customHeight="1">
      <c r="B67" s="43"/>
      <c r="C67" s="43"/>
      <c r="D67" s="43"/>
      <c r="E67" s="46" t="s">
        <v>59</v>
      </c>
      <c r="F67" s="570">
        <v>85488666.950000003</v>
      </c>
      <c r="G67" s="570">
        <v>65293912.810000002</v>
      </c>
      <c r="H67" s="316">
        <f>+รายได้รอการจัดสรร!F11</f>
        <v>56000000</v>
      </c>
      <c r="I67" s="511">
        <v>78096263.870000005</v>
      </c>
      <c r="J67" s="68"/>
      <c r="K67" s="316">
        <f>+รายได้รอการจัดสรร!F11</f>
        <v>56000000</v>
      </c>
      <c r="L67" s="678">
        <v>78190149.390000001</v>
      </c>
      <c r="M67" s="672"/>
      <c r="N67" s="678">
        <f>+K67</f>
        <v>56000000</v>
      </c>
      <c r="O67" s="678">
        <v>73221721.150000006</v>
      </c>
      <c r="P67" s="678"/>
      <c r="Q67" s="678">
        <f>+รายได้รอการจัดสรร!F11</f>
        <v>56000000</v>
      </c>
      <c r="R67" s="1699"/>
      <c r="S67" s="1699"/>
      <c r="T67" s="1630">
        <f>+Q67</f>
        <v>56000000</v>
      </c>
      <c r="U67" s="157"/>
      <c r="V67" s="157"/>
    </row>
    <row r="68" spans="1:22" s="32" customFormat="1" ht="27.95" customHeight="1">
      <c r="B68" s="43"/>
      <c r="C68" s="43"/>
      <c r="D68" s="43"/>
      <c r="E68" s="46" t="s">
        <v>60</v>
      </c>
      <c r="F68" s="570">
        <v>523497531.72000003</v>
      </c>
      <c r="G68" s="570">
        <f>+รายละเอียดรายจ่าย!T225</f>
        <v>288314676.38999993</v>
      </c>
      <c r="H68" s="316">
        <f>+ภาระผูกพัน!F30</f>
        <v>379000000</v>
      </c>
      <c r="I68" s="511">
        <v>479721165.00999999</v>
      </c>
      <c r="J68" s="68"/>
      <c r="K68" s="316">
        <f>+ภาระผูกพัน!F30</f>
        <v>379000000</v>
      </c>
      <c r="L68" s="678">
        <v>571138298.10000002</v>
      </c>
      <c r="M68" s="672"/>
      <c r="N68" s="678">
        <f>+ภาระผูกพัน!F30</f>
        <v>379000000</v>
      </c>
      <c r="O68" s="678">
        <f>572311816.89-O67</f>
        <v>499090095.74000001</v>
      </c>
      <c r="P68" s="678"/>
      <c r="Q68" s="678">
        <v>379000000</v>
      </c>
      <c r="R68" s="1699"/>
      <c r="S68" s="1699"/>
      <c r="T68" s="1630">
        <f>+'ภาระผูกพัน (2)'!F30</f>
        <v>268000000</v>
      </c>
      <c r="U68" s="157"/>
      <c r="V68" s="157"/>
    </row>
    <row r="69" spans="1:22" s="32" customFormat="1" ht="27.95" customHeight="1">
      <c r="B69" s="278"/>
      <c r="C69" s="278"/>
      <c r="D69" s="278"/>
      <c r="E69" s="565" t="s">
        <v>114</v>
      </c>
      <c r="F69" s="316">
        <f t="shared" ref="F69:I69" si="29">+F66-F67-F68</f>
        <v>87870009.819999933</v>
      </c>
      <c r="G69" s="316">
        <f t="shared" ref="G69" si="30">+G66-G67-G68</f>
        <v>408543989.10000008</v>
      </c>
      <c r="H69" s="316">
        <f t="shared" si="29"/>
        <v>329612078.30000043</v>
      </c>
      <c r="I69" s="316">
        <f t="shared" si="29"/>
        <v>646804261.67000031</v>
      </c>
      <c r="J69" s="317"/>
      <c r="K69" s="316">
        <f t="shared" ref="K69" si="31">+K66-K67-K68</f>
        <v>340834314.10000062</v>
      </c>
      <c r="L69" s="678">
        <f>+L66-L67-L68</f>
        <v>670988250.43999994</v>
      </c>
      <c r="M69" s="672"/>
      <c r="N69" s="678">
        <f>+N66-N67-N68</f>
        <v>571109993.66999984</v>
      </c>
      <c r="O69" s="678">
        <f>+O66-O67-O68</f>
        <v>595330036.85999966</v>
      </c>
      <c r="P69" s="678"/>
      <c r="Q69" s="678">
        <f>+Q66-Q67-Q68</f>
        <v>279236457.90333295</v>
      </c>
      <c r="R69" s="1699"/>
      <c r="S69" s="1699"/>
      <c r="T69" s="1924">
        <f>+T66-T67-T68</f>
        <v>673247357.14333272</v>
      </c>
      <c r="U69" s="157"/>
      <c r="V69" s="157"/>
    </row>
    <row r="70" spans="1:22" s="32" customFormat="1" ht="27.95" customHeight="1">
      <c r="B70" s="31" t="s">
        <v>61</v>
      </c>
      <c r="C70" s="31"/>
      <c r="D70" s="31"/>
      <c r="E70" s="31"/>
      <c r="F70" s="570"/>
      <c r="G70" s="316"/>
      <c r="H70" s="316"/>
      <c r="I70" s="316"/>
      <c r="J70" s="68"/>
      <c r="K70" s="565"/>
      <c r="L70" s="674"/>
      <c r="M70" s="674"/>
      <c r="N70" s="674"/>
      <c r="O70" s="674"/>
      <c r="P70" s="674"/>
      <c r="Q70" s="674"/>
      <c r="R70" s="278"/>
      <c r="S70" s="278"/>
      <c r="T70" s="278"/>
      <c r="V70" s="157"/>
    </row>
    <row r="71" spans="1:22" s="32" customFormat="1" ht="27.95" customHeight="1">
      <c r="B71" s="31"/>
      <c r="C71" s="31" t="s">
        <v>62</v>
      </c>
      <c r="D71" s="31"/>
      <c r="E71" s="43"/>
      <c r="F71" s="570">
        <v>0</v>
      </c>
      <c r="G71" s="570">
        <v>0</v>
      </c>
      <c r="H71" s="316">
        <v>0</v>
      </c>
      <c r="I71" s="316">
        <v>0</v>
      </c>
      <c r="J71" s="317">
        <v>0</v>
      </c>
      <c r="K71" s="316">
        <v>0</v>
      </c>
      <c r="L71" s="316">
        <v>0</v>
      </c>
      <c r="M71" s="316">
        <v>0</v>
      </c>
      <c r="N71" s="316">
        <v>0</v>
      </c>
      <c r="O71" s="316">
        <v>0</v>
      </c>
      <c r="P71" s="316">
        <v>0</v>
      </c>
      <c r="Q71" s="316">
        <v>0</v>
      </c>
      <c r="R71" s="278"/>
      <c r="S71" s="278"/>
      <c r="T71" s="316">
        <v>0</v>
      </c>
      <c r="V71" s="157"/>
    </row>
    <row r="72" spans="1:22" s="32" customFormat="1" ht="27.75" customHeight="1">
      <c r="B72" s="31"/>
      <c r="C72" s="31" t="s">
        <v>63</v>
      </c>
      <c r="D72" s="31"/>
      <c r="E72" s="43"/>
      <c r="F72" s="570">
        <v>83264087.5</v>
      </c>
      <c r="G72" s="316">
        <v>146546638.65000001</v>
      </c>
      <c r="H72" s="316">
        <v>158000000</v>
      </c>
      <c r="I72" s="511">
        <v>151407928.69</v>
      </c>
      <c r="J72" s="68"/>
      <c r="K72" s="580">
        <v>150000000</v>
      </c>
      <c r="L72" s="580">
        <v>72317584.920000002</v>
      </c>
      <c r="M72" s="677">
        <f>+L72/K72*100</f>
        <v>48.211723280000001</v>
      </c>
      <c r="N72" s="580">
        <v>150000000</v>
      </c>
      <c r="O72" s="580">
        <v>270114183</v>
      </c>
      <c r="P72" s="580"/>
      <c r="Q72" s="580">
        <v>200000000</v>
      </c>
      <c r="R72" s="1699"/>
      <c r="S72" s="1699"/>
      <c r="T72" s="1630">
        <v>150000000</v>
      </c>
      <c r="V72" s="157"/>
    </row>
    <row r="73" spans="1:22" s="32" customFormat="1" ht="27.95" customHeight="1">
      <c r="B73" s="31"/>
      <c r="C73" s="31" t="s">
        <v>64</v>
      </c>
      <c r="D73" s="31"/>
      <c r="E73" s="31"/>
      <c r="F73" s="577"/>
      <c r="G73" s="577"/>
      <c r="H73" s="578"/>
      <c r="I73" s="578"/>
      <c r="J73" s="319"/>
      <c r="K73" s="578"/>
      <c r="L73" s="673"/>
      <c r="M73" s="673"/>
      <c r="N73" s="673"/>
      <c r="O73" s="673"/>
      <c r="P73" s="673"/>
      <c r="Q73" s="673"/>
      <c r="R73" s="673"/>
      <c r="S73" s="673"/>
      <c r="T73" s="673"/>
      <c r="V73" s="157"/>
    </row>
    <row r="74" spans="1:22" s="32" customFormat="1" ht="27.95" customHeight="1">
      <c r="B74" s="31"/>
      <c r="C74" s="31"/>
      <c r="D74" s="31"/>
      <c r="E74" s="31" t="s">
        <v>65</v>
      </c>
      <c r="F74" s="570">
        <v>0</v>
      </c>
      <c r="G74" s="570">
        <v>0</v>
      </c>
      <c r="H74" s="316">
        <v>0</v>
      </c>
      <c r="I74" s="316">
        <v>0</v>
      </c>
      <c r="J74" s="316">
        <v>0</v>
      </c>
      <c r="K74" s="316">
        <v>0</v>
      </c>
      <c r="L74" s="316">
        <v>0</v>
      </c>
      <c r="M74" s="316">
        <v>0</v>
      </c>
      <c r="N74" s="316">
        <v>0</v>
      </c>
      <c r="O74" s="316">
        <v>0</v>
      </c>
      <c r="P74" s="316">
        <v>0</v>
      </c>
      <c r="Q74" s="316">
        <v>0</v>
      </c>
      <c r="R74" s="278"/>
      <c r="S74" s="278"/>
      <c r="T74" s="316">
        <v>0</v>
      </c>
      <c r="V74" s="157"/>
    </row>
    <row r="75" spans="1:22" s="32" customFormat="1" ht="27.95" customHeight="1">
      <c r="B75" s="31"/>
      <c r="C75" s="31"/>
      <c r="D75" s="31"/>
      <c r="E75" s="31" t="s">
        <v>66</v>
      </c>
      <c r="F75" s="570">
        <f>+F66-F72</f>
        <v>613592120.99000001</v>
      </c>
      <c r="G75" s="316">
        <f>+G66-G72</f>
        <v>615605939.64999998</v>
      </c>
      <c r="H75" s="570">
        <f>+G77+H24-H63+H62-H72</f>
        <v>616612078.30000019</v>
      </c>
      <c r="I75" s="571">
        <v>631164204.33000004</v>
      </c>
      <c r="J75" s="68"/>
      <c r="K75" s="580">
        <v>726209817.15999997</v>
      </c>
      <c r="L75" s="580">
        <v>807315831.14999998</v>
      </c>
      <c r="M75" s="677">
        <f>+L75/K75*100</f>
        <v>111.16839955526663</v>
      </c>
      <c r="N75" s="580">
        <v>780000000</v>
      </c>
      <c r="O75" s="580">
        <f>+O66-O72</f>
        <v>897527670.74999976</v>
      </c>
      <c r="P75" s="580"/>
      <c r="Q75" s="580">
        <f>+Q66-Q72</f>
        <v>514236457.90333295</v>
      </c>
      <c r="R75" s="1699"/>
      <c r="S75" s="1699"/>
      <c r="T75" s="580">
        <f>+T66-T72</f>
        <v>847247357.14333272</v>
      </c>
      <c r="V75" s="157"/>
    </row>
    <row r="76" spans="1:22" s="32" customFormat="1" ht="27.95" customHeight="1">
      <c r="B76" s="31"/>
      <c r="C76" s="31"/>
      <c r="D76" s="31"/>
      <c r="E76" s="31" t="s">
        <v>67</v>
      </c>
      <c r="F76" s="570">
        <v>0</v>
      </c>
      <c r="G76" s="570">
        <v>0</v>
      </c>
      <c r="H76" s="316">
        <v>0</v>
      </c>
      <c r="I76" s="316">
        <v>0</v>
      </c>
      <c r="J76" s="317">
        <v>0</v>
      </c>
      <c r="K76" s="316">
        <v>0</v>
      </c>
      <c r="L76" s="316">
        <v>0</v>
      </c>
      <c r="M76" s="316">
        <v>0</v>
      </c>
      <c r="N76" s="316">
        <v>0</v>
      </c>
      <c r="O76" s="316">
        <v>0</v>
      </c>
      <c r="P76" s="316">
        <v>0</v>
      </c>
      <c r="Q76" s="316">
        <v>0</v>
      </c>
      <c r="R76" s="278"/>
      <c r="S76" s="278"/>
      <c r="T76" s="316">
        <v>0</v>
      </c>
      <c r="V76" s="157"/>
    </row>
    <row r="77" spans="1:22" s="32" customFormat="1" ht="27.95" customHeight="1">
      <c r="B77" s="31"/>
      <c r="C77" s="31"/>
      <c r="D77" s="31"/>
      <c r="E77" s="48" t="s">
        <v>68</v>
      </c>
      <c r="F77" s="570">
        <f>SUM(F71:F72,F74,F75,F76)</f>
        <v>696856208.49000001</v>
      </c>
      <c r="G77" s="570">
        <f>SUM(G71:G72,G74,G75,G76)</f>
        <v>762152578.29999995</v>
      </c>
      <c r="H77" s="316">
        <f>SUM(H71:H72,H74,H75,H76)</f>
        <v>774612078.30000019</v>
      </c>
      <c r="I77" s="316">
        <f>SUM(I71:I76)</f>
        <v>782572133.01999998</v>
      </c>
      <c r="J77" s="68"/>
      <c r="K77" s="678">
        <f>SUM(K71:K72,K74,K75,K76)</f>
        <v>876209817.15999997</v>
      </c>
      <c r="L77" s="570">
        <f>SUM(L71:L72,L74,L75,L76)</f>
        <v>879633416.06999993</v>
      </c>
      <c r="M77" s="672"/>
      <c r="N77" s="678">
        <f>SUM(N71:N76)</f>
        <v>930000000</v>
      </c>
      <c r="O77" s="678">
        <f>SUM(O71:O76)</f>
        <v>1167641853.7499998</v>
      </c>
      <c r="P77" s="678"/>
      <c r="Q77" s="678">
        <f>SUM(Q71:Q76)</f>
        <v>714236457.90333295</v>
      </c>
      <c r="R77" s="278"/>
      <c r="S77" s="278"/>
      <c r="T77" s="678">
        <f>SUM(T71:T76)</f>
        <v>997247357.14333272</v>
      </c>
      <c r="V77" s="157"/>
    </row>
    <row r="78" spans="1:22" ht="27.95" customHeight="1">
      <c r="B78" s="2" t="s">
        <v>69</v>
      </c>
      <c r="C78" s="2"/>
      <c r="D78" s="2"/>
      <c r="E78" s="9"/>
      <c r="F78" s="589"/>
      <c r="G78" s="590"/>
      <c r="H78" s="591">
        <f>+H5</f>
        <v>0</v>
      </c>
      <c r="I78" s="591"/>
      <c r="J78" s="293"/>
      <c r="K78" s="591">
        <f>+K5</f>
        <v>0</v>
      </c>
      <c r="L78" s="591"/>
      <c r="M78" s="591"/>
      <c r="N78" s="591">
        <f>+N5</f>
        <v>0</v>
      </c>
      <c r="O78" s="591"/>
      <c r="P78" s="591"/>
      <c r="Q78" s="591"/>
      <c r="R78" s="293"/>
      <c r="S78" s="293"/>
      <c r="T78" s="293"/>
    </row>
    <row r="79" spans="1:22" ht="27.95" customHeight="1">
      <c r="B79" s="2"/>
      <c r="C79" s="2"/>
      <c r="D79" s="2"/>
      <c r="E79" s="9" t="s">
        <v>70</v>
      </c>
      <c r="F79" s="589"/>
      <c r="G79" s="590"/>
      <c r="H79" s="294">
        <f>+(H24-G24)/G24*100</f>
        <v>6.9959573075134118</v>
      </c>
      <c r="I79" s="504"/>
      <c r="J79" s="600"/>
      <c r="K79" s="294">
        <f>+(K24-H24)/H24*100</f>
        <v>10.296233490082212</v>
      </c>
      <c r="L79" s="695"/>
      <c r="M79" s="695"/>
      <c r="N79" s="294">
        <f>+(N24-K24)/K24*100</f>
        <v>-4.0637953738635195</v>
      </c>
      <c r="O79" s="695"/>
      <c r="P79" s="730"/>
      <c r="Q79" s="294">
        <f>+(Q24-O24)/O24*100</f>
        <v>-12.27345389915742</v>
      </c>
      <c r="R79" s="1762"/>
      <c r="S79" s="1762"/>
      <c r="T79" s="294">
        <f>+(T24-Q24)/T24*100</f>
        <v>4.4659726772341983</v>
      </c>
    </row>
    <row r="80" spans="1:22" ht="27.95" customHeight="1">
      <c r="B80" s="2"/>
      <c r="C80" s="2"/>
      <c r="D80" s="2"/>
      <c r="E80" s="9" t="s">
        <v>71</v>
      </c>
      <c r="F80" s="589"/>
      <c r="G80" s="590"/>
      <c r="H80" s="294">
        <f>+(H63-G63)/G63*100</f>
        <v>10.077034283557245</v>
      </c>
      <c r="I80" s="504"/>
      <c r="J80" s="600"/>
      <c r="K80" s="294">
        <f>+(K63-H63)/H63*100</f>
        <v>9.9428730641940799</v>
      </c>
      <c r="L80" s="695"/>
      <c r="M80" s="695"/>
      <c r="N80" s="294">
        <f>+(N63-K63)/K63*100</f>
        <v>-12.871424081089062</v>
      </c>
      <c r="O80" s="695"/>
      <c r="P80" s="730"/>
      <c r="Q80" s="294">
        <f>+(Q63-O63)/O63*100</f>
        <v>23.332308318488305</v>
      </c>
      <c r="R80" s="1762"/>
      <c r="S80" s="1762"/>
      <c r="T80" s="294">
        <f>+(T63-Q63)/T63*100</f>
        <v>-6.5863840240975229</v>
      </c>
    </row>
    <row r="81" spans="2:22" ht="27.95" customHeight="1">
      <c r="B81" s="2"/>
      <c r="C81" s="2"/>
      <c r="D81" s="2"/>
      <c r="E81" s="9" t="s">
        <v>72</v>
      </c>
      <c r="F81" s="589"/>
      <c r="G81" s="590"/>
      <c r="H81" s="294">
        <f>+(H52+H54+H58+H57)/H63*100</f>
        <v>14.70305971358056</v>
      </c>
      <c r="I81" s="504"/>
      <c r="J81" s="600"/>
      <c r="K81" s="294">
        <f>+(K52+K54+K57+K58)/K63*100</f>
        <v>20.849830492857205</v>
      </c>
      <c r="L81" s="695"/>
      <c r="M81" s="695"/>
      <c r="N81" s="294">
        <f>+(N52+N54+N57+N58)/N63*100</f>
        <v>7.6722348397482518</v>
      </c>
      <c r="O81" s="695"/>
      <c r="P81" s="730"/>
      <c r="Q81" s="294">
        <f>+(Q52+Q54+Q57+Q58)/Q63*100</f>
        <v>23.597583411206553</v>
      </c>
      <c r="R81" s="1762"/>
      <c r="S81" s="1762"/>
      <c r="T81" s="294">
        <f>+(T52+T54+T57+T58)/T63*100</f>
        <v>15.501557842212549</v>
      </c>
    </row>
    <row r="82" spans="2:22" ht="24.95" hidden="1" customHeight="1">
      <c r="E82" s="3" t="s">
        <v>85</v>
      </c>
      <c r="G82" s="592"/>
      <c r="K82" s="193"/>
      <c r="L82" s="193"/>
      <c r="M82" s="193"/>
      <c r="N82" s="193"/>
      <c r="O82" s="193"/>
      <c r="P82" s="193"/>
      <c r="Q82" s="193"/>
      <c r="R82" s="14"/>
      <c r="S82" s="14"/>
      <c r="T82" s="14"/>
    </row>
    <row r="83" spans="2:22" ht="24.95" hidden="1" customHeight="1">
      <c r="B83" s="2"/>
      <c r="E83" s="3" t="s">
        <v>73</v>
      </c>
      <c r="F83" s="193"/>
      <c r="G83" s="593"/>
      <c r="H83" s="193"/>
      <c r="I83" s="193"/>
      <c r="J83" s="598"/>
      <c r="K83" s="193"/>
      <c r="L83" s="193"/>
      <c r="M83" s="193"/>
      <c r="N83" s="193"/>
      <c r="O83" s="193"/>
      <c r="P83" s="193"/>
      <c r="Q83" s="193"/>
      <c r="R83" s="14"/>
      <c r="S83" s="14"/>
      <c r="T83" s="14"/>
    </row>
    <row r="84" spans="2:22" ht="24.95" hidden="1" customHeight="1">
      <c r="E84" s="3" t="s">
        <v>623</v>
      </c>
      <c r="F84" s="193"/>
      <c r="G84" s="593"/>
      <c r="H84" s="193"/>
      <c r="I84" s="193"/>
      <c r="J84" s="598"/>
      <c r="K84" s="193"/>
      <c r="L84" s="193"/>
      <c r="M84" s="193"/>
      <c r="N84" s="193"/>
      <c r="O84" s="193"/>
      <c r="P84" s="193"/>
      <c r="Q84" s="193"/>
      <c r="R84" s="14"/>
      <c r="S84" s="14"/>
      <c r="T84" s="14"/>
    </row>
    <row r="85" spans="2:22" ht="24.95" hidden="1" customHeight="1">
      <c r="E85" s="3" t="s">
        <v>75</v>
      </c>
      <c r="F85" s="193"/>
      <c r="G85" s="593"/>
      <c r="H85" s="193"/>
      <c r="I85" s="193"/>
      <c r="J85" s="598"/>
      <c r="K85" s="193"/>
      <c r="L85" s="193"/>
      <c r="M85" s="193"/>
      <c r="N85" s="193"/>
      <c r="O85" s="193"/>
      <c r="P85" s="193"/>
      <c r="Q85" s="193"/>
      <c r="R85" s="14"/>
      <c r="S85" s="14"/>
      <c r="T85" s="14"/>
    </row>
    <row r="86" spans="2:22" ht="24.95" hidden="1" customHeight="1">
      <c r="E86" s="3" t="s">
        <v>76</v>
      </c>
      <c r="F86" s="193"/>
      <c r="G86" s="593"/>
      <c r="H86" s="193"/>
      <c r="I86" s="193"/>
      <c r="J86" s="598"/>
      <c r="K86" s="193"/>
      <c r="L86" s="193"/>
      <c r="M86" s="193"/>
      <c r="N86" s="193"/>
      <c r="O86" s="193"/>
      <c r="P86" s="193"/>
      <c r="Q86" s="193"/>
      <c r="R86" s="14"/>
      <c r="S86" s="14"/>
      <c r="T86" s="14"/>
    </row>
    <row r="87" spans="2:22" ht="24.95" customHeight="1">
      <c r="F87" s="193"/>
      <c r="G87" s="593"/>
      <c r="H87" s="193"/>
      <c r="I87" s="193"/>
      <c r="J87" s="598"/>
      <c r="K87" s="193"/>
      <c r="L87" s="193"/>
      <c r="M87" s="193"/>
      <c r="N87" s="193"/>
      <c r="O87" s="193"/>
      <c r="P87" s="193"/>
      <c r="Q87" s="193"/>
      <c r="R87" s="14"/>
      <c r="S87" s="14"/>
      <c r="T87" s="14"/>
    </row>
    <row r="88" spans="2:22" ht="20.25" customHeight="1">
      <c r="F88" s="193"/>
      <c r="G88" s="593"/>
      <c r="H88" s="193"/>
      <c r="I88" s="193"/>
      <c r="J88" s="598"/>
      <c r="K88" s="193"/>
      <c r="L88" s="193"/>
      <c r="M88" s="193"/>
      <c r="N88" s="193"/>
      <c r="O88" s="193"/>
      <c r="P88" s="193"/>
      <c r="Q88" s="193"/>
      <c r="R88" s="14"/>
      <c r="S88" s="14"/>
      <c r="T88" s="14"/>
    </row>
    <row r="89" spans="2:22" ht="24.95" customHeight="1">
      <c r="C89" s="2"/>
      <c r="D89" s="2"/>
      <c r="E89" s="2680"/>
      <c r="F89" s="2681"/>
      <c r="G89" s="2681"/>
      <c r="H89" s="2681"/>
      <c r="I89" s="2681"/>
      <c r="J89" s="2681"/>
      <c r="K89" s="2681"/>
      <c r="L89" s="2681"/>
      <c r="M89" s="2681"/>
      <c r="N89" s="2681"/>
      <c r="O89" s="2681"/>
      <c r="P89" s="2681"/>
      <c r="Q89" s="2681"/>
      <c r="R89" s="1697"/>
      <c r="S89" s="1697"/>
      <c r="T89" s="1697"/>
    </row>
    <row r="90" spans="2:22" ht="83.25" customHeight="1">
      <c r="C90" s="2" t="s">
        <v>77</v>
      </c>
      <c r="D90" s="2"/>
      <c r="E90" s="2903" t="s">
        <v>2745</v>
      </c>
      <c r="F90" s="2680"/>
      <c r="G90" s="2680"/>
      <c r="H90" s="2680"/>
      <c r="I90" s="2680"/>
      <c r="J90" s="2680"/>
      <c r="K90" s="2680"/>
      <c r="L90" s="2680"/>
      <c r="M90" s="2680"/>
      <c r="N90" s="2680"/>
      <c r="O90" s="2680"/>
      <c r="P90" s="2680"/>
      <c r="Q90" s="2680"/>
      <c r="R90" s="2680"/>
      <c r="S90" s="2680"/>
    </row>
    <row r="91" spans="2:22" ht="24.95" customHeight="1">
      <c r="C91" s="50"/>
      <c r="D91" s="50"/>
      <c r="E91" s="2644" t="s">
        <v>222</v>
      </c>
      <c r="F91" s="2644"/>
      <c r="G91" s="2644"/>
      <c r="H91" s="2644"/>
      <c r="I91" s="2644"/>
      <c r="J91" s="2644"/>
      <c r="K91" s="2644"/>
      <c r="L91" s="2644"/>
      <c r="M91" s="2644"/>
      <c r="N91" s="2644"/>
      <c r="O91" s="2644"/>
      <c r="P91" s="2644"/>
      <c r="Q91" s="2644"/>
      <c r="R91" s="2644"/>
      <c r="S91" s="2644"/>
      <c r="T91" s="49"/>
    </row>
    <row r="92" spans="2:22" ht="24.95" customHeight="1">
      <c r="B92" s="2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49"/>
      <c r="S92" s="49"/>
      <c r="T92" s="49"/>
    </row>
    <row r="93" spans="2:22" ht="24.95" customHeight="1">
      <c r="B93" s="2"/>
      <c r="C93" s="50"/>
      <c r="D93" s="50"/>
      <c r="E93" s="50"/>
      <c r="F93" s="594"/>
      <c r="G93" s="594"/>
      <c r="H93" s="594"/>
      <c r="I93" s="594"/>
      <c r="J93" s="49"/>
      <c r="K93" s="595"/>
      <c r="L93" s="595"/>
      <c r="M93" s="595"/>
      <c r="N93" s="595"/>
      <c r="O93" s="595"/>
      <c r="P93" s="595"/>
      <c r="Q93" s="595"/>
      <c r="R93" s="49"/>
      <c r="S93" s="49"/>
      <c r="T93" s="49"/>
    </row>
    <row r="94" spans="2:22" ht="24.95" customHeight="1">
      <c r="B94" s="2"/>
      <c r="C94" s="49"/>
      <c r="D94" s="49"/>
      <c r="E94" s="2648"/>
      <c r="F94" s="2648"/>
      <c r="G94" s="2648"/>
      <c r="H94" s="594"/>
      <c r="I94" s="594"/>
      <c r="J94" s="49"/>
      <c r="K94" s="595"/>
      <c r="L94" s="595"/>
      <c r="M94" s="595"/>
      <c r="N94" s="595"/>
      <c r="O94" s="595"/>
      <c r="P94" s="595"/>
      <c r="Q94" s="595"/>
      <c r="R94" s="49"/>
      <c r="S94" s="49"/>
      <c r="T94" s="49"/>
    </row>
    <row r="95" spans="2:22" s="49" customFormat="1" ht="24.95" customHeight="1">
      <c r="B95" s="50"/>
      <c r="C95" s="2644" t="s">
        <v>2744</v>
      </c>
      <c r="D95" s="2644"/>
      <c r="E95" s="2644"/>
      <c r="F95" s="2644"/>
      <c r="G95" s="2644"/>
      <c r="H95" s="2644"/>
      <c r="I95" s="2644"/>
      <c r="J95" s="2644"/>
      <c r="K95" s="2644"/>
      <c r="L95" s="2644"/>
      <c r="M95" s="2644"/>
      <c r="N95" s="2644"/>
      <c r="O95" s="2644"/>
      <c r="P95" s="2644"/>
      <c r="Q95" s="2644"/>
      <c r="R95" s="2644"/>
      <c r="S95" s="2644"/>
      <c r="V95" s="1614"/>
    </row>
    <row r="96" spans="2:22" s="49" customFormat="1" ht="24.95" customHeight="1">
      <c r="B96" s="50"/>
      <c r="E96" s="2644"/>
      <c r="F96" s="2644"/>
      <c r="G96" s="2644"/>
      <c r="H96" s="594"/>
      <c r="I96" s="594"/>
      <c r="K96" s="595"/>
      <c r="L96" s="595"/>
      <c r="M96" s="595"/>
      <c r="N96" s="595"/>
      <c r="O96" s="595"/>
      <c r="P96" s="595"/>
      <c r="Q96" s="595"/>
      <c r="V96" s="1614"/>
    </row>
    <row r="97" spans="3:22" s="49" customFormat="1" ht="24.95" customHeight="1">
      <c r="C97" s="3"/>
      <c r="D97" s="3"/>
      <c r="E97" s="3"/>
      <c r="F97" s="573"/>
      <c r="G97" s="592"/>
      <c r="H97" s="573"/>
      <c r="I97" s="573"/>
      <c r="J97" s="601"/>
      <c r="K97" s="193"/>
      <c r="L97" s="193"/>
      <c r="M97" s="193"/>
      <c r="N97" s="193"/>
      <c r="O97" s="193"/>
      <c r="P97" s="193"/>
      <c r="Q97" s="193"/>
      <c r="R97" s="14"/>
      <c r="S97" s="14"/>
      <c r="T97" s="14"/>
      <c r="V97" s="1614"/>
    </row>
    <row r="98" spans="3:22" s="49" customFormat="1" ht="21.75" customHeight="1">
      <c r="C98" s="3"/>
      <c r="D98" s="3"/>
      <c r="E98" s="3"/>
      <c r="F98" s="573"/>
      <c r="G98" s="592"/>
      <c r="H98" s="573"/>
      <c r="I98" s="573"/>
      <c r="J98" s="601"/>
      <c r="K98" s="193"/>
      <c r="L98" s="193"/>
      <c r="M98" s="193"/>
      <c r="N98" s="193"/>
      <c r="O98" s="193"/>
      <c r="P98" s="193"/>
      <c r="Q98" s="193"/>
      <c r="R98" s="14"/>
      <c r="S98" s="14"/>
      <c r="T98" s="14"/>
      <c r="V98" s="1614"/>
    </row>
    <row r="99" spans="3:22" ht="21.75" customHeight="1"/>
    <row r="100" spans="3:22" ht="20.25" customHeight="1"/>
    <row r="101" spans="3:22" ht="20.25" customHeight="1"/>
    <row r="102" spans="3:22" ht="20.25" customHeight="1"/>
    <row r="103" spans="3:22" ht="20.25" customHeight="1"/>
    <row r="104" spans="3:22" ht="20.25" customHeight="1"/>
    <row r="105" spans="3:22" ht="20.25" customHeight="1"/>
    <row r="106" spans="3:22" ht="20.25" customHeight="1"/>
    <row r="107" spans="3:22" ht="20.25" customHeight="1"/>
    <row r="108" spans="3:22" ht="20.25" customHeight="1"/>
    <row r="109" spans="3:22" ht="20.25" customHeight="1"/>
    <row r="110" spans="3:22" ht="20.25" customHeight="1"/>
    <row r="111" spans="3:22" ht="20.25" customHeight="1"/>
    <row r="112" spans="3:22" s="14" customFormat="1" ht="20.25" customHeight="1">
      <c r="F112" s="573"/>
      <c r="G112" s="573"/>
      <c r="H112" s="573"/>
      <c r="I112" s="573"/>
      <c r="J112" s="601"/>
      <c r="K112" s="597"/>
      <c r="L112" s="597"/>
      <c r="M112" s="597"/>
      <c r="N112" s="597"/>
      <c r="O112" s="597"/>
      <c r="P112" s="597"/>
      <c r="Q112" s="597"/>
      <c r="V112" s="1615"/>
    </row>
    <row r="113" spans="6:22" s="14" customFormat="1" ht="20.25" customHeight="1">
      <c r="F113" s="573"/>
      <c r="G113" s="573"/>
      <c r="H113" s="573"/>
      <c r="I113" s="573"/>
      <c r="J113" s="601"/>
      <c r="K113" s="597"/>
      <c r="L113" s="597"/>
      <c r="M113" s="597"/>
      <c r="N113" s="597"/>
      <c r="O113" s="597"/>
      <c r="P113" s="597"/>
      <c r="Q113" s="597"/>
      <c r="V113" s="1615"/>
    </row>
    <row r="114" spans="6:22" s="14" customFormat="1" ht="20.25" customHeight="1">
      <c r="F114" s="573"/>
      <c r="G114" s="573"/>
      <c r="H114" s="573"/>
      <c r="I114" s="573"/>
      <c r="J114" s="601"/>
      <c r="K114" s="597"/>
      <c r="L114" s="597"/>
      <c r="M114" s="597"/>
      <c r="N114" s="597"/>
      <c r="O114" s="597"/>
      <c r="P114" s="597"/>
      <c r="Q114" s="597"/>
      <c r="V114" s="1615"/>
    </row>
    <row r="115" spans="6:22" s="14" customFormat="1" ht="20.25" customHeight="1">
      <c r="F115" s="573"/>
      <c r="G115" s="573"/>
      <c r="H115" s="573"/>
      <c r="I115" s="573"/>
      <c r="J115" s="601"/>
      <c r="K115" s="597"/>
      <c r="L115" s="597"/>
      <c r="M115" s="597"/>
      <c r="N115" s="597"/>
      <c r="O115" s="597"/>
      <c r="P115" s="597"/>
      <c r="Q115" s="597"/>
      <c r="V115" s="1615"/>
    </row>
    <row r="116" spans="6:22" s="14" customFormat="1" ht="20.25" customHeight="1">
      <c r="F116" s="573"/>
      <c r="G116" s="573"/>
      <c r="H116" s="573"/>
      <c r="I116" s="573"/>
      <c r="J116" s="601"/>
      <c r="K116" s="597"/>
      <c r="L116" s="597"/>
      <c r="M116" s="597"/>
      <c r="N116" s="597"/>
      <c r="O116" s="597"/>
      <c r="P116" s="597"/>
      <c r="Q116" s="597"/>
      <c r="V116" s="1615"/>
    </row>
    <row r="117" spans="6:22" s="14" customFormat="1" ht="14.25" customHeight="1">
      <c r="F117" s="573"/>
      <c r="G117" s="573"/>
      <c r="H117" s="573"/>
      <c r="I117" s="573"/>
      <c r="J117" s="601"/>
      <c r="K117" s="597"/>
      <c r="L117" s="597"/>
      <c r="M117" s="597"/>
      <c r="N117" s="597"/>
      <c r="O117" s="597"/>
      <c r="P117" s="597"/>
      <c r="Q117" s="597"/>
      <c r="V117" s="1615"/>
    </row>
    <row r="118" spans="6:22" s="14" customFormat="1" ht="14.25" customHeight="1">
      <c r="F118" s="573"/>
      <c r="G118" s="573"/>
      <c r="H118" s="573"/>
      <c r="I118" s="573"/>
      <c r="J118" s="601"/>
      <c r="K118" s="597"/>
      <c r="L118" s="597"/>
      <c r="M118" s="597"/>
      <c r="N118" s="597"/>
      <c r="O118" s="597"/>
      <c r="P118" s="597"/>
      <c r="Q118" s="597"/>
      <c r="V118" s="1615"/>
    </row>
    <row r="119" spans="6:22" s="14" customFormat="1" ht="14.25" customHeight="1">
      <c r="F119" s="573"/>
      <c r="G119" s="573"/>
      <c r="H119" s="573"/>
      <c r="I119" s="573"/>
      <c r="J119" s="601"/>
      <c r="K119" s="597"/>
      <c r="L119" s="597"/>
      <c r="M119" s="597"/>
      <c r="N119" s="597"/>
      <c r="O119" s="597"/>
      <c r="P119" s="597"/>
      <c r="Q119" s="597"/>
      <c r="V119" s="1615"/>
    </row>
    <row r="120" spans="6:22" s="14" customFormat="1" ht="14.25" customHeight="1">
      <c r="F120" s="573"/>
      <c r="G120" s="573"/>
      <c r="H120" s="573"/>
      <c r="I120" s="573"/>
      <c r="J120" s="601"/>
      <c r="K120" s="597"/>
      <c r="L120" s="597"/>
      <c r="M120" s="597"/>
      <c r="N120" s="597"/>
      <c r="O120" s="597"/>
      <c r="P120" s="597"/>
      <c r="Q120" s="597"/>
      <c r="V120" s="1615"/>
    </row>
    <row r="121" spans="6:22" s="14" customFormat="1" ht="14.25" customHeight="1">
      <c r="F121" s="573"/>
      <c r="G121" s="573"/>
      <c r="H121" s="573"/>
      <c r="I121" s="573"/>
      <c r="J121" s="601"/>
      <c r="K121" s="597"/>
      <c r="L121" s="597"/>
      <c r="M121" s="597"/>
      <c r="N121" s="597"/>
      <c r="O121" s="597"/>
      <c r="P121" s="597"/>
      <c r="Q121" s="597"/>
      <c r="V121" s="1615"/>
    </row>
    <row r="122" spans="6:22" s="14" customFormat="1" ht="14.25" customHeight="1">
      <c r="F122" s="573"/>
      <c r="G122" s="573"/>
      <c r="H122" s="573"/>
      <c r="I122" s="573"/>
      <c r="J122" s="601"/>
      <c r="K122" s="597"/>
      <c r="L122" s="597"/>
      <c r="M122" s="597"/>
      <c r="N122" s="597"/>
      <c r="O122" s="597"/>
      <c r="P122" s="597"/>
      <c r="Q122" s="597"/>
      <c r="V122" s="1615"/>
    </row>
    <row r="123" spans="6:22" s="14" customFormat="1" ht="14.25" customHeight="1">
      <c r="F123" s="573"/>
      <c r="G123" s="573"/>
      <c r="H123" s="573"/>
      <c r="I123" s="573"/>
      <c r="J123" s="601"/>
      <c r="K123" s="597"/>
      <c r="L123" s="597"/>
      <c r="M123" s="597"/>
      <c r="N123" s="597"/>
      <c r="O123" s="597"/>
      <c r="P123" s="597"/>
      <c r="Q123" s="597"/>
      <c r="V123" s="1615"/>
    </row>
    <row r="124" spans="6:22" s="14" customFormat="1" ht="14.25" customHeight="1">
      <c r="F124" s="573"/>
      <c r="G124" s="573"/>
      <c r="H124" s="573"/>
      <c r="I124" s="573"/>
      <c r="J124" s="601"/>
      <c r="K124" s="597"/>
      <c r="L124" s="597"/>
      <c r="M124" s="597"/>
      <c r="N124" s="597"/>
      <c r="O124" s="597"/>
      <c r="P124" s="597"/>
      <c r="Q124" s="597"/>
      <c r="V124" s="1615"/>
    </row>
    <row r="125" spans="6:22" s="14" customFormat="1" ht="14.25" customHeight="1">
      <c r="F125" s="573"/>
      <c r="G125" s="573"/>
      <c r="H125" s="573"/>
      <c r="I125" s="573"/>
      <c r="J125" s="601"/>
      <c r="K125" s="597"/>
      <c r="L125" s="597"/>
      <c r="M125" s="597"/>
      <c r="N125" s="597"/>
      <c r="O125" s="597"/>
      <c r="P125" s="597"/>
      <c r="Q125" s="597"/>
      <c r="V125" s="1615"/>
    </row>
    <row r="126" spans="6:22" s="14" customFormat="1" ht="14.25" customHeight="1">
      <c r="F126" s="573"/>
      <c r="G126" s="573"/>
      <c r="H126" s="573"/>
      <c r="I126" s="573"/>
      <c r="J126" s="601"/>
      <c r="K126" s="597"/>
      <c r="L126" s="597"/>
      <c r="M126" s="597"/>
      <c r="N126" s="597"/>
      <c r="O126" s="597"/>
      <c r="P126" s="597"/>
      <c r="Q126" s="597"/>
      <c r="V126" s="1615"/>
    </row>
    <row r="127" spans="6:22" s="14" customFormat="1" ht="14.25" customHeight="1">
      <c r="F127" s="573"/>
      <c r="G127" s="573"/>
      <c r="H127" s="573"/>
      <c r="I127" s="573"/>
      <c r="J127" s="601"/>
      <c r="K127" s="597"/>
      <c r="L127" s="597"/>
      <c r="M127" s="597"/>
      <c r="N127" s="597"/>
      <c r="O127" s="597"/>
      <c r="P127" s="597"/>
      <c r="Q127" s="597"/>
      <c r="V127" s="1615"/>
    </row>
    <row r="128" spans="6:22" s="14" customFormat="1" ht="14.25" customHeight="1">
      <c r="F128" s="573"/>
      <c r="G128" s="573"/>
      <c r="H128" s="573"/>
      <c r="I128" s="573"/>
      <c r="J128" s="601"/>
      <c r="K128" s="597"/>
      <c r="L128" s="597"/>
      <c r="M128" s="597"/>
      <c r="N128" s="597"/>
      <c r="O128" s="597"/>
      <c r="P128" s="597"/>
      <c r="Q128" s="597"/>
      <c r="V128" s="1615"/>
    </row>
    <row r="129" spans="6:22" s="14" customFormat="1" ht="14.25" customHeight="1">
      <c r="F129" s="573"/>
      <c r="G129" s="573"/>
      <c r="H129" s="573"/>
      <c r="I129" s="573"/>
      <c r="J129" s="601"/>
      <c r="K129" s="597"/>
      <c r="L129" s="597"/>
      <c r="M129" s="597"/>
      <c r="N129" s="597"/>
      <c r="O129" s="597"/>
      <c r="P129" s="597"/>
      <c r="Q129" s="597"/>
      <c r="V129" s="1615"/>
    </row>
    <row r="130" spans="6:22" s="14" customFormat="1" ht="14.25" customHeight="1">
      <c r="F130" s="573"/>
      <c r="G130" s="573"/>
      <c r="H130" s="573"/>
      <c r="I130" s="573"/>
      <c r="J130" s="601"/>
      <c r="K130" s="597"/>
      <c r="L130" s="597"/>
      <c r="M130" s="597"/>
      <c r="N130" s="597"/>
      <c r="O130" s="597"/>
      <c r="P130" s="597"/>
      <c r="Q130" s="597"/>
      <c r="V130" s="1615"/>
    </row>
    <row r="131" spans="6:22" s="14" customFormat="1" ht="14.25" customHeight="1">
      <c r="F131" s="573"/>
      <c r="G131" s="573"/>
      <c r="H131" s="573"/>
      <c r="I131" s="573"/>
      <c r="J131" s="601"/>
      <c r="K131" s="597"/>
      <c r="L131" s="597"/>
      <c r="M131" s="597"/>
      <c r="N131" s="597"/>
      <c r="O131" s="597"/>
      <c r="P131" s="597"/>
      <c r="Q131" s="597"/>
      <c r="V131" s="1615"/>
    </row>
    <row r="132" spans="6:22" s="14" customFormat="1" ht="14.25" customHeight="1">
      <c r="F132" s="573"/>
      <c r="G132" s="573"/>
      <c r="H132" s="573"/>
      <c r="I132" s="573"/>
      <c r="J132" s="601"/>
      <c r="K132" s="597"/>
      <c r="L132" s="597"/>
      <c r="M132" s="597"/>
      <c r="N132" s="597"/>
      <c r="O132" s="597"/>
      <c r="P132" s="597"/>
      <c r="Q132" s="597"/>
      <c r="V132" s="1615"/>
    </row>
    <row r="133" spans="6:22" s="14" customFormat="1" ht="14.25" customHeight="1">
      <c r="F133" s="573"/>
      <c r="G133" s="573"/>
      <c r="H133" s="573"/>
      <c r="I133" s="573"/>
      <c r="J133" s="601"/>
      <c r="K133" s="597"/>
      <c r="L133" s="597"/>
      <c r="M133" s="597"/>
      <c r="N133" s="597"/>
      <c r="O133" s="597"/>
      <c r="P133" s="597"/>
      <c r="Q133" s="597"/>
      <c r="V133" s="1615"/>
    </row>
    <row r="134" spans="6:22" s="14" customFormat="1" ht="14.25" customHeight="1">
      <c r="F134" s="573"/>
      <c r="G134" s="573"/>
      <c r="H134" s="573"/>
      <c r="I134" s="573"/>
      <c r="J134" s="601"/>
      <c r="K134" s="597"/>
      <c r="L134" s="597"/>
      <c r="M134" s="597"/>
      <c r="N134" s="597"/>
      <c r="O134" s="597"/>
      <c r="P134" s="597"/>
      <c r="Q134" s="597"/>
      <c r="V134" s="1615"/>
    </row>
    <row r="135" spans="6:22" s="14" customFormat="1" ht="14.25" customHeight="1">
      <c r="F135" s="573"/>
      <c r="G135" s="573"/>
      <c r="H135" s="573"/>
      <c r="I135" s="573"/>
      <c r="J135" s="601"/>
      <c r="K135" s="597"/>
      <c r="L135" s="597"/>
      <c r="M135" s="597"/>
      <c r="N135" s="597"/>
      <c r="O135" s="597"/>
      <c r="P135" s="597"/>
      <c r="Q135" s="597"/>
      <c r="V135" s="1615"/>
    </row>
    <row r="136" spans="6:22" s="14" customFormat="1" ht="14.25" customHeight="1">
      <c r="F136" s="573"/>
      <c r="G136" s="573"/>
      <c r="H136" s="573"/>
      <c r="I136" s="573"/>
      <c r="J136" s="601"/>
      <c r="K136" s="597"/>
      <c r="L136" s="597"/>
      <c r="M136" s="597"/>
      <c r="N136" s="597"/>
      <c r="O136" s="597"/>
      <c r="P136" s="597"/>
      <c r="Q136" s="597"/>
      <c r="V136" s="1615"/>
    </row>
    <row r="137" spans="6:22" s="14" customFormat="1" ht="14.25" customHeight="1">
      <c r="F137" s="573"/>
      <c r="G137" s="573"/>
      <c r="H137" s="573"/>
      <c r="I137" s="573"/>
      <c r="J137" s="601"/>
      <c r="K137" s="597"/>
      <c r="L137" s="597"/>
      <c r="M137" s="597"/>
      <c r="N137" s="597"/>
      <c r="O137" s="597"/>
      <c r="P137" s="597"/>
      <c r="Q137" s="597"/>
      <c r="V137" s="1615"/>
    </row>
    <row r="138" spans="6:22" s="14" customFormat="1" ht="14.25" customHeight="1">
      <c r="F138" s="573"/>
      <c r="G138" s="573"/>
      <c r="H138" s="573"/>
      <c r="I138" s="573"/>
      <c r="J138" s="601"/>
      <c r="K138" s="597"/>
      <c r="L138" s="597"/>
      <c r="M138" s="597"/>
      <c r="N138" s="597"/>
      <c r="O138" s="597"/>
      <c r="P138" s="597"/>
      <c r="Q138" s="597"/>
      <c r="V138" s="1615"/>
    </row>
    <row r="139" spans="6:22" s="14" customFormat="1" ht="14.25" customHeight="1">
      <c r="F139" s="573"/>
      <c r="G139" s="573"/>
      <c r="H139" s="573"/>
      <c r="I139" s="573"/>
      <c r="J139" s="601"/>
      <c r="K139" s="597"/>
      <c r="L139" s="597"/>
      <c r="M139" s="597"/>
      <c r="N139" s="597"/>
      <c r="O139" s="597"/>
      <c r="P139" s="597"/>
      <c r="Q139" s="597"/>
      <c r="V139" s="1615"/>
    </row>
    <row r="140" spans="6:22" s="14" customFormat="1" ht="14.25" customHeight="1">
      <c r="F140" s="573"/>
      <c r="G140" s="573"/>
      <c r="H140" s="573"/>
      <c r="I140" s="573"/>
      <c r="J140" s="601"/>
      <c r="K140" s="597"/>
      <c r="L140" s="597"/>
      <c r="M140" s="597"/>
      <c r="N140" s="597"/>
      <c r="O140" s="597"/>
      <c r="P140" s="597"/>
      <c r="Q140" s="597"/>
      <c r="V140" s="1615"/>
    </row>
    <row r="141" spans="6:22" s="14" customFormat="1" ht="14.25" customHeight="1">
      <c r="F141" s="573"/>
      <c r="G141" s="573"/>
      <c r="H141" s="573"/>
      <c r="I141" s="573"/>
      <c r="J141" s="601"/>
      <c r="K141" s="597"/>
      <c r="L141" s="597"/>
      <c r="M141" s="597"/>
      <c r="N141" s="597"/>
      <c r="O141" s="597"/>
      <c r="P141" s="597"/>
      <c r="Q141" s="597"/>
      <c r="V141" s="1615"/>
    </row>
    <row r="142" spans="6:22" s="14" customFormat="1" ht="14.25" customHeight="1">
      <c r="F142" s="573"/>
      <c r="G142" s="573"/>
      <c r="H142" s="573"/>
      <c r="I142" s="573"/>
      <c r="J142" s="601"/>
      <c r="K142" s="597"/>
      <c r="L142" s="597"/>
      <c r="M142" s="597"/>
      <c r="N142" s="597"/>
      <c r="O142" s="597"/>
      <c r="P142" s="597"/>
      <c r="Q142" s="597"/>
      <c r="V142" s="1615"/>
    </row>
    <row r="143" spans="6:22" s="14" customFormat="1" ht="14.25" customHeight="1">
      <c r="F143" s="573"/>
      <c r="G143" s="573"/>
      <c r="H143" s="573"/>
      <c r="I143" s="573"/>
      <c r="J143" s="601"/>
      <c r="K143" s="597"/>
      <c r="L143" s="597"/>
      <c r="M143" s="597"/>
      <c r="N143" s="597"/>
      <c r="O143" s="597"/>
      <c r="P143" s="597"/>
      <c r="Q143" s="597"/>
      <c r="V143" s="1615"/>
    </row>
    <row r="144" spans="6:22" s="14" customFormat="1" ht="14.25" customHeight="1">
      <c r="F144" s="573"/>
      <c r="G144" s="573"/>
      <c r="H144" s="573"/>
      <c r="I144" s="573"/>
      <c r="J144" s="601"/>
      <c r="K144" s="597"/>
      <c r="L144" s="597"/>
      <c r="M144" s="597"/>
      <c r="N144" s="597"/>
      <c r="O144" s="597"/>
      <c r="P144" s="597"/>
      <c r="Q144" s="597"/>
      <c r="V144" s="1615"/>
    </row>
    <row r="145" spans="6:22" s="14" customFormat="1" ht="14.25" customHeight="1">
      <c r="F145" s="573"/>
      <c r="G145" s="573"/>
      <c r="H145" s="573"/>
      <c r="I145" s="573"/>
      <c r="J145" s="601"/>
      <c r="K145" s="597"/>
      <c r="L145" s="597"/>
      <c r="M145" s="597"/>
      <c r="N145" s="597"/>
      <c r="O145" s="597"/>
      <c r="P145" s="597"/>
      <c r="Q145" s="597"/>
      <c r="V145" s="1615"/>
    </row>
    <row r="146" spans="6:22" s="14" customFormat="1" ht="14.25" customHeight="1">
      <c r="F146" s="573"/>
      <c r="G146" s="573"/>
      <c r="H146" s="573"/>
      <c r="I146" s="573"/>
      <c r="J146" s="601"/>
      <c r="K146" s="597"/>
      <c r="L146" s="597"/>
      <c r="M146" s="597"/>
      <c r="N146" s="597"/>
      <c r="O146" s="597"/>
      <c r="P146" s="597"/>
      <c r="Q146" s="597"/>
      <c r="V146" s="1615"/>
    </row>
    <row r="147" spans="6:22" s="14" customFormat="1" ht="14.25" customHeight="1">
      <c r="F147" s="573"/>
      <c r="G147" s="573"/>
      <c r="H147" s="573"/>
      <c r="I147" s="573"/>
      <c r="J147" s="601"/>
      <c r="K147" s="597"/>
      <c r="L147" s="597"/>
      <c r="M147" s="597"/>
      <c r="N147" s="597"/>
      <c r="O147" s="597"/>
      <c r="P147" s="597"/>
      <c r="Q147" s="597"/>
      <c r="V147" s="1615"/>
    </row>
    <row r="148" spans="6:22" s="14" customFormat="1" ht="14.25" customHeight="1">
      <c r="F148" s="573"/>
      <c r="G148" s="573"/>
      <c r="H148" s="573"/>
      <c r="I148" s="573"/>
      <c r="J148" s="601"/>
      <c r="K148" s="597"/>
      <c r="L148" s="597"/>
      <c r="M148" s="597"/>
      <c r="N148" s="597"/>
      <c r="O148" s="597"/>
      <c r="P148" s="597"/>
      <c r="Q148" s="597"/>
      <c r="V148" s="1615"/>
    </row>
    <row r="149" spans="6:22" s="14" customFormat="1" ht="14.25" customHeight="1">
      <c r="F149" s="573"/>
      <c r="G149" s="573"/>
      <c r="H149" s="573"/>
      <c r="I149" s="573"/>
      <c r="J149" s="601"/>
      <c r="K149" s="597"/>
      <c r="L149" s="597"/>
      <c r="M149" s="597"/>
      <c r="N149" s="597"/>
      <c r="O149" s="597"/>
      <c r="P149" s="597"/>
      <c r="Q149" s="597"/>
      <c r="V149" s="1615"/>
    </row>
    <row r="150" spans="6:22" s="14" customFormat="1" ht="14.25" customHeight="1">
      <c r="F150" s="573"/>
      <c r="G150" s="573"/>
      <c r="H150" s="573"/>
      <c r="I150" s="573"/>
      <c r="J150" s="601"/>
      <c r="K150" s="597"/>
      <c r="L150" s="597"/>
      <c r="M150" s="597"/>
      <c r="N150" s="597"/>
      <c r="O150" s="597"/>
      <c r="P150" s="597"/>
      <c r="Q150" s="597"/>
      <c r="V150" s="1615"/>
    </row>
    <row r="151" spans="6:22" s="14" customFormat="1" ht="14.25" customHeight="1">
      <c r="F151" s="573"/>
      <c r="G151" s="573"/>
      <c r="H151" s="573"/>
      <c r="I151" s="573"/>
      <c r="J151" s="601"/>
      <c r="K151" s="597"/>
      <c r="L151" s="597"/>
      <c r="M151" s="597"/>
      <c r="N151" s="597"/>
      <c r="O151" s="597"/>
      <c r="P151" s="597"/>
      <c r="Q151" s="597"/>
      <c r="V151" s="1615"/>
    </row>
    <row r="152" spans="6:22" s="14" customFormat="1" ht="14.25" customHeight="1">
      <c r="F152" s="573"/>
      <c r="G152" s="573"/>
      <c r="H152" s="573"/>
      <c r="I152" s="573"/>
      <c r="J152" s="601"/>
      <c r="K152" s="597"/>
      <c r="L152" s="597"/>
      <c r="M152" s="597"/>
      <c r="N152" s="597"/>
      <c r="O152" s="597"/>
      <c r="P152" s="597"/>
      <c r="Q152" s="597"/>
      <c r="V152" s="1615"/>
    </row>
    <row r="153" spans="6:22" s="14" customFormat="1" ht="14.25" customHeight="1">
      <c r="F153" s="573"/>
      <c r="G153" s="573"/>
      <c r="H153" s="573"/>
      <c r="I153" s="573"/>
      <c r="J153" s="601"/>
      <c r="K153" s="597"/>
      <c r="L153" s="597"/>
      <c r="M153" s="597"/>
      <c r="N153" s="597"/>
      <c r="O153" s="597"/>
      <c r="P153" s="597"/>
      <c r="Q153" s="597"/>
      <c r="V153" s="1615"/>
    </row>
    <row r="154" spans="6:22" s="14" customFormat="1" ht="14.25" customHeight="1">
      <c r="F154" s="573"/>
      <c r="G154" s="573"/>
      <c r="H154" s="573"/>
      <c r="I154" s="573"/>
      <c r="J154" s="601"/>
      <c r="K154" s="597"/>
      <c r="L154" s="597"/>
      <c r="M154" s="597"/>
      <c r="N154" s="597"/>
      <c r="O154" s="597"/>
      <c r="P154" s="597"/>
      <c r="Q154" s="597"/>
      <c r="V154" s="1615"/>
    </row>
    <row r="155" spans="6:22" s="14" customFormat="1" ht="14.25" customHeight="1">
      <c r="F155" s="573"/>
      <c r="G155" s="573"/>
      <c r="H155" s="573"/>
      <c r="I155" s="573"/>
      <c r="J155" s="601"/>
      <c r="K155" s="597"/>
      <c r="L155" s="597"/>
      <c r="M155" s="597"/>
      <c r="N155" s="597"/>
      <c r="O155" s="597"/>
      <c r="P155" s="597"/>
      <c r="Q155" s="597"/>
      <c r="V155" s="1615"/>
    </row>
    <row r="156" spans="6:22" s="14" customFormat="1" ht="14.25" customHeight="1">
      <c r="F156" s="573"/>
      <c r="G156" s="573"/>
      <c r="H156" s="573"/>
      <c r="I156" s="573"/>
      <c r="J156" s="601"/>
      <c r="K156" s="597"/>
      <c r="L156" s="597"/>
      <c r="M156" s="597"/>
      <c r="N156" s="597"/>
      <c r="O156" s="597"/>
      <c r="P156" s="597"/>
      <c r="Q156" s="597"/>
      <c r="V156" s="1615"/>
    </row>
    <row r="157" spans="6:22" s="14" customFormat="1" ht="14.25" customHeight="1">
      <c r="F157" s="573"/>
      <c r="G157" s="573"/>
      <c r="H157" s="573"/>
      <c r="I157" s="573"/>
      <c r="J157" s="601"/>
      <c r="K157" s="597"/>
      <c r="L157" s="597"/>
      <c r="M157" s="597"/>
      <c r="N157" s="597"/>
      <c r="O157" s="597"/>
      <c r="P157" s="597"/>
      <c r="Q157" s="597"/>
      <c r="V157" s="1615"/>
    </row>
    <row r="158" spans="6:22" s="14" customFormat="1" ht="14.25" customHeight="1">
      <c r="F158" s="573"/>
      <c r="G158" s="573"/>
      <c r="H158" s="573"/>
      <c r="I158" s="573"/>
      <c r="J158" s="601"/>
      <c r="K158" s="597"/>
      <c r="L158" s="597"/>
      <c r="M158" s="597"/>
      <c r="N158" s="597"/>
      <c r="O158" s="597"/>
      <c r="P158" s="597"/>
      <c r="Q158" s="597"/>
      <c r="V158" s="1615"/>
    </row>
    <row r="159" spans="6:22" s="14" customFormat="1" ht="14.25" customHeight="1">
      <c r="F159" s="573"/>
      <c r="G159" s="573"/>
      <c r="H159" s="573"/>
      <c r="I159" s="573"/>
      <c r="J159" s="601"/>
      <c r="K159" s="597"/>
      <c r="L159" s="597"/>
      <c r="M159" s="597"/>
      <c r="N159" s="597"/>
      <c r="O159" s="597"/>
      <c r="P159" s="597"/>
      <c r="Q159" s="597"/>
      <c r="V159" s="1615"/>
    </row>
    <row r="160" spans="6:22" s="14" customFormat="1" ht="14.25" customHeight="1">
      <c r="F160" s="573"/>
      <c r="G160" s="573"/>
      <c r="H160" s="573"/>
      <c r="I160" s="573"/>
      <c r="J160" s="601"/>
      <c r="K160" s="597"/>
      <c r="L160" s="597"/>
      <c r="M160" s="597"/>
      <c r="N160" s="597"/>
      <c r="O160" s="597"/>
      <c r="P160" s="597"/>
      <c r="Q160" s="597"/>
      <c r="V160" s="1615"/>
    </row>
    <row r="161" spans="6:22" s="14" customFormat="1" ht="14.25" customHeight="1">
      <c r="F161" s="573"/>
      <c r="G161" s="573"/>
      <c r="H161" s="573"/>
      <c r="I161" s="573"/>
      <c r="J161" s="601"/>
      <c r="K161" s="597"/>
      <c r="L161" s="597"/>
      <c r="M161" s="597"/>
      <c r="N161" s="597"/>
      <c r="O161" s="597"/>
      <c r="P161" s="597"/>
      <c r="Q161" s="597"/>
      <c r="V161" s="1615"/>
    </row>
    <row r="162" spans="6:22" s="14" customFormat="1" ht="14.25" customHeight="1">
      <c r="F162" s="573"/>
      <c r="G162" s="573"/>
      <c r="H162" s="573"/>
      <c r="I162" s="573"/>
      <c r="J162" s="601"/>
      <c r="K162" s="597"/>
      <c r="L162" s="597"/>
      <c r="M162" s="597"/>
      <c r="N162" s="597"/>
      <c r="O162" s="597"/>
      <c r="P162" s="597"/>
      <c r="Q162" s="597"/>
      <c r="V162" s="1615"/>
    </row>
    <row r="163" spans="6:22" s="14" customFormat="1" ht="14.25" customHeight="1">
      <c r="F163" s="573"/>
      <c r="G163" s="573"/>
      <c r="H163" s="573"/>
      <c r="I163" s="573"/>
      <c r="J163" s="601"/>
      <c r="K163" s="597"/>
      <c r="L163" s="597"/>
      <c r="M163" s="597"/>
      <c r="N163" s="597"/>
      <c r="O163" s="597"/>
      <c r="P163" s="597"/>
      <c r="Q163" s="597"/>
      <c r="V163" s="1615"/>
    </row>
    <row r="164" spans="6:22" s="14" customFormat="1" ht="14.25" customHeight="1">
      <c r="F164" s="573"/>
      <c r="G164" s="573"/>
      <c r="H164" s="573"/>
      <c r="I164" s="573"/>
      <c r="J164" s="601"/>
      <c r="K164" s="597"/>
      <c r="L164" s="597"/>
      <c r="M164" s="597"/>
      <c r="N164" s="597"/>
      <c r="O164" s="597"/>
      <c r="P164" s="597"/>
      <c r="Q164" s="597"/>
      <c r="V164" s="1615"/>
    </row>
    <row r="165" spans="6:22" s="14" customFormat="1" ht="14.25" customHeight="1">
      <c r="F165" s="573"/>
      <c r="G165" s="573"/>
      <c r="H165" s="573"/>
      <c r="I165" s="573"/>
      <c r="J165" s="601"/>
      <c r="K165" s="597"/>
      <c r="L165" s="597"/>
      <c r="M165" s="597"/>
      <c r="N165" s="597"/>
      <c r="O165" s="597"/>
      <c r="P165" s="597"/>
      <c r="Q165" s="597"/>
      <c r="V165" s="1615"/>
    </row>
    <row r="166" spans="6:22" s="14" customFormat="1" ht="14.25" customHeight="1">
      <c r="F166" s="573"/>
      <c r="G166" s="573"/>
      <c r="H166" s="573"/>
      <c r="I166" s="573"/>
      <c r="J166" s="601"/>
      <c r="K166" s="597"/>
      <c r="L166" s="597"/>
      <c r="M166" s="597"/>
      <c r="N166" s="597"/>
      <c r="O166" s="597"/>
      <c r="P166" s="597"/>
      <c r="Q166" s="597"/>
      <c r="V166" s="1615"/>
    </row>
    <row r="167" spans="6:22" s="14" customFormat="1" ht="14.25" customHeight="1">
      <c r="F167" s="573"/>
      <c r="G167" s="573"/>
      <c r="H167" s="573"/>
      <c r="I167" s="573"/>
      <c r="J167" s="601"/>
      <c r="K167" s="597"/>
      <c r="L167" s="597"/>
      <c r="M167" s="597"/>
      <c r="N167" s="597"/>
      <c r="O167" s="597"/>
      <c r="P167" s="597"/>
      <c r="Q167" s="597"/>
      <c r="V167" s="1615"/>
    </row>
    <row r="168" spans="6:22" s="14" customFormat="1" ht="14.25" customHeight="1">
      <c r="F168" s="573"/>
      <c r="G168" s="573"/>
      <c r="H168" s="573"/>
      <c r="I168" s="573"/>
      <c r="J168" s="601"/>
      <c r="K168" s="597"/>
      <c r="L168" s="597"/>
      <c r="M168" s="597"/>
      <c r="N168" s="597"/>
      <c r="O168" s="597"/>
      <c r="P168" s="597"/>
      <c r="Q168" s="597"/>
      <c r="V168" s="1615"/>
    </row>
    <row r="169" spans="6:22" s="14" customFormat="1" ht="14.25" customHeight="1">
      <c r="F169" s="573"/>
      <c r="G169" s="573"/>
      <c r="H169" s="573"/>
      <c r="I169" s="573"/>
      <c r="J169" s="601"/>
      <c r="K169" s="597"/>
      <c r="L169" s="597"/>
      <c r="M169" s="597"/>
      <c r="N169" s="597"/>
      <c r="O169" s="597"/>
      <c r="P169" s="597"/>
      <c r="Q169" s="597"/>
      <c r="V169" s="1615"/>
    </row>
    <row r="170" spans="6:22" s="14" customFormat="1" ht="14.25" customHeight="1">
      <c r="F170" s="573"/>
      <c r="G170" s="573"/>
      <c r="H170" s="573"/>
      <c r="I170" s="573"/>
      <c r="J170" s="601"/>
      <c r="K170" s="597"/>
      <c r="L170" s="597"/>
      <c r="M170" s="597"/>
      <c r="N170" s="597"/>
      <c r="O170" s="597"/>
      <c r="P170" s="597"/>
      <c r="Q170" s="597"/>
      <c r="V170" s="1615"/>
    </row>
    <row r="171" spans="6:22" s="14" customFormat="1" ht="14.25" customHeight="1">
      <c r="F171" s="573"/>
      <c r="G171" s="573"/>
      <c r="H171" s="573"/>
      <c r="I171" s="573"/>
      <c r="J171" s="601"/>
      <c r="K171" s="597"/>
      <c r="L171" s="597"/>
      <c r="M171" s="597"/>
      <c r="N171" s="597"/>
      <c r="O171" s="597"/>
      <c r="P171" s="597"/>
      <c r="Q171" s="597"/>
      <c r="V171" s="1615"/>
    </row>
    <row r="172" spans="6:22" s="14" customFormat="1" ht="14.25" customHeight="1">
      <c r="F172" s="573"/>
      <c r="G172" s="573"/>
      <c r="H172" s="573"/>
      <c r="I172" s="573"/>
      <c r="J172" s="601"/>
      <c r="K172" s="597"/>
      <c r="L172" s="597"/>
      <c r="M172" s="597"/>
      <c r="N172" s="597"/>
      <c r="O172" s="597"/>
      <c r="P172" s="597"/>
      <c r="Q172" s="597"/>
      <c r="V172" s="1615"/>
    </row>
    <row r="173" spans="6:22" s="14" customFormat="1" ht="14.25" customHeight="1">
      <c r="F173" s="573"/>
      <c r="G173" s="573"/>
      <c r="H173" s="573"/>
      <c r="I173" s="573"/>
      <c r="J173" s="601"/>
      <c r="K173" s="597"/>
      <c r="L173" s="597"/>
      <c r="M173" s="597"/>
      <c r="N173" s="597"/>
      <c r="O173" s="597"/>
      <c r="P173" s="597"/>
      <c r="Q173" s="597"/>
      <c r="V173" s="1615"/>
    </row>
    <row r="174" spans="6:22" s="14" customFormat="1" ht="14.25" customHeight="1">
      <c r="F174" s="573"/>
      <c r="G174" s="573"/>
      <c r="H174" s="573"/>
      <c r="I174" s="573"/>
      <c r="J174" s="601"/>
      <c r="K174" s="597"/>
      <c r="L174" s="597"/>
      <c r="M174" s="597"/>
      <c r="N174" s="597"/>
      <c r="O174" s="597"/>
      <c r="P174" s="597"/>
      <c r="Q174" s="597"/>
      <c r="V174" s="1615"/>
    </row>
    <row r="175" spans="6:22" s="14" customFormat="1" ht="14.25" customHeight="1">
      <c r="F175" s="573"/>
      <c r="G175" s="573"/>
      <c r="H175" s="573"/>
      <c r="I175" s="573"/>
      <c r="J175" s="601"/>
      <c r="K175" s="597"/>
      <c r="L175" s="597"/>
      <c r="M175" s="597"/>
      <c r="N175" s="597"/>
      <c r="O175" s="597"/>
      <c r="P175" s="597"/>
      <c r="Q175" s="597"/>
      <c r="V175" s="1615"/>
    </row>
    <row r="176" spans="6:22" s="14" customFormat="1" ht="14.25" customHeight="1">
      <c r="F176" s="573"/>
      <c r="G176" s="573"/>
      <c r="H176" s="573"/>
      <c r="I176" s="573"/>
      <c r="J176" s="601"/>
      <c r="K176" s="597"/>
      <c r="L176" s="597"/>
      <c r="M176" s="597"/>
      <c r="N176" s="597"/>
      <c r="O176" s="597"/>
      <c r="P176" s="597"/>
      <c r="Q176" s="597"/>
      <c r="V176" s="1615"/>
    </row>
    <row r="177" spans="6:22" s="14" customFormat="1" ht="14.25" customHeight="1">
      <c r="F177" s="573"/>
      <c r="G177" s="573"/>
      <c r="H177" s="573"/>
      <c r="I177" s="573"/>
      <c r="J177" s="601"/>
      <c r="K177" s="597"/>
      <c r="L177" s="597"/>
      <c r="M177" s="597"/>
      <c r="N177" s="597"/>
      <c r="O177" s="597"/>
      <c r="P177" s="597"/>
      <c r="Q177" s="597"/>
      <c r="V177" s="1615"/>
    </row>
    <row r="178" spans="6:22" s="14" customFormat="1" ht="14.25" customHeight="1">
      <c r="F178" s="573"/>
      <c r="G178" s="573"/>
      <c r="H178" s="573"/>
      <c r="I178" s="573"/>
      <c r="J178" s="601"/>
      <c r="K178" s="597"/>
      <c r="L178" s="597"/>
      <c r="M178" s="597"/>
      <c r="N178" s="597"/>
      <c r="O178" s="597"/>
      <c r="P178" s="597"/>
      <c r="Q178" s="597"/>
      <c r="V178" s="1615"/>
    </row>
    <row r="179" spans="6:22" s="14" customFormat="1" ht="14.25" customHeight="1">
      <c r="F179" s="573"/>
      <c r="G179" s="573"/>
      <c r="H179" s="573"/>
      <c r="I179" s="573"/>
      <c r="J179" s="601"/>
      <c r="K179" s="597"/>
      <c r="L179" s="597"/>
      <c r="M179" s="597"/>
      <c r="N179" s="597"/>
      <c r="O179" s="597"/>
      <c r="P179" s="597"/>
      <c r="Q179" s="597"/>
      <c r="V179" s="1615"/>
    </row>
    <row r="180" spans="6:22" s="14" customFormat="1" ht="14.25" customHeight="1">
      <c r="F180" s="573"/>
      <c r="G180" s="573"/>
      <c r="H180" s="573"/>
      <c r="I180" s="573"/>
      <c r="J180" s="601"/>
      <c r="K180" s="597"/>
      <c r="L180" s="597"/>
      <c r="M180" s="597"/>
      <c r="N180" s="597"/>
      <c r="O180" s="597"/>
      <c r="P180" s="597"/>
      <c r="Q180" s="597"/>
      <c r="V180" s="1615"/>
    </row>
    <row r="181" spans="6:22" s="14" customFormat="1" ht="14.25" customHeight="1">
      <c r="F181" s="573"/>
      <c r="G181" s="573"/>
      <c r="H181" s="573"/>
      <c r="I181" s="573"/>
      <c r="J181" s="601"/>
      <c r="K181" s="597"/>
      <c r="L181" s="597"/>
      <c r="M181" s="597"/>
      <c r="N181" s="597"/>
      <c r="O181" s="597"/>
      <c r="P181" s="597"/>
      <c r="Q181" s="597"/>
      <c r="V181" s="1615"/>
    </row>
    <row r="182" spans="6:22" s="14" customFormat="1" ht="14.25" customHeight="1">
      <c r="F182" s="573"/>
      <c r="G182" s="573"/>
      <c r="H182" s="573"/>
      <c r="I182" s="573"/>
      <c r="J182" s="601"/>
      <c r="K182" s="597"/>
      <c r="L182" s="597"/>
      <c r="M182" s="597"/>
      <c r="N182" s="597"/>
      <c r="O182" s="597"/>
      <c r="P182" s="597"/>
      <c r="Q182" s="597"/>
      <c r="V182" s="1615"/>
    </row>
    <row r="183" spans="6:22" s="14" customFormat="1" ht="14.25" customHeight="1">
      <c r="F183" s="573"/>
      <c r="G183" s="573"/>
      <c r="H183" s="573"/>
      <c r="I183" s="573"/>
      <c r="J183" s="601"/>
      <c r="K183" s="597"/>
      <c r="L183" s="597"/>
      <c r="M183" s="597"/>
      <c r="N183" s="597"/>
      <c r="O183" s="597"/>
      <c r="P183" s="597"/>
      <c r="Q183" s="597"/>
      <c r="V183" s="1615"/>
    </row>
    <row r="184" spans="6:22" s="14" customFormat="1" ht="14.25" customHeight="1">
      <c r="F184" s="573"/>
      <c r="G184" s="573"/>
      <c r="H184" s="573"/>
      <c r="I184" s="573"/>
      <c r="J184" s="601"/>
      <c r="K184" s="597"/>
      <c r="L184" s="597"/>
      <c r="M184" s="597"/>
      <c r="N184" s="597"/>
      <c r="O184" s="597"/>
      <c r="P184" s="597"/>
      <c r="Q184" s="597"/>
      <c r="V184" s="1615"/>
    </row>
    <row r="185" spans="6:22" s="14" customFormat="1" ht="14.25" customHeight="1">
      <c r="F185" s="573"/>
      <c r="G185" s="573"/>
      <c r="H185" s="573"/>
      <c r="I185" s="573"/>
      <c r="J185" s="601"/>
      <c r="K185" s="597"/>
      <c r="L185" s="597"/>
      <c r="M185" s="597"/>
      <c r="N185" s="597"/>
      <c r="O185" s="597"/>
      <c r="P185" s="597"/>
      <c r="Q185" s="597"/>
      <c r="V185" s="1615"/>
    </row>
    <row r="186" spans="6:22" s="14" customFormat="1" ht="14.25" customHeight="1">
      <c r="F186" s="573"/>
      <c r="G186" s="573"/>
      <c r="H186" s="573"/>
      <c r="I186" s="573"/>
      <c r="J186" s="601"/>
      <c r="K186" s="597"/>
      <c r="L186" s="597"/>
      <c r="M186" s="597"/>
      <c r="N186" s="597"/>
      <c r="O186" s="597"/>
      <c r="P186" s="597"/>
      <c r="Q186" s="597"/>
      <c r="V186" s="1615"/>
    </row>
    <row r="187" spans="6:22" s="14" customFormat="1" ht="14.25" customHeight="1">
      <c r="F187" s="573"/>
      <c r="G187" s="573"/>
      <c r="H187" s="573"/>
      <c r="I187" s="573"/>
      <c r="J187" s="601"/>
      <c r="K187" s="597"/>
      <c r="L187" s="597"/>
      <c r="M187" s="597"/>
      <c r="N187" s="597"/>
      <c r="O187" s="597"/>
      <c r="P187" s="597"/>
      <c r="Q187" s="597"/>
      <c r="V187" s="1615"/>
    </row>
    <row r="188" spans="6:22" s="14" customFormat="1" ht="14.25" customHeight="1">
      <c r="F188" s="573"/>
      <c r="G188" s="573"/>
      <c r="H188" s="573"/>
      <c r="I188" s="573"/>
      <c r="J188" s="601"/>
      <c r="K188" s="597"/>
      <c r="L188" s="597"/>
      <c r="M188" s="597"/>
      <c r="N188" s="597"/>
      <c r="O188" s="597"/>
      <c r="P188" s="597"/>
      <c r="Q188" s="597"/>
      <c r="V188" s="1615"/>
    </row>
    <row r="189" spans="6:22" s="14" customFormat="1" ht="14.25" customHeight="1">
      <c r="F189" s="573"/>
      <c r="G189" s="573"/>
      <c r="H189" s="573"/>
      <c r="I189" s="573"/>
      <c r="J189" s="601"/>
      <c r="K189" s="597"/>
      <c r="L189" s="597"/>
      <c r="M189" s="597"/>
      <c r="N189" s="597"/>
      <c r="O189" s="597"/>
      <c r="P189" s="597"/>
      <c r="Q189" s="597"/>
      <c r="V189" s="1615"/>
    </row>
    <row r="190" spans="6:22" s="14" customFormat="1" ht="14.25" customHeight="1">
      <c r="F190" s="573"/>
      <c r="G190" s="573"/>
      <c r="H190" s="573"/>
      <c r="I190" s="573"/>
      <c r="J190" s="601"/>
      <c r="K190" s="597"/>
      <c r="L190" s="597"/>
      <c r="M190" s="597"/>
      <c r="N190" s="597"/>
      <c r="O190" s="597"/>
      <c r="P190" s="597"/>
      <c r="Q190" s="597"/>
      <c r="V190" s="1615"/>
    </row>
    <row r="191" spans="6:22" s="14" customFormat="1" ht="14.25" customHeight="1">
      <c r="F191" s="573"/>
      <c r="G191" s="573"/>
      <c r="H191" s="573"/>
      <c r="I191" s="573"/>
      <c r="J191" s="601"/>
      <c r="K191" s="597"/>
      <c r="L191" s="597"/>
      <c r="M191" s="597"/>
      <c r="N191" s="597"/>
      <c r="O191" s="597"/>
      <c r="P191" s="597"/>
      <c r="Q191" s="597"/>
      <c r="V191" s="1615"/>
    </row>
    <row r="192" spans="6:22" s="14" customFormat="1" ht="14.25" customHeight="1">
      <c r="F192" s="573"/>
      <c r="G192" s="573"/>
      <c r="H192" s="573"/>
      <c r="I192" s="573"/>
      <c r="J192" s="601"/>
      <c r="K192" s="597"/>
      <c r="L192" s="597"/>
      <c r="M192" s="597"/>
      <c r="N192" s="597"/>
      <c r="O192" s="597"/>
      <c r="P192" s="597"/>
      <c r="Q192" s="597"/>
      <c r="V192" s="1615"/>
    </row>
    <row r="193" spans="6:22" s="14" customFormat="1" ht="14.25" customHeight="1">
      <c r="F193" s="573"/>
      <c r="G193" s="573"/>
      <c r="H193" s="573"/>
      <c r="I193" s="573"/>
      <c r="J193" s="601"/>
      <c r="K193" s="597"/>
      <c r="L193" s="597"/>
      <c r="M193" s="597"/>
      <c r="N193" s="597"/>
      <c r="O193" s="597"/>
      <c r="P193" s="597"/>
      <c r="Q193" s="597"/>
      <c r="V193" s="1615"/>
    </row>
    <row r="194" spans="6:22" s="14" customFormat="1" ht="14.25" customHeight="1">
      <c r="F194" s="573"/>
      <c r="G194" s="573"/>
      <c r="H194" s="573"/>
      <c r="I194" s="573"/>
      <c r="J194" s="601"/>
      <c r="K194" s="597"/>
      <c r="L194" s="597"/>
      <c r="M194" s="597"/>
      <c r="N194" s="597"/>
      <c r="O194" s="597"/>
      <c r="P194" s="597"/>
      <c r="Q194" s="597"/>
      <c r="V194" s="1615"/>
    </row>
    <row r="195" spans="6:22" s="14" customFormat="1" ht="14.25" customHeight="1">
      <c r="F195" s="573"/>
      <c r="G195" s="573"/>
      <c r="H195" s="573"/>
      <c r="I195" s="573"/>
      <c r="J195" s="601"/>
      <c r="K195" s="597"/>
      <c r="L195" s="597"/>
      <c r="M195" s="597"/>
      <c r="N195" s="597"/>
      <c r="O195" s="597"/>
      <c r="P195" s="597"/>
      <c r="Q195" s="597"/>
      <c r="V195" s="1615"/>
    </row>
    <row r="196" spans="6:22" s="14" customFormat="1" ht="14.25" customHeight="1">
      <c r="F196" s="573"/>
      <c r="G196" s="573"/>
      <c r="H196" s="573"/>
      <c r="I196" s="573"/>
      <c r="J196" s="601"/>
      <c r="K196" s="597"/>
      <c r="L196" s="597"/>
      <c r="M196" s="597"/>
      <c r="N196" s="597"/>
      <c r="O196" s="597"/>
      <c r="P196" s="597"/>
      <c r="Q196" s="597"/>
      <c r="V196" s="1615"/>
    </row>
    <row r="197" spans="6:22" s="14" customFormat="1" ht="14.25" customHeight="1">
      <c r="F197" s="573"/>
      <c r="G197" s="573"/>
      <c r="H197" s="573"/>
      <c r="I197" s="573"/>
      <c r="J197" s="601"/>
      <c r="K197" s="597"/>
      <c r="L197" s="597"/>
      <c r="M197" s="597"/>
      <c r="N197" s="597"/>
      <c r="O197" s="597"/>
      <c r="P197" s="597"/>
      <c r="Q197" s="597"/>
      <c r="V197" s="1615"/>
    </row>
    <row r="198" spans="6:22" s="14" customFormat="1" ht="14.25" customHeight="1">
      <c r="F198" s="573"/>
      <c r="G198" s="573"/>
      <c r="H198" s="573"/>
      <c r="I198" s="573"/>
      <c r="J198" s="601"/>
      <c r="K198" s="597"/>
      <c r="L198" s="597"/>
      <c r="M198" s="597"/>
      <c r="N198" s="597"/>
      <c r="O198" s="597"/>
      <c r="P198" s="597"/>
      <c r="Q198" s="597"/>
      <c r="V198" s="1615"/>
    </row>
    <row r="199" spans="6:22" s="14" customFormat="1" ht="14.25" customHeight="1">
      <c r="F199" s="573"/>
      <c r="G199" s="573"/>
      <c r="H199" s="573"/>
      <c r="I199" s="573"/>
      <c r="J199" s="601"/>
      <c r="K199" s="597"/>
      <c r="L199" s="597"/>
      <c r="M199" s="597"/>
      <c r="N199" s="597"/>
      <c r="O199" s="597"/>
      <c r="P199" s="597"/>
      <c r="Q199" s="597"/>
      <c r="V199" s="1615"/>
    </row>
    <row r="200" spans="6:22" s="14" customFormat="1" ht="14.25" customHeight="1">
      <c r="F200" s="573"/>
      <c r="G200" s="573"/>
      <c r="H200" s="573"/>
      <c r="I200" s="573"/>
      <c r="J200" s="601"/>
      <c r="K200" s="597"/>
      <c r="L200" s="597"/>
      <c r="M200" s="597"/>
      <c r="N200" s="597"/>
      <c r="O200" s="597"/>
      <c r="P200" s="597"/>
      <c r="Q200" s="597"/>
      <c r="V200" s="1615"/>
    </row>
    <row r="201" spans="6:22" s="14" customFormat="1" ht="14.25" customHeight="1">
      <c r="F201" s="573"/>
      <c r="G201" s="573"/>
      <c r="H201" s="573"/>
      <c r="I201" s="573"/>
      <c r="J201" s="601"/>
      <c r="K201" s="597"/>
      <c r="L201" s="597"/>
      <c r="M201" s="597"/>
      <c r="N201" s="597"/>
      <c r="O201" s="597"/>
      <c r="P201" s="597"/>
      <c r="Q201" s="597"/>
      <c r="V201" s="1615"/>
    </row>
    <row r="202" spans="6:22" s="14" customFormat="1" ht="14.25" customHeight="1">
      <c r="F202" s="573"/>
      <c r="G202" s="573"/>
      <c r="H202" s="573"/>
      <c r="I202" s="573"/>
      <c r="J202" s="601"/>
      <c r="K202" s="597"/>
      <c r="L202" s="597"/>
      <c r="M202" s="597"/>
      <c r="N202" s="597"/>
      <c r="O202" s="597"/>
      <c r="P202" s="597"/>
      <c r="Q202" s="597"/>
      <c r="V202" s="1615"/>
    </row>
    <row r="203" spans="6:22" s="14" customFormat="1" ht="14.25" customHeight="1">
      <c r="F203" s="573"/>
      <c r="G203" s="573"/>
      <c r="H203" s="573"/>
      <c r="I203" s="573"/>
      <c r="J203" s="601"/>
      <c r="K203" s="597"/>
      <c r="L203" s="597"/>
      <c r="M203" s="597"/>
      <c r="N203" s="597"/>
      <c r="O203" s="597"/>
      <c r="P203" s="597"/>
      <c r="Q203" s="597"/>
      <c r="V203" s="1615"/>
    </row>
    <row r="204" spans="6:22" s="14" customFormat="1" ht="14.25" customHeight="1">
      <c r="F204" s="573"/>
      <c r="G204" s="573"/>
      <c r="H204" s="573"/>
      <c r="I204" s="573"/>
      <c r="J204" s="601"/>
      <c r="K204" s="597"/>
      <c r="L204" s="597"/>
      <c r="M204" s="597"/>
      <c r="N204" s="597"/>
      <c r="O204" s="597"/>
      <c r="P204" s="597"/>
      <c r="Q204" s="597"/>
      <c r="V204" s="1615"/>
    </row>
    <row r="205" spans="6:22" s="14" customFormat="1" ht="14.25" customHeight="1">
      <c r="F205" s="573"/>
      <c r="G205" s="573"/>
      <c r="H205" s="573"/>
      <c r="I205" s="573"/>
      <c r="J205" s="601"/>
      <c r="K205" s="597"/>
      <c r="L205" s="597"/>
      <c r="M205" s="597"/>
      <c r="N205" s="597"/>
      <c r="O205" s="597"/>
      <c r="P205" s="597"/>
      <c r="Q205" s="597"/>
      <c r="V205" s="1615"/>
    </row>
    <row r="206" spans="6:22" s="14" customFormat="1" ht="14.25" customHeight="1">
      <c r="F206" s="573"/>
      <c r="G206" s="573"/>
      <c r="H206" s="573"/>
      <c r="I206" s="573"/>
      <c r="J206" s="601"/>
      <c r="K206" s="597"/>
      <c r="L206" s="597"/>
      <c r="M206" s="597"/>
      <c r="N206" s="597"/>
      <c r="O206" s="597"/>
      <c r="P206" s="597"/>
      <c r="Q206" s="597"/>
      <c r="V206" s="1615"/>
    </row>
    <row r="207" spans="6:22" s="14" customFormat="1" ht="14.25" customHeight="1">
      <c r="F207" s="573"/>
      <c r="G207" s="573"/>
      <c r="H207" s="573"/>
      <c r="I207" s="573"/>
      <c r="J207" s="601"/>
      <c r="K207" s="597"/>
      <c r="L207" s="597"/>
      <c r="M207" s="597"/>
      <c r="N207" s="597"/>
      <c r="O207" s="597"/>
      <c r="P207" s="597"/>
      <c r="Q207" s="597"/>
      <c r="V207" s="1615"/>
    </row>
    <row r="208" spans="6:22" s="14" customFormat="1" ht="14.25" customHeight="1">
      <c r="F208" s="573"/>
      <c r="G208" s="573"/>
      <c r="H208" s="573"/>
      <c r="I208" s="573"/>
      <c r="J208" s="601"/>
      <c r="K208" s="597"/>
      <c r="L208" s="597"/>
      <c r="M208" s="597"/>
      <c r="N208" s="597"/>
      <c r="O208" s="597"/>
      <c r="P208" s="597"/>
      <c r="Q208" s="597"/>
      <c r="V208" s="1615"/>
    </row>
    <row r="209" spans="6:22" s="14" customFormat="1" ht="14.25" customHeight="1">
      <c r="F209" s="573"/>
      <c r="G209" s="573"/>
      <c r="H209" s="573"/>
      <c r="I209" s="573"/>
      <c r="J209" s="601"/>
      <c r="K209" s="597"/>
      <c r="L209" s="597"/>
      <c r="M209" s="597"/>
      <c r="N209" s="597"/>
      <c r="O209" s="597"/>
      <c r="P209" s="597"/>
      <c r="Q209" s="597"/>
      <c r="V209" s="1615"/>
    </row>
    <row r="210" spans="6:22" s="14" customFormat="1" ht="14.25" customHeight="1">
      <c r="F210" s="573"/>
      <c r="G210" s="573"/>
      <c r="H210" s="573"/>
      <c r="I210" s="573"/>
      <c r="J210" s="601"/>
      <c r="K210" s="597"/>
      <c r="L210" s="597"/>
      <c r="M210" s="597"/>
      <c r="N210" s="597"/>
      <c r="O210" s="597"/>
      <c r="P210" s="597"/>
      <c r="Q210" s="597"/>
      <c r="V210" s="1615"/>
    </row>
    <row r="211" spans="6:22" s="14" customFormat="1" ht="14.25" customHeight="1">
      <c r="F211" s="573"/>
      <c r="G211" s="573"/>
      <c r="H211" s="573"/>
      <c r="I211" s="573"/>
      <c r="J211" s="601"/>
      <c r="K211" s="597"/>
      <c r="L211" s="597"/>
      <c r="M211" s="597"/>
      <c r="N211" s="597"/>
      <c r="O211" s="597"/>
      <c r="P211" s="597"/>
      <c r="Q211" s="597"/>
      <c r="V211" s="1615"/>
    </row>
    <row r="212" spans="6:22" s="14" customFormat="1" ht="14.25" customHeight="1">
      <c r="F212" s="573"/>
      <c r="G212" s="573"/>
      <c r="H212" s="573"/>
      <c r="I212" s="573"/>
      <c r="J212" s="601"/>
      <c r="K212" s="597"/>
      <c r="L212" s="597"/>
      <c r="M212" s="597"/>
      <c r="N212" s="597"/>
      <c r="O212" s="597"/>
      <c r="P212" s="597"/>
      <c r="Q212" s="597"/>
      <c r="V212" s="1615"/>
    </row>
    <row r="213" spans="6:22" s="14" customFormat="1" ht="14.25" customHeight="1">
      <c r="F213" s="573"/>
      <c r="G213" s="573"/>
      <c r="H213" s="573"/>
      <c r="I213" s="573"/>
      <c r="J213" s="601"/>
      <c r="K213" s="597"/>
      <c r="L213" s="597"/>
      <c r="M213" s="597"/>
      <c r="N213" s="597"/>
      <c r="O213" s="597"/>
      <c r="P213" s="597"/>
      <c r="Q213" s="597"/>
      <c r="V213" s="1615"/>
    </row>
    <row r="214" spans="6:22" s="14" customFormat="1" ht="14.25" customHeight="1">
      <c r="F214" s="573"/>
      <c r="G214" s="573"/>
      <c r="H214" s="573"/>
      <c r="I214" s="573"/>
      <c r="J214" s="601"/>
      <c r="K214" s="597"/>
      <c r="L214" s="597"/>
      <c r="M214" s="597"/>
      <c r="N214" s="597"/>
      <c r="O214" s="597"/>
      <c r="P214" s="597"/>
      <c r="Q214" s="597"/>
      <c r="V214" s="1615"/>
    </row>
    <row r="215" spans="6:22" s="14" customFormat="1" ht="14.25" customHeight="1">
      <c r="F215" s="573"/>
      <c r="G215" s="573"/>
      <c r="H215" s="573"/>
      <c r="I215" s="573"/>
      <c r="J215" s="601"/>
      <c r="K215" s="597"/>
      <c r="L215" s="597"/>
      <c r="M215" s="597"/>
      <c r="N215" s="597"/>
      <c r="O215" s="597"/>
      <c r="P215" s="597"/>
      <c r="Q215" s="597"/>
      <c r="V215" s="1615"/>
    </row>
    <row r="216" spans="6:22" s="14" customFormat="1" ht="14.25" customHeight="1">
      <c r="F216" s="573"/>
      <c r="G216" s="573"/>
      <c r="H216" s="573"/>
      <c r="I216" s="573"/>
      <c r="J216" s="601"/>
      <c r="K216" s="597"/>
      <c r="L216" s="597"/>
      <c r="M216" s="597"/>
      <c r="N216" s="597"/>
      <c r="O216" s="597"/>
      <c r="P216" s="597"/>
      <c r="Q216" s="597"/>
      <c r="V216" s="1615"/>
    </row>
    <row r="217" spans="6:22" s="14" customFormat="1" ht="14.25" customHeight="1">
      <c r="F217" s="573"/>
      <c r="G217" s="573"/>
      <c r="H217" s="573"/>
      <c r="I217" s="573"/>
      <c r="J217" s="601"/>
      <c r="K217" s="597"/>
      <c r="L217" s="597"/>
      <c r="M217" s="597"/>
      <c r="N217" s="597"/>
      <c r="O217" s="597"/>
      <c r="P217" s="597"/>
      <c r="Q217" s="597"/>
      <c r="V217" s="1615"/>
    </row>
    <row r="218" spans="6:22" s="14" customFormat="1" ht="14.25" customHeight="1">
      <c r="F218" s="573"/>
      <c r="G218" s="573"/>
      <c r="H218" s="573"/>
      <c r="I218" s="573"/>
      <c r="J218" s="601"/>
      <c r="K218" s="597"/>
      <c r="L218" s="597"/>
      <c r="M218" s="597"/>
      <c r="N218" s="597"/>
      <c r="O218" s="597"/>
      <c r="P218" s="597"/>
      <c r="Q218" s="597"/>
      <c r="V218" s="1615"/>
    </row>
    <row r="219" spans="6:22" s="14" customFormat="1" ht="14.25" customHeight="1">
      <c r="F219" s="573"/>
      <c r="G219" s="573"/>
      <c r="H219" s="573"/>
      <c r="I219" s="573"/>
      <c r="J219" s="601"/>
      <c r="K219" s="597"/>
      <c r="L219" s="597"/>
      <c r="M219" s="597"/>
      <c r="N219" s="597"/>
      <c r="O219" s="597"/>
      <c r="P219" s="597"/>
      <c r="Q219" s="597"/>
      <c r="V219" s="1615"/>
    </row>
    <row r="220" spans="6:22" s="14" customFormat="1" ht="14.25" customHeight="1">
      <c r="F220" s="573"/>
      <c r="G220" s="573"/>
      <c r="H220" s="573"/>
      <c r="I220" s="573"/>
      <c r="J220" s="601"/>
      <c r="K220" s="597"/>
      <c r="L220" s="597"/>
      <c r="M220" s="597"/>
      <c r="N220" s="597"/>
      <c r="O220" s="597"/>
      <c r="P220" s="597"/>
      <c r="Q220" s="597"/>
      <c r="V220" s="1615"/>
    </row>
    <row r="221" spans="6:22" s="14" customFormat="1" ht="14.25" customHeight="1">
      <c r="F221" s="573"/>
      <c r="G221" s="573"/>
      <c r="H221" s="573"/>
      <c r="I221" s="573"/>
      <c r="J221" s="601"/>
      <c r="K221" s="597"/>
      <c r="L221" s="597"/>
      <c r="M221" s="597"/>
      <c r="N221" s="597"/>
      <c r="O221" s="597"/>
      <c r="P221" s="597"/>
      <c r="Q221" s="597"/>
      <c r="V221" s="1615"/>
    </row>
    <row r="222" spans="6:22" s="14" customFormat="1" ht="14.25" customHeight="1">
      <c r="F222" s="573"/>
      <c r="G222" s="573"/>
      <c r="H222" s="573"/>
      <c r="I222" s="573"/>
      <c r="J222" s="601"/>
      <c r="K222" s="597"/>
      <c r="L222" s="597"/>
      <c r="M222" s="597"/>
      <c r="N222" s="597"/>
      <c r="O222" s="597"/>
      <c r="P222" s="597"/>
      <c r="Q222" s="597"/>
      <c r="V222" s="1615"/>
    </row>
    <row r="223" spans="6:22" s="14" customFormat="1" ht="14.25" customHeight="1">
      <c r="F223" s="573"/>
      <c r="G223" s="573"/>
      <c r="H223" s="573"/>
      <c r="I223" s="573"/>
      <c r="J223" s="601"/>
      <c r="K223" s="597"/>
      <c r="L223" s="597"/>
      <c r="M223" s="597"/>
      <c r="N223" s="597"/>
      <c r="O223" s="597"/>
      <c r="P223" s="597"/>
      <c r="Q223" s="597"/>
      <c r="V223" s="1615"/>
    </row>
    <row r="224" spans="6:22" s="14" customFormat="1" ht="14.25" customHeight="1">
      <c r="F224" s="573"/>
      <c r="G224" s="573"/>
      <c r="H224" s="573"/>
      <c r="I224" s="573"/>
      <c r="J224" s="601"/>
      <c r="K224" s="597"/>
      <c r="L224" s="597"/>
      <c r="M224" s="597"/>
      <c r="N224" s="597"/>
      <c r="O224" s="597"/>
      <c r="P224" s="597"/>
      <c r="Q224" s="597"/>
      <c r="V224" s="1615"/>
    </row>
    <row r="225" spans="6:22" s="14" customFormat="1" ht="14.25" customHeight="1">
      <c r="F225" s="573"/>
      <c r="G225" s="573"/>
      <c r="H225" s="573"/>
      <c r="I225" s="573"/>
      <c r="J225" s="601"/>
      <c r="K225" s="597"/>
      <c r="L225" s="597"/>
      <c r="M225" s="597"/>
      <c r="N225" s="597"/>
      <c r="O225" s="597"/>
      <c r="P225" s="597"/>
      <c r="Q225" s="597"/>
      <c r="V225" s="1615"/>
    </row>
    <row r="226" spans="6:22" s="14" customFormat="1" ht="14.25" customHeight="1">
      <c r="F226" s="573"/>
      <c r="G226" s="573"/>
      <c r="H226" s="573"/>
      <c r="I226" s="573"/>
      <c r="J226" s="601"/>
      <c r="K226" s="597"/>
      <c r="L226" s="597"/>
      <c r="M226" s="597"/>
      <c r="N226" s="597"/>
      <c r="O226" s="597"/>
      <c r="P226" s="597"/>
      <c r="Q226" s="597"/>
      <c r="V226" s="1615"/>
    </row>
    <row r="227" spans="6:22" s="14" customFormat="1" ht="14.25" customHeight="1">
      <c r="F227" s="573"/>
      <c r="G227" s="573"/>
      <c r="H227" s="573"/>
      <c r="I227" s="573"/>
      <c r="J227" s="601"/>
      <c r="K227" s="597"/>
      <c r="L227" s="597"/>
      <c r="M227" s="597"/>
      <c r="N227" s="597"/>
      <c r="O227" s="597"/>
      <c r="P227" s="597"/>
      <c r="Q227" s="597"/>
      <c r="V227" s="1615"/>
    </row>
    <row r="228" spans="6:22" s="14" customFormat="1" ht="14.25" customHeight="1">
      <c r="F228" s="573"/>
      <c r="G228" s="573"/>
      <c r="H228" s="573"/>
      <c r="I228" s="573"/>
      <c r="J228" s="601"/>
      <c r="K228" s="597"/>
      <c r="L228" s="597"/>
      <c r="M228" s="597"/>
      <c r="N228" s="597"/>
      <c r="O228" s="597"/>
      <c r="P228" s="597"/>
      <c r="Q228" s="597"/>
      <c r="V228" s="1615"/>
    </row>
    <row r="229" spans="6:22" s="14" customFormat="1" ht="14.25" customHeight="1">
      <c r="F229" s="573"/>
      <c r="G229" s="573"/>
      <c r="H229" s="573"/>
      <c r="I229" s="573"/>
      <c r="J229" s="601"/>
      <c r="K229" s="597"/>
      <c r="L229" s="597"/>
      <c r="M229" s="597"/>
      <c r="N229" s="597"/>
      <c r="O229" s="597"/>
      <c r="P229" s="597"/>
      <c r="Q229" s="597"/>
      <c r="V229" s="1615"/>
    </row>
    <row r="230" spans="6:22" s="14" customFormat="1" ht="14.25" customHeight="1">
      <c r="F230" s="573"/>
      <c r="G230" s="573"/>
      <c r="H230" s="573"/>
      <c r="I230" s="573"/>
      <c r="J230" s="601"/>
      <c r="K230" s="597"/>
      <c r="L230" s="597"/>
      <c r="M230" s="597"/>
      <c r="N230" s="597"/>
      <c r="O230" s="597"/>
      <c r="P230" s="597"/>
      <c r="Q230" s="597"/>
      <c r="V230" s="1615"/>
    </row>
    <row r="231" spans="6:22" s="14" customFormat="1" ht="14.25" customHeight="1">
      <c r="F231" s="573"/>
      <c r="G231" s="573"/>
      <c r="H231" s="573"/>
      <c r="I231" s="573"/>
      <c r="J231" s="601"/>
      <c r="K231" s="597"/>
      <c r="L231" s="597"/>
      <c r="M231" s="597"/>
      <c r="N231" s="597"/>
      <c r="O231" s="597"/>
      <c r="P231" s="597"/>
      <c r="Q231" s="597"/>
      <c r="V231" s="1615"/>
    </row>
    <row r="232" spans="6:22" s="14" customFormat="1" ht="14.25" customHeight="1">
      <c r="F232" s="573"/>
      <c r="G232" s="573"/>
      <c r="H232" s="573"/>
      <c r="I232" s="573"/>
      <c r="J232" s="601"/>
      <c r="K232" s="597"/>
      <c r="L232" s="597"/>
      <c r="M232" s="597"/>
      <c r="N232" s="597"/>
      <c r="O232" s="597"/>
      <c r="P232" s="597"/>
      <c r="Q232" s="597"/>
      <c r="V232" s="1615"/>
    </row>
    <row r="233" spans="6:22" s="14" customFormat="1" ht="14.25" customHeight="1">
      <c r="F233" s="573"/>
      <c r="G233" s="573"/>
      <c r="H233" s="573"/>
      <c r="I233" s="573"/>
      <c r="J233" s="601"/>
      <c r="K233" s="597"/>
      <c r="L233" s="597"/>
      <c r="M233" s="597"/>
      <c r="N233" s="597"/>
      <c r="O233" s="597"/>
      <c r="P233" s="597"/>
      <c r="Q233" s="597"/>
      <c r="V233" s="1615"/>
    </row>
    <row r="234" spans="6:22" s="14" customFormat="1" ht="14.25" customHeight="1">
      <c r="F234" s="573"/>
      <c r="G234" s="573"/>
      <c r="H234" s="573"/>
      <c r="I234" s="573"/>
      <c r="J234" s="601"/>
      <c r="K234" s="597"/>
      <c r="L234" s="597"/>
      <c r="M234" s="597"/>
      <c r="N234" s="597"/>
      <c r="O234" s="597"/>
      <c r="P234" s="597"/>
      <c r="Q234" s="597"/>
      <c r="V234" s="1615"/>
    </row>
    <row r="235" spans="6:22" s="14" customFormat="1" ht="14.25" customHeight="1">
      <c r="F235" s="573"/>
      <c r="G235" s="573"/>
      <c r="H235" s="573"/>
      <c r="I235" s="573"/>
      <c r="J235" s="601"/>
      <c r="K235" s="597"/>
      <c r="L235" s="597"/>
      <c r="M235" s="597"/>
      <c r="N235" s="597"/>
      <c r="O235" s="597"/>
      <c r="P235" s="597"/>
      <c r="Q235" s="597"/>
      <c r="V235" s="1615"/>
    </row>
    <row r="236" spans="6:22" s="14" customFormat="1" ht="14.25" customHeight="1">
      <c r="F236" s="573"/>
      <c r="G236" s="573"/>
      <c r="H236" s="573"/>
      <c r="I236" s="573"/>
      <c r="J236" s="601"/>
      <c r="K236" s="597"/>
      <c r="L236" s="597"/>
      <c r="M236" s="597"/>
      <c r="N236" s="597"/>
      <c r="O236" s="597"/>
      <c r="P236" s="597"/>
      <c r="Q236" s="597"/>
      <c r="V236" s="1615"/>
    </row>
    <row r="237" spans="6:22" s="14" customFormat="1" ht="14.25" customHeight="1">
      <c r="F237" s="573"/>
      <c r="G237" s="573"/>
      <c r="H237" s="573"/>
      <c r="I237" s="573"/>
      <c r="J237" s="601"/>
      <c r="K237" s="597"/>
      <c r="L237" s="597"/>
      <c r="M237" s="597"/>
      <c r="N237" s="597"/>
      <c r="O237" s="597"/>
      <c r="P237" s="597"/>
      <c r="Q237" s="597"/>
      <c r="V237" s="1615"/>
    </row>
    <row r="238" spans="6:22" s="14" customFormat="1" ht="14.25" customHeight="1">
      <c r="F238" s="573"/>
      <c r="G238" s="573"/>
      <c r="H238" s="573"/>
      <c r="I238" s="573"/>
      <c r="J238" s="601"/>
      <c r="K238" s="597"/>
      <c r="L238" s="597"/>
      <c r="M238" s="597"/>
      <c r="N238" s="597"/>
      <c r="O238" s="597"/>
      <c r="P238" s="597"/>
      <c r="Q238" s="597"/>
      <c r="V238" s="1615"/>
    </row>
    <row r="239" spans="6:22" s="14" customFormat="1" ht="14.25" customHeight="1">
      <c r="F239" s="573"/>
      <c r="G239" s="573"/>
      <c r="H239" s="573"/>
      <c r="I239" s="573"/>
      <c r="J239" s="601"/>
      <c r="K239" s="597"/>
      <c r="L239" s="597"/>
      <c r="M239" s="597"/>
      <c r="N239" s="597"/>
      <c r="O239" s="597"/>
      <c r="P239" s="597"/>
      <c r="Q239" s="597"/>
      <c r="V239" s="1615"/>
    </row>
    <row r="240" spans="6:22" s="14" customFormat="1" ht="14.25" customHeight="1">
      <c r="F240" s="573"/>
      <c r="G240" s="573"/>
      <c r="H240" s="573"/>
      <c r="I240" s="573"/>
      <c r="J240" s="601"/>
      <c r="K240" s="597"/>
      <c r="L240" s="597"/>
      <c r="M240" s="597"/>
      <c r="N240" s="597"/>
      <c r="O240" s="597"/>
      <c r="P240" s="597"/>
      <c r="Q240" s="597"/>
      <c r="V240" s="1615"/>
    </row>
    <row r="241" spans="6:22" s="14" customFormat="1" ht="14.25" customHeight="1">
      <c r="F241" s="573"/>
      <c r="G241" s="573"/>
      <c r="H241" s="573"/>
      <c r="I241" s="573"/>
      <c r="J241" s="601"/>
      <c r="K241" s="597"/>
      <c r="L241" s="597"/>
      <c r="M241" s="597"/>
      <c r="N241" s="597"/>
      <c r="O241" s="597"/>
      <c r="P241" s="597"/>
      <c r="Q241" s="597"/>
      <c r="V241" s="1615"/>
    </row>
    <row r="242" spans="6:22" s="14" customFormat="1" ht="14.25" customHeight="1">
      <c r="F242" s="573"/>
      <c r="G242" s="573"/>
      <c r="H242" s="573"/>
      <c r="I242" s="573"/>
      <c r="J242" s="601"/>
      <c r="K242" s="597"/>
      <c r="L242" s="597"/>
      <c r="M242" s="597"/>
      <c r="N242" s="597"/>
      <c r="O242" s="597"/>
      <c r="P242" s="597"/>
      <c r="Q242" s="597"/>
      <c r="V242" s="1615"/>
    </row>
    <row r="243" spans="6:22" s="14" customFormat="1" ht="14.25" customHeight="1">
      <c r="F243" s="573"/>
      <c r="G243" s="573"/>
      <c r="H243" s="573"/>
      <c r="I243" s="573"/>
      <c r="J243" s="601"/>
      <c r="K243" s="597"/>
      <c r="L243" s="597"/>
      <c r="M243" s="597"/>
      <c r="N243" s="597"/>
      <c r="O243" s="597"/>
      <c r="P243" s="597"/>
      <c r="Q243" s="597"/>
      <c r="V243" s="1615"/>
    </row>
    <row r="244" spans="6:22" s="14" customFormat="1" ht="14.25" customHeight="1">
      <c r="F244" s="573"/>
      <c r="G244" s="573"/>
      <c r="H244" s="573"/>
      <c r="I244" s="573"/>
      <c r="J244" s="601"/>
      <c r="K244" s="597"/>
      <c r="L244" s="597"/>
      <c r="M244" s="597"/>
      <c r="N244" s="597"/>
      <c r="O244" s="597"/>
      <c r="P244" s="597"/>
      <c r="Q244" s="597"/>
      <c r="V244" s="1615"/>
    </row>
    <row r="245" spans="6:22" s="14" customFormat="1" ht="14.25" customHeight="1">
      <c r="F245" s="573"/>
      <c r="G245" s="573"/>
      <c r="H245" s="573"/>
      <c r="I245" s="573"/>
      <c r="J245" s="601"/>
      <c r="K245" s="597"/>
      <c r="L245" s="597"/>
      <c r="M245" s="597"/>
      <c r="N245" s="597"/>
      <c r="O245" s="597"/>
      <c r="P245" s="597"/>
      <c r="Q245" s="597"/>
      <c r="V245" s="1615"/>
    </row>
    <row r="246" spans="6:22" s="14" customFormat="1" ht="14.25" customHeight="1">
      <c r="F246" s="573"/>
      <c r="G246" s="573"/>
      <c r="H246" s="573"/>
      <c r="I246" s="573"/>
      <c r="J246" s="601"/>
      <c r="K246" s="597"/>
      <c r="L246" s="597"/>
      <c r="M246" s="597"/>
      <c r="N246" s="597"/>
      <c r="O246" s="597"/>
      <c r="P246" s="597"/>
      <c r="Q246" s="597"/>
      <c r="V246" s="1615"/>
    </row>
    <row r="247" spans="6:22" s="14" customFormat="1" ht="14.25" customHeight="1">
      <c r="F247" s="573"/>
      <c r="G247" s="573"/>
      <c r="H247" s="573"/>
      <c r="I247" s="573"/>
      <c r="J247" s="601"/>
      <c r="K247" s="597"/>
      <c r="L247" s="597"/>
      <c r="M247" s="597"/>
      <c r="N247" s="597"/>
      <c r="O247" s="597"/>
      <c r="P247" s="597"/>
      <c r="Q247" s="597"/>
      <c r="V247" s="1615"/>
    </row>
    <row r="248" spans="6:22" s="14" customFormat="1" ht="14.25" customHeight="1">
      <c r="F248" s="573"/>
      <c r="G248" s="573"/>
      <c r="H248" s="573"/>
      <c r="I248" s="573"/>
      <c r="J248" s="601"/>
      <c r="K248" s="597"/>
      <c r="L248" s="597"/>
      <c r="M248" s="597"/>
      <c r="N248" s="597"/>
      <c r="O248" s="597"/>
      <c r="P248" s="597"/>
      <c r="Q248" s="597"/>
      <c r="V248" s="1615"/>
    </row>
    <row r="249" spans="6:22" s="14" customFormat="1" ht="14.25" customHeight="1">
      <c r="F249" s="573"/>
      <c r="G249" s="573"/>
      <c r="H249" s="573"/>
      <c r="I249" s="573"/>
      <c r="J249" s="601"/>
      <c r="K249" s="597"/>
      <c r="L249" s="597"/>
      <c r="M249" s="597"/>
      <c r="N249" s="597"/>
      <c r="O249" s="597"/>
      <c r="P249" s="597"/>
      <c r="Q249" s="597"/>
      <c r="V249" s="1615"/>
    </row>
    <row r="250" spans="6:22" s="14" customFormat="1" ht="14.25" customHeight="1">
      <c r="F250" s="573"/>
      <c r="G250" s="573"/>
      <c r="H250" s="573"/>
      <c r="I250" s="573"/>
      <c r="J250" s="601"/>
      <c r="K250" s="597"/>
      <c r="L250" s="597"/>
      <c r="M250" s="597"/>
      <c r="N250" s="597"/>
      <c r="O250" s="597"/>
      <c r="P250" s="597"/>
      <c r="Q250" s="597"/>
      <c r="V250" s="1615"/>
    </row>
    <row r="251" spans="6:22" s="14" customFormat="1" ht="14.25" customHeight="1">
      <c r="F251" s="573"/>
      <c r="G251" s="573"/>
      <c r="H251" s="573"/>
      <c r="I251" s="573"/>
      <c r="J251" s="601"/>
      <c r="K251" s="597"/>
      <c r="L251" s="597"/>
      <c r="M251" s="597"/>
      <c r="N251" s="597"/>
      <c r="O251" s="597"/>
      <c r="P251" s="597"/>
      <c r="Q251" s="597"/>
      <c r="V251" s="1615"/>
    </row>
    <row r="252" spans="6:22" s="14" customFormat="1" ht="14.25" customHeight="1">
      <c r="F252" s="573"/>
      <c r="G252" s="573"/>
      <c r="H252" s="573"/>
      <c r="I252" s="573"/>
      <c r="J252" s="601"/>
      <c r="K252" s="597"/>
      <c r="L252" s="597"/>
      <c r="M252" s="597"/>
      <c r="N252" s="597"/>
      <c r="O252" s="597"/>
      <c r="P252" s="597"/>
      <c r="Q252" s="597"/>
      <c r="V252" s="1615"/>
    </row>
    <row r="253" spans="6:22" s="14" customFormat="1" ht="14.25" customHeight="1">
      <c r="F253" s="573"/>
      <c r="G253" s="573"/>
      <c r="H253" s="573"/>
      <c r="I253" s="573"/>
      <c r="J253" s="601"/>
      <c r="K253" s="597"/>
      <c r="L253" s="597"/>
      <c r="M253" s="597"/>
      <c r="N253" s="597"/>
      <c r="O253" s="597"/>
      <c r="P253" s="597"/>
      <c r="Q253" s="597"/>
      <c r="V253" s="1615"/>
    </row>
    <row r="254" spans="6:22" s="14" customFormat="1" ht="14.25" customHeight="1">
      <c r="F254" s="573"/>
      <c r="G254" s="573"/>
      <c r="H254" s="573"/>
      <c r="I254" s="573"/>
      <c r="J254" s="601"/>
      <c r="K254" s="597"/>
      <c r="L254" s="597"/>
      <c r="M254" s="597"/>
      <c r="N254" s="597"/>
      <c r="O254" s="597"/>
      <c r="P254" s="597"/>
      <c r="Q254" s="597"/>
      <c r="V254" s="1615"/>
    </row>
    <row r="255" spans="6:22" s="14" customFormat="1" ht="14.25" customHeight="1">
      <c r="F255" s="573"/>
      <c r="G255" s="573"/>
      <c r="H255" s="573"/>
      <c r="I255" s="573"/>
      <c r="J255" s="601"/>
      <c r="K255" s="597"/>
      <c r="L255" s="597"/>
      <c r="M255" s="597"/>
      <c r="N255" s="597"/>
      <c r="O255" s="597"/>
      <c r="P255" s="597"/>
      <c r="Q255" s="597"/>
      <c r="V255" s="1615"/>
    </row>
    <row r="256" spans="6:22" s="14" customFormat="1" ht="14.25" customHeight="1">
      <c r="F256" s="573"/>
      <c r="G256" s="573"/>
      <c r="H256" s="573"/>
      <c r="I256" s="573"/>
      <c r="J256" s="601"/>
      <c r="K256" s="597"/>
      <c r="L256" s="597"/>
      <c r="M256" s="597"/>
      <c r="N256" s="597"/>
      <c r="O256" s="597"/>
      <c r="P256" s="597"/>
      <c r="Q256" s="597"/>
      <c r="V256" s="1615"/>
    </row>
    <row r="257" spans="6:22" s="14" customFormat="1" ht="14.25" customHeight="1">
      <c r="F257" s="573"/>
      <c r="G257" s="573"/>
      <c r="H257" s="573"/>
      <c r="I257" s="573"/>
      <c r="J257" s="601"/>
      <c r="K257" s="597"/>
      <c r="L257" s="597"/>
      <c r="M257" s="597"/>
      <c r="N257" s="597"/>
      <c r="O257" s="597"/>
      <c r="P257" s="597"/>
      <c r="Q257" s="597"/>
      <c r="V257" s="1615"/>
    </row>
    <row r="258" spans="6:22" s="14" customFormat="1" ht="14.25" customHeight="1">
      <c r="F258" s="573"/>
      <c r="G258" s="573"/>
      <c r="H258" s="573"/>
      <c r="I258" s="573"/>
      <c r="J258" s="601"/>
      <c r="K258" s="597"/>
      <c r="L258" s="597"/>
      <c r="M258" s="597"/>
      <c r="N258" s="597"/>
      <c r="O258" s="597"/>
      <c r="P258" s="597"/>
      <c r="Q258" s="597"/>
      <c r="V258" s="1615"/>
    </row>
    <row r="259" spans="6:22" s="14" customFormat="1" ht="14.25" customHeight="1">
      <c r="F259" s="573"/>
      <c r="G259" s="573"/>
      <c r="H259" s="573"/>
      <c r="I259" s="573"/>
      <c r="J259" s="601"/>
      <c r="K259" s="597"/>
      <c r="L259" s="597"/>
      <c r="M259" s="597"/>
      <c r="N259" s="597"/>
      <c r="O259" s="597"/>
      <c r="P259" s="597"/>
      <c r="Q259" s="597"/>
      <c r="V259" s="1615"/>
    </row>
    <row r="260" spans="6:22" s="14" customFormat="1" ht="14.25" customHeight="1">
      <c r="F260" s="573"/>
      <c r="G260" s="573"/>
      <c r="H260" s="573"/>
      <c r="I260" s="573"/>
      <c r="J260" s="601"/>
      <c r="K260" s="597"/>
      <c r="L260" s="597"/>
      <c r="M260" s="597"/>
      <c r="N260" s="597"/>
      <c r="O260" s="597"/>
      <c r="P260" s="597"/>
      <c r="Q260" s="597"/>
      <c r="V260" s="1615"/>
    </row>
    <row r="261" spans="6:22" s="14" customFormat="1" ht="14.25" customHeight="1">
      <c r="F261" s="573"/>
      <c r="G261" s="573"/>
      <c r="H261" s="573"/>
      <c r="I261" s="573"/>
      <c r="J261" s="601"/>
      <c r="K261" s="597"/>
      <c r="L261" s="597"/>
      <c r="M261" s="597"/>
      <c r="N261" s="597"/>
      <c r="O261" s="597"/>
      <c r="P261" s="597"/>
      <c r="Q261" s="597"/>
      <c r="V261" s="1615"/>
    </row>
    <row r="262" spans="6:22" s="14" customFormat="1" ht="14.25" customHeight="1">
      <c r="F262" s="573"/>
      <c r="G262" s="573"/>
      <c r="H262" s="573"/>
      <c r="I262" s="573"/>
      <c r="J262" s="601"/>
      <c r="K262" s="597"/>
      <c r="L262" s="597"/>
      <c r="M262" s="597"/>
      <c r="N262" s="597"/>
      <c r="O262" s="597"/>
      <c r="P262" s="597"/>
      <c r="Q262" s="597"/>
      <c r="V262" s="1615"/>
    </row>
    <row r="263" spans="6:22" s="14" customFormat="1" ht="14.25" customHeight="1">
      <c r="F263" s="573"/>
      <c r="G263" s="573"/>
      <c r="H263" s="573"/>
      <c r="I263" s="573"/>
      <c r="J263" s="601"/>
      <c r="K263" s="597"/>
      <c r="L263" s="597"/>
      <c r="M263" s="597"/>
      <c r="N263" s="597"/>
      <c r="O263" s="597"/>
      <c r="P263" s="597"/>
      <c r="Q263" s="597"/>
      <c r="V263" s="1615"/>
    </row>
    <row r="264" spans="6:22" s="14" customFormat="1" ht="14.25" customHeight="1">
      <c r="F264" s="573"/>
      <c r="G264" s="573"/>
      <c r="H264" s="573"/>
      <c r="I264" s="573"/>
      <c r="J264" s="601"/>
      <c r="K264" s="597"/>
      <c r="L264" s="597"/>
      <c r="M264" s="597"/>
      <c r="N264" s="597"/>
      <c r="O264" s="597"/>
      <c r="P264" s="597"/>
      <c r="Q264" s="597"/>
      <c r="V264" s="1615"/>
    </row>
    <row r="265" spans="6:22" s="14" customFormat="1" ht="14.25" customHeight="1">
      <c r="F265" s="573"/>
      <c r="G265" s="573"/>
      <c r="H265" s="573"/>
      <c r="I265" s="573"/>
      <c r="J265" s="601"/>
      <c r="K265" s="597"/>
      <c r="L265" s="597"/>
      <c r="M265" s="597"/>
      <c r="N265" s="597"/>
      <c r="O265" s="597"/>
      <c r="P265" s="597"/>
      <c r="Q265" s="597"/>
      <c r="V265" s="1615"/>
    </row>
    <row r="266" spans="6:22" s="14" customFormat="1" ht="14.25" customHeight="1">
      <c r="F266" s="573"/>
      <c r="G266" s="573"/>
      <c r="H266" s="573"/>
      <c r="I266" s="573"/>
      <c r="J266" s="601"/>
      <c r="K266" s="597"/>
      <c r="L266" s="597"/>
      <c r="M266" s="597"/>
      <c r="N266" s="597"/>
      <c r="O266" s="597"/>
      <c r="P266" s="597"/>
      <c r="Q266" s="597"/>
      <c r="V266" s="1615"/>
    </row>
    <row r="267" spans="6:22" s="14" customFormat="1" ht="14.25" customHeight="1">
      <c r="F267" s="573"/>
      <c r="G267" s="573"/>
      <c r="H267" s="573"/>
      <c r="I267" s="573"/>
      <c r="J267" s="601"/>
      <c r="K267" s="597"/>
      <c r="L267" s="597"/>
      <c r="M267" s="597"/>
      <c r="N267" s="597"/>
      <c r="O267" s="597"/>
      <c r="P267" s="597"/>
      <c r="Q267" s="597"/>
      <c r="V267" s="1615"/>
    </row>
    <row r="268" spans="6:22" s="14" customFormat="1" ht="14.25" customHeight="1">
      <c r="F268" s="573"/>
      <c r="G268" s="573"/>
      <c r="H268" s="573"/>
      <c r="I268" s="573"/>
      <c r="J268" s="601"/>
      <c r="K268" s="597"/>
      <c r="L268" s="597"/>
      <c r="M268" s="597"/>
      <c r="N268" s="597"/>
      <c r="O268" s="597"/>
      <c r="P268" s="597"/>
      <c r="Q268" s="597"/>
      <c r="V268" s="1615"/>
    </row>
    <row r="269" spans="6:22" s="14" customFormat="1" ht="14.25" customHeight="1">
      <c r="F269" s="573"/>
      <c r="G269" s="573"/>
      <c r="H269" s="573"/>
      <c r="I269" s="573"/>
      <c r="J269" s="601"/>
      <c r="K269" s="597"/>
      <c r="L269" s="597"/>
      <c r="M269" s="597"/>
      <c r="N269" s="597"/>
      <c r="O269" s="597"/>
      <c r="P269" s="597"/>
      <c r="Q269" s="597"/>
      <c r="V269" s="1615"/>
    </row>
    <row r="270" spans="6:22" s="14" customFormat="1" ht="14.25" customHeight="1">
      <c r="F270" s="573"/>
      <c r="G270" s="573"/>
      <c r="H270" s="573"/>
      <c r="I270" s="573"/>
      <c r="J270" s="601"/>
      <c r="K270" s="597"/>
      <c r="L270" s="597"/>
      <c r="M270" s="597"/>
      <c r="N270" s="597"/>
      <c r="O270" s="597"/>
      <c r="P270" s="597"/>
      <c r="Q270" s="597"/>
      <c r="V270" s="1615"/>
    </row>
    <row r="271" spans="6:22" s="14" customFormat="1" ht="14.25" customHeight="1">
      <c r="F271" s="573"/>
      <c r="G271" s="573"/>
      <c r="H271" s="573"/>
      <c r="I271" s="573"/>
      <c r="J271" s="601"/>
      <c r="K271" s="597"/>
      <c r="L271" s="597"/>
      <c r="M271" s="597"/>
      <c r="N271" s="597"/>
      <c r="O271" s="597"/>
      <c r="P271" s="597"/>
      <c r="Q271" s="597"/>
      <c r="V271" s="1615"/>
    </row>
    <row r="272" spans="6:22" s="14" customFormat="1" ht="14.25" customHeight="1">
      <c r="F272" s="573"/>
      <c r="G272" s="573"/>
      <c r="H272" s="573"/>
      <c r="I272" s="573"/>
      <c r="J272" s="601"/>
      <c r="K272" s="597"/>
      <c r="L272" s="597"/>
      <c r="M272" s="597"/>
      <c r="N272" s="597"/>
      <c r="O272" s="597"/>
      <c r="P272" s="597"/>
      <c r="Q272" s="597"/>
      <c r="V272" s="1615"/>
    </row>
    <row r="273" spans="6:22" s="14" customFormat="1" ht="14.25" customHeight="1">
      <c r="F273" s="573"/>
      <c r="G273" s="573"/>
      <c r="H273" s="573"/>
      <c r="I273" s="573"/>
      <c r="J273" s="601"/>
      <c r="K273" s="597"/>
      <c r="L273" s="597"/>
      <c r="M273" s="597"/>
      <c r="N273" s="597"/>
      <c r="O273" s="597"/>
      <c r="P273" s="597"/>
      <c r="Q273" s="597"/>
      <c r="V273" s="1615"/>
    </row>
    <row r="274" spans="6:22" s="14" customFormat="1" ht="14.25" customHeight="1">
      <c r="F274" s="573"/>
      <c r="G274" s="573"/>
      <c r="H274" s="573"/>
      <c r="I274" s="573"/>
      <c r="J274" s="601"/>
      <c r="K274" s="597"/>
      <c r="L274" s="597"/>
      <c r="M274" s="597"/>
      <c r="N274" s="597"/>
      <c r="O274" s="597"/>
      <c r="P274" s="597"/>
      <c r="Q274" s="597"/>
      <c r="V274" s="1615"/>
    </row>
    <row r="275" spans="6:22" s="14" customFormat="1" ht="14.25" customHeight="1">
      <c r="F275" s="573"/>
      <c r="G275" s="573"/>
      <c r="H275" s="573"/>
      <c r="I275" s="573"/>
      <c r="J275" s="601"/>
      <c r="K275" s="597"/>
      <c r="L275" s="597"/>
      <c r="M275" s="597"/>
      <c r="N275" s="597"/>
      <c r="O275" s="597"/>
      <c r="P275" s="597"/>
      <c r="Q275" s="597"/>
      <c r="V275" s="1615"/>
    </row>
    <row r="276" spans="6:22" s="14" customFormat="1" ht="14.25" customHeight="1">
      <c r="F276" s="573"/>
      <c r="G276" s="573"/>
      <c r="H276" s="573"/>
      <c r="I276" s="573"/>
      <c r="J276" s="601"/>
      <c r="K276" s="597"/>
      <c r="L276" s="597"/>
      <c r="M276" s="597"/>
      <c r="N276" s="597"/>
      <c r="O276" s="597"/>
      <c r="P276" s="597"/>
      <c r="Q276" s="597"/>
      <c r="V276" s="1615"/>
    </row>
    <row r="277" spans="6:22" s="14" customFormat="1" ht="14.25" customHeight="1">
      <c r="F277" s="573"/>
      <c r="G277" s="573"/>
      <c r="H277" s="573"/>
      <c r="I277" s="573"/>
      <c r="J277" s="601"/>
      <c r="K277" s="597"/>
      <c r="L277" s="597"/>
      <c r="M277" s="597"/>
      <c r="N277" s="597"/>
      <c r="O277" s="597"/>
      <c r="P277" s="597"/>
      <c r="Q277" s="597"/>
      <c r="V277" s="1615"/>
    </row>
    <row r="278" spans="6:22" s="14" customFormat="1" ht="14.25" customHeight="1">
      <c r="F278" s="573"/>
      <c r="G278" s="573"/>
      <c r="H278" s="573"/>
      <c r="I278" s="573"/>
      <c r="J278" s="601"/>
      <c r="K278" s="597"/>
      <c r="L278" s="597"/>
      <c r="M278" s="597"/>
      <c r="N278" s="597"/>
      <c r="O278" s="597"/>
      <c r="P278" s="597"/>
      <c r="Q278" s="597"/>
      <c r="V278" s="1615"/>
    </row>
    <row r="279" spans="6:22" s="14" customFormat="1" ht="14.25" customHeight="1">
      <c r="F279" s="573"/>
      <c r="G279" s="573"/>
      <c r="H279" s="573"/>
      <c r="I279" s="573"/>
      <c r="J279" s="601"/>
      <c r="K279" s="597"/>
      <c r="L279" s="597"/>
      <c r="M279" s="597"/>
      <c r="N279" s="597"/>
      <c r="O279" s="597"/>
      <c r="P279" s="597"/>
      <c r="Q279" s="597"/>
      <c r="V279" s="1615"/>
    </row>
    <row r="280" spans="6:22" s="14" customFormat="1" ht="14.25" customHeight="1">
      <c r="F280" s="573"/>
      <c r="G280" s="573"/>
      <c r="H280" s="573"/>
      <c r="I280" s="573"/>
      <c r="J280" s="601"/>
      <c r="K280" s="597"/>
      <c r="L280" s="597"/>
      <c r="M280" s="597"/>
      <c r="N280" s="597"/>
      <c r="O280" s="597"/>
      <c r="P280" s="597"/>
      <c r="Q280" s="597"/>
      <c r="V280" s="1615"/>
    </row>
    <row r="281" spans="6:22" s="14" customFormat="1" ht="14.25" customHeight="1">
      <c r="F281" s="573"/>
      <c r="G281" s="573"/>
      <c r="H281" s="573"/>
      <c r="I281" s="573"/>
      <c r="J281" s="601"/>
      <c r="K281" s="597"/>
      <c r="L281" s="597"/>
      <c r="M281" s="597"/>
      <c r="N281" s="597"/>
      <c r="O281" s="597"/>
      <c r="P281" s="597"/>
      <c r="Q281" s="597"/>
      <c r="V281" s="1615"/>
    </row>
    <row r="282" spans="6:22" s="14" customFormat="1" ht="14.25" customHeight="1">
      <c r="F282" s="573"/>
      <c r="G282" s="573"/>
      <c r="H282" s="573"/>
      <c r="I282" s="573"/>
      <c r="J282" s="601"/>
      <c r="K282" s="597"/>
      <c r="L282" s="597"/>
      <c r="M282" s="597"/>
      <c r="N282" s="597"/>
      <c r="O282" s="597"/>
      <c r="P282" s="597"/>
      <c r="Q282" s="597"/>
      <c r="V282" s="1615"/>
    </row>
    <row r="283" spans="6:22" s="14" customFormat="1" ht="14.25" customHeight="1">
      <c r="F283" s="573"/>
      <c r="G283" s="573"/>
      <c r="H283" s="573"/>
      <c r="I283" s="573"/>
      <c r="J283" s="601"/>
      <c r="K283" s="597"/>
      <c r="L283" s="597"/>
      <c r="M283" s="597"/>
      <c r="N283" s="597"/>
      <c r="O283" s="597"/>
      <c r="P283" s="597"/>
      <c r="Q283" s="597"/>
      <c r="V283" s="1615"/>
    </row>
    <row r="284" spans="6:22" s="14" customFormat="1" ht="14.25" customHeight="1">
      <c r="F284" s="573"/>
      <c r="G284" s="573"/>
      <c r="H284" s="573"/>
      <c r="I284" s="573"/>
      <c r="J284" s="601"/>
      <c r="K284" s="597"/>
      <c r="L284" s="597"/>
      <c r="M284" s="597"/>
      <c r="N284" s="597"/>
      <c r="O284" s="597"/>
      <c r="P284" s="597"/>
      <c r="Q284" s="597"/>
      <c r="V284" s="1615"/>
    </row>
    <row r="285" spans="6:22" s="14" customFormat="1" ht="14.25" customHeight="1">
      <c r="F285" s="573"/>
      <c r="G285" s="573"/>
      <c r="H285" s="573"/>
      <c r="I285" s="573"/>
      <c r="J285" s="601"/>
      <c r="K285" s="597"/>
      <c r="L285" s="597"/>
      <c r="M285" s="597"/>
      <c r="N285" s="597"/>
      <c r="O285" s="597"/>
      <c r="P285" s="597"/>
      <c r="Q285" s="597"/>
      <c r="V285" s="1615"/>
    </row>
    <row r="286" spans="6:22" s="14" customFormat="1" ht="14.25" customHeight="1">
      <c r="F286" s="573"/>
      <c r="G286" s="573"/>
      <c r="H286" s="573"/>
      <c r="I286" s="573"/>
      <c r="J286" s="601"/>
      <c r="K286" s="597"/>
      <c r="L286" s="597"/>
      <c r="M286" s="597"/>
      <c r="N286" s="597"/>
      <c r="O286" s="597"/>
      <c r="P286" s="597"/>
      <c r="Q286" s="597"/>
      <c r="V286" s="1615"/>
    </row>
    <row r="287" spans="6:22" s="14" customFormat="1" ht="14.25" customHeight="1">
      <c r="F287" s="573"/>
      <c r="G287" s="573"/>
      <c r="H287" s="573"/>
      <c r="I287" s="573"/>
      <c r="J287" s="601"/>
      <c r="K287" s="597"/>
      <c r="L287" s="597"/>
      <c r="M287" s="597"/>
      <c r="N287" s="597"/>
      <c r="O287" s="597"/>
      <c r="P287" s="597"/>
      <c r="Q287" s="597"/>
      <c r="V287" s="1615"/>
    </row>
    <row r="288" spans="6:22" s="14" customFormat="1" ht="14.25" customHeight="1">
      <c r="F288" s="573"/>
      <c r="G288" s="573"/>
      <c r="H288" s="573"/>
      <c r="I288" s="573"/>
      <c r="J288" s="601"/>
      <c r="K288" s="597"/>
      <c r="L288" s="597"/>
      <c r="M288" s="597"/>
      <c r="N288" s="597"/>
      <c r="O288" s="597"/>
      <c r="P288" s="597"/>
      <c r="Q288" s="597"/>
      <c r="V288" s="1615"/>
    </row>
    <row r="289" spans="6:22" s="14" customFormat="1" ht="14.25" customHeight="1">
      <c r="F289" s="573"/>
      <c r="G289" s="573"/>
      <c r="H289" s="573"/>
      <c r="I289" s="573"/>
      <c r="J289" s="601"/>
      <c r="K289" s="597"/>
      <c r="L289" s="597"/>
      <c r="M289" s="597"/>
      <c r="N289" s="597"/>
      <c r="O289" s="597"/>
      <c r="P289" s="597"/>
      <c r="Q289" s="597"/>
      <c r="V289" s="1615"/>
    </row>
    <row r="290" spans="6:22" s="14" customFormat="1" ht="14.25" customHeight="1">
      <c r="F290" s="573"/>
      <c r="G290" s="573"/>
      <c r="H290" s="573"/>
      <c r="I290" s="573"/>
      <c r="J290" s="601"/>
      <c r="K290" s="597"/>
      <c r="L290" s="597"/>
      <c r="M290" s="597"/>
      <c r="N290" s="597"/>
      <c r="O290" s="597"/>
      <c r="P290" s="597"/>
      <c r="Q290" s="597"/>
      <c r="V290" s="1615"/>
    </row>
    <row r="291" spans="6:22" s="14" customFormat="1" ht="14.25" customHeight="1">
      <c r="F291" s="573"/>
      <c r="G291" s="573"/>
      <c r="H291" s="573"/>
      <c r="I291" s="573"/>
      <c r="J291" s="601"/>
      <c r="K291" s="597"/>
      <c r="L291" s="597"/>
      <c r="M291" s="597"/>
      <c r="N291" s="597"/>
      <c r="O291" s="597"/>
      <c r="P291" s="597"/>
      <c r="Q291" s="597"/>
      <c r="V291" s="1615"/>
    </row>
    <row r="292" spans="6:22" s="14" customFormat="1" ht="14.25" customHeight="1">
      <c r="F292" s="573"/>
      <c r="G292" s="573"/>
      <c r="H292" s="573"/>
      <c r="I292" s="573"/>
      <c r="J292" s="601"/>
      <c r="K292" s="597"/>
      <c r="L292" s="597"/>
      <c r="M292" s="597"/>
      <c r="N292" s="597"/>
      <c r="O292" s="597"/>
      <c r="P292" s="597"/>
      <c r="Q292" s="597"/>
      <c r="V292" s="1615"/>
    </row>
    <row r="293" spans="6:22" s="14" customFormat="1" ht="14.25" customHeight="1">
      <c r="F293" s="573"/>
      <c r="G293" s="573"/>
      <c r="H293" s="573"/>
      <c r="I293" s="573"/>
      <c r="J293" s="601"/>
      <c r="K293" s="597"/>
      <c r="L293" s="597"/>
      <c r="M293" s="597"/>
      <c r="N293" s="597"/>
      <c r="O293" s="597"/>
      <c r="P293" s="597"/>
      <c r="Q293" s="597"/>
      <c r="V293" s="1615"/>
    </row>
    <row r="294" spans="6:22" s="14" customFormat="1" ht="14.25" customHeight="1">
      <c r="F294" s="573"/>
      <c r="G294" s="573"/>
      <c r="H294" s="573"/>
      <c r="I294" s="573"/>
      <c r="J294" s="601"/>
      <c r="K294" s="597"/>
      <c r="L294" s="597"/>
      <c r="M294" s="597"/>
      <c r="N294" s="597"/>
      <c r="O294" s="597"/>
      <c r="P294" s="597"/>
      <c r="Q294" s="597"/>
      <c r="V294" s="1615"/>
    </row>
    <row r="295" spans="6:22" s="14" customFormat="1" ht="14.25" customHeight="1">
      <c r="F295" s="573"/>
      <c r="G295" s="573"/>
      <c r="H295" s="573"/>
      <c r="I295" s="573"/>
      <c r="J295" s="601"/>
      <c r="K295" s="597"/>
      <c r="L295" s="597"/>
      <c r="M295" s="597"/>
      <c r="N295" s="597"/>
      <c r="O295" s="597"/>
      <c r="P295" s="597"/>
      <c r="Q295" s="597"/>
      <c r="V295" s="1615"/>
    </row>
    <row r="296" spans="6:22" s="14" customFormat="1" ht="14.25" customHeight="1">
      <c r="F296" s="573"/>
      <c r="G296" s="573"/>
      <c r="H296" s="573"/>
      <c r="I296" s="573"/>
      <c r="J296" s="601"/>
      <c r="K296" s="597"/>
      <c r="L296" s="597"/>
      <c r="M296" s="597"/>
      <c r="N296" s="597"/>
      <c r="O296" s="597"/>
      <c r="P296" s="597"/>
      <c r="Q296" s="597"/>
      <c r="V296" s="1615"/>
    </row>
    <row r="297" spans="6:22" s="14" customFormat="1" ht="14.25" customHeight="1">
      <c r="F297" s="573"/>
      <c r="G297" s="573"/>
      <c r="H297" s="573"/>
      <c r="I297" s="573"/>
      <c r="J297" s="601"/>
      <c r="K297" s="597"/>
      <c r="L297" s="597"/>
      <c r="M297" s="597"/>
      <c r="N297" s="597"/>
      <c r="O297" s="597"/>
      <c r="P297" s="597"/>
      <c r="Q297" s="597"/>
      <c r="V297" s="1615"/>
    </row>
    <row r="298" spans="6:22" s="14" customFormat="1" ht="14.25" customHeight="1">
      <c r="F298" s="573"/>
      <c r="G298" s="573"/>
      <c r="H298" s="573"/>
      <c r="I298" s="573"/>
      <c r="J298" s="601"/>
      <c r="K298" s="597"/>
      <c r="L298" s="597"/>
      <c r="M298" s="597"/>
      <c r="N298" s="597"/>
      <c r="O298" s="597"/>
      <c r="P298" s="597"/>
      <c r="Q298" s="597"/>
      <c r="V298" s="1615"/>
    </row>
    <row r="299" spans="6:22" s="14" customFormat="1" ht="14.25" customHeight="1">
      <c r="F299" s="573"/>
      <c r="G299" s="573"/>
      <c r="H299" s="573"/>
      <c r="I299" s="573"/>
      <c r="J299" s="601"/>
      <c r="K299" s="597"/>
      <c r="L299" s="597"/>
      <c r="M299" s="597"/>
      <c r="N299" s="597"/>
      <c r="O299" s="597"/>
      <c r="P299" s="597"/>
      <c r="Q299" s="597"/>
      <c r="V299" s="1615"/>
    </row>
    <row r="300" spans="6:22" s="14" customFormat="1" ht="14.25" customHeight="1">
      <c r="F300" s="573"/>
      <c r="G300" s="573"/>
      <c r="H300" s="573"/>
      <c r="I300" s="573"/>
      <c r="J300" s="601"/>
      <c r="K300" s="597"/>
      <c r="L300" s="597"/>
      <c r="M300" s="597"/>
      <c r="N300" s="597"/>
      <c r="O300" s="597"/>
      <c r="P300" s="597"/>
      <c r="Q300" s="597"/>
      <c r="V300" s="1615"/>
    </row>
    <row r="301" spans="6:22" s="14" customFormat="1" ht="14.25" customHeight="1">
      <c r="F301" s="573"/>
      <c r="G301" s="573"/>
      <c r="H301" s="573"/>
      <c r="I301" s="573"/>
      <c r="J301" s="601"/>
      <c r="K301" s="597"/>
      <c r="L301" s="597"/>
      <c r="M301" s="597"/>
      <c r="N301" s="597"/>
      <c r="O301" s="597"/>
      <c r="P301" s="597"/>
      <c r="Q301" s="597"/>
      <c r="V301" s="1615"/>
    </row>
    <row r="302" spans="6:22" s="14" customFormat="1" ht="14.25" customHeight="1">
      <c r="F302" s="573"/>
      <c r="G302" s="573"/>
      <c r="H302" s="573"/>
      <c r="I302" s="573"/>
      <c r="J302" s="601"/>
      <c r="K302" s="597"/>
      <c r="L302" s="597"/>
      <c r="M302" s="597"/>
      <c r="N302" s="597"/>
      <c r="O302" s="597"/>
      <c r="P302" s="597"/>
      <c r="Q302" s="597"/>
      <c r="V302" s="1615"/>
    </row>
    <row r="303" spans="6:22" s="14" customFormat="1" ht="14.25" customHeight="1">
      <c r="F303" s="573"/>
      <c r="G303" s="573"/>
      <c r="H303" s="573"/>
      <c r="I303" s="573"/>
      <c r="J303" s="601"/>
      <c r="K303" s="597"/>
      <c r="L303" s="597"/>
      <c r="M303" s="597"/>
      <c r="N303" s="597"/>
      <c r="O303" s="597"/>
      <c r="P303" s="597"/>
      <c r="Q303" s="597"/>
      <c r="V303" s="1615"/>
    </row>
    <row r="304" spans="6:22" s="14" customFormat="1" ht="14.25" customHeight="1">
      <c r="F304" s="573"/>
      <c r="G304" s="573"/>
      <c r="H304" s="573"/>
      <c r="I304" s="573"/>
      <c r="J304" s="601"/>
      <c r="K304" s="597"/>
      <c r="L304" s="597"/>
      <c r="M304" s="597"/>
      <c r="N304" s="597"/>
      <c r="O304" s="597"/>
      <c r="P304" s="597"/>
      <c r="Q304" s="597"/>
      <c r="V304" s="1615"/>
    </row>
    <row r="305" spans="6:22" s="14" customFormat="1" ht="14.25" customHeight="1">
      <c r="F305" s="573"/>
      <c r="G305" s="573"/>
      <c r="H305" s="573"/>
      <c r="I305" s="573"/>
      <c r="J305" s="601"/>
      <c r="K305" s="597"/>
      <c r="L305" s="597"/>
      <c r="M305" s="597"/>
      <c r="N305" s="597"/>
      <c r="O305" s="597"/>
      <c r="P305" s="597"/>
      <c r="Q305" s="597"/>
      <c r="V305" s="1615"/>
    </row>
    <row r="306" spans="6:22" s="14" customFormat="1" ht="14.25" customHeight="1">
      <c r="F306" s="573"/>
      <c r="G306" s="573"/>
      <c r="H306" s="573"/>
      <c r="I306" s="573"/>
      <c r="J306" s="601"/>
      <c r="K306" s="597"/>
      <c r="L306" s="597"/>
      <c r="M306" s="597"/>
      <c r="N306" s="597"/>
      <c r="O306" s="597"/>
      <c r="P306" s="597"/>
      <c r="Q306" s="597"/>
      <c r="V306" s="1615"/>
    </row>
    <row r="307" spans="6:22" s="14" customFormat="1" ht="14.25" customHeight="1">
      <c r="F307" s="573"/>
      <c r="G307" s="573"/>
      <c r="H307" s="573"/>
      <c r="I307" s="573"/>
      <c r="J307" s="601"/>
      <c r="K307" s="597"/>
      <c r="L307" s="597"/>
      <c r="M307" s="597"/>
      <c r="N307" s="597"/>
      <c r="O307" s="597"/>
      <c r="P307" s="597"/>
      <c r="Q307" s="597"/>
      <c r="V307" s="1615"/>
    </row>
    <row r="308" spans="6:22" s="14" customFormat="1" ht="14.25" customHeight="1">
      <c r="F308" s="573"/>
      <c r="G308" s="573"/>
      <c r="H308" s="573"/>
      <c r="I308" s="573"/>
      <c r="J308" s="601"/>
      <c r="K308" s="597"/>
      <c r="L308" s="597"/>
      <c r="M308" s="597"/>
      <c r="N308" s="597"/>
      <c r="O308" s="597"/>
      <c r="P308" s="597"/>
      <c r="Q308" s="597"/>
      <c r="V308" s="1615"/>
    </row>
    <row r="309" spans="6:22" s="14" customFormat="1" ht="14.25" customHeight="1">
      <c r="F309" s="573"/>
      <c r="G309" s="573"/>
      <c r="H309" s="573"/>
      <c r="I309" s="573"/>
      <c r="J309" s="601"/>
      <c r="K309" s="597"/>
      <c r="L309" s="597"/>
      <c r="M309" s="597"/>
      <c r="N309" s="597"/>
      <c r="O309" s="597"/>
      <c r="P309" s="597"/>
      <c r="Q309" s="597"/>
      <c r="V309" s="1615"/>
    </row>
    <row r="310" spans="6:22" s="14" customFormat="1" ht="14.25" customHeight="1">
      <c r="F310" s="573"/>
      <c r="G310" s="573"/>
      <c r="H310" s="573"/>
      <c r="I310" s="573"/>
      <c r="J310" s="601"/>
      <c r="K310" s="597"/>
      <c r="L310" s="597"/>
      <c r="M310" s="597"/>
      <c r="N310" s="597"/>
      <c r="O310" s="597"/>
      <c r="P310" s="597"/>
      <c r="Q310" s="597"/>
      <c r="V310" s="1615"/>
    </row>
    <row r="311" spans="6:22" s="14" customFormat="1" ht="14.25" customHeight="1">
      <c r="F311" s="573"/>
      <c r="G311" s="573"/>
      <c r="H311" s="573"/>
      <c r="I311" s="573"/>
      <c r="J311" s="601"/>
      <c r="K311" s="597"/>
      <c r="L311" s="597"/>
      <c r="M311" s="597"/>
      <c r="N311" s="597"/>
      <c r="O311" s="597"/>
      <c r="P311" s="597"/>
      <c r="Q311" s="597"/>
      <c r="V311" s="1615"/>
    </row>
    <row r="312" spans="6:22" s="14" customFormat="1" ht="14.25" customHeight="1">
      <c r="F312" s="573"/>
      <c r="G312" s="573"/>
      <c r="H312" s="573"/>
      <c r="I312" s="573"/>
      <c r="J312" s="601"/>
      <c r="K312" s="597"/>
      <c r="L312" s="597"/>
      <c r="M312" s="597"/>
      <c r="N312" s="597"/>
      <c r="O312" s="597"/>
      <c r="P312" s="597"/>
      <c r="Q312" s="597"/>
      <c r="V312" s="1615"/>
    </row>
    <row r="313" spans="6:22" s="14" customFormat="1" ht="14.25" customHeight="1">
      <c r="F313" s="573"/>
      <c r="G313" s="573"/>
      <c r="H313" s="573"/>
      <c r="I313" s="573"/>
      <c r="J313" s="601"/>
      <c r="K313" s="597"/>
      <c r="L313" s="597"/>
      <c r="M313" s="597"/>
      <c r="N313" s="597"/>
      <c r="O313" s="597"/>
      <c r="P313" s="597"/>
      <c r="Q313" s="597"/>
      <c r="V313" s="1615"/>
    </row>
    <row r="314" spans="6:22" s="14" customFormat="1" ht="14.25" customHeight="1">
      <c r="F314" s="573"/>
      <c r="G314" s="573"/>
      <c r="H314" s="573"/>
      <c r="I314" s="573"/>
      <c r="J314" s="601"/>
      <c r="K314" s="597"/>
      <c r="L314" s="597"/>
      <c r="M314" s="597"/>
      <c r="N314" s="597"/>
      <c r="O314" s="597"/>
      <c r="P314" s="597"/>
      <c r="Q314" s="597"/>
      <c r="V314" s="1615"/>
    </row>
    <row r="315" spans="6:22" s="14" customFormat="1" ht="14.25" customHeight="1">
      <c r="F315" s="573"/>
      <c r="G315" s="573"/>
      <c r="H315" s="573"/>
      <c r="I315" s="573"/>
      <c r="J315" s="601"/>
      <c r="K315" s="597"/>
      <c r="L315" s="597"/>
      <c r="M315" s="597"/>
      <c r="N315" s="597"/>
      <c r="O315" s="597"/>
      <c r="P315" s="597"/>
      <c r="Q315" s="597"/>
      <c r="V315" s="1615"/>
    </row>
    <row r="316" spans="6:22" s="14" customFormat="1" ht="14.25" customHeight="1">
      <c r="F316" s="573"/>
      <c r="G316" s="573"/>
      <c r="H316" s="573"/>
      <c r="I316" s="573"/>
      <c r="J316" s="601"/>
      <c r="K316" s="597"/>
      <c r="L316" s="597"/>
      <c r="M316" s="597"/>
      <c r="N316" s="597"/>
      <c r="O316" s="597"/>
      <c r="P316" s="597"/>
      <c r="Q316" s="597"/>
      <c r="V316" s="1615"/>
    </row>
    <row r="317" spans="6:22" s="14" customFormat="1" ht="14.25" customHeight="1">
      <c r="F317" s="573"/>
      <c r="G317" s="573"/>
      <c r="H317" s="573"/>
      <c r="I317" s="573"/>
      <c r="J317" s="601"/>
      <c r="K317" s="597"/>
      <c r="L317" s="597"/>
      <c r="M317" s="597"/>
      <c r="N317" s="597"/>
      <c r="O317" s="597"/>
      <c r="P317" s="597"/>
      <c r="Q317" s="597"/>
      <c r="V317" s="1615"/>
    </row>
    <row r="318" spans="6:22" s="14" customFormat="1" ht="14.25" customHeight="1">
      <c r="F318" s="573"/>
      <c r="G318" s="573"/>
      <c r="H318" s="573"/>
      <c r="I318" s="573"/>
      <c r="J318" s="601"/>
      <c r="K318" s="597"/>
      <c r="L318" s="597"/>
      <c r="M318" s="597"/>
      <c r="N318" s="597"/>
      <c r="O318" s="597"/>
      <c r="P318" s="597"/>
      <c r="Q318" s="597"/>
      <c r="V318" s="1615"/>
    </row>
    <row r="319" spans="6:22" s="14" customFormat="1" ht="14.25" customHeight="1">
      <c r="F319" s="573"/>
      <c r="G319" s="573"/>
      <c r="H319" s="573"/>
      <c r="I319" s="573"/>
      <c r="J319" s="601"/>
      <c r="K319" s="597"/>
      <c r="L319" s="597"/>
      <c r="M319" s="597"/>
      <c r="N319" s="597"/>
      <c r="O319" s="597"/>
      <c r="P319" s="597"/>
      <c r="Q319" s="597"/>
      <c r="V319" s="1615"/>
    </row>
    <row r="320" spans="6:22" s="14" customFormat="1" ht="14.25" customHeight="1">
      <c r="F320" s="573"/>
      <c r="G320" s="573"/>
      <c r="H320" s="573"/>
      <c r="I320" s="573"/>
      <c r="J320" s="601"/>
      <c r="K320" s="597"/>
      <c r="L320" s="597"/>
      <c r="M320" s="597"/>
      <c r="N320" s="597"/>
      <c r="O320" s="597"/>
      <c r="P320" s="597"/>
      <c r="Q320" s="597"/>
      <c r="V320" s="1615"/>
    </row>
    <row r="321" spans="6:22" s="14" customFormat="1" ht="14.25" customHeight="1">
      <c r="F321" s="573"/>
      <c r="G321" s="573"/>
      <c r="H321" s="573"/>
      <c r="I321" s="573"/>
      <c r="J321" s="601"/>
      <c r="K321" s="597"/>
      <c r="L321" s="597"/>
      <c r="M321" s="597"/>
      <c r="N321" s="597"/>
      <c r="O321" s="597"/>
      <c r="P321" s="597"/>
      <c r="Q321" s="597"/>
      <c r="V321" s="1615"/>
    </row>
    <row r="322" spans="6:22" s="14" customFormat="1" ht="14.25" customHeight="1">
      <c r="F322" s="573"/>
      <c r="G322" s="573"/>
      <c r="H322" s="573"/>
      <c r="I322" s="573"/>
      <c r="J322" s="601"/>
      <c r="K322" s="597"/>
      <c r="L322" s="597"/>
      <c r="M322" s="597"/>
      <c r="N322" s="597"/>
      <c r="O322" s="597"/>
      <c r="P322" s="597"/>
      <c r="Q322" s="597"/>
      <c r="V322" s="1615"/>
    </row>
    <row r="323" spans="6:22" s="14" customFormat="1" ht="14.25" customHeight="1">
      <c r="F323" s="573"/>
      <c r="G323" s="573"/>
      <c r="H323" s="573"/>
      <c r="I323" s="573"/>
      <c r="J323" s="601"/>
      <c r="K323" s="597"/>
      <c r="L323" s="597"/>
      <c r="M323" s="597"/>
      <c r="N323" s="597"/>
      <c r="O323" s="597"/>
      <c r="P323" s="597"/>
      <c r="Q323" s="597"/>
      <c r="V323" s="1615"/>
    </row>
    <row r="324" spans="6:22" s="14" customFormat="1" ht="14.25" customHeight="1">
      <c r="F324" s="573"/>
      <c r="G324" s="573"/>
      <c r="H324" s="573"/>
      <c r="I324" s="573"/>
      <c r="J324" s="601"/>
      <c r="K324" s="597"/>
      <c r="L324" s="597"/>
      <c r="M324" s="597"/>
      <c r="N324" s="597"/>
      <c r="O324" s="597"/>
      <c r="P324" s="597"/>
      <c r="Q324" s="597"/>
      <c r="V324" s="1615"/>
    </row>
    <row r="325" spans="6:22" s="14" customFormat="1" ht="14.25" customHeight="1">
      <c r="F325" s="573"/>
      <c r="G325" s="573"/>
      <c r="H325" s="573"/>
      <c r="I325" s="573"/>
      <c r="J325" s="601"/>
      <c r="K325" s="597"/>
      <c r="L325" s="597"/>
      <c r="M325" s="597"/>
      <c r="N325" s="597"/>
      <c r="O325" s="597"/>
      <c r="P325" s="597"/>
      <c r="Q325" s="597"/>
      <c r="V325" s="1615"/>
    </row>
    <row r="326" spans="6:22" s="14" customFormat="1" ht="14.25" customHeight="1">
      <c r="F326" s="573"/>
      <c r="G326" s="573"/>
      <c r="H326" s="573"/>
      <c r="I326" s="573"/>
      <c r="J326" s="601"/>
      <c r="K326" s="597"/>
      <c r="L326" s="597"/>
      <c r="M326" s="597"/>
      <c r="N326" s="597"/>
      <c r="O326" s="597"/>
      <c r="P326" s="597"/>
      <c r="Q326" s="597"/>
      <c r="V326" s="1615"/>
    </row>
    <row r="327" spans="6:22" s="14" customFormat="1" ht="14.25" customHeight="1">
      <c r="F327" s="573"/>
      <c r="G327" s="573"/>
      <c r="H327" s="573"/>
      <c r="I327" s="573"/>
      <c r="J327" s="601"/>
      <c r="K327" s="597"/>
      <c r="L327" s="597"/>
      <c r="M327" s="597"/>
      <c r="N327" s="597"/>
      <c r="O327" s="597"/>
      <c r="P327" s="597"/>
      <c r="Q327" s="597"/>
      <c r="V327" s="1615"/>
    </row>
    <row r="328" spans="6:22" s="14" customFormat="1" ht="14.25" customHeight="1">
      <c r="F328" s="573"/>
      <c r="G328" s="573"/>
      <c r="H328" s="573"/>
      <c r="I328" s="573"/>
      <c r="J328" s="601"/>
      <c r="K328" s="597"/>
      <c r="L328" s="597"/>
      <c r="M328" s="597"/>
      <c r="N328" s="597"/>
      <c r="O328" s="597"/>
      <c r="P328" s="597"/>
      <c r="Q328" s="597"/>
      <c r="V328" s="1615"/>
    </row>
    <row r="329" spans="6:22" s="14" customFormat="1" ht="14.25" customHeight="1">
      <c r="F329" s="573"/>
      <c r="G329" s="573"/>
      <c r="H329" s="573"/>
      <c r="I329" s="573"/>
      <c r="J329" s="601"/>
      <c r="K329" s="597"/>
      <c r="L329" s="597"/>
      <c r="M329" s="597"/>
      <c r="N329" s="597"/>
      <c r="O329" s="597"/>
      <c r="P329" s="597"/>
      <c r="Q329" s="597"/>
      <c r="V329" s="1615"/>
    </row>
    <row r="330" spans="6:22" s="14" customFormat="1" ht="14.25" customHeight="1">
      <c r="F330" s="573"/>
      <c r="G330" s="573"/>
      <c r="H330" s="573"/>
      <c r="I330" s="573"/>
      <c r="J330" s="601"/>
      <c r="K330" s="597"/>
      <c r="L330" s="597"/>
      <c r="M330" s="597"/>
      <c r="N330" s="597"/>
      <c r="O330" s="597"/>
      <c r="P330" s="597"/>
      <c r="Q330" s="597"/>
      <c r="V330" s="1615"/>
    </row>
    <row r="331" spans="6:22" s="14" customFormat="1" ht="14.25" customHeight="1">
      <c r="F331" s="573"/>
      <c r="G331" s="573"/>
      <c r="H331" s="573"/>
      <c r="I331" s="573"/>
      <c r="J331" s="601"/>
      <c r="K331" s="597"/>
      <c r="L331" s="597"/>
      <c r="M331" s="597"/>
      <c r="N331" s="597"/>
      <c r="O331" s="597"/>
      <c r="P331" s="597"/>
      <c r="Q331" s="597"/>
      <c r="V331" s="1615"/>
    </row>
    <row r="332" spans="6:22" s="14" customFormat="1" ht="14.25" customHeight="1">
      <c r="F332" s="573"/>
      <c r="G332" s="573"/>
      <c r="H332" s="573"/>
      <c r="I332" s="573"/>
      <c r="J332" s="601"/>
      <c r="K332" s="597"/>
      <c r="L332" s="597"/>
      <c r="M332" s="597"/>
      <c r="N332" s="597"/>
      <c r="O332" s="597"/>
      <c r="P332" s="597"/>
      <c r="Q332" s="597"/>
      <c r="V332" s="1615"/>
    </row>
    <row r="333" spans="6:22" s="14" customFormat="1" ht="14.25" customHeight="1">
      <c r="F333" s="573"/>
      <c r="G333" s="573"/>
      <c r="H333" s="573"/>
      <c r="I333" s="573"/>
      <c r="J333" s="601"/>
      <c r="K333" s="597"/>
      <c r="L333" s="597"/>
      <c r="M333" s="597"/>
      <c r="N333" s="597"/>
      <c r="O333" s="597"/>
      <c r="P333" s="597"/>
      <c r="Q333" s="597"/>
      <c r="V333" s="1615"/>
    </row>
    <row r="334" spans="6:22" s="14" customFormat="1" ht="14.25" customHeight="1">
      <c r="F334" s="573"/>
      <c r="G334" s="573"/>
      <c r="H334" s="573"/>
      <c r="I334" s="573"/>
      <c r="J334" s="601"/>
      <c r="K334" s="597"/>
      <c r="L334" s="597"/>
      <c r="M334" s="597"/>
      <c r="N334" s="597"/>
      <c r="O334" s="597"/>
      <c r="P334" s="597"/>
      <c r="Q334" s="597"/>
      <c r="V334" s="1615"/>
    </row>
    <row r="335" spans="6:22" s="14" customFormat="1" ht="14.25" customHeight="1">
      <c r="F335" s="573"/>
      <c r="G335" s="573"/>
      <c r="H335" s="573"/>
      <c r="I335" s="573"/>
      <c r="J335" s="601"/>
      <c r="K335" s="597"/>
      <c r="L335" s="597"/>
      <c r="M335" s="597"/>
      <c r="N335" s="597"/>
      <c r="O335" s="597"/>
      <c r="P335" s="597"/>
      <c r="Q335" s="597"/>
      <c r="V335" s="1615"/>
    </row>
    <row r="336" spans="6:22" s="14" customFormat="1" ht="14.25" customHeight="1">
      <c r="F336" s="573"/>
      <c r="G336" s="573"/>
      <c r="H336" s="573"/>
      <c r="I336" s="573"/>
      <c r="J336" s="601"/>
      <c r="K336" s="597"/>
      <c r="L336" s="597"/>
      <c r="M336" s="597"/>
      <c r="N336" s="597"/>
      <c r="O336" s="597"/>
      <c r="P336" s="597"/>
      <c r="Q336" s="597"/>
      <c r="V336" s="1615"/>
    </row>
    <row r="337" spans="6:22" s="14" customFormat="1" ht="14.25" customHeight="1">
      <c r="F337" s="573"/>
      <c r="G337" s="573"/>
      <c r="H337" s="573"/>
      <c r="I337" s="573"/>
      <c r="J337" s="601"/>
      <c r="K337" s="597"/>
      <c r="L337" s="597"/>
      <c r="M337" s="597"/>
      <c r="N337" s="597"/>
      <c r="O337" s="597"/>
      <c r="P337" s="597"/>
      <c r="Q337" s="597"/>
      <c r="V337" s="1615"/>
    </row>
    <row r="338" spans="6:22" s="14" customFormat="1" ht="14.25" customHeight="1">
      <c r="F338" s="573"/>
      <c r="G338" s="573"/>
      <c r="H338" s="573"/>
      <c r="I338" s="573"/>
      <c r="J338" s="601"/>
      <c r="K338" s="597"/>
      <c r="L338" s="597"/>
      <c r="M338" s="597"/>
      <c r="N338" s="597"/>
      <c r="O338" s="597"/>
      <c r="P338" s="597"/>
      <c r="Q338" s="597"/>
      <c r="V338" s="1615"/>
    </row>
    <row r="339" spans="6:22" s="14" customFormat="1" ht="14.25" customHeight="1">
      <c r="F339" s="573"/>
      <c r="G339" s="573"/>
      <c r="H339" s="573"/>
      <c r="I339" s="573"/>
      <c r="J339" s="601"/>
      <c r="K339" s="597"/>
      <c r="L339" s="597"/>
      <c r="M339" s="597"/>
      <c r="N339" s="597"/>
      <c r="O339" s="597"/>
      <c r="P339" s="597"/>
      <c r="Q339" s="597"/>
      <c r="V339" s="1615"/>
    </row>
    <row r="340" spans="6:22" s="14" customFormat="1" ht="14.25" customHeight="1">
      <c r="F340" s="573"/>
      <c r="G340" s="573"/>
      <c r="H340" s="573"/>
      <c r="I340" s="573"/>
      <c r="J340" s="601"/>
      <c r="K340" s="597"/>
      <c r="L340" s="597"/>
      <c r="M340" s="597"/>
      <c r="N340" s="597"/>
      <c r="O340" s="597"/>
      <c r="P340" s="597"/>
      <c r="Q340" s="597"/>
      <c r="V340" s="1615"/>
    </row>
    <row r="341" spans="6:22" s="14" customFormat="1" ht="14.25" customHeight="1">
      <c r="F341" s="573"/>
      <c r="G341" s="573"/>
      <c r="H341" s="573"/>
      <c r="I341" s="573"/>
      <c r="J341" s="601"/>
      <c r="K341" s="597"/>
      <c r="L341" s="597"/>
      <c r="M341" s="597"/>
      <c r="N341" s="597"/>
      <c r="O341" s="597"/>
      <c r="P341" s="597"/>
      <c r="Q341" s="597"/>
      <c r="V341" s="1615"/>
    </row>
    <row r="342" spans="6:22" s="14" customFormat="1" ht="14.25" customHeight="1">
      <c r="F342" s="573"/>
      <c r="G342" s="573"/>
      <c r="H342" s="573"/>
      <c r="I342" s="573"/>
      <c r="J342" s="601"/>
      <c r="K342" s="597"/>
      <c r="L342" s="597"/>
      <c r="M342" s="597"/>
      <c r="N342" s="597"/>
      <c r="O342" s="597"/>
      <c r="P342" s="597"/>
      <c r="Q342" s="597"/>
      <c r="V342" s="1615"/>
    </row>
    <row r="343" spans="6:22" s="14" customFormat="1" ht="14.25" customHeight="1">
      <c r="F343" s="573"/>
      <c r="G343" s="573"/>
      <c r="H343" s="573"/>
      <c r="I343" s="573"/>
      <c r="J343" s="601"/>
      <c r="K343" s="597"/>
      <c r="L343" s="597"/>
      <c r="M343" s="597"/>
      <c r="N343" s="597"/>
      <c r="O343" s="597"/>
      <c r="P343" s="597"/>
      <c r="Q343" s="597"/>
      <c r="V343" s="1615"/>
    </row>
    <row r="344" spans="6:22" s="14" customFormat="1" ht="14.25" customHeight="1">
      <c r="F344" s="573"/>
      <c r="G344" s="573"/>
      <c r="H344" s="573"/>
      <c r="I344" s="573"/>
      <c r="J344" s="601"/>
      <c r="K344" s="597"/>
      <c r="L344" s="597"/>
      <c r="M344" s="597"/>
      <c r="N344" s="597"/>
      <c r="O344" s="597"/>
      <c r="P344" s="597"/>
      <c r="Q344" s="597"/>
      <c r="V344" s="1615"/>
    </row>
    <row r="345" spans="6:22" s="14" customFormat="1" ht="14.25" customHeight="1">
      <c r="F345" s="573"/>
      <c r="G345" s="573"/>
      <c r="H345" s="573"/>
      <c r="I345" s="573"/>
      <c r="J345" s="601"/>
      <c r="K345" s="597"/>
      <c r="L345" s="597"/>
      <c r="M345" s="597"/>
      <c r="N345" s="597"/>
      <c r="O345" s="597"/>
      <c r="P345" s="597"/>
      <c r="Q345" s="597"/>
      <c r="V345" s="1615"/>
    </row>
    <row r="346" spans="6:22" s="14" customFormat="1" ht="14.25" customHeight="1">
      <c r="F346" s="573"/>
      <c r="G346" s="573"/>
      <c r="H346" s="573"/>
      <c r="I346" s="573"/>
      <c r="J346" s="601"/>
      <c r="K346" s="597"/>
      <c r="L346" s="597"/>
      <c r="M346" s="597"/>
      <c r="N346" s="597"/>
      <c r="O346" s="597"/>
      <c r="P346" s="597"/>
      <c r="Q346" s="597"/>
      <c r="V346" s="1615"/>
    </row>
    <row r="347" spans="6:22" s="14" customFormat="1" ht="14.25" customHeight="1">
      <c r="F347" s="573"/>
      <c r="G347" s="573"/>
      <c r="H347" s="573"/>
      <c r="I347" s="573"/>
      <c r="J347" s="601"/>
      <c r="K347" s="597"/>
      <c r="L347" s="597"/>
      <c r="M347" s="597"/>
      <c r="N347" s="597"/>
      <c r="O347" s="597"/>
      <c r="P347" s="597"/>
      <c r="Q347" s="597"/>
      <c r="V347" s="1615"/>
    </row>
    <row r="348" spans="6:22" s="14" customFormat="1" ht="14.25" customHeight="1">
      <c r="F348" s="573"/>
      <c r="G348" s="573"/>
      <c r="H348" s="573"/>
      <c r="I348" s="573"/>
      <c r="J348" s="601"/>
      <c r="K348" s="597"/>
      <c r="L348" s="597"/>
      <c r="M348" s="597"/>
      <c r="N348" s="597"/>
      <c r="O348" s="597"/>
      <c r="P348" s="597"/>
      <c r="Q348" s="597"/>
      <c r="V348" s="1615"/>
    </row>
    <row r="349" spans="6:22" s="14" customFormat="1" ht="14.25" customHeight="1">
      <c r="F349" s="573"/>
      <c r="G349" s="573"/>
      <c r="H349" s="573"/>
      <c r="I349" s="573"/>
      <c r="J349" s="601"/>
      <c r="K349" s="597"/>
      <c r="L349" s="597"/>
      <c r="M349" s="597"/>
      <c r="N349" s="597"/>
      <c r="O349" s="597"/>
      <c r="P349" s="597"/>
      <c r="Q349" s="597"/>
      <c r="V349" s="1615"/>
    </row>
    <row r="350" spans="6:22" s="14" customFormat="1" ht="14.25" customHeight="1">
      <c r="F350" s="573"/>
      <c r="G350" s="573"/>
      <c r="H350" s="573"/>
      <c r="I350" s="573"/>
      <c r="J350" s="601"/>
      <c r="K350" s="597"/>
      <c r="L350" s="597"/>
      <c r="M350" s="597"/>
      <c r="N350" s="597"/>
      <c r="O350" s="597"/>
      <c r="P350" s="597"/>
      <c r="Q350" s="597"/>
      <c r="V350" s="1615"/>
    </row>
    <row r="351" spans="6:22" s="14" customFormat="1" ht="14.25" customHeight="1">
      <c r="F351" s="573"/>
      <c r="G351" s="573"/>
      <c r="H351" s="573"/>
      <c r="I351" s="573"/>
      <c r="J351" s="601"/>
      <c r="K351" s="597"/>
      <c r="L351" s="597"/>
      <c r="M351" s="597"/>
      <c r="N351" s="597"/>
      <c r="O351" s="597"/>
      <c r="P351" s="597"/>
      <c r="Q351" s="597"/>
      <c r="V351" s="1615"/>
    </row>
    <row r="352" spans="6:22" s="14" customFormat="1" ht="14.25" customHeight="1">
      <c r="F352" s="573"/>
      <c r="G352" s="573"/>
      <c r="H352" s="573"/>
      <c r="I352" s="573"/>
      <c r="J352" s="601"/>
      <c r="K352" s="597"/>
      <c r="L352" s="597"/>
      <c r="M352" s="597"/>
      <c r="N352" s="597"/>
      <c r="O352" s="597"/>
      <c r="P352" s="597"/>
      <c r="Q352" s="597"/>
      <c r="V352" s="1615"/>
    </row>
    <row r="353" spans="6:22" s="14" customFormat="1" ht="14.25" customHeight="1">
      <c r="F353" s="573"/>
      <c r="G353" s="573"/>
      <c r="H353" s="573"/>
      <c r="I353" s="573"/>
      <c r="J353" s="601"/>
      <c r="K353" s="597"/>
      <c r="L353" s="597"/>
      <c r="M353" s="597"/>
      <c r="N353" s="597"/>
      <c r="O353" s="597"/>
      <c r="P353" s="597"/>
      <c r="Q353" s="597"/>
      <c r="V353" s="1615"/>
    </row>
    <row r="354" spans="6:22" s="14" customFormat="1" ht="14.25" customHeight="1">
      <c r="F354" s="573"/>
      <c r="G354" s="573"/>
      <c r="H354" s="573"/>
      <c r="I354" s="573"/>
      <c r="J354" s="601"/>
      <c r="K354" s="597"/>
      <c r="L354" s="597"/>
      <c r="M354" s="597"/>
      <c r="N354" s="597"/>
      <c r="O354" s="597"/>
      <c r="P354" s="597"/>
      <c r="Q354" s="597"/>
      <c r="V354" s="1615"/>
    </row>
    <row r="355" spans="6:22" s="14" customFormat="1" ht="14.25" customHeight="1">
      <c r="F355" s="573"/>
      <c r="G355" s="573"/>
      <c r="H355" s="573"/>
      <c r="I355" s="573"/>
      <c r="J355" s="601"/>
      <c r="K355" s="597"/>
      <c r="L355" s="597"/>
      <c r="M355" s="597"/>
      <c r="N355" s="597"/>
      <c r="O355" s="597"/>
      <c r="P355" s="597"/>
      <c r="Q355" s="597"/>
      <c r="V355" s="1615"/>
    </row>
    <row r="356" spans="6:22" s="14" customFormat="1" ht="14.25" customHeight="1">
      <c r="F356" s="573"/>
      <c r="G356" s="573"/>
      <c r="H356" s="573"/>
      <c r="I356" s="573"/>
      <c r="J356" s="601"/>
      <c r="K356" s="597"/>
      <c r="L356" s="597"/>
      <c r="M356" s="597"/>
      <c r="N356" s="597"/>
      <c r="O356" s="597"/>
      <c r="P356" s="597"/>
      <c r="Q356" s="597"/>
      <c r="V356" s="1615"/>
    </row>
    <row r="357" spans="6:22" s="14" customFormat="1" ht="14.25" customHeight="1">
      <c r="F357" s="573"/>
      <c r="G357" s="573"/>
      <c r="H357" s="573"/>
      <c r="I357" s="573"/>
      <c r="J357" s="601"/>
      <c r="K357" s="597"/>
      <c r="L357" s="597"/>
      <c r="M357" s="597"/>
      <c r="N357" s="597"/>
      <c r="O357" s="597"/>
      <c r="P357" s="597"/>
      <c r="Q357" s="597"/>
      <c r="V357" s="1615"/>
    </row>
    <row r="358" spans="6:22" s="14" customFormat="1" ht="14.25" customHeight="1">
      <c r="F358" s="573"/>
      <c r="G358" s="573"/>
      <c r="H358" s="573"/>
      <c r="I358" s="573"/>
      <c r="J358" s="601"/>
      <c r="K358" s="597"/>
      <c r="L358" s="597"/>
      <c r="M358" s="597"/>
      <c r="N358" s="597"/>
      <c r="O358" s="597"/>
      <c r="P358" s="597"/>
      <c r="Q358" s="597"/>
      <c r="V358" s="1615"/>
    </row>
    <row r="359" spans="6:22" s="14" customFormat="1" ht="14.25" customHeight="1">
      <c r="F359" s="573"/>
      <c r="G359" s="573"/>
      <c r="H359" s="573"/>
      <c r="I359" s="573"/>
      <c r="J359" s="601"/>
      <c r="K359" s="597"/>
      <c r="L359" s="597"/>
      <c r="M359" s="597"/>
      <c r="N359" s="597"/>
      <c r="O359" s="597"/>
      <c r="P359" s="597"/>
      <c r="Q359" s="597"/>
      <c r="V359" s="1615"/>
    </row>
    <row r="360" spans="6:22" s="14" customFormat="1" ht="14.25" customHeight="1">
      <c r="F360" s="573"/>
      <c r="G360" s="573"/>
      <c r="H360" s="573"/>
      <c r="I360" s="573"/>
      <c r="J360" s="601"/>
      <c r="K360" s="597"/>
      <c r="L360" s="597"/>
      <c r="M360" s="597"/>
      <c r="N360" s="597"/>
      <c r="O360" s="597"/>
      <c r="P360" s="597"/>
      <c r="Q360" s="597"/>
      <c r="V360" s="1615"/>
    </row>
    <row r="361" spans="6:22" s="14" customFormat="1" ht="14.25" customHeight="1">
      <c r="F361" s="573"/>
      <c r="G361" s="573"/>
      <c r="H361" s="573"/>
      <c r="I361" s="573"/>
      <c r="J361" s="601"/>
      <c r="K361" s="597"/>
      <c r="L361" s="597"/>
      <c r="M361" s="597"/>
      <c r="N361" s="597"/>
      <c r="O361" s="597"/>
      <c r="P361" s="597"/>
      <c r="Q361" s="597"/>
      <c r="V361" s="1615"/>
    </row>
    <row r="362" spans="6:22" s="14" customFormat="1" ht="14.25" customHeight="1">
      <c r="F362" s="573"/>
      <c r="G362" s="573"/>
      <c r="H362" s="573"/>
      <c r="I362" s="573"/>
      <c r="J362" s="601"/>
      <c r="K362" s="597"/>
      <c r="L362" s="597"/>
      <c r="M362" s="597"/>
      <c r="N362" s="597"/>
      <c r="O362" s="597"/>
      <c r="P362" s="597"/>
      <c r="Q362" s="597"/>
      <c r="V362" s="1615"/>
    </row>
    <row r="363" spans="6:22" s="14" customFormat="1" ht="14.25" customHeight="1">
      <c r="F363" s="573"/>
      <c r="G363" s="573"/>
      <c r="H363" s="573"/>
      <c r="I363" s="573"/>
      <c r="J363" s="601"/>
      <c r="K363" s="597"/>
      <c r="L363" s="597"/>
      <c r="M363" s="597"/>
      <c r="N363" s="597"/>
      <c r="O363" s="597"/>
      <c r="P363" s="597"/>
      <c r="Q363" s="597"/>
      <c r="V363" s="1615"/>
    </row>
    <row r="364" spans="6:22" s="14" customFormat="1" ht="14.25" customHeight="1">
      <c r="F364" s="573"/>
      <c r="G364" s="573"/>
      <c r="H364" s="573"/>
      <c r="I364" s="573"/>
      <c r="J364" s="601"/>
      <c r="K364" s="597"/>
      <c r="L364" s="597"/>
      <c r="M364" s="597"/>
      <c r="N364" s="597"/>
      <c r="O364" s="597"/>
      <c r="P364" s="597"/>
      <c r="Q364" s="597"/>
      <c r="V364" s="1615"/>
    </row>
    <row r="365" spans="6:22" s="14" customFormat="1" ht="14.25" customHeight="1">
      <c r="F365" s="573"/>
      <c r="G365" s="573"/>
      <c r="H365" s="573"/>
      <c r="I365" s="573"/>
      <c r="J365" s="601"/>
      <c r="K365" s="597"/>
      <c r="L365" s="597"/>
      <c r="M365" s="597"/>
      <c r="N365" s="597"/>
      <c r="O365" s="597"/>
      <c r="P365" s="597"/>
      <c r="Q365" s="597"/>
      <c r="V365" s="1615"/>
    </row>
    <row r="366" spans="6:22" s="14" customFormat="1" ht="14.25" customHeight="1">
      <c r="F366" s="573"/>
      <c r="G366" s="573"/>
      <c r="H366" s="573"/>
      <c r="I366" s="573"/>
      <c r="J366" s="601"/>
      <c r="K366" s="597"/>
      <c r="L366" s="597"/>
      <c r="M366" s="597"/>
      <c r="N366" s="597"/>
      <c r="O366" s="597"/>
      <c r="P366" s="597"/>
      <c r="Q366" s="597"/>
      <c r="V366" s="1615"/>
    </row>
    <row r="367" spans="6:22" s="14" customFormat="1" ht="14.25" customHeight="1">
      <c r="F367" s="573"/>
      <c r="G367" s="573"/>
      <c r="H367" s="573"/>
      <c r="I367" s="573"/>
      <c r="J367" s="601"/>
      <c r="K367" s="597"/>
      <c r="L367" s="597"/>
      <c r="M367" s="597"/>
      <c r="N367" s="597"/>
      <c r="O367" s="597"/>
      <c r="P367" s="597"/>
      <c r="Q367" s="597"/>
      <c r="V367" s="1615"/>
    </row>
    <row r="368" spans="6:22" s="14" customFormat="1" ht="14.25" customHeight="1">
      <c r="F368" s="573"/>
      <c r="G368" s="573"/>
      <c r="H368" s="573"/>
      <c r="I368" s="573"/>
      <c r="J368" s="601"/>
      <c r="K368" s="597"/>
      <c r="L368" s="597"/>
      <c r="M368" s="597"/>
      <c r="N368" s="597"/>
      <c r="O368" s="597"/>
      <c r="P368" s="597"/>
      <c r="Q368" s="597"/>
      <c r="V368" s="1615"/>
    </row>
    <row r="369" spans="6:22" s="14" customFormat="1" ht="14.25" customHeight="1">
      <c r="F369" s="573"/>
      <c r="G369" s="573"/>
      <c r="H369" s="573"/>
      <c r="I369" s="573"/>
      <c r="J369" s="601"/>
      <c r="K369" s="597"/>
      <c r="L369" s="597"/>
      <c r="M369" s="597"/>
      <c r="N369" s="597"/>
      <c r="O369" s="597"/>
      <c r="P369" s="597"/>
      <c r="Q369" s="597"/>
      <c r="V369" s="1615"/>
    </row>
    <row r="370" spans="6:22" s="14" customFormat="1" ht="14.25" customHeight="1">
      <c r="F370" s="573"/>
      <c r="G370" s="573"/>
      <c r="H370" s="573"/>
      <c r="I370" s="573"/>
      <c r="J370" s="601"/>
      <c r="K370" s="597"/>
      <c r="L370" s="597"/>
      <c r="M370" s="597"/>
      <c r="N370" s="597"/>
      <c r="O370" s="597"/>
      <c r="P370" s="597"/>
      <c r="Q370" s="597"/>
      <c r="V370" s="1615"/>
    </row>
    <row r="371" spans="6:22" s="14" customFormat="1" ht="14.25" customHeight="1">
      <c r="F371" s="573"/>
      <c r="G371" s="573"/>
      <c r="H371" s="573"/>
      <c r="I371" s="573"/>
      <c r="J371" s="601"/>
      <c r="K371" s="597"/>
      <c r="L371" s="597"/>
      <c r="M371" s="597"/>
      <c r="N371" s="597"/>
      <c r="O371" s="597"/>
      <c r="P371" s="597"/>
      <c r="Q371" s="597"/>
      <c r="V371" s="1615"/>
    </row>
    <row r="372" spans="6:22" s="14" customFormat="1" ht="14.25" customHeight="1">
      <c r="F372" s="573"/>
      <c r="G372" s="573"/>
      <c r="H372" s="573"/>
      <c r="I372" s="573"/>
      <c r="J372" s="601"/>
      <c r="K372" s="597"/>
      <c r="L372" s="597"/>
      <c r="M372" s="597"/>
      <c r="N372" s="597"/>
      <c r="O372" s="597"/>
      <c r="P372" s="597"/>
      <c r="Q372" s="597"/>
      <c r="V372" s="1615"/>
    </row>
    <row r="373" spans="6:22" s="14" customFormat="1" ht="14.25" customHeight="1">
      <c r="F373" s="573"/>
      <c r="G373" s="573"/>
      <c r="H373" s="573"/>
      <c r="I373" s="573"/>
      <c r="J373" s="601"/>
      <c r="K373" s="597"/>
      <c r="L373" s="597"/>
      <c r="M373" s="597"/>
      <c r="N373" s="597"/>
      <c r="O373" s="597"/>
      <c r="P373" s="597"/>
      <c r="Q373" s="597"/>
      <c r="V373" s="1615"/>
    </row>
    <row r="374" spans="6:22" s="14" customFormat="1" ht="14.25" customHeight="1">
      <c r="F374" s="573"/>
      <c r="G374" s="573"/>
      <c r="H374" s="573"/>
      <c r="I374" s="573"/>
      <c r="J374" s="601"/>
      <c r="K374" s="597"/>
      <c r="L374" s="597"/>
      <c r="M374" s="597"/>
      <c r="N374" s="597"/>
      <c r="O374" s="597"/>
      <c r="P374" s="597"/>
      <c r="Q374" s="597"/>
      <c r="V374" s="1615"/>
    </row>
    <row r="375" spans="6:22" s="14" customFormat="1" ht="14.25" customHeight="1">
      <c r="F375" s="573"/>
      <c r="G375" s="573"/>
      <c r="H375" s="573"/>
      <c r="I375" s="573"/>
      <c r="J375" s="601"/>
      <c r="K375" s="597"/>
      <c r="L375" s="597"/>
      <c r="M375" s="597"/>
      <c r="N375" s="597"/>
      <c r="O375" s="597"/>
      <c r="P375" s="597"/>
      <c r="Q375" s="597"/>
      <c r="V375" s="1615"/>
    </row>
    <row r="376" spans="6:22" s="14" customFormat="1" ht="14.25" customHeight="1">
      <c r="F376" s="573"/>
      <c r="G376" s="573"/>
      <c r="H376" s="573"/>
      <c r="I376" s="573"/>
      <c r="J376" s="601"/>
      <c r="K376" s="597"/>
      <c r="L376" s="597"/>
      <c r="M376" s="597"/>
      <c r="N376" s="597"/>
      <c r="O376" s="597"/>
      <c r="P376" s="597"/>
      <c r="Q376" s="597"/>
      <c r="V376" s="1615"/>
    </row>
    <row r="377" spans="6:22" s="14" customFormat="1" ht="14.25" customHeight="1">
      <c r="F377" s="573"/>
      <c r="G377" s="573"/>
      <c r="H377" s="573"/>
      <c r="I377" s="573"/>
      <c r="J377" s="601"/>
      <c r="K377" s="597"/>
      <c r="L377" s="597"/>
      <c r="M377" s="597"/>
      <c r="N377" s="597"/>
      <c r="O377" s="597"/>
      <c r="P377" s="597"/>
      <c r="Q377" s="597"/>
      <c r="V377" s="1615"/>
    </row>
    <row r="378" spans="6:22" s="14" customFormat="1" ht="14.25" customHeight="1">
      <c r="F378" s="573"/>
      <c r="G378" s="573"/>
      <c r="H378" s="573"/>
      <c r="I378" s="573"/>
      <c r="J378" s="601"/>
      <c r="K378" s="597"/>
      <c r="L378" s="597"/>
      <c r="M378" s="597"/>
      <c r="N378" s="597"/>
      <c r="O378" s="597"/>
      <c r="P378" s="597"/>
      <c r="Q378" s="597"/>
      <c r="V378" s="1615"/>
    </row>
    <row r="379" spans="6:22" s="14" customFormat="1" ht="14.25" customHeight="1">
      <c r="F379" s="573"/>
      <c r="G379" s="573"/>
      <c r="H379" s="573"/>
      <c r="I379" s="573"/>
      <c r="J379" s="601"/>
      <c r="K379" s="597"/>
      <c r="L379" s="597"/>
      <c r="M379" s="597"/>
      <c r="N379" s="597"/>
      <c r="O379" s="597"/>
      <c r="P379" s="597"/>
      <c r="Q379" s="597"/>
      <c r="V379" s="1615"/>
    </row>
    <row r="380" spans="6:22" s="14" customFormat="1" ht="14.25" customHeight="1">
      <c r="F380" s="573"/>
      <c r="G380" s="573"/>
      <c r="H380" s="573"/>
      <c r="I380" s="573"/>
      <c r="J380" s="601"/>
      <c r="K380" s="597"/>
      <c r="L380" s="597"/>
      <c r="M380" s="597"/>
      <c r="N380" s="597"/>
      <c r="O380" s="597"/>
      <c r="P380" s="597"/>
      <c r="Q380" s="597"/>
      <c r="V380" s="1615"/>
    </row>
    <row r="381" spans="6:22" s="14" customFormat="1" ht="14.25" customHeight="1">
      <c r="F381" s="573"/>
      <c r="G381" s="573"/>
      <c r="H381" s="573"/>
      <c r="I381" s="573"/>
      <c r="J381" s="601"/>
      <c r="K381" s="597"/>
      <c r="L381" s="597"/>
      <c r="M381" s="597"/>
      <c r="N381" s="597"/>
      <c r="O381" s="597"/>
      <c r="P381" s="597"/>
      <c r="Q381" s="597"/>
      <c r="V381" s="1615"/>
    </row>
    <row r="382" spans="6:22" s="14" customFormat="1" ht="14.25" customHeight="1">
      <c r="F382" s="573"/>
      <c r="G382" s="573"/>
      <c r="H382" s="573"/>
      <c r="I382" s="573"/>
      <c r="J382" s="601"/>
      <c r="K382" s="597"/>
      <c r="L382" s="597"/>
      <c r="M382" s="597"/>
      <c r="N382" s="597"/>
      <c r="O382" s="597"/>
      <c r="P382" s="597"/>
      <c r="Q382" s="597"/>
      <c r="V382" s="1615"/>
    </row>
    <row r="383" spans="6:22" s="14" customFormat="1" ht="14.25" customHeight="1">
      <c r="F383" s="573"/>
      <c r="G383" s="573"/>
      <c r="H383" s="573"/>
      <c r="I383" s="573"/>
      <c r="J383" s="601"/>
      <c r="K383" s="597"/>
      <c r="L383" s="597"/>
      <c r="M383" s="597"/>
      <c r="N383" s="597"/>
      <c r="O383" s="597"/>
      <c r="P383" s="597"/>
      <c r="Q383" s="597"/>
      <c r="V383" s="1615"/>
    </row>
    <row r="384" spans="6:22" s="14" customFormat="1" ht="14.25" customHeight="1">
      <c r="F384" s="573"/>
      <c r="G384" s="573"/>
      <c r="H384" s="573"/>
      <c r="I384" s="573"/>
      <c r="J384" s="601"/>
      <c r="K384" s="597"/>
      <c r="L384" s="597"/>
      <c r="M384" s="597"/>
      <c r="N384" s="597"/>
      <c r="O384" s="597"/>
      <c r="P384" s="597"/>
      <c r="Q384" s="597"/>
      <c r="V384" s="1615"/>
    </row>
    <row r="385" spans="6:22" s="14" customFormat="1" ht="14.25" customHeight="1">
      <c r="F385" s="573"/>
      <c r="G385" s="573"/>
      <c r="H385" s="573"/>
      <c r="I385" s="573"/>
      <c r="J385" s="601"/>
      <c r="K385" s="597"/>
      <c r="L385" s="597"/>
      <c r="M385" s="597"/>
      <c r="N385" s="597"/>
      <c r="O385" s="597"/>
      <c r="P385" s="597"/>
      <c r="Q385" s="597"/>
      <c r="V385" s="1615"/>
    </row>
    <row r="386" spans="6:22" s="14" customFormat="1" ht="14.25" customHeight="1">
      <c r="F386" s="573"/>
      <c r="G386" s="573"/>
      <c r="H386" s="573"/>
      <c r="I386" s="573"/>
      <c r="J386" s="601"/>
      <c r="K386" s="597"/>
      <c r="L386" s="597"/>
      <c r="M386" s="597"/>
      <c r="N386" s="597"/>
      <c r="O386" s="597"/>
      <c r="P386" s="597"/>
      <c r="Q386" s="597"/>
      <c r="V386" s="1615"/>
    </row>
    <row r="387" spans="6:22" s="14" customFormat="1" ht="14.25" customHeight="1">
      <c r="F387" s="573"/>
      <c r="G387" s="573"/>
      <c r="H387" s="573"/>
      <c r="I387" s="573"/>
      <c r="J387" s="601"/>
      <c r="K387" s="597"/>
      <c r="L387" s="597"/>
      <c r="M387" s="597"/>
      <c r="N387" s="597"/>
      <c r="O387" s="597"/>
      <c r="P387" s="597"/>
      <c r="Q387" s="597"/>
      <c r="V387" s="1615"/>
    </row>
    <row r="388" spans="6:22" s="14" customFormat="1" ht="14.25" customHeight="1">
      <c r="F388" s="573"/>
      <c r="G388" s="573"/>
      <c r="H388" s="573"/>
      <c r="I388" s="573"/>
      <c r="J388" s="601"/>
      <c r="K388" s="597"/>
      <c r="L388" s="597"/>
      <c r="M388" s="597"/>
      <c r="N388" s="597"/>
      <c r="O388" s="597"/>
      <c r="P388" s="597"/>
      <c r="Q388" s="597"/>
      <c r="V388" s="1615"/>
    </row>
    <row r="389" spans="6:22" s="14" customFormat="1" ht="14.25" customHeight="1">
      <c r="F389" s="573"/>
      <c r="G389" s="573"/>
      <c r="H389" s="573"/>
      <c r="I389" s="573"/>
      <c r="J389" s="601"/>
      <c r="K389" s="597"/>
      <c r="L389" s="597"/>
      <c r="M389" s="597"/>
      <c r="N389" s="597"/>
      <c r="O389" s="597"/>
      <c r="P389" s="597"/>
      <c r="Q389" s="597"/>
      <c r="V389" s="1615"/>
    </row>
    <row r="390" spans="6:22" s="14" customFormat="1" ht="14.25" customHeight="1">
      <c r="F390" s="573"/>
      <c r="G390" s="573"/>
      <c r="H390" s="573"/>
      <c r="I390" s="573"/>
      <c r="J390" s="601"/>
      <c r="K390" s="597"/>
      <c r="L390" s="597"/>
      <c r="M390" s="597"/>
      <c r="N390" s="597"/>
      <c r="O390" s="597"/>
      <c r="P390" s="597"/>
      <c r="Q390" s="597"/>
      <c r="V390" s="1615"/>
    </row>
    <row r="391" spans="6:22" s="14" customFormat="1" ht="14.25" customHeight="1">
      <c r="F391" s="573"/>
      <c r="G391" s="573"/>
      <c r="H391" s="573"/>
      <c r="I391" s="573"/>
      <c r="J391" s="601"/>
      <c r="K391" s="597"/>
      <c r="L391" s="597"/>
      <c r="M391" s="597"/>
      <c r="N391" s="597"/>
      <c r="O391" s="597"/>
      <c r="P391" s="597"/>
      <c r="Q391" s="597"/>
      <c r="V391" s="1615"/>
    </row>
    <row r="392" spans="6:22" s="14" customFormat="1" ht="14.25" customHeight="1">
      <c r="F392" s="573"/>
      <c r="G392" s="573"/>
      <c r="H392" s="573"/>
      <c r="I392" s="573"/>
      <c r="J392" s="601"/>
      <c r="K392" s="597"/>
      <c r="L392" s="597"/>
      <c r="M392" s="597"/>
      <c r="N392" s="597"/>
      <c r="O392" s="597"/>
      <c r="P392" s="597"/>
      <c r="Q392" s="597"/>
      <c r="V392" s="1615"/>
    </row>
    <row r="393" spans="6:22" s="14" customFormat="1" ht="14.25" customHeight="1">
      <c r="F393" s="573"/>
      <c r="G393" s="573"/>
      <c r="H393" s="573"/>
      <c r="I393" s="573"/>
      <c r="J393" s="601"/>
      <c r="K393" s="597"/>
      <c r="L393" s="597"/>
      <c r="M393" s="597"/>
      <c r="N393" s="597"/>
      <c r="O393" s="597"/>
      <c r="P393" s="597"/>
      <c r="Q393" s="597"/>
      <c r="V393" s="1615"/>
    </row>
    <row r="394" spans="6:22" s="14" customFormat="1" ht="14.25" customHeight="1">
      <c r="F394" s="573"/>
      <c r="G394" s="573"/>
      <c r="H394" s="573"/>
      <c r="I394" s="573"/>
      <c r="J394" s="601"/>
      <c r="K394" s="597"/>
      <c r="L394" s="597"/>
      <c r="M394" s="597"/>
      <c r="N394" s="597"/>
      <c r="O394" s="597"/>
      <c r="P394" s="597"/>
      <c r="Q394" s="597"/>
      <c r="V394" s="1615"/>
    </row>
    <row r="395" spans="6:22" s="14" customFormat="1" ht="14.25" customHeight="1">
      <c r="F395" s="573"/>
      <c r="G395" s="573"/>
      <c r="H395" s="573"/>
      <c r="I395" s="573"/>
      <c r="J395" s="601"/>
      <c r="K395" s="597"/>
      <c r="L395" s="597"/>
      <c r="M395" s="597"/>
      <c r="N395" s="597"/>
      <c r="O395" s="597"/>
      <c r="P395" s="597"/>
      <c r="Q395" s="597"/>
      <c r="V395" s="1615"/>
    </row>
    <row r="396" spans="6:22" s="14" customFormat="1" ht="14.25" customHeight="1">
      <c r="F396" s="573"/>
      <c r="G396" s="573"/>
      <c r="H396" s="573"/>
      <c r="I396" s="573"/>
      <c r="J396" s="601"/>
      <c r="K396" s="597"/>
      <c r="L396" s="597"/>
      <c r="M396" s="597"/>
      <c r="N396" s="597"/>
      <c r="O396" s="597"/>
      <c r="P396" s="597"/>
      <c r="Q396" s="597"/>
      <c r="V396" s="1615"/>
    </row>
    <row r="397" spans="6:22" s="14" customFormat="1" ht="14.25" customHeight="1">
      <c r="F397" s="573"/>
      <c r="G397" s="573"/>
      <c r="H397" s="573"/>
      <c r="I397" s="573"/>
      <c r="J397" s="601"/>
      <c r="K397" s="597"/>
      <c r="L397" s="597"/>
      <c r="M397" s="597"/>
      <c r="N397" s="597"/>
      <c r="O397" s="597"/>
      <c r="P397" s="597"/>
      <c r="Q397" s="597"/>
      <c r="V397" s="1615"/>
    </row>
    <row r="398" spans="6:22" s="14" customFormat="1" ht="14.25" customHeight="1">
      <c r="F398" s="573"/>
      <c r="G398" s="573"/>
      <c r="H398" s="573"/>
      <c r="I398" s="573"/>
      <c r="J398" s="601"/>
      <c r="K398" s="597"/>
      <c r="L398" s="597"/>
      <c r="M398" s="597"/>
      <c r="N398" s="597"/>
      <c r="O398" s="597"/>
      <c r="P398" s="597"/>
      <c r="Q398" s="597"/>
      <c r="V398" s="1615"/>
    </row>
    <row r="399" spans="6:22" s="14" customFormat="1" ht="14.25" customHeight="1">
      <c r="F399" s="573"/>
      <c r="G399" s="573"/>
      <c r="H399" s="573"/>
      <c r="I399" s="573"/>
      <c r="J399" s="601"/>
      <c r="K399" s="597"/>
      <c r="L399" s="597"/>
      <c r="M399" s="597"/>
      <c r="N399" s="597"/>
      <c r="O399" s="597"/>
      <c r="P399" s="597"/>
      <c r="Q399" s="597"/>
      <c r="V399" s="1615"/>
    </row>
    <row r="400" spans="6:22" s="14" customFormat="1" ht="14.25" customHeight="1">
      <c r="F400" s="573"/>
      <c r="G400" s="573"/>
      <c r="H400" s="573"/>
      <c r="I400" s="573"/>
      <c r="J400" s="601"/>
      <c r="K400" s="597"/>
      <c r="L400" s="597"/>
      <c r="M400" s="597"/>
      <c r="N400" s="597"/>
      <c r="O400" s="597"/>
      <c r="P400" s="597"/>
      <c r="Q400" s="597"/>
      <c r="V400" s="1615"/>
    </row>
    <row r="401" spans="6:22" s="14" customFormat="1" ht="14.25" customHeight="1">
      <c r="F401" s="573"/>
      <c r="G401" s="573"/>
      <c r="H401" s="573"/>
      <c r="I401" s="573"/>
      <c r="J401" s="601"/>
      <c r="K401" s="597"/>
      <c r="L401" s="597"/>
      <c r="M401" s="597"/>
      <c r="N401" s="597"/>
      <c r="O401" s="597"/>
      <c r="P401" s="597"/>
      <c r="Q401" s="597"/>
      <c r="V401" s="1615"/>
    </row>
    <row r="402" spans="6:22" s="14" customFormat="1" ht="14.25" customHeight="1">
      <c r="F402" s="573"/>
      <c r="G402" s="573"/>
      <c r="H402" s="573"/>
      <c r="I402" s="573"/>
      <c r="J402" s="601"/>
      <c r="K402" s="597"/>
      <c r="L402" s="597"/>
      <c r="M402" s="597"/>
      <c r="N402" s="597"/>
      <c r="O402" s="597"/>
      <c r="P402" s="597"/>
      <c r="Q402" s="597"/>
      <c r="V402" s="1615"/>
    </row>
    <row r="403" spans="6:22" s="14" customFormat="1" ht="14.25" customHeight="1">
      <c r="F403" s="573"/>
      <c r="G403" s="573"/>
      <c r="H403" s="573"/>
      <c r="I403" s="573"/>
      <c r="J403" s="601"/>
      <c r="K403" s="597"/>
      <c r="L403" s="597"/>
      <c r="M403" s="597"/>
      <c r="N403" s="597"/>
      <c r="O403" s="597"/>
      <c r="P403" s="597"/>
      <c r="Q403" s="597"/>
      <c r="V403" s="1615"/>
    </row>
    <row r="404" spans="6:22" s="14" customFormat="1" ht="14.25" customHeight="1">
      <c r="F404" s="573"/>
      <c r="G404" s="573"/>
      <c r="H404" s="573"/>
      <c r="I404" s="573"/>
      <c r="J404" s="601"/>
      <c r="K404" s="597"/>
      <c r="L404" s="597"/>
      <c r="M404" s="597"/>
      <c r="N404" s="597"/>
      <c r="O404" s="597"/>
      <c r="P404" s="597"/>
      <c r="Q404" s="597"/>
      <c r="V404" s="1615"/>
    </row>
    <row r="405" spans="6:22" s="14" customFormat="1" ht="14.25" customHeight="1">
      <c r="F405" s="573"/>
      <c r="G405" s="573"/>
      <c r="H405" s="573"/>
      <c r="I405" s="573"/>
      <c r="J405" s="601"/>
      <c r="K405" s="597"/>
      <c r="L405" s="597"/>
      <c r="M405" s="597"/>
      <c r="N405" s="597"/>
      <c r="O405" s="597"/>
      <c r="P405" s="597"/>
      <c r="Q405" s="597"/>
      <c r="V405" s="1615"/>
    </row>
    <row r="406" spans="6:22" s="14" customFormat="1" ht="14.25" customHeight="1">
      <c r="F406" s="573"/>
      <c r="G406" s="573"/>
      <c r="H406" s="573"/>
      <c r="I406" s="573"/>
      <c r="J406" s="601"/>
      <c r="K406" s="597"/>
      <c r="L406" s="597"/>
      <c r="M406" s="597"/>
      <c r="N406" s="597"/>
      <c r="O406" s="597"/>
      <c r="P406" s="597"/>
      <c r="Q406" s="597"/>
      <c r="V406" s="1615"/>
    </row>
    <row r="407" spans="6:22" s="14" customFormat="1" ht="14.25" customHeight="1">
      <c r="F407" s="573"/>
      <c r="G407" s="573"/>
      <c r="H407" s="573"/>
      <c r="I407" s="573"/>
      <c r="J407" s="601"/>
      <c r="K407" s="597"/>
      <c r="L407" s="597"/>
      <c r="M407" s="597"/>
      <c r="N407" s="597"/>
      <c r="O407" s="597"/>
      <c r="P407" s="597"/>
      <c r="Q407" s="597"/>
      <c r="V407" s="1615"/>
    </row>
    <row r="408" spans="6:22" s="14" customFormat="1" ht="14.25" customHeight="1">
      <c r="F408" s="573"/>
      <c r="G408" s="573"/>
      <c r="H408" s="573"/>
      <c r="I408" s="573"/>
      <c r="J408" s="601"/>
      <c r="K408" s="597"/>
      <c r="L408" s="597"/>
      <c r="M408" s="597"/>
      <c r="N408" s="597"/>
      <c r="O408" s="597"/>
      <c r="P408" s="597"/>
      <c r="Q408" s="597"/>
      <c r="V408" s="1615"/>
    </row>
    <row r="409" spans="6:22" s="14" customFormat="1" ht="14.25" customHeight="1">
      <c r="F409" s="573"/>
      <c r="G409" s="573"/>
      <c r="H409" s="573"/>
      <c r="I409" s="573"/>
      <c r="J409" s="601"/>
      <c r="K409" s="597"/>
      <c r="L409" s="597"/>
      <c r="M409" s="597"/>
      <c r="N409" s="597"/>
      <c r="O409" s="597"/>
      <c r="P409" s="597"/>
      <c r="Q409" s="597"/>
      <c r="V409" s="1615"/>
    </row>
    <row r="410" spans="6:22" s="14" customFormat="1" ht="14.25" customHeight="1">
      <c r="F410" s="573"/>
      <c r="G410" s="573"/>
      <c r="H410" s="573"/>
      <c r="I410" s="573"/>
      <c r="J410" s="601"/>
      <c r="K410" s="597"/>
      <c r="L410" s="597"/>
      <c r="M410" s="597"/>
      <c r="N410" s="597"/>
      <c r="O410" s="597"/>
      <c r="P410" s="597"/>
      <c r="Q410" s="597"/>
      <c r="V410" s="1615"/>
    </row>
    <row r="411" spans="6:22" s="14" customFormat="1" ht="14.25" customHeight="1">
      <c r="F411" s="573"/>
      <c r="G411" s="573"/>
      <c r="H411" s="573"/>
      <c r="I411" s="573"/>
      <c r="J411" s="601"/>
      <c r="K411" s="597"/>
      <c r="L411" s="597"/>
      <c r="M411" s="597"/>
      <c r="N411" s="597"/>
      <c r="O411" s="597"/>
      <c r="P411" s="597"/>
      <c r="Q411" s="597"/>
      <c r="V411" s="1615"/>
    </row>
    <row r="412" spans="6:22" s="14" customFormat="1" ht="14.25" customHeight="1">
      <c r="F412" s="573"/>
      <c r="G412" s="573"/>
      <c r="H412" s="573"/>
      <c r="I412" s="573"/>
      <c r="J412" s="601"/>
      <c r="K412" s="597"/>
      <c r="L412" s="597"/>
      <c r="M412" s="597"/>
      <c r="N412" s="597"/>
      <c r="O412" s="597"/>
      <c r="P412" s="597"/>
      <c r="Q412" s="597"/>
      <c r="V412" s="1615"/>
    </row>
    <row r="413" spans="6:22" s="14" customFormat="1" ht="14.25" customHeight="1">
      <c r="F413" s="573"/>
      <c r="G413" s="573"/>
      <c r="H413" s="573"/>
      <c r="I413" s="573"/>
      <c r="J413" s="601"/>
      <c r="K413" s="597"/>
      <c r="L413" s="597"/>
      <c r="M413" s="597"/>
      <c r="N413" s="597"/>
      <c r="O413" s="597"/>
      <c r="P413" s="597"/>
      <c r="Q413" s="597"/>
      <c r="V413" s="1615"/>
    </row>
    <row r="414" spans="6:22" s="14" customFormat="1" ht="14.25" customHeight="1">
      <c r="F414" s="573"/>
      <c r="G414" s="573"/>
      <c r="H414" s="573"/>
      <c r="I414" s="573"/>
      <c r="J414" s="601"/>
      <c r="K414" s="597"/>
      <c r="L414" s="597"/>
      <c r="M414" s="597"/>
      <c r="N414" s="597"/>
      <c r="O414" s="597"/>
      <c r="P414" s="597"/>
      <c r="Q414" s="597"/>
      <c r="V414" s="1615"/>
    </row>
    <row r="415" spans="6:22" s="14" customFormat="1" ht="14.25" customHeight="1">
      <c r="F415" s="573"/>
      <c r="G415" s="573"/>
      <c r="H415" s="573"/>
      <c r="I415" s="573"/>
      <c r="J415" s="601"/>
      <c r="K415" s="597"/>
      <c r="L415" s="597"/>
      <c r="M415" s="597"/>
      <c r="N415" s="597"/>
      <c r="O415" s="597"/>
      <c r="P415" s="597"/>
      <c r="Q415" s="597"/>
      <c r="V415" s="1615"/>
    </row>
    <row r="416" spans="6:22" s="14" customFormat="1" ht="14.25" customHeight="1">
      <c r="F416" s="573"/>
      <c r="G416" s="573"/>
      <c r="H416" s="573"/>
      <c r="I416" s="573"/>
      <c r="J416" s="601"/>
      <c r="K416" s="597"/>
      <c r="L416" s="597"/>
      <c r="M416" s="597"/>
      <c r="N416" s="597"/>
      <c r="O416" s="597"/>
      <c r="P416" s="597"/>
      <c r="Q416" s="597"/>
      <c r="V416" s="1615"/>
    </row>
    <row r="417" spans="6:22" s="14" customFormat="1" ht="14.25" customHeight="1">
      <c r="F417" s="573"/>
      <c r="G417" s="573"/>
      <c r="H417" s="573"/>
      <c r="I417" s="573"/>
      <c r="J417" s="601"/>
      <c r="K417" s="597"/>
      <c r="L417" s="597"/>
      <c r="M417" s="597"/>
      <c r="N417" s="597"/>
      <c r="O417" s="597"/>
      <c r="P417" s="597"/>
      <c r="Q417" s="597"/>
      <c r="V417" s="1615"/>
    </row>
    <row r="418" spans="6:22" s="14" customFormat="1" ht="14.25" customHeight="1">
      <c r="F418" s="573"/>
      <c r="G418" s="573"/>
      <c r="H418" s="573"/>
      <c r="I418" s="573"/>
      <c r="J418" s="601"/>
      <c r="K418" s="597"/>
      <c r="L418" s="597"/>
      <c r="M418" s="597"/>
      <c r="N418" s="597"/>
      <c r="O418" s="597"/>
      <c r="P418" s="597"/>
      <c r="Q418" s="597"/>
      <c r="V418" s="1615"/>
    </row>
    <row r="419" spans="6:22" s="14" customFormat="1" ht="14.25" customHeight="1">
      <c r="F419" s="573"/>
      <c r="G419" s="573"/>
      <c r="H419" s="573"/>
      <c r="I419" s="573"/>
      <c r="J419" s="601"/>
      <c r="K419" s="597"/>
      <c r="L419" s="597"/>
      <c r="M419" s="597"/>
      <c r="N419" s="597"/>
      <c r="O419" s="597"/>
      <c r="P419" s="597"/>
      <c r="Q419" s="597"/>
      <c r="V419" s="1615"/>
    </row>
    <row r="420" spans="6:22" s="14" customFormat="1" ht="14.25" customHeight="1">
      <c r="F420" s="573"/>
      <c r="G420" s="573"/>
      <c r="H420" s="573"/>
      <c r="I420" s="573"/>
      <c r="J420" s="601"/>
      <c r="K420" s="597"/>
      <c r="L420" s="597"/>
      <c r="M420" s="597"/>
      <c r="N420" s="597"/>
      <c r="O420" s="597"/>
      <c r="P420" s="597"/>
      <c r="Q420" s="597"/>
      <c r="V420" s="1615"/>
    </row>
    <row r="421" spans="6:22" s="14" customFormat="1" ht="14.25" customHeight="1">
      <c r="F421" s="573"/>
      <c r="G421" s="573"/>
      <c r="H421" s="573"/>
      <c r="I421" s="573"/>
      <c r="J421" s="601"/>
      <c r="K421" s="597"/>
      <c r="L421" s="597"/>
      <c r="M421" s="597"/>
      <c r="N421" s="597"/>
      <c r="O421" s="597"/>
      <c r="P421" s="597"/>
      <c r="Q421" s="597"/>
      <c r="V421" s="1615"/>
    </row>
    <row r="422" spans="6:22" s="14" customFormat="1" ht="14.25" customHeight="1">
      <c r="F422" s="573"/>
      <c r="G422" s="573"/>
      <c r="H422" s="573"/>
      <c r="I422" s="573"/>
      <c r="J422" s="601"/>
      <c r="K422" s="597"/>
      <c r="L422" s="597"/>
      <c r="M422" s="597"/>
      <c r="N422" s="597"/>
      <c r="O422" s="597"/>
      <c r="P422" s="597"/>
      <c r="Q422" s="597"/>
      <c r="V422" s="1615"/>
    </row>
    <row r="423" spans="6:22" s="14" customFormat="1" ht="14.25" customHeight="1">
      <c r="F423" s="573"/>
      <c r="G423" s="573"/>
      <c r="H423" s="573"/>
      <c r="I423" s="573"/>
      <c r="J423" s="601"/>
      <c r="K423" s="597"/>
      <c r="L423" s="597"/>
      <c r="M423" s="597"/>
      <c r="N423" s="597"/>
      <c r="O423" s="597"/>
      <c r="P423" s="597"/>
      <c r="Q423" s="597"/>
      <c r="V423" s="1615"/>
    </row>
    <row r="424" spans="6:22" s="14" customFormat="1" ht="14.25" customHeight="1">
      <c r="F424" s="573"/>
      <c r="G424" s="573"/>
      <c r="H424" s="573"/>
      <c r="I424" s="573"/>
      <c r="J424" s="601"/>
      <c r="K424" s="597"/>
      <c r="L424" s="597"/>
      <c r="M424" s="597"/>
      <c r="N424" s="597"/>
      <c r="O424" s="597"/>
      <c r="P424" s="597"/>
      <c r="Q424" s="597"/>
      <c r="V424" s="1615"/>
    </row>
    <row r="425" spans="6:22" s="14" customFormat="1" ht="14.25" customHeight="1">
      <c r="F425" s="573"/>
      <c r="G425" s="573"/>
      <c r="H425" s="573"/>
      <c r="I425" s="573"/>
      <c r="J425" s="601"/>
      <c r="K425" s="597"/>
      <c r="L425" s="597"/>
      <c r="M425" s="597"/>
      <c r="N425" s="597"/>
      <c r="O425" s="597"/>
      <c r="P425" s="597"/>
      <c r="Q425" s="597"/>
      <c r="V425" s="1615"/>
    </row>
    <row r="426" spans="6:22" s="14" customFormat="1" ht="14.25" customHeight="1">
      <c r="F426" s="573"/>
      <c r="G426" s="573"/>
      <c r="H426" s="573"/>
      <c r="I426" s="573"/>
      <c r="J426" s="601"/>
      <c r="K426" s="597"/>
      <c r="L426" s="597"/>
      <c r="M426" s="597"/>
      <c r="N426" s="597"/>
      <c r="O426" s="597"/>
      <c r="P426" s="597"/>
      <c r="Q426" s="597"/>
      <c r="V426" s="1615"/>
    </row>
    <row r="427" spans="6:22" s="14" customFormat="1" ht="14.25" customHeight="1">
      <c r="F427" s="573"/>
      <c r="G427" s="573"/>
      <c r="H427" s="573"/>
      <c r="I427" s="573"/>
      <c r="J427" s="601"/>
      <c r="K427" s="597"/>
      <c r="L427" s="597"/>
      <c r="M427" s="597"/>
      <c r="N427" s="597"/>
      <c r="O427" s="597"/>
      <c r="P427" s="597"/>
      <c r="Q427" s="597"/>
      <c r="V427" s="1615"/>
    </row>
    <row r="428" spans="6:22" s="14" customFormat="1" ht="14.25" customHeight="1">
      <c r="F428" s="573"/>
      <c r="G428" s="573"/>
      <c r="H428" s="573"/>
      <c r="I428" s="573"/>
      <c r="J428" s="601"/>
      <c r="K428" s="597"/>
      <c r="L428" s="597"/>
      <c r="M428" s="597"/>
      <c r="N428" s="597"/>
      <c r="O428" s="597"/>
      <c r="P428" s="597"/>
      <c r="Q428" s="597"/>
      <c r="V428" s="1615"/>
    </row>
    <row r="429" spans="6:22" s="14" customFormat="1" ht="14.25" customHeight="1">
      <c r="F429" s="573"/>
      <c r="G429" s="573"/>
      <c r="H429" s="573"/>
      <c r="I429" s="573"/>
      <c r="J429" s="601"/>
      <c r="K429" s="597"/>
      <c r="L429" s="597"/>
      <c r="M429" s="597"/>
      <c r="N429" s="597"/>
      <c r="O429" s="597"/>
      <c r="P429" s="597"/>
      <c r="Q429" s="597"/>
      <c r="V429" s="1615"/>
    </row>
    <row r="430" spans="6:22" s="14" customFormat="1" ht="14.25" customHeight="1">
      <c r="F430" s="573"/>
      <c r="G430" s="573"/>
      <c r="H430" s="573"/>
      <c r="I430" s="573"/>
      <c r="J430" s="601"/>
      <c r="K430" s="597"/>
      <c r="L430" s="597"/>
      <c r="M430" s="597"/>
      <c r="N430" s="597"/>
      <c r="O430" s="597"/>
      <c r="P430" s="597"/>
      <c r="Q430" s="597"/>
      <c r="V430" s="1615"/>
    </row>
    <row r="431" spans="6:22" s="14" customFormat="1" ht="14.25" customHeight="1">
      <c r="F431" s="573"/>
      <c r="G431" s="573"/>
      <c r="H431" s="573"/>
      <c r="I431" s="573"/>
      <c r="J431" s="601"/>
      <c r="K431" s="597"/>
      <c r="L431" s="597"/>
      <c r="M431" s="597"/>
      <c r="N431" s="597"/>
      <c r="O431" s="597"/>
      <c r="P431" s="597"/>
      <c r="Q431" s="597"/>
      <c r="V431" s="1615"/>
    </row>
    <row r="432" spans="6:22" s="14" customFormat="1" ht="14.25" customHeight="1">
      <c r="F432" s="573"/>
      <c r="G432" s="573"/>
      <c r="H432" s="573"/>
      <c r="I432" s="573"/>
      <c r="J432" s="601"/>
      <c r="K432" s="597"/>
      <c r="L432" s="597"/>
      <c r="M432" s="597"/>
      <c r="N432" s="597"/>
      <c r="O432" s="597"/>
      <c r="P432" s="597"/>
      <c r="Q432" s="597"/>
      <c r="V432" s="1615"/>
    </row>
    <row r="433" spans="6:22" s="14" customFormat="1" ht="14.25" customHeight="1">
      <c r="F433" s="573"/>
      <c r="G433" s="573"/>
      <c r="H433" s="573"/>
      <c r="I433" s="573"/>
      <c r="J433" s="601"/>
      <c r="K433" s="597"/>
      <c r="L433" s="597"/>
      <c r="M433" s="597"/>
      <c r="N433" s="597"/>
      <c r="O433" s="597"/>
      <c r="P433" s="597"/>
      <c r="Q433" s="597"/>
      <c r="V433" s="1615"/>
    </row>
    <row r="434" spans="6:22" s="14" customFormat="1" ht="14.25" customHeight="1">
      <c r="F434" s="573"/>
      <c r="G434" s="573"/>
      <c r="H434" s="573"/>
      <c r="I434" s="573"/>
      <c r="J434" s="601"/>
      <c r="K434" s="597"/>
      <c r="L434" s="597"/>
      <c r="M434" s="597"/>
      <c r="N434" s="597"/>
      <c r="O434" s="597"/>
      <c r="P434" s="597"/>
      <c r="Q434" s="597"/>
      <c r="V434" s="1615"/>
    </row>
    <row r="435" spans="6:22" s="14" customFormat="1" ht="14.25" customHeight="1">
      <c r="F435" s="573"/>
      <c r="G435" s="573"/>
      <c r="H435" s="573"/>
      <c r="I435" s="573"/>
      <c r="J435" s="601"/>
      <c r="K435" s="597"/>
      <c r="L435" s="597"/>
      <c r="M435" s="597"/>
      <c r="N435" s="597"/>
      <c r="O435" s="597"/>
      <c r="P435" s="597"/>
      <c r="Q435" s="597"/>
      <c r="V435" s="1615"/>
    </row>
    <row r="436" spans="6:22" s="14" customFormat="1" ht="14.25" customHeight="1">
      <c r="F436" s="573"/>
      <c r="G436" s="573"/>
      <c r="H436" s="573"/>
      <c r="I436" s="573"/>
      <c r="J436" s="601"/>
      <c r="K436" s="597"/>
      <c r="L436" s="597"/>
      <c r="M436" s="597"/>
      <c r="N436" s="597"/>
      <c r="O436" s="597"/>
      <c r="P436" s="597"/>
      <c r="Q436" s="597"/>
      <c r="V436" s="1615"/>
    </row>
    <row r="437" spans="6:22" s="14" customFormat="1" ht="14.25" customHeight="1">
      <c r="F437" s="573"/>
      <c r="G437" s="573"/>
      <c r="H437" s="573"/>
      <c r="I437" s="573"/>
      <c r="J437" s="601"/>
      <c r="K437" s="597"/>
      <c r="L437" s="597"/>
      <c r="M437" s="597"/>
      <c r="N437" s="597"/>
      <c r="O437" s="597"/>
      <c r="P437" s="597"/>
      <c r="Q437" s="597"/>
      <c r="V437" s="1615"/>
    </row>
    <row r="438" spans="6:22" s="14" customFormat="1" ht="14.25" customHeight="1">
      <c r="F438" s="573"/>
      <c r="G438" s="573"/>
      <c r="H438" s="573"/>
      <c r="I438" s="573"/>
      <c r="J438" s="601"/>
      <c r="K438" s="597"/>
      <c r="L438" s="597"/>
      <c r="M438" s="597"/>
      <c r="N438" s="597"/>
      <c r="O438" s="597"/>
      <c r="P438" s="597"/>
      <c r="Q438" s="597"/>
      <c r="V438" s="1615"/>
    </row>
    <row r="439" spans="6:22" s="14" customFormat="1" ht="14.25" customHeight="1">
      <c r="F439" s="573"/>
      <c r="G439" s="573"/>
      <c r="H439" s="573"/>
      <c r="I439" s="573"/>
      <c r="J439" s="601"/>
      <c r="K439" s="597"/>
      <c r="L439" s="597"/>
      <c r="M439" s="597"/>
      <c r="N439" s="597"/>
      <c r="O439" s="597"/>
      <c r="P439" s="597"/>
      <c r="Q439" s="597"/>
      <c r="V439" s="1615"/>
    </row>
    <row r="440" spans="6:22" s="14" customFormat="1" ht="14.25" customHeight="1">
      <c r="F440" s="573"/>
      <c r="G440" s="573"/>
      <c r="H440" s="573"/>
      <c r="I440" s="573"/>
      <c r="J440" s="601"/>
      <c r="K440" s="597"/>
      <c r="L440" s="597"/>
      <c r="M440" s="597"/>
      <c r="N440" s="597"/>
      <c r="O440" s="597"/>
      <c r="P440" s="597"/>
      <c r="Q440" s="597"/>
      <c r="V440" s="1615"/>
    </row>
    <row r="441" spans="6:22" s="14" customFormat="1" ht="14.25" customHeight="1">
      <c r="F441" s="573"/>
      <c r="G441" s="573"/>
      <c r="H441" s="573"/>
      <c r="I441" s="573"/>
      <c r="J441" s="601"/>
      <c r="K441" s="597"/>
      <c r="L441" s="597"/>
      <c r="M441" s="597"/>
      <c r="N441" s="597"/>
      <c r="O441" s="597"/>
      <c r="P441" s="597"/>
      <c r="Q441" s="597"/>
      <c r="V441" s="1615"/>
    </row>
    <row r="442" spans="6:22" s="14" customFormat="1" ht="14.25" customHeight="1">
      <c r="F442" s="573"/>
      <c r="G442" s="573"/>
      <c r="H442" s="573"/>
      <c r="I442" s="573"/>
      <c r="J442" s="601"/>
      <c r="K442" s="597"/>
      <c r="L442" s="597"/>
      <c r="M442" s="597"/>
      <c r="N442" s="597"/>
      <c r="O442" s="597"/>
      <c r="P442" s="597"/>
      <c r="Q442" s="597"/>
      <c r="V442" s="1615"/>
    </row>
    <row r="443" spans="6:22" s="14" customFormat="1" ht="14.25" customHeight="1">
      <c r="F443" s="573"/>
      <c r="G443" s="573"/>
      <c r="H443" s="573"/>
      <c r="I443" s="573"/>
      <c r="J443" s="601"/>
      <c r="K443" s="597"/>
      <c r="L443" s="597"/>
      <c r="M443" s="597"/>
      <c r="N443" s="597"/>
      <c r="O443" s="597"/>
      <c r="P443" s="597"/>
      <c r="Q443" s="597"/>
      <c r="V443" s="1615"/>
    </row>
    <row r="444" spans="6:22" s="14" customFormat="1" ht="14.25" customHeight="1">
      <c r="F444" s="573"/>
      <c r="G444" s="573"/>
      <c r="H444" s="573"/>
      <c r="I444" s="573"/>
      <c r="J444" s="601"/>
      <c r="K444" s="597"/>
      <c r="L444" s="597"/>
      <c r="M444" s="597"/>
      <c r="N444" s="597"/>
      <c r="O444" s="597"/>
      <c r="P444" s="597"/>
      <c r="Q444" s="597"/>
      <c r="V444" s="1615"/>
    </row>
    <row r="445" spans="6:22" s="14" customFormat="1" ht="14.25" customHeight="1">
      <c r="F445" s="573"/>
      <c r="G445" s="573"/>
      <c r="H445" s="573"/>
      <c r="I445" s="573"/>
      <c r="J445" s="601"/>
      <c r="K445" s="597"/>
      <c r="L445" s="597"/>
      <c r="M445" s="597"/>
      <c r="N445" s="597"/>
      <c r="O445" s="597"/>
      <c r="P445" s="597"/>
      <c r="Q445" s="597"/>
      <c r="V445" s="1615"/>
    </row>
    <row r="446" spans="6:22" s="14" customFormat="1" ht="14.25" customHeight="1">
      <c r="F446" s="573"/>
      <c r="G446" s="573"/>
      <c r="H446" s="573"/>
      <c r="I446" s="573"/>
      <c r="J446" s="601"/>
      <c r="K446" s="597"/>
      <c r="L446" s="597"/>
      <c r="M446" s="597"/>
      <c r="N446" s="597"/>
      <c r="O446" s="597"/>
      <c r="P446" s="597"/>
      <c r="Q446" s="597"/>
      <c r="V446" s="1615"/>
    </row>
    <row r="447" spans="6:22" s="14" customFormat="1" ht="14.25" customHeight="1">
      <c r="F447" s="573"/>
      <c r="G447" s="573"/>
      <c r="H447" s="573"/>
      <c r="I447" s="573"/>
      <c r="J447" s="601"/>
      <c r="K447" s="597"/>
      <c r="L447" s="597"/>
      <c r="M447" s="597"/>
      <c r="N447" s="597"/>
      <c r="O447" s="597"/>
      <c r="P447" s="597"/>
      <c r="Q447" s="597"/>
      <c r="V447" s="1615"/>
    </row>
    <row r="448" spans="6:22" s="14" customFormat="1" ht="14.25" customHeight="1">
      <c r="F448" s="573"/>
      <c r="G448" s="573"/>
      <c r="H448" s="573"/>
      <c r="I448" s="573"/>
      <c r="J448" s="601"/>
      <c r="K448" s="597"/>
      <c r="L448" s="597"/>
      <c r="M448" s="597"/>
      <c r="N448" s="597"/>
      <c r="O448" s="597"/>
      <c r="P448" s="597"/>
      <c r="Q448" s="597"/>
      <c r="V448" s="1615"/>
    </row>
    <row r="449" spans="6:22" s="14" customFormat="1" ht="14.25" customHeight="1">
      <c r="F449" s="573"/>
      <c r="G449" s="573"/>
      <c r="H449" s="573"/>
      <c r="I449" s="573"/>
      <c r="J449" s="601"/>
      <c r="K449" s="597"/>
      <c r="L449" s="597"/>
      <c r="M449" s="597"/>
      <c r="N449" s="597"/>
      <c r="O449" s="597"/>
      <c r="P449" s="597"/>
      <c r="Q449" s="597"/>
      <c r="V449" s="1615"/>
    </row>
    <row r="450" spans="6:22" s="14" customFormat="1" ht="14.25" customHeight="1">
      <c r="F450" s="573"/>
      <c r="G450" s="573"/>
      <c r="H450" s="573"/>
      <c r="I450" s="573"/>
      <c r="J450" s="601"/>
      <c r="K450" s="597"/>
      <c r="L450" s="597"/>
      <c r="M450" s="597"/>
      <c r="N450" s="597"/>
      <c r="O450" s="597"/>
      <c r="P450" s="597"/>
      <c r="Q450" s="597"/>
      <c r="V450" s="1615"/>
    </row>
    <row r="451" spans="6:22" s="14" customFormat="1" ht="14.25" customHeight="1">
      <c r="F451" s="573"/>
      <c r="G451" s="573"/>
      <c r="H451" s="573"/>
      <c r="I451" s="573"/>
      <c r="J451" s="601"/>
      <c r="K451" s="597"/>
      <c r="L451" s="597"/>
      <c r="M451" s="597"/>
      <c r="N451" s="597"/>
      <c r="O451" s="597"/>
      <c r="P451" s="597"/>
      <c r="Q451" s="597"/>
      <c r="V451" s="1615"/>
    </row>
    <row r="452" spans="6:22" s="14" customFormat="1" ht="14.25" customHeight="1">
      <c r="F452" s="573"/>
      <c r="G452" s="573"/>
      <c r="H452" s="573"/>
      <c r="I452" s="573"/>
      <c r="J452" s="601"/>
      <c r="K452" s="597"/>
      <c r="L452" s="597"/>
      <c r="M452" s="597"/>
      <c r="N452" s="597"/>
      <c r="O452" s="597"/>
      <c r="P452" s="597"/>
      <c r="Q452" s="597"/>
      <c r="V452" s="1615"/>
    </row>
    <row r="453" spans="6:22" s="14" customFormat="1" ht="14.25" customHeight="1">
      <c r="F453" s="573"/>
      <c r="G453" s="573"/>
      <c r="H453" s="573"/>
      <c r="I453" s="573"/>
      <c r="J453" s="601"/>
      <c r="K453" s="597"/>
      <c r="L453" s="597"/>
      <c r="M453" s="597"/>
      <c r="N453" s="597"/>
      <c r="O453" s="597"/>
      <c r="P453" s="597"/>
      <c r="Q453" s="597"/>
      <c r="V453" s="1615"/>
    </row>
    <row r="454" spans="6:22" s="14" customFormat="1" ht="14.25" customHeight="1">
      <c r="F454" s="573"/>
      <c r="G454" s="573"/>
      <c r="H454" s="573"/>
      <c r="I454" s="573"/>
      <c r="J454" s="601"/>
      <c r="K454" s="597"/>
      <c r="L454" s="597"/>
      <c r="M454" s="597"/>
      <c r="N454" s="597"/>
      <c r="O454" s="597"/>
      <c r="P454" s="597"/>
      <c r="Q454" s="597"/>
      <c r="V454" s="1615"/>
    </row>
    <row r="455" spans="6:22" s="14" customFormat="1" ht="14.25" customHeight="1">
      <c r="F455" s="573"/>
      <c r="G455" s="573"/>
      <c r="H455" s="573"/>
      <c r="I455" s="573"/>
      <c r="J455" s="601"/>
      <c r="K455" s="597"/>
      <c r="L455" s="597"/>
      <c r="M455" s="597"/>
      <c r="N455" s="597"/>
      <c r="O455" s="597"/>
      <c r="P455" s="597"/>
      <c r="Q455" s="597"/>
      <c r="V455" s="1615"/>
    </row>
    <row r="456" spans="6:22" s="14" customFormat="1" ht="14.25" customHeight="1">
      <c r="F456" s="573"/>
      <c r="G456" s="573"/>
      <c r="H456" s="573"/>
      <c r="I456" s="573"/>
      <c r="J456" s="601"/>
      <c r="K456" s="597"/>
      <c r="L456" s="597"/>
      <c r="M456" s="597"/>
      <c r="N456" s="597"/>
      <c r="O456" s="597"/>
      <c r="P456" s="597"/>
      <c r="Q456" s="597"/>
      <c r="V456" s="1615"/>
    </row>
    <row r="457" spans="6:22" s="14" customFormat="1" ht="14.25" customHeight="1">
      <c r="F457" s="573"/>
      <c r="G457" s="573"/>
      <c r="H457" s="573"/>
      <c r="I457" s="573"/>
      <c r="J457" s="601"/>
      <c r="K457" s="597"/>
      <c r="L457" s="597"/>
      <c r="M457" s="597"/>
      <c r="N457" s="597"/>
      <c r="O457" s="597"/>
      <c r="P457" s="597"/>
      <c r="Q457" s="597"/>
      <c r="V457" s="1615"/>
    </row>
    <row r="458" spans="6:22" s="14" customFormat="1" ht="14.25" customHeight="1">
      <c r="F458" s="573"/>
      <c r="G458" s="573"/>
      <c r="H458" s="573"/>
      <c r="I458" s="573"/>
      <c r="J458" s="601"/>
      <c r="K458" s="597"/>
      <c r="L458" s="597"/>
      <c r="M458" s="597"/>
      <c r="N458" s="597"/>
      <c r="O458" s="597"/>
      <c r="P458" s="597"/>
      <c r="Q458" s="597"/>
      <c r="V458" s="1615"/>
    </row>
    <row r="459" spans="6:22" s="14" customFormat="1" ht="14.25" customHeight="1">
      <c r="F459" s="573"/>
      <c r="G459" s="573"/>
      <c r="H459" s="573"/>
      <c r="I459" s="573"/>
      <c r="J459" s="601"/>
      <c r="K459" s="597"/>
      <c r="L459" s="597"/>
      <c r="M459" s="597"/>
      <c r="N459" s="597"/>
      <c r="O459" s="597"/>
      <c r="P459" s="597"/>
      <c r="Q459" s="597"/>
      <c r="V459" s="1615"/>
    </row>
    <row r="460" spans="6:22" s="14" customFormat="1" ht="14.25" customHeight="1">
      <c r="F460" s="573"/>
      <c r="G460" s="573"/>
      <c r="H460" s="573"/>
      <c r="I460" s="573"/>
      <c r="J460" s="601"/>
      <c r="K460" s="597"/>
      <c r="L460" s="597"/>
      <c r="M460" s="597"/>
      <c r="N460" s="597"/>
      <c r="O460" s="597"/>
      <c r="P460" s="597"/>
      <c r="Q460" s="597"/>
      <c r="V460" s="1615"/>
    </row>
    <row r="461" spans="6:22" s="14" customFormat="1" ht="14.25" customHeight="1">
      <c r="F461" s="573"/>
      <c r="G461" s="573"/>
      <c r="H461" s="573"/>
      <c r="I461" s="573"/>
      <c r="J461" s="601"/>
      <c r="K461" s="597"/>
      <c r="L461" s="597"/>
      <c r="M461" s="597"/>
      <c r="N461" s="597"/>
      <c r="O461" s="597"/>
      <c r="P461" s="597"/>
      <c r="Q461" s="597"/>
      <c r="V461" s="1615"/>
    </row>
    <row r="462" spans="6:22" s="14" customFormat="1" ht="14.25" customHeight="1">
      <c r="F462" s="573"/>
      <c r="G462" s="573"/>
      <c r="H462" s="573"/>
      <c r="I462" s="573"/>
      <c r="J462" s="601"/>
      <c r="K462" s="597"/>
      <c r="L462" s="597"/>
      <c r="M462" s="597"/>
      <c r="N462" s="597"/>
      <c r="O462" s="597"/>
      <c r="P462" s="597"/>
      <c r="Q462" s="597"/>
      <c r="V462" s="1615"/>
    </row>
    <row r="463" spans="6:22" s="14" customFormat="1" ht="14.25" customHeight="1">
      <c r="F463" s="573"/>
      <c r="G463" s="573"/>
      <c r="H463" s="573"/>
      <c r="I463" s="573"/>
      <c r="J463" s="601"/>
      <c r="K463" s="597"/>
      <c r="L463" s="597"/>
      <c r="M463" s="597"/>
      <c r="N463" s="597"/>
      <c r="O463" s="597"/>
      <c r="P463" s="597"/>
      <c r="Q463" s="597"/>
      <c r="V463" s="1615"/>
    </row>
    <row r="464" spans="6:22" s="14" customFormat="1" ht="14.25" customHeight="1">
      <c r="F464" s="573"/>
      <c r="G464" s="573"/>
      <c r="H464" s="573"/>
      <c r="I464" s="573"/>
      <c r="J464" s="601"/>
      <c r="K464" s="597"/>
      <c r="L464" s="597"/>
      <c r="M464" s="597"/>
      <c r="N464" s="597"/>
      <c r="O464" s="597"/>
      <c r="P464" s="597"/>
      <c r="Q464" s="597"/>
      <c r="V464" s="1615"/>
    </row>
    <row r="465" spans="6:22" s="14" customFormat="1" ht="14.25" customHeight="1">
      <c r="F465" s="573"/>
      <c r="G465" s="573"/>
      <c r="H465" s="573"/>
      <c r="I465" s="573"/>
      <c r="J465" s="601"/>
      <c r="K465" s="597"/>
      <c r="L465" s="597"/>
      <c r="M465" s="597"/>
      <c r="N465" s="597"/>
      <c r="O465" s="597"/>
      <c r="P465" s="597"/>
      <c r="Q465" s="597"/>
      <c r="V465" s="1615"/>
    </row>
    <row r="466" spans="6:22" s="14" customFormat="1" ht="14.25" customHeight="1">
      <c r="F466" s="573"/>
      <c r="G466" s="573"/>
      <c r="H466" s="573"/>
      <c r="I466" s="573"/>
      <c r="J466" s="601"/>
      <c r="K466" s="597"/>
      <c r="L466" s="597"/>
      <c r="M466" s="597"/>
      <c r="N466" s="597"/>
      <c r="O466" s="597"/>
      <c r="P466" s="597"/>
      <c r="Q466" s="597"/>
      <c r="V466" s="1615"/>
    </row>
    <row r="467" spans="6:22" s="14" customFormat="1" ht="14.25" customHeight="1">
      <c r="F467" s="573"/>
      <c r="G467" s="573"/>
      <c r="H467" s="573"/>
      <c r="I467" s="573"/>
      <c r="J467" s="601"/>
      <c r="K467" s="597"/>
      <c r="L467" s="597"/>
      <c r="M467" s="597"/>
      <c r="N467" s="597"/>
      <c r="O467" s="597"/>
      <c r="P467" s="597"/>
      <c r="Q467" s="597"/>
      <c r="V467" s="1615"/>
    </row>
    <row r="468" spans="6:22" s="14" customFormat="1" ht="14.25" customHeight="1">
      <c r="F468" s="573"/>
      <c r="G468" s="573"/>
      <c r="H468" s="573"/>
      <c r="I468" s="573"/>
      <c r="J468" s="601"/>
      <c r="K468" s="597"/>
      <c r="L468" s="597"/>
      <c r="M468" s="597"/>
      <c r="N468" s="597"/>
      <c r="O468" s="597"/>
      <c r="P468" s="597"/>
      <c r="Q468" s="597"/>
      <c r="V468" s="1615"/>
    </row>
    <row r="469" spans="6:22" s="14" customFormat="1" ht="14.25" customHeight="1">
      <c r="F469" s="573"/>
      <c r="G469" s="573"/>
      <c r="H469" s="573"/>
      <c r="I469" s="573"/>
      <c r="J469" s="601"/>
      <c r="K469" s="597"/>
      <c r="L469" s="597"/>
      <c r="M469" s="597"/>
      <c r="N469" s="597"/>
      <c r="O469" s="597"/>
      <c r="P469" s="597"/>
      <c r="Q469" s="597"/>
      <c r="V469" s="1615"/>
    </row>
    <row r="470" spans="6:22" s="14" customFormat="1" ht="14.25" customHeight="1">
      <c r="F470" s="573"/>
      <c r="G470" s="573"/>
      <c r="H470" s="573"/>
      <c r="I470" s="573"/>
      <c r="J470" s="601"/>
      <c r="K470" s="597"/>
      <c r="L470" s="597"/>
      <c r="M470" s="597"/>
      <c r="N470" s="597"/>
      <c r="O470" s="597"/>
      <c r="P470" s="597"/>
      <c r="Q470" s="597"/>
      <c r="V470" s="1615"/>
    </row>
    <row r="471" spans="6:22" s="14" customFormat="1" ht="14.25" customHeight="1">
      <c r="F471" s="573"/>
      <c r="G471" s="573"/>
      <c r="H471" s="573"/>
      <c r="I471" s="573"/>
      <c r="J471" s="601"/>
      <c r="K471" s="597"/>
      <c r="L471" s="597"/>
      <c r="M471" s="597"/>
      <c r="N471" s="597"/>
      <c r="O471" s="597"/>
      <c r="P471" s="597"/>
      <c r="Q471" s="597"/>
      <c r="V471" s="1615"/>
    </row>
    <row r="472" spans="6:22" s="14" customFormat="1" ht="14.25" customHeight="1">
      <c r="F472" s="573"/>
      <c r="G472" s="573"/>
      <c r="H472" s="573"/>
      <c r="I472" s="573"/>
      <c r="J472" s="601"/>
      <c r="K472" s="597"/>
      <c r="L472" s="597"/>
      <c r="M472" s="597"/>
      <c r="N472" s="597"/>
      <c r="O472" s="597"/>
      <c r="P472" s="597"/>
      <c r="Q472" s="597"/>
      <c r="V472" s="1615"/>
    </row>
    <row r="473" spans="6:22" s="14" customFormat="1" ht="14.25" customHeight="1">
      <c r="F473" s="573"/>
      <c r="G473" s="573"/>
      <c r="H473" s="573"/>
      <c r="I473" s="573"/>
      <c r="J473" s="601"/>
      <c r="K473" s="597"/>
      <c r="L473" s="597"/>
      <c r="M473" s="597"/>
      <c r="N473" s="597"/>
      <c r="O473" s="597"/>
      <c r="P473" s="597"/>
      <c r="Q473" s="597"/>
      <c r="V473" s="1615"/>
    </row>
    <row r="474" spans="6:22" s="14" customFormat="1" ht="14.25" customHeight="1">
      <c r="F474" s="573"/>
      <c r="G474" s="573"/>
      <c r="H474" s="573"/>
      <c r="I474" s="573"/>
      <c r="J474" s="601"/>
      <c r="K474" s="597"/>
      <c r="L474" s="597"/>
      <c r="M474" s="597"/>
      <c r="N474" s="597"/>
      <c r="O474" s="597"/>
      <c r="P474" s="597"/>
      <c r="Q474" s="597"/>
      <c r="V474" s="1615"/>
    </row>
    <row r="475" spans="6:22" s="14" customFormat="1" ht="14.25" customHeight="1">
      <c r="F475" s="573"/>
      <c r="G475" s="573"/>
      <c r="H475" s="573"/>
      <c r="I475" s="573"/>
      <c r="J475" s="601"/>
      <c r="K475" s="597"/>
      <c r="L475" s="597"/>
      <c r="M475" s="597"/>
      <c r="N475" s="597"/>
      <c r="O475" s="597"/>
      <c r="P475" s="597"/>
      <c r="Q475" s="597"/>
      <c r="V475" s="1615"/>
    </row>
    <row r="476" spans="6:22" s="14" customFormat="1" ht="14.25" customHeight="1">
      <c r="F476" s="573"/>
      <c r="G476" s="573"/>
      <c r="H476" s="573"/>
      <c r="I476" s="573"/>
      <c r="J476" s="601"/>
      <c r="K476" s="597"/>
      <c r="L476" s="597"/>
      <c r="M476" s="597"/>
      <c r="N476" s="597"/>
      <c r="O476" s="597"/>
      <c r="P476" s="597"/>
      <c r="Q476" s="597"/>
      <c r="V476" s="1615"/>
    </row>
    <row r="477" spans="6:22" s="14" customFormat="1" ht="14.25" customHeight="1">
      <c r="F477" s="573"/>
      <c r="G477" s="573"/>
      <c r="H477" s="573"/>
      <c r="I477" s="573"/>
      <c r="J477" s="601"/>
      <c r="K477" s="597"/>
      <c r="L477" s="597"/>
      <c r="M477" s="597"/>
      <c r="N477" s="597"/>
      <c r="O477" s="597"/>
      <c r="P477" s="597"/>
      <c r="Q477" s="597"/>
      <c r="V477" s="1615"/>
    </row>
    <row r="478" spans="6:22" s="14" customFormat="1" ht="14.25" customHeight="1">
      <c r="F478" s="573"/>
      <c r="G478" s="573"/>
      <c r="H478" s="573"/>
      <c r="I478" s="573"/>
      <c r="J478" s="601"/>
      <c r="K478" s="597"/>
      <c r="L478" s="597"/>
      <c r="M478" s="597"/>
      <c r="N478" s="597"/>
      <c r="O478" s="597"/>
      <c r="P478" s="597"/>
      <c r="Q478" s="597"/>
      <c r="V478" s="1615"/>
    </row>
    <row r="479" spans="6:22" s="14" customFormat="1" ht="14.25" customHeight="1">
      <c r="F479" s="573"/>
      <c r="G479" s="573"/>
      <c r="H479" s="573"/>
      <c r="I479" s="573"/>
      <c r="J479" s="601"/>
      <c r="K479" s="597"/>
      <c r="L479" s="597"/>
      <c r="M479" s="597"/>
      <c r="N479" s="597"/>
      <c r="O479" s="597"/>
      <c r="P479" s="597"/>
      <c r="Q479" s="597"/>
      <c r="V479" s="1615"/>
    </row>
    <row r="480" spans="6:22" s="14" customFormat="1" ht="14.25" customHeight="1">
      <c r="F480" s="573"/>
      <c r="G480" s="573"/>
      <c r="H480" s="573"/>
      <c r="I480" s="573"/>
      <c r="J480" s="601"/>
      <c r="K480" s="597"/>
      <c r="L480" s="597"/>
      <c r="M480" s="597"/>
      <c r="N480" s="597"/>
      <c r="O480" s="597"/>
      <c r="P480" s="597"/>
      <c r="Q480" s="597"/>
      <c r="V480" s="1615"/>
    </row>
    <row r="481" spans="6:22" s="14" customFormat="1" ht="14.25" customHeight="1">
      <c r="F481" s="573"/>
      <c r="G481" s="573"/>
      <c r="H481" s="573"/>
      <c r="I481" s="573"/>
      <c r="J481" s="601"/>
      <c r="K481" s="597"/>
      <c r="L481" s="597"/>
      <c r="M481" s="597"/>
      <c r="N481" s="597"/>
      <c r="O481" s="597"/>
      <c r="P481" s="597"/>
      <c r="Q481" s="597"/>
      <c r="V481" s="1615"/>
    </row>
    <row r="482" spans="6:22" s="14" customFormat="1" ht="14.25" customHeight="1">
      <c r="F482" s="573"/>
      <c r="G482" s="573"/>
      <c r="H482" s="573"/>
      <c r="I482" s="573"/>
      <c r="J482" s="601"/>
      <c r="K482" s="597"/>
      <c r="L482" s="597"/>
      <c r="M482" s="597"/>
      <c r="N482" s="597"/>
      <c r="O482" s="597"/>
      <c r="P482" s="597"/>
      <c r="Q482" s="597"/>
      <c r="V482" s="1615"/>
    </row>
    <row r="483" spans="6:22" s="14" customFormat="1" ht="14.25" customHeight="1">
      <c r="F483" s="573"/>
      <c r="G483" s="573"/>
      <c r="H483" s="573"/>
      <c r="I483" s="573"/>
      <c r="J483" s="601"/>
      <c r="K483" s="597"/>
      <c r="L483" s="597"/>
      <c r="M483" s="597"/>
      <c r="N483" s="597"/>
      <c r="O483" s="597"/>
      <c r="P483" s="597"/>
      <c r="Q483" s="597"/>
      <c r="V483" s="1615"/>
    </row>
    <row r="484" spans="6:22" s="14" customFormat="1" ht="14.25" customHeight="1">
      <c r="F484" s="573"/>
      <c r="G484" s="573"/>
      <c r="H484" s="573"/>
      <c r="I484" s="573"/>
      <c r="J484" s="601"/>
      <c r="K484" s="597"/>
      <c r="L484" s="597"/>
      <c r="M484" s="597"/>
      <c r="N484" s="597"/>
      <c r="O484" s="597"/>
      <c r="P484" s="597"/>
      <c r="Q484" s="597"/>
      <c r="V484" s="1615"/>
    </row>
    <row r="485" spans="6:22" s="14" customFormat="1" ht="14.25" customHeight="1">
      <c r="F485" s="573"/>
      <c r="G485" s="573"/>
      <c r="H485" s="573"/>
      <c r="I485" s="573"/>
      <c r="J485" s="601"/>
      <c r="K485" s="597"/>
      <c r="L485" s="597"/>
      <c r="M485" s="597"/>
      <c r="N485" s="597"/>
      <c r="O485" s="597"/>
      <c r="P485" s="597"/>
      <c r="Q485" s="597"/>
      <c r="V485" s="1615"/>
    </row>
    <row r="486" spans="6:22" s="14" customFormat="1" ht="14.25" customHeight="1">
      <c r="F486" s="573"/>
      <c r="G486" s="573"/>
      <c r="H486" s="573"/>
      <c r="I486" s="573"/>
      <c r="J486" s="601"/>
      <c r="K486" s="597"/>
      <c r="L486" s="597"/>
      <c r="M486" s="597"/>
      <c r="N486" s="597"/>
      <c r="O486" s="597"/>
      <c r="P486" s="597"/>
      <c r="Q486" s="597"/>
      <c r="V486" s="1615"/>
    </row>
    <row r="487" spans="6:22" s="14" customFormat="1" ht="14.25" customHeight="1">
      <c r="F487" s="573"/>
      <c r="G487" s="573"/>
      <c r="H487" s="573"/>
      <c r="I487" s="573"/>
      <c r="J487" s="601"/>
      <c r="K487" s="597"/>
      <c r="L487" s="597"/>
      <c r="M487" s="597"/>
      <c r="N487" s="597"/>
      <c r="O487" s="597"/>
      <c r="P487" s="597"/>
      <c r="Q487" s="597"/>
      <c r="V487" s="1615"/>
    </row>
    <row r="488" spans="6:22" s="14" customFormat="1" ht="14.25" customHeight="1">
      <c r="F488" s="573"/>
      <c r="G488" s="573"/>
      <c r="H488" s="573"/>
      <c r="I488" s="573"/>
      <c r="J488" s="601"/>
      <c r="K488" s="597"/>
      <c r="L488" s="597"/>
      <c r="M488" s="597"/>
      <c r="N488" s="597"/>
      <c r="O488" s="597"/>
      <c r="P488" s="597"/>
      <c r="Q488" s="597"/>
      <c r="V488" s="1615"/>
    </row>
    <row r="489" spans="6:22" s="14" customFormat="1" ht="14.25" customHeight="1">
      <c r="F489" s="573"/>
      <c r="G489" s="573"/>
      <c r="H489" s="573"/>
      <c r="I489" s="573"/>
      <c r="J489" s="601"/>
      <c r="K489" s="597"/>
      <c r="L489" s="597"/>
      <c r="M489" s="597"/>
      <c r="N489" s="597"/>
      <c r="O489" s="597"/>
      <c r="P489" s="597"/>
      <c r="Q489" s="597"/>
      <c r="V489" s="1615"/>
    </row>
    <row r="490" spans="6:22" s="14" customFormat="1" ht="14.25" customHeight="1">
      <c r="F490" s="573"/>
      <c r="G490" s="573"/>
      <c r="H490" s="573"/>
      <c r="I490" s="573"/>
      <c r="J490" s="601"/>
      <c r="K490" s="597"/>
      <c r="L490" s="597"/>
      <c r="M490" s="597"/>
      <c r="N490" s="597"/>
      <c r="O490" s="597"/>
      <c r="P490" s="597"/>
      <c r="Q490" s="597"/>
      <c r="V490" s="1615"/>
    </row>
    <row r="491" spans="6:22" s="14" customFormat="1" ht="14.25" customHeight="1">
      <c r="F491" s="573"/>
      <c r="G491" s="573"/>
      <c r="H491" s="573"/>
      <c r="I491" s="573"/>
      <c r="J491" s="601"/>
      <c r="K491" s="597"/>
      <c r="L491" s="597"/>
      <c r="M491" s="597"/>
      <c r="N491" s="597"/>
      <c r="O491" s="597"/>
      <c r="P491" s="597"/>
      <c r="Q491" s="597"/>
      <c r="V491" s="1615"/>
    </row>
    <row r="492" spans="6:22" s="14" customFormat="1" ht="14.25" customHeight="1">
      <c r="F492" s="573"/>
      <c r="G492" s="573"/>
      <c r="H492" s="573"/>
      <c r="I492" s="573"/>
      <c r="J492" s="601"/>
      <c r="K492" s="597"/>
      <c r="L492" s="597"/>
      <c r="M492" s="597"/>
      <c r="N492" s="597"/>
      <c r="O492" s="597"/>
      <c r="P492" s="597"/>
      <c r="Q492" s="597"/>
      <c r="V492" s="1615"/>
    </row>
    <row r="493" spans="6:22" s="14" customFormat="1" ht="14.25" customHeight="1">
      <c r="F493" s="573"/>
      <c r="G493" s="573"/>
      <c r="H493" s="573"/>
      <c r="I493" s="573"/>
      <c r="J493" s="601"/>
      <c r="K493" s="597"/>
      <c r="L493" s="597"/>
      <c r="M493" s="597"/>
      <c r="N493" s="597"/>
      <c r="O493" s="597"/>
      <c r="P493" s="597"/>
      <c r="Q493" s="597"/>
      <c r="V493" s="1615"/>
    </row>
    <row r="494" spans="6:22" s="14" customFormat="1" ht="14.25" customHeight="1">
      <c r="F494" s="573"/>
      <c r="G494" s="573"/>
      <c r="H494" s="573"/>
      <c r="I494" s="573"/>
      <c r="J494" s="601"/>
      <c r="K494" s="597"/>
      <c r="L494" s="597"/>
      <c r="M494" s="597"/>
      <c r="N494" s="597"/>
      <c r="O494" s="597"/>
      <c r="P494" s="597"/>
      <c r="Q494" s="597"/>
      <c r="V494" s="1615"/>
    </row>
    <row r="495" spans="6:22" s="14" customFormat="1" ht="14.25" customHeight="1">
      <c r="F495" s="573"/>
      <c r="G495" s="573"/>
      <c r="H495" s="573"/>
      <c r="I495" s="573"/>
      <c r="J495" s="601"/>
      <c r="K495" s="597"/>
      <c r="L495" s="597"/>
      <c r="M495" s="597"/>
      <c r="N495" s="597"/>
      <c r="O495" s="597"/>
      <c r="P495" s="597"/>
      <c r="Q495" s="597"/>
      <c r="V495" s="1615"/>
    </row>
    <row r="496" spans="6:22" s="14" customFormat="1" ht="14.25" customHeight="1">
      <c r="F496" s="573"/>
      <c r="G496" s="573"/>
      <c r="H496" s="573"/>
      <c r="I496" s="573"/>
      <c r="J496" s="601"/>
      <c r="K496" s="597"/>
      <c r="L496" s="597"/>
      <c r="M496" s="597"/>
      <c r="N496" s="597"/>
      <c r="O496" s="597"/>
      <c r="P496" s="597"/>
      <c r="Q496" s="597"/>
      <c r="V496" s="1615"/>
    </row>
    <row r="497" spans="6:22" s="14" customFormat="1" ht="14.25" customHeight="1">
      <c r="F497" s="573"/>
      <c r="G497" s="573"/>
      <c r="H497" s="573"/>
      <c r="I497" s="573"/>
      <c r="J497" s="601"/>
      <c r="K497" s="597"/>
      <c r="L497" s="597"/>
      <c r="M497" s="597"/>
      <c r="N497" s="597"/>
      <c r="O497" s="597"/>
      <c r="P497" s="597"/>
      <c r="Q497" s="597"/>
      <c r="V497" s="1615"/>
    </row>
    <row r="498" spans="6:22" s="14" customFormat="1" ht="14.25" customHeight="1">
      <c r="F498" s="573"/>
      <c r="G498" s="573"/>
      <c r="H498" s="573"/>
      <c r="I498" s="573"/>
      <c r="J498" s="601"/>
      <c r="K498" s="597"/>
      <c r="L498" s="597"/>
      <c r="M498" s="597"/>
      <c r="N498" s="597"/>
      <c r="O498" s="597"/>
      <c r="P498" s="597"/>
      <c r="Q498" s="597"/>
      <c r="V498" s="1615"/>
    </row>
    <row r="499" spans="6:22" s="14" customFormat="1" ht="14.25" customHeight="1">
      <c r="F499" s="573"/>
      <c r="G499" s="573"/>
      <c r="H499" s="573"/>
      <c r="I499" s="573"/>
      <c r="J499" s="601"/>
      <c r="K499" s="597"/>
      <c r="L499" s="597"/>
      <c r="M499" s="597"/>
      <c r="N499" s="597"/>
      <c r="O499" s="597"/>
      <c r="P499" s="597"/>
      <c r="Q499" s="597"/>
      <c r="V499" s="1615"/>
    </row>
    <row r="500" spans="6:22" s="14" customFormat="1" ht="14.25" customHeight="1">
      <c r="F500" s="573"/>
      <c r="G500" s="573"/>
      <c r="H500" s="573"/>
      <c r="I500" s="573"/>
      <c r="J500" s="601"/>
      <c r="K500" s="597"/>
      <c r="L500" s="597"/>
      <c r="M500" s="597"/>
      <c r="N500" s="597"/>
      <c r="O500" s="597"/>
      <c r="P500" s="597"/>
      <c r="Q500" s="597"/>
      <c r="V500" s="1615"/>
    </row>
    <row r="501" spans="6:22" s="14" customFormat="1" ht="14.25" customHeight="1">
      <c r="F501" s="573"/>
      <c r="G501" s="573"/>
      <c r="H501" s="573"/>
      <c r="I501" s="573"/>
      <c r="J501" s="601"/>
      <c r="K501" s="597"/>
      <c r="L501" s="597"/>
      <c r="M501" s="597"/>
      <c r="N501" s="597"/>
      <c r="O501" s="597"/>
      <c r="P501" s="597"/>
      <c r="Q501" s="597"/>
      <c r="V501" s="1615"/>
    </row>
    <row r="502" spans="6:22" s="14" customFormat="1" ht="14.25" customHeight="1">
      <c r="F502" s="573"/>
      <c r="G502" s="573"/>
      <c r="H502" s="573"/>
      <c r="I502" s="573"/>
      <c r="J502" s="601"/>
      <c r="K502" s="597"/>
      <c r="L502" s="597"/>
      <c r="M502" s="597"/>
      <c r="N502" s="597"/>
      <c r="O502" s="597"/>
      <c r="P502" s="597"/>
      <c r="Q502" s="597"/>
      <c r="V502" s="1615"/>
    </row>
    <row r="503" spans="6:22" s="14" customFormat="1" ht="14.25" customHeight="1">
      <c r="F503" s="573"/>
      <c r="G503" s="573"/>
      <c r="H503" s="573"/>
      <c r="I503" s="573"/>
      <c r="J503" s="601"/>
      <c r="K503" s="597"/>
      <c r="L503" s="597"/>
      <c r="M503" s="597"/>
      <c r="N503" s="597"/>
      <c r="O503" s="597"/>
      <c r="P503" s="597"/>
      <c r="Q503" s="597"/>
      <c r="V503" s="1615"/>
    </row>
    <row r="504" spans="6:22" s="14" customFormat="1" ht="14.25" customHeight="1">
      <c r="F504" s="573"/>
      <c r="G504" s="573"/>
      <c r="H504" s="573"/>
      <c r="I504" s="573"/>
      <c r="J504" s="601"/>
      <c r="K504" s="597"/>
      <c r="L504" s="597"/>
      <c r="M504" s="597"/>
      <c r="N504" s="597"/>
      <c r="O504" s="597"/>
      <c r="P504" s="597"/>
      <c r="Q504" s="597"/>
      <c r="V504" s="1615"/>
    </row>
    <row r="505" spans="6:22" s="14" customFormat="1" ht="14.25" customHeight="1">
      <c r="F505" s="573"/>
      <c r="G505" s="573"/>
      <c r="H505" s="573"/>
      <c r="I505" s="573"/>
      <c r="J505" s="601"/>
      <c r="K505" s="597"/>
      <c r="L505" s="597"/>
      <c r="M505" s="597"/>
      <c r="N505" s="597"/>
      <c r="O505" s="597"/>
      <c r="P505" s="597"/>
      <c r="Q505" s="597"/>
      <c r="V505" s="1615"/>
    </row>
    <row r="506" spans="6:22" s="14" customFormat="1" ht="14.25" customHeight="1">
      <c r="F506" s="573"/>
      <c r="G506" s="573"/>
      <c r="H506" s="573"/>
      <c r="I506" s="573"/>
      <c r="J506" s="601"/>
      <c r="K506" s="597"/>
      <c r="L506" s="597"/>
      <c r="M506" s="597"/>
      <c r="N506" s="597"/>
      <c r="O506" s="597"/>
      <c r="P506" s="597"/>
      <c r="Q506" s="597"/>
      <c r="V506" s="1615"/>
    </row>
    <row r="507" spans="6:22" s="14" customFormat="1" ht="14.25" customHeight="1">
      <c r="F507" s="573"/>
      <c r="G507" s="573"/>
      <c r="H507" s="573"/>
      <c r="I507" s="573"/>
      <c r="J507" s="601"/>
      <c r="K507" s="597"/>
      <c r="L507" s="597"/>
      <c r="M507" s="597"/>
      <c r="N507" s="597"/>
      <c r="O507" s="597"/>
      <c r="P507" s="597"/>
      <c r="Q507" s="597"/>
      <c r="V507" s="1615"/>
    </row>
    <row r="508" spans="6:22" s="14" customFormat="1" ht="14.25" customHeight="1">
      <c r="F508" s="573"/>
      <c r="G508" s="573"/>
      <c r="H508" s="573"/>
      <c r="I508" s="573"/>
      <c r="J508" s="601"/>
      <c r="K508" s="597"/>
      <c r="L508" s="597"/>
      <c r="M508" s="597"/>
      <c r="N508" s="597"/>
      <c r="O508" s="597"/>
      <c r="P508" s="597"/>
      <c r="Q508" s="597"/>
      <c r="V508" s="1615"/>
    </row>
    <row r="509" spans="6:22" s="14" customFormat="1" ht="14.25" customHeight="1">
      <c r="F509" s="573"/>
      <c r="G509" s="573"/>
      <c r="H509" s="573"/>
      <c r="I509" s="573"/>
      <c r="J509" s="601"/>
      <c r="K509" s="597"/>
      <c r="L509" s="597"/>
      <c r="M509" s="597"/>
      <c r="N509" s="597"/>
      <c r="O509" s="597"/>
      <c r="P509" s="597"/>
      <c r="Q509" s="597"/>
      <c r="V509" s="1615"/>
    </row>
    <row r="510" spans="6:22" s="14" customFormat="1" ht="14.25" customHeight="1">
      <c r="F510" s="573"/>
      <c r="G510" s="573"/>
      <c r="H510" s="573"/>
      <c r="I510" s="573"/>
      <c r="J510" s="601"/>
      <c r="K510" s="597"/>
      <c r="L510" s="597"/>
      <c r="M510" s="597"/>
      <c r="N510" s="597"/>
      <c r="O510" s="597"/>
      <c r="P510" s="597"/>
      <c r="Q510" s="597"/>
      <c r="V510" s="1615"/>
    </row>
    <row r="511" spans="6:22" s="14" customFormat="1" ht="14.25" customHeight="1">
      <c r="F511" s="573"/>
      <c r="G511" s="573"/>
      <c r="H511" s="573"/>
      <c r="I511" s="573"/>
      <c r="J511" s="601"/>
      <c r="K511" s="597"/>
      <c r="L511" s="597"/>
      <c r="M511" s="597"/>
      <c r="N511" s="597"/>
      <c r="O511" s="597"/>
      <c r="P511" s="597"/>
      <c r="Q511" s="597"/>
      <c r="V511" s="1615"/>
    </row>
    <row r="512" spans="6:22" s="14" customFormat="1" ht="14.25" customHeight="1">
      <c r="F512" s="573"/>
      <c r="G512" s="573"/>
      <c r="H512" s="573"/>
      <c r="I512" s="573"/>
      <c r="J512" s="601"/>
      <c r="K512" s="597"/>
      <c r="L512" s="597"/>
      <c r="M512" s="597"/>
      <c r="N512" s="597"/>
      <c r="O512" s="597"/>
      <c r="P512" s="597"/>
      <c r="Q512" s="597"/>
      <c r="V512" s="1615"/>
    </row>
    <row r="513" spans="6:22" s="14" customFormat="1" ht="14.25" customHeight="1">
      <c r="F513" s="573"/>
      <c r="G513" s="573"/>
      <c r="H513" s="573"/>
      <c r="I513" s="573"/>
      <c r="J513" s="601"/>
      <c r="K513" s="597"/>
      <c r="L513" s="597"/>
      <c r="M513" s="597"/>
      <c r="N513" s="597"/>
      <c r="O513" s="597"/>
      <c r="P513" s="597"/>
      <c r="Q513" s="597"/>
      <c r="V513" s="1615"/>
    </row>
    <row r="514" spans="6:22" s="14" customFormat="1" ht="14.25" customHeight="1">
      <c r="F514" s="573"/>
      <c r="G514" s="573"/>
      <c r="H514" s="573"/>
      <c r="I514" s="573"/>
      <c r="J514" s="601"/>
      <c r="K514" s="597"/>
      <c r="L514" s="597"/>
      <c r="M514" s="597"/>
      <c r="N514" s="597"/>
      <c r="O514" s="597"/>
      <c r="P514" s="597"/>
      <c r="Q514" s="597"/>
      <c r="V514" s="1615"/>
    </row>
    <row r="515" spans="6:22" s="14" customFormat="1" ht="14.25" customHeight="1">
      <c r="F515" s="573"/>
      <c r="G515" s="573"/>
      <c r="H515" s="573"/>
      <c r="I515" s="573"/>
      <c r="J515" s="601"/>
      <c r="K515" s="597"/>
      <c r="L515" s="597"/>
      <c r="M515" s="597"/>
      <c r="N515" s="597"/>
      <c r="O515" s="597"/>
      <c r="P515" s="597"/>
      <c r="Q515" s="597"/>
      <c r="V515" s="1615"/>
    </row>
    <row r="516" spans="6:22" s="14" customFormat="1" ht="14.25" customHeight="1">
      <c r="F516" s="573"/>
      <c r="G516" s="573"/>
      <c r="H516" s="573"/>
      <c r="I516" s="573"/>
      <c r="J516" s="601"/>
      <c r="K516" s="597"/>
      <c r="L516" s="597"/>
      <c r="M516" s="597"/>
      <c r="N516" s="597"/>
      <c r="O516" s="597"/>
      <c r="P516" s="597"/>
      <c r="Q516" s="597"/>
      <c r="V516" s="1615"/>
    </row>
    <row r="517" spans="6:22" s="14" customFormat="1" ht="14.25" customHeight="1">
      <c r="F517" s="573"/>
      <c r="G517" s="573"/>
      <c r="H517" s="573"/>
      <c r="I517" s="573"/>
      <c r="J517" s="601"/>
      <c r="K517" s="597"/>
      <c r="L517" s="597"/>
      <c r="M517" s="597"/>
      <c r="N517" s="597"/>
      <c r="O517" s="597"/>
      <c r="P517" s="597"/>
      <c r="Q517" s="597"/>
      <c r="V517" s="1615"/>
    </row>
    <row r="518" spans="6:22" s="14" customFormat="1" ht="14.25" customHeight="1">
      <c r="F518" s="573"/>
      <c r="G518" s="573"/>
      <c r="H518" s="573"/>
      <c r="I518" s="573"/>
      <c r="J518" s="601"/>
      <c r="K518" s="597"/>
      <c r="L518" s="597"/>
      <c r="M518" s="597"/>
      <c r="N518" s="597"/>
      <c r="O518" s="597"/>
      <c r="P518" s="597"/>
      <c r="Q518" s="597"/>
      <c r="V518" s="1615"/>
    </row>
    <row r="519" spans="6:22" s="14" customFormat="1" ht="14.25" customHeight="1">
      <c r="F519" s="573"/>
      <c r="G519" s="573"/>
      <c r="H519" s="573"/>
      <c r="I519" s="573"/>
      <c r="J519" s="601"/>
      <c r="K519" s="597"/>
      <c r="L519" s="597"/>
      <c r="M519" s="597"/>
      <c r="N519" s="597"/>
      <c r="O519" s="597"/>
      <c r="P519" s="597"/>
      <c r="Q519" s="597"/>
      <c r="V519" s="1615"/>
    </row>
    <row r="520" spans="6:22" s="14" customFormat="1" ht="14.25" customHeight="1">
      <c r="F520" s="573"/>
      <c r="G520" s="573"/>
      <c r="H520" s="573"/>
      <c r="I520" s="573"/>
      <c r="J520" s="601"/>
      <c r="K520" s="597"/>
      <c r="L520" s="597"/>
      <c r="M520" s="597"/>
      <c r="N520" s="597"/>
      <c r="O520" s="597"/>
      <c r="P520" s="597"/>
      <c r="Q520" s="597"/>
      <c r="V520" s="1615"/>
    </row>
    <row r="521" spans="6:22" s="14" customFormat="1" ht="14.25" customHeight="1">
      <c r="F521" s="573"/>
      <c r="G521" s="573"/>
      <c r="H521" s="573"/>
      <c r="I521" s="573"/>
      <c r="J521" s="601"/>
      <c r="K521" s="597"/>
      <c r="L521" s="597"/>
      <c r="M521" s="597"/>
      <c r="N521" s="597"/>
      <c r="O521" s="597"/>
      <c r="P521" s="597"/>
      <c r="Q521" s="597"/>
      <c r="V521" s="1615"/>
    </row>
    <row r="522" spans="6:22" s="14" customFormat="1" ht="14.25" customHeight="1">
      <c r="F522" s="573"/>
      <c r="G522" s="573"/>
      <c r="H522" s="573"/>
      <c r="I522" s="573"/>
      <c r="J522" s="601"/>
      <c r="K522" s="597"/>
      <c r="L522" s="597"/>
      <c r="M522" s="597"/>
      <c r="N522" s="597"/>
      <c r="O522" s="597"/>
      <c r="P522" s="597"/>
      <c r="Q522" s="597"/>
      <c r="V522" s="1615"/>
    </row>
    <row r="523" spans="6:22" s="14" customFormat="1" ht="14.25" customHeight="1">
      <c r="F523" s="573"/>
      <c r="G523" s="573"/>
      <c r="H523" s="573"/>
      <c r="I523" s="573"/>
      <c r="J523" s="601"/>
      <c r="K523" s="597"/>
      <c r="L523" s="597"/>
      <c r="M523" s="597"/>
      <c r="N523" s="597"/>
      <c r="O523" s="597"/>
      <c r="P523" s="597"/>
      <c r="Q523" s="597"/>
      <c r="V523" s="1615"/>
    </row>
    <row r="524" spans="6:22" s="14" customFormat="1" ht="14.25" customHeight="1">
      <c r="F524" s="573"/>
      <c r="G524" s="573"/>
      <c r="H524" s="573"/>
      <c r="I524" s="573"/>
      <c r="J524" s="601"/>
      <c r="K524" s="597"/>
      <c r="L524" s="597"/>
      <c r="M524" s="597"/>
      <c r="N524" s="597"/>
      <c r="O524" s="597"/>
      <c r="P524" s="597"/>
      <c r="Q524" s="597"/>
      <c r="V524" s="1615"/>
    </row>
    <row r="525" spans="6:22" s="14" customFormat="1" ht="14.25" customHeight="1">
      <c r="F525" s="573"/>
      <c r="G525" s="573"/>
      <c r="H525" s="573"/>
      <c r="I525" s="573"/>
      <c r="J525" s="601"/>
      <c r="K525" s="597"/>
      <c r="L525" s="597"/>
      <c r="M525" s="597"/>
      <c r="N525" s="597"/>
      <c r="O525" s="597"/>
      <c r="P525" s="597"/>
      <c r="Q525" s="597"/>
      <c r="V525" s="1615"/>
    </row>
    <row r="526" spans="6:22" s="14" customFormat="1" ht="14.25" customHeight="1">
      <c r="F526" s="573"/>
      <c r="G526" s="573"/>
      <c r="H526" s="573"/>
      <c r="I526" s="573"/>
      <c r="J526" s="601"/>
      <c r="K526" s="597"/>
      <c r="L526" s="597"/>
      <c r="M526" s="597"/>
      <c r="N526" s="597"/>
      <c r="O526" s="597"/>
      <c r="P526" s="597"/>
      <c r="Q526" s="597"/>
      <c r="V526" s="1615"/>
    </row>
    <row r="527" spans="6:22" s="14" customFormat="1" ht="14.25" customHeight="1">
      <c r="F527" s="573"/>
      <c r="G527" s="573"/>
      <c r="H527" s="573"/>
      <c r="I527" s="573"/>
      <c r="J527" s="601"/>
      <c r="K527" s="597"/>
      <c r="L527" s="597"/>
      <c r="M527" s="597"/>
      <c r="N527" s="597"/>
      <c r="O527" s="597"/>
      <c r="P527" s="597"/>
      <c r="Q527" s="597"/>
      <c r="V527" s="1615"/>
    </row>
    <row r="528" spans="6:22" s="14" customFormat="1" ht="14.25" customHeight="1">
      <c r="F528" s="573"/>
      <c r="G528" s="573"/>
      <c r="H528" s="573"/>
      <c r="I528" s="573"/>
      <c r="J528" s="601"/>
      <c r="K528" s="597"/>
      <c r="L528" s="597"/>
      <c r="M528" s="597"/>
      <c r="N528" s="597"/>
      <c r="O528" s="597"/>
      <c r="P528" s="597"/>
      <c r="Q528" s="597"/>
      <c r="V528" s="1615"/>
    </row>
    <row r="529" spans="6:22" s="14" customFormat="1" ht="14.25" customHeight="1">
      <c r="F529" s="573"/>
      <c r="G529" s="573"/>
      <c r="H529" s="573"/>
      <c r="I529" s="573"/>
      <c r="J529" s="601"/>
      <c r="K529" s="597"/>
      <c r="L529" s="597"/>
      <c r="M529" s="597"/>
      <c r="N529" s="597"/>
      <c r="O529" s="597"/>
      <c r="P529" s="597"/>
      <c r="Q529" s="597"/>
      <c r="V529" s="1615"/>
    </row>
    <row r="530" spans="6:22" s="14" customFormat="1" ht="14.25" customHeight="1">
      <c r="F530" s="573"/>
      <c r="G530" s="573"/>
      <c r="H530" s="573"/>
      <c r="I530" s="573"/>
      <c r="J530" s="601"/>
      <c r="K530" s="597"/>
      <c r="L530" s="597"/>
      <c r="M530" s="597"/>
      <c r="N530" s="597"/>
      <c r="O530" s="597"/>
      <c r="P530" s="597"/>
      <c r="Q530" s="597"/>
      <c r="V530" s="1615"/>
    </row>
    <row r="531" spans="6:22" s="14" customFormat="1" ht="14.25" customHeight="1">
      <c r="F531" s="573"/>
      <c r="G531" s="573"/>
      <c r="H531" s="573"/>
      <c r="I531" s="573"/>
      <c r="J531" s="601"/>
      <c r="K531" s="597"/>
      <c r="L531" s="597"/>
      <c r="M531" s="597"/>
      <c r="N531" s="597"/>
      <c r="O531" s="597"/>
      <c r="P531" s="597"/>
      <c r="Q531" s="597"/>
      <c r="V531" s="1615"/>
    </row>
    <row r="532" spans="6:22" s="14" customFormat="1" ht="14.25" customHeight="1">
      <c r="F532" s="573"/>
      <c r="G532" s="573"/>
      <c r="H532" s="573"/>
      <c r="I532" s="573"/>
      <c r="J532" s="601"/>
      <c r="K532" s="597"/>
      <c r="L532" s="597"/>
      <c r="M532" s="597"/>
      <c r="N532" s="597"/>
      <c r="O532" s="597"/>
      <c r="P532" s="597"/>
      <c r="Q532" s="597"/>
      <c r="V532" s="1615"/>
    </row>
    <row r="533" spans="6:22" s="14" customFormat="1" ht="14.25" customHeight="1">
      <c r="F533" s="573"/>
      <c r="G533" s="573"/>
      <c r="H533" s="573"/>
      <c r="I533" s="573"/>
      <c r="J533" s="601"/>
      <c r="K533" s="597"/>
      <c r="L533" s="597"/>
      <c r="M533" s="597"/>
      <c r="N533" s="597"/>
      <c r="O533" s="597"/>
      <c r="P533" s="597"/>
      <c r="Q533" s="597"/>
      <c r="V533" s="1615"/>
    </row>
    <row r="534" spans="6:22" s="14" customFormat="1" ht="14.25" customHeight="1">
      <c r="F534" s="573"/>
      <c r="G534" s="573"/>
      <c r="H534" s="573"/>
      <c r="I534" s="573"/>
      <c r="J534" s="601"/>
      <c r="K534" s="597"/>
      <c r="L534" s="597"/>
      <c r="M534" s="597"/>
      <c r="N534" s="597"/>
      <c r="O534" s="597"/>
      <c r="P534" s="597"/>
      <c r="Q534" s="597"/>
      <c r="V534" s="1615"/>
    </row>
    <row r="535" spans="6:22" s="14" customFormat="1" ht="14.25" customHeight="1">
      <c r="F535" s="573"/>
      <c r="G535" s="573"/>
      <c r="H535" s="573"/>
      <c r="I535" s="573"/>
      <c r="J535" s="601"/>
      <c r="K535" s="597"/>
      <c r="L535" s="597"/>
      <c r="M535" s="597"/>
      <c r="N535" s="597"/>
      <c r="O535" s="597"/>
      <c r="P535" s="597"/>
      <c r="Q535" s="597"/>
      <c r="V535" s="1615"/>
    </row>
    <row r="536" spans="6:22" s="14" customFormat="1" ht="14.25" customHeight="1">
      <c r="F536" s="573"/>
      <c r="G536" s="573"/>
      <c r="H536" s="573"/>
      <c r="I536" s="573"/>
      <c r="J536" s="601"/>
      <c r="K536" s="597"/>
      <c r="L536" s="597"/>
      <c r="M536" s="597"/>
      <c r="N536" s="597"/>
      <c r="O536" s="597"/>
      <c r="P536" s="597"/>
      <c r="Q536" s="597"/>
      <c r="V536" s="1615"/>
    </row>
    <row r="537" spans="6:22" s="14" customFormat="1" ht="14.25" customHeight="1">
      <c r="F537" s="573"/>
      <c r="G537" s="573"/>
      <c r="H537" s="573"/>
      <c r="I537" s="573"/>
      <c r="J537" s="601"/>
      <c r="K537" s="597"/>
      <c r="L537" s="597"/>
      <c r="M537" s="597"/>
      <c r="N537" s="597"/>
      <c r="O537" s="597"/>
      <c r="P537" s="597"/>
      <c r="Q537" s="597"/>
      <c r="V537" s="1615"/>
    </row>
    <row r="538" spans="6:22" s="14" customFormat="1" ht="14.25" customHeight="1">
      <c r="F538" s="573"/>
      <c r="G538" s="573"/>
      <c r="H538" s="573"/>
      <c r="I538" s="573"/>
      <c r="J538" s="601"/>
      <c r="K538" s="597"/>
      <c r="L538" s="597"/>
      <c r="M538" s="597"/>
      <c r="N538" s="597"/>
      <c r="O538" s="597"/>
      <c r="P538" s="597"/>
      <c r="Q538" s="597"/>
      <c r="V538" s="1615"/>
    </row>
    <row r="539" spans="6:22" s="14" customFormat="1" ht="14.25" customHeight="1">
      <c r="F539" s="573"/>
      <c r="G539" s="573"/>
      <c r="H539" s="573"/>
      <c r="I539" s="573"/>
      <c r="J539" s="601"/>
      <c r="K539" s="597"/>
      <c r="L539" s="597"/>
      <c r="M539" s="597"/>
      <c r="N539" s="597"/>
      <c r="O539" s="597"/>
      <c r="P539" s="597"/>
      <c r="Q539" s="597"/>
      <c r="V539" s="1615"/>
    </row>
    <row r="540" spans="6:22" s="14" customFormat="1" ht="14.25" customHeight="1">
      <c r="F540" s="573"/>
      <c r="G540" s="573"/>
      <c r="H540" s="573"/>
      <c r="I540" s="573"/>
      <c r="J540" s="601"/>
      <c r="K540" s="597"/>
      <c r="L540" s="597"/>
      <c r="M540" s="597"/>
      <c r="N540" s="597"/>
      <c r="O540" s="597"/>
      <c r="P540" s="597"/>
      <c r="Q540" s="597"/>
      <c r="V540" s="1615"/>
    </row>
    <row r="541" spans="6:22" s="14" customFormat="1" ht="14.25" customHeight="1">
      <c r="F541" s="573"/>
      <c r="G541" s="573"/>
      <c r="H541" s="573"/>
      <c r="I541" s="573"/>
      <c r="J541" s="601"/>
      <c r="K541" s="597"/>
      <c r="L541" s="597"/>
      <c r="M541" s="597"/>
      <c r="N541" s="597"/>
      <c r="O541" s="597"/>
      <c r="P541" s="597"/>
      <c r="Q541" s="597"/>
      <c r="V541" s="1615"/>
    </row>
    <row r="542" spans="6:22" s="14" customFormat="1" ht="14.25" customHeight="1">
      <c r="F542" s="573"/>
      <c r="G542" s="573"/>
      <c r="H542" s="573"/>
      <c r="I542" s="573"/>
      <c r="J542" s="601"/>
      <c r="K542" s="597"/>
      <c r="L542" s="597"/>
      <c r="M542" s="597"/>
      <c r="N542" s="597"/>
      <c r="O542" s="597"/>
      <c r="P542" s="597"/>
      <c r="Q542" s="597"/>
      <c r="V542" s="1615"/>
    </row>
    <row r="543" spans="6:22" s="14" customFormat="1" ht="14.25" customHeight="1">
      <c r="F543" s="573"/>
      <c r="G543" s="573"/>
      <c r="H543" s="573"/>
      <c r="I543" s="573"/>
      <c r="J543" s="601"/>
      <c r="K543" s="597"/>
      <c r="L543" s="597"/>
      <c r="M543" s="597"/>
      <c r="N543" s="597"/>
      <c r="O543" s="597"/>
      <c r="P543" s="597"/>
      <c r="Q543" s="597"/>
      <c r="V543" s="1615"/>
    </row>
    <row r="544" spans="6:22" s="14" customFormat="1" ht="14.25" customHeight="1">
      <c r="F544" s="573"/>
      <c r="G544" s="573"/>
      <c r="H544" s="573"/>
      <c r="I544" s="573"/>
      <c r="J544" s="601"/>
      <c r="K544" s="597"/>
      <c r="L544" s="597"/>
      <c r="M544" s="597"/>
      <c r="N544" s="597"/>
      <c r="O544" s="597"/>
      <c r="P544" s="597"/>
      <c r="Q544" s="597"/>
      <c r="V544" s="1615"/>
    </row>
    <row r="545" spans="6:22" s="14" customFormat="1" ht="14.25" customHeight="1">
      <c r="F545" s="573"/>
      <c r="G545" s="573"/>
      <c r="H545" s="573"/>
      <c r="I545" s="573"/>
      <c r="J545" s="601"/>
      <c r="K545" s="597"/>
      <c r="L545" s="597"/>
      <c r="M545" s="597"/>
      <c r="N545" s="597"/>
      <c r="O545" s="597"/>
      <c r="P545" s="597"/>
      <c r="Q545" s="597"/>
      <c r="V545" s="1615"/>
    </row>
    <row r="546" spans="6:22" s="14" customFormat="1" ht="14.25" customHeight="1">
      <c r="F546" s="573"/>
      <c r="G546" s="573"/>
      <c r="H546" s="573"/>
      <c r="I546" s="573"/>
      <c r="J546" s="601"/>
      <c r="K546" s="597"/>
      <c r="L546" s="597"/>
      <c r="M546" s="597"/>
      <c r="N546" s="597"/>
      <c r="O546" s="597"/>
      <c r="P546" s="597"/>
      <c r="Q546" s="597"/>
      <c r="V546" s="1615"/>
    </row>
    <row r="547" spans="6:22" s="14" customFormat="1" ht="14.25" customHeight="1">
      <c r="F547" s="573"/>
      <c r="G547" s="573"/>
      <c r="H547" s="573"/>
      <c r="I547" s="573"/>
      <c r="J547" s="601"/>
      <c r="K547" s="597"/>
      <c r="L547" s="597"/>
      <c r="M547" s="597"/>
      <c r="N547" s="597"/>
      <c r="O547" s="597"/>
      <c r="P547" s="597"/>
      <c r="Q547" s="597"/>
      <c r="V547" s="1615"/>
    </row>
    <row r="548" spans="6:22" s="14" customFormat="1" ht="14.25" customHeight="1">
      <c r="F548" s="573"/>
      <c r="G548" s="573"/>
      <c r="H548" s="573"/>
      <c r="I548" s="573"/>
      <c r="J548" s="601"/>
      <c r="K548" s="597"/>
      <c r="L548" s="597"/>
      <c r="M548" s="597"/>
      <c r="N548" s="597"/>
      <c r="O548" s="597"/>
      <c r="P548" s="597"/>
      <c r="Q548" s="597"/>
      <c r="V548" s="1615"/>
    </row>
    <row r="549" spans="6:22" s="14" customFormat="1" ht="14.25" customHeight="1">
      <c r="F549" s="573"/>
      <c r="G549" s="573"/>
      <c r="H549" s="573"/>
      <c r="I549" s="573"/>
      <c r="J549" s="601"/>
      <c r="K549" s="597"/>
      <c r="L549" s="597"/>
      <c r="M549" s="597"/>
      <c r="N549" s="597"/>
      <c r="O549" s="597"/>
      <c r="P549" s="597"/>
      <c r="Q549" s="597"/>
      <c r="V549" s="1615"/>
    </row>
    <row r="550" spans="6:22" s="14" customFormat="1" ht="14.25" customHeight="1">
      <c r="F550" s="573"/>
      <c r="G550" s="573"/>
      <c r="H550" s="573"/>
      <c r="I550" s="573"/>
      <c r="J550" s="601"/>
      <c r="K550" s="597"/>
      <c r="L550" s="597"/>
      <c r="M550" s="597"/>
      <c r="N550" s="597"/>
      <c r="O550" s="597"/>
      <c r="P550" s="597"/>
      <c r="Q550" s="597"/>
      <c r="V550" s="1615"/>
    </row>
    <row r="551" spans="6:22" s="14" customFormat="1" ht="14.25" customHeight="1">
      <c r="F551" s="573"/>
      <c r="G551" s="573"/>
      <c r="H551" s="573"/>
      <c r="I551" s="573"/>
      <c r="J551" s="601"/>
      <c r="K551" s="597"/>
      <c r="L551" s="597"/>
      <c r="M551" s="597"/>
      <c r="N551" s="597"/>
      <c r="O551" s="597"/>
      <c r="P551" s="597"/>
      <c r="Q551" s="597"/>
      <c r="V551" s="1615"/>
    </row>
    <row r="552" spans="6:22" s="14" customFormat="1" ht="14.25" customHeight="1">
      <c r="F552" s="573"/>
      <c r="G552" s="573"/>
      <c r="H552" s="573"/>
      <c r="I552" s="573"/>
      <c r="J552" s="601"/>
      <c r="K552" s="597"/>
      <c r="L552" s="597"/>
      <c r="M552" s="597"/>
      <c r="N552" s="597"/>
      <c r="O552" s="597"/>
      <c r="P552" s="597"/>
      <c r="Q552" s="597"/>
      <c r="V552" s="1615"/>
    </row>
    <row r="553" spans="6:22" s="14" customFormat="1" ht="14.25" customHeight="1">
      <c r="F553" s="573"/>
      <c r="G553" s="573"/>
      <c r="H553" s="573"/>
      <c r="I553" s="573"/>
      <c r="J553" s="601"/>
      <c r="K553" s="597"/>
      <c r="L553" s="597"/>
      <c r="M553" s="597"/>
      <c r="N553" s="597"/>
      <c r="O553" s="597"/>
      <c r="P553" s="597"/>
      <c r="Q553" s="597"/>
      <c r="V553" s="1615"/>
    </row>
    <row r="554" spans="6:22" s="14" customFormat="1" ht="14.25" customHeight="1">
      <c r="F554" s="573"/>
      <c r="G554" s="573"/>
      <c r="H554" s="573"/>
      <c r="I554" s="573"/>
      <c r="J554" s="601"/>
      <c r="K554" s="597"/>
      <c r="L554" s="597"/>
      <c r="M554" s="597"/>
      <c r="N554" s="597"/>
      <c r="O554" s="597"/>
      <c r="P554" s="597"/>
      <c r="Q554" s="597"/>
      <c r="V554" s="1615"/>
    </row>
    <row r="555" spans="6:22" s="14" customFormat="1" ht="14.25" customHeight="1">
      <c r="F555" s="573"/>
      <c r="G555" s="573"/>
      <c r="H555" s="573"/>
      <c r="I555" s="573"/>
      <c r="J555" s="601"/>
      <c r="K555" s="597"/>
      <c r="L555" s="597"/>
      <c r="M555" s="597"/>
      <c r="N555" s="597"/>
      <c r="O555" s="597"/>
      <c r="P555" s="597"/>
      <c r="Q555" s="597"/>
      <c r="V555" s="1615"/>
    </row>
    <row r="556" spans="6:22" s="14" customFormat="1" ht="14.25" customHeight="1">
      <c r="F556" s="573"/>
      <c r="G556" s="573"/>
      <c r="H556" s="573"/>
      <c r="I556" s="573"/>
      <c r="J556" s="601"/>
      <c r="K556" s="597"/>
      <c r="L556" s="597"/>
      <c r="M556" s="597"/>
      <c r="N556" s="597"/>
      <c r="O556" s="597"/>
      <c r="P556" s="597"/>
      <c r="Q556" s="597"/>
      <c r="V556" s="1615"/>
    </row>
    <row r="557" spans="6:22" s="14" customFormat="1" ht="14.25" customHeight="1">
      <c r="F557" s="573"/>
      <c r="G557" s="573"/>
      <c r="H557" s="573"/>
      <c r="I557" s="573"/>
      <c r="J557" s="601"/>
      <c r="K557" s="597"/>
      <c r="L557" s="597"/>
      <c r="M557" s="597"/>
      <c r="N557" s="597"/>
      <c r="O557" s="597"/>
      <c r="P557" s="597"/>
      <c r="Q557" s="597"/>
      <c r="V557" s="1615"/>
    </row>
    <row r="558" spans="6:22" s="14" customFormat="1" ht="14.25" customHeight="1">
      <c r="F558" s="573"/>
      <c r="G558" s="573"/>
      <c r="H558" s="573"/>
      <c r="I558" s="573"/>
      <c r="J558" s="601"/>
      <c r="K558" s="597"/>
      <c r="L558" s="597"/>
      <c r="M558" s="597"/>
      <c r="N558" s="597"/>
      <c r="O558" s="597"/>
      <c r="P558" s="597"/>
      <c r="Q558" s="597"/>
      <c r="V558" s="1615"/>
    </row>
    <row r="559" spans="6:22" s="14" customFormat="1" ht="14.25" customHeight="1">
      <c r="F559" s="573"/>
      <c r="G559" s="573"/>
      <c r="H559" s="573"/>
      <c r="I559" s="573"/>
      <c r="J559" s="601"/>
      <c r="K559" s="597"/>
      <c r="L559" s="597"/>
      <c r="M559" s="597"/>
      <c r="N559" s="597"/>
      <c r="O559" s="597"/>
      <c r="P559" s="597"/>
      <c r="Q559" s="597"/>
      <c r="V559" s="1615"/>
    </row>
    <row r="560" spans="6:22" s="14" customFormat="1" ht="14.25" customHeight="1">
      <c r="F560" s="573"/>
      <c r="G560" s="573"/>
      <c r="H560" s="573"/>
      <c r="I560" s="573"/>
      <c r="J560" s="601"/>
      <c r="K560" s="597"/>
      <c r="L560" s="597"/>
      <c r="M560" s="597"/>
      <c r="N560" s="597"/>
      <c r="O560" s="597"/>
      <c r="P560" s="597"/>
      <c r="Q560" s="597"/>
      <c r="V560" s="1615"/>
    </row>
    <row r="561" spans="6:22" s="14" customFormat="1" ht="14.25" customHeight="1">
      <c r="F561" s="573"/>
      <c r="G561" s="573"/>
      <c r="H561" s="573"/>
      <c r="I561" s="573"/>
      <c r="J561" s="601"/>
      <c r="K561" s="597"/>
      <c r="L561" s="597"/>
      <c r="M561" s="597"/>
      <c r="N561" s="597"/>
      <c r="O561" s="597"/>
      <c r="P561" s="597"/>
      <c r="Q561" s="597"/>
      <c r="V561" s="1615"/>
    </row>
    <row r="562" spans="6:22" s="14" customFormat="1" ht="14.25" customHeight="1">
      <c r="F562" s="573"/>
      <c r="G562" s="573"/>
      <c r="H562" s="573"/>
      <c r="I562" s="573"/>
      <c r="J562" s="601"/>
      <c r="K562" s="597"/>
      <c r="L562" s="597"/>
      <c r="M562" s="597"/>
      <c r="N562" s="597"/>
      <c r="O562" s="597"/>
      <c r="P562" s="597"/>
      <c r="Q562" s="597"/>
      <c r="V562" s="1615"/>
    </row>
    <row r="563" spans="6:22" s="14" customFormat="1" ht="14.25" customHeight="1">
      <c r="F563" s="573"/>
      <c r="G563" s="573"/>
      <c r="H563" s="573"/>
      <c r="I563" s="573"/>
      <c r="J563" s="601"/>
      <c r="K563" s="597"/>
      <c r="L563" s="597"/>
      <c r="M563" s="597"/>
      <c r="N563" s="597"/>
      <c r="O563" s="597"/>
      <c r="P563" s="597"/>
      <c r="Q563" s="597"/>
      <c r="V563" s="1615"/>
    </row>
    <row r="564" spans="6:22" s="14" customFormat="1" ht="14.25" customHeight="1">
      <c r="F564" s="573"/>
      <c r="G564" s="573"/>
      <c r="H564" s="573"/>
      <c r="I564" s="573"/>
      <c r="J564" s="601"/>
      <c r="K564" s="597"/>
      <c r="L564" s="597"/>
      <c r="M564" s="597"/>
      <c r="N564" s="597"/>
      <c r="O564" s="597"/>
      <c r="P564" s="597"/>
      <c r="Q564" s="597"/>
      <c r="V564" s="1615"/>
    </row>
    <row r="565" spans="6:22" s="14" customFormat="1" ht="14.25" customHeight="1">
      <c r="F565" s="573"/>
      <c r="G565" s="573"/>
      <c r="H565" s="573"/>
      <c r="I565" s="573"/>
      <c r="J565" s="601"/>
      <c r="K565" s="597"/>
      <c r="L565" s="597"/>
      <c r="M565" s="597"/>
      <c r="N565" s="597"/>
      <c r="O565" s="597"/>
      <c r="P565" s="597"/>
      <c r="Q565" s="597"/>
      <c r="V565" s="1615"/>
    </row>
    <row r="566" spans="6:22" s="14" customFormat="1" ht="14.25" customHeight="1">
      <c r="F566" s="573"/>
      <c r="G566" s="573"/>
      <c r="H566" s="573"/>
      <c r="I566" s="573"/>
      <c r="J566" s="601"/>
      <c r="K566" s="597"/>
      <c r="L566" s="597"/>
      <c r="M566" s="597"/>
      <c r="N566" s="597"/>
      <c r="O566" s="597"/>
      <c r="P566" s="597"/>
      <c r="Q566" s="597"/>
      <c r="V566" s="1615"/>
    </row>
    <row r="567" spans="6:22" s="14" customFormat="1" ht="14.25" customHeight="1">
      <c r="F567" s="573"/>
      <c r="G567" s="573"/>
      <c r="H567" s="573"/>
      <c r="I567" s="573"/>
      <c r="J567" s="601"/>
      <c r="K567" s="597"/>
      <c r="L567" s="597"/>
      <c r="M567" s="597"/>
      <c r="N567" s="597"/>
      <c r="O567" s="597"/>
      <c r="P567" s="597"/>
      <c r="Q567" s="597"/>
      <c r="V567" s="1615"/>
    </row>
    <row r="568" spans="6:22" s="14" customFormat="1" ht="14.25" customHeight="1">
      <c r="F568" s="573"/>
      <c r="G568" s="573"/>
      <c r="H568" s="573"/>
      <c r="I568" s="573"/>
      <c r="J568" s="601"/>
      <c r="K568" s="597"/>
      <c r="L568" s="597"/>
      <c r="M568" s="597"/>
      <c r="N568" s="597"/>
      <c r="O568" s="597"/>
      <c r="P568" s="597"/>
      <c r="Q568" s="597"/>
      <c r="V568" s="1615"/>
    </row>
    <row r="569" spans="6:22" s="14" customFormat="1" ht="14.25" customHeight="1">
      <c r="F569" s="573"/>
      <c r="G569" s="573"/>
      <c r="H569" s="573"/>
      <c r="I569" s="573"/>
      <c r="J569" s="601"/>
      <c r="K569" s="597"/>
      <c r="L569" s="597"/>
      <c r="M569" s="597"/>
      <c r="N569" s="597"/>
      <c r="O569" s="597"/>
      <c r="P569" s="597"/>
      <c r="Q569" s="597"/>
      <c r="V569" s="1615"/>
    </row>
    <row r="570" spans="6:22" s="14" customFormat="1" ht="14.25" customHeight="1">
      <c r="F570" s="573"/>
      <c r="G570" s="573"/>
      <c r="H570" s="573"/>
      <c r="I570" s="573"/>
      <c r="J570" s="601"/>
      <c r="K570" s="597"/>
      <c r="L570" s="597"/>
      <c r="M570" s="597"/>
      <c r="N570" s="597"/>
      <c r="O570" s="597"/>
      <c r="P570" s="597"/>
      <c r="Q570" s="597"/>
      <c r="V570" s="1615"/>
    </row>
    <row r="571" spans="6:22" s="14" customFormat="1" ht="14.25" customHeight="1">
      <c r="F571" s="573"/>
      <c r="G571" s="573"/>
      <c r="H571" s="573"/>
      <c r="I571" s="573"/>
      <c r="J571" s="601"/>
      <c r="K571" s="597"/>
      <c r="L571" s="597"/>
      <c r="M571" s="597"/>
      <c r="N571" s="597"/>
      <c r="O571" s="597"/>
      <c r="P571" s="597"/>
      <c r="Q571" s="597"/>
      <c r="V571" s="1615"/>
    </row>
    <row r="572" spans="6:22" s="14" customFormat="1" ht="14.25" customHeight="1">
      <c r="F572" s="573"/>
      <c r="G572" s="573"/>
      <c r="H572" s="573"/>
      <c r="I572" s="573"/>
      <c r="J572" s="601"/>
      <c r="K572" s="597"/>
      <c r="L572" s="597"/>
      <c r="M572" s="597"/>
      <c r="N572" s="597"/>
      <c r="O572" s="597"/>
      <c r="P572" s="597"/>
      <c r="Q572" s="597"/>
      <c r="V572" s="1615"/>
    </row>
    <row r="573" spans="6:22" s="14" customFormat="1" ht="14.25" customHeight="1">
      <c r="F573" s="573"/>
      <c r="G573" s="573"/>
      <c r="H573" s="573"/>
      <c r="I573" s="573"/>
      <c r="J573" s="601"/>
      <c r="K573" s="597"/>
      <c r="L573" s="597"/>
      <c r="M573" s="597"/>
      <c r="N573" s="597"/>
      <c r="O573" s="597"/>
      <c r="P573" s="597"/>
      <c r="Q573" s="597"/>
      <c r="V573" s="1615"/>
    </row>
    <row r="574" spans="6:22" s="14" customFormat="1" ht="14.25" customHeight="1">
      <c r="F574" s="573"/>
      <c r="G574" s="573"/>
      <c r="H574" s="573"/>
      <c r="I574" s="573"/>
      <c r="J574" s="601"/>
      <c r="K574" s="597"/>
      <c r="L574" s="597"/>
      <c r="M574" s="597"/>
      <c r="N574" s="597"/>
      <c r="O574" s="597"/>
      <c r="P574" s="597"/>
      <c r="Q574" s="597"/>
      <c r="V574" s="1615"/>
    </row>
    <row r="575" spans="6:22" s="14" customFormat="1" ht="14.25" customHeight="1">
      <c r="F575" s="573"/>
      <c r="G575" s="573"/>
      <c r="H575" s="573"/>
      <c r="I575" s="573"/>
      <c r="J575" s="601"/>
      <c r="K575" s="597"/>
      <c r="L575" s="597"/>
      <c r="M575" s="597"/>
      <c r="N575" s="597"/>
      <c r="O575" s="597"/>
      <c r="P575" s="597"/>
      <c r="Q575" s="597"/>
      <c r="V575" s="1615"/>
    </row>
    <row r="576" spans="6:22" s="14" customFormat="1" ht="14.25" customHeight="1">
      <c r="F576" s="573"/>
      <c r="G576" s="573"/>
      <c r="H576" s="573"/>
      <c r="I576" s="573"/>
      <c r="J576" s="601"/>
      <c r="K576" s="597"/>
      <c r="L576" s="597"/>
      <c r="M576" s="597"/>
      <c r="N576" s="597"/>
      <c r="O576" s="597"/>
      <c r="P576" s="597"/>
      <c r="Q576" s="597"/>
      <c r="V576" s="1615"/>
    </row>
    <row r="577" spans="6:22" s="14" customFormat="1" ht="14.25" customHeight="1">
      <c r="F577" s="573"/>
      <c r="G577" s="573"/>
      <c r="H577" s="573"/>
      <c r="I577" s="573"/>
      <c r="J577" s="601"/>
      <c r="K577" s="597"/>
      <c r="L577" s="597"/>
      <c r="M577" s="597"/>
      <c r="N577" s="597"/>
      <c r="O577" s="597"/>
      <c r="P577" s="597"/>
      <c r="Q577" s="597"/>
      <c r="V577" s="1615"/>
    </row>
    <row r="578" spans="6:22" s="14" customFormat="1" ht="14.25" customHeight="1">
      <c r="F578" s="573"/>
      <c r="G578" s="573"/>
      <c r="H578" s="573"/>
      <c r="I578" s="573"/>
      <c r="J578" s="601"/>
      <c r="K578" s="597"/>
      <c r="L578" s="597"/>
      <c r="M578" s="597"/>
      <c r="N578" s="597"/>
      <c r="O578" s="597"/>
      <c r="P578" s="597"/>
      <c r="Q578" s="597"/>
      <c r="V578" s="1615"/>
    </row>
    <row r="579" spans="6:22" s="14" customFormat="1" ht="14.25" customHeight="1">
      <c r="F579" s="573"/>
      <c r="G579" s="573"/>
      <c r="H579" s="573"/>
      <c r="I579" s="573"/>
      <c r="J579" s="601"/>
      <c r="K579" s="597"/>
      <c r="L579" s="597"/>
      <c r="M579" s="597"/>
      <c r="N579" s="597"/>
      <c r="O579" s="597"/>
      <c r="P579" s="597"/>
      <c r="Q579" s="597"/>
      <c r="V579" s="1615"/>
    </row>
    <row r="580" spans="6:22" s="14" customFormat="1" ht="14.25" customHeight="1">
      <c r="F580" s="573"/>
      <c r="G580" s="573"/>
      <c r="H580" s="573"/>
      <c r="I580" s="573"/>
      <c r="J580" s="601"/>
      <c r="K580" s="597"/>
      <c r="L580" s="597"/>
      <c r="M580" s="597"/>
      <c r="N580" s="597"/>
      <c r="O580" s="597"/>
      <c r="P580" s="597"/>
      <c r="Q580" s="597"/>
      <c r="V580" s="1615"/>
    </row>
    <row r="581" spans="6:22" s="14" customFormat="1" ht="14.25" customHeight="1">
      <c r="F581" s="573"/>
      <c r="G581" s="573"/>
      <c r="H581" s="573"/>
      <c r="I581" s="573"/>
      <c r="J581" s="601"/>
      <c r="K581" s="597"/>
      <c r="L581" s="597"/>
      <c r="M581" s="597"/>
      <c r="N581" s="597"/>
      <c r="O581" s="597"/>
      <c r="P581" s="597"/>
      <c r="Q581" s="597"/>
      <c r="V581" s="1615"/>
    </row>
    <row r="582" spans="6:22" s="14" customFormat="1" ht="14.25" customHeight="1">
      <c r="F582" s="573"/>
      <c r="G582" s="573"/>
      <c r="H582" s="573"/>
      <c r="I582" s="573"/>
      <c r="J582" s="601"/>
      <c r="K582" s="597"/>
      <c r="L582" s="597"/>
      <c r="M582" s="597"/>
      <c r="N582" s="597"/>
      <c r="O582" s="597"/>
      <c r="P582" s="597"/>
      <c r="Q582" s="597"/>
      <c r="V582" s="1615"/>
    </row>
    <row r="583" spans="6:22" s="14" customFormat="1" ht="14.25" customHeight="1">
      <c r="F583" s="573"/>
      <c r="G583" s="573"/>
      <c r="H583" s="573"/>
      <c r="I583" s="573"/>
      <c r="J583" s="601"/>
      <c r="K583" s="597"/>
      <c r="L583" s="597"/>
      <c r="M583" s="597"/>
      <c r="N583" s="597"/>
      <c r="O583" s="597"/>
      <c r="P583" s="597"/>
      <c r="Q583" s="597"/>
      <c r="V583" s="1615"/>
    </row>
    <row r="584" spans="6:22" s="14" customFormat="1" ht="14.25" customHeight="1">
      <c r="F584" s="573"/>
      <c r="G584" s="573"/>
      <c r="H584" s="573"/>
      <c r="I584" s="573"/>
      <c r="J584" s="601"/>
      <c r="K584" s="597"/>
      <c r="L584" s="597"/>
      <c r="M584" s="597"/>
      <c r="N584" s="597"/>
      <c r="O584" s="597"/>
      <c r="P584" s="597"/>
      <c r="Q584" s="597"/>
      <c r="V584" s="1615"/>
    </row>
    <row r="585" spans="6:22" s="14" customFormat="1" ht="14.25" customHeight="1">
      <c r="F585" s="573"/>
      <c r="G585" s="573"/>
      <c r="H585" s="573"/>
      <c r="I585" s="573"/>
      <c r="J585" s="601"/>
      <c r="K585" s="597"/>
      <c r="L585" s="597"/>
      <c r="M585" s="597"/>
      <c r="N585" s="597"/>
      <c r="O585" s="597"/>
      <c r="P585" s="597"/>
      <c r="Q585" s="597"/>
      <c r="V585" s="1615"/>
    </row>
    <row r="586" spans="6:22" s="14" customFormat="1" ht="14.25" customHeight="1">
      <c r="F586" s="573"/>
      <c r="G586" s="573"/>
      <c r="H586" s="573"/>
      <c r="I586" s="573"/>
      <c r="J586" s="601"/>
      <c r="K586" s="597"/>
      <c r="L586" s="597"/>
      <c r="M586" s="597"/>
      <c r="N586" s="597"/>
      <c r="O586" s="597"/>
      <c r="P586" s="597"/>
      <c r="Q586" s="597"/>
      <c r="V586" s="1615"/>
    </row>
    <row r="587" spans="6:22" s="14" customFormat="1" ht="14.25" customHeight="1">
      <c r="F587" s="573"/>
      <c r="G587" s="573"/>
      <c r="H587" s="573"/>
      <c r="I587" s="573"/>
      <c r="J587" s="601"/>
      <c r="K587" s="597"/>
      <c r="L587" s="597"/>
      <c r="M587" s="597"/>
      <c r="N587" s="597"/>
      <c r="O587" s="597"/>
      <c r="P587" s="597"/>
      <c r="Q587" s="597"/>
      <c r="V587" s="1615"/>
    </row>
    <row r="588" spans="6:22" s="14" customFormat="1" ht="14.25" customHeight="1">
      <c r="F588" s="573"/>
      <c r="G588" s="573"/>
      <c r="H588" s="573"/>
      <c r="I588" s="573"/>
      <c r="J588" s="601"/>
      <c r="K588" s="597"/>
      <c r="L588" s="597"/>
      <c r="M588" s="597"/>
      <c r="N588" s="597"/>
      <c r="O588" s="597"/>
      <c r="P588" s="597"/>
      <c r="Q588" s="597"/>
      <c r="V588" s="1615"/>
    </row>
    <row r="589" spans="6:22" s="14" customFormat="1" ht="14.25" customHeight="1">
      <c r="F589" s="573"/>
      <c r="G589" s="573"/>
      <c r="H589" s="573"/>
      <c r="I589" s="573"/>
      <c r="J589" s="601"/>
      <c r="K589" s="597"/>
      <c r="L589" s="597"/>
      <c r="M589" s="597"/>
      <c r="N589" s="597"/>
      <c r="O589" s="597"/>
      <c r="P589" s="597"/>
      <c r="Q589" s="597"/>
      <c r="V589" s="1615"/>
    </row>
    <row r="590" spans="6:22" s="14" customFormat="1" ht="14.25" customHeight="1">
      <c r="F590" s="573"/>
      <c r="G590" s="573"/>
      <c r="H590" s="573"/>
      <c r="I590" s="573"/>
      <c r="J590" s="601"/>
      <c r="K590" s="597"/>
      <c r="L590" s="597"/>
      <c r="M590" s="597"/>
      <c r="N590" s="597"/>
      <c r="O590" s="597"/>
      <c r="P590" s="597"/>
      <c r="Q590" s="597"/>
      <c r="V590" s="1615"/>
    </row>
    <row r="591" spans="6:22" s="14" customFormat="1" ht="14.25" customHeight="1">
      <c r="F591" s="573"/>
      <c r="G591" s="573"/>
      <c r="H591" s="573"/>
      <c r="I591" s="573"/>
      <c r="J591" s="601"/>
      <c r="K591" s="597"/>
      <c r="L591" s="597"/>
      <c r="M591" s="597"/>
      <c r="N591" s="597"/>
      <c r="O591" s="597"/>
      <c r="P591" s="597"/>
      <c r="Q591" s="597"/>
      <c r="V591" s="1615"/>
    </row>
    <row r="592" spans="6:22" s="14" customFormat="1" ht="14.25" customHeight="1">
      <c r="F592" s="573"/>
      <c r="G592" s="573"/>
      <c r="H592" s="573"/>
      <c r="I592" s="573"/>
      <c r="J592" s="601"/>
      <c r="K592" s="597"/>
      <c r="L592" s="597"/>
      <c r="M592" s="597"/>
      <c r="N592" s="597"/>
      <c r="O592" s="597"/>
      <c r="P592" s="597"/>
      <c r="Q592" s="597"/>
      <c r="V592" s="1615"/>
    </row>
    <row r="593" spans="6:22" s="14" customFormat="1" ht="14.25" customHeight="1">
      <c r="F593" s="573"/>
      <c r="G593" s="573"/>
      <c r="H593" s="573"/>
      <c r="I593" s="573"/>
      <c r="J593" s="601"/>
      <c r="K593" s="597"/>
      <c r="L593" s="597"/>
      <c r="M593" s="597"/>
      <c r="N593" s="597"/>
      <c r="O593" s="597"/>
      <c r="P593" s="597"/>
      <c r="Q593" s="597"/>
      <c r="V593" s="1615"/>
    </row>
    <row r="594" spans="6:22" s="14" customFormat="1" ht="14.25" customHeight="1">
      <c r="F594" s="573"/>
      <c r="G594" s="573"/>
      <c r="H594" s="573"/>
      <c r="I594" s="573"/>
      <c r="J594" s="601"/>
      <c r="K594" s="597"/>
      <c r="L594" s="597"/>
      <c r="M594" s="597"/>
      <c r="N594" s="597"/>
      <c r="O594" s="597"/>
      <c r="P594" s="597"/>
      <c r="Q594" s="597"/>
      <c r="V594" s="1615"/>
    </row>
    <row r="595" spans="6:22" s="14" customFormat="1" ht="14.25" customHeight="1">
      <c r="F595" s="573"/>
      <c r="G595" s="573"/>
      <c r="H595" s="573"/>
      <c r="I595" s="573"/>
      <c r="J595" s="601"/>
      <c r="K595" s="597"/>
      <c r="L595" s="597"/>
      <c r="M595" s="597"/>
      <c r="N595" s="597"/>
      <c r="O595" s="597"/>
      <c r="P595" s="597"/>
      <c r="Q595" s="597"/>
      <c r="V595" s="1615"/>
    </row>
    <row r="596" spans="6:22" s="14" customFormat="1" ht="14.25" customHeight="1">
      <c r="F596" s="573"/>
      <c r="G596" s="573"/>
      <c r="H596" s="573"/>
      <c r="I596" s="573"/>
      <c r="J596" s="601"/>
      <c r="K596" s="597"/>
      <c r="L596" s="597"/>
      <c r="M596" s="597"/>
      <c r="N596" s="597"/>
      <c r="O596" s="597"/>
      <c r="P596" s="597"/>
      <c r="Q596" s="597"/>
      <c r="V596" s="1615"/>
    </row>
    <row r="597" spans="6:22" s="14" customFormat="1" ht="14.25" customHeight="1">
      <c r="F597" s="573"/>
      <c r="G597" s="573"/>
      <c r="H597" s="573"/>
      <c r="I597" s="573"/>
      <c r="J597" s="601"/>
      <c r="K597" s="597"/>
      <c r="L597" s="597"/>
      <c r="M597" s="597"/>
      <c r="N597" s="597"/>
      <c r="O597" s="597"/>
      <c r="P597" s="597"/>
      <c r="Q597" s="597"/>
      <c r="V597" s="1615"/>
    </row>
    <row r="598" spans="6:22" s="14" customFormat="1" ht="14.25" customHeight="1">
      <c r="F598" s="573"/>
      <c r="G598" s="573"/>
      <c r="H598" s="573"/>
      <c r="I598" s="573"/>
      <c r="J598" s="601"/>
      <c r="K598" s="597"/>
      <c r="L598" s="597"/>
      <c r="M598" s="597"/>
      <c r="N598" s="597"/>
      <c r="O598" s="597"/>
      <c r="P598" s="597"/>
      <c r="Q598" s="597"/>
      <c r="V598" s="1615"/>
    </row>
    <row r="599" spans="6:22" s="14" customFormat="1" ht="14.25" customHeight="1">
      <c r="F599" s="573"/>
      <c r="G599" s="573"/>
      <c r="H599" s="573"/>
      <c r="I599" s="573"/>
      <c r="J599" s="601"/>
      <c r="K599" s="597"/>
      <c r="L599" s="597"/>
      <c r="M599" s="597"/>
      <c r="N599" s="597"/>
      <c r="O599" s="597"/>
      <c r="P599" s="597"/>
      <c r="Q599" s="597"/>
      <c r="V599" s="1615"/>
    </row>
    <row r="600" spans="6:22" s="14" customFormat="1" ht="14.25" customHeight="1">
      <c r="F600" s="573"/>
      <c r="G600" s="573"/>
      <c r="H600" s="573"/>
      <c r="I600" s="573"/>
      <c r="J600" s="601"/>
      <c r="K600" s="597"/>
      <c r="L600" s="597"/>
      <c r="M600" s="597"/>
      <c r="N600" s="597"/>
      <c r="O600" s="597"/>
      <c r="P600" s="597"/>
      <c r="Q600" s="597"/>
      <c r="V600" s="1615"/>
    </row>
    <row r="601" spans="6:22" s="14" customFormat="1" ht="14.25" customHeight="1">
      <c r="F601" s="573"/>
      <c r="G601" s="573"/>
      <c r="H601" s="573"/>
      <c r="I601" s="573"/>
      <c r="J601" s="601"/>
      <c r="K601" s="597"/>
      <c r="L601" s="597"/>
      <c r="M601" s="597"/>
      <c r="N601" s="597"/>
      <c r="O601" s="597"/>
      <c r="P601" s="597"/>
      <c r="Q601" s="597"/>
      <c r="V601" s="1615"/>
    </row>
    <row r="602" spans="6:22" s="14" customFormat="1" ht="14.25" customHeight="1">
      <c r="F602" s="573"/>
      <c r="G602" s="573"/>
      <c r="H602" s="573"/>
      <c r="I602" s="573"/>
      <c r="J602" s="601"/>
      <c r="K602" s="597"/>
      <c r="L602" s="597"/>
      <c r="M602" s="597"/>
      <c r="N602" s="597"/>
      <c r="O602" s="597"/>
      <c r="P602" s="597"/>
      <c r="Q602" s="597"/>
      <c r="V602" s="1615"/>
    </row>
    <row r="603" spans="6:22" s="14" customFormat="1" ht="14.25" customHeight="1">
      <c r="F603" s="573"/>
      <c r="G603" s="573"/>
      <c r="H603" s="573"/>
      <c r="I603" s="573"/>
      <c r="J603" s="601"/>
      <c r="K603" s="597"/>
      <c r="L603" s="597"/>
      <c r="M603" s="597"/>
      <c r="N603" s="597"/>
      <c r="O603" s="597"/>
      <c r="P603" s="597"/>
      <c r="Q603" s="597"/>
      <c r="V603" s="1615"/>
    </row>
    <row r="604" spans="6:22" s="14" customFormat="1" ht="14.25" customHeight="1">
      <c r="F604" s="573"/>
      <c r="G604" s="573"/>
      <c r="H604" s="573"/>
      <c r="I604" s="573"/>
      <c r="J604" s="601"/>
      <c r="K604" s="597"/>
      <c r="L604" s="597"/>
      <c r="M604" s="597"/>
      <c r="N604" s="597"/>
      <c r="O604" s="597"/>
      <c r="P604" s="597"/>
      <c r="Q604" s="597"/>
      <c r="V604" s="1615"/>
    </row>
    <row r="605" spans="6:22" s="14" customFormat="1" ht="14.25" customHeight="1">
      <c r="F605" s="573"/>
      <c r="G605" s="573"/>
      <c r="H605" s="573"/>
      <c r="I605" s="573"/>
      <c r="J605" s="601"/>
      <c r="K605" s="597"/>
      <c r="L605" s="597"/>
      <c r="M605" s="597"/>
      <c r="N605" s="597"/>
      <c r="O605" s="597"/>
      <c r="P605" s="597"/>
      <c r="Q605" s="597"/>
      <c r="V605" s="1615"/>
    </row>
    <row r="606" spans="6:22" s="14" customFormat="1" ht="14.25" customHeight="1">
      <c r="F606" s="573"/>
      <c r="G606" s="573"/>
      <c r="H606" s="573"/>
      <c r="I606" s="573"/>
      <c r="J606" s="601"/>
      <c r="K606" s="597"/>
      <c r="L606" s="597"/>
      <c r="M606" s="597"/>
      <c r="N606" s="597"/>
      <c r="O606" s="597"/>
      <c r="P606" s="597"/>
      <c r="Q606" s="597"/>
      <c r="V606" s="1615"/>
    </row>
    <row r="607" spans="6:22" s="14" customFormat="1" ht="14.25" customHeight="1">
      <c r="F607" s="573"/>
      <c r="G607" s="573"/>
      <c r="H607" s="573"/>
      <c r="I607" s="573"/>
      <c r="J607" s="601"/>
      <c r="K607" s="597"/>
      <c r="L607" s="597"/>
      <c r="M607" s="597"/>
      <c r="N607" s="597"/>
      <c r="O607" s="597"/>
      <c r="P607" s="597"/>
      <c r="Q607" s="597"/>
      <c r="V607" s="1615"/>
    </row>
    <row r="608" spans="6:22" s="14" customFormat="1" ht="14.25" customHeight="1">
      <c r="F608" s="573"/>
      <c r="G608" s="573"/>
      <c r="H608" s="573"/>
      <c r="I608" s="573"/>
      <c r="J608" s="601"/>
      <c r="K608" s="597"/>
      <c r="L608" s="597"/>
      <c r="M608" s="597"/>
      <c r="N608" s="597"/>
      <c r="O608" s="597"/>
      <c r="P608" s="597"/>
      <c r="Q608" s="597"/>
      <c r="V608" s="1615"/>
    </row>
    <row r="609" spans="6:22" s="14" customFormat="1" ht="14.25" customHeight="1">
      <c r="F609" s="573"/>
      <c r="G609" s="573"/>
      <c r="H609" s="573"/>
      <c r="I609" s="573"/>
      <c r="J609" s="601"/>
      <c r="K609" s="597"/>
      <c r="L609" s="597"/>
      <c r="M609" s="597"/>
      <c r="N609" s="597"/>
      <c r="O609" s="597"/>
      <c r="P609" s="597"/>
      <c r="Q609" s="597"/>
      <c r="V609" s="1615"/>
    </row>
    <row r="610" spans="6:22" s="14" customFormat="1" ht="14.25" customHeight="1">
      <c r="F610" s="573"/>
      <c r="G610" s="573"/>
      <c r="H610" s="573"/>
      <c r="I610" s="573"/>
      <c r="J610" s="601"/>
      <c r="K610" s="597"/>
      <c r="L610" s="597"/>
      <c r="M610" s="597"/>
      <c r="N610" s="597"/>
      <c r="O610" s="597"/>
      <c r="P610" s="597"/>
      <c r="Q610" s="597"/>
      <c r="V610" s="1615"/>
    </row>
    <row r="611" spans="6:22" s="14" customFormat="1" ht="14.25" customHeight="1">
      <c r="F611" s="573"/>
      <c r="G611" s="573"/>
      <c r="H611" s="573"/>
      <c r="I611" s="573"/>
      <c r="J611" s="601"/>
      <c r="K611" s="597"/>
      <c r="L611" s="597"/>
      <c r="M611" s="597"/>
      <c r="N611" s="597"/>
      <c r="O611" s="597"/>
      <c r="P611" s="597"/>
      <c r="Q611" s="597"/>
      <c r="V611" s="1615"/>
    </row>
    <row r="612" spans="6:22" s="14" customFormat="1" ht="14.25" customHeight="1">
      <c r="F612" s="573"/>
      <c r="G612" s="573"/>
      <c r="H612" s="573"/>
      <c r="I612" s="573"/>
      <c r="J612" s="601"/>
      <c r="K612" s="597"/>
      <c r="L612" s="597"/>
      <c r="M612" s="597"/>
      <c r="N612" s="597"/>
      <c r="O612" s="597"/>
      <c r="P612" s="597"/>
      <c r="Q612" s="597"/>
      <c r="V612" s="1615"/>
    </row>
    <row r="613" spans="6:22" s="14" customFormat="1" ht="14.25" customHeight="1">
      <c r="F613" s="573"/>
      <c r="G613" s="573"/>
      <c r="H613" s="573"/>
      <c r="I613" s="573"/>
      <c r="J613" s="601"/>
      <c r="K613" s="597"/>
      <c r="L613" s="597"/>
      <c r="M613" s="597"/>
      <c r="N613" s="597"/>
      <c r="O613" s="597"/>
      <c r="P613" s="597"/>
      <c r="Q613" s="597"/>
      <c r="V613" s="1615"/>
    </row>
    <row r="614" spans="6:22" s="14" customFormat="1" ht="14.25" customHeight="1">
      <c r="F614" s="573"/>
      <c r="G614" s="573"/>
      <c r="H614" s="573"/>
      <c r="I614" s="573"/>
      <c r="J614" s="601"/>
      <c r="K614" s="597"/>
      <c r="L614" s="597"/>
      <c r="M614" s="597"/>
      <c r="N614" s="597"/>
      <c r="O614" s="597"/>
      <c r="P614" s="597"/>
      <c r="Q614" s="597"/>
      <c r="V614" s="1615"/>
    </row>
    <row r="615" spans="6:22" s="14" customFormat="1" ht="14.25" customHeight="1">
      <c r="F615" s="573"/>
      <c r="G615" s="573"/>
      <c r="H615" s="573"/>
      <c r="I615" s="573"/>
      <c r="J615" s="601"/>
      <c r="K615" s="597"/>
      <c r="L615" s="597"/>
      <c r="M615" s="597"/>
      <c r="N615" s="597"/>
      <c r="O615" s="597"/>
      <c r="P615" s="597"/>
      <c r="Q615" s="597"/>
      <c r="V615" s="1615"/>
    </row>
    <row r="616" spans="6:22" s="14" customFormat="1" ht="14.25" customHeight="1">
      <c r="F616" s="573"/>
      <c r="G616" s="573"/>
      <c r="H616" s="573"/>
      <c r="I616" s="573"/>
      <c r="J616" s="601"/>
      <c r="K616" s="597"/>
      <c r="L616" s="597"/>
      <c r="M616" s="597"/>
      <c r="N616" s="597"/>
      <c r="O616" s="597"/>
      <c r="P616" s="597"/>
      <c r="Q616" s="597"/>
      <c r="V616" s="1615"/>
    </row>
    <row r="617" spans="6:22" s="14" customFormat="1" ht="14.25" customHeight="1">
      <c r="F617" s="573"/>
      <c r="G617" s="573"/>
      <c r="H617" s="573"/>
      <c r="I617" s="573"/>
      <c r="J617" s="601"/>
      <c r="K617" s="597"/>
      <c r="L617" s="597"/>
      <c r="M617" s="597"/>
      <c r="N617" s="597"/>
      <c r="O617" s="597"/>
      <c r="P617" s="597"/>
      <c r="Q617" s="597"/>
      <c r="V617" s="1615"/>
    </row>
    <row r="618" spans="6:22" s="14" customFormat="1" ht="14.25" customHeight="1">
      <c r="F618" s="573"/>
      <c r="G618" s="573"/>
      <c r="H618" s="573"/>
      <c r="I618" s="573"/>
      <c r="J618" s="601"/>
      <c r="K618" s="597"/>
      <c r="L618" s="597"/>
      <c r="M618" s="597"/>
      <c r="N618" s="597"/>
      <c r="O618" s="597"/>
      <c r="P618" s="597"/>
      <c r="Q618" s="597"/>
      <c r="V618" s="1615"/>
    </row>
    <row r="619" spans="6:22" s="14" customFormat="1" ht="14.25" customHeight="1">
      <c r="F619" s="573"/>
      <c r="G619" s="573"/>
      <c r="H619" s="573"/>
      <c r="I619" s="573"/>
      <c r="J619" s="601"/>
      <c r="K619" s="597"/>
      <c r="L619" s="597"/>
      <c r="M619" s="597"/>
      <c r="N619" s="597"/>
      <c r="O619" s="597"/>
      <c r="P619" s="597"/>
      <c r="Q619" s="597"/>
      <c r="V619" s="1615"/>
    </row>
    <row r="620" spans="6:22" s="14" customFormat="1" ht="14.25" customHeight="1">
      <c r="F620" s="573"/>
      <c r="G620" s="573"/>
      <c r="H620" s="573"/>
      <c r="I620" s="573"/>
      <c r="J620" s="601"/>
      <c r="K620" s="597"/>
      <c r="L620" s="597"/>
      <c r="M620" s="597"/>
      <c r="N620" s="597"/>
      <c r="O620" s="597"/>
      <c r="P620" s="597"/>
      <c r="Q620" s="597"/>
      <c r="V620" s="1615"/>
    </row>
    <row r="621" spans="6:22" s="14" customFormat="1" ht="14.25" customHeight="1">
      <c r="F621" s="573"/>
      <c r="G621" s="573"/>
      <c r="H621" s="573"/>
      <c r="I621" s="573"/>
      <c r="J621" s="601"/>
      <c r="K621" s="597"/>
      <c r="L621" s="597"/>
      <c r="M621" s="597"/>
      <c r="N621" s="597"/>
      <c r="O621" s="597"/>
      <c r="P621" s="597"/>
      <c r="Q621" s="597"/>
      <c r="V621" s="1615"/>
    </row>
    <row r="622" spans="6:22" s="14" customFormat="1" ht="14.25" customHeight="1">
      <c r="F622" s="573"/>
      <c r="G622" s="573"/>
      <c r="H622" s="573"/>
      <c r="I622" s="573"/>
      <c r="J622" s="601"/>
      <c r="K622" s="597"/>
      <c r="L622" s="597"/>
      <c r="M622" s="597"/>
      <c r="N622" s="597"/>
      <c r="O622" s="597"/>
      <c r="P622" s="597"/>
      <c r="Q622" s="597"/>
      <c r="V622" s="1615"/>
    </row>
    <row r="623" spans="6:22" s="14" customFormat="1" ht="14.25" customHeight="1">
      <c r="F623" s="573"/>
      <c r="G623" s="573"/>
      <c r="H623" s="573"/>
      <c r="I623" s="573"/>
      <c r="J623" s="601"/>
      <c r="K623" s="597"/>
      <c r="L623" s="597"/>
      <c r="M623" s="597"/>
      <c r="N623" s="597"/>
      <c r="O623" s="597"/>
      <c r="P623" s="597"/>
      <c r="Q623" s="597"/>
      <c r="V623" s="1615"/>
    </row>
    <row r="624" spans="6:22" s="14" customFormat="1" ht="14.25" customHeight="1">
      <c r="F624" s="573"/>
      <c r="G624" s="573"/>
      <c r="H624" s="573"/>
      <c r="I624" s="573"/>
      <c r="J624" s="601"/>
      <c r="K624" s="597"/>
      <c r="L624" s="597"/>
      <c r="M624" s="597"/>
      <c r="N624" s="597"/>
      <c r="O624" s="597"/>
      <c r="P624" s="597"/>
      <c r="Q624" s="597"/>
      <c r="V624" s="1615"/>
    </row>
    <row r="625" spans="6:22" s="14" customFormat="1" ht="14.25" customHeight="1">
      <c r="F625" s="573"/>
      <c r="G625" s="573"/>
      <c r="H625" s="573"/>
      <c r="I625" s="573"/>
      <c r="J625" s="601"/>
      <c r="K625" s="597"/>
      <c r="L625" s="597"/>
      <c r="M625" s="597"/>
      <c r="N625" s="597"/>
      <c r="O625" s="597"/>
      <c r="P625" s="597"/>
      <c r="Q625" s="597"/>
      <c r="V625" s="1615"/>
    </row>
    <row r="626" spans="6:22" s="14" customFormat="1" ht="14.25" customHeight="1">
      <c r="F626" s="573"/>
      <c r="G626" s="573"/>
      <c r="H626" s="573"/>
      <c r="I626" s="573"/>
      <c r="J626" s="601"/>
      <c r="K626" s="597"/>
      <c r="L626" s="597"/>
      <c r="M626" s="597"/>
      <c r="N626" s="597"/>
      <c r="O626" s="597"/>
      <c r="P626" s="597"/>
      <c r="Q626" s="597"/>
      <c r="V626" s="1615"/>
    </row>
    <row r="627" spans="6:22" s="14" customFormat="1" ht="14.25" customHeight="1">
      <c r="F627" s="573"/>
      <c r="G627" s="573"/>
      <c r="H627" s="573"/>
      <c r="I627" s="573"/>
      <c r="J627" s="601"/>
      <c r="K627" s="597"/>
      <c r="L627" s="597"/>
      <c r="M627" s="597"/>
      <c r="N627" s="597"/>
      <c r="O627" s="597"/>
      <c r="P627" s="597"/>
      <c r="Q627" s="597"/>
      <c r="V627" s="1615"/>
    </row>
    <row r="628" spans="6:22" s="14" customFormat="1" ht="14.25" customHeight="1">
      <c r="F628" s="573"/>
      <c r="G628" s="573"/>
      <c r="H628" s="573"/>
      <c r="I628" s="573"/>
      <c r="J628" s="601"/>
      <c r="K628" s="597"/>
      <c r="L628" s="597"/>
      <c r="M628" s="597"/>
      <c r="N628" s="597"/>
      <c r="O628" s="597"/>
      <c r="P628" s="597"/>
      <c r="Q628" s="597"/>
      <c r="V628" s="1615"/>
    </row>
    <row r="629" spans="6:22" s="14" customFormat="1" ht="14.25" customHeight="1">
      <c r="F629" s="573"/>
      <c r="G629" s="573"/>
      <c r="H629" s="573"/>
      <c r="I629" s="573"/>
      <c r="J629" s="601"/>
      <c r="K629" s="597"/>
      <c r="L629" s="597"/>
      <c r="M629" s="597"/>
      <c r="N629" s="597"/>
      <c r="O629" s="597"/>
      <c r="P629" s="597"/>
      <c r="Q629" s="597"/>
      <c r="V629" s="1615"/>
    </row>
    <row r="630" spans="6:22" s="14" customFormat="1" ht="14.25" customHeight="1">
      <c r="F630" s="573"/>
      <c r="G630" s="573"/>
      <c r="H630" s="573"/>
      <c r="I630" s="573"/>
      <c r="J630" s="601"/>
      <c r="K630" s="597"/>
      <c r="L630" s="597"/>
      <c r="M630" s="597"/>
      <c r="N630" s="597"/>
      <c r="O630" s="597"/>
      <c r="P630" s="597"/>
      <c r="Q630" s="597"/>
      <c r="V630" s="1615"/>
    </row>
    <row r="631" spans="6:22" s="14" customFormat="1" ht="14.25" customHeight="1">
      <c r="F631" s="573"/>
      <c r="G631" s="573"/>
      <c r="H631" s="573"/>
      <c r="I631" s="573"/>
      <c r="J631" s="601"/>
      <c r="K631" s="597"/>
      <c r="L631" s="597"/>
      <c r="M631" s="597"/>
      <c r="N631" s="597"/>
      <c r="O631" s="597"/>
      <c r="P631" s="597"/>
      <c r="Q631" s="597"/>
      <c r="V631" s="1615"/>
    </row>
    <row r="632" spans="6:22" s="14" customFormat="1" ht="14.25" customHeight="1">
      <c r="F632" s="573"/>
      <c r="G632" s="573"/>
      <c r="H632" s="573"/>
      <c r="I632" s="573"/>
      <c r="J632" s="601"/>
      <c r="K632" s="597"/>
      <c r="L632" s="597"/>
      <c r="M632" s="597"/>
      <c r="N632" s="597"/>
      <c r="O632" s="597"/>
      <c r="P632" s="597"/>
      <c r="Q632" s="597"/>
      <c r="V632" s="1615"/>
    </row>
    <row r="633" spans="6:22" s="14" customFormat="1" ht="14.25" customHeight="1">
      <c r="F633" s="573"/>
      <c r="G633" s="573"/>
      <c r="H633" s="573"/>
      <c r="I633" s="573"/>
      <c r="J633" s="601"/>
      <c r="K633" s="597"/>
      <c r="L633" s="597"/>
      <c r="M633" s="597"/>
      <c r="N633" s="597"/>
      <c r="O633" s="597"/>
      <c r="P633" s="597"/>
      <c r="Q633" s="597"/>
      <c r="V633" s="1615"/>
    </row>
    <row r="634" spans="6:22" s="14" customFormat="1" ht="14.25" customHeight="1">
      <c r="F634" s="573"/>
      <c r="G634" s="573"/>
      <c r="H634" s="573"/>
      <c r="I634" s="573"/>
      <c r="J634" s="601"/>
      <c r="K634" s="597"/>
      <c r="L634" s="597"/>
      <c r="M634" s="597"/>
      <c r="N634" s="597"/>
      <c r="O634" s="597"/>
      <c r="P634" s="597"/>
      <c r="Q634" s="597"/>
      <c r="V634" s="1615"/>
    </row>
    <row r="635" spans="6:22" s="14" customFormat="1" ht="14.25" customHeight="1">
      <c r="F635" s="573"/>
      <c r="G635" s="573"/>
      <c r="H635" s="573"/>
      <c r="I635" s="573"/>
      <c r="J635" s="601"/>
      <c r="K635" s="597"/>
      <c r="L635" s="597"/>
      <c r="M635" s="597"/>
      <c r="N635" s="597"/>
      <c r="O635" s="597"/>
      <c r="P635" s="597"/>
      <c r="Q635" s="597"/>
      <c r="V635" s="1615"/>
    </row>
    <row r="636" spans="6:22" s="14" customFormat="1" ht="14.25" customHeight="1">
      <c r="F636" s="573"/>
      <c r="G636" s="573"/>
      <c r="H636" s="573"/>
      <c r="I636" s="573"/>
      <c r="J636" s="601"/>
      <c r="K636" s="597"/>
      <c r="L636" s="597"/>
      <c r="M636" s="597"/>
      <c r="N636" s="597"/>
      <c r="O636" s="597"/>
      <c r="P636" s="597"/>
      <c r="Q636" s="597"/>
      <c r="V636" s="1615"/>
    </row>
    <row r="637" spans="6:22" s="14" customFormat="1" ht="14.25" customHeight="1">
      <c r="F637" s="573"/>
      <c r="G637" s="573"/>
      <c r="H637" s="573"/>
      <c r="I637" s="573"/>
      <c r="J637" s="601"/>
      <c r="K637" s="597"/>
      <c r="L637" s="597"/>
      <c r="M637" s="597"/>
      <c r="N637" s="597"/>
      <c r="O637" s="597"/>
      <c r="P637" s="597"/>
      <c r="Q637" s="597"/>
      <c r="V637" s="1615"/>
    </row>
    <row r="638" spans="6:22" s="14" customFormat="1" ht="14.25" customHeight="1">
      <c r="F638" s="573"/>
      <c r="G638" s="573"/>
      <c r="H638" s="573"/>
      <c r="I638" s="573"/>
      <c r="J638" s="601"/>
      <c r="K638" s="597"/>
      <c r="L638" s="597"/>
      <c r="M638" s="597"/>
      <c r="N638" s="597"/>
      <c r="O638" s="597"/>
      <c r="P638" s="597"/>
      <c r="Q638" s="597"/>
      <c r="V638" s="1615"/>
    </row>
    <row r="639" spans="6:22" s="14" customFormat="1" ht="14.25" customHeight="1">
      <c r="F639" s="573"/>
      <c r="G639" s="573"/>
      <c r="H639" s="573"/>
      <c r="I639" s="573"/>
      <c r="J639" s="601"/>
      <c r="K639" s="597"/>
      <c r="L639" s="597"/>
      <c r="M639" s="597"/>
      <c r="N639" s="597"/>
      <c r="O639" s="597"/>
      <c r="P639" s="597"/>
      <c r="Q639" s="597"/>
      <c r="V639" s="1615"/>
    </row>
    <row r="640" spans="6:22" s="14" customFormat="1" ht="14.25" customHeight="1">
      <c r="F640" s="573"/>
      <c r="G640" s="573"/>
      <c r="H640" s="573"/>
      <c r="I640" s="573"/>
      <c r="J640" s="601"/>
      <c r="K640" s="597"/>
      <c r="L640" s="597"/>
      <c r="M640" s="597"/>
      <c r="N640" s="597"/>
      <c r="O640" s="597"/>
      <c r="P640" s="597"/>
      <c r="Q640" s="597"/>
      <c r="V640" s="1615"/>
    </row>
    <row r="641" spans="6:22" s="14" customFormat="1" ht="14.25" customHeight="1">
      <c r="F641" s="573"/>
      <c r="G641" s="573"/>
      <c r="H641" s="573"/>
      <c r="I641" s="573"/>
      <c r="J641" s="601"/>
      <c r="K641" s="597"/>
      <c r="L641" s="597"/>
      <c r="M641" s="597"/>
      <c r="N641" s="597"/>
      <c r="O641" s="597"/>
      <c r="P641" s="597"/>
      <c r="Q641" s="597"/>
      <c r="V641" s="1615"/>
    </row>
    <row r="642" spans="6:22" s="14" customFormat="1" ht="14.25" customHeight="1">
      <c r="F642" s="573"/>
      <c r="G642" s="573"/>
      <c r="H642" s="573"/>
      <c r="I642" s="573"/>
      <c r="J642" s="601"/>
      <c r="K642" s="597"/>
      <c r="L642" s="597"/>
      <c r="M642" s="597"/>
      <c r="N642" s="597"/>
      <c r="O642" s="597"/>
      <c r="P642" s="597"/>
      <c r="Q642" s="597"/>
      <c r="V642" s="1615"/>
    </row>
    <row r="643" spans="6:22" s="14" customFormat="1" ht="14.25" customHeight="1">
      <c r="F643" s="573"/>
      <c r="G643" s="573"/>
      <c r="H643" s="573"/>
      <c r="I643" s="573"/>
      <c r="J643" s="601"/>
      <c r="K643" s="597"/>
      <c r="L643" s="597"/>
      <c r="M643" s="597"/>
      <c r="N643" s="597"/>
      <c r="O643" s="597"/>
      <c r="P643" s="597"/>
      <c r="Q643" s="597"/>
      <c r="V643" s="1615"/>
    </row>
    <row r="644" spans="6:22" s="14" customFormat="1" ht="14.25" customHeight="1">
      <c r="F644" s="573"/>
      <c r="G644" s="573"/>
      <c r="H644" s="573"/>
      <c r="I644" s="573"/>
      <c r="J644" s="601"/>
      <c r="K644" s="597"/>
      <c r="L644" s="597"/>
      <c r="M644" s="597"/>
      <c r="N644" s="597"/>
      <c r="O644" s="597"/>
      <c r="P644" s="597"/>
      <c r="Q644" s="597"/>
      <c r="V644" s="1615"/>
    </row>
    <row r="645" spans="6:22" s="14" customFormat="1" ht="14.25" customHeight="1">
      <c r="F645" s="573"/>
      <c r="G645" s="573"/>
      <c r="H645" s="573"/>
      <c r="I645" s="573"/>
      <c r="J645" s="601"/>
      <c r="K645" s="597"/>
      <c r="L645" s="597"/>
      <c r="M645" s="597"/>
      <c r="N645" s="597"/>
      <c r="O645" s="597"/>
      <c r="P645" s="597"/>
      <c r="Q645" s="597"/>
      <c r="V645" s="1615"/>
    </row>
    <row r="646" spans="6:22" s="14" customFormat="1" ht="14.25" customHeight="1">
      <c r="F646" s="573"/>
      <c r="G646" s="573"/>
      <c r="H646" s="573"/>
      <c r="I646" s="573"/>
      <c r="J646" s="601"/>
      <c r="K646" s="597"/>
      <c r="L646" s="597"/>
      <c r="M646" s="597"/>
      <c r="N646" s="597"/>
      <c r="O646" s="597"/>
      <c r="P646" s="597"/>
      <c r="Q646" s="597"/>
      <c r="V646" s="1615"/>
    </row>
    <row r="647" spans="6:22" s="14" customFormat="1" ht="14.25" customHeight="1">
      <c r="F647" s="573"/>
      <c r="G647" s="573"/>
      <c r="H647" s="573"/>
      <c r="I647" s="573"/>
      <c r="J647" s="601"/>
      <c r="K647" s="597"/>
      <c r="L647" s="597"/>
      <c r="M647" s="597"/>
      <c r="N647" s="597"/>
      <c r="O647" s="597"/>
      <c r="P647" s="597"/>
      <c r="Q647" s="597"/>
      <c r="V647" s="1615"/>
    </row>
    <row r="648" spans="6:22" s="14" customFormat="1" ht="14.25" customHeight="1">
      <c r="F648" s="573"/>
      <c r="G648" s="573"/>
      <c r="H648" s="573"/>
      <c r="I648" s="573"/>
      <c r="J648" s="601"/>
      <c r="K648" s="597"/>
      <c r="L648" s="597"/>
      <c r="M648" s="597"/>
      <c r="N648" s="597"/>
      <c r="O648" s="597"/>
      <c r="P648" s="597"/>
      <c r="Q648" s="597"/>
      <c r="V648" s="1615"/>
    </row>
    <row r="649" spans="6:22" s="14" customFormat="1" ht="14.25" customHeight="1">
      <c r="F649" s="573"/>
      <c r="G649" s="573"/>
      <c r="H649" s="573"/>
      <c r="I649" s="573"/>
      <c r="J649" s="601"/>
      <c r="K649" s="597"/>
      <c r="L649" s="597"/>
      <c r="M649" s="597"/>
      <c r="N649" s="597"/>
      <c r="O649" s="597"/>
      <c r="P649" s="597"/>
      <c r="Q649" s="597"/>
      <c r="V649" s="1615"/>
    </row>
    <row r="650" spans="6:22" s="14" customFormat="1" ht="14.25" customHeight="1">
      <c r="F650" s="573"/>
      <c r="G650" s="573"/>
      <c r="H650" s="573"/>
      <c r="I650" s="573"/>
      <c r="J650" s="601"/>
      <c r="K650" s="597"/>
      <c r="L650" s="597"/>
      <c r="M650" s="597"/>
      <c r="N650" s="597"/>
      <c r="O650" s="597"/>
      <c r="P650" s="597"/>
      <c r="Q650" s="597"/>
      <c r="V650" s="1615"/>
    </row>
    <row r="651" spans="6:22" s="14" customFormat="1" ht="14.25" customHeight="1">
      <c r="F651" s="573"/>
      <c r="G651" s="573"/>
      <c r="H651" s="573"/>
      <c r="I651" s="573"/>
      <c r="J651" s="601"/>
      <c r="K651" s="597"/>
      <c r="L651" s="597"/>
      <c r="M651" s="597"/>
      <c r="N651" s="597"/>
      <c r="O651" s="597"/>
      <c r="P651" s="597"/>
      <c r="Q651" s="597"/>
      <c r="V651" s="1615"/>
    </row>
    <row r="652" spans="6:22" s="14" customFormat="1" ht="14.25" customHeight="1">
      <c r="F652" s="573"/>
      <c r="G652" s="573"/>
      <c r="H652" s="573"/>
      <c r="I652" s="573"/>
      <c r="J652" s="601"/>
      <c r="K652" s="597"/>
      <c r="L652" s="597"/>
      <c r="M652" s="597"/>
      <c r="N652" s="597"/>
      <c r="O652" s="597"/>
      <c r="P652" s="597"/>
      <c r="Q652" s="597"/>
      <c r="V652" s="1615"/>
    </row>
    <row r="653" spans="6:22" s="14" customFormat="1" ht="14.25" customHeight="1">
      <c r="F653" s="573"/>
      <c r="G653" s="573"/>
      <c r="H653" s="573"/>
      <c r="I653" s="573"/>
      <c r="J653" s="601"/>
      <c r="K653" s="597"/>
      <c r="L653" s="597"/>
      <c r="M653" s="597"/>
      <c r="N653" s="597"/>
      <c r="O653" s="597"/>
      <c r="P653" s="597"/>
      <c r="Q653" s="597"/>
      <c r="V653" s="1615"/>
    </row>
    <row r="654" spans="6:22" s="14" customFormat="1" ht="14.25" customHeight="1">
      <c r="F654" s="573"/>
      <c r="G654" s="573"/>
      <c r="H654" s="573"/>
      <c r="I654" s="573"/>
      <c r="J654" s="601"/>
      <c r="K654" s="597"/>
      <c r="L654" s="597"/>
      <c r="M654" s="597"/>
      <c r="N654" s="597"/>
      <c r="O654" s="597"/>
      <c r="P654" s="597"/>
      <c r="Q654" s="597"/>
      <c r="V654" s="1615"/>
    </row>
    <row r="655" spans="6:22" s="14" customFormat="1" ht="14.25" customHeight="1">
      <c r="F655" s="573"/>
      <c r="G655" s="573"/>
      <c r="H655" s="573"/>
      <c r="I655" s="573"/>
      <c r="J655" s="601"/>
      <c r="K655" s="597"/>
      <c r="L655" s="597"/>
      <c r="M655" s="597"/>
      <c r="N655" s="597"/>
      <c r="O655" s="597"/>
      <c r="P655" s="597"/>
      <c r="Q655" s="597"/>
      <c r="V655" s="1615"/>
    </row>
    <row r="656" spans="6:22" s="14" customFormat="1" ht="14.25" customHeight="1">
      <c r="F656" s="573"/>
      <c r="G656" s="573"/>
      <c r="H656" s="573"/>
      <c r="I656" s="573"/>
      <c r="J656" s="601"/>
      <c r="K656" s="597"/>
      <c r="L656" s="597"/>
      <c r="M656" s="597"/>
      <c r="N656" s="597"/>
      <c r="O656" s="597"/>
      <c r="P656" s="597"/>
      <c r="Q656" s="597"/>
      <c r="V656" s="1615"/>
    </row>
    <row r="657" spans="6:22" s="14" customFormat="1" ht="14.25" customHeight="1">
      <c r="F657" s="573"/>
      <c r="G657" s="573"/>
      <c r="H657" s="573"/>
      <c r="I657" s="573"/>
      <c r="J657" s="601"/>
      <c r="K657" s="597"/>
      <c r="L657" s="597"/>
      <c r="M657" s="597"/>
      <c r="N657" s="597"/>
      <c r="O657" s="597"/>
      <c r="P657" s="597"/>
      <c r="Q657" s="597"/>
      <c r="V657" s="1615"/>
    </row>
    <row r="658" spans="6:22" s="14" customFormat="1" ht="14.25" customHeight="1">
      <c r="F658" s="573"/>
      <c r="G658" s="573"/>
      <c r="H658" s="573"/>
      <c r="I658" s="573"/>
      <c r="J658" s="601"/>
      <c r="K658" s="597"/>
      <c r="L658" s="597"/>
      <c r="M658" s="597"/>
      <c r="N658" s="597"/>
      <c r="O658" s="597"/>
      <c r="P658" s="597"/>
      <c r="Q658" s="597"/>
      <c r="V658" s="1615"/>
    </row>
    <row r="659" spans="6:22" s="14" customFormat="1" ht="14.25" customHeight="1">
      <c r="F659" s="573"/>
      <c r="G659" s="573"/>
      <c r="H659" s="573"/>
      <c r="I659" s="573"/>
      <c r="J659" s="601"/>
      <c r="K659" s="597"/>
      <c r="L659" s="597"/>
      <c r="M659" s="597"/>
      <c r="N659" s="597"/>
      <c r="O659" s="597"/>
      <c r="P659" s="597"/>
      <c r="Q659" s="597"/>
      <c r="V659" s="1615"/>
    </row>
    <row r="660" spans="6:22" s="14" customFormat="1" ht="14.25" customHeight="1">
      <c r="F660" s="573"/>
      <c r="G660" s="573"/>
      <c r="H660" s="573"/>
      <c r="I660" s="573"/>
      <c r="J660" s="601"/>
      <c r="K660" s="597"/>
      <c r="L660" s="597"/>
      <c r="M660" s="597"/>
      <c r="N660" s="597"/>
      <c r="O660" s="597"/>
      <c r="P660" s="597"/>
      <c r="Q660" s="597"/>
      <c r="V660" s="1615"/>
    </row>
    <row r="661" spans="6:22" s="14" customFormat="1" ht="14.25" customHeight="1">
      <c r="F661" s="573"/>
      <c r="G661" s="573"/>
      <c r="H661" s="573"/>
      <c r="I661" s="573"/>
      <c r="J661" s="601"/>
      <c r="K661" s="597"/>
      <c r="L661" s="597"/>
      <c r="M661" s="597"/>
      <c r="N661" s="597"/>
      <c r="O661" s="597"/>
      <c r="P661" s="597"/>
      <c r="Q661" s="597"/>
      <c r="V661" s="1615"/>
    </row>
    <row r="662" spans="6:22" s="14" customFormat="1" ht="14.25" customHeight="1">
      <c r="F662" s="573"/>
      <c r="G662" s="573"/>
      <c r="H662" s="573"/>
      <c r="I662" s="573"/>
      <c r="J662" s="601"/>
      <c r="K662" s="597"/>
      <c r="L662" s="597"/>
      <c r="M662" s="597"/>
      <c r="N662" s="597"/>
      <c r="O662" s="597"/>
      <c r="P662" s="597"/>
      <c r="Q662" s="597"/>
      <c r="V662" s="1615"/>
    </row>
    <row r="663" spans="6:22" s="14" customFormat="1" ht="14.25" customHeight="1">
      <c r="F663" s="573"/>
      <c r="G663" s="573"/>
      <c r="H663" s="573"/>
      <c r="I663" s="573"/>
      <c r="J663" s="601"/>
      <c r="K663" s="597"/>
      <c r="L663" s="597"/>
      <c r="M663" s="597"/>
      <c r="N663" s="597"/>
      <c r="O663" s="597"/>
      <c r="P663" s="597"/>
      <c r="Q663" s="597"/>
      <c r="V663" s="1615"/>
    </row>
    <row r="664" spans="6:22" s="14" customFormat="1" ht="14.25" customHeight="1">
      <c r="F664" s="573"/>
      <c r="G664" s="573"/>
      <c r="H664" s="573"/>
      <c r="I664" s="573"/>
      <c r="J664" s="601"/>
      <c r="K664" s="597"/>
      <c r="L664" s="597"/>
      <c r="M664" s="597"/>
      <c r="N664" s="597"/>
      <c r="O664" s="597"/>
      <c r="P664" s="597"/>
      <c r="Q664" s="597"/>
      <c r="V664" s="1615"/>
    </row>
    <row r="665" spans="6:22" s="14" customFormat="1" ht="14.25" customHeight="1">
      <c r="F665" s="573"/>
      <c r="G665" s="573"/>
      <c r="H665" s="573"/>
      <c r="I665" s="573"/>
      <c r="J665" s="601"/>
      <c r="K665" s="597"/>
      <c r="L665" s="597"/>
      <c r="M665" s="597"/>
      <c r="N665" s="597"/>
      <c r="O665" s="597"/>
      <c r="P665" s="597"/>
      <c r="Q665" s="597"/>
      <c r="V665" s="1615"/>
    </row>
    <row r="666" spans="6:22" s="14" customFormat="1" ht="14.25" customHeight="1">
      <c r="F666" s="573"/>
      <c r="G666" s="573"/>
      <c r="H666" s="573"/>
      <c r="I666" s="573"/>
      <c r="J666" s="601"/>
      <c r="K666" s="597"/>
      <c r="L666" s="597"/>
      <c r="M666" s="597"/>
      <c r="N666" s="597"/>
      <c r="O666" s="597"/>
      <c r="P666" s="597"/>
      <c r="Q666" s="597"/>
      <c r="V666" s="1615"/>
    </row>
    <row r="667" spans="6:22" s="14" customFormat="1" ht="14.25" customHeight="1">
      <c r="F667" s="573"/>
      <c r="G667" s="573"/>
      <c r="H667" s="573"/>
      <c r="I667" s="573"/>
      <c r="J667" s="601"/>
      <c r="K667" s="597"/>
      <c r="L667" s="597"/>
      <c r="M667" s="597"/>
      <c r="N667" s="597"/>
      <c r="O667" s="597"/>
      <c r="P667" s="597"/>
      <c r="Q667" s="597"/>
      <c r="V667" s="1615"/>
    </row>
    <row r="668" spans="6:22" s="14" customFormat="1" ht="14.25" customHeight="1">
      <c r="F668" s="573"/>
      <c r="G668" s="573"/>
      <c r="H668" s="573"/>
      <c r="I668" s="573"/>
      <c r="J668" s="601"/>
      <c r="K668" s="597"/>
      <c r="L668" s="597"/>
      <c r="M668" s="597"/>
      <c r="N668" s="597"/>
      <c r="O668" s="597"/>
      <c r="P668" s="597"/>
      <c r="Q668" s="597"/>
      <c r="V668" s="1615"/>
    </row>
    <row r="669" spans="6:22" s="14" customFormat="1" ht="14.25" customHeight="1">
      <c r="F669" s="573"/>
      <c r="G669" s="573"/>
      <c r="H669" s="573"/>
      <c r="I669" s="573"/>
      <c r="J669" s="601"/>
      <c r="K669" s="597"/>
      <c r="L669" s="597"/>
      <c r="M669" s="597"/>
      <c r="N669" s="597"/>
      <c r="O669" s="597"/>
      <c r="P669" s="597"/>
      <c r="Q669" s="597"/>
      <c r="V669" s="1615"/>
    </row>
    <row r="670" spans="6:22" s="14" customFormat="1" ht="14.25" customHeight="1">
      <c r="F670" s="573"/>
      <c r="G670" s="573"/>
      <c r="H670" s="573"/>
      <c r="I670" s="573"/>
      <c r="J670" s="601"/>
      <c r="K670" s="597"/>
      <c r="L670" s="597"/>
      <c r="M670" s="597"/>
      <c r="N670" s="597"/>
      <c r="O670" s="597"/>
      <c r="P670" s="597"/>
      <c r="Q670" s="597"/>
      <c r="V670" s="1615"/>
    </row>
    <row r="671" spans="6:22" s="14" customFormat="1" ht="14.25" customHeight="1">
      <c r="F671" s="573"/>
      <c r="G671" s="573"/>
      <c r="H671" s="573"/>
      <c r="I671" s="573"/>
      <c r="J671" s="601"/>
      <c r="K671" s="597"/>
      <c r="L671" s="597"/>
      <c r="M671" s="597"/>
      <c r="N671" s="597"/>
      <c r="O671" s="597"/>
      <c r="P671" s="597"/>
      <c r="Q671" s="597"/>
      <c r="V671" s="1615"/>
    </row>
    <row r="672" spans="6:22" s="14" customFormat="1" ht="14.25" customHeight="1">
      <c r="F672" s="573"/>
      <c r="G672" s="573"/>
      <c r="H672" s="573"/>
      <c r="I672" s="573"/>
      <c r="J672" s="601"/>
      <c r="K672" s="597"/>
      <c r="L672" s="597"/>
      <c r="M672" s="597"/>
      <c r="N672" s="597"/>
      <c r="O672" s="597"/>
      <c r="P672" s="597"/>
      <c r="Q672" s="597"/>
      <c r="V672" s="1615"/>
    </row>
    <row r="673" spans="6:22" s="14" customFormat="1" ht="14.25" customHeight="1">
      <c r="F673" s="573"/>
      <c r="G673" s="573"/>
      <c r="H673" s="573"/>
      <c r="I673" s="573"/>
      <c r="J673" s="601"/>
      <c r="K673" s="597"/>
      <c r="L673" s="597"/>
      <c r="M673" s="597"/>
      <c r="N673" s="597"/>
      <c r="O673" s="597"/>
      <c r="P673" s="597"/>
      <c r="Q673" s="597"/>
      <c r="V673" s="1615"/>
    </row>
    <row r="674" spans="6:22" s="14" customFormat="1" ht="14.25" customHeight="1">
      <c r="F674" s="573"/>
      <c r="G674" s="573"/>
      <c r="H674" s="573"/>
      <c r="I674" s="573"/>
      <c r="J674" s="601"/>
      <c r="K674" s="597"/>
      <c r="L674" s="597"/>
      <c r="M674" s="597"/>
      <c r="N674" s="597"/>
      <c r="O674" s="597"/>
      <c r="P674" s="597"/>
      <c r="Q674" s="597"/>
      <c r="V674" s="1615"/>
    </row>
    <row r="675" spans="6:22" s="14" customFormat="1" ht="14.25" customHeight="1">
      <c r="F675" s="573"/>
      <c r="G675" s="573"/>
      <c r="H675" s="573"/>
      <c r="I675" s="573"/>
      <c r="J675" s="601"/>
      <c r="K675" s="597"/>
      <c r="L675" s="597"/>
      <c r="M675" s="597"/>
      <c r="N675" s="597"/>
      <c r="O675" s="597"/>
      <c r="P675" s="597"/>
      <c r="Q675" s="597"/>
      <c r="V675" s="1615"/>
    </row>
    <row r="676" spans="6:22" s="14" customFormat="1" ht="14.25" customHeight="1">
      <c r="F676" s="573"/>
      <c r="G676" s="573"/>
      <c r="H676" s="573"/>
      <c r="I676" s="573"/>
      <c r="J676" s="601"/>
      <c r="K676" s="597"/>
      <c r="L676" s="597"/>
      <c r="M676" s="597"/>
      <c r="N676" s="597"/>
      <c r="O676" s="597"/>
      <c r="P676" s="597"/>
      <c r="Q676" s="597"/>
      <c r="V676" s="1615"/>
    </row>
    <row r="677" spans="6:22" s="14" customFormat="1" ht="14.25" customHeight="1">
      <c r="F677" s="573"/>
      <c r="G677" s="573"/>
      <c r="H677" s="573"/>
      <c r="I677" s="573"/>
      <c r="J677" s="601"/>
      <c r="K677" s="597"/>
      <c r="L677" s="597"/>
      <c r="M677" s="597"/>
      <c r="N677" s="597"/>
      <c r="O677" s="597"/>
      <c r="P677" s="597"/>
      <c r="Q677" s="597"/>
      <c r="V677" s="1615"/>
    </row>
    <row r="678" spans="6:22" s="14" customFormat="1" ht="14.25" customHeight="1">
      <c r="F678" s="573"/>
      <c r="G678" s="573"/>
      <c r="H678" s="573"/>
      <c r="I678" s="573"/>
      <c r="J678" s="601"/>
      <c r="K678" s="597"/>
      <c r="L678" s="597"/>
      <c r="M678" s="597"/>
      <c r="N678" s="597"/>
      <c r="O678" s="597"/>
      <c r="P678" s="597"/>
      <c r="Q678" s="597"/>
      <c r="V678" s="1615"/>
    </row>
    <row r="679" spans="6:22" s="14" customFormat="1" ht="14.25" customHeight="1">
      <c r="F679" s="573"/>
      <c r="G679" s="573"/>
      <c r="H679" s="573"/>
      <c r="I679" s="573"/>
      <c r="J679" s="601"/>
      <c r="K679" s="597"/>
      <c r="L679" s="597"/>
      <c r="M679" s="597"/>
      <c r="N679" s="597"/>
      <c r="O679" s="597"/>
      <c r="P679" s="597"/>
      <c r="Q679" s="597"/>
      <c r="V679" s="1615"/>
    </row>
    <row r="680" spans="6:22" s="14" customFormat="1" ht="14.25" customHeight="1">
      <c r="F680" s="573"/>
      <c r="G680" s="573"/>
      <c r="H680" s="573"/>
      <c r="I680" s="573"/>
      <c r="J680" s="601"/>
      <c r="K680" s="597"/>
      <c r="L680" s="597"/>
      <c r="M680" s="597"/>
      <c r="N680" s="597"/>
      <c r="O680" s="597"/>
      <c r="P680" s="597"/>
      <c r="Q680" s="597"/>
      <c r="V680" s="1615"/>
    </row>
    <row r="681" spans="6:22" s="14" customFormat="1" ht="14.25" customHeight="1">
      <c r="F681" s="573"/>
      <c r="G681" s="573"/>
      <c r="H681" s="573"/>
      <c r="I681" s="573"/>
      <c r="J681" s="601"/>
      <c r="K681" s="597"/>
      <c r="L681" s="597"/>
      <c r="M681" s="597"/>
      <c r="N681" s="597"/>
      <c r="O681" s="597"/>
      <c r="P681" s="597"/>
      <c r="Q681" s="597"/>
      <c r="V681" s="1615"/>
    </row>
    <row r="682" spans="6:22" s="14" customFormat="1" ht="14.25" customHeight="1">
      <c r="F682" s="573"/>
      <c r="G682" s="573"/>
      <c r="H682" s="573"/>
      <c r="I682" s="573"/>
      <c r="J682" s="601"/>
      <c r="K682" s="597"/>
      <c r="L682" s="597"/>
      <c r="M682" s="597"/>
      <c r="N682" s="597"/>
      <c r="O682" s="597"/>
      <c r="P682" s="597"/>
      <c r="Q682" s="597"/>
      <c r="V682" s="1615"/>
    </row>
    <row r="683" spans="6:22" s="14" customFormat="1" ht="14.25" customHeight="1">
      <c r="F683" s="573"/>
      <c r="G683" s="573"/>
      <c r="H683" s="573"/>
      <c r="I683" s="573"/>
      <c r="J683" s="601"/>
      <c r="K683" s="597"/>
      <c r="L683" s="597"/>
      <c r="M683" s="597"/>
      <c r="N683" s="597"/>
      <c r="O683" s="597"/>
      <c r="P683" s="597"/>
      <c r="Q683" s="597"/>
      <c r="V683" s="1615"/>
    </row>
    <row r="684" spans="6:22" s="14" customFormat="1" ht="14.25" customHeight="1">
      <c r="F684" s="573"/>
      <c r="G684" s="573"/>
      <c r="H684" s="573"/>
      <c r="I684" s="573"/>
      <c r="J684" s="601"/>
      <c r="K684" s="597"/>
      <c r="L684" s="597"/>
      <c r="M684" s="597"/>
      <c r="N684" s="597"/>
      <c r="O684" s="597"/>
      <c r="P684" s="597"/>
      <c r="Q684" s="597"/>
      <c r="V684" s="1615"/>
    </row>
    <row r="685" spans="6:22" s="14" customFormat="1" ht="14.25" customHeight="1">
      <c r="F685" s="573"/>
      <c r="G685" s="573"/>
      <c r="H685" s="573"/>
      <c r="I685" s="573"/>
      <c r="J685" s="601"/>
      <c r="K685" s="597"/>
      <c r="L685" s="597"/>
      <c r="M685" s="597"/>
      <c r="N685" s="597"/>
      <c r="O685" s="597"/>
      <c r="P685" s="597"/>
      <c r="Q685" s="597"/>
      <c r="V685" s="1615"/>
    </row>
    <row r="686" spans="6:22" s="14" customFormat="1" ht="14.25" customHeight="1">
      <c r="F686" s="573"/>
      <c r="G686" s="573"/>
      <c r="H686" s="573"/>
      <c r="I686" s="573"/>
      <c r="J686" s="601"/>
      <c r="K686" s="597"/>
      <c r="L686" s="597"/>
      <c r="M686" s="597"/>
      <c r="N686" s="597"/>
      <c r="O686" s="597"/>
      <c r="P686" s="597"/>
      <c r="Q686" s="597"/>
      <c r="V686" s="1615"/>
    </row>
    <row r="687" spans="6:22" s="14" customFormat="1" ht="14.25" customHeight="1">
      <c r="F687" s="573"/>
      <c r="G687" s="573"/>
      <c r="H687" s="573"/>
      <c r="I687" s="573"/>
      <c r="J687" s="601"/>
      <c r="K687" s="597"/>
      <c r="L687" s="597"/>
      <c r="M687" s="597"/>
      <c r="N687" s="597"/>
      <c r="O687" s="597"/>
      <c r="P687" s="597"/>
      <c r="Q687" s="597"/>
      <c r="V687" s="1615"/>
    </row>
    <row r="688" spans="6:22" s="14" customFormat="1" ht="14.25" customHeight="1">
      <c r="F688" s="573"/>
      <c r="G688" s="573"/>
      <c r="H688" s="573"/>
      <c r="I688" s="573"/>
      <c r="J688" s="601"/>
      <c r="K688" s="597"/>
      <c r="L688" s="597"/>
      <c r="M688" s="597"/>
      <c r="N688" s="597"/>
      <c r="O688" s="597"/>
      <c r="P688" s="597"/>
      <c r="Q688" s="597"/>
      <c r="V688" s="1615"/>
    </row>
    <row r="689" spans="6:22" s="14" customFormat="1" ht="14.25" customHeight="1">
      <c r="F689" s="573"/>
      <c r="G689" s="573"/>
      <c r="H689" s="573"/>
      <c r="I689" s="573"/>
      <c r="J689" s="601"/>
      <c r="K689" s="597"/>
      <c r="L689" s="597"/>
      <c r="M689" s="597"/>
      <c r="N689" s="597"/>
      <c r="O689" s="597"/>
      <c r="P689" s="597"/>
      <c r="Q689" s="597"/>
      <c r="V689" s="1615"/>
    </row>
    <row r="690" spans="6:22" s="14" customFormat="1" ht="14.25" customHeight="1">
      <c r="F690" s="573"/>
      <c r="G690" s="573"/>
      <c r="H690" s="573"/>
      <c r="I690" s="573"/>
      <c r="J690" s="601"/>
      <c r="K690" s="597"/>
      <c r="L690" s="597"/>
      <c r="M690" s="597"/>
      <c r="N690" s="597"/>
      <c r="O690" s="597"/>
      <c r="P690" s="597"/>
      <c r="Q690" s="597"/>
      <c r="V690" s="1615"/>
    </row>
    <row r="691" spans="6:22" s="14" customFormat="1" ht="14.25" customHeight="1">
      <c r="F691" s="573"/>
      <c r="G691" s="573"/>
      <c r="H691" s="573"/>
      <c r="I691" s="573"/>
      <c r="J691" s="601"/>
      <c r="K691" s="597"/>
      <c r="L691" s="597"/>
      <c r="M691" s="597"/>
      <c r="N691" s="597"/>
      <c r="O691" s="597"/>
      <c r="P691" s="597"/>
      <c r="Q691" s="597"/>
      <c r="V691" s="1615"/>
    </row>
    <row r="692" spans="6:22" s="14" customFormat="1" ht="14.25" customHeight="1">
      <c r="F692" s="573"/>
      <c r="G692" s="573"/>
      <c r="H692" s="573"/>
      <c r="I692" s="573"/>
      <c r="J692" s="601"/>
      <c r="K692" s="597"/>
      <c r="L692" s="597"/>
      <c r="M692" s="597"/>
      <c r="N692" s="597"/>
      <c r="O692" s="597"/>
      <c r="P692" s="597"/>
      <c r="Q692" s="597"/>
      <c r="V692" s="1615"/>
    </row>
    <row r="693" spans="6:22" s="14" customFormat="1" ht="14.25" customHeight="1">
      <c r="F693" s="573"/>
      <c r="G693" s="573"/>
      <c r="H693" s="573"/>
      <c r="I693" s="573"/>
      <c r="J693" s="601"/>
      <c r="K693" s="597"/>
      <c r="L693" s="597"/>
      <c r="M693" s="597"/>
      <c r="N693" s="597"/>
      <c r="O693" s="597"/>
      <c r="P693" s="597"/>
      <c r="Q693" s="597"/>
      <c r="V693" s="1615"/>
    </row>
    <row r="694" spans="6:22" s="14" customFormat="1" ht="14.25" customHeight="1">
      <c r="F694" s="573"/>
      <c r="G694" s="573"/>
      <c r="H694" s="573"/>
      <c r="I694" s="573"/>
      <c r="J694" s="601"/>
      <c r="K694" s="597"/>
      <c r="L694" s="597"/>
      <c r="M694" s="597"/>
      <c r="N694" s="597"/>
      <c r="O694" s="597"/>
      <c r="P694" s="597"/>
      <c r="Q694" s="597"/>
      <c r="V694" s="1615"/>
    </row>
    <row r="695" spans="6:22" s="14" customFormat="1" ht="14.25" customHeight="1">
      <c r="F695" s="573"/>
      <c r="G695" s="573"/>
      <c r="H695" s="573"/>
      <c r="I695" s="573"/>
      <c r="J695" s="601"/>
      <c r="K695" s="597"/>
      <c r="L695" s="597"/>
      <c r="M695" s="597"/>
      <c r="N695" s="597"/>
      <c r="O695" s="597"/>
      <c r="P695" s="597"/>
      <c r="Q695" s="597"/>
      <c r="V695" s="1615"/>
    </row>
    <row r="696" spans="6:22" s="14" customFormat="1" ht="14.25" customHeight="1">
      <c r="F696" s="573"/>
      <c r="G696" s="573"/>
      <c r="H696" s="573"/>
      <c r="I696" s="573"/>
      <c r="J696" s="601"/>
      <c r="K696" s="597"/>
      <c r="L696" s="597"/>
      <c r="M696" s="597"/>
      <c r="N696" s="597"/>
      <c r="O696" s="597"/>
      <c r="P696" s="597"/>
      <c r="Q696" s="597"/>
      <c r="V696" s="1615"/>
    </row>
    <row r="697" spans="6:22" s="14" customFormat="1" ht="14.25" customHeight="1">
      <c r="F697" s="573"/>
      <c r="G697" s="573"/>
      <c r="H697" s="573"/>
      <c r="I697" s="573"/>
      <c r="J697" s="601"/>
      <c r="K697" s="597"/>
      <c r="L697" s="597"/>
      <c r="M697" s="597"/>
      <c r="N697" s="597"/>
      <c r="O697" s="597"/>
      <c r="P697" s="597"/>
      <c r="Q697" s="597"/>
      <c r="V697" s="1615"/>
    </row>
    <row r="698" spans="6:22" s="14" customFormat="1" ht="14.25" customHeight="1">
      <c r="F698" s="573"/>
      <c r="G698" s="573"/>
      <c r="H698" s="573"/>
      <c r="I698" s="573"/>
      <c r="J698" s="601"/>
      <c r="K698" s="597"/>
      <c r="L698" s="597"/>
      <c r="M698" s="597"/>
      <c r="N698" s="597"/>
      <c r="O698" s="597"/>
      <c r="P698" s="597"/>
      <c r="Q698" s="597"/>
      <c r="V698" s="1615"/>
    </row>
    <row r="699" spans="6:22" s="14" customFormat="1" ht="14.25" customHeight="1">
      <c r="F699" s="573"/>
      <c r="G699" s="573"/>
      <c r="H699" s="573"/>
      <c r="I699" s="573"/>
      <c r="J699" s="601"/>
      <c r="K699" s="597"/>
      <c r="L699" s="597"/>
      <c r="M699" s="597"/>
      <c r="N699" s="597"/>
      <c r="O699" s="597"/>
      <c r="P699" s="597"/>
      <c r="Q699" s="597"/>
      <c r="V699" s="1615"/>
    </row>
    <row r="700" spans="6:22" s="14" customFormat="1" ht="14.25" customHeight="1">
      <c r="F700" s="573"/>
      <c r="G700" s="573"/>
      <c r="H700" s="573"/>
      <c r="I700" s="573"/>
      <c r="J700" s="601"/>
      <c r="K700" s="597"/>
      <c r="L700" s="597"/>
      <c r="M700" s="597"/>
      <c r="N700" s="597"/>
      <c r="O700" s="597"/>
      <c r="P700" s="597"/>
      <c r="Q700" s="597"/>
      <c r="V700" s="1615"/>
    </row>
    <row r="701" spans="6:22" s="14" customFormat="1" ht="14.25" customHeight="1">
      <c r="F701" s="573"/>
      <c r="G701" s="573"/>
      <c r="H701" s="573"/>
      <c r="I701" s="573"/>
      <c r="J701" s="601"/>
      <c r="K701" s="597"/>
      <c r="L701" s="597"/>
      <c r="M701" s="597"/>
      <c r="N701" s="597"/>
      <c r="O701" s="597"/>
      <c r="P701" s="597"/>
      <c r="Q701" s="597"/>
      <c r="V701" s="1615"/>
    </row>
    <row r="702" spans="6:22" s="14" customFormat="1" ht="14.25" customHeight="1">
      <c r="F702" s="573"/>
      <c r="G702" s="573"/>
      <c r="H702" s="573"/>
      <c r="I702" s="573"/>
      <c r="J702" s="601"/>
      <c r="K702" s="597"/>
      <c r="L702" s="597"/>
      <c r="M702" s="597"/>
      <c r="N702" s="597"/>
      <c r="O702" s="597"/>
      <c r="P702" s="597"/>
      <c r="Q702" s="597"/>
      <c r="V702" s="1615"/>
    </row>
    <row r="703" spans="6:22" s="14" customFormat="1" ht="14.25" customHeight="1">
      <c r="F703" s="573"/>
      <c r="G703" s="573"/>
      <c r="H703" s="573"/>
      <c r="I703" s="573"/>
      <c r="J703" s="601"/>
      <c r="K703" s="597"/>
      <c r="L703" s="597"/>
      <c r="M703" s="597"/>
      <c r="N703" s="597"/>
      <c r="O703" s="597"/>
      <c r="P703" s="597"/>
      <c r="Q703" s="597"/>
      <c r="V703" s="1615"/>
    </row>
    <row r="704" spans="6:22" s="14" customFormat="1" ht="14.25" customHeight="1">
      <c r="F704" s="573"/>
      <c r="G704" s="573"/>
      <c r="H704" s="573"/>
      <c r="I704" s="573"/>
      <c r="J704" s="601"/>
      <c r="K704" s="597"/>
      <c r="L704" s="597"/>
      <c r="M704" s="597"/>
      <c r="N704" s="597"/>
      <c r="O704" s="597"/>
      <c r="P704" s="597"/>
      <c r="Q704" s="597"/>
      <c r="V704" s="1615"/>
    </row>
    <row r="705" spans="6:22" s="14" customFormat="1" ht="14.25" customHeight="1">
      <c r="F705" s="573"/>
      <c r="G705" s="573"/>
      <c r="H705" s="573"/>
      <c r="I705" s="573"/>
      <c r="J705" s="601"/>
      <c r="K705" s="597"/>
      <c r="L705" s="597"/>
      <c r="M705" s="597"/>
      <c r="N705" s="597"/>
      <c r="O705" s="597"/>
      <c r="P705" s="597"/>
      <c r="Q705" s="597"/>
      <c r="V705" s="1615"/>
    </row>
    <row r="706" spans="6:22" s="14" customFormat="1" ht="14.25" customHeight="1">
      <c r="F706" s="573"/>
      <c r="G706" s="573"/>
      <c r="H706" s="573"/>
      <c r="I706" s="573"/>
      <c r="J706" s="601"/>
      <c r="K706" s="597"/>
      <c r="L706" s="597"/>
      <c r="M706" s="597"/>
      <c r="N706" s="597"/>
      <c r="O706" s="597"/>
      <c r="P706" s="597"/>
      <c r="Q706" s="597"/>
      <c r="V706" s="1615"/>
    </row>
    <row r="707" spans="6:22" s="14" customFormat="1" ht="14.25" customHeight="1">
      <c r="F707" s="573"/>
      <c r="G707" s="573"/>
      <c r="H707" s="573"/>
      <c r="I707" s="573"/>
      <c r="J707" s="601"/>
      <c r="K707" s="597"/>
      <c r="L707" s="597"/>
      <c r="M707" s="597"/>
      <c r="N707" s="597"/>
      <c r="O707" s="597"/>
      <c r="P707" s="597"/>
      <c r="Q707" s="597"/>
      <c r="V707" s="1615"/>
    </row>
    <row r="708" spans="6:22" s="14" customFormat="1" ht="14.25" customHeight="1">
      <c r="F708" s="573"/>
      <c r="G708" s="573"/>
      <c r="H708" s="573"/>
      <c r="I708" s="573"/>
      <c r="J708" s="601"/>
      <c r="K708" s="597"/>
      <c r="L708" s="597"/>
      <c r="M708" s="597"/>
      <c r="N708" s="597"/>
      <c r="O708" s="597"/>
      <c r="P708" s="597"/>
      <c r="Q708" s="597"/>
      <c r="V708" s="1615"/>
    </row>
    <row r="709" spans="6:22" s="14" customFormat="1" ht="14.25" customHeight="1">
      <c r="F709" s="573"/>
      <c r="G709" s="573"/>
      <c r="H709" s="573"/>
      <c r="I709" s="573"/>
      <c r="J709" s="601"/>
      <c r="K709" s="597"/>
      <c r="L709" s="597"/>
      <c r="M709" s="597"/>
      <c r="N709" s="597"/>
      <c r="O709" s="597"/>
      <c r="P709" s="597"/>
      <c r="Q709" s="597"/>
      <c r="V709" s="1615"/>
    </row>
    <row r="710" spans="6:22" s="14" customFormat="1" ht="14.25" customHeight="1">
      <c r="F710" s="573"/>
      <c r="G710" s="573"/>
      <c r="H710" s="573"/>
      <c r="I710" s="573"/>
      <c r="J710" s="601"/>
      <c r="K710" s="597"/>
      <c r="L710" s="597"/>
      <c r="M710" s="597"/>
      <c r="N710" s="597"/>
      <c r="O710" s="597"/>
      <c r="P710" s="597"/>
      <c r="Q710" s="597"/>
      <c r="V710" s="1615"/>
    </row>
    <row r="711" spans="6:22" s="14" customFormat="1" ht="14.25" customHeight="1">
      <c r="F711" s="573"/>
      <c r="G711" s="573"/>
      <c r="H711" s="573"/>
      <c r="I711" s="573"/>
      <c r="J711" s="601"/>
      <c r="K711" s="597"/>
      <c r="L711" s="597"/>
      <c r="M711" s="597"/>
      <c r="N711" s="597"/>
      <c r="O711" s="597"/>
      <c r="P711" s="597"/>
      <c r="Q711" s="597"/>
      <c r="V711" s="1615"/>
    </row>
    <row r="712" spans="6:22" s="14" customFormat="1" ht="14.25" customHeight="1">
      <c r="F712" s="573"/>
      <c r="G712" s="573"/>
      <c r="H712" s="573"/>
      <c r="I712" s="573"/>
      <c r="J712" s="601"/>
      <c r="K712" s="597"/>
      <c r="L712" s="597"/>
      <c r="M712" s="597"/>
      <c r="N712" s="597"/>
      <c r="O712" s="597"/>
      <c r="P712" s="597"/>
      <c r="Q712" s="597"/>
      <c r="V712" s="1615"/>
    </row>
    <row r="713" spans="6:22" s="14" customFormat="1" ht="14.25" customHeight="1">
      <c r="F713" s="573"/>
      <c r="G713" s="573"/>
      <c r="H713" s="573"/>
      <c r="I713" s="573"/>
      <c r="J713" s="601"/>
      <c r="K713" s="597"/>
      <c r="L713" s="597"/>
      <c r="M713" s="597"/>
      <c r="N713" s="597"/>
      <c r="O713" s="597"/>
      <c r="P713" s="597"/>
      <c r="Q713" s="597"/>
      <c r="V713" s="1615"/>
    </row>
    <row r="714" spans="6:22" s="14" customFormat="1" ht="14.25" customHeight="1">
      <c r="F714" s="573"/>
      <c r="G714" s="573"/>
      <c r="H714" s="573"/>
      <c r="I714" s="573"/>
      <c r="J714" s="601"/>
      <c r="K714" s="597"/>
      <c r="L714" s="597"/>
      <c r="M714" s="597"/>
      <c r="N714" s="597"/>
      <c r="O714" s="597"/>
      <c r="P714" s="597"/>
      <c r="Q714" s="597"/>
      <c r="V714" s="1615"/>
    </row>
    <row r="715" spans="6:22" s="14" customFormat="1" ht="14.25" customHeight="1">
      <c r="F715" s="573"/>
      <c r="G715" s="573"/>
      <c r="H715" s="573"/>
      <c r="I715" s="573"/>
      <c r="J715" s="601"/>
      <c r="K715" s="597"/>
      <c r="L715" s="597"/>
      <c r="M715" s="597"/>
      <c r="N715" s="597"/>
      <c r="O715" s="597"/>
      <c r="P715" s="597"/>
      <c r="Q715" s="597"/>
      <c r="V715" s="1615"/>
    </row>
    <row r="716" spans="6:22" s="14" customFormat="1" ht="14.25" customHeight="1">
      <c r="F716" s="573"/>
      <c r="G716" s="573"/>
      <c r="H716" s="573"/>
      <c r="I716" s="573"/>
      <c r="J716" s="601"/>
      <c r="K716" s="597"/>
      <c r="L716" s="597"/>
      <c r="M716" s="597"/>
      <c r="N716" s="597"/>
      <c r="O716" s="597"/>
      <c r="P716" s="597"/>
      <c r="Q716" s="597"/>
      <c r="V716" s="1615"/>
    </row>
    <row r="717" spans="6:22" s="14" customFormat="1" ht="14.25" customHeight="1">
      <c r="F717" s="573"/>
      <c r="G717" s="573"/>
      <c r="H717" s="573"/>
      <c r="I717" s="573"/>
      <c r="J717" s="601"/>
      <c r="K717" s="597"/>
      <c r="L717" s="597"/>
      <c r="M717" s="597"/>
      <c r="N717" s="597"/>
      <c r="O717" s="597"/>
      <c r="P717" s="597"/>
      <c r="Q717" s="597"/>
      <c r="V717" s="1615"/>
    </row>
    <row r="718" spans="6:22" s="14" customFormat="1" ht="14.25" customHeight="1">
      <c r="F718" s="573"/>
      <c r="G718" s="573"/>
      <c r="H718" s="573"/>
      <c r="I718" s="573"/>
      <c r="J718" s="601"/>
      <c r="K718" s="597"/>
      <c r="L718" s="597"/>
      <c r="M718" s="597"/>
      <c r="N718" s="597"/>
      <c r="O718" s="597"/>
      <c r="P718" s="597"/>
      <c r="Q718" s="597"/>
      <c r="V718" s="1615"/>
    </row>
    <row r="719" spans="6:22" s="14" customFormat="1" ht="14.25" customHeight="1">
      <c r="F719" s="573"/>
      <c r="G719" s="573"/>
      <c r="H719" s="573"/>
      <c r="I719" s="573"/>
      <c r="J719" s="601"/>
      <c r="K719" s="597"/>
      <c r="L719" s="597"/>
      <c r="M719" s="597"/>
      <c r="N719" s="597"/>
      <c r="O719" s="597"/>
      <c r="P719" s="597"/>
      <c r="Q719" s="597"/>
      <c r="V719" s="1615"/>
    </row>
    <row r="720" spans="6:22" s="14" customFormat="1" ht="14.25" customHeight="1">
      <c r="F720" s="573"/>
      <c r="G720" s="573"/>
      <c r="H720" s="573"/>
      <c r="I720" s="573"/>
      <c r="J720" s="601"/>
      <c r="K720" s="597"/>
      <c r="L720" s="597"/>
      <c r="M720" s="597"/>
      <c r="N720" s="597"/>
      <c r="O720" s="597"/>
      <c r="P720" s="597"/>
      <c r="Q720" s="597"/>
      <c r="V720" s="1615"/>
    </row>
    <row r="721" spans="6:22" s="14" customFormat="1" ht="14.25" customHeight="1">
      <c r="F721" s="573"/>
      <c r="G721" s="573"/>
      <c r="H721" s="573"/>
      <c r="I721" s="573"/>
      <c r="J721" s="601"/>
      <c r="K721" s="597"/>
      <c r="L721" s="597"/>
      <c r="M721" s="597"/>
      <c r="N721" s="597"/>
      <c r="O721" s="597"/>
      <c r="P721" s="597"/>
      <c r="Q721" s="597"/>
      <c r="V721" s="1615"/>
    </row>
    <row r="722" spans="6:22" s="14" customFormat="1" ht="14.25" customHeight="1">
      <c r="F722" s="573"/>
      <c r="G722" s="573"/>
      <c r="H722" s="573"/>
      <c r="I722" s="573"/>
      <c r="J722" s="601"/>
      <c r="K722" s="597"/>
      <c r="L722" s="597"/>
      <c r="M722" s="597"/>
      <c r="N722" s="597"/>
      <c r="O722" s="597"/>
      <c r="P722" s="597"/>
      <c r="Q722" s="597"/>
      <c r="V722" s="1615"/>
    </row>
    <row r="723" spans="6:22" s="14" customFormat="1" ht="14.25" customHeight="1">
      <c r="F723" s="573"/>
      <c r="G723" s="573"/>
      <c r="H723" s="573"/>
      <c r="I723" s="573"/>
      <c r="J723" s="601"/>
      <c r="K723" s="597"/>
      <c r="L723" s="597"/>
      <c r="M723" s="597"/>
      <c r="N723" s="597"/>
      <c r="O723" s="597"/>
      <c r="P723" s="597"/>
      <c r="Q723" s="597"/>
      <c r="V723" s="1615"/>
    </row>
    <row r="724" spans="6:22" s="14" customFormat="1" ht="14.25" customHeight="1">
      <c r="F724" s="573"/>
      <c r="G724" s="573"/>
      <c r="H724" s="573"/>
      <c r="I724" s="573"/>
      <c r="J724" s="601"/>
      <c r="K724" s="597"/>
      <c r="L724" s="597"/>
      <c r="M724" s="597"/>
      <c r="N724" s="597"/>
      <c r="O724" s="597"/>
      <c r="P724" s="597"/>
      <c r="Q724" s="597"/>
      <c r="V724" s="1615"/>
    </row>
    <row r="725" spans="6:22" s="14" customFormat="1" ht="14.25" customHeight="1">
      <c r="F725" s="573"/>
      <c r="G725" s="573"/>
      <c r="H725" s="573"/>
      <c r="I725" s="573"/>
      <c r="J725" s="601"/>
      <c r="K725" s="597"/>
      <c r="L725" s="597"/>
      <c r="M725" s="597"/>
      <c r="N725" s="597"/>
      <c r="O725" s="597"/>
      <c r="P725" s="597"/>
      <c r="Q725" s="597"/>
      <c r="V725" s="1615"/>
    </row>
    <row r="726" spans="6:22" s="14" customFormat="1" ht="14.25" customHeight="1">
      <c r="F726" s="573"/>
      <c r="G726" s="573"/>
      <c r="H726" s="573"/>
      <c r="I726" s="573"/>
      <c r="J726" s="601"/>
      <c r="K726" s="597"/>
      <c r="L726" s="597"/>
      <c r="M726" s="597"/>
      <c r="N726" s="597"/>
      <c r="O726" s="597"/>
      <c r="P726" s="597"/>
      <c r="Q726" s="597"/>
      <c r="V726" s="1615"/>
    </row>
    <row r="727" spans="6:22" s="14" customFormat="1" ht="14.25" customHeight="1">
      <c r="F727" s="573"/>
      <c r="G727" s="573"/>
      <c r="H727" s="573"/>
      <c r="I727" s="573"/>
      <c r="J727" s="601"/>
      <c r="K727" s="597"/>
      <c r="L727" s="597"/>
      <c r="M727" s="597"/>
      <c r="N727" s="597"/>
      <c r="O727" s="597"/>
      <c r="P727" s="597"/>
      <c r="Q727" s="597"/>
      <c r="V727" s="1615"/>
    </row>
    <row r="728" spans="6:22" s="14" customFormat="1" ht="14.25" customHeight="1">
      <c r="F728" s="573"/>
      <c r="G728" s="573"/>
      <c r="H728" s="573"/>
      <c r="I728" s="573"/>
      <c r="J728" s="601"/>
      <c r="K728" s="597"/>
      <c r="L728" s="597"/>
      <c r="M728" s="597"/>
      <c r="N728" s="597"/>
      <c r="O728" s="597"/>
      <c r="P728" s="597"/>
      <c r="Q728" s="597"/>
      <c r="V728" s="1615"/>
    </row>
    <row r="729" spans="6:22" s="14" customFormat="1" ht="14.25" customHeight="1">
      <c r="F729" s="573"/>
      <c r="G729" s="573"/>
      <c r="H729" s="573"/>
      <c r="I729" s="573"/>
      <c r="J729" s="601"/>
      <c r="K729" s="597"/>
      <c r="L729" s="597"/>
      <c r="M729" s="597"/>
      <c r="N729" s="597"/>
      <c r="O729" s="597"/>
      <c r="P729" s="597"/>
      <c r="Q729" s="597"/>
      <c r="V729" s="1615"/>
    </row>
    <row r="730" spans="6:22" s="14" customFormat="1" ht="14.25" customHeight="1">
      <c r="F730" s="573"/>
      <c r="G730" s="573"/>
      <c r="H730" s="573"/>
      <c r="I730" s="573"/>
      <c r="J730" s="601"/>
      <c r="K730" s="597"/>
      <c r="L730" s="597"/>
      <c r="M730" s="597"/>
      <c r="N730" s="597"/>
      <c r="O730" s="597"/>
      <c r="P730" s="597"/>
      <c r="Q730" s="597"/>
      <c r="V730" s="1615"/>
    </row>
    <row r="731" spans="6:22" s="14" customFormat="1" ht="14.25" customHeight="1">
      <c r="F731" s="573"/>
      <c r="G731" s="573"/>
      <c r="H731" s="573"/>
      <c r="I731" s="573"/>
      <c r="J731" s="601"/>
      <c r="K731" s="597"/>
      <c r="L731" s="597"/>
      <c r="M731" s="597"/>
      <c r="N731" s="597"/>
      <c r="O731" s="597"/>
      <c r="P731" s="597"/>
      <c r="Q731" s="597"/>
      <c r="V731" s="1615"/>
    </row>
    <row r="732" spans="6:22" s="14" customFormat="1" ht="14.25" customHeight="1">
      <c r="F732" s="573"/>
      <c r="G732" s="573"/>
      <c r="H732" s="573"/>
      <c r="I732" s="573"/>
      <c r="J732" s="601"/>
      <c r="K732" s="597"/>
      <c r="L732" s="597"/>
      <c r="M732" s="597"/>
      <c r="N732" s="597"/>
      <c r="O732" s="597"/>
      <c r="P732" s="597"/>
      <c r="Q732" s="597"/>
      <c r="V732" s="1615"/>
    </row>
    <row r="733" spans="6:22" s="14" customFormat="1" ht="14.25" customHeight="1">
      <c r="F733" s="573"/>
      <c r="G733" s="573"/>
      <c r="H733" s="573"/>
      <c r="I733" s="573"/>
      <c r="J733" s="601"/>
      <c r="K733" s="597"/>
      <c r="L733" s="597"/>
      <c r="M733" s="597"/>
      <c r="N733" s="597"/>
      <c r="O733" s="597"/>
      <c r="P733" s="597"/>
      <c r="Q733" s="597"/>
      <c r="V733" s="1615"/>
    </row>
    <row r="734" spans="6:22" s="14" customFormat="1" ht="14.25" customHeight="1">
      <c r="F734" s="573"/>
      <c r="G734" s="573"/>
      <c r="H734" s="573"/>
      <c r="I734" s="573"/>
      <c r="J734" s="601"/>
      <c r="K734" s="597"/>
      <c r="L734" s="597"/>
      <c r="M734" s="597"/>
      <c r="N734" s="597"/>
      <c r="O734" s="597"/>
      <c r="P734" s="597"/>
      <c r="Q734" s="597"/>
      <c r="V734" s="1615"/>
    </row>
    <row r="735" spans="6:22" s="14" customFormat="1" ht="14.25" customHeight="1">
      <c r="F735" s="573"/>
      <c r="G735" s="573"/>
      <c r="H735" s="573"/>
      <c r="I735" s="573"/>
      <c r="J735" s="601"/>
      <c r="K735" s="597"/>
      <c r="L735" s="597"/>
      <c r="M735" s="597"/>
      <c r="N735" s="597"/>
      <c r="O735" s="597"/>
      <c r="P735" s="597"/>
      <c r="Q735" s="597"/>
      <c r="V735" s="1615"/>
    </row>
    <row r="736" spans="6:22" s="14" customFormat="1" ht="14.25" customHeight="1">
      <c r="F736" s="573"/>
      <c r="G736" s="573"/>
      <c r="H736" s="573"/>
      <c r="I736" s="573"/>
      <c r="J736" s="601"/>
      <c r="K736" s="597"/>
      <c r="L736" s="597"/>
      <c r="M736" s="597"/>
      <c r="N736" s="597"/>
      <c r="O736" s="597"/>
      <c r="P736" s="597"/>
      <c r="Q736" s="597"/>
      <c r="V736" s="1615"/>
    </row>
    <row r="737" spans="6:22" s="14" customFormat="1" ht="14.25" customHeight="1">
      <c r="F737" s="573"/>
      <c r="G737" s="573"/>
      <c r="H737" s="573"/>
      <c r="I737" s="573"/>
      <c r="J737" s="601"/>
      <c r="K737" s="597"/>
      <c r="L737" s="597"/>
      <c r="M737" s="597"/>
      <c r="N737" s="597"/>
      <c r="O737" s="597"/>
      <c r="P737" s="597"/>
      <c r="Q737" s="597"/>
      <c r="V737" s="1615"/>
    </row>
    <row r="738" spans="6:22" s="14" customFormat="1" ht="14.25" customHeight="1">
      <c r="F738" s="573"/>
      <c r="G738" s="573"/>
      <c r="H738" s="573"/>
      <c r="I738" s="573"/>
      <c r="J738" s="601"/>
      <c r="K738" s="597"/>
      <c r="L738" s="597"/>
      <c r="M738" s="597"/>
      <c r="N738" s="597"/>
      <c r="O738" s="597"/>
      <c r="P738" s="597"/>
      <c r="Q738" s="597"/>
      <c r="V738" s="1615"/>
    </row>
    <row r="739" spans="6:22" s="14" customFormat="1" ht="14.25" customHeight="1">
      <c r="F739" s="573"/>
      <c r="G739" s="573"/>
      <c r="H739" s="573"/>
      <c r="I739" s="573"/>
      <c r="J739" s="601"/>
      <c r="K739" s="597"/>
      <c r="L739" s="597"/>
      <c r="M739" s="597"/>
      <c r="N739" s="597"/>
      <c r="O739" s="597"/>
      <c r="P739" s="597"/>
      <c r="Q739" s="597"/>
      <c r="V739" s="1615"/>
    </row>
    <row r="740" spans="6:22" s="14" customFormat="1" ht="14.25" customHeight="1">
      <c r="F740" s="573"/>
      <c r="G740" s="573"/>
      <c r="H740" s="573"/>
      <c r="I740" s="573"/>
      <c r="J740" s="601"/>
      <c r="K740" s="597"/>
      <c r="L740" s="597"/>
      <c r="M740" s="597"/>
      <c r="N740" s="597"/>
      <c r="O740" s="597"/>
      <c r="P740" s="597"/>
      <c r="Q740" s="597"/>
      <c r="V740" s="1615"/>
    </row>
    <row r="741" spans="6:22" s="14" customFormat="1" ht="14.25" customHeight="1">
      <c r="F741" s="573"/>
      <c r="G741" s="573"/>
      <c r="H741" s="573"/>
      <c r="I741" s="573"/>
      <c r="J741" s="601"/>
      <c r="K741" s="597"/>
      <c r="L741" s="597"/>
      <c r="M741" s="597"/>
      <c r="N741" s="597"/>
      <c r="O741" s="597"/>
      <c r="P741" s="597"/>
      <c r="Q741" s="597"/>
      <c r="V741" s="1615"/>
    </row>
    <row r="742" spans="6:22" s="14" customFormat="1" ht="14.25" customHeight="1">
      <c r="F742" s="573"/>
      <c r="G742" s="573"/>
      <c r="H742" s="573"/>
      <c r="I742" s="573"/>
      <c r="J742" s="601"/>
      <c r="K742" s="597"/>
      <c r="L742" s="597"/>
      <c r="M742" s="597"/>
      <c r="N742" s="597"/>
      <c r="O742" s="597"/>
      <c r="P742" s="597"/>
      <c r="Q742" s="597"/>
      <c r="V742" s="1615"/>
    </row>
    <row r="743" spans="6:22" s="14" customFormat="1" ht="14.25" customHeight="1">
      <c r="F743" s="573"/>
      <c r="G743" s="573"/>
      <c r="H743" s="573"/>
      <c r="I743" s="573"/>
      <c r="J743" s="601"/>
      <c r="K743" s="597"/>
      <c r="L743" s="597"/>
      <c r="M743" s="597"/>
      <c r="N743" s="597"/>
      <c r="O743" s="597"/>
      <c r="P743" s="597"/>
      <c r="Q743" s="597"/>
      <c r="V743" s="1615"/>
    </row>
    <row r="744" spans="6:22" s="14" customFormat="1" ht="14.25" customHeight="1">
      <c r="F744" s="573"/>
      <c r="G744" s="573"/>
      <c r="H744" s="573"/>
      <c r="I744" s="573"/>
      <c r="J744" s="601"/>
      <c r="K744" s="597"/>
      <c r="L744" s="597"/>
      <c r="M744" s="597"/>
      <c r="N744" s="597"/>
      <c r="O744" s="597"/>
      <c r="P744" s="597"/>
      <c r="Q744" s="597"/>
      <c r="V744" s="1615"/>
    </row>
    <row r="745" spans="6:22" s="14" customFormat="1" ht="14.25" customHeight="1">
      <c r="F745" s="573"/>
      <c r="G745" s="573"/>
      <c r="H745" s="573"/>
      <c r="I745" s="573"/>
      <c r="J745" s="601"/>
      <c r="K745" s="597"/>
      <c r="L745" s="597"/>
      <c r="M745" s="597"/>
      <c r="N745" s="597"/>
      <c r="O745" s="597"/>
      <c r="P745" s="597"/>
      <c r="Q745" s="597"/>
      <c r="V745" s="1615"/>
    </row>
    <row r="746" spans="6:22" s="14" customFormat="1" ht="14.25" customHeight="1">
      <c r="F746" s="573"/>
      <c r="G746" s="573"/>
      <c r="H746" s="573"/>
      <c r="I746" s="573"/>
      <c r="J746" s="601"/>
      <c r="K746" s="597"/>
      <c r="L746" s="597"/>
      <c r="M746" s="597"/>
      <c r="N746" s="597"/>
      <c r="O746" s="597"/>
      <c r="P746" s="597"/>
      <c r="Q746" s="597"/>
      <c r="V746" s="1615"/>
    </row>
    <row r="747" spans="6:22" s="14" customFormat="1" ht="14.25" customHeight="1">
      <c r="F747" s="573"/>
      <c r="G747" s="573"/>
      <c r="H747" s="573"/>
      <c r="I747" s="573"/>
      <c r="J747" s="601"/>
      <c r="K747" s="597"/>
      <c r="L747" s="597"/>
      <c r="M747" s="597"/>
      <c r="N747" s="597"/>
      <c r="O747" s="597"/>
      <c r="P747" s="597"/>
      <c r="Q747" s="597"/>
      <c r="V747" s="1615"/>
    </row>
    <row r="748" spans="6:22" s="14" customFormat="1" ht="14.25" customHeight="1">
      <c r="F748" s="573"/>
      <c r="G748" s="573"/>
      <c r="H748" s="573"/>
      <c r="I748" s="573"/>
      <c r="J748" s="601"/>
      <c r="K748" s="597"/>
      <c r="L748" s="597"/>
      <c r="M748" s="597"/>
      <c r="N748" s="597"/>
      <c r="O748" s="597"/>
      <c r="P748" s="597"/>
      <c r="Q748" s="597"/>
      <c r="V748" s="1615"/>
    </row>
    <row r="749" spans="6:22" s="14" customFormat="1" ht="14.25" customHeight="1">
      <c r="F749" s="573"/>
      <c r="G749" s="573"/>
      <c r="H749" s="573"/>
      <c r="I749" s="573"/>
      <c r="J749" s="601"/>
      <c r="K749" s="597"/>
      <c r="L749" s="597"/>
      <c r="M749" s="597"/>
      <c r="N749" s="597"/>
      <c r="O749" s="597"/>
      <c r="P749" s="597"/>
      <c r="Q749" s="597"/>
      <c r="V749" s="1615"/>
    </row>
    <row r="750" spans="6:22" s="14" customFormat="1" ht="14.25" customHeight="1">
      <c r="F750" s="573"/>
      <c r="G750" s="573"/>
      <c r="H750" s="573"/>
      <c r="I750" s="573"/>
      <c r="J750" s="601"/>
      <c r="K750" s="597"/>
      <c r="L750" s="597"/>
      <c r="M750" s="597"/>
      <c r="N750" s="597"/>
      <c r="O750" s="597"/>
      <c r="P750" s="597"/>
      <c r="Q750" s="597"/>
      <c r="V750" s="1615"/>
    </row>
    <row r="751" spans="6:22" s="14" customFormat="1" ht="14.25" customHeight="1">
      <c r="F751" s="573"/>
      <c r="G751" s="573"/>
      <c r="H751" s="573"/>
      <c r="I751" s="573"/>
      <c r="J751" s="601"/>
      <c r="K751" s="597"/>
      <c r="L751" s="597"/>
      <c r="M751" s="597"/>
      <c r="N751" s="597"/>
      <c r="O751" s="597"/>
      <c r="P751" s="597"/>
      <c r="Q751" s="597"/>
      <c r="V751" s="1615"/>
    </row>
    <row r="752" spans="6:22" s="14" customFormat="1" ht="14.25" customHeight="1">
      <c r="F752" s="573"/>
      <c r="G752" s="573"/>
      <c r="H752" s="573"/>
      <c r="I752" s="573"/>
      <c r="J752" s="601"/>
      <c r="K752" s="597"/>
      <c r="L752" s="597"/>
      <c r="M752" s="597"/>
      <c r="N752" s="597"/>
      <c r="O752" s="597"/>
      <c r="P752" s="597"/>
      <c r="Q752" s="597"/>
      <c r="V752" s="1615"/>
    </row>
    <row r="753" spans="6:22" s="14" customFormat="1" ht="14.25" customHeight="1">
      <c r="F753" s="573"/>
      <c r="G753" s="573"/>
      <c r="H753" s="573"/>
      <c r="I753" s="573"/>
      <c r="J753" s="601"/>
      <c r="K753" s="597"/>
      <c r="L753" s="597"/>
      <c r="M753" s="597"/>
      <c r="N753" s="597"/>
      <c r="O753" s="597"/>
      <c r="P753" s="597"/>
      <c r="Q753" s="597"/>
      <c r="V753" s="1615"/>
    </row>
    <row r="754" spans="6:22" s="14" customFormat="1" ht="14.25" customHeight="1">
      <c r="F754" s="573"/>
      <c r="G754" s="573"/>
      <c r="H754" s="573"/>
      <c r="I754" s="573"/>
      <c r="J754" s="601"/>
      <c r="K754" s="597"/>
      <c r="L754" s="597"/>
      <c r="M754" s="597"/>
      <c r="N754" s="597"/>
      <c r="O754" s="597"/>
      <c r="P754" s="597"/>
      <c r="Q754" s="597"/>
      <c r="V754" s="1615"/>
    </row>
    <row r="755" spans="6:22" s="14" customFormat="1" ht="14.25" customHeight="1">
      <c r="F755" s="573"/>
      <c r="G755" s="573"/>
      <c r="H755" s="573"/>
      <c r="I755" s="573"/>
      <c r="J755" s="601"/>
      <c r="K755" s="597"/>
      <c r="L755" s="597"/>
      <c r="M755" s="597"/>
      <c r="N755" s="597"/>
      <c r="O755" s="597"/>
      <c r="P755" s="597"/>
      <c r="Q755" s="597"/>
      <c r="V755" s="1615"/>
    </row>
    <row r="756" spans="6:22" s="14" customFormat="1" ht="14.25" customHeight="1">
      <c r="F756" s="573"/>
      <c r="G756" s="573"/>
      <c r="H756" s="573"/>
      <c r="I756" s="573"/>
      <c r="J756" s="601"/>
      <c r="K756" s="597"/>
      <c r="L756" s="597"/>
      <c r="M756" s="597"/>
      <c r="N756" s="597"/>
      <c r="O756" s="597"/>
      <c r="P756" s="597"/>
      <c r="Q756" s="597"/>
      <c r="V756" s="1615"/>
    </row>
    <row r="757" spans="6:22" s="14" customFormat="1" ht="14.25" customHeight="1">
      <c r="F757" s="573"/>
      <c r="G757" s="573"/>
      <c r="H757" s="573"/>
      <c r="I757" s="573"/>
      <c r="J757" s="601"/>
      <c r="K757" s="597"/>
      <c r="L757" s="597"/>
      <c r="M757" s="597"/>
      <c r="N757" s="597"/>
      <c r="O757" s="597"/>
      <c r="P757" s="597"/>
      <c r="Q757" s="597"/>
      <c r="V757" s="1615"/>
    </row>
    <row r="758" spans="6:22" s="14" customFormat="1" ht="14.25" customHeight="1">
      <c r="F758" s="573"/>
      <c r="G758" s="573"/>
      <c r="H758" s="573"/>
      <c r="I758" s="573"/>
      <c r="J758" s="601"/>
      <c r="K758" s="597"/>
      <c r="L758" s="597"/>
      <c r="M758" s="597"/>
      <c r="N758" s="597"/>
      <c r="O758" s="597"/>
      <c r="P758" s="597"/>
      <c r="Q758" s="597"/>
      <c r="V758" s="1615"/>
    </row>
    <row r="759" spans="6:22" s="14" customFormat="1" ht="14.25" customHeight="1">
      <c r="F759" s="573"/>
      <c r="G759" s="573"/>
      <c r="H759" s="573"/>
      <c r="I759" s="573"/>
      <c r="J759" s="601"/>
      <c r="K759" s="597"/>
      <c r="L759" s="597"/>
      <c r="M759" s="597"/>
      <c r="N759" s="597"/>
      <c r="O759" s="597"/>
      <c r="P759" s="597"/>
      <c r="Q759" s="597"/>
      <c r="V759" s="1615"/>
    </row>
    <row r="760" spans="6:22" s="14" customFormat="1" ht="14.25" customHeight="1">
      <c r="F760" s="573"/>
      <c r="G760" s="573"/>
      <c r="H760" s="573"/>
      <c r="I760" s="573"/>
      <c r="J760" s="601"/>
      <c r="K760" s="597"/>
      <c r="L760" s="597"/>
      <c r="M760" s="597"/>
      <c r="N760" s="597"/>
      <c r="O760" s="597"/>
      <c r="P760" s="597"/>
      <c r="Q760" s="597"/>
      <c r="V760" s="1615"/>
    </row>
    <row r="761" spans="6:22" s="14" customFormat="1" ht="14.25" customHeight="1">
      <c r="F761" s="573"/>
      <c r="G761" s="573"/>
      <c r="H761" s="573"/>
      <c r="I761" s="573"/>
      <c r="J761" s="601"/>
      <c r="K761" s="597"/>
      <c r="L761" s="597"/>
      <c r="M761" s="597"/>
      <c r="N761" s="597"/>
      <c r="O761" s="597"/>
      <c r="P761" s="597"/>
      <c r="Q761" s="597"/>
      <c r="V761" s="1615"/>
    </row>
    <row r="762" spans="6:22" s="14" customFormat="1" ht="14.25" customHeight="1">
      <c r="F762" s="573"/>
      <c r="G762" s="573"/>
      <c r="H762" s="573"/>
      <c r="I762" s="573"/>
      <c r="J762" s="601"/>
      <c r="K762" s="597"/>
      <c r="L762" s="597"/>
      <c r="M762" s="597"/>
      <c r="N762" s="597"/>
      <c r="O762" s="597"/>
      <c r="P762" s="597"/>
      <c r="Q762" s="597"/>
      <c r="V762" s="1615"/>
    </row>
    <row r="763" spans="6:22" s="14" customFormat="1" ht="14.25" customHeight="1">
      <c r="F763" s="573"/>
      <c r="G763" s="573"/>
      <c r="H763" s="573"/>
      <c r="I763" s="573"/>
      <c r="J763" s="601"/>
      <c r="K763" s="597"/>
      <c r="L763" s="597"/>
      <c r="M763" s="597"/>
      <c r="N763" s="597"/>
      <c r="O763" s="597"/>
      <c r="P763" s="597"/>
      <c r="Q763" s="597"/>
      <c r="V763" s="1615"/>
    </row>
    <row r="764" spans="6:22" s="14" customFormat="1" ht="14.25" customHeight="1">
      <c r="F764" s="573"/>
      <c r="G764" s="573"/>
      <c r="H764" s="573"/>
      <c r="I764" s="573"/>
      <c r="J764" s="601"/>
      <c r="K764" s="597"/>
      <c r="L764" s="597"/>
      <c r="M764" s="597"/>
      <c r="N764" s="597"/>
      <c r="O764" s="597"/>
      <c r="P764" s="597"/>
      <c r="Q764" s="597"/>
      <c r="V764" s="1615"/>
    </row>
    <row r="765" spans="6:22" s="14" customFormat="1" ht="14.25" customHeight="1">
      <c r="F765" s="573"/>
      <c r="G765" s="573"/>
      <c r="H765" s="573"/>
      <c r="I765" s="573"/>
      <c r="J765" s="601"/>
      <c r="K765" s="597"/>
      <c r="L765" s="597"/>
      <c r="M765" s="597"/>
      <c r="N765" s="597"/>
      <c r="O765" s="597"/>
      <c r="P765" s="597"/>
      <c r="Q765" s="597"/>
      <c r="V765" s="1615"/>
    </row>
    <row r="766" spans="6:22" s="14" customFormat="1" ht="14.25" customHeight="1">
      <c r="F766" s="573"/>
      <c r="G766" s="573"/>
      <c r="H766" s="573"/>
      <c r="I766" s="573"/>
      <c r="J766" s="601"/>
      <c r="K766" s="597"/>
      <c r="L766" s="597"/>
      <c r="M766" s="597"/>
      <c r="N766" s="597"/>
      <c r="O766" s="597"/>
      <c r="P766" s="597"/>
      <c r="Q766" s="597"/>
      <c r="V766" s="1615"/>
    </row>
    <row r="767" spans="6:22" s="14" customFormat="1" ht="14.25" customHeight="1">
      <c r="F767" s="573"/>
      <c r="G767" s="573"/>
      <c r="H767" s="573"/>
      <c r="I767" s="573"/>
      <c r="J767" s="601"/>
      <c r="K767" s="597"/>
      <c r="L767" s="597"/>
      <c r="M767" s="597"/>
      <c r="N767" s="597"/>
      <c r="O767" s="597"/>
      <c r="P767" s="597"/>
      <c r="Q767" s="597"/>
      <c r="V767" s="1615"/>
    </row>
    <row r="768" spans="6:22" s="14" customFormat="1" ht="14.25" customHeight="1">
      <c r="F768" s="573"/>
      <c r="G768" s="573"/>
      <c r="H768" s="573"/>
      <c r="I768" s="573"/>
      <c r="J768" s="601"/>
      <c r="K768" s="597"/>
      <c r="L768" s="597"/>
      <c r="M768" s="597"/>
      <c r="N768" s="597"/>
      <c r="O768" s="597"/>
      <c r="P768" s="597"/>
      <c r="Q768" s="597"/>
      <c r="V768" s="1615"/>
    </row>
    <row r="769" spans="6:22" s="14" customFormat="1" ht="14.25" customHeight="1">
      <c r="F769" s="573"/>
      <c r="G769" s="573"/>
      <c r="H769" s="573"/>
      <c r="I769" s="573"/>
      <c r="J769" s="601"/>
      <c r="K769" s="597"/>
      <c r="L769" s="597"/>
      <c r="M769" s="597"/>
      <c r="N769" s="597"/>
      <c r="O769" s="597"/>
      <c r="P769" s="597"/>
      <c r="Q769" s="597"/>
      <c r="V769" s="1615"/>
    </row>
    <row r="770" spans="6:22" s="14" customFormat="1" ht="14.25" customHeight="1">
      <c r="F770" s="573"/>
      <c r="G770" s="573"/>
      <c r="H770" s="573"/>
      <c r="I770" s="573"/>
      <c r="J770" s="601"/>
      <c r="K770" s="597"/>
      <c r="L770" s="597"/>
      <c r="M770" s="597"/>
      <c r="N770" s="597"/>
      <c r="O770" s="597"/>
      <c r="P770" s="597"/>
      <c r="Q770" s="597"/>
      <c r="V770" s="1615"/>
    </row>
    <row r="771" spans="6:22" s="14" customFormat="1" ht="14.25" customHeight="1">
      <c r="F771" s="573"/>
      <c r="G771" s="573"/>
      <c r="H771" s="573"/>
      <c r="I771" s="573"/>
      <c r="J771" s="601"/>
      <c r="K771" s="597"/>
      <c r="L771" s="597"/>
      <c r="M771" s="597"/>
      <c r="N771" s="597"/>
      <c r="O771" s="597"/>
      <c r="P771" s="597"/>
      <c r="Q771" s="597"/>
      <c r="V771" s="1615"/>
    </row>
    <row r="772" spans="6:22" s="14" customFormat="1" ht="14.25" customHeight="1">
      <c r="F772" s="573"/>
      <c r="G772" s="573"/>
      <c r="H772" s="573"/>
      <c r="I772" s="573"/>
      <c r="J772" s="601"/>
      <c r="K772" s="597"/>
      <c r="L772" s="597"/>
      <c r="M772" s="597"/>
      <c r="N772" s="597"/>
      <c r="O772" s="597"/>
      <c r="P772" s="597"/>
      <c r="Q772" s="597"/>
      <c r="V772" s="1615"/>
    </row>
    <row r="773" spans="6:22" s="14" customFormat="1" ht="14.25" customHeight="1">
      <c r="F773" s="573"/>
      <c r="G773" s="573"/>
      <c r="H773" s="573"/>
      <c r="I773" s="573"/>
      <c r="J773" s="601"/>
      <c r="K773" s="597"/>
      <c r="L773" s="597"/>
      <c r="M773" s="597"/>
      <c r="N773" s="597"/>
      <c r="O773" s="597"/>
      <c r="P773" s="597"/>
      <c r="Q773" s="597"/>
      <c r="V773" s="1615"/>
    </row>
    <row r="774" spans="6:22" s="14" customFormat="1" ht="14.25" customHeight="1">
      <c r="F774" s="573"/>
      <c r="G774" s="573"/>
      <c r="H774" s="573"/>
      <c r="I774" s="573"/>
      <c r="J774" s="601"/>
      <c r="K774" s="597"/>
      <c r="L774" s="597"/>
      <c r="M774" s="597"/>
      <c r="N774" s="597"/>
      <c r="O774" s="597"/>
      <c r="P774" s="597"/>
      <c r="Q774" s="597"/>
      <c r="V774" s="1615"/>
    </row>
    <row r="775" spans="6:22" s="14" customFormat="1" ht="14.25" customHeight="1">
      <c r="F775" s="573"/>
      <c r="G775" s="573"/>
      <c r="H775" s="573"/>
      <c r="I775" s="573"/>
      <c r="J775" s="601"/>
      <c r="K775" s="597"/>
      <c r="L775" s="597"/>
      <c r="M775" s="597"/>
      <c r="N775" s="597"/>
      <c r="O775" s="597"/>
      <c r="P775" s="597"/>
      <c r="Q775" s="597"/>
      <c r="V775" s="1615"/>
    </row>
    <row r="776" spans="6:22" s="14" customFormat="1" ht="14.25" customHeight="1">
      <c r="F776" s="573"/>
      <c r="G776" s="573"/>
      <c r="H776" s="573"/>
      <c r="I776" s="573"/>
      <c r="J776" s="601"/>
      <c r="K776" s="597"/>
      <c r="L776" s="597"/>
      <c r="M776" s="597"/>
      <c r="N776" s="597"/>
      <c r="O776" s="597"/>
      <c r="P776" s="597"/>
      <c r="Q776" s="597"/>
      <c r="V776" s="1615"/>
    </row>
    <row r="777" spans="6:22" s="14" customFormat="1" ht="14.25" customHeight="1">
      <c r="F777" s="573"/>
      <c r="G777" s="573"/>
      <c r="H777" s="573"/>
      <c r="I777" s="573"/>
      <c r="J777" s="601"/>
      <c r="K777" s="597"/>
      <c r="L777" s="597"/>
      <c r="M777" s="597"/>
      <c r="N777" s="597"/>
      <c r="O777" s="597"/>
      <c r="P777" s="597"/>
      <c r="Q777" s="597"/>
      <c r="V777" s="1615"/>
    </row>
    <row r="778" spans="6:22" s="14" customFormat="1" ht="14.25" customHeight="1">
      <c r="F778" s="573"/>
      <c r="G778" s="573"/>
      <c r="H778" s="573"/>
      <c r="I778" s="573"/>
      <c r="J778" s="601"/>
      <c r="K778" s="597"/>
      <c r="L778" s="597"/>
      <c r="M778" s="597"/>
      <c r="N778" s="597"/>
      <c r="O778" s="597"/>
      <c r="P778" s="597"/>
      <c r="Q778" s="597"/>
      <c r="V778" s="1615"/>
    </row>
    <row r="779" spans="6:22" s="14" customFormat="1" ht="14.25" customHeight="1">
      <c r="F779" s="573"/>
      <c r="G779" s="573"/>
      <c r="H779" s="573"/>
      <c r="I779" s="573"/>
      <c r="J779" s="601"/>
      <c r="K779" s="597"/>
      <c r="L779" s="597"/>
      <c r="M779" s="597"/>
      <c r="N779" s="597"/>
      <c r="O779" s="597"/>
      <c r="P779" s="597"/>
      <c r="Q779" s="597"/>
      <c r="V779" s="1615"/>
    </row>
    <row r="780" spans="6:22" s="14" customFormat="1" ht="14.25" customHeight="1">
      <c r="F780" s="573"/>
      <c r="G780" s="573"/>
      <c r="H780" s="573"/>
      <c r="I780" s="573"/>
      <c r="J780" s="601"/>
      <c r="K780" s="597"/>
      <c r="L780" s="597"/>
      <c r="M780" s="597"/>
      <c r="N780" s="597"/>
      <c r="O780" s="597"/>
      <c r="P780" s="597"/>
      <c r="Q780" s="597"/>
      <c r="V780" s="1615"/>
    </row>
    <row r="781" spans="6:22" s="14" customFormat="1" ht="14.25" customHeight="1">
      <c r="F781" s="573"/>
      <c r="G781" s="573"/>
      <c r="H781" s="573"/>
      <c r="I781" s="573"/>
      <c r="J781" s="601"/>
      <c r="K781" s="597"/>
      <c r="L781" s="597"/>
      <c r="M781" s="597"/>
      <c r="N781" s="597"/>
      <c r="O781" s="597"/>
      <c r="P781" s="597"/>
      <c r="Q781" s="597"/>
      <c r="V781" s="1615"/>
    </row>
    <row r="782" spans="6:22" s="14" customFormat="1" ht="14.25" customHeight="1">
      <c r="F782" s="573"/>
      <c r="G782" s="573"/>
      <c r="H782" s="573"/>
      <c r="I782" s="573"/>
      <c r="J782" s="601"/>
      <c r="K782" s="597"/>
      <c r="L782" s="597"/>
      <c r="M782" s="597"/>
      <c r="N782" s="597"/>
      <c r="O782" s="597"/>
      <c r="P782" s="597"/>
      <c r="Q782" s="597"/>
      <c r="V782" s="1615"/>
    </row>
    <row r="783" spans="6:22" s="14" customFormat="1" ht="14.25" customHeight="1">
      <c r="F783" s="573"/>
      <c r="G783" s="573"/>
      <c r="H783" s="573"/>
      <c r="I783" s="573"/>
      <c r="J783" s="601"/>
      <c r="K783" s="597"/>
      <c r="L783" s="597"/>
      <c r="M783" s="597"/>
      <c r="N783" s="597"/>
      <c r="O783" s="597"/>
      <c r="P783" s="597"/>
      <c r="Q783" s="597"/>
      <c r="V783" s="1615"/>
    </row>
    <row r="784" spans="6:22" s="14" customFormat="1" ht="14.25" customHeight="1">
      <c r="F784" s="573"/>
      <c r="G784" s="573"/>
      <c r="H784" s="573"/>
      <c r="I784" s="573"/>
      <c r="J784" s="601"/>
      <c r="K784" s="597"/>
      <c r="L784" s="597"/>
      <c r="M784" s="597"/>
      <c r="N784" s="597"/>
      <c r="O784" s="597"/>
      <c r="P784" s="597"/>
      <c r="Q784" s="597"/>
      <c r="V784" s="1615"/>
    </row>
    <row r="785" spans="6:22" s="14" customFormat="1" ht="14.25" customHeight="1">
      <c r="F785" s="573"/>
      <c r="G785" s="573"/>
      <c r="H785" s="573"/>
      <c r="I785" s="573"/>
      <c r="J785" s="601"/>
      <c r="K785" s="597"/>
      <c r="L785" s="597"/>
      <c r="M785" s="597"/>
      <c r="N785" s="597"/>
      <c r="O785" s="597"/>
      <c r="P785" s="597"/>
      <c r="Q785" s="597"/>
      <c r="V785" s="1615"/>
    </row>
    <row r="786" spans="6:22" s="14" customFormat="1" ht="14.25" customHeight="1">
      <c r="F786" s="573"/>
      <c r="G786" s="573"/>
      <c r="H786" s="573"/>
      <c r="I786" s="573"/>
      <c r="J786" s="601"/>
      <c r="K786" s="597"/>
      <c r="L786" s="597"/>
      <c r="M786" s="597"/>
      <c r="N786" s="597"/>
      <c r="O786" s="597"/>
      <c r="P786" s="597"/>
      <c r="Q786" s="597"/>
      <c r="V786" s="1615"/>
    </row>
    <row r="787" spans="6:22" s="14" customFormat="1" ht="14.25" customHeight="1">
      <c r="F787" s="573"/>
      <c r="G787" s="573"/>
      <c r="H787" s="573"/>
      <c r="I787" s="573"/>
      <c r="J787" s="601"/>
      <c r="K787" s="597"/>
      <c r="L787" s="597"/>
      <c r="M787" s="597"/>
      <c r="N787" s="597"/>
      <c r="O787" s="597"/>
      <c r="P787" s="597"/>
      <c r="Q787" s="597"/>
      <c r="V787" s="1615"/>
    </row>
    <row r="788" spans="6:22" s="14" customFormat="1" ht="14.25" customHeight="1">
      <c r="F788" s="573"/>
      <c r="G788" s="573"/>
      <c r="H788" s="573"/>
      <c r="I788" s="573"/>
      <c r="J788" s="601"/>
      <c r="K788" s="597"/>
      <c r="L788" s="597"/>
      <c r="M788" s="597"/>
      <c r="N788" s="597"/>
      <c r="O788" s="597"/>
      <c r="P788" s="597"/>
      <c r="Q788" s="597"/>
      <c r="V788" s="1615"/>
    </row>
    <row r="789" spans="6:22" s="14" customFormat="1" ht="14.25" customHeight="1">
      <c r="F789" s="573"/>
      <c r="G789" s="573"/>
      <c r="H789" s="573"/>
      <c r="I789" s="573"/>
      <c r="J789" s="601"/>
      <c r="K789" s="597"/>
      <c r="L789" s="597"/>
      <c r="M789" s="597"/>
      <c r="N789" s="597"/>
      <c r="O789" s="597"/>
      <c r="P789" s="597"/>
      <c r="Q789" s="597"/>
      <c r="V789" s="1615"/>
    </row>
    <row r="790" spans="6:22" s="14" customFormat="1" ht="14.25" customHeight="1">
      <c r="F790" s="573"/>
      <c r="G790" s="573"/>
      <c r="H790" s="573"/>
      <c r="I790" s="573"/>
      <c r="J790" s="601"/>
      <c r="K790" s="597"/>
      <c r="L790" s="597"/>
      <c r="M790" s="597"/>
      <c r="N790" s="597"/>
      <c r="O790" s="597"/>
      <c r="P790" s="597"/>
      <c r="Q790" s="597"/>
      <c r="V790" s="1615"/>
    </row>
    <row r="791" spans="6:22" s="14" customFormat="1" ht="14.25" customHeight="1">
      <c r="F791" s="573"/>
      <c r="G791" s="573"/>
      <c r="H791" s="573"/>
      <c r="I791" s="573"/>
      <c r="J791" s="601"/>
      <c r="K791" s="597"/>
      <c r="L791" s="597"/>
      <c r="M791" s="597"/>
      <c r="N791" s="597"/>
      <c r="O791" s="597"/>
      <c r="P791" s="597"/>
      <c r="Q791" s="597"/>
      <c r="V791" s="1615"/>
    </row>
    <row r="792" spans="6:22" s="14" customFormat="1" ht="14.25" customHeight="1">
      <c r="F792" s="573"/>
      <c r="G792" s="573"/>
      <c r="H792" s="573"/>
      <c r="I792" s="573"/>
      <c r="J792" s="601"/>
      <c r="K792" s="597"/>
      <c r="L792" s="597"/>
      <c r="M792" s="597"/>
      <c r="N792" s="597"/>
      <c r="O792" s="597"/>
      <c r="P792" s="597"/>
      <c r="Q792" s="597"/>
      <c r="V792" s="1615"/>
    </row>
    <row r="793" spans="6:22" s="14" customFormat="1" ht="14.25" customHeight="1">
      <c r="F793" s="573"/>
      <c r="G793" s="573"/>
      <c r="H793" s="573"/>
      <c r="I793" s="573"/>
      <c r="J793" s="601"/>
      <c r="K793" s="597"/>
      <c r="L793" s="597"/>
      <c r="M793" s="597"/>
      <c r="N793" s="597"/>
      <c r="O793" s="597"/>
      <c r="P793" s="597"/>
      <c r="Q793" s="597"/>
      <c r="V793" s="1615"/>
    </row>
    <row r="794" spans="6:22" s="14" customFormat="1" ht="14.25" customHeight="1">
      <c r="F794" s="573"/>
      <c r="G794" s="573"/>
      <c r="H794" s="573"/>
      <c r="I794" s="573"/>
      <c r="J794" s="601"/>
      <c r="K794" s="597"/>
      <c r="L794" s="597"/>
      <c r="M794" s="597"/>
      <c r="N794" s="597"/>
      <c r="O794" s="597"/>
      <c r="P794" s="597"/>
      <c r="Q794" s="597"/>
      <c r="V794" s="1615"/>
    </row>
    <row r="795" spans="6:22" s="14" customFormat="1" ht="14.25" customHeight="1">
      <c r="F795" s="573"/>
      <c r="G795" s="573"/>
      <c r="H795" s="573"/>
      <c r="I795" s="573"/>
      <c r="J795" s="601"/>
      <c r="K795" s="597"/>
      <c r="L795" s="597"/>
      <c r="M795" s="597"/>
      <c r="N795" s="597"/>
      <c r="O795" s="597"/>
      <c r="P795" s="597"/>
      <c r="Q795" s="597"/>
      <c r="V795" s="1615"/>
    </row>
    <row r="796" spans="6:22" s="14" customFormat="1" ht="14.25" customHeight="1">
      <c r="F796" s="573"/>
      <c r="G796" s="573"/>
      <c r="H796" s="573"/>
      <c r="I796" s="573"/>
      <c r="J796" s="601"/>
      <c r="K796" s="597"/>
      <c r="L796" s="597"/>
      <c r="M796" s="597"/>
      <c r="N796" s="597"/>
      <c r="O796" s="597"/>
      <c r="P796" s="597"/>
      <c r="Q796" s="597"/>
      <c r="V796" s="1615"/>
    </row>
    <row r="797" spans="6:22" s="14" customFormat="1" ht="14.25" customHeight="1">
      <c r="F797" s="573"/>
      <c r="G797" s="573"/>
      <c r="H797" s="573"/>
      <c r="I797" s="573"/>
      <c r="J797" s="601"/>
      <c r="K797" s="597"/>
      <c r="L797" s="597"/>
      <c r="M797" s="597"/>
      <c r="N797" s="597"/>
      <c r="O797" s="597"/>
      <c r="P797" s="597"/>
      <c r="Q797" s="597"/>
      <c r="V797" s="1615"/>
    </row>
    <row r="798" spans="6:22" s="14" customFormat="1" ht="14.25" customHeight="1">
      <c r="F798" s="573"/>
      <c r="G798" s="573"/>
      <c r="H798" s="573"/>
      <c r="I798" s="573"/>
      <c r="J798" s="601"/>
      <c r="K798" s="597"/>
      <c r="L798" s="597"/>
      <c r="M798" s="597"/>
      <c r="N798" s="597"/>
      <c r="O798" s="597"/>
      <c r="P798" s="597"/>
      <c r="Q798" s="597"/>
      <c r="V798" s="1615"/>
    </row>
    <row r="799" spans="6:22" s="14" customFormat="1" ht="14.25" customHeight="1">
      <c r="F799" s="573"/>
      <c r="G799" s="573"/>
      <c r="H799" s="573"/>
      <c r="I799" s="573"/>
      <c r="J799" s="601"/>
      <c r="K799" s="597"/>
      <c r="L799" s="597"/>
      <c r="M799" s="597"/>
      <c r="N799" s="597"/>
      <c r="O799" s="597"/>
      <c r="P799" s="597"/>
      <c r="Q799" s="597"/>
      <c r="V799" s="1615"/>
    </row>
    <row r="800" spans="6:22" s="14" customFormat="1" ht="14.25" customHeight="1">
      <c r="F800" s="573"/>
      <c r="G800" s="573"/>
      <c r="H800" s="573"/>
      <c r="I800" s="573"/>
      <c r="J800" s="601"/>
      <c r="K800" s="597"/>
      <c r="L800" s="597"/>
      <c r="M800" s="597"/>
      <c r="N800" s="597"/>
      <c r="O800" s="597"/>
      <c r="P800" s="597"/>
      <c r="Q800" s="597"/>
      <c r="V800" s="1615"/>
    </row>
    <row r="801" spans="6:22" s="14" customFormat="1" ht="14.25" customHeight="1">
      <c r="F801" s="573"/>
      <c r="G801" s="573"/>
      <c r="H801" s="573"/>
      <c r="I801" s="573"/>
      <c r="J801" s="601"/>
      <c r="K801" s="597"/>
      <c r="L801" s="597"/>
      <c r="M801" s="597"/>
      <c r="N801" s="597"/>
      <c r="O801" s="597"/>
      <c r="P801" s="597"/>
      <c r="Q801" s="597"/>
      <c r="V801" s="1615"/>
    </row>
    <row r="802" spans="6:22" s="14" customFormat="1" ht="14.25" customHeight="1">
      <c r="F802" s="573"/>
      <c r="G802" s="573"/>
      <c r="H802" s="573"/>
      <c r="I802" s="573"/>
      <c r="J802" s="601"/>
      <c r="K802" s="597"/>
      <c r="L802" s="597"/>
      <c r="M802" s="597"/>
      <c r="N802" s="597"/>
      <c r="O802" s="597"/>
      <c r="P802" s="597"/>
      <c r="Q802" s="597"/>
      <c r="V802" s="1615"/>
    </row>
    <row r="803" spans="6:22" s="14" customFormat="1" ht="14.25" customHeight="1">
      <c r="F803" s="573"/>
      <c r="G803" s="573"/>
      <c r="H803" s="573"/>
      <c r="I803" s="573"/>
      <c r="J803" s="601"/>
      <c r="K803" s="597"/>
      <c r="L803" s="597"/>
      <c r="M803" s="597"/>
      <c r="N803" s="597"/>
      <c r="O803" s="597"/>
      <c r="P803" s="597"/>
      <c r="Q803" s="597"/>
      <c r="V803" s="1615"/>
    </row>
    <row r="804" spans="6:22" s="14" customFormat="1" ht="14.25" customHeight="1">
      <c r="F804" s="573"/>
      <c r="G804" s="573"/>
      <c r="H804" s="573"/>
      <c r="I804" s="573"/>
      <c r="J804" s="601"/>
      <c r="K804" s="597"/>
      <c r="L804" s="597"/>
      <c r="M804" s="597"/>
      <c r="N804" s="597"/>
      <c r="O804" s="597"/>
      <c r="P804" s="597"/>
      <c r="Q804" s="597"/>
      <c r="V804" s="1615"/>
    </row>
    <row r="805" spans="6:22" s="14" customFormat="1" ht="14.25" customHeight="1">
      <c r="F805" s="573"/>
      <c r="G805" s="573"/>
      <c r="H805" s="573"/>
      <c r="I805" s="573"/>
      <c r="J805" s="601"/>
      <c r="K805" s="597"/>
      <c r="L805" s="597"/>
      <c r="M805" s="597"/>
      <c r="N805" s="597"/>
      <c r="O805" s="597"/>
      <c r="P805" s="597"/>
      <c r="Q805" s="597"/>
      <c r="V805" s="1615"/>
    </row>
    <row r="806" spans="6:22" s="14" customFormat="1" ht="14.25" customHeight="1">
      <c r="F806" s="573"/>
      <c r="G806" s="573"/>
      <c r="H806" s="573"/>
      <c r="I806" s="573"/>
      <c r="J806" s="601"/>
      <c r="K806" s="597"/>
      <c r="L806" s="597"/>
      <c r="M806" s="597"/>
      <c r="N806" s="597"/>
      <c r="O806" s="597"/>
      <c r="P806" s="597"/>
      <c r="Q806" s="597"/>
      <c r="V806" s="1615"/>
    </row>
    <row r="807" spans="6:22" s="14" customFormat="1" ht="14.25" customHeight="1">
      <c r="F807" s="573"/>
      <c r="G807" s="573"/>
      <c r="H807" s="573"/>
      <c r="I807" s="573"/>
      <c r="J807" s="601"/>
      <c r="K807" s="597"/>
      <c r="L807" s="597"/>
      <c r="M807" s="597"/>
      <c r="N807" s="597"/>
      <c r="O807" s="597"/>
      <c r="P807" s="597"/>
      <c r="Q807" s="597"/>
      <c r="V807" s="1615"/>
    </row>
    <row r="808" spans="6:22" s="14" customFormat="1" ht="14.25" customHeight="1">
      <c r="F808" s="573"/>
      <c r="G808" s="573"/>
      <c r="H808" s="573"/>
      <c r="I808" s="573"/>
      <c r="J808" s="601"/>
      <c r="K808" s="597"/>
      <c r="L808" s="597"/>
      <c r="M808" s="597"/>
      <c r="N808" s="597"/>
      <c r="O808" s="597"/>
      <c r="P808" s="597"/>
      <c r="Q808" s="597"/>
      <c r="V808" s="1615"/>
    </row>
    <row r="809" spans="6:22" s="14" customFormat="1" ht="14.25" customHeight="1">
      <c r="F809" s="573"/>
      <c r="G809" s="573"/>
      <c r="H809" s="573"/>
      <c r="I809" s="573"/>
      <c r="J809" s="601"/>
      <c r="K809" s="597"/>
      <c r="L809" s="597"/>
      <c r="M809" s="597"/>
      <c r="N809" s="597"/>
      <c r="O809" s="597"/>
      <c r="P809" s="597"/>
      <c r="Q809" s="597"/>
      <c r="V809" s="1615"/>
    </row>
    <row r="810" spans="6:22" s="14" customFormat="1" ht="14.25" customHeight="1">
      <c r="F810" s="573"/>
      <c r="G810" s="573"/>
      <c r="H810" s="573"/>
      <c r="I810" s="573"/>
      <c r="J810" s="601"/>
      <c r="K810" s="597"/>
      <c r="L810" s="597"/>
      <c r="M810" s="597"/>
      <c r="N810" s="597"/>
      <c r="O810" s="597"/>
      <c r="P810" s="597"/>
      <c r="Q810" s="597"/>
      <c r="V810" s="1615"/>
    </row>
    <row r="811" spans="6:22" s="14" customFormat="1" ht="14.25" customHeight="1">
      <c r="F811" s="573"/>
      <c r="G811" s="573"/>
      <c r="H811" s="573"/>
      <c r="I811" s="573"/>
      <c r="J811" s="601"/>
      <c r="K811" s="597"/>
      <c r="L811" s="597"/>
      <c r="M811" s="597"/>
      <c r="N811" s="597"/>
      <c r="O811" s="597"/>
      <c r="P811" s="597"/>
      <c r="Q811" s="597"/>
      <c r="V811" s="1615"/>
    </row>
    <row r="812" spans="6:22" s="14" customFormat="1" ht="14.25" customHeight="1">
      <c r="F812" s="573"/>
      <c r="G812" s="573"/>
      <c r="H812" s="573"/>
      <c r="I812" s="573"/>
      <c r="J812" s="601"/>
      <c r="K812" s="597"/>
      <c r="L812" s="597"/>
      <c r="M812" s="597"/>
      <c r="N812" s="597"/>
      <c r="O812" s="597"/>
      <c r="P812" s="597"/>
      <c r="Q812" s="597"/>
      <c r="V812" s="1615"/>
    </row>
    <row r="813" spans="6:22" s="14" customFormat="1" ht="14.25" customHeight="1">
      <c r="F813" s="573"/>
      <c r="G813" s="573"/>
      <c r="H813" s="573"/>
      <c r="I813" s="573"/>
      <c r="J813" s="601"/>
      <c r="K813" s="597"/>
      <c r="L813" s="597"/>
      <c r="M813" s="597"/>
      <c r="N813" s="597"/>
      <c r="O813" s="597"/>
      <c r="P813" s="597"/>
      <c r="Q813" s="597"/>
      <c r="V813" s="1615"/>
    </row>
    <row r="814" spans="6:22" s="14" customFormat="1" ht="14.25" customHeight="1">
      <c r="F814" s="573"/>
      <c r="G814" s="573"/>
      <c r="H814" s="573"/>
      <c r="I814" s="573"/>
      <c r="J814" s="601"/>
      <c r="K814" s="597"/>
      <c r="L814" s="597"/>
      <c r="M814" s="597"/>
      <c r="N814" s="597"/>
      <c r="O814" s="597"/>
      <c r="P814" s="597"/>
      <c r="Q814" s="597"/>
      <c r="V814" s="1615"/>
    </row>
    <row r="815" spans="6:22" s="14" customFormat="1" ht="14.25" customHeight="1">
      <c r="F815" s="573"/>
      <c r="G815" s="573"/>
      <c r="H815" s="573"/>
      <c r="I815" s="573"/>
      <c r="J815" s="601"/>
      <c r="K815" s="597"/>
      <c r="L815" s="597"/>
      <c r="M815" s="597"/>
      <c r="N815" s="597"/>
      <c r="O815" s="597"/>
      <c r="P815" s="597"/>
      <c r="Q815" s="597"/>
      <c r="V815" s="1615"/>
    </row>
    <row r="816" spans="6:22" s="14" customFormat="1" ht="14.25" customHeight="1">
      <c r="F816" s="573"/>
      <c r="G816" s="573"/>
      <c r="H816" s="573"/>
      <c r="I816" s="573"/>
      <c r="J816" s="601"/>
      <c r="K816" s="597"/>
      <c r="L816" s="597"/>
      <c r="M816" s="597"/>
      <c r="N816" s="597"/>
      <c r="O816" s="597"/>
      <c r="P816" s="597"/>
      <c r="Q816" s="597"/>
      <c r="V816" s="1615"/>
    </row>
    <row r="817" spans="6:22" s="14" customFormat="1" ht="14.25" customHeight="1">
      <c r="F817" s="573"/>
      <c r="G817" s="573"/>
      <c r="H817" s="573"/>
      <c r="I817" s="573"/>
      <c r="J817" s="601"/>
      <c r="K817" s="597"/>
      <c r="L817" s="597"/>
      <c r="M817" s="597"/>
      <c r="N817" s="597"/>
      <c r="O817" s="597"/>
      <c r="P817" s="597"/>
      <c r="Q817" s="597"/>
      <c r="V817" s="1615"/>
    </row>
    <row r="818" spans="6:22" s="14" customFormat="1" ht="14.25" customHeight="1">
      <c r="F818" s="573"/>
      <c r="G818" s="573"/>
      <c r="H818" s="573"/>
      <c r="I818" s="573"/>
      <c r="J818" s="601"/>
      <c r="K818" s="597"/>
      <c r="L818" s="597"/>
      <c r="M818" s="597"/>
      <c r="N818" s="597"/>
      <c r="O818" s="597"/>
      <c r="P818" s="597"/>
      <c r="Q818" s="597"/>
      <c r="V818" s="1615"/>
    </row>
    <row r="819" spans="6:22" s="14" customFormat="1" ht="14.25" customHeight="1">
      <c r="F819" s="573"/>
      <c r="G819" s="573"/>
      <c r="H819" s="573"/>
      <c r="I819" s="573"/>
      <c r="J819" s="601"/>
      <c r="K819" s="597"/>
      <c r="L819" s="597"/>
      <c r="M819" s="597"/>
      <c r="N819" s="597"/>
      <c r="O819" s="597"/>
      <c r="P819" s="597"/>
      <c r="Q819" s="597"/>
      <c r="V819" s="1615"/>
    </row>
    <row r="820" spans="6:22" s="14" customFormat="1" ht="14.25" customHeight="1">
      <c r="F820" s="573"/>
      <c r="G820" s="573"/>
      <c r="H820" s="573"/>
      <c r="I820" s="573"/>
      <c r="J820" s="601"/>
      <c r="K820" s="597"/>
      <c r="L820" s="597"/>
      <c r="M820" s="597"/>
      <c r="N820" s="597"/>
      <c r="O820" s="597"/>
      <c r="P820" s="597"/>
      <c r="Q820" s="597"/>
      <c r="V820" s="1615"/>
    </row>
    <row r="821" spans="6:22" s="14" customFormat="1" ht="14.25" customHeight="1">
      <c r="F821" s="573"/>
      <c r="G821" s="573"/>
      <c r="H821" s="573"/>
      <c r="I821" s="573"/>
      <c r="J821" s="601"/>
      <c r="K821" s="597"/>
      <c r="L821" s="597"/>
      <c r="M821" s="597"/>
      <c r="N821" s="597"/>
      <c r="O821" s="597"/>
      <c r="P821" s="597"/>
      <c r="Q821" s="597"/>
      <c r="V821" s="1615"/>
    </row>
    <row r="822" spans="6:22" s="14" customFormat="1" ht="14.25" customHeight="1">
      <c r="F822" s="573"/>
      <c r="G822" s="573"/>
      <c r="H822" s="573"/>
      <c r="I822" s="573"/>
      <c r="J822" s="601"/>
      <c r="K822" s="597"/>
      <c r="L822" s="597"/>
      <c r="M822" s="597"/>
      <c r="N822" s="597"/>
      <c r="O822" s="597"/>
      <c r="P822" s="597"/>
      <c r="Q822" s="597"/>
      <c r="V822" s="1615"/>
    </row>
    <row r="823" spans="6:22" s="14" customFormat="1" ht="14.25" customHeight="1">
      <c r="F823" s="573"/>
      <c r="G823" s="573"/>
      <c r="H823" s="573"/>
      <c r="I823" s="573"/>
      <c r="J823" s="601"/>
      <c r="K823" s="597"/>
      <c r="L823" s="597"/>
      <c r="M823" s="597"/>
      <c r="N823" s="597"/>
      <c r="O823" s="597"/>
      <c r="P823" s="597"/>
      <c r="Q823" s="597"/>
      <c r="V823" s="1615"/>
    </row>
    <row r="824" spans="6:22" s="14" customFormat="1" ht="14.25" customHeight="1">
      <c r="F824" s="573"/>
      <c r="G824" s="573"/>
      <c r="H824" s="573"/>
      <c r="I824" s="573"/>
      <c r="J824" s="601"/>
      <c r="K824" s="597"/>
      <c r="L824" s="597"/>
      <c r="M824" s="597"/>
      <c r="N824" s="597"/>
      <c r="O824" s="597"/>
      <c r="P824" s="597"/>
      <c r="Q824" s="597"/>
      <c r="V824" s="1615"/>
    </row>
    <row r="825" spans="6:22" s="14" customFormat="1" ht="14.25" customHeight="1">
      <c r="F825" s="573"/>
      <c r="G825" s="573"/>
      <c r="H825" s="573"/>
      <c r="I825" s="573"/>
      <c r="J825" s="601"/>
      <c r="K825" s="597"/>
      <c r="L825" s="597"/>
      <c r="M825" s="597"/>
      <c r="N825" s="597"/>
      <c r="O825" s="597"/>
      <c r="P825" s="597"/>
      <c r="Q825" s="597"/>
      <c r="V825" s="1615"/>
    </row>
    <row r="826" spans="6:22" s="14" customFormat="1" ht="14.25" customHeight="1">
      <c r="F826" s="573"/>
      <c r="G826" s="573"/>
      <c r="H826" s="573"/>
      <c r="I826" s="573"/>
      <c r="J826" s="601"/>
      <c r="K826" s="597"/>
      <c r="L826" s="597"/>
      <c r="M826" s="597"/>
      <c r="N826" s="597"/>
      <c r="O826" s="597"/>
      <c r="P826" s="597"/>
      <c r="Q826" s="597"/>
      <c r="V826" s="1615"/>
    </row>
    <row r="827" spans="6:22" s="14" customFormat="1" ht="14.25" customHeight="1">
      <c r="F827" s="573"/>
      <c r="G827" s="573"/>
      <c r="H827" s="573"/>
      <c r="I827" s="573"/>
      <c r="J827" s="601"/>
      <c r="K827" s="597"/>
      <c r="L827" s="597"/>
      <c r="M827" s="597"/>
      <c r="N827" s="597"/>
      <c r="O827" s="597"/>
      <c r="P827" s="597"/>
      <c r="Q827" s="597"/>
      <c r="V827" s="1615"/>
    </row>
    <row r="828" spans="6:22" s="14" customFormat="1" ht="14.25" customHeight="1">
      <c r="F828" s="573"/>
      <c r="G828" s="573"/>
      <c r="H828" s="573"/>
      <c r="I828" s="573"/>
      <c r="J828" s="601"/>
      <c r="K828" s="597"/>
      <c r="L828" s="597"/>
      <c r="M828" s="597"/>
      <c r="N828" s="597"/>
      <c r="O828" s="597"/>
      <c r="P828" s="597"/>
      <c r="Q828" s="597"/>
      <c r="V828" s="1615"/>
    </row>
    <row r="829" spans="6:22" s="14" customFormat="1" ht="14.25" customHeight="1">
      <c r="F829" s="573"/>
      <c r="G829" s="573"/>
      <c r="H829" s="573"/>
      <c r="I829" s="573"/>
      <c r="J829" s="601"/>
      <c r="K829" s="597"/>
      <c r="L829" s="597"/>
      <c r="M829" s="597"/>
      <c r="N829" s="597"/>
      <c r="O829" s="597"/>
      <c r="P829" s="597"/>
      <c r="Q829" s="597"/>
      <c r="V829" s="1615"/>
    </row>
    <row r="830" spans="6:22" s="14" customFormat="1" ht="14.25" customHeight="1">
      <c r="F830" s="573"/>
      <c r="G830" s="573"/>
      <c r="H830" s="573"/>
      <c r="I830" s="573"/>
      <c r="J830" s="601"/>
      <c r="K830" s="597"/>
      <c r="L830" s="597"/>
      <c r="M830" s="597"/>
      <c r="N830" s="597"/>
      <c r="O830" s="597"/>
      <c r="P830" s="597"/>
      <c r="Q830" s="597"/>
      <c r="V830" s="1615"/>
    </row>
    <row r="831" spans="6:22" s="14" customFormat="1" ht="14.25" customHeight="1">
      <c r="F831" s="573"/>
      <c r="G831" s="573"/>
      <c r="H831" s="573"/>
      <c r="I831" s="573"/>
      <c r="J831" s="601"/>
      <c r="K831" s="597"/>
      <c r="L831" s="597"/>
      <c r="M831" s="597"/>
      <c r="N831" s="597"/>
      <c r="O831" s="597"/>
      <c r="P831" s="597"/>
      <c r="Q831" s="597"/>
      <c r="V831" s="1615"/>
    </row>
    <row r="832" spans="6:22" s="14" customFormat="1" ht="14.25" customHeight="1">
      <c r="F832" s="573"/>
      <c r="G832" s="573"/>
      <c r="H832" s="573"/>
      <c r="I832" s="573"/>
      <c r="J832" s="601"/>
      <c r="K832" s="597"/>
      <c r="L832" s="597"/>
      <c r="M832" s="597"/>
      <c r="N832" s="597"/>
      <c r="O832" s="597"/>
      <c r="P832" s="597"/>
      <c r="Q832" s="597"/>
      <c r="V832" s="1615"/>
    </row>
    <row r="833" spans="6:22" s="14" customFormat="1" ht="14.25" customHeight="1">
      <c r="F833" s="573"/>
      <c r="G833" s="573"/>
      <c r="H833" s="573"/>
      <c r="I833" s="573"/>
      <c r="J833" s="601"/>
      <c r="K833" s="597"/>
      <c r="L833" s="597"/>
      <c r="M833" s="597"/>
      <c r="N833" s="597"/>
      <c r="O833" s="597"/>
      <c r="P833" s="597"/>
      <c r="Q833" s="597"/>
      <c r="V833" s="1615"/>
    </row>
    <row r="834" spans="6:22" s="14" customFormat="1" ht="14.25" customHeight="1">
      <c r="F834" s="573"/>
      <c r="G834" s="573"/>
      <c r="H834" s="573"/>
      <c r="I834" s="573"/>
      <c r="J834" s="601"/>
      <c r="K834" s="597"/>
      <c r="L834" s="597"/>
      <c r="M834" s="597"/>
      <c r="N834" s="597"/>
      <c r="O834" s="597"/>
      <c r="P834" s="597"/>
      <c r="Q834" s="597"/>
      <c r="V834" s="1615"/>
    </row>
    <row r="835" spans="6:22" s="14" customFormat="1" ht="14.25" customHeight="1">
      <c r="F835" s="573"/>
      <c r="G835" s="573"/>
      <c r="H835" s="573"/>
      <c r="I835" s="573"/>
      <c r="J835" s="601"/>
      <c r="K835" s="597"/>
      <c r="L835" s="597"/>
      <c r="M835" s="597"/>
      <c r="N835" s="597"/>
      <c r="O835" s="597"/>
      <c r="P835" s="597"/>
      <c r="Q835" s="597"/>
      <c r="V835" s="1615"/>
    </row>
    <row r="836" spans="6:22" s="14" customFormat="1" ht="14.25" customHeight="1">
      <c r="F836" s="573"/>
      <c r="G836" s="573"/>
      <c r="H836" s="573"/>
      <c r="I836" s="573"/>
      <c r="J836" s="601"/>
      <c r="K836" s="597"/>
      <c r="L836" s="597"/>
      <c r="M836" s="597"/>
      <c r="N836" s="597"/>
      <c r="O836" s="597"/>
      <c r="P836" s="597"/>
      <c r="Q836" s="597"/>
      <c r="V836" s="1615"/>
    </row>
    <row r="837" spans="6:22" s="14" customFormat="1" ht="14.25" customHeight="1">
      <c r="F837" s="573"/>
      <c r="G837" s="573"/>
      <c r="H837" s="573"/>
      <c r="I837" s="573"/>
      <c r="J837" s="601"/>
      <c r="K837" s="597"/>
      <c r="L837" s="597"/>
      <c r="M837" s="597"/>
      <c r="N837" s="597"/>
      <c r="O837" s="597"/>
      <c r="P837" s="597"/>
      <c r="Q837" s="597"/>
      <c r="V837" s="1615"/>
    </row>
    <row r="838" spans="6:22" s="14" customFormat="1" ht="14.25" customHeight="1">
      <c r="F838" s="573"/>
      <c r="G838" s="573"/>
      <c r="H838" s="573"/>
      <c r="I838" s="573"/>
      <c r="J838" s="601"/>
      <c r="K838" s="597"/>
      <c r="L838" s="597"/>
      <c r="M838" s="597"/>
      <c r="N838" s="597"/>
      <c r="O838" s="597"/>
      <c r="P838" s="597"/>
      <c r="Q838" s="597"/>
      <c r="V838" s="1615"/>
    </row>
    <row r="839" spans="6:22" s="14" customFormat="1" ht="14.25" customHeight="1">
      <c r="F839" s="573"/>
      <c r="G839" s="573"/>
      <c r="H839" s="573"/>
      <c r="I839" s="573"/>
      <c r="J839" s="601"/>
      <c r="K839" s="597"/>
      <c r="L839" s="597"/>
      <c r="M839" s="597"/>
      <c r="N839" s="597"/>
      <c r="O839" s="597"/>
      <c r="P839" s="597"/>
      <c r="Q839" s="597"/>
      <c r="V839" s="1615"/>
    </row>
    <row r="840" spans="6:22" s="14" customFormat="1" ht="14.25" customHeight="1">
      <c r="F840" s="573"/>
      <c r="G840" s="573"/>
      <c r="H840" s="573"/>
      <c r="I840" s="573"/>
      <c r="J840" s="601"/>
      <c r="K840" s="597"/>
      <c r="L840" s="597"/>
      <c r="M840" s="597"/>
      <c r="N840" s="597"/>
      <c r="O840" s="597"/>
      <c r="P840" s="597"/>
      <c r="Q840" s="597"/>
      <c r="V840" s="1615"/>
    </row>
    <row r="841" spans="6:22" s="14" customFormat="1" ht="14.25" customHeight="1">
      <c r="F841" s="573"/>
      <c r="G841" s="573"/>
      <c r="H841" s="573"/>
      <c r="I841" s="573"/>
      <c r="J841" s="601"/>
      <c r="K841" s="597"/>
      <c r="L841" s="597"/>
      <c r="M841" s="597"/>
      <c r="N841" s="597"/>
      <c r="O841" s="597"/>
      <c r="P841" s="597"/>
      <c r="Q841" s="597"/>
      <c r="V841" s="1615"/>
    </row>
    <row r="842" spans="6:22" s="14" customFormat="1" ht="14.25" customHeight="1">
      <c r="F842" s="573"/>
      <c r="G842" s="573"/>
      <c r="H842" s="573"/>
      <c r="I842" s="573"/>
      <c r="J842" s="601"/>
      <c r="K842" s="597"/>
      <c r="L842" s="597"/>
      <c r="M842" s="597"/>
      <c r="N842" s="597"/>
      <c r="O842" s="597"/>
      <c r="P842" s="597"/>
      <c r="Q842" s="597"/>
      <c r="V842" s="1615"/>
    </row>
    <row r="843" spans="6:22" s="14" customFormat="1" ht="14.25" customHeight="1">
      <c r="F843" s="573"/>
      <c r="G843" s="573"/>
      <c r="H843" s="573"/>
      <c r="I843" s="573"/>
      <c r="J843" s="601"/>
      <c r="K843" s="597"/>
      <c r="L843" s="597"/>
      <c r="M843" s="597"/>
      <c r="N843" s="597"/>
      <c r="O843" s="597"/>
      <c r="P843" s="597"/>
      <c r="Q843" s="597"/>
      <c r="V843" s="1615"/>
    </row>
    <row r="844" spans="6:22" s="14" customFormat="1" ht="14.25" customHeight="1">
      <c r="F844" s="573"/>
      <c r="G844" s="573"/>
      <c r="H844" s="573"/>
      <c r="I844" s="573"/>
      <c r="J844" s="601"/>
      <c r="K844" s="597"/>
      <c r="L844" s="597"/>
      <c r="M844" s="597"/>
      <c r="N844" s="597"/>
      <c r="O844" s="597"/>
      <c r="P844" s="597"/>
      <c r="Q844" s="597"/>
      <c r="V844" s="1615"/>
    </row>
    <row r="845" spans="6:22" s="14" customFormat="1" ht="14.25" customHeight="1">
      <c r="F845" s="573"/>
      <c r="G845" s="573"/>
      <c r="H845" s="573"/>
      <c r="I845" s="573"/>
      <c r="J845" s="601"/>
      <c r="K845" s="597"/>
      <c r="L845" s="597"/>
      <c r="M845" s="597"/>
      <c r="N845" s="597"/>
      <c r="O845" s="597"/>
      <c r="P845" s="597"/>
      <c r="Q845" s="597"/>
      <c r="V845" s="1615"/>
    </row>
    <row r="846" spans="6:22" s="14" customFormat="1" ht="14.25" customHeight="1">
      <c r="F846" s="573"/>
      <c r="G846" s="573"/>
      <c r="H846" s="573"/>
      <c r="I846" s="573"/>
      <c r="J846" s="601"/>
      <c r="K846" s="597"/>
      <c r="L846" s="597"/>
      <c r="M846" s="597"/>
      <c r="N846" s="597"/>
      <c r="O846" s="597"/>
      <c r="P846" s="597"/>
      <c r="Q846" s="597"/>
      <c r="V846" s="1615"/>
    </row>
    <row r="847" spans="6:22" s="14" customFormat="1" ht="14.25" customHeight="1">
      <c r="F847" s="573"/>
      <c r="G847" s="573"/>
      <c r="H847" s="573"/>
      <c r="I847" s="573"/>
      <c r="J847" s="601"/>
      <c r="K847" s="597"/>
      <c r="L847" s="597"/>
      <c r="M847" s="597"/>
      <c r="N847" s="597"/>
      <c r="O847" s="597"/>
      <c r="P847" s="597"/>
      <c r="Q847" s="597"/>
      <c r="V847" s="1615"/>
    </row>
    <row r="848" spans="6:22" s="14" customFormat="1" ht="14.25" customHeight="1">
      <c r="F848" s="573"/>
      <c r="G848" s="573"/>
      <c r="H848" s="573"/>
      <c r="I848" s="573"/>
      <c r="J848" s="601"/>
      <c r="K848" s="597"/>
      <c r="L848" s="597"/>
      <c r="M848" s="597"/>
      <c r="N848" s="597"/>
      <c r="O848" s="597"/>
      <c r="P848" s="597"/>
      <c r="Q848" s="597"/>
      <c r="V848" s="1615"/>
    </row>
    <row r="849" spans="6:22" s="14" customFormat="1" ht="14.25" customHeight="1">
      <c r="F849" s="573"/>
      <c r="G849" s="573"/>
      <c r="H849" s="573"/>
      <c r="I849" s="573"/>
      <c r="J849" s="601"/>
      <c r="K849" s="597"/>
      <c r="L849" s="597"/>
      <c r="M849" s="597"/>
      <c r="N849" s="597"/>
      <c r="O849" s="597"/>
      <c r="P849" s="597"/>
      <c r="Q849" s="597"/>
      <c r="V849" s="1615"/>
    </row>
    <row r="850" spans="6:22" s="14" customFormat="1" ht="14.25" customHeight="1">
      <c r="F850" s="573"/>
      <c r="G850" s="573"/>
      <c r="H850" s="573"/>
      <c r="I850" s="573"/>
      <c r="J850" s="601"/>
      <c r="K850" s="597"/>
      <c r="L850" s="597"/>
      <c r="M850" s="597"/>
      <c r="N850" s="597"/>
      <c r="O850" s="597"/>
      <c r="P850" s="597"/>
      <c r="Q850" s="597"/>
      <c r="V850" s="1615"/>
    </row>
    <row r="851" spans="6:22" s="14" customFormat="1" ht="14.25" customHeight="1">
      <c r="F851" s="573"/>
      <c r="G851" s="573"/>
      <c r="H851" s="573"/>
      <c r="I851" s="573"/>
      <c r="J851" s="601"/>
      <c r="K851" s="597"/>
      <c r="L851" s="597"/>
      <c r="M851" s="597"/>
      <c r="N851" s="597"/>
      <c r="O851" s="597"/>
      <c r="P851" s="597"/>
      <c r="Q851" s="597"/>
      <c r="V851" s="1615"/>
    </row>
    <row r="852" spans="6:22" s="14" customFormat="1" ht="14.25" customHeight="1">
      <c r="F852" s="573"/>
      <c r="G852" s="573"/>
      <c r="H852" s="573"/>
      <c r="I852" s="573"/>
      <c r="J852" s="601"/>
      <c r="K852" s="597"/>
      <c r="L852" s="597"/>
      <c r="M852" s="597"/>
      <c r="N852" s="597"/>
      <c r="O852" s="597"/>
      <c r="P852" s="597"/>
      <c r="Q852" s="597"/>
      <c r="V852" s="1615"/>
    </row>
    <row r="853" spans="6:22" s="14" customFormat="1" ht="14.25" customHeight="1">
      <c r="F853" s="573"/>
      <c r="G853" s="573"/>
      <c r="H853" s="573"/>
      <c r="I853" s="573"/>
      <c r="J853" s="601"/>
      <c r="K853" s="597"/>
      <c r="L853" s="597"/>
      <c r="M853" s="597"/>
      <c r="N853" s="597"/>
      <c r="O853" s="597"/>
      <c r="P853" s="597"/>
      <c r="Q853" s="597"/>
      <c r="V853" s="1615"/>
    </row>
    <row r="854" spans="6:22" s="14" customFormat="1" ht="14.25" customHeight="1">
      <c r="F854" s="573"/>
      <c r="G854" s="573"/>
      <c r="H854" s="573"/>
      <c r="I854" s="573"/>
      <c r="J854" s="601"/>
      <c r="K854" s="597"/>
      <c r="L854" s="597"/>
      <c r="M854" s="597"/>
      <c r="N854" s="597"/>
      <c r="O854" s="597"/>
      <c r="P854" s="597"/>
      <c r="Q854" s="597"/>
      <c r="V854" s="1615"/>
    </row>
    <row r="855" spans="6:22" s="14" customFormat="1" ht="14.25" customHeight="1">
      <c r="F855" s="573"/>
      <c r="G855" s="573"/>
      <c r="H855" s="573"/>
      <c r="I855" s="573"/>
      <c r="J855" s="601"/>
      <c r="K855" s="597"/>
      <c r="L855" s="597"/>
      <c r="M855" s="597"/>
      <c r="N855" s="597"/>
      <c r="O855" s="597"/>
      <c r="P855" s="597"/>
      <c r="Q855" s="597"/>
      <c r="V855" s="1615"/>
    </row>
    <row r="856" spans="6:22" s="14" customFormat="1" ht="14.25" customHeight="1">
      <c r="F856" s="573"/>
      <c r="G856" s="573"/>
      <c r="H856" s="573"/>
      <c r="I856" s="573"/>
      <c r="J856" s="601"/>
      <c r="K856" s="597"/>
      <c r="L856" s="597"/>
      <c r="M856" s="597"/>
      <c r="N856" s="597"/>
      <c r="O856" s="597"/>
      <c r="P856" s="597"/>
      <c r="Q856" s="597"/>
      <c r="V856" s="1615"/>
    </row>
    <row r="857" spans="6:22" s="14" customFormat="1" ht="14.25" customHeight="1">
      <c r="F857" s="573"/>
      <c r="G857" s="573"/>
      <c r="H857" s="573"/>
      <c r="I857" s="573"/>
      <c r="J857" s="601"/>
      <c r="K857" s="597"/>
      <c r="L857" s="597"/>
      <c r="M857" s="597"/>
      <c r="N857" s="597"/>
      <c r="O857" s="597"/>
      <c r="P857" s="597"/>
      <c r="Q857" s="597"/>
      <c r="V857" s="1615"/>
    </row>
    <row r="858" spans="6:22" s="14" customFormat="1" ht="14.25" customHeight="1">
      <c r="F858" s="573"/>
      <c r="G858" s="573"/>
      <c r="H858" s="573"/>
      <c r="I858" s="573"/>
      <c r="J858" s="601"/>
      <c r="K858" s="597"/>
      <c r="L858" s="597"/>
      <c r="M858" s="597"/>
      <c r="N858" s="597"/>
      <c r="O858" s="597"/>
      <c r="P858" s="597"/>
      <c r="Q858" s="597"/>
      <c r="V858" s="1615"/>
    </row>
    <row r="859" spans="6:22" s="14" customFormat="1" ht="14.25" customHeight="1">
      <c r="F859" s="573"/>
      <c r="G859" s="573"/>
      <c r="H859" s="573"/>
      <c r="I859" s="573"/>
      <c r="J859" s="601"/>
      <c r="K859" s="597"/>
      <c r="L859" s="597"/>
      <c r="M859" s="597"/>
      <c r="N859" s="597"/>
      <c r="O859" s="597"/>
      <c r="P859" s="597"/>
      <c r="Q859" s="597"/>
      <c r="V859" s="1615"/>
    </row>
    <row r="860" spans="6:22" s="14" customFormat="1" ht="14.25" customHeight="1">
      <c r="F860" s="573"/>
      <c r="G860" s="573"/>
      <c r="H860" s="573"/>
      <c r="I860" s="573"/>
      <c r="J860" s="601"/>
      <c r="K860" s="597"/>
      <c r="L860" s="597"/>
      <c r="M860" s="597"/>
      <c r="N860" s="597"/>
      <c r="O860" s="597"/>
      <c r="P860" s="597"/>
      <c r="Q860" s="597"/>
      <c r="V860" s="1615"/>
    </row>
    <row r="861" spans="6:22" s="14" customFormat="1" ht="14.25" customHeight="1">
      <c r="F861" s="573"/>
      <c r="G861" s="573"/>
      <c r="H861" s="573"/>
      <c r="I861" s="573"/>
      <c r="J861" s="601"/>
      <c r="K861" s="597"/>
      <c r="L861" s="597"/>
      <c r="M861" s="597"/>
      <c r="N861" s="597"/>
      <c r="O861" s="597"/>
      <c r="P861" s="597"/>
      <c r="Q861" s="597"/>
      <c r="V861" s="1615"/>
    </row>
    <row r="862" spans="6:22" s="14" customFormat="1" ht="14.25" customHeight="1">
      <c r="F862" s="573"/>
      <c r="G862" s="573"/>
      <c r="H862" s="573"/>
      <c r="I862" s="573"/>
      <c r="J862" s="601"/>
      <c r="K862" s="597"/>
      <c r="L862" s="597"/>
      <c r="M862" s="597"/>
      <c r="N862" s="597"/>
      <c r="O862" s="597"/>
      <c r="P862" s="597"/>
      <c r="Q862" s="597"/>
      <c r="V862" s="1615"/>
    </row>
    <row r="863" spans="6:22" s="14" customFormat="1" ht="14.25" customHeight="1">
      <c r="F863" s="573"/>
      <c r="G863" s="573"/>
      <c r="H863" s="573"/>
      <c r="I863" s="573"/>
      <c r="J863" s="601"/>
      <c r="K863" s="597"/>
      <c r="L863" s="597"/>
      <c r="M863" s="597"/>
      <c r="N863" s="597"/>
      <c r="O863" s="597"/>
      <c r="P863" s="597"/>
      <c r="Q863" s="597"/>
      <c r="V863" s="1615"/>
    </row>
    <row r="864" spans="6:22" s="14" customFormat="1" ht="14.25" customHeight="1">
      <c r="F864" s="573"/>
      <c r="G864" s="573"/>
      <c r="H864" s="573"/>
      <c r="I864" s="573"/>
      <c r="J864" s="601"/>
      <c r="K864" s="597"/>
      <c r="L864" s="597"/>
      <c r="M864" s="597"/>
      <c r="N864" s="597"/>
      <c r="O864" s="597"/>
      <c r="P864" s="597"/>
      <c r="Q864" s="597"/>
      <c r="V864" s="1615"/>
    </row>
    <row r="865" spans="6:22" s="14" customFormat="1" ht="14.25" customHeight="1">
      <c r="F865" s="573"/>
      <c r="G865" s="573"/>
      <c r="H865" s="573"/>
      <c r="I865" s="573"/>
      <c r="J865" s="601"/>
      <c r="K865" s="597"/>
      <c r="L865" s="597"/>
      <c r="M865" s="597"/>
      <c r="N865" s="597"/>
      <c r="O865" s="597"/>
      <c r="P865" s="597"/>
      <c r="Q865" s="597"/>
      <c r="V865" s="1615"/>
    </row>
    <row r="866" spans="6:22" s="14" customFormat="1" ht="14.25" customHeight="1">
      <c r="F866" s="573"/>
      <c r="G866" s="573"/>
      <c r="H866" s="573"/>
      <c r="I866" s="573"/>
      <c r="J866" s="601"/>
      <c r="K866" s="597"/>
      <c r="L866" s="597"/>
      <c r="M866" s="597"/>
      <c r="N866" s="597"/>
      <c r="O866" s="597"/>
      <c r="P866" s="597"/>
      <c r="Q866" s="597"/>
      <c r="V866" s="1615"/>
    </row>
    <row r="867" spans="6:22" s="14" customFormat="1" ht="14.25" customHeight="1">
      <c r="F867" s="573"/>
      <c r="G867" s="573"/>
      <c r="H867" s="573"/>
      <c r="I867" s="573"/>
      <c r="J867" s="601"/>
      <c r="K867" s="597"/>
      <c r="L867" s="597"/>
      <c r="M867" s="597"/>
      <c r="N867" s="597"/>
      <c r="O867" s="597"/>
      <c r="P867" s="597"/>
      <c r="Q867" s="597"/>
      <c r="V867" s="1615"/>
    </row>
    <row r="868" spans="6:22" s="14" customFormat="1" ht="14.25" customHeight="1">
      <c r="F868" s="573"/>
      <c r="G868" s="573"/>
      <c r="H868" s="573"/>
      <c r="I868" s="573"/>
      <c r="J868" s="601"/>
      <c r="K868" s="597"/>
      <c r="L868" s="597"/>
      <c r="M868" s="597"/>
      <c r="N868" s="597"/>
      <c r="O868" s="597"/>
      <c r="P868" s="597"/>
      <c r="Q868" s="597"/>
      <c r="V868" s="1615"/>
    </row>
    <row r="869" spans="6:22" s="14" customFormat="1" ht="14.25" customHeight="1">
      <c r="F869" s="573"/>
      <c r="G869" s="573"/>
      <c r="H869" s="573"/>
      <c r="I869" s="573"/>
      <c r="J869" s="601"/>
      <c r="K869" s="597"/>
      <c r="L869" s="597"/>
      <c r="M869" s="597"/>
      <c r="N869" s="597"/>
      <c r="O869" s="597"/>
      <c r="P869" s="597"/>
      <c r="Q869" s="597"/>
      <c r="V869" s="1615"/>
    </row>
    <row r="870" spans="6:22" s="14" customFormat="1" ht="14.25" customHeight="1">
      <c r="F870" s="573"/>
      <c r="G870" s="573"/>
      <c r="H870" s="573"/>
      <c r="I870" s="573"/>
      <c r="J870" s="601"/>
      <c r="K870" s="597"/>
      <c r="L870" s="597"/>
      <c r="M870" s="597"/>
      <c r="N870" s="597"/>
      <c r="O870" s="597"/>
      <c r="P870" s="597"/>
      <c r="Q870" s="597"/>
      <c r="V870" s="1615"/>
    </row>
    <row r="871" spans="6:22" s="14" customFormat="1" ht="14.25" customHeight="1">
      <c r="F871" s="573"/>
      <c r="G871" s="573"/>
      <c r="H871" s="573"/>
      <c r="I871" s="573"/>
      <c r="J871" s="601"/>
      <c r="K871" s="597"/>
      <c r="L871" s="597"/>
      <c r="M871" s="597"/>
      <c r="N871" s="597"/>
      <c r="O871" s="597"/>
      <c r="P871" s="597"/>
      <c r="Q871" s="597"/>
      <c r="V871" s="1615"/>
    </row>
    <row r="872" spans="6:22" s="14" customFormat="1" ht="14.25" customHeight="1">
      <c r="F872" s="573"/>
      <c r="G872" s="573"/>
      <c r="H872" s="573"/>
      <c r="I872" s="573"/>
      <c r="J872" s="601"/>
      <c r="K872" s="597"/>
      <c r="L872" s="597"/>
      <c r="M872" s="597"/>
      <c r="N872" s="597"/>
      <c r="O872" s="597"/>
      <c r="P872" s="597"/>
      <c r="Q872" s="597"/>
      <c r="V872" s="1615"/>
    </row>
    <row r="873" spans="6:22" s="14" customFormat="1" ht="14.25" customHeight="1">
      <c r="F873" s="573"/>
      <c r="G873" s="573"/>
      <c r="H873" s="573"/>
      <c r="I873" s="573"/>
      <c r="J873" s="601"/>
      <c r="K873" s="597"/>
      <c r="L873" s="597"/>
      <c r="M873" s="597"/>
      <c r="N873" s="597"/>
      <c r="O873" s="597"/>
      <c r="P873" s="597"/>
      <c r="Q873" s="597"/>
      <c r="V873" s="1615"/>
    </row>
    <row r="874" spans="6:22" s="14" customFormat="1" ht="14.25" customHeight="1">
      <c r="F874" s="573"/>
      <c r="G874" s="573"/>
      <c r="H874" s="573"/>
      <c r="I874" s="573"/>
      <c r="J874" s="601"/>
      <c r="K874" s="597"/>
      <c r="L874" s="597"/>
      <c r="M874" s="597"/>
      <c r="N874" s="597"/>
      <c r="O874" s="597"/>
      <c r="P874" s="597"/>
      <c r="Q874" s="597"/>
      <c r="V874" s="1615"/>
    </row>
    <row r="875" spans="6:22" s="14" customFormat="1" ht="14.25" customHeight="1">
      <c r="F875" s="573"/>
      <c r="G875" s="573"/>
      <c r="H875" s="573"/>
      <c r="I875" s="573"/>
      <c r="J875" s="601"/>
      <c r="K875" s="597"/>
      <c r="L875" s="597"/>
      <c r="M875" s="597"/>
      <c r="N875" s="597"/>
      <c r="O875" s="597"/>
      <c r="P875" s="597"/>
      <c r="Q875" s="597"/>
      <c r="V875" s="1615"/>
    </row>
    <row r="876" spans="6:22" s="14" customFormat="1" ht="14.25" customHeight="1">
      <c r="F876" s="573"/>
      <c r="G876" s="573"/>
      <c r="H876" s="573"/>
      <c r="I876" s="573"/>
      <c r="J876" s="601"/>
      <c r="K876" s="597"/>
      <c r="L876" s="597"/>
      <c r="M876" s="597"/>
      <c r="N876" s="597"/>
      <c r="O876" s="597"/>
      <c r="P876" s="597"/>
      <c r="Q876" s="597"/>
      <c r="V876" s="1615"/>
    </row>
    <row r="877" spans="6:22" s="14" customFormat="1" ht="14.25" customHeight="1">
      <c r="F877" s="573"/>
      <c r="G877" s="573"/>
      <c r="H877" s="573"/>
      <c r="I877" s="573"/>
      <c r="J877" s="601"/>
      <c r="K877" s="597"/>
      <c r="L877" s="597"/>
      <c r="M877" s="597"/>
      <c r="N877" s="597"/>
      <c r="O877" s="597"/>
      <c r="P877" s="597"/>
      <c r="Q877" s="597"/>
      <c r="V877" s="1615"/>
    </row>
    <row r="878" spans="6:22" s="14" customFormat="1" ht="14.25" customHeight="1">
      <c r="F878" s="573"/>
      <c r="G878" s="573"/>
      <c r="H878" s="573"/>
      <c r="I878" s="573"/>
      <c r="J878" s="601"/>
      <c r="K878" s="597"/>
      <c r="L878" s="597"/>
      <c r="M878" s="597"/>
      <c r="N878" s="597"/>
      <c r="O878" s="597"/>
      <c r="P878" s="597"/>
      <c r="Q878" s="597"/>
      <c r="V878" s="1615"/>
    </row>
    <row r="879" spans="6:22" s="14" customFormat="1" ht="14.25" customHeight="1">
      <c r="F879" s="573"/>
      <c r="G879" s="573"/>
      <c r="H879" s="573"/>
      <c r="I879" s="573"/>
      <c r="J879" s="601"/>
      <c r="K879" s="597"/>
      <c r="L879" s="597"/>
      <c r="M879" s="597"/>
      <c r="N879" s="597"/>
      <c r="O879" s="597"/>
      <c r="P879" s="597"/>
      <c r="Q879" s="597"/>
      <c r="V879" s="1615"/>
    </row>
    <row r="880" spans="6:22" s="14" customFormat="1" ht="14.25" customHeight="1">
      <c r="F880" s="573"/>
      <c r="G880" s="573"/>
      <c r="H880" s="573"/>
      <c r="I880" s="573"/>
      <c r="J880" s="601"/>
      <c r="K880" s="597"/>
      <c r="L880" s="597"/>
      <c r="M880" s="597"/>
      <c r="N880" s="597"/>
      <c r="O880" s="597"/>
      <c r="P880" s="597"/>
      <c r="Q880" s="597"/>
      <c r="V880" s="1615"/>
    </row>
    <row r="881" spans="6:22" s="14" customFormat="1" ht="14.25" customHeight="1">
      <c r="F881" s="573"/>
      <c r="G881" s="573"/>
      <c r="H881" s="573"/>
      <c r="I881" s="573"/>
      <c r="J881" s="601"/>
      <c r="K881" s="597"/>
      <c r="L881" s="597"/>
      <c r="M881" s="597"/>
      <c r="N881" s="597"/>
      <c r="O881" s="597"/>
      <c r="P881" s="597"/>
      <c r="Q881" s="597"/>
      <c r="V881" s="1615"/>
    </row>
    <row r="882" spans="6:22" s="14" customFormat="1" ht="14.25" customHeight="1">
      <c r="F882" s="573"/>
      <c r="G882" s="573"/>
      <c r="H882" s="573"/>
      <c r="I882" s="573"/>
      <c r="J882" s="601"/>
      <c r="K882" s="597"/>
      <c r="L882" s="597"/>
      <c r="M882" s="597"/>
      <c r="N882" s="597"/>
      <c r="O882" s="597"/>
      <c r="P882" s="597"/>
      <c r="Q882" s="597"/>
      <c r="V882" s="1615"/>
    </row>
    <row r="883" spans="6:22" s="14" customFormat="1" ht="14.25" customHeight="1">
      <c r="F883" s="573"/>
      <c r="G883" s="573"/>
      <c r="H883" s="573"/>
      <c r="I883" s="573"/>
      <c r="J883" s="601"/>
      <c r="K883" s="597"/>
      <c r="L883" s="597"/>
      <c r="M883" s="597"/>
      <c r="N883" s="597"/>
      <c r="O883" s="597"/>
      <c r="P883" s="597"/>
      <c r="Q883" s="597"/>
      <c r="V883" s="1615"/>
    </row>
    <row r="884" spans="6:22" s="14" customFormat="1" ht="14.25" customHeight="1">
      <c r="F884" s="573"/>
      <c r="G884" s="573"/>
      <c r="H884" s="573"/>
      <c r="I884" s="573"/>
      <c r="J884" s="601"/>
      <c r="K884" s="597"/>
      <c r="L884" s="597"/>
      <c r="M884" s="597"/>
      <c r="N884" s="597"/>
      <c r="O884" s="597"/>
      <c r="P884" s="597"/>
      <c r="Q884" s="597"/>
      <c r="V884" s="1615"/>
    </row>
    <row r="885" spans="6:22" s="14" customFormat="1" ht="14.25" customHeight="1">
      <c r="F885" s="573"/>
      <c r="G885" s="573"/>
      <c r="H885" s="573"/>
      <c r="I885" s="573"/>
      <c r="J885" s="601"/>
      <c r="K885" s="597"/>
      <c r="L885" s="597"/>
      <c r="M885" s="597"/>
      <c r="N885" s="597"/>
      <c r="O885" s="597"/>
      <c r="P885" s="597"/>
      <c r="Q885" s="597"/>
      <c r="V885" s="1615"/>
    </row>
    <row r="886" spans="6:22" s="14" customFormat="1" ht="14.25" customHeight="1">
      <c r="F886" s="573"/>
      <c r="G886" s="573"/>
      <c r="H886" s="573"/>
      <c r="I886" s="573"/>
      <c r="J886" s="601"/>
      <c r="K886" s="597"/>
      <c r="L886" s="597"/>
      <c r="M886" s="597"/>
      <c r="N886" s="597"/>
      <c r="O886" s="597"/>
      <c r="P886" s="597"/>
      <c r="Q886" s="597"/>
      <c r="V886" s="1615"/>
    </row>
    <row r="887" spans="6:22" s="14" customFormat="1" ht="14.25" customHeight="1">
      <c r="F887" s="573"/>
      <c r="G887" s="573"/>
      <c r="H887" s="573"/>
      <c r="I887" s="573"/>
      <c r="J887" s="601"/>
      <c r="K887" s="597"/>
      <c r="L887" s="597"/>
      <c r="M887" s="597"/>
      <c r="N887" s="597"/>
      <c r="O887" s="597"/>
      <c r="P887" s="597"/>
      <c r="Q887" s="597"/>
      <c r="V887" s="1615"/>
    </row>
    <row r="888" spans="6:22" s="14" customFormat="1" ht="14.25" customHeight="1">
      <c r="F888" s="573"/>
      <c r="G888" s="573"/>
      <c r="H888" s="573"/>
      <c r="I888" s="573"/>
      <c r="J888" s="601"/>
      <c r="K888" s="597"/>
      <c r="L888" s="597"/>
      <c r="M888" s="597"/>
      <c r="N888" s="597"/>
      <c r="O888" s="597"/>
      <c r="P888" s="597"/>
      <c r="Q888" s="597"/>
      <c r="V888" s="1615"/>
    </row>
    <row r="889" spans="6:22" s="14" customFormat="1" ht="14.25" customHeight="1">
      <c r="F889" s="573"/>
      <c r="G889" s="573"/>
      <c r="H889" s="573"/>
      <c r="I889" s="573"/>
      <c r="J889" s="601"/>
      <c r="K889" s="597"/>
      <c r="L889" s="597"/>
      <c r="M889" s="597"/>
      <c r="N889" s="597"/>
      <c r="O889" s="597"/>
      <c r="P889" s="597"/>
      <c r="Q889" s="597"/>
      <c r="V889" s="1615"/>
    </row>
    <row r="890" spans="6:22" s="14" customFormat="1" ht="14.25" customHeight="1">
      <c r="F890" s="573"/>
      <c r="G890" s="573"/>
      <c r="H890" s="573"/>
      <c r="I890" s="573"/>
      <c r="J890" s="601"/>
      <c r="K890" s="597"/>
      <c r="L890" s="597"/>
      <c r="M890" s="597"/>
      <c r="N890" s="597"/>
      <c r="O890" s="597"/>
      <c r="P890" s="597"/>
      <c r="Q890" s="597"/>
      <c r="V890" s="1615"/>
    </row>
    <row r="891" spans="6:22" s="14" customFormat="1" ht="14.25" customHeight="1">
      <c r="F891" s="573"/>
      <c r="G891" s="573"/>
      <c r="H891" s="573"/>
      <c r="I891" s="573"/>
      <c r="J891" s="601"/>
      <c r="K891" s="597"/>
      <c r="L891" s="597"/>
      <c r="M891" s="597"/>
      <c r="N891" s="597"/>
      <c r="O891" s="597"/>
      <c r="P891" s="597"/>
      <c r="Q891" s="597"/>
      <c r="V891" s="1615"/>
    </row>
    <row r="892" spans="6:22" s="14" customFormat="1" ht="14.25" customHeight="1">
      <c r="F892" s="573"/>
      <c r="G892" s="573"/>
      <c r="H892" s="573"/>
      <c r="I892" s="573"/>
      <c r="J892" s="601"/>
      <c r="K892" s="597"/>
      <c r="L892" s="597"/>
      <c r="M892" s="597"/>
      <c r="N892" s="597"/>
      <c r="O892" s="597"/>
      <c r="P892" s="597"/>
      <c r="Q892" s="597"/>
      <c r="V892" s="1615"/>
    </row>
    <row r="893" spans="6:22" s="14" customFormat="1" ht="14.25" customHeight="1">
      <c r="F893" s="573"/>
      <c r="G893" s="573"/>
      <c r="H893" s="573"/>
      <c r="I893" s="573"/>
      <c r="J893" s="601"/>
      <c r="K893" s="597"/>
      <c r="L893" s="597"/>
      <c r="M893" s="597"/>
      <c r="N893" s="597"/>
      <c r="O893" s="597"/>
      <c r="P893" s="597"/>
      <c r="Q893" s="597"/>
      <c r="V893" s="1615"/>
    </row>
    <row r="894" spans="6:22" s="14" customFormat="1" ht="14.25" customHeight="1">
      <c r="F894" s="573"/>
      <c r="G894" s="573"/>
      <c r="H894" s="573"/>
      <c r="I894" s="573"/>
      <c r="J894" s="601"/>
      <c r="K894" s="597"/>
      <c r="L894" s="597"/>
      <c r="M894" s="597"/>
      <c r="N894" s="597"/>
      <c r="O894" s="597"/>
      <c r="P894" s="597"/>
      <c r="Q894" s="597"/>
      <c r="V894" s="1615"/>
    </row>
    <row r="895" spans="6:22" s="14" customFormat="1" ht="14.25" customHeight="1">
      <c r="F895" s="573"/>
      <c r="G895" s="573"/>
      <c r="H895" s="573"/>
      <c r="I895" s="573"/>
      <c r="J895" s="601"/>
      <c r="K895" s="597"/>
      <c r="L895" s="597"/>
      <c r="M895" s="597"/>
      <c r="N895" s="597"/>
      <c r="O895" s="597"/>
      <c r="P895" s="597"/>
      <c r="Q895" s="597"/>
      <c r="V895" s="1615"/>
    </row>
    <row r="896" spans="6:22" s="14" customFormat="1" ht="14.25" customHeight="1">
      <c r="F896" s="573"/>
      <c r="G896" s="573"/>
      <c r="H896" s="573"/>
      <c r="I896" s="573"/>
      <c r="J896" s="601"/>
      <c r="K896" s="597"/>
      <c r="L896" s="597"/>
      <c r="M896" s="597"/>
      <c r="N896" s="597"/>
      <c r="O896" s="597"/>
      <c r="P896" s="597"/>
      <c r="Q896" s="597"/>
      <c r="V896" s="1615"/>
    </row>
    <row r="897" spans="6:22" s="14" customFormat="1" ht="14.25" customHeight="1">
      <c r="F897" s="573"/>
      <c r="G897" s="573"/>
      <c r="H897" s="573"/>
      <c r="I897" s="573"/>
      <c r="J897" s="601"/>
      <c r="K897" s="597"/>
      <c r="L897" s="597"/>
      <c r="M897" s="597"/>
      <c r="N897" s="597"/>
      <c r="O897" s="597"/>
      <c r="P897" s="597"/>
      <c r="Q897" s="597"/>
      <c r="V897" s="1615"/>
    </row>
    <row r="898" spans="6:22" s="14" customFormat="1" ht="14.25" customHeight="1">
      <c r="F898" s="573"/>
      <c r="G898" s="573"/>
      <c r="H898" s="573"/>
      <c r="I898" s="573"/>
      <c r="J898" s="601"/>
      <c r="K898" s="597"/>
      <c r="L898" s="597"/>
      <c r="M898" s="597"/>
      <c r="N898" s="597"/>
      <c r="O898" s="597"/>
      <c r="P898" s="597"/>
      <c r="Q898" s="597"/>
      <c r="V898" s="1615"/>
    </row>
    <row r="899" spans="6:22" s="14" customFormat="1" ht="14.25" customHeight="1">
      <c r="F899" s="573"/>
      <c r="G899" s="573"/>
      <c r="H899" s="573"/>
      <c r="I899" s="573"/>
      <c r="J899" s="601"/>
      <c r="K899" s="597"/>
      <c r="L899" s="597"/>
      <c r="M899" s="597"/>
      <c r="N899" s="597"/>
      <c r="O899" s="597"/>
      <c r="P899" s="597"/>
      <c r="Q899" s="597"/>
      <c r="V899" s="1615"/>
    </row>
    <row r="900" spans="6:22" s="14" customFormat="1" ht="14.25" customHeight="1">
      <c r="F900" s="573"/>
      <c r="G900" s="573"/>
      <c r="H900" s="573"/>
      <c r="I900" s="573"/>
      <c r="J900" s="601"/>
      <c r="K900" s="597"/>
      <c r="L900" s="597"/>
      <c r="M900" s="597"/>
      <c r="N900" s="597"/>
      <c r="O900" s="597"/>
      <c r="P900" s="597"/>
      <c r="Q900" s="597"/>
      <c r="V900" s="1615"/>
    </row>
    <row r="901" spans="6:22" s="14" customFormat="1" ht="14.25" customHeight="1">
      <c r="F901" s="573"/>
      <c r="G901" s="573"/>
      <c r="H901" s="573"/>
      <c r="I901" s="573"/>
      <c r="J901" s="601"/>
      <c r="K901" s="597"/>
      <c r="L901" s="597"/>
      <c r="M901" s="597"/>
      <c r="N901" s="597"/>
      <c r="O901" s="597"/>
      <c r="P901" s="597"/>
      <c r="Q901" s="597"/>
      <c r="V901" s="1615"/>
    </row>
    <row r="902" spans="6:22" s="14" customFormat="1" ht="14.25" customHeight="1">
      <c r="F902" s="573"/>
      <c r="G902" s="573"/>
      <c r="H902" s="573"/>
      <c r="I902" s="573"/>
      <c r="J902" s="601"/>
      <c r="K902" s="597"/>
      <c r="L902" s="597"/>
      <c r="M902" s="597"/>
      <c r="N902" s="597"/>
      <c r="O902" s="597"/>
      <c r="P902" s="597"/>
      <c r="Q902" s="597"/>
      <c r="V902" s="1615"/>
    </row>
    <row r="903" spans="6:22" s="14" customFormat="1" ht="14.25" customHeight="1">
      <c r="F903" s="573"/>
      <c r="G903" s="573"/>
      <c r="H903" s="573"/>
      <c r="I903" s="573"/>
      <c r="J903" s="601"/>
      <c r="K903" s="597"/>
      <c r="L903" s="597"/>
      <c r="M903" s="597"/>
      <c r="N903" s="597"/>
      <c r="O903" s="597"/>
      <c r="P903" s="597"/>
      <c r="Q903" s="597"/>
      <c r="V903" s="1615"/>
    </row>
    <row r="904" spans="6:22" s="14" customFormat="1" ht="14.25" customHeight="1">
      <c r="F904" s="573"/>
      <c r="G904" s="573"/>
      <c r="H904" s="573"/>
      <c r="I904" s="573"/>
      <c r="J904" s="601"/>
      <c r="K904" s="597"/>
      <c r="L904" s="597"/>
      <c r="M904" s="597"/>
      <c r="N904" s="597"/>
      <c r="O904" s="597"/>
      <c r="P904" s="597"/>
      <c r="Q904" s="597"/>
      <c r="V904" s="1615"/>
    </row>
    <row r="905" spans="6:22" s="14" customFormat="1" ht="14.25" customHeight="1">
      <c r="F905" s="573"/>
      <c r="G905" s="573"/>
      <c r="H905" s="573"/>
      <c r="I905" s="573"/>
      <c r="J905" s="601"/>
      <c r="K905" s="597"/>
      <c r="L905" s="597"/>
      <c r="M905" s="597"/>
      <c r="N905" s="597"/>
      <c r="O905" s="597"/>
      <c r="P905" s="597"/>
      <c r="Q905" s="597"/>
      <c r="V905" s="1615"/>
    </row>
    <row r="906" spans="6:22" s="14" customFormat="1" ht="14.25" customHeight="1">
      <c r="F906" s="573"/>
      <c r="G906" s="573"/>
      <c r="H906" s="573"/>
      <c r="I906" s="573"/>
      <c r="J906" s="601"/>
      <c r="K906" s="597"/>
      <c r="L906" s="597"/>
      <c r="M906" s="597"/>
      <c r="N906" s="597"/>
      <c r="O906" s="597"/>
      <c r="P906" s="597"/>
      <c r="Q906" s="597"/>
      <c r="V906" s="1615"/>
    </row>
    <row r="907" spans="6:22" s="14" customFormat="1" ht="14.25" customHeight="1">
      <c r="F907" s="573"/>
      <c r="G907" s="573"/>
      <c r="H907" s="573"/>
      <c r="I907" s="573"/>
      <c r="J907" s="601"/>
      <c r="K907" s="597"/>
      <c r="L907" s="597"/>
      <c r="M907" s="597"/>
      <c r="N907" s="597"/>
      <c r="O907" s="597"/>
      <c r="P907" s="597"/>
      <c r="Q907" s="597"/>
      <c r="V907" s="1615"/>
    </row>
    <row r="908" spans="6:22" s="14" customFormat="1" ht="14.25" customHeight="1">
      <c r="F908" s="573"/>
      <c r="G908" s="573"/>
      <c r="H908" s="573"/>
      <c r="I908" s="573"/>
      <c r="J908" s="601"/>
      <c r="K908" s="597"/>
      <c r="L908" s="597"/>
      <c r="M908" s="597"/>
      <c r="N908" s="597"/>
      <c r="O908" s="597"/>
      <c r="P908" s="597"/>
      <c r="Q908" s="597"/>
      <c r="V908" s="1615"/>
    </row>
    <row r="909" spans="6:22" s="14" customFormat="1" ht="14.25" customHeight="1">
      <c r="F909" s="573"/>
      <c r="G909" s="573"/>
      <c r="H909" s="573"/>
      <c r="I909" s="573"/>
      <c r="J909" s="601"/>
      <c r="K909" s="597"/>
      <c r="L909" s="597"/>
      <c r="M909" s="597"/>
      <c r="N909" s="597"/>
      <c r="O909" s="597"/>
      <c r="P909" s="597"/>
      <c r="Q909" s="597"/>
      <c r="V909" s="1615"/>
    </row>
    <row r="910" spans="6:22" s="14" customFormat="1" ht="14.25" customHeight="1">
      <c r="F910" s="573"/>
      <c r="G910" s="573"/>
      <c r="H910" s="573"/>
      <c r="I910" s="573"/>
      <c r="J910" s="601"/>
      <c r="K910" s="597"/>
      <c r="L910" s="597"/>
      <c r="M910" s="597"/>
      <c r="N910" s="597"/>
      <c r="O910" s="597"/>
      <c r="P910" s="597"/>
      <c r="Q910" s="597"/>
      <c r="V910" s="1615"/>
    </row>
    <row r="911" spans="6:22" s="14" customFormat="1" ht="14.25" customHeight="1">
      <c r="F911" s="573"/>
      <c r="G911" s="573"/>
      <c r="H911" s="573"/>
      <c r="I911" s="573"/>
      <c r="J911" s="601"/>
      <c r="K911" s="597"/>
      <c r="L911" s="597"/>
      <c r="M911" s="597"/>
      <c r="N911" s="597"/>
      <c r="O911" s="597"/>
      <c r="P911" s="597"/>
      <c r="Q911" s="597"/>
      <c r="V911" s="1615"/>
    </row>
    <row r="912" spans="6:22" s="14" customFormat="1" ht="14.25" customHeight="1">
      <c r="F912" s="573"/>
      <c r="G912" s="573"/>
      <c r="H912" s="573"/>
      <c r="I912" s="573"/>
      <c r="J912" s="601"/>
      <c r="K912" s="597"/>
      <c r="L912" s="597"/>
      <c r="M912" s="597"/>
      <c r="N912" s="597"/>
      <c r="O912" s="597"/>
      <c r="P912" s="597"/>
      <c r="Q912" s="597"/>
      <c r="V912" s="1615"/>
    </row>
    <row r="913" spans="6:22" s="14" customFormat="1" ht="14.25" customHeight="1">
      <c r="F913" s="573"/>
      <c r="G913" s="573"/>
      <c r="H913" s="573"/>
      <c r="I913" s="573"/>
      <c r="J913" s="601"/>
      <c r="K913" s="597"/>
      <c r="L913" s="597"/>
      <c r="M913" s="597"/>
      <c r="N913" s="597"/>
      <c r="O913" s="597"/>
      <c r="P913" s="597"/>
      <c r="Q913" s="597"/>
      <c r="V913" s="1615"/>
    </row>
    <row r="914" spans="6:22" s="14" customFormat="1" ht="14.25" customHeight="1">
      <c r="F914" s="573"/>
      <c r="G914" s="573"/>
      <c r="H914" s="573"/>
      <c r="I914" s="573"/>
      <c r="J914" s="601"/>
      <c r="K914" s="597"/>
      <c r="L914" s="597"/>
      <c r="M914" s="597"/>
      <c r="N914" s="597"/>
      <c r="O914" s="597"/>
      <c r="P914" s="597"/>
      <c r="Q914" s="597"/>
      <c r="V914" s="1615"/>
    </row>
    <row r="915" spans="6:22" s="14" customFormat="1" ht="14.25" customHeight="1">
      <c r="F915" s="573"/>
      <c r="G915" s="573"/>
      <c r="H915" s="573"/>
      <c r="I915" s="573"/>
      <c r="J915" s="601"/>
      <c r="K915" s="597"/>
      <c r="L915" s="597"/>
      <c r="M915" s="597"/>
      <c r="N915" s="597"/>
      <c r="O915" s="597"/>
      <c r="P915" s="597"/>
      <c r="Q915" s="597"/>
      <c r="V915" s="1615"/>
    </row>
    <row r="916" spans="6:22" s="14" customFormat="1" ht="14.25" customHeight="1">
      <c r="F916" s="573"/>
      <c r="G916" s="573"/>
      <c r="H916" s="573"/>
      <c r="I916" s="573"/>
      <c r="J916" s="601"/>
      <c r="K916" s="597"/>
      <c r="L916" s="597"/>
      <c r="M916" s="597"/>
      <c r="N916" s="597"/>
      <c r="O916" s="597"/>
      <c r="P916" s="597"/>
      <c r="Q916" s="597"/>
      <c r="V916" s="1615"/>
    </row>
    <row r="917" spans="6:22" s="14" customFormat="1" ht="14.25" customHeight="1">
      <c r="F917" s="573"/>
      <c r="G917" s="573"/>
      <c r="H917" s="573"/>
      <c r="I917" s="573"/>
      <c r="J917" s="601"/>
      <c r="K917" s="597"/>
      <c r="L917" s="597"/>
      <c r="M917" s="597"/>
      <c r="N917" s="597"/>
      <c r="O917" s="597"/>
      <c r="P917" s="597"/>
      <c r="Q917" s="597"/>
      <c r="V917" s="1615"/>
    </row>
    <row r="918" spans="6:22" s="14" customFormat="1" ht="14.25" customHeight="1">
      <c r="F918" s="573"/>
      <c r="G918" s="573"/>
      <c r="H918" s="573"/>
      <c r="I918" s="573"/>
      <c r="J918" s="601"/>
      <c r="K918" s="597"/>
      <c r="L918" s="597"/>
      <c r="M918" s="597"/>
      <c r="N918" s="597"/>
      <c r="O918" s="597"/>
      <c r="P918" s="597"/>
      <c r="Q918" s="597"/>
      <c r="V918" s="1615"/>
    </row>
    <row r="919" spans="6:22" s="14" customFormat="1" ht="14.25" customHeight="1">
      <c r="F919" s="573"/>
      <c r="G919" s="573"/>
      <c r="H919" s="573"/>
      <c r="I919" s="573"/>
      <c r="J919" s="601"/>
      <c r="K919" s="597"/>
      <c r="L919" s="597"/>
      <c r="M919" s="597"/>
      <c r="N919" s="597"/>
      <c r="O919" s="597"/>
      <c r="P919" s="597"/>
      <c r="Q919" s="597"/>
      <c r="V919" s="1615"/>
    </row>
    <row r="920" spans="6:22" s="14" customFormat="1" ht="14.25" customHeight="1">
      <c r="F920" s="573"/>
      <c r="G920" s="573"/>
      <c r="H920" s="573"/>
      <c r="I920" s="573"/>
      <c r="J920" s="601"/>
      <c r="K920" s="597"/>
      <c r="L920" s="597"/>
      <c r="M920" s="597"/>
      <c r="N920" s="597"/>
      <c r="O920" s="597"/>
      <c r="P920" s="597"/>
      <c r="Q920" s="597"/>
      <c r="V920" s="1615"/>
    </row>
    <row r="921" spans="6:22" s="14" customFormat="1" ht="14.25" customHeight="1">
      <c r="F921" s="573"/>
      <c r="G921" s="573"/>
      <c r="H921" s="573"/>
      <c r="I921" s="573"/>
      <c r="J921" s="601"/>
      <c r="K921" s="597"/>
      <c r="L921" s="597"/>
      <c r="M921" s="597"/>
      <c r="N921" s="597"/>
      <c r="O921" s="597"/>
      <c r="P921" s="597"/>
      <c r="Q921" s="597"/>
      <c r="V921" s="1615"/>
    </row>
    <row r="922" spans="6:22" s="14" customFormat="1" ht="14.25" customHeight="1">
      <c r="F922" s="573"/>
      <c r="G922" s="573"/>
      <c r="H922" s="573"/>
      <c r="I922" s="573"/>
      <c r="J922" s="601"/>
      <c r="K922" s="597"/>
      <c r="L922" s="597"/>
      <c r="M922" s="597"/>
      <c r="N922" s="597"/>
      <c r="O922" s="597"/>
      <c r="P922" s="597"/>
      <c r="Q922" s="597"/>
      <c r="V922" s="1615"/>
    </row>
    <row r="923" spans="6:22" s="14" customFormat="1" ht="14.25" customHeight="1">
      <c r="F923" s="573"/>
      <c r="G923" s="573"/>
      <c r="H923" s="573"/>
      <c r="I923" s="573"/>
      <c r="J923" s="601"/>
      <c r="K923" s="597"/>
      <c r="L923" s="597"/>
      <c r="M923" s="597"/>
      <c r="N923" s="597"/>
      <c r="O923" s="597"/>
      <c r="P923" s="597"/>
      <c r="Q923" s="597"/>
      <c r="V923" s="1615"/>
    </row>
    <row r="924" spans="6:22" s="14" customFormat="1" ht="14.25" customHeight="1">
      <c r="F924" s="573"/>
      <c r="G924" s="573"/>
      <c r="H924" s="573"/>
      <c r="I924" s="573"/>
      <c r="J924" s="601"/>
      <c r="K924" s="597"/>
      <c r="L924" s="597"/>
      <c r="M924" s="597"/>
      <c r="N924" s="597"/>
      <c r="O924" s="597"/>
      <c r="P924" s="597"/>
      <c r="Q924" s="597"/>
      <c r="V924" s="1615"/>
    </row>
    <row r="925" spans="6:22" s="14" customFormat="1" ht="14.25" customHeight="1">
      <c r="F925" s="573"/>
      <c r="G925" s="573"/>
      <c r="H925" s="573"/>
      <c r="I925" s="573"/>
      <c r="J925" s="601"/>
      <c r="K925" s="597"/>
      <c r="L925" s="597"/>
      <c r="M925" s="597"/>
      <c r="N925" s="597"/>
      <c r="O925" s="597"/>
      <c r="P925" s="597"/>
      <c r="Q925" s="597"/>
      <c r="V925" s="1615"/>
    </row>
    <row r="926" spans="6:22" s="14" customFormat="1" ht="14.25" customHeight="1">
      <c r="F926" s="573"/>
      <c r="G926" s="573"/>
      <c r="H926" s="573"/>
      <c r="I926" s="573"/>
      <c r="J926" s="601"/>
      <c r="K926" s="597"/>
      <c r="L926" s="597"/>
      <c r="M926" s="597"/>
      <c r="N926" s="597"/>
      <c r="O926" s="597"/>
      <c r="P926" s="597"/>
      <c r="Q926" s="597"/>
      <c r="V926" s="1615"/>
    </row>
    <row r="927" spans="6:22" s="14" customFormat="1" ht="14.25" customHeight="1">
      <c r="F927" s="573"/>
      <c r="G927" s="573"/>
      <c r="H927" s="573"/>
      <c r="I927" s="573"/>
      <c r="J927" s="601"/>
      <c r="K927" s="597"/>
      <c r="L927" s="597"/>
      <c r="M927" s="597"/>
      <c r="N927" s="597"/>
      <c r="O927" s="597"/>
      <c r="P927" s="597"/>
      <c r="Q927" s="597"/>
      <c r="V927" s="1615"/>
    </row>
    <row r="928" spans="6:22" s="14" customFormat="1" ht="14.25" customHeight="1">
      <c r="F928" s="573"/>
      <c r="G928" s="573"/>
      <c r="H928" s="573"/>
      <c r="I928" s="573"/>
      <c r="J928" s="601"/>
      <c r="K928" s="597"/>
      <c r="L928" s="597"/>
      <c r="M928" s="597"/>
      <c r="N928" s="597"/>
      <c r="O928" s="597"/>
      <c r="P928" s="597"/>
      <c r="Q928" s="597"/>
      <c r="V928" s="1615"/>
    </row>
    <row r="929" spans="6:22" s="14" customFormat="1" ht="14.25" customHeight="1">
      <c r="F929" s="573"/>
      <c r="G929" s="573"/>
      <c r="H929" s="573"/>
      <c r="I929" s="573"/>
      <c r="J929" s="601"/>
      <c r="K929" s="597"/>
      <c r="L929" s="597"/>
      <c r="M929" s="597"/>
      <c r="N929" s="597"/>
      <c r="O929" s="597"/>
      <c r="P929" s="597"/>
      <c r="Q929" s="597"/>
      <c r="V929" s="1615"/>
    </row>
    <row r="930" spans="6:22" s="14" customFormat="1" ht="14.25" customHeight="1">
      <c r="F930" s="573"/>
      <c r="G930" s="573"/>
      <c r="H930" s="573"/>
      <c r="I930" s="573"/>
      <c r="J930" s="601"/>
      <c r="K930" s="597"/>
      <c r="L930" s="597"/>
      <c r="M930" s="597"/>
      <c r="N930" s="597"/>
      <c r="O930" s="597"/>
      <c r="P930" s="597"/>
      <c r="Q930" s="597"/>
      <c r="V930" s="1615"/>
    </row>
    <row r="931" spans="6:22" s="14" customFormat="1" ht="14.25" customHeight="1">
      <c r="F931" s="573"/>
      <c r="G931" s="573"/>
      <c r="H931" s="573"/>
      <c r="I931" s="573"/>
      <c r="J931" s="601"/>
      <c r="K931" s="597"/>
      <c r="L931" s="597"/>
      <c r="M931" s="597"/>
      <c r="N931" s="597"/>
      <c r="O931" s="597"/>
      <c r="P931" s="597"/>
      <c r="Q931" s="597"/>
      <c r="V931" s="1615"/>
    </row>
    <row r="932" spans="6:22" s="14" customFormat="1" ht="14.25" customHeight="1">
      <c r="F932" s="573"/>
      <c r="G932" s="573"/>
      <c r="H932" s="573"/>
      <c r="I932" s="573"/>
      <c r="J932" s="601"/>
      <c r="K932" s="597"/>
      <c r="L932" s="597"/>
      <c r="M932" s="597"/>
      <c r="N932" s="597"/>
      <c r="O932" s="597"/>
      <c r="P932" s="597"/>
      <c r="Q932" s="597"/>
      <c r="V932" s="1615"/>
    </row>
    <row r="933" spans="6:22" s="14" customFormat="1" ht="14.25" customHeight="1">
      <c r="F933" s="573"/>
      <c r="G933" s="573"/>
      <c r="H933" s="573"/>
      <c r="I933" s="573"/>
      <c r="J933" s="601"/>
      <c r="K933" s="597"/>
      <c r="L933" s="597"/>
      <c r="M933" s="597"/>
      <c r="N933" s="597"/>
      <c r="O933" s="597"/>
      <c r="P933" s="597"/>
      <c r="Q933" s="597"/>
      <c r="V933" s="1615"/>
    </row>
    <row r="934" spans="6:22" s="14" customFormat="1" ht="14.25" customHeight="1">
      <c r="F934" s="573"/>
      <c r="G934" s="573"/>
      <c r="H934" s="573"/>
      <c r="I934" s="573"/>
      <c r="J934" s="601"/>
      <c r="K934" s="597"/>
      <c r="L934" s="597"/>
      <c r="M934" s="597"/>
      <c r="N934" s="597"/>
      <c r="O934" s="597"/>
      <c r="P934" s="597"/>
      <c r="Q934" s="597"/>
      <c r="V934" s="1615"/>
    </row>
    <row r="935" spans="6:22" s="14" customFormat="1" ht="14.25" customHeight="1">
      <c r="F935" s="573"/>
      <c r="G935" s="573"/>
      <c r="H935" s="573"/>
      <c r="I935" s="573"/>
      <c r="J935" s="601"/>
      <c r="K935" s="597"/>
      <c r="L935" s="597"/>
      <c r="M935" s="597"/>
      <c r="N935" s="597"/>
      <c r="O935" s="597"/>
      <c r="P935" s="597"/>
      <c r="Q935" s="597"/>
      <c r="V935" s="1615"/>
    </row>
    <row r="936" spans="6:22" s="14" customFormat="1" ht="14.25" customHeight="1">
      <c r="F936" s="573"/>
      <c r="G936" s="573"/>
      <c r="H936" s="573"/>
      <c r="I936" s="573"/>
      <c r="J936" s="601"/>
      <c r="K936" s="597"/>
      <c r="L936" s="597"/>
      <c r="M936" s="597"/>
      <c r="N936" s="597"/>
      <c r="O936" s="597"/>
      <c r="P936" s="597"/>
      <c r="Q936" s="597"/>
      <c r="V936" s="1615"/>
    </row>
    <row r="937" spans="6:22" s="14" customFormat="1" ht="14.25" customHeight="1">
      <c r="F937" s="573"/>
      <c r="G937" s="573"/>
      <c r="H937" s="573"/>
      <c r="I937" s="573"/>
      <c r="J937" s="601"/>
      <c r="K937" s="597"/>
      <c r="L937" s="597"/>
      <c r="M937" s="597"/>
      <c r="N937" s="597"/>
      <c r="O937" s="597"/>
      <c r="P937" s="597"/>
      <c r="Q937" s="597"/>
      <c r="V937" s="1615"/>
    </row>
    <row r="938" spans="6:22" s="14" customFormat="1" ht="14.25" customHeight="1">
      <c r="F938" s="573"/>
      <c r="G938" s="573"/>
      <c r="H938" s="573"/>
      <c r="I938" s="573"/>
      <c r="J938" s="601"/>
      <c r="K938" s="597"/>
      <c r="L938" s="597"/>
      <c r="M938" s="597"/>
      <c r="N938" s="597"/>
      <c r="O938" s="597"/>
      <c r="P938" s="597"/>
      <c r="Q938" s="597"/>
      <c r="V938" s="1615"/>
    </row>
    <row r="939" spans="6:22" s="14" customFormat="1" ht="14.25" customHeight="1">
      <c r="F939" s="573"/>
      <c r="G939" s="573"/>
      <c r="H939" s="573"/>
      <c r="I939" s="573"/>
      <c r="J939" s="601"/>
      <c r="K939" s="597"/>
      <c r="L939" s="597"/>
      <c r="M939" s="597"/>
      <c r="N939" s="597"/>
      <c r="O939" s="597"/>
      <c r="P939" s="597"/>
      <c r="Q939" s="597"/>
      <c r="V939" s="1615"/>
    </row>
    <row r="940" spans="6:22" s="14" customFormat="1" ht="14.25" customHeight="1">
      <c r="F940" s="573"/>
      <c r="G940" s="573"/>
      <c r="H940" s="573"/>
      <c r="I940" s="573"/>
      <c r="J940" s="601"/>
      <c r="K940" s="597"/>
      <c r="L940" s="597"/>
      <c r="M940" s="597"/>
      <c r="N940" s="597"/>
      <c r="O940" s="597"/>
      <c r="P940" s="597"/>
      <c r="Q940" s="597"/>
      <c r="V940" s="1615"/>
    </row>
    <row r="941" spans="6:22" s="14" customFormat="1" ht="14.25" customHeight="1">
      <c r="F941" s="573"/>
      <c r="G941" s="573"/>
      <c r="H941" s="573"/>
      <c r="I941" s="573"/>
      <c r="J941" s="601"/>
      <c r="K941" s="597"/>
      <c r="L941" s="597"/>
      <c r="M941" s="597"/>
      <c r="N941" s="597"/>
      <c r="O941" s="597"/>
      <c r="P941" s="597"/>
      <c r="Q941" s="597"/>
      <c r="V941" s="1615"/>
    </row>
    <row r="942" spans="6:22" s="14" customFormat="1" ht="14.25" customHeight="1">
      <c r="F942" s="573"/>
      <c r="G942" s="573"/>
      <c r="H942" s="573"/>
      <c r="I942" s="573"/>
      <c r="J942" s="601"/>
      <c r="K942" s="597"/>
      <c r="L942" s="597"/>
      <c r="M942" s="597"/>
      <c r="N942" s="597"/>
      <c r="O942" s="597"/>
      <c r="P942" s="597"/>
      <c r="Q942" s="597"/>
      <c r="V942" s="1615"/>
    </row>
    <row r="943" spans="6:22" s="14" customFormat="1" ht="14.25" customHeight="1">
      <c r="F943" s="573"/>
      <c r="G943" s="573"/>
      <c r="H943" s="573"/>
      <c r="I943" s="573"/>
      <c r="J943" s="601"/>
      <c r="K943" s="597"/>
      <c r="L943" s="597"/>
      <c r="M943" s="597"/>
      <c r="N943" s="597"/>
      <c r="O943" s="597"/>
      <c r="P943" s="597"/>
      <c r="Q943" s="597"/>
      <c r="V943" s="1615"/>
    </row>
    <row r="944" spans="6:22" s="14" customFormat="1" ht="14.25" customHeight="1">
      <c r="F944" s="573"/>
      <c r="G944" s="573"/>
      <c r="H944" s="573"/>
      <c r="I944" s="573"/>
      <c r="J944" s="601"/>
      <c r="K944" s="597"/>
      <c r="L944" s="597"/>
      <c r="M944" s="597"/>
      <c r="N944" s="597"/>
      <c r="O944" s="597"/>
      <c r="P944" s="597"/>
      <c r="Q944" s="597"/>
      <c r="V944" s="1615"/>
    </row>
    <row r="945" spans="6:22" s="14" customFormat="1" ht="14.25" customHeight="1">
      <c r="F945" s="573"/>
      <c r="G945" s="573"/>
      <c r="H945" s="573"/>
      <c r="I945" s="573"/>
      <c r="J945" s="601"/>
      <c r="K945" s="597"/>
      <c r="L945" s="597"/>
      <c r="M945" s="597"/>
      <c r="N945" s="597"/>
      <c r="O945" s="597"/>
      <c r="P945" s="597"/>
      <c r="Q945" s="597"/>
      <c r="V945" s="1615"/>
    </row>
    <row r="946" spans="6:22" s="14" customFormat="1" ht="14.25" customHeight="1">
      <c r="F946" s="573"/>
      <c r="G946" s="573"/>
      <c r="H946" s="573"/>
      <c r="I946" s="573"/>
      <c r="J946" s="601"/>
      <c r="K946" s="597"/>
      <c r="L946" s="597"/>
      <c r="M946" s="597"/>
      <c r="N946" s="597"/>
      <c r="O946" s="597"/>
      <c r="P946" s="597"/>
      <c r="Q946" s="597"/>
      <c r="V946" s="1615"/>
    </row>
    <row r="947" spans="6:22" s="14" customFormat="1" ht="14.25" customHeight="1">
      <c r="F947" s="573"/>
      <c r="G947" s="573"/>
      <c r="H947" s="573"/>
      <c r="I947" s="573"/>
      <c r="J947" s="601"/>
      <c r="K947" s="597"/>
      <c r="L947" s="597"/>
      <c r="M947" s="597"/>
      <c r="N947" s="597"/>
      <c r="O947" s="597"/>
      <c r="P947" s="597"/>
      <c r="Q947" s="597"/>
      <c r="V947" s="1615"/>
    </row>
    <row r="948" spans="6:22" s="14" customFormat="1" ht="14.25" customHeight="1">
      <c r="F948" s="573"/>
      <c r="G948" s="573"/>
      <c r="H948" s="573"/>
      <c r="I948" s="573"/>
      <c r="J948" s="601"/>
      <c r="K948" s="597"/>
      <c r="L948" s="597"/>
      <c r="M948" s="597"/>
      <c r="N948" s="597"/>
      <c r="O948" s="597"/>
      <c r="P948" s="597"/>
      <c r="Q948" s="597"/>
      <c r="V948" s="1615"/>
    </row>
    <row r="949" spans="6:22" s="14" customFormat="1" ht="14.25" customHeight="1">
      <c r="F949" s="573"/>
      <c r="G949" s="573"/>
      <c r="H949" s="573"/>
      <c r="I949" s="573"/>
      <c r="J949" s="601"/>
      <c r="K949" s="597"/>
      <c r="L949" s="597"/>
      <c r="M949" s="597"/>
      <c r="N949" s="597"/>
      <c r="O949" s="597"/>
      <c r="P949" s="597"/>
      <c r="Q949" s="597"/>
      <c r="V949" s="1615"/>
    </row>
    <row r="950" spans="6:22" s="14" customFormat="1" ht="14.25" customHeight="1">
      <c r="F950" s="573"/>
      <c r="G950" s="573"/>
      <c r="H950" s="573"/>
      <c r="I950" s="573"/>
      <c r="J950" s="601"/>
      <c r="K950" s="597"/>
      <c r="L950" s="597"/>
      <c r="M950" s="597"/>
      <c r="N950" s="597"/>
      <c r="O950" s="597"/>
      <c r="P950" s="597"/>
      <c r="Q950" s="597"/>
      <c r="V950" s="1615"/>
    </row>
    <row r="951" spans="6:22" s="14" customFormat="1" ht="14.25" customHeight="1">
      <c r="F951" s="573"/>
      <c r="G951" s="573"/>
      <c r="H951" s="573"/>
      <c r="I951" s="573"/>
      <c r="J951" s="601"/>
      <c r="K951" s="597"/>
      <c r="L951" s="597"/>
      <c r="M951" s="597"/>
      <c r="N951" s="597"/>
      <c r="O951" s="597"/>
      <c r="P951" s="597"/>
      <c r="Q951" s="597"/>
      <c r="V951" s="1615"/>
    </row>
    <row r="952" spans="6:22" s="14" customFormat="1" ht="14.25" customHeight="1">
      <c r="F952" s="573"/>
      <c r="G952" s="573"/>
      <c r="H952" s="573"/>
      <c r="I952" s="573"/>
      <c r="J952" s="601"/>
      <c r="K952" s="597"/>
      <c r="L952" s="597"/>
      <c r="M952" s="597"/>
      <c r="N952" s="597"/>
      <c r="O952" s="597"/>
      <c r="P952" s="597"/>
      <c r="Q952" s="597"/>
      <c r="V952" s="1615"/>
    </row>
    <row r="953" spans="6:22" s="14" customFormat="1" ht="14.25" customHeight="1">
      <c r="F953" s="573"/>
      <c r="G953" s="573"/>
      <c r="H953" s="573"/>
      <c r="I953" s="573"/>
      <c r="J953" s="601"/>
      <c r="K953" s="597"/>
      <c r="L953" s="597"/>
      <c r="M953" s="597"/>
      <c r="N953" s="597"/>
      <c r="O953" s="597"/>
      <c r="P953" s="597"/>
      <c r="Q953" s="597"/>
      <c r="V953" s="1615"/>
    </row>
    <row r="954" spans="6:22" s="14" customFormat="1" ht="14.25" customHeight="1">
      <c r="F954" s="573"/>
      <c r="G954" s="573"/>
      <c r="H954" s="573"/>
      <c r="I954" s="573"/>
      <c r="J954" s="601"/>
      <c r="K954" s="597"/>
      <c r="L954" s="597"/>
      <c r="M954" s="597"/>
      <c r="N954" s="597"/>
      <c r="O954" s="597"/>
      <c r="P954" s="597"/>
      <c r="Q954" s="597"/>
      <c r="V954" s="1615"/>
    </row>
    <row r="955" spans="6:22" s="14" customFormat="1" ht="14.25" customHeight="1">
      <c r="F955" s="573"/>
      <c r="G955" s="573"/>
      <c r="H955" s="573"/>
      <c r="I955" s="573"/>
      <c r="J955" s="601"/>
      <c r="K955" s="597"/>
      <c r="L955" s="597"/>
      <c r="M955" s="597"/>
      <c r="N955" s="597"/>
      <c r="O955" s="597"/>
      <c r="P955" s="597"/>
      <c r="Q955" s="597"/>
      <c r="V955" s="1615"/>
    </row>
    <row r="956" spans="6:22" s="14" customFormat="1" ht="14.25" customHeight="1">
      <c r="F956" s="573"/>
      <c r="G956" s="573"/>
      <c r="H956" s="573"/>
      <c r="I956" s="573"/>
      <c r="J956" s="601"/>
      <c r="K956" s="597"/>
      <c r="L956" s="597"/>
      <c r="M956" s="597"/>
      <c r="N956" s="597"/>
      <c r="O956" s="597"/>
      <c r="P956" s="597"/>
      <c r="Q956" s="597"/>
      <c r="V956" s="1615"/>
    </row>
    <row r="957" spans="6:22" s="14" customFormat="1" ht="14.25" customHeight="1">
      <c r="F957" s="573"/>
      <c r="G957" s="573"/>
      <c r="H957" s="573"/>
      <c r="I957" s="573"/>
      <c r="J957" s="601"/>
      <c r="K957" s="597"/>
      <c r="L957" s="597"/>
      <c r="M957" s="597"/>
      <c r="N957" s="597"/>
      <c r="O957" s="597"/>
      <c r="P957" s="597"/>
      <c r="Q957" s="597"/>
      <c r="V957" s="1615"/>
    </row>
    <row r="958" spans="6:22" s="14" customFormat="1" ht="14.25" customHeight="1">
      <c r="F958" s="573"/>
      <c r="G958" s="573"/>
      <c r="H958" s="573"/>
      <c r="I958" s="573"/>
      <c r="J958" s="601"/>
      <c r="K958" s="597"/>
      <c r="L958" s="597"/>
      <c r="M958" s="597"/>
      <c r="N958" s="597"/>
      <c r="O958" s="597"/>
      <c r="P958" s="597"/>
      <c r="Q958" s="597"/>
      <c r="V958" s="1615"/>
    </row>
    <row r="959" spans="6:22" s="14" customFormat="1" ht="14.25" customHeight="1">
      <c r="F959" s="573"/>
      <c r="G959" s="573"/>
      <c r="H959" s="573"/>
      <c r="I959" s="573"/>
      <c r="J959" s="601"/>
      <c r="K959" s="597"/>
      <c r="L959" s="597"/>
      <c r="M959" s="597"/>
      <c r="N959" s="597"/>
      <c r="O959" s="597"/>
      <c r="P959" s="597"/>
      <c r="Q959" s="597"/>
      <c r="V959" s="1615"/>
    </row>
    <row r="960" spans="6:22" s="14" customFormat="1" ht="14.25" customHeight="1">
      <c r="F960" s="573"/>
      <c r="G960" s="573"/>
      <c r="H960" s="573"/>
      <c r="I960" s="573"/>
      <c r="J960" s="601"/>
      <c r="K960" s="597"/>
      <c r="L960" s="597"/>
      <c r="M960" s="597"/>
      <c r="N960" s="597"/>
      <c r="O960" s="597"/>
      <c r="P960" s="597"/>
      <c r="Q960" s="597"/>
      <c r="V960" s="1615"/>
    </row>
    <row r="961" spans="6:22" s="14" customFormat="1" ht="14.25" customHeight="1">
      <c r="F961" s="573"/>
      <c r="G961" s="573"/>
      <c r="H961" s="573"/>
      <c r="I961" s="573"/>
      <c r="J961" s="601"/>
      <c r="K961" s="597"/>
      <c r="L961" s="597"/>
      <c r="M961" s="597"/>
      <c r="N961" s="597"/>
      <c r="O961" s="597"/>
      <c r="P961" s="597"/>
      <c r="Q961" s="597"/>
      <c r="V961" s="1615"/>
    </row>
    <row r="962" spans="6:22" s="14" customFormat="1" ht="14.25" customHeight="1">
      <c r="F962" s="573"/>
      <c r="G962" s="573"/>
      <c r="H962" s="573"/>
      <c r="I962" s="573"/>
      <c r="J962" s="601"/>
      <c r="K962" s="597"/>
      <c r="L962" s="597"/>
      <c r="M962" s="597"/>
      <c r="N962" s="597"/>
      <c r="O962" s="597"/>
      <c r="P962" s="597"/>
      <c r="Q962" s="597"/>
      <c r="V962" s="1615"/>
    </row>
    <row r="963" spans="6:22" s="14" customFormat="1" ht="14.25" customHeight="1">
      <c r="F963" s="573"/>
      <c r="G963" s="573"/>
      <c r="H963" s="573"/>
      <c r="I963" s="573"/>
      <c r="J963" s="601"/>
      <c r="K963" s="597"/>
      <c r="L963" s="597"/>
      <c r="M963" s="597"/>
      <c r="N963" s="597"/>
      <c r="O963" s="597"/>
      <c r="P963" s="597"/>
      <c r="Q963" s="597"/>
      <c r="V963" s="1615"/>
    </row>
    <row r="964" spans="6:22" s="14" customFormat="1" ht="14.25" customHeight="1">
      <c r="F964" s="573"/>
      <c r="G964" s="573"/>
      <c r="H964" s="573"/>
      <c r="I964" s="573"/>
      <c r="J964" s="601"/>
      <c r="K964" s="597"/>
      <c r="L964" s="597"/>
      <c r="M964" s="597"/>
      <c r="N964" s="597"/>
      <c r="O964" s="597"/>
      <c r="P964" s="597"/>
      <c r="Q964" s="597"/>
      <c r="V964" s="1615"/>
    </row>
    <row r="965" spans="6:22" s="14" customFormat="1" ht="14.25" customHeight="1">
      <c r="F965" s="573"/>
      <c r="G965" s="573"/>
      <c r="H965" s="573"/>
      <c r="I965" s="573"/>
      <c r="J965" s="601"/>
      <c r="K965" s="597"/>
      <c r="L965" s="597"/>
      <c r="M965" s="597"/>
      <c r="N965" s="597"/>
      <c r="O965" s="597"/>
      <c r="P965" s="597"/>
      <c r="Q965" s="597"/>
      <c r="V965" s="1615"/>
    </row>
    <row r="966" spans="6:22" s="14" customFormat="1" ht="14.25" customHeight="1">
      <c r="F966" s="573"/>
      <c r="G966" s="573"/>
      <c r="H966" s="573"/>
      <c r="I966" s="573"/>
      <c r="J966" s="601"/>
      <c r="K966" s="597"/>
      <c r="L966" s="597"/>
      <c r="M966" s="597"/>
      <c r="N966" s="597"/>
      <c r="O966" s="597"/>
      <c r="P966" s="597"/>
      <c r="Q966" s="597"/>
      <c r="V966" s="1615"/>
    </row>
    <row r="967" spans="6:22" s="14" customFormat="1" ht="14.25" customHeight="1">
      <c r="F967" s="573"/>
      <c r="G967" s="573"/>
      <c r="H967" s="573"/>
      <c r="I967" s="573"/>
      <c r="J967" s="601"/>
      <c r="K967" s="597"/>
      <c r="L967" s="597"/>
      <c r="M967" s="597"/>
      <c r="N967" s="597"/>
      <c r="O967" s="597"/>
      <c r="P967" s="597"/>
      <c r="Q967" s="597"/>
      <c r="V967" s="1615"/>
    </row>
    <row r="968" spans="6:22" s="14" customFormat="1" ht="14.25" customHeight="1">
      <c r="F968" s="573"/>
      <c r="G968" s="573"/>
      <c r="H968" s="573"/>
      <c r="I968" s="573"/>
      <c r="J968" s="601"/>
      <c r="K968" s="597"/>
      <c r="L968" s="597"/>
      <c r="M968" s="597"/>
      <c r="N968" s="597"/>
      <c r="O968" s="597"/>
      <c r="P968" s="597"/>
      <c r="Q968" s="597"/>
      <c r="V968" s="1615"/>
    </row>
    <row r="969" spans="6:22" s="14" customFormat="1" ht="14.25" customHeight="1">
      <c r="F969" s="573"/>
      <c r="G969" s="573"/>
      <c r="H969" s="573"/>
      <c r="I969" s="573"/>
      <c r="J969" s="601"/>
      <c r="K969" s="597"/>
      <c r="L969" s="597"/>
      <c r="M969" s="597"/>
      <c r="N969" s="597"/>
      <c r="O969" s="597"/>
      <c r="P969" s="597"/>
      <c r="Q969" s="597"/>
      <c r="V969" s="1615"/>
    </row>
    <row r="970" spans="6:22" s="14" customFormat="1" ht="14.25" customHeight="1">
      <c r="F970" s="573"/>
      <c r="G970" s="573"/>
      <c r="H970" s="573"/>
      <c r="I970" s="573"/>
      <c r="J970" s="601"/>
      <c r="K970" s="597"/>
      <c r="L970" s="597"/>
      <c r="M970" s="597"/>
      <c r="N970" s="597"/>
      <c r="O970" s="597"/>
      <c r="P970" s="597"/>
      <c r="Q970" s="597"/>
      <c r="V970" s="1615"/>
    </row>
    <row r="971" spans="6:22" s="14" customFormat="1" ht="14.25" customHeight="1">
      <c r="F971" s="573"/>
      <c r="G971" s="573"/>
      <c r="H971" s="573"/>
      <c r="I971" s="573"/>
      <c r="J971" s="601"/>
      <c r="K971" s="597"/>
      <c r="L971" s="597"/>
      <c r="M971" s="597"/>
      <c r="N971" s="597"/>
      <c r="O971" s="597"/>
      <c r="P971" s="597"/>
      <c r="Q971" s="597"/>
      <c r="V971" s="1615"/>
    </row>
    <row r="972" spans="6:22" s="14" customFormat="1" ht="14.25" customHeight="1">
      <c r="F972" s="573"/>
      <c r="G972" s="573"/>
      <c r="H972" s="573"/>
      <c r="I972" s="573"/>
      <c r="J972" s="601"/>
      <c r="K972" s="597"/>
      <c r="L972" s="597"/>
      <c r="M972" s="597"/>
      <c r="N972" s="597"/>
      <c r="O972" s="597"/>
      <c r="P972" s="597"/>
      <c r="Q972" s="597"/>
      <c r="V972" s="1615"/>
    </row>
    <row r="973" spans="6:22" s="14" customFormat="1" ht="14.25" customHeight="1">
      <c r="F973" s="573"/>
      <c r="G973" s="573"/>
      <c r="H973" s="573"/>
      <c r="I973" s="573"/>
      <c r="J973" s="601"/>
      <c r="K973" s="597"/>
      <c r="L973" s="597"/>
      <c r="M973" s="597"/>
      <c r="N973" s="597"/>
      <c r="O973" s="597"/>
      <c r="P973" s="597"/>
      <c r="Q973" s="597"/>
      <c r="V973" s="1615"/>
    </row>
    <row r="974" spans="6:22" s="14" customFormat="1" ht="14.25" customHeight="1">
      <c r="F974" s="573"/>
      <c r="G974" s="573"/>
      <c r="H974" s="573"/>
      <c r="I974" s="573"/>
      <c r="J974" s="601"/>
      <c r="K974" s="597"/>
      <c r="L974" s="597"/>
      <c r="M974" s="597"/>
      <c r="N974" s="597"/>
      <c r="O974" s="597"/>
      <c r="P974" s="597"/>
      <c r="Q974" s="597"/>
      <c r="V974" s="1615"/>
    </row>
    <row r="975" spans="6:22" s="14" customFormat="1" ht="14.25" customHeight="1">
      <c r="F975" s="573"/>
      <c r="G975" s="573"/>
      <c r="H975" s="573"/>
      <c r="I975" s="573"/>
      <c r="J975" s="601"/>
      <c r="K975" s="597"/>
      <c r="L975" s="597"/>
      <c r="M975" s="597"/>
      <c r="N975" s="597"/>
      <c r="O975" s="597"/>
      <c r="P975" s="597"/>
      <c r="Q975" s="597"/>
      <c r="V975" s="1615"/>
    </row>
    <row r="976" spans="6:22" s="14" customFormat="1" ht="14.25" customHeight="1">
      <c r="F976" s="573"/>
      <c r="G976" s="573"/>
      <c r="H976" s="573"/>
      <c r="I976" s="573"/>
      <c r="J976" s="601"/>
      <c r="K976" s="597"/>
      <c r="L976" s="597"/>
      <c r="M976" s="597"/>
      <c r="N976" s="597"/>
      <c r="O976" s="597"/>
      <c r="P976" s="597"/>
      <c r="Q976" s="597"/>
      <c r="V976" s="1615"/>
    </row>
    <row r="977" spans="6:22" s="14" customFormat="1" ht="14.25" customHeight="1">
      <c r="F977" s="573"/>
      <c r="G977" s="573"/>
      <c r="H977" s="573"/>
      <c r="I977" s="573"/>
      <c r="J977" s="601"/>
      <c r="K977" s="597"/>
      <c r="L977" s="597"/>
      <c r="M977" s="597"/>
      <c r="N977" s="597"/>
      <c r="O977" s="597"/>
      <c r="P977" s="597"/>
      <c r="Q977" s="597"/>
      <c r="V977" s="1615"/>
    </row>
    <row r="978" spans="6:22" s="14" customFormat="1" ht="14.25" customHeight="1">
      <c r="F978" s="573"/>
      <c r="G978" s="573"/>
      <c r="H978" s="573"/>
      <c r="I978" s="573"/>
      <c r="J978" s="601"/>
      <c r="K978" s="597"/>
      <c r="L978" s="597"/>
      <c r="M978" s="597"/>
      <c r="N978" s="597"/>
      <c r="O978" s="597"/>
      <c r="P978" s="597"/>
      <c r="Q978" s="597"/>
      <c r="V978" s="1615"/>
    </row>
    <row r="979" spans="6:22" s="14" customFormat="1" ht="14.25" customHeight="1">
      <c r="F979" s="573"/>
      <c r="G979" s="573"/>
      <c r="H979" s="573"/>
      <c r="I979" s="573"/>
      <c r="J979" s="601"/>
      <c r="K979" s="597"/>
      <c r="L979" s="597"/>
      <c r="M979" s="597"/>
      <c r="N979" s="597"/>
      <c r="O979" s="597"/>
      <c r="P979" s="597"/>
      <c r="Q979" s="597"/>
      <c r="V979" s="1615"/>
    </row>
    <row r="980" spans="6:22" s="14" customFormat="1" ht="14.25" customHeight="1">
      <c r="F980" s="573"/>
      <c r="G980" s="573"/>
      <c r="H980" s="573"/>
      <c r="I980" s="573"/>
      <c r="J980" s="601"/>
      <c r="K980" s="597"/>
      <c r="L980" s="597"/>
      <c r="M980" s="597"/>
      <c r="N980" s="597"/>
      <c r="O980" s="597"/>
      <c r="P980" s="597"/>
      <c r="Q980" s="597"/>
      <c r="V980" s="1615"/>
    </row>
    <row r="981" spans="6:22" s="14" customFormat="1" ht="14.25" customHeight="1">
      <c r="F981" s="573"/>
      <c r="G981" s="573"/>
      <c r="H981" s="573"/>
      <c r="I981" s="573"/>
      <c r="J981" s="601"/>
      <c r="K981" s="597"/>
      <c r="L981" s="597"/>
      <c r="M981" s="597"/>
      <c r="N981" s="597"/>
      <c r="O981" s="597"/>
      <c r="P981" s="597"/>
      <c r="Q981" s="597"/>
      <c r="V981" s="1615"/>
    </row>
    <row r="982" spans="6:22" s="14" customFormat="1" ht="14.25" customHeight="1">
      <c r="F982" s="573"/>
      <c r="G982" s="573"/>
      <c r="H982" s="573"/>
      <c r="I982" s="573"/>
      <c r="J982" s="601"/>
      <c r="K982" s="597"/>
      <c r="L982" s="597"/>
      <c r="M982" s="597"/>
      <c r="N982" s="597"/>
      <c r="O982" s="597"/>
      <c r="P982" s="597"/>
      <c r="Q982" s="597"/>
      <c r="V982" s="1615"/>
    </row>
    <row r="983" spans="6:22" s="14" customFormat="1" ht="14.25" customHeight="1">
      <c r="F983" s="573"/>
      <c r="G983" s="573"/>
      <c r="H983" s="573"/>
      <c r="I983" s="573"/>
      <c r="J983" s="601"/>
      <c r="K983" s="597"/>
      <c r="L983" s="597"/>
      <c r="M983" s="597"/>
      <c r="N983" s="597"/>
      <c r="O983" s="597"/>
      <c r="P983" s="597"/>
      <c r="Q983" s="597"/>
      <c r="V983" s="1615"/>
    </row>
    <row r="984" spans="6:22" s="14" customFormat="1" ht="14.25" customHeight="1">
      <c r="F984" s="573"/>
      <c r="G984" s="573"/>
      <c r="H984" s="573"/>
      <c r="I984" s="573"/>
      <c r="J984" s="601"/>
      <c r="K984" s="597"/>
      <c r="L984" s="597"/>
      <c r="M984" s="597"/>
      <c r="N984" s="597"/>
      <c r="O984" s="597"/>
      <c r="P984" s="597"/>
      <c r="Q984" s="597"/>
      <c r="V984" s="1615"/>
    </row>
    <row r="985" spans="6:22" s="14" customFormat="1" ht="14.25" customHeight="1">
      <c r="F985" s="573"/>
      <c r="G985" s="573"/>
      <c r="H985" s="573"/>
      <c r="I985" s="573"/>
      <c r="J985" s="601"/>
      <c r="K985" s="597"/>
      <c r="L985" s="597"/>
      <c r="M985" s="597"/>
      <c r="N985" s="597"/>
      <c r="O985" s="597"/>
      <c r="P985" s="597"/>
      <c r="Q985" s="597"/>
      <c r="V985" s="1615"/>
    </row>
    <row r="986" spans="6:22" s="14" customFormat="1" ht="14.25" customHeight="1">
      <c r="F986" s="573"/>
      <c r="G986" s="573"/>
      <c r="H986" s="573"/>
      <c r="I986" s="573"/>
      <c r="J986" s="601"/>
      <c r="K986" s="597"/>
      <c r="L986" s="597"/>
      <c r="M986" s="597"/>
      <c r="N986" s="597"/>
      <c r="O986" s="597"/>
      <c r="P986" s="597"/>
      <c r="Q986" s="597"/>
      <c r="V986" s="1615"/>
    </row>
    <row r="987" spans="6:22" s="14" customFormat="1" ht="14.25" customHeight="1">
      <c r="F987" s="573"/>
      <c r="G987" s="573"/>
      <c r="H987" s="573"/>
      <c r="I987" s="573"/>
      <c r="J987" s="601"/>
      <c r="K987" s="597"/>
      <c r="L987" s="597"/>
      <c r="M987" s="597"/>
      <c r="N987" s="597"/>
      <c r="O987" s="597"/>
      <c r="P987" s="597"/>
      <c r="Q987" s="597"/>
      <c r="V987" s="1615"/>
    </row>
    <row r="988" spans="6:22" s="14" customFormat="1" ht="14.25" customHeight="1">
      <c r="F988" s="573"/>
      <c r="G988" s="573"/>
      <c r="H988" s="573"/>
      <c r="I988" s="573"/>
      <c r="J988" s="601"/>
      <c r="K988" s="597"/>
      <c r="L988" s="597"/>
      <c r="M988" s="597"/>
      <c r="N988" s="597"/>
      <c r="O988" s="597"/>
      <c r="P988" s="597"/>
      <c r="Q988" s="597"/>
      <c r="V988" s="1615"/>
    </row>
    <row r="989" spans="6:22" s="14" customFormat="1" ht="14.25" customHeight="1">
      <c r="F989" s="573"/>
      <c r="G989" s="573"/>
      <c r="H989" s="573"/>
      <c r="I989" s="573"/>
      <c r="J989" s="601"/>
      <c r="K989" s="597"/>
      <c r="L989" s="597"/>
      <c r="M989" s="597"/>
      <c r="N989" s="597"/>
      <c r="O989" s="597"/>
      <c r="P989" s="597"/>
      <c r="Q989" s="597"/>
      <c r="V989" s="1615"/>
    </row>
    <row r="990" spans="6:22" s="14" customFormat="1" ht="14.25" customHeight="1">
      <c r="F990" s="573"/>
      <c r="G990" s="573"/>
      <c r="H990" s="573"/>
      <c r="I990" s="573"/>
      <c r="J990" s="601"/>
      <c r="K990" s="597"/>
      <c r="L990" s="597"/>
      <c r="M990" s="597"/>
      <c r="N990" s="597"/>
      <c r="O990" s="597"/>
      <c r="P990" s="597"/>
      <c r="Q990" s="597"/>
      <c r="V990" s="1615"/>
    </row>
    <row r="991" spans="6:22" s="14" customFormat="1" ht="14.25" customHeight="1">
      <c r="F991" s="573"/>
      <c r="G991" s="573"/>
      <c r="H991" s="573"/>
      <c r="I991" s="573"/>
      <c r="J991" s="601"/>
      <c r="K991" s="597"/>
      <c r="L991" s="597"/>
      <c r="M991" s="597"/>
      <c r="N991" s="597"/>
      <c r="O991" s="597"/>
      <c r="P991" s="597"/>
      <c r="Q991" s="597"/>
      <c r="V991" s="1615"/>
    </row>
    <row r="992" spans="6:22" s="14" customFormat="1" ht="14.25" customHeight="1">
      <c r="F992" s="573"/>
      <c r="G992" s="573"/>
      <c r="H992" s="573"/>
      <c r="I992" s="573"/>
      <c r="J992" s="601"/>
      <c r="K992" s="597"/>
      <c r="L992" s="597"/>
      <c r="M992" s="597"/>
      <c r="N992" s="597"/>
      <c r="O992" s="597"/>
      <c r="P992" s="597"/>
      <c r="Q992" s="597"/>
      <c r="V992" s="1615"/>
    </row>
    <row r="993" spans="6:22" s="14" customFormat="1" ht="14.25" customHeight="1">
      <c r="F993" s="573"/>
      <c r="G993" s="573"/>
      <c r="H993" s="573"/>
      <c r="I993" s="573"/>
      <c r="J993" s="601"/>
      <c r="K993" s="597"/>
      <c r="L993" s="597"/>
      <c r="M993" s="597"/>
      <c r="N993" s="597"/>
      <c r="O993" s="597"/>
      <c r="P993" s="597"/>
      <c r="Q993" s="597"/>
      <c r="V993" s="1615"/>
    </row>
    <row r="994" spans="6:22" s="14" customFormat="1" ht="14.25" customHeight="1">
      <c r="F994" s="573"/>
      <c r="G994" s="573"/>
      <c r="H994" s="573"/>
      <c r="I994" s="573"/>
      <c r="J994" s="601"/>
      <c r="K994" s="597"/>
      <c r="L994" s="597"/>
      <c r="M994" s="597"/>
      <c r="N994" s="597"/>
      <c r="O994" s="597"/>
      <c r="P994" s="597"/>
      <c r="Q994" s="597"/>
      <c r="V994" s="1615"/>
    </row>
    <row r="995" spans="6:22" s="14" customFormat="1" ht="14.25" customHeight="1">
      <c r="F995" s="573"/>
      <c r="G995" s="573"/>
      <c r="H995" s="573"/>
      <c r="I995" s="573"/>
      <c r="J995" s="601"/>
      <c r="K995" s="597"/>
      <c r="L995" s="597"/>
      <c r="M995" s="597"/>
      <c r="N995" s="597"/>
      <c r="O995" s="597"/>
      <c r="P995" s="597"/>
      <c r="Q995" s="597"/>
      <c r="V995" s="1615"/>
    </row>
    <row r="996" spans="6:22" s="14" customFormat="1" ht="14.25" customHeight="1">
      <c r="F996" s="573"/>
      <c r="G996" s="573"/>
      <c r="H996" s="573"/>
      <c r="I996" s="573"/>
      <c r="J996" s="601"/>
      <c r="K996" s="597"/>
      <c r="L996" s="597"/>
      <c r="M996" s="597"/>
      <c r="N996" s="597"/>
      <c r="O996" s="597"/>
      <c r="P996" s="597"/>
      <c r="Q996" s="597"/>
      <c r="V996" s="1615"/>
    </row>
    <row r="997" spans="6:22" s="14" customFormat="1" ht="14.25" customHeight="1">
      <c r="F997" s="573"/>
      <c r="G997" s="573"/>
      <c r="H997" s="573"/>
      <c r="I997" s="573"/>
      <c r="J997" s="601"/>
      <c r="K997" s="597"/>
      <c r="L997" s="597"/>
      <c r="M997" s="597"/>
      <c r="N997" s="597"/>
      <c r="O997" s="597"/>
      <c r="P997" s="597"/>
      <c r="Q997" s="597"/>
      <c r="V997" s="1615"/>
    </row>
    <row r="998" spans="6:22" s="14" customFormat="1" ht="14.25" customHeight="1">
      <c r="F998" s="573"/>
      <c r="G998" s="573"/>
      <c r="H998" s="573"/>
      <c r="I998" s="573"/>
      <c r="J998" s="601"/>
      <c r="K998" s="597"/>
      <c r="L998" s="597"/>
      <c r="M998" s="597"/>
      <c r="N998" s="597"/>
      <c r="O998" s="597"/>
      <c r="P998" s="597"/>
      <c r="Q998" s="597"/>
      <c r="V998" s="1615"/>
    </row>
    <row r="999" spans="6:22" s="14" customFormat="1" ht="14.25" customHeight="1">
      <c r="F999" s="573"/>
      <c r="G999" s="573"/>
      <c r="H999" s="573"/>
      <c r="I999" s="573"/>
      <c r="J999" s="601"/>
      <c r="K999" s="597"/>
      <c r="L999" s="597"/>
      <c r="M999" s="597"/>
      <c r="N999" s="597"/>
      <c r="O999" s="597"/>
      <c r="P999" s="597"/>
      <c r="Q999" s="597"/>
      <c r="V999" s="1615"/>
    </row>
    <row r="1000" spans="6:22" s="14" customFormat="1" ht="14.25" customHeight="1">
      <c r="F1000" s="573"/>
      <c r="G1000" s="573"/>
      <c r="H1000" s="573"/>
      <c r="I1000" s="573"/>
      <c r="J1000" s="601"/>
      <c r="K1000" s="597"/>
      <c r="L1000" s="597"/>
      <c r="M1000" s="597"/>
      <c r="N1000" s="597"/>
      <c r="O1000" s="597"/>
      <c r="P1000" s="597"/>
      <c r="Q1000" s="597"/>
      <c r="V1000" s="1615"/>
    </row>
    <row r="1001" spans="6:22" s="14" customFormat="1" ht="14.25" customHeight="1">
      <c r="F1001" s="573"/>
      <c r="G1001" s="573"/>
      <c r="H1001" s="573"/>
      <c r="I1001" s="573"/>
      <c r="J1001" s="601"/>
      <c r="K1001" s="597"/>
      <c r="L1001" s="597"/>
      <c r="M1001" s="597"/>
      <c r="N1001" s="597"/>
      <c r="O1001" s="597"/>
      <c r="P1001" s="597"/>
      <c r="Q1001" s="597"/>
      <c r="V1001" s="1615"/>
    </row>
    <row r="1002" spans="6:22" s="14" customFormat="1" ht="14.25" customHeight="1">
      <c r="F1002" s="573"/>
      <c r="G1002" s="573"/>
      <c r="H1002" s="573"/>
      <c r="I1002" s="573"/>
      <c r="J1002" s="601"/>
      <c r="K1002" s="597"/>
      <c r="L1002" s="597"/>
      <c r="M1002" s="597"/>
      <c r="N1002" s="597"/>
      <c r="O1002" s="597"/>
      <c r="P1002" s="597"/>
      <c r="Q1002" s="597"/>
      <c r="V1002" s="1615"/>
    </row>
    <row r="1003" spans="6:22" s="14" customFormat="1" ht="14.25" customHeight="1">
      <c r="F1003" s="573"/>
      <c r="G1003" s="573"/>
      <c r="H1003" s="573"/>
      <c r="I1003" s="573"/>
      <c r="J1003" s="601"/>
      <c r="K1003" s="597"/>
      <c r="L1003" s="597"/>
      <c r="M1003" s="597"/>
      <c r="N1003" s="597"/>
      <c r="O1003" s="597"/>
      <c r="P1003" s="597"/>
      <c r="Q1003" s="597"/>
      <c r="V1003" s="1615"/>
    </row>
    <row r="1004" spans="6:22" s="14" customFormat="1" ht="14.25" customHeight="1">
      <c r="F1004" s="573"/>
      <c r="G1004" s="573"/>
      <c r="H1004" s="573"/>
      <c r="I1004" s="573"/>
      <c r="J1004" s="601"/>
      <c r="K1004" s="597"/>
      <c r="L1004" s="597"/>
      <c r="M1004" s="597"/>
      <c r="N1004" s="597"/>
      <c r="O1004" s="597"/>
      <c r="P1004" s="597"/>
      <c r="Q1004" s="597"/>
      <c r="V1004" s="1615"/>
    </row>
    <row r="1005" spans="6:22" s="14" customFormat="1" ht="14.25" customHeight="1">
      <c r="F1005" s="573"/>
      <c r="G1005" s="573"/>
      <c r="H1005" s="573"/>
      <c r="I1005" s="573"/>
      <c r="J1005" s="601"/>
      <c r="K1005" s="597"/>
      <c r="L1005" s="597"/>
      <c r="M1005" s="597"/>
      <c r="N1005" s="597"/>
      <c r="O1005" s="597"/>
      <c r="P1005" s="597"/>
      <c r="Q1005" s="597"/>
      <c r="V1005" s="1615"/>
    </row>
    <row r="1006" spans="6:22" s="14" customFormat="1" ht="14.25" customHeight="1">
      <c r="F1006" s="573"/>
      <c r="G1006" s="573"/>
      <c r="H1006" s="573"/>
      <c r="I1006" s="573"/>
      <c r="J1006" s="601"/>
      <c r="K1006" s="597"/>
      <c r="L1006" s="597"/>
      <c r="M1006" s="597"/>
      <c r="N1006" s="597"/>
      <c r="O1006" s="597"/>
      <c r="P1006" s="597"/>
      <c r="Q1006" s="597"/>
      <c r="V1006" s="1615"/>
    </row>
    <row r="1007" spans="6:22" s="14" customFormat="1" ht="14.25" customHeight="1">
      <c r="F1007" s="573"/>
      <c r="G1007" s="573"/>
      <c r="H1007" s="573"/>
      <c r="I1007" s="573"/>
      <c r="J1007" s="601"/>
      <c r="K1007" s="597"/>
      <c r="L1007" s="597"/>
      <c r="M1007" s="597"/>
      <c r="N1007" s="597"/>
      <c r="O1007" s="597"/>
      <c r="P1007" s="597"/>
      <c r="Q1007" s="597"/>
      <c r="V1007" s="1615"/>
    </row>
    <row r="1008" spans="6:22" s="14" customFormat="1" ht="14.25" customHeight="1">
      <c r="F1008" s="573"/>
      <c r="G1008" s="573"/>
      <c r="H1008" s="573"/>
      <c r="I1008" s="573"/>
      <c r="J1008" s="601"/>
      <c r="K1008" s="597"/>
      <c r="L1008" s="597"/>
      <c r="M1008" s="597"/>
      <c r="N1008" s="597"/>
      <c r="O1008" s="597"/>
      <c r="P1008" s="597"/>
      <c r="Q1008" s="597"/>
      <c r="V1008" s="1615"/>
    </row>
    <row r="1009" spans="6:22" s="14" customFormat="1" ht="14.25" customHeight="1">
      <c r="F1009" s="573"/>
      <c r="G1009" s="573"/>
      <c r="H1009" s="573"/>
      <c r="I1009" s="573"/>
      <c r="J1009" s="601"/>
      <c r="K1009" s="597"/>
      <c r="L1009" s="597"/>
      <c r="M1009" s="597"/>
      <c r="N1009" s="597"/>
      <c r="O1009" s="597"/>
      <c r="P1009" s="597"/>
      <c r="Q1009" s="597"/>
      <c r="V1009" s="1615"/>
    </row>
    <row r="1010" spans="6:22" s="14" customFormat="1" ht="14.25" customHeight="1">
      <c r="F1010" s="573"/>
      <c r="G1010" s="573"/>
      <c r="H1010" s="573"/>
      <c r="I1010" s="573"/>
      <c r="J1010" s="601"/>
      <c r="K1010" s="597"/>
      <c r="L1010" s="597"/>
      <c r="M1010" s="597"/>
      <c r="N1010" s="597"/>
      <c r="O1010" s="597"/>
      <c r="P1010" s="597"/>
      <c r="Q1010" s="597"/>
      <c r="V1010" s="1615"/>
    </row>
    <row r="1011" spans="6:22" s="14" customFormat="1" ht="14.25" customHeight="1">
      <c r="F1011" s="573"/>
      <c r="G1011" s="573"/>
      <c r="H1011" s="573"/>
      <c r="I1011" s="573"/>
      <c r="J1011" s="601"/>
      <c r="K1011" s="597"/>
      <c r="L1011" s="597"/>
      <c r="M1011" s="597"/>
      <c r="N1011" s="597"/>
      <c r="O1011" s="597"/>
      <c r="P1011" s="597"/>
      <c r="Q1011" s="597"/>
      <c r="V1011" s="1615"/>
    </row>
    <row r="1012" spans="6:22" s="14" customFormat="1" ht="14.25" customHeight="1">
      <c r="F1012" s="573"/>
      <c r="G1012" s="573"/>
      <c r="H1012" s="573"/>
      <c r="I1012" s="573"/>
      <c r="J1012" s="601"/>
      <c r="K1012" s="597"/>
      <c r="L1012" s="597"/>
      <c r="M1012" s="597"/>
      <c r="N1012" s="597"/>
      <c r="O1012" s="597"/>
      <c r="P1012" s="597"/>
      <c r="Q1012" s="597"/>
      <c r="V1012" s="1615"/>
    </row>
  </sheetData>
  <mergeCells count="35">
    <mergeCell ref="A1:T1"/>
    <mergeCell ref="A2:T2"/>
    <mergeCell ref="A3:T3"/>
    <mergeCell ref="U5:U6"/>
    <mergeCell ref="V5:V6"/>
    <mergeCell ref="T5:T6"/>
    <mergeCell ref="F5:O5"/>
    <mergeCell ref="Q5:Q6"/>
    <mergeCell ref="B5:E6"/>
    <mergeCell ref="R5:S5"/>
    <mergeCell ref="T34:T35"/>
    <mergeCell ref="O34:O35"/>
    <mergeCell ref="P34:P35"/>
    <mergeCell ref="Q34:Q35"/>
    <mergeCell ref="N34:N35"/>
    <mergeCell ref="G53:G54"/>
    <mergeCell ref="L34:L35"/>
    <mergeCell ref="K34:K35"/>
    <mergeCell ref="R34:R35"/>
    <mergeCell ref="S34:S35"/>
    <mergeCell ref="E90:S90"/>
    <mergeCell ref="E91:S91"/>
    <mergeCell ref="E96:G96"/>
    <mergeCell ref="E94:G94"/>
    <mergeCell ref="E89:Q89"/>
    <mergeCell ref="F34:F35"/>
    <mergeCell ref="J34:J35"/>
    <mergeCell ref="F53:F54"/>
    <mergeCell ref="H34:H35"/>
    <mergeCell ref="G34:G35"/>
    <mergeCell ref="L60:L61"/>
    <mergeCell ref="M60:M61"/>
    <mergeCell ref="I34:I35"/>
    <mergeCell ref="M34:M35"/>
    <mergeCell ref="C95:S95"/>
  </mergeCells>
  <printOptions horizontalCentered="1"/>
  <pageMargins left="0.15748031496062992" right="0.19685039370078741" top="0.47244094488188981" bottom="0.19685039370078741" header="0.27559055118110237" footer="0.11811023622047245"/>
  <pageSetup paperSize="9" scale="73" orientation="landscape" horizontalDpi="4294967293" r:id="rId1"/>
  <headerFooter>
    <oddFooter>&amp;C&amp;"TH SarabunPSK,ธรรมดา"&amp;16&amp;P&amp;R&amp;8&amp;F - &amp;P</oddFooter>
  </headerFooter>
  <rowBreaks count="1" manualBreakCount="1">
    <brk id="24" max="16383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M1011"/>
  <sheetViews>
    <sheetView showGridLines="0" view="pageBreakPreview" zoomScale="98" zoomScaleNormal="85" zoomScaleSheetLayoutView="98" workbookViewId="0">
      <pane ySplit="6" topLeftCell="A89" activePane="bottomLeft" state="frozen"/>
      <selection activeCell="B1" sqref="B1"/>
      <selection pane="bottomLeft" activeCell="R57" sqref="R57"/>
    </sheetView>
  </sheetViews>
  <sheetFormatPr defaultColWidth="12.5703125" defaultRowHeight="21"/>
  <cols>
    <col min="1" max="1" width="2.42578125" style="3" customWidth="1"/>
    <col min="2" max="3" width="1.85546875" style="3" customWidth="1"/>
    <col min="4" max="4" width="68.140625" style="3" customWidth="1"/>
    <col min="5" max="5" width="19.140625" style="15" customWidth="1"/>
    <col min="6" max="6" width="19.140625" style="285" customWidth="1"/>
    <col min="7" max="8" width="19.140625" style="15" hidden="1" customWidth="1"/>
    <col min="9" max="10" width="19.140625" style="15" customWidth="1"/>
    <col min="11" max="11" width="19.140625" style="14" customWidth="1"/>
    <col min="12" max="12" width="18" style="3" customWidth="1"/>
    <col min="13" max="25" width="7.5703125" style="3" customWidth="1"/>
    <col min="26" max="254" width="12.5703125" style="3"/>
    <col min="255" max="255" width="2" style="3" customWidth="1"/>
    <col min="256" max="258" width="2.42578125" style="3" customWidth="1"/>
    <col min="259" max="259" width="65" style="3" customWidth="1"/>
    <col min="260" max="265" width="13.42578125" style="3" customWidth="1"/>
    <col min="266" max="266" width="20.42578125" style="3" customWidth="1"/>
    <col min="267" max="267" width="7.5703125" style="3" customWidth="1"/>
    <col min="268" max="268" width="14.42578125" style="3" bestFit="1" customWidth="1"/>
    <col min="269" max="281" width="7.5703125" style="3" customWidth="1"/>
    <col min="282" max="510" width="12.5703125" style="3"/>
    <col min="511" max="511" width="2" style="3" customWidth="1"/>
    <col min="512" max="514" width="2.42578125" style="3" customWidth="1"/>
    <col min="515" max="515" width="65" style="3" customWidth="1"/>
    <col min="516" max="521" width="13.42578125" style="3" customWidth="1"/>
    <col min="522" max="522" width="20.42578125" style="3" customWidth="1"/>
    <col min="523" max="523" width="7.5703125" style="3" customWidth="1"/>
    <col min="524" max="524" width="14.42578125" style="3" bestFit="1" customWidth="1"/>
    <col min="525" max="537" width="7.5703125" style="3" customWidth="1"/>
    <col min="538" max="766" width="12.5703125" style="3"/>
    <col min="767" max="767" width="2" style="3" customWidth="1"/>
    <col min="768" max="770" width="2.42578125" style="3" customWidth="1"/>
    <col min="771" max="771" width="65" style="3" customWidth="1"/>
    <col min="772" max="777" width="13.42578125" style="3" customWidth="1"/>
    <col min="778" max="778" width="20.42578125" style="3" customWidth="1"/>
    <col min="779" max="779" width="7.5703125" style="3" customWidth="1"/>
    <col min="780" max="780" width="14.42578125" style="3" bestFit="1" customWidth="1"/>
    <col min="781" max="793" width="7.5703125" style="3" customWidth="1"/>
    <col min="794" max="1022" width="12.5703125" style="3"/>
    <col min="1023" max="1023" width="2" style="3" customWidth="1"/>
    <col min="1024" max="1026" width="2.42578125" style="3" customWidth="1"/>
    <col min="1027" max="1027" width="65" style="3" customWidth="1"/>
    <col min="1028" max="1033" width="13.42578125" style="3" customWidth="1"/>
    <col min="1034" max="1034" width="20.42578125" style="3" customWidth="1"/>
    <col min="1035" max="1035" width="7.5703125" style="3" customWidth="1"/>
    <col min="1036" max="1036" width="14.42578125" style="3" bestFit="1" customWidth="1"/>
    <col min="1037" max="1049" width="7.5703125" style="3" customWidth="1"/>
    <col min="1050" max="1278" width="12.5703125" style="3"/>
    <col min="1279" max="1279" width="2" style="3" customWidth="1"/>
    <col min="1280" max="1282" width="2.42578125" style="3" customWidth="1"/>
    <col min="1283" max="1283" width="65" style="3" customWidth="1"/>
    <col min="1284" max="1289" width="13.42578125" style="3" customWidth="1"/>
    <col min="1290" max="1290" width="20.42578125" style="3" customWidth="1"/>
    <col min="1291" max="1291" width="7.5703125" style="3" customWidth="1"/>
    <col min="1292" max="1292" width="14.42578125" style="3" bestFit="1" customWidth="1"/>
    <col min="1293" max="1305" width="7.5703125" style="3" customWidth="1"/>
    <col min="1306" max="1534" width="12.5703125" style="3"/>
    <col min="1535" max="1535" width="2" style="3" customWidth="1"/>
    <col min="1536" max="1538" width="2.42578125" style="3" customWidth="1"/>
    <col min="1539" max="1539" width="65" style="3" customWidth="1"/>
    <col min="1540" max="1545" width="13.42578125" style="3" customWidth="1"/>
    <col min="1546" max="1546" width="20.42578125" style="3" customWidth="1"/>
    <col min="1547" max="1547" width="7.5703125" style="3" customWidth="1"/>
    <col min="1548" max="1548" width="14.42578125" style="3" bestFit="1" customWidth="1"/>
    <col min="1549" max="1561" width="7.5703125" style="3" customWidth="1"/>
    <col min="1562" max="1790" width="12.5703125" style="3"/>
    <col min="1791" max="1791" width="2" style="3" customWidth="1"/>
    <col min="1792" max="1794" width="2.42578125" style="3" customWidth="1"/>
    <col min="1795" max="1795" width="65" style="3" customWidth="1"/>
    <col min="1796" max="1801" width="13.42578125" style="3" customWidth="1"/>
    <col min="1802" max="1802" width="20.42578125" style="3" customWidth="1"/>
    <col min="1803" max="1803" width="7.5703125" style="3" customWidth="1"/>
    <col min="1804" max="1804" width="14.42578125" style="3" bestFit="1" customWidth="1"/>
    <col min="1805" max="1817" width="7.5703125" style="3" customWidth="1"/>
    <col min="1818" max="2046" width="12.5703125" style="3"/>
    <col min="2047" max="2047" width="2" style="3" customWidth="1"/>
    <col min="2048" max="2050" width="2.42578125" style="3" customWidth="1"/>
    <col min="2051" max="2051" width="65" style="3" customWidth="1"/>
    <col min="2052" max="2057" width="13.42578125" style="3" customWidth="1"/>
    <col min="2058" max="2058" width="20.42578125" style="3" customWidth="1"/>
    <col min="2059" max="2059" width="7.5703125" style="3" customWidth="1"/>
    <col min="2060" max="2060" width="14.42578125" style="3" bestFit="1" customWidth="1"/>
    <col min="2061" max="2073" width="7.5703125" style="3" customWidth="1"/>
    <col min="2074" max="2302" width="12.5703125" style="3"/>
    <col min="2303" max="2303" width="2" style="3" customWidth="1"/>
    <col min="2304" max="2306" width="2.42578125" style="3" customWidth="1"/>
    <col min="2307" max="2307" width="65" style="3" customWidth="1"/>
    <col min="2308" max="2313" width="13.42578125" style="3" customWidth="1"/>
    <col min="2314" max="2314" width="20.42578125" style="3" customWidth="1"/>
    <col min="2315" max="2315" width="7.5703125" style="3" customWidth="1"/>
    <col min="2316" max="2316" width="14.42578125" style="3" bestFit="1" customWidth="1"/>
    <col min="2317" max="2329" width="7.5703125" style="3" customWidth="1"/>
    <col min="2330" max="2558" width="12.5703125" style="3"/>
    <col min="2559" max="2559" width="2" style="3" customWidth="1"/>
    <col min="2560" max="2562" width="2.42578125" style="3" customWidth="1"/>
    <col min="2563" max="2563" width="65" style="3" customWidth="1"/>
    <col min="2564" max="2569" width="13.42578125" style="3" customWidth="1"/>
    <col min="2570" max="2570" width="20.42578125" style="3" customWidth="1"/>
    <col min="2571" max="2571" width="7.5703125" style="3" customWidth="1"/>
    <col min="2572" max="2572" width="14.42578125" style="3" bestFit="1" customWidth="1"/>
    <col min="2573" max="2585" width="7.5703125" style="3" customWidth="1"/>
    <col min="2586" max="2814" width="12.5703125" style="3"/>
    <col min="2815" max="2815" width="2" style="3" customWidth="1"/>
    <col min="2816" max="2818" width="2.42578125" style="3" customWidth="1"/>
    <col min="2819" max="2819" width="65" style="3" customWidth="1"/>
    <col min="2820" max="2825" width="13.42578125" style="3" customWidth="1"/>
    <col min="2826" max="2826" width="20.42578125" style="3" customWidth="1"/>
    <col min="2827" max="2827" width="7.5703125" style="3" customWidth="1"/>
    <col min="2828" max="2828" width="14.42578125" style="3" bestFit="1" customWidth="1"/>
    <col min="2829" max="2841" width="7.5703125" style="3" customWidth="1"/>
    <col min="2842" max="3070" width="12.5703125" style="3"/>
    <col min="3071" max="3071" width="2" style="3" customWidth="1"/>
    <col min="3072" max="3074" width="2.42578125" style="3" customWidth="1"/>
    <col min="3075" max="3075" width="65" style="3" customWidth="1"/>
    <col min="3076" max="3081" width="13.42578125" style="3" customWidth="1"/>
    <col min="3082" max="3082" width="20.42578125" style="3" customWidth="1"/>
    <col min="3083" max="3083" width="7.5703125" style="3" customWidth="1"/>
    <col min="3084" max="3084" width="14.42578125" style="3" bestFit="1" customWidth="1"/>
    <col min="3085" max="3097" width="7.5703125" style="3" customWidth="1"/>
    <col min="3098" max="3326" width="12.5703125" style="3"/>
    <col min="3327" max="3327" width="2" style="3" customWidth="1"/>
    <col min="3328" max="3330" width="2.42578125" style="3" customWidth="1"/>
    <col min="3331" max="3331" width="65" style="3" customWidth="1"/>
    <col min="3332" max="3337" width="13.42578125" style="3" customWidth="1"/>
    <col min="3338" max="3338" width="20.42578125" style="3" customWidth="1"/>
    <col min="3339" max="3339" width="7.5703125" style="3" customWidth="1"/>
    <col min="3340" max="3340" width="14.42578125" style="3" bestFit="1" customWidth="1"/>
    <col min="3341" max="3353" width="7.5703125" style="3" customWidth="1"/>
    <col min="3354" max="3582" width="12.5703125" style="3"/>
    <col min="3583" max="3583" width="2" style="3" customWidth="1"/>
    <col min="3584" max="3586" width="2.42578125" style="3" customWidth="1"/>
    <col min="3587" max="3587" width="65" style="3" customWidth="1"/>
    <col min="3588" max="3593" width="13.42578125" style="3" customWidth="1"/>
    <col min="3594" max="3594" width="20.42578125" style="3" customWidth="1"/>
    <col min="3595" max="3595" width="7.5703125" style="3" customWidth="1"/>
    <col min="3596" max="3596" width="14.42578125" style="3" bestFit="1" customWidth="1"/>
    <col min="3597" max="3609" width="7.5703125" style="3" customWidth="1"/>
    <col min="3610" max="3838" width="12.5703125" style="3"/>
    <col min="3839" max="3839" width="2" style="3" customWidth="1"/>
    <col min="3840" max="3842" width="2.42578125" style="3" customWidth="1"/>
    <col min="3843" max="3843" width="65" style="3" customWidth="1"/>
    <col min="3844" max="3849" width="13.42578125" style="3" customWidth="1"/>
    <col min="3850" max="3850" width="20.42578125" style="3" customWidth="1"/>
    <col min="3851" max="3851" width="7.5703125" style="3" customWidth="1"/>
    <col min="3852" max="3852" width="14.42578125" style="3" bestFit="1" customWidth="1"/>
    <col min="3853" max="3865" width="7.5703125" style="3" customWidth="1"/>
    <col min="3866" max="4094" width="12.5703125" style="3"/>
    <col min="4095" max="4095" width="2" style="3" customWidth="1"/>
    <col min="4096" max="4098" width="2.42578125" style="3" customWidth="1"/>
    <col min="4099" max="4099" width="65" style="3" customWidth="1"/>
    <col min="4100" max="4105" width="13.42578125" style="3" customWidth="1"/>
    <col min="4106" max="4106" width="20.42578125" style="3" customWidth="1"/>
    <col min="4107" max="4107" width="7.5703125" style="3" customWidth="1"/>
    <col min="4108" max="4108" width="14.42578125" style="3" bestFit="1" customWidth="1"/>
    <col min="4109" max="4121" width="7.5703125" style="3" customWidth="1"/>
    <col min="4122" max="4350" width="12.5703125" style="3"/>
    <col min="4351" max="4351" width="2" style="3" customWidth="1"/>
    <col min="4352" max="4354" width="2.42578125" style="3" customWidth="1"/>
    <col min="4355" max="4355" width="65" style="3" customWidth="1"/>
    <col min="4356" max="4361" width="13.42578125" style="3" customWidth="1"/>
    <col min="4362" max="4362" width="20.42578125" style="3" customWidth="1"/>
    <col min="4363" max="4363" width="7.5703125" style="3" customWidth="1"/>
    <col min="4364" max="4364" width="14.42578125" style="3" bestFit="1" customWidth="1"/>
    <col min="4365" max="4377" width="7.5703125" style="3" customWidth="1"/>
    <col min="4378" max="4606" width="12.5703125" style="3"/>
    <col min="4607" max="4607" width="2" style="3" customWidth="1"/>
    <col min="4608" max="4610" width="2.42578125" style="3" customWidth="1"/>
    <col min="4611" max="4611" width="65" style="3" customWidth="1"/>
    <col min="4612" max="4617" width="13.42578125" style="3" customWidth="1"/>
    <col min="4618" max="4618" width="20.42578125" style="3" customWidth="1"/>
    <col min="4619" max="4619" width="7.5703125" style="3" customWidth="1"/>
    <col min="4620" max="4620" width="14.42578125" style="3" bestFit="1" customWidth="1"/>
    <col min="4621" max="4633" width="7.5703125" style="3" customWidth="1"/>
    <col min="4634" max="4862" width="12.5703125" style="3"/>
    <col min="4863" max="4863" width="2" style="3" customWidth="1"/>
    <col min="4864" max="4866" width="2.42578125" style="3" customWidth="1"/>
    <col min="4867" max="4867" width="65" style="3" customWidth="1"/>
    <col min="4868" max="4873" width="13.42578125" style="3" customWidth="1"/>
    <col min="4874" max="4874" width="20.42578125" style="3" customWidth="1"/>
    <col min="4875" max="4875" width="7.5703125" style="3" customWidth="1"/>
    <col min="4876" max="4876" width="14.42578125" style="3" bestFit="1" customWidth="1"/>
    <col min="4877" max="4889" width="7.5703125" style="3" customWidth="1"/>
    <col min="4890" max="5118" width="12.5703125" style="3"/>
    <col min="5119" max="5119" width="2" style="3" customWidth="1"/>
    <col min="5120" max="5122" width="2.42578125" style="3" customWidth="1"/>
    <col min="5123" max="5123" width="65" style="3" customWidth="1"/>
    <col min="5124" max="5129" width="13.42578125" style="3" customWidth="1"/>
    <col min="5130" max="5130" width="20.42578125" style="3" customWidth="1"/>
    <col min="5131" max="5131" width="7.5703125" style="3" customWidth="1"/>
    <col min="5132" max="5132" width="14.42578125" style="3" bestFit="1" customWidth="1"/>
    <col min="5133" max="5145" width="7.5703125" style="3" customWidth="1"/>
    <col min="5146" max="5374" width="12.5703125" style="3"/>
    <col min="5375" max="5375" width="2" style="3" customWidth="1"/>
    <col min="5376" max="5378" width="2.42578125" style="3" customWidth="1"/>
    <col min="5379" max="5379" width="65" style="3" customWidth="1"/>
    <col min="5380" max="5385" width="13.42578125" style="3" customWidth="1"/>
    <col min="5386" max="5386" width="20.42578125" style="3" customWidth="1"/>
    <col min="5387" max="5387" width="7.5703125" style="3" customWidth="1"/>
    <col min="5388" max="5388" width="14.42578125" style="3" bestFit="1" customWidth="1"/>
    <col min="5389" max="5401" width="7.5703125" style="3" customWidth="1"/>
    <col min="5402" max="5630" width="12.5703125" style="3"/>
    <col min="5631" max="5631" width="2" style="3" customWidth="1"/>
    <col min="5632" max="5634" width="2.42578125" style="3" customWidth="1"/>
    <col min="5635" max="5635" width="65" style="3" customWidth="1"/>
    <col min="5636" max="5641" width="13.42578125" style="3" customWidth="1"/>
    <col min="5642" max="5642" width="20.42578125" style="3" customWidth="1"/>
    <col min="5643" max="5643" width="7.5703125" style="3" customWidth="1"/>
    <col min="5644" max="5644" width="14.42578125" style="3" bestFit="1" customWidth="1"/>
    <col min="5645" max="5657" width="7.5703125" style="3" customWidth="1"/>
    <col min="5658" max="5886" width="12.5703125" style="3"/>
    <col min="5887" max="5887" width="2" style="3" customWidth="1"/>
    <col min="5888" max="5890" width="2.42578125" style="3" customWidth="1"/>
    <col min="5891" max="5891" width="65" style="3" customWidth="1"/>
    <col min="5892" max="5897" width="13.42578125" style="3" customWidth="1"/>
    <col min="5898" max="5898" width="20.42578125" style="3" customWidth="1"/>
    <col min="5899" max="5899" width="7.5703125" style="3" customWidth="1"/>
    <col min="5900" max="5900" width="14.42578125" style="3" bestFit="1" customWidth="1"/>
    <col min="5901" max="5913" width="7.5703125" style="3" customWidth="1"/>
    <col min="5914" max="6142" width="12.5703125" style="3"/>
    <col min="6143" max="6143" width="2" style="3" customWidth="1"/>
    <col min="6144" max="6146" width="2.42578125" style="3" customWidth="1"/>
    <col min="6147" max="6147" width="65" style="3" customWidth="1"/>
    <col min="6148" max="6153" width="13.42578125" style="3" customWidth="1"/>
    <col min="6154" max="6154" width="20.42578125" style="3" customWidth="1"/>
    <col min="6155" max="6155" width="7.5703125" style="3" customWidth="1"/>
    <col min="6156" max="6156" width="14.42578125" style="3" bestFit="1" customWidth="1"/>
    <col min="6157" max="6169" width="7.5703125" style="3" customWidth="1"/>
    <col min="6170" max="6398" width="12.5703125" style="3"/>
    <col min="6399" max="6399" width="2" style="3" customWidth="1"/>
    <col min="6400" max="6402" width="2.42578125" style="3" customWidth="1"/>
    <col min="6403" max="6403" width="65" style="3" customWidth="1"/>
    <col min="6404" max="6409" width="13.42578125" style="3" customWidth="1"/>
    <col min="6410" max="6410" width="20.42578125" style="3" customWidth="1"/>
    <col min="6411" max="6411" width="7.5703125" style="3" customWidth="1"/>
    <col min="6412" max="6412" width="14.42578125" style="3" bestFit="1" customWidth="1"/>
    <col min="6413" max="6425" width="7.5703125" style="3" customWidth="1"/>
    <col min="6426" max="6654" width="12.5703125" style="3"/>
    <col min="6655" max="6655" width="2" style="3" customWidth="1"/>
    <col min="6656" max="6658" width="2.42578125" style="3" customWidth="1"/>
    <col min="6659" max="6659" width="65" style="3" customWidth="1"/>
    <col min="6660" max="6665" width="13.42578125" style="3" customWidth="1"/>
    <col min="6666" max="6666" width="20.42578125" style="3" customWidth="1"/>
    <col min="6667" max="6667" width="7.5703125" style="3" customWidth="1"/>
    <col min="6668" max="6668" width="14.42578125" style="3" bestFit="1" customWidth="1"/>
    <col min="6669" max="6681" width="7.5703125" style="3" customWidth="1"/>
    <col min="6682" max="6910" width="12.5703125" style="3"/>
    <col min="6911" max="6911" width="2" style="3" customWidth="1"/>
    <col min="6912" max="6914" width="2.42578125" style="3" customWidth="1"/>
    <col min="6915" max="6915" width="65" style="3" customWidth="1"/>
    <col min="6916" max="6921" width="13.42578125" style="3" customWidth="1"/>
    <col min="6922" max="6922" width="20.42578125" style="3" customWidth="1"/>
    <col min="6923" max="6923" width="7.5703125" style="3" customWidth="1"/>
    <col min="6924" max="6924" width="14.42578125" style="3" bestFit="1" customWidth="1"/>
    <col min="6925" max="6937" width="7.5703125" style="3" customWidth="1"/>
    <col min="6938" max="7166" width="12.5703125" style="3"/>
    <col min="7167" max="7167" width="2" style="3" customWidth="1"/>
    <col min="7168" max="7170" width="2.42578125" style="3" customWidth="1"/>
    <col min="7171" max="7171" width="65" style="3" customWidth="1"/>
    <col min="7172" max="7177" width="13.42578125" style="3" customWidth="1"/>
    <col min="7178" max="7178" width="20.42578125" style="3" customWidth="1"/>
    <col min="7179" max="7179" width="7.5703125" style="3" customWidth="1"/>
    <col min="7180" max="7180" width="14.42578125" style="3" bestFit="1" customWidth="1"/>
    <col min="7181" max="7193" width="7.5703125" style="3" customWidth="1"/>
    <col min="7194" max="7422" width="12.5703125" style="3"/>
    <col min="7423" max="7423" width="2" style="3" customWidth="1"/>
    <col min="7424" max="7426" width="2.42578125" style="3" customWidth="1"/>
    <col min="7427" max="7427" width="65" style="3" customWidth="1"/>
    <col min="7428" max="7433" width="13.42578125" style="3" customWidth="1"/>
    <col min="7434" max="7434" width="20.42578125" style="3" customWidth="1"/>
    <col min="7435" max="7435" width="7.5703125" style="3" customWidth="1"/>
    <col min="7436" max="7436" width="14.42578125" style="3" bestFit="1" customWidth="1"/>
    <col min="7437" max="7449" width="7.5703125" style="3" customWidth="1"/>
    <col min="7450" max="7678" width="12.5703125" style="3"/>
    <col min="7679" max="7679" width="2" style="3" customWidth="1"/>
    <col min="7680" max="7682" width="2.42578125" style="3" customWidth="1"/>
    <col min="7683" max="7683" width="65" style="3" customWidth="1"/>
    <col min="7684" max="7689" width="13.42578125" style="3" customWidth="1"/>
    <col min="7690" max="7690" width="20.42578125" style="3" customWidth="1"/>
    <col min="7691" max="7691" width="7.5703125" style="3" customWidth="1"/>
    <col min="7692" max="7692" width="14.42578125" style="3" bestFit="1" customWidth="1"/>
    <col min="7693" max="7705" width="7.5703125" style="3" customWidth="1"/>
    <col min="7706" max="7934" width="12.5703125" style="3"/>
    <col min="7935" max="7935" width="2" style="3" customWidth="1"/>
    <col min="7936" max="7938" width="2.42578125" style="3" customWidth="1"/>
    <col min="7939" max="7939" width="65" style="3" customWidth="1"/>
    <col min="7940" max="7945" width="13.42578125" style="3" customWidth="1"/>
    <col min="7946" max="7946" width="20.42578125" style="3" customWidth="1"/>
    <col min="7947" max="7947" width="7.5703125" style="3" customWidth="1"/>
    <col min="7948" max="7948" width="14.42578125" style="3" bestFit="1" customWidth="1"/>
    <col min="7949" max="7961" width="7.5703125" style="3" customWidth="1"/>
    <col min="7962" max="8190" width="12.5703125" style="3"/>
    <col min="8191" max="8191" width="2" style="3" customWidth="1"/>
    <col min="8192" max="8194" width="2.42578125" style="3" customWidth="1"/>
    <col min="8195" max="8195" width="65" style="3" customWidth="1"/>
    <col min="8196" max="8201" width="13.42578125" style="3" customWidth="1"/>
    <col min="8202" max="8202" width="20.42578125" style="3" customWidth="1"/>
    <col min="8203" max="8203" width="7.5703125" style="3" customWidth="1"/>
    <col min="8204" max="8204" width="14.42578125" style="3" bestFit="1" customWidth="1"/>
    <col min="8205" max="8217" width="7.5703125" style="3" customWidth="1"/>
    <col min="8218" max="8446" width="12.5703125" style="3"/>
    <col min="8447" max="8447" width="2" style="3" customWidth="1"/>
    <col min="8448" max="8450" width="2.42578125" style="3" customWidth="1"/>
    <col min="8451" max="8451" width="65" style="3" customWidth="1"/>
    <col min="8452" max="8457" width="13.42578125" style="3" customWidth="1"/>
    <col min="8458" max="8458" width="20.42578125" style="3" customWidth="1"/>
    <col min="8459" max="8459" width="7.5703125" style="3" customWidth="1"/>
    <col min="8460" max="8460" width="14.42578125" style="3" bestFit="1" customWidth="1"/>
    <col min="8461" max="8473" width="7.5703125" style="3" customWidth="1"/>
    <col min="8474" max="8702" width="12.5703125" style="3"/>
    <col min="8703" max="8703" width="2" style="3" customWidth="1"/>
    <col min="8704" max="8706" width="2.42578125" style="3" customWidth="1"/>
    <col min="8707" max="8707" width="65" style="3" customWidth="1"/>
    <col min="8708" max="8713" width="13.42578125" style="3" customWidth="1"/>
    <col min="8714" max="8714" width="20.42578125" style="3" customWidth="1"/>
    <col min="8715" max="8715" width="7.5703125" style="3" customWidth="1"/>
    <col min="8716" max="8716" width="14.42578125" style="3" bestFit="1" customWidth="1"/>
    <col min="8717" max="8729" width="7.5703125" style="3" customWidth="1"/>
    <col min="8730" max="8958" width="12.5703125" style="3"/>
    <col min="8959" max="8959" width="2" style="3" customWidth="1"/>
    <col min="8960" max="8962" width="2.42578125" style="3" customWidth="1"/>
    <col min="8963" max="8963" width="65" style="3" customWidth="1"/>
    <col min="8964" max="8969" width="13.42578125" style="3" customWidth="1"/>
    <col min="8970" max="8970" width="20.42578125" style="3" customWidth="1"/>
    <col min="8971" max="8971" width="7.5703125" style="3" customWidth="1"/>
    <col min="8972" max="8972" width="14.42578125" style="3" bestFit="1" customWidth="1"/>
    <col min="8973" max="8985" width="7.5703125" style="3" customWidth="1"/>
    <col min="8986" max="9214" width="12.5703125" style="3"/>
    <col min="9215" max="9215" width="2" style="3" customWidth="1"/>
    <col min="9216" max="9218" width="2.42578125" style="3" customWidth="1"/>
    <col min="9219" max="9219" width="65" style="3" customWidth="1"/>
    <col min="9220" max="9225" width="13.42578125" style="3" customWidth="1"/>
    <col min="9226" max="9226" width="20.42578125" style="3" customWidth="1"/>
    <col min="9227" max="9227" width="7.5703125" style="3" customWidth="1"/>
    <col min="9228" max="9228" width="14.42578125" style="3" bestFit="1" customWidth="1"/>
    <col min="9229" max="9241" width="7.5703125" style="3" customWidth="1"/>
    <col min="9242" max="9470" width="12.5703125" style="3"/>
    <col min="9471" max="9471" width="2" style="3" customWidth="1"/>
    <col min="9472" max="9474" width="2.42578125" style="3" customWidth="1"/>
    <col min="9475" max="9475" width="65" style="3" customWidth="1"/>
    <col min="9476" max="9481" width="13.42578125" style="3" customWidth="1"/>
    <col min="9482" max="9482" width="20.42578125" style="3" customWidth="1"/>
    <col min="9483" max="9483" width="7.5703125" style="3" customWidth="1"/>
    <col min="9484" max="9484" width="14.42578125" style="3" bestFit="1" customWidth="1"/>
    <col min="9485" max="9497" width="7.5703125" style="3" customWidth="1"/>
    <col min="9498" max="9726" width="12.5703125" style="3"/>
    <col min="9727" max="9727" width="2" style="3" customWidth="1"/>
    <col min="9728" max="9730" width="2.42578125" style="3" customWidth="1"/>
    <col min="9731" max="9731" width="65" style="3" customWidth="1"/>
    <col min="9732" max="9737" width="13.42578125" style="3" customWidth="1"/>
    <col min="9738" max="9738" width="20.42578125" style="3" customWidth="1"/>
    <col min="9739" max="9739" width="7.5703125" style="3" customWidth="1"/>
    <col min="9740" max="9740" width="14.42578125" style="3" bestFit="1" customWidth="1"/>
    <col min="9741" max="9753" width="7.5703125" style="3" customWidth="1"/>
    <col min="9754" max="9982" width="12.5703125" style="3"/>
    <col min="9983" max="9983" width="2" style="3" customWidth="1"/>
    <col min="9984" max="9986" width="2.42578125" style="3" customWidth="1"/>
    <col min="9987" max="9987" width="65" style="3" customWidth="1"/>
    <col min="9988" max="9993" width="13.42578125" style="3" customWidth="1"/>
    <col min="9994" max="9994" width="20.42578125" style="3" customWidth="1"/>
    <col min="9995" max="9995" width="7.5703125" style="3" customWidth="1"/>
    <col min="9996" max="9996" width="14.42578125" style="3" bestFit="1" customWidth="1"/>
    <col min="9997" max="10009" width="7.5703125" style="3" customWidth="1"/>
    <col min="10010" max="10238" width="12.5703125" style="3"/>
    <col min="10239" max="10239" width="2" style="3" customWidth="1"/>
    <col min="10240" max="10242" width="2.42578125" style="3" customWidth="1"/>
    <col min="10243" max="10243" width="65" style="3" customWidth="1"/>
    <col min="10244" max="10249" width="13.42578125" style="3" customWidth="1"/>
    <col min="10250" max="10250" width="20.42578125" style="3" customWidth="1"/>
    <col min="10251" max="10251" width="7.5703125" style="3" customWidth="1"/>
    <col min="10252" max="10252" width="14.42578125" style="3" bestFit="1" customWidth="1"/>
    <col min="10253" max="10265" width="7.5703125" style="3" customWidth="1"/>
    <col min="10266" max="10494" width="12.5703125" style="3"/>
    <col min="10495" max="10495" width="2" style="3" customWidth="1"/>
    <col min="10496" max="10498" width="2.42578125" style="3" customWidth="1"/>
    <col min="10499" max="10499" width="65" style="3" customWidth="1"/>
    <col min="10500" max="10505" width="13.42578125" style="3" customWidth="1"/>
    <col min="10506" max="10506" width="20.42578125" style="3" customWidth="1"/>
    <col min="10507" max="10507" width="7.5703125" style="3" customWidth="1"/>
    <col min="10508" max="10508" width="14.42578125" style="3" bestFit="1" customWidth="1"/>
    <col min="10509" max="10521" width="7.5703125" style="3" customWidth="1"/>
    <col min="10522" max="10750" width="12.5703125" style="3"/>
    <col min="10751" max="10751" width="2" style="3" customWidth="1"/>
    <col min="10752" max="10754" width="2.42578125" style="3" customWidth="1"/>
    <col min="10755" max="10755" width="65" style="3" customWidth="1"/>
    <col min="10756" max="10761" width="13.42578125" style="3" customWidth="1"/>
    <col min="10762" max="10762" width="20.42578125" style="3" customWidth="1"/>
    <col min="10763" max="10763" width="7.5703125" style="3" customWidth="1"/>
    <col min="10764" max="10764" width="14.42578125" style="3" bestFit="1" customWidth="1"/>
    <col min="10765" max="10777" width="7.5703125" style="3" customWidth="1"/>
    <col min="10778" max="11006" width="12.5703125" style="3"/>
    <col min="11007" max="11007" width="2" style="3" customWidth="1"/>
    <col min="11008" max="11010" width="2.42578125" style="3" customWidth="1"/>
    <col min="11011" max="11011" width="65" style="3" customWidth="1"/>
    <col min="11012" max="11017" width="13.42578125" style="3" customWidth="1"/>
    <col min="11018" max="11018" width="20.42578125" style="3" customWidth="1"/>
    <col min="11019" max="11019" width="7.5703125" style="3" customWidth="1"/>
    <col min="11020" max="11020" width="14.42578125" style="3" bestFit="1" customWidth="1"/>
    <col min="11021" max="11033" width="7.5703125" style="3" customWidth="1"/>
    <col min="11034" max="11262" width="12.5703125" style="3"/>
    <col min="11263" max="11263" width="2" style="3" customWidth="1"/>
    <col min="11264" max="11266" width="2.42578125" style="3" customWidth="1"/>
    <col min="11267" max="11267" width="65" style="3" customWidth="1"/>
    <col min="11268" max="11273" width="13.42578125" style="3" customWidth="1"/>
    <col min="11274" max="11274" width="20.42578125" style="3" customWidth="1"/>
    <col min="11275" max="11275" width="7.5703125" style="3" customWidth="1"/>
    <col min="11276" max="11276" width="14.42578125" style="3" bestFit="1" customWidth="1"/>
    <col min="11277" max="11289" width="7.5703125" style="3" customWidth="1"/>
    <col min="11290" max="11518" width="12.5703125" style="3"/>
    <col min="11519" max="11519" width="2" style="3" customWidth="1"/>
    <col min="11520" max="11522" width="2.42578125" style="3" customWidth="1"/>
    <col min="11523" max="11523" width="65" style="3" customWidth="1"/>
    <col min="11524" max="11529" width="13.42578125" style="3" customWidth="1"/>
    <col min="11530" max="11530" width="20.42578125" style="3" customWidth="1"/>
    <col min="11531" max="11531" width="7.5703125" style="3" customWidth="1"/>
    <col min="11532" max="11532" width="14.42578125" style="3" bestFit="1" customWidth="1"/>
    <col min="11533" max="11545" width="7.5703125" style="3" customWidth="1"/>
    <col min="11546" max="11774" width="12.5703125" style="3"/>
    <col min="11775" max="11775" width="2" style="3" customWidth="1"/>
    <col min="11776" max="11778" width="2.42578125" style="3" customWidth="1"/>
    <col min="11779" max="11779" width="65" style="3" customWidth="1"/>
    <col min="11780" max="11785" width="13.42578125" style="3" customWidth="1"/>
    <col min="11786" max="11786" width="20.42578125" style="3" customWidth="1"/>
    <col min="11787" max="11787" width="7.5703125" style="3" customWidth="1"/>
    <col min="11788" max="11788" width="14.42578125" style="3" bestFit="1" customWidth="1"/>
    <col min="11789" max="11801" width="7.5703125" style="3" customWidth="1"/>
    <col min="11802" max="12030" width="12.5703125" style="3"/>
    <col min="12031" max="12031" width="2" style="3" customWidth="1"/>
    <col min="12032" max="12034" width="2.42578125" style="3" customWidth="1"/>
    <col min="12035" max="12035" width="65" style="3" customWidth="1"/>
    <col min="12036" max="12041" width="13.42578125" style="3" customWidth="1"/>
    <col min="12042" max="12042" width="20.42578125" style="3" customWidth="1"/>
    <col min="12043" max="12043" width="7.5703125" style="3" customWidth="1"/>
    <col min="12044" max="12044" width="14.42578125" style="3" bestFit="1" customWidth="1"/>
    <col min="12045" max="12057" width="7.5703125" style="3" customWidth="1"/>
    <col min="12058" max="12286" width="12.5703125" style="3"/>
    <col min="12287" max="12287" width="2" style="3" customWidth="1"/>
    <col min="12288" max="12290" width="2.42578125" style="3" customWidth="1"/>
    <col min="12291" max="12291" width="65" style="3" customWidth="1"/>
    <col min="12292" max="12297" width="13.42578125" style="3" customWidth="1"/>
    <col min="12298" max="12298" width="20.42578125" style="3" customWidth="1"/>
    <col min="12299" max="12299" width="7.5703125" style="3" customWidth="1"/>
    <col min="12300" max="12300" width="14.42578125" style="3" bestFit="1" customWidth="1"/>
    <col min="12301" max="12313" width="7.5703125" style="3" customWidth="1"/>
    <col min="12314" max="12542" width="12.5703125" style="3"/>
    <col min="12543" max="12543" width="2" style="3" customWidth="1"/>
    <col min="12544" max="12546" width="2.42578125" style="3" customWidth="1"/>
    <col min="12547" max="12547" width="65" style="3" customWidth="1"/>
    <col min="12548" max="12553" width="13.42578125" style="3" customWidth="1"/>
    <col min="12554" max="12554" width="20.42578125" style="3" customWidth="1"/>
    <col min="12555" max="12555" width="7.5703125" style="3" customWidth="1"/>
    <col min="12556" max="12556" width="14.42578125" style="3" bestFit="1" customWidth="1"/>
    <col min="12557" max="12569" width="7.5703125" style="3" customWidth="1"/>
    <col min="12570" max="12798" width="12.5703125" style="3"/>
    <col min="12799" max="12799" width="2" style="3" customWidth="1"/>
    <col min="12800" max="12802" width="2.42578125" style="3" customWidth="1"/>
    <col min="12803" max="12803" width="65" style="3" customWidth="1"/>
    <col min="12804" max="12809" width="13.42578125" style="3" customWidth="1"/>
    <col min="12810" max="12810" width="20.42578125" style="3" customWidth="1"/>
    <col min="12811" max="12811" width="7.5703125" style="3" customWidth="1"/>
    <col min="12812" max="12812" width="14.42578125" style="3" bestFit="1" customWidth="1"/>
    <col min="12813" max="12825" width="7.5703125" style="3" customWidth="1"/>
    <col min="12826" max="13054" width="12.5703125" style="3"/>
    <col min="13055" max="13055" width="2" style="3" customWidth="1"/>
    <col min="13056" max="13058" width="2.42578125" style="3" customWidth="1"/>
    <col min="13059" max="13059" width="65" style="3" customWidth="1"/>
    <col min="13060" max="13065" width="13.42578125" style="3" customWidth="1"/>
    <col min="13066" max="13066" width="20.42578125" style="3" customWidth="1"/>
    <col min="13067" max="13067" width="7.5703125" style="3" customWidth="1"/>
    <col min="13068" max="13068" width="14.42578125" style="3" bestFit="1" customWidth="1"/>
    <col min="13069" max="13081" width="7.5703125" style="3" customWidth="1"/>
    <col min="13082" max="13310" width="12.5703125" style="3"/>
    <col min="13311" max="13311" width="2" style="3" customWidth="1"/>
    <col min="13312" max="13314" width="2.42578125" style="3" customWidth="1"/>
    <col min="13315" max="13315" width="65" style="3" customWidth="1"/>
    <col min="13316" max="13321" width="13.42578125" style="3" customWidth="1"/>
    <col min="13322" max="13322" width="20.42578125" style="3" customWidth="1"/>
    <col min="13323" max="13323" width="7.5703125" style="3" customWidth="1"/>
    <col min="13324" max="13324" width="14.42578125" style="3" bestFit="1" customWidth="1"/>
    <col min="13325" max="13337" width="7.5703125" style="3" customWidth="1"/>
    <col min="13338" max="13566" width="12.5703125" style="3"/>
    <col min="13567" max="13567" width="2" style="3" customWidth="1"/>
    <col min="13568" max="13570" width="2.42578125" style="3" customWidth="1"/>
    <col min="13571" max="13571" width="65" style="3" customWidth="1"/>
    <col min="13572" max="13577" width="13.42578125" style="3" customWidth="1"/>
    <col min="13578" max="13578" width="20.42578125" style="3" customWidth="1"/>
    <col min="13579" max="13579" width="7.5703125" style="3" customWidth="1"/>
    <col min="13580" max="13580" width="14.42578125" style="3" bestFit="1" customWidth="1"/>
    <col min="13581" max="13593" width="7.5703125" style="3" customWidth="1"/>
    <col min="13594" max="13822" width="12.5703125" style="3"/>
    <col min="13823" max="13823" width="2" style="3" customWidth="1"/>
    <col min="13824" max="13826" width="2.42578125" style="3" customWidth="1"/>
    <col min="13827" max="13827" width="65" style="3" customWidth="1"/>
    <col min="13828" max="13833" width="13.42578125" style="3" customWidth="1"/>
    <col min="13834" max="13834" width="20.42578125" style="3" customWidth="1"/>
    <col min="13835" max="13835" width="7.5703125" style="3" customWidth="1"/>
    <col min="13836" max="13836" width="14.42578125" style="3" bestFit="1" customWidth="1"/>
    <col min="13837" max="13849" width="7.5703125" style="3" customWidth="1"/>
    <col min="13850" max="14078" width="12.5703125" style="3"/>
    <col min="14079" max="14079" width="2" style="3" customWidth="1"/>
    <col min="14080" max="14082" width="2.42578125" style="3" customWidth="1"/>
    <col min="14083" max="14083" width="65" style="3" customWidth="1"/>
    <col min="14084" max="14089" width="13.42578125" style="3" customWidth="1"/>
    <col min="14090" max="14090" width="20.42578125" style="3" customWidth="1"/>
    <col min="14091" max="14091" width="7.5703125" style="3" customWidth="1"/>
    <col min="14092" max="14092" width="14.42578125" style="3" bestFit="1" customWidth="1"/>
    <col min="14093" max="14105" width="7.5703125" style="3" customWidth="1"/>
    <col min="14106" max="14334" width="12.5703125" style="3"/>
    <col min="14335" max="14335" width="2" style="3" customWidth="1"/>
    <col min="14336" max="14338" width="2.42578125" style="3" customWidth="1"/>
    <col min="14339" max="14339" width="65" style="3" customWidth="1"/>
    <col min="14340" max="14345" width="13.42578125" style="3" customWidth="1"/>
    <col min="14346" max="14346" width="20.42578125" style="3" customWidth="1"/>
    <col min="14347" max="14347" width="7.5703125" style="3" customWidth="1"/>
    <col min="14348" max="14348" width="14.42578125" style="3" bestFit="1" customWidth="1"/>
    <col min="14349" max="14361" width="7.5703125" style="3" customWidth="1"/>
    <col min="14362" max="14590" width="12.5703125" style="3"/>
    <col min="14591" max="14591" width="2" style="3" customWidth="1"/>
    <col min="14592" max="14594" width="2.42578125" style="3" customWidth="1"/>
    <col min="14595" max="14595" width="65" style="3" customWidth="1"/>
    <col min="14596" max="14601" width="13.42578125" style="3" customWidth="1"/>
    <col min="14602" max="14602" width="20.42578125" style="3" customWidth="1"/>
    <col min="14603" max="14603" width="7.5703125" style="3" customWidth="1"/>
    <col min="14604" max="14604" width="14.42578125" style="3" bestFit="1" customWidth="1"/>
    <col min="14605" max="14617" width="7.5703125" style="3" customWidth="1"/>
    <col min="14618" max="14846" width="12.5703125" style="3"/>
    <col min="14847" max="14847" width="2" style="3" customWidth="1"/>
    <col min="14848" max="14850" width="2.42578125" style="3" customWidth="1"/>
    <col min="14851" max="14851" width="65" style="3" customWidth="1"/>
    <col min="14852" max="14857" width="13.42578125" style="3" customWidth="1"/>
    <col min="14858" max="14858" width="20.42578125" style="3" customWidth="1"/>
    <col min="14859" max="14859" width="7.5703125" style="3" customWidth="1"/>
    <col min="14860" max="14860" width="14.42578125" style="3" bestFit="1" customWidth="1"/>
    <col min="14861" max="14873" width="7.5703125" style="3" customWidth="1"/>
    <col min="14874" max="15102" width="12.5703125" style="3"/>
    <col min="15103" max="15103" width="2" style="3" customWidth="1"/>
    <col min="15104" max="15106" width="2.42578125" style="3" customWidth="1"/>
    <col min="15107" max="15107" width="65" style="3" customWidth="1"/>
    <col min="15108" max="15113" width="13.42578125" style="3" customWidth="1"/>
    <col min="15114" max="15114" width="20.42578125" style="3" customWidth="1"/>
    <col min="15115" max="15115" width="7.5703125" style="3" customWidth="1"/>
    <col min="15116" max="15116" width="14.42578125" style="3" bestFit="1" customWidth="1"/>
    <col min="15117" max="15129" width="7.5703125" style="3" customWidth="1"/>
    <col min="15130" max="15358" width="12.5703125" style="3"/>
    <col min="15359" max="15359" width="2" style="3" customWidth="1"/>
    <col min="15360" max="15362" width="2.42578125" style="3" customWidth="1"/>
    <col min="15363" max="15363" width="65" style="3" customWidth="1"/>
    <col min="15364" max="15369" width="13.42578125" style="3" customWidth="1"/>
    <col min="15370" max="15370" width="20.42578125" style="3" customWidth="1"/>
    <col min="15371" max="15371" width="7.5703125" style="3" customWidth="1"/>
    <col min="15372" max="15372" width="14.42578125" style="3" bestFit="1" customWidth="1"/>
    <col min="15373" max="15385" width="7.5703125" style="3" customWidth="1"/>
    <col min="15386" max="15614" width="12.5703125" style="3"/>
    <col min="15615" max="15615" width="2" style="3" customWidth="1"/>
    <col min="15616" max="15618" width="2.42578125" style="3" customWidth="1"/>
    <col min="15619" max="15619" width="65" style="3" customWidth="1"/>
    <col min="15620" max="15625" width="13.42578125" style="3" customWidth="1"/>
    <col min="15626" max="15626" width="20.42578125" style="3" customWidth="1"/>
    <col min="15627" max="15627" width="7.5703125" style="3" customWidth="1"/>
    <col min="15628" max="15628" width="14.42578125" style="3" bestFit="1" customWidth="1"/>
    <col min="15629" max="15641" width="7.5703125" style="3" customWidth="1"/>
    <col min="15642" max="15870" width="12.5703125" style="3"/>
    <col min="15871" max="15871" width="2" style="3" customWidth="1"/>
    <col min="15872" max="15874" width="2.42578125" style="3" customWidth="1"/>
    <col min="15875" max="15875" width="65" style="3" customWidth="1"/>
    <col min="15876" max="15881" width="13.42578125" style="3" customWidth="1"/>
    <col min="15882" max="15882" width="20.42578125" style="3" customWidth="1"/>
    <col min="15883" max="15883" width="7.5703125" style="3" customWidth="1"/>
    <col min="15884" max="15884" width="14.42578125" style="3" bestFit="1" customWidth="1"/>
    <col min="15885" max="15897" width="7.5703125" style="3" customWidth="1"/>
    <col min="15898" max="16126" width="12.5703125" style="3"/>
    <col min="16127" max="16127" width="2" style="3" customWidth="1"/>
    <col min="16128" max="16130" width="2.42578125" style="3" customWidth="1"/>
    <col min="16131" max="16131" width="65" style="3" customWidth="1"/>
    <col min="16132" max="16137" width="13.42578125" style="3" customWidth="1"/>
    <col min="16138" max="16138" width="20.42578125" style="3" customWidth="1"/>
    <col min="16139" max="16139" width="7.5703125" style="3" customWidth="1"/>
    <col min="16140" max="16140" width="14.42578125" style="3" bestFit="1" customWidth="1"/>
    <col min="16141" max="16153" width="7.5703125" style="3" customWidth="1"/>
    <col min="16154" max="16384" width="12.5703125" style="3"/>
  </cols>
  <sheetData>
    <row r="1" spans="1:12" s="20" customFormat="1" ht="21.95" customHeight="1">
      <c r="A1" s="510"/>
      <c r="B1" s="2633" t="s">
        <v>183</v>
      </c>
      <c r="C1" s="2633"/>
      <c r="D1" s="2633"/>
      <c r="E1" s="2633"/>
      <c r="F1" s="2633"/>
      <c r="G1" s="2633"/>
      <c r="H1" s="2633"/>
      <c r="I1" s="2633"/>
      <c r="J1" s="2633"/>
      <c r="K1" s="2633"/>
      <c r="L1" s="2633"/>
    </row>
    <row r="2" spans="1:12" s="20" customFormat="1" ht="21.95" customHeight="1">
      <c r="A2" s="510"/>
      <c r="B2" s="2633" t="s">
        <v>1003</v>
      </c>
      <c r="C2" s="2633"/>
      <c r="D2" s="2633"/>
      <c r="E2" s="2633"/>
      <c r="F2" s="2633"/>
      <c r="G2" s="2633"/>
      <c r="H2" s="2633"/>
      <c r="I2" s="2633"/>
      <c r="J2" s="2633"/>
      <c r="K2" s="2633"/>
      <c r="L2" s="2633"/>
    </row>
    <row r="3" spans="1:12" s="20" customFormat="1" ht="21.95" customHeight="1">
      <c r="A3" s="510"/>
      <c r="B3" s="2633" t="s">
        <v>1464</v>
      </c>
      <c r="C3" s="2633"/>
      <c r="D3" s="2633"/>
      <c r="E3" s="2633"/>
      <c r="F3" s="2633"/>
      <c r="G3" s="2633"/>
      <c r="H3" s="2633"/>
      <c r="I3" s="2633"/>
      <c r="J3" s="2633"/>
      <c r="K3" s="2633"/>
      <c r="L3" s="2633"/>
    </row>
    <row r="4" spans="1:12" ht="21.95" customHeight="1">
      <c r="A4" s="2"/>
      <c r="B4" s="2"/>
      <c r="C4" s="2"/>
      <c r="D4" s="79"/>
      <c r="E4" s="4"/>
      <c r="F4" s="280"/>
      <c r="G4" s="4"/>
      <c r="H4" s="4"/>
      <c r="I4" s="4"/>
      <c r="J4" s="4"/>
      <c r="L4" s="5" t="s">
        <v>1</v>
      </c>
    </row>
    <row r="5" spans="1:12" ht="24.95" customHeight="1">
      <c r="A5" s="2731" t="s">
        <v>3</v>
      </c>
      <c r="B5" s="2731"/>
      <c r="C5" s="2731"/>
      <c r="D5" s="2731"/>
      <c r="E5" s="2724" t="s">
        <v>12</v>
      </c>
      <c r="F5" s="2725"/>
      <c r="G5" s="2725"/>
      <c r="H5" s="2725"/>
      <c r="I5" s="2726"/>
      <c r="J5" s="2642" t="s">
        <v>178</v>
      </c>
      <c r="K5" s="2723" t="s">
        <v>622</v>
      </c>
      <c r="L5" s="2709" t="s">
        <v>1463</v>
      </c>
    </row>
    <row r="6" spans="1:12" ht="24.95" customHeight="1">
      <c r="A6" s="2731"/>
      <c r="B6" s="2731"/>
      <c r="C6" s="2731"/>
      <c r="D6" s="2731"/>
      <c r="E6" s="6" t="s">
        <v>180</v>
      </c>
      <c r="F6" s="287">
        <v>2567</v>
      </c>
      <c r="G6" s="508" t="s">
        <v>14</v>
      </c>
      <c r="H6" s="508" t="s">
        <v>1001</v>
      </c>
      <c r="I6" s="1624" t="s">
        <v>1442</v>
      </c>
      <c r="J6" s="2643"/>
      <c r="K6" s="2723"/>
      <c r="L6" s="2710"/>
    </row>
    <row r="7" spans="1:12" s="32" customFormat="1" ht="24.95" customHeight="1">
      <c r="A7" s="295" t="s">
        <v>15</v>
      </c>
      <c r="B7" s="166"/>
      <c r="C7" s="166"/>
      <c r="D7" s="166"/>
      <c r="E7" s="271"/>
      <c r="F7" s="281"/>
      <c r="G7" s="71"/>
      <c r="H7" s="269"/>
      <c r="I7" s="269"/>
      <c r="J7" s="71"/>
      <c r="K7" s="271"/>
      <c r="L7" s="269"/>
    </row>
    <row r="8" spans="1:12" s="32" customFormat="1" ht="24.95" customHeight="1">
      <c r="A8" s="72"/>
      <c r="B8" s="70" t="s">
        <v>16</v>
      </c>
      <c r="C8" s="70"/>
      <c r="D8" s="70"/>
      <c r="E8" s="272"/>
      <c r="F8" s="282"/>
      <c r="G8" s="73"/>
      <c r="H8" s="270"/>
      <c r="I8" s="270"/>
      <c r="J8" s="73"/>
      <c r="K8" s="272"/>
      <c r="L8" s="270"/>
    </row>
    <row r="9" spans="1:12" s="32" customFormat="1" ht="24.95" customHeight="1">
      <c r="A9" s="34"/>
      <c r="B9" s="31"/>
      <c r="C9" s="31"/>
      <c r="D9" s="35" t="s">
        <v>17</v>
      </c>
      <c r="E9" s="273">
        <f>+'1 ปี (69) '!F9</f>
        <v>512729856.87999994</v>
      </c>
      <c r="F9" s="279">
        <f>+'1 ปี (69) '!G9</f>
        <v>612875266.59000003</v>
      </c>
      <c r="G9" s="68">
        <f>+'1 ปี (69) '!H9</f>
        <v>620000000</v>
      </c>
      <c r="H9" s="288">
        <f>+'1 ปี (69) '!K9</f>
        <v>605000000</v>
      </c>
      <c r="I9" s="288">
        <f>+'1 ปี (69) '!O9</f>
        <v>511539186.28000003</v>
      </c>
      <c r="J9" s="289">
        <f>+'1 ปี (69) '!T9</f>
        <v>590000000</v>
      </c>
      <c r="K9" s="1616">
        <f>+J9*3%+J9</f>
        <v>607700000</v>
      </c>
      <c r="L9" s="279">
        <f>+K9*3%+K9</f>
        <v>625931000</v>
      </c>
    </row>
    <row r="10" spans="1:12" s="32" customFormat="1" ht="24.95" customHeight="1">
      <c r="A10" s="34"/>
      <c r="B10" s="31"/>
      <c r="C10" s="31"/>
      <c r="D10" s="35" t="s">
        <v>18</v>
      </c>
      <c r="E10" s="273">
        <f>+'1 ปี (69) '!F10</f>
        <v>17480288.41</v>
      </c>
      <c r="F10" s="279">
        <f>+'1 ปี (69) '!G10</f>
        <v>16162272.77</v>
      </c>
      <c r="G10" s="68">
        <f>+'1 ปี (69) '!H10</f>
        <v>16000000</v>
      </c>
      <c r="H10" s="288">
        <f>+'1 ปี (69) '!K10</f>
        <v>30827352.009999998</v>
      </c>
      <c r="I10" s="288">
        <f>+'1 ปี (69) '!O10</f>
        <v>30827352.010000002</v>
      </c>
      <c r="J10" s="289">
        <f>+'1 ปี (69) '!T10</f>
        <v>22596016.190000001</v>
      </c>
      <c r="K10" s="1617">
        <v>17000000</v>
      </c>
      <c r="L10" s="1644">
        <v>17000000</v>
      </c>
    </row>
    <row r="11" spans="1:12" s="32" customFormat="1" ht="24.95" customHeight="1">
      <c r="A11" s="34"/>
      <c r="B11" s="31"/>
      <c r="C11" s="31"/>
      <c r="D11" s="36" t="s">
        <v>19</v>
      </c>
      <c r="E11" s="273">
        <f>+'1 ปี (69) '!F11</f>
        <v>1081750</v>
      </c>
      <c r="F11" s="279">
        <f>+'1 ปี (69) '!G11</f>
        <v>2316591.5</v>
      </c>
      <c r="G11" s="68">
        <f>+'1 ปี (69) '!H11</f>
        <v>2500000</v>
      </c>
      <c r="H11" s="288">
        <f>+'1 ปี (69) '!K11</f>
        <v>1500000</v>
      </c>
      <c r="I11" s="288">
        <f>+'1 ปี (69) '!O11</f>
        <v>1023450</v>
      </c>
      <c r="J11" s="289">
        <f>+'1 ปี (69) '!T11</f>
        <v>1500000</v>
      </c>
      <c r="K11" s="1617">
        <v>1500000</v>
      </c>
      <c r="L11" s="1644">
        <v>1500000</v>
      </c>
    </row>
    <row r="12" spans="1:12" s="32" customFormat="1" ht="24.95" customHeight="1">
      <c r="A12" s="34"/>
      <c r="B12" s="31"/>
      <c r="C12" s="31"/>
      <c r="D12" s="35" t="s">
        <v>20</v>
      </c>
      <c r="E12" s="273">
        <f>+'1 ปี (69) '!F12</f>
        <v>335753903.76999998</v>
      </c>
      <c r="F12" s="279">
        <f>+'1 ปี (69) '!G12</f>
        <v>377311396.82999998</v>
      </c>
      <c r="G12" s="68">
        <f>+'1 ปี (69) '!H12</f>
        <v>380000000</v>
      </c>
      <c r="H12" s="288">
        <f>+'1 ปี (69) '!K12</f>
        <v>380000000</v>
      </c>
      <c r="I12" s="288">
        <f>+'1 ปี (69) '!O12</f>
        <v>409011018.95999998</v>
      </c>
      <c r="J12" s="289">
        <f>+'1 ปี (69) '!T12</f>
        <v>420000000</v>
      </c>
      <c r="K12" s="1616">
        <f t="shared" ref="K12:L16" si="0">+J12*3%+J12</f>
        <v>432600000</v>
      </c>
      <c r="L12" s="1645">
        <f t="shared" si="0"/>
        <v>445578000</v>
      </c>
    </row>
    <row r="13" spans="1:12" s="32" customFormat="1" ht="24.95" customHeight="1">
      <c r="A13" s="34"/>
      <c r="B13" s="31"/>
      <c r="C13" s="31"/>
      <c r="D13" s="35" t="s">
        <v>21</v>
      </c>
      <c r="E13" s="273">
        <f>+'1 ปี (69) '!F13</f>
        <v>113391295.02</v>
      </c>
      <c r="F13" s="279">
        <f>+'1 ปี (69) '!G13</f>
        <v>149782909.38999999</v>
      </c>
      <c r="G13" s="68">
        <f>+'1 ปี (69) '!H13</f>
        <v>160000000</v>
      </c>
      <c r="H13" s="288">
        <f>+'1 ปี (69) '!K13</f>
        <v>160000000</v>
      </c>
      <c r="I13" s="288">
        <f>+'1 ปี (69) '!O13</f>
        <v>140314219.30000001</v>
      </c>
      <c r="J13" s="289">
        <f>+'1 ปี (69) '!T13</f>
        <v>160000000</v>
      </c>
      <c r="K13" s="1616">
        <f>+J13*5%+J13</f>
        <v>168000000</v>
      </c>
      <c r="L13" s="1645">
        <f t="shared" si="0"/>
        <v>173040000</v>
      </c>
    </row>
    <row r="14" spans="1:12" s="32" customFormat="1" ht="24.95" customHeight="1">
      <c r="A14" s="34"/>
      <c r="B14" s="31"/>
      <c r="C14" s="31"/>
      <c r="D14" s="36" t="s">
        <v>22</v>
      </c>
      <c r="E14" s="273">
        <f>+'1 ปี (69) '!F14</f>
        <v>33388979.420000002</v>
      </c>
      <c r="F14" s="279">
        <f>+'1 ปี (69) '!G14</f>
        <v>53444240.979999997</v>
      </c>
      <c r="G14" s="68">
        <f>+'1 ปี (69) '!H14</f>
        <v>60000000</v>
      </c>
      <c r="H14" s="288">
        <f>+'1 ปี (69) '!K14</f>
        <v>60000000</v>
      </c>
      <c r="I14" s="288">
        <f>+'1 ปี (69) '!O14</f>
        <v>75273783.620000005</v>
      </c>
      <c r="J14" s="289">
        <f>+'1 ปี (69) '!T14</f>
        <v>60000000</v>
      </c>
      <c r="K14" s="1616">
        <f t="shared" si="0"/>
        <v>61800000</v>
      </c>
      <c r="L14" s="1645">
        <f t="shared" si="0"/>
        <v>63654000</v>
      </c>
    </row>
    <row r="15" spans="1:12" s="32" customFormat="1" ht="24.95" customHeight="1">
      <c r="A15" s="34"/>
      <c r="B15" s="31"/>
      <c r="C15" s="31"/>
      <c r="D15" s="36" t="s">
        <v>23</v>
      </c>
      <c r="E15" s="273">
        <f>+'1 ปี (69) '!F15</f>
        <v>302887691.68000001</v>
      </c>
      <c r="F15" s="279">
        <f>+'1 ปี (69) '!G15</f>
        <v>372644207.60000002</v>
      </c>
      <c r="G15" s="68">
        <f>+'1 ปี (69) '!H15</f>
        <v>381582997.38</v>
      </c>
      <c r="H15" s="288">
        <f>+'1 ปี (69) '!K15</f>
        <v>365000000</v>
      </c>
      <c r="I15" s="288">
        <f>+'1 ปี (69) '!O15</f>
        <v>346980309.44</v>
      </c>
      <c r="J15" s="289">
        <f>+'1 ปี (69) '!T15</f>
        <v>350000000</v>
      </c>
      <c r="K15" s="1616">
        <f t="shared" si="0"/>
        <v>360500000</v>
      </c>
      <c r="L15" s="1645">
        <f t="shared" si="0"/>
        <v>371315000</v>
      </c>
    </row>
    <row r="16" spans="1:12" s="32" customFormat="1" ht="24.95" customHeight="1">
      <c r="A16" s="34"/>
      <c r="B16" s="31"/>
      <c r="C16" s="31"/>
      <c r="D16" s="36" t="s">
        <v>24</v>
      </c>
      <c r="E16" s="273">
        <f>+'1 ปี (69) '!F16</f>
        <v>53074741.299999997</v>
      </c>
      <c r="F16" s="279">
        <f>+'1 ปี (69) '!G16</f>
        <v>62740890.890000001</v>
      </c>
      <c r="G16" s="68">
        <f>+'1 ปี (69) '!H16</f>
        <v>63000000</v>
      </c>
      <c r="H16" s="288">
        <f>+'1 ปี (69) '!K16</f>
        <v>65000000</v>
      </c>
      <c r="I16" s="288">
        <f>+'1 ปี (69) '!O16</f>
        <v>87645150.670000002</v>
      </c>
      <c r="J16" s="289">
        <f>+'1 ปี (69) '!T16</f>
        <v>60000000</v>
      </c>
      <c r="K16" s="1616">
        <f t="shared" si="0"/>
        <v>61800000</v>
      </c>
      <c r="L16" s="1645">
        <f t="shared" si="0"/>
        <v>63654000</v>
      </c>
    </row>
    <row r="17" spans="1:12" s="32" customFormat="1" ht="24.95" customHeight="1">
      <c r="A17" s="34"/>
      <c r="B17" s="31"/>
      <c r="C17" s="31"/>
      <c r="D17" s="36" t="s">
        <v>25</v>
      </c>
      <c r="E17" s="273">
        <f>+'1 ปี (69) '!F17</f>
        <v>460624607.58999997</v>
      </c>
      <c r="F17" s="279">
        <f>+'1 ปี (69) '!G17</f>
        <v>492290715.99000001</v>
      </c>
      <c r="G17" s="68">
        <f>+'1 ปี (69) '!H17</f>
        <v>549000000</v>
      </c>
      <c r="H17" s="288">
        <f>+'1 ปี (69) '!K17</f>
        <v>544000000</v>
      </c>
      <c r="I17" s="288">
        <f>+'1 ปี (69) '!O17</f>
        <v>592691448.83999991</v>
      </c>
      <c r="J17" s="289">
        <f>+'1 ปี (69) '!T17</f>
        <v>614500000</v>
      </c>
      <c r="K17" s="1616">
        <f>+J17*5%+J17</f>
        <v>645225000</v>
      </c>
      <c r="L17" s="1645">
        <f>+K17*8%+K17</f>
        <v>696843000</v>
      </c>
    </row>
    <row r="18" spans="1:12" s="32" customFormat="1" ht="24.95" customHeight="1">
      <c r="A18" s="34"/>
      <c r="B18" s="70" t="s">
        <v>26</v>
      </c>
      <c r="C18" s="70"/>
      <c r="D18" s="74"/>
      <c r="E18" s="272"/>
      <c r="F18" s="282"/>
      <c r="G18" s="73"/>
      <c r="H18" s="272"/>
      <c r="I18" s="272"/>
      <c r="J18" s="272"/>
      <c r="K18" s="272"/>
      <c r="L18" s="270"/>
    </row>
    <row r="19" spans="1:12" s="32" customFormat="1" ht="24.95" customHeight="1">
      <c r="A19" s="34"/>
      <c r="B19" s="31"/>
      <c r="C19" s="31"/>
      <c r="D19" s="36" t="s">
        <v>27</v>
      </c>
      <c r="E19" s="273">
        <v>0</v>
      </c>
      <c r="F19" s="273">
        <v>0</v>
      </c>
      <c r="G19" s="68">
        <v>0</v>
      </c>
      <c r="H19" s="288">
        <f>+'1 ปี (69) '!K19</f>
        <v>0</v>
      </c>
      <c r="I19" s="288">
        <f>+'1 ปี (69) '!L19</f>
        <v>0</v>
      </c>
      <c r="J19" s="288">
        <v>0</v>
      </c>
      <c r="K19" s="288">
        <v>0</v>
      </c>
      <c r="L19" s="317">
        <v>0</v>
      </c>
    </row>
    <row r="20" spans="1:12" s="32" customFormat="1" ht="24.95" customHeight="1">
      <c r="A20" s="34"/>
      <c r="B20" s="31"/>
      <c r="C20" s="31"/>
      <c r="D20" s="36" t="s">
        <v>28</v>
      </c>
      <c r="E20" s="273">
        <v>0</v>
      </c>
      <c r="F20" s="273">
        <v>0</v>
      </c>
      <c r="G20" s="68">
        <v>0</v>
      </c>
      <c r="H20" s="288">
        <f>+'1 ปี (69) '!K20</f>
        <v>0</v>
      </c>
      <c r="I20" s="288">
        <f>+'1 ปี (69) '!L20</f>
        <v>0</v>
      </c>
      <c r="J20" s="288">
        <v>0</v>
      </c>
      <c r="K20" s="288">
        <v>0</v>
      </c>
      <c r="L20" s="317">
        <v>0</v>
      </c>
    </row>
    <row r="21" spans="1:12" s="32" customFormat="1" ht="24.95" customHeight="1">
      <c r="A21" s="34"/>
      <c r="B21" s="31"/>
      <c r="C21" s="31"/>
      <c r="D21" s="36" t="s">
        <v>29</v>
      </c>
      <c r="E21" s="273">
        <f>+'1 ปี (69) '!F21</f>
        <v>39570973.75</v>
      </c>
      <c r="F21" s="279">
        <f>+'1 ปี (69) '!G21</f>
        <v>57795479.579999998</v>
      </c>
      <c r="G21" s="68">
        <f>+'1 ปี (69) '!H21</f>
        <v>123000000</v>
      </c>
      <c r="H21" s="288">
        <f>+'1 ปี (69) '!K21</f>
        <v>420000000</v>
      </c>
      <c r="I21" s="288">
        <f>+'1 ปี (69) '!O21</f>
        <v>424193988.41000003</v>
      </c>
      <c r="J21" s="289">
        <f>+'1 ปี (69) '!T21</f>
        <v>150000000</v>
      </c>
      <c r="K21" s="1617">
        <v>100000000</v>
      </c>
      <c r="L21" s="279">
        <v>100000000</v>
      </c>
    </row>
    <row r="22" spans="1:12" s="32" customFormat="1" ht="24.95" customHeight="1">
      <c r="A22" s="34"/>
      <c r="B22" s="31"/>
      <c r="C22" s="31"/>
      <c r="D22" s="36" t="s">
        <v>30</v>
      </c>
      <c r="E22" s="273">
        <f>+'1 ปี (69) '!F22</f>
        <v>2022594.46</v>
      </c>
      <c r="F22" s="279">
        <f>+'1 ปี (69) '!G22</f>
        <v>2896990.42</v>
      </c>
      <c r="G22" s="68">
        <f>+'1 ปี (69) '!H22</f>
        <v>3000000</v>
      </c>
      <c r="H22" s="288">
        <f>+'1 ปี (69) '!K22</f>
        <v>2500000</v>
      </c>
      <c r="I22" s="288">
        <f>+'1 ปี (69) '!O22</f>
        <v>3269077.56</v>
      </c>
      <c r="J22" s="289">
        <f>+'1 ปี (69) '!T22</f>
        <v>2500000</v>
      </c>
      <c r="K22" s="1617">
        <f>+J22*3%+J22</f>
        <v>2575000</v>
      </c>
      <c r="L22" s="1644">
        <f>+K22*3%+K22</f>
        <v>2652250</v>
      </c>
    </row>
    <row r="23" spans="1:12" s="32" customFormat="1" ht="24.95" customHeight="1">
      <c r="A23" s="34"/>
      <c r="B23" s="31"/>
      <c r="C23" s="31"/>
      <c r="D23" s="36" t="s">
        <v>31</v>
      </c>
      <c r="E23" s="273">
        <f>+'1 ปี (69) '!F23</f>
        <v>19066136.199999999</v>
      </c>
      <c r="F23" s="279">
        <f>+'1 ปี (69) '!G23</f>
        <v>52743682.310000002</v>
      </c>
      <c r="G23" s="68">
        <f>+'1 ปี (69) '!H23</f>
        <v>52540890.560000002</v>
      </c>
      <c r="H23" s="288">
        <f>+'1 ปี (69) '!K23</f>
        <v>25000000</v>
      </c>
      <c r="I23" s="288">
        <f>+'1 ปี (69) '!O23</f>
        <v>55181492.18</v>
      </c>
      <c r="J23" s="289">
        <f>+'1 ปี (69) '!T23</f>
        <v>28000000</v>
      </c>
      <c r="K23" s="1617">
        <f>+J23*3%+J23</f>
        <v>28840000</v>
      </c>
      <c r="L23" s="1644">
        <f>+K23*3%+K23</f>
        <v>29705200</v>
      </c>
    </row>
    <row r="24" spans="1:12" s="32" customFormat="1" ht="24.95" customHeight="1">
      <c r="A24" s="568"/>
      <c r="B24" s="509"/>
      <c r="C24" s="509"/>
      <c r="D24" s="569" t="s">
        <v>32</v>
      </c>
      <c r="E24" s="274">
        <f>SUM(E9:E23)</f>
        <v>1891072818.4799998</v>
      </c>
      <c r="F24" s="286">
        <f>+'1 ปี (69) '!G24</f>
        <v>2253004644.8499999</v>
      </c>
      <c r="G24" s="318">
        <f t="shared" ref="G24:J24" si="1">SUM(G9:G23)</f>
        <v>2410623887.9400001</v>
      </c>
      <c r="H24" s="318">
        <f t="shared" si="1"/>
        <v>2658827352.0100002</v>
      </c>
      <c r="I24" s="694">
        <f t="shared" si="1"/>
        <v>2677950477.2699995</v>
      </c>
      <c r="J24" s="274">
        <f t="shared" si="1"/>
        <v>2459096016.1900001</v>
      </c>
      <c r="K24" s="274">
        <f>SUM(K9:K23)</f>
        <v>2487540000</v>
      </c>
      <c r="L24" s="318">
        <f>SUM(L9:L23)</f>
        <v>2590872450</v>
      </c>
    </row>
    <row r="25" spans="1:12" s="32" customFormat="1" ht="24" customHeight="1">
      <c r="A25" s="75" t="s">
        <v>33</v>
      </c>
      <c r="B25" s="70"/>
      <c r="C25" s="70"/>
      <c r="D25" s="74"/>
      <c r="E25" s="272"/>
      <c r="F25" s="272"/>
      <c r="G25" s="73"/>
      <c r="H25" s="272"/>
      <c r="I25" s="272"/>
      <c r="J25" s="272"/>
      <c r="K25" s="272"/>
      <c r="L25" s="270"/>
    </row>
    <row r="26" spans="1:12" s="32" customFormat="1" ht="24" customHeight="1">
      <c r="A26" s="75"/>
      <c r="B26" s="76" t="s">
        <v>34</v>
      </c>
      <c r="C26" s="70"/>
      <c r="D26" s="74"/>
      <c r="E26" s="272"/>
      <c r="F26" s="272"/>
      <c r="G26" s="73"/>
      <c r="H26" s="272"/>
      <c r="I26" s="272"/>
      <c r="J26" s="272"/>
      <c r="K26" s="272"/>
      <c r="L26" s="270"/>
    </row>
    <row r="27" spans="1:12" s="32" customFormat="1" ht="24" customHeight="1">
      <c r="A27" s="40"/>
      <c r="B27" s="39"/>
      <c r="C27" s="31"/>
      <c r="D27" s="36" t="s">
        <v>35</v>
      </c>
      <c r="E27" s="273">
        <f>+'1 ปี (69) '!F27</f>
        <v>188464884.25</v>
      </c>
      <c r="F27" s="279">
        <f>+'1 ปี (69) '!G27</f>
        <v>191760801.52000001</v>
      </c>
      <c r="G27" s="68">
        <f>+'1 ปี (69) '!H27</f>
        <v>205000000</v>
      </c>
      <c r="H27" s="288">
        <f>+'1 ปี (69) '!K27</f>
        <v>205000000</v>
      </c>
      <c r="I27" s="288">
        <f>+'1 ปี (69) '!O27</f>
        <v>206401625.15000001</v>
      </c>
      <c r="J27" s="289">
        <f>+'1 ปี (69) '!T27</f>
        <v>212000000</v>
      </c>
      <c r="K27" s="1617">
        <f>+J27*4%+J27</f>
        <v>220480000</v>
      </c>
      <c r="L27" s="1644">
        <f>+K27*4%+K27</f>
        <v>229299200</v>
      </c>
    </row>
    <row r="28" spans="1:12" s="32" customFormat="1" ht="24" customHeight="1">
      <c r="A28" s="40"/>
      <c r="B28" s="39"/>
      <c r="C28" s="31"/>
      <c r="D28" s="36" t="s">
        <v>83</v>
      </c>
      <c r="E28" s="273">
        <v>0</v>
      </c>
      <c r="F28" s="273">
        <v>0</v>
      </c>
      <c r="G28" s="68">
        <v>0</v>
      </c>
      <c r="H28" s="288">
        <f>+'1 ปี (69) '!K28</f>
        <v>0</v>
      </c>
      <c r="I28" s="288">
        <f>+'1 ปี (69) '!O28</f>
        <v>0</v>
      </c>
      <c r="J28" s="289">
        <f>+'1 ปี (69) '!Q28</f>
        <v>0</v>
      </c>
      <c r="K28" s="288">
        <v>0</v>
      </c>
      <c r="L28" s="317">
        <v>0</v>
      </c>
    </row>
    <row r="29" spans="1:12" s="32" customFormat="1" ht="24" customHeight="1">
      <c r="A29" s="41"/>
      <c r="B29" s="42"/>
      <c r="C29" s="43"/>
      <c r="D29" s="36" t="s">
        <v>120</v>
      </c>
      <c r="E29" s="273">
        <v>26605920</v>
      </c>
      <c r="F29" s="279">
        <f>+'1 ปี (69) '!G29</f>
        <v>37353830</v>
      </c>
      <c r="G29" s="68">
        <f>+'1 ปี (69) '!H29</f>
        <v>40000000</v>
      </c>
      <c r="H29" s="288">
        <f>+'1 ปี (69) '!K29</f>
        <v>48000000</v>
      </c>
      <c r="I29" s="288">
        <f>+'1 ปี (69) '!O29</f>
        <v>52606958</v>
      </c>
      <c r="J29" s="289">
        <f>+'1 ปี (69) '!T29</f>
        <v>50000000</v>
      </c>
      <c r="K29" s="1617">
        <f>+J29*3%+J29</f>
        <v>51500000</v>
      </c>
      <c r="L29" s="1644">
        <f>+K29*3%+K29</f>
        <v>53045000</v>
      </c>
    </row>
    <row r="30" spans="1:12" s="32" customFormat="1" ht="24" customHeight="1">
      <c r="A30" s="41"/>
      <c r="B30" s="42"/>
      <c r="C30" s="43"/>
      <c r="D30" s="36" t="s">
        <v>36</v>
      </c>
      <c r="E30" s="273">
        <v>10495200</v>
      </c>
      <c r="F30" s="279">
        <f>+'1 ปี (69) '!G30</f>
        <v>10899200</v>
      </c>
      <c r="G30" s="68">
        <f>+'1 ปี (69) '!H30</f>
        <v>11136000</v>
      </c>
      <c r="H30" s="288">
        <f>+'1 ปี (69) '!K30</f>
        <v>11040000</v>
      </c>
      <c r="I30" s="288">
        <f>+'1 ปี (69) '!O30</f>
        <v>10915000</v>
      </c>
      <c r="J30" s="289">
        <f>+'1 ปี (69) '!T30</f>
        <v>11040000</v>
      </c>
      <c r="K30" s="1617">
        <f>+J30*3%+J30</f>
        <v>11371200</v>
      </c>
      <c r="L30" s="1627">
        <f>+K30*3%+K30</f>
        <v>11712336</v>
      </c>
    </row>
    <row r="31" spans="1:12" s="32" customFormat="1" ht="24" customHeight="1">
      <c r="A31" s="41"/>
      <c r="B31" s="42"/>
      <c r="C31" s="43"/>
      <c r="D31" s="36" t="s">
        <v>37</v>
      </c>
      <c r="E31" s="273">
        <v>0</v>
      </c>
      <c r="F31" s="273">
        <v>0</v>
      </c>
      <c r="G31" s="68">
        <v>0</v>
      </c>
      <c r="H31" s="288">
        <f>+'1 ปี (69) '!K31</f>
        <v>0</v>
      </c>
      <c r="I31" s="288">
        <f>+'1 ปี (69) '!O31</f>
        <v>0</v>
      </c>
      <c r="J31" s="289">
        <f>+'1 ปี (69) '!Q31</f>
        <v>0</v>
      </c>
      <c r="K31" s="289">
        <v>0</v>
      </c>
      <c r="L31" s="1646">
        <v>0</v>
      </c>
    </row>
    <row r="32" spans="1:12" s="32" customFormat="1" ht="24" customHeight="1">
      <c r="A32" s="41"/>
      <c r="B32" s="42"/>
      <c r="C32" s="43"/>
      <c r="D32" s="36" t="s">
        <v>38</v>
      </c>
      <c r="E32" s="273">
        <v>8605550.9800000004</v>
      </c>
      <c r="F32" s="279">
        <f>+'1 ปี (69) '!G32</f>
        <v>41374949.659999996</v>
      </c>
      <c r="G32" s="68">
        <f>+'1 ปี (69) '!H32</f>
        <v>41200000</v>
      </c>
      <c r="H32" s="288">
        <f>+'1 ปี (69) '!K32</f>
        <v>41200000</v>
      </c>
      <c r="I32" s="288">
        <f>+'1 ปี (69) '!O32</f>
        <v>25896114</v>
      </c>
      <c r="J32" s="289">
        <f>+'1 ปี (69) '!T32</f>
        <v>52600000</v>
      </c>
      <c r="K32" s="1617">
        <f>+J32*3%+J32</f>
        <v>54178000</v>
      </c>
      <c r="L32" s="1644">
        <f>+K32*3%+K32</f>
        <v>55803340</v>
      </c>
    </row>
    <row r="33" spans="1:12" s="32" customFormat="1" ht="24" customHeight="1">
      <c r="A33" s="41"/>
      <c r="B33" s="42"/>
      <c r="C33" s="43"/>
      <c r="D33" s="36" t="s">
        <v>39</v>
      </c>
      <c r="E33" s="273">
        <v>225000</v>
      </c>
      <c r="F33" s="279">
        <f>+'1 ปี (69) '!G33</f>
        <v>0</v>
      </c>
      <c r="G33" s="68">
        <f>+'1 ปี (69) '!H33</f>
        <v>300000</v>
      </c>
      <c r="H33" s="288">
        <f>+'1 ปี (69) '!K33</f>
        <v>300000</v>
      </c>
      <c r="I33" s="288">
        <f>+'1 ปี (69) '!O33</f>
        <v>70000</v>
      </c>
      <c r="J33" s="289">
        <f>+'1 ปี (69) '!T33</f>
        <v>300000</v>
      </c>
      <c r="K33" s="1618">
        <v>0</v>
      </c>
      <c r="L33" s="1647">
        <v>0</v>
      </c>
    </row>
    <row r="34" spans="1:12" s="32" customFormat="1" ht="24" customHeight="1">
      <c r="A34" s="41"/>
      <c r="B34" s="42"/>
      <c r="C34" s="43"/>
      <c r="D34" s="36" t="s">
        <v>86</v>
      </c>
      <c r="E34" s="2721">
        <f>367202135.79+10495200-E29-E30</f>
        <v>340596215.79000002</v>
      </c>
      <c r="F34" s="2716">
        <f>+'1 ปี (69) '!G34</f>
        <v>394593165.07999998</v>
      </c>
      <c r="G34" s="2728">
        <f>+'1 ปี (69) '!H34:H35</f>
        <v>392000000</v>
      </c>
      <c r="H34" s="2663">
        <f>+'1 ปี (69) '!K34</f>
        <v>384000000</v>
      </c>
      <c r="I34" s="2719">
        <f>+'1 ปี (69) '!O34:O35</f>
        <v>410442533.99000001</v>
      </c>
      <c r="J34" s="2729">
        <f>+'1 ปี (69) '!T34:T35</f>
        <v>382000000</v>
      </c>
      <c r="K34" s="2720">
        <f>+J34*3%+J34</f>
        <v>393460000</v>
      </c>
      <c r="L34" s="2727">
        <f>+K34*3%+K34</f>
        <v>405263800</v>
      </c>
    </row>
    <row r="35" spans="1:12" s="32" customFormat="1" ht="23.25" customHeight="1">
      <c r="A35" s="40"/>
      <c r="B35" s="39"/>
      <c r="C35" s="31"/>
      <c r="D35" s="36" t="s">
        <v>40</v>
      </c>
      <c r="E35" s="2722"/>
      <c r="F35" s="2690"/>
      <c r="G35" s="2664"/>
      <c r="H35" s="2664"/>
      <c r="I35" s="2664"/>
      <c r="J35" s="2730"/>
      <c r="K35" s="2720"/>
      <c r="L35" s="2727"/>
    </row>
    <row r="36" spans="1:12" s="32" customFormat="1" ht="23.25" customHeight="1">
      <c r="A36" s="40"/>
      <c r="B36" s="39"/>
      <c r="C36" s="31"/>
      <c r="D36" s="36" t="s">
        <v>78</v>
      </c>
      <c r="E36" s="273">
        <f>555000+295380+1278500</f>
        <v>2128880</v>
      </c>
      <c r="F36" s="279">
        <f>+'1 ปี (69) '!G36</f>
        <v>2342425</v>
      </c>
      <c r="G36" s="68">
        <f>+'1 ปี (69) '!H36</f>
        <v>2200000</v>
      </c>
      <c r="H36" s="288">
        <f>+'1 ปี (69) '!K36</f>
        <v>2296000</v>
      </c>
      <c r="I36" s="288">
        <f>+'1 ปี (69) '!O36</f>
        <v>2482475</v>
      </c>
      <c r="J36" s="289">
        <f>+'1 ปี (69) '!T36</f>
        <v>2296000</v>
      </c>
      <c r="K36" s="1617">
        <f>+J36*3%+J36</f>
        <v>2364880</v>
      </c>
      <c r="L36" s="1644">
        <f>+K36*3%+K36</f>
        <v>2435826.4</v>
      </c>
    </row>
    <row r="37" spans="1:12" s="176" customFormat="1" ht="23.25" customHeight="1">
      <c r="A37" s="169"/>
      <c r="B37" s="145"/>
      <c r="C37" s="146"/>
      <c r="D37" s="147" t="s">
        <v>41</v>
      </c>
      <c r="E37" s="275">
        <f>189000+247200</f>
        <v>436200</v>
      </c>
      <c r="F37" s="279">
        <f>+'1 ปี (69) '!G37</f>
        <v>147300</v>
      </c>
      <c r="G37" s="68">
        <f>+'1 ปี (69) '!H37</f>
        <v>500000</v>
      </c>
      <c r="H37" s="288">
        <f>+'1 ปี (69) '!K37</f>
        <v>500000</v>
      </c>
      <c r="I37" s="288">
        <f>+'1 ปี (69) '!O37</f>
        <v>229492</v>
      </c>
      <c r="J37" s="289">
        <f>+'1 ปี (69) '!T37</f>
        <v>500000</v>
      </c>
      <c r="K37" s="1619">
        <v>500000</v>
      </c>
      <c r="L37" s="1628">
        <v>500000</v>
      </c>
    </row>
    <row r="38" spans="1:12" s="32" customFormat="1" ht="23.25" customHeight="1">
      <c r="A38" s="41"/>
      <c r="B38" s="165" t="s">
        <v>42</v>
      </c>
      <c r="C38" s="166"/>
      <c r="D38" s="167"/>
      <c r="E38" s="276"/>
      <c r="F38" s="276"/>
      <c r="G38" s="168"/>
      <c r="H38" s="276"/>
      <c r="I38" s="276"/>
      <c r="J38" s="276"/>
      <c r="K38" s="272"/>
      <c r="L38" s="270"/>
    </row>
    <row r="39" spans="1:12" s="32" customFormat="1" ht="23.25" customHeight="1">
      <c r="A39" s="41"/>
      <c r="B39" s="31"/>
      <c r="C39" s="31"/>
      <c r="D39" s="37" t="s">
        <v>43</v>
      </c>
      <c r="E39" s="277">
        <f>+'1 ปี (69) '!F39</f>
        <v>423646772.83999997</v>
      </c>
      <c r="F39" s="279">
        <f>+'1 ปี (69) '!G39</f>
        <v>506852465.06</v>
      </c>
      <c r="G39" s="68">
        <f>+'1 ปี (69) '!H39</f>
        <v>480000000</v>
      </c>
      <c r="H39" s="288">
        <f>+'1 ปี (69) '!K39</f>
        <v>500000000</v>
      </c>
      <c r="I39" s="288">
        <f>+'1 ปี (69) '!O39</f>
        <v>543287245.50999999</v>
      </c>
      <c r="J39" s="288">
        <f>+'1 ปี (69) '!T39</f>
        <v>530000000</v>
      </c>
      <c r="K39" s="1620">
        <v>510000000</v>
      </c>
      <c r="L39" s="279">
        <v>510000000</v>
      </c>
    </row>
    <row r="40" spans="1:12" s="32" customFormat="1" ht="23.25" customHeight="1">
      <c r="A40" s="41"/>
      <c r="B40" s="39"/>
      <c r="C40" s="31"/>
      <c r="D40" s="37" t="s">
        <v>112</v>
      </c>
      <c r="E40" s="272"/>
      <c r="F40" s="272"/>
      <c r="G40" s="73"/>
      <c r="H40" s="272"/>
      <c r="I40" s="272"/>
      <c r="J40" s="272"/>
      <c r="K40" s="272"/>
      <c r="L40" s="270"/>
    </row>
    <row r="41" spans="1:12" s="32" customFormat="1" ht="23.25" customHeight="1">
      <c r="A41" s="41"/>
      <c r="B41" s="39"/>
      <c r="C41" s="43"/>
      <c r="D41" s="36" t="s">
        <v>45</v>
      </c>
      <c r="E41" s="273">
        <f>+'1 ปี (69) '!F41</f>
        <v>294582710.36000001</v>
      </c>
      <c r="F41" s="279">
        <f>+'1 ปี (69) '!G41</f>
        <v>380811985.63</v>
      </c>
      <c r="G41" s="68">
        <f>+'1 ปี (69) '!H41</f>
        <v>332850000</v>
      </c>
      <c r="H41" s="288">
        <f>+'1 ปี (69) '!K41</f>
        <v>357850000</v>
      </c>
      <c r="I41" s="288">
        <f>+'1 ปี (69) '!O41</f>
        <v>367023217.1099999</v>
      </c>
      <c r="J41" s="288">
        <f>+'1 ปี (69) '!T41</f>
        <v>366540000</v>
      </c>
      <c r="K41" s="1620">
        <f>+J41*3%+J41</f>
        <v>377536200</v>
      </c>
      <c r="L41" s="279">
        <f>+K41*3%+K41</f>
        <v>388862286</v>
      </c>
    </row>
    <row r="42" spans="1:12" s="32" customFormat="1" ht="23.25" customHeight="1">
      <c r="A42" s="41"/>
      <c r="B42" s="39"/>
      <c r="C42" s="43"/>
      <c r="D42" s="36" t="s">
        <v>46</v>
      </c>
      <c r="E42" s="273">
        <f>+'1 ปี (69) '!F42</f>
        <v>108302691.62</v>
      </c>
      <c r="F42" s="279">
        <f>+'1 ปี (69) '!G42</f>
        <v>115724946</v>
      </c>
      <c r="G42" s="68">
        <f>+'1 ปี (69) '!H42</f>
        <v>115000000</v>
      </c>
      <c r="H42" s="288">
        <f>+'1 ปี (69) '!K42</f>
        <v>114000000</v>
      </c>
      <c r="I42" s="288">
        <f>+'1 ปี (69) '!O42</f>
        <v>121717388.38</v>
      </c>
      <c r="J42" s="288">
        <f>+'1 ปี (69) '!T42</f>
        <v>126500000</v>
      </c>
      <c r="K42" s="1620">
        <f t="shared" ref="K42:L42" si="2">+J42*3%+J42</f>
        <v>130295000</v>
      </c>
      <c r="L42" s="279">
        <f t="shared" si="2"/>
        <v>134203850</v>
      </c>
    </row>
    <row r="43" spans="1:12" s="32" customFormat="1" ht="23.25" customHeight="1">
      <c r="A43" s="41"/>
      <c r="B43" s="39"/>
      <c r="C43" s="43"/>
      <c r="D43" s="36" t="s">
        <v>47</v>
      </c>
      <c r="E43" s="273">
        <f>+'1 ปี (69) '!F43</f>
        <v>4860582.3600000003</v>
      </c>
      <c r="F43" s="279">
        <f>+'1 ปี (69) '!G43</f>
        <v>7758767.6799999997</v>
      </c>
      <c r="G43" s="68">
        <f>+'1 ปี (69) '!H43</f>
        <v>8000000</v>
      </c>
      <c r="H43" s="288">
        <f>+'1 ปี (69) '!K43</f>
        <v>8000000</v>
      </c>
      <c r="I43" s="288">
        <f>+'1 ปี (69) '!O43</f>
        <v>7196561.5499999998</v>
      </c>
      <c r="J43" s="288">
        <f>+'1 ปี (69) '!T43</f>
        <v>8000000</v>
      </c>
      <c r="K43" s="1620">
        <f t="shared" ref="K43:L43" si="3">+J43*3%+J43</f>
        <v>8240000</v>
      </c>
      <c r="L43" s="279">
        <f t="shared" si="3"/>
        <v>8487200</v>
      </c>
    </row>
    <row r="44" spans="1:12" s="32" customFormat="1" ht="23.25" customHeight="1">
      <c r="A44" s="41"/>
      <c r="B44" s="39"/>
      <c r="C44" s="43"/>
      <c r="D44" s="36" t="s">
        <v>48</v>
      </c>
      <c r="E44" s="273">
        <f>+'1 ปี (69) '!F44</f>
        <v>10163306.949999999</v>
      </c>
      <c r="F44" s="279">
        <f>+'1 ปี (69) '!G44</f>
        <v>12136643.4</v>
      </c>
      <c r="G44" s="68">
        <f>+'1 ปี (69) '!H44</f>
        <v>10000000</v>
      </c>
      <c r="H44" s="288">
        <f>+'1 ปี (69) '!K44</f>
        <v>13000000</v>
      </c>
      <c r="I44" s="288">
        <f>+'1 ปี (69) '!O44</f>
        <v>10784868.16</v>
      </c>
      <c r="J44" s="288">
        <f>+'1 ปี (69) '!T44</f>
        <v>10000000</v>
      </c>
      <c r="K44" s="1620">
        <f t="shared" ref="K44:L44" si="4">+J44*3%+J44</f>
        <v>10300000</v>
      </c>
      <c r="L44" s="279">
        <f t="shared" si="4"/>
        <v>10609000</v>
      </c>
    </row>
    <row r="45" spans="1:12" s="32" customFormat="1" ht="23.25" customHeight="1">
      <c r="A45" s="41"/>
      <c r="B45" s="39"/>
      <c r="C45" s="43"/>
      <c r="D45" s="36" t="s">
        <v>49</v>
      </c>
      <c r="E45" s="273">
        <f>+'1 ปี (69) '!F45</f>
        <v>4427235.5</v>
      </c>
      <c r="F45" s="279">
        <f>+'1 ปี (69) '!G45</f>
        <v>22896823.600000001</v>
      </c>
      <c r="G45" s="68">
        <f>+'1 ปี (69) '!H45</f>
        <v>30000000</v>
      </c>
      <c r="H45" s="288">
        <f>+'1 ปี (69) '!K45</f>
        <v>30000000</v>
      </c>
      <c r="I45" s="288">
        <f>+'1 ปี (69) '!O45</f>
        <v>23154494.699999999</v>
      </c>
      <c r="J45" s="288">
        <f>+'1 ปี (69) '!T45</f>
        <v>30000000</v>
      </c>
      <c r="K45" s="1620">
        <f t="shared" ref="K45:L45" si="5">+J45*3%+J45</f>
        <v>30900000</v>
      </c>
      <c r="L45" s="279">
        <f t="shared" si="5"/>
        <v>31827000</v>
      </c>
    </row>
    <row r="46" spans="1:12" s="32" customFormat="1" ht="23.25" customHeight="1">
      <c r="A46" s="41"/>
      <c r="B46" s="39"/>
      <c r="C46" s="31"/>
      <c r="D46" s="37" t="s">
        <v>118</v>
      </c>
      <c r="E46" s="273">
        <f>+'1 ปี (69) '!F46</f>
        <v>58049037.340000033</v>
      </c>
      <c r="F46" s="279">
        <f>+'1 ปี (69) '!G46</f>
        <v>66635517.020000152</v>
      </c>
      <c r="G46" s="68">
        <f>+'1 ปี (69) '!H46</f>
        <v>74130000</v>
      </c>
      <c r="H46" s="288">
        <f>+'1 ปี (69) '!K46</f>
        <v>74890000</v>
      </c>
      <c r="I46" s="288">
        <f>+'1 ปี (69) '!O46</f>
        <v>69659346.130000234</v>
      </c>
      <c r="J46" s="288">
        <f>+'1 ปี (69) '!T46</f>
        <v>74120000</v>
      </c>
      <c r="K46" s="1620">
        <f t="shared" ref="K46:L46" si="6">+J46*3%+J46</f>
        <v>76343600</v>
      </c>
      <c r="L46" s="279">
        <f t="shared" si="6"/>
        <v>78633908</v>
      </c>
    </row>
    <row r="47" spans="1:12" s="32" customFormat="1" ht="23.25" customHeight="1">
      <c r="A47" s="41"/>
      <c r="B47" s="39"/>
      <c r="C47" s="31"/>
      <c r="D47" s="37" t="s">
        <v>51</v>
      </c>
      <c r="E47" s="273">
        <f>+'1 ปี (69) '!F47</f>
        <v>64033302.310000002</v>
      </c>
      <c r="F47" s="279">
        <f>+'1 ปี (69) '!G47</f>
        <v>59796624.25</v>
      </c>
      <c r="G47" s="68">
        <f>+'1 ปี (69) '!H47</f>
        <v>70000000</v>
      </c>
      <c r="H47" s="288">
        <f>+'1 ปี (69) '!K47</f>
        <v>70000000</v>
      </c>
      <c r="I47" s="288">
        <f>+'1 ปี (69) '!O47</f>
        <v>59560213.590000004</v>
      </c>
      <c r="J47" s="288">
        <f>+'1 ปี (69) '!T47</f>
        <v>60000000</v>
      </c>
      <c r="K47" s="1620">
        <f t="shared" ref="K47:L47" si="7">+J47*3%+J47</f>
        <v>61800000</v>
      </c>
      <c r="L47" s="279">
        <f t="shared" si="7"/>
        <v>63654000</v>
      </c>
    </row>
    <row r="48" spans="1:12" s="32" customFormat="1" ht="23.25" customHeight="1">
      <c r="A48" s="41"/>
      <c r="B48" s="39"/>
      <c r="C48" s="31"/>
      <c r="D48" s="37" t="s">
        <v>52</v>
      </c>
      <c r="E48" s="273">
        <f>+'1 ปี (69) '!F48</f>
        <v>170224752.50999999</v>
      </c>
      <c r="F48" s="279">
        <f>+'1 ปี (69) '!G48</f>
        <v>219379411.42000005</v>
      </c>
      <c r="G48" s="68">
        <f>+'1 ปี (69) '!H48</f>
        <v>209321600</v>
      </c>
      <c r="H48" s="288">
        <f>+'1 ปี (69) '!K48</f>
        <v>203054997.38</v>
      </c>
      <c r="I48" s="288">
        <f>+'1 ปี (69) '!O48</f>
        <v>200417441.31999996</v>
      </c>
      <c r="J48" s="288">
        <f>+'1 ปี (69) '!T48</f>
        <v>268157520</v>
      </c>
      <c r="K48" s="1620">
        <f t="shared" ref="K48:L48" si="8">+J48*3%+J48</f>
        <v>276202245.60000002</v>
      </c>
      <c r="L48" s="279">
        <f t="shared" si="8"/>
        <v>284488312.96800005</v>
      </c>
    </row>
    <row r="49" spans="1:12" s="32" customFormat="1" ht="23.25" customHeight="1">
      <c r="A49" s="41"/>
      <c r="B49" s="39"/>
      <c r="C49" s="31"/>
      <c r="D49" s="37" t="s">
        <v>53</v>
      </c>
      <c r="E49" s="273">
        <f>+'1 ปี (69) '!F49</f>
        <v>0</v>
      </c>
      <c r="F49" s="273">
        <v>0</v>
      </c>
      <c r="G49" s="68">
        <v>0</v>
      </c>
      <c r="H49" s="288">
        <f>+'1 ปี (69) '!K49</f>
        <v>0</v>
      </c>
      <c r="I49" s="288">
        <f>+'1 ปี (69) '!O49</f>
        <v>0</v>
      </c>
      <c r="J49" s="288">
        <f>+'1 ปี (69) '!Q49</f>
        <v>0</v>
      </c>
      <c r="K49" s="288">
        <v>0</v>
      </c>
      <c r="L49" s="317">
        <v>0</v>
      </c>
    </row>
    <row r="50" spans="1:12" s="32" customFormat="1" ht="24.95" customHeight="1">
      <c r="A50" s="41"/>
      <c r="B50" s="125" t="s">
        <v>108</v>
      </c>
      <c r="C50" s="126"/>
      <c r="D50" s="127"/>
      <c r="E50" s="272"/>
      <c r="F50" s="272"/>
      <c r="G50" s="73"/>
      <c r="H50" s="272"/>
      <c r="I50" s="272"/>
      <c r="J50" s="272"/>
      <c r="K50" s="272"/>
      <c r="L50" s="270"/>
    </row>
    <row r="51" spans="1:12" s="32" customFormat="1" ht="24.95" customHeight="1">
      <c r="A51" s="41"/>
      <c r="B51" s="39"/>
      <c r="C51" s="31"/>
      <c r="D51" s="39" t="s">
        <v>80</v>
      </c>
      <c r="E51" s="272"/>
      <c r="F51" s="272"/>
      <c r="G51" s="77"/>
      <c r="H51" s="290"/>
      <c r="I51" s="290"/>
      <c r="J51" s="290"/>
      <c r="K51" s="290"/>
      <c r="L51" s="319"/>
    </row>
    <row r="52" spans="1:12" s="32" customFormat="1" ht="24.95" customHeight="1">
      <c r="A52" s="41"/>
      <c r="B52" s="39"/>
      <c r="C52" s="31"/>
      <c r="D52" s="43" t="s">
        <v>115</v>
      </c>
      <c r="E52" s="273">
        <v>16655750</v>
      </c>
      <c r="F52" s="68">
        <v>0</v>
      </c>
      <c r="G52" s="68">
        <f>+รายละเอียดรายจ่าย!Y193</f>
        <v>16000000</v>
      </c>
      <c r="H52" s="288">
        <f>+'1 ปี (69) '!K52</f>
        <v>30827352.009999998</v>
      </c>
      <c r="I52" s="288">
        <f>+'1 ปี (69) '!O52</f>
        <v>16665000</v>
      </c>
      <c r="J52" s="288">
        <f>+'1 ปี (69) '!T52</f>
        <v>22596016.190000001</v>
      </c>
      <c r="K52" s="1620">
        <v>17000000</v>
      </c>
      <c r="L52" s="1629">
        <v>17000000</v>
      </c>
    </row>
    <row r="53" spans="1:12" s="32" customFormat="1" ht="24.95" customHeight="1">
      <c r="A53" s="41"/>
      <c r="B53" s="39"/>
      <c r="C53" s="31"/>
      <c r="D53" s="43" t="s">
        <v>116</v>
      </c>
      <c r="E53" s="2717">
        <f>62031461.74-E52</f>
        <v>45375711.740000002</v>
      </c>
      <c r="F53" s="279">
        <f>+'1 ปี (69) '!G53</f>
        <v>89194195.700000003</v>
      </c>
      <c r="G53" s="288">
        <v>0</v>
      </c>
      <c r="H53" s="288">
        <f>+'1 ปี (69) '!K53</f>
        <v>0</v>
      </c>
      <c r="I53" s="288">
        <f>+'1 ปี (69) '!O53</f>
        <v>0</v>
      </c>
      <c r="J53" s="288">
        <f>+'1 ปี (69) '!T53</f>
        <v>0</v>
      </c>
      <c r="K53" s="288">
        <v>0</v>
      </c>
      <c r="L53" s="317">
        <v>0</v>
      </c>
    </row>
    <row r="54" spans="1:12" s="32" customFormat="1" ht="24.95" customHeight="1">
      <c r="A54" s="41"/>
      <c r="B54" s="39"/>
      <c r="C54" s="31"/>
      <c r="D54" s="43" t="s">
        <v>998</v>
      </c>
      <c r="E54" s="2718"/>
      <c r="F54" s="68">
        <v>0</v>
      </c>
      <c r="G54" s="68">
        <f>+'1 ปี (69) '!H54</f>
        <v>88046936.819999993</v>
      </c>
      <c r="H54" s="288">
        <f>+'1 ปี (69) '!K54</f>
        <v>147553315.70000002</v>
      </c>
      <c r="I54" s="288">
        <f>+'1 ปี (69) '!O54</f>
        <v>98849619.930000007</v>
      </c>
      <c r="J54" s="288">
        <f>+'1 ปี (69) '!T54</f>
        <v>190738225.55666664</v>
      </c>
      <c r="K54" s="1620">
        <v>100000000</v>
      </c>
      <c r="L54" s="279">
        <v>100000000</v>
      </c>
    </row>
    <row r="55" spans="1:12" s="32" customFormat="1" ht="24.95" customHeight="1">
      <c r="A55" s="41"/>
      <c r="B55" s="39"/>
      <c r="C55" s="31"/>
      <c r="D55" s="39" t="s">
        <v>54</v>
      </c>
      <c r="E55" s="272"/>
      <c r="F55" s="272"/>
      <c r="G55" s="73"/>
      <c r="H55" s="272"/>
      <c r="I55" s="272"/>
      <c r="J55" s="272"/>
      <c r="K55" s="272"/>
      <c r="L55" s="270"/>
    </row>
    <row r="56" spans="1:12" s="32" customFormat="1" ht="24.95" customHeight="1">
      <c r="A56" s="41"/>
      <c r="B56" s="39"/>
      <c r="C56" s="31"/>
      <c r="D56" s="42" t="s">
        <v>109</v>
      </c>
      <c r="E56" s="273">
        <v>0</v>
      </c>
      <c r="F56" s="68">
        <v>0</v>
      </c>
      <c r="G56" s="68">
        <v>0</v>
      </c>
      <c r="H56" s="288">
        <f>+'1 ปี (69) '!K56</f>
        <v>0</v>
      </c>
      <c r="I56" s="288">
        <f>+'1 ปี (69) '!O56</f>
        <v>0</v>
      </c>
      <c r="J56" s="288">
        <v>0</v>
      </c>
      <c r="K56" s="288">
        <v>0</v>
      </c>
      <c r="L56" s="317">
        <v>0</v>
      </c>
    </row>
    <row r="57" spans="1:12" s="32" customFormat="1" ht="24.95" customHeight="1">
      <c r="A57" s="41"/>
      <c r="B57" s="39"/>
      <c r="C57" s="31"/>
      <c r="D57" s="42" t="s">
        <v>110</v>
      </c>
      <c r="E57" s="273">
        <v>0</v>
      </c>
      <c r="F57" s="68">
        <v>0</v>
      </c>
      <c r="G57" s="68">
        <f>+รายละเอียดรายจ่าย!Y197</f>
        <v>24000000</v>
      </c>
      <c r="H57" s="288">
        <f>+'1 ปี (69) '!K57</f>
        <v>200000000</v>
      </c>
      <c r="I57" s="288">
        <f>+'1 ปี (69) '!O57</f>
        <v>0</v>
      </c>
      <c r="J57" s="288">
        <f>+'1 ปี (69) '!T57</f>
        <v>104700000</v>
      </c>
      <c r="K57" s="288">
        <v>321000000</v>
      </c>
      <c r="L57" s="279">
        <v>50000000</v>
      </c>
    </row>
    <row r="58" spans="1:12" s="32" customFormat="1" ht="24.95" customHeight="1">
      <c r="A58" s="41"/>
      <c r="B58" s="39"/>
      <c r="C58" s="31"/>
      <c r="D58" s="42" t="s">
        <v>111</v>
      </c>
      <c r="E58" s="273">
        <v>0</v>
      </c>
      <c r="F58" s="68">
        <v>0</v>
      </c>
      <c r="G58" s="68">
        <f>+'1 ปี (69) '!H58</f>
        <v>226026911.13999999</v>
      </c>
      <c r="H58" s="288">
        <f>+'1 ปี (69) '!K58</f>
        <v>173640511.13999999</v>
      </c>
      <c r="I58" s="288">
        <f>+'1 ปี (69) '!O58</f>
        <v>20311325.890000001</v>
      </c>
      <c r="J58" s="288">
        <f>+'1 ปี (69) '!T58</f>
        <v>89577751.049999997</v>
      </c>
      <c r="K58" s="288">
        <f>+'สิ่งก่อสร้าง (NEW)'!E49</f>
        <v>198485223.52000001</v>
      </c>
      <c r="L58" s="1630">
        <v>50000000</v>
      </c>
    </row>
    <row r="59" spans="1:12" s="32" customFormat="1" ht="24.95" customHeight="1">
      <c r="A59" s="45"/>
      <c r="B59" s="76" t="s">
        <v>107</v>
      </c>
      <c r="C59" s="70"/>
      <c r="D59" s="70"/>
      <c r="E59" s="272"/>
      <c r="F59" s="272"/>
      <c r="G59" s="73"/>
      <c r="H59" s="272"/>
      <c r="I59" s="272"/>
      <c r="J59" s="272"/>
      <c r="K59" s="272"/>
      <c r="L59" s="270"/>
    </row>
    <row r="60" spans="1:12" s="32" customFormat="1" ht="24.95" customHeight="1">
      <c r="A60" s="45"/>
      <c r="B60" s="39"/>
      <c r="C60" s="43" t="s">
        <v>119</v>
      </c>
      <c r="D60" s="43"/>
      <c r="E60" s="273">
        <f>127930+1102457.67+1099806.51+4230700</f>
        <v>6560894.1799999997</v>
      </c>
      <c r="F60" s="279">
        <f>+'1 ปี (69) '!G60</f>
        <v>11105887.34</v>
      </c>
      <c r="G60" s="68">
        <f>+'1 ปี (69) '!H60</f>
        <v>2000000</v>
      </c>
      <c r="H60" s="288">
        <f>+'1 ปี (69) '!K60</f>
        <v>2000000</v>
      </c>
      <c r="I60" s="288">
        <f>+'1 ปี (69) '!O60</f>
        <v>11673320</v>
      </c>
      <c r="J60" s="288">
        <f>+'1 ปี (69) '!T60</f>
        <v>6545000</v>
      </c>
      <c r="K60" s="1621">
        <v>6000000</v>
      </c>
      <c r="L60" s="279">
        <v>6000000</v>
      </c>
    </row>
    <row r="61" spans="1:12" s="32" customFormat="1" ht="24.95" customHeight="1">
      <c r="A61" s="45"/>
      <c r="B61" s="39"/>
      <c r="C61" s="32" t="s">
        <v>106</v>
      </c>
      <c r="D61" s="42"/>
      <c r="E61" s="273">
        <f>12299449.89-E60+4357500</f>
        <v>10096055.710000001</v>
      </c>
      <c r="F61" s="279">
        <f>+'1 ปี (69) '!G61</f>
        <v>16943336.68</v>
      </c>
      <c r="G61" s="68">
        <f>+'1 ปี (69) '!H61</f>
        <v>20452939.98</v>
      </c>
      <c r="H61" s="288">
        <f>+'1 ปี (69) '!K61</f>
        <v>20452939.98</v>
      </c>
      <c r="I61" s="288">
        <f>+'1 ปี (69) '!O61</f>
        <v>13116961.41</v>
      </c>
      <c r="J61" s="288">
        <f>+'1 ปี (69) '!T61</f>
        <v>21280000</v>
      </c>
      <c r="K61" s="1620">
        <f>+J61*3%+J61</f>
        <v>21918400</v>
      </c>
      <c r="L61" s="1627">
        <f>+K61*3%+K61</f>
        <v>22575952</v>
      </c>
    </row>
    <row r="62" spans="1:12" s="32" customFormat="1" ht="24.95" customHeight="1">
      <c r="A62" s="43"/>
      <c r="B62" s="31" t="s">
        <v>176</v>
      </c>
      <c r="C62" s="31"/>
      <c r="D62" s="214"/>
      <c r="E62" s="273">
        <v>0</v>
      </c>
      <c r="F62" s="320">
        <v>0</v>
      </c>
      <c r="G62" s="68">
        <f>+'1 ปี (69) '!H62</f>
        <v>10000000</v>
      </c>
      <c r="H62" s="288">
        <f>+'1 ปี (69) '!K62</f>
        <v>10000000</v>
      </c>
      <c r="I62" s="288">
        <f>+'1 ปี (69) '!O62</f>
        <v>0</v>
      </c>
      <c r="J62" s="288">
        <f>+'1 ปี (69) '!T62</f>
        <v>10000000</v>
      </c>
      <c r="K62" s="1620">
        <v>10000000</v>
      </c>
      <c r="L62" s="279">
        <v>10000000</v>
      </c>
    </row>
    <row r="63" spans="1:12" s="32" customFormat="1" ht="24.95" customHeight="1">
      <c r="A63" s="161"/>
      <c r="B63" s="162"/>
      <c r="C63" s="162"/>
      <c r="D63" s="163" t="s">
        <v>55</v>
      </c>
      <c r="E63" s="274">
        <f>SUM(E27:E62)</f>
        <v>1794536654.4399998</v>
      </c>
      <c r="F63" s="286">
        <f>+'1 ปี (69) '!G63</f>
        <v>2187708275.04</v>
      </c>
      <c r="G63" s="154">
        <f>SUM(G25:G62)</f>
        <v>2408164387.9399996</v>
      </c>
      <c r="H63" s="154">
        <f>SUM(H25:H62)</f>
        <v>2647605116.21</v>
      </c>
      <c r="I63" s="154">
        <f>SUM(I25:I62)</f>
        <v>2272461201.8199997</v>
      </c>
      <c r="J63" s="274">
        <f>SUM(J27:J62)</f>
        <v>2629490512.7966671</v>
      </c>
      <c r="K63" s="274">
        <f>SUM(K25:K62)</f>
        <v>2889874749.1199999</v>
      </c>
      <c r="L63" s="318">
        <f>SUM(L25:L62)</f>
        <v>2524401011.368</v>
      </c>
    </row>
    <row r="64" spans="1:12" s="32" customFormat="1" ht="24.95" customHeight="1">
      <c r="A64" s="43"/>
      <c r="B64" s="31"/>
      <c r="C64" s="31"/>
      <c r="D64" s="46" t="s">
        <v>56</v>
      </c>
      <c r="E64" s="273">
        <f>E24-E63</f>
        <v>96536164.039999962</v>
      </c>
      <c r="F64" s="279">
        <f>+F24-F63</f>
        <v>65296369.809999943</v>
      </c>
      <c r="G64" s="279">
        <f t="shared" ref="G64:I64" si="9">+G24-G63</f>
        <v>2459500.0000004768</v>
      </c>
      <c r="H64" s="279">
        <f t="shared" si="9"/>
        <v>11222235.800000191</v>
      </c>
      <c r="I64" s="279">
        <f t="shared" si="9"/>
        <v>405489275.44999981</v>
      </c>
      <c r="J64" s="273">
        <f>J24-J63</f>
        <v>-170394496.60666704</v>
      </c>
      <c r="K64" s="273">
        <f>K24-K63</f>
        <v>-402334749.11999989</v>
      </c>
      <c r="L64" s="1630">
        <f>+L24-L63</f>
        <v>66471438.631999969</v>
      </c>
    </row>
    <row r="65" spans="1:13" s="32" customFormat="1" ht="24.95" customHeight="1">
      <c r="A65" s="43"/>
      <c r="B65" s="43"/>
      <c r="C65" s="43"/>
      <c r="D65" s="46" t="s">
        <v>57</v>
      </c>
      <c r="E65" s="273">
        <f>+'1 ปี (69) '!F65</f>
        <v>600320044.45000005</v>
      </c>
      <c r="F65" s="279">
        <f>+'1 ปี (69) '!G65</f>
        <v>696856208.49000001</v>
      </c>
      <c r="G65" s="24">
        <f>+F66</f>
        <v>762152578.29999995</v>
      </c>
      <c r="H65" s="24">
        <f>+G66</f>
        <v>764612078.30000043</v>
      </c>
      <c r="I65" s="273">
        <f>+'1 ปี (69) '!N65</f>
        <v>762152578.29999995</v>
      </c>
      <c r="J65" s="273">
        <f>+I66</f>
        <v>1167641853.7499998</v>
      </c>
      <c r="K65" s="1622">
        <f>+J66</f>
        <v>997247357.14333272</v>
      </c>
      <c r="L65" s="1630">
        <f>+K66</f>
        <v>594912608.02333283</v>
      </c>
    </row>
    <row r="66" spans="1:13" s="32" customFormat="1" ht="24.95" customHeight="1">
      <c r="A66" s="45"/>
      <c r="B66" s="45"/>
      <c r="C66" s="45"/>
      <c r="D66" s="170" t="s">
        <v>58</v>
      </c>
      <c r="E66" s="277">
        <f>+E64+E65</f>
        <v>696856208.49000001</v>
      </c>
      <c r="F66" s="279">
        <f>+F64+F65</f>
        <v>762152578.29999995</v>
      </c>
      <c r="G66" s="26">
        <f>+G64+G65</f>
        <v>764612078.30000043</v>
      </c>
      <c r="H66" s="24">
        <f>+H64+H65</f>
        <v>775834314.10000062</v>
      </c>
      <c r="I66" s="273">
        <f>+I64+I65</f>
        <v>1167641853.7499998</v>
      </c>
      <c r="J66" s="26">
        <f t="shared" ref="J66:K66" si="10">+J64+J65</f>
        <v>997247357.14333272</v>
      </c>
      <c r="K66" s="273">
        <f t="shared" si="10"/>
        <v>594912608.02333283</v>
      </c>
      <c r="L66" s="1630">
        <f>+L64+L65</f>
        <v>661384046.6553328</v>
      </c>
    </row>
    <row r="67" spans="1:13" s="32" customFormat="1" ht="24.95" customHeight="1">
      <c r="A67" s="43"/>
      <c r="B67" s="43"/>
      <c r="C67" s="43"/>
      <c r="D67" s="46" t="s">
        <v>59</v>
      </c>
      <c r="E67" s="273">
        <v>85488666.950000003</v>
      </c>
      <c r="F67" s="279">
        <f>+'1 ปี (69) '!G67</f>
        <v>65293912.810000002</v>
      </c>
      <c r="G67" s="24">
        <f>+รายได้รอการจัดสรร!F11</f>
        <v>56000000</v>
      </c>
      <c r="H67" s="24">
        <f>+รายได้รอการจัดสรร!F11</f>
        <v>56000000</v>
      </c>
      <c r="I67" s="273">
        <f>+'1 ปี (69) '!O67</f>
        <v>73221721.150000006</v>
      </c>
      <c r="J67" s="24">
        <f>+รายได้รอการจัดสรร!H11</f>
        <v>56000000</v>
      </c>
      <c r="K67" s="273">
        <f>+รายได้รอการจัดสรร!G11</f>
        <v>56000000</v>
      </c>
      <c r="L67" s="279">
        <f>+รายได้รอการจัดสรร!H11</f>
        <v>56000000</v>
      </c>
    </row>
    <row r="68" spans="1:13" s="32" customFormat="1" ht="24.95" customHeight="1">
      <c r="A68" s="43"/>
      <c r="B68" s="43"/>
      <c r="C68" s="43"/>
      <c r="D68" s="46" t="s">
        <v>60</v>
      </c>
      <c r="E68" s="273">
        <v>523497531.72000003</v>
      </c>
      <c r="F68" s="279">
        <f>+'1 ปี (69) '!G68</f>
        <v>288314676.38999993</v>
      </c>
      <c r="G68" s="24">
        <f>+ภาระผูกพัน!F30</f>
        <v>379000000</v>
      </c>
      <c r="H68" s="24">
        <f>+ภาระผูกพัน!F30</f>
        <v>379000000</v>
      </c>
      <c r="I68" s="273">
        <f>+'1 ปี (69) '!O68</f>
        <v>499090095.74000001</v>
      </c>
      <c r="J68" s="273">
        <f>+'ภาระผูกพัน (2)'!F30</f>
        <v>268000000</v>
      </c>
      <c r="K68" s="273">
        <f>+ภาระผูกพัน!G30</f>
        <v>389000000</v>
      </c>
      <c r="L68" s="279">
        <f>+ภาระผูกพัน!H30</f>
        <v>399000000</v>
      </c>
    </row>
    <row r="69" spans="1:13" s="32" customFormat="1" ht="24.95" customHeight="1">
      <c r="A69" s="43"/>
      <c r="B69" s="43"/>
      <c r="C69" s="43"/>
      <c r="D69" s="46" t="s">
        <v>114</v>
      </c>
      <c r="E69" s="273">
        <f>+E66-E67-E68</f>
        <v>87870009.819999933</v>
      </c>
      <c r="F69" s="279">
        <f>+F66-F67-F68</f>
        <v>408543989.10000008</v>
      </c>
      <c r="G69" s="24">
        <f>+G66-G67-G68</f>
        <v>329612078.30000043</v>
      </c>
      <c r="H69" s="24">
        <f>+'1 ปี (69) '!K69</f>
        <v>340834314.10000062</v>
      </c>
      <c r="I69" s="273">
        <f>+I66-I67-I68</f>
        <v>595330036.85999966</v>
      </c>
      <c r="J69" s="24">
        <f t="shared" ref="J69" si="11">+J66-J67-J68</f>
        <v>673247357.14333272</v>
      </c>
      <c r="K69" s="273">
        <f>+K66-K67-K68</f>
        <v>149912608.02333283</v>
      </c>
      <c r="L69" s="1631">
        <f>+L66-L67-L68</f>
        <v>206384046.6553328</v>
      </c>
    </row>
    <row r="70" spans="1:13" s="32" customFormat="1" ht="24.95" customHeight="1">
      <c r="A70" s="34" t="s">
        <v>61</v>
      </c>
      <c r="B70" s="33"/>
      <c r="C70" s="33"/>
      <c r="D70" s="47"/>
      <c r="E70" s="28"/>
      <c r="F70" s="279"/>
      <c r="G70" s="28"/>
      <c r="H70" s="28"/>
      <c r="I70" s="28"/>
      <c r="J70" s="291"/>
      <c r="K70" s="1623"/>
      <c r="L70" s="278"/>
    </row>
    <row r="71" spans="1:13" s="32" customFormat="1" ht="24.95" customHeight="1">
      <c r="A71" s="31"/>
      <c r="B71" s="31" t="s">
        <v>62</v>
      </c>
      <c r="C71" s="31"/>
      <c r="D71" s="43"/>
      <c r="E71" s="24">
        <v>0</v>
      </c>
      <c r="F71" s="24">
        <v>0</v>
      </c>
      <c r="G71" s="68">
        <v>0</v>
      </c>
      <c r="H71" s="68">
        <v>0</v>
      </c>
      <c r="I71" s="68">
        <v>0</v>
      </c>
      <c r="J71" s="288">
        <v>0</v>
      </c>
      <c r="K71" s="288">
        <v>0</v>
      </c>
      <c r="L71" s="317">
        <v>0</v>
      </c>
      <c r="M71" s="1643">
        <v>0</v>
      </c>
    </row>
    <row r="72" spans="1:13" s="32" customFormat="1" ht="24.95" customHeight="1">
      <c r="A72" s="31"/>
      <c r="B72" s="31" t="s">
        <v>63</v>
      </c>
      <c r="C72" s="31"/>
      <c r="D72" s="43"/>
      <c r="E72" s="273">
        <v>83264087.5</v>
      </c>
      <c r="F72" s="279">
        <f>+'1 ปี (69) '!G72</f>
        <v>146546638.65000001</v>
      </c>
      <c r="G72" s="68">
        <v>158000000</v>
      </c>
      <c r="H72" s="288">
        <f>+'1 ปี (69) '!K72</f>
        <v>150000000</v>
      </c>
      <c r="I72" s="288">
        <f>+'1 ปี (69) '!N72</f>
        <v>150000000</v>
      </c>
      <c r="J72" s="288">
        <f>+'1 ปี (69) '!T72</f>
        <v>150000000</v>
      </c>
      <c r="K72" s="1620">
        <v>150000000</v>
      </c>
      <c r="L72" s="279">
        <v>150000000</v>
      </c>
    </row>
    <row r="73" spans="1:13" s="32" customFormat="1" ht="24.95" customHeight="1">
      <c r="A73" s="31"/>
      <c r="B73" s="31" t="s">
        <v>64</v>
      </c>
      <c r="C73" s="31"/>
      <c r="D73" s="31"/>
      <c r="E73" s="272"/>
      <c r="F73" s="272"/>
      <c r="G73" s="78"/>
      <c r="H73" s="272"/>
      <c r="I73" s="272"/>
      <c r="J73" s="272"/>
      <c r="K73" s="272"/>
      <c r="L73" s="270"/>
    </row>
    <row r="74" spans="1:13" s="32" customFormat="1" ht="24.95" customHeight="1">
      <c r="A74" s="31"/>
      <c r="B74" s="31"/>
      <c r="C74" s="31"/>
      <c r="D74" s="31" t="s">
        <v>65</v>
      </c>
      <c r="E74" s="273">
        <v>0</v>
      </c>
      <c r="F74" s="273">
        <v>0</v>
      </c>
      <c r="G74" s="68">
        <v>0</v>
      </c>
      <c r="H74" s="68">
        <v>0</v>
      </c>
      <c r="I74" s="68">
        <v>0</v>
      </c>
      <c r="J74" s="288">
        <v>0</v>
      </c>
      <c r="K74" s="288">
        <v>0</v>
      </c>
      <c r="L74" s="317">
        <v>0</v>
      </c>
    </row>
    <row r="75" spans="1:13" s="32" customFormat="1" ht="24.95" customHeight="1">
      <c r="A75" s="31"/>
      <c r="B75" s="31"/>
      <c r="C75" s="31"/>
      <c r="D75" s="31" t="s">
        <v>66</v>
      </c>
      <c r="E75" s="273">
        <v>613592120.99000001</v>
      </c>
      <c r="F75" s="279">
        <f>+'1 ปี (69) '!G75</f>
        <v>615605939.64999998</v>
      </c>
      <c r="G75" s="68">
        <f>+F77+G24-G63+G62-G72</f>
        <v>616612078.30000019</v>
      </c>
      <c r="H75" s="288">
        <f>+'1 ปี (69) '!K75</f>
        <v>726209817.15999997</v>
      </c>
      <c r="I75" s="288">
        <f>+I66-I72</f>
        <v>1017641853.7499998</v>
      </c>
      <c r="J75" s="288">
        <f>+'1 ปี (69) '!T75</f>
        <v>847247357.14333272</v>
      </c>
      <c r="K75" s="1620">
        <f>+K66-K72</f>
        <v>444912608.02333283</v>
      </c>
      <c r="L75" s="1627">
        <f>+L66-L72</f>
        <v>511384046.6553328</v>
      </c>
    </row>
    <row r="76" spans="1:13" s="32" customFormat="1" ht="24.95" customHeight="1">
      <c r="A76" s="31"/>
      <c r="B76" s="31"/>
      <c r="C76" s="31"/>
      <c r="D76" s="31" t="s">
        <v>67</v>
      </c>
      <c r="E76" s="273">
        <v>0</v>
      </c>
      <c r="F76" s="273">
        <v>0</v>
      </c>
      <c r="G76" s="68">
        <v>0</v>
      </c>
      <c r="H76" s="68">
        <v>0</v>
      </c>
      <c r="I76" s="288">
        <f>+'1 ปี (69) '!N76</f>
        <v>0</v>
      </c>
      <c r="J76" s="288">
        <v>0</v>
      </c>
      <c r="K76" s="288">
        <v>0</v>
      </c>
      <c r="L76" s="278"/>
    </row>
    <row r="77" spans="1:13" s="32" customFormat="1" ht="24.95" customHeight="1">
      <c r="A77" s="31"/>
      <c r="B77" s="31"/>
      <c r="C77" s="31"/>
      <c r="D77" s="48" t="s">
        <v>68</v>
      </c>
      <c r="E77" s="273">
        <f>SUM(E71:E72,E74,E75,E76)</f>
        <v>696856208.49000001</v>
      </c>
      <c r="F77" s="279">
        <f>+'1 ปี (69) '!G77</f>
        <v>762152578.29999995</v>
      </c>
      <c r="G77" s="24">
        <f>SUM(G71:G72,G74,G75,G76)</f>
        <v>774612078.30000019</v>
      </c>
      <c r="H77" s="273">
        <f>+'1 ปี (69) '!K77</f>
        <v>876209817.15999997</v>
      </c>
      <c r="I77" s="273">
        <f>SUM(I71:I76)</f>
        <v>1167641853.7499998</v>
      </c>
      <c r="J77" s="273">
        <f>SUM(J71:J72,J74,J75,J76)</f>
        <v>997247357.14333272</v>
      </c>
      <c r="K77" s="273">
        <f>SUM(K71:K72,K74,K75,K76)</f>
        <v>594912608.02333283</v>
      </c>
      <c r="L77" s="279">
        <f>SUM(L70:L76)</f>
        <v>661384046.6553328</v>
      </c>
    </row>
    <row r="78" spans="1:13" ht="24.95" customHeight="1">
      <c r="A78" s="2"/>
      <c r="B78" s="2"/>
      <c r="C78" s="2"/>
      <c r="D78" s="9"/>
      <c r="E78" s="10"/>
      <c r="F78" s="283"/>
      <c r="G78" s="11"/>
      <c r="H78" s="11"/>
      <c r="I78" s="11"/>
      <c r="J78" s="11"/>
      <c r="K78" s="11"/>
    </row>
    <row r="79" spans="1:13" ht="24.95" customHeight="1">
      <c r="A79" s="12" t="s">
        <v>69</v>
      </c>
      <c r="B79" s="2"/>
      <c r="C79" s="2"/>
      <c r="D79" s="9"/>
      <c r="E79" s="13"/>
      <c r="F79" s="284"/>
      <c r="G79" s="292">
        <f>+G5</f>
        <v>0</v>
      </c>
      <c r="H79" s="292" t="s">
        <v>1002</v>
      </c>
      <c r="I79" s="293"/>
      <c r="J79" s="292" t="str">
        <f t="shared" ref="J79:L79" si="12">+J5</f>
        <v>แผนปี 2569</v>
      </c>
      <c r="K79" s="292" t="str">
        <f t="shared" si="12"/>
        <v>แผนปี 2570</v>
      </c>
      <c r="L79" s="292" t="str">
        <f t="shared" si="12"/>
        <v>แผนปี 2571</v>
      </c>
    </row>
    <row r="80" spans="1:13" ht="24.95" customHeight="1">
      <c r="A80" s="2"/>
      <c r="B80" s="2"/>
      <c r="C80" s="2"/>
      <c r="D80" s="9" t="s">
        <v>70</v>
      </c>
      <c r="E80" s="13"/>
      <c r="F80" s="284"/>
      <c r="G80" s="294">
        <f>+(G24-F24)/F24*100</f>
        <v>6.9959573075134118</v>
      </c>
      <c r="H80" s="1625">
        <f>+(H24-G24)/G24*100</f>
        <v>10.296233490082212</v>
      </c>
      <c r="I80" s="1626"/>
      <c r="J80" s="294">
        <f>+(J24-I24)/I24*100</f>
        <v>-8.1724611017866042</v>
      </c>
      <c r="K80" s="294">
        <f>+(K24-J24)/J24*100</f>
        <v>1.1566845549231388</v>
      </c>
      <c r="L80" s="294">
        <f>+(L24-K24)/K24*100</f>
        <v>4.1540015436937701</v>
      </c>
    </row>
    <row r="81" spans="1:12" ht="24.95" customHeight="1">
      <c r="A81" s="2"/>
      <c r="B81" s="2"/>
      <c r="C81" s="2"/>
      <c r="D81" s="9" t="s">
        <v>71</v>
      </c>
      <c r="E81" s="13"/>
      <c r="F81" s="284"/>
      <c r="G81" s="294">
        <f>+(G63-F63)/F63*100</f>
        <v>10.077034283557245</v>
      </c>
      <c r="H81" s="1625">
        <f>+(H63-G63)/G63*100</f>
        <v>9.9428730641940799</v>
      </c>
      <c r="I81" s="1626"/>
      <c r="J81" s="294">
        <f>+(J63-I63)/I63*100</f>
        <v>15.711129003686617</v>
      </c>
      <c r="K81" s="294">
        <f>+(K63-J63)/J63*100</f>
        <v>9.9024596231151243</v>
      </c>
      <c r="L81" s="294">
        <f>+(L63-K63)/K63*100</f>
        <v>-12.646698195597953</v>
      </c>
    </row>
    <row r="82" spans="1:12">
      <c r="A82" s="2"/>
      <c r="B82" s="2"/>
      <c r="C82" s="2"/>
      <c r="D82" s="9" t="s">
        <v>72</v>
      </c>
      <c r="E82" s="13"/>
      <c r="F82" s="284"/>
      <c r="G82" s="294">
        <f>+(G52+G54+G58+G57)/G63*100</f>
        <v>14.70305971358056</v>
      </c>
      <c r="H82" s="1625">
        <f>+(H52+H54+H57+H58)/H63*100</f>
        <v>20.849830492857205</v>
      </c>
      <c r="I82" s="1626"/>
      <c r="J82" s="294">
        <f>+(J52+J54+J57+J58)/J63*100</f>
        <v>15.501557842212549</v>
      </c>
      <c r="K82" s="294">
        <f>+(K52+K54+K57+K58)/K63*100</f>
        <v>22.024664692261041</v>
      </c>
      <c r="L82" s="294">
        <f>+(L52+L54+L57+L58)/L63*100</f>
        <v>8.5960986001350612</v>
      </c>
    </row>
    <row r="83" spans="1:12" hidden="1">
      <c r="A83" s="3" t="s">
        <v>84</v>
      </c>
      <c r="B83" s="2"/>
      <c r="C83" s="2"/>
      <c r="D83" s="9"/>
      <c r="E83" s="13"/>
      <c r="F83" s="284"/>
      <c r="G83" s="16"/>
      <c r="H83" s="16"/>
      <c r="I83" s="16"/>
      <c r="J83" s="16"/>
      <c r="K83" s="16"/>
    </row>
    <row r="84" spans="1:12" hidden="1">
      <c r="D84" s="3" t="s">
        <v>85</v>
      </c>
      <c r="E84" s="8"/>
      <c r="F84" s="192"/>
      <c r="G84" s="8"/>
      <c r="H84" s="8"/>
      <c r="I84" s="8"/>
      <c r="J84" s="8"/>
    </row>
    <row r="85" spans="1:12" hidden="1">
      <c r="A85" s="2"/>
      <c r="D85" s="3" t="s">
        <v>73</v>
      </c>
      <c r="E85" s="4"/>
      <c r="F85" s="280"/>
      <c r="G85" s="4"/>
      <c r="H85" s="4"/>
      <c r="I85" s="4"/>
      <c r="J85" s="4"/>
    </row>
    <row r="86" spans="1:12" hidden="1">
      <c r="D86" s="3" t="s">
        <v>623</v>
      </c>
      <c r="E86" s="4"/>
      <c r="F86" s="280"/>
      <c r="G86" s="4"/>
      <c r="H86" s="4"/>
      <c r="I86" s="4"/>
      <c r="J86" s="4"/>
    </row>
    <row r="87" spans="1:12" hidden="1">
      <c r="D87" s="3" t="s">
        <v>75</v>
      </c>
      <c r="E87" s="4"/>
      <c r="F87" s="280"/>
      <c r="G87" s="4"/>
      <c r="H87" s="4"/>
      <c r="I87" s="4"/>
      <c r="J87" s="4"/>
    </row>
    <row r="88" spans="1:12" hidden="1">
      <c r="D88" s="3" t="s">
        <v>76</v>
      </c>
      <c r="E88" s="4"/>
      <c r="F88" s="280"/>
      <c r="G88" s="4"/>
      <c r="H88" s="4"/>
      <c r="I88" s="4"/>
      <c r="J88" s="4"/>
    </row>
    <row r="89" spans="1:12">
      <c r="E89" s="4"/>
      <c r="F89" s="280"/>
      <c r="G89" s="4"/>
      <c r="H89" s="4"/>
      <c r="I89" s="4"/>
      <c r="J89" s="4"/>
    </row>
    <row r="90" spans="1:12" ht="24" customHeight="1">
      <c r="E90" s="4"/>
      <c r="F90" s="280"/>
      <c r="G90" s="4"/>
      <c r="H90" s="4"/>
      <c r="I90" s="4"/>
      <c r="J90" s="4"/>
    </row>
    <row r="91" spans="1:12" ht="24" customHeight="1">
      <c r="A91" s="2"/>
      <c r="B91" s="2" t="s">
        <v>77</v>
      </c>
      <c r="C91" s="2"/>
      <c r="D91" s="2644"/>
      <c r="E91" s="2648"/>
      <c r="F91" s="2648"/>
      <c r="G91" s="3"/>
      <c r="H91" s="3"/>
      <c r="I91" s="3"/>
      <c r="J91" s="3"/>
      <c r="K91" s="3"/>
    </row>
    <row r="92" spans="1:12" s="49" customFormat="1" ht="24" customHeight="1">
      <c r="A92" s="2644" t="s">
        <v>1049</v>
      </c>
      <c r="B92" s="2644"/>
      <c r="C92" s="2644"/>
      <c r="D92" s="2644"/>
      <c r="E92" s="2644"/>
      <c r="F92" s="2644"/>
      <c r="G92" s="2644"/>
      <c r="H92" s="2644"/>
      <c r="I92" s="2644"/>
      <c r="J92" s="2644"/>
      <c r="K92" s="2644"/>
    </row>
    <row r="93" spans="1:12" s="49" customFormat="1" ht="24" customHeight="1">
      <c r="A93" s="2644" t="s">
        <v>1050</v>
      </c>
      <c r="B93" s="2644"/>
      <c r="C93" s="2644"/>
      <c r="D93" s="2644"/>
      <c r="E93" s="2644"/>
      <c r="F93" s="2644"/>
      <c r="G93" s="2644"/>
      <c r="H93" s="2644"/>
      <c r="I93" s="2644"/>
      <c r="J93" s="2644"/>
      <c r="K93" s="2644"/>
    </row>
    <row r="94" spans="1:12" s="49" customFormat="1" ht="24" customHeight="1">
      <c r="A94" s="2644" t="s">
        <v>2746</v>
      </c>
      <c r="B94" s="2644"/>
      <c r="C94" s="2644"/>
      <c r="D94" s="2644"/>
      <c r="E94" s="2644"/>
      <c r="F94" s="2644"/>
      <c r="G94" s="2644"/>
      <c r="H94" s="2644"/>
      <c r="I94" s="2644"/>
      <c r="J94" s="2644"/>
      <c r="K94" s="2644"/>
    </row>
    <row r="95" spans="1:12" s="49" customFormat="1" ht="24" customHeight="1">
      <c r="A95" s="50"/>
      <c r="B95" s="50"/>
      <c r="C95" s="50"/>
      <c r="D95" s="50"/>
    </row>
    <row r="96" spans="1:12" s="49" customFormat="1" ht="24" customHeight="1">
      <c r="D96" s="2648"/>
      <c r="E96" s="2648"/>
      <c r="F96" s="2648"/>
    </row>
    <row r="97" spans="1:11" s="49" customFormat="1" ht="24" customHeight="1">
      <c r="A97" s="2644" t="s">
        <v>1048</v>
      </c>
      <c r="B97" s="2644"/>
      <c r="C97" s="2644"/>
      <c r="D97" s="2644"/>
      <c r="E97" s="2644"/>
      <c r="F97" s="2644"/>
      <c r="G97" s="2644"/>
      <c r="H97" s="2644"/>
      <c r="I97" s="2644"/>
      <c r="J97" s="2644"/>
      <c r="K97" s="2644"/>
    </row>
    <row r="98" spans="1:11" s="49" customFormat="1" ht="24" customHeight="1">
      <c r="D98" s="2644"/>
      <c r="E98" s="2644"/>
      <c r="F98" s="2644"/>
    </row>
    <row r="99" spans="1:11" ht="24" customHeight="1">
      <c r="E99" s="8"/>
      <c r="F99" s="192"/>
      <c r="G99" s="8"/>
      <c r="H99" s="8"/>
      <c r="I99" s="8"/>
      <c r="J99" s="8"/>
    </row>
    <row r="100" spans="1:11" ht="24" customHeight="1">
      <c r="E100" s="8"/>
      <c r="F100" s="192"/>
      <c r="G100" s="8"/>
      <c r="H100" s="8"/>
      <c r="I100" s="8"/>
      <c r="J100" s="8"/>
    </row>
    <row r="101" spans="1:11" ht="27" customHeight="1">
      <c r="E101" s="8"/>
      <c r="F101" s="192"/>
      <c r="G101" s="8"/>
      <c r="H101" s="8"/>
      <c r="I101" s="8"/>
      <c r="J101" s="8"/>
    </row>
    <row r="102" spans="1:11" ht="27" customHeight="1">
      <c r="E102" s="8"/>
      <c r="F102" s="192"/>
      <c r="G102" s="8"/>
      <c r="H102" s="8"/>
      <c r="I102" s="8"/>
      <c r="J102" s="8"/>
    </row>
    <row r="103" spans="1:11" ht="27" customHeight="1">
      <c r="E103" s="8"/>
      <c r="F103" s="192"/>
      <c r="G103" s="8"/>
      <c r="H103" s="8"/>
      <c r="I103" s="8"/>
      <c r="J103" s="8"/>
    </row>
    <row r="104" spans="1:11" ht="27" customHeight="1">
      <c r="E104" s="8"/>
      <c r="F104" s="192"/>
      <c r="G104" s="8"/>
      <c r="H104" s="8"/>
      <c r="I104" s="8"/>
      <c r="J104" s="8"/>
    </row>
    <row r="105" spans="1:11" ht="27" customHeight="1">
      <c r="E105" s="8"/>
      <c r="F105" s="192"/>
      <c r="G105" s="8"/>
      <c r="H105" s="8"/>
      <c r="I105" s="8"/>
      <c r="J105" s="8"/>
    </row>
    <row r="106" spans="1:11" ht="27" customHeight="1">
      <c r="E106" s="8"/>
      <c r="F106" s="192"/>
      <c r="G106" s="8"/>
      <c r="H106" s="8"/>
      <c r="I106" s="8"/>
      <c r="J106" s="8"/>
    </row>
    <row r="107" spans="1:11" ht="27" customHeight="1">
      <c r="E107" s="8"/>
      <c r="F107" s="192"/>
      <c r="G107" s="8"/>
      <c r="H107" s="8"/>
      <c r="I107" s="8"/>
      <c r="J107" s="8"/>
    </row>
    <row r="108" spans="1:11" ht="27" customHeight="1">
      <c r="E108" s="8"/>
      <c r="F108" s="192"/>
      <c r="G108" s="8"/>
      <c r="H108" s="8"/>
      <c r="I108" s="8"/>
      <c r="J108" s="8"/>
    </row>
    <row r="109" spans="1:11" ht="27" customHeight="1">
      <c r="E109" s="8"/>
      <c r="F109" s="192"/>
      <c r="G109" s="8"/>
      <c r="H109" s="8"/>
      <c r="I109" s="8"/>
      <c r="J109" s="8"/>
    </row>
    <row r="110" spans="1:11" ht="27" customHeight="1">
      <c r="E110" s="8"/>
      <c r="F110" s="192"/>
      <c r="G110" s="8"/>
      <c r="H110" s="8"/>
      <c r="I110" s="8"/>
      <c r="J110" s="8"/>
    </row>
    <row r="111" spans="1:11" ht="27" customHeight="1">
      <c r="E111" s="8"/>
      <c r="F111" s="192"/>
      <c r="G111" s="8"/>
      <c r="H111" s="8"/>
      <c r="I111" s="8"/>
      <c r="J111" s="8"/>
    </row>
    <row r="112" spans="1:11" ht="27" customHeight="1">
      <c r="E112" s="8"/>
      <c r="F112" s="192"/>
      <c r="G112" s="8"/>
      <c r="H112" s="8"/>
      <c r="I112" s="8"/>
      <c r="J112" s="8"/>
    </row>
    <row r="113" spans="5:10" ht="27" customHeight="1">
      <c r="E113" s="8"/>
      <c r="F113" s="192"/>
      <c r="G113" s="8"/>
      <c r="H113" s="8"/>
      <c r="I113" s="8"/>
      <c r="J113" s="8"/>
    </row>
    <row r="114" spans="5:10" ht="27" customHeight="1">
      <c r="E114" s="8"/>
      <c r="F114" s="192"/>
      <c r="G114" s="8"/>
      <c r="H114" s="8"/>
      <c r="I114" s="8"/>
      <c r="J114" s="8"/>
    </row>
    <row r="115" spans="5:10" ht="27" customHeight="1">
      <c r="E115" s="8"/>
      <c r="F115" s="192"/>
      <c r="G115" s="8"/>
      <c r="H115" s="8"/>
      <c r="I115" s="8"/>
      <c r="J115" s="8"/>
    </row>
    <row r="116" spans="5:10" ht="27" customHeight="1">
      <c r="E116" s="8"/>
      <c r="F116" s="192"/>
      <c r="G116" s="8"/>
      <c r="H116" s="8"/>
      <c r="I116" s="8"/>
      <c r="J116" s="8"/>
    </row>
    <row r="117" spans="5:10" ht="27" customHeight="1">
      <c r="E117" s="8"/>
      <c r="F117" s="192"/>
      <c r="G117" s="8"/>
      <c r="H117" s="8"/>
      <c r="I117" s="8"/>
      <c r="J117" s="8"/>
    </row>
    <row r="118" spans="5:10" ht="27" customHeight="1">
      <c r="E118" s="8"/>
      <c r="F118" s="192"/>
      <c r="G118" s="8"/>
      <c r="H118" s="8"/>
      <c r="I118" s="8"/>
      <c r="J118" s="8"/>
    </row>
    <row r="119" spans="5:10" ht="27" customHeight="1">
      <c r="E119" s="8"/>
      <c r="F119" s="192"/>
      <c r="G119" s="8"/>
      <c r="H119" s="8"/>
      <c r="I119" s="8"/>
      <c r="J119" s="8"/>
    </row>
    <row r="120" spans="5:10" ht="27" customHeight="1">
      <c r="E120" s="8"/>
      <c r="F120" s="192"/>
      <c r="G120" s="8"/>
      <c r="H120" s="8"/>
      <c r="I120" s="8"/>
      <c r="J120" s="8"/>
    </row>
    <row r="121" spans="5:10" ht="27" customHeight="1">
      <c r="E121" s="8"/>
      <c r="F121" s="192"/>
      <c r="G121" s="8"/>
      <c r="H121" s="8"/>
      <c r="I121" s="8"/>
      <c r="J121" s="8"/>
    </row>
    <row r="122" spans="5:10" ht="27" customHeight="1">
      <c r="E122" s="8"/>
      <c r="F122" s="192"/>
      <c r="G122" s="8"/>
      <c r="H122" s="8"/>
      <c r="I122" s="8"/>
      <c r="J122" s="8"/>
    </row>
    <row r="123" spans="5:10" ht="27" customHeight="1">
      <c r="E123" s="8"/>
      <c r="F123" s="192"/>
      <c r="G123" s="8"/>
      <c r="H123" s="8"/>
      <c r="I123" s="8"/>
      <c r="J123" s="8"/>
    </row>
    <row r="124" spans="5:10" ht="27" customHeight="1">
      <c r="E124" s="8"/>
      <c r="F124" s="192"/>
      <c r="G124" s="8"/>
      <c r="H124" s="8"/>
      <c r="I124" s="8"/>
      <c r="J124" s="8"/>
    </row>
    <row r="125" spans="5:10" ht="27" customHeight="1">
      <c r="E125" s="8"/>
      <c r="F125" s="192"/>
      <c r="G125" s="8"/>
      <c r="H125" s="8"/>
      <c r="I125" s="8"/>
      <c r="J125" s="8"/>
    </row>
    <row r="126" spans="5:10" ht="27" customHeight="1">
      <c r="E126" s="8"/>
      <c r="F126" s="192"/>
      <c r="G126" s="8"/>
      <c r="H126" s="8"/>
      <c r="I126" s="8"/>
      <c r="J126" s="8"/>
    </row>
    <row r="127" spans="5:10" ht="27" customHeight="1">
      <c r="E127" s="8"/>
      <c r="F127" s="192"/>
      <c r="G127" s="8"/>
      <c r="H127" s="8"/>
      <c r="I127" s="8"/>
      <c r="J127" s="8"/>
    </row>
    <row r="128" spans="5:10" ht="27" customHeight="1">
      <c r="E128" s="8"/>
      <c r="F128" s="192"/>
      <c r="G128" s="8"/>
      <c r="H128" s="8"/>
      <c r="I128" s="8"/>
      <c r="J128" s="8"/>
    </row>
    <row r="129" spans="5:10" ht="27" customHeight="1">
      <c r="E129" s="8"/>
      <c r="F129" s="192"/>
      <c r="G129" s="8"/>
      <c r="H129" s="8"/>
      <c r="I129" s="8"/>
      <c r="J129" s="8"/>
    </row>
    <row r="130" spans="5:10" ht="27" customHeight="1">
      <c r="E130" s="8"/>
      <c r="F130" s="192"/>
      <c r="G130" s="8"/>
      <c r="H130" s="8"/>
      <c r="I130" s="8"/>
      <c r="J130" s="8"/>
    </row>
    <row r="131" spans="5:10" ht="27" customHeight="1">
      <c r="E131" s="8"/>
      <c r="F131" s="192"/>
      <c r="G131" s="8"/>
      <c r="H131" s="8"/>
      <c r="I131" s="8"/>
      <c r="J131" s="8"/>
    </row>
    <row r="132" spans="5:10" ht="27" customHeight="1">
      <c r="E132" s="8"/>
      <c r="F132" s="192"/>
      <c r="G132" s="8"/>
      <c r="H132" s="8"/>
      <c r="I132" s="8"/>
      <c r="J132" s="8"/>
    </row>
    <row r="133" spans="5:10" ht="27" customHeight="1">
      <c r="E133" s="8"/>
      <c r="F133" s="192"/>
      <c r="G133" s="8"/>
      <c r="H133" s="8"/>
      <c r="I133" s="8"/>
      <c r="J133" s="8"/>
    </row>
    <row r="134" spans="5:10" ht="27" customHeight="1">
      <c r="E134" s="8"/>
      <c r="F134" s="192"/>
      <c r="G134" s="8"/>
      <c r="H134" s="8"/>
      <c r="I134" s="8"/>
      <c r="J134" s="8"/>
    </row>
    <row r="135" spans="5:10" ht="27" customHeight="1">
      <c r="E135" s="8"/>
      <c r="F135" s="192"/>
      <c r="G135" s="8"/>
      <c r="H135" s="8"/>
      <c r="I135" s="8"/>
      <c r="J135" s="8"/>
    </row>
    <row r="136" spans="5:10" ht="27" customHeight="1">
      <c r="E136" s="8"/>
      <c r="F136" s="192"/>
      <c r="G136" s="8"/>
      <c r="H136" s="8"/>
      <c r="I136" s="8"/>
      <c r="J136" s="8"/>
    </row>
    <row r="137" spans="5:10" ht="27" customHeight="1">
      <c r="E137" s="8"/>
      <c r="F137" s="192"/>
      <c r="G137" s="8"/>
      <c r="H137" s="8"/>
      <c r="I137" s="8"/>
      <c r="J137" s="8"/>
    </row>
    <row r="138" spans="5:10" ht="27" customHeight="1">
      <c r="E138" s="8"/>
      <c r="F138" s="192"/>
      <c r="G138" s="8"/>
      <c r="H138" s="8"/>
      <c r="I138" s="8"/>
      <c r="J138" s="8"/>
    </row>
    <row r="139" spans="5:10" ht="27" customHeight="1">
      <c r="E139" s="8"/>
      <c r="F139" s="192"/>
      <c r="G139" s="8"/>
      <c r="H139" s="8"/>
      <c r="I139" s="8"/>
      <c r="J139" s="8"/>
    </row>
    <row r="140" spans="5:10" ht="27" customHeight="1">
      <c r="E140" s="8"/>
      <c r="F140" s="192"/>
      <c r="G140" s="8"/>
      <c r="H140" s="8"/>
      <c r="I140" s="8"/>
      <c r="J140" s="8"/>
    </row>
    <row r="141" spans="5:10" ht="27" customHeight="1">
      <c r="E141" s="8"/>
      <c r="F141" s="192"/>
      <c r="G141" s="8"/>
      <c r="H141" s="8"/>
      <c r="I141" s="8"/>
      <c r="J141" s="8"/>
    </row>
    <row r="142" spans="5:10" ht="27" customHeight="1">
      <c r="E142" s="8"/>
      <c r="F142" s="192"/>
      <c r="G142" s="8"/>
      <c r="H142" s="8"/>
      <c r="I142" s="8"/>
      <c r="J142" s="8"/>
    </row>
    <row r="143" spans="5:10" ht="27" customHeight="1">
      <c r="E143" s="8"/>
      <c r="F143" s="192"/>
      <c r="G143" s="8"/>
      <c r="H143" s="8"/>
      <c r="I143" s="8"/>
      <c r="J143" s="8"/>
    </row>
    <row r="144" spans="5:10" ht="27" customHeight="1">
      <c r="E144" s="8"/>
      <c r="F144" s="192"/>
      <c r="G144" s="8"/>
      <c r="H144" s="8"/>
      <c r="I144" s="8"/>
      <c r="J144" s="8"/>
    </row>
    <row r="145" spans="5:10" ht="27" customHeight="1">
      <c r="E145" s="8"/>
      <c r="F145" s="192"/>
      <c r="G145" s="8"/>
      <c r="H145" s="8"/>
      <c r="I145" s="8"/>
      <c r="J145" s="8"/>
    </row>
    <row r="146" spans="5:10" ht="27" customHeight="1">
      <c r="E146" s="8"/>
      <c r="F146" s="192"/>
      <c r="G146" s="8"/>
      <c r="H146" s="8"/>
      <c r="I146" s="8"/>
      <c r="J146" s="8"/>
    </row>
    <row r="147" spans="5:10" ht="27" customHeight="1">
      <c r="E147" s="8"/>
      <c r="F147" s="192"/>
      <c r="G147" s="8"/>
      <c r="H147" s="8"/>
      <c r="I147" s="8"/>
      <c r="J147" s="8"/>
    </row>
    <row r="148" spans="5:10" ht="27" customHeight="1">
      <c r="E148" s="8"/>
      <c r="F148" s="192"/>
      <c r="G148" s="8"/>
      <c r="H148" s="8"/>
      <c r="I148" s="8"/>
      <c r="J148" s="8"/>
    </row>
    <row r="149" spans="5:10" ht="14.25" customHeight="1">
      <c r="E149" s="8"/>
      <c r="F149" s="192"/>
      <c r="G149" s="8"/>
      <c r="H149" s="8"/>
      <c r="I149" s="8"/>
      <c r="J149" s="8"/>
    </row>
    <row r="150" spans="5:10" ht="14.25" customHeight="1">
      <c r="E150" s="8"/>
      <c r="F150" s="192"/>
      <c r="G150" s="8"/>
      <c r="H150" s="8"/>
      <c r="I150" s="8"/>
      <c r="J150" s="8"/>
    </row>
    <row r="151" spans="5:10" ht="14.25" customHeight="1">
      <c r="E151" s="8"/>
      <c r="F151" s="192"/>
      <c r="G151" s="8"/>
      <c r="H151" s="8"/>
      <c r="I151" s="8"/>
      <c r="J151" s="8"/>
    </row>
    <row r="152" spans="5:10" ht="14.25" customHeight="1">
      <c r="E152" s="8"/>
      <c r="F152" s="192"/>
      <c r="G152" s="8"/>
      <c r="H152" s="8"/>
      <c r="I152" s="8"/>
      <c r="J152" s="8"/>
    </row>
    <row r="153" spans="5:10" ht="14.25" customHeight="1">
      <c r="E153" s="8"/>
      <c r="F153" s="192"/>
      <c r="G153" s="8"/>
      <c r="H153" s="8"/>
      <c r="I153" s="8"/>
      <c r="J153" s="8"/>
    </row>
    <row r="154" spans="5:10" ht="14.25" customHeight="1">
      <c r="E154" s="8"/>
      <c r="F154" s="192"/>
      <c r="G154" s="8"/>
      <c r="H154" s="8"/>
      <c r="I154" s="8"/>
      <c r="J154" s="8"/>
    </row>
    <row r="155" spans="5:10" ht="14.25" customHeight="1">
      <c r="E155" s="8"/>
      <c r="F155" s="192"/>
      <c r="G155" s="8"/>
      <c r="H155" s="8"/>
      <c r="I155" s="8"/>
      <c r="J155" s="8"/>
    </row>
    <row r="156" spans="5:10" ht="14.25" customHeight="1">
      <c r="E156" s="8"/>
      <c r="F156" s="192"/>
      <c r="G156" s="8"/>
      <c r="H156" s="8"/>
      <c r="I156" s="8"/>
      <c r="J156" s="8"/>
    </row>
    <row r="157" spans="5:10" ht="14.25" customHeight="1">
      <c r="E157" s="8"/>
      <c r="F157" s="192"/>
      <c r="G157" s="8"/>
      <c r="H157" s="8"/>
      <c r="I157" s="8"/>
      <c r="J157" s="8"/>
    </row>
    <row r="158" spans="5:10" ht="14.25" customHeight="1">
      <c r="E158" s="8"/>
      <c r="F158" s="192"/>
      <c r="G158" s="8"/>
      <c r="H158" s="8"/>
      <c r="I158" s="8"/>
      <c r="J158" s="8"/>
    </row>
    <row r="159" spans="5:10" ht="14.25" customHeight="1">
      <c r="E159" s="8"/>
      <c r="F159" s="192"/>
      <c r="G159" s="8"/>
      <c r="H159" s="8"/>
      <c r="I159" s="8"/>
      <c r="J159" s="8"/>
    </row>
    <row r="160" spans="5:10" ht="14.25" customHeight="1">
      <c r="E160" s="8"/>
      <c r="F160" s="192"/>
      <c r="G160" s="8"/>
      <c r="H160" s="8"/>
      <c r="I160" s="8"/>
      <c r="J160" s="8"/>
    </row>
    <row r="161" spans="5:10" ht="14.25" customHeight="1">
      <c r="E161" s="8"/>
      <c r="F161" s="192"/>
      <c r="G161" s="8"/>
      <c r="H161" s="8"/>
      <c r="I161" s="8"/>
      <c r="J161" s="8"/>
    </row>
    <row r="162" spans="5:10" ht="14.25" customHeight="1">
      <c r="E162" s="8"/>
      <c r="F162" s="192"/>
      <c r="G162" s="8"/>
      <c r="H162" s="8"/>
      <c r="I162" s="8"/>
      <c r="J162" s="8"/>
    </row>
    <row r="163" spans="5:10" ht="14.25" customHeight="1">
      <c r="E163" s="8"/>
      <c r="F163" s="192"/>
      <c r="G163" s="8"/>
      <c r="H163" s="8"/>
      <c r="I163" s="8"/>
      <c r="J163" s="8"/>
    </row>
    <row r="164" spans="5:10" ht="14.25" customHeight="1">
      <c r="E164" s="8"/>
      <c r="F164" s="192"/>
      <c r="G164" s="8"/>
      <c r="H164" s="8"/>
      <c r="I164" s="8"/>
      <c r="J164" s="8"/>
    </row>
    <row r="165" spans="5:10" ht="14.25" customHeight="1">
      <c r="E165" s="8"/>
      <c r="F165" s="192"/>
      <c r="G165" s="8"/>
      <c r="H165" s="8"/>
      <c r="I165" s="8"/>
      <c r="J165" s="8"/>
    </row>
    <row r="166" spans="5:10" ht="14.25" customHeight="1">
      <c r="E166" s="8"/>
      <c r="F166" s="192"/>
      <c r="G166" s="8"/>
      <c r="H166" s="8"/>
      <c r="I166" s="8"/>
      <c r="J166" s="8"/>
    </row>
    <row r="167" spans="5:10" ht="14.25" customHeight="1">
      <c r="E167" s="8"/>
      <c r="F167" s="192"/>
      <c r="G167" s="8"/>
      <c r="H167" s="8"/>
      <c r="I167" s="8"/>
      <c r="J167" s="8"/>
    </row>
    <row r="168" spans="5:10" ht="14.25" customHeight="1">
      <c r="E168" s="8"/>
      <c r="F168" s="192"/>
      <c r="G168" s="8"/>
      <c r="H168" s="8"/>
      <c r="I168" s="8"/>
      <c r="J168" s="8"/>
    </row>
    <row r="169" spans="5:10" ht="14.25" customHeight="1">
      <c r="E169" s="8"/>
      <c r="F169" s="192"/>
      <c r="G169" s="8"/>
      <c r="H169" s="8"/>
      <c r="I169" s="8"/>
      <c r="J169" s="8"/>
    </row>
    <row r="170" spans="5:10" ht="14.25" customHeight="1">
      <c r="E170" s="8"/>
      <c r="F170" s="192"/>
      <c r="G170" s="8"/>
      <c r="H170" s="8"/>
      <c r="I170" s="8"/>
      <c r="J170" s="8"/>
    </row>
    <row r="171" spans="5:10" ht="14.25" customHeight="1">
      <c r="E171" s="8"/>
      <c r="F171" s="192"/>
      <c r="G171" s="8"/>
      <c r="H171" s="8"/>
      <c r="I171" s="8"/>
      <c r="J171" s="8"/>
    </row>
    <row r="172" spans="5:10" ht="14.25" customHeight="1">
      <c r="E172" s="8"/>
      <c r="F172" s="192"/>
      <c r="G172" s="8"/>
      <c r="H172" s="8"/>
      <c r="I172" s="8"/>
      <c r="J172" s="8"/>
    </row>
    <row r="173" spans="5:10" ht="14.25" customHeight="1">
      <c r="E173" s="8"/>
      <c r="F173" s="192"/>
      <c r="G173" s="8"/>
      <c r="H173" s="8"/>
      <c r="I173" s="8"/>
      <c r="J173" s="8"/>
    </row>
    <row r="174" spans="5:10" ht="14.25" customHeight="1">
      <c r="E174" s="8"/>
      <c r="F174" s="192"/>
      <c r="G174" s="8"/>
      <c r="H174" s="8"/>
      <c r="I174" s="8"/>
      <c r="J174" s="8"/>
    </row>
    <row r="175" spans="5:10" ht="14.25" customHeight="1">
      <c r="E175" s="8"/>
      <c r="F175" s="192"/>
      <c r="G175" s="8"/>
      <c r="H175" s="8"/>
      <c r="I175" s="8"/>
      <c r="J175" s="8"/>
    </row>
    <row r="176" spans="5:10" ht="14.25" customHeight="1">
      <c r="E176" s="8"/>
      <c r="F176" s="192"/>
      <c r="G176" s="8"/>
      <c r="H176" s="8"/>
      <c r="I176" s="8"/>
      <c r="J176" s="8"/>
    </row>
    <row r="177" spans="5:10" ht="14.25" customHeight="1">
      <c r="E177" s="8"/>
      <c r="F177" s="192"/>
      <c r="G177" s="8"/>
      <c r="H177" s="8"/>
      <c r="I177" s="8"/>
      <c r="J177" s="8"/>
    </row>
    <row r="178" spans="5:10" ht="14.25" customHeight="1">
      <c r="E178" s="8"/>
      <c r="F178" s="192"/>
      <c r="G178" s="8"/>
      <c r="H178" s="8"/>
      <c r="I178" s="8"/>
      <c r="J178" s="8"/>
    </row>
    <row r="179" spans="5:10" ht="14.25" customHeight="1">
      <c r="E179" s="8"/>
      <c r="F179" s="192"/>
      <c r="G179" s="8"/>
      <c r="H179" s="8"/>
      <c r="I179" s="8"/>
      <c r="J179" s="8"/>
    </row>
    <row r="180" spans="5:10" ht="14.25" customHeight="1">
      <c r="E180" s="8"/>
      <c r="F180" s="192"/>
      <c r="G180" s="8"/>
      <c r="H180" s="8"/>
      <c r="I180" s="8"/>
      <c r="J180" s="8"/>
    </row>
    <row r="181" spans="5:10" ht="14.25" customHeight="1">
      <c r="E181" s="8"/>
      <c r="F181" s="192"/>
      <c r="G181" s="8"/>
      <c r="H181" s="8"/>
      <c r="I181" s="8"/>
      <c r="J181" s="8"/>
    </row>
    <row r="182" spans="5:10" ht="14.25" customHeight="1">
      <c r="E182" s="8"/>
      <c r="F182" s="192"/>
      <c r="G182" s="8"/>
      <c r="H182" s="8"/>
      <c r="I182" s="8"/>
      <c r="J182" s="8"/>
    </row>
    <row r="183" spans="5:10" ht="14.25" customHeight="1">
      <c r="E183" s="8"/>
      <c r="F183" s="192"/>
      <c r="G183" s="8"/>
      <c r="H183" s="8"/>
      <c r="I183" s="8"/>
      <c r="J183" s="8"/>
    </row>
    <row r="184" spans="5:10" ht="14.25" customHeight="1">
      <c r="E184" s="8"/>
      <c r="F184" s="192"/>
      <c r="G184" s="8"/>
      <c r="H184" s="8"/>
      <c r="I184" s="8"/>
      <c r="J184" s="8"/>
    </row>
    <row r="185" spans="5:10" ht="14.25" customHeight="1">
      <c r="E185" s="8"/>
      <c r="F185" s="192"/>
      <c r="G185" s="8"/>
      <c r="H185" s="8"/>
      <c r="I185" s="8"/>
      <c r="J185" s="8"/>
    </row>
    <row r="186" spans="5:10" ht="14.25" customHeight="1">
      <c r="E186" s="8"/>
      <c r="F186" s="192"/>
      <c r="G186" s="8"/>
      <c r="H186" s="8"/>
      <c r="I186" s="8"/>
      <c r="J186" s="8"/>
    </row>
    <row r="187" spans="5:10" ht="14.25" customHeight="1">
      <c r="E187" s="8"/>
      <c r="F187" s="192"/>
      <c r="G187" s="8"/>
      <c r="H187" s="8"/>
      <c r="I187" s="8"/>
      <c r="J187" s="8"/>
    </row>
    <row r="188" spans="5:10" ht="14.25" customHeight="1">
      <c r="E188" s="8"/>
      <c r="F188" s="192"/>
      <c r="G188" s="8"/>
      <c r="H188" s="8"/>
      <c r="I188" s="8"/>
      <c r="J188" s="8"/>
    </row>
    <row r="189" spans="5:10" ht="14.25" customHeight="1">
      <c r="E189" s="8"/>
      <c r="F189" s="192"/>
      <c r="G189" s="8"/>
      <c r="H189" s="8"/>
      <c r="I189" s="8"/>
      <c r="J189" s="8"/>
    </row>
    <row r="190" spans="5:10" ht="14.25" customHeight="1">
      <c r="E190" s="8"/>
      <c r="F190" s="192"/>
      <c r="G190" s="8"/>
      <c r="H190" s="8"/>
      <c r="I190" s="8"/>
      <c r="J190" s="8"/>
    </row>
    <row r="191" spans="5:10" ht="14.25" customHeight="1">
      <c r="E191" s="8"/>
      <c r="F191" s="192"/>
      <c r="G191" s="8"/>
      <c r="H191" s="8"/>
      <c r="I191" s="8"/>
      <c r="J191" s="8"/>
    </row>
    <row r="192" spans="5:10" ht="14.25" customHeight="1">
      <c r="E192" s="8"/>
      <c r="F192" s="192"/>
      <c r="G192" s="8"/>
      <c r="H192" s="8"/>
      <c r="I192" s="8"/>
      <c r="J192" s="8"/>
    </row>
    <row r="193" spans="5:10" ht="14.25" customHeight="1">
      <c r="E193" s="8"/>
      <c r="F193" s="192"/>
      <c r="G193" s="8"/>
      <c r="H193" s="8"/>
      <c r="I193" s="8"/>
      <c r="J193" s="8"/>
    </row>
    <row r="194" spans="5:10" ht="14.25" customHeight="1">
      <c r="E194" s="8"/>
      <c r="F194" s="192"/>
      <c r="G194" s="8"/>
      <c r="H194" s="8"/>
      <c r="I194" s="8"/>
      <c r="J194" s="8"/>
    </row>
    <row r="195" spans="5:10" ht="14.25" customHeight="1">
      <c r="E195" s="8"/>
      <c r="F195" s="192"/>
      <c r="G195" s="8"/>
      <c r="H195" s="8"/>
      <c r="I195" s="8"/>
      <c r="J195" s="8"/>
    </row>
    <row r="196" spans="5:10" ht="14.25" customHeight="1">
      <c r="E196" s="8"/>
      <c r="F196" s="192"/>
      <c r="G196" s="8"/>
      <c r="H196" s="8"/>
      <c r="I196" s="8"/>
      <c r="J196" s="8"/>
    </row>
    <row r="197" spans="5:10" ht="14.25" customHeight="1">
      <c r="E197" s="8"/>
      <c r="F197" s="192"/>
      <c r="G197" s="8"/>
      <c r="H197" s="8"/>
      <c r="I197" s="8"/>
      <c r="J197" s="8"/>
    </row>
    <row r="198" spans="5:10" ht="14.25" customHeight="1">
      <c r="E198" s="8"/>
      <c r="F198" s="192"/>
      <c r="G198" s="8"/>
      <c r="H198" s="8"/>
      <c r="I198" s="8"/>
      <c r="J198" s="8"/>
    </row>
    <row r="199" spans="5:10" ht="14.25" customHeight="1">
      <c r="E199" s="8"/>
      <c r="F199" s="192"/>
      <c r="G199" s="8"/>
      <c r="H199" s="8"/>
      <c r="I199" s="8"/>
      <c r="J199" s="8"/>
    </row>
    <row r="200" spans="5:10" ht="14.25" customHeight="1">
      <c r="E200" s="8"/>
      <c r="F200" s="192"/>
      <c r="G200" s="8"/>
      <c r="H200" s="8"/>
      <c r="I200" s="8"/>
      <c r="J200" s="8"/>
    </row>
    <row r="201" spans="5:10" ht="14.25" customHeight="1">
      <c r="E201" s="8"/>
      <c r="F201" s="192"/>
      <c r="G201" s="8"/>
      <c r="H201" s="8"/>
      <c r="I201" s="8"/>
      <c r="J201" s="8"/>
    </row>
    <row r="202" spans="5:10" ht="14.25" customHeight="1">
      <c r="E202" s="8"/>
      <c r="F202" s="192"/>
      <c r="G202" s="8"/>
      <c r="H202" s="8"/>
      <c r="I202" s="8"/>
      <c r="J202" s="8"/>
    </row>
    <row r="203" spans="5:10" ht="14.25" customHeight="1">
      <c r="E203" s="8"/>
      <c r="F203" s="192"/>
      <c r="G203" s="8"/>
      <c r="H203" s="8"/>
      <c r="I203" s="8"/>
      <c r="J203" s="8"/>
    </row>
    <row r="204" spans="5:10" ht="14.25" customHeight="1">
      <c r="E204" s="8"/>
      <c r="F204" s="192"/>
      <c r="G204" s="8"/>
      <c r="H204" s="8"/>
      <c r="I204" s="8"/>
      <c r="J204" s="8"/>
    </row>
    <row r="205" spans="5:10" ht="14.25" customHeight="1">
      <c r="E205" s="8"/>
      <c r="F205" s="192"/>
      <c r="G205" s="8"/>
      <c r="H205" s="8"/>
      <c r="I205" s="8"/>
      <c r="J205" s="8"/>
    </row>
    <row r="206" spans="5:10" ht="14.25" customHeight="1">
      <c r="E206" s="8"/>
      <c r="F206" s="192"/>
      <c r="G206" s="8"/>
      <c r="H206" s="8"/>
      <c r="I206" s="8"/>
      <c r="J206" s="8"/>
    </row>
    <row r="207" spans="5:10" ht="14.25" customHeight="1">
      <c r="E207" s="8"/>
      <c r="F207" s="192"/>
      <c r="G207" s="8"/>
      <c r="H207" s="8"/>
      <c r="I207" s="8"/>
      <c r="J207" s="8"/>
    </row>
    <row r="208" spans="5:10" ht="14.25" customHeight="1">
      <c r="E208" s="8"/>
      <c r="F208" s="192"/>
      <c r="G208" s="8"/>
      <c r="H208" s="8"/>
      <c r="I208" s="8"/>
      <c r="J208" s="8"/>
    </row>
    <row r="209" spans="5:10" ht="14.25" customHeight="1">
      <c r="E209" s="8"/>
      <c r="F209" s="192"/>
      <c r="G209" s="8"/>
      <c r="H209" s="8"/>
      <c r="I209" s="8"/>
      <c r="J209" s="8"/>
    </row>
    <row r="210" spans="5:10" ht="14.25" customHeight="1">
      <c r="E210" s="8"/>
      <c r="F210" s="192"/>
      <c r="G210" s="8"/>
      <c r="H210" s="8"/>
      <c r="I210" s="8"/>
      <c r="J210" s="8"/>
    </row>
    <row r="211" spans="5:10" ht="14.25" customHeight="1">
      <c r="E211" s="8"/>
      <c r="F211" s="192"/>
      <c r="G211" s="8"/>
      <c r="H211" s="8"/>
      <c r="I211" s="8"/>
      <c r="J211" s="8"/>
    </row>
    <row r="212" spans="5:10" ht="14.25" customHeight="1">
      <c r="E212" s="8"/>
      <c r="F212" s="192"/>
      <c r="G212" s="8"/>
      <c r="H212" s="8"/>
      <c r="I212" s="8"/>
      <c r="J212" s="8"/>
    </row>
    <row r="213" spans="5:10" ht="14.25" customHeight="1">
      <c r="E213" s="8"/>
      <c r="F213" s="192"/>
      <c r="G213" s="8"/>
      <c r="H213" s="8"/>
      <c r="I213" s="8"/>
      <c r="J213" s="8"/>
    </row>
    <row r="214" spans="5:10" ht="14.25" customHeight="1">
      <c r="E214" s="8"/>
      <c r="F214" s="192"/>
      <c r="G214" s="8"/>
      <c r="H214" s="8"/>
      <c r="I214" s="8"/>
      <c r="J214" s="8"/>
    </row>
    <row r="215" spans="5:10" ht="14.25" customHeight="1">
      <c r="E215" s="8"/>
      <c r="F215" s="192"/>
      <c r="G215" s="8"/>
      <c r="H215" s="8"/>
      <c r="I215" s="8"/>
      <c r="J215" s="8"/>
    </row>
    <row r="216" spans="5:10" ht="14.25" customHeight="1">
      <c r="E216" s="8"/>
      <c r="F216" s="192"/>
      <c r="G216" s="8"/>
      <c r="H216" s="8"/>
      <c r="I216" s="8"/>
      <c r="J216" s="8"/>
    </row>
    <row r="217" spans="5:10" ht="14.25" customHeight="1">
      <c r="E217" s="8"/>
      <c r="F217" s="192"/>
      <c r="G217" s="8"/>
      <c r="H217" s="8"/>
      <c r="I217" s="8"/>
      <c r="J217" s="8"/>
    </row>
    <row r="218" spans="5:10" ht="14.25" customHeight="1">
      <c r="E218" s="8"/>
      <c r="F218" s="192"/>
      <c r="G218" s="8"/>
      <c r="H218" s="8"/>
      <c r="I218" s="8"/>
      <c r="J218" s="8"/>
    </row>
    <row r="219" spans="5:10" ht="14.25" customHeight="1">
      <c r="E219" s="8"/>
      <c r="F219" s="192"/>
      <c r="G219" s="8"/>
      <c r="H219" s="8"/>
      <c r="I219" s="8"/>
      <c r="J219" s="8"/>
    </row>
    <row r="220" spans="5:10" ht="14.25" customHeight="1">
      <c r="E220" s="8"/>
      <c r="F220" s="192"/>
      <c r="G220" s="8"/>
      <c r="H220" s="8"/>
      <c r="I220" s="8"/>
      <c r="J220" s="8"/>
    </row>
    <row r="221" spans="5:10" ht="14.25" customHeight="1">
      <c r="E221" s="8"/>
      <c r="F221" s="192"/>
      <c r="G221" s="8"/>
      <c r="H221" s="8"/>
      <c r="I221" s="8"/>
      <c r="J221" s="8"/>
    </row>
    <row r="222" spans="5:10" ht="14.25" customHeight="1">
      <c r="E222" s="8"/>
      <c r="F222" s="192"/>
      <c r="G222" s="8"/>
      <c r="H222" s="8"/>
      <c r="I222" s="8"/>
      <c r="J222" s="8"/>
    </row>
    <row r="223" spans="5:10" ht="14.25" customHeight="1">
      <c r="E223" s="8"/>
      <c r="F223" s="192"/>
      <c r="G223" s="8"/>
      <c r="H223" s="8"/>
      <c r="I223" s="8"/>
      <c r="J223" s="8"/>
    </row>
    <row r="224" spans="5:10" ht="14.25" customHeight="1">
      <c r="E224" s="8"/>
      <c r="F224" s="192"/>
      <c r="G224" s="8"/>
      <c r="H224" s="8"/>
      <c r="I224" s="8"/>
      <c r="J224" s="8"/>
    </row>
    <row r="225" spans="5:10" ht="14.25" customHeight="1">
      <c r="E225" s="8"/>
      <c r="F225" s="192"/>
      <c r="G225" s="8"/>
      <c r="H225" s="8"/>
      <c r="I225" s="8"/>
      <c r="J225" s="8"/>
    </row>
    <row r="226" spans="5:10" ht="14.25" customHeight="1">
      <c r="E226" s="8"/>
      <c r="F226" s="192"/>
      <c r="G226" s="8"/>
      <c r="H226" s="8"/>
      <c r="I226" s="8"/>
      <c r="J226" s="8"/>
    </row>
    <row r="227" spans="5:10" ht="14.25" customHeight="1">
      <c r="E227" s="8"/>
      <c r="F227" s="192"/>
      <c r="G227" s="8"/>
      <c r="H227" s="8"/>
      <c r="I227" s="8"/>
      <c r="J227" s="8"/>
    </row>
    <row r="228" spans="5:10" ht="14.25" customHeight="1">
      <c r="E228" s="8"/>
      <c r="F228" s="192"/>
      <c r="G228" s="8"/>
      <c r="H228" s="8"/>
      <c r="I228" s="8"/>
      <c r="J228" s="8"/>
    </row>
    <row r="229" spans="5:10" ht="14.25" customHeight="1">
      <c r="E229" s="8"/>
      <c r="F229" s="192"/>
      <c r="G229" s="8"/>
      <c r="H229" s="8"/>
      <c r="I229" s="8"/>
      <c r="J229" s="8"/>
    </row>
    <row r="230" spans="5:10" ht="14.25" customHeight="1">
      <c r="E230" s="8"/>
      <c r="F230" s="192"/>
      <c r="G230" s="8"/>
      <c r="H230" s="8"/>
      <c r="I230" s="8"/>
      <c r="J230" s="8"/>
    </row>
    <row r="231" spans="5:10" ht="14.25" customHeight="1">
      <c r="E231" s="8"/>
      <c r="F231" s="192"/>
      <c r="G231" s="8"/>
      <c r="H231" s="8"/>
      <c r="I231" s="8"/>
      <c r="J231" s="8"/>
    </row>
    <row r="232" spans="5:10" ht="14.25" customHeight="1">
      <c r="E232" s="8"/>
      <c r="F232" s="192"/>
      <c r="G232" s="8"/>
      <c r="H232" s="8"/>
      <c r="I232" s="8"/>
      <c r="J232" s="8"/>
    </row>
    <row r="233" spans="5:10" ht="14.25" customHeight="1">
      <c r="E233" s="8"/>
      <c r="F233" s="192"/>
      <c r="G233" s="8"/>
      <c r="H233" s="8"/>
      <c r="I233" s="8"/>
      <c r="J233" s="8"/>
    </row>
    <row r="234" spans="5:10" ht="14.25" customHeight="1">
      <c r="E234" s="8"/>
      <c r="F234" s="192"/>
      <c r="G234" s="8"/>
      <c r="H234" s="8"/>
      <c r="I234" s="8"/>
      <c r="J234" s="8"/>
    </row>
    <row r="235" spans="5:10" ht="14.25" customHeight="1">
      <c r="E235" s="8"/>
      <c r="F235" s="192"/>
      <c r="G235" s="8"/>
      <c r="H235" s="8"/>
      <c r="I235" s="8"/>
      <c r="J235" s="8"/>
    </row>
    <row r="236" spans="5:10" ht="14.25" customHeight="1">
      <c r="E236" s="8"/>
      <c r="F236" s="192"/>
      <c r="G236" s="8"/>
      <c r="H236" s="8"/>
      <c r="I236" s="8"/>
      <c r="J236" s="8"/>
    </row>
    <row r="237" spans="5:10" ht="14.25" customHeight="1">
      <c r="E237" s="8"/>
      <c r="F237" s="192"/>
      <c r="G237" s="8"/>
      <c r="H237" s="8"/>
      <c r="I237" s="8"/>
      <c r="J237" s="8"/>
    </row>
    <row r="238" spans="5:10" ht="14.25" customHeight="1">
      <c r="E238" s="8"/>
      <c r="F238" s="192"/>
      <c r="G238" s="8"/>
      <c r="H238" s="8"/>
      <c r="I238" s="8"/>
      <c r="J238" s="8"/>
    </row>
    <row r="239" spans="5:10" ht="14.25" customHeight="1">
      <c r="E239" s="8"/>
      <c r="F239" s="192"/>
      <c r="G239" s="8"/>
      <c r="H239" s="8"/>
      <c r="I239" s="8"/>
      <c r="J239" s="8"/>
    </row>
    <row r="240" spans="5:10" ht="14.25" customHeight="1">
      <c r="E240" s="8"/>
      <c r="F240" s="192"/>
      <c r="G240" s="8"/>
      <c r="H240" s="8"/>
      <c r="I240" s="8"/>
      <c r="J240" s="8"/>
    </row>
    <row r="241" spans="5:10" ht="14.25" customHeight="1">
      <c r="E241" s="8"/>
      <c r="F241" s="192"/>
      <c r="G241" s="8"/>
      <c r="H241" s="8"/>
      <c r="I241" s="8"/>
      <c r="J241" s="8"/>
    </row>
    <row r="242" spans="5:10" ht="14.25" customHeight="1">
      <c r="E242" s="8"/>
      <c r="F242" s="192"/>
      <c r="G242" s="8"/>
      <c r="H242" s="8"/>
      <c r="I242" s="8"/>
      <c r="J242" s="8"/>
    </row>
    <row r="243" spans="5:10" ht="14.25" customHeight="1">
      <c r="E243" s="8"/>
      <c r="F243" s="192"/>
      <c r="G243" s="8"/>
      <c r="H243" s="8"/>
      <c r="I243" s="8"/>
      <c r="J243" s="8"/>
    </row>
    <row r="244" spans="5:10" ht="14.25" customHeight="1">
      <c r="E244" s="8"/>
      <c r="F244" s="192"/>
      <c r="G244" s="8"/>
      <c r="H244" s="8"/>
      <c r="I244" s="8"/>
      <c r="J244" s="8"/>
    </row>
    <row r="245" spans="5:10" ht="14.25" customHeight="1">
      <c r="E245" s="8"/>
      <c r="F245" s="192"/>
      <c r="G245" s="8"/>
      <c r="H245" s="8"/>
      <c r="I245" s="8"/>
      <c r="J245" s="8"/>
    </row>
    <row r="246" spans="5:10" ht="14.25" customHeight="1">
      <c r="E246" s="8"/>
      <c r="F246" s="192"/>
      <c r="G246" s="8"/>
      <c r="H246" s="8"/>
      <c r="I246" s="8"/>
      <c r="J246" s="8"/>
    </row>
    <row r="247" spans="5:10" ht="14.25" customHeight="1">
      <c r="E247" s="8"/>
      <c r="F247" s="192"/>
      <c r="G247" s="8"/>
      <c r="H247" s="8"/>
      <c r="I247" s="8"/>
      <c r="J247" s="8"/>
    </row>
    <row r="248" spans="5:10" ht="14.25" customHeight="1">
      <c r="E248" s="8"/>
      <c r="F248" s="192"/>
      <c r="G248" s="8"/>
      <c r="H248" s="8"/>
      <c r="I248" s="8"/>
      <c r="J248" s="8"/>
    </row>
    <row r="249" spans="5:10" ht="14.25" customHeight="1">
      <c r="E249" s="8"/>
      <c r="F249" s="192"/>
      <c r="G249" s="8"/>
      <c r="H249" s="8"/>
      <c r="I249" s="8"/>
      <c r="J249" s="8"/>
    </row>
    <row r="250" spans="5:10" ht="14.25" customHeight="1">
      <c r="E250" s="8"/>
      <c r="F250" s="192"/>
      <c r="G250" s="8"/>
      <c r="H250" s="8"/>
      <c r="I250" s="8"/>
      <c r="J250" s="8"/>
    </row>
    <row r="251" spans="5:10" ht="14.25" customHeight="1">
      <c r="E251" s="8"/>
      <c r="F251" s="192"/>
      <c r="G251" s="8"/>
      <c r="H251" s="8"/>
      <c r="I251" s="8"/>
      <c r="J251" s="8"/>
    </row>
    <row r="252" spans="5:10" ht="14.25" customHeight="1">
      <c r="E252" s="8"/>
      <c r="F252" s="192"/>
      <c r="G252" s="8"/>
      <c r="H252" s="8"/>
      <c r="I252" s="8"/>
      <c r="J252" s="8"/>
    </row>
    <row r="253" spans="5:10" ht="14.25" customHeight="1">
      <c r="E253" s="8"/>
      <c r="F253" s="192"/>
      <c r="G253" s="8"/>
      <c r="H253" s="8"/>
      <c r="I253" s="8"/>
      <c r="J253" s="8"/>
    </row>
    <row r="254" spans="5:10" ht="14.25" customHeight="1">
      <c r="E254" s="8"/>
      <c r="F254" s="192"/>
      <c r="G254" s="8"/>
      <c r="H254" s="8"/>
      <c r="I254" s="8"/>
      <c r="J254" s="8"/>
    </row>
    <row r="255" spans="5:10" ht="14.25" customHeight="1">
      <c r="E255" s="8"/>
      <c r="F255" s="192"/>
      <c r="G255" s="8"/>
      <c r="H255" s="8"/>
      <c r="I255" s="8"/>
      <c r="J255" s="8"/>
    </row>
    <row r="256" spans="5:10" ht="14.25" customHeight="1">
      <c r="E256" s="8"/>
      <c r="F256" s="192"/>
      <c r="G256" s="8"/>
      <c r="H256" s="8"/>
      <c r="I256" s="8"/>
      <c r="J256" s="8"/>
    </row>
    <row r="257" spans="5:10" ht="14.25" customHeight="1">
      <c r="E257" s="8"/>
      <c r="F257" s="192"/>
      <c r="G257" s="8"/>
      <c r="H257" s="8"/>
      <c r="I257" s="8"/>
      <c r="J257" s="8"/>
    </row>
    <row r="258" spans="5:10" ht="14.25" customHeight="1">
      <c r="E258" s="8"/>
      <c r="F258" s="192"/>
      <c r="G258" s="8"/>
      <c r="H258" s="8"/>
      <c r="I258" s="8"/>
      <c r="J258" s="8"/>
    </row>
    <row r="259" spans="5:10" ht="14.25" customHeight="1">
      <c r="E259" s="8"/>
      <c r="F259" s="192"/>
      <c r="G259" s="8"/>
      <c r="H259" s="8"/>
      <c r="I259" s="8"/>
      <c r="J259" s="8"/>
    </row>
    <row r="260" spans="5:10" ht="14.25" customHeight="1">
      <c r="E260" s="8"/>
      <c r="F260" s="192"/>
      <c r="G260" s="8"/>
      <c r="H260" s="8"/>
      <c r="I260" s="8"/>
      <c r="J260" s="8"/>
    </row>
    <row r="261" spans="5:10" ht="14.25" customHeight="1">
      <c r="E261" s="8"/>
      <c r="F261" s="192"/>
      <c r="G261" s="8"/>
      <c r="H261" s="8"/>
      <c r="I261" s="8"/>
      <c r="J261" s="8"/>
    </row>
    <row r="262" spans="5:10" ht="14.25" customHeight="1">
      <c r="E262" s="8"/>
      <c r="F262" s="192"/>
      <c r="G262" s="8"/>
      <c r="H262" s="8"/>
      <c r="I262" s="8"/>
      <c r="J262" s="8"/>
    </row>
    <row r="263" spans="5:10" ht="14.25" customHeight="1">
      <c r="E263" s="8"/>
      <c r="F263" s="192"/>
      <c r="G263" s="8"/>
      <c r="H263" s="8"/>
      <c r="I263" s="8"/>
      <c r="J263" s="8"/>
    </row>
    <row r="264" spans="5:10" ht="14.25" customHeight="1">
      <c r="E264" s="8"/>
      <c r="F264" s="192"/>
      <c r="G264" s="8"/>
      <c r="H264" s="8"/>
      <c r="I264" s="8"/>
      <c r="J264" s="8"/>
    </row>
    <row r="265" spans="5:10" ht="14.25" customHeight="1">
      <c r="E265" s="8"/>
      <c r="F265" s="192"/>
      <c r="G265" s="8"/>
      <c r="H265" s="8"/>
      <c r="I265" s="8"/>
      <c r="J265" s="8"/>
    </row>
    <row r="266" spans="5:10" ht="14.25" customHeight="1">
      <c r="E266" s="8"/>
      <c r="F266" s="192"/>
      <c r="G266" s="8"/>
      <c r="H266" s="8"/>
      <c r="I266" s="8"/>
      <c r="J266" s="8"/>
    </row>
    <row r="267" spans="5:10" ht="14.25" customHeight="1">
      <c r="E267" s="8"/>
      <c r="F267" s="192"/>
      <c r="G267" s="8"/>
      <c r="H267" s="8"/>
      <c r="I267" s="8"/>
      <c r="J267" s="8"/>
    </row>
    <row r="268" spans="5:10" ht="14.25" customHeight="1">
      <c r="E268" s="8"/>
      <c r="F268" s="192"/>
      <c r="G268" s="8"/>
      <c r="H268" s="8"/>
      <c r="I268" s="8"/>
      <c r="J268" s="8"/>
    </row>
    <row r="269" spans="5:10" ht="14.25" customHeight="1">
      <c r="E269" s="8"/>
      <c r="F269" s="192"/>
      <c r="G269" s="8"/>
      <c r="H269" s="8"/>
      <c r="I269" s="8"/>
      <c r="J269" s="8"/>
    </row>
    <row r="270" spans="5:10" ht="14.25" customHeight="1">
      <c r="E270" s="8"/>
      <c r="F270" s="192"/>
      <c r="G270" s="8"/>
      <c r="H270" s="8"/>
      <c r="I270" s="8"/>
      <c r="J270" s="8"/>
    </row>
    <row r="271" spans="5:10" ht="14.25" customHeight="1">
      <c r="E271" s="8"/>
      <c r="F271" s="192"/>
      <c r="G271" s="8"/>
      <c r="H271" s="8"/>
      <c r="I271" s="8"/>
      <c r="J271" s="8"/>
    </row>
    <row r="272" spans="5:10" ht="14.25" customHeight="1">
      <c r="E272" s="8"/>
      <c r="F272" s="192"/>
      <c r="G272" s="8"/>
      <c r="H272" s="8"/>
      <c r="I272" s="8"/>
      <c r="J272" s="8"/>
    </row>
    <row r="273" spans="5:10" ht="14.25" customHeight="1">
      <c r="E273" s="8"/>
      <c r="F273" s="192"/>
      <c r="G273" s="8"/>
      <c r="H273" s="8"/>
      <c r="I273" s="8"/>
      <c r="J273" s="8"/>
    </row>
    <row r="274" spans="5:10" ht="14.25" customHeight="1">
      <c r="E274" s="8"/>
      <c r="F274" s="192"/>
      <c r="G274" s="8"/>
      <c r="H274" s="8"/>
      <c r="I274" s="8"/>
      <c r="J274" s="8"/>
    </row>
    <row r="275" spans="5:10" ht="14.25" customHeight="1">
      <c r="E275" s="8"/>
      <c r="F275" s="192"/>
      <c r="G275" s="8"/>
      <c r="H275" s="8"/>
      <c r="I275" s="8"/>
      <c r="J275" s="8"/>
    </row>
    <row r="276" spans="5:10" ht="14.25" customHeight="1">
      <c r="E276" s="8"/>
      <c r="F276" s="192"/>
      <c r="G276" s="8"/>
      <c r="H276" s="8"/>
      <c r="I276" s="8"/>
      <c r="J276" s="8"/>
    </row>
    <row r="277" spans="5:10" ht="14.25" customHeight="1">
      <c r="E277" s="8"/>
      <c r="F277" s="192"/>
      <c r="G277" s="8"/>
      <c r="H277" s="8"/>
      <c r="I277" s="8"/>
      <c r="J277" s="8"/>
    </row>
    <row r="278" spans="5:10" ht="14.25" customHeight="1">
      <c r="E278" s="8"/>
      <c r="F278" s="192"/>
      <c r="G278" s="8"/>
      <c r="H278" s="8"/>
      <c r="I278" s="8"/>
      <c r="J278" s="8"/>
    </row>
    <row r="279" spans="5:10" ht="14.25" customHeight="1">
      <c r="E279" s="8"/>
      <c r="F279" s="192"/>
      <c r="G279" s="8"/>
      <c r="H279" s="8"/>
      <c r="I279" s="8"/>
      <c r="J279" s="8"/>
    </row>
    <row r="280" spans="5:10" ht="14.25" customHeight="1">
      <c r="E280" s="8"/>
      <c r="F280" s="192"/>
      <c r="G280" s="8"/>
      <c r="H280" s="8"/>
      <c r="I280" s="8"/>
      <c r="J280" s="8"/>
    </row>
    <row r="281" spans="5:10" ht="14.25" customHeight="1">
      <c r="E281" s="8"/>
      <c r="F281" s="192"/>
      <c r="G281" s="8"/>
      <c r="H281" s="8"/>
      <c r="I281" s="8"/>
      <c r="J281" s="8"/>
    </row>
    <row r="282" spans="5:10" ht="14.25" customHeight="1">
      <c r="E282" s="8"/>
      <c r="F282" s="192"/>
      <c r="G282" s="8"/>
      <c r="H282" s="8"/>
      <c r="I282" s="8"/>
      <c r="J282" s="8"/>
    </row>
    <row r="283" spans="5:10" ht="14.25" customHeight="1">
      <c r="E283" s="8"/>
      <c r="F283" s="192"/>
      <c r="G283" s="8"/>
      <c r="H283" s="8"/>
      <c r="I283" s="8"/>
      <c r="J283" s="8"/>
    </row>
    <row r="284" spans="5:10" ht="14.25" customHeight="1">
      <c r="E284" s="8"/>
      <c r="F284" s="192"/>
      <c r="G284" s="8"/>
      <c r="H284" s="8"/>
      <c r="I284" s="8"/>
      <c r="J284" s="8"/>
    </row>
    <row r="285" spans="5:10" ht="14.25" customHeight="1">
      <c r="E285" s="8"/>
      <c r="F285" s="192"/>
      <c r="G285" s="8"/>
      <c r="H285" s="8"/>
      <c r="I285" s="8"/>
      <c r="J285" s="8"/>
    </row>
    <row r="286" spans="5:10" ht="14.25" customHeight="1">
      <c r="E286" s="8"/>
      <c r="F286" s="192"/>
      <c r="G286" s="8"/>
      <c r="H286" s="8"/>
      <c r="I286" s="8"/>
      <c r="J286" s="8"/>
    </row>
    <row r="287" spans="5:10" ht="14.25" customHeight="1">
      <c r="E287" s="8"/>
      <c r="F287" s="192"/>
      <c r="G287" s="8"/>
      <c r="H287" s="8"/>
      <c r="I287" s="8"/>
      <c r="J287" s="8"/>
    </row>
    <row r="288" spans="5:10" ht="14.25" customHeight="1">
      <c r="E288" s="8"/>
      <c r="F288" s="192"/>
      <c r="G288" s="8"/>
      <c r="H288" s="8"/>
      <c r="I288" s="8"/>
      <c r="J288" s="8"/>
    </row>
    <row r="289" spans="5:10" ht="14.25" customHeight="1">
      <c r="E289" s="8"/>
      <c r="F289" s="192"/>
      <c r="G289" s="8"/>
      <c r="H289" s="8"/>
      <c r="I289" s="8"/>
      <c r="J289" s="8"/>
    </row>
    <row r="290" spans="5:10" ht="14.25" customHeight="1">
      <c r="E290" s="8"/>
      <c r="F290" s="192"/>
      <c r="G290" s="8"/>
      <c r="H290" s="8"/>
      <c r="I290" s="8"/>
      <c r="J290" s="8"/>
    </row>
    <row r="291" spans="5:10" ht="14.25" customHeight="1">
      <c r="E291" s="8"/>
      <c r="F291" s="192"/>
      <c r="G291" s="8"/>
      <c r="H291" s="8"/>
      <c r="I291" s="8"/>
      <c r="J291" s="8"/>
    </row>
    <row r="292" spans="5:10" ht="14.25" customHeight="1">
      <c r="E292" s="8"/>
      <c r="F292" s="192"/>
      <c r="G292" s="8"/>
      <c r="H292" s="8"/>
      <c r="I292" s="8"/>
      <c r="J292" s="8"/>
    </row>
    <row r="293" spans="5:10" ht="14.25" customHeight="1">
      <c r="E293" s="8"/>
      <c r="F293" s="192"/>
      <c r="G293" s="8"/>
      <c r="H293" s="8"/>
      <c r="I293" s="8"/>
      <c r="J293" s="8"/>
    </row>
    <row r="294" spans="5:10" ht="14.25" customHeight="1">
      <c r="E294" s="8"/>
      <c r="F294" s="192"/>
      <c r="G294" s="8"/>
      <c r="H294" s="8"/>
      <c r="I294" s="8"/>
      <c r="J294" s="8"/>
    </row>
    <row r="295" spans="5:10" ht="14.25" customHeight="1">
      <c r="E295" s="8"/>
      <c r="F295" s="192"/>
      <c r="G295" s="8"/>
      <c r="H295" s="8"/>
      <c r="I295" s="8"/>
      <c r="J295" s="8"/>
    </row>
    <row r="296" spans="5:10" ht="14.25" customHeight="1">
      <c r="E296" s="8"/>
      <c r="F296" s="192"/>
      <c r="G296" s="8"/>
      <c r="H296" s="8"/>
      <c r="I296" s="8"/>
      <c r="J296" s="8"/>
    </row>
    <row r="297" spans="5:10" ht="14.25" customHeight="1">
      <c r="E297" s="8"/>
      <c r="F297" s="192"/>
      <c r="G297" s="8"/>
      <c r="H297" s="8"/>
      <c r="I297" s="8"/>
      <c r="J297" s="8"/>
    </row>
    <row r="298" spans="5:10" ht="14.25" customHeight="1">
      <c r="E298" s="8"/>
      <c r="F298" s="192"/>
      <c r="G298" s="8"/>
      <c r="H298" s="8"/>
      <c r="I298" s="8"/>
      <c r="J298" s="8"/>
    </row>
    <row r="299" spans="5:10" ht="14.25" customHeight="1">
      <c r="E299" s="8"/>
      <c r="F299" s="192"/>
      <c r="G299" s="8"/>
      <c r="H299" s="8"/>
      <c r="I299" s="8"/>
      <c r="J299" s="8"/>
    </row>
    <row r="300" spans="5:10" ht="14.25" customHeight="1">
      <c r="E300" s="8"/>
      <c r="F300" s="192"/>
      <c r="G300" s="8"/>
      <c r="H300" s="8"/>
      <c r="I300" s="8"/>
      <c r="J300" s="8"/>
    </row>
    <row r="301" spans="5:10" ht="14.25" customHeight="1">
      <c r="E301" s="8"/>
      <c r="F301" s="192"/>
      <c r="G301" s="8"/>
      <c r="H301" s="8"/>
      <c r="I301" s="8"/>
      <c r="J301" s="8"/>
    </row>
    <row r="302" spans="5:10" ht="14.25" customHeight="1">
      <c r="E302" s="8"/>
      <c r="F302" s="192"/>
      <c r="G302" s="8"/>
      <c r="H302" s="8"/>
      <c r="I302" s="8"/>
      <c r="J302" s="8"/>
    </row>
    <row r="303" spans="5:10" ht="14.25" customHeight="1">
      <c r="E303" s="8"/>
      <c r="F303" s="192"/>
      <c r="G303" s="8"/>
      <c r="H303" s="8"/>
      <c r="I303" s="8"/>
      <c r="J303" s="8"/>
    </row>
    <row r="304" spans="5:10" ht="14.25" customHeight="1">
      <c r="E304" s="8"/>
      <c r="F304" s="192"/>
      <c r="G304" s="8"/>
      <c r="H304" s="8"/>
      <c r="I304" s="8"/>
      <c r="J304" s="8"/>
    </row>
    <row r="305" spans="5:10" ht="14.25" customHeight="1">
      <c r="E305" s="8"/>
      <c r="F305" s="192"/>
      <c r="G305" s="8"/>
      <c r="H305" s="8"/>
      <c r="I305" s="8"/>
      <c r="J305" s="8"/>
    </row>
    <row r="306" spans="5:10" ht="14.25" customHeight="1">
      <c r="E306" s="8"/>
      <c r="F306" s="192"/>
      <c r="G306" s="8"/>
      <c r="H306" s="8"/>
      <c r="I306" s="8"/>
      <c r="J306" s="8"/>
    </row>
    <row r="307" spans="5:10" ht="14.25" customHeight="1">
      <c r="E307" s="8"/>
      <c r="F307" s="192"/>
      <c r="G307" s="8"/>
      <c r="H307" s="8"/>
      <c r="I307" s="8"/>
      <c r="J307" s="8"/>
    </row>
    <row r="308" spans="5:10" ht="14.25" customHeight="1">
      <c r="E308" s="8"/>
      <c r="F308" s="192"/>
      <c r="G308" s="8"/>
      <c r="H308" s="8"/>
      <c r="I308" s="8"/>
      <c r="J308" s="8"/>
    </row>
    <row r="309" spans="5:10" ht="14.25" customHeight="1">
      <c r="E309" s="8"/>
      <c r="F309" s="192"/>
      <c r="G309" s="8"/>
      <c r="H309" s="8"/>
      <c r="I309" s="8"/>
      <c r="J309" s="8"/>
    </row>
    <row r="310" spans="5:10" ht="14.25" customHeight="1">
      <c r="E310" s="8"/>
      <c r="F310" s="192"/>
      <c r="G310" s="8"/>
      <c r="H310" s="8"/>
      <c r="I310" s="8"/>
      <c r="J310" s="8"/>
    </row>
    <row r="311" spans="5:10" ht="14.25" customHeight="1">
      <c r="E311" s="8"/>
      <c r="F311" s="192"/>
      <c r="G311" s="8"/>
      <c r="H311" s="8"/>
      <c r="I311" s="8"/>
      <c r="J311" s="8"/>
    </row>
    <row r="312" spans="5:10" ht="14.25" customHeight="1">
      <c r="E312" s="8"/>
      <c r="F312" s="192"/>
      <c r="G312" s="8"/>
      <c r="H312" s="8"/>
      <c r="I312" s="8"/>
      <c r="J312" s="8"/>
    </row>
    <row r="313" spans="5:10" ht="14.25" customHeight="1">
      <c r="E313" s="8"/>
      <c r="F313" s="192"/>
      <c r="G313" s="8"/>
      <c r="H313" s="8"/>
      <c r="I313" s="8"/>
      <c r="J313" s="8"/>
    </row>
    <row r="314" spans="5:10" ht="14.25" customHeight="1">
      <c r="E314" s="8"/>
      <c r="F314" s="192"/>
      <c r="G314" s="8"/>
      <c r="H314" s="8"/>
      <c r="I314" s="8"/>
      <c r="J314" s="8"/>
    </row>
    <row r="315" spans="5:10" ht="14.25" customHeight="1">
      <c r="E315" s="8"/>
      <c r="F315" s="192"/>
      <c r="G315" s="8"/>
      <c r="H315" s="8"/>
      <c r="I315" s="8"/>
      <c r="J315" s="8"/>
    </row>
    <row r="316" spans="5:10" ht="14.25" customHeight="1">
      <c r="E316" s="8"/>
      <c r="F316" s="192"/>
      <c r="G316" s="8"/>
      <c r="H316" s="8"/>
      <c r="I316" s="8"/>
      <c r="J316" s="8"/>
    </row>
    <row r="317" spans="5:10" ht="14.25" customHeight="1">
      <c r="E317" s="8"/>
      <c r="F317" s="192"/>
      <c r="G317" s="8"/>
      <c r="H317" s="8"/>
      <c r="I317" s="8"/>
      <c r="J317" s="8"/>
    </row>
    <row r="318" spans="5:10" ht="14.25" customHeight="1">
      <c r="E318" s="8"/>
      <c r="F318" s="192"/>
      <c r="G318" s="8"/>
      <c r="H318" s="8"/>
      <c r="I318" s="8"/>
      <c r="J318" s="8"/>
    </row>
    <row r="319" spans="5:10" ht="14.25" customHeight="1">
      <c r="E319" s="8"/>
      <c r="F319" s="192"/>
      <c r="G319" s="8"/>
      <c r="H319" s="8"/>
      <c r="I319" s="8"/>
      <c r="J319" s="8"/>
    </row>
    <row r="320" spans="5:10" ht="14.25" customHeight="1">
      <c r="E320" s="8"/>
      <c r="F320" s="192"/>
      <c r="G320" s="8"/>
      <c r="H320" s="8"/>
      <c r="I320" s="8"/>
      <c r="J320" s="8"/>
    </row>
    <row r="321" spans="5:10" ht="14.25" customHeight="1">
      <c r="E321" s="8"/>
      <c r="F321" s="192"/>
      <c r="G321" s="8"/>
      <c r="H321" s="8"/>
      <c r="I321" s="8"/>
      <c r="J321" s="8"/>
    </row>
    <row r="322" spans="5:10" ht="14.25" customHeight="1">
      <c r="E322" s="8"/>
      <c r="F322" s="192"/>
      <c r="G322" s="8"/>
      <c r="H322" s="8"/>
      <c r="I322" s="8"/>
      <c r="J322" s="8"/>
    </row>
    <row r="323" spans="5:10" ht="14.25" customHeight="1">
      <c r="E323" s="8"/>
      <c r="F323" s="192"/>
      <c r="G323" s="8"/>
      <c r="H323" s="8"/>
      <c r="I323" s="8"/>
      <c r="J323" s="8"/>
    </row>
    <row r="324" spans="5:10" ht="14.25" customHeight="1">
      <c r="E324" s="8"/>
      <c r="F324" s="192"/>
      <c r="G324" s="8"/>
      <c r="H324" s="8"/>
      <c r="I324" s="8"/>
      <c r="J324" s="8"/>
    </row>
    <row r="325" spans="5:10" ht="14.25" customHeight="1">
      <c r="E325" s="8"/>
      <c r="F325" s="192"/>
      <c r="G325" s="8"/>
      <c r="H325" s="8"/>
      <c r="I325" s="8"/>
      <c r="J325" s="8"/>
    </row>
    <row r="326" spans="5:10" ht="14.25" customHeight="1">
      <c r="E326" s="8"/>
      <c r="F326" s="192"/>
      <c r="G326" s="8"/>
      <c r="H326" s="8"/>
      <c r="I326" s="8"/>
      <c r="J326" s="8"/>
    </row>
    <row r="327" spans="5:10" ht="14.25" customHeight="1">
      <c r="E327" s="8"/>
      <c r="F327" s="192"/>
      <c r="G327" s="8"/>
      <c r="H327" s="8"/>
      <c r="I327" s="8"/>
      <c r="J327" s="8"/>
    </row>
    <row r="328" spans="5:10" ht="14.25" customHeight="1">
      <c r="E328" s="8"/>
      <c r="F328" s="192"/>
      <c r="G328" s="8"/>
      <c r="H328" s="8"/>
      <c r="I328" s="8"/>
      <c r="J328" s="8"/>
    </row>
    <row r="329" spans="5:10" ht="14.25" customHeight="1">
      <c r="E329" s="8"/>
      <c r="F329" s="192"/>
      <c r="G329" s="8"/>
      <c r="H329" s="8"/>
      <c r="I329" s="8"/>
      <c r="J329" s="8"/>
    </row>
    <row r="330" spans="5:10" ht="14.25" customHeight="1">
      <c r="E330" s="8"/>
      <c r="F330" s="192"/>
      <c r="G330" s="8"/>
      <c r="H330" s="8"/>
      <c r="I330" s="8"/>
      <c r="J330" s="8"/>
    </row>
    <row r="331" spans="5:10" ht="14.25" customHeight="1">
      <c r="E331" s="8"/>
      <c r="F331" s="192"/>
      <c r="G331" s="8"/>
      <c r="H331" s="8"/>
      <c r="I331" s="8"/>
      <c r="J331" s="8"/>
    </row>
    <row r="332" spans="5:10" ht="14.25" customHeight="1">
      <c r="E332" s="8"/>
      <c r="F332" s="192"/>
      <c r="G332" s="8"/>
      <c r="H332" s="8"/>
      <c r="I332" s="8"/>
      <c r="J332" s="8"/>
    </row>
    <row r="333" spans="5:10" ht="14.25" customHeight="1">
      <c r="E333" s="8"/>
      <c r="F333" s="192"/>
      <c r="G333" s="8"/>
      <c r="H333" s="8"/>
      <c r="I333" s="8"/>
      <c r="J333" s="8"/>
    </row>
    <row r="334" spans="5:10" ht="14.25" customHeight="1">
      <c r="E334" s="8"/>
      <c r="F334" s="192"/>
      <c r="G334" s="8"/>
      <c r="H334" s="8"/>
      <c r="I334" s="8"/>
      <c r="J334" s="8"/>
    </row>
    <row r="335" spans="5:10" ht="14.25" customHeight="1">
      <c r="E335" s="8"/>
      <c r="F335" s="192"/>
      <c r="G335" s="8"/>
      <c r="H335" s="8"/>
      <c r="I335" s="8"/>
      <c r="J335" s="8"/>
    </row>
    <row r="336" spans="5:10" ht="14.25" customHeight="1">
      <c r="E336" s="8"/>
      <c r="F336" s="192"/>
      <c r="G336" s="8"/>
      <c r="H336" s="8"/>
      <c r="I336" s="8"/>
      <c r="J336" s="8"/>
    </row>
    <row r="337" spans="5:10" ht="14.25" customHeight="1">
      <c r="E337" s="8"/>
      <c r="F337" s="192"/>
      <c r="G337" s="8"/>
      <c r="H337" s="8"/>
      <c r="I337" s="8"/>
      <c r="J337" s="8"/>
    </row>
    <row r="338" spans="5:10" ht="14.25" customHeight="1">
      <c r="E338" s="8"/>
      <c r="F338" s="192"/>
      <c r="G338" s="8"/>
      <c r="H338" s="8"/>
      <c r="I338" s="8"/>
      <c r="J338" s="8"/>
    </row>
    <row r="339" spans="5:10" ht="14.25" customHeight="1">
      <c r="E339" s="8"/>
      <c r="F339" s="192"/>
      <c r="G339" s="8"/>
      <c r="H339" s="8"/>
      <c r="I339" s="8"/>
      <c r="J339" s="8"/>
    </row>
    <row r="340" spans="5:10" ht="14.25" customHeight="1">
      <c r="E340" s="8"/>
      <c r="F340" s="192"/>
      <c r="G340" s="8"/>
      <c r="H340" s="8"/>
      <c r="I340" s="8"/>
      <c r="J340" s="8"/>
    </row>
    <row r="341" spans="5:10" ht="14.25" customHeight="1">
      <c r="E341" s="8"/>
      <c r="F341" s="192"/>
      <c r="G341" s="8"/>
      <c r="H341" s="8"/>
      <c r="I341" s="8"/>
      <c r="J341" s="8"/>
    </row>
    <row r="342" spans="5:10" ht="14.25" customHeight="1">
      <c r="E342" s="8"/>
      <c r="F342" s="192"/>
      <c r="G342" s="8"/>
      <c r="H342" s="8"/>
      <c r="I342" s="8"/>
      <c r="J342" s="8"/>
    </row>
    <row r="343" spans="5:10" ht="14.25" customHeight="1">
      <c r="E343" s="8"/>
      <c r="F343" s="192"/>
      <c r="G343" s="8"/>
      <c r="H343" s="8"/>
      <c r="I343" s="8"/>
      <c r="J343" s="8"/>
    </row>
    <row r="344" spans="5:10" ht="14.25" customHeight="1">
      <c r="E344" s="8"/>
      <c r="F344" s="192"/>
      <c r="G344" s="8"/>
      <c r="H344" s="8"/>
      <c r="I344" s="8"/>
      <c r="J344" s="8"/>
    </row>
    <row r="345" spans="5:10" ht="14.25" customHeight="1">
      <c r="E345" s="8"/>
      <c r="F345" s="192"/>
      <c r="G345" s="8"/>
      <c r="H345" s="8"/>
      <c r="I345" s="8"/>
      <c r="J345" s="8"/>
    </row>
    <row r="346" spans="5:10" ht="14.25" customHeight="1">
      <c r="E346" s="8"/>
      <c r="F346" s="192"/>
      <c r="G346" s="8"/>
      <c r="H346" s="8"/>
      <c r="I346" s="8"/>
      <c r="J346" s="8"/>
    </row>
    <row r="347" spans="5:10" ht="14.25" customHeight="1">
      <c r="E347" s="8"/>
      <c r="F347" s="192"/>
      <c r="G347" s="8"/>
      <c r="H347" s="8"/>
      <c r="I347" s="8"/>
      <c r="J347" s="8"/>
    </row>
    <row r="348" spans="5:10" ht="14.25" customHeight="1">
      <c r="E348" s="8"/>
      <c r="F348" s="192"/>
      <c r="G348" s="8"/>
      <c r="H348" s="8"/>
      <c r="I348" s="8"/>
      <c r="J348" s="8"/>
    </row>
    <row r="349" spans="5:10" ht="14.25" customHeight="1">
      <c r="E349" s="8"/>
      <c r="F349" s="192"/>
      <c r="G349" s="8"/>
      <c r="H349" s="8"/>
      <c r="I349" s="8"/>
      <c r="J349" s="8"/>
    </row>
    <row r="350" spans="5:10" ht="14.25" customHeight="1">
      <c r="E350" s="8"/>
      <c r="F350" s="192"/>
      <c r="G350" s="8"/>
      <c r="H350" s="8"/>
      <c r="I350" s="8"/>
      <c r="J350" s="8"/>
    </row>
    <row r="351" spans="5:10" ht="14.25" customHeight="1">
      <c r="E351" s="8"/>
      <c r="F351" s="192"/>
      <c r="G351" s="8"/>
      <c r="H351" s="8"/>
      <c r="I351" s="8"/>
      <c r="J351" s="8"/>
    </row>
    <row r="352" spans="5:10" ht="14.25" customHeight="1">
      <c r="E352" s="8"/>
      <c r="F352" s="192"/>
      <c r="G352" s="8"/>
      <c r="H352" s="8"/>
      <c r="I352" s="8"/>
      <c r="J352" s="8"/>
    </row>
    <row r="353" spans="5:10" ht="14.25" customHeight="1">
      <c r="E353" s="8"/>
      <c r="F353" s="192"/>
      <c r="G353" s="8"/>
      <c r="H353" s="8"/>
      <c r="I353" s="8"/>
      <c r="J353" s="8"/>
    </row>
    <row r="354" spans="5:10" ht="14.25" customHeight="1">
      <c r="E354" s="8"/>
      <c r="F354" s="192"/>
      <c r="G354" s="8"/>
      <c r="H354" s="8"/>
      <c r="I354" s="8"/>
      <c r="J354" s="8"/>
    </row>
    <row r="355" spans="5:10" ht="14.25" customHeight="1">
      <c r="E355" s="8"/>
      <c r="F355" s="192"/>
      <c r="G355" s="8"/>
      <c r="H355" s="8"/>
      <c r="I355" s="8"/>
      <c r="J355" s="8"/>
    </row>
    <row r="356" spans="5:10" ht="14.25" customHeight="1">
      <c r="E356" s="8"/>
      <c r="F356" s="192"/>
      <c r="G356" s="8"/>
      <c r="H356" s="8"/>
      <c r="I356" s="8"/>
      <c r="J356" s="8"/>
    </row>
    <row r="357" spans="5:10" ht="14.25" customHeight="1">
      <c r="E357" s="8"/>
      <c r="F357" s="192"/>
      <c r="G357" s="8"/>
      <c r="H357" s="8"/>
      <c r="I357" s="8"/>
      <c r="J357" s="8"/>
    </row>
    <row r="358" spans="5:10" ht="14.25" customHeight="1">
      <c r="E358" s="8"/>
      <c r="F358" s="192"/>
      <c r="G358" s="8"/>
      <c r="H358" s="8"/>
      <c r="I358" s="8"/>
      <c r="J358" s="8"/>
    </row>
    <row r="359" spans="5:10" ht="14.25" customHeight="1">
      <c r="E359" s="8"/>
      <c r="F359" s="192"/>
      <c r="G359" s="8"/>
      <c r="H359" s="8"/>
      <c r="I359" s="8"/>
      <c r="J359" s="8"/>
    </row>
    <row r="360" spans="5:10" ht="14.25" customHeight="1">
      <c r="E360" s="8"/>
      <c r="F360" s="192"/>
      <c r="G360" s="8"/>
      <c r="H360" s="8"/>
      <c r="I360" s="8"/>
      <c r="J360" s="8"/>
    </row>
    <row r="361" spans="5:10" ht="14.25" customHeight="1">
      <c r="E361" s="8"/>
      <c r="F361" s="192"/>
      <c r="G361" s="8"/>
      <c r="H361" s="8"/>
      <c r="I361" s="8"/>
      <c r="J361" s="8"/>
    </row>
    <row r="362" spans="5:10" ht="14.25" customHeight="1">
      <c r="E362" s="8"/>
      <c r="F362" s="192"/>
      <c r="G362" s="8"/>
      <c r="H362" s="8"/>
      <c r="I362" s="8"/>
      <c r="J362" s="8"/>
    </row>
    <row r="363" spans="5:10" ht="14.25" customHeight="1">
      <c r="E363" s="8"/>
      <c r="F363" s="192"/>
      <c r="G363" s="8"/>
      <c r="H363" s="8"/>
      <c r="I363" s="8"/>
      <c r="J363" s="8"/>
    </row>
    <row r="364" spans="5:10" ht="14.25" customHeight="1">
      <c r="E364" s="8"/>
      <c r="F364" s="192"/>
      <c r="G364" s="8"/>
      <c r="H364" s="8"/>
      <c r="I364" s="8"/>
      <c r="J364" s="8"/>
    </row>
    <row r="365" spans="5:10" ht="14.25" customHeight="1">
      <c r="E365" s="8"/>
      <c r="F365" s="192"/>
      <c r="G365" s="8"/>
      <c r="H365" s="8"/>
      <c r="I365" s="8"/>
      <c r="J365" s="8"/>
    </row>
    <row r="366" spans="5:10" ht="14.25" customHeight="1">
      <c r="E366" s="8"/>
      <c r="F366" s="192"/>
      <c r="G366" s="8"/>
      <c r="H366" s="8"/>
      <c r="I366" s="8"/>
      <c r="J366" s="8"/>
    </row>
    <row r="367" spans="5:10" ht="14.25" customHeight="1">
      <c r="E367" s="8"/>
      <c r="F367" s="192"/>
      <c r="G367" s="8"/>
      <c r="H367" s="8"/>
      <c r="I367" s="8"/>
      <c r="J367" s="8"/>
    </row>
    <row r="368" spans="5:10" ht="14.25" customHeight="1">
      <c r="E368" s="8"/>
      <c r="F368" s="192"/>
      <c r="G368" s="8"/>
      <c r="H368" s="8"/>
      <c r="I368" s="8"/>
      <c r="J368" s="8"/>
    </row>
    <row r="369" spans="5:10" ht="14.25" customHeight="1">
      <c r="E369" s="8"/>
      <c r="F369" s="192"/>
      <c r="G369" s="8"/>
      <c r="H369" s="8"/>
      <c r="I369" s="8"/>
      <c r="J369" s="8"/>
    </row>
    <row r="370" spans="5:10" ht="14.25" customHeight="1">
      <c r="E370" s="8"/>
      <c r="F370" s="192"/>
      <c r="G370" s="8"/>
      <c r="H370" s="8"/>
      <c r="I370" s="8"/>
      <c r="J370" s="8"/>
    </row>
    <row r="371" spans="5:10" ht="14.25" customHeight="1">
      <c r="E371" s="8"/>
      <c r="F371" s="192"/>
      <c r="G371" s="8"/>
      <c r="H371" s="8"/>
      <c r="I371" s="8"/>
      <c r="J371" s="8"/>
    </row>
    <row r="372" spans="5:10" ht="14.25" customHeight="1">
      <c r="E372" s="8"/>
      <c r="F372" s="192"/>
      <c r="G372" s="8"/>
      <c r="H372" s="8"/>
      <c r="I372" s="8"/>
      <c r="J372" s="8"/>
    </row>
    <row r="373" spans="5:10" ht="14.25" customHeight="1">
      <c r="E373" s="8"/>
      <c r="F373" s="192"/>
      <c r="G373" s="8"/>
      <c r="H373" s="8"/>
      <c r="I373" s="8"/>
      <c r="J373" s="8"/>
    </row>
    <row r="374" spans="5:10" ht="14.25" customHeight="1">
      <c r="E374" s="8"/>
      <c r="F374" s="192"/>
      <c r="G374" s="8"/>
      <c r="H374" s="8"/>
      <c r="I374" s="8"/>
      <c r="J374" s="8"/>
    </row>
    <row r="375" spans="5:10" ht="14.25" customHeight="1">
      <c r="E375" s="8"/>
      <c r="F375" s="192"/>
      <c r="G375" s="8"/>
      <c r="H375" s="8"/>
      <c r="I375" s="8"/>
      <c r="J375" s="8"/>
    </row>
    <row r="376" spans="5:10" ht="14.25" customHeight="1">
      <c r="E376" s="8"/>
      <c r="F376" s="192"/>
      <c r="G376" s="8"/>
      <c r="H376" s="8"/>
      <c r="I376" s="8"/>
      <c r="J376" s="8"/>
    </row>
    <row r="377" spans="5:10" ht="14.25" customHeight="1">
      <c r="E377" s="8"/>
      <c r="F377" s="192"/>
      <c r="G377" s="8"/>
      <c r="H377" s="8"/>
      <c r="I377" s="8"/>
      <c r="J377" s="8"/>
    </row>
    <row r="378" spans="5:10" ht="14.25" customHeight="1">
      <c r="E378" s="8"/>
      <c r="F378" s="192"/>
      <c r="G378" s="8"/>
      <c r="H378" s="8"/>
      <c r="I378" s="8"/>
      <c r="J378" s="8"/>
    </row>
    <row r="379" spans="5:10" ht="14.25" customHeight="1">
      <c r="E379" s="8"/>
      <c r="F379" s="192"/>
      <c r="G379" s="8"/>
      <c r="H379" s="8"/>
      <c r="I379" s="8"/>
      <c r="J379" s="8"/>
    </row>
    <row r="380" spans="5:10" ht="14.25" customHeight="1">
      <c r="E380" s="8"/>
      <c r="F380" s="192"/>
      <c r="G380" s="8"/>
      <c r="H380" s="8"/>
      <c r="I380" s="8"/>
      <c r="J380" s="8"/>
    </row>
    <row r="381" spans="5:10" ht="14.25" customHeight="1">
      <c r="E381" s="8"/>
      <c r="F381" s="192"/>
      <c r="G381" s="8"/>
      <c r="H381" s="8"/>
      <c r="I381" s="8"/>
      <c r="J381" s="8"/>
    </row>
    <row r="382" spans="5:10" ht="14.25" customHeight="1">
      <c r="E382" s="8"/>
      <c r="F382" s="192"/>
      <c r="G382" s="8"/>
      <c r="H382" s="8"/>
      <c r="I382" s="8"/>
      <c r="J382" s="8"/>
    </row>
    <row r="383" spans="5:10" ht="14.25" customHeight="1">
      <c r="E383" s="8"/>
      <c r="F383" s="192"/>
      <c r="G383" s="8"/>
      <c r="H383" s="8"/>
      <c r="I383" s="8"/>
      <c r="J383" s="8"/>
    </row>
    <row r="384" spans="5:10" ht="14.25" customHeight="1">
      <c r="E384" s="8"/>
      <c r="F384" s="192"/>
      <c r="G384" s="8"/>
      <c r="H384" s="8"/>
      <c r="I384" s="8"/>
      <c r="J384" s="8"/>
    </row>
    <row r="385" spans="5:10" ht="14.25" customHeight="1">
      <c r="E385" s="8"/>
      <c r="F385" s="192"/>
      <c r="G385" s="8"/>
      <c r="H385" s="8"/>
      <c r="I385" s="8"/>
      <c r="J385" s="8"/>
    </row>
    <row r="386" spans="5:10" ht="14.25" customHeight="1">
      <c r="E386" s="8"/>
      <c r="F386" s="192"/>
      <c r="G386" s="8"/>
      <c r="H386" s="8"/>
      <c r="I386" s="8"/>
      <c r="J386" s="8"/>
    </row>
    <row r="387" spans="5:10" ht="14.25" customHeight="1">
      <c r="E387" s="8"/>
      <c r="F387" s="192"/>
      <c r="G387" s="8"/>
      <c r="H387" s="8"/>
      <c r="I387" s="8"/>
      <c r="J387" s="8"/>
    </row>
    <row r="388" spans="5:10" ht="14.25" customHeight="1">
      <c r="E388" s="8"/>
      <c r="F388" s="192"/>
      <c r="G388" s="8"/>
      <c r="H388" s="8"/>
      <c r="I388" s="8"/>
      <c r="J388" s="8"/>
    </row>
    <row r="389" spans="5:10" ht="14.25" customHeight="1">
      <c r="E389" s="8"/>
      <c r="F389" s="192"/>
      <c r="G389" s="8"/>
      <c r="H389" s="8"/>
      <c r="I389" s="8"/>
      <c r="J389" s="8"/>
    </row>
    <row r="390" spans="5:10" ht="14.25" customHeight="1">
      <c r="E390" s="8"/>
      <c r="F390" s="192"/>
      <c r="G390" s="8"/>
      <c r="H390" s="8"/>
      <c r="I390" s="8"/>
      <c r="J390" s="8"/>
    </row>
    <row r="391" spans="5:10" ht="14.25" customHeight="1">
      <c r="E391" s="8"/>
      <c r="F391" s="192"/>
      <c r="G391" s="8"/>
      <c r="H391" s="8"/>
      <c r="I391" s="8"/>
      <c r="J391" s="8"/>
    </row>
    <row r="392" spans="5:10" ht="14.25" customHeight="1">
      <c r="E392" s="8"/>
      <c r="F392" s="192"/>
      <c r="G392" s="8"/>
      <c r="H392" s="8"/>
      <c r="I392" s="8"/>
      <c r="J392" s="8"/>
    </row>
    <row r="393" spans="5:10" ht="14.25" customHeight="1">
      <c r="E393" s="8"/>
      <c r="F393" s="192"/>
      <c r="G393" s="8"/>
      <c r="H393" s="8"/>
      <c r="I393" s="8"/>
      <c r="J393" s="8"/>
    </row>
    <row r="394" spans="5:10" ht="14.25" customHeight="1">
      <c r="E394" s="8"/>
      <c r="F394" s="192"/>
      <c r="G394" s="8"/>
      <c r="H394" s="8"/>
      <c r="I394" s="8"/>
      <c r="J394" s="8"/>
    </row>
    <row r="395" spans="5:10" ht="14.25" customHeight="1">
      <c r="E395" s="8"/>
      <c r="F395" s="192"/>
      <c r="G395" s="8"/>
      <c r="H395" s="8"/>
      <c r="I395" s="8"/>
      <c r="J395" s="8"/>
    </row>
    <row r="396" spans="5:10" ht="14.25" customHeight="1">
      <c r="E396" s="8"/>
      <c r="F396" s="192"/>
      <c r="G396" s="8"/>
      <c r="H396" s="8"/>
      <c r="I396" s="8"/>
      <c r="J396" s="8"/>
    </row>
    <row r="397" spans="5:10" ht="14.25" customHeight="1">
      <c r="E397" s="8"/>
      <c r="F397" s="192"/>
      <c r="G397" s="8"/>
      <c r="H397" s="8"/>
      <c r="I397" s="8"/>
      <c r="J397" s="8"/>
    </row>
    <row r="398" spans="5:10" ht="14.25" customHeight="1">
      <c r="E398" s="8"/>
      <c r="F398" s="192"/>
      <c r="G398" s="8"/>
      <c r="H398" s="8"/>
      <c r="I398" s="8"/>
      <c r="J398" s="8"/>
    </row>
    <row r="399" spans="5:10" ht="14.25" customHeight="1">
      <c r="E399" s="8"/>
      <c r="F399" s="192"/>
      <c r="G399" s="8"/>
      <c r="H399" s="8"/>
      <c r="I399" s="8"/>
      <c r="J399" s="8"/>
    </row>
    <row r="400" spans="5:10" ht="14.25" customHeight="1">
      <c r="E400" s="8"/>
      <c r="F400" s="192"/>
      <c r="G400" s="8"/>
      <c r="H400" s="8"/>
      <c r="I400" s="8"/>
      <c r="J400" s="8"/>
    </row>
    <row r="401" spans="5:10" ht="14.25" customHeight="1">
      <c r="E401" s="8"/>
      <c r="F401" s="192"/>
      <c r="G401" s="8"/>
      <c r="H401" s="8"/>
      <c r="I401" s="8"/>
      <c r="J401" s="8"/>
    </row>
    <row r="402" spans="5:10" ht="14.25" customHeight="1">
      <c r="E402" s="8"/>
      <c r="F402" s="192"/>
      <c r="G402" s="8"/>
      <c r="H402" s="8"/>
      <c r="I402" s="8"/>
      <c r="J402" s="8"/>
    </row>
    <row r="403" spans="5:10" ht="14.25" customHeight="1">
      <c r="E403" s="8"/>
      <c r="F403" s="192"/>
      <c r="G403" s="8"/>
      <c r="H403" s="8"/>
      <c r="I403" s="8"/>
      <c r="J403" s="8"/>
    </row>
    <row r="404" spans="5:10" ht="14.25" customHeight="1">
      <c r="E404" s="8"/>
      <c r="F404" s="192"/>
      <c r="G404" s="8"/>
      <c r="H404" s="8"/>
      <c r="I404" s="8"/>
      <c r="J404" s="8"/>
    </row>
    <row r="405" spans="5:10" ht="14.25" customHeight="1">
      <c r="E405" s="8"/>
      <c r="F405" s="192"/>
      <c r="G405" s="8"/>
      <c r="H405" s="8"/>
      <c r="I405" s="8"/>
      <c r="J405" s="8"/>
    </row>
    <row r="406" spans="5:10" ht="14.25" customHeight="1">
      <c r="E406" s="8"/>
      <c r="F406" s="192"/>
      <c r="G406" s="8"/>
      <c r="H406" s="8"/>
      <c r="I406" s="8"/>
      <c r="J406" s="8"/>
    </row>
    <row r="407" spans="5:10" ht="14.25" customHeight="1">
      <c r="E407" s="8"/>
      <c r="F407" s="192"/>
      <c r="G407" s="8"/>
      <c r="H407" s="8"/>
      <c r="I407" s="8"/>
      <c r="J407" s="8"/>
    </row>
    <row r="408" spans="5:10" ht="14.25" customHeight="1">
      <c r="E408" s="8"/>
      <c r="F408" s="192"/>
      <c r="G408" s="8"/>
      <c r="H408" s="8"/>
      <c r="I408" s="8"/>
      <c r="J408" s="8"/>
    </row>
    <row r="409" spans="5:10" ht="14.25" customHeight="1">
      <c r="E409" s="8"/>
      <c r="F409" s="192"/>
      <c r="G409" s="8"/>
      <c r="H409" s="8"/>
      <c r="I409" s="8"/>
      <c r="J409" s="8"/>
    </row>
    <row r="410" spans="5:10" ht="14.25" customHeight="1">
      <c r="E410" s="8"/>
      <c r="F410" s="192"/>
      <c r="G410" s="8"/>
      <c r="H410" s="8"/>
      <c r="I410" s="8"/>
      <c r="J410" s="8"/>
    </row>
    <row r="411" spans="5:10" ht="14.25" customHeight="1">
      <c r="E411" s="8"/>
      <c r="F411" s="192"/>
      <c r="G411" s="8"/>
      <c r="H411" s="8"/>
      <c r="I411" s="8"/>
      <c r="J411" s="8"/>
    </row>
    <row r="412" spans="5:10" ht="14.25" customHeight="1">
      <c r="E412" s="8"/>
      <c r="F412" s="192"/>
      <c r="G412" s="8"/>
      <c r="H412" s="8"/>
      <c r="I412" s="8"/>
      <c r="J412" s="8"/>
    </row>
    <row r="413" spans="5:10" ht="14.25" customHeight="1">
      <c r="E413" s="8"/>
      <c r="F413" s="192"/>
      <c r="G413" s="8"/>
      <c r="H413" s="8"/>
      <c r="I413" s="8"/>
      <c r="J413" s="8"/>
    </row>
    <row r="414" spans="5:10" ht="14.25" customHeight="1">
      <c r="E414" s="8"/>
      <c r="F414" s="192"/>
      <c r="G414" s="8"/>
      <c r="H414" s="8"/>
      <c r="I414" s="8"/>
      <c r="J414" s="8"/>
    </row>
    <row r="415" spans="5:10" ht="14.25" customHeight="1">
      <c r="E415" s="8"/>
      <c r="F415" s="192"/>
      <c r="G415" s="8"/>
      <c r="H415" s="8"/>
      <c r="I415" s="8"/>
      <c r="J415" s="8"/>
    </row>
    <row r="416" spans="5:10" ht="14.25" customHeight="1">
      <c r="E416" s="8"/>
      <c r="F416" s="192"/>
      <c r="G416" s="8"/>
      <c r="H416" s="8"/>
      <c r="I416" s="8"/>
      <c r="J416" s="8"/>
    </row>
    <row r="417" spans="5:10" ht="14.25" customHeight="1">
      <c r="E417" s="8"/>
      <c r="F417" s="192"/>
      <c r="G417" s="8"/>
      <c r="H417" s="8"/>
      <c r="I417" s="8"/>
      <c r="J417" s="8"/>
    </row>
    <row r="418" spans="5:10" ht="14.25" customHeight="1">
      <c r="E418" s="8"/>
      <c r="F418" s="192"/>
      <c r="G418" s="8"/>
      <c r="H418" s="8"/>
      <c r="I418" s="8"/>
      <c r="J418" s="8"/>
    </row>
    <row r="419" spans="5:10" ht="14.25" customHeight="1">
      <c r="E419" s="8"/>
      <c r="F419" s="192"/>
      <c r="G419" s="8"/>
      <c r="H419" s="8"/>
      <c r="I419" s="8"/>
      <c r="J419" s="8"/>
    </row>
    <row r="420" spans="5:10" ht="14.25" customHeight="1">
      <c r="E420" s="8"/>
      <c r="F420" s="192"/>
      <c r="G420" s="8"/>
      <c r="H420" s="8"/>
      <c r="I420" s="8"/>
      <c r="J420" s="8"/>
    </row>
    <row r="421" spans="5:10" ht="14.25" customHeight="1">
      <c r="E421" s="8"/>
      <c r="F421" s="192"/>
      <c r="G421" s="8"/>
      <c r="H421" s="8"/>
      <c r="I421" s="8"/>
      <c r="J421" s="8"/>
    </row>
    <row r="422" spans="5:10" ht="14.25" customHeight="1">
      <c r="E422" s="8"/>
      <c r="F422" s="192"/>
      <c r="G422" s="8"/>
      <c r="H422" s="8"/>
      <c r="I422" s="8"/>
      <c r="J422" s="8"/>
    </row>
    <row r="423" spans="5:10" ht="14.25" customHeight="1">
      <c r="E423" s="8"/>
      <c r="F423" s="192"/>
      <c r="G423" s="8"/>
      <c r="H423" s="8"/>
      <c r="I423" s="8"/>
      <c r="J423" s="8"/>
    </row>
    <row r="424" spans="5:10" ht="14.25" customHeight="1">
      <c r="E424" s="8"/>
      <c r="F424" s="192"/>
      <c r="G424" s="8"/>
      <c r="H424" s="8"/>
      <c r="I424" s="8"/>
      <c r="J424" s="8"/>
    </row>
    <row r="425" spans="5:10" ht="14.25" customHeight="1">
      <c r="E425" s="8"/>
      <c r="F425" s="192"/>
      <c r="G425" s="8"/>
      <c r="H425" s="8"/>
      <c r="I425" s="8"/>
      <c r="J425" s="8"/>
    </row>
    <row r="426" spans="5:10" ht="14.25" customHeight="1">
      <c r="E426" s="8"/>
      <c r="F426" s="192"/>
      <c r="G426" s="8"/>
      <c r="H426" s="8"/>
      <c r="I426" s="8"/>
      <c r="J426" s="8"/>
    </row>
    <row r="427" spans="5:10" ht="14.25" customHeight="1">
      <c r="E427" s="8"/>
      <c r="F427" s="192"/>
      <c r="G427" s="8"/>
      <c r="H427" s="8"/>
      <c r="I427" s="8"/>
      <c r="J427" s="8"/>
    </row>
    <row r="428" spans="5:10" ht="14.25" customHeight="1">
      <c r="E428" s="8"/>
      <c r="F428" s="192"/>
      <c r="G428" s="8"/>
      <c r="H428" s="8"/>
      <c r="I428" s="8"/>
      <c r="J428" s="8"/>
    </row>
    <row r="429" spans="5:10" ht="14.25" customHeight="1">
      <c r="E429" s="8"/>
      <c r="F429" s="192"/>
      <c r="G429" s="8"/>
      <c r="H429" s="8"/>
      <c r="I429" s="8"/>
      <c r="J429" s="8"/>
    </row>
    <row r="430" spans="5:10" ht="14.25" customHeight="1">
      <c r="E430" s="8"/>
      <c r="F430" s="192"/>
      <c r="G430" s="8"/>
      <c r="H430" s="8"/>
      <c r="I430" s="8"/>
      <c r="J430" s="8"/>
    </row>
    <row r="431" spans="5:10" ht="14.25" customHeight="1">
      <c r="E431" s="8"/>
      <c r="F431" s="192"/>
      <c r="G431" s="8"/>
      <c r="H431" s="8"/>
      <c r="I431" s="8"/>
      <c r="J431" s="8"/>
    </row>
    <row r="432" spans="5:10" ht="14.25" customHeight="1">
      <c r="E432" s="8"/>
      <c r="F432" s="192"/>
      <c r="G432" s="8"/>
      <c r="H432" s="8"/>
      <c r="I432" s="8"/>
      <c r="J432" s="8"/>
    </row>
    <row r="433" spans="5:10" ht="14.25" customHeight="1">
      <c r="E433" s="8"/>
      <c r="F433" s="192"/>
      <c r="G433" s="8"/>
      <c r="H433" s="8"/>
      <c r="I433" s="8"/>
      <c r="J433" s="8"/>
    </row>
    <row r="434" spans="5:10" ht="14.25" customHeight="1">
      <c r="E434" s="8"/>
      <c r="F434" s="192"/>
      <c r="G434" s="8"/>
      <c r="H434" s="8"/>
      <c r="I434" s="8"/>
      <c r="J434" s="8"/>
    </row>
    <row r="435" spans="5:10" ht="14.25" customHeight="1">
      <c r="E435" s="8"/>
      <c r="F435" s="192"/>
      <c r="G435" s="8"/>
      <c r="H435" s="8"/>
      <c r="I435" s="8"/>
      <c r="J435" s="8"/>
    </row>
    <row r="436" spans="5:10" ht="14.25" customHeight="1">
      <c r="E436" s="8"/>
      <c r="F436" s="192"/>
      <c r="G436" s="8"/>
      <c r="H436" s="8"/>
      <c r="I436" s="8"/>
      <c r="J436" s="8"/>
    </row>
    <row r="437" spans="5:10" ht="14.25" customHeight="1">
      <c r="E437" s="8"/>
      <c r="F437" s="192"/>
      <c r="G437" s="8"/>
      <c r="H437" s="8"/>
      <c r="I437" s="8"/>
      <c r="J437" s="8"/>
    </row>
    <row r="438" spans="5:10" ht="14.25" customHeight="1">
      <c r="E438" s="8"/>
      <c r="F438" s="192"/>
      <c r="G438" s="8"/>
      <c r="H438" s="8"/>
      <c r="I438" s="8"/>
      <c r="J438" s="8"/>
    </row>
    <row r="439" spans="5:10" ht="14.25" customHeight="1">
      <c r="E439" s="8"/>
      <c r="F439" s="192"/>
      <c r="G439" s="8"/>
      <c r="H439" s="8"/>
      <c r="I439" s="8"/>
      <c r="J439" s="8"/>
    </row>
    <row r="440" spans="5:10" ht="14.25" customHeight="1">
      <c r="E440" s="8"/>
      <c r="F440" s="192"/>
      <c r="G440" s="8"/>
      <c r="H440" s="8"/>
      <c r="I440" s="8"/>
      <c r="J440" s="8"/>
    </row>
    <row r="441" spans="5:10" ht="14.25" customHeight="1">
      <c r="E441" s="8"/>
      <c r="F441" s="192"/>
      <c r="G441" s="8"/>
      <c r="H441" s="8"/>
      <c r="I441" s="8"/>
      <c r="J441" s="8"/>
    </row>
    <row r="442" spans="5:10" ht="14.25" customHeight="1">
      <c r="E442" s="8"/>
      <c r="F442" s="192"/>
      <c r="G442" s="8"/>
      <c r="H442" s="8"/>
      <c r="I442" s="8"/>
      <c r="J442" s="8"/>
    </row>
    <row r="443" spans="5:10" ht="14.25" customHeight="1">
      <c r="E443" s="8"/>
      <c r="F443" s="192"/>
      <c r="G443" s="8"/>
      <c r="H443" s="8"/>
      <c r="I443" s="8"/>
      <c r="J443" s="8"/>
    </row>
    <row r="444" spans="5:10" ht="14.25" customHeight="1">
      <c r="E444" s="8"/>
      <c r="F444" s="192"/>
      <c r="G444" s="8"/>
      <c r="H444" s="8"/>
      <c r="I444" s="8"/>
      <c r="J444" s="8"/>
    </row>
    <row r="445" spans="5:10" ht="14.25" customHeight="1">
      <c r="E445" s="8"/>
      <c r="F445" s="192"/>
      <c r="G445" s="8"/>
      <c r="H445" s="8"/>
      <c r="I445" s="8"/>
      <c r="J445" s="8"/>
    </row>
    <row r="446" spans="5:10" ht="14.25" customHeight="1">
      <c r="E446" s="8"/>
      <c r="F446" s="192"/>
      <c r="G446" s="8"/>
      <c r="H446" s="8"/>
      <c r="I446" s="8"/>
      <c r="J446" s="8"/>
    </row>
    <row r="447" spans="5:10" ht="14.25" customHeight="1">
      <c r="E447" s="8"/>
      <c r="F447" s="192"/>
      <c r="G447" s="8"/>
      <c r="H447" s="8"/>
      <c r="I447" s="8"/>
      <c r="J447" s="8"/>
    </row>
    <row r="448" spans="5:10" ht="14.25" customHeight="1">
      <c r="E448" s="8"/>
      <c r="F448" s="192"/>
      <c r="G448" s="8"/>
      <c r="H448" s="8"/>
      <c r="I448" s="8"/>
      <c r="J448" s="8"/>
    </row>
    <row r="449" spans="5:10" ht="14.25" customHeight="1">
      <c r="E449" s="8"/>
      <c r="F449" s="192"/>
      <c r="G449" s="8"/>
      <c r="H449" s="8"/>
      <c r="I449" s="8"/>
      <c r="J449" s="8"/>
    </row>
    <row r="450" spans="5:10" ht="14.25" customHeight="1">
      <c r="E450" s="8"/>
      <c r="F450" s="192"/>
      <c r="G450" s="8"/>
      <c r="H450" s="8"/>
      <c r="I450" s="8"/>
      <c r="J450" s="8"/>
    </row>
    <row r="451" spans="5:10" ht="14.25" customHeight="1">
      <c r="E451" s="8"/>
      <c r="F451" s="192"/>
      <c r="G451" s="8"/>
      <c r="H451" s="8"/>
      <c r="I451" s="8"/>
      <c r="J451" s="8"/>
    </row>
    <row r="452" spans="5:10" ht="14.25" customHeight="1">
      <c r="E452" s="8"/>
      <c r="F452" s="192"/>
      <c r="G452" s="8"/>
      <c r="H452" s="8"/>
      <c r="I452" s="8"/>
      <c r="J452" s="8"/>
    </row>
    <row r="453" spans="5:10" ht="14.25" customHeight="1">
      <c r="E453" s="8"/>
      <c r="F453" s="192"/>
      <c r="G453" s="8"/>
      <c r="H453" s="8"/>
      <c r="I453" s="8"/>
      <c r="J453" s="8"/>
    </row>
    <row r="454" spans="5:10" ht="14.25" customHeight="1">
      <c r="E454" s="8"/>
      <c r="F454" s="192"/>
      <c r="G454" s="8"/>
      <c r="H454" s="8"/>
      <c r="I454" s="8"/>
      <c r="J454" s="8"/>
    </row>
    <row r="455" spans="5:10" ht="14.25" customHeight="1">
      <c r="E455" s="8"/>
      <c r="F455" s="192"/>
      <c r="G455" s="8"/>
      <c r="H455" s="8"/>
      <c r="I455" s="8"/>
      <c r="J455" s="8"/>
    </row>
    <row r="456" spans="5:10" ht="14.25" customHeight="1">
      <c r="E456" s="8"/>
      <c r="F456" s="192"/>
      <c r="G456" s="8"/>
      <c r="H456" s="8"/>
      <c r="I456" s="8"/>
      <c r="J456" s="8"/>
    </row>
    <row r="457" spans="5:10" ht="14.25" customHeight="1">
      <c r="E457" s="8"/>
      <c r="F457" s="192"/>
      <c r="G457" s="8"/>
      <c r="H457" s="8"/>
      <c r="I457" s="8"/>
      <c r="J457" s="8"/>
    </row>
    <row r="458" spans="5:10" ht="14.25" customHeight="1">
      <c r="E458" s="8"/>
      <c r="F458" s="192"/>
      <c r="G458" s="8"/>
      <c r="H458" s="8"/>
      <c r="I458" s="8"/>
      <c r="J458" s="8"/>
    </row>
    <row r="459" spans="5:10" ht="14.25" customHeight="1">
      <c r="E459" s="8"/>
      <c r="F459" s="192"/>
      <c r="G459" s="8"/>
      <c r="H459" s="8"/>
      <c r="I459" s="8"/>
      <c r="J459" s="8"/>
    </row>
    <row r="460" spans="5:10" ht="14.25" customHeight="1">
      <c r="E460" s="8"/>
      <c r="F460" s="192"/>
      <c r="G460" s="8"/>
      <c r="H460" s="8"/>
      <c r="I460" s="8"/>
      <c r="J460" s="8"/>
    </row>
    <row r="461" spans="5:10" ht="14.25" customHeight="1">
      <c r="E461" s="8"/>
      <c r="F461" s="192"/>
      <c r="G461" s="8"/>
      <c r="H461" s="8"/>
      <c r="I461" s="8"/>
      <c r="J461" s="8"/>
    </row>
    <row r="462" spans="5:10" ht="14.25" customHeight="1">
      <c r="E462" s="8"/>
      <c r="F462" s="192"/>
      <c r="G462" s="8"/>
      <c r="H462" s="8"/>
      <c r="I462" s="8"/>
      <c r="J462" s="8"/>
    </row>
    <row r="463" spans="5:10" ht="14.25" customHeight="1">
      <c r="E463" s="8"/>
      <c r="F463" s="192"/>
      <c r="G463" s="8"/>
      <c r="H463" s="8"/>
      <c r="I463" s="8"/>
      <c r="J463" s="8"/>
    </row>
    <row r="464" spans="5:10" ht="14.25" customHeight="1">
      <c r="E464" s="8"/>
      <c r="F464" s="192"/>
      <c r="G464" s="8"/>
      <c r="H464" s="8"/>
      <c r="I464" s="8"/>
      <c r="J464" s="8"/>
    </row>
    <row r="465" spans="5:10" ht="14.25" customHeight="1">
      <c r="E465" s="8"/>
      <c r="F465" s="192"/>
      <c r="G465" s="8"/>
      <c r="H465" s="8"/>
      <c r="I465" s="8"/>
      <c r="J465" s="8"/>
    </row>
    <row r="466" spans="5:10" ht="14.25" customHeight="1">
      <c r="E466" s="8"/>
      <c r="F466" s="192"/>
      <c r="G466" s="8"/>
      <c r="H466" s="8"/>
      <c r="I466" s="8"/>
      <c r="J466" s="8"/>
    </row>
    <row r="467" spans="5:10" ht="14.25" customHeight="1">
      <c r="E467" s="8"/>
      <c r="F467" s="192"/>
      <c r="G467" s="8"/>
      <c r="H467" s="8"/>
      <c r="I467" s="8"/>
      <c r="J467" s="8"/>
    </row>
    <row r="468" spans="5:10" ht="14.25" customHeight="1">
      <c r="E468" s="8"/>
      <c r="F468" s="192"/>
      <c r="G468" s="8"/>
      <c r="H468" s="8"/>
      <c r="I468" s="8"/>
      <c r="J468" s="8"/>
    </row>
    <row r="469" spans="5:10" ht="14.25" customHeight="1">
      <c r="E469" s="8"/>
      <c r="F469" s="192"/>
      <c r="G469" s="8"/>
      <c r="H469" s="8"/>
      <c r="I469" s="8"/>
      <c r="J469" s="8"/>
    </row>
    <row r="470" spans="5:10" ht="14.25" customHeight="1">
      <c r="E470" s="8"/>
      <c r="F470" s="192"/>
      <c r="G470" s="8"/>
      <c r="H470" s="8"/>
      <c r="I470" s="8"/>
      <c r="J470" s="8"/>
    </row>
    <row r="471" spans="5:10" ht="14.25" customHeight="1">
      <c r="E471" s="8"/>
      <c r="F471" s="192"/>
      <c r="G471" s="8"/>
      <c r="H471" s="8"/>
      <c r="I471" s="8"/>
      <c r="J471" s="8"/>
    </row>
    <row r="472" spans="5:10" ht="14.25" customHeight="1">
      <c r="E472" s="8"/>
      <c r="F472" s="192"/>
      <c r="G472" s="8"/>
      <c r="H472" s="8"/>
      <c r="I472" s="8"/>
      <c r="J472" s="8"/>
    </row>
    <row r="473" spans="5:10" ht="14.25" customHeight="1">
      <c r="E473" s="8"/>
      <c r="F473" s="192"/>
      <c r="G473" s="8"/>
      <c r="H473" s="8"/>
      <c r="I473" s="8"/>
      <c r="J473" s="8"/>
    </row>
    <row r="474" spans="5:10" ht="14.25" customHeight="1">
      <c r="E474" s="8"/>
      <c r="F474" s="192"/>
      <c r="G474" s="8"/>
      <c r="H474" s="8"/>
      <c r="I474" s="8"/>
      <c r="J474" s="8"/>
    </row>
    <row r="475" spans="5:10" ht="14.25" customHeight="1">
      <c r="E475" s="8"/>
      <c r="F475" s="192"/>
      <c r="G475" s="8"/>
      <c r="H475" s="8"/>
      <c r="I475" s="8"/>
      <c r="J475" s="8"/>
    </row>
    <row r="476" spans="5:10" ht="14.25" customHeight="1">
      <c r="E476" s="8"/>
      <c r="F476" s="192"/>
      <c r="G476" s="8"/>
      <c r="H476" s="8"/>
      <c r="I476" s="8"/>
      <c r="J476" s="8"/>
    </row>
    <row r="477" spans="5:10" ht="14.25" customHeight="1">
      <c r="E477" s="8"/>
      <c r="F477" s="192"/>
      <c r="G477" s="8"/>
      <c r="H477" s="8"/>
      <c r="I477" s="8"/>
      <c r="J477" s="8"/>
    </row>
    <row r="478" spans="5:10" ht="14.25" customHeight="1">
      <c r="E478" s="8"/>
      <c r="F478" s="192"/>
      <c r="G478" s="8"/>
      <c r="H478" s="8"/>
      <c r="I478" s="8"/>
      <c r="J478" s="8"/>
    </row>
    <row r="479" spans="5:10" ht="14.25" customHeight="1">
      <c r="E479" s="8"/>
      <c r="F479" s="192"/>
      <c r="G479" s="8"/>
      <c r="H479" s="8"/>
      <c r="I479" s="8"/>
      <c r="J479" s="8"/>
    </row>
    <row r="480" spans="5:10" ht="14.25" customHeight="1">
      <c r="E480" s="8"/>
      <c r="F480" s="192"/>
      <c r="G480" s="8"/>
      <c r="H480" s="8"/>
      <c r="I480" s="8"/>
      <c r="J480" s="8"/>
    </row>
    <row r="481" spans="5:10" ht="14.25" customHeight="1">
      <c r="E481" s="8"/>
      <c r="F481" s="192"/>
      <c r="G481" s="8"/>
      <c r="H481" s="8"/>
      <c r="I481" s="8"/>
      <c r="J481" s="8"/>
    </row>
    <row r="482" spans="5:10" ht="14.25" customHeight="1">
      <c r="E482" s="8"/>
      <c r="F482" s="192"/>
      <c r="G482" s="8"/>
      <c r="H482" s="8"/>
      <c r="I482" s="8"/>
      <c r="J482" s="8"/>
    </row>
    <row r="483" spans="5:10" ht="14.25" customHeight="1">
      <c r="E483" s="8"/>
      <c r="F483" s="192"/>
      <c r="G483" s="8"/>
      <c r="H483" s="8"/>
      <c r="I483" s="8"/>
      <c r="J483" s="8"/>
    </row>
    <row r="484" spans="5:10" ht="14.25" customHeight="1">
      <c r="E484" s="8"/>
      <c r="F484" s="192"/>
      <c r="G484" s="8"/>
      <c r="H484" s="8"/>
      <c r="I484" s="8"/>
      <c r="J484" s="8"/>
    </row>
    <row r="485" spans="5:10" ht="14.25" customHeight="1">
      <c r="E485" s="8"/>
      <c r="F485" s="192"/>
      <c r="G485" s="8"/>
      <c r="H485" s="8"/>
      <c r="I485" s="8"/>
      <c r="J485" s="8"/>
    </row>
    <row r="486" spans="5:10" ht="14.25" customHeight="1">
      <c r="E486" s="8"/>
      <c r="F486" s="192"/>
      <c r="G486" s="8"/>
      <c r="H486" s="8"/>
      <c r="I486" s="8"/>
      <c r="J486" s="8"/>
    </row>
    <row r="487" spans="5:10" ht="14.25" customHeight="1">
      <c r="E487" s="8"/>
      <c r="F487" s="192"/>
      <c r="G487" s="8"/>
      <c r="H487" s="8"/>
      <c r="I487" s="8"/>
      <c r="J487" s="8"/>
    </row>
    <row r="488" spans="5:10" ht="14.25" customHeight="1">
      <c r="E488" s="8"/>
      <c r="F488" s="192"/>
      <c r="G488" s="8"/>
      <c r="H488" s="8"/>
      <c r="I488" s="8"/>
      <c r="J488" s="8"/>
    </row>
    <row r="489" spans="5:10" ht="14.25" customHeight="1">
      <c r="E489" s="8"/>
      <c r="F489" s="192"/>
      <c r="G489" s="8"/>
      <c r="H489" s="8"/>
      <c r="I489" s="8"/>
      <c r="J489" s="8"/>
    </row>
    <row r="490" spans="5:10" ht="14.25" customHeight="1">
      <c r="E490" s="8"/>
      <c r="F490" s="192"/>
      <c r="G490" s="8"/>
      <c r="H490" s="8"/>
      <c r="I490" s="8"/>
      <c r="J490" s="8"/>
    </row>
    <row r="491" spans="5:10" ht="14.25" customHeight="1">
      <c r="E491" s="8"/>
      <c r="F491" s="192"/>
      <c r="G491" s="8"/>
      <c r="H491" s="8"/>
      <c r="I491" s="8"/>
      <c r="J491" s="8"/>
    </row>
    <row r="492" spans="5:10" ht="14.25" customHeight="1">
      <c r="E492" s="8"/>
      <c r="F492" s="192"/>
      <c r="G492" s="8"/>
      <c r="H492" s="8"/>
      <c r="I492" s="8"/>
      <c r="J492" s="8"/>
    </row>
    <row r="493" spans="5:10" ht="14.25" customHeight="1">
      <c r="E493" s="8"/>
      <c r="F493" s="192"/>
      <c r="G493" s="8"/>
      <c r="H493" s="8"/>
      <c r="I493" s="8"/>
      <c r="J493" s="8"/>
    </row>
    <row r="494" spans="5:10" ht="14.25" customHeight="1">
      <c r="E494" s="8"/>
      <c r="F494" s="192"/>
      <c r="G494" s="8"/>
      <c r="H494" s="8"/>
      <c r="I494" s="8"/>
      <c r="J494" s="8"/>
    </row>
    <row r="495" spans="5:10" ht="14.25" customHeight="1">
      <c r="E495" s="8"/>
      <c r="F495" s="192"/>
      <c r="G495" s="8"/>
      <c r="H495" s="8"/>
      <c r="I495" s="8"/>
      <c r="J495" s="8"/>
    </row>
    <row r="496" spans="5:10" ht="14.25" customHeight="1">
      <c r="E496" s="8"/>
      <c r="F496" s="192"/>
      <c r="G496" s="8"/>
      <c r="H496" s="8"/>
      <c r="I496" s="8"/>
      <c r="J496" s="8"/>
    </row>
    <row r="497" spans="5:10" ht="14.25" customHeight="1">
      <c r="E497" s="8"/>
      <c r="F497" s="192"/>
      <c r="G497" s="8"/>
      <c r="H497" s="8"/>
      <c r="I497" s="8"/>
      <c r="J497" s="8"/>
    </row>
    <row r="498" spans="5:10" ht="14.25" customHeight="1">
      <c r="E498" s="8"/>
      <c r="F498" s="192"/>
      <c r="G498" s="8"/>
      <c r="H498" s="8"/>
      <c r="I498" s="8"/>
      <c r="J498" s="8"/>
    </row>
    <row r="499" spans="5:10" ht="14.25" customHeight="1">
      <c r="E499" s="8"/>
      <c r="F499" s="192"/>
      <c r="G499" s="8"/>
      <c r="H499" s="8"/>
      <c r="I499" s="8"/>
      <c r="J499" s="8"/>
    </row>
    <row r="500" spans="5:10" ht="14.25" customHeight="1">
      <c r="E500" s="8"/>
      <c r="F500" s="192"/>
      <c r="G500" s="8"/>
      <c r="H500" s="8"/>
      <c r="I500" s="8"/>
      <c r="J500" s="8"/>
    </row>
    <row r="501" spans="5:10" ht="14.25" customHeight="1">
      <c r="E501" s="8"/>
      <c r="F501" s="192"/>
      <c r="G501" s="8"/>
      <c r="H501" s="8"/>
      <c r="I501" s="8"/>
      <c r="J501" s="8"/>
    </row>
    <row r="502" spans="5:10" ht="14.25" customHeight="1">
      <c r="E502" s="8"/>
      <c r="F502" s="192"/>
      <c r="G502" s="8"/>
      <c r="H502" s="8"/>
      <c r="I502" s="8"/>
      <c r="J502" s="8"/>
    </row>
    <row r="503" spans="5:10" ht="14.25" customHeight="1">
      <c r="E503" s="8"/>
      <c r="F503" s="192"/>
      <c r="G503" s="8"/>
      <c r="H503" s="8"/>
      <c r="I503" s="8"/>
      <c r="J503" s="8"/>
    </row>
    <row r="504" spans="5:10" ht="14.25" customHeight="1">
      <c r="E504" s="8"/>
      <c r="F504" s="192"/>
      <c r="G504" s="8"/>
      <c r="H504" s="8"/>
      <c r="I504" s="8"/>
      <c r="J504" s="8"/>
    </row>
    <row r="505" spans="5:10" ht="14.25" customHeight="1">
      <c r="E505" s="8"/>
      <c r="F505" s="192"/>
      <c r="G505" s="8"/>
      <c r="H505" s="8"/>
      <c r="I505" s="8"/>
      <c r="J505" s="8"/>
    </row>
    <row r="506" spans="5:10" ht="14.25" customHeight="1">
      <c r="E506" s="8"/>
      <c r="F506" s="192"/>
      <c r="G506" s="8"/>
      <c r="H506" s="8"/>
      <c r="I506" s="8"/>
      <c r="J506" s="8"/>
    </row>
    <row r="507" spans="5:10" ht="14.25" customHeight="1">
      <c r="E507" s="8"/>
      <c r="F507" s="192"/>
      <c r="G507" s="8"/>
      <c r="H507" s="8"/>
      <c r="I507" s="8"/>
      <c r="J507" s="8"/>
    </row>
    <row r="508" spans="5:10" ht="14.25" customHeight="1">
      <c r="E508" s="8"/>
      <c r="F508" s="192"/>
      <c r="G508" s="8"/>
      <c r="H508" s="8"/>
      <c r="I508" s="8"/>
      <c r="J508" s="8"/>
    </row>
    <row r="509" spans="5:10" ht="14.25" customHeight="1">
      <c r="E509" s="8"/>
      <c r="F509" s="192"/>
      <c r="G509" s="8"/>
      <c r="H509" s="8"/>
      <c r="I509" s="8"/>
      <c r="J509" s="8"/>
    </row>
    <row r="510" spans="5:10" ht="14.25" customHeight="1">
      <c r="E510" s="8"/>
      <c r="F510" s="192"/>
      <c r="G510" s="8"/>
      <c r="H510" s="8"/>
      <c r="I510" s="8"/>
      <c r="J510" s="8"/>
    </row>
    <row r="511" spans="5:10" ht="14.25" customHeight="1">
      <c r="E511" s="8"/>
      <c r="F511" s="192"/>
      <c r="G511" s="8"/>
      <c r="H511" s="8"/>
      <c r="I511" s="8"/>
      <c r="J511" s="8"/>
    </row>
    <row r="512" spans="5:10" ht="14.25" customHeight="1">
      <c r="E512" s="8"/>
      <c r="F512" s="192"/>
      <c r="G512" s="8"/>
      <c r="H512" s="8"/>
      <c r="I512" s="8"/>
      <c r="J512" s="8"/>
    </row>
    <row r="513" spans="5:10" ht="14.25" customHeight="1">
      <c r="E513" s="8"/>
      <c r="F513" s="192"/>
      <c r="G513" s="8"/>
      <c r="H513" s="8"/>
      <c r="I513" s="8"/>
      <c r="J513" s="8"/>
    </row>
    <row r="514" spans="5:10" ht="14.25" customHeight="1">
      <c r="E514" s="8"/>
      <c r="F514" s="192"/>
      <c r="G514" s="8"/>
      <c r="H514" s="8"/>
      <c r="I514" s="8"/>
      <c r="J514" s="8"/>
    </row>
    <row r="515" spans="5:10" ht="14.25" customHeight="1">
      <c r="E515" s="8"/>
      <c r="F515" s="192"/>
      <c r="G515" s="8"/>
      <c r="H515" s="8"/>
      <c r="I515" s="8"/>
      <c r="J515" s="8"/>
    </row>
    <row r="516" spans="5:10" ht="14.25" customHeight="1">
      <c r="E516" s="8"/>
      <c r="F516" s="192"/>
      <c r="G516" s="8"/>
      <c r="H516" s="8"/>
      <c r="I516" s="8"/>
      <c r="J516" s="8"/>
    </row>
    <row r="517" spans="5:10" ht="14.25" customHeight="1">
      <c r="E517" s="8"/>
      <c r="F517" s="192"/>
      <c r="G517" s="8"/>
      <c r="H517" s="8"/>
      <c r="I517" s="8"/>
      <c r="J517" s="8"/>
    </row>
    <row r="518" spans="5:10" ht="14.25" customHeight="1">
      <c r="E518" s="8"/>
      <c r="F518" s="192"/>
      <c r="G518" s="8"/>
      <c r="H518" s="8"/>
      <c r="I518" s="8"/>
      <c r="J518" s="8"/>
    </row>
    <row r="519" spans="5:10" ht="14.25" customHeight="1">
      <c r="E519" s="8"/>
      <c r="F519" s="192"/>
      <c r="G519" s="8"/>
      <c r="H519" s="8"/>
      <c r="I519" s="8"/>
      <c r="J519" s="8"/>
    </row>
    <row r="520" spans="5:10" ht="14.25" customHeight="1">
      <c r="E520" s="8"/>
      <c r="F520" s="192"/>
      <c r="G520" s="8"/>
      <c r="H520" s="8"/>
      <c r="I520" s="8"/>
      <c r="J520" s="8"/>
    </row>
    <row r="521" spans="5:10" ht="14.25" customHeight="1">
      <c r="E521" s="8"/>
      <c r="F521" s="192"/>
      <c r="G521" s="8"/>
      <c r="H521" s="8"/>
      <c r="I521" s="8"/>
      <c r="J521" s="8"/>
    </row>
    <row r="522" spans="5:10" ht="14.25" customHeight="1">
      <c r="E522" s="8"/>
      <c r="F522" s="192"/>
      <c r="G522" s="8"/>
      <c r="H522" s="8"/>
      <c r="I522" s="8"/>
      <c r="J522" s="8"/>
    </row>
    <row r="523" spans="5:10" ht="14.25" customHeight="1">
      <c r="E523" s="8"/>
      <c r="F523" s="192"/>
      <c r="G523" s="8"/>
      <c r="H523" s="8"/>
      <c r="I523" s="8"/>
      <c r="J523" s="8"/>
    </row>
    <row r="524" spans="5:10" ht="14.25" customHeight="1">
      <c r="E524" s="8"/>
      <c r="F524" s="192"/>
      <c r="G524" s="8"/>
      <c r="H524" s="8"/>
      <c r="I524" s="8"/>
      <c r="J524" s="8"/>
    </row>
    <row r="525" spans="5:10" ht="14.25" customHeight="1">
      <c r="E525" s="8"/>
      <c r="F525" s="192"/>
      <c r="G525" s="8"/>
      <c r="H525" s="8"/>
      <c r="I525" s="8"/>
      <c r="J525" s="8"/>
    </row>
    <row r="526" spans="5:10" ht="14.25" customHeight="1">
      <c r="E526" s="8"/>
      <c r="F526" s="192"/>
      <c r="G526" s="8"/>
      <c r="H526" s="8"/>
      <c r="I526" s="8"/>
      <c r="J526" s="8"/>
    </row>
    <row r="527" spans="5:10" ht="14.25" customHeight="1">
      <c r="E527" s="8"/>
      <c r="F527" s="192"/>
      <c r="G527" s="8"/>
      <c r="H527" s="8"/>
      <c r="I527" s="8"/>
      <c r="J527" s="8"/>
    </row>
    <row r="528" spans="5:10" ht="14.25" customHeight="1">
      <c r="E528" s="8"/>
      <c r="F528" s="192"/>
      <c r="G528" s="8"/>
      <c r="H528" s="8"/>
      <c r="I528" s="8"/>
      <c r="J528" s="8"/>
    </row>
    <row r="529" spans="5:10" ht="14.25" customHeight="1">
      <c r="E529" s="8"/>
      <c r="F529" s="192"/>
      <c r="G529" s="8"/>
      <c r="H529" s="8"/>
      <c r="I529" s="8"/>
      <c r="J529" s="8"/>
    </row>
    <row r="530" spans="5:10" ht="14.25" customHeight="1">
      <c r="E530" s="8"/>
      <c r="F530" s="192"/>
      <c r="G530" s="8"/>
      <c r="H530" s="8"/>
      <c r="I530" s="8"/>
      <c r="J530" s="8"/>
    </row>
    <row r="531" spans="5:10" ht="14.25" customHeight="1">
      <c r="E531" s="8"/>
      <c r="F531" s="192"/>
      <c r="G531" s="8"/>
      <c r="H531" s="8"/>
      <c r="I531" s="8"/>
      <c r="J531" s="8"/>
    </row>
    <row r="532" spans="5:10" ht="14.25" customHeight="1">
      <c r="E532" s="8"/>
      <c r="F532" s="192"/>
      <c r="G532" s="8"/>
      <c r="H532" s="8"/>
      <c r="I532" s="8"/>
      <c r="J532" s="8"/>
    </row>
    <row r="533" spans="5:10" ht="14.25" customHeight="1">
      <c r="E533" s="8"/>
      <c r="F533" s="192"/>
      <c r="G533" s="8"/>
      <c r="H533" s="8"/>
      <c r="I533" s="8"/>
      <c r="J533" s="8"/>
    </row>
    <row r="534" spans="5:10" ht="14.25" customHeight="1">
      <c r="E534" s="8"/>
      <c r="F534" s="192"/>
      <c r="G534" s="8"/>
      <c r="H534" s="8"/>
      <c r="I534" s="8"/>
      <c r="J534" s="8"/>
    </row>
    <row r="535" spans="5:10" ht="14.25" customHeight="1">
      <c r="E535" s="8"/>
      <c r="F535" s="192"/>
      <c r="G535" s="8"/>
      <c r="H535" s="8"/>
      <c r="I535" s="8"/>
      <c r="J535" s="8"/>
    </row>
    <row r="536" spans="5:10" ht="14.25" customHeight="1">
      <c r="E536" s="8"/>
      <c r="F536" s="192"/>
      <c r="G536" s="8"/>
      <c r="H536" s="8"/>
      <c r="I536" s="8"/>
      <c r="J536" s="8"/>
    </row>
    <row r="537" spans="5:10" ht="14.25" customHeight="1">
      <c r="E537" s="8"/>
      <c r="F537" s="192"/>
      <c r="G537" s="8"/>
      <c r="H537" s="8"/>
      <c r="I537" s="8"/>
      <c r="J537" s="8"/>
    </row>
    <row r="538" spans="5:10" ht="14.25" customHeight="1">
      <c r="E538" s="8"/>
      <c r="F538" s="192"/>
      <c r="G538" s="8"/>
      <c r="H538" s="8"/>
      <c r="I538" s="8"/>
      <c r="J538" s="8"/>
    </row>
    <row r="539" spans="5:10" ht="14.25" customHeight="1">
      <c r="E539" s="8"/>
      <c r="F539" s="192"/>
      <c r="G539" s="8"/>
      <c r="H539" s="8"/>
      <c r="I539" s="8"/>
      <c r="J539" s="8"/>
    </row>
    <row r="540" spans="5:10" ht="14.25" customHeight="1">
      <c r="E540" s="8"/>
      <c r="F540" s="192"/>
      <c r="G540" s="8"/>
      <c r="H540" s="8"/>
      <c r="I540" s="8"/>
      <c r="J540" s="8"/>
    </row>
    <row r="541" spans="5:10" ht="14.25" customHeight="1">
      <c r="E541" s="8"/>
      <c r="F541" s="192"/>
      <c r="G541" s="8"/>
      <c r="H541" s="8"/>
      <c r="I541" s="8"/>
      <c r="J541" s="8"/>
    </row>
    <row r="542" spans="5:10" ht="14.25" customHeight="1">
      <c r="E542" s="8"/>
      <c r="F542" s="192"/>
      <c r="G542" s="8"/>
      <c r="H542" s="8"/>
      <c r="I542" s="8"/>
      <c r="J542" s="8"/>
    </row>
    <row r="543" spans="5:10" ht="14.25" customHeight="1">
      <c r="E543" s="8"/>
      <c r="F543" s="192"/>
      <c r="G543" s="8"/>
      <c r="H543" s="8"/>
      <c r="I543" s="8"/>
      <c r="J543" s="8"/>
    </row>
    <row r="544" spans="5:10" ht="14.25" customHeight="1">
      <c r="E544" s="8"/>
      <c r="F544" s="192"/>
      <c r="G544" s="8"/>
      <c r="H544" s="8"/>
      <c r="I544" s="8"/>
      <c r="J544" s="8"/>
    </row>
    <row r="545" spans="5:10" ht="14.25" customHeight="1">
      <c r="E545" s="8"/>
      <c r="F545" s="192"/>
      <c r="G545" s="8"/>
      <c r="H545" s="8"/>
      <c r="I545" s="8"/>
      <c r="J545" s="8"/>
    </row>
    <row r="546" spans="5:10" ht="14.25" customHeight="1">
      <c r="E546" s="8"/>
      <c r="F546" s="192"/>
      <c r="G546" s="8"/>
      <c r="H546" s="8"/>
      <c r="I546" s="8"/>
      <c r="J546" s="8"/>
    </row>
    <row r="547" spans="5:10" ht="14.25" customHeight="1">
      <c r="E547" s="8"/>
      <c r="F547" s="192"/>
      <c r="G547" s="8"/>
      <c r="H547" s="8"/>
      <c r="I547" s="8"/>
      <c r="J547" s="8"/>
    </row>
    <row r="548" spans="5:10" ht="14.25" customHeight="1">
      <c r="E548" s="8"/>
      <c r="F548" s="192"/>
      <c r="G548" s="8"/>
      <c r="H548" s="8"/>
      <c r="I548" s="8"/>
      <c r="J548" s="8"/>
    </row>
    <row r="549" spans="5:10" ht="14.25" customHeight="1">
      <c r="E549" s="8"/>
      <c r="F549" s="192"/>
      <c r="G549" s="8"/>
      <c r="H549" s="8"/>
      <c r="I549" s="8"/>
      <c r="J549" s="8"/>
    </row>
    <row r="550" spans="5:10" ht="14.25" customHeight="1">
      <c r="E550" s="8"/>
      <c r="F550" s="192"/>
      <c r="G550" s="8"/>
      <c r="H550" s="8"/>
      <c r="I550" s="8"/>
      <c r="J550" s="8"/>
    </row>
    <row r="551" spans="5:10" ht="14.25" customHeight="1">
      <c r="E551" s="8"/>
      <c r="F551" s="192"/>
      <c r="G551" s="8"/>
      <c r="H551" s="8"/>
      <c r="I551" s="8"/>
      <c r="J551" s="8"/>
    </row>
    <row r="552" spans="5:10" ht="14.25" customHeight="1">
      <c r="E552" s="8"/>
      <c r="F552" s="192"/>
      <c r="G552" s="8"/>
      <c r="H552" s="8"/>
      <c r="I552" s="8"/>
      <c r="J552" s="8"/>
    </row>
    <row r="553" spans="5:10" ht="14.25" customHeight="1">
      <c r="E553" s="8"/>
      <c r="F553" s="192"/>
      <c r="G553" s="8"/>
      <c r="H553" s="8"/>
      <c r="I553" s="8"/>
      <c r="J553" s="8"/>
    </row>
    <row r="554" spans="5:10" ht="14.25" customHeight="1">
      <c r="E554" s="8"/>
      <c r="F554" s="192"/>
      <c r="G554" s="8"/>
      <c r="H554" s="8"/>
      <c r="I554" s="8"/>
      <c r="J554" s="8"/>
    </row>
    <row r="555" spans="5:10" ht="14.25" customHeight="1">
      <c r="E555" s="8"/>
      <c r="F555" s="192"/>
      <c r="G555" s="8"/>
      <c r="H555" s="8"/>
      <c r="I555" s="8"/>
      <c r="J555" s="8"/>
    </row>
    <row r="556" spans="5:10" ht="14.25" customHeight="1">
      <c r="E556" s="8"/>
      <c r="F556" s="192"/>
      <c r="G556" s="8"/>
      <c r="H556" s="8"/>
      <c r="I556" s="8"/>
      <c r="J556" s="8"/>
    </row>
    <row r="557" spans="5:10" ht="14.25" customHeight="1">
      <c r="E557" s="8"/>
      <c r="F557" s="192"/>
      <c r="G557" s="8"/>
      <c r="H557" s="8"/>
      <c r="I557" s="8"/>
      <c r="J557" s="8"/>
    </row>
    <row r="558" spans="5:10" ht="14.25" customHeight="1">
      <c r="E558" s="8"/>
      <c r="F558" s="192"/>
      <c r="G558" s="8"/>
      <c r="H558" s="8"/>
      <c r="I558" s="8"/>
      <c r="J558" s="8"/>
    </row>
    <row r="559" spans="5:10" ht="14.25" customHeight="1">
      <c r="E559" s="8"/>
      <c r="F559" s="192"/>
      <c r="G559" s="8"/>
      <c r="H559" s="8"/>
      <c r="I559" s="8"/>
      <c r="J559" s="8"/>
    </row>
    <row r="560" spans="5:10" ht="14.25" customHeight="1">
      <c r="E560" s="8"/>
      <c r="F560" s="192"/>
      <c r="G560" s="8"/>
      <c r="H560" s="8"/>
      <c r="I560" s="8"/>
      <c r="J560" s="8"/>
    </row>
    <row r="561" spans="5:10" ht="14.25" customHeight="1">
      <c r="E561" s="8"/>
      <c r="F561" s="192"/>
      <c r="G561" s="8"/>
      <c r="H561" s="8"/>
      <c r="I561" s="8"/>
      <c r="J561" s="8"/>
    </row>
    <row r="562" spans="5:10" ht="14.25" customHeight="1">
      <c r="E562" s="8"/>
      <c r="F562" s="192"/>
      <c r="G562" s="8"/>
      <c r="H562" s="8"/>
      <c r="I562" s="8"/>
      <c r="J562" s="8"/>
    </row>
    <row r="563" spans="5:10" ht="14.25" customHeight="1">
      <c r="E563" s="8"/>
      <c r="F563" s="192"/>
      <c r="G563" s="8"/>
      <c r="H563" s="8"/>
      <c r="I563" s="8"/>
      <c r="J563" s="8"/>
    </row>
    <row r="564" spans="5:10" ht="14.25" customHeight="1">
      <c r="E564" s="8"/>
      <c r="F564" s="192"/>
      <c r="G564" s="8"/>
      <c r="H564" s="8"/>
      <c r="I564" s="8"/>
      <c r="J564" s="8"/>
    </row>
    <row r="565" spans="5:10" ht="14.25" customHeight="1">
      <c r="E565" s="8"/>
      <c r="F565" s="192"/>
      <c r="G565" s="8"/>
      <c r="H565" s="8"/>
      <c r="I565" s="8"/>
      <c r="J565" s="8"/>
    </row>
    <row r="566" spans="5:10" ht="14.25" customHeight="1">
      <c r="E566" s="8"/>
      <c r="F566" s="192"/>
      <c r="G566" s="8"/>
      <c r="H566" s="8"/>
      <c r="I566" s="8"/>
      <c r="J566" s="8"/>
    </row>
    <row r="567" spans="5:10" ht="14.25" customHeight="1">
      <c r="E567" s="8"/>
      <c r="F567" s="192"/>
      <c r="G567" s="8"/>
      <c r="H567" s="8"/>
      <c r="I567" s="8"/>
      <c r="J567" s="8"/>
    </row>
    <row r="568" spans="5:10" ht="14.25" customHeight="1">
      <c r="E568" s="8"/>
      <c r="F568" s="192"/>
      <c r="G568" s="8"/>
      <c r="H568" s="8"/>
      <c r="I568" s="8"/>
      <c r="J568" s="8"/>
    </row>
    <row r="569" spans="5:10" ht="14.25" customHeight="1">
      <c r="E569" s="8"/>
      <c r="F569" s="192"/>
      <c r="G569" s="8"/>
      <c r="H569" s="8"/>
      <c r="I569" s="8"/>
      <c r="J569" s="8"/>
    </row>
    <row r="570" spans="5:10" ht="14.25" customHeight="1">
      <c r="E570" s="8"/>
      <c r="F570" s="192"/>
      <c r="G570" s="8"/>
      <c r="H570" s="8"/>
      <c r="I570" s="8"/>
      <c r="J570" s="8"/>
    </row>
    <row r="571" spans="5:10" ht="14.25" customHeight="1">
      <c r="E571" s="8"/>
      <c r="F571" s="192"/>
      <c r="G571" s="8"/>
      <c r="H571" s="8"/>
      <c r="I571" s="8"/>
      <c r="J571" s="8"/>
    </row>
    <row r="572" spans="5:10" ht="14.25" customHeight="1">
      <c r="E572" s="8"/>
      <c r="F572" s="192"/>
      <c r="G572" s="8"/>
      <c r="H572" s="8"/>
      <c r="I572" s="8"/>
      <c r="J572" s="8"/>
    </row>
    <row r="573" spans="5:10" ht="14.25" customHeight="1">
      <c r="E573" s="8"/>
      <c r="F573" s="192"/>
      <c r="G573" s="8"/>
      <c r="H573" s="8"/>
      <c r="I573" s="8"/>
      <c r="J573" s="8"/>
    </row>
    <row r="574" spans="5:10" ht="14.25" customHeight="1">
      <c r="E574" s="8"/>
      <c r="F574" s="192"/>
      <c r="G574" s="8"/>
      <c r="H574" s="8"/>
      <c r="I574" s="8"/>
      <c r="J574" s="8"/>
    </row>
    <row r="575" spans="5:10" ht="14.25" customHeight="1">
      <c r="E575" s="8"/>
      <c r="F575" s="192"/>
      <c r="G575" s="8"/>
      <c r="H575" s="8"/>
      <c r="I575" s="8"/>
      <c r="J575" s="8"/>
    </row>
    <row r="576" spans="5:10" ht="14.25" customHeight="1">
      <c r="E576" s="8"/>
      <c r="F576" s="192"/>
      <c r="G576" s="8"/>
      <c r="H576" s="8"/>
      <c r="I576" s="8"/>
      <c r="J576" s="8"/>
    </row>
    <row r="577" spans="5:10" ht="14.25" customHeight="1">
      <c r="E577" s="8"/>
      <c r="F577" s="192"/>
      <c r="G577" s="8"/>
      <c r="H577" s="8"/>
      <c r="I577" s="8"/>
      <c r="J577" s="8"/>
    </row>
    <row r="578" spans="5:10" ht="14.25" customHeight="1">
      <c r="E578" s="8"/>
      <c r="F578" s="192"/>
      <c r="G578" s="8"/>
      <c r="H578" s="8"/>
      <c r="I578" s="8"/>
      <c r="J578" s="8"/>
    </row>
    <row r="579" spans="5:10" ht="14.25" customHeight="1">
      <c r="E579" s="8"/>
      <c r="F579" s="192"/>
      <c r="G579" s="8"/>
      <c r="H579" s="8"/>
      <c r="I579" s="8"/>
      <c r="J579" s="8"/>
    </row>
    <row r="580" spans="5:10" ht="14.25" customHeight="1">
      <c r="E580" s="8"/>
      <c r="F580" s="192"/>
      <c r="G580" s="8"/>
      <c r="H580" s="8"/>
      <c r="I580" s="8"/>
      <c r="J580" s="8"/>
    </row>
    <row r="581" spans="5:10" ht="14.25" customHeight="1">
      <c r="E581" s="8"/>
      <c r="F581" s="192"/>
      <c r="G581" s="8"/>
      <c r="H581" s="8"/>
      <c r="I581" s="8"/>
      <c r="J581" s="8"/>
    </row>
    <row r="582" spans="5:10" ht="14.25" customHeight="1">
      <c r="E582" s="8"/>
      <c r="F582" s="192"/>
      <c r="G582" s="8"/>
      <c r="H582" s="8"/>
      <c r="I582" s="8"/>
      <c r="J582" s="8"/>
    </row>
    <row r="583" spans="5:10" ht="14.25" customHeight="1">
      <c r="E583" s="8"/>
      <c r="F583" s="192"/>
      <c r="G583" s="8"/>
      <c r="H583" s="8"/>
      <c r="I583" s="8"/>
      <c r="J583" s="8"/>
    </row>
    <row r="584" spans="5:10" ht="14.25" customHeight="1">
      <c r="E584" s="8"/>
      <c r="F584" s="192"/>
      <c r="G584" s="8"/>
      <c r="H584" s="8"/>
      <c r="I584" s="8"/>
      <c r="J584" s="8"/>
    </row>
    <row r="585" spans="5:10" ht="14.25" customHeight="1">
      <c r="E585" s="8"/>
      <c r="F585" s="192"/>
      <c r="G585" s="8"/>
      <c r="H585" s="8"/>
      <c r="I585" s="8"/>
      <c r="J585" s="8"/>
    </row>
    <row r="586" spans="5:10" ht="14.25" customHeight="1">
      <c r="E586" s="8"/>
      <c r="F586" s="192"/>
      <c r="G586" s="8"/>
      <c r="H586" s="8"/>
      <c r="I586" s="8"/>
      <c r="J586" s="8"/>
    </row>
    <row r="587" spans="5:10" ht="14.25" customHeight="1">
      <c r="E587" s="8"/>
      <c r="F587" s="192"/>
      <c r="G587" s="8"/>
      <c r="H587" s="8"/>
      <c r="I587" s="8"/>
      <c r="J587" s="8"/>
    </row>
    <row r="588" spans="5:10" ht="14.25" customHeight="1">
      <c r="E588" s="8"/>
      <c r="F588" s="192"/>
      <c r="G588" s="8"/>
      <c r="H588" s="8"/>
      <c r="I588" s="8"/>
      <c r="J588" s="8"/>
    </row>
    <row r="589" spans="5:10" ht="14.25" customHeight="1">
      <c r="E589" s="8"/>
      <c r="F589" s="192"/>
      <c r="G589" s="8"/>
      <c r="H589" s="8"/>
      <c r="I589" s="8"/>
      <c r="J589" s="8"/>
    </row>
    <row r="590" spans="5:10" ht="14.25" customHeight="1">
      <c r="E590" s="8"/>
      <c r="F590" s="192"/>
      <c r="G590" s="8"/>
      <c r="H590" s="8"/>
      <c r="I590" s="8"/>
      <c r="J590" s="8"/>
    </row>
    <row r="591" spans="5:10" ht="14.25" customHeight="1">
      <c r="E591" s="8"/>
      <c r="F591" s="192"/>
      <c r="G591" s="8"/>
      <c r="H591" s="8"/>
      <c r="I591" s="8"/>
      <c r="J591" s="8"/>
    </row>
    <row r="592" spans="5:10" ht="14.25" customHeight="1">
      <c r="E592" s="8"/>
      <c r="F592" s="192"/>
      <c r="G592" s="8"/>
      <c r="H592" s="8"/>
      <c r="I592" s="8"/>
      <c r="J592" s="8"/>
    </row>
    <row r="593" spans="5:10" ht="14.25" customHeight="1">
      <c r="E593" s="8"/>
      <c r="F593" s="192"/>
      <c r="G593" s="8"/>
      <c r="H593" s="8"/>
      <c r="I593" s="8"/>
      <c r="J593" s="8"/>
    </row>
    <row r="594" spans="5:10" ht="14.25" customHeight="1">
      <c r="E594" s="8"/>
      <c r="F594" s="192"/>
      <c r="G594" s="8"/>
      <c r="H594" s="8"/>
      <c r="I594" s="8"/>
      <c r="J594" s="8"/>
    </row>
    <row r="595" spans="5:10" ht="14.25" customHeight="1">
      <c r="E595" s="8"/>
      <c r="F595" s="192"/>
      <c r="G595" s="8"/>
      <c r="H595" s="8"/>
      <c r="I595" s="8"/>
      <c r="J595" s="8"/>
    </row>
    <row r="596" spans="5:10" ht="14.25" customHeight="1">
      <c r="E596" s="8"/>
      <c r="F596" s="192"/>
      <c r="G596" s="8"/>
      <c r="H596" s="8"/>
      <c r="I596" s="8"/>
      <c r="J596" s="8"/>
    </row>
    <row r="597" spans="5:10" ht="14.25" customHeight="1">
      <c r="E597" s="8"/>
      <c r="F597" s="192"/>
      <c r="G597" s="8"/>
      <c r="H597" s="8"/>
      <c r="I597" s="8"/>
      <c r="J597" s="8"/>
    </row>
    <row r="598" spans="5:10" ht="14.25" customHeight="1">
      <c r="E598" s="8"/>
      <c r="F598" s="192"/>
      <c r="G598" s="8"/>
      <c r="H598" s="8"/>
      <c r="I598" s="8"/>
      <c r="J598" s="8"/>
    </row>
    <row r="599" spans="5:10" ht="14.25" customHeight="1">
      <c r="E599" s="8"/>
      <c r="F599" s="192"/>
      <c r="G599" s="8"/>
      <c r="H599" s="8"/>
      <c r="I599" s="8"/>
      <c r="J599" s="8"/>
    </row>
    <row r="600" spans="5:10" ht="14.25" customHeight="1">
      <c r="E600" s="8"/>
      <c r="F600" s="192"/>
      <c r="G600" s="8"/>
      <c r="H600" s="8"/>
      <c r="I600" s="8"/>
      <c r="J600" s="8"/>
    </row>
    <row r="601" spans="5:10" ht="14.25" customHeight="1">
      <c r="E601" s="8"/>
      <c r="F601" s="192"/>
      <c r="G601" s="8"/>
      <c r="H601" s="8"/>
      <c r="I601" s="8"/>
      <c r="J601" s="8"/>
    </row>
    <row r="602" spans="5:10" ht="14.25" customHeight="1">
      <c r="E602" s="8"/>
      <c r="F602" s="192"/>
      <c r="G602" s="8"/>
      <c r="H602" s="8"/>
      <c r="I602" s="8"/>
      <c r="J602" s="8"/>
    </row>
    <row r="603" spans="5:10" ht="14.25" customHeight="1">
      <c r="E603" s="8"/>
      <c r="F603" s="192"/>
      <c r="G603" s="8"/>
      <c r="H603" s="8"/>
      <c r="I603" s="8"/>
      <c r="J603" s="8"/>
    </row>
    <row r="604" spans="5:10" ht="14.25" customHeight="1">
      <c r="E604" s="8"/>
      <c r="F604" s="192"/>
      <c r="G604" s="8"/>
      <c r="H604" s="8"/>
      <c r="I604" s="8"/>
      <c r="J604" s="8"/>
    </row>
    <row r="605" spans="5:10" ht="14.25" customHeight="1">
      <c r="E605" s="8"/>
      <c r="F605" s="192"/>
      <c r="G605" s="8"/>
      <c r="H605" s="8"/>
      <c r="I605" s="8"/>
      <c r="J605" s="8"/>
    </row>
    <row r="606" spans="5:10" ht="14.25" customHeight="1">
      <c r="E606" s="8"/>
      <c r="F606" s="192"/>
      <c r="G606" s="8"/>
      <c r="H606" s="8"/>
      <c r="I606" s="8"/>
      <c r="J606" s="8"/>
    </row>
    <row r="607" spans="5:10" ht="14.25" customHeight="1">
      <c r="E607" s="8"/>
      <c r="F607" s="192"/>
      <c r="G607" s="8"/>
      <c r="H607" s="8"/>
      <c r="I607" s="8"/>
      <c r="J607" s="8"/>
    </row>
    <row r="608" spans="5:10" ht="14.25" customHeight="1">
      <c r="E608" s="8"/>
      <c r="F608" s="192"/>
      <c r="G608" s="8"/>
      <c r="H608" s="8"/>
      <c r="I608" s="8"/>
      <c r="J608" s="8"/>
    </row>
    <row r="609" spans="5:10" ht="14.25" customHeight="1">
      <c r="E609" s="8"/>
      <c r="F609" s="192"/>
      <c r="G609" s="8"/>
      <c r="H609" s="8"/>
      <c r="I609" s="8"/>
      <c r="J609" s="8"/>
    </row>
    <row r="610" spans="5:10" ht="14.25" customHeight="1">
      <c r="E610" s="8"/>
      <c r="F610" s="192"/>
      <c r="G610" s="8"/>
      <c r="H610" s="8"/>
      <c r="I610" s="8"/>
      <c r="J610" s="8"/>
    </row>
    <row r="611" spans="5:10" ht="14.25" customHeight="1">
      <c r="E611" s="8"/>
      <c r="F611" s="192"/>
      <c r="G611" s="8"/>
      <c r="H611" s="8"/>
      <c r="I611" s="8"/>
      <c r="J611" s="8"/>
    </row>
    <row r="612" spans="5:10" ht="14.25" customHeight="1">
      <c r="E612" s="8"/>
      <c r="F612" s="192"/>
      <c r="G612" s="8"/>
      <c r="H612" s="8"/>
      <c r="I612" s="8"/>
      <c r="J612" s="8"/>
    </row>
    <row r="613" spans="5:10" ht="14.25" customHeight="1">
      <c r="E613" s="8"/>
      <c r="F613" s="192"/>
      <c r="G613" s="8"/>
      <c r="H613" s="8"/>
      <c r="I613" s="8"/>
      <c r="J613" s="8"/>
    </row>
    <row r="614" spans="5:10" ht="14.25" customHeight="1">
      <c r="E614" s="8"/>
      <c r="F614" s="192"/>
      <c r="G614" s="8"/>
      <c r="H614" s="8"/>
      <c r="I614" s="8"/>
      <c r="J614" s="8"/>
    </row>
    <row r="615" spans="5:10" ht="14.25" customHeight="1">
      <c r="E615" s="8"/>
      <c r="F615" s="192"/>
      <c r="G615" s="8"/>
      <c r="H615" s="8"/>
      <c r="I615" s="8"/>
      <c r="J615" s="8"/>
    </row>
    <row r="616" spans="5:10" ht="14.25" customHeight="1">
      <c r="E616" s="8"/>
      <c r="F616" s="192"/>
      <c r="G616" s="8"/>
      <c r="H616" s="8"/>
      <c r="I616" s="8"/>
      <c r="J616" s="8"/>
    </row>
    <row r="617" spans="5:10" ht="14.25" customHeight="1">
      <c r="E617" s="8"/>
      <c r="F617" s="192"/>
      <c r="G617" s="8"/>
      <c r="H617" s="8"/>
      <c r="I617" s="8"/>
      <c r="J617" s="8"/>
    </row>
    <row r="618" spans="5:10" ht="14.25" customHeight="1">
      <c r="E618" s="8"/>
      <c r="F618" s="192"/>
      <c r="G618" s="8"/>
      <c r="H618" s="8"/>
      <c r="I618" s="8"/>
      <c r="J618" s="8"/>
    </row>
    <row r="619" spans="5:10" ht="14.25" customHeight="1">
      <c r="E619" s="8"/>
      <c r="F619" s="192"/>
      <c r="G619" s="8"/>
      <c r="H619" s="8"/>
      <c r="I619" s="8"/>
      <c r="J619" s="8"/>
    </row>
    <row r="620" spans="5:10" ht="14.25" customHeight="1">
      <c r="E620" s="8"/>
      <c r="F620" s="192"/>
      <c r="G620" s="8"/>
      <c r="H620" s="8"/>
      <c r="I620" s="8"/>
      <c r="J620" s="8"/>
    </row>
    <row r="621" spans="5:10" ht="14.25" customHeight="1">
      <c r="E621" s="8"/>
      <c r="F621" s="192"/>
      <c r="G621" s="8"/>
      <c r="H621" s="8"/>
      <c r="I621" s="8"/>
      <c r="J621" s="8"/>
    </row>
    <row r="622" spans="5:10" ht="14.25" customHeight="1">
      <c r="E622" s="8"/>
      <c r="F622" s="192"/>
      <c r="G622" s="8"/>
      <c r="H622" s="8"/>
      <c r="I622" s="8"/>
      <c r="J622" s="8"/>
    </row>
    <row r="623" spans="5:10" ht="14.25" customHeight="1">
      <c r="E623" s="8"/>
      <c r="F623" s="192"/>
      <c r="G623" s="8"/>
      <c r="H623" s="8"/>
      <c r="I623" s="8"/>
      <c r="J623" s="8"/>
    </row>
    <row r="624" spans="5:10" ht="14.25" customHeight="1">
      <c r="E624" s="8"/>
      <c r="F624" s="192"/>
      <c r="G624" s="8"/>
      <c r="H624" s="8"/>
      <c r="I624" s="8"/>
      <c r="J624" s="8"/>
    </row>
    <row r="625" spans="5:10" ht="14.25" customHeight="1">
      <c r="E625" s="8"/>
      <c r="F625" s="192"/>
      <c r="G625" s="8"/>
      <c r="H625" s="8"/>
      <c r="I625" s="8"/>
      <c r="J625" s="8"/>
    </row>
    <row r="626" spans="5:10" ht="14.25" customHeight="1">
      <c r="E626" s="8"/>
      <c r="F626" s="192"/>
      <c r="G626" s="8"/>
      <c r="H626" s="8"/>
      <c r="I626" s="8"/>
      <c r="J626" s="8"/>
    </row>
    <row r="627" spans="5:10" ht="14.25" customHeight="1">
      <c r="E627" s="8"/>
      <c r="F627" s="192"/>
      <c r="G627" s="8"/>
      <c r="H627" s="8"/>
      <c r="I627" s="8"/>
      <c r="J627" s="8"/>
    </row>
    <row r="628" spans="5:10" ht="14.25" customHeight="1">
      <c r="E628" s="8"/>
      <c r="F628" s="192"/>
      <c r="G628" s="8"/>
      <c r="H628" s="8"/>
      <c r="I628" s="8"/>
      <c r="J628" s="8"/>
    </row>
    <row r="629" spans="5:10" ht="14.25" customHeight="1">
      <c r="E629" s="8"/>
      <c r="F629" s="192"/>
      <c r="G629" s="8"/>
      <c r="H629" s="8"/>
      <c r="I629" s="8"/>
      <c r="J629" s="8"/>
    </row>
    <row r="630" spans="5:10" ht="14.25" customHeight="1">
      <c r="E630" s="8"/>
      <c r="F630" s="192"/>
      <c r="G630" s="8"/>
      <c r="H630" s="8"/>
      <c r="I630" s="8"/>
      <c r="J630" s="8"/>
    </row>
    <row r="631" spans="5:10" ht="14.25" customHeight="1">
      <c r="E631" s="8"/>
      <c r="F631" s="192"/>
      <c r="G631" s="8"/>
      <c r="H631" s="8"/>
      <c r="I631" s="8"/>
      <c r="J631" s="8"/>
    </row>
    <row r="632" spans="5:10" ht="14.25" customHeight="1">
      <c r="E632" s="8"/>
      <c r="F632" s="192"/>
      <c r="G632" s="8"/>
      <c r="H632" s="8"/>
      <c r="I632" s="8"/>
      <c r="J632" s="8"/>
    </row>
    <row r="633" spans="5:10" ht="14.25" customHeight="1">
      <c r="E633" s="8"/>
      <c r="F633" s="192"/>
      <c r="G633" s="8"/>
      <c r="H633" s="8"/>
      <c r="I633" s="8"/>
      <c r="J633" s="8"/>
    </row>
    <row r="634" spans="5:10" ht="14.25" customHeight="1">
      <c r="E634" s="8"/>
      <c r="F634" s="192"/>
      <c r="G634" s="8"/>
      <c r="H634" s="8"/>
      <c r="I634" s="8"/>
      <c r="J634" s="8"/>
    </row>
    <row r="635" spans="5:10" ht="14.25" customHeight="1">
      <c r="E635" s="8"/>
      <c r="F635" s="192"/>
      <c r="G635" s="8"/>
      <c r="H635" s="8"/>
      <c r="I635" s="8"/>
      <c r="J635" s="8"/>
    </row>
    <row r="636" spans="5:10" ht="14.25" customHeight="1">
      <c r="E636" s="8"/>
      <c r="F636" s="192"/>
      <c r="G636" s="8"/>
      <c r="H636" s="8"/>
      <c r="I636" s="8"/>
      <c r="J636" s="8"/>
    </row>
    <row r="637" spans="5:10" ht="14.25" customHeight="1">
      <c r="E637" s="8"/>
      <c r="F637" s="192"/>
      <c r="G637" s="8"/>
      <c r="H637" s="8"/>
      <c r="I637" s="8"/>
      <c r="J637" s="8"/>
    </row>
    <row r="638" spans="5:10" ht="14.25" customHeight="1">
      <c r="E638" s="8"/>
      <c r="F638" s="192"/>
      <c r="G638" s="8"/>
      <c r="H638" s="8"/>
      <c r="I638" s="8"/>
      <c r="J638" s="8"/>
    </row>
    <row r="639" spans="5:10" ht="14.25" customHeight="1">
      <c r="E639" s="8"/>
      <c r="F639" s="192"/>
      <c r="G639" s="8"/>
      <c r="H639" s="8"/>
      <c r="I639" s="8"/>
      <c r="J639" s="8"/>
    </row>
    <row r="640" spans="5:10" ht="14.25" customHeight="1">
      <c r="E640" s="8"/>
      <c r="F640" s="192"/>
      <c r="G640" s="8"/>
      <c r="H640" s="8"/>
      <c r="I640" s="8"/>
      <c r="J640" s="8"/>
    </row>
    <row r="641" spans="5:10" ht="14.25" customHeight="1">
      <c r="E641" s="8"/>
      <c r="F641" s="192"/>
      <c r="G641" s="8"/>
      <c r="H641" s="8"/>
      <c r="I641" s="8"/>
      <c r="J641" s="8"/>
    </row>
    <row r="642" spans="5:10" ht="14.25" customHeight="1">
      <c r="E642" s="8"/>
      <c r="F642" s="192"/>
      <c r="G642" s="8"/>
      <c r="H642" s="8"/>
      <c r="I642" s="8"/>
      <c r="J642" s="8"/>
    </row>
    <row r="643" spans="5:10" ht="14.25" customHeight="1">
      <c r="E643" s="8"/>
      <c r="F643" s="192"/>
      <c r="G643" s="8"/>
      <c r="H643" s="8"/>
      <c r="I643" s="8"/>
      <c r="J643" s="8"/>
    </row>
    <row r="644" spans="5:10" ht="14.25" customHeight="1">
      <c r="E644" s="8"/>
      <c r="F644" s="192"/>
      <c r="G644" s="8"/>
      <c r="H644" s="8"/>
      <c r="I644" s="8"/>
      <c r="J644" s="8"/>
    </row>
    <row r="645" spans="5:10" ht="14.25" customHeight="1">
      <c r="E645" s="8"/>
      <c r="F645" s="192"/>
      <c r="G645" s="8"/>
      <c r="H645" s="8"/>
      <c r="I645" s="8"/>
      <c r="J645" s="8"/>
    </row>
    <row r="646" spans="5:10" ht="14.25" customHeight="1">
      <c r="E646" s="8"/>
      <c r="F646" s="192"/>
      <c r="G646" s="8"/>
      <c r="H646" s="8"/>
      <c r="I646" s="8"/>
      <c r="J646" s="8"/>
    </row>
    <row r="647" spans="5:10" ht="14.25" customHeight="1">
      <c r="E647" s="8"/>
      <c r="F647" s="192"/>
      <c r="G647" s="8"/>
      <c r="H647" s="8"/>
      <c r="I647" s="8"/>
      <c r="J647" s="8"/>
    </row>
    <row r="648" spans="5:10" ht="14.25" customHeight="1">
      <c r="E648" s="8"/>
      <c r="F648" s="192"/>
      <c r="G648" s="8"/>
      <c r="H648" s="8"/>
      <c r="I648" s="8"/>
      <c r="J648" s="8"/>
    </row>
    <row r="649" spans="5:10" ht="14.25" customHeight="1">
      <c r="E649" s="8"/>
      <c r="F649" s="192"/>
      <c r="G649" s="8"/>
      <c r="H649" s="8"/>
      <c r="I649" s="8"/>
      <c r="J649" s="8"/>
    </row>
    <row r="650" spans="5:10" ht="14.25" customHeight="1">
      <c r="E650" s="8"/>
      <c r="F650" s="192"/>
      <c r="G650" s="8"/>
      <c r="H650" s="8"/>
      <c r="I650" s="8"/>
      <c r="J650" s="8"/>
    </row>
    <row r="651" spans="5:10" ht="14.25" customHeight="1">
      <c r="E651" s="8"/>
      <c r="F651" s="192"/>
      <c r="G651" s="8"/>
      <c r="H651" s="8"/>
      <c r="I651" s="8"/>
      <c r="J651" s="8"/>
    </row>
    <row r="652" spans="5:10" ht="14.25" customHeight="1">
      <c r="E652" s="8"/>
      <c r="F652" s="192"/>
      <c r="G652" s="8"/>
      <c r="H652" s="8"/>
      <c r="I652" s="8"/>
      <c r="J652" s="8"/>
    </row>
    <row r="653" spans="5:10" ht="14.25" customHeight="1">
      <c r="E653" s="8"/>
      <c r="F653" s="192"/>
      <c r="G653" s="8"/>
      <c r="H653" s="8"/>
      <c r="I653" s="8"/>
      <c r="J653" s="8"/>
    </row>
    <row r="654" spans="5:10" ht="14.25" customHeight="1">
      <c r="E654" s="8"/>
      <c r="F654" s="192"/>
      <c r="G654" s="8"/>
      <c r="H654" s="8"/>
      <c r="I654" s="8"/>
      <c r="J654" s="8"/>
    </row>
    <row r="655" spans="5:10" ht="14.25" customHeight="1">
      <c r="E655" s="8"/>
      <c r="F655" s="192"/>
      <c r="G655" s="8"/>
      <c r="H655" s="8"/>
      <c r="I655" s="8"/>
      <c r="J655" s="8"/>
    </row>
    <row r="656" spans="5:10" ht="14.25" customHeight="1">
      <c r="E656" s="8"/>
      <c r="F656" s="192"/>
      <c r="G656" s="8"/>
      <c r="H656" s="8"/>
      <c r="I656" s="8"/>
      <c r="J656" s="8"/>
    </row>
    <row r="657" spans="5:10" ht="14.25" customHeight="1">
      <c r="E657" s="8"/>
      <c r="F657" s="192"/>
      <c r="G657" s="8"/>
      <c r="H657" s="8"/>
      <c r="I657" s="8"/>
      <c r="J657" s="8"/>
    </row>
    <row r="658" spans="5:10" ht="14.25" customHeight="1">
      <c r="E658" s="8"/>
      <c r="F658" s="192"/>
      <c r="G658" s="8"/>
      <c r="H658" s="8"/>
      <c r="I658" s="8"/>
      <c r="J658" s="8"/>
    </row>
    <row r="659" spans="5:10" ht="14.25" customHeight="1">
      <c r="E659" s="8"/>
      <c r="F659" s="192"/>
      <c r="G659" s="8"/>
      <c r="H659" s="8"/>
      <c r="I659" s="8"/>
      <c r="J659" s="8"/>
    </row>
    <row r="660" spans="5:10" ht="14.25" customHeight="1">
      <c r="E660" s="8"/>
      <c r="F660" s="192"/>
      <c r="G660" s="8"/>
      <c r="H660" s="8"/>
      <c r="I660" s="8"/>
      <c r="J660" s="8"/>
    </row>
    <row r="661" spans="5:10" ht="14.25" customHeight="1">
      <c r="E661" s="8"/>
      <c r="F661" s="192"/>
      <c r="G661" s="8"/>
      <c r="H661" s="8"/>
      <c r="I661" s="8"/>
      <c r="J661" s="8"/>
    </row>
    <row r="662" spans="5:10" ht="14.25" customHeight="1">
      <c r="E662" s="8"/>
      <c r="F662" s="192"/>
      <c r="G662" s="8"/>
      <c r="H662" s="8"/>
      <c r="I662" s="8"/>
      <c r="J662" s="8"/>
    </row>
    <row r="663" spans="5:10" ht="14.25" customHeight="1">
      <c r="E663" s="8"/>
      <c r="F663" s="192"/>
      <c r="G663" s="8"/>
      <c r="H663" s="8"/>
      <c r="I663" s="8"/>
      <c r="J663" s="8"/>
    </row>
    <row r="664" spans="5:10" ht="14.25" customHeight="1">
      <c r="E664" s="8"/>
      <c r="F664" s="192"/>
      <c r="G664" s="8"/>
      <c r="H664" s="8"/>
      <c r="I664" s="8"/>
      <c r="J664" s="8"/>
    </row>
    <row r="665" spans="5:10" ht="14.25" customHeight="1">
      <c r="E665" s="8"/>
      <c r="F665" s="192"/>
      <c r="G665" s="8"/>
      <c r="H665" s="8"/>
      <c r="I665" s="8"/>
      <c r="J665" s="8"/>
    </row>
    <row r="666" spans="5:10" ht="14.25" customHeight="1">
      <c r="E666" s="8"/>
      <c r="F666" s="192"/>
      <c r="G666" s="8"/>
      <c r="H666" s="8"/>
      <c r="I666" s="8"/>
      <c r="J666" s="8"/>
    </row>
    <row r="667" spans="5:10" ht="14.25" customHeight="1">
      <c r="E667" s="8"/>
      <c r="F667" s="192"/>
      <c r="G667" s="8"/>
      <c r="H667" s="8"/>
      <c r="I667" s="8"/>
      <c r="J667" s="8"/>
    </row>
    <row r="668" spans="5:10" ht="14.25" customHeight="1">
      <c r="E668" s="8"/>
      <c r="F668" s="192"/>
      <c r="G668" s="8"/>
      <c r="H668" s="8"/>
      <c r="I668" s="8"/>
      <c r="J668" s="8"/>
    </row>
    <row r="669" spans="5:10" ht="14.25" customHeight="1">
      <c r="E669" s="8"/>
      <c r="F669" s="192"/>
      <c r="G669" s="8"/>
      <c r="H669" s="8"/>
      <c r="I669" s="8"/>
      <c r="J669" s="8"/>
    </row>
    <row r="670" spans="5:10" ht="14.25" customHeight="1">
      <c r="E670" s="8"/>
      <c r="F670" s="192"/>
      <c r="G670" s="8"/>
      <c r="H670" s="8"/>
      <c r="I670" s="8"/>
      <c r="J670" s="8"/>
    </row>
    <row r="671" spans="5:10" ht="14.25" customHeight="1">
      <c r="E671" s="8"/>
      <c r="F671" s="192"/>
      <c r="G671" s="8"/>
      <c r="H671" s="8"/>
      <c r="I671" s="8"/>
      <c r="J671" s="8"/>
    </row>
    <row r="672" spans="5:10" ht="14.25" customHeight="1">
      <c r="E672" s="8"/>
      <c r="F672" s="192"/>
      <c r="G672" s="8"/>
      <c r="H672" s="8"/>
      <c r="I672" s="8"/>
      <c r="J672" s="8"/>
    </row>
    <row r="673" spans="5:10" ht="14.25" customHeight="1">
      <c r="E673" s="8"/>
      <c r="F673" s="192"/>
      <c r="G673" s="8"/>
      <c r="H673" s="8"/>
      <c r="I673" s="8"/>
      <c r="J673" s="8"/>
    </row>
    <row r="674" spans="5:10" ht="14.25" customHeight="1">
      <c r="E674" s="8"/>
      <c r="F674" s="192"/>
      <c r="G674" s="8"/>
      <c r="H674" s="8"/>
      <c r="I674" s="8"/>
      <c r="J674" s="8"/>
    </row>
    <row r="675" spans="5:10" ht="14.25" customHeight="1">
      <c r="E675" s="8"/>
      <c r="F675" s="192"/>
      <c r="G675" s="8"/>
      <c r="H675" s="8"/>
      <c r="I675" s="8"/>
      <c r="J675" s="8"/>
    </row>
    <row r="676" spans="5:10" ht="14.25" customHeight="1">
      <c r="E676" s="8"/>
      <c r="F676" s="192"/>
      <c r="G676" s="8"/>
      <c r="H676" s="8"/>
      <c r="I676" s="8"/>
      <c r="J676" s="8"/>
    </row>
    <row r="677" spans="5:10" ht="14.25" customHeight="1">
      <c r="E677" s="8"/>
      <c r="F677" s="192"/>
      <c r="G677" s="8"/>
      <c r="H677" s="8"/>
      <c r="I677" s="8"/>
      <c r="J677" s="8"/>
    </row>
    <row r="678" spans="5:10" ht="14.25" customHeight="1">
      <c r="E678" s="8"/>
      <c r="F678" s="192"/>
      <c r="G678" s="8"/>
      <c r="H678" s="8"/>
      <c r="I678" s="8"/>
      <c r="J678" s="8"/>
    </row>
    <row r="679" spans="5:10" ht="14.25" customHeight="1">
      <c r="E679" s="8"/>
      <c r="F679" s="192"/>
      <c r="G679" s="8"/>
      <c r="H679" s="8"/>
      <c r="I679" s="8"/>
      <c r="J679" s="8"/>
    </row>
    <row r="680" spans="5:10" ht="14.25" customHeight="1">
      <c r="E680" s="8"/>
      <c r="F680" s="192"/>
      <c r="G680" s="8"/>
      <c r="H680" s="8"/>
      <c r="I680" s="8"/>
      <c r="J680" s="8"/>
    </row>
    <row r="681" spans="5:10" ht="14.25" customHeight="1">
      <c r="E681" s="8"/>
      <c r="F681" s="192"/>
      <c r="G681" s="8"/>
      <c r="H681" s="8"/>
      <c r="I681" s="8"/>
      <c r="J681" s="8"/>
    </row>
    <row r="682" spans="5:10" ht="14.25" customHeight="1">
      <c r="E682" s="8"/>
      <c r="F682" s="192"/>
      <c r="G682" s="8"/>
      <c r="H682" s="8"/>
      <c r="I682" s="8"/>
      <c r="J682" s="8"/>
    </row>
    <row r="683" spans="5:10" ht="14.25" customHeight="1">
      <c r="E683" s="8"/>
      <c r="F683" s="192"/>
      <c r="G683" s="8"/>
      <c r="H683" s="8"/>
      <c r="I683" s="8"/>
      <c r="J683" s="8"/>
    </row>
    <row r="684" spans="5:10" ht="14.25" customHeight="1">
      <c r="E684" s="8"/>
      <c r="F684" s="192"/>
      <c r="G684" s="8"/>
      <c r="H684" s="8"/>
      <c r="I684" s="8"/>
      <c r="J684" s="8"/>
    </row>
    <row r="685" spans="5:10" ht="14.25" customHeight="1">
      <c r="E685" s="8"/>
      <c r="F685" s="192"/>
      <c r="G685" s="8"/>
      <c r="H685" s="8"/>
      <c r="I685" s="8"/>
      <c r="J685" s="8"/>
    </row>
    <row r="686" spans="5:10" ht="14.25" customHeight="1">
      <c r="E686" s="8"/>
      <c r="F686" s="192"/>
      <c r="G686" s="8"/>
      <c r="H686" s="8"/>
      <c r="I686" s="8"/>
      <c r="J686" s="8"/>
    </row>
    <row r="687" spans="5:10" ht="14.25" customHeight="1">
      <c r="E687" s="8"/>
      <c r="F687" s="192"/>
      <c r="G687" s="8"/>
      <c r="H687" s="8"/>
      <c r="I687" s="8"/>
      <c r="J687" s="8"/>
    </row>
    <row r="688" spans="5:10" ht="14.25" customHeight="1">
      <c r="E688" s="8"/>
      <c r="F688" s="192"/>
      <c r="G688" s="8"/>
      <c r="H688" s="8"/>
      <c r="I688" s="8"/>
      <c r="J688" s="8"/>
    </row>
    <row r="689" spans="5:10" ht="14.25" customHeight="1">
      <c r="E689" s="8"/>
      <c r="F689" s="192"/>
      <c r="G689" s="8"/>
      <c r="H689" s="8"/>
      <c r="I689" s="8"/>
      <c r="J689" s="8"/>
    </row>
    <row r="690" spans="5:10" ht="14.25" customHeight="1">
      <c r="E690" s="8"/>
      <c r="F690" s="192"/>
      <c r="G690" s="8"/>
      <c r="H690" s="8"/>
      <c r="I690" s="8"/>
      <c r="J690" s="8"/>
    </row>
    <row r="691" spans="5:10" ht="14.25" customHeight="1">
      <c r="E691" s="8"/>
      <c r="F691" s="192"/>
      <c r="G691" s="8"/>
      <c r="H691" s="8"/>
      <c r="I691" s="8"/>
      <c r="J691" s="8"/>
    </row>
    <row r="692" spans="5:10" ht="14.25" customHeight="1">
      <c r="E692" s="8"/>
      <c r="F692" s="192"/>
      <c r="G692" s="8"/>
      <c r="H692" s="8"/>
      <c r="I692" s="8"/>
      <c r="J692" s="8"/>
    </row>
    <row r="693" spans="5:10" ht="14.25" customHeight="1">
      <c r="E693" s="8"/>
      <c r="F693" s="192"/>
      <c r="G693" s="8"/>
      <c r="H693" s="8"/>
      <c r="I693" s="8"/>
      <c r="J693" s="8"/>
    </row>
    <row r="694" spans="5:10" ht="14.25" customHeight="1">
      <c r="E694" s="8"/>
      <c r="F694" s="192"/>
      <c r="G694" s="8"/>
      <c r="H694" s="8"/>
      <c r="I694" s="8"/>
      <c r="J694" s="8"/>
    </row>
    <row r="695" spans="5:10" ht="14.25" customHeight="1">
      <c r="E695" s="8"/>
      <c r="F695" s="192"/>
      <c r="G695" s="8"/>
      <c r="H695" s="8"/>
      <c r="I695" s="8"/>
      <c r="J695" s="8"/>
    </row>
    <row r="696" spans="5:10" ht="14.25" customHeight="1">
      <c r="E696" s="8"/>
      <c r="F696" s="192"/>
      <c r="G696" s="8"/>
      <c r="H696" s="8"/>
      <c r="I696" s="8"/>
      <c r="J696" s="8"/>
    </row>
    <row r="697" spans="5:10" ht="14.25" customHeight="1">
      <c r="E697" s="8"/>
      <c r="F697" s="192"/>
      <c r="G697" s="8"/>
      <c r="H697" s="8"/>
      <c r="I697" s="8"/>
      <c r="J697" s="8"/>
    </row>
    <row r="698" spans="5:10" ht="14.25" customHeight="1">
      <c r="E698" s="8"/>
      <c r="F698" s="192"/>
      <c r="G698" s="8"/>
      <c r="H698" s="8"/>
      <c r="I698" s="8"/>
      <c r="J698" s="8"/>
    </row>
    <row r="699" spans="5:10" ht="14.25" customHeight="1">
      <c r="E699" s="8"/>
      <c r="F699" s="192"/>
      <c r="G699" s="8"/>
      <c r="H699" s="8"/>
      <c r="I699" s="8"/>
      <c r="J699" s="8"/>
    </row>
    <row r="700" spans="5:10" ht="14.25" customHeight="1">
      <c r="E700" s="8"/>
      <c r="F700" s="192"/>
      <c r="G700" s="8"/>
      <c r="H700" s="8"/>
      <c r="I700" s="8"/>
      <c r="J700" s="8"/>
    </row>
    <row r="701" spans="5:10" ht="14.25" customHeight="1">
      <c r="E701" s="8"/>
      <c r="F701" s="192"/>
      <c r="G701" s="8"/>
      <c r="H701" s="8"/>
      <c r="I701" s="8"/>
      <c r="J701" s="8"/>
    </row>
    <row r="702" spans="5:10" ht="14.25" customHeight="1">
      <c r="E702" s="8"/>
      <c r="F702" s="192"/>
      <c r="G702" s="8"/>
      <c r="H702" s="8"/>
      <c r="I702" s="8"/>
      <c r="J702" s="8"/>
    </row>
    <row r="703" spans="5:10" ht="14.25" customHeight="1">
      <c r="E703" s="8"/>
      <c r="F703" s="192"/>
      <c r="G703" s="8"/>
      <c r="H703" s="8"/>
      <c r="I703" s="8"/>
      <c r="J703" s="8"/>
    </row>
    <row r="704" spans="5:10" ht="14.25" customHeight="1">
      <c r="E704" s="8"/>
      <c r="F704" s="192"/>
      <c r="G704" s="8"/>
      <c r="H704" s="8"/>
      <c r="I704" s="8"/>
      <c r="J704" s="8"/>
    </row>
    <row r="705" spans="5:10" ht="14.25" customHeight="1">
      <c r="E705" s="8"/>
      <c r="F705" s="192"/>
      <c r="G705" s="8"/>
      <c r="H705" s="8"/>
      <c r="I705" s="8"/>
      <c r="J705" s="8"/>
    </row>
    <row r="706" spans="5:10" ht="14.25" customHeight="1">
      <c r="E706" s="8"/>
      <c r="F706" s="192"/>
      <c r="G706" s="8"/>
      <c r="H706" s="8"/>
      <c r="I706" s="8"/>
      <c r="J706" s="8"/>
    </row>
    <row r="707" spans="5:10" ht="14.25" customHeight="1">
      <c r="E707" s="8"/>
      <c r="F707" s="192"/>
      <c r="G707" s="8"/>
      <c r="H707" s="8"/>
      <c r="I707" s="8"/>
      <c r="J707" s="8"/>
    </row>
    <row r="708" spans="5:10" ht="14.25" customHeight="1">
      <c r="E708" s="8"/>
      <c r="F708" s="192"/>
      <c r="G708" s="8"/>
      <c r="H708" s="8"/>
      <c r="I708" s="8"/>
      <c r="J708" s="8"/>
    </row>
    <row r="709" spans="5:10" ht="14.25" customHeight="1">
      <c r="E709" s="8"/>
      <c r="F709" s="192"/>
      <c r="G709" s="8"/>
      <c r="H709" s="8"/>
      <c r="I709" s="8"/>
      <c r="J709" s="8"/>
    </row>
    <row r="710" spans="5:10" ht="14.25" customHeight="1">
      <c r="E710" s="8"/>
      <c r="F710" s="192"/>
      <c r="G710" s="8"/>
      <c r="H710" s="8"/>
      <c r="I710" s="8"/>
      <c r="J710" s="8"/>
    </row>
    <row r="711" spans="5:10" ht="14.25" customHeight="1">
      <c r="E711" s="8"/>
      <c r="F711" s="192"/>
      <c r="G711" s="8"/>
      <c r="H711" s="8"/>
      <c r="I711" s="8"/>
      <c r="J711" s="8"/>
    </row>
    <row r="712" spans="5:10" ht="14.25" customHeight="1">
      <c r="E712" s="8"/>
      <c r="F712" s="192"/>
      <c r="G712" s="8"/>
      <c r="H712" s="8"/>
      <c r="I712" s="8"/>
      <c r="J712" s="8"/>
    </row>
    <row r="713" spans="5:10" ht="14.25" customHeight="1">
      <c r="E713" s="8"/>
      <c r="F713" s="192"/>
      <c r="G713" s="8"/>
      <c r="H713" s="8"/>
      <c r="I713" s="8"/>
      <c r="J713" s="8"/>
    </row>
    <row r="714" spans="5:10" ht="14.25" customHeight="1">
      <c r="E714" s="8"/>
      <c r="F714" s="192"/>
      <c r="G714" s="8"/>
      <c r="H714" s="8"/>
      <c r="I714" s="8"/>
      <c r="J714" s="8"/>
    </row>
    <row r="715" spans="5:10" ht="14.25" customHeight="1">
      <c r="E715" s="8"/>
      <c r="F715" s="192"/>
      <c r="G715" s="8"/>
      <c r="H715" s="8"/>
      <c r="I715" s="8"/>
      <c r="J715" s="8"/>
    </row>
    <row r="716" spans="5:10" ht="14.25" customHeight="1">
      <c r="E716" s="8"/>
      <c r="F716" s="192"/>
      <c r="G716" s="8"/>
      <c r="H716" s="8"/>
      <c r="I716" s="8"/>
      <c r="J716" s="8"/>
    </row>
    <row r="717" spans="5:10" ht="14.25" customHeight="1">
      <c r="E717" s="8"/>
      <c r="F717" s="192"/>
      <c r="G717" s="8"/>
      <c r="H717" s="8"/>
      <c r="I717" s="8"/>
      <c r="J717" s="8"/>
    </row>
    <row r="718" spans="5:10" ht="14.25" customHeight="1">
      <c r="E718" s="8"/>
      <c r="F718" s="192"/>
      <c r="G718" s="8"/>
      <c r="H718" s="8"/>
      <c r="I718" s="8"/>
      <c r="J718" s="8"/>
    </row>
    <row r="719" spans="5:10" ht="14.25" customHeight="1">
      <c r="E719" s="8"/>
      <c r="F719" s="192"/>
      <c r="G719" s="8"/>
      <c r="H719" s="8"/>
      <c r="I719" s="8"/>
      <c r="J719" s="8"/>
    </row>
    <row r="720" spans="5:10" ht="14.25" customHeight="1">
      <c r="E720" s="8"/>
      <c r="F720" s="192"/>
      <c r="G720" s="8"/>
      <c r="H720" s="8"/>
      <c r="I720" s="8"/>
      <c r="J720" s="8"/>
    </row>
    <row r="721" spans="5:10" ht="14.25" customHeight="1">
      <c r="E721" s="8"/>
      <c r="F721" s="192"/>
      <c r="G721" s="8"/>
      <c r="H721" s="8"/>
      <c r="I721" s="8"/>
      <c r="J721" s="8"/>
    </row>
    <row r="722" spans="5:10" ht="14.25" customHeight="1">
      <c r="E722" s="8"/>
      <c r="F722" s="192"/>
      <c r="G722" s="8"/>
      <c r="H722" s="8"/>
      <c r="I722" s="8"/>
      <c r="J722" s="8"/>
    </row>
    <row r="723" spans="5:10" ht="14.25" customHeight="1">
      <c r="E723" s="8"/>
      <c r="F723" s="192"/>
      <c r="G723" s="8"/>
      <c r="H723" s="8"/>
      <c r="I723" s="8"/>
      <c r="J723" s="8"/>
    </row>
    <row r="724" spans="5:10" ht="14.25" customHeight="1">
      <c r="E724" s="8"/>
      <c r="F724" s="192"/>
      <c r="G724" s="8"/>
      <c r="H724" s="8"/>
      <c r="I724" s="8"/>
      <c r="J724" s="8"/>
    </row>
    <row r="725" spans="5:10" ht="14.25" customHeight="1">
      <c r="E725" s="8"/>
      <c r="F725" s="192"/>
      <c r="G725" s="8"/>
      <c r="H725" s="8"/>
      <c r="I725" s="8"/>
      <c r="J725" s="8"/>
    </row>
    <row r="726" spans="5:10" ht="14.25" customHeight="1">
      <c r="E726" s="8"/>
      <c r="F726" s="192"/>
      <c r="G726" s="8"/>
      <c r="H726" s="8"/>
      <c r="I726" s="8"/>
      <c r="J726" s="8"/>
    </row>
    <row r="727" spans="5:10" ht="14.25" customHeight="1">
      <c r="E727" s="8"/>
      <c r="F727" s="192"/>
      <c r="G727" s="8"/>
      <c r="H727" s="8"/>
      <c r="I727" s="8"/>
      <c r="J727" s="8"/>
    </row>
    <row r="728" spans="5:10" ht="14.25" customHeight="1">
      <c r="E728" s="8"/>
      <c r="F728" s="192"/>
      <c r="G728" s="8"/>
      <c r="H728" s="8"/>
      <c r="I728" s="8"/>
      <c r="J728" s="8"/>
    </row>
    <row r="729" spans="5:10" ht="14.25" customHeight="1">
      <c r="E729" s="8"/>
      <c r="F729" s="192"/>
      <c r="G729" s="8"/>
      <c r="H729" s="8"/>
      <c r="I729" s="8"/>
      <c r="J729" s="8"/>
    </row>
    <row r="730" spans="5:10" ht="14.25" customHeight="1">
      <c r="E730" s="8"/>
      <c r="F730" s="192"/>
      <c r="G730" s="8"/>
      <c r="H730" s="8"/>
      <c r="I730" s="8"/>
      <c r="J730" s="8"/>
    </row>
    <row r="731" spans="5:10" ht="14.25" customHeight="1">
      <c r="E731" s="8"/>
      <c r="F731" s="192"/>
      <c r="G731" s="8"/>
      <c r="H731" s="8"/>
      <c r="I731" s="8"/>
      <c r="J731" s="8"/>
    </row>
    <row r="732" spans="5:10" ht="14.25" customHeight="1">
      <c r="E732" s="8"/>
      <c r="F732" s="192"/>
      <c r="G732" s="8"/>
      <c r="H732" s="8"/>
      <c r="I732" s="8"/>
      <c r="J732" s="8"/>
    </row>
    <row r="733" spans="5:10" ht="14.25" customHeight="1">
      <c r="E733" s="8"/>
      <c r="F733" s="192"/>
      <c r="G733" s="8"/>
      <c r="H733" s="8"/>
      <c r="I733" s="8"/>
      <c r="J733" s="8"/>
    </row>
    <row r="734" spans="5:10" ht="14.25" customHeight="1">
      <c r="E734" s="8"/>
      <c r="F734" s="192"/>
      <c r="G734" s="8"/>
      <c r="H734" s="8"/>
      <c r="I734" s="8"/>
      <c r="J734" s="8"/>
    </row>
    <row r="735" spans="5:10" ht="14.25" customHeight="1">
      <c r="E735" s="8"/>
      <c r="F735" s="192"/>
      <c r="G735" s="8"/>
      <c r="H735" s="8"/>
      <c r="I735" s="8"/>
      <c r="J735" s="8"/>
    </row>
    <row r="736" spans="5:10" ht="14.25" customHeight="1">
      <c r="E736" s="8"/>
      <c r="F736" s="192"/>
      <c r="G736" s="8"/>
      <c r="H736" s="8"/>
      <c r="I736" s="8"/>
      <c r="J736" s="8"/>
    </row>
    <row r="737" spans="5:10" ht="14.25" customHeight="1">
      <c r="E737" s="8"/>
      <c r="F737" s="192"/>
      <c r="G737" s="8"/>
      <c r="H737" s="8"/>
      <c r="I737" s="8"/>
      <c r="J737" s="8"/>
    </row>
    <row r="738" spans="5:10" ht="14.25" customHeight="1">
      <c r="E738" s="8"/>
      <c r="F738" s="192"/>
      <c r="G738" s="8"/>
      <c r="H738" s="8"/>
      <c r="I738" s="8"/>
      <c r="J738" s="8"/>
    </row>
    <row r="739" spans="5:10" ht="14.25" customHeight="1">
      <c r="E739" s="8"/>
      <c r="F739" s="192"/>
      <c r="G739" s="8"/>
      <c r="H739" s="8"/>
      <c r="I739" s="8"/>
      <c r="J739" s="8"/>
    </row>
    <row r="740" spans="5:10" ht="14.25" customHeight="1">
      <c r="E740" s="8"/>
      <c r="F740" s="192"/>
      <c r="G740" s="8"/>
      <c r="H740" s="8"/>
      <c r="I740" s="8"/>
      <c r="J740" s="8"/>
    </row>
    <row r="741" spans="5:10" ht="14.25" customHeight="1">
      <c r="E741" s="8"/>
      <c r="F741" s="192"/>
      <c r="G741" s="8"/>
      <c r="H741" s="8"/>
      <c r="I741" s="8"/>
      <c r="J741" s="8"/>
    </row>
    <row r="742" spans="5:10" ht="14.25" customHeight="1">
      <c r="E742" s="8"/>
      <c r="F742" s="192"/>
      <c r="G742" s="8"/>
      <c r="H742" s="8"/>
      <c r="I742" s="8"/>
      <c r="J742" s="8"/>
    </row>
    <row r="743" spans="5:10" ht="14.25" customHeight="1">
      <c r="E743" s="8"/>
      <c r="F743" s="192"/>
      <c r="G743" s="8"/>
      <c r="H743" s="8"/>
      <c r="I743" s="8"/>
      <c r="J743" s="8"/>
    </row>
    <row r="744" spans="5:10" ht="14.25" customHeight="1">
      <c r="E744" s="8"/>
      <c r="F744" s="192"/>
      <c r="G744" s="8"/>
      <c r="H744" s="8"/>
      <c r="I744" s="8"/>
      <c r="J744" s="8"/>
    </row>
    <row r="745" spans="5:10" ht="14.25" customHeight="1">
      <c r="E745" s="8"/>
      <c r="F745" s="192"/>
      <c r="G745" s="8"/>
      <c r="H745" s="8"/>
      <c r="I745" s="8"/>
      <c r="J745" s="8"/>
    </row>
    <row r="746" spans="5:10" ht="14.25" customHeight="1">
      <c r="E746" s="8"/>
      <c r="F746" s="192"/>
      <c r="G746" s="8"/>
      <c r="H746" s="8"/>
      <c r="I746" s="8"/>
      <c r="J746" s="8"/>
    </row>
    <row r="747" spans="5:10" ht="14.25" customHeight="1">
      <c r="E747" s="8"/>
      <c r="F747" s="192"/>
      <c r="G747" s="8"/>
      <c r="H747" s="8"/>
      <c r="I747" s="8"/>
      <c r="J747" s="8"/>
    </row>
    <row r="748" spans="5:10" ht="14.25" customHeight="1">
      <c r="E748" s="8"/>
      <c r="F748" s="192"/>
      <c r="G748" s="8"/>
      <c r="H748" s="8"/>
      <c r="I748" s="8"/>
      <c r="J748" s="8"/>
    </row>
    <row r="749" spans="5:10" ht="14.25" customHeight="1">
      <c r="E749" s="8"/>
      <c r="F749" s="192"/>
      <c r="G749" s="8"/>
      <c r="H749" s="8"/>
      <c r="I749" s="8"/>
      <c r="J749" s="8"/>
    </row>
    <row r="750" spans="5:10" ht="14.25" customHeight="1">
      <c r="E750" s="8"/>
      <c r="F750" s="192"/>
      <c r="G750" s="8"/>
      <c r="H750" s="8"/>
      <c r="I750" s="8"/>
      <c r="J750" s="8"/>
    </row>
    <row r="751" spans="5:10" ht="14.25" customHeight="1">
      <c r="E751" s="8"/>
      <c r="F751" s="192"/>
      <c r="G751" s="8"/>
      <c r="H751" s="8"/>
      <c r="I751" s="8"/>
      <c r="J751" s="8"/>
    </row>
    <row r="752" spans="5:10" ht="14.25" customHeight="1">
      <c r="E752" s="8"/>
      <c r="F752" s="192"/>
      <c r="G752" s="8"/>
      <c r="H752" s="8"/>
      <c r="I752" s="8"/>
      <c r="J752" s="8"/>
    </row>
    <row r="753" spans="5:10" ht="14.25" customHeight="1">
      <c r="E753" s="8"/>
      <c r="F753" s="192"/>
      <c r="G753" s="8"/>
      <c r="H753" s="8"/>
      <c r="I753" s="8"/>
      <c r="J753" s="8"/>
    </row>
    <row r="754" spans="5:10" ht="14.25" customHeight="1">
      <c r="E754" s="8"/>
      <c r="F754" s="192"/>
      <c r="G754" s="8"/>
      <c r="H754" s="8"/>
      <c r="I754" s="8"/>
      <c r="J754" s="8"/>
    </row>
    <row r="755" spans="5:10" ht="14.25" customHeight="1">
      <c r="E755" s="8"/>
      <c r="F755" s="192"/>
      <c r="G755" s="8"/>
      <c r="H755" s="8"/>
      <c r="I755" s="8"/>
      <c r="J755" s="8"/>
    </row>
    <row r="756" spans="5:10" ht="14.25" customHeight="1">
      <c r="E756" s="8"/>
      <c r="F756" s="192"/>
      <c r="G756" s="8"/>
      <c r="H756" s="8"/>
      <c r="I756" s="8"/>
      <c r="J756" s="8"/>
    </row>
    <row r="757" spans="5:10" ht="14.25" customHeight="1">
      <c r="E757" s="8"/>
      <c r="F757" s="192"/>
      <c r="G757" s="8"/>
      <c r="H757" s="8"/>
      <c r="I757" s="8"/>
      <c r="J757" s="8"/>
    </row>
    <row r="758" spans="5:10" ht="14.25" customHeight="1">
      <c r="E758" s="8"/>
      <c r="F758" s="192"/>
      <c r="G758" s="8"/>
      <c r="H758" s="8"/>
      <c r="I758" s="8"/>
      <c r="J758" s="8"/>
    </row>
    <row r="759" spans="5:10" ht="14.25" customHeight="1">
      <c r="E759" s="8"/>
      <c r="F759" s="192"/>
      <c r="G759" s="8"/>
      <c r="H759" s="8"/>
      <c r="I759" s="8"/>
      <c r="J759" s="8"/>
    </row>
    <row r="760" spans="5:10" ht="14.25" customHeight="1">
      <c r="E760" s="8"/>
      <c r="F760" s="192"/>
      <c r="G760" s="8"/>
      <c r="H760" s="8"/>
      <c r="I760" s="8"/>
      <c r="J760" s="8"/>
    </row>
    <row r="761" spans="5:10" ht="14.25" customHeight="1">
      <c r="E761" s="8"/>
      <c r="F761" s="192"/>
      <c r="G761" s="8"/>
      <c r="H761" s="8"/>
      <c r="I761" s="8"/>
      <c r="J761" s="8"/>
    </row>
    <row r="762" spans="5:10" ht="14.25" customHeight="1">
      <c r="E762" s="8"/>
      <c r="F762" s="192"/>
      <c r="G762" s="8"/>
      <c r="H762" s="8"/>
      <c r="I762" s="8"/>
      <c r="J762" s="8"/>
    </row>
    <row r="763" spans="5:10" ht="14.25" customHeight="1">
      <c r="E763" s="8"/>
      <c r="F763" s="192"/>
      <c r="G763" s="8"/>
      <c r="H763" s="8"/>
      <c r="I763" s="8"/>
      <c r="J763" s="8"/>
    </row>
    <row r="764" spans="5:10" ht="14.25" customHeight="1">
      <c r="E764" s="8"/>
      <c r="F764" s="192"/>
      <c r="G764" s="8"/>
      <c r="H764" s="8"/>
      <c r="I764" s="8"/>
      <c r="J764" s="8"/>
    </row>
    <row r="765" spans="5:10" ht="14.25" customHeight="1">
      <c r="E765" s="8"/>
      <c r="F765" s="192"/>
      <c r="G765" s="8"/>
      <c r="H765" s="8"/>
      <c r="I765" s="8"/>
      <c r="J765" s="8"/>
    </row>
    <row r="766" spans="5:10" ht="14.25" customHeight="1">
      <c r="E766" s="8"/>
      <c r="F766" s="192"/>
      <c r="G766" s="8"/>
      <c r="H766" s="8"/>
      <c r="I766" s="8"/>
      <c r="J766" s="8"/>
    </row>
    <row r="767" spans="5:10" ht="14.25" customHeight="1">
      <c r="E767" s="8"/>
      <c r="F767" s="192"/>
      <c r="G767" s="8"/>
      <c r="H767" s="8"/>
      <c r="I767" s="8"/>
      <c r="J767" s="8"/>
    </row>
    <row r="768" spans="5:10" ht="14.25" customHeight="1">
      <c r="E768" s="8"/>
      <c r="F768" s="192"/>
      <c r="G768" s="8"/>
      <c r="H768" s="8"/>
      <c r="I768" s="8"/>
      <c r="J768" s="8"/>
    </row>
    <row r="769" spans="5:10" ht="14.25" customHeight="1">
      <c r="E769" s="8"/>
      <c r="F769" s="192"/>
      <c r="G769" s="8"/>
      <c r="H769" s="8"/>
      <c r="I769" s="8"/>
      <c r="J769" s="8"/>
    </row>
    <row r="770" spans="5:10" ht="14.25" customHeight="1">
      <c r="E770" s="8"/>
      <c r="F770" s="192"/>
      <c r="G770" s="8"/>
      <c r="H770" s="8"/>
      <c r="I770" s="8"/>
      <c r="J770" s="8"/>
    </row>
    <row r="771" spans="5:10" ht="14.25" customHeight="1">
      <c r="E771" s="8"/>
      <c r="F771" s="192"/>
      <c r="G771" s="8"/>
      <c r="H771" s="8"/>
      <c r="I771" s="8"/>
      <c r="J771" s="8"/>
    </row>
    <row r="772" spans="5:10" ht="14.25" customHeight="1">
      <c r="E772" s="8"/>
      <c r="F772" s="192"/>
      <c r="G772" s="8"/>
      <c r="H772" s="8"/>
      <c r="I772" s="8"/>
      <c r="J772" s="8"/>
    </row>
    <row r="773" spans="5:10" ht="14.25" customHeight="1">
      <c r="E773" s="8"/>
      <c r="F773" s="192"/>
      <c r="G773" s="8"/>
      <c r="H773" s="8"/>
      <c r="I773" s="8"/>
      <c r="J773" s="8"/>
    </row>
    <row r="774" spans="5:10" ht="14.25" customHeight="1">
      <c r="E774" s="8"/>
      <c r="F774" s="192"/>
      <c r="G774" s="8"/>
      <c r="H774" s="8"/>
      <c r="I774" s="8"/>
      <c r="J774" s="8"/>
    </row>
    <row r="775" spans="5:10" ht="14.25" customHeight="1">
      <c r="E775" s="8"/>
      <c r="F775" s="192"/>
      <c r="G775" s="8"/>
      <c r="H775" s="8"/>
      <c r="I775" s="8"/>
      <c r="J775" s="8"/>
    </row>
    <row r="776" spans="5:10" ht="14.25" customHeight="1">
      <c r="E776" s="8"/>
      <c r="F776" s="192"/>
      <c r="G776" s="8"/>
      <c r="H776" s="8"/>
      <c r="I776" s="8"/>
      <c r="J776" s="8"/>
    </row>
    <row r="777" spans="5:10" ht="14.25" customHeight="1">
      <c r="E777" s="8"/>
      <c r="F777" s="192"/>
      <c r="G777" s="8"/>
      <c r="H777" s="8"/>
      <c r="I777" s="8"/>
      <c r="J777" s="8"/>
    </row>
    <row r="778" spans="5:10" ht="14.25" customHeight="1">
      <c r="E778" s="8"/>
      <c r="F778" s="192"/>
      <c r="G778" s="8"/>
      <c r="H778" s="8"/>
      <c r="I778" s="8"/>
      <c r="J778" s="8"/>
    </row>
    <row r="779" spans="5:10" ht="14.25" customHeight="1">
      <c r="E779" s="8"/>
      <c r="F779" s="192"/>
      <c r="G779" s="8"/>
      <c r="H779" s="8"/>
      <c r="I779" s="8"/>
      <c r="J779" s="8"/>
    </row>
    <row r="780" spans="5:10" ht="14.25" customHeight="1">
      <c r="E780" s="8"/>
      <c r="F780" s="192"/>
      <c r="G780" s="8"/>
      <c r="H780" s="8"/>
      <c r="I780" s="8"/>
      <c r="J780" s="8"/>
    </row>
    <row r="781" spans="5:10" ht="14.25" customHeight="1">
      <c r="E781" s="8"/>
      <c r="F781" s="192"/>
      <c r="G781" s="8"/>
      <c r="H781" s="8"/>
      <c r="I781" s="8"/>
      <c r="J781" s="8"/>
    </row>
    <row r="782" spans="5:10" ht="14.25" customHeight="1">
      <c r="E782" s="8"/>
      <c r="F782" s="192"/>
      <c r="G782" s="8"/>
      <c r="H782" s="8"/>
      <c r="I782" s="8"/>
      <c r="J782" s="8"/>
    </row>
    <row r="783" spans="5:10" ht="14.25" customHeight="1">
      <c r="E783" s="8"/>
      <c r="F783" s="192"/>
      <c r="G783" s="8"/>
      <c r="H783" s="8"/>
      <c r="I783" s="8"/>
      <c r="J783" s="8"/>
    </row>
    <row r="784" spans="5:10" ht="14.25" customHeight="1">
      <c r="E784" s="8"/>
      <c r="F784" s="192"/>
      <c r="G784" s="8"/>
      <c r="H784" s="8"/>
      <c r="I784" s="8"/>
      <c r="J784" s="8"/>
    </row>
    <row r="785" spans="5:10" ht="14.25" customHeight="1">
      <c r="E785" s="8"/>
      <c r="F785" s="192"/>
      <c r="G785" s="8"/>
      <c r="H785" s="8"/>
      <c r="I785" s="8"/>
      <c r="J785" s="8"/>
    </row>
    <row r="786" spans="5:10" ht="14.25" customHeight="1">
      <c r="E786" s="8"/>
      <c r="F786" s="192"/>
      <c r="G786" s="8"/>
      <c r="H786" s="8"/>
      <c r="I786" s="8"/>
      <c r="J786" s="8"/>
    </row>
    <row r="787" spans="5:10" ht="14.25" customHeight="1">
      <c r="E787" s="8"/>
      <c r="F787" s="192"/>
      <c r="G787" s="8"/>
      <c r="H787" s="8"/>
      <c r="I787" s="8"/>
      <c r="J787" s="8"/>
    </row>
    <row r="788" spans="5:10" ht="14.25" customHeight="1">
      <c r="E788" s="8"/>
      <c r="F788" s="192"/>
      <c r="G788" s="8"/>
      <c r="H788" s="8"/>
      <c r="I788" s="8"/>
      <c r="J788" s="8"/>
    </row>
    <row r="789" spans="5:10" ht="14.25" customHeight="1">
      <c r="E789" s="8"/>
      <c r="F789" s="192"/>
      <c r="G789" s="8"/>
      <c r="H789" s="8"/>
      <c r="I789" s="8"/>
      <c r="J789" s="8"/>
    </row>
    <row r="790" spans="5:10" ht="14.25" customHeight="1">
      <c r="E790" s="8"/>
      <c r="F790" s="192"/>
      <c r="G790" s="8"/>
      <c r="H790" s="8"/>
      <c r="I790" s="8"/>
      <c r="J790" s="8"/>
    </row>
    <row r="791" spans="5:10" ht="14.25" customHeight="1">
      <c r="E791" s="8"/>
      <c r="F791" s="192"/>
      <c r="G791" s="8"/>
      <c r="H791" s="8"/>
      <c r="I791" s="8"/>
      <c r="J791" s="8"/>
    </row>
    <row r="792" spans="5:10" ht="14.25" customHeight="1">
      <c r="E792" s="8"/>
      <c r="F792" s="192"/>
      <c r="G792" s="8"/>
      <c r="H792" s="8"/>
      <c r="I792" s="8"/>
      <c r="J792" s="8"/>
    </row>
    <row r="793" spans="5:10" ht="14.25" customHeight="1">
      <c r="E793" s="8"/>
      <c r="F793" s="192"/>
      <c r="G793" s="8"/>
      <c r="H793" s="8"/>
      <c r="I793" s="8"/>
      <c r="J793" s="8"/>
    </row>
    <row r="794" spans="5:10" ht="14.25" customHeight="1">
      <c r="E794" s="8"/>
      <c r="F794" s="192"/>
      <c r="G794" s="8"/>
      <c r="H794" s="8"/>
      <c r="I794" s="8"/>
      <c r="J794" s="8"/>
    </row>
    <row r="795" spans="5:10" ht="14.25" customHeight="1">
      <c r="E795" s="8"/>
      <c r="F795" s="192"/>
      <c r="G795" s="8"/>
      <c r="H795" s="8"/>
      <c r="I795" s="8"/>
      <c r="J795" s="8"/>
    </row>
    <row r="796" spans="5:10" ht="14.25" customHeight="1">
      <c r="E796" s="8"/>
      <c r="F796" s="192"/>
      <c r="G796" s="8"/>
      <c r="H796" s="8"/>
      <c r="I796" s="8"/>
      <c r="J796" s="8"/>
    </row>
    <row r="797" spans="5:10" ht="14.25" customHeight="1">
      <c r="E797" s="8"/>
      <c r="F797" s="192"/>
      <c r="G797" s="8"/>
      <c r="H797" s="8"/>
      <c r="I797" s="8"/>
      <c r="J797" s="8"/>
    </row>
    <row r="798" spans="5:10" ht="14.25" customHeight="1">
      <c r="E798" s="8"/>
      <c r="F798" s="192"/>
      <c r="G798" s="8"/>
      <c r="H798" s="8"/>
      <c r="I798" s="8"/>
      <c r="J798" s="8"/>
    </row>
    <row r="799" spans="5:10" ht="14.25" customHeight="1">
      <c r="E799" s="8"/>
      <c r="F799" s="192"/>
      <c r="G799" s="8"/>
      <c r="H799" s="8"/>
      <c r="I799" s="8"/>
      <c r="J799" s="8"/>
    </row>
    <row r="800" spans="5:10" ht="14.25" customHeight="1">
      <c r="E800" s="8"/>
      <c r="F800" s="192"/>
      <c r="G800" s="8"/>
      <c r="H800" s="8"/>
      <c r="I800" s="8"/>
      <c r="J800" s="8"/>
    </row>
    <row r="801" spans="5:10" ht="14.25" customHeight="1">
      <c r="E801" s="8"/>
      <c r="F801" s="192"/>
      <c r="G801" s="8"/>
      <c r="H801" s="8"/>
      <c r="I801" s="8"/>
      <c r="J801" s="8"/>
    </row>
    <row r="802" spans="5:10" ht="14.25" customHeight="1">
      <c r="E802" s="8"/>
      <c r="F802" s="192"/>
      <c r="G802" s="8"/>
      <c r="H802" s="8"/>
      <c r="I802" s="8"/>
      <c r="J802" s="8"/>
    </row>
    <row r="803" spans="5:10" ht="14.25" customHeight="1">
      <c r="E803" s="8"/>
      <c r="F803" s="192"/>
      <c r="G803" s="8"/>
      <c r="H803" s="8"/>
      <c r="I803" s="8"/>
      <c r="J803" s="8"/>
    </row>
    <row r="804" spans="5:10" ht="14.25" customHeight="1">
      <c r="E804" s="8"/>
      <c r="F804" s="192"/>
      <c r="G804" s="8"/>
      <c r="H804" s="8"/>
      <c r="I804" s="8"/>
      <c r="J804" s="8"/>
    </row>
    <row r="805" spans="5:10" ht="14.25" customHeight="1">
      <c r="E805" s="8"/>
      <c r="F805" s="192"/>
      <c r="G805" s="8"/>
      <c r="H805" s="8"/>
      <c r="I805" s="8"/>
      <c r="J805" s="8"/>
    </row>
    <row r="806" spans="5:10" ht="14.25" customHeight="1">
      <c r="E806" s="8"/>
      <c r="F806" s="192"/>
      <c r="G806" s="8"/>
      <c r="H806" s="8"/>
      <c r="I806" s="8"/>
      <c r="J806" s="8"/>
    </row>
    <row r="807" spans="5:10" ht="14.25" customHeight="1">
      <c r="E807" s="8"/>
      <c r="F807" s="192"/>
      <c r="G807" s="8"/>
      <c r="H807" s="8"/>
      <c r="I807" s="8"/>
      <c r="J807" s="8"/>
    </row>
    <row r="808" spans="5:10" ht="14.25" customHeight="1">
      <c r="E808" s="8"/>
      <c r="F808" s="192"/>
      <c r="G808" s="8"/>
      <c r="H808" s="8"/>
      <c r="I808" s="8"/>
      <c r="J808" s="8"/>
    </row>
    <row r="809" spans="5:10" ht="14.25" customHeight="1">
      <c r="E809" s="8"/>
      <c r="F809" s="192"/>
      <c r="G809" s="8"/>
      <c r="H809" s="8"/>
      <c r="I809" s="8"/>
      <c r="J809" s="8"/>
    </row>
    <row r="810" spans="5:10" ht="14.25" customHeight="1">
      <c r="E810" s="8"/>
      <c r="F810" s="192"/>
      <c r="G810" s="8"/>
      <c r="H810" s="8"/>
      <c r="I810" s="8"/>
      <c r="J810" s="8"/>
    </row>
    <row r="811" spans="5:10" ht="14.25" customHeight="1">
      <c r="E811" s="8"/>
      <c r="F811" s="192"/>
      <c r="G811" s="8"/>
      <c r="H811" s="8"/>
      <c r="I811" s="8"/>
      <c r="J811" s="8"/>
    </row>
    <row r="812" spans="5:10" ht="14.25" customHeight="1">
      <c r="E812" s="8"/>
      <c r="F812" s="192"/>
      <c r="G812" s="8"/>
      <c r="H812" s="8"/>
      <c r="I812" s="8"/>
      <c r="J812" s="8"/>
    </row>
    <row r="813" spans="5:10" ht="14.25" customHeight="1">
      <c r="E813" s="8"/>
      <c r="F813" s="192"/>
      <c r="G813" s="8"/>
      <c r="H813" s="8"/>
      <c r="I813" s="8"/>
      <c r="J813" s="8"/>
    </row>
    <row r="814" spans="5:10" ht="14.25" customHeight="1">
      <c r="E814" s="8"/>
      <c r="F814" s="192"/>
      <c r="G814" s="8"/>
      <c r="H814" s="8"/>
      <c r="I814" s="8"/>
      <c r="J814" s="8"/>
    </row>
    <row r="815" spans="5:10" ht="14.25" customHeight="1">
      <c r="E815" s="8"/>
      <c r="F815" s="192"/>
      <c r="G815" s="8"/>
      <c r="H815" s="8"/>
      <c r="I815" s="8"/>
      <c r="J815" s="8"/>
    </row>
    <row r="816" spans="5:10" ht="14.25" customHeight="1">
      <c r="E816" s="8"/>
      <c r="F816" s="192"/>
      <c r="G816" s="8"/>
      <c r="H816" s="8"/>
      <c r="I816" s="8"/>
      <c r="J816" s="8"/>
    </row>
    <row r="817" spans="5:10" ht="14.25" customHeight="1">
      <c r="E817" s="8"/>
      <c r="F817" s="192"/>
      <c r="G817" s="8"/>
      <c r="H817" s="8"/>
      <c r="I817" s="8"/>
      <c r="J817" s="8"/>
    </row>
    <row r="818" spans="5:10" ht="14.25" customHeight="1">
      <c r="E818" s="8"/>
      <c r="F818" s="192"/>
      <c r="G818" s="8"/>
      <c r="H818" s="8"/>
      <c r="I818" s="8"/>
      <c r="J818" s="8"/>
    </row>
    <row r="819" spans="5:10" ht="14.25" customHeight="1">
      <c r="E819" s="8"/>
      <c r="F819" s="192"/>
      <c r="G819" s="8"/>
      <c r="H819" s="8"/>
      <c r="I819" s="8"/>
      <c r="J819" s="8"/>
    </row>
    <row r="820" spans="5:10" ht="14.25" customHeight="1">
      <c r="E820" s="8"/>
      <c r="F820" s="192"/>
      <c r="G820" s="8"/>
      <c r="H820" s="8"/>
      <c r="I820" s="8"/>
      <c r="J820" s="8"/>
    </row>
    <row r="821" spans="5:10" ht="14.25" customHeight="1">
      <c r="E821" s="8"/>
      <c r="F821" s="192"/>
      <c r="G821" s="8"/>
      <c r="H821" s="8"/>
      <c r="I821" s="8"/>
      <c r="J821" s="8"/>
    </row>
    <row r="822" spans="5:10" ht="14.25" customHeight="1">
      <c r="E822" s="8"/>
      <c r="F822" s="192"/>
      <c r="G822" s="8"/>
      <c r="H822" s="8"/>
      <c r="I822" s="8"/>
      <c r="J822" s="8"/>
    </row>
    <row r="823" spans="5:10" ht="14.25" customHeight="1">
      <c r="E823" s="8"/>
      <c r="F823" s="192"/>
      <c r="G823" s="8"/>
      <c r="H823" s="8"/>
      <c r="I823" s="8"/>
      <c r="J823" s="8"/>
    </row>
    <row r="824" spans="5:10" ht="14.25" customHeight="1">
      <c r="E824" s="8"/>
      <c r="F824" s="192"/>
      <c r="G824" s="8"/>
      <c r="H824" s="8"/>
      <c r="I824" s="8"/>
      <c r="J824" s="8"/>
    </row>
    <row r="825" spans="5:10" ht="14.25" customHeight="1">
      <c r="E825" s="8"/>
      <c r="F825" s="192"/>
      <c r="G825" s="8"/>
      <c r="H825" s="8"/>
      <c r="I825" s="8"/>
      <c r="J825" s="8"/>
    </row>
    <row r="826" spans="5:10" ht="14.25" customHeight="1">
      <c r="E826" s="8"/>
      <c r="F826" s="192"/>
      <c r="G826" s="8"/>
      <c r="H826" s="8"/>
      <c r="I826" s="8"/>
      <c r="J826" s="8"/>
    </row>
    <row r="827" spans="5:10" ht="14.25" customHeight="1">
      <c r="E827" s="8"/>
      <c r="F827" s="192"/>
      <c r="G827" s="8"/>
      <c r="H827" s="8"/>
      <c r="I827" s="8"/>
      <c r="J827" s="8"/>
    </row>
    <row r="828" spans="5:10" ht="14.25" customHeight="1">
      <c r="E828" s="8"/>
      <c r="F828" s="192"/>
      <c r="G828" s="8"/>
      <c r="H828" s="8"/>
      <c r="I828" s="8"/>
      <c r="J828" s="8"/>
    </row>
    <row r="829" spans="5:10" ht="14.25" customHeight="1">
      <c r="E829" s="8"/>
      <c r="F829" s="192"/>
      <c r="G829" s="8"/>
      <c r="H829" s="8"/>
      <c r="I829" s="8"/>
      <c r="J829" s="8"/>
    </row>
    <row r="830" spans="5:10" ht="14.25" customHeight="1">
      <c r="E830" s="8"/>
      <c r="F830" s="192"/>
      <c r="G830" s="8"/>
      <c r="H830" s="8"/>
      <c r="I830" s="8"/>
      <c r="J830" s="8"/>
    </row>
    <row r="831" spans="5:10" ht="14.25" customHeight="1">
      <c r="E831" s="8"/>
      <c r="F831" s="192"/>
      <c r="G831" s="8"/>
      <c r="H831" s="8"/>
      <c r="I831" s="8"/>
      <c r="J831" s="8"/>
    </row>
    <row r="832" spans="5:10" ht="14.25" customHeight="1">
      <c r="E832" s="8"/>
      <c r="F832" s="192"/>
      <c r="G832" s="8"/>
      <c r="H832" s="8"/>
      <c r="I832" s="8"/>
      <c r="J832" s="8"/>
    </row>
    <row r="833" spans="5:10" ht="14.25" customHeight="1">
      <c r="E833" s="8"/>
      <c r="F833" s="192"/>
      <c r="G833" s="8"/>
      <c r="H833" s="8"/>
      <c r="I833" s="8"/>
      <c r="J833" s="8"/>
    </row>
    <row r="834" spans="5:10" ht="14.25" customHeight="1">
      <c r="E834" s="8"/>
      <c r="F834" s="192"/>
      <c r="G834" s="8"/>
      <c r="H834" s="8"/>
      <c r="I834" s="8"/>
      <c r="J834" s="8"/>
    </row>
    <row r="835" spans="5:10" ht="14.25" customHeight="1">
      <c r="E835" s="8"/>
      <c r="F835" s="192"/>
      <c r="G835" s="8"/>
      <c r="H835" s="8"/>
      <c r="I835" s="8"/>
      <c r="J835" s="8"/>
    </row>
    <row r="836" spans="5:10" ht="14.25" customHeight="1">
      <c r="E836" s="8"/>
      <c r="F836" s="192"/>
      <c r="G836" s="8"/>
      <c r="H836" s="8"/>
      <c r="I836" s="8"/>
      <c r="J836" s="8"/>
    </row>
    <row r="837" spans="5:10" ht="14.25" customHeight="1">
      <c r="E837" s="8"/>
      <c r="F837" s="192"/>
      <c r="G837" s="8"/>
      <c r="H837" s="8"/>
      <c r="I837" s="8"/>
      <c r="J837" s="8"/>
    </row>
    <row r="838" spans="5:10" ht="14.25" customHeight="1">
      <c r="E838" s="8"/>
      <c r="F838" s="192"/>
      <c r="G838" s="8"/>
      <c r="H838" s="8"/>
      <c r="I838" s="8"/>
      <c r="J838" s="8"/>
    </row>
    <row r="839" spans="5:10" ht="14.25" customHeight="1">
      <c r="E839" s="8"/>
      <c r="F839" s="192"/>
      <c r="G839" s="8"/>
      <c r="H839" s="8"/>
      <c r="I839" s="8"/>
      <c r="J839" s="8"/>
    </row>
    <row r="840" spans="5:10" ht="14.25" customHeight="1">
      <c r="E840" s="8"/>
      <c r="F840" s="192"/>
      <c r="G840" s="8"/>
      <c r="H840" s="8"/>
      <c r="I840" s="8"/>
      <c r="J840" s="8"/>
    </row>
    <row r="841" spans="5:10" ht="14.25" customHeight="1">
      <c r="E841" s="8"/>
      <c r="F841" s="192"/>
      <c r="G841" s="8"/>
      <c r="H841" s="8"/>
      <c r="I841" s="8"/>
      <c r="J841" s="8"/>
    </row>
    <row r="842" spans="5:10" ht="14.25" customHeight="1">
      <c r="E842" s="8"/>
      <c r="F842" s="192"/>
      <c r="G842" s="8"/>
      <c r="H842" s="8"/>
      <c r="I842" s="8"/>
      <c r="J842" s="8"/>
    </row>
    <row r="843" spans="5:10" ht="14.25" customHeight="1">
      <c r="E843" s="8"/>
      <c r="F843" s="192"/>
      <c r="G843" s="8"/>
      <c r="H843" s="8"/>
      <c r="I843" s="8"/>
      <c r="J843" s="8"/>
    </row>
    <row r="844" spans="5:10" ht="14.25" customHeight="1">
      <c r="E844" s="8"/>
      <c r="F844" s="192"/>
      <c r="G844" s="8"/>
      <c r="H844" s="8"/>
      <c r="I844" s="8"/>
      <c r="J844" s="8"/>
    </row>
    <row r="845" spans="5:10" ht="14.25" customHeight="1">
      <c r="E845" s="8"/>
      <c r="F845" s="192"/>
      <c r="G845" s="8"/>
      <c r="H845" s="8"/>
      <c r="I845" s="8"/>
      <c r="J845" s="8"/>
    </row>
    <row r="846" spans="5:10" ht="14.25" customHeight="1">
      <c r="E846" s="8"/>
      <c r="F846" s="192"/>
      <c r="G846" s="8"/>
      <c r="H846" s="8"/>
      <c r="I846" s="8"/>
      <c r="J846" s="8"/>
    </row>
    <row r="847" spans="5:10" ht="14.25" customHeight="1">
      <c r="E847" s="8"/>
      <c r="F847" s="192"/>
      <c r="G847" s="8"/>
      <c r="H847" s="8"/>
      <c r="I847" s="8"/>
      <c r="J847" s="8"/>
    </row>
    <row r="848" spans="5:10" ht="14.25" customHeight="1">
      <c r="E848" s="8"/>
      <c r="F848" s="192"/>
      <c r="G848" s="8"/>
      <c r="H848" s="8"/>
      <c r="I848" s="8"/>
      <c r="J848" s="8"/>
    </row>
    <row r="849" spans="5:10" ht="14.25" customHeight="1">
      <c r="E849" s="8"/>
      <c r="F849" s="192"/>
      <c r="G849" s="8"/>
      <c r="H849" s="8"/>
      <c r="I849" s="8"/>
      <c r="J849" s="8"/>
    </row>
    <row r="850" spans="5:10" ht="14.25" customHeight="1">
      <c r="E850" s="8"/>
      <c r="F850" s="192"/>
      <c r="G850" s="8"/>
      <c r="H850" s="8"/>
      <c r="I850" s="8"/>
      <c r="J850" s="8"/>
    </row>
    <row r="851" spans="5:10" ht="14.25" customHeight="1">
      <c r="E851" s="8"/>
      <c r="F851" s="192"/>
      <c r="G851" s="8"/>
      <c r="H851" s="8"/>
      <c r="I851" s="8"/>
      <c r="J851" s="8"/>
    </row>
    <row r="852" spans="5:10" ht="14.25" customHeight="1">
      <c r="E852" s="8"/>
      <c r="F852" s="192"/>
      <c r="G852" s="8"/>
      <c r="H852" s="8"/>
      <c r="I852" s="8"/>
      <c r="J852" s="8"/>
    </row>
    <row r="853" spans="5:10" ht="14.25" customHeight="1">
      <c r="E853" s="8"/>
      <c r="F853" s="192"/>
      <c r="G853" s="8"/>
      <c r="H853" s="8"/>
      <c r="I853" s="8"/>
      <c r="J853" s="8"/>
    </row>
    <row r="854" spans="5:10" ht="14.25" customHeight="1">
      <c r="E854" s="8"/>
      <c r="F854" s="192"/>
      <c r="G854" s="8"/>
      <c r="H854" s="8"/>
      <c r="I854" s="8"/>
      <c r="J854" s="8"/>
    </row>
    <row r="855" spans="5:10" ht="14.25" customHeight="1">
      <c r="E855" s="8"/>
      <c r="F855" s="192"/>
      <c r="G855" s="8"/>
      <c r="H855" s="8"/>
      <c r="I855" s="8"/>
      <c r="J855" s="8"/>
    </row>
    <row r="856" spans="5:10" ht="14.25" customHeight="1">
      <c r="E856" s="8"/>
      <c r="F856" s="192"/>
      <c r="G856" s="8"/>
      <c r="H856" s="8"/>
      <c r="I856" s="8"/>
      <c r="J856" s="8"/>
    </row>
    <row r="857" spans="5:10" ht="14.25" customHeight="1">
      <c r="E857" s="8"/>
      <c r="F857" s="192"/>
      <c r="G857" s="8"/>
      <c r="H857" s="8"/>
      <c r="I857" s="8"/>
      <c r="J857" s="8"/>
    </row>
    <row r="858" spans="5:10" ht="14.25" customHeight="1">
      <c r="E858" s="8"/>
      <c r="F858" s="192"/>
      <c r="G858" s="8"/>
      <c r="H858" s="8"/>
      <c r="I858" s="8"/>
      <c r="J858" s="8"/>
    </row>
    <row r="859" spans="5:10" ht="14.25" customHeight="1">
      <c r="E859" s="8"/>
      <c r="F859" s="192"/>
      <c r="G859" s="8"/>
      <c r="H859" s="8"/>
      <c r="I859" s="8"/>
      <c r="J859" s="8"/>
    </row>
    <row r="860" spans="5:10" ht="14.25" customHeight="1">
      <c r="E860" s="8"/>
      <c r="F860" s="192"/>
      <c r="G860" s="8"/>
      <c r="H860" s="8"/>
      <c r="I860" s="8"/>
      <c r="J860" s="8"/>
    </row>
    <row r="861" spans="5:10" ht="14.25" customHeight="1">
      <c r="E861" s="8"/>
      <c r="F861" s="192"/>
      <c r="G861" s="8"/>
      <c r="H861" s="8"/>
      <c r="I861" s="8"/>
      <c r="J861" s="8"/>
    </row>
    <row r="862" spans="5:10" ht="14.25" customHeight="1">
      <c r="E862" s="8"/>
      <c r="F862" s="192"/>
      <c r="G862" s="8"/>
      <c r="H862" s="8"/>
      <c r="I862" s="8"/>
      <c r="J862" s="8"/>
    </row>
    <row r="863" spans="5:10" ht="14.25" customHeight="1">
      <c r="E863" s="8"/>
      <c r="F863" s="192"/>
      <c r="G863" s="8"/>
      <c r="H863" s="8"/>
      <c r="I863" s="8"/>
      <c r="J863" s="8"/>
    </row>
    <row r="864" spans="5:10" ht="14.25" customHeight="1">
      <c r="E864" s="8"/>
      <c r="F864" s="192"/>
      <c r="G864" s="8"/>
      <c r="H864" s="8"/>
      <c r="I864" s="8"/>
      <c r="J864" s="8"/>
    </row>
    <row r="865" spans="5:10" ht="14.25" customHeight="1">
      <c r="E865" s="8"/>
      <c r="F865" s="192"/>
      <c r="G865" s="8"/>
      <c r="H865" s="8"/>
      <c r="I865" s="8"/>
      <c r="J865" s="8"/>
    </row>
    <row r="866" spans="5:10" ht="14.25" customHeight="1">
      <c r="E866" s="8"/>
      <c r="F866" s="192"/>
      <c r="G866" s="8"/>
      <c r="H866" s="8"/>
      <c r="I866" s="8"/>
      <c r="J866" s="8"/>
    </row>
    <row r="867" spans="5:10" ht="14.25" customHeight="1">
      <c r="E867" s="8"/>
      <c r="F867" s="192"/>
      <c r="G867" s="8"/>
      <c r="H867" s="8"/>
      <c r="I867" s="8"/>
      <c r="J867" s="8"/>
    </row>
    <row r="868" spans="5:10" ht="14.25" customHeight="1">
      <c r="E868" s="8"/>
      <c r="F868" s="192"/>
      <c r="G868" s="8"/>
      <c r="H868" s="8"/>
      <c r="I868" s="8"/>
      <c r="J868" s="8"/>
    </row>
    <row r="869" spans="5:10" ht="14.25" customHeight="1">
      <c r="E869" s="8"/>
      <c r="F869" s="192"/>
      <c r="G869" s="8"/>
      <c r="H869" s="8"/>
      <c r="I869" s="8"/>
      <c r="J869" s="8"/>
    </row>
    <row r="870" spans="5:10" ht="14.25" customHeight="1">
      <c r="E870" s="8"/>
      <c r="F870" s="192"/>
      <c r="G870" s="8"/>
      <c r="H870" s="8"/>
      <c r="I870" s="8"/>
      <c r="J870" s="8"/>
    </row>
    <row r="871" spans="5:10" ht="14.25" customHeight="1">
      <c r="E871" s="8"/>
      <c r="F871" s="192"/>
      <c r="G871" s="8"/>
      <c r="H871" s="8"/>
      <c r="I871" s="8"/>
      <c r="J871" s="8"/>
    </row>
    <row r="872" spans="5:10" ht="14.25" customHeight="1">
      <c r="E872" s="8"/>
      <c r="F872" s="192"/>
      <c r="G872" s="8"/>
      <c r="H872" s="8"/>
      <c r="I872" s="8"/>
      <c r="J872" s="8"/>
    </row>
    <row r="873" spans="5:10" ht="14.25" customHeight="1">
      <c r="E873" s="8"/>
      <c r="F873" s="192"/>
      <c r="G873" s="8"/>
      <c r="H873" s="8"/>
      <c r="I873" s="8"/>
      <c r="J873" s="8"/>
    </row>
    <row r="874" spans="5:10" ht="14.25" customHeight="1">
      <c r="E874" s="8"/>
      <c r="F874" s="192"/>
      <c r="G874" s="8"/>
      <c r="H874" s="8"/>
      <c r="I874" s="8"/>
      <c r="J874" s="8"/>
    </row>
    <row r="875" spans="5:10" ht="14.25" customHeight="1">
      <c r="E875" s="8"/>
      <c r="F875" s="192"/>
      <c r="G875" s="8"/>
      <c r="H875" s="8"/>
      <c r="I875" s="8"/>
      <c r="J875" s="8"/>
    </row>
    <row r="876" spans="5:10" ht="14.25" customHeight="1">
      <c r="E876" s="8"/>
      <c r="F876" s="192"/>
      <c r="G876" s="8"/>
      <c r="H876" s="8"/>
      <c r="I876" s="8"/>
      <c r="J876" s="8"/>
    </row>
    <row r="877" spans="5:10" ht="14.25" customHeight="1">
      <c r="E877" s="8"/>
      <c r="F877" s="192"/>
      <c r="G877" s="8"/>
      <c r="H877" s="8"/>
      <c r="I877" s="8"/>
      <c r="J877" s="8"/>
    </row>
    <row r="878" spans="5:10" ht="14.25" customHeight="1">
      <c r="E878" s="8"/>
      <c r="F878" s="192"/>
      <c r="G878" s="8"/>
      <c r="H878" s="8"/>
      <c r="I878" s="8"/>
      <c r="J878" s="8"/>
    </row>
    <row r="879" spans="5:10" ht="14.25" customHeight="1">
      <c r="E879" s="8"/>
      <c r="F879" s="192"/>
      <c r="G879" s="8"/>
      <c r="H879" s="8"/>
      <c r="I879" s="8"/>
      <c r="J879" s="8"/>
    </row>
    <row r="880" spans="5:10" ht="14.25" customHeight="1">
      <c r="E880" s="8"/>
      <c r="F880" s="192"/>
      <c r="G880" s="8"/>
      <c r="H880" s="8"/>
      <c r="I880" s="8"/>
      <c r="J880" s="8"/>
    </row>
    <row r="881" spans="5:10" ht="14.25" customHeight="1">
      <c r="E881" s="8"/>
      <c r="F881" s="192"/>
      <c r="G881" s="8"/>
      <c r="H881" s="8"/>
      <c r="I881" s="8"/>
      <c r="J881" s="8"/>
    </row>
    <row r="882" spans="5:10" ht="14.25" customHeight="1">
      <c r="E882" s="8"/>
      <c r="F882" s="192"/>
      <c r="G882" s="8"/>
      <c r="H882" s="8"/>
      <c r="I882" s="8"/>
      <c r="J882" s="8"/>
    </row>
    <row r="883" spans="5:10" ht="14.25" customHeight="1">
      <c r="E883" s="8"/>
      <c r="F883" s="192"/>
      <c r="G883" s="8"/>
      <c r="H883" s="8"/>
      <c r="I883" s="8"/>
      <c r="J883" s="8"/>
    </row>
    <row r="884" spans="5:10" ht="14.25" customHeight="1">
      <c r="E884" s="8"/>
      <c r="F884" s="192"/>
      <c r="G884" s="8"/>
      <c r="H884" s="8"/>
      <c r="I884" s="8"/>
      <c r="J884" s="8"/>
    </row>
    <row r="885" spans="5:10" ht="14.25" customHeight="1">
      <c r="E885" s="8"/>
      <c r="F885" s="192"/>
      <c r="G885" s="8"/>
      <c r="H885" s="8"/>
      <c r="I885" s="8"/>
      <c r="J885" s="8"/>
    </row>
    <row r="886" spans="5:10" ht="14.25" customHeight="1">
      <c r="E886" s="8"/>
      <c r="F886" s="192"/>
      <c r="G886" s="8"/>
      <c r="H886" s="8"/>
      <c r="I886" s="8"/>
      <c r="J886" s="8"/>
    </row>
    <row r="887" spans="5:10" ht="14.25" customHeight="1">
      <c r="E887" s="8"/>
      <c r="F887" s="192"/>
      <c r="G887" s="8"/>
      <c r="H887" s="8"/>
      <c r="I887" s="8"/>
      <c r="J887" s="8"/>
    </row>
    <row r="888" spans="5:10" ht="14.25" customHeight="1">
      <c r="E888" s="8"/>
      <c r="F888" s="192"/>
      <c r="G888" s="8"/>
      <c r="H888" s="8"/>
      <c r="I888" s="8"/>
      <c r="J888" s="8"/>
    </row>
    <row r="889" spans="5:10" ht="14.25" customHeight="1">
      <c r="E889" s="8"/>
      <c r="F889" s="192"/>
      <c r="G889" s="8"/>
      <c r="H889" s="8"/>
      <c r="I889" s="8"/>
      <c r="J889" s="8"/>
    </row>
    <row r="890" spans="5:10" ht="14.25" customHeight="1">
      <c r="E890" s="8"/>
      <c r="F890" s="192"/>
      <c r="G890" s="8"/>
      <c r="H890" s="8"/>
      <c r="I890" s="8"/>
      <c r="J890" s="8"/>
    </row>
    <row r="891" spans="5:10" ht="14.25" customHeight="1">
      <c r="E891" s="8"/>
      <c r="F891" s="192"/>
      <c r="G891" s="8"/>
      <c r="H891" s="8"/>
      <c r="I891" s="8"/>
      <c r="J891" s="8"/>
    </row>
    <row r="892" spans="5:10" ht="14.25" customHeight="1">
      <c r="E892" s="8"/>
      <c r="F892" s="192"/>
      <c r="G892" s="8"/>
      <c r="H892" s="8"/>
      <c r="I892" s="8"/>
      <c r="J892" s="8"/>
    </row>
    <row r="893" spans="5:10" ht="14.25" customHeight="1">
      <c r="E893" s="8"/>
      <c r="F893" s="192"/>
      <c r="G893" s="8"/>
      <c r="H893" s="8"/>
      <c r="I893" s="8"/>
      <c r="J893" s="8"/>
    </row>
    <row r="894" spans="5:10" ht="14.25" customHeight="1">
      <c r="E894" s="8"/>
      <c r="F894" s="192"/>
      <c r="G894" s="8"/>
      <c r="H894" s="8"/>
      <c r="I894" s="8"/>
      <c r="J894" s="8"/>
    </row>
    <row r="895" spans="5:10" ht="14.25" customHeight="1">
      <c r="E895" s="8"/>
      <c r="F895" s="192"/>
      <c r="G895" s="8"/>
      <c r="H895" s="8"/>
      <c r="I895" s="8"/>
      <c r="J895" s="8"/>
    </row>
    <row r="896" spans="5:10" ht="14.25" customHeight="1">
      <c r="E896" s="8"/>
      <c r="F896" s="192"/>
      <c r="G896" s="8"/>
      <c r="H896" s="8"/>
      <c r="I896" s="8"/>
      <c r="J896" s="8"/>
    </row>
    <row r="897" spans="5:10" ht="14.25" customHeight="1">
      <c r="E897" s="8"/>
      <c r="F897" s="192"/>
      <c r="G897" s="8"/>
      <c r="H897" s="8"/>
      <c r="I897" s="8"/>
      <c r="J897" s="8"/>
    </row>
    <row r="898" spans="5:10" ht="14.25" customHeight="1">
      <c r="E898" s="8"/>
      <c r="F898" s="192"/>
      <c r="G898" s="8"/>
      <c r="H898" s="8"/>
      <c r="I898" s="8"/>
      <c r="J898" s="8"/>
    </row>
    <row r="899" spans="5:10" ht="14.25" customHeight="1">
      <c r="E899" s="8"/>
      <c r="F899" s="192"/>
      <c r="G899" s="8"/>
      <c r="H899" s="8"/>
      <c r="I899" s="8"/>
      <c r="J899" s="8"/>
    </row>
    <row r="900" spans="5:10" ht="14.25" customHeight="1">
      <c r="E900" s="8"/>
      <c r="F900" s="192"/>
      <c r="G900" s="8"/>
      <c r="H900" s="8"/>
      <c r="I900" s="8"/>
      <c r="J900" s="8"/>
    </row>
    <row r="901" spans="5:10" ht="14.25" customHeight="1">
      <c r="E901" s="8"/>
      <c r="F901" s="192"/>
      <c r="G901" s="8"/>
      <c r="H901" s="8"/>
      <c r="I901" s="8"/>
      <c r="J901" s="8"/>
    </row>
    <row r="902" spans="5:10" ht="14.25" customHeight="1">
      <c r="E902" s="8"/>
      <c r="F902" s="192"/>
      <c r="G902" s="8"/>
      <c r="H902" s="8"/>
      <c r="I902" s="8"/>
      <c r="J902" s="8"/>
    </row>
    <row r="903" spans="5:10" ht="14.25" customHeight="1">
      <c r="E903" s="8"/>
      <c r="F903" s="192"/>
      <c r="G903" s="8"/>
      <c r="H903" s="8"/>
      <c r="I903" s="8"/>
      <c r="J903" s="8"/>
    </row>
    <row r="904" spans="5:10" ht="14.25" customHeight="1">
      <c r="E904" s="8"/>
      <c r="F904" s="192"/>
      <c r="G904" s="8"/>
      <c r="H904" s="8"/>
      <c r="I904" s="8"/>
      <c r="J904" s="8"/>
    </row>
    <row r="905" spans="5:10" ht="14.25" customHeight="1">
      <c r="E905" s="8"/>
      <c r="F905" s="192"/>
      <c r="G905" s="8"/>
      <c r="H905" s="8"/>
      <c r="I905" s="8"/>
      <c r="J905" s="8"/>
    </row>
    <row r="906" spans="5:10" ht="14.25" customHeight="1">
      <c r="E906" s="8"/>
      <c r="F906" s="192"/>
      <c r="G906" s="8"/>
      <c r="H906" s="8"/>
      <c r="I906" s="8"/>
      <c r="J906" s="8"/>
    </row>
    <row r="907" spans="5:10" ht="14.25" customHeight="1">
      <c r="E907" s="8"/>
      <c r="F907" s="192"/>
      <c r="G907" s="8"/>
      <c r="H907" s="8"/>
      <c r="I907" s="8"/>
      <c r="J907" s="8"/>
    </row>
    <row r="908" spans="5:10" ht="14.25" customHeight="1">
      <c r="E908" s="8"/>
      <c r="F908" s="192"/>
      <c r="G908" s="8"/>
      <c r="H908" s="8"/>
      <c r="I908" s="8"/>
      <c r="J908" s="8"/>
    </row>
    <row r="909" spans="5:10" ht="14.25" customHeight="1">
      <c r="E909" s="8"/>
      <c r="F909" s="192"/>
      <c r="G909" s="8"/>
      <c r="H909" s="8"/>
      <c r="I909" s="8"/>
      <c r="J909" s="8"/>
    </row>
    <row r="910" spans="5:10" ht="14.25" customHeight="1">
      <c r="E910" s="8"/>
      <c r="F910" s="192"/>
      <c r="G910" s="8"/>
      <c r="H910" s="8"/>
      <c r="I910" s="8"/>
      <c r="J910" s="8"/>
    </row>
    <row r="911" spans="5:10" ht="14.25" customHeight="1">
      <c r="E911" s="8"/>
      <c r="F911" s="192"/>
      <c r="G911" s="8"/>
      <c r="H911" s="8"/>
      <c r="I911" s="8"/>
      <c r="J911" s="8"/>
    </row>
    <row r="912" spans="5:10" ht="14.25" customHeight="1">
      <c r="E912" s="8"/>
      <c r="F912" s="192"/>
      <c r="G912" s="8"/>
      <c r="H912" s="8"/>
      <c r="I912" s="8"/>
      <c r="J912" s="8"/>
    </row>
    <row r="913" spans="5:10" ht="14.25" customHeight="1">
      <c r="E913" s="8"/>
      <c r="F913" s="192"/>
      <c r="G913" s="8"/>
      <c r="H913" s="8"/>
      <c r="I913" s="8"/>
      <c r="J913" s="8"/>
    </row>
    <row r="914" spans="5:10" ht="14.25" customHeight="1">
      <c r="E914" s="8"/>
      <c r="F914" s="192"/>
      <c r="G914" s="8"/>
      <c r="H914" s="8"/>
      <c r="I914" s="8"/>
      <c r="J914" s="8"/>
    </row>
    <row r="915" spans="5:10" ht="14.25" customHeight="1">
      <c r="E915" s="8"/>
      <c r="F915" s="192"/>
      <c r="G915" s="8"/>
      <c r="H915" s="8"/>
      <c r="I915" s="8"/>
      <c r="J915" s="8"/>
    </row>
    <row r="916" spans="5:10" ht="14.25" customHeight="1">
      <c r="E916" s="8"/>
      <c r="F916" s="192"/>
      <c r="G916" s="8"/>
      <c r="H916" s="8"/>
      <c r="I916" s="8"/>
      <c r="J916" s="8"/>
    </row>
    <row r="917" spans="5:10" ht="14.25" customHeight="1">
      <c r="E917" s="8"/>
      <c r="F917" s="192"/>
      <c r="G917" s="8"/>
      <c r="H917" s="8"/>
      <c r="I917" s="8"/>
      <c r="J917" s="8"/>
    </row>
    <row r="918" spans="5:10" ht="14.25" customHeight="1">
      <c r="E918" s="8"/>
      <c r="F918" s="192"/>
      <c r="G918" s="8"/>
      <c r="H918" s="8"/>
      <c r="I918" s="8"/>
      <c r="J918" s="8"/>
    </row>
    <row r="919" spans="5:10" ht="14.25" customHeight="1">
      <c r="E919" s="8"/>
      <c r="F919" s="192"/>
      <c r="G919" s="8"/>
      <c r="H919" s="8"/>
      <c r="I919" s="8"/>
      <c r="J919" s="8"/>
    </row>
    <row r="920" spans="5:10" ht="14.25" customHeight="1">
      <c r="E920" s="8"/>
      <c r="F920" s="192"/>
      <c r="G920" s="8"/>
      <c r="H920" s="8"/>
      <c r="I920" s="8"/>
      <c r="J920" s="8"/>
    </row>
    <row r="921" spans="5:10" ht="14.25" customHeight="1">
      <c r="E921" s="8"/>
      <c r="F921" s="192"/>
      <c r="G921" s="8"/>
      <c r="H921" s="8"/>
      <c r="I921" s="8"/>
      <c r="J921" s="8"/>
    </row>
    <row r="922" spans="5:10" ht="14.25" customHeight="1">
      <c r="E922" s="8"/>
      <c r="F922" s="192"/>
      <c r="G922" s="8"/>
      <c r="H922" s="8"/>
      <c r="I922" s="8"/>
      <c r="J922" s="8"/>
    </row>
    <row r="923" spans="5:10" ht="14.25" customHeight="1">
      <c r="E923" s="8"/>
      <c r="F923" s="192"/>
      <c r="G923" s="8"/>
      <c r="H923" s="8"/>
      <c r="I923" s="8"/>
      <c r="J923" s="8"/>
    </row>
    <row r="924" spans="5:10" ht="14.25" customHeight="1">
      <c r="E924" s="8"/>
      <c r="F924" s="192"/>
      <c r="G924" s="8"/>
      <c r="H924" s="8"/>
      <c r="I924" s="8"/>
      <c r="J924" s="8"/>
    </row>
    <row r="925" spans="5:10" ht="14.25" customHeight="1">
      <c r="E925" s="8"/>
      <c r="F925" s="192"/>
      <c r="G925" s="8"/>
      <c r="H925" s="8"/>
      <c r="I925" s="8"/>
      <c r="J925" s="8"/>
    </row>
    <row r="926" spans="5:10" ht="14.25" customHeight="1">
      <c r="E926" s="8"/>
      <c r="F926" s="192"/>
      <c r="G926" s="8"/>
      <c r="H926" s="8"/>
      <c r="I926" s="8"/>
      <c r="J926" s="8"/>
    </row>
    <row r="927" spans="5:10" ht="14.25" customHeight="1">
      <c r="E927" s="8"/>
      <c r="F927" s="192"/>
      <c r="G927" s="8"/>
      <c r="H927" s="8"/>
      <c r="I927" s="8"/>
      <c r="J927" s="8"/>
    </row>
    <row r="928" spans="5:10" ht="14.25" customHeight="1">
      <c r="E928" s="8"/>
      <c r="F928" s="192"/>
      <c r="G928" s="8"/>
      <c r="H928" s="8"/>
      <c r="I928" s="8"/>
      <c r="J928" s="8"/>
    </row>
    <row r="929" spans="5:10" ht="14.25" customHeight="1">
      <c r="E929" s="8"/>
      <c r="F929" s="192"/>
      <c r="G929" s="8"/>
      <c r="H929" s="8"/>
      <c r="I929" s="8"/>
      <c r="J929" s="8"/>
    </row>
    <row r="930" spans="5:10" ht="14.25" customHeight="1">
      <c r="E930" s="8"/>
      <c r="F930" s="192"/>
      <c r="G930" s="8"/>
      <c r="H930" s="8"/>
      <c r="I930" s="8"/>
      <c r="J930" s="8"/>
    </row>
    <row r="931" spans="5:10" ht="14.25" customHeight="1">
      <c r="E931" s="8"/>
      <c r="F931" s="192"/>
      <c r="G931" s="8"/>
      <c r="H931" s="8"/>
      <c r="I931" s="8"/>
      <c r="J931" s="8"/>
    </row>
    <row r="932" spans="5:10" ht="14.25" customHeight="1">
      <c r="E932" s="8"/>
      <c r="F932" s="192"/>
      <c r="G932" s="8"/>
      <c r="H932" s="8"/>
      <c r="I932" s="8"/>
      <c r="J932" s="8"/>
    </row>
    <row r="933" spans="5:10" ht="14.25" customHeight="1">
      <c r="E933" s="8"/>
      <c r="F933" s="192"/>
      <c r="G933" s="8"/>
      <c r="H933" s="8"/>
      <c r="I933" s="8"/>
      <c r="J933" s="8"/>
    </row>
    <row r="934" spans="5:10" ht="14.25" customHeight="1">
      <c r="E934" s="8"/>
      <c r="F934" s="192"/>
      <c r="G934" s="8"/>
      <c r="H934" s="8"/>
      <c r="I934" s="8"/>
      <c r="J934" s="8"/>
    </row>
    <row r="935" spans="5:10" ht="14.25" customHeight="1">
      <c r="E935" s="8"/>
      <c r="F935" s="192"/>
      <c r="G935" s="8"/>
      <c r="H935" s="8"/>
      <c r="I935" s="8"/>
      <c r="J935" s="8"/>
    </row>
    <row r="936" spans="5:10" ht="14.25" customHeight="1">
      <c r="E936" s="8"/>
      <c r="F936" s="192"/>
      <c r="G936" s="8"/>
      <c r="H936" s="8"/>
      <c r="I936" s="8"/>
      <c r="J936" s="8"/>
    </row>
    <row r="937" spans="5:10" ht="14.25" customHeight="1">
      <c r="E937" s="8"/>
      <c r="F937" s="192"/>
      <c r="G937" s="8"/>
      <c r="H937" s="8"/>
      <c r="I937" s="8"/>
      <c r="J937" s="8"/>
    </row>
    <row r="938" spans="5:10" ht="14.25" customHeight="1">
      <c r="E938" s="8"/>
      <c r="F938" s="192"/>
      <c r="G938" s="8"/>
      <c r="H938" s="8"/>
      <c r="I938" s="8"/>
      <c r="J938" s="8"/>
    </row>
    <row r="939" spans="5:10" ht="14.25" customHeight="1">
      <c r="E939" s="8"/>
      <c r="F939" s="192"/>
      <c r="G939" s="8"/>
      <c r="H939" s="8"/>
      <c r="I939" s="8"/>
      <c r="J939" s="8"/>
    </row>
    <row r="940" spans="5:10" ht="14.25" customHeight="1">
      <c r="E940" s="8"/>
      <c r="F940" s="192"/>
      <c r="G940" s="8"/>
      <c r="H940" s="8"/>
      <c r="I940" s="8"/>
      <c r="J940" s="8"/>
    </row>
    <row r="941" spans="5:10" ht="14.25" customHeight="1">
      <c r="E941" s="8"/>
      <c r="F941" s="192"/>
      <c r="G941" s="8"/>
      <c r="H941" s="8"/>
      <c r="I941" s="8"/>
      <c r="J941" s="8"/>
    </row>
    <row r="942" spans="5:10" ht="14.25" customHeight="1">
      <c r="E942" s="8"/>
      <c r="F942" s="192"/>
      <c r="G942" s="8"/>
      <c r="H942" s="8"/>
      <c r="I942" s="8"/>
      <c r="J942" s="8"/>
    </row>
    <row r="943" spans="5:10" ht="14.25" customHeight="1">
      <c r="E943" s="8"/>
      <c r="F943" s="192"/>
      <c r="G943" s="8"/>
      <c r="H943" s="8"/>
      <c r="I943" s="8"/>
      <c r="J943" s="8"/>
    </row>
    <row r="944" spans="5:10" ht="14.25" customHeight="1">
      <c r="E944" s="8"/>
      <c r="F944" s="192"/>
      <c r="G944" s="8"/>
      <c r="H944" s="8"/>
      <c r="I944" s="8"/>
      <c r="J944" s="8"/>
    </row>
    <row r="945" spans="5:10" ht="14.25" customHeight="1">
      <c r="E945" s="8"/>
      <c r="F945" s="192"/>
      <c r="G945" s="8"/>
      <c r="H945" s="8"/>
      <c r="I945" s="8"/>
      <c r="J945" s="8"/>
    </row>
    <row r="946" spans="5:10" ht="14.25" customHeight="1">
      <c r="E946" s="8"/>
      <c r="F946" s="192"/>
      <c r="G946" s="8"/>
      <c r="H946" s="8"/>
      <c r="I946" s="8"/>
      <c r="J946" s="8"/>
    </row>
    <row r="947" spans="5:10" ht="14.25" customHeight="1">
      <c r="E947" s="8"/>
      <c r="F947" s="192"/>
      <c r="G947" s="8"/>
      <c r="H947" s="8"/>
      <c r="I947" s="8"/>
      <c r="J947" s="8"/>
    </row>
    <row r="948" spans="5:10" ht="14.25" customHeight="1">
      <c r="E948" s="8"/>
      <c r="F948" s="192"/>
      <c r="G948" s="8"/>
      <c r="H948" s="8"/>
      <c r="I948" s="8"/>
      <c r="J948" s="8"/>
    </row>
    <row r="949" spans="5:10" ht="14.25" customHeight="1">
      <c r="E949" s="8"/>
      <c r="F949" s="192"/>
      <c r="G949" s="8"/>
      <c r="H949" s="8"/>
      <c r="I949" s="8"/>
      <c r="J949" s="8"/>
    </row>
    <row r="950" spans="5:10" ht="14.25" customHeight="1">
      <c r="E950" s="8"/>
      <c r="F950" s="192"/>
      <c r="G950" s="8"/>
      <c r="H950" s="8"/>
      <c r="I950" s="8"/>
      <c r="J950" s="8"/>
    </row>
    <row r="951" spans="5:10" ht="14.25" customHeight="1">
      <c r="E951" s="8"/>
      <c r="F951" s="192"/>
      <c r="G951" s="8"/>
      <c r="H951" s="8"/>
      <c r="I951" s="8"/>
      <c r="J951" s="8"/>
    </row>
    <row r="952" spans="5:10" ht="14.25" customHeight="1">
      <c r="E952" s="8"/>
      <c r="F952" s="192"/>
      <c r="G952" s="8"/>
      <c r="H952" s="8"/>
      <c r="I952" s="8"/>
      <c r="J952" s="8"/>
    </row>
    <row r="953" spans="5:10" ht="14.25" customHeight="1">
      <c r="E953" s="8"/>
      <c r="F953" s="192"/>
      <c r="G953" s="8"/>
      <c r="H953" s="8"/>
      <c r="I953" s="8"/>
      <c r="J953" s="8"/>
    </row>
    <row r="954" spans="5:10" ht="14.25" customHeight="1">
      <c r="E954" s="8"/>
      <c r="F954" s="192"/>
      <c r="G954" s="8"/>
      <c r="H954" s="8"/>
      <c r="I954" s="8"/>
      <c r="J954" s="8"/>
    </row>
    <row r="955" spans="5:10" ht="14.25" customHeight="1">
      <c r="E955" s="8"/>
      <c r="F955" s="192"/>
      <c r="G955" s="8"/>
      <c r="H955" s="8"/>
      <c r="I955" s="8"/>
      <c r="J955" s="8"/>
    </row>
    <row r="956" spans="5:10" ht="14.25" customHeight="1">
      <c r="E956" s="8"/>
      <c r="F956" s="192"/>
      <c r="G956" s="8"/>
      <c r="H956" s="8"/>
      <c r="I956" s="8"/>
      <c r="J956" s="8"/>
    </row>
    <row r="957" spans="5:10" ht="14.25" customHeight="1">
      <c r="E957" s="8"/>
      <c r="F957" s="192"/>
      <c r="G957" s="8"/>
      <c r="H957" s="8"/>
      <c r="I957" s="8"/>
      <c r="J957" s="8"/>
    </row>
    <row r="958" spans="5:10" ht="14.25" customHeight="1">
      <c r="E958" s="8"/>
      <c r="F958" s="192"/>
      <c r="G958" s="8"/>
      <c r="H958" s="8"/>
      <c r="I958" s="8"/>
      <c r="J958" s="8"/>
    </row>
    <row r="959" spans="5:10" ht="14.25" customHeight="1">
      <c r="E959" s="8"/>
      <c r="F959" s="192"/>
      <c r="G959" s="8"/>
      <c r="H959" s="8"/>
      <c r="I959" s="8"/>
      <c r="J959" s="8"/>
    </row>
    <row r="960" spans="5:10" ht="14.25" customHeight="1">
      <c r="E960" s="8"/>
      <c r="F960" s="192"/>
      <c r="G960" s="8"/>
      <c r="H960" s="8"/>
      <c r="I960" s="8"/>
      <c r="J960" s="8"/>
    </row>
    <row r="961" spans="5:10" ht="14.25" customHeight="1">
      <c r="E961" s="8"/>
      <c r="F961" s="192"/>
      <c r="G961" s="8"/>
      <c r="H961" s="8"/>
      <c r="I961" s="8"/>
      <c r="J961" s="8"/>
    </row>
    <row r="962" spans="5:10" ht="14.25" customHeight="1">
      <c r="E962" s="8"/>
      <c r="F962" s="192"/>
      <c r="G962" s="8"/>
      <c r="H962" s="8"/>
      <c r="I962" s="8"/>
      <c r="J962" s="8"/>
    </row>
    <row r="963" spans="5:10" ht="14.25" customHeight="1">
      <c r="E963" s="8"/>
      <c r="F963" s="192"/>
      <c r="G963" s="8"/>
      <c r="H963" s="8"/>
      <c r="I963" s="8"/>
      <c r="J963" s="8"/>
    </row>
    <row r="964" spans="5:10" ht="14.25" customHeight="1">
      <c r="E964" s="8"/>
      <c r="F964" s="192"/>
      <c r="G964" s="8"/>
      <c r="H964" s="8"/>
      <c r="I964" s="8"/>
      <c r="J964" s="8"/>
    </row>
    <row r="965" spans="5:10" ht="14.25" customHeight="1">
      <c r="E965" s="8"/>
      <c r="F965" s="192"/>
      <c r="G965" s="8"/>
      <c r="H965" s="8"/>
      <c r="I965" s="8"/>
      <c r="J965" s="8"/>
    </row>
    <row r="966" spans="5:10" ht="14.25" customHeight="1">
      <c r="E966" s="8"/>
      <c r="F966" s="192"/>
      <c r="G966" s="8"/>
      <c r="H966" s="8"/>
      <c r="I966" s="8"/>
      <c r="J966" s="8"/>
    </row>
    <row r="967" spans="5:10" ht="14.25" customHeight="1">
      <c r="E967" s="8"/>
      <c r="F967" s="192"/>
      <c r="G967" s="8"/>
      <c r="H967" s="8"/>
      <c r="I967" s="8"/>
      <c r="J967" s="8"/>
    </row>
    <row r="968" spans="5:10" ht="14.25" customHeight="1">
      <c r="E968" s="8"/>
      <c r="F968" s="192"/>
      <c r="G968" s="8"/>
      <c r="H968" s="8"/>
      <c r="I968" s="8"/>
      <c r="J968" s="8"/>
    </row>
    <row r="969" spans="5:10" ht="14.25" customHeight="1">
      <c r="E969" s="8"/>
      <c r="F969" s="192"/>
      <c r="G969" s="8"/>
      <c r="H969" s="8"/>
      <c r="I969" s="8"/>
      <c r="J969" s="8"/>
    </row>
    <row r="970" spans="5:10" ht="14.25" customHeight="1">
      <c r="E970" s="8"/>
      <c r="F970" s="192"/>
      <c r="G970" s="8"/>
      <c r="H970" s="8"/>
      <c r="I970" s="8"/>
      <c r="J970" s="8"/>
    </row>
    <row r="971" spans="5:10" ht="14.25" customHeight="1">
      <c r="E971" s="8"/>
      <c r="F971" s="192"/>
      <c r="G971" s="8"/>
      <c r="H971" s="8"/>
      <c r="I971" s="8"/>
      <c r="J971" s="8"/>
    </row>
    <row r="972" spans="5:10" ht="14.25" customHeight="1">
      <c r="E972" s="8"/>
      <c r="F972" s="192"/>
      <c r="G972" s="8"/>
      <c r="H972" s="8"/>
      <c r="I972" s="8"/>
      <c r="J972" s="8"/>
    </row>
    <row r="973" spans="5:10" ht="14.25" customHeight="1">
      <c r="E973" s="8"/>
      <c r="F973" s="192"/>
      <c r="G973" s="8"/>
      <c r="H973" s="8"/>
      <c r="I973" s="8"/>
      <c r="J973" s="8"/>
    </row>
    <row r="974" spans="5:10" ht="14.25" customHeight="1">
      <c r="E974" s="8"/>
      <c r="F974" s="192"/>
      <c r="G974" s="8"/>
      <c r="H974" s="8"/>
      <c r="I974" s="8"/>
      <c r="J974" s="8"/>
    </row>
    <row r="975" spans="5:10" ht="14.25" customHeight="1">
      <c r="E975" s="8"/>
      <c r="F975" s="192"/>
      <c r="G975" s="8"/>
      <c r="H975" s="8"/>
      <c r="I975" s="8"/>
      <c r="J975" s="8"/>
    </row>
    <row r="976" spans="5:10" ht="14.25" customHeight="1">
      <c r="E976" s="8"/>
      <c r="F976" s="192"/>
      <c r="G976" s="8"/>
      <c r="H976" s="8"/>
      <c r="I976" s="8"/>
      <c r="J976" s="8"/>
    </row>
    <row r="977" spans="5:10" ht="14.25" customHeight="1">
      <c r="E977" s="8"/>
      <c r="F977" s="192"/>
      <c r="G977" s="8"/>
      <c r="H977" s="8"/>
      <c r="I977" s="8"/>
      <c r="J977" s="8"/>
    </row>
    <row r="978" spans="5:10" ht="14.25" customHeight="1">
      <c r="E978" s="8"/>
      <c r="F978" s="192"/>
      <c r="G978" s="8"/>
      <c r="H978" s="8"/>
      <c r="I978" s="8"/>
      <c r="J978" s="8"/>
    </row>
    <row r="979" spans="5:10" ht="14.25" customHeight="1">
      <c r="E979" s="8"/>
      <c r="F979" s="192"/>
      <c r="G979" s="8"/>
      <c r="H979" s="8"/>
      <c r="I979" s="8"/>
      <c r="J979" s="8"/>
    </row>
    <row r="980" spans="5:10" ht="14.25" customHeight="1">
      <c r="E980" s="8"/>
      <c r="F980" s="192"/>
      <c r="G980" s="8"/>
      <c r="H980" s="8"/>
      <c r="I980" s="8"/>
      <c r="J980" s="8"/>
    </row>
    <row r="981" spans="5:10" ht="14.25" customHeight="1">
      <c r="E981" s="8"/>
      <c r="F981" s="192"/>
      <c r="G981" s="8"/>
      <c r="H981" s="8"/>
      <c r="I981" s="8"/>
      <c r="J981" s="8"/>
    </row>
    <row r="982" spans="5:10" ht="14.25" customHeight="1">
      <c r="E982" s="8"/>
      <c r="F982" s="192"/>
      <c r="G982" s="8"/>
      <c r="H982" s="8"/>
      <c r="I982" s="8"/>
      <c r="J982" s="8"/>
    </row>
    <row r="983" spans="5:10" ht="14.25" customHeight="1">
      <c r="E983" s="8"/>
      <c r="F983" s="192"/>
      <c r="G983" s="8"/>
      <c r="H983" s="8"/>
      <c r="I983" s="8"/>
      <c r="J983" s="8"/>
    </row>
    <row r="984" spans="5:10" ht="14.25" customHeight="1">
      <c r="E984" s="8"/>
      <c r="F984" s="192"/>
      <c r="G984" s="8"/>
      <c r="H984" s="8"/>
      <c r="I984" s="8"/>
      <c r="J984" s="8"/>
    </row>
    <row r="985" spans="5:10" ht="14.25" customHeight="1">
      <c r="E985" s="8"/>
      <c r="F985" s="192"/>
      <c r="G985" s="8"/>
      <c r="H985" s="8"/>
      <c r="I985" s="8"/>
      <c r="J985" s="8"/>
    </row>
    <row r="986" spans="5:10" ht="14.25" customHeight="1">
      <c r="E986" s="8"/>
      <c r="F986" s="192"/>
      <c r="G986" s="8"/>
      <c r="H986" s="8"/>
      <c r="I986" s="8"/>
      <c r="J986" s="8"/>
    </row>
    <row r="987" spans="5:10" ht="14.25" customHeight="1">
      <c r="E987" s="8"/>
      <c r="F987" s="192"/>
      <c r="G987" s="8"/>
      <c r="H987" s="8"/>
      <c r="I987" s="8"/>
      <c r="J987" s="8"/>
    </row>
    <row r="988" spans="5:10" ht="14.25" customHeight="1">
      <c r="E988" s="8"/>
      <c r="F988" s="192"/>
      <c r="G988" s="8"/>
      <c r="H988" s="8"/>
      <c r="I988" s="8"/>
      <c r="J988" s="8"/>
    </row>
    <row r="989" spans="5:10" ht="14.25" customHeight="1">
      <c r="E989" s="8"/>
      <c r="F989" s="192"/>
      <c r="G989" s="8"/>
      <c r="H989" s="8"/>
      <c r="I989" s="8"/>
      <c r="J989" s="8"/>
    </row>
    <row r="990" spans="5:10" ht="14.25" customHeight="1">
      <c r="E990" s="8"/>
      <c r="F990" s="192"/>
      <c r="G990" s="8"/>
      <c r="H990" s="8"/>
      <c r="I990" s="8"/>
      <c r="J990" s="8"/>
    </row>
    <row r="991" spans="5:10" ht="14.25" customHeight="1">
      <c r="E991" s="8"/>
      <c r="F991" s="192"/>
      <c r="G991" s="8"/>
      <c r="H991" s="8"/>
      <c r="I991" s="8"/>
      <c r="J991" s="8"/>
    </row>
    <row r="992" spans="5:10" ht="14.25" customHeight="1">
      <c r="E992" s="8"/>
      <c r="F992" s="192"/>
      <c r="G992" s="8"/>
      <c r="H992" s="8"/>
      <c r="I992" s="8"/>
      <c r="J992" s="8"/>
    </row>
    <row r="993" spans="5:10" ht="14.25" customHeight="1">
      <c r="E993" s="8"/>
      <c r="F993" s="192"/>
      <c r="G993" s="8"/>
      <c r="H993" s="8"/>
      <c r="I993" s="8"/>
      <c r="J993" s="8"/>
    </row>
    <row r="994" spans="5:10" ht="14.25" customHeight="1">
      <c r="E994" s="8"/>
      <c r="F994" s="192"/>
      <c r="G994" s="8"/>
      <c r="H994" s="8"/>
      <c r="I994" s="8"/>
      <c r="J994" s="8"/>
    </row>
    <row r="995" spans="5:10" ht="14.25" customHeight="1">
      <c r="E995" s="8"/>
      <c r="F995" s="192"/>
      <c r="G995" s="8"/>
      <c r="H995" s="8"/>
      <c r="I995" s="8"/>
      <c r="J995" s="8"/>
    </row>
    <row r="996" spans="5:10" ht="14.25" customHeight="1">
      <c r="E996" s="8"/>
      <c r="F996" s="192"/>
      <c r="G996" s="8"/>
      <c r="H996" s="8"/>
      <c r="I996" s="8"/>
      <c r="J996" s="8"/>
    </row>
    <row r="997" spans="5:10" ht="14.25" customHeight="1">
      <c r="E997" s="8"/>
      <c r="F997" s="192"/>
      <c r="G997" s="8"/>
      <c r="H997" s="8"/>
      <c r="I997" s="8"/>
      <c r="J997" s="8"/>
    </row>
    <row r="998" spans="5:10" ht="14.25" customHeight="1">
      <c r="E998" s="8"/>
      <c r="F998" s="192"/>
      <c r="G998" s="8"/>
      <c r="H998" s="8"/>
      <c r="I998" s="8"/>
      <c r="J998" s="8"/>
    </row>
    <row r="999" spans="5:10" ht="14.25" customHeight="1">
      <c r="E999" s="8"/>
      <c r="F999" s="192"/>
      <c r="G999" s="8"/>
      <c r="H999" s="8"/>
      <c r="I999" s="8"/>
      <c r="J999" s="8"/>
    </row>
    <row r="1000" spans="5:10" ht="14.25" customHeight="1">
      <c r="E1000" s="8"/>
      <c r="F1000" s="192"/>
      <c r="G1000" s="8"/>
      <c r="H1000" s="8"/>
      <c r="I1000" s="8"/>
      <c r="J1000" s="8"/>
    </row>
    <row r="1001" spans="5:10" ht="14.25" customHeight="1">
      <c r="E1001" s="8"/>
      <c r="F1001" s="192"/>
      <c r="G1001" s="8"/>
      <c r="H1001" s="8"/>
      <c r="I1001" s="8"/>
      <c r="J1001" s="8"/>
    </row>
    <row r="1002" spans="5:10" ht="14.25" customHeight="1">
      <c r="E1002" s="8"/>
      <c r="F1002" s="192"/>
      <c r="G1002" s="8"/>
      <c r="H1002" s="8"/>
      <c r="I1002" s="8"/>
      <c r="J1002" s="8"/>
    </row>
    <row r="1003" spans="5:10" ht="14.25" customHeight="1">
      <c r="E1003" s="8"/>
      <c r="F1003" s="192"/>
      <c r="G1003" s="8"/>
      <c r="H1003" s="8"/>
      <c r="I1003" s="8"/>
      <c r="J1003" s="8"/>
    </row>
    <row r="1004" spans="5:10" ht="14.25" customHeight="1">
      <c r="E1004" s="8"/>
      <c r="F1004" s="192"/>
      <c r="G1004" s="8"/>
      <c r="H1004" s="8"/>
      <c r="I1004" s="8"/>
      <c r="J1004" s="8"/>
    </row>
    <row r="1005" spans="5:10" ht="14.25" customHeight="1">
      <c r="E1005" s="8"/>
      <c r="F1005" s="192"/>
      <c r="G1005" s="8"/>
      <c r="H1005" s="8"/>
      <c r="I1005" s="8"/>
      <c r="J1005" s="8"/>
    </row>
    <row r="1006" spans="5:10" ht="14.25" customHeight="1">
      <c r="E1006" s="8"/>
      <c r="F1006" s="192"/>
      <c r="G1006" s="8"/>
      <c r="H1006" s="8"/>
      <c r="I1006" s="8"/>
      <c r="J1006" s="8"/>
    </row>
    <row r="1007" spans="5:10" ht="14.25" customHeight="1">
      <c r="E1007" s="8"/>
      <c r="F1007" s="192"/>
      <c r="G1007" s="8"/>
      <c r="H1007" s="8"/>
      <c r="I1007" s="8"/>
      <c r="J1007" s="8"/>
    </row>
    <row r="1008" spans="5:10" ht="14.25" customHeight="1">
      <c r="E1008" s="8"/>
      <c r="F1008" s="192"/>
      <c r="G1008" s="8"/>
      <c r="H1008" s="8"/>
      <c r="I1008" s="8"/>
      <c r="J1008" s="8"/>
    </row>
    <row r="1009" spans="5:10" ht="14.25" customHeight="1">
      <c r="E1009" s="8"/>
      <c r="F1009" s="192"/>
      <c r="G1009" s="8"/>
      <c r="H1009" s="8"/>
      <c r="I1009" s="8"/>
      <c r="J1009" s="8"/>
    </row>
    <row r="1010" spans="5:10" ht="14.25" customHeight="1">
      <c r="E1010" s="8"/>
      <c r="F1010" s="192"/>
      <c r="G1010" s="8"/>
      <c r="H1010" s="8"/>
      <c r="I1010" s="8"/>
      <c r="J1010" s="8"/>
    </row>
    <row r="1011" spans="5:10" ht="14.25" customHeight="1">
      <c r="E1011" s="8"/>
      <c r="F1011" s="192"/>
      <c r="G1011" s="8"/>
      <c r="H1011" s="8"/>
      <c r="I1011" s="8"/>
      <c r="J1011" s="8"/>
    </row>
  </sheetData>
  <mergeCells count="24">
    <mergeCell ref="L34:L35"/>
    <mergeCell ref="G34:G35"/>
    <mergeCell ref="J34:J35"/>
    <mergeCell ref="H34:H35"/>
    <mergeCell ref="A5:D6"/>
    <mergeCell ref="J5:J6"/>
    <mergeCell ref="L5:L6"/>
    <mergeCell ref="B1:L1"/>
    <mergeCell ref="B2:L2"/>
    <mergeCell ref="B3:L3"/>
    <mergeCell ref="K5:K6"/>
    <mergeCell ref="E5:I5"/>
    <mergeCell ref="D98:F98"/>
    <mergeCell ref="F34:F35"/>
    <mergeCell ref="D91:F91"/>
    <mergeCell ref="E53:E54"/>
    <mergeCell ref="D96:F96"/>
    <mergeCell ref="A92:K92"/>
    <mergeCell ref="A93:K93"/>
    <mergeCell ref="A94:K94"/>
    <mergeCell ref="A97:K97"/>
    <mergeCell ref="I34:I35"/>
    <mergeCell ref="K34:K35"/>
    <mergeCell ref="E34:E35"/>
  </mergeCells>
  <printOptions horizontalCentered="1"/>
  <pageMargins left="0.15748031496062992" right="0.19685039370078741" top="0.51181102362204722" bottom="0.35433070866141736" header="0.39370078740157483" footer="0.11811023622047245"/>
  <pageSetup paperSize="9" scale="75" orientation="landscape" useFirstPageNumber="1" horizontalDpi="4294967293" r:id="rId1"/>
  <headerFooter scaleWithDoc="0" alignWithMargins="0">
    <oddFooter>&amp;C&amp;P</oddFooter>
  </headerFooter>
  <rowBreaks count="3" manualBreakCount="3">
    <brk id="24" max="16383" man="1"/>
    <brk id="49" max="16383" man="1"/>
    <brk id="6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H316"/>
  <sheetViews>
    <sheetView showGridLines="0" view="pageBreakPreview" zoomScale="130" zoomScaleNormal="110" zoomScaleSheetLayoutView="130" workbookViewId="0">
      <pane ySplit="5" topLeftCell="A300" activePane="bottomLeft" state="frozen"/>
      <selection pane="bottomLeft" activeCell="G303" sqref="G303"/>
    </sheetView>
  </sheetViews>
  <sheetFormatPr defaultColWidth="8.85546875" defaultRowHeight="15"/>
  <cols>
    <col min="1" max="1" width="9.42578125" style="515" customWidth="1"/>
    <col min="2" max="2" width="56.85546875" style="515" customWidth="1"/>
    <col min="3" max="3" width="15.85546875" style="517" customWidth="1"/>
    <col min="4" max="4" width="7.7109375" style="515" customWidth="1"/>
    <col min="5" max="5" width="17.5703125" style="204" customWidth="1"/>
    <col min="6" max="6" width="29.140625" style="518" customWidth="1"/>
    <col min="7" max="7" width="20" style="518" customWidth="1"/>
    <col min="8" max="8" width="15" style="518" customWidth="1"/>
    <col min="9" max="9" width="8.42578125" style="515" customWidth="1"/>
    <col min="10" max="10" width="18.42578125" style="515" customWidth="1"/>
    <col min="11" max="11" width="18.140625" style="515" customWidth="1"/>
    <col min="12" max="12" width="22.85546875" style="515" customWidth="1"/>
    <col min="13" max="16384" width="8.85546875" style="515"/>
  </cols>
  <sheetData>
    <row r="1" spans="1:8" ht="30" customHeight="1">
      <c r="A1" s="2735" t="s">
        <v>1444</v>
      </c>
      <c r="B1" s="2735"/>
      <c r="C1" s="2735"/>
      <c r="D1" s="2735"/>
      <c r="E1" s="2735"/>
      <c r="F1" s="2735"/>
      <c r="G1" s="2735"/>
      <c r="H1" s="2735"/>
    </row>
    <row r="2" spans="1:8" ht="30" customHeight="1">
      <c r="A2" s="2735" t="s">
        <v>0</v>
      </c>
      <c r="B2" s="2735"/>
      <c r="C2" s="2735"/>
      <c r="D2" s="2735"/>
      <c r="E2" s="2735"/>
      <c r="F2" s="2735"/>
      <c r="G2" s="2735"/>
      <c r="H2" s="2735"/>
    </row>
    <row r="3" spans="1:8" ht="30" customHeight="1">
      <c r="A3" s="2735" t="s">
        <v>2764</v>
      </c>
      <c r="B3" s="2735"/>
      <c r="C3" s="2735"/>
      <c r="D3" s="2735"/>
      <c r="E3" s="2735"/>
      <c r="F3" s="2735"/>
      <c r="G3" s="2735"/>
      <c r="H3" s="2735"/>
    </row>
    <row r="4" spans="1:8" ht="12" customHeight="1">
      <c r="A4" s="516"/>
      <c r="H4" s="191"/>
    </row>
    <row r="5" spans="1:8" s="519" customFormat="1" ht="49.5" customHeight="1">
      <c r="A5" s="697" t="s">
        <v>2</v>
      </c>
      <c r="B5" s="697" t="s">
        <v>3</v>
      </c>
      <c r="C5" s="693" t="s">
        <v>664</v>
      </c>
      <c r="D5" s="693" t="s">
        <v>6</v>
      </c>
      <c r="E5" s="698" t="s">
        <v>663</v>
      </c>
      <c r="F5" s="693" t="s">
        <v>87</v>
      </c>
      <c r="G5" s="693" t="s">
        <v>11</v>
      </c>
      <c r="H5" s="693" t="s">
        <v>211</v>
      </c>
    </row>
    <row r="6" spans="1:8" s="313" customFormat="1" ht="21">
      <c r="A6" s="699">
        <v>1</v>
      </c>
      <c r="B6" s="498" t="s">
        <v>2760</v>
      </c>
      <c r="C6" s="1474">
        <f>+'ครุภัณฑ์ (NEW) (การแพทย์)'!D4</f>
        <v>1950000</v>
      </c>
      <c r="D6" s="495">
        <f>+'ครุภัณฑ์ (NEW) (การแพทย์)'!C4</f>
        <v>1</v>
      </c>
      <c r="E6" s="1474">
        <f>+C6*D6</f>
        <v>1950000</v>
      </c>
      <c r="F6" s="699" t="s">
        <v>195</v>
      </c>
      <c r="G6" s="226" t="s">
        <v>8</v>
      </c>
      <c r="H6" s="699" t="s">
        <v>662</v>
      </c>
    </row>
    <row r="7" spans="1:8" s="313" customFormat="1" ht="21">
      <c r="A7" s="699">
        <v>2</v>
      </c>
      <c r="B7" s="322" t="s">
        <v>580</v>
      </c>
      <c r="C7" s="1474">
        <f>+'ครุภัณฑ์ (NEW) (การแพทย์)'!D5</f>
        <v>250000</v>
      </c>
      <c r="D7" s="495">
        <f>+'ครุภัณฑ์ (NEW) (การแพทย์)'!C5</f>
        <v>1</v>
      </c>
      <c r="E7" s="1474">
        <f t="shared" ref="E7:E70" si="0">+C7*D7</f>
        <v>250000</v>
      </c>
      <c r="F7" s="699" t="s">
        <v>195</v>
      </c>
      <c r="G7" s="226" t="s">
        <v>8</v>
      </c>
      <c r="H7" s="699" t="s">
        <v>662</v>
      </c>
    </row>
    <row r="8" spans="1:8" s="313" customFormat="1" ht="21">
      <c r="A8" s="699">
        <v>3</v>
      </c>
      <c r="B8" s="690" t="s">
        <v>2482</v>
      </c>
      <c r="C8" s="1474">
        <f>+'ครุภัณฑ์ (NEW) (การแพทย์)'!D6</f>
        <v>200000</v>
      </c>
      <c r="D8" s="495">
        <f>+'ครุภัณฑ์ (NEW) (การแพทย์)'!C6</f>
        <v>1</v>
      </c>
      <c r="E8" s="1474">
        <f t="shared" si="0"/>
        <v>200000</v>
      </c>
      <c r="F8" s="699" t="s">
        <v>195</v>
      </c>
      <c r="G8" s="226" t="s">
        <v>8</v>
      </c>
      <c r="H8" s="699" t="s">
        <v>662</v>
      </c>
    </row>
    <row r="9" spans="1:8" s="313" customFormat="1" ht="42">
      <c r="A9" s="699">
        <v>4</v>
      </c>
      <c r="B9" s="251" t="s">
        <v>737</v>
      </c>
      <c r="C9" s="1474">
        <f>+'ครุภัณฑ์ (NEW) (การแพทย์)'!D7</f>
        <v>150000</v>
      </c>
      <c r="D9" s="495">
        <f>+'ครุภัณฑ์ (NEW) (การแพทย์)'!C7</f>
        <v>1</v>
      </c>
      <c r="E9" s="1474">
        <f t="shared" si="0"/>
        <v>150000</v>
      </c>
      <c r="F9" s="699" t="s">
        <v>195</v>
      </c>
      <c r="G9" s="226" t="s">
        <v>8</v>
      </c>
      <c r="H9" s="699" t="s">
        <v>662</v>
      </c>
    </row>
    <row r="10" spans="1:8" s="313" customFormat="1" ht="21">
      <c r="A10" s="699">
        <v>5</v>
      </c>
      <c r="B10" s="322" t="s">
        <v>738</v>
      </c>
      <c r="C10" s="1474">
        <f>+'ครุภัณฑ์ (NEW) (การแพทย์)'!D8</f>
        <v>550000</v>
      </c>
      <c r="D10" s="495">
        <f>+'ครุภัณฑ์ (NEW) (การแพทย์)'!C8</f>
        <v>2</v>
      </c>
      <c r="E10" s="1474">
        <f t="shared" si="0"/>
        <v>1100000</v>
      </c>
      <c r="F10" s="699" t="s">
        <v>195</v>
      </c>
      <c r="G10" s="226" t="s">
        <v>8</v>
      </c>
      <c r="H10" s="699" t="s">
        <v>662</v>
      </c>
    </row>
    <row r="11" spans="1:8" s="313" customFormat="1" ht="21">
      <c r="A11" s="699">
        <v>6</v>
      </c>
      <c r="B11" s="322" t="s">
        <v>741</v>
      </c>
      <c r="C11" s="1474">
        <f>+'ครุภัณฑ์ (NEW) (การแพทย์)'!D9</f>
        <v>30000</v>
      </c>
      <c r="D11" s="495">
        <f>+'ครุภัณฑ์ (NEW) (การแพทย์)'!C9</f>
        <v>1</v>
      </c>
      <c r="E11" s="1474">
        <f t="shared" si="0"/>
        <v>30000</v>
      </c>
      <c r="F11" s="699" t="s">
        <v>195</v>
      </c>
      <c r="G11" s="226" t="s">
        <v>8</v>
      </c>
      <c r="H11" s="699" t="s">
        <v>662</v>
      </c>
    </row>
    <row r="12" spans="1:8" s="313" customFormat="1" ht="42">
      <c r="A12" s="699">
        <v>7</v>
      </c>
      <c r="B12" s="251" t="s">
        <v>2729</v>
      </c>
      <c r="C12" s="1474">
        <f>+'ครุภัณฑ์ (NEW) (การแพทย์)'!D10</f>
        <v>2700000</v>
      </c>
      <c r="D12" s="495">
        <f>+'ครุภัณฑ์ (NEW) (การแพทย์)'!C10</f>
        <v>1</v>
      </c>
      <c r="E12" s="1474">
        <f t="shared" si="0"/>
        <v>2700000</v>
      </c>
      <c r="F12" s="699" t="s">
        <v>195</v>
      </c>
      <c r="G12" s="226" t="s">
        <v>8</v>
      </c>
      <c r="H12" s="699" t="s">
        <v>662</v>
      </c>
    </row>
    <row r="13" spans="1:8" s="313" customFormat="1" ht="18.75" customHeight="1">
      <c r="A13" s="699">
        <v>8</v>
      </c>
      <c r="B13" s="322" t="s">
        <v>800</v>
      </c>
      <c r="C13" s="1474">
        <f>+'ครุภัณฑ์ (NEW) (การแพทย์)'!D11</f>
        <v>650000</v>
      </c>
      <c r="D13" s="495">
        <f>+'ครุภัณฑ์ (NEW) (การแพทย์)'!C11</f>
        <v>1</v>
      </c>
      <c r="E13" s="1474">
        <f t="shared" si="0"/>
        <v>650000</v>
      </c>
      <c r="F13" s="699" t="s">
        <v>195</v>
      </c>
      <c r="G13" s="226" t="s">
        <v>8</v>
      </c>
      <c r="H13" s="699" t="s">
        <v>662</v>
      </c>
    </row>
    <row r="14" spans="1:8" s="313" customFormat="1" ht="18.75" customHeight="1">
      <c r="A14" s="699">
        <v>9</v>
      </c>
      <c r="B14" s="322" t="s">
        <v>801</v>
      </c>
      <c r="C14" s="1474">
        <f>+'ครุภัณฑ์ (NEW) (การแพทย์)'!D12</f>
        <v>1337500</v>
      </c>
      <c r="D14" s="495">
        <f>+'ครุภัณฑ์ (NEW) (การแพทย์)'!C12</f>
        <v>1</v>
      </c>
      <c r="E14" s="1474">
        <f t="shared" si="0"/>
        <v>1337500</v>
      </c>
      <c r="F14" s="699" t="s">
        <v>195</v>
      </c>
      <c r="G14" s="226" t="s">
        <v>8</v>
      </c>
      <c r="H14" s="699" t="s">
        <v>662</v>
      </c>
    </row>
    <row r="15" spans="1:8" s="313" customFormat="1" ht="18.75" customHeight="1">
      <c r="A15" s="699">
        <v>10</v>
      </c>
      <c r="B15" s="322" t="s">
        <v>802</v>
      </c>
      <c r="C15" s="1474">
        <f>+'ครุภัณฑ์ (NEW) (การแพทย์)'!D13</f>
        <v>448598.13</v>
      </c>
      <c r="D15" s="495">
        <f>+'ครุภัณฑ์ (NEW) (การแพทย์)'!C13</f>
        <v>1</v>
      </c>
      <c r="E15" s="1474">
        <f t="shared" si="0"/>
        <v>448598.13</v>
      </c>
      <c r="F15" s="699" t="s">
        <v>195</v>
      </c>
      <c r="G15" s="226" t="s">
        <v>8</v>
      </c>
      <c r="H15" s="699" t="s">
        <v>662</v>
      </c>
    </row>
    <row r="16" spans="1:8" s="313" customFormat="1" ht="18.75" customHeight="1">
      <c r="A16" s="699">
        <v>11</v>
      </c>
      <c r="B16" s="322" t="s">
        <v>799</v>
      </c>
      <c r="C16" s="1474">
        <f>+'ครุภัณฑ์ (NEW) (การแพทย์)'!D14</f>
        <v>4500000</v>
      </c>
      <c r="D16" s="495">
        <f>+'ครุภัณฑ์ (NEW) (การแพทย์)'!C14</f>
        <v>1</v>
      </c>
      <c r="E16" s="1474">
        <f t="shared" si="0"/>
        <v>4500000</v>
      </c>
      <c r="F16" s="699" t="s">
        <v>195</v>
      </c>
      <c r="G16" s="226" t="s">
        <v>8</v>
      </c>
      <c r="H16" s="699" t="s">
        <v>662</v>
      </c>
    </row>
    <row r="17" spans="1:8" s="313" customFormat="1" ht="18.75" customHeight="1">
      <c r="A17" s="699">
        <v>12</v>
      </c>
      <c r="B17" s="322" t="s">
        <v>190</v>
      </c>
      <c r="C17" s="1474">
        <f>+'ครุภัณฑ์ (NEW) (การแพทย์)'!D15</f>
        <v>579900</v>
      </c>
      <c r="D17" s="495">
        <f>+'ครุภัณฑ์ (NEW) (การแพทย์)'!C15</f>
        <v>1</v>
      </c>
      <c r="E17" s="1474">
        <f t="shared" si="0"/>
        <v>579900</v>
      </c>
      <c r="F17" s="699" t="s">
        <v>195</v>
      </c>
      <c r="G17" s="226" t="s">
        <v>8</v>
      </c>
      <c r="H17" s="699" t="s">
        <v>662</v>
      </c>
    </row>
    <row r="18" spans="1:8" s="313" customFormat="1" ht="18.75" customHeight="1">
      <c r="A18" s="699">
        <v>13</v>
      </c>
      <c r="B18" s="322" t="s">
        <v>1167</v>
      </c>
      <c r="C18" s="1474">
        <f>+'ครุภัณฑ์ (NEW) (การแพทย์)'!D16</f>
        <v>9800</v>
      </c>
      <c r="D18" s="495">
        <f>+'ครุภัณฑ์ (NEW) (การแพทย์)'!C16</f>
        <v>1</v>
      </c>
      <c r="E18" s="1474">
        <f t="shared" si="0"/>
        <v>9800</v>
      </c>
      <c r="F18" s="699" t="s">
        <v>195</v>
      </c>
      <c r="G18" s="226" t="s">
        <v>8</v>
      </c>
      <c r="H18" s="699" t="s">
        <v>662</v>
      </c>
    </row>
    <row r="19" spans="1:8" s="313" customFormat="1" ht="18.75" customHeight="1">
      <c r="A19" s="699">
        <v>14</v>
      </c>
      <c r="B19" s="690" t="s">
        <v>188</v>
      </c>
      <c r="C19" s="1474">
        <f>+'ครุภัณฑ์ (NEW) (การแพทย์)'!D17</f>
        <v>400000</v>
      </c>
      <c r="D19" s="495">
        <f>+'ครุภัณฑ์ (NEW) (การแพทย์)'!C17</f>
        <v>1</v>
      </c>
      <c r="E19" s="1474">
        <f t="shared" si="0"/>
        <v>400000</v>
      </c>
      <c r="F19" s="699" t="s">
        <v>195</v>
      </c>
      <c r="G19" s="226" t="s">
        <v>8</v>
      </c>
      <c r="H19" s="699" t="s">
        <v>662</v>
      </c>
    </row>
    <row r="20" spans="1:8" s="313" customFormat="1" ht="18.75" customHeight="1">
      <c r="A20" s="699">
        <v>15</v>
      </c>
      <c r="B20" s="690" t="s">
        <v>187</v>
      </c>
      <c r="C20" s="1474">
        <f>+'ครุภัณฑ์ (NEW) (การแพทย์)'!D18</f>
        <v>100000</v>
      </c>
      <c r="D20" s="495">
        <f>+'ครุภัณฑ์ (NEW) (การแพทย์)'!C18</f>
        <v>1</v>
      </c>
      <c r="E20" s="1474">
        <f t="shared" si="0"/>
        <v>100000</v>
      </c>
      <c r="F20" s="699" t="s">
        <v>195</v>
      </c>
      <c r="G20" s="226" t="s">
        <v>8</v>
      </c>
      <c r="H20" s="699" t="s">
        <v>662</v>
      </c>
    </row>
    <row r="21" spans="1:8" s="313" customFormat="1" ht="18.75" customHeight="1">
      <c r="A21" s="699">
        <v>16</v>
      </c>
      <c r="B21" s="498" t="s">
        <v>200</v>
      </c>
      <c r="C21" s="1474">
        <f>+'ครุภัณฑ์ (NEW) (การแพทย์)'!D19</f>
        <v>65000</v>
      </c>
      <c r="D21" s="495">
        <f>+'ครุภัณฑ์ (NEW) (การแพทย์)'!C19</f>
        <v>1</v>
      </c>
      <c r="E21" s="1474">
        <f t="shared" si="0"/>
        <v>65000</v>
      </c>
      <c r="F21" s="699" t="s">
        <v>195</v>
      </c>
      <c r="G21" s="226" t="s">
        <v>8</v>
      </c>
      <c r="H21" s="699" t="s">
        <v>662</v>
      </c>
    </row>
    <row r="22" spans="1:8" s="313" customFormat="1" ht="18.75" customHeight="1">
      <c r="A22" s="699">
        <v>17</v>
      </c>
      <c r="B22" s="2454" t="s">
        <v>481</v>
      </c>
      <c r="C22" s="1474">
        <f>+'ครุภัณฑ์ (NEW) (การแพทย์)'!D20</f>
        <v>50000</v>
      </c>
      <c r="D22" s="495">
        <f>+'ครุภัณฑ์ (NEW) (การแพทย์)'!C20</f>
        <v>1</v>
      </c>
      <c r="E22" s="1474">
        <f t="shared" si="0"/>
        <v>50000</v>
      </c>
      <c r="F22" s="699" t="s">
        <v>195</v>
      </c>
      <c r="G22" s="226" t="s">
        <v>8</v>
      </c>
      <c r="H22" s="699" t="s">
        <v>662</v>
      </c>
    </row>
    <row r="23" spans="1:8" s="313" customFormat="1" ht="18.75" customHeight="1">
      <c r="A23" s="699">
        <v>18</v>
      </c>
      <c r="B23" s="2454" t="s">
        <v>480</v>
      </c>
      <c r="C23" s="1474">
        <f>+'ครุภัณฑ์ (NEW) (การแพทย์)'!D21</f>
        <v>40000</v>
      </c>
      <c r="D23" s="495">
        <f>+'ครุภัณฑ์ (NEW) (การแพทย์)'!C21</f>
        <v>1</v>
      </c>
      <c r="E23" s="1474">
        <f t="shared" si="0"/>
        <v>40000</v>
      </c>
      <c r="F23" s="699" t="s">
        <v>195</v>
      </c>
      <c r="G23" s="226" t="s">
        <v>8</v>
      </c>
      <c r="H23" s="699" t="s">
        <v>662</v>
      </c>
    </row>
    <row r="24" spans="1:8" s="313" customFormat="1" ht="18.75" customHeight="1">
      <c r="A24" s="699">
        <v>19</v>
      </c>
      <c r="B24" s="498" t="s">
        <v>205</v>
      </c>
      <c r="C24" s="1474">
        <f>+'ครุภัณฑ์ (NEW) (การแพทย์)'!D22</f>
        <v>31849</v>
      </c>
      <c r="D24" s="495">
        <f>+'ครุภัณฑ์ (NEW) (การแพทย์)'!C22</f>
        <v>1</v>
      </c>
      <c r="E24" s="1474">
        <f t="shared" si="0"/>
        <v>31849</v>
      </c>
      <c r="F24" s="699" t="s">
        <v>195</v>
      </c>
      <c r="G24" s="226" t="s">
        <v>8</v>
      </c>
      <c r="H24" s="699" t="s">
        <v>662</v>
      </c>
    </row>
    <row r="25" spans="1:8" s="313" customFormat="1" ht="18.75" customHeight="1">
      <c r="A25" s="699">
        <v>20</v>
      </c>
      <c r="B25" s="2454" t="s">
        <v>482</v>
      </c>
      <c r="C25" s="1474">
        <f>+'ครุภัณฑ์ (NEW) (การแพทย์)'!D23</f>
        <v>9500</v>
      </c>
      <c r="D25" s="495">
        <f>+'ครุภัณฑ์ (NEW) (การแพทย์)'!C23</f>
        <v>2</v>
      </c>
      <c r="E25" s="1474">
        <f t="shared" si="0"/>
        <v>19000</v>
      </c>
      <c r="F25" s="699" t="s">
        <v>195</v>
      </c>
      <c r="G25" s="226" t="s">
        <v>8</v>
      </c>
      <c r="H25" s="699" t="s">
        <v>662</v>
      </c>
    </row>
    <row r="26" spans="1:8" s="313" customFormat="1" ht="18.75" customHeight="1">
      <c r="A26" s="699">
        <v>21</v>
      </c>
      <c r="B26" s="690" t="s">
        <v>202</v>
      </c>
      <c r="C26" s="1474">
        <f>+'ครุภัณฑ์ (NEW) (การแพทย์)'!D24</f>
        <v>5500</v>
      </c>
      <c r="D26" s="495">
        <f>+'ครุภัณฑ์ (NEW) (การแพทย์)'!C24</f>
        <v>10</v>
      </c>
      <c r="E26" s="1474">
        <f t="shared" si="0"/>
        <v>55000</v>
      </c>
      <c r="F26" s="699" t="s">
        <v>195</v>
      </c>
      <c r="G26" s="226" t="s">
        <v>8</v>
      </c>
      <c r="H26" s="699" t="s">
        <v>662</v>
      </c>
    </row>
    <row r="27" spans="1:8" s="205" customFormat="1" ht="18.75" customHeight="1">
      <c r="A27" s="699">
        <v>22</v>
      </c>
      <c r="B27" s="1477" t="s">
        <v>485</v>
      </c>
      <c r="C27" s="1474">
        <f>+'ครุภัณฑ์ (NEW) (การแพทย์)'!D25</f>
        <v>4950</v>
      </c>
      <c r="D27" s="495">
        <f>+'ครุภัณฑ์ (NEW) (การแพทย์)'!C25</f>
        <v>2</v>
      </c>
      <c r="E27" s="1474">
        <f t="shared" si="0"/>
        <v>9900</v>
      </c>
      <c r="F27" s="699" t="s">
        <v>195</v>
      </c>
      <c r="G27" s="226" t="s">
        <v>8</v>
      </c>
      <c r="H27" s="699" t="s">
        <v>662</v>
      </c>
    </row>
    <row r="28" spans="1:8" s="205" customFormat="1" ht="18.75" customHeight="1">
      <c r="A28" s="699">
        <v>23</v>
      </c>
      <c r="B28" s="2454" t="s">
        <v>479</v>
      </c>
      <c r="C28" s="1474">
        <f>+'ครุภัณฑ์ (NEW) (การแพทย์)'!D26</f>
        <v>2000</v>
      </c>
      <c r="D28" s="495">
        <f>+'ครุภัณฑ์ (NEW) (การแพทย์)'!C26</f>
        <v>1</v>
      </c>
      <c r="E28" s="1474">
        <f t="shared" si="0"/>
        <v>2000</v>
      </c>
      <c r="F28" s="699" t="s">
        <v>195</v>
      </c>
      <c r="G28" s="226" t="s">
        <v>8</v>
      </c>
      <c r="H28" s="699" t="s">
        <v>662</v>
      </c>
    </row>
    <row r="29" spans="1:8" s="205" customFormat="1" ht="18.75" customHeight="1">
      <c r="A29" s="699">
        <v>24</v>
      </c>
      <c r="B29" s="690" t="s">
        <v>654</v>
      </c>
      <c r="C29" s="1474">
        <f>+'ครุภัณฑ์ (NEW) (การแพทย์)'!D27</f>
        <v>130000</v>
      </c>
      <c r="D29" s="495">
        <f>+'ครุภัณฑ์ (NEW) (การแพทย์)'!C27</f>
        <v>2</v>
      </c>
      <c r="E29" s="1474">
        <f t="shared" si="0"/>
        <v>260000</v>
      </c>
      <c r="F29" s="699" t="s">
        <v>195</v>
      </c>
      <c r="G29" s="226" t="s">
        <v>8</v>
      </c>
      <c r="H29" s="699" t="s">
        <v>662</v>
      </c>
    </row>
    <row r="30" spans="1:8" s="205" customFormat="1" ht="42">
      <c r="A30" s="699">
        <v>25</v>
      </c>
      <c r="B30" s="487" t="s">
        <v>1191</v>
      </c>
      <c r="C30" s="1474">
        <f>+'ครุภัณฑ์ (NEW) (การแพทย์)'!D28</f>
        <v>400000</v>
      </c>
      <c r="D30" s="495">
        <f>+'ครุภัณฑ์ (NEW) (การแพทย์)'!C28</f>
        <v>1</v>
      </c>
      <c r="E30" s="1474">
        <f t="shared" si="0"/>
        <v>400000</v>
      </c>
      <c r="F30" s="699" t="s">
        <v>195</v>
      </c>
      <c r="G30" s="226" t="s">
        <v>8</v>
      </c>
      <c r="H30" s="699" t="s">
        <v>662</v>
      </c>
    </row>
    <row r="31" spans="1:8" s="205" customFormat="1" ht="18.75" customHeight="1">
      <c r="A31" s="699">
        <v>26</v>
      </c>
      <c r="B31" s="322" t="s">
        <v>803</v>
      </c>
      <c r="C31" s="1474">
        <f>+'ครุภัณฑ์ (NEW) (การแพทย์)'!D29</f>
        <v>310000</v>
      </c>
      <c r="D31" s="495">
        <f>+'ครุภัณฑ์ (NEW) (การแพทย์)'!C29</f>
        <v>1</v>
      </c>
      <c r="E31" s="1474">
        <f t="shared" si="0"/>
        <v>310000</v>
      </c>
      <c r="F31" s="699" t="s">
        <v>195</v>
      </c>
      <c r="G31" s="226" t="s">
        <v>8</v>
      </c>
      <c r="H31" s="699" t="s">
        <v>662</v>
      </c>
    </row>
    <row r="32" spans="1:8" s="205" customFormat="1" ht="18.75" customHeight="1">
      <c r="A32" s="699">
        <v>27</v>
      </c>
      <c r="B32" s="520" t="s">
        <v>813</v>
      </c>
      <c r="C32" s="1474">
        <f>+'ครุภัณฑ์ (NEW) (การแพทย์)'!D30</f>
        <v>5990</v>
      </c>
      <c r="D32" s="495">
        <f>+'ครุภัณฑ์ (NEW) (การแพทย์)'!C30</f>
        <v>2</v>
      </c>
      <c r="E32" s="1474">
        <f t="shared" si="0"/>
        <v>11980</v>
      </c>
      <c r="F32" s="699" t="s">
        <v>195</v>
      </c>
      <c r="G32" s="226" t="s">
        <v>8</v>
      </c>
      <c r="H32" s="699" t="s">
        <v>662</v>
      </c>
    </row>
    <row r="33" spans="1:8" s="205" customFormat="1" ht="18.75" customHeight="1">
      <c r="A33" s="699">
        <v>28</v>
      </c>
      <c r="B33" s="520" t="s">
        <v>840</v>
      </c>
      <c r="C33" s="1474">
        <f>+'ครุภัณฑ์ (NEW) (การแพทย์)'!D31</f>
        <v>33000</v>
      </c>
      <c r="D33" s="495">
        <f>+'ครุภัณฑ์ (NEW) (การแพทย์)'!C31</f>
        <v>4</v>
      </c>
      <c r="E33" s="1474">
        <f t="shared" si="0"/>
        <v>132000</v>
      </c>
      <c r="F33" s="699" t="s">
        <v>195</v>
      </c>
      <c r="G33" s="226" t="s">
        <v>8</v>
      </c>
      <c r="H33" s="699" t="s">
        <v>662</v>
      </c>
    </row>
    <row r="34" spans="1:8" s="205" customFormat="1" ht="18.75" customHeight="1">
      <c r="A34" s="699">
        <v>29</v>
      </c>
      <c r="B34" s="498" t="s">
        <v>987</v>
      </c>
      <c r="C34" s="1474">
        <f>+'ครุภัณฑ์ (NEW) (การแพทย์)'!D32</f>
        <v>2500000</v>
      </c>
      <c r="D34" s="495">
        <f>+'ครุภัณฑ์ (NEW) (การแพทย์)'!C32</f>
        <v>1</v>
      </c>
      <c r="E34" s="1474">
        <f t="shared" si="0"/>
        <v>2500000</v>
      </c>
      <c r="F34" s="699" t="s">
        <v>195</v>
      </c>
      <c r="G34" s="226" t="s">
        <v>8</v>
      </c>
      <c r="H34" s="699" t="s">
        <v>662</v>
      </c>
    </row>
    <row r="35" spans="1:8" s="205" customFormat="1" ht="18.75" customHeight="1">
      <c r="A35" s="699">
        <v>30</v>
      </c>
      <c r="B35" s="221" t="s">
        <v>1339</v>
      </c>
      <c r="C35" s="1474">
        <f>+'ครุภัณฑ์ (NEW) (การแพทย์)'!D33</f>
        <v>19900</v>
      </c>
      <c r="D35" s="495">
        <f>+'ครุภัณฑ์ (NEW) (การแพทย์)'!C33</f>
        <v>1</v>
      </c>
      <c r="E35" s="1474">
        <f t="shared" si="0"/>
        <v>19900</v>
      </c>
      <c r="F35" s="699" t="s">
        <v>195</v>
      </c>
      <c r="G35" s="226" t="s">
        <v>8</v>
      </c>
      <c r="H35" s="699" t="s">
        <v>662</v>
      </c>
    </row>
    <row r="36" spans="1:8" s="205" customFormat="1" ht="18.75" customHeight="1">
      <c r="A36" s="699">
        <v>31</v>
      </c>
      <c r="B36" s="221" t="s">
        <v>1340</v>
      </c>
      <c r="C36" s="1474">
        <f>+'ครุภัณฑ์ (NEW) (การแพทย์)'!D34</f>
        <v>90000</v>
      </c>
      <c r="D36" s="495">
        <f>+'ครุภัณฑ์ (NEW) (การแพทย์)'!C34</f>
        <v>1</v>
      </c>
      <c r="E36" s="1474">
        <f t="shared" si="0"/>
        <v>90000</v>
      </c>
      <c r="F36" s="699" t="s">
        <v>195</v>
      </c>
      <c r="G36" s="226" t="s">
        <v>8</v>
      </c>
      <c r="H36" s="699" t="s">
        <v>662</v>
      </c>
    </row>
    <row r="37" spans="1:8" s="205" customFormat="1" ht="18.75" customHeight="1">
      <c r="A37" s="699">
        <v>32</v>
      </c>
      <c r="B37" s="221" t="s">
        <v>1341</v>
      </c>
      <c r="C37" s="1474">
        <f>+'ครุภัณฑ์ (NEW) (การแพทย์)'!D35</f>
        <v>50000</v>
      </c>
      <c r="D37" s="495">
        <f>+'ครุภัณฑ์ (NEW) (การแพทย์)'!C35</f>
        <v>1</v>
      </c>
      <c r="E37" s="1474">
        <f t="shared" si="0"/>
        <v>50000</v>
      </c>
      <c r="F37" s="699" t="s">
        <v>195</v>
      </c>
      <c r="G37" s="226" t="s">
        <v>8</v>
      </c>
      <c r="H37" s="699" t="s">
        <v>662</v>
      </c>
    </row>
    <row r="38" spans="1:8" s="205" customFormat="1" ht="18.75" customHeight="1">
      <c r="A38" s="699">
        <v>33</v>
      </c>
      <c r="B38" s="221" t="s">
        <v>1342</v>
      </c>
      <c r="C38" s="1474">
        <f>+'ครุภัณฑ์ (NEW) (การแพทย์)'!D36</f>
        <v>15000</v>
      </c>
      <c r="D38" s="495">
        <f>+'ครุภัณฑ์ (NEW) (การแพทย์)'!C36</f>
        <v>1</v>
      </c>
      <c r="E38" s="1474">
        <f t="shared" si="0"/>
        <v>15000</v>
      </c>
      <c r="F38" s="699" t="s">
        <v>195</v>
      </c>
      <c r="G38" s="226" t="s">
        <v>8</v>
      </c>
      <c r="H38" s="699" t="s">
        <v>662</v>
      </c>
    </row>
    <row r="39" spans="1:8" s="205" customFormat="1" ht="18.75" customHeight="1">
      <c r="A39" s="699">
        <v>34</v>
      </c>
      <c r="B39" s="221" t="s">
        <v>1343</v>
      </c>
      <c r="C39" s="1474">
        <f>+'ครุภัณฑ์ (NEW) (การแพทย์)'!D37</f>
        <v>642000</v>
      </c>
      <c r="D39" s="495">
        <f>+'ครุภัณฑ์ (NEW) (การแพทย์)'!C37</f>
        <v>1</v>
      </c>
      <c r="E39" s="1474">
        <f t="shared" si="0"/>
        <v>642000</v>
      </c>
      <c r="F39" s="699" t="s">
        <v>195</v>
      </c>
      <c r="G39" s="226" t="s">
        <v>8</v>
      </c>
      <c r="H39" s="699" t="s">
        <v>662</v>
      </c>
    </row>
    <row r="40" spans="1:8" s="205" customFormat="1" ht="18.75" customHeight="1">
      <c r="A40" s="699">
        <v>35</v>
      </c>
      <c r="B40" s="221" t="s">
        <v>1342</v>
      </c>
      <c r="C40" s="1474">
        <f>+'ครุภัณฑ์ (NEW) (การแพทย์)'!D38</f>
        <v>15000</v>
      </c>
      <c r="D40" s="495">
        <f>+'ครุภัณฑ์ (NEW) (การแพทย์)'!C38</f>
        <v>1</v>
      </c>
      <c r="E40" s="1474">
        <f t="shared" si="0"/>
        <v>15000</v>
      </c>
      <c r="F40" s="699" t="s">
        <v>195</v>
      </c>
      <c r="G40" s="226" t="s">
        <v>8</v>
      </c>
      <c r="H40" s="699" t="s">
        <v>662</v>
      </c>
    </row>
    <row r="41" spans="1:8" s="205" customFormat="1" ht="18.75" customHeight="1">
      <c r="A41" s="699">
        <v>36</v>
      </c>
      <c r="B41" s="221" t="s">
        <v>1342</v>
      </c>
      <c r="C41" s="1474">
        <f>+'ครุภัณฑ์ (NEW) (การแพทย์)'!D39</f>
        <v>15000</v>
      </c>
      <c r="D41" s="495">
        <f>+'ครุภัณฑ์ (NEW) (การแพทย์)'!C39</f>
        <v>1</v>
      </c>
      <c r="E41" s="1474">
        <f t="shared" si="0"/>
        <v>15000</v>
      </c>
      <c r="F41" s="699" t="s">
        <v>195</v>
      </c>
      <c r="G41" s="226" t="s">
        <v>8</v>
      </c>
      <c r="H41" s="699" t="s">
        <v>662</v>
      </c>
    </row>
    <row r="42" spans="1:8" s="205" customFormat="1" ht="18.75" customHeight="1">
      <c r="A42" s="699">
        <v>37</v>
      </c>
      <c r="B42" s="221" t="s">
        <v>1340</v>
      </c>
      <c r="C42" s="1474">
        <f>+'ครุภัณฑ์ (NEW) (การแพทย์)'!D40</f>
        <v>68500</v>
      </c>
      <c r="D42" s="495">
        <f>+'ครุภัณฑ์ (NEW) (การแพทย์)'!C40</f>
        <v>2</v>
      </c>
      <c r="E42" s="1474">
        <f t="shared" si="0"/>
        <v>137000</v>
      </c>
      <c r="F42" s="699" t="s">
        <v>195</v>
      </c>
      <c r="G42" s="226" t="s">
        <v>8</v>
      </c>
      <c r="H42" s="699" t="s">
        <v>662</v>
      </c>
    </row>
    <row r="43" spans="1:8" s="205" customFormat="1" ht="18.75" customHeight="1">
      <c r="A43" s="699">
        <v>38</v>
      </c>
      <c r="B43" s="221" t="s">
        <v>846</v>
      </c>
      <c r="C43" s="1474">
        <f>+'ครุภัณฑ์ (NEW) (การแพทย์)'!D41</f>
        <v>8400</v>
      </c>
      <c r="D43" s="495">
        <f>+'ครุภัณฑ์ (NEW) (การแพทย์)'!C41</f>
        <v>63</v>
      </c>
      <c r="E43" s="1474">
        <f t="shared" si="0"/>
        <v>529200</v>
      </c>
      <c r="F43" s="699" t="s">
        <v>195</v>
      </c>
      <c r="G43" s="226" t="s">
        <v>8</v>
      </c>
      <c r="H43" s="699" t="s">
        <v>662</v>
      </c>
    </row>
    <row r="44" spans="1:8" s="205" customFormat="1" ht="18.75" customHeight="1">
      <c r="A44" s="699">
        <v>39</v>
      </c>
      <c r="B44" s="221" t="s">
        <v>1346</v>
      </c>
      <c r="C44" s="1474">
        <f>+'ครุภัณฑ์ (NEW) (การแพทย์)'!D42</f>
        <v>28600</v>
      </c>
      <c r="D44" s="495">
        <f>+'ครุภัณฑ์ (NEW) (การแพทย์)'!C42</f>
        <v>3</v>
      </c>
      <c r="E44" s="1474">
        <f t="shared" si="0"/>
        <v>85800</v>
      </c>
      <c r="F44" s="699" t="s">
        <v>195</v>
      </c>
      <c r="G44" s="226" t="s">
        <v>8</v>
      </c>
      <c r="H44" s="699" t="s">
        <v>662</v>
      </c>
    </row>
    <row r="45" spans="1:8" s="205" customFormat="1" ht="18.75" customHeight="1">
      <c r="A45" s="699">
        <v>40</v>
      </c>
      <c r="B45" s="221" t="s">
        <v>1347</v>
      </c>
      <c r="C45" s="1474">
        <f>+'ครุภัณฑ์ (NEW) (การแพทย์)'!D43</f>
        <v>53500</v>
      </c>
      <c r="D45" s="495">
        <f>+'ครุภัณฑ์ (NEW) (การแพทย์)'!C43</f>
        <v>1</v>
      </c>
      <c r="E45" s="1474">
        <f t="shared" si="0"/>
        <v>53500</v>
      </c>
      <c r="F45" s="699" t="s">
        <v>195</v>
      </c>
      <c r="G45" s="226" t="s">
        <v>8</v>
      </c>
      <c r="H45" s="699" t="s">
        <v>662</v>
      </c>
    </row>
    <row r="46" spans="1:8" s="205" customFormat="1" ht="18.75" customHeight="1">
      <c r="A46" s="699">
        <v>41</v>
      </c>
      <c r="B46" s="221" t="s">
        <v>1348</v>
      </c>
      <c r="C46" s="1474">
        <f>+'ครุภัณฑ์ (NEW) (การแพทย์)'!D44</f>
        <v>120000</v>
      </c>
      <c r="D46" s="495">
        <f>+'ครุภัณฑ์ (NEW) (การแพทย์)'!C44</f>
        <v>3</v>
      </c>
      <c r="E46" s="1474">
        <f t="shared" si="0"/>
        <v>360000</v>
      </c>
      <c r="F46" s="699" t="s">
        <v>195</v>
      </c>
      <c r="G46" s="226" t="s">
        <v>8</v>
      </c>
      <c r="H46" s="699" t="s">
        <v>662</v>
      </c>
    </row>
    <row r="47" spans="1:8" s="205" customFormat="1" ht="18.75" customHeight="1">
      <c r="A47" s="699">
        <v>42</v>
      </c>
      <c r="B47" s="221" t="s">
        <v>1349</v>
      </c>
      <c r="C47" s="1474">
        <f>+'ครุภัณฑ์ (NEW) (การแพทย์)'!D45</f>
        <v>43000</v>
      </c>
      <c r="D47" s="495">
        <f>+'ครุภัณฑ์ (NEW) (การแพทย์)'!C45</f>
        <v>6</v>
      </c>
      <c r="E47" s="1474">
        <f t="shared" si="0"/>
        <v>258000</v>
      </c>
      <c r="F47" s="699" t="s">
        <v>195</v>
      </c>
      <c r="G47" s="226" t="s">
        <v>8</v>
      </c>
      <c r="H47" s="699" t="s">
        <v>662</v>
      </c>
    </row>
    <row r="48" spans="1:8" s="205" customFormat="1" ht="18.75" customHeight="1">
      <c r="A48" s="699">
        <v>43</v>
      </c>
      <c r="B48" s="221" t="s">
        <v>1350</v>
      </c>
      <c r="C48" s="1474">
        <f>+'ครุภัณฑ์ (NEW) (การแพทย์)'!D46</f>
        <v>24600</v>
      </c>
      <c r="D48" s="495">
        <f>+'ครุภัณฑ์ (NEW) (การแพทย์)'!C46</f>
        <v>1</v>
      </c>
      <c r="E48" s="1474">
        <f t="shared" si="0"/>
        <v>24600</v>
      </c>
      <c r="F48" s="699" t="s">
        <v>195</v>
      </c>
      <c r="G48" s="226" t="s">
        <v>8</v>
      </c>
      <c r="H48" s="699" t="s">
        <v>662</v>
      </c>
    </row>
    <row r="49" spans="1:8" s="205" customFormat="1" ht="18.75" customHeight="1">
      <c r="A49" s="699">
        <v>44</v>
      </c>
      <c r="B49" s="221" t="s">
        <v>1479</v>
      </c>
      <c r="C49" s="1474">
        <f>+'ครุภัณฑ์ (NEW) (การแพทย์)'!D47</f>
        <v>12800</v>
      </c>
      <c r="D49" s="495">
        <f>+'ครุภัณฑ์ (NEW) (การแพทย์)'!C47</f>
        <v>1</v>
      </c>
      <c r="E49" s="1474">
        <f t="shared" si="0"/>
        <v>12800</v>
      </c>
      <c r="F49" s="699" t="s">
        <v>195</v>
      </c>
      <c r="G49" s="226" t="s">
        <v>8</v>
      </c>
      <c r="H49" s="699" t="s">
        <v>662</v>
      </c>
    </row>
    <row r="50" spans="1:8" s="205" customFormat="1" ht="18.75" customHeight="1">
      <c r="A50" s="699">
        <v>45</v>
      </c>
      <c r="B50" s="221" t="s">
        <v>1351</v>
      </c>
      <c r="C50" s="1474">
        <f>+'ครุภัณฑ์ (NEW) (การแพทย์)'!D48</f>
        <v>278200</v>
      </c>
      <c r="D50" s="495">
        <f>+'ครุภัณฑ์ (NEW) (การแพทย์)'!C48</f>
        <v>1</v>
      </c>
      <c r="E50" s="1474">
        <f t="shared" si="0"/>
        <v>278200</v>
      </c>
      <c r="F50" s="699" t="s">
        <v>195</v>
      </c>
      <c r="G50" s="226" t="s">
        <v>8</v>
      </c>
      <c r="H50" s="699" t="s">
        <v>662</v>
      </c>
    </row>
    <row r="51" spans="1:8" s="205" customFormat="1" ht="18.75" customHeight="1">
      <c r="A51" s="699">
        <v>46</v>
      </c>
      <c r="B51" s="221" t="s">
        <v>1352</v>
      </c>
      <c r="C51" s="1474">
        <f>+'ครุภัณฑ์ (NEW) (การแพทย์)'!D49</f>
        <v>48150</v>
      </c>
      <c r="D51" s="495">
        <f>+'ครุภัณฑ์ (NEW) (การแพทย์)'!C49</f>
        <v>2</v>
      </c>
      <c r="E51" s="1474">
        <f t="shared" si="0"/>
        <v>96300</v>
      </c>
      <c r="F51" s="699" t="s">
        <v>195</v>
      </c>
      <c r="G51" s="226" t="s">
        <v>8</v>
      </c>
      <c r="H51" s="699" t="s">
        <v>662</v>
      </c>
    </row>
    <row r="52" spans="1:8" s="205" customFormat="1" ht="18.75" customHeight="1">
      <c r="A52" s="699">
        <v>47</v>
      </c>
      <c r="B52" s="221" t="s">
        <v>1353</v>
      </c>
      <c r="C52" s="1474">
        <f>+'ครุภัณฑ์ (NEW) (การแพทย์)'!D50</f>
        <v>39600</v>
      </c>
      <c r="D52" s="495">
        <f>+'ครุภัณฑ์ (NEW) (การแพทย์)'!C50</f>
        <v>1</v>
      </c>
      <c r="E52" s="1474">
        <f t="shared" si="0"/>
        <v>39600</v>
      </c>
      <c r="F52" s="699" t="s">
        <v>195</v>
      </c>
      <c r="G52" s="226" t="s">
        <v>8</v>
      </c>
      <c r="H52" s="699" t="s">
        <v>662</v>
      </c>
    </row>
    <row r="53" spans="1:8" s="205" customFormat="1" ht="18.75" customHeight="1">
      <c r="A53" s="699">
        <v>48</v>
      </c>
      <c r="B53" s="221" t="s">
        <v>1355</v>
      </c>
      <c r="C53" s="1474">
        <f>+'ครุภัณฑ์ (NEW) (การแพทย์)'!D51</f>
        <v>42000</v>
      </c>
      <c r="D53" s="495">
        <f>+'ครุภัณฑ์ (NEW) (การแพทย์)'!C51</f>
        <v>1</v>
      </c>
      <c r="E53" s="1474">
        <f t="shared" si="0"/>
        <v>42000</v>
      </c>
      <c r="F53" s="699" t="s">
        <v>195</v>
      </c>
      <c r="G53" s="226" t="s">
        <v>8</v>
      </c>
      <c r="H53" s="699" t="s">
        <v>662</v>
      </c>
    </row>
    <row r="54" spans="1:8" s="205" customFormat="1" ht="18.75" customHeight="1">
      <c r="A54" s="699">
        <v>49</v>
      </c>
      <c r="B54" s="221" t="s">
        <v>1356</v>
      </c>
      <c r="C54" s="1474">
        <f>+'ครุภัณฑ์ (NEW) (การแพทย์)'!D52</f>
        <v>250000</v>
      </c>
      <c r="D54" s="495">
        <f>+'ครุภัณฑ์ (NEW) (การแพทย์)'!C52</f>
        <v>1</v>
      </c>
      <c r="E54" s="1474">
        <f t="shared" si="0"/>
        <v>250000</v>
      </c>
      <c r="F54" s="699" t="s">
        <v>195</v>
      </c>
      <c r="G54" s="226" t="s">
        <v>8</v>
      </c>
      <c r="H54" s="699" t="s">
        <v>662</v>
      </c>
    </row>
    <row r="55" spans="1:8" s="205" customFormat="1" ht="18.75" customHeight="1">
      <c r="A55" s="699">
        <v>50</v>
      </c>
      <c r="B55" s="216" t="s">
        <v>1357</v>
      </c>
      <c r="C55" s="1474">
        <f>+'ครุภัณฑ์ (NEW) (การแพทย์)'!D53</f>
        <v>20000</v>
      </c>
      <c r="D55" s="495">
        <f>+'ครุภัณฑ์ (NEW) (การแพทย์)'!C53</f>
        <v>1</v>
      </c>
      <c r="E55" s="1474">
        <f t="shared" si="0"/>
        <v>20000</v>
      </c>
      <c r="F55" s="699" t="s">
        <v>195</v>
      </c>
      <c r="G55" s="226" t="s">
        <v>8</v>
      </c>
      <c r="H55" s="699" t="s">
        <v>662</v>
      </c>
    </row>
    <row r="56" spans="1:8" s="205" customFormat="1" ht="18.75" customHeight="1">
      <c r="A56" s="699">
        <v>51</v>
      </c>
      <c r="B56" s="251" t="s">
        <v>1398</v>
      </c>
      <c r="C56" s="1474">
        <f>+'ครุภัณฑ์ (NEW) (การแพทย์)'!D54</f>
        <v>8500</v>
      </c>
      <c r="D56" s="495">
        <f>+'ครุภัณฑ์ (NEW) (การแพทย์)'!C54</f>
        <v>2</v>
      </c>
      <c r="E56" s="1474">
        <f t="shared" si="0"/>
        <v>17000</v>
      </c>
      <c r="F56" s="699" t="s">
        <v>195</v>
      </c>
      <c r="G56" s="226" t="s">
        <v>8</v>
      </c>
      <c r="H56" s="699" t="s">
        <v>662</v>
      </c>
    </row>
    <row r="57" spans="1:8" s="205" customFormat="1" ht="18.75" customHeight="1">
      <c r="A57" s="699">
        <v>52</v>
      </c>
      <c r="B57" s="216" t="s">
        <v>1392</v>
      </c>
      <c r="C57" s="1474">
        <f>+'ครุภัณฑ์ (NEW) (การแพทย์)'!D55</f>
        <v>2200000</v>
      </c>
      <c r="D57" s="495">
        <f>+'ครุภัณฑ์ (NEW) (การแพทย์)'!C55</f>
        <v>3</v>
      </c>
      <c r="E57" s="1474">
        <f t="shared" si="0"/>
        <v>6600000</v>
      </c>
      <c r="F57" s="699" t="s">
        <v>195</v>
      </c>
      <c r="G57" s="226" t="s">
        <v>8</v>
      </c>
      <c r="H57" s="699" t="s">
        <v>662</v>
      </c>
    </row>
    <row r="58" spans="1:8" s="205" customFormat="1" ht="18.75" customHeight="1">
      <c r="A58" s="699">
        <v>53</v>
      </c>
      <c r="B58" s="216" t="s">
        <v>1394</v>
      </c>
      <c r="C58" s="1474">
        <f>+'ครุภัณฑ์ (NEW) (การแพทย์)'!D56</f>
        <v>480000</v>
      </c>
      <c r="D58" s="495">
        <f>+'ครุภัณฑ์ (NEW) (การแพทย์)'!C56</f>
        <v>1</v>
      </c>
      <c r="E58" s="1474">
        <f t="shared" si="0"/>
        <v>480000</v>
      </c>
      <c r="F58" s="699" t="s">
        <v>195</v>
      </c>
      <c r="G58" s="226" t="s">
        <v>8</v>
      </c>
      <c r="H58" s="699" t="s">
        <v>662</v>
      </c>
    </row>
    <row r="59" spans="1:8" s="205" customFormat="1" ht="18.75" customHeight="1">
      <c r="A59" s="699">
        <v>54</v>
      </c>
      <c r="B59" s="216" t="s">
        <v>1395</v>
      </c>
      <c r="C59" s="1474">
        <f>+'ครุภัณฑ์ (NEW) (การแพทย์)'!D57</f>
        <v>86000</v>
      </c>
      <c r="D59" s="495">
        <f>+'ครุภัณฑ์ (NEW) (การแพทย์)'!C57</f>
        <v>2</v>
      </c>
      <c r="E59" s="1474">
        <f t="shared" si="0"/>
        <v>172000</v>
      </c>
      <c r="F59" s="699" t="s">
        <v>195</v>
      </c>
      <c r="G59" s="226" t="s">
        <v>8</v>
      </c>
      <c r="H59" s="699" t="s">
        <v>662</v>
      </c>
    </row>
    <row r="60" spans="1:8" s="205" customFormat="1" ht="18.75" customHeight="1">
      <c r="A60" s="699">
        <v>55</v>
      </c>
      <c r="B60" s="216" t="s">
        <v>196</v>
      </c>
      <c r="C60" s="1474">
        <f>+'ครุภัณฑ์ (NEW) (การแพทย์)'!D58</f>
        <v>63500</v>
      </c>
      <c r="D60" s="495">
        <f>+'ครุภัณฑ์ (NEW) (การแพทย์)'!C58</f>
        <v>2</v>
      </c>
      <c r="E60" s="1474">
        <f t="shared" si="0"/>
        <v>127000</v>
      </c>
      <c r="F60" s="699" t="s">
        <v>195</v>
      </c>
      <c r="G60" s="226" t="s">
        <v>8</v>
      </c>
      <c r="H60" s="699" t="s">
        <v>662</v>
      </c>
    </row>
    <row r="61" spans="1:8" s="205" customFormat="1" ht="18.75" customHeight="1">
      <c r="A61" s="699">
        <v>56</v>
      </c>
      <c r="B61" s="216" t="s">
        <v>1396</v>
      </c>
      <c r="C61" s="1474">
        <f>+'ครุภัณฑ์ (NEW) (การแพทย์)'!D59</f>
        <v>310300</v>
      </c>
      <c r="D61" s="495">
        <f>+'ครุภัณฑ์ (NEW) (การแพทย์)'!C59</f>
        <v>1</v>
      </c>
      <c r="E61" s="1474">
        <f t="shared" si="0"/>
        <v>310300</v>
      </c>
      <c r="F61" s="699" t="s">
        <v>195</v>
      </c>
      <c r="G61" s="226" t="s">
        <v>8</v>
      </c>
      <c r="H61" s="699" t="s">
        <v>662</v>
      </c>
    </row>
    <row r="62" spans="1:8" s="205" customFormat="1" ht="42">
      <c r="A62" s="699">
        <v>57</v>
      </c>
      <c r="B62" s="260" t="s">
        <v>1399</v>
      </c>
      <c r="C62" s="1474">
        <f>+'ครุภัณฑ์ (NEW) (การแพทย์)'!D60</f>
        <v>80250</v>
      </c>
      <c r="D62" s="495">
        <f>+'ครุภัณฑ์ (NEW) (การแพทย์)'!C60</f>
        <v>1</v>
      </c>
      <c r="E62" s="1474">
        <f t="shared" si="0"/>
        <v>80250</v>
      </c>
      <c r="F62" s="699" t="s">
        <v>195</v>
      </c>
      <c r="G62" s="226" t="s">
        <v>8</v>
      </c>
      <c r="H62" s="699" t="s">
        <v>662</v>
      </c>
    </row>
    <row r="63" spans="1:8" s="205" customFormat="1" ht="20.100000000000001" customHeight="1">
      <c r="A63" s="699">
        <v>58</v>
      </c>
      <c r="B63" s="216" t="s">
        <v>1397</v>
      </c>
      <c r="C63" s="1474">
        <f>+'ครุภัณฑ์ (NEW) (การแพทย์)'!D61</f>
        <v>29000</v>
      </c>
      <c r="D63" s="495">
        <f>+'ครุภัณฑ์ (NEW) (การแพทย์)'!C61</f>
        <v>2</v>
      </c>
      <c r="E63" s="1474">
        <f t="shared" si="0"/>
        <v>58000</v>
      </c>
      <c r="F63" s="699" t="s">
        <v>195</v>
      </c>
      <c r="G63" s="226" t="s">
        <v>8</v>
      </c>
      <c r="H63" s="699" t="s">
        <v>662</v>
      </c>
    </row>
    <row r="64" spans="1:8" s="205" customFormat="1" ht="20.100000000000001" customHeight="1">
      <c r="A64" s="699">
        <v>59</v>
      </c>
      <c r="B64" s="251" t="s">
        <v>1450</v>
      </c>
      <c r="C64" s="1474">
        <f>+'ครุภัณฑ์ (NEW) (การแพทย์)'!D62</f>
        <v>380000</v>
      </c>
      <c r="D64" s="495">
        <f>+'ครุภัณฑ์ (NEW) (การแพทย์)'!C62</f>
        <v>1</v>
      </c>
      <c r="E64" s="1474">
        <f t="shared" si="0"/>
        <v>380000</v>
      </c>
      <c r="F64" s="699" t="s">
        <v>195</v>
      </c>
      <c r="G64" s="226" t="s">
        <v>8</v>
      </c>
      <c r="H64" s="699" t="s">
        <v>662</v>
      </c>
    </row>
    <row r="65" spans="1:8" s="205" customFormat="1" ht="20.100000000000001" customHeight="1">
      <c r="A65" s="699">
        <v>60</v>
      </c>
      <c r="B65" s="1602" t="s">
        <v>1451</v>
      </c>
      <c r="C65" s="1474">
        <f>+'ครุภัณฑ์ (NEW) (การแพทย์)'!D63</f>
        <v>1605000</v>
      </c>
      <c r="D65" s="495">
        <f>+'ครุภัณฑ์ (NEW) (การแพทย์)'!C63</f>
        <v>1</v>
      </c>
      <c r="E65" s="1474">
        <f t="shared" si="0"/>
        <v>1605000</v>
      </c>
      <c r="F65" s="699" t="s">
        <v>195</v>
      </c>
      <c r="G65" s="226" t="s">
        <v>8</v>
      </c>
      <c r="H65" s="699" t="s">
        <v>662</v>
      </c>
    </row>
    <row r="66" spans="1:8" s="205" customFormat="1" ht="20.100000000000001" customHeight="1">
      <c r="A66" s="699">
        <v>61</v>
      </c>
      <c r="B66" s="1603" t="s">
        <v>2500</v>
      </c>
      <c r="C66" s="1474">
        <f>+'ครุภัณฑ์ (NEW) (การแพทย์)'!D64</f>
        <v>950000</v>
      </c>
      <c r="D66" s="495">
        <f>+'ครุภัณฑ์ (NEW) (การแพทย์)'!C64</f>
        <v>1</v>
      </c>
      <c r="E66" s="1474">
        <f t="shared" si="0"/>
        <v>950000</v>
      </c>
      <c r="F66" s="699" t="s">
        <v>195</v>
      </c>
      <c r="G66" s="226" t="s">
        <v>8</v>
      </c>
      <c r="H66" s="699" t="s">
        <v>662</v>
      </c>
    </row>
    <row r="67" spans="1:8" s="205" customFormat="1" ht="20.100000000000001" customHeight="1">
      <c r="A67" s="699">
        <v>62</v>
      </c>
      <c r="B67" s="1603" t="s">
        <v>1453</v>
      </c>
      <c r="C67" s="1474">
        <f>+'ครุภัณฑ์ (NEW) (การแพทย์)'!D65</f>
        <v>47910</v>
      </c>
      <c r="D67" s="495">
        <f>+'ครุภัณฑ์ (NEW) (การแพทย์)'!C65</f>
        <v>1</v>
      </c>
      <c r="E67" s="1474">
        <f t="shared" si="0"/>
        <v>47910</v>
      </c>
      <c r="F67" s="699" t="s">
        <v>195</v>
      </c>
      <c r="G67" s="226" t="s">
        <v>8</v>
      </c>
      <c r="H67" s="699" t="s">
        <v>662</v>
      </c>
    </row>
    <row r="68" spans="1:8" s="205" customFormat="1" ht="20.100000000000001" customHeight="1">
      <c r="A68" s="699">
        <v>63</v>
      </c>
      <c r="B68" s="251" t="s">
        <v>2501</v>
      </c>
      <c r="C68" s="1474">
        <f>+'ครุภัณฑ์ (NEW) (การแพทย์)'!D66</f>
        <v>1600000</v>
      </c>
      <c r="D68" s="495">
        <f>+'ครุภัณฑ์ (NEW) (การแพทย์)'!C66</f>
        <v>1</v>
      </c>
      <c r="E68" s="1474">
        <f t="shared" si="0"/>
        <v>1600000</v>
      </c>
      <c r="F68" s="699" t="s">
        <v>195</v>
      </c>
      <c r="G68" s="226" t="s">
        <v>8</v>
      </c>
      <c r="H68" s="699" t="s">
        <v>662</v>
      </c>
    </row>
    <row r="69" spans="1:8" s="205" customFormat="1" ht="20.100000000000001" customHeight="1">
      <c r="A69" s="699">
        <v>64</v>
      </c>
      <c r="B69" s="390" t="s">
        <v>1293</v>
      </c>
      <c r="C69" s="1474">
        <f>+'ครุภัณฑ์ (NEW) (การแพทย์)'!D67</f>
        <v>27500</v>
      </c>
      <c r="D69" s="495">
        <f>+'ครุภัณฑ์ (NEW) (การแพทย์)'!C67</f>
        <v>6</v>
      </c>
      <c r="E69" s="1474">
        <f t="shared" si="0"/>
        <v>165000</v>
      </c>
      <c r="F69" s="699" t="s">
        <v>195</v>
      </c>
      <c r="G69" s="226" t="s">
        <v>8</v>
      </c>
      <c r="H69" s="699" t="s">
        <v>662</v>
      </c>
    </row>
    <row r="70" spans="1:8" s="205" customFormat="1" ht="20.100000000000001" customHeight="1">
      <c r="A70" s="699">
        <v>65</v>
      </c>
      <c r="B70" s="390" t="s">
        <v>1295</v>
      </c>
      <c r="C70" s="1474">
        <f>+'ครุภัณฑ์ (NEW) (การแพทย์)'!D68</f>
        <v>19500</v>
      </c>
      <c r="D70" s="495">
        <f>+'ครุภัณฑ์ (NEW) (การแพทย์)'!C68</f>
        <v>2</v>
      </c>
      <c r="E70" s="1474">
        <f t="shared" si="0"/>
        <v>39000</v>
      </c>
      <c r="F70" s="699" t="s">
        <v>195</v>
      </c>
      <c r="G70" s="226" t="s">
        <v>8</v>
      </c>
      <c r="H70" s="699" t="s">
        <v>662</v>
      </c>
    </row>
    <row r="71" spans="1:8" s="205" customFormat="1" ht="20.100000000000001" customHeight="1">
      <c r="A71" s="699">
        <v>66</v>
      </c>
      <c r="B71" s="390" t="s">
        <v>1296</v>
      </c>
      <c r="C71" s="1474">
        <f>+'ครุภัณฑ์ (NEW) (การแพทย์)'!D69</f>
        <v>34000</v>
      </c>
      <c r="D71" s="495">
        <f>+'ครุภัณฑ์ (NEW) (การแพทย์)'!C69</f>
        <v>2</v>
      </c>
      <c r="E71" s="1474">
        <f t="shared" ref="E71:E134" si="1">+C71*D71</f>
        <v>68000</v>
      </c>
      <c r="F71" s="699" t="s">
        <v>195</v>
      </c>
      <c r="G71" s="226" t="s">
        <v>8</v>
      </c>
      <c r="H71" s="699" t="s">
        <v>662</v>
      </c>
    </row>
    <row r="72" spans="1:8" s="205" customFormat="1" ht="21">
      <c r="A72" s="699">
        <v>67</v>
      </c>
      <c r="B72" s="390" t="s">
        <v>1297</v>
      </c>
      <c r="C72" s="1474">
        <f>+'ครุภัณฑ์ (NEW) (การแพทย์)'!D70</f>
        <v>18700</v>
      </c>
      <c r="D72" s="495">
        <f>+'ครุภัณฑ์ (NEW) (การแพทย์)'!C70</f>
        <v>6</v>
      </c>
      <c r="E72" s="1474">
        <f t="shared" si="1"/>
        <v>112200</v>
      </c>
      <c r="F72" s="699" t="s">
        <v>195</v>
      </c>
      <c r="G72" s="226" t="s">
        <v>8</v>
      </c>
      <c r="H72" s="699" t="s">
        <v>662</v>
      </c>
    </row>
    <row r="73" spans="1:8" s="205" customFormat="1" ht="20.100000000000001" customHeight="1">
      <c r="A73" s="699">
        <v>68</v>
      </c>
      <c r="B73" s="390" t="s">
        <v>1298</v>
      </c>
      <c r="C73" s="1474">
        <f>+'ครุภัณฑ์ (NEW) (การแพทย์)'!D71</f>
        <v>19500</v>
      </c>
      <c r="D73" s="495">
        <f>+'ครุภัณฑ์ (NEW) (การแพทย์)'!C71</f>
        <v>4</v>
      </c>
      <c r="E73" s="1474">
        <f t="shared" si="1"/>
        <v>78000</v>
      </c>
      <c r="F73" s="699" t="s">
        <v>195</v>
      </c>
      <c r="G73" s="226" t="s">
        <v>8</v>
      </c>
      <c r="H73" s="699" t="s">
        <v>662</v>
      </c>
    </row>
    <row r="74" spans="1:8" s="205" customFormat="1" ht="21">
      <c r="A74" s="699">
        <v>69</v>
      </c>
      <c r="B74" s="390" t="s">
        <v>1299</v>
      </c>
      <c r="C74" s="1474">
        <f>+'ครุภัณฑ์ (NEW) (การแพทย์)'!D72</f>
        <v>43000</v>
      </c>
      <c r="D74" s="495">
        <f>+'ครุภัณฑ์ (NEW) (การแพทย์)'!C72</f>
        <v>6</v>
      </c>
      <c r="E74" s="1474">
        <f t="shared" si="1"/>
        <v>258000</v>
      </c>
      <c r="F74" s="699" t="s">
        <v>195</v>
      </c>
      <c r="G74" s="226" t="s">
        <v>8</v>
      </c>
      <c r="H74" s="699" t="s">
        <v>662</v>
      </c>
    </row>
    <row r="75" spans="1:8" s="205" customFormat="1" ht="20.100000000000001" customHeight="1">
      <c r="A75" s="699">
        <v>70</v>
      </c>
      <c r="B75" s="390" t="s">
        <v>1300</v>
      </c>
      <c r="C75" s="1474">
        <f>+'ครุภัณฑ์ (NEW) (การแพทย์)'!D73</f>
        <v>11700</v>
      </c>
      <c r="D75" s="495">
        <f>+'ครุภัณฑ์ (NEW) (การแพทย์)'!C73</f>
        <v>12</v>
      </c>
      <c r="E75" s="1474">
        <f t="shared" si="1"/>
        <v>140400</v>
      </c>
      <c r="F75" s="699" t="s">
        <v>195</v>
      </c>
      <c r="G75" s="226" t="s">
        <v>8</v>
      </c>
      <c r="H75" s="699" t="s">
        <v>662</v>
      </c>
    </row>
    <row r="76" spans="1:8" s="205" customFormat="1" ht="20.100000000000001" customHeight="1">
      <c r="A76" s="699">
        <v>71</v>
      </c>
      <c r="B76" s="390" t="s">
        <v>1319</v>
      </c>
      <c r="C76" s="1474">
        <f>+'ครุภัณฑ์ (NEW) (การแพทย์)'!D74</f>
        <v>12700</v>
      </c>
      <c r="D76" s="495">
        <f>+'ครุภัณฑ์ (NEW) (การแพทย์)'!C74</f>
        <v>12</v>
      </c>
      <c r="E76" s="1474">
        <f t="shared" si="1"/>
        <v>152400</v>
      </c>
      <c r="F76" s="699" t="s">
        <v>195</v>
      </c>
      <c r="G76" s="226" t="s">
        <v>8</v>
      </c>
      <c r="H76" s="699" t="s">
        <v>662</v>
      </c>
    </row>
    <row r="77" spans="1:8" s="205" customFormat="1" ht="20.100000000000001" customHeight="1">
      <c r="A77" s="699">
        <v>72</v>
      </c>
      <c r="B77" s="390" t="s">
        <v>1321</v>
      </c>
      <c r="C77" s="1474">
        <f>+'ครุภัณฑ์ (NEW) (การแพทย์)'!D75</f>
        <v>5400</v>
      </c>
      <c r="D77" s="495">
        <f>+'ครุภัณฑ์ (NEW) (การแพทย์)'!C75</f>
        <v>6</v>
      </c>
      <c r="E77" s="1474">
        <f t="shared" si="1"/>
        <v>32400</v>
      </c>
      <c r="F77" s="699" t="s">
        <v>195</v>
      </c>
      <c r="G77" s="226" t="s">
        <v>8</v>
      </c>
      <c r="H77" s="699" t="s">
        <v>662</v>
      </c>
    </row>
    <row r="78" spans="1:8" s="205" customFormat="1" ht="20.100000000000001" customHeight="1">
      <c r="A78" s="699">
        <v>73</v>
      </c>
      <c r="B78" s="689" t="s">
        <v>476</v>
      </c>
      <c r="C78" s="1474">
        <f>+'ครุภัณฑ์ (NEW) (การแพทย์)'!D76</f>
        <v>15000</v>
      </c>
      <c r="D78" s="495">
        <f>+'ครุภัณฑ์ (NEW) (การแพทย์)'!C76</f>
        <v>1</v>
      </c>
      <c r="E78" s="1474">
        <f t="shared" si="1"/>
        <v>15000</v>
      </c>
      <c r="F78" s="699" t="s">
        <v>195</v>
      </c>
      <c r="G78" s="226" t="s">
        <v>8</v>
      </c>
      <c r="H78" s="699" t="s">
        <v>662</v>
      </c>
    </row>
    <row r="79" spans="1:8" s="205" customFormat="1" ht="20.100000000000001" customHeight="1">
      <c r="A79" s="699">
        <v>74</v>
      </c>
      <c r="B79" s="683" t="s">
        <v>483</v>
      </c>
      <c r="C79" s="1474">
        <f>+'ครุภัณฑ์ (NEW) (การแพทย์)'!D77</f>
        <v>6500</v>
      </c>
      <c r="D79" s="495">
        <f>+'ครุภัณฑ์ (NEW) (การแพทย์)'!C77</f>
        <v>2</v>
      </c>
      <c r="E79" s="1474">
        <f t="shared" si="1"/>
        <v>13000</v>
      </c>
      <c r="F79" s="699" t="s">
        <v>195</v>
      </c>
      <c r="G79" s="226" t="s">
        <v>8</v>
      </c>
      <c r="H79" s="699" t="s">
        <v>662</v>
      </c>
    </row>
    <row r="80" spans="1:8" s="205" customFormat="1" ht="20.100000000000001" customHeight="1">
      <c r="A80" s="699">
        <v>75</v>
      </c>
      <c r="B80" s="689" t="s">
        <v>477</v>
      </c>
      <c r="C80" s="1474">
        <f>+'ครุภัณฑ์ (NEW) (การแพทย์)'!D78</f>
        <v>10000</v>
      </c>
      <c r="D80" s="495">
        <f>+'ครุภัณฑ์ (NEW) (การแพทย์)'!C78</f>
        <v>1</v>
      </c>
      <c r="E80" s="1474">
        <f t="shared" si="1"/>
        <v>10000</v>
      </c>
      <c r="F80" s="699" t="s">
        <v>195</v>
      </c>
      <c r="G80" s="226" t="s">
        <v>8</v>
      </c>
      <c r="H80" s="699" t="s">
        <v>662</v>
      </c>
    </row>
    <row r="81" spans="1:8" s="205" customFormat="1" ht="20.100000000000001" customHeight="1">
      <c r="A81" s="699">
        <v>76</v>
      </c>
      <c r="B81" s="682" t="s">
        <v>489</v>
      </c>
      <c r="C81" s="1474">
        <f>+'ครุภัณฑ์ (NEW) (การแพทย์)'!D79</f>
        <v>50000</v>
      </c>
      <c r="D81" s="495">
        <f>+'ครุภัณฑ์ (NEW) (การแพทย์)'!C79</f>
        <v>1</v>
      </c>
      <c r="E81" s="1474">
        <f t="shared" si="1"/>
        <v>50000</v>
      </c>
      <c r="F81" s="699" t="s">
        <v>195</v>
      </c>
      <c r="G81" s="226" t="s">
        <v>8</v>
      </c>
      <c r="H81" s="699" t="s">
        <v>662</v>
      </c>
    </row>
    <row r="82" spans="1:8" s="205" customFormat="1" ht="20.100000000000001" customHeight="1">
      <c r="A82" s="699">
        <v>77</v>
      </c>
      <c r="B82" s="689" t="s">
        <v>2502</v>
      </c>
      <c r="C82" s="1474">
        <f>+'ครุภัณฑ์ (NEW) (การแพทย์)'!D80</f>
        <v>4500</v>
      </c>
      <c r="D82" s="495">
        <f>+'ครุภัณฑ์ (NEW) (การแพทย์)'!C80</f>
        <v>2</v>
      </c>
      <c r="E82" s="1474">
        <f t="shared" si="1"/>
        <v>9000</v>
      </c>
      <c r="F82" s="699" t="s">
        <v>195</v>
      </c>
      <c r="G82" s="226" t="s">
        <v>8</v>
      </c>
      <c r="H82" s="699" t="s">
        <v>662</v>
      </c>
    </row>
    <row r="83" spans="1:8" s="205" customFormat="1" ht="20.100000000000001" customHeight="1">
      <c r="A83" s="699">
        <v>78</v>
      </c>
      <c r="B83" s="689" t="s">
        <v>484</v>
      </c>
      <c r="C83" s="1474">
        <f>+'ครุภัณฑ์ (NEW) (การแพทย์)'!D81</f>
        <v>3950</v>
      </c>
      <c r="D83" s="495">
        <f>+'ครุภัณฑ์ (NEW) (การแพทย์)'!C81</f>
        <v>2</v>
      </c>
      <c r="E83" s="1474">
        <f t="shared" si="1"/>
        <v>7900</v>
      </c>
      <c r="F83" s="699" t="s">
        <v>195</v>
      </c>
      <c r="G83" s="226" t="s">
        <v>8</v>
      </c>
      <c r="H83" s="699" t="s">
        <v>662</v>
      </c>
    </row>
    <row r="84" spans="1:8" s="205" customFormat="1" ht="20.100000000000001" customHeight="1">
      <c r="A84" s="699">
        <v>79</v>
      </c>
      <c r="B84" s="685" t="s">
        <v>488</v>
      </c>
      <c r="C84" s="1474">
        <f>+'ครุภัณฑ์ (NEW) (การแพทย์)'!D82</f>
        <v>3950</v>
      </c>
      <c r="D84" s="495">
        <f>+'ครุภัณฑ์ (NEW) (การแพทย์)'!C82</f>
        <v>2</v>
      </c>
      <c r="E84" s="1474">
        <f t="shared" si="1"/>
        <v>7900</v>
      </c>
      <c r="F84" s="699" t="s">
        <v>195</v>
      </c>
      <c r="G84" s="226" t="s">
        <v>8</v>
      </c>
      <c r="H84" s="699" t="s">
        <v>662</v>
      </c>
    </row>
    <row r="85" spans="1:8" s="205" customFormat="1" ht="20.100000000000001" customHeight="1">
      <c r="A85" s="699">
        <v>80</v>
      </c>
      <c r="B85" s="689" t="s">
        <v>478</v>
      </c>
      <c r="C85" s="1474">
        <f>+'ครุภัณฑ์ (NEW) (การแพทย์)'!D83</f>
        <v>4000</v>
      </c>
      <c r="D85" s="495">
        <f>+'ครุภัณฑ์ (NEW) (การแพทย์)'!C83</f>
        <v>1</v>
      </c>
      <c r="E85" s="1474">
        <f t="shared" si="1"/>
        <v>4000</v>
      </c>
      <c r="F85" s="699" t="s">
        <v>195</v>
      </c>
      <c r="G85" s="226" t="s">
        <v>8</v>
      </c>
      <c r="H85" s="699" t="s">
        <v>662</v>
      </c>
    </row>
    <row r="86" spans="1:8" s="205" customFormat="1" ht="42">
      <c r="A86" s="699">
        <v>81</v>
      </c>
      <c r="B86" s="2447" t="s">
        <v>2747</v>
      </c>
      <c r="C86" s="1474">
        <f>+'ครุภัณฑ์ (NEW) (การแพทย์)'!D84</f>
        <v>7500</v>
      </c>
      <c r="D86" s="495">
        <f>+'ครุภัณฑ์ (NEW) (การแพทย์)'!C84</f>
        <v>6</v>
      </c>
      <c r="E86" s="1474">
        <f t="shared" si="1"/>
        <v>45000</v>
      </c>
      <c r="F86" s="699" t="s">
        <v>195</v>
      </c>
      <c r="G86" s="226" t="s">
        <v>8</v>
      </c>
      <c r="H86" s="699" t="s">
        <v>662</v>
      </c>
    </row>
    <row r="87" spans="1:8" s="205" customFormat="1" ht="20.100000000000001" customHeight="1">
      <c r="A87" s="699">
        <v>82</v>
      </c>
      <c r="B87" s="390" t="s">
        <v>1325</v>
      </c>
      <c r="C87" s="1474">
        <f>+'ครุภัณฑ์ (NEW) (การแพทย์)'!D85</f>
        <v>2950</v>
      </c>
      <c r="D87" s="495">
        <f>+'ครุภัณฑ์ (NEW) (การแพทย์)'!C85</f>
        <v>6</v>
      </c>
      <c r="E87" s="1474">
        <f t="shared" si="1"/>
        <v>17700</v>
      </c>
      <c r="F87" s="699" t="s">
        <v>195</v>
      </c>
      <c r="G87" s="226" t="s">
        <v>8</v>
      </c>
      <c r="H87" s="699" t="s">
        <v>662</v>
      </c>
    </row>
    <row r="88" spans="1:8" s="205" customFormat="1" ht="20.100000000000001" customHeight="1">
      <c r="A88" s="699">
        <v>83</v>
      </c>
      <c r="B88" s="221" t="s">
        <v>1303</v>
      </c>
      <c r="C88" s="1474">
        <f>+'ครุภัณฑ์ (NEW) (การแพทย์)'!D86</f>
        <v>14400</v>
      </c>
      <c r="D88" s="495">
        <f>+'ครุภัณฑ์ (NEW) (การแพทย์)'!C86</f>
        <v>1</v>
      </c>
      <c r="E88" s="1474">
        <f t="shared" si="1"/>
        <v>14400</v>
      </c>
      <c r="F88" s="699" t="s">
        <v>195</v>
      </c>
      <c r="G88" s="226" t="s">
        <v>8</v>
      </c>
      <c r="H88" s="699" t="s">
        <v>662</v>
      </c>
    </row>
    <row r="89" spans="1:8" s="205" customFormat="1" ht="20.100000000000001" customHeight="1">
      <c r="A89" s="699">
        <v>84</v>
      </c>
      <c r="B89" s="390" t="s">
        <v>1331</v>
      </c>
      <c r="C89" s="1474">
        <f>+'ครุภัณฑ์ (NEW) (การแพทย์)'!D87</f>
        <v>6955</v>
      </c>
      <c r="D89" s="495">
        <f>+'ครุภัณฑ์ (NEW) (การแพทย์)'!C87</f>
        <v>1</v>
      </c>
      <c r="E89" s="1474">
        <f t="shared" si="1"/>
        <v>6955</v>
      </c>
      <c r="F89" s="699" t="s">
        <v>195</v>
      </c>
      <c r="G89" s="226" t="s">
        <v>8</v>
      </c>
      <c r="H89" s="699" t="s">
        <v>662</v>
      </c>
    </row>
    <row r="90" spans="1:8" s="205" customFormat="1" ht="21">
      <c r="A90" s="699">
        <v>85</v>
      </c>
      <c r="B90" s="478" t="s">
        <v>1337</v>
      </c>
      <c r="C90" s="1474">
        <f>+'ครุภัณฑ์ (NEW) (การแพทย์)'!D88</f>
        <v>7400</v>
      </c>
      <c r="D90" s="495">
        <f>+'ครุภัณฑ์ (NEW) (การแพทย์)'!C88</f>
        <v>1</v>
      </c>
      <c r="E90" s="1474">
        <f t="shared" si="1"/>
        <v>7400</v>
      </c>
      <c r="F90" s="699" t="s">
        <v>195</v>
      </c>
      <c r="G90" s="226" t="s">
        <v>8</v>
      </c>
      <c r="H90" s="699" t="s">
        <v>662</v>
      </c>
    </row>
    <row r="91" spans="1:8" s="205" customFormat="1" ht="21">
      <c r="A91" s="699">
        <v>86</v>
      </c>
      <c r="B91" s="251" t="s">
        <v>554</v>
      </c>
      <c r="C91" s="1474">
        <f>+'ครุภัณฑ์ (NEW) (การแพทย์)'!D89</f>
        <v>5100000</v>
      </c>
      <c r="D91" s="495">
        <f>+'ครุภัณฑ์ (NEW) (การแพทย์)'!C89</f>
        <v>1</v>
      </c>
      <c r="E91" s="1474">
        <f t="shared" si="1"/>
        <v>5100000</v>
      </c>
      <c r="F91" s="699" t="s">
        <v>195</v>
      </c>
      <c r="G91" s="226" t="s">
        <v>8</v>
      </c>
      <c r="H91" s="699" t="s">
        <v>662</v>
      </c>
    </row>
    <row r="92" spans="1:8" s="205" customFormat="1" ht="42">
      <c r="A92" s="699">
        <v>87</v>
      </c>
      <c r="B92" s="251" t="s">
        <v>555</v>
      </c>
      <c r="C92" s="1474">
        <f>+'ครุภัณฑ์ (NEW) (การแพทย์)'!D90</f>
        <v>2800000</v>
      </c>
      <c r="D92" s="495">
        <f>+'ครุภัณฑ์ (NEW) (การแพทย์)'!C90</f>
        <v>1</v>
      </c>
      <c r="E92" s="1474">
        <f t="shared" si="1"/>
        <v>2800000</v>
      </c>
      <c r="F92" s="699" t="s">
        <v>195</v>
      </c>
      <c r="G92" s="226" t="s">
        <v>8</v>
      </c>
      <c r="H92" s="699" t="s">
        <v>662</v>
      </c>
    </row>
    <row r="93" spans="1:8" s="205" customFormat="1" ht="21">
      <c r="A93" s="699">
        <v>88</v>
      </c>
      <c r="B93" s="251" t="s">
        <v>556</v>
      </c>
      <c r="C93" s="1474">
        <f>+'ครุภัณฑ์ (NEW) (การแพทย์)'!D91</f>
        <v>1400000</v>
      </c>
      <c r="D93" s="495">
        <f>+'ครุภัณฑ์ (NEW) (การแพทย์)'!C91</f>
        <v>1</v>
      </c>
      <c r="E93" s="1474">
        <f t="shared" si="1"/>
        <v>1400000</v>
      </c>
      <c r="F93" s="699" t="s">
        <v>195</v>
      </c>
      <c r="G93" s="226" t="s">
        <v>8</v>
      </c>
      <c r="H93" s="699" t="s">
        <v>662</v>
      </c>
    </row>
    <row r="94" spans="1:8" s="205" customFormat="1" ht="21">
      <c r="A94" s="699">
        <v>89</v>
      </c>
      <c r="B94" s="251" t="s">
        <v>557</v>
      </c>
      <c r="C94" s="1474">
        <f>+'ครุภัณฑ์ (NEW) (การแพทย์)'!D92</f>
        <v>500000</v>
      </c>
      <c r="D94" s="495">
        <f>+'ครุภัณฑ์ (NEW) (การแพทย์)'!C92</f>
        <v>2</v>
      </c>
      <c r="E94" s="1474">
        <f t="shared" si="1"/>
        <v>1000000</v>
      </c>
      <c r="F94" s="699" t="s">
        <v>195</v>
      </c>
      <c r="G94" s="226" t="s">
        <v>8</v>
      </c>
      <c r="H94" s="699" t="s">
        <v>662</v>
      </c>
    </row>
    <row r="95" spans="1:8" s="205" customFormat="1" ht="21">
      <c r="A95" s="699">
        <v>90</v>
      </c>
      <c r="B95" s="251" t="s">
        <v>558</v>
      </c>
      <c r="C95" s="1474">
        <f>+'ครุภัณฑ์ (NEW) (การแพทย์)'!D93</f>
        <v>370000</v>
      </c>
      <c r="D95" s="495">
        <f>+'ครุภัณฑ์ (NEW) (การแพทย์)'!C93</f>
        <v>2</v>
      </c>
      <c r="E95" s="1474">
        <f t="shared" si="1"/>
        <v>740000</v>
      </c>
      <c r="F95" s="699" t="s">
        <v>195</v>
      </c>
      <c r="G95" s="226" t="s">
        <v>8</v>
      </c>
      <c r="H95" s="699" t="s">
        <v>662</v>
      </c>
    </row>
    <row r="96" spans="1:8" s="205" customFormat="1" ht="20.100000000000001" customHeight="1">
      <c r="A96" s="699">
        <v>91</v>
      </c>
      <c r="B96" s="251" t="s">
        <v>1042</v>
      </c>
      <c r="C96" s="1474">
        <f>+'ครุภัณฑ์ (NEW) (การแพทย์)'!D94</f>
        <v>2200000</v>
      </c>
      <c r="D96" s="495">
        <f>+'ครุภัณฑ์ (NEW) (การแพทย์)'!C94</f>
        <v>1</v>
      </c>
      <c r="E96" s="1474">
        <f t="shared" si="1"/>
        <v>2200000</v>
      </c>
      <c r="F96" s="699" t="s">
        <v>195</v>
      </c>
      <c r="G96" s="226" t="s">
        <v>8</v>
      </c>
      <c r="H96" s="699" t="s">
        <v>662</v>
      </c>
    </row>
    <row r="97" spans="1:8" s="205" customFormat="1" ht="20.100000000000001" customHeight="1">
      <c r="A97" s="699">
        <v>92</v>
      </c>
      <c r="B97" s="251" t="s">
        <v>559</v>
      </c>
      <c r="C97" s="1474">
        <f>+'ครุภัณฑ์ (NEW) (การแพทย์)'!D95</f>
        <v>1800000</v>
      </c>
      <c r="D97" s="495">
        <f>+'ครุภัณฑ์ (NEW) (การแพทย์)'!C95</f>
        <v>1</v>
      </c>
      <c r="E97" s="1474">
        <f t="shared" si="1"/>
        <v>1800000</v>
      </c>
      <c r="F97" s="699" t="s">
        <v>195</v>
      </c>
      <c r="G97" s="226" t="s">
        <v>8</v>
      </c>
      <c r="H97" s="699" t="s">
        <v>662</v>
      </c>
    </row>
    <row r="98" spans="1:8" s="205" customFormat="1" ht="20.100000000000001" customHeight="1">
      <c r="A98" s="699">
        <v>93</v>
      </c>
      <c r="B98" s="251" t="s">
        <v>560</v>
      </c>
      <c r="C98" s="1474">
        <f>+'ครุภัณฑ์ (NEW) (การแพทย์)'!D96</f>
        <v>2000000</v>
      </c>
      <c r="D98" s="495">
        <f>+'ครุภัณฑ์ (NEW) (การแพทย์)'!C96</f>
        <v>1</v>
      </c>
      <c r="E98" s="1474">
        <f t="shared" si="1"/>
        <v>2000000</v>
      </c>
      <c r="F98" s="699" t="s">
        <v>195</v>
      </c>
      <c r="G98" s="226" t="s">
        <v>8</v>
      </c>
      <c r="H98" s="699" t="s">
        <v>662</v>
      </c>
    </row>
    <row r="99" spans="1:8" s="205" customFormat="1" ht="20.100000000000001" customHeight="1">
      <c r="A99" s="699">
        <v>94</v>
      </c>
      <c r="B99" s="251" t="s">
        <v>1032</v>
      </c>
      <c r="C99" s="1474">
        <f>+'ครุภัณฑ์ (NEW) (การแพทย์)'!D97</f>
        <v>890000</v>
      </c>
      <c r="D99" s="495">
        <f>+'ครุภัณฑ์ (NEW) (การแพทย์)'!C97</f>
        <v>1</v>
      </c>
      <c r="E99" s="1474">
        <f t="shared" si="1"/>
        <v>890000</v>
      </c>
      <c r="F99" s="699" t="s">
        <v>195</v>
      </c>
      <c r="G99" s="226" t="s">
        <v>8</v>
      </c>
      <c r="H99" s="699" t="s">
        <v>662</v>
      </c>
    </row>
    <row r="100" spans="1:8" s="205" customFormat="1" ht="20.100000000000001" customHeight="1">
      <c r="A100" s="699">
        <v>95</v>
      </c>
      <c r="B100" s="251" t="s">
        <v>1033</v>
      </c>
      <c r="C100" s="1474">
        <f>+'ครุภัณฑ์ (NEW) (การแพทย์)'!D98</f>
        <v>268000</v>
      </c>
      <c r="D100" s="495">
        <f>+'ครุภัณฑ์ (NEW) (การแพทย์)'!C98</f>
        <v>1</v>
      </c>
      <c r="E100" s="1474">
        <f t="shared" si="1"/>
        <v>268000</v>
      </c>
      <c r="F100" s="699" t="s">
        <v>195</v>
      </c>
      <c r="G100" s="226" t="s">
        <v>8</v>
      </c>
      <c r="H100" s="699" t="s">
        <v>662</v>
      </c>
    </row>
    <row r="101" spans="1:8" s="205" customFormat="1" ht="21">
      <c r="A101" s="699">
        <v>96</v>
      </c>
      <c r="B101" s="684" t="s">
        <v>1034</v>
      </c>
      <c r="C101" s="1474">
        <f>+'ครุภัณฑ์ (NEW) (การแพทย์)'!D99</f>
        <v>1832600</v>
      </c>
      <c r="D101" s="495">
        <f>+'ครุภัณฑ์ (NEW) (การแพทย์)'!C99</f>
        <v>1</v>
      </c>
      <c r="E101" s="1474">
        <f t="shared" si="1"/>
        <v>1832600</v>
      </c>
      <c r="F101" s="699" t="s">
        <v>195</v>
      </c>
      <c r="G101" s="226" t="s">
        <v>8</v>
      </c>
      <c r="H101" s="699" t="s">
        <v>662</v>
      </c>
    </row>
    <row r="102" spans="1:8" s="205" customFormat="1" ht="20.100000000000001" customHeight="1">
      <c r="A102" s="699">
        <v>97</v>
      </c>
      <c r="B102" s="498" t="s">
        <v>1507</v>
      </c>
      <c r="C102" s="1474">
        <f>+'ครุภัณฑ์ (NEW) (การแพทย์)'!D100</f>
        <v>498000</v>
      </c>
      <c r="D102" s="495">
        <f>+'ครุภัณฑ์ (NEW) (การแพทย์)'!C100</f>
        <v>1</v>
      </c>
      <c r="E102" s="1474">
        <f t="shared" si="1"/>
        <v>498000</v>
      </c>
      <c r="F102" s="699" t="s">
        <v>195</v>
      </c>
      <c r="G102" s="226" t="s">
        <v>8</v>
      </c>
      <c r="H102" s="699" t="s">
        <v>662</v>
      </c>
    </row>
    <row r="103" spans="1:8" s="205" customFormat="1" ht="21">
      <c r="A103" s="699">
        <v>98</v>
      </c>
      <c r="B103" s="305" t="s">
        <v>1578</v>
      </c>
      <c r="C103" s="1474">
        <f>+'ครุภัณฑ์ (NEW) (การแพทย์)'!D101</f>
        <v>8700</v>
      </c>
      <c r="D103" s="495">
        <f>+'ครุภัณฑ์ (NEW) (การแพทย์)'!C101</f>
        <v>10</v>
      </c>
      <c r="E103" s="1474">
        <f t="shared" si="1"/>
        <v>87000</v>
      </c>
      <c r="F103" s="699" t="s">
        <v>195</v>
      </c>
      <c r="G103" s="226" t="s">
        <v>8</v>
      </c>
      <c r="H103" s="699" t="s">
        <v>662</v>
      </c>
    </row>
    <row r="104" spans="1:8" s="205" customFormat="1" ht="20.100000000000001" customHeight="1">
      <c r="A104" s="699">
        <v>99</v>
      </c>
      <c r="B104" s="309" t="s">
        <v>1321</v>
      </c>
      <c r="C104" s="1474">
        <f>+'ครุภัณฑ์ (NEW) (การแพทย์)'!D102</f>
        <v>5400</v>
      </c>
      <c r="D104" s="495">
        <f>+'ครุภัณฑ์ (NEW) (การแพทย์)'!C102</f>
        <v>5</v>
      </c>
      <c r="E104" s="1474">
        <f t="shared" si="1"/>
        <v>27000</v>
      </c>
      <c r="F104" s="699" t="s">
        <v>195</v>
      </c>
      <c r="G104" s="226" t="s">
        <v>8</v>
      </c>
      <c r="H104" s="699" t="s">
        <v>662</v>
      </c>
    </row>
    <row r="105" spans="1:8" s="205" customFormat="1" ht="21">
      <c r="A105" s="699">
        <v>100</v>
      </c>
      <c r="B105" s="309" t="s">
        <v>1582</v>
      </c>
      <c r="C105" s="1474">
        <f>+'ครุภัณฑ์ (NEW) (การแพทย์)'!D103</f>
        <v>12700</v>
      </c>
      <c r="D105" s="495">
        <f>+'ครุภัณฑ์ (NEW) (การแพทย์)'!C103</f>
        <v>8</v>
      </c>
      <c r="E105" s="1474">
        <f t="shared" si="1"/>
        <v>101600</v>
      </c>
      <c r="F105" s="699" t="s">
        <v>195</v>
      </c>
      <c r="G105" s="226" t="s">
        <v>8</v>
      </c>
      <c r="H105" s="699" t="s">
        <v>662</v>
      </c>
    </row>
    <row r="106" spans="1:8" s="205" customFormat="1" ht="20.100000000000001" customHeight="1">
      <c r="A106" s="699">
        <v>101</v>
      </c>
      <c r="B106" s="312" t="s">
        <v>2483</v>
      </c>
      <c r="C106" s="1474">
        <f>+'ครุภัณฑ์ (NEW) (การแพทย์)'!D104</f>
        <v>7500</v>
      </c>
      <c r="D106" s="495">
        <f>+'ครุภัณฑ์ (NEW) (การแพทย์)'!C104</f>
        <v>8</v>
      </c>
      <c r="E106" s="1474">
        <f t="shared" si="1"/>
        <v>60000</v>
      </c>
      <c r="F106" s="699" t="s">
        <v>195</v>
      </c>
      <c r="G106" s="226" t="s">
        <v>8</v>
      </c>
      <c r="H106" s="699" t="s">
        <v>662</v>
      </c>
    </row>
    <row r="107" spans="1:8" s="205" customFormat="1" ht="21">
      <c r="A107" s="699">
        <v>102</v>
      </c>
      <c r="B107" s="305" t="s">
        <v>1585</v>
      </c>
      <c r="C107" s="1474">
        <f>+'ครุภัณฑ์ (NEW) (การแพทย์)'!D105</f>
        <v>9700</v>
      </c>
      <c r="D107" s="495">
        <f>+'ครุภัณฑ์ (NEW) (การแพทย์)'!C105</f>
        <v>4</v>
      </c>
      <c r="E107" s="1474">
        <f t="shared" si="1"/>
        <v>38800</v>
      </c>
      <c r="F107" s="699" t="s">
        <v>195</v>
      </c>
      <c r="G107" s="226" t="s">
        <v>8</v>
      </c>
      <c r="H107" s="699" t="s">
        <v>662</v>
      </c>
    </row>
    <row r="108" spans="1:8" s="205" customFormat="1" ht="20.100000000000001" customHeight="1">
      <c r="A108" s="699">
        <v>103</v>
      </c>
      <c r="B108" s="305" t="s">
        <v>1586</v>
      </c>
      <c r="C108" s="1474">
        <f>+'ครุภัณฑ์ (NEW) (การแพทย์)'!D106</f>
        <v>15000</v>
      </c>
      <c r="D108" s="495">
        <f>+'ครุภัณฑ์ (NEW) (การแพทย์)'!C106</f>
        <v>2</v>
      </c>
      <c r="E108" s="1474">
        <f t="shared" si="1"/>
        <v>30000</v>
      </c>
      <c r="F108" s="699" t="s">
        <v>195</v>
      </c>
      <c r="G108" s="226" t="s">
        <v>8</v>
      </c>
      <c r="H108" s="699" t="s">
        <v>662</v>
      </c>
    </row>
    <row r="109" spans="1:8" s="205" customFormat="1" ht="20.100000000000001" customHeight="1">
      <c r="A109" s="699">
        <v>104</v>
      </c>
      <c r="B109" s="305" t="s">
        <v>1588</v>
      </c>
      <c r="C109" s="1474">
        <f>+'ครุภัณฑ์ (NEW) (การแพทย์)'!D107</f>
        <v>7275</v>
      </c>
      <c r="D109" s="495">
        <f>+'ครุภัณฑ์ (NEW) (การแพทย์)'!C107</f>
        <v>6</v>
      </c>
      <c r="E109" s="1474">
        <f t="shared" si="1"/>
        <v>43650</v>
      </c>
      <c r="F109" s="699" t="s">
        <v>195</v>
      </c>
      <c r="G109" s="226" t="s">
        <v>8</v>
      </c>
      <c r="H109" s="699" t="s">
        <v>662</v>
      </c>
    </row>
    <row r="110" spans="1:8" s="205" customFormat="1" ht="20.100000000000001" customHeight="1">
      <c r="A110" s="699">
        <v>105</v>
      </c>
      <c r="B110" s="305" t="s">
        <v>1589</v>
      </c>
      <c r="C110" s="1474">
        <f>+'ครุภัณฑ์ (NEW) (การแพทย์)'!D108</f>
        <v>18000</v>
      </c>
      <c r="D110" s="495">
        <f>+'ครุภัณฑ์ (NEW) (การแพทย์)'!C108</f>
        <v>1</v>
      </c>
      <c r="E110" s="1474">
        <f t="shared" si="1"/>
        <v>18000</v>
      </c>
      <c r="F110" s="699" t="s">
        <v>195</v>
      </c>
      <c r="G110" s="226" t="s">
        <v>8</v>
      </c>
      <c r="H110" s="699" t="s">
        <v>662</v>
      </c>
    </row>
    <row r="111" spans="1:8" s="205" customFormat="1" ht="20.100000000000001" customHeight="1">
      <c r="A111" s="699">
        <v>106</v>
      </c>
      <c r="B111" s="305" t="s">
        <v>1590</v>
      </c>
      <c r="C111" s="1474">
        <f>+'ครุภัณฑ์ (NEW) (การแพทย์)'!D109</f>
        <v>35000</v>
      </c>
      <c r="D111" s="495">
        <f>+'ครุภัณฑ์ (NEW) (การแพทย์)'!C109</f>
        <v>1</v>
      </c>
      <c r="E111" s="1474">
        <f t="shared" si="1"/>
        <v>35000</v>
      </c>
      <c r="F111" s="699" t="s">
        <v>195</v>
      </c>
      <c r="G111" s="226" t="s">
        <v>8</v>
      </c>
      <c r="H111" s="699" t="s">
        <v>662</v>
      </c>
    </row>
    <row r="112" spans="1:8" s="205" customFormat="1" ht="20.100000000000001" customHeight="1">
      <c r="A112" s="699">
        <v>107</v>
      </c>
      <c r="B112" s="305" t="s">
        <v>1591</v>
      </c>
      <c r="C112" s="1474">
        <f>+'ครุภัณฑ์ (NEW) (การแพทย์)'!D110</f>
        <v>35000</v>
      </c>
      <c r="D112" s="495">
        <f>+'ครุภัณฑ์ (NEW) (การแพทย์)'!C110</f>
        <v>5</v>
      </c>
      <c r="E112" s="1474">
        <f t="shared" si="1"/>
        <v>175000</v>
      </c>
      <c r="F112" s="699" t="s">
        <v>195</v>
      </c>
      <c r="G112" s="226" t="s">
        <v>8</v>
      </c>
      <c r="H112" s="699" t="s">
        <v>662</v>
      </c>
    </row>
    <row r="113" spans="1:8" s="205" customFormat="1" ht="20.100000000000001" customHeight="1">
      <c r="A113" s="699">
        <v>108</v>
      </c>
      <c r="B113" s="305" t="s">
        <v>1593</v>
      </c>
      <c r="C113" s="1474">
        <f>+'ครุภัณฑ์ (NEW) (การแพทย์)'!D111</f>
        <v>7566</v>
      </c>
      <c r="D113" s="495">
        <f>+'ครุภัณฑ์ (NEW) (การแพทย์)'!C111</f>
        <v>8</v>
      </c>
      <c r="E113" s="1474">
        <f t="shared" si="1"/>
        <v>60528</v>
      </c>
      <c r="F113" s="699" t="s">
        <v>195</v>
      </c>
      <c r="G113" s="226" t="s">
        <v>8</v>
      </c>
      <c r="H113" s="699" t="s">
        <v>662</v>
      </c>
    </row>
    <row r="114" spans="1:8" s="205" customFormat="1" ht="20.100000000000001" customHeight="1">
      <c r="A114" s="699">
        <v>109</v>
      </c>
      <c r="B114" s="305" t="s">
        <v>1594</v>
      </c>
      <c r="C114" s="1474">
        <f>+'ครุภัณฑ์ (NEW) (การแพทย์)'!D112</f>
        <v>16000</v>
      </c>
      <c r="D114" s="495">
        <f>+'ครุภัณฑ์ (NEW) (การแพทย์)'!C112</f>
        <v>2</v>
      </c>
      <c r="E114" s="1474">
        <f t="shared" si="1"/>
        <v>32000</v>
      </c>
      <c r="F114" s="699" t="s">
        <v>195</v>
      </c>
      <c r="G114" s="226" t="s">
        <v>8</v>
      </c>
      <c r="H114" s="699" t="s">
        <v>662</v>
      </c>
    </row>
    <row r="115" spans="1:8" s="205" customFormat="1" ht="20.100000000000001" customHeight="1">
      <c r="A115" s="699">
        <v>110</v>
      </c>
      <c r="B115" s="305" t="s">
        <v>1595</v>
      </c>
      <c r="C115" s="1474">
        <f>+'ครุภัณฑ์ (NEW) (การแพทย์)'!D113</f>
        <v>28000</v>
      </c>
      <c r="D115" s="495">
        <f>+'ครุภัณฑ์ (NEW) (การแพทย์)'!C113</f>
        <v>2</v>
      </c>
      <c r="E115" s="1474">
        <f t="shared" si="1"/>
        <v>56000</v>
      </c>
      <c r="F115" s="699" t="s">
        <v>195</v>
      </c>
      <c r="G115" s="226" t="s">
        <v>8</v>
      </c>
      <c r="H115" s="699" t="s">
        <v>662</v>
      </c>
    </row>
    <row r="116" spans="1:8" s="205" customFormat="1" ht="20.100000000000001" customHeight="1">
      <c r="A116" s="699">
        <v>111</v>
      </c>
      <c r="B116" s="305" t="s">
        <v>1596</v>
      </c>
      <c r="C116" s="1474">
        <f>+'ครุภัณฑ์ (NEW) (การแพทย์)'!D114</f>
        <v>6300</v>
      </c>
      <c r="D116" s="495">
        <f>+'ครุภัณฑ์ (NEW) (การแพทย์)'!C114</f>
        <v>4</v>
      </c>
      <c r="E116" s="1474">
        <f t="shared" si="1"/>
        <v>25200</v>
      </c>
      <c r="F116" s="699" t="s">
        <v>195</v>
      </c>
      <c r="G116" s="226" t="s">
        <v>8</v>
      </c>
      <c r="H116" s="699" t="s">
        <v>662</v>
      </c>
    </row>
    <row r="117" spans="1:8" s="205" customFormat="1" ht="20.100000000000001" customHeight="1">
      <c r="A117" s="699">
        <v>112</v>
      </c>
      <c r="B117" s="305" t="s">
        <v>1597</v>
      </c>
      <c r="C117" s="1474">
        <f>+'ครุภัณฑ์ (NEW) (การแพทย์)'!D115</f>
        <v>45000</v>
      </c>
      <c r="D117" s="495">
        <f>+'ครุภัณฑ์ (NEW) (การแพทย์)'!C115</f>
        <v>2</v>
      </c>
      <c r="E117" s="1474">
        <f t="shared" si="1"/>
        <v>90000</v>
      </c>
      <c r="F117" s="699" t="s">
        <v>195</v>
      </c>
      <c r="G117" s="226" t="s">
        <v>8</v>
      </c>
      <c r="H117" s="699" t="s">
        <v>662</v>
      </c>
    </row>
    <row r="118" spans="1:8" s="205" customFormat="1" ht="20.100000000000001" customHeight="1">
      <c r="A118" s="699">
        <v>113</v>
      </c>
      <c r="B118" s="305" t="s">
        <v>1598</v>
      </c>
      <c r="C118" s="1474">
        <f>+'ครุภัณฑ์ (NEW) (การแพทย์)'!D116</f>
        <v>260000</v>
      </c>
      <c r="D118" s="495">
        <f>+'ครุภัณฑ์ (NEW) (การแพทย์)'!C116</f>
        <v>1</v>
      </c>
      <c r="E118" s="1474">
        <f t="shared" si="1"/>
        <v>260000</v>
      </c>
      <c r="F118" s="699" t="s">
        <v>195</v>
      </c>
      <c r="G118" s="226" t="s">
        <v>8</v>
      </c>
      <c r="H118" s="699" t="s">
        <v>662</v>
      </c>
    </row>
    <row r="119" spans="1:8" s="205" customFormat="1" ht="20.100000000000001" customHeight="1">
      <c r="A119" s="699">
        <v>114</v>
      </c>
      <c r="B119" s="305" t="s">
        <v>1599</v>
      </c>
      <c r="C119" s="1474">
        <f>+'ครุภัณฑ์ (NEW) (การแพทย์)'!D117</f>
        <v>110000</v>
      </c>
      <c r="D119" s="495">
        <f>+'ครุภัณฑ์ (NEW) (การแพทย์)'!C117</f>
        <v>18</v>
      </c>
      <c r="E119" s="1474">
        <f t="shared" si="1"/>
        <v>1980000</v>
      </c>
      <c r="F119" s="699" t="s">
        <v>195</v>
      </c>
      <c r="G119" s="226" t="s">
        <v>8</v>
      </c>
      <c r="H119" s="699" t="s">
        <v>662</v>
      </c>
    </row>
    <row r="120" spans="1:8" s="205" customFormat="1" ht="20.100000000000001" customHeight="1">
      <c r="A120" s="699">
        <v>115</v>
      </c>
      <c r="B120" s="305" t="s">
        <v>1600</v>
      </c>
      <c r="C120" s="1474">
        <f>+'ครุภัณฑ์ (NEW) (การแพทย์)'!D118</f>
        <v>2619</v>
      </c>
      <c r="D120" s="495">
        <f>+'ครุภัณฑ์ (NEW) (การแพทย์)'!C118</f>
        <v>7</v>
      </c>
      <c r="E120" s="1474">
        <f t="shared" si="1"/>
        <v>18333</v>
      </c>
      <c r="F120" s="699" t="s">
        <v>195</v>
      </c>
      <c r="G120" s="226" t="s">
        <v>8</v>
      </c>
      <c r="H120" s="699" t="s">
        <v>662</v>
      </c>
    </row>
    <row r="121" spans="1:8" s="205" customFormat="1" ht="20.100000000000001" customHeight="1">
      <c r="A121" s="699">
        <v>116</v>
      </c>
      <c r="B121" s="305" t="s">
        <v>1603</v>
      </c>
      <c r="C121" s="1474">
        <f>+'ครุภัณฑ์ (NEW) (การแพทย์)'!D119</f>
        <v>3910850</v>
      </c>
      <c r="D121" s="495">
        <f>+'ครุภัณฑ์ (NEW) (การแพทย์)'!C119</f>
        <v>1</v>
      </c>
      <c r="E121" s="1474">
        <f t="shared" si="1"/>
        <v>3910850</v>
      </c>
      <c r="F121" s="699" t="s">
        <v>195</v>
      </c>
      <c r="G121" s="226" t="s">
        <v>8</v>
      </c>
      <c r="H121" s="699" t="s">
        <v>662</v>
      </c>
    </row>
    <row r="122" spans="1:8" s="205" customFormat="1" ht="20.100000000000001" customHeight="1">
      <c r="A122" s="699">
        <v>117</v>
      </c>
      <c r="B122" s="297" t="s">
        <v>1604</v>
      </c>
      <c r="C122" s="1474">
        <f>+'ครุภัณฑ์ (NEW) (การแพทย์)'!D120</f>
        <v>99000</v>
      </c>
      <c r="D122" s="495">
        <f>+'ครุภัณฑ์ (NEW) (การแพทย์)'!C120</f>
        <v>1</v>
      </c>
      <c r="E122" s="1474">
        <f t="shared" si="1"/>
        <v>99000</v>
      </c>
      <c r="F122" s="699" t="s">
        <v>195</v>
      </c>
      <c r="G122" s="226" t="s">
        <v>8</v>
      </c>
      <c r="H122" s="699" t="s">
        <v>662</v>
      </c>
    </row>
    <row r="123" spans="1:8" s="205" customFormat="1" ht="20.100000000000001" customHeight="1">
      <c r="A123" s="699">
        <v>118</v>
      </c>
      <c r="B123" s="297" t="s">
        <v>1605</v>
      </c>
      <c r="C123" s="1474">
        <f>+'ครุภัณฑ์ (NEW) (การแพทย์)'!D121</f>
        <v>15000</v>
      </c>
      <c r="D123" s="495">
        <f>+'ครุภัณฑ์ (NEW) (การแพทย์)'!C121</f>
        <v>6</v>
      </c>
      <c r="E123" s="1474">
        <f t="shared" si="1"/>
        <v>90000</v>
      </c>
      <c r="F123" s="699" t="s">
        <v>195</v>
      </c>
      <c r="G123" s="226" t="s">
        <v>8</v>
      </c>
      <c r="H123" s="699" t="s">
        <v>662</v>
      </c>
    </row>
    <row r="124" spans="1:8" s="205" customFormat="1" ht="20.100000000000001" customHeight="1">
      <c r="A124" s="699">
        <v>119</v>
      </c>
      <c r="B124" s="297" t="s">
        <v>1606</v>
      </c>
      <c r="C124" s="1474">
        <f>+'ครุภัณฑ์ (NEW) (การแพทย์)'!D122</f>
        <v>24600</v>
      </c>
      <c r="D124" s="495">
        <f>+'ครุภัณฑ์ (NEW) (การแพทย์)'!C122</f>
        <v>1</v>
      </c>
      <c r="E124" s="1474">
        <f t="shared" si="1"/>
        <v>24600</v>
      </c>
      <c r="F124" s="699" t="s">
        <v>195</v>
      </c>
      <c r="G124" s="226" t="s">
        <v>8</v>
      </c>
      <c r="H124" s="699" t="s">
        <v>662</v>
      </c>
    </row>
    <row r="125" spans="1:8" s="205" customFormat="1" ht="20.100000000000001" customHeight="1">
      <c r="A125" s="699">
        <v>120</v>
      </c>
      <c r="B125" s="297" t="s">
        <v>1607</v>
      </c>
      <c r="C125" s="1474">
        <f>+'ครุภัณฑ์ (NEW) (การแพทย์)'!D123</f>
        <v>8600</v>
      </c>
      <c r="D125" s="495">
        <f>+'ครุภัณฑ์ (NEW) (การแพทย์)'!C123</f>
        <v>1</v>
      </c>
      <c r="E125" s="1474">
        <f t="shared" si="1"/>
        <v>8600</v>
      </c>
      <c r="F125" s="699" t="s">
        <v>195</v>
      </c>
      <c r="G125" s="226" t="s">
        <v>8</v>
      </c>
      <c r="H125" s="699" t="s">
        <v>662</v>
      </c>
    </row>
    <row r="126" spans="1:8" s="205" customFormat="1" ht="20.100000000000001" customHeight="1">
      <c r="A126" s="699">
        <v>121</v>
      </c>
      <c r="B126" s="297" t="s">
        <v>1608</v>
      </c>
      <c r="C126" s="1474">
        <f>+'ครุภัณฑ์ (NEW) (การแพทย์)'!D124</f>
        <v>6000</v>
      </c>
      <c r="D126" s="495">
        <f>+'ครุภัณฑ์ (NEW) (การแพทย์)'!C124</f>
        <v>3</v>
      </c>
      <c r="E126" s="1474">
        <f t="shared" si="1"/>
        <v>18000</v>
      </c>
      <c r="F126" s="699" t="s">
        <v>195</v>
      </c>
      <c r="G126" s="226" t="s">
        <v>8</v>
      </c>
      <c r="H126" s="699" t="s">
        <v>662</v>
      </c>
    </row>
    <row r="127" spans="1:8" s="205" customFormat="1" ht="20.100000000000001" customHeight="1">
      <c r="A127" s="699">
        <v>122</v>
      </c>
      <c r="B127" s="297" t="s">
        <v>1609</v>
      </c>
      <c r="C127" s="1474">
        <f>+'ครุภัณฑ์ (NEW) (การแพทย์)'!D125</f>
        <v>2000</v>
      </c>
      <c r="D127" s="495">
        <f>+'ครุภัณฑ์ (NEW) (การแพทย์)'!C125</f>
        <v>8</v>
      </c>
      <c r="E127" s="1474">
        <f t="shared" si="1"/>
        <v>16000</v>
      </c>
      <c r="F127" s="699" t="s">
        <v>195</v>
      </c>
      <c r="G127" s="226" t="s">
        <v>8</v>
      </c>
      <c r="H127" s="699" t="s">
        <v>662</v>
      </c>
    </row>
    <row r="128" spans="1:8" s="205" customFormat="1" ht="20.100000000000001" customHeight="1">
      <c r="A128" s="699">
        <v>123</v>
      </c>
      <c r="B128" s="297" t="s">
        <v>1577</v>
      </c>
      <c r="C128" s="1474">
        <f>+'ครุภัณฑ์ (NEW) (การแพทย์)'!D126</f>
        <v>500000</v>
      </c>
      <c r="D128" s="495">
        <f>+'ครุภัณฑ์ (NEW) (การแพทย์)'!C126</f>
        <v>1</v>
      </c>
      <c r="E128" s="1474">
        <f t="shared" si="1"/>
        <v>500000</v>
      </c>
      <c r="F128" s="699" t="s">
        <v>195</v>
      </c>
      <c r="G128" s="226" t="s">
        <v>8</v>
      </c>
      <c r="H128" s="699" t="s">
        <v>662</v>
      </c>
    </row>
    <row r="129" spans="1:8" s="205" customFormat="1" ht="20.100000000000001" customHeight="1">
      <c r="A129" s="699">
        <v>124</v>
      </c>
      <c r="B129" s="478" t="s">
        <v>1745</v>
      </c>
      <c r="C129" s="1474">
        <f>+'ครุภัณฑ์ (NEW) (การแพทย์)'!D127</f>
        <v>3800000</v>
      </c>
      <c r="D129" s="495">
        <f>+'ครุภัณฑ์ (NEW) (การแพทย์)'!C127</f>
        <v>1</v>
      </c>
      <c r="E129" s="1474">
        <f t="shared" si="1"/>
        <v>3800000</v>
      </c>
      <c r="F129" s="699" t="s">
        <v>195</v>
      </c>
      <c r="G129" s="226" t="s">
        <v>8</v>
      </c>
      <c r="H129" s="699" t="s">
        <v>662</v>
      </c>
    </row>
    <row r="130" spans="1:8" s="205" customFormat="1" ht="20.100000000000001" customHeight="1">
      <c r="A130" s="699">
        <v>125</v>
      </c>
      <c r="B130" s="478" t="s">
        <v>1746</v>
      </c>
      <c r="C130" s="1474">
        <f>+'ครุภัณฑ์ (NEW) (การแพทย์)'!D128</f>
        <v>202658</v>
      </c>
      <c r="D130" s="495">
        <f>+'ครุภัณฑ์ (NEW) (การแพทย์)'!C128</f>
        <v>1</v>
      </c>
      <c r="E130" s="1474">
        <f t="shared" si="1"/>
        <v>202658</v>
      </c>
      <c r="F130" s="699" t="s">
        <v>195</v>
      </c>
      <c r="G130" s="226" t="s">
        <v>8</v>
      </c>
      <c r="H130" s="699" t="s">
        <v>662</v>
      </c>
    </row>
    <row r="131" spans="1:8" s="205" customFormat="1" ht="20.100000000000001" customHeight="1">
      <c r="A131" s="699">
        <v>126</v>
      </c>
      <c r="B131" s="478" t="s">
        <v>200</v>
      </c>
      <c r="C131" s="1474">
        <f>+'ครุภัณฑ์ (NEW) (การแพทย์)'!D129</f>
        <v>120000</v>
      </c>
      <c r="D131" s="495">
        <f>+'ครุภัณฑ์ (NEW) (การแพทย์)'!C129</f>
        <v>1</v>
      </c>
      <c r="E131" s="1474">
        <f t="shared" si="1"/>
        <v>120000</v>
      </c>
      <c r="F131" s="699" t="s">
        <v>195</v>
      </c>
      <c r="G131" s="226" t="s">
        <v>8</v>
      </c>
      <c r="H131" s="699" t="s">
        <v>662</v>
      </c>
    </row>
    <row r="132" spans="1:8" s="205" customFormat="1" ht="20.100000000000001" customHeight="1">
      <c r="A132" s="699">
        <v>127</v>
      </c>
      <c r="B132" s="478" t="s">
        <v>1750</v>
      </c>
      <c r="C132" s="1474">
        <f>+'ครุภัณฑ์ (NEW) (การแพทย์)'!D130</f>
        <v>160000</v>
      </c>
      <c r="D132" s="495">
        <f>+'ครุภัณฑ์ (NEW) (การแพทย์)'!C130</f>
        <v>2</v>
      </c>
      <c r="E132" s="1474">
        <f t="shared" si="1"/>
        <v>320000</v>
      </c>
      <c r="F132" s="699" t="s">
        <v>195</v>
      </c>
      <c r="G132" s="226" t="s">
        <v>8</v>
      </c>
      <c r="H132" s="699" t="s">
        <v>662</v>
      </c>
    </row>
    <row r="133" spans="1:8" s="205" customFormat="1" ht="20.100000000000001" customHeight="1">
      <c r="A133" s="699">
        <v>128</v>
      </c>
      <c r="B133" s="478" t="s">
        <v>1755</v>
      </c>
      <c r="C133" s="1474">
        <f>+'ครุภัณฑ์ (NEW) (การแพทย์)'!D131</f>
        <v>15000</v>
      </c>
      <c r="D133" s="495">
        <f>+'ครุภัณฑ์ (NEW) (การแพทย์)'!C131</f>
        <v>1</v>
      </c>
      <c r="E133" s="1474">
        <f t="shared" si="1"/>
        <v>15000</v>
      </c>
      <c r="F133" s="699" t="s">
        <v>195</v>
      </c>
      <c r="G133" s="226" t="s">
        <v>8</v>
      </c>
      <c r="H133" s="699" t="s">
        <v>662</v>
      </c>
    </row>
    <row r="134" spans="1:8" s="205" customFormat="1" ht="20.100000000000001" customHeight="1">
      <c r="A134" s="699">
        <v>129</v>
      </c>
      <c r="B134" s="478" t="s">
        <v>1756</v>
      </c>
      <c r="C134" s="1474">
        <f>+'ครุภัณฑ์ (NEW) (การแพทย์)'!D132</f>
        <v>30000</v>
      </c>
      <c r="D134" s="495">
        <f>+'ครุภัณฑ์ (NEW) (การแพทย์)'!C132</f>
        <v>1</v>
      </c>
      <c r="E134" s="1474">
        <f t="shared" si="1"/>
        <v>30000</v>
      </c>
      <c r="F134" s="699" t="s">
        <v>195</v>
      </c>
      <c r="G134" s="226" t="s">
        <v>8</v>
      </c>
      <c r="H134" s="699" t="s">
        <v>662</v>
      </c>
    </row>
    <row r="135" spans="1:8" s="205" customFormat="1" ht="20.100000000000001" customHeight="1">
      <c r="A135" s="699">
        <v>130</v>
      </c>
      <c r="B135" s="478" t="s">
        <v>1757</v>
      </c>
      <c r="C135" s="1474">
        <f>+'ครุภัณฑ์ (NEW) (การแพทย์)'!D133</f>
        <v>40000</v>
      </c>
      <c r="D135" s="495">
        <f>+'ครุภัณฑ์ (NEW) (การแพทย์)'!C133</f>
        <v>2</v>
      </c>
      <c r="E135" s="1474">
        <f t="shared" ref="E135:E198" si="2">+C135*D135</f>
        <v>80000</v>
      </c>
      <c r="F135" s="699" t="s">
        <v>195</v>
      </c>
      <c r="G135" s="226" t="s">
        <v>8</v>
      </c>
      <c r="H135" s="699" t="s">
        <v>662</v>
      </c>
    </row>
    <row r="136" spans="1:8" s="205" customFormat="1" ht="20.100000000000001" customHeight="1">
      <c r="A136" s="699">
        <v>131</v>
      </c>
      <c r="B136" s="478" t="s">
        <v>1759</v>
      </c>
      <c r="C136" s="1474">
        <f>+'ครุภัณฑ์ (NEW) (การแพทย์)'!D134</f>
        <v>260000</v>
      </c>
      <c r="D136" s="495">
        <f>+'ครุภัณฑ์ (NEW) (การแพทย์)'!C134</f>
        <v>2</v>
      </c>
      <c r="E136" s="1474">
        <f t="shared" si="2"/>
        <v>520000</v>
      </c>
      <c r="F136" s="699" t="s">
        <v>195</v>
      </c>
      <c r="G136" s="226" t="s">
        <v>8</v>
      </c>
      <c r="H136" s="699" t="s">
        <v>662</v>
      </c>
    </row>
    <row r="137" spans="1:8" s="205" customFormat="1" ht="20.100000000000001" customHeight="1">
      <c r="A137" s="699">
        <v>132</v>
      </c>
      <c r="B137" s="478" t="s">
        <v>1760</v>
      </c>
      <c r="C137" s="1474">
        <f>+'ครุภัณฑ์ (NEW) (การแพทย์)'!D135</f>
        <v>45000</v>
      </c>
      <c r="D137" s="495">
        <f>+'ครุภัณฑ์ (NEW) (การแพทย์)'!C135</f>
        <v>1</v>
      </c>
      <c r="E137" s="1474">
        <f t="shared" si="2"/>
        <v>45000</v>
      </c>
      <c r="F137" s="699" t="s">
        <v>195</v>
      </c>
      <c r="G137" s="226" t="s">
        <v>8</v>
      </c>
      <c r="H137" s="699" t="s">
        <v>662</v>
      </c>
    </row>
    <row r="138" spans="1:8" s="205" customFormat="1" ht="20.100000000000001" customHeight="1">
      <c r="A138" s="699">
        <v>133</v>
      </c>
      <c r="B138" s="478" t="s">
        <v>803</v>
      </c>
      <c r="C138" s="1474">
        <f>+'ครุภัณฑ์ (NEW) (การแพทย์)'!D136</f>
        <v>305000</v>
      </c>
      <c r="D138" s="495">
        <f>+'ครุภัณฑ์ (NEW) (การแพทย์)'!C136</f>
        <v>1</v>
      </c>
      <c r="E138" s="1474">
        <f t="shared" si="2"/>
        <v>305000</v>
      </c>
      <c r="F138" s="699" t="s">
        <v>195</v>
      </c>
      <c r="G138" s="226" t="s">
        <v>8</v>
      </c>
      <c r="H138" s="699" t="s">
        <v>662</v>
      </c>
    </row>
    <row r="139" spans="1:8" s="205" customFormat="1" ht="20.100000000000001" customHeight="1">
      <c r="A139" s="699">
        <v>134</v>
      </c>
      <c r="B139" s="478" t="s">
        <v>1762</v>
      </c>
      <c r="C139" s="1474">
        <f>+'ครุภัณฑ์ (NEW) (การแพทย์)'!D137</f>
        <v>3638</v>
      </c>
      <c r="D139" s="495">
        <f>+'ครุภัณฑ์ (NEW) (การแพทย์)'!C137</f>
        <v>7</v>
      </c>
      <c r="E139" s="1474">
        <f t="shared" si="2"/>
        <v>25466</v>
      </c>
      <c r="F139" s="699" t="s">
        <v>195</v>
      </c>
      <c r="G139" s="226" t="s">
        <v>8</v>
      </c>
      <c r="H139" s="699" t="s">
        <v>662</v>
      </c>
    </row>
    <row r="140" spans="1:8" s="205" customFormat="1" ht="20.100000000000001" customHeight="1">
      <c r="A140" s="699">
        <v>135</v>
      </c>
      <c r="B140" s="478" t="s">
        <v>556</v>
      </c>
      <c r="C140" s="1474">
        <f>+'ครุภัณฑ์ (NEW) (การแพทย์)'!D138</f>
        <v>150000</v>
      </c>
      <c r="D140" s="495">
        <f>+'ครุภัณฑ์ (NEW) (การแพทย์)'!C138</f>
        <v>3</v>
      </c>
      <c r="E140" s="1474">
        <f t="shared" si="2"/>
        <v>450000</v>
      </c>
      <c r="F140" s="699" t="s">
        <v>195</v>
      </c>
      <c r="G140" s="226" t="s">
        <v>8</v>
      </c>
      <c r="H140" s="699" t="s">
        <v>662</v>
      </c>
    </row>
    <row r="141" spans="1:8" s="205" customFormat="1" ht="42">
      <c r="A141" s="699">
        <v>136</v>
      </c>
      <c r="B141" s="391" t="s">
        <v>2602</v>
      </c>
      <c r="C141" s="1474">
        <f>+'ครุภัณฑ์ (NEW) (การแพทย์)'!D139</f>
        <v>39000</v>
      </c>
      <c r="D141" s="495">
        <f>+'ครุภัณฑ์ (NEW) (การแพทย์)'!C139</f>
        <v>4</v>
      </c>
      <c r="E141" s="1474">
        <f t="shared" si="2"/>
        <v>156000</v>
      </c>
      <c r="F141" s="699" t="s">
        <v>195</v>
      </c>
      <c r="G141" s="226" t="s">
        <v>8</v>
      </c>
      <c r="H141" s="699" t="s">
        <v>662</v>
      </c>
    </row>
    <row r="142" spans="1:8" s="205" customFormat="1" ht="20.100000000000001" customHeight="1">
      <c r="A142" s="699">
        <v>137</v>
      </c>
      <c r="B142" s="478" t="s">
        <v>1764</v>
      </c>
      <c r="C142" s="1474">
        <f>+'ครุภัณฑ์ (NEW) (การแพทย์)'!D140</f>
        <v>39000</v>
      </c>
      <c r="D142" s="495">
        <f>+'ครุภัณฑ์ (NEW) (การแพทย์)'!C140</f>
        <v>4</v>
      </c>
      <c r="E142" s="1474">
        <f t="shared" si="2"/>
        <v>156000</v>
      </c>
      <c r="F142" s="699" t="s">
        <v>195</v>
      </c>
      <c r="G142" s="226" t="s">
        <v>8</v>
      </c>
      <c r="H142" s="699" t="s">
        <v>662</v>
      </c>
    </row>
    <row r="143" spans="1:8" s="205" customFormat="1" ht="20.100000000000001" customHeight="1">
      <c r="A143" s="699">
        <v>138</v>
      </c>
      <c r="B143" s="478" t="s">
        <v>1765</v>
      </c>
      <c r="C143" s="1474"/>
      <c r="D143" s="495">
        <f>+'ครุภัณฑ์ (NEW) (การแพทย์)'!C141</f>
        <v>7</v>
      </c>
      <c r="E143" s="1474">
        <f>+'ครุภัณฑ์ (NEW) (การแพทย์)'!E141</f>
        <v>44000</v>
      </c>
      <c r="F143" s="699" t="s">
        <v>195</v>
      </c>
      <c r="G143" s="226" t="s">
        <v>8</v>
      </c>
      <c r="H143" s="699" t="s">
        <v>662</v>
      </c>
    </row>
    <row r="144" spans="1:8" s="205" customFormat="1" ht="20.100000000000001" customHeight="1">
      <c r="A144" s="699">
        <v>139</v>
      </c>
      <c r="B144" s="478" t="s">
        <v>1766</v>
      </c>
      <c r="C144" s="1474">
        <f>+'ครุภัณฑ์ (NEW) (การแพทย์)'!D142</f>
        <v>17500</v>
      </c>
      <c r="D144" s="495">
        <f>+'ครุภัณฑ์ (NEW) (การแพทย์)'!C142</f>
        <v>8</v>
      </c>
      <c r="E144" s="1474">
        <f t="shared" si="2"/>
        <v>140000</v>
      </c>
      <c r="F144" s="699" t="s">
        <v>195</v>
      </c>
      <c r="G144" s="226" t="s">
        <v>8</v>
      </c>
      <c r="H144" s="699" t="s">
        <v>662</v>
      </c>
    </row>
    <row r="145" spans="1:8" s="205" customFormat="1" ht="20.100000000000001" customHeight="1">
      <c r="A145" s="699">
        <v>140</v>
      </c>
      <c r="B145" s="478" t="s">
        <v>1767</v>
      </c>
      <c r="C145" s="1474">
        <f>+'ครุภัณฑ์ (NEW) (การแพทย์)'!D143</f>
        <v>0</v>
      </c>
      <c r="D145" s="495">
        <f>+'ครุภัณฑ์ (NEW) (การแพทย์)'!C143</f>
        <v>11</v>
      </c>
      <c r="E145" s="1474">
        <f>+'ครุภัณฑ์ (NEW) (การแพทย์)'!E143</f>
        <v>28700</v>
      </c>
      <c r="F145" s="699" t="s">
        <v>195</v>
      </c>
      <c r="G145" s="226" t="s">
        <v>8</v>
      </c>
      <c r="H145" s="699" t="s">
        <v>662</v>
      </c>
    </row>
    <row r="146" spans="1:8" s="205" customFormat="1" ht="20.100000000000001" customHeight="1">
      <c r="A146" s="699">
        <v>141</v>
      </c>
      <c r="B146" s="478" t="s">
        <v>1077</v>
      </c>
      <c r="C146" s="1474">
        <f>+'ครุภัณฑ์ (NEW) (การแพทย์)'!D144</f>
        <v>1000</v>
      </c>
      <c r="D146" s="495">
        <f>+'ครุภัณฑ์ (NEW) (การแพทย์)'!C144</f>
        <v>7</v>
      </c>
      <c r="E146" s="1474">
        <f t="shared" si="2"/>
        <v>7000</v>
      </c>
      <c r="F146" s="699" t="s">
        <v>195</v>
      </c>
      <c r="G146" s="226" t="s">
        <v>8</v>
      </c>
      <c r="H146" s="699" t="s">
        <v>662</v>
      </c>
    </row>
    <row r="147" spans="1:8" s="205" customFormat="1" ht="42">
      <c r="A147" s="699">
        <v>142</v>
      </c>
      <c r="B147" s="391" t="s">
        <v>2603</v>
      </c>
      <c r="C147" s="1474">
        <f>+'ครุภัณฑ์ (NEW) (การแพทย์)'!D145</f>
        <v>80250</v>
      </c>
      <c r="D147" s="495">
        <f>+'ครุภัณฑ์ (NEW) (การแพทย์)'!C145</f>
        <v>4</v>
      </c>
      <c r="E147" s="1474">
        <f t="shared" si="2"/>
        <v>321000</v>
      </c>
      <c r="F147" s="699" t="s">
        <v>195</v>
      </c>
      <c r="G147" s="226" t="s">
        <v>8</v>
      </c>
      <c r="H147" s="699" t="s">
        <v>662</v>
      </c>
    </row>
    <row r="148" spans="1:8" s="205" customFormat="1" ht="20.100000000000001" customHeight="1">
      <c r="A148" s="699">
        <v>143</v>
      </c>
      <c r="B148" s="478" t="s">
        <v>1772</v>
      </c>
      <c r="C148" s="1474">
        <f>+'ครุภัณฑ์ (NEW) (การแพทย์)'!D146</f>
        <v>750000</v>
      </c>
      <c r="D148" s="495">
        <f>+'ครุภัณฑ์ (NEW) (การแพทย์)'!C146</f>
        <v>1</v>
      </c>
      <c r="E148" s="1474">
        <f t="shared" si="2"/>
        <v>750000</v>
      </c>
      <c r="F148" s="699" t="s">
        <v>195</v>
      </c>
      <c r="G148" s="226" t="s">
        <v>8</v>
      </c>
      <c r="H148" s="699" t="s">
        <v>662</v>
      </c>
    </row>
    <row r="149" spans="1:8" s="205" customFormat="1" ht="20.100000000000001" customHeight="1">
      <c r="A149" s="699">
        <v>144</v>
      </c>
      <c r="B149" s="478" t="s">
        <v>1773</v>
      </c>
      <c r="C149" s="1474">
        <f>+'ครุภัณฑ์ (NEW) (การแพทย์)'!D147</f>
        <v>1500000</v>
      </c>
      <c r="D149" s="495">
        <f>+'ครุภัณฑ์ (NEW) (การแพทย์)'!C147</f>
        <v>1</v>
      </c>
      <c r="E149" s="1474">
        <f t="shared" si="2"/>
        <v>1500000</v>
      </c>
      <c r="F149" s="699" t="s">
        <v>195</v>
      </c>
      <c r="G149" s="226" t="s">
        <v>8</v>
      </c>
      <c r="H149" s="699" t="s">
        <v>662</v>
      </c>
    </row>
    <row r="150" spans="1:8" s="205" customFormat="1" ht="20.100000000000001" customHeight="1">
      <c r="A150" s="699">
        <v>145</v>
      </c>
      <c r="B150" s="478" t="s">
        <v>1774</v>
      </c>
      <c r="C150" s="1474">
        <f>+'ครุภัณฑ์ (NEW) (การแพทย์)'!D148</f>
        <v>180</v>
      </c>
      <c r="D150" s="495">
        <f>+'ครุภัณฑ์ (NEW) (การแพทย์)'!C148</f>
        <v>10</v>
      </c>
      <c r="E150" s="1474">
        <f t="shared" si="2"/>
        <v>1800</v>
      </c>
      <c r="F150" s="699" t="s">
        <v>195</v>
      </c>
      <c r="G150" s="226" t="s">
        <v>8</v>
      </c>
      <c r="H150" s="699" t="s">
        <v>662</v>
      </c>
    </row>
    <row r="151" spans="1:8" s="205" customFormat="1" ht="20.100000000000001" customHeight="1">
      <c r="A151" s="699">
        <v>146</v>
      </c>
      <c r="B151" s="478" t="s">
        <v>1775</v>
      </c>
      <c r="C151" s="1474">
        <f>+'ครุภัณฑ์ (NEW) (การแพทย์)'!D149</f>
        <v>180</v>
      </c>
      <c r="D151" s="495">
        <f>+'ครุภัณฑ์ (NEW) (การแพทย์)'!C149</f>
        <v>50</v>
      </c>
      <c r="E151" s="1474">
        <f t="shared" si="2"/>
        <v>9000</v>
      </c>
      <c r="F151" s="699" t="s">
        <v>195</v>
      </c>
      <c r="G151" s="226" t="s">
        <v>8</v>
      </c>
      <c r="H151" s="699" t="s">
        <v>662</v>
      </c>
    </row>
    <row r="152" spans="1:8" s="205" customFormat="1" ht="20.100000000000001" customHeight="1">
      <c r="A152" s="699">
        <v>147</v>
      </c>
      <c r="B152" s="478" t="s">
        <v>1776</v>
      </c>
      <c r="C152" s="1474">
        <f>+'ครุภัณฑ์ (NEW) (การแพทย์)'!D150</f>
        <v>180</v>
      </c>
      <c r="D152" s="495">
        <f>+'ครุภัณฑ์ (NEW) (การแพทย์)'!C150</f>
        <v>50</v>
      </c>
      <c r="E152" s="1474">
        <f t="shared" si="2"/>
        <v>9000</v>
      </c>
      <c r="F152" s="699" t="s">
        <v>195</v>
      </c>
      <c r="G152" s="226" t="s">
        <v>8</v>
      </c>
      <c r="H152" s="699" t="s">
        <v>662</v>
      </c>
    </row>
    <row r="153" spans="1:8" s="205" customFormat="1" ht="20.100000000000001" customHeight="1">
      <c r="A153" s="699">
        <v>148</v>
      </c>
      <c r="B153" s="478" t="s">
        <v>1770</v>
      </c>
      <c r="C153" s="1474">
        <f>+'ครุภัณฑ์ (NEW) (การแพทย์)'!D151</f>
        <v>243853</v>
      </c>
      <c r="D153" s="495">
        <f>+'ครุภัณฑ์ (NEW) (การแพทย์)'!C151</f>
        <v>1</v>
      </c>
      <c r="E153" s="1474">
        <f t="shared" si="2"/>
        <v>243853</v>
      </c>
      <c r="F153" s="699" t="s">
        <v>195</v>
      </c>
      <c r="G153" s="226" t="s">
        <v>8</v>
      </c>
      <c r="H153" s="699" t="s">
        <v>662</v>
      </c>
    </row>
    <row r="154" spans="1:8" s="205" customFormat="1" ht="20.100000000000001" customHeight="1">
      <c r="A154" s="699">
        <v>149</v>
      </c>
      <c r="B154" s="478" t="s">
        <v>1777</v>
      </c>
      <c r="C154" s="1474">
        <f>+'ครุภัณฑ์ (NEW) (การแพทย์)'!D152</f>
        <v>3000000</v>
      </c>
      <c r="D154" s="495">
        <f>+'ครุภัณฑ์ (NEW) (การแพทย์)'!C152</f>
        <v>1</v>
      </c>
      <c r="E154" s="1474">
        <f t="shared" si="2"/>
        <v>3000000</v>
      </c>
      <c r="F154" s="699" t="s">
        <v>195</v>
      </c>
      <c r="G154" s="226" t="s">
        <v>8</v>
      </c>
      <c r="H154" s="699" t="s">
        <v>662</v>
      </c>
    </row>
    <row r="155" spans="1:8" s="205" customFormat="1" ht="20.100000000000001" customHeight="1">
      <c r="A155" s="699">
        <v>150</v>
      </c>
      <c r="B155" s="478" t="s">
        <v>1778</v>
      </c>
      <c r="C155" s="1474">
        <f>+'ครุภัณฑ์ (NEW) (การแพทย์)'!D153</f>
        <v>800000</v>
      </c>
      <c r="D155" s="495">
        <f>+'ครุภัณฑ์ (NEW) (การแพทย์)'!C153</f>
        <v>1</v>
      </c>
      <c r="E155" s="1474">
        <f t="shared" si="2"/>
        <v>800000</v>
      </c>
      <c r="F155" s="699" t="s">
        <v>195</v>
      </c>
      <c r="G155" s="226" t="s">
        <v>8</v>
      </c>
      <c r="H155" s="699" t="s">
        <v>662</v>
      </c>
    </row>
    <row r="156" spans="1:8" s="205" customFormat="1" ht="20.100000000000001" customHeight="1">
      <c r="A156" s="699">
        <v>151</v>
      </c>
      <c r="B156" s="2908" t="s">
        <v>1779</v>
      </c>
      <c r="C156" s="1474">
        <f>+'ครุภัณฑ์ (NEW) (การแพทย์)'!D154</f>
        <v>162308.29999999999</v>
      </c>
      <c r="D156" s="495">
        <f>+'ครุภัณฑ์ (NEW) (การแพทย์)'!C154</f>
        <v>1</v>
      </c>
      <c r="E156" s="1474">
        <f t="shared" si="2"/>
        <v>162308.29999999999</v>
      </c>
      <c r="F156" s="699" t="s">
        <v>195</v>
      </c>
      <c r="G156" s="226" t="s">
        <v>8</v>
      </c>
      <c r="H156" s="699" t="s">
        <v>662</v>
      </c>
    </row>
    <row r="157" spans="1:8" s="205" customFormat="1" ht="20.100000000000001" customHeight="1">
      <c r="A157" s="699">
        <v>152</v>
      </c>
      <c r="B157" s="478" t="s">
        <v>1780</v>
      </c>
      <c r="C157" s="1474">
        <f>+'ครุภัณฑ์ (NEW) (การแพทย์)'!D155</f>
        <v>450000</v>
      </c>
      <c r="D157" s="495">
        <f>+'ครุภัณฑ์ (NEW) (การแพทย์)'!C155</f>
        <v>1</v>
      </c>
      <c r="E157" s="1474">
        <f t="shared" si="2"/>
        <v>450000</v>
      </c>
      <c r="F157" s="699" t="s">
        <v>195</v>
      </c>
      <c r="G157" s="226" t="s">
        <v>8</v>
      </c>
      <c r="H157" s="699" t="s">
        <v>662</v>
      </c>
    </row>
    <row r="158" spans="1:8" s="205" customFormat="1" ht="20.100000000000001" customHeight="1">
      <c r="A158" s="699">
        <v>153</v>
      </c>
      <c r="B158" s="478" t="s">
        <v>1781</v>
      </c>
      <c r="C158" s="1474">
        <f>+'ครุภัณฑ์ (NEW) (การแพทย์)'!D156</f>
        <v>25000</v>
      </c>
      <c r="D158" s="495">
        <f>+'ครุภัณฑ์ (NEW) (การแพทย์)'!C156</f>
        <v>3</v>
      </c>
      <c r="E158" s="1474">
        <f t="shared" si="2"/>
        <v>75000</v>
      </c>
      <c r="F158" s="699" t="s">
        <v>195</v>
      </c>
      <c r="G158" s="226" t="s">
        <v>8</v>
      </c>
      <c r="H158" s="699" t="s">
        <v>662</v>
      </c>
    </row>
    <row r="159" spans="1:8" s="205" customFormat="1" ht="20.100000000000001" customHeight="1">
      <c r="A159" s="699">
        <v>154</v>
      </c>
      <c r="B159" s="478" t="s">
        <v>1783</v>
      </c>
      <c r="C159" s="1474">
        <f>+'ครุภัณฑ์ (NEW) (การแพทย์)'!D157</f>
        <v>60000</v>
      </c>
      <c r="D159" s="495">
        <f>+'ครุภัณฑ์ (NEW) (การแพทย์)'!C157</f>
        <v>54</v>
      </c>
      <c r="E159" s="1474">
        <f t="shared" si="2"/>
        <v>3240000</v>
      </c>
      <c r="F159" s="699" t="s">
        <v>195</v>
      </c>
      <c r="G159" s="226" t="s">
        <v>8</v>
      </c>
      <c r="H159" s="699" t="s">
        <v>662</v>
      </c>
    </row>
    <row r="160" spans="1:8" s="205" customFormat="1" ht="20.100000000000001" customHeight="1">
      <c r="A160" s="699">
        <v>155</v>
      </c>
      <c r="B160" s="478" t="s">
        <v>1784</v>
      </c>
      <c r="C160" s="1474">
        <f>+'ครุภัณฑ์ (NEW) (การแพทย์)'!D158</f>
        <v>14500</v>
      </c>
      <c r="D160" s="495">
        <f>+'ครุภัณฑ์ (NEW) (การแพทย์)'!C158</f>
        <v>2</v>
      </c>
      <c r="E160" s="1474">
        <f t="shared" si="2"/>
        <v>29000</v>
      </c>
      <c r="F160" s="699" t="s">
        <v>195</v>
      </c>
      <c r="G160" s="226" t="s">
        <v>8</v>
      </c>
      <c r="H160" s="699" t="s">
        <v>662</v>
      </c>
    </row>
    <row r="161" spans="1:8" s="205" customFormat="1" ht="20.100000000000001" customHeight="1">
      <c r="A161" s="699">
        <v>156</v>
      </c>
      <c r="B161" s="478" t="s">
        <v>1791</v>
      </c>
      <c r="C161" s="1474">
        <f>+'ครุภัณฑ์ (NEW) (การแพทย์)'!D159</f>
        <v>280000</v>
      </c>
      <c r="D161" s="495">
        <f>+'ครุภัณฑ์ (NEW) (การแพทย์)'!C159</f>
        <v>1</v>
      </c>
      <c r="E161" s="1474">
        <f t="shared" si="2"/>
        <v>280000</v>
      </c>
      <c r="F161" s="699" t="s">
        <v>195</v>
      </c>
      <c r="G161" s="226" t="s">
        <v>8</v>
      </c>
      <c r="H161" s="699" t="s">
        <v>662</v>
      </c>
    </row>
    <row r="162" spans="1:8" s="205" customFormat="1" ht="20.100000000000001" customHeight="1">
      <c r="A162" s="699">
        <v>157</v>
      </c>
      <c r="B162" s="478" t="s">
        <v>1792</v>
      </c>
      <c r="C162" s="1474">
        <f>+'ครุภัณฑ์ (NEW) (การแพทย์)'!D160</f>
        <v>150000</v>
      </c>
      <c r="D162" s="495">
        <f>+'ครุภัณฑ์ (NEW) (การแพทย์)'!C160</f>
        <v>1</v>
      </c>
      <c r="E162" s="1474">
        <f t="shared" si="2"/>
        <v>150000</v>
      </c>
      <c r="F162" s="699" t="s">
        <v>195</v>
      </c>
      <c r="G162" s="226" t="s">
        <v>8</v>
      </c>
      <c r="H162" s="699" t="s">
        <v>662</v>
      </c>
    </row>
    <row r="163" spans="1:8" s="205" customFormat="1" ht="20.100000000000001" customHeight="1">
      <c r="A163" s="699">
        <v>158</v>
      </c>
      <c r="B163" s="478" t="s">
        <v>1794</v>
      </c>
      <c r="C163" s="1474">
        <f>+'ครุภัณฑ์ (NEW) (การแพทย์)'!D161</f>
        <v>149120.98000000001</v>
      </c>
      <c r="D163" s="495">
        <f>+'ครุภัณฑ์ (NEW) (การแพทย์)'!C161</f>
        <v>1</v>
      </c>
      <c r="E163" s="1474">
        <f t="shared" si="2"/>
        <v>149120.98000000001</v>
      </c>
      <c r="F163" s="699" t="s">
        <v>195</v>
      </c>
      <c r="G163" s="226" t="s">
        <v>8</v>
      </c>
      <c r="H163" s="699" t="s">
        <v>662</v>
      </c>
    </row>
    <row r="164" spans="1:8" s="205" customFormat="1" ht="20.100000000000001" customHeight="1">
      <c r="A164" s="699">
        <v>159</v>
      </c>
      <c r="B164" s="478" t="s">
        <v>2468</v>
      </c>
      <c r="C164" s="1474">
        <f>+'ครุภัณฑ์ (NEW) (การแพทย์)'!D162</f>
        <v>40000</v>
      </c>
      <c r="D164" s="495">
        <f>+'ครุภัณฑ์ (NEW) (การแพทย์)'!C162</f>
        <v>7</v>
      </c>
      <c r="E164" s="1474">
        <f t="shared" si="2"/>
        <v>280000</v>
      </c>
      <c r="F164" s="699" t="s">
        <v>195</v>
      </c>
      <c r="G164" s="226" t="s">
        <v>8</v>
      </c>
      <c r="H164" s="699" t="s">
        <v>662</v>
      </c>
    </row>
    <row r="165" spans="1:8" s="205" customFormat="1" ht="20.100000000000001" customHeight="1">
      <c r="A165" s="699">
        <v>160</v>
      </c>
      <c r="B165" s="478" t="s">
        <v>479</v>
      </c>
      <c r="C165" s="1474">
        <f>+'ครุภัณฑ์ (NEW) (การแพทย์)'!D163</f>
        <v>2619</v>
      </c>
      <c r="D165" s="495">
        <f>+'ครุภัณฑ์ (NEW) (การแพทย์)'!C163</f>
        <v>7</v>
      </c>
      <c r="E165" s="1474">
        <f t="shared" si="2"/>
        <v>18333</v>
      </c>
      <c r="F165" s="699" t="s">
        <v>195</v>
      </c>
      <c r="G165" s="226" t="s">
        <v>8</v>
      </c>
      <c r="H165" s="699" t="s">
        <v>662</v>
      </c>
    </row>
    <row r="166" spans="1:8" s="205" customFormat="1" ht="20.100000000000001" customHeight="1">
      <c r="A166" s="699">
        <v>161</v>
      </c>
      <c r="B166" s="478" t="s">
        <v>1804</v>
      </c>
      <c r="C166" s="1474">
        <f>+'ครุภัณฑ์ (NEW) (การแพทย์)'!D164</f>
        <v>60000</v>
      </c>
      <c r="D166" s="495">
        <f>+'ครุภัณฑ์ (NEW) (การแพทย์)'!C164</f>
        <v>1</v>
      </c>
      <c r="E166" s="1474">
        <f t="shared" si="2"/>
        <v>60000</v>
      </c>
      <c r="F166" s="699" t="s">
        <v>195</v>
      </c>
      <c r="G166" s="226" t="s">
        <v>8</v>
      </c>
      <c r="H166" s="699" t="s">
        <v>662</v>
      </c>
    </row>
    <row r="167" spans="1:8" s="205" customFormat="1" ht="20.100000000000001" customHeight="1">
      <c r="A167" s="699">
        <v>162</v>
      </c>
      <c r="B167" s="478" t="s">
        <v>1808</v>
      </c>
      <c r="C167" s="1474">
        <f>+'ครุภัณฑ์ (NEW) (การแพทย์)'!D165</f>
        <v>3910850</v>
      </c>
      <c r="D167" s="495">
        <f>+'ครุภัณฑ์ (NEW) (การแพทย์)'!C165</f>
        <v>1</v>
      </c>
      <c r="E167" s="1474">
        <f t="shared" si="2"/>
        <v>3910850</v>
      </c>
      <c r="F167" s="699" t="s">
        <v>195</v>
      </c>
      <c r="G167" s="226" t="s">
        <v>8</v>
      </c>
      <c r="H167" s="699" t="s">
        <v>662</v>
      </c>
    </row>
    <row r="168" spans="1:8" s="205" customFormat="1" ht="20.100000000000001" customHeight="1">
      <c r="A168" s="699">
        <v>163</v>
      </c>
      <c r="B168" s="2908" t="s">
        <v>2484</v>
      </c>
      <c r="C168" s="1474">
        <f>+'ครุภัณฑ์ (NEW) (การแพทย์)'!D166</f>
        <v>60000</v>
      </c>
      <c r="D168" s="495">
        <f>+'ครุภัณฑ์ (NEW) (การแพทย์)'!C166</f>
        <v>1</v>
      </c>
      <c r="E168" s="1474">
        <f t="shared" si="2"/>
        <v>60000</v>
      </c>
      <c r="F168" s="699" t="s">
        <v>195</v>
      </c>
      <c r="G168" s="226" t="s">
        <v>8</v>
      </c>
      <c r="H168" s="699" t="s">
        <v>662</v>
      </c>
    </row>
    <row r="169" spans="1:8" s="205" customFormat="1" ht="20.100000000000001" customHeight="1">
      <c r="A169" s="699">
        <v>164</v>
      </c>
      <c r="B169" s="478" t="s">
        <v>1834</v>
      </c>
      <c r="C169" s="1474">
        <f>+'ครุภัณฑ์ (NEW) (การแพทย์)'!D167</f>
        <v>250000</v>
      </c>
      <c r="D169" s="495">
        <f>+'ครุภัณฑ์ (NEW) (การแพทย์)'!C167</f>
        <v>1</v>
      </c>
      <c r="E169" s="1474">
        <f t="shared" si="2"/>
        <v>250000</v>
      </c>
      <c r="F169" s="699" t="s">
        <v>195</v>
      </c>
      <c r="G169" s="226" t="s">
        <v>8</v>
      </c>
      <c r="H169" s="699" t="s">
        <v>662</v>
      </c>
    </row>
    <row r="170" spans="1:8" s="205" customFormat="1" ht="20.100000000000001" customHeight="1">
      <c r="A170" s="699">
        <v>165</v>
      </c>
      <c r="B170" s="478" t="s">
        <v>1839</v>
      </c>
      <c r="C170" s="1474">
        <f>+'ครุภัณฑ์ (NEW) (การแพทย์)'!D168</f>
        <v>38500</v>
      </c>
      <c r="D170" s="495">
        <f>+'ครุภัณฑ์ (NEW) (การแพทย์)'!C168</f>
        <v>1</v>
      </c>
      <c r="E170" s="1474">
        <f t="shared" si="2"/>
        <v>38500</v>
      </c>
      <c r="F170" s="699" t="s">
        <v>195</v>
      </c>
      <c r="G170" s="226" t="s">
        <v>8</v>
      </c>
      <c r="H170" s="699" t="s">
        <v>662</v>
      </c>
    </row>
    <row r="171" spans="1:8" s="205" customFormat="1" ht="20.100000000000001" customHeight="1">
      <c r="A171" s="699">
        <v>166</v>
      </c>
      <c r="B171" s="478" t="s">
        <v>2469</v>
      </c>
      <c r="C171" s="1474">
        <f>+'ครุภัณฑ์ (NEW) (การแพทย์)'!D169</f>
        <v>21485</v>
      </c>
      <c r="D171" s="495">
        <f>+'ครุภัณฑ์ (NEW) (การแพทย์)'!C169</f>
        <v>1</v>
      </c>
      <c r="E171" s="1474">
        <f t="shared" si="2"/>
        <v>21485</v>
      </c>
      <c r="F171" s="699" t="s">
        <v>195</v>
      </c>
      <c r="G171" s="226" t="s">
        <v>8</v>
      </c>
      <c r="H171" s="699" t="s">
        <v>662</v>
      </c>
    </row>
    <row r="172" spans="1:8" s="205" customFormat="1" ht="20.100000000000001" customHeight="1">
      <c r="A172" s="699">
        <v>167</v>
      </c>
      <c r="B172" s="478" t="s">
        <v>1841</v>
      </c>
      <c r="C172" s="1474">
        <f>+'ครุภัณฑ์ (NEW) (การแพทย์)'!D170</f>
        <v>193616.5</v>
      </c>
      <c r="D172" s="495">
        <f>+'ครุภัณฑ์ (NEW) (การแพทย์)'!C170</f>
        <v>1</v>
      </c>
      <c r="E172" s="1474">
        <f t="shared" si="2"/>
        <v>193616.5</v>
      </c>
      <c r="F172" s="699" t="s">
        <v>195</v>
      </c>
      <c r="G172" s="226" t="s">
        <v>8</v>
      </c>
      <c r="H172" s="699" t="s">
        <v>662</v>
      </c>
    </row>
    <row r="173" spans="1:8" s="205" customFormat="1" ht="20.100000000000001" customHeight="1">
      <c r="A173" s="699">
        <v>168</v>
      </c>
      <c r="B173" s="478" t="s">
        <v>1843</v>
      </c>
      <c r="C173" s="1474">
        <f>+'ครุภัณฑ์ (NEW) (การแพทย์)'!D171</f>
        <v>14500</v>
      </c>
      <c r="D173" s="495">
        <f>+'ครุภัณฑ์ (NEW) (การแพทย์)'!C171</f>
        <v>1</v>
      </c>
      <c r="E173" s="1474">
        <f t="shared" si="2"/>
        <v>14500</v>
      </c>
      <c r="F173" s="699" t="s">
        <v>195</v>
      </c>
      <c r="G173" s="226" t="s">
        <v>8</v>
      </c>
      <c r="H173" s="699" t="s">
        <v>662</v>
      </c>
    </row>
    <row r="174" spans="1:8" s="205" customFormat="1" ht="20.100000000000001" customHeight="1">
      <c r="A174" s="699">
        <v>169</v>
      </c>
      <c r="B174" s="478" t="s">
        <v>1846</v>
      </c>
      <c r="C174" s="1474">
        <f>+'ครุภัณฑ์ (NEW) (การแพทย์)'!D172</f>
        <v>1200000</v>
      </c>
      <c r="D174" s="495">
        <f>+'ครุภัณฑ์ (NEW) (การแพทย์)'!C172</f>
        <v>4</v>
      </c>
      <c r="E174" s="1474">
        <f t="shared" si="2"/>
        <v>4800000</v>
      </c>
      <c r="F174" s="699" t="s">
        <v>195</v>
      </c>
      <c r="G174" s="226" t="s">
        <v>8</v>
      </c>
      <c r="H174" s="699" t="s">
        <v>662</v>
      </c>
    </row>
    <row r="175" spans="1:8" s="205" customFormat="1" ht="20.100000000000001" customHeight="1">
      <c r="A175" s="699">
        <v>170</v>
      </c>
      <c r="B175" s="478" t="s">
        <v>1847</v>
      </c>
      <c r="C175" s="1474">
        <f>+'ครุภัณฑ์ (NEW) (การแพทย์)'!D173</f>
        <v>150000</v>
      </c>
      <c r="D175" s="495">
        <f>+'ครุภัณฑ์ (NEW) (การแพทย์)'!C173</f>
        <v>4</v>
      </c>
      <c r="E175" s="1474">
        <f t="shared" si="2"/>
        <v>600000</v>
      </c>
      <c r="F175" s="699" t="s">
        <v>195</v>
      </c>
      <c r="G175" s="226" t="s">
        <v>8</v>
      </c>
      <c r="H175" s="699" t="s">
        <v>662</v>
      </c>
    </row>
    <row r="176" spans="1:8" s="205" customFormat="1" ht="20.100000000000001" customHeight="1">
      <c r="A176" s="699">
        <v>171</v>
      </c>
      <c r="B176" s="478" t="s">
        <v>1848</v>
      </c>
      <c r="C176" s="1474">
        <f>+'ครุภัณฑ์ (NEW) (การแพทย์)'!D174</f>
        <v>11500</v>
      </c>
      <c r="D176" s="495">
        <f>+'ครุภัณฑ์ (NEW) (การแพทย์)'!C174</f>
        <v>1</v>
      </c>
      <c r="E176" s="1474">
        <f t="shared" si="2"/>
        <v>11500</v>
      </c>
      <c r="F176" s="699" t="s">
        <v>195</v>
      </c>
      <c r="G176" s="226" t="s">
        <v>8</v>
      </c>
      <c r="H176" s="699" t="s">
        <v>662</v>
      </c>
    </row>
    <row r="177" spans="1:8" s="205" customFormat="1" ht="20.100000000000001" customHeight="1">
      <c r="A177" s="699">
        <v>172</v>
      </c>
      <c r="B177" s="260" t="s">
        <v>2485</v>
      </c>
      <c r="C177" s="1474">
        <f>+'ครุภัณฑ์ (NEW) (การแพทย์)'!D175</f>
        <v>1200000</v>
      </c>
      <c r="D177" s="495">
        <f>+'ครุภัณฑ์ (NEW) (การแพทย์)'!C175</f>
        <v>1</v>
      </c>
      <c r="E177" s="1474">
        <f t="shared" si="2"/>
        <v>1200000</v>
      </c>
      <c r="F177" s="699" t="s">
        <v>195</v>
      </c>
      <c r="G177" s="226" t="s">
        <v>8</v>
      </c>
      <c r="H177" s="699" t="s">
        <v>662</v>
      </c>
    </row>
    <row r="178" spans="1:8" s="205" customFormat="1" ht="20.100000000000001" customHeight="1">
      <c r="A178" s="699">
        <v>173</v>
      </c>
      <c r="B178" s="478" t="s">
        <v>1854</v>
      </c>
      <c r="C178" s="1474">
        <f>+'ครุภัณฑ์ (NEW) (การแพทย์)'!D176</f>
        <v>15000</v>
      </c>
      <c r="D178" s="495">
        <f>+'ครุภัณฑ์ (NEW) (การแพทย์)'!C176</f>
        <v>1</v>
      </c>
      <c r="E178" s="1474">
        <f t="shared" si="2"/>
        <v>15000</v>
      </c>
      <c r="F178" s="699" t="s">
        <v>195</v>
      </c>
      <c r="G178" s="226" t="s">
        <v>8</v>
      </c>
      <c r="H178" s="699" t="s">
        <v>662</v>
      </c>
    </row>
    <row r="179" spans="1:8" s="205" customFormat="1" ht="20.100000000000001" customHeight="1">
      <c r="A179" s="699">
        <v>174</v>
      </c>
      <c r="B179" s="478" t="s">
        <v>842</v>
      </c>
      <c r="C179" s="1474">
        <f>+'ครุภัณฑ์ (NEW) (การแพทย์)'!D177</f>
        <v>180000</v>
      </c>
      <c r="D179" s="495">
        <f>+'ครุภัณฑ์ (NEW) (การแพทย์)'!C177</f>
        <v>2</v>
      </c>
      <c r="E179" s="1474">
        <f t="shared" si="2"/>
        <v>360000</v>
      </c>
      <c r="F179" s="699" t="s">
        <v>195</v>
      </c>
      <c r="G179" s="226" t="s">
        <v>8</v>
      </c>
      <c r="H179" s="699" t="s">
        <v>662</v>
      </c>
    </row>
    <row r="180" spans="1:8" s="205" customFormat="1" ht="20.100000000000001" customHeight="1">
      <c r="A180" s="699">
        <v>175</v>
      </c>
      <c r="B180" s="260" t="s">
        <v>2485</v>
      </c>
      <c r="C180" s="1474">
        <f>+'ครุภัณฑ์ (NEW) (การแพทย์)'!D178</f>
        <v>1200000</v>
      </c>
      <c r="D180" s="495">
        <f>+'ครุภัณฑ์ (NEW) (การแพทย์)'!C178</f>
        <v>1</v>
      </c>
      <c r="E180" s="1474">
        <f t="shared" si="2"/>
        <v>1200000</v>
      </c>
      <c r="F180" s="699" t="s">
        <v>195</v>
      </c>
      <c r="G180" s="226" t="s">
        <v>8</v>
      </c>
      <c r="H180" s="699" t="s">
        <v>662</v>
      </c>
    </row>
    <row r="181" spans="1:8" s="205" customFormat="1" ht="20.100000000000001" customHeight="1">
      <c r="A181" s="699">
        <v>176</v>
      </c>
      <c r="B181" s="478" t="s">
        <v>842</v>
      </c>
      <c r="C181" s="1474">
        <f>+'ครุภัณฑ์ (NEW) (การแพทย์)'!D179</f>
        <v>180000</v>
      </c>
      <c r="D181" s="495">
        <f>+'ครุภัณฑ์ (NEW) (การแพทย์)'!C179</f>
        <v>1</v>
      </c>
      <c r="E181" s="1474">
        <f t="shared" si="2"/>
        <v>180000</v>
      </c>
      <c r="F181" s="699" t="s">
        <v>195</v>
      </c>
      <c r="G181" s="226" t="s">
        <v>8</v>
      </c>
      <c r="H181" s="699" t="s">
        <v>662</v>
      </c>
    </row>
    <row r="182" spans="1:8" s="205" customFormat="1" ht="20.100000000000001" customHeight="1">
      <c r="A182" s="699">
        <v>177</v>
      </c>
      <c r="B182" s="478" t="s">
        <v>1861</v>
      </c>
      <c r="C182" s="1474">
        <f>+'ครุภัณฑ์ (NEW) (การแพทย์)'!D180</f>
        <v>40000</v>
      </c>
      <c r="D182" s="495">
        <f>+'ครุภัณฑ์ (NEW) (การแพทย์)'!C180</f>
        <v>1</v>
      </c>
      <c r="E182" s="1474">
        <f t="shared" si="2"/>
        <v>40000</v>
      </c>
      <c r="F182" s="699" t="s">
        <v>195</v>
      </c>
      <c r="G182" s="226" t="s">
        <v>8</v>
      </c>
      <c r="H182" s="699" t="s">
        <v>662</v>
      </c>
    </row>
    <row r="183" spans="1:8" s="205" customFormat="1" ht="20.100000000000001" customHeight="1">
      <c r="A183" s="699">
        <v>178</v>
      </c>
      <c r="B183" s="478" t="s">
        <v>1862</v>
      </c>
      <c r="C183" s="1474">
        <f>+'ครุภัณฑ์ (NEW) (การแพทย์)'!D181</f>
        <v>2000</v>
      </c>
      <c r="D183" s="495">
        <f>+'ครุภัณฑ์ (NEW) (การแพทย์)'!C181</f>
        <v>2</v>
      </c>
      <c r="E183" s="1474">
        <f t="shared" si="2"/>
        <v>4000</v>
      </c>
      <c r="F183" s="699" t="s">
        <v>195</v>
      </c>
      <c r="G183" s="226" t="s">
        <v>8</v>
      </c>
      <c r="H183" s="699" t="s">
        <v>662</v>
      </c>
    </row>
    <row r="184" spans="1:8" s="205" customFormat="1" ht="20.100000000000001" customHeight="1">
      <c r="A184" s="699">
        <v>179</v>
      </c>
      <c r="B184" s="478" t="s">
        <v>1863</v>
      </c>
      <c r="C184" s="1474">
        <f>+'ครุภัณฑ์ (NEW) (การแพทย์)'!D182</f>
        <v>21000</v>
      </c>
      <c r="D184" s="495">
        <f>+'ครุภัณฑ์ (NEW) (การแพทย์)'!C182</f>
        <v>5</v>
      </c>
      <c r="E184" s="1474">
        <f t="shared" si="2"/>
        <v>105000</v>
      </c>
      <c r="F184" s="699" t="s">
        <v>195</v>
      </c>
      <c r="G184" s="226" t="s">
        <v>8</v>
      </c>
      <c r="H184" s="699" t="s">
        <v>662</v>
      </c>
    </row>
    <row r="185" spans="1:8" s="205" customFormat="1" ht="20.100000000000001" customHeight="1">
      <c r="A185" s="699">
        <v>180</v>
      </c>
      <c r="B185" s="478" t="s">
        <v>1864</v>
      </c>
      <c r="C185" s="1474">
        <f>+'ครุภัณฑ์ (NEW) (การแพทย์)'!D183</f>
        <v>12000</v>
      </c>
      <c r="D185" s="495">
        <f>+'ครุภัณฑ์ (NEW) (การแพทย์)'!C183</f>
        <v>4</v>
      </c>
      <c r="E185" s="1474">
        <f t="shared" si="2"/>
        <v>48000</v>
      </c>
      <c r="F185" s="699" t="s">
        <v>195</v>
      </c>
      <c r="G185" s="226" t="s">
        <v>8</v>
      </c>
      <c r="H185" s="699" t="s">
        <v>662</v>
      </c>
    </row>
    <row r="186" spans="1:8" s="205" customFormat="1" ht="20.100000000000001" customHeight="1">
      <c r="A186" s="699">
        <v>181</v>
      </c>
      <c r="B186" s="478" t="s">
        <v>1865</v>
      </c>
      <c r="C186" s="1474">
        <f>+'ครุภัณฑ์ (NEW) (การแพทย์)'!D184</f>
        <v>35000</v>
      </c>
      <c r="D186" s="495">
        <f>+'ครุภัณฑ์ (NEW) (การแพทย์)'!C184</f>
        <v>2</v>
      </c>
      <c r="E186" s="1474">
        <f t="shared" si="2"/>
        <v>70000</v>
      </c>
      <c r="F186" s="699" t="s">
        <v>195</v>
      </c>
      <c r="G186" s="226" t="s">
        <v>8</v>
      </c>
      <c r="H186" s="699" t="s">
        <v>662</v>
      </c>
    </row>
    <row r="187" spans="1:8" s="205" customFormat="1" ht="20.100000000000001" customHeight="1">
      <c r="A187" s="699">
        <v>182</v>
      </c>
      <c r="B187" s="478" t="s">
        <v>1866</v>
      </c>
      <c r="C187" s="1474">
        <f>+'ครุภัณฑ์ (NEW) (การแพทย์)'!D185</f>
        <v>50000</v>
      </c>
      <c r="D187" s="495">
        <f>+'ครุภัณฑ์ (NEW) (การแพทย์)'!C185</f>
        <v>2</v>
      </c>
      <c r="E187" s="1474">
        <f t="shared" si="2"/>
        <v>100000</v>
      </c>
      <c r="F187" s="699" t="s">
        <v>195</v>
      </c>
      <c r="G187" s="226" t="s">
        <v>8</v>
      </c>
      <c r="H187" s="699" t="s">
        <v>662</v>
      </c>
    </row>
    <row r="188" spans="1:8" s="205" customFormat="1" ht="20.100000000000001" customHeight="1">
      <c r="A188" s="699">
        <v>183</v>
      </c>
      <c r="B188" s="478" t="s">
        <v>1867</v>
      </c>
      <c r="C188" s="1474">
        <f>+'ครุภัณฑ์ (NEW) (การแพทย์)'!D186</f>
        <v>50000</v>
      </c>
      <c r="D188" s="495">
        <f>+'ครุภัณฑ์ (NEW) (การแพทย์)'!C186</f>
        <v>1</v>
      </c>
      <c r="E188" s="1474">
        <f t="shared" si="2"/>
        <v>50000</v>
      </c>
      <c r="F188" s="699" t="s">
        <v>195</v>
      </c>
      <c r="G188" s="226" t="s">
        <v>8</v>
      </c>
      <c r="H188" s="699" t="s">
        <v>662</v>
      </c>
    </row>
    <row r="189" spans="1:8" s="205" customFormat="1" ht="20.100000000000001" customHeight="1">
      <c r="A189" s="699">
        <v>184</v>
      </c>
      <c r="B189" s="478" t="s">
        <v>1868</v>
      </c>
      <c r="C189" s="1474">
        <f>+'ครุภัณฑ์ (NEW) (การแพทย์)'!D187</f>
        <v>65000</v>
      </c>
      <c r="D189" s="495">
        <f>+'ครุภัณฑ์ (NEW) (การแพทย์)'!C187</f>
        <v>1</v>
      </c>
      <c r="E189" s="1474">
        <f t="shared" si="2"/>
        <v>65000</v>
      </c>
      <c r="F189" s="699" t="s">
        <v>195</v>
      </c>
      <c r="G189" s="226" t="s">
        <v>8</v>
      </c>
      <c r="H189" s="699" t="s">
        <v>662</v>
      </c>
    </row>
    <row r="190" spans="1:8" s="205" customFormat="1" ht="20.100000000000001" customHeight="1">
      <c r="A190" s="699">
        <v>185</v>
      </c>
      <c r="B190" s="478" t="s">
        <v>1869</v>
      </c>
      <c r="C190" s="1474">
        <f>+'ครุภัณฑ์ (NEW) (การแพทย์)'!D188</f>
        <v>4000</v>
      </c>
      <c r="D190" s="495">
        <f>+'ครุภัณฑ์ (NEW) (การแพทย์)'!C188</f>
        <v>1</v>
      </c>
      <c r="E190" s="1474">
        <f t="shared" si="2"/>
        <v>4000</v>
      </c>
      <c r="F190" s="699" t="s">
        <v>195</v>
      </c>
      <c r="G190" s="226" t="s">
        <v>8</v>
      </c>
      <c r="H190" s="699" t="s">
        <v>662</v>
      </c>
    </row>
    <row r="191" spans="1:8" s="205" customFormat="1" ht="20.100000000000001" customHeight="1">
      <c r="A191" s="699">
        <v>186</v>
      </c>
      <c r="B191" s="478" t="s">
        <v>1073</v>
      </c>
      <c r="C191" s="1474">
        <f>+'ครุภัณฑ์ (NEW) (การแพทย์)'!D189</f>
        <v>10000</v>
      </c>
      <c r="D191" s="495">
        <f>+'ครุภัณฑ์ (NEW) (การแพทย์)'!C189</f>
        <v>1</v>
      </c>
      <c r="E191" s="1474">
        <f t="shared" si="2"/>
        <v>10000</v>
      </c>
      <c r="F191" s="699" t="s">
        <v>195</v>
      </c>
      <c r="G191" s="226" t="s">
        <v>8</v>
      </c>
      <c r="H191" s="699" t="s">
        <v>662</v>
      </c>
    </row>
    <row r="192" spans="1:8" s="205" customFormat="1" ht="20.100000000000001" customHeight="1">
      <c r="A192" s="699">
        <v>187</v>
      </c>
      <c r="B192" s="478" t="s">
        <v>2001</v>
      </c>
      <c r="C192" s="1474">
        <f>+'ครุภัณฑ์ (NEW) (การแพทย์)'!D190</f>
        <v>40000</v>
      </c>
      <c r="D192" s="495">
        <f>+'ครุภัณฑ์ (NEW) (การแพทย์)'!C190</f>
        <v>1</v>
      </c>
      <c r="E192" s="1474">
        <f t="shared" si="2"/>
        <v>40000</v>
      </c>
      <c r="F192" s="699" t="s">
        <v>195</v>
      </c>
      <c r="G192" s="226" t="s">
        <v>8</v>
      </c>
      <c r="H192" s="699" t="s">
        <v>662</v>
      </c>
    </row>
    <row r="193" spans="1:8" s="205" customFormat="1" ht="20.100000000000001" customHeight="1">
      <c r="A193" s="699">
        <v>188</v>
      </c>
      <c r="B193" s="478" t="s">
        <v>2002</v>
      </c>
      <c r="C193" s="1474">
        <f>+'ครุภัณฑ์ (NEW) (การแพทย์)'!D191</f>
        <v>300000</v>
      </c>
      <c r="D193" s="495">
        <f>+'ครุภัณฑ์ (NEW) (การแพทย์)'!C191</f>
        <v>1</v>
      </c>
      <c r="E193" s="1474">
        <f t="shared" si="2"/>
        <v>300000</v>
      </c>
      <c r="F193" s="699" t="s">
        <v>195</v>
      </c>
      <c r="G193" s="226" t="s">
        <v>8</v>
      </c>
      <c r="H193" s="699" t="s">
        <v>662</v>
      </c>
    </row>
    <row r="194" spans="1:8" s="205" customFormat="1" ht="20.100000000000001" customHeight="1">
      <c r="A194" s="699">
        <v>189</v>
      </c>
      <c r="B194" s="478" t="s">
        <v>2003</v>
      </c>
      <c r="C194" s="1474">
        <f>+'ครุภัณฑ์ (NEW) (การแพทย์)'!D192</f>
        <v>25000</v>
      </c>
      <c r="D194" s="495">
        <f>+'ครุภัณฑ์ (NEW) (การแพทย์)'!C192</f>
        <v>1</v>
      </c>
      <c r="E194" s="1474">
        <f t="shared" si="2"/>
        <v>25000</v>
      </c>
      <c r="F194" s="699" t="s">
        <v>195</v>
      </c>
      <c r="G194" s="226" t="s">
        <v>8</v>
      </c>
      <c r="H194" s="699" t="s">
        <v>662</v>
      </c>
    </row>
    <row r="195" spans="1:8" s="205" customFormat="1" ht="20.100000000000001" customHeight="1">
      <c r="A195" s="699">
        <v>190</v>
      </c>
      <c r="B195" s="478" t="s">
        <v>2042</v>
      </c>
      <c r="C195" s="1474">
        <f>+'ครุภัณฑ์ (NEW) (การแพทย์)'!D193</f>
        <v>36500</v>
      </c>
      <c r="D195" s="495">
        <f>+'ครุภัณฑ์ (NEW) (การแพทย์)'!C193</f>
        <v>1</v>
      </c>
      <c r="E195" s="1474">
        <f t="shared" si="2"/>
        <v>36500</v>
      </c>
      <c r="F195" s="699" t="s">
        <v>195</v>
      </c>
      <c r="G195" s="226" t="s">
        <v>8</v>
      </c>
      <c r="H195" s="699" t="s">
        <v>662</v>
      </c>
    </row>
    <row r="196" spans="1:8" s="205" customFormat="1" ht="20.100000000000001" customHeight="1">
      <c r="A196" s="699">
        <v>191</v>
      </c>
      <c r="B196" s="478" t="s">
        <v>2055</v>
      </c>
      <c r="C196" s="1474">
        <f>+'ครุภัณฑ์ (NEW) (การแพทย์)'!D194</f>
        <v>440000</v>
      </c>
      <c r="D196" s="495">
        <f>+'ครุภัณฑ์ (NEW) (การแพทย์)'!C194</f>
        <v>1</v>
      </c>
      <c r="E196" s="1474">
        <f t="shared" si="2"/>
        <v>440000</v>
      </c>
      <c r="F196" s="699" t="s">
        <v>195</v>
      </c>
      <c r="G196" s="226" t="s">
        <v>8</v>
      </c>
      <c r="H196" s="699" t="s">
        <v>662</v>
      </c>
    </row>
    <row r="197" spans="1:8" s="205" customFormat="1" ht="20.100000000000001" customHeight="1">
      <c r="A197" s="699">
        <v>192</v>
      </c>
      <c r="B197" s="478" t="s">
        <v>2056</v>
      </c>
      <c r="C197" s="1474">
        <f>+'ครุภัณฑ์ (NEW) (การแพทย์)'!D195</f>
        <v>15000</v>
      </c>
      <c r="D197" s="495">
        <f>+'ครุภัณฑ์ (NEW) (การแพทย์)'!C195</f>
        <v>2</v>
      </c>
      <c r="E197" s="1474">
        <f t="shared" si="2"/>
        <v>30000</v>
      </c>
      <c r="F197" s="699" t="s">
        <v>195</v>
      </c>
      <c r="G197" s="226" t="s">
        <v>8</v>
      </c>
      <c r="H197" s="699" t="s">
        <v>662</v>
      </c>
    </row>
    <row r="198" spans="1:8" s="205" customFormat="1" ht="20.100000000000001" customHeight="1">
      <c r="A198" s="699">
        <v>193</v>
      </c>
      <c r="B198" s="2453" t="s">
        <v>2053</v>
      </c>
      <c r="C198" s="1474">
        <f>+'ครุภัณฑ์ (NEW) (การแพทย์)'!D196</f>
        <v>2000000</v>
      </c>
      <c r="D198" s="495">
        <f>+'ครุภัณฑ์ (NEW) (การแพทย์)'!C196</f>
        <v>1</v>
      </c>
      <c r="E198" s="1474">
        <f t="shared" si="2"/>
        <v>2000000</v>
      </c>
      <c r="F198" s="699" t="s">
        <v>195</v>
      </c>
      <c r="G198" s="226" t="s">
        <v>8</v>
      </c>
      <c r="H198" s="699" t="s">
        <v>662</v>
      </c>
    </row>
    <row r="199" spans="1:8" s="205" customFormat="1" ht="42">
      <c r="A199" s="699">
        <v>194</v>
      </c>
      <c r="B199" s="391" t="s">
        <v>2604</v>
      </c>
      <c r="C199" s="1474">
        <f>+'ครุภัณฑ์ (NEW) (การแพทย์)'!D197</f>
        <v>50000</v>
      </c>
      <c r="D199" s="495">
        <f>+'ครุภัณฑ์ (NEW) (การแพทย์)'!C197</f>
        <v>10</v>
      </c>
      <c r="E199" s="1474">
        <f t="shared" ref="E199:E249" si="3">+C199*D199</f>
        <v>500000</v>
      </c>
      <c r="F199" s="699" t="s">
        <v>195</v>
      </c>
      <c r="G199" s="226" t="s">
        <v>8</v>
      </c>
      <c r="H199" s="699" t="s">
        <v>662</v>
      </c>
    </row>
    <row r="200" spans="1:8" s="205" customFormat="1" ht="20.100000000000001" customHeight="1">
      <c r="A200" s="699">
        <v>195</v>
      </c>
      <c r="B200" s="478" t="s">
        <v>2066</v>
      </c>
      <c r="C200" s="1474">
        <f>+'ครุภัณฑ์ (NEW) (การแพทย์)'!D198</f>
        <v>7500</v>
      </c>
      <c r="D200" s="495">
        <f>+'ครุภัณฑ์ (NEW) (การแพทย์)'!C198</f>
        <v>1</v>
      </c>
      <c r="E200" s="1474">
        <f t="shared" si="3"/>
        <v>7500</v>
      </c>
      <c r="F200" s="699" t="s">
        <v>195</v>
      </c>
      <c r="G200" s="226" t="s">
        <v>8</v>
      </c>
      <c r="H200" s="699" t="s">
        <v>662</v>
      </c>
    </row>
    <row r="201" spans="1:8" s="205" customFormat="1" ht="20.100000000000001" customHeight="1">
      <c r="A201" s="699">
        <v>196</v>
      </c>
      <c r="B201" s="478" t="s">
        <v>2068</v>
      </c>
      <c r="C201" s="1474">
        <f>+'ครุภัณฑ์ (NEW) (การแพทย์)'!D199</f>
        <v>6000</v>
      </c>
      <c r="D201" s="495">
        <f>+'ครุภัณฑ์ (NEW) (การแพทย์)'!C199</f>
        <v>3</v>
      </c>
      <c r="E201" s="1474">
        <f t="shared" si="3"/>
        <v>18000</v>
      </c>
      <c r="F201" s="699" t="s">
        <v>195</v>
      </c>
      <c r="G201" s="226" t="s">
        <v>8</v>
      </c>
      <c r="H201" s="699" t="s">
        <v>662</v>
      </c>
    </row>
    <row r="202" spans="1:8" s="205" customFormat="1" ht="20.100000000000001" customHeight="1">
      <c r="A202" s="699">
        <v>197</v>
      </c>
      <c r="B202" s="478" t="s">
        <v>2071</v>
      </c>
      <c r="C202" s="1474">
        <f>+'ครุภัณฑ์ (NEW) (การแพทย์)'!D200</f>
        <v>35000</v>
      </c>
      <c r="D202" s="495">
        <f>+'ครุภัณฑ์ (NEW) (การแพทย์)'!C200</f>
        <v>2</v>
      </c>
      <c r="E202" s="1474">
        <f t="shared" si="3"/>
        <v>70000</v>
      </c>
      <c r="F202" s="699" t="s">
        <v>195</v>
      </c>
      <c r="G202" s="226" t="s">
        <v>8</v>
      </c>
      <c r="H202" s="699" t="s">
        <v>662</v>
      </c>
    </row>
    <row r="203" spans="1:8" s="205" customFormat="1" ht="20.100000000000001" customHeight="1">
      <c r="A203" s="699">
        <v>198</v>
      </c>
      <c r="B203" s="478" t="s">
        <v>2073</v>
      </c>
      <c r="C203" s="1474">
        <f>+'ครุภัณฑ์ (NEW) (การแพทย์)'!D201</f>
        <v>65000</v>
      </c>
      <c r="D203" s="495">
        <f>+'ครุภัณฑ์ (NEW) (การแพทย์)'!C201</f>
        <v>4</v>
      </c>
      <c r="E203" s="1474">
        <f t="shared" si="3"/>
        <v>260000</v>
      </c>
      <c r="F203" s="699" t="s">
        <v>195</v>
      </c>
      <c r="G203" s="226" t="s">
        <v>8</v>
      </c>
      <c r="H203" s="699" t="s">
        <v>662</v>
      </c>
    </row>
    <row r="204" spans="1:8" s="205" customFormat="1" ht="20.100000000000001" customHeight="1">
      <c r="A204" s="699">
        <v>199</v>
      </c>
      <c r="B204" s="478" t="s">
        <v>1039</v>
      </c>
      <c r="C204" s="1474">
        <f>+'ครุภัณฑ์ (NEW) (การแพทย์)'!D202</f>
        <v>300000</v>
      </c>
      <c r="D204" s="495">
        <f>+'ครุภัณฑ์ (NEW) (การแพทย์)'!C202</f>
        <v>1</v>
      </c>
      <c r="E204" s="1474">
        <f t="shared" si="3"/>
        <v>300000</v>
      </c>
      <c r="F204" s="699" t="s">
        <v>195</v>
      </c>
      <c r="G204" s="226" t="s">
        <v>8</v>
      </c>
      <c r="H204" s="699" t="s">
        <v>662</v>
      </c>
    </row>
    <row r="205" spans="1:8" s="205" customFormat="1" ht="20.100000000000001" customHeight="1">
      <c r="A205" s="699">
        <v>200</v>
      </c>
      <c r="B205" s="478" t="s">
        <v>2079</v>
      </c>
      <c r="C205" s="1474">
        <f>+'ครุภัณฑ์ (NEW) (การแพทย์)'!D203</f>
        <v>15000</v>
      </c>
      <c r="D205" s="495">
        <f>+'ครุภัณฑ์ (NEW) (การแพทย์)'!C203</f>
        <v>1</v>
      </c>
      <c r="E205" s="1474">
        <f t="shared" si="3"/>
        <v>15000</v>
      </c>
      <c r="F205" s="699" t="s">
        <v>195</v>
      </c>
      <c r="G205" s="226" t="s">
        <v>8</v>
      </c>
      <c r="H205" s="699" t="s">
        <v>662</v>
      </c>
    </row>
    <row r="206" spans="1:8" s="205" customFormat="1" ht="20.100000000000001" customHeight="1">
      <c r="A206" s="699">
        <v>201</v>
      </c>
      <c r="B206" s="478" t="s">
        <v>2086</v>
      </c>
      <c r="C206" s="1474">
        <f>+'ครุภัณฑ์ (NEW) (การแพทย์)'!D204</f>
        <v>125000</v>
      </c>
      <c r="D206" s="495">
        <f>+'ครุภัณฑ์ (NEW) (การแพทย์)'!C204</f>
        <v>4</v>
      </c>
      <c r="E206" s="1474">
        <f t="shared" si="3"/>
        <v>500000</v>
      </c>
      <c r="F206" s="699" t="s">
        <v>195</v>
      </c>
      <c r="G206" s="226" t="s">
        <v>8</v>
      </c>
      <c r="H206" s="699" t="s">
        <v>662</v>
      </c>
    </row>
    <row r="207" spans="1:8" s="205" customFormat="1" ht="20.100000000000001" customHeight="1">
      <c r="A207" s="699">
        <v>202</v>
      </c>
      <c r="B207" s="478" t="s">
        <v>2079</v>
      </c>
      <c r="C207" s="1474">
        <f>+'ครุภัณฑ์ (NEW) (การแพทย์)'!D205</f>
        <v>15000</v>
      </c>
      <c r="D207" s="495">
        <f>+'ครุภัณฑ์ (NEW) (การแพทย์)'!C205</f>
        <v>4</v>
      </c>
      <c r="E207" s="1474">
        <f t="shared" si="3"/>
        <v>60000</v>
      </c>
      <c r="F207" s="699" t="s">
        <v>195</v>
      </c>
      <c r="G207" s="226" t="s">
        <v>8</v>
      </c>
      <c r="H207" s="699" t="s">
        <v>662</v>
      </c>
    </row>
    <row r="208" spans="1:8" s="205" customFormat="1" ht="20.100000000000001" customHeight="1">
      <c r="A208" s="699">
        <v>203</v>
      </c>
      <c r="B208" s="478" t="s">
        <v>2089</v>
      </c>
      <c r="C208" s="1474">
        <f>+'ครุภัณฑ์ (NEW) (การแพทย์)'!D206</f>
        <v>5985000</v>
      </c>
      <c r="D208" s="495">
        <f>+'ครุภัณฑ์ (NEW) (การแพทย์)'!C206</f>
        <v>1</v>
      </c>
      <c r="E208" s="1474">
        <f t="shared" si="3"/>
        <v>5985000</v>
      </c>
      <c r="F208" s="699" t="s">
        <v>195</v>
      </c>
      <c r="G208" s="226" t="s">
        <v>8</v>
      </c>
      <c r="H208" s="699" t="s">
        <v>662</v>
      </c>
    </row>
    <row r="209" spans="1:8" s="205" customFormat="1" ht="20.100000000000001" customHeight="1">
      <c r="A209" s="699">
        <v>204</v>
      </c>
      <c r="B209" s="478" t="s">
        <v>2092</v>
      </c>
      <c r="C209" s="1474">
        <f>+'ครุภัณฑ์ (NEW) (การแพทย์)'!D207</f>
        <v>16900</v>
      </c>
      <c r="D209" s="495">
        <f>+'ครุภัณฑ์ (NEW) (การแพทย์)'!C207</f>
        <v>1</v>
      </c>
      <c r="E209" s="1474">
        <f t="shared" si="3"/>
        <v>16900</v>
      </c>
      <c r="F209" s="699" t="s">
        <v>195</v>
      </c>
      <c r="G209" s="226" t="s">
        <v>8</v>
      </c>
      <c r="H209" s="699" t="s">
        <v>662</v>
      </c>
    </row>
    <row r="210" spans="1:8" s="205" customFormat="1" ht="20.100000000000001" customHeight="1">
      <c r="A210" s="699">
        <v>205</v>
      </c>
      <c r="B210" s="2908" t="s">
        <v>2094</v>
      </c>
      <c r="C210" s="1474">
        <f>+'ครุภัณฑ์ (NEW) (การแพทย์)'!D208</f>
        <v>450000</v>
      </c>
      <c r="D210" s="495">
        <f>+'ครุภัณฑ์ (NEW) (การแพทย์)'!C208</f>
        <v>2</v>
      </c>
      <c r="E210" s="1474">
        <f t="shared" si="3"/>
        <v>900000</v>
      </c>
      <c r="F210" s="699" t="s">
        <v>195</v>
      </c>
      <c r="G210" s="226" t="s">
        <v>8</v>
      </c>
      <c r="H210" s="699" t="s">
        <v>662</v>
      </c>
    </row>
    <row r="211" spans="1:8" s="205" customFormat="1" ht="20.100000000000001" customHeight="1">
      <c r="A211" s="699">
        <v>206</v>
      </c>
      <c r="B211" s="478" t="s">
        <v>1915</v>
      </c>
      <c r="C211" s="1474">
        <f>+'ครุภัณฑ์ (NEW) (การแพทย์)'!D209</f>
        <v>50000</v>
      </c>
      <c r="D211" s="495">
        <f>+'ครุภัณฑ์ (NEW) (การแพทย์)'!C209</f>
        <v>1</v>
      </c>
      <c r="E211" s="1474">
        <f t="shared" si="3"/>
        <v>50000</v>
      </c>
      <c r="F211" s="699" t="s">
        <v>195</v>
      </c>
      <c r="G211" s="226" t="s">
        <v>8</v>
      </c>
      <c r="H211" s="699" t="s">
        <v>662</v>
      </c>
    </row>
    <row r="212" spans="1:8" s="205" customFormat="1" ht="20.100000000000001" customHeight="1">
      <c r="A212" s="699">
        <v>207</v>
      </c>
      <c r="B212" s="478" t="s">
        <v>2096</v>
      </c>
      <c r="C212" s="1474">
        <f>+'ครุภัณฑ์ (NEW) (การแพทย์)'!D210</f>
        <v>33705</v>
      </c>
      <c r="D212" s="495">
        <f>+'ครุภัณฑ์ (NEW) (การแพทย์)'!C210</f>
        <v>2</v>
      </c>
      <c r="E212" s="1474">
        <f t="shared" si="3"/>
        <v>67410</v>
      </c>
      <c r="F212" s="699" t="s">
        <v>195</v>
      </c>
      <c r="G212" s="226" t="s">
        <v>8</v>
      </c>
      <c r="H212" s="699" t="s">
        <v>662</v>
      </c>
    </row>
    <row r="213" spans="1:8" s="205" customFormat="1" ht="20.100000000000001" customHeight="1">
      <c r="A213" s="699">
        <v>208</v>
      </c>
      <c r="B213" s="478" t="s">
        <v>2104</v>
      </c>
      <c r="C213" s="1474">
        <f>+'ครุภัณฑ์ (NEW) (การแพทย์)'!D211</f>
        <v>38413</v>
      </c>
      <c r="D213" s="495">
        <f>+'ครุภัณฑ์ (NEW) (การแพทย์)'!C211</f>
        <v>1</v>
      </c>
      <c r="E213" s="1474">
        <f t="shared" si="3"/>
        <v>38413</v>
      </c>
      <c r="F213" s="699" t="s">
        <v>195</v>
      </c>
      <c r="G213" s="226" t="s">
        <v>8</v>
      </c>
      <c r="H213" s="699" t="s">
        <v>662</v>
      </c>
    </row>
    <row r="214" spans="1:8" s="205" customFormat="1" ht="20.100000000000001" customHeight="1">
      <c r="A214" s="699">
        <v>209</v>
      </c>
      <c r="B214" s="478" t="s">
        <v>2115</v>
      </c>
      <c r="C214" s="1474">
        <f>+'ครุภัณฑ์ (NEW) (การแพทย์)'!D212</f>
        <v>65000</v>
      </c>
      <c r="D214" s="495">
        <f>+'ครุภัณฑ์ (NEW) (การแพทย์)'!C212</f>
        <v>1</v>
      </c>
      <c r="E214" s="1474">
        <f t="shared" si="3"/>
        <v>65000</v>
      </c>
      <c r="F214" s="699" t="s">
        <v>195</v>
      </c>
      <c r="G214" s="226" t="s">
        <v>8</v>
      </c>
      <c r="H214" s="699" t="s">
        <v>662</v>
      </c>
    </row>
    <row r="215" spans="1:8" s="205" customFormat="1" ht="20.100000000000001" customHeight="1">
      <c r="A215" s="699">
        <v>210</v>
      </c>
      <c r="B215" s="478" t="s">
        <v>2121</v>
      </c>
      <c r="C215" s="1474">
        <f>+'ครุภัณฑ์ (NEW) (การแพทย์)'!D213</f>
        <v>45900</v>
      </c>
      <c r="D215" s="495">
        <f>+'ครุภัณฑ์ (NEW) (การแพทย์)'!C213</f>
        <v>1</v>
      </c>
      <c r="E215" s="1474">
        <f t="shared" si="3"/>
        <v>45900</v>
      </c>
      <c r="F215" s="699" t="s">
        <v>195</v>
      </c>
      <c r="G215" s="226" t="s">
        <v>8</v>
      </c>
      <c r="H215" s="699" t="s">
        <v>662</v>
      </c>
    </row>
    <row r="216" spans="1:8" s="205" customFormat="1" ht="20.100000000000001" customHeight="1">
      <c r="A216" s="699">
        <v>211</v>
      </c>
      <c r="B216" s="478" t="s">
        <v>448</v>
      </c>
      <c r="C216" s="1474">
        <f>+'ครุภัณฑ์ (NEW) (การแพทย์)'!D214</f>
        <v>202658</v>
      </c>
      <c r="D216" s="495">
        <f>+'ครุภัณฑ์ (NEW) (การแพทย์)'!C214</f>
        <v>1</v>
      </c>
      <c r="E216" s="1474">
        <f t="shared" si="3"/>
        <v>202658</v>
      </c>
      <c r="F216" s="699" t="s">
        <v>195</v>
      </c>
      <c r="G216" s="226" t="s">
        <v>8</v>
      </c>
      <c r="H216" s="699" t="s">
        <v>662</v>
      </c>
    </row>
    <row r="217" spans="1:8" s="205" customFormat="1" ht="20.100000000000001" customHeight="1">
      <c r="A217" s="699">
        <v>212</v>
      </c>
      <c r="B217" s="478" t="s">
        <v>2125</v>
      </c>
      <c r="C217" s="1474">
        <f>+'ครุภัณฑ์ (NEW) (การแพทย์)'!D215</f>
        <v>40000</v>
      </c>
      <c r="D217" s="495">
        <f>+'ครุภัณฑ์ (NEW) (การแพทย์)'!C215</f>
        <v>1</v>
      </c>
      <c r="E217" s="1474">
        <f t="shared" si="3"/>
        <v>40000</v>
      </c>
      <c r="F217" s="699" t="s">
        <v>195</v>
      </c>
      <c r="G217" s="226" t="s">
        <v>8</v>
      </c>
      <c r="H217" s="699" t="s">
        <v>662</v>
      </c>
    </row>
    <row r="218" spans="1:8" s="205" customFormat="1" ht="20.100000000000001" customHeight="1">
      <c r="A218" s="699">
        <v>213</v>
      </c>
      <c r="B218" s="478" t="s">
        <v>2126</v>
      </c>
      <c r="C218" s="1474">
        <f>+'ครุภัณฑ์ (NEW) (การแพทย์)'!D216</f>
        <v>6000</v>
      </c>
      <c r="D218" s="495">
        <f>+'ครุภัณฑ์ (NEW) (การแพทย์)'!C216</f>
        <v>2</v>
      </c>
      <c r="E218" s="1474">
        <f t="shared" si="3"/>
        <v>12000</v>
      </c>
      <c r="F218" s="699" t="s">
        <v>195</v>
      </c>
      <c r="G218" s="226" t="s">
        <v>8</v>
      </c>
      <c r="H218" s="699" t="s">
        <v>662</v>
      </c>
    </row>
    <row r="219" spans="1:8" s="205" customFormat="1" ht="20.100000000000001" customHeight="1">
      <c r="A219" s="699">
        <v>214</v>
      </c>
      <c r="B219" s="478" t="s">
        <v>2127</v>
      </c>
      <c r="C219" s="1474">
        <f>+'ครุภัณฑ์ (NEW) (การแพทย์)'!D217</f>
        <v>14600</v>
      </c>
      <c r="D219" s="495">
        <f>+'ครุภัณฑ์ (NEW) (การแพทย์)'!C217</f>
        <v>1</v>
      </c>
      <c r="E219" s="1474">
        <f t="shared" si="3"/>
        <v>14600</v>
      </c>
      <c r="F219" s="699" t="s">
        <v>195</v>
      </c>
      <c r="G219" s="226" t="s">
        <v>8</v>
      </c>
      <c r="H219" s="699" t="s">
        <v>662</v>
      </c>
    </row>
    <row r="220" spans="1:8" s="205" customFormat="1" ht="20.100000000000001" customHeight="1">
      <c r="A220" s="699">
        <v>215</v>
      </c>
      <c r="B220" s="478" t="s">
        <v>2475</v>
      </c>
      <c r="C220" s="1474">
        <f>+'ครุภัณฑ์ (NEW) (การแพทย์)'!D218</f>
        <v>7500</v>
      </c>
      <c r="D220" s="495">
        <f>+'ครุภัณฑ์ (NEW) (การแพทย์)'!C218</f>
        <v>1</v>
      </c>
      <c r="E220" s="1474">
        <f t="shared" si="3"/>
        <v>7500</v>
      </c>
      <c r="F220" s="699" t="s">
        <v>195</v>
      </c>
      <c r="G220" s="226" t="s">
        <v>8</v>
      </c>
      <c r="H220" s="699" t="s">
        <v>662</v>
      </c>
    </row>
    <row r="221" spans="1:8" s="205" customFormat="1" ht="20.100000000000001" customHeight="1">
      <c r="A221" s="699">
        <v>216</v>
      </c>
      <c r="B221" s="478" t="s">
        <v>2001</v>
      </c>
      <c r="C221" s="1474">
        <f>+'ครุภัณฑ์ (NEW) (การแพทย์)'!D219</f>
        <v>40000</v>
      </c>
      <c r="D221" s="495">
        <f>+'ครุภัณฑ์ (NEW) (การแพทย์)'!C219</f>
        <v>1</v>
      </c>
      <c r="E221" s="1474">
        <f t="shared" si="3"/>
        <v>40000</v>
      </c>
      <c r="F221" s="699" t="s">
        <v>195</v>
      </c>
      <c r="G221" s="226" t="s">
        <v>8</v>
      </c>
      <c r="H221" s="699" t="s">
        <v>662</v>
      </c>
    </row>
    <row r="222" spans="1:8" s="205" customFormat="1" ht="20.100000000000001" customHeight="1">
      <c r="A222" s="699">
        <v>217</v>
      </c>
      <c r="B222" s="478" t="s">
        <v>2139</v>
      </c>
      <c r="C222" s="1474">
        <f>+'ครุภัณฑ์ (NEW) (การแพทย์)'!D220</f>
        <v>150000</v>
      </c>
      <c r="D222" s="495">
        <f>+'ครุภัณฑ์ (NEW) (การแพทย์)'!C220</f>
        <v>1</v>
      </c>
      <c r="E222" s="1474">
        <f t="shared" si="3"/>
        <v>150000</v>
      </c>
      <c r="F222" s="699" t="s">
        <v>195</v>
      </c>
      <c r="G222" s="226" t="s">
        <v>8</v>
      </c>
      <c r="H222" s="699" t="s">
        <v>662</v>
      </c>
    </row>
    <row r="223" spans="1:8" s="205" customFormat="1" ht="20.100000000000001" customHeight="1">
      <c r="A223" s="699">
        <v>218</v>
      </c>
      <c r="B223" s="478" t="s">
        <v>1357</v>
      </c>
      <c r="C223" s="1474">
        <f>+'ครุภัณฑ์ (NEW) (การแพทย์)'!D221</f>
        <v>20000</v>
      </c>
      <c r="D223" s="495">
        <f>+'ครุภัณฑ์ (NEW) (การแพทย์)'!C221</f>
        <v>1</v>
      </c>
      <c r="E223" s="1474">
        <f t="shared" si="3"/>
        <v>20000</v>
      </c>
      <c r="F223" s="699" t="s">
        <v>195</v>
      </c>
      <c r="G223" s="226" t="s">
        <v>8</v>
      </c>
      <c r="H223" s="699" t="s">
        <v>662</v>
      </c>
    </row>
    <row r="224" spans="1:8" s="205" customFormat="1" ht="20.100000000000001" customHeight="1">
      <c r="A224" s="699">
        <v>219</v>
      </c>
      <c r="B224" s="478" t="s">
        <v>1772</v>
      </c>
      <c r="C224" s="1474">
        <f>+'ครุภัณฑ์ (NEW) (การแพทย์)'!D222</f>
        <v>750000</v>
      </c>
      <c r="D224" s="495">
        <f>+'ครุภัณฑ์ (NEW) (การแพทย์)'!C222</f>
        <v>1</v>
      </c>
      <c r="E224" s="1474">
        <f t="shared" si="3"/>
        <v>750000</v>
      </c>
      <c r="F224" s="699" t="s">
        <v>195</v>
      </c>
      <c r="G224" s="226" t="s">
        <v>8</v>
      </c>
      <c r="H224" s="699" t="s">
        <v>662</v>
      </c>
    </row>
    <row r="225" spans="1:8" s="205" customFormat="1" ht="20.100000000000001" customHeight="1">
      <c r="A225" s="699">
        <v>220</v>
      </c>
      <c r="B225" s="478" t="s">
        <v>1773</v>
      </c>
      <c r="C225" s="1474">
        <f>+'ครุภัณฑ์ (NEW) (การแพทย์)'!D223</f>
        <v>1500000</v>
      </c>
      <c r="D225" s="495">
        <f>+'ครุภัณฑ์ (NEW) (การแพทย์)'!C223</f>
        <v>1</v>
      </c>
      <c r="E225" s="1474">
        <f t="shared" si="3"/>
        <v>1500000</v>
      </c>
      <c r="F225" s="699" t="s">
        <v>195</v>
      </c>
      <c r="G225" s="226" t="s">
        <v>8</v>
      </c>
      <c r="H225" s="699" t="s">
        <v>662</v>
      </c>
    </row>
    <row r="226" spans="1:8" s="205" customFormat="1" ht="20.100000000000001" customHeight="1">
      <c r="A226" s="699">
        <v>221</v>
      </c>
      <c r="B226" s="478" t="s">
        <v>2151</v>
      </c>
      <c r="C226" s="1474">
        <f>+'ครุภัณฑ์ (NEW) (การแพทย์)'!D224</f>
        <v>440000</v>
      </c>
      <c r="D226" s="495">
        <f>+'ครุภัณฑ์ (NEW) (การแพทย์)'!C224</f>
        <v>1</v>
      </c>
      <c r="E226" s="1474">
        <f t="shared" si="3"/>
        <v>440000</v>
      </c>
      <c r="F226" s="699" t="s">
        <v>195</v>
      </c>
      <c r="G226" s="226" t="s">
        <v>8</v>
      </c>
      <c r="H226" s="699" t="s">
        <v>662</v>
      </c>
    </row>
    <row r="227" spans="1:8" s="205" customFormat="1" ht="20.100000000000001" customHeight="1">
      <c r="A227" s="699">
        <v>222</v>
      </c>
      <c r="B227" s="478" t="s">
        <v>1819</v>
      </c>
      <c r="C227" s="1474">
        <f>+'ครุภัณฑ์ (NEW) (การแพทย์)'!D225</f>
        <v>2500</v>
      </c>
      <c r="D227" s="495">
        <f>+'ครุภัณฑ์ (NEW) (การแพทย์)'!C225</f>
        <v>8</v>
      </c>
      <c r="E227" s="1474">
        <f t="shared" si="3"/>
        <v>20000</v>
      </c>
      <c r="F227" s="699" t="s">
        <v>195</v>
      </c>
      <c r="G227" s="226" t="s">
        <v>8</v>
      </c>
      <c r="H227" s="699" t="s">
        <v>662</v>
      </c>
    </row>
    <row r="228" spans="1:8" s="205" customFormat="1" ht="20.100000000000001" customHeight="1">
      <c r="A228" s="699">
        <v>223</v>
      </c>
      <c r="B228" s="478" t="s">
        <v>1994</v>
      </c>
      <c r="C228" s="1474">
        <f>+'ครุภัณฑ์ (NEW) (การแพทย์)'!D226</f>
        <v>1600000</v>
      </c>
      <c r="D228" s="495">
        <f>+'ครุภัณฑ์ (NEW) (การแพทย์)'!C226</f>
        <v>2</v>
      </c>
      <c r="E228" s="1474">
        <f t="shared" si="3"/>
        <v>3200000</v>
      </c>
      <c r="F228" s="699" t="s">
        <v>195</v>
      </c>
      <c r="G228" s="226" t="s">
        <v>8</v>
      </c>
      <c r="H228" s="699" t="s">
        <v>662</v>
      </c>
    </row>
    <row r="229" spans="1:8" s="205" customFormat="1" ht="20.100000000000001" customHeight="1">
      <c r="A229" s="699">
        <v>224</v>
      </c>
      <c r="B229" s="478" t="s">
        <v>2143</v>
      </c>
      <c r="C229" s="1474">
        <f>+'ครุภัณฑ์ (NEW) (การแพทย์)'!D227</f>
        <v>14500</v>
      </c>
      <c r="D229" s="495">
        <f>+'ครุภัณฑ์ (NEW) (การแพทย์)'!C227</f>
        <v>2</v>
      </c>
      <c r="E229" s="1474">
        <f t="shared" si="3"/>
        <v>29000</v>
      </c>
      <c r="F229" s="699" t="s">
        <v>195</v>
      </c>
      <c r="G229" s="226" t="s">
        <v>8</v>
      </c>
      <c r="H229" s="699" t="s">
        <v>662</v>
      </c>
    </row>
    <row r="230" spans="1:8" s="205" customFormat="1" ht="20.100000000000001" customHeight="1">
      <c r="A230" s="699">
        <v>225</v>
      </c>
      <c r="B230" s="478" t="s">
        <v>2140</v>
      </c>
      <c r="C230" s="1474">
        <f>+'ครุภัณฑ์ (NEW) (การแพทย์)'!D228</f>
        <v>13000</v>
      </c>
      <c r="D230" s="495">
        <f>+'ครุภัณฑ์ (NEW) (การแพทย์)'!C228</f>
        <v>1</v>
      </c>
      <c r="E230" s="1474">
        <f t="shared" si="3"/>
        <v>13000</v>
      </c>
      <c r="F230" s="699" t="s">
        <v>195</v>
      </c>
      <c r="G230" s="226" t="s">
        <v>8</v>
      </c>
      <c r="H230" s="699" t="s">
        <v>662</v>
      </c>
    </row>
    <row r="231" spans="1:8" s="205" customFormat="1" ht="20.100000000000001" customHeight="1">
      <c r="A231" s="699">
        <v>226</v>
      </c>
      <c r="B231" s="478" t="s">
        <v>1907</v>
      </c>
      <c r="C231" s="257">
        <f>+'ครุภัณฑ์ (NEW) (การแพทย์)'!D234</f>
        <v>3200</v>
      </c>
      <c r="D231" s="1632">
        <f>+'ครุภัณฑ์ (NEW) (การแพทย์)'!C234</f>
        <v>4</v>
      </c>
      <c r="E231" s="1474">
        <f t="shared" si="3"/>
        <v>12800</v>
      </c>
      <c r="F231" s="233" t="s">
        <v>233</v>
      </c>
      <c r="G231" s="226" t="s">
        <v>8</v>
      </c>
      <c r="H231" s="699" t="s">
        <v>662</v>
      </c>
    </row>
    <row r="232" spans="1:8" s="205" customFormat="1" ht="20.100000000000001" customHeight="1">
      <c r="A232" s="699">
        <v>227</v>
      </c>
      <c r="B232" s="478" t="s">
        <v>1908</v>
      </c>
      <c r="C232" s="257">
        <f>+'ครุภัณฑ์ (NEW) (การแพทย์)'!D235</f>
        <v>90900</v>
      </c>
      <c r="D232" s="1632">
        <f>+'ครุภัณฑ์ (NEW) (การแพทย์)'!C235</f>
        <v>2</v>
      </c>
      <c r="E232" s="1474">
        <f t="shared" si="3"/>
        <v>181800</v>
      </c>
      <c r="F232" s="233" t="s">
        <v>233</v>
      </c>
      <c r="G232" s="226" t="s">
        <v>8</v>
      </c>
      <c r="H232" s="699" t="s">
        <v>662</v>
      </c>
    </row>
    <row r="233" spans="1:8" s="205" customFormat="1" ht="20.100000000000001" customHeight="1">
      <c r="A233" s="699">
        <v>228</v>
      </c>
      <c r="B233" s="260" t="s">
        <v>2494</v>
      </c>
      <c r="C233" s="257">
        <f>+'ครุภัณฑ์ (NEW) (การแพทย์)'!D236</f>
        <v>250000</v>
      </c>
      <c r="D233" s="1632">
        <f>+'ครุภัณฑ์ (NEW) (การแพทย์)'!C236</f>
        <v>1</v>
      </c>
      <c r="E233" s="1474">
        <f t="shared" si="3"/>
        <v>250000</v>
      </c>
      <c r="F233" s="233" t="s">
        <v>233</v>
      </c>
      <c r="G233" s="226" t="s">
        <v>8</v>
      </c>
      <c r="H233" s="699" t="s">
        <v>662</v>
      </c>
    </row>
    <row r="234" spans="1:8" s="205" customFormat="1" ht="42">
      <c r="A234" s="699">
        <v>229</v>
      </c>
      <c r="B234" s="391" t="s">
        <v>2586</v>
      </c>
      <c r="C234" s="257">
        <f>+'ครุภัณฑ์ (NEW) (การแพทย์)'!D237</f>
        <v>98600</v>
      </c>
      <c r="D234" s="1632">
        <f>+'ครุภัณฑ์ (NEW) (การแพทย์)'!C237</f>
        <v>1</v>
      </c>
      <c r="E234" s="1474">
        <f t="shared" si="3"/>
        <v>98600</v>
      </c>
      <c r="F234" s="233" t="s">
        <v>233</v>
      </c>
      <c r="G234" s="226" t="s">
        <v>8</v>
      </c>
      <c r="H234" s="699" t="s">
        <v>662</v>
      </c>
    </row>
    <row r="235" spans="1:8" s="205" customFormat="1" ht="42">
      <c r="A235" s="699">
        <v>230</v>
      </c>
      <c r="B235" s="391" t="s">
        <v>2587</v>
      </c>
      <c r="C235" s="257">
        <f>+'ครุภัณฑ์ (NEW) (การแพทย์)'!D238</f>
        <v>91400</v>
      </c>
      <c r="D235" s="1632">
        <f>+'ครุภัณฑ์ (NEW) (การแพทย์)'!C238</f>
        <v>1</v>
      </c>
      <c r="E235" s="1474">
        <f t="shared" si="3"/>
        <v>91400</v>
      </c>
      <c r="F235" s="233" t="s">
        <v>233</v>
      </c>
      <c r="G235" s="226" t="s">
        <v>8</v>
      </c>
      <c r="H235" s="699" t="s">
        <v>662</v>
      </c>
    </row>
    <row r="236" spans="1:8" s="205" customFormat="1" ht="42">
      <c r="A236" s="699">
        <v>231</v>
      </c>
      <c r="B236" s="391" t="s">
        <v>2588</v>
      </c>
      <c r="C236" s="257">
        <f>+'ครุภัณฑ์ (NEW) (การแพทย์)'!D239</f>
        <v>32000</v>
      </c>
      <c r="D236" s="1632">
        <f>+'ครุภัณฑ์ (NEW) (การแพทย์)'!C239</f>
        <v>5</v>
      </c>
      <c r="E236" s="1474">
        <f t="shared" si="3"/>
        <v>160000</v>
      </c>
      <c r="F236" s="233" t="s">
        <v>233</v>
      </c>
      <c r="G236" s="226" t="s">
        <v>8</v>
      </c>
      <c r="H236" s="699" t="s">
        <v>662</v>
      </c>
    </row>
    <row r="237" spans="1:8" s="205" customFormat="1" ht="42">
      <c r="A237" s="699">
        <v>232</v>
      </c>
      <c r="B237" s="391" t="s">
        <v>2589</v>
      </c>
      <c r="C237" s="257">
        <f>+'ครุภัณฑ์ (NEW) (การแพทย์)'!D240</f>
        <v>32000</v>
      </c>
      <c r="D237" s="1632">
        <f>+'ครุภัณฑ์ (NEW) (การแพทย์)'!C240</f>
        <v>5</v>
      </c>
      <c r="E237" s="1474">
        <f t="shared" si="3"/>
        <v>160000</v>
      </c>
      <c r="F237" s="233" t="s">
        <v>233</v>
      </c>
      <c r="G237" s="226" t="s">
        <v>8</v>
      </c>
      <c r="H237" s="699" t="s">
        <v>662</v>
      </c>
    </row>
    <row r="238" spans="1:8" s="205" customFormat="1" ht="20.100000000000001" customHeight="1">
      <c r="A238" s="699">
        <v>233</v>
      </c>
      <c r="B238" s="478" t="s">
        <v>1914</v>
      </c>
      <c r="C238" s="257">
        <f>+'ครุภัณฑ์ (NEW) (การแพทย์)'!D241</f>
        <v>7700</v>
      </c>
      <c r="D238" s="1632">
        <f>+'ครุภัณฑ์ (NEW) (การแพทย์)'!C241</f>
        <v>2</v>
      </c>
      <c r="E238" s="1474">
        <f t="shared" si="3"/>
        <v>15400</v>
      </c>
      <c r="F238" s="233" t="s">
        <v>233</v>
      </c>
      <c r="G238" s="226" t="s">
        <v>8</v>
      </c>
      <c r="H238" s="699" t="s">
        <v>662</v>
      </c>
    </row>
    <row r="239" spans="1:8" s="205" customFormat="1" ht="20.100000000000001" customHeight="1">
      <c r="A239" s="699">
        <v>234</v>
      </c>
      <c r="B239" s="478" t="s">
        <v>1915</v>
      </c>
      <c r="C239" s="257">
        <f>+'ครุภัณฑ์ (NEW) (การแพทย์)'!D242</f>
        <v>50000</v>
      </c>
      <c r="D239" s="1632">
        <f>+'ครุภัณฑ์ (NEW) (การแพทย์)'!C242</f>
        <v>1</v>
      </c>
      <c r="E239" s="1474">
        <f t="shared" si="3"/>
        <v>50000</v>
      </c>
      <c r="F239" s="233" t="s">
        <v>233</v>
      </c>
      <c r="G239" s="226" t="s">
        <v>8</v>
      </c>
      <c r="H239" s="699" t="s">
        <v>662</v>
      </c>
    </row>
    <row r="240" spans="1:8" s="205" customFormat="1" ht="20.100000000000001" customHeight="1">
      <c r="A240" s="699">
        <v>235</v>
      </c>
      <c r="B240" s="478" t="s">
        <v>1916</v>
      </c>
      <c r="C240" s="257">
        <f>+'ครุภัณฑ์ (NEW) (การแพทย์)'!D243</f>
        <v>40000</v>
      </c>
      <c r="D240" s="1632">
        <f>+'ครุภัณฑ์ (NEW) (การแพทย์)'!C243</f>
        <v>1</v>
      </c>
      <c r="E240" s="1474">
        <f t="shared" si="3"/>
        <v>40000</v>
      </c>
      <c r="F240" s="233" t="s">
        <v>233</v>
      </c>
      <c r="G240" s="226" t="s">
        <v>8</v>
      </c>
      <c r="H240" s="699" t="s">
        <v>662</v>
      </c>
    </row>
    <row r="241" spans="1:8" s="205" customFormat="1" ht="20.100000000000001" customHeight="1">
      <c r="A241" s="699">
        <v>236</v>
      </c>
      <c r="B241" s="478" t="s">
        <v>1917</v>
      </c>
      <c r="C241" s="257">
        <f>+'ครุภัณฑ์ (NEW) (การแพทย์)'!D244</f>
        <v>150000</v>
      </c>
      <c r="D241" s="1632">
        <f>+'ครุภัณฑ์ (NEW) (การแพทย์)'!C244</f>
        <v>1</v>
      </c>
      <c r="E241" s="1474">
        <f t="shared" si="3"/>
        <v>150000</v>
      </c>
      <c r="F241" s="233" t="s">
        <v>233</v>
      </c>
      <c r="G241" s="226" t="s">
        <v>8</v>
      </c>
      <c r="H241" s="699" t="s">
        <v>662</v>
      </c>
    </row>
    <row r="242" spans="1:8" s="205" customFormat="1" ht="20.100000000000001" customHeight="1">
      <c r="A242" s="699">
        <v>237</v>
      </c>
      <c r="B242" s="478" t="s">
        <v>2450</v>
      </c>
      <c r="C242" s="257">
        <f>+'ครุภัณฑ์ (NEW) (การแพทย์)'!D245</f>
        <v>50000</v>
      </c>
      <c r="D242" s="1632">
        <f>+'ครุภัณฑ์ (NEW) (การแพทย์)'!C245</f>
        <v>1</v>
      </c>
      <c r="E242" s="1474">
        <f t="shared" si="3"/>
        <v>50000</v>
      </c>
      <c r="F242" s="233" t="s">
        <v>233</v>
      </c>
      <c r="G242" s="226" t="s">
        <v>8</v>
      </c>
      <c r="H242" s="699" t="s">
        <v>662</v>
      </c>
    </row>
    <row r="243" spans="1:8" s="205" customFormat="1" ht="20.100000000000001" customHeight="1">
      <c r="A243" s="699">
        <v>238</v>
      </c>
      <c r="B243" s="478" t="s">
        <v>1919</v>
      </c>
      <c r="C243" s="257">
        <f>+'ครุภัณฑ์ (NEW) (การแพทย์)'!D246</f>
        <v>400000</v>
      </c>
      <c r="D243" s="1632">
        <f>+'ครุภัณฑ์ (NEW) (การแพทย์)'!C246</f>
        <v>1</v>
      </c>
      <c r="E243" s="1474">
        <f t="shared" si="3"/>
        <v>400000</v>
      </c>
      <c r="F243" s="233" t="s">
        <v>233</v>
      </c>
      <c r="G243" s="226" t="s">
        <v>8</v>
      </c>
      <c r="H243" s="699" t="s">
        <v>662</v>
      </c>
    </row>
    <row r="244" spans="1:8" s="205" customFormat="1" ht="42">
      <c r="A244" s="699">
        <v>239</v>
      </c>
      <c r="B244" s="391" t="s">
        <v>2585</v>
      </c>
      <c r="C244" s="257">
        <f>+'ครุภัณฑ์ (NEW) (การแพทย์)'!D247</f>
        <v>80000</v>
      </c>
      <c r="D244" s="1632">
        <f>+'ครุภัณฑ์ (NEW) (การแพทย์)'!C247</f>
        <v>1</v>
      </c>
      <c r="E244" s="1474">
        <f t="shared" si="3"/>
        <v>80000</v>
      </c>
      <c r="F244" s="233" t="s">
        <v>233</v>
      </c>
      <c r="G244" s="226" t="s">
        <v>8</v>
      </c>
      <c r="H244" s="699" t="s">
        <v>662</v>
      </c>
    </row>
    <row r="245" spans="1:8" s="205" customFormat="1" ht="20.100000000000001" customHeight="1">
      <c r="A245" s="699">
        <v>240</v>
      </c>
      <c r="B245" s="478" t="s">
        <v>2001</v>
      </c>
      <c r="C245" s="257">
        <f>+'ครุภัณฑ์ (NEW) (การแพทย์)'!D248</f>
        <v>40000</v>
      </c>
      <c r="D245" s="1632">
        <f>+'ครุภัณฑ์ (NEW) (การแพทย์)'!C248</f>
        <v>1</v>
      </c>
      <c r="E245" s="1474">
        <f t="shared" si="3"/>
        <v>40000</v>
      </c>
      <c r="F245" s="233" t="s">
        <v>233</v>
      </c>
      <c r="G245" s="226" t="s">
        <v>8</v>
      </c>
      <c r="H245" s="699" t="s">
        <v>662</v>
      </c>
    </row>
    <row r="246" spans="1:8" s="205" customFormat="1" ht="20.100000000000001" customHeight="1">
      <c r="A246" s="699">
        <v>241</v>
      </c>
      <c r="B246" s="478" t="s">
        <v>2123</v>
      </c>
      <c r="C246" s="257">
        <f>+'ครุภัณฑ์ (NEW) (การแพทย์)'!D249</f>
        <v>15000</v>
      </c>
      <c r="D246" s="1632">
        <f>+'ครุภัณฑ์ (NEW) (การแพทย์)'!C249</f>
        <v>1</v>
      </c>
      <c r="E246" s="1474">
        <f t="shared" si="3"/>
        <v>15000</v>
      </c>
      <c r="F246" s="233" t="s">
        <v>233</v>
      </c>
      <c r="G246" s="226" t="s">
        <v>8</v>
      </c>
      <c r="H246" s="699" t="s">
        <v>662</v>
      </c>
    </row>
    <row r="247" spans="1:8" s="205" customFormat="1" ht="63">
      <c r="A247" s="699">
        <v>242</v>
      </c>
      <c r="B247" s="260" t="s">
        <v>2590</v>
      </c>
      <c r="C247" s="257">
        <f>+'ครุภัณฑ์ (NEW) (การแพทย์)'!D250</f>
        <v>25000</v>
      </c>
      <c r="D247" s="1632">
        <f>+'ครุภัณฑ์ (NEW) (การแพทย์)'!C250</f>
        <v>3</v>
      </c>
      <c r="E247" s="1474">
        <f t="shared" si="3"/>
        <v>75000</v>
      </c>
      <c r="F247" s="233" t="s">
        <v>233</v>
      </c>
      <c r="G247" s="226" t="s">
        <v>8</v>
      </c>
      <c r="H247" s="699" t="s">
        <v>662</v>
      </c>
    </row>
    <row r="248" spans="1:8" s="205" customFormat="1" ht="20.100000000000001" customHeight="1">
      <c r="A248" s="699">
        <v>243</v>
      </c>
      <c r="B248" s="478" t="s">
        <v>1861</v>
      </c>
      <c r="C248" s="257">
        <f>+'ครุภัณฑ์ (NEW) (การแพทย์)'!D251</f>
        <v>40000</v>
      </c>
      <c r="D248" s="1632">
        <f>+'ครุภัณฑ์ (NEW) (การแพทย์)'!C251</f>
        <v>1</v>
      </c>
      <c r="E248" s="1474">
        <f t="shared" si="3"/>
        <v>40000</v>
      </c>
      <c r="F248" s="233" t="s">
        <v>233</v>
      </c>
      <c r="G248" s="226" t="s">
        <v>8</v>
      </c>
      <c r="H248" s="699" t="s">
        <v>662</v>
      </c>
    </row>
    <row r="249" spans="1:8" s="205" customFormat="1" ht="42">
      <c r="A249" s="699">
        <v>244</v>
      </c>
      <c r="B249" s="260" t="s">
        <v>1998</v>
      </c>
      <c r="C249" s="257">
        <f>+'ครุภัณฑ์ (NEW) (การแพทย์)'!D252</f>
        <v>100000</v>
      </c>
      <c r="D249" s="1632">
        <f>+'ครุภัณฑ์ (NEW) (การแพทย์)'!C252</f>
        <v>1</v>
      </c>
      <c r="E249" s="1474">
        <f t="shared" si="3"/>
        <v>100000</v>
      </c>
      <c r="F249" s="233" t="s">
        <v>233</v>
      </c>
      <c r="G249" s="226" t="s">
        <v>8</v>
      </c>
      <c r="H249" s="699" t="s">
        <v>662</v>
      </c>
    </row>
    <row r="250" spans="1:8" s="205" customFormat="1" ht="18.75" customHeight="1">
      <c r="A250" s="699">
        <v>245</v>
      </c>
      <c r="B250" s="478" t="s">
        <v>2091</v>
      </c>
      <c r="C250" s="257">
        <f>+'ครุภัณฑ์ (NEW) (การแพทย์)'!D253</f>
        <v>21500</v>
      </c>
      <c r="D250" s="1632">
        <f>+'ครุภัณฑ์ (NEW) (การแพทย์)'!C253</f>
        <v>1</v>
      </c>
      <c r="E250" s="1474">
        <f>+'ครุภัณฑ์ (NEW) (การแพทย์)'!E253</f>
        <v>21500</v>
      </c>
      <c r="F250" s="233" t="s">
        <v>233</v>
      </c>
      <c r="G250" s="226" t="s">
        <v>8</v>
      </c>
      <c r="H250" s="699" t="s">
        <v>662</v>
      </c>
    </row>
    <row r="251" spans="1:8" s="205" customFormat="1" ht="18.75" customHeight="1">
      <c r="A251" s="699">
        <v>246</v>
      </c>
      <c r="B251" s="478" t="s">
        <v>1921</v>
      </c>
      <c r="C251" s="257">
        <f>+'ครุภัณฑ์ (NEW) (การแพทย์)'!D254</f>
        <v>28355</v>
      </c>
      <c r="D251" s="1632">
        <f>+'ครุภัณฑ์ (NEW) (การแพทย์)'!C254</f>
        <v>1</v>
      </c>
      <c r="E251" s="1474">
        <f>+'ครุภัณฑ์ (NEW) (การแพทย์)'!E254</f>
        <v>28355</v>
      </c>
      <c r="F251" s="233" t="s">
        <v>233</v>
      </c>
      <c r="G251" s="226" t="s">
        <v>8</v>
      </c>
      <c r="H251" s="699" t="s">
        <v>662</v>
      </c>
    </row>
    <row r="252" spans="1:8" s="205" customFormat="1" ht="18.75" customHeight="1">
      <c r="A252" s="699">
        <v>247</v>
      </c>
      <c r="B252" s="260" t="s">
        <v>207</v>
      </c>
      <c r="C252" s="257"/>
      <c r="D252" s="1632"/>
      <c r="E252" s="1474">
        <f>+รายละเอียดรายจ่าย!AU179</f>
        <v>1950787.01</v>
      </c>
      <c r="F252" s="233"/>
      <c r="G252" s="226"/>
      <c r="H252" s="233"/>
    </row>
    <row r="253" spans="1:8" s="205" customFormat="1" ht="18.75" customHeight="1">
      <c r="A253" s="699">
        <v>248</v>
      </c>
      <c r="B253" s="260" t="s">
        <v>208</v>
      </c>
      <c r="C253" s="257"/>
      <c r="D253" s="1632"/>
      <c r="E253" s="1474">
        <f>+รายละเอียดรายจ่าย!AU180</f>
        <v>15841851.859999999</v>
      </c>
      <c r="F253" s="233"/>
      <c r="G253" s="226"/>
      <c r="H253" s="233"/>
    </row>
    <row r="254" spans="1:8" s="205" customFormat="1" ht="18.75" customHeight="1">
      <c r="A254" s="699">
        <v>249</v>
      </c>
      <c r="B254" s="260" t="s">
        <v>210</v>
      </c>
      <c r="C254" s="257"/>
      <c r="D254" s="1632"/>
      <c r="E254" s="1474">
        <f>+รายละเอียดรายจ่าย!AU185</f>
        <v>154098</v>
      </c>
      <c r="F254" s="233"/>
      <c r="G254" s="226"/>
      <c r="H254" s="233"/>
    </row>
    <row r="255" spans="1:8" s="205" customFormat="1" ht="18.75" customHeight="1">
      <c r="A255" s="699">
        <v>250</v>
      </c>
      <c r="B255" s="260" t="s">
        <v>209</v>
      </c>
      <c r="C255" s="257"/>
      <c r="D255" s="1632"/>
      <c r="E255" s="1474">
        <f>+รายละเอียดรายจ่าย!AU186</f>
        <v>50433574.466666661</v>
      </c>
      <c r="F255" s="233"/>
      <c r="G255" s="226"/>
      <c r="H255" s="233"/>
    </row>
    <row r="256" spans="1:8" s="205" customFormat="1" ht="18.75" customHeight="1">
      <c r="A256" s="699">
        <v>251</v>
      </c>
      <c r="B256" s="260" t="s">
        <v>2591</v>
      </c>
      <c r="C256" s="257"/>
      <c r="D256" s="1632"/>
      <c r="E256" s="1474">
        <f>+รายละเอียดรายจ่าย!AU187</f>
        <v>3148000</v>
      </c>
      <c r="F256" s="233"/>
      <c r="G256" s="226"/>
      <c r="H256" s="233"/>
    </row>
    <row r="257" spans="1:8" s="205" customFormat="1" ht="18.75" customHeight="1">
      <c r="A257" s="699">
        <v>252</v>
      </c>
      <c r="B257" s="260" t="s">
        <v>2592</v>
      </c>
      <c r="C257" s="257"/>
      <c r="D257" s="1632"/>
      <c r="E257" s="1474">
        <f>+รายละเอียดรายจ่าย!AU188</f>
        <v>46663</v>
      </c>
      <c r="F257" s="233"/>
      <c r="G257" s="226"/>
      <c r="H257" s="233"/>
    </row>
    <row r="258" spans="1:8" s="205" customFormat="1" ht="18.75" customHeight="1">
      <c r="A258" s="699">
        <v>253</v>
      </c>
      <c r="B258" s="260" t="s">
        <v>363</v>
      </c>
      <c r="C258" s="257"/>
      <c r="D258" s="1632"/>
      <c r="E258" s="1474">
        <f>+รายละเอียดรายจ่าย!AU189</f>
        <v>67172.5</v>
      </c>
      <c r="F258" s="233"/>
      <c r="G258" s="226"/>
      <c r="H258" s="233"/>
    </row>
    <row r="259" spans="1:8" s="205" customFormat="1" ht="18.75" customHeight="1">
      <c r="A259" s="699">
        <v>254</v>
      </c>
      <c r="B259" s="260" t="s">
        <v>364</v>
      </c>
      <c r="C259" s="257"/>
      <c r="D259" s="1632"/>
      <c r="E259" s="1474">
        <f>+รายละเอียดรายจ่าย!AU190</f>
        <v>0</v>
      </c>
      <c r="F259" s="233"/>
      <c r="G259" s="226"/>
      <c r="H259" s="233"/>
    </row>
    <row r="260" spans="1:8" s="205" customFormat="1" ht="18.75" customHeight="1">
      <c r="A260" s="699">
        <v>255</v>
      </c>
      <c r="B260" s="260" t="s">
        <v>2593</v>
      </c>
      <c r="C260" s="257"/>
      <c r="D260" s="1632"/>
      <c r="E260" s="1474">
        <f>+รายละเอียดรายจ่าย!AU191</f>
        <v>0</v>
      </c>
      <c r="F260" s="233"/>
      <c r="G260" s="226"/>
      <c r="H260" s="233"/>
    </row>
    <row r="261" spans="1:8" s="205" customFormat="1" ht="18.75" customHeight="1">
      <c r="A261" s="699">
        <v>256</v>
      </c>
      <c r="B261" s="260" t="s">
        <v>512</v>
      </c>
      <c r="C261" s="257"/>
      <c r="D261" s="1632"/>
      <c r="E261" s="1474">
        <f>+รายละเอียดรายจ่าย!AU192</f>
        <v>124655</v>
      </c>
      <c r="F261" s="233"/>
      <c r="G261" s="226"/>
      <c r="H261" s="233"/>
    </row>
    <row r="262" spans="1:8" s="205" customFormat="1" ht="18.75" customHeight="1">
      <c r="A262" s="699">
        <v>257</v>
      </c>
      <c r="B262" s="260" t="s">
        <v>2601</v>
      </c>
      <c r="C262" s="257"/>
      <c r="D262" s="1632"/>
      <c r="E262" s="1474">
        <f>+รายละเอียดรายจ่าย!AU220</f>
        <v>3187710</v>
      </c>
      <c r="F262" s="233"/>
      <c r="G262" s="226"/>
      <c r="H262" s="233"/>
    </row>
    <row r="263" spans="1:8" s="205" customFormat="1" ht="18.75" customHeight="1">
      <c r="A263" s="699">
        <v>258</v>
      </c>
      <c r="B263" s="260" t="s">
        <v>1926</v>
      </c>
      <c r="C263" s="408">
        <f>+'ครุภัณฑ์ (NEW) (อื่นๆ+ค่าเสื่อ)'!D20</f>
        <v>530000</v>
      </c>
      <c r="D263" s="1632">
        <f>+'ครุภัณฑ์ (NEW) (อื่นๆ+ค่าเสื่อ)'!C20</f>
        <v>6</v>
      </c>
      <c r="E263" s="1474">
        <f>+'ครุภัณฑ์ (NEW) (อื่นๆ+ค่าเสื่อ)'!E20</f>
        <v>3180000</v>
      </c>
      <c r="F263" s="233" t="s">
        <v>206</v>
      </c>
      <c r="G263" s="226" t="s">
        <v>8</v>
      </c>
      <c r="H263" s="233" t="s">
        <v>662</v>
      </c>
    </row>
    <row r="264" spans="1:8" s="205" customFormat="1" ht="18.75" customHeight="1">
      <c r="A264" s="699">
        <v>259</v>
      </c>
      <c r="B264" s="260" t="s">
        <v>1927</v>
      </c>
      <c r="C264" s="408">
        <f>+'ครุภัณฑ์ (NEW) (อื่นๆ+ค่าเสื่อ)'!D21</f>
        <v>1799500</v>
      </c>
      <c r="D264" s="1632">
        <f>+'ครุภัณฑ์ (NEW) (อื่นๆ+ค่าเสื่อ)'!C21</f>
        <v>1</v>
      </c>
      <c r="E264" s="1474">
        <f>+'ครุภัณฑ์ (NEW) (อื่นๆ+ค่าเสื่อ)'!E21</f>
        <v>1799500</v>
      </c>
      <c r="F264" s="233" t="s">
        <v>206</v>
      </c>
      <c r="G264" s="226" t="s">
        <v>8</v>
      </c>
      <c r="H264" s="233" t="s">
        <v>662</v>
      </c>
    </row>
    <row r="265" spans="1:8" s="205" customFormat="1" ht="42">
      <c r="A265" s="699">
        <v>260</v>
      </c>
      <c r="B265" s="260" t="s">
        <v>2594</v>
      </c>
      <c r="C265" s="408">
        <f>+'ครุภัณฑ์ (NEW) (อื่นๆ+ค่าเสื่อ)'!D22</f>
        <v>4800000</v>
      </c>
      <c r="D265" s="1632">
        <f>+'ครุภัณฑ์ (NEW) (อื่นๆ+ค่าเสื่อ)'!C22</f>
        <v>1</v>
      </c>
      <c r="E265" s="1474">
        <f>+'ครุภัณฑ์ (NEW) (อื่นๆ+ค่าเสื่อ)'!E22</f>
        <v>4800000</v>
      </c>
      <c r="F265" s="233" t="s">
        <v>206</v>
      </c>
      <c r="G265" s="226" t="s">
        <v>8</v>
      </c>
      <c r="H265" s="233" t="s">
        <v>662</v>
      </c>
    </row>
    <row r="266" spans="1:8" s="205" customFormat="1" ht="20.100000000000001" customHeight="1">
      <c r="A266" s="699">
        <v>261</v>
      </c>
      <c r="B266" s="1603" t="s">
        <v>1928</v>
      </c>
      <c r="C266" s="408">
        <f>+'ครุภัณฑ์ (NEW) (อื่นๆ+ค่าเสื่อ)'!D23</f>
        <v>1585000</v>
      </c>
      <c r="D266" s="1632">
        <f>+'ครุภัณฑ์ (NEW) (อื่นๆ+ค่าเสื่อ)'!C23</f>
        <v>1</v>
      </c>
      <c r="E266" s="1474">
        <f>+'ครุภัณฑ์ (NEW) (อื่นๆ+ค่าเสื่อ)'!E23</f>
        <v>1585000</v>
      </c>
      <c r="F266" s="233" t="s">
        <v>206</v>
      </c>
      <c r="G266" s="226" t="s">
        <v>8</v>
      </c>
      <c r="H266" s="233" t="s">
        <v>662</v>
      </c>
    </row>
    <row r="267" spans="1:8" s="205" customFormat="1" ht="42">
      <c r="A267" s="699">
        <v>262</v>
      </c>
      <c r="B267" s="260" t="s">
        <v>1929</v>
      </c>
      <c r="C267" s="408">
        <f>+'ครุภัณฑ์ (NEW) (อื่นๆ+ค่าเสื่อ)'!D24</f>
        <v>900000</v>
      </c>
      <c r="D267" s="1632">
        <f>+'ครุภัณฑ์ (NEW) (อื่นๆ+ค่าเสื่อ)'!C24</f>
        <v>1</v>
      </c>
      <c r="E267" s="1474">
        <f>+'ครุภัณฑ์ (NEW) (อื่นๆ+ค่าเสื่อ)'!E24</f>
        <v>900000</v>
      </c>
      <c r="F267" s="233" t="s">
        <v>206</v>
      </c>
      <c r="G267" s="226" t="s">
        <v>8</v>
      </c>
      <c r="H267" s="233" t="s">
        <v>662</v>
      </c>
    </row>
    <row r="268" spans="1:8" s="205" customFormat="1" ht="21">
      <c r="A268" s="699">
        <v>263</v>
      </c>
      <c r="B268" s="260" t="s">
        <v>2595</v>
      </c>
      <c r="C268" s="408">
        <f>+'ครุภัณฑ์ (NEW) (อื่นๆ+ค่าเสื่อ)'!D25</f>
        <v>160000</v>
      </c>
      <c r="D268" s="1632">
        <f>+'ครุภัณฑ์ (NEW) (อื่นๆ+ค่าเสื่อ)'!C25</f>
        <v>3</v>
      </c>
      <c r="E268" s="1474">
        <f>+'ครุภัณฑ์ (NEW) (อื่นๆ+ค่าเสื่อ)'!E25</f>
        <v>480000</v>
      </c>
      <c r="F268" s="233" t="s">
        <v>206</v>
      </c>
      <c r="G268" s="226" t="s">
        <v>8</v>
      </c>
      <c r="H268" s="233" t="s">
        <v>662</v>
      </c>
    </row>
    <row r="269" spans="1:8" s="205" customFormat="1" ht="42">
      <c r="A269" s="699">
        <v>264</v>
      </c>
      <c r="B269" s="260" t="s">
        <v>1930</v>
      </c>
      <c r="C269" s="408">
        <f>+'ครุภัณฑ์ (NEW) (อื่นๆ+ค่าเสื่อ)'!D26</f>
        <v>1500000</v>
      </c>
      <c r="D269" s="1632">
        <f>+'ครุภัณฑ์ (NEW) (อื่นๆ+ค่าเสื่อ)'!C26</f>
        <v>1</v>
      </c>
      <c r="E269" s="1474">
        <f>+'ครุภัณฑ์ (NEW) (อื่นๆ+ค่าเสื่อ)'!E26</f>
        <v>1500000</v>
      </c>
      <c r="F269" s="233" t="s">
        <v>206</v>
      </c>
      <c r="G269" s="226" t="s">
        <v>8</v>
      </c>
      <c r="H269" s="233" t="s">
        <v>662</v>
      </c>
    </row>
    <row r="270" spans="1:8" s="205" customFormat="1" ht="42">
      <c r="A270" s="699">
        <v>265</v>
      </c>
      <c r="B270" s="260" t="s">
        <v>1931</v>
      </c>
      <c r="C270" s="408">
        <f>+'ครุภัณฑ์ (NEW) (อื่นๆ+ค่าเสื่อ)'!D27</f>
        <v>3000000</v>
      </c>
      <c r="D270" s="1632">
        <f>+'ครุภัณฑ์ (NEW) (อื่นๆ+ค่าเสื่อ)'!C27</f>
        <v>1</v>
      </c>
      <c r="E270" s="1474">
        <f>+'ครุภัณฑ์ (NEW) (อื่นๆ+ค่าเสื่อ)'!E27</f>
        <v>3000000</v>
      </c>
      <c r="F270" s="233" t="s">
        <v>206</v>
      </c>
      <c r="G270" s="226" t="s">
        <v>8</v>
      </c>
      <c r="H270" s="233" t="s">
        <v>662</v>
      </c>
    </row>
    <row r="271" spans="1:8" s="205" customFormat="1" ht="20.100000000000001" customHeight="1">
      <c r="A271" s="699">
        <v>266</v>
      </c>
      <c r="B271" s="260" t="s">
        <v>2596</v>
      </c>
      <c r="C271" s="408">
        <f>+'ครุภัณฑ์ (NEW) (อื่นๆ+ค่าเสื่อ)'!D28</f>
        <v>350000</v>
      </c>
      <c r="D271" s="1632">
        <f>+'ครุภัณฑ์ (NEW) (อื่นๆ+ค่าเสื่อ)'!C28</f>
        <v>1</v>
      </c>
      <c r="E271" s="1474">
        <f>+'ครุภัณฑ์ (NEW) (อื่นๆ+ค่าเสื่อ)'!E28</f>
        <v>350000</v>
      </c>
      <c r="F271" s="233" t="s">
        <v>206</v>
      </c>
      <c r="G271" s="226" t="s">
        <v>8</v>
      </c>
      <c r="H271" s="233" t="s">
        <v>662</v>
      </c>
    </row>
    <row r="272" spans="1:8" s="205" customFormat="1" ht="20.100000000000001" customHeight="1">
      <c r="A272" s="699">
        <v>267</v>
      </c>
      <c r="B272" s="260" t="s">
        <v>1942</v>
      </c>
      <c r="C272" s="408">
        <f>+'ครุภัณฑ์ (NEW) (อื่นๆ+ค่าเสื่อ)'!D29</f>
        <v>150000</v>
      </c>
      <c r="D272" s="1632">
        <f>+'ครุภัณฑ์ (NEW) (อื่นๆ+ค่าเสื่อ)'!C29</f>
        <v>1</v>
      </c>
      <c r="E272" s="1474">
        <f>+'ครุภัณฑ์ (NEW) (อื่นๆ+ค่าเสื่อ)'!E29</f>
        <v>150000</v>
      </c>
      <c r="F272" s="233" t="s">
        <v>206</v>
      </c>
      <c r="G272" s="226" t="s">
        <v>8</v>
      </c>
      <c r="H272" s="233" t="s">
        <v>662</v>
      </c>
    </row>
    <row r="273" spans="1:8" s="205" customFormat="1" ht="20.100000000000001" customHeight="1">
      <c r="A273" s="699">
        <v>268</v>
      </c>
      <c r="B273" s="260" t="s">
        <v>842</v>
      </c>
      <c r="C273" s="408">
        <f>+'ครุภัณฑ์ (NEW) (อื่นๆ+ค่าเสื่อ)'!D30</f>
        <v>180000</v>
      </c>
      <c r="D273" s="1632">
        <f>+'ครุภัณฑ์ (NEW) (อื่นๆ+ค่าเสื่อ)'!C30</f>
        <v>1</v>
      </c>
      <c r="E273" s="1474">
        <f>+'ครุภัณฑ์ (NEW) (อื่นๆ+ค่าเสื่อ)'!E30</f>
        <v>180000</v>
      </c>
      <c r="F273" s="233" t="s">
        <v>206</v>
      </c>
      <c r="G273" s="226" t="s">
        <v>8</v>
      </c>
      <c r="H273" s="233" t="s">
        <v>662</v>
      </c>
    </row>
    <row r="274" spans="1:8" s="205" customFormat="1" ht="20.100000000000001" customHeight="1">
      <c r="A274" s="699">
        <v>269</v>
      </c>
      <c r="B274" s="1982" t="s">
        <v>1943</v>
      </c>
      <c r="C274" s="257">
        <f>+'ครุภัณฑ์ (NEW) (อื่นๆ+ค่าเสื่อ)'!D34</f>
        <v>369000</v>
      </c>
      <c r="D274" s="1632">
        <f>+'ครุภัณฑ์ (NEW) (อื่นๆ+ค่าเสื่อ)'!C34</f>
        <v>1</v>
      </c>
      <c r="E274" s="1474">
        <f>+'ครุภัณฑ์ (NEW) (อื่นๆ+ค่าเสื่อ)'!E34</f>
        <v>369000</v>
      </c>
      <c r="F274" s="233" t="s">
        <v>206</v>
      </c>
      <c r="G274" s="226" t="s">
        <v>8</v>
      </c>
      <c r="H274" s="233" t="s">
        <v>662</v>
      </c>
    </row>
    <row r="275" spans="1:8" s="205" customFormat="1" ht="20.100000000000001" customHeight="1">
      <c r="A275" s="699">
        <v>270</v>
      </c>
      <c r="B275" s="1982" t="s">
        <v>1944</v>
      </c>
      <c r="C275" s="257">
        <f>+'ครุภัณฑ์ (NEW) (อื่นๆ+ค่าเสื่อ)'!D35</f>
        <v>1670000</v>
      </c>
      <c r="D275" s="1632">
        <f>+'ครุภัณฑ์ (NEW) (อื่นๆ+ค่าเสื่อ)'!C35</f>
        <v>3</v>
      </c>
      <c r="E275" s="1474">
        <f>+'ครุภัณฑ์ (NEW) (อื่นๆ+ค่าเสื่อ)'!E35</f>
        <v>5010000</v>
      </c>
      <c r="F275" s="233" t="s">
        <v>206</v>
      </c>
      <c r="G275" s="226" t="s">
        <v>8</v>
      </c>
      <c r="H275" s="233" t="s">
        <v>662</v>
      </c>
    </row>
    <row r="276" spans="1:8" s="205" customFormat="1" ht="20.25" customHeight="1">
      <c r="A276" s="699">
        <v>271</v>
      </c>
      <c r="B276" s="1982" t="s">
        <v>838</v>
      </c>
      <c r="C276" s="257">
        <f>+'ครุภัณฑ์ (NEW) (อื่นๆ+ค่าเสื่อ)'!D36</f>
        <v>70500</v>
      </c>
      <c r="D276" s="1632">
        <f>+'ครุภัณฑ์ (NEW) (อื่นๆ+ค่าเสื่อ)'!C36</f>
        <v>2</v>
      </c>
      <c r="E276" s="1474">
        <f>+'ครุภัณฑ์ (NEW) (อื่นๆ+ค่าเสื่อ)'!E36</f>
        <v>141000</v>
      </c>
      <c r="F276" s="233" t="s">
        <v>206</v>
      </c>
      <c r="G276" s="226" t="s">
        <v>8</v>
      </c>
      <c r="H276" s="233" t="s">
        <v>662</v>
      </c>
    </row>
    <row r="277" spans="1:8" s="205" customFormat="1" ht="20.25" customHeight="1">
      <c r="A277" s="699">
        <v>272</v>
      </c>
      <c r="B277" s="2540" t="s">
        <v>516</v>
      </c>
      <c r="C277" s="257">
        <f>+'สิ่งก่อสร้าง (NEW)'!D4</f>
        <v>4500000</v>
      </c>
      <c r="D277" s="1632">
        <f>+'สิ่งก่อสร้าง (NEW)'!C4</f>
        <v>1</v>
      </c>
      <c r="E277" s="257">
        <f>+'สิ่งก่อสร้าง (NEW)'!E4</f>
        <v>4500000</v>
      </c>
      <c r="F277" s="233" t="s">
        <v>195</v>
      </c>
      <c r="G277" s="226" t="s">
        <v>9</v>
      </c>
      <c r="H277" s="233" t="s">
        <v>662</v>
      </c>
    </row>
    <row r="278" spans="1:8" s="205" customFormat="1" ht="20.25" customHeight="1">
      <c r="A278" s="699">
        <v>273</v>
      </c>
      <c r="B278" s="2050" t="s">
        <v>1485</v>
      </c>
      <c r="C278" s="257">
        <f>+'สิ่งก่อสร้าง (NEW)'!D5</f>
        <v>57000000</v>
      </c>
      <c r="D278" s="1632">
        <f>+'สิ่งก่อสร้าง (NEW)'!C5</f>
        <v>1</v>
      </c>
      <c r="E278" s="257">
        <f>+'สิ่งก่อสร้าง (NEW)'!E5</f>
        <v>57000000</v>
      </c>
      <c r="F278" s="233" t="s">
        <v>195</v>
      </c>
      <c r="G278" s="226" t="s">
        <v>9</v>
      </c>
      <c r="H278" s="233" t="s">
        <v>662</v>
      </c>
    </row>
    <row r="279" spans="1:8" s="205" customFormat="1" ht="20.25" customHeight="1">
      <c r="A279" s="699">
        <v>274</v>
      </c>
      <c r="B279" s="2050" t="s">
        <v>1973</v>
      </c>
      <c r="C279" s="257">
        <f>+'สิ่งก่อสร้าง (NEW)'!D6</f>
        <v>2000000</v>
      </c>
      <c r="D279" s="1632">
        <f>+'สิ่งก่อสร้าง (NEW)'!C6</f>
        <v>1</v>
      </c>
      <c r="E279" s="257">
        <f>+'สิ่งก่อสร้าง (NEW)'!E6</f>
        <v>2000000</v>
      </c>
      <c r="F279" s="233" t="s">
        <v>195</v>
      </c>
      <c r="G279" s="226" t="s">
        <v>9</v>
      </c>
      <c r="H279" s="233" t="s">
        <v>662</v>
      </c>
    </row>
    <row r="280" spans="1:8" s="205" customFormat="1" ht="20.25" customHeight="1">
      <c r="A280" s="699">
        <v>275</v>
      </c>
      <c r="B280" s="2259" t="s">
        <v>691</v>
      </c>
      <c r="C280" s="257">
        <f>+'สิ่งก่อสร้าง (NEW)'!D7</f>
        <v>2300000</v>
      </c>
      <c r="D280" s="1632">
        <f>+'สิ่งก่อสร้าง (NEW)'!C7</f>
        <v>1</v>
      </c>
      <c r="E280" s="257">
        <f>+'สิ่งก่อสร้าง (NEW)'!E7</f>
        <v>2300000</v>
      </c>
      <c r="F280" s="233" t="s">
        <v>195</v>
      </c>
      <c r="G280" s="226" t="s">
        <v>9</v>
      </c>
      <c r="H280" s="233" t="s">
        <v>662</v>
      </c>
    </row>
    <row r="281" spans="1:8" s="205" customFormat="1" ht="48">
      <c r="A281" s="699">
        <v>276</v>
      </c>
      <c r="B281" s="2050" t="s">
        <v>2509</v>
      </c>
      <c r="C281" s="257">
        <f>+'สิ่งก่อสร้าง (NEW)'!D8</f>
        <v>17250000</v>
      </c>
      <c r="D281" s="1632">
        <f>+'สิ่งก่อสร้าง (NEW)'!C8</f>
        <v>1</v>
      </c>
      <c r="E281" s="257">
        <f>+'สิ่งก่อสร้าง (NEW)'!E8</f>
        <v>17250000</v>
      </c>
      <c r="F281" s="233" t="s">
        <v>195</v>
      </c>
      <c r="G281" s="226" t="s">
        <v>9</v>
      </c>
      <c r="H281" s="233" t="s">
        <v>662</v>
      </c>
    </row>
    <row r="282" spans="1:8" s="205" customFormat="1" ht="21" customHeight="1">
      <c r="A282" s="699">
        <v>277</v>
      </c>
      <c r="B282" s="2190" t="s">
        <v>1976</v>
      </c>
      <c r="C282" s="257">
        <f>+'สิ่งก่อสร้าง (NEW)'!D9</f>
        <v>2500000</v>
      </c>
      <c r="D282" s="1632">
        <f>+'สิ่งก่อสร้าง (NEW)'!C9</f>
        <v>1</v>
      </c>
      <c r="E282" s="257">
        <f>+'สิ่งก่อสร้าง (NEW)'!E9</f>
        <v>2500000</v>
      </c>
      <c r="F282" s="233" t="s">
        <v>195</v>
      </c>
      <c r="G282" s="226" t="s">
        <v>9</v>
      </c>
      <c r="H282" s="233" t="s">
        <v>665</v>
      </c>
    </row>
    <row r="283" spans="1:8" s="205" customFormat="1" ht="21" customHeight="1">
      <c r="A283" s="699">
        <v>278</v>
      </c>
      <c r="B283" s="2056" t="s">
        <v>1219</v>
      </c>
      <c r="C283" s="257">
        <f>+'สิ่งก่อสร้าง (NEW)'!D10</f>
        <v>99450</v>
      </c>
      <c r="D283" s="1632">
        <f>+'สิ่งก่อสร้าง (NEW)'!C10</f>
        <v>1</v>
      </c>
      <c r="E283" s="257">
        <f>+'สิ่งก่อสร้าง (NEW)'!E10</f>
        <v>99450</v>
      </c>
      <c r="F283" s="233" t="s">
        <v>195</v>
      </c>
      <c r="G283" s="226" t="s">
        <v>9</v>
      </c>
      <c r="H283" s="233" t="s">
        <v>662</v>
      </c>
    </row>
    <row r="284" spans="1:8" s="205" customFormat="1" ht="50.25" customHeight="1">
      <c r="A284" s="699">
        <v>279</v>
      </c>
      <c r="B284" s="2050" t="s">
        <v>1984</v>
      </c>
      <c r="C284" s="257">
        <f>+'สิ่งก่อสร้าง (NEW)'!D11</f>
        <v>359200</v>
      </c>
      <c r="D284" s="1632">
        <f>+'สิ่งก่อสร้าง (NEW)'!C11</f>
        <v>1</v>
      </c>
      <c r="E284" s="257">
        <f>+'สิ่งก่อสร้าง (NEW)'!E11</f>
        <v>359200</v>
      </c>
      <c r="F284" s="233" t="s">
        <v>195</v>
      </c>
      <c r="G284" s="226" t="s">
        <v>9</v>
      </c>
      <c r="H284" s="233" t="s">
        <v>662</v>
      </c>
    </row>
    <row r="285" spans="1:8" s="205" customFormat="1" ht="21.75" customHeight="1">
      <c r="A285" s="699">
        <v>280</v>
      </c>
      <c r="B285" s="2056" t="s">
        <v>1985</v>
      </c>
      <c r="C285" s="257">
        <f>+'สิ่งก่อสร้าง (NEW)'!D12</f>
        <v>400000</v>
      </c>
      <c r="D285" s="1632">
        <f>+'สิ่งก่อสร้าง (NEW)'!C12</f>
        <v>1</v>
      </c>
      <c r="E285" s="257">
        <f>+'สิ่งก่อสร้าง (NEW)'!E12</f>
        <v>400000</v>
      </c>
      <c r="F285" s="233" t="s">
        <v>195</v>
      </c>
      <c r="G285" s="226" t="s">
        <v>9</v>
      </c>
      <c r="H285" s="233" t="s">
        <v>662</v>
      </c>
    </row>
    <row r="286" spans="1:8" s="205" customFormat="1" ht="21.75" customHeight="1">
      <c r="A286" s="699">
        <v>281</v>
      </c>
      <c r="B286" s="2128" t="s">
        <v>1732</v>
      </c>
      <c r="C286" s="257">
        <f>+'สิ่งก่อสร้าง (NEW)'!D13</f>
        <v>573000</v>
      </c>
      <c r="D286" s="1632">
        <f>+'สิ่งก่อสร้าง (NEW)'!C13</f>
        <v>1</v>
      </c>
      <c r="E286" s="257">
        <f>+'สิ่งก่อสร้าง (NEW)'!E13</f>
        <v>573000</v>
      </c>
      <c r="F286" s="233" t="s">
        <v>195</v>
      </c>
      <c r="G286" s="226" t="s">
        <v>9</v>
      </c>
      <c r="H286" s="233" t="s">
        <v>662</v>
      </c>
    </row>
    <row r="287" spans="1:8" s="205" customFormat="1" ht="21.75" customHeight="1">
      <c r="A287" s="699">
        <v>282</v>
      </c>
      <c r="B287" s="2280" t="s">
        <v>1714</v>
      </c>
      <c r="C287" s="257">
        <f>+'สิ่งก่อสร้าง (NEW)'!D14</f>
        <v>200000</v>
      </c>
      <c r="D287" s="1632">
        <f>+'สิ่งก่อสร้าง (NEW)'!C14</f>
        <v>1</v>
      </c>
      <c r="E287" s="257">
        <f>+'สิ่งก่อสร้าง (NEW)'!E14</f>
        <v>200000</v>
      </c>
      <c r="F287" s="233" t="s">
        <v>195</v>
      </c>
      <c r="G287" s="226" t="s">
        <v>9</v>
      </c>
      <c r="H287" s="233" t="s">
        <v>662</v>
      </c>
    </row>
    <row r="288" spans="1:8" s="205" customFormat="1" ht="21.75" customHeight="1">
      <c r="A288" s="699">
        <v>283</v>
      </c>
      <c r="B288" s="2128" t="s">
        <v>1710</v>
      </c>
      <c r="C288" s="257">
        <f>+'สิ่งก่อสร้าง (NEW)'!D15</f>
        <v>45000</v>
      </c>
      <c r="D288" s="1632">
        <f>+'สิ่งก่อสร้าง (NEW)'!C15</f>
        <v>2</v>
      </c>
      <c r="E288" s="257">
        <f>+'สิ่งก่อสร้าง (NEW)'!E15</f>
        <v>90000</v>
      </c>
      <c r="F288" s="233" t="s">
        <v>195</v>
      </c>
      <c r="G288" s="226" t="s">
        <v>9</v>
      </c>
      <c r="H288" s="233" t="s">
        <v>662</v>
      </c>
    </row>
    <row r="289" spans="1:8" s="205" customFormat="1" ht="48">
      <c r="A289" s="699">
        <v>284</v>
      </c>
      <c r="B289" s="2548" t="s">
        <v>2600</v>
      </c>
      <c r="C289" s="257">
        <f>+'สิ่งก่อสร้าง (NEW)'!D16</f>
        <v>10000</v>
      </c>
      <c r="D289" s="1632">
        <f>+'สิ่งก่อสร้าง (NEW)'!C16</f>
        <v>2</v>
      </c>
      <c r="E289" s="257">
        <f>+'สิ่งก่อสร้าง (NEW)'!E16</f>
        <v>20000</v>
      </c>
      <c r="F289" s="233" t="s">
        <v>195</v>
      </c>
      <c r="G289" s="226" t="s">
        <v>9</v>
      </c>
      <c r="H289" s="233" t="s">
        <v>662</v>
      </c>
    </row>
    <row r="290" spans="1:8" s="205" customFormat="1" ht="48">
      <c r="A290" s="699">
        <v>285</v>
      </c>
      <c r="B290" s="2284" t="s">
        <v>1744</v>
      </c>
      <c r="C290" s="257">
        <f>+'สิ่งก่อสร้าง (NEW)'!D17</f>
        <v>200000</v>
      </c>
      <c r="D290" s="1632">
        <f>+'สิ่งก่อสร้าง (NEW)'!C17</f>
        <v>1</v>
      </c>
      <c r="E290" s="257">
        <f>+'สิ่งก่อสร้าง (NEW)'!E17</f>
        <v>200000</v>
      </c>
      <c r="F290" s="233" t="s">
        <v>195</v>
      </c>
      <c r="G290" s="226" t="s">
        <v>9</v>
      </c>
      <c r="H290" s="233" t="s">
        <v>662</v>
      </c>
    </row>
    <row r="291" spans="1:8" s="205" customFormat="1" ht="44.25" customHeight="1">
      <c r="A291" s="699">
        <v>286</v>
      </c>
      <c r="B291" s="2546" t="s">
        <v>2597</v>
      </c>
      <c r="C291" s="257">
        <f>+'สิ่งก่อสร้าง (NEW)'!D18</f>
        <v>117630</v>
      </c>
      <c r="D291" s="1632">
        <f>+'สิ่งก่อสร้าง (NEW)'!C18</f>
        <v>1</v>
      </c>
      <c r="E291" s="257">
        <f>+'สิ่งก่อสร้าง (NEW)'!E18</f>
        <v>117630</v>
      </c>
      <c r="F291" s="233" t="s">
        <v>195</v>
      </c>
      <c r="G291" s="226" t="s">
        <v>9</v>
      </c>
      <c r="H291" s="233" t="s">
        <v>662</v>
      </c>
    </row>
    <row r="292" spans="1:8" s="205" customFormat="1" ht="20.100000000000001" customHeight="1">
      <c r="A292" s="699">
        <v>287</v>
      </c>
      <c r="B292" s="2294" t="s">
        <v>1971</v>
      </c>
      <c r="C292" s="257">
        <f>+'สิ่งก่อสร้าง (NEW)'!D19</f>
        <v>239376.56</v>
      </c>
      <c r="D292" s="1632">
        <f>+'สิ่งก่อสร้าง (NEW)'!C19</f>
        <v>1</v>
      </c>
      <c r="E292" s="257">
        <f>+'สิ่งก่อสร้าง (NEW)'!E19</f>
        <v>239376.56</v>
      </c>
      <c r="F292" s="233" t="s">
        <v>195</v>
      </c>
      <c r="G292" s="226" t="s">
        <v>9</v>
      </c>
      <c r="H292" s="233" t="s">
        <v>662</v>
      </c>
    </row>
    <row r="293" spans="1:8" s="205" customFormat="1" ht="20.100000000000001" customHeight="1">
      <c r="A293" s="699">
        <v>288</v>
      </c>
      <c r="B293" s="2284" t="s">
        <v>1713</v>
      </c>
      <c r="C293" s="257">
        <f>+'สิ่งก่อสร้าง (NEW)'!D20</f>
        <v>229094.49</v>
      </c>
      <c r="D293" s="1632">
        <f>+'สิ่งก่อสร้าง (NEW)'!C20</f>
        <v>1</v>
      </c>
      <c r="E293" s="257">
        <f>+'สิ่งก่อสร้าง (NEW)'!E20</f>
        <v>229094.49</v>
      </c>
      <c r="F293" s="233" t="s">
        <v>195</v>
      </c>
      <c r="G293" s="226" t="s">
        <v>9</v>
      </c>
      <c r="H293" s="233" t="s">
        <v>662</v>
      </c>
    </row>
    <row r="294" spans="1:8" s="205" customFormat="1" ht="20.100000000000001" customHeight="1">
      <c r="A294" s="699">
        <v>289</v>
      </c>
      <c r="B294" s="2284" t="s">
        <v>1990</v>
      </c>
      <c r="C294" s="257">
        <f>+'สิ่งก่อสร้าง (NEW)'!D21</f>
        <v>500000</v>
      </c>
      <c r="D294" s="1632">
        <f>+'สิ่งก่อสร้าง (NEW)'!C21</f>
        <v>1</v>
      </c>
      <c r="E294" s="257">
        <f>+'สิ่งก่อสร้าง (NEW)'!E21</f>
        <v>500000</v>
      </c>
      <c r="F294" s="233" t="s">
        <v>195</v>
      </c>
      <c r="G294" s="226" t="s">
        <v>9</v>
      </c>
      <c r="H294" s="233" t="s">
        <v>662</v>
      </c>
    </row>
    <row r="295" spans="1:8" s="205" customFormat="1" ht="48">
      <c r="A295" s="699">
        <v>290</v>
      </c>
      <c r="B295" s="2284" t="s">
        <v>1988</v>
      </c>
      <c r="C295" s="257">
        <f>+'สิ่งก่อสร้าง (NEW)'!D22</f>
        <v>500000</v>
      </c>
      <c r="D295" s="1632">
        <f>+'สิ่งก่อสร้าง (NEW)'!C22</f>
        <v>1</v>
      </c>
      <c r="E295" s="257">
        <f>+'สิ่งก่อสร้าง (NEW)'!E22</f>
        <v>500000</v>
      </c>
      <c r="F295" s="233" t="s">
        <v>195</v>
      </c>
      <c r="G295" s="226" t="s">
        <v>9</v>
      </c>
      <c r="H295" s="233" t="s">
        <v>662</v>
      </c>
    </row>
    <row r="296" spans="1:8" s="205" customFormat="1" ht="21.75" customHeight="1">
      <c r="A296" s="699">
        <v>291</v>
      </c>
      <c r="B296" s="2259" t="s">
        <v>1991</v>
      </c>
      <c r="C296" s="257">
        <f>+'สิ่งก่อสร้าง (NEW)'!D23</f>
        <v>500000</v>
      </c>
      <c r="D296" s="1632">
        <f>+'สิ่งก่อสร้าง (NEW)'!C23</f>
        <v>1</v>
      </c>
      <c r="E296" s="257">
        <f>+'สิ่งก่อสร้าง (NEW)'!E23</f>
        <v>500000</v>
      </c>
      <c r="F296" s="233" t="s">
        <v>195</v>
      </c>
      <c r="G296" s="226" t="s">
        <v>9</v>
      </c>
      <c r="H296" s="233" t="s">
        <v>662</v>
      </c>
    </row>
    <row r="297" spans="1:8" s="205" customFormat="1" ht="21.75" customHeight="1">
      <c r="A297" s="699">
        <v>292</v>
      </c>
      <c r="B297" s="2259" t="s">
        <v>1063</v>
      </c>
      <c r="C297" s="257">
        <f>+'สิ่งก่อสร้าง (NEW)'!D35</f>
        <v>2000000</v>
      </c>
      <c r="D297" s="1632">
        <f>+'สิ่งก่อสร้าง (NEW)'!C35</f>
        <v>1</v>
      </c>
      <c r="E297" s="257">
        <f>+'สิ่งก่อสร้าง (NEW)'!E35</f>
        <v>2000000</v>
      </c>
      <c r="F297" s="233" t="s">
        <v>233</v>
      </c>
      <c r="G297" s="226" t="s">
        <v>9</v>
      </c>
      <c r="H297" s="233" t="s">
        <v>662</v>
      </c>
    </row>
    <row r="298" spans="1:8" s="205" customFormat="1" ht="21.75" customHeight="1">
      <c r="A298" s="699">
        <v>293</v>
      </c>
      <c r="B298" s="2259" t="s">
        <v>1500</v>
      </c>
      <c r="C298" s="257">
        <f>+'สิ่งก่อสร้าง (NEW)'!D36</f>
        <v>2700000</v>
      </c>
      <c r="D298" s="1632">
        <f>+'สิ่งก่อสร้าง (NEW)'!C36</f>
        <v>1</v>
      </c>
      <c r="E298" s="257">
        <f>+'สิ่งก่อสร้าง (NEW)'!E36</f>
        <v>2700000</v>
      </c>
      <c r="F298" s="233" t="s">
        <v>233</v>
      </c>
      <c r="G298" s="226" t="s">
        <v>9</v>
      </c>
      <c r="H298" s="233" t="s">
        <v>662</v>
      </c>
    </row>
    <row r="299" spans="1:8" s="205" customFormat="1" ht="21.75" customHeight="1">
      <c r="A299" s="523">
        <v>294</v>
      </c>
      <c r="B299" s="2547" t="s">
        <v>1061</v>
      </c>
      <c r="C299" s="257">
        <f>+'สิ่งก่อสร้าง (NEW)'!D37</f>
        <v>100000000</v>
      </c>
      <c r="D299" s="1632">
        <f>+'สิ่งก่อสร้าง (NEW)'!C37</f>
        <v>1</v>
      </c>
      <c r="E299" s="257">
        <f>+'สิ่งก่อสร้าง (NEW)'!E37</f>
        <v>100000000</v>
      </c>
      <c r="F299" s="233" t="s">
        <v>233</v>
      </c>
      <c r="G299" s="226" t="s">
        <v>9</v>
      </c>
      <c r="H299" s="233" t="s">
        <v>662</v>
      </c>
    </row>
    <row r="300" spans="1:8" s="205" customFormat="1" ht="21.75" customHeight="1">
      <c r="A300" s="1637" t="s">
        <v>4</v>
      </c>
      <c r="B300" s="322"/>
      <c r="C300" s="700"/>
      <c r="D300" s="322"/>
      <c r="E300" s="701">
        <f>SUM(E6:E299)</f>
        <v>407611992.79666668</v>
      </c>
      <c r="F300" s="233"/>
      <c r="G300" s="233"/>
      <c r="H300" s="233"/>
    </row>
    <row r="301" spans="1:8" s="205" customFormat="1" ht="21.75" customHeight="1">
      <c r="A301" s="2904"/>
      <c r="B301" s="2905"/>
      <c r="C301" s="2906"/>
      <c r="D301" s="2905"/>
      <c r="E301" s="1636"/>
      <c r="F301" s="2907"/>
      <c r="G301" s="2907"/>
      <c r="H301" s="2907"/>
    </row>
    <row r="302" spans="1:8" s="524" customFormat="1" ht="21">
      <c r="A302" s="521"/>
      <c r="B302" s="521"/>
      <c r="C302" s="522"/>
      <c r="D302" s="205"/>
      <c r="E302" s="342"/>
      <c r="F302" s="523"/>
      <c r="G302" s="523"/>
      <c r="H302" s="523"/>
    </row>
    <row r="303" spans="1:8" s="524" customFormat="1" ht="21">
      <c r="A303" s="521"/>
      <c r="B303" s="343" t="s">
        <v>675</v>
      </c>
      <c r="C303" s="190"/>
      <c r="D303" s="190"/>
      <c r="E303" s="702" t="s">
        <v>673</v>
      </c>
      <c r="F303" s="1595"/>
      <c r="G303" s="702"/>
      <c r="H303" s="702"/>
    </row>
    <row r="304" spans="1:8" s="524" customFormat="1" ht="42" customHeight="1">
      <c r="A304" s="521"/>
      <c r="B304" s="703" t="s">
        <v>676</v>
      </c>
      <c r="C304" s="704"/>
      <c r="D304" s="704"/>
      <c r="E304" s="2736" t="s">
        <v>1473</v>
      </c>
      <c r="F304" s="2736"/>
      <c r="G304" s="2736"/>
      <c r="H304" s="706"/>
    </row>
    <row r="305" spans="1:8" s="524" customFormat="1" ht="42" customHeight="1">
      <c r="A305" s="521"/>
      <c r="B305" s="703"/>
      <c r="C305" s="704"/>
      <c r="D305" s="704"/>
      <c r="E305" s="705"/>
      <c r="F305" s="705"/>
      <c r="G305" s="705"/>
      <c r="H305" s="706"/>
    </row>
    <row r="306" spans="1:8" s="524" customFormat="1" ht="17.25" customHeight="1">
      <c r="A306" s="521"/>
      <c r="B306" s="521"/>
      <c r="C306" s="522"/>
      <c r="D306" s="205"/>
      <c r="E306" s="342"/>
      <c r="F306" s="523"/>
      <c r="G306" s="523"/>
      <c r="H306" s="523"/>
    </row>
    <row r="307" spans="1:8" s="524" customFormat="1" ht="57" customHeight="1">
      <c r="C307" s="2732" t="s">
        <v>674</v>
      </c>
      <c r="D307" s="2733"/>
      <c r="E307" s="2733"/>
      <c r="F307" s="2733"/>
      <c r="G307" s="523"/>
      <c r="H307" s="523"/>
    </row>
    <row r="308" spans="1:8" s="524" customFormat="1" ht="39.75" customHeight="1">
      <c r="C308" s="190"/>
      <c r="D308" s="707"/>
      <c r="E308" s="190"/>
      <c r="F308" s="1595"/>
      <c r="G308" s="523"/>
      <c r="H308" s="523"/>
    </row>
    <row r="309" spans="1:8" s="524" customFormat="1" ht="21">
      <c r="C309" s="522"/>
      <c r="D309" s="205"/>
      <c r="E309" s="342"/>
      <c r="F309" s="523"/>
      <c r="G309" s="523"/>
      <c r="H309" s="523"/>
    </row>
    <row r="310" spans="1:8" s="524" customFormat="1" ht="17.25" customHeight="1">
      <c r="A310" s="521"/>
      <c r="B310" s="521"/>
      <c r="C310" s="522"/>
      <c r="D310" s="205"/>
      <c r="E310" s="342"/>
      <c r="F310" s="523"/>
      <c r="G310" s="523"/>
      <c r="H310" s="523"/>
    </row>
    <row r="311" spans="1:8" s="524" customFormat="1" ht="21">
      <c r="A311" s="521"/>
      <c r="B311" s="521"/>
      <c r="C311" s="522"/>
      <c r="D311" s="205"/>
      <c r="E311" s="342"/>
      <c r="F311" s="523"/>
      <c r="G311" s="523"/>
      <c r="H311" s="523"/>
    </row>
    <row r="312" spans="1:8" ht="17.25" customHeight="1">
      <c r="A312" s="525"/>
      <c r="B312" s="525"/>
      <c r="C312" s="526"/>
      <c r="D312" s="2734"/>
      <c r="E312" s="2734"/>
      <c r="F312" s="2734"/>
      <c r="G312" s="2734"/>
      <c r="H312" s="343"/>
    </row>
    <row r="313" spans="1:8" ht="17.25" customHeight="1">
      <c r="E313" s="344"/>
    </row>
    <row r="314" spans="1:8" ht="17.25" customHeight="1">
      <c r="E314" s="344"/>
    </row>
    <row r="315" spans="1:8" ht="17.25" customHeight="1">
      <c r="E315" s="344"/>
    </row>
    <row r="316" spans="1:8" ht="17.25" customHeight="1">
      <c r="E316" s="344"/>
    </row>
  </sheetData>
  <autoFilter ref="A5:H117" xr:uid="{00000000-0009-0000-0000-000007000000}"/>
  <mergeCells count="6">
    <mergeCell ref="C307:F307"/>
    <mergeCell ref="D312:G312"/>
    <mergeCell ref="A1:H1"/>
    <mergeCell ref="A2:H2"/>
    <mergeCell ref="A3:H3"/>
    <mergeCell ref="E304:G304"/>
  </mergeCells>
  <pageMargins left="0.51181102362204722" right="0.19685039370078741" top="0.55118110236220474" bottom="0.35433070866141736" header="0.31496062992125984" footer="0.11811023622047245"/>
  <pageSetup paperSize="9" scale="80" firstPageNumber="5" orientation="landscape" useFirstPageNumber="1" horizontalDpi="4294967293" r:id="rId1"/>
  <headerFooter>
    <oddFooter>&amp;C&amp;P&amp;R&amp;8&amp;F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-0.249977111117893"/>
  </sheetPr>
  <dimension ref="A1:P328"/>
  <sheetViews>
    <sheetView showGridLines="0" view="pageBreakPreview" zoomScaleSheetLayoutView="100" workbookViewId="0">
      <pane xSplit="5" ySplit="6" topLeftCell="F313" activePane="bottomRight" state="frozen"/>
      <selection activeCell="N5" sqref="N5:N6"/>
      <selection pane="topRight" activeCell="N5" sqref="N5:N6"/>
      <selection pane="bottomLeft" activeCell="N5" sqref="N5:N6"/>
      <selection pane="bottomRight" activeCell="M305" sqref="M305"/>
    </sheetView>
  </sheetViews>
  <sheetFormatPr defaultColWidth="8.85546875" defaultRowHeight="18.75"/>
  <cols>
    <col min="1" max="1" width="2.140625" style="18" customWidth="1"/>
    <col min="2" max="2" width="5.5703125" style="140" bestFit="1" customWidth="1"/>
    <col min="3" max="3" width="55.140625" style="18" customWidth="1"/>
    <col min="4" max="4" width="9.7109375" style="140" bestFit="1" customWidth="1"/>
    <col min="5" max="5" width="16.5703125" style="18" customWidth="1"/>
    <col min="6" max="6" width="8.7109375" style="18" customWidth="1"/>
    <col min="7" max="7" width="17.7109375" style="18" customWidth="1"/>
    <col min="8" max="8" width="7.7109375" style="18" customWidth="1"/>
    <col min="9" max="9" width="17" style="142" customWidth="1"/>
    <col min="10" max="10" width="10.140625" style="18" customWidth="1"/>
    <col min="11" max="11" width="17" style="142" customWidth="1"/>
    <col min="12" max="12" width="8.7109375" style="142" customWidth="1"/>
    <col min="13" max="13" width="19.42578125" style="142" customWidth="1"/>
    <col min="14" max="14" width="29.42578125" style="18" customWidth="1"/>
    <col min="15" max="15" width="13.140625" style="18" customWidth="1"/>
    <col min="16" max="16" width="15.140625" style="140" customWidth="1"/>
    <col min="17" max="17" width="14" style="18" bestFit="1" customWidth="1"/>
    <col min="18" max="16384" width="8.85546875" style="18"/>
  </cols>
  <sheetData>
    <row r="1" spans="1:16" s="1" customFormat="1" ht="23.25">
      <c r="A1" s="2735" t="s">
        <v>1465</v>
      </c>
      <c r="B1" s="2735"/>
      <c r="C1" s="2735"/>
      <c r="D1" s="2735"/>
      <c r="E1" s="2735"/>
      <c r="F1" s="2735"/>
      <c r="G1" s="2735"/>
      <c r="H1" s="2735"/>
      <c r="I1" s="2735"/>
      <c r="J1" s="2735"/>
      <c r="K1" s="2735"/>
      <c r="L1" s="2735"/>
      <c r="M1" s="2735"/>
      <c r="N1" s="2735"/>
      <c r="O1" s="2735"/>
      <c r="P1" s="2735"/>
    </row>
    <row r="2" spans="1:16" s="1" customFormat="1" ht="23.25">
      <c r="A2" s="2737" t="s">
        <v>0</v>
      </c>
      <c r="B2" s="2737"/>
      <c r="C2" s="2737"/>
      <c r="D2" s="2737"/>
      <c r="E2" s="2737"/>
      <c r="F2" s="2737"/>
      <c r="G2" s="2737"/>
      <c r="H2" s="2737"/>
      <c r="I2" s="2737"/>
      <c r="J2" s="2737"/>
      <c r="K2" s="2737"/>
      <c r="L2" s="2737"/>
      <c r="M2" s="2737"/>
      <c r="N2" s="2737"/>
      <c r="O2" s="2737"/>
      <c r="P2" s="2737"/>
    </row>
    <row r="3" spans="1:16" s="1" customFormat="1" ht="23.25">
      <c r="A3" s="2735" t="s">
        <v>2763</v>
      </c>
      <c r="B3" s="2735"/>
      <c r="C3" s="2735"/>
      <c r="D3" s="2735"/>
      <c r="E3" s="2735"/>
      <c r="F3" s="2735"/>
      <c r="G3" s="2735"/>
      <c r="H3" s="2735"/>
      <c r="I3" s="2735"/>
      <c r="J3" s="2735"/>
      <c r="K3" s="2735"/>
      <c r="L3" s="2735"/>
      <c r="M3" s="2735"/>
      <c r="N3" s="2735"/>
      <c r="O3" s="2735"/>
      <c r="P3" s="2735"/>
    </row>
    <row r="4" spans="1:16" ht="18.75" customHeight="1">
      <c r="M4" s="143" t="s">
        <v>1</v>
      </c>
      <c r="N4" s="30"/>
    </row>
    <row r="5" spans="1:16" s="1" customFormat="1" ht="25.5" customHeight="1">
      <c r="B5" s="2740" t="s">
        <v>2</v>
      </c>
      <c r="C5" s="2740" t="s">
        <v>3</v>
      </c>
      <c r="D5" s="2740" t="s">
        <v>5</v>
      </c>
      <c r="E5" s="2739" t="s">
        <v>502</v>
      </c>
      <c r="F5" s="2740" t="s">
        <v>646</v>
      </c>
      <c r="G5" s="2740"/>
      <c r="H5" s="2740" t="s">
        <v>1467</v>
      </c>
      <c r="I5" s="2740"/>
      <c r="J5" s="2740" t="s">
        <v>1468</v>
      </c>
      <c r="K5" s="2740"/>
      <c r="L5" s="2740" t="s">
        <v>1469</v>
      </c>
      <c r="M5" s="2740"/>
      <c r="N5" s="2738" t="s">
        <v>87</v>
      </c>
      <c r="O5" s="2739" t="s">
        <v>666</v>
      </c>
      <c r="P5" s="2739" t="s">
        <v>82</v>
      </c>
    </row>
    <row r="6" spans="1:16" s="236" customFormat="1" ht="47.25" customHeight="1">
      <c r="B6" s="2740"/>
      <c r="C6" s="2740"/>
      <c r="D6" s="2740"/>
      <c r="E6" s="2740"/>
      <c r="F6" s="330" t="s">
        <v>668</v>
      </c>
      <c r="G6" s="237" t="s">
        <v>7</v>
      </c>
      <c r="H6" s="330" t="s">
        <v>6</v>
      </c>
      <c r="I6" s="238" t="s">
        <v>7</v>
      </c>
      <c r="J6" s="330" t="s">
        <v>6</v>
      </c>
      <c r="K6" s="238" t="s">
        <v>7</v>
      </c>
      <c r="L6" s="331" t="s">
        <v>668</v>
      </c>
      <c r="M6" s="238" t="s">
        <v>7</v>
      </c>
      <c r="N6" s="2738"/>
      <c r="O6" s="2739"/>
      <c r="P6" s="2739"/>
    </row>
    <row r="7" spans="1:16" s="19" customFormat="1" ht="21">
      <c r="B7" s="239"/>
      <c r="C7" s="240" t="s">
        <v>8</v>
      </c>
      <c r="D7" s="239"/>
      <c r="E7" s="224"/>
      <c r="F7" s="224"/>
      <c r="G7" s="224"/>
      <c r="H7" s="224"/>
      <c r="I7" s="241"/>
      <c r="J7" s="224"/>
      <c r="K7" s="241"/>
      <c r="L7" s="241"/>
      <c r="M7" s="241"/>
      <c r="N7" s="224"/>
      <c r="O7" s="224"/>
      <c r="P7" s="239"/>
    </row>
    <row r="8" spans="1:16" s="138" customFormat="1" ht="21">
      <c r="B8" s="699">
        <v>1</v>
      </c>
      <c r="C8" s="498" t="s">
        <v>2760</v>
      </c>
      <c r="D8" s="215" t="s">
        <v>2725</v>
      </c>
      <c r="E8" s="219">
        <f>+'แผนลงทุน 1ปี '!C6</f>
        <v>1950000</v>
      </c>
      <c r="F8" s="1633">
        <f>+'แผนลงทุน 1ปี '!D6</f>
        <v>1</v>
      </c>
      <c r="G8" s="219">
        <f>+'แผนลงทุน 1ปี '!E6</f>
        <v>1950000</v>
      </c>
      <c r="H8" s="324">
        <v>0</v>
      </c>
      <c r="I8" s="325">
        <v>0</v>
      </c>
      <c r="J8" s="324">
        <v>0</v>
      </c>
      <c r="K8" s="325">
        <v>0</v>
      </c>
      <c r="L8" s="325">
        <v>0</v>
      </c>
      <c r="M8" s="325">
        <v>0</v>
      </c>
      <c r="N8" s="215" t="str">
        <f>+'แผนลงทุน 1ปี '!F6</f>
        <v>เงินบำรุง</v>
      </c>
      <c r="O8" s="215" t="str">
        <f>+'แผนลงทุน 1ปี '!G6</f>
        <v>ครุภัณฑ์</v>
      </c>
      <c r="P8" s="215" t="str">
        <f>+'แผนลงทุน 1ปี '!H6</f>
        <v>M</v>
      </c>
    </row>
    <row r="9" spans="1:16" s="138" customFormat="1" ht="21">
      <c r="B9" s="699">
        <v>2</v>
      </c>
      <c r="C9" s="322" t="s">
        <v>580</v>
      </c>
      <c r="D9" s="215" t="s">
        <v>2727</v>
      </c>
      <c r="E9" s="219">
        <f>+'แผนลงทุน 1ปี '!C7</f>
        <v>250000</v>
      </c>
      <c r="F9" s="1633">
        <f>+'แผนลงทุน 1ปี '!D7</f>
        <v>1</v>
      </c>
      <c r="G9" s="219">
        <f>+'แผนลงทุน 1ปี '!E7</f>
        <v>250000</v>
      </c>
      <c r="H9" s="324">
        <v>0</v>
      </c>
      <c r="I9" s="325">
        <v>0</v>
      </c>
      <c r="J9" s="324">
        <v>0</v>
      </c>
      <c r="K9" s="325">
        <v>0</v>
      </c>
      <c r="L9" s="325">
        <v>0</v>
      </c>
      <c r="M9" s="325">
        <v>0</v>
      </c>
      <c r="N9" s="215" t="str">
        <f>+'แผนลงทุน 1ปี '!F7</f>
        <v>เงินบำรุง</v>
      </c>
      <c r="O9" s="215" t="str">
        <f>+'แผนลงทุน 1ปี '!G7</f>
        <v>ครุภัณฑ์</v>
      </c>
      <c r="P9" s="215" t="str">
        <f>+'แผนลงทุน 1ปี '!H7</f>
        <v>M</v>
      </c>
    </row>
    <row r="10" spans="1:16" s="138" customFormat="1" ht="21">
      <c r="B10" s="699">
        <v>3</v>
      </c>
      <c r="C10" s="690" t="s">
        <v>2482</v>
      </c>
      <c r="D10" s="215" t="s">
        <v>2728</v>
      </c>
      <c r="E10" s="219">
        <f>+'แผนลงทุน 1ปี '!C8</f>
        <v>200000</v>
      </c>
      <c r="F10" s="1633">
        <f>+'แผนลงทุน 1ปี '!D8</f>
        <v>1</v>
      </c>
      <c r="G10" s="219">
        <f>+'แผนลงทุน 1ปี '!E8</f>
        <v>200000</v>
      </c>
      <c r="H10" s="324">
        <v>0</v>
      </c>
      <c r="I10" s="325">
        <v>0</v>
      </c>
      <c r="J10" s="324">
        <v>0</v>
      </c>
      <c r="K10" s="325">
        <v>0</v>
      </c>
      <c r="L10" s="325">
        <v>0</v>
      </c>
      <c r="M10" s="325">
        <v>0</v>
      </c>
      <c r="N10" s="215" t="str">
        <f>+'แผนลงทุน 1ปี '!F8</f>
        <v>เงินบำรุง</v>
      </c>
      <c r="O10" s="215" t="str">
        <f>+'แผนลงทุน 1ปี '!G8</f>
        <v>ครุภัณฑ์</v>
      </c>
      <c r="P10" s="215" t="str">
        <f>+'แผนลงทุน 1ปี '!H8</f>
        <v>M</v>
      </c>
    </row>
    <row r="11" spans="1:16" s="138" customFormat="1" ht="42">
      <c r="B11" s="699">
        <v>4</v>
      </c>
      <c r="C11" s="251" t="s">
        <v>737</v>
      </c>
      <c r="D11" s="215" t="s">
        <v>2727</v>
      </c>
      <c r="E11" s="219">
        <f>+'แผนลงทุน 1ปี '!C9</f>
        <v>150000</v>
      </c>
      <c r="F11" s="1633">
        <f>+'แผนลงทุน 1ปี '!D9</f>
        <v>1</v>
      </c>
      <c r="G11" s="219">
        <f>+'แผนลงทุน 1ปี '!E9</f>
        <v>150000</v>
      </c>
      <c r="H11" s="324">
        <v>0</v>
      </c>
      <c r="I11" s="325">
        <v>0</v>
      </c>
      <c r="J11" s="324">
        <v>0</v>
      </c>
      <c r="K11" s="325">
        <v>0</v>
      </c>
      <c r="L11" s="325">
        <v>0</v>
      </c>
      <c r="M11" s="325">
        <v>0</v>
      </c>
      <c r="N11" s="215" t="str">
        <f>+'แผนลงทุน 1ปี '!F9</f>
        <v>เงินบำรุง</v>
      </c>
      <c r="O11" s="215" t="str">
        <f>+'แผนลงทุน 1ปี '!G9</f>
        <v>ครุภัณฑ์</v>
      </c>
      <c r="P11" s="215" t="str">
        <f>+'แผนลงทุน 1ปี '!H9</f>
        <v>M</v>
      </c>
    </row>
    <row r="12" spans="1:16" s="138" customFormat="1" ht="21">
      <c r="B12" s="699">
        <v>5</v>
      </c>
      <c r="C12" s="322" t="s">
        <v>738</v>
      </c>
      <c r="D12" s="215" t="s">
        <v>2727</v>
      </c>
      <c r="E12" s="219">
        <f>+'แผนลงทุน 1ปี '!C10</f>
        <v>550000</v>
      </c>
      <c r="F12" s="1633">
        <f>+'แผนลงทุน 1ปี '!D10</f>
        <v>2</v>
      </c>
      <c r="G12" s="219">
        <f>+'แผนลงทุน 1ปี '!E10</f>
        <v>1100000</v>
      </c>
      <c r="H12" s="324">
        <v>0</v>
      </c>
      <c r="I12" s="325">
        <v>0</v>
      </c>
      <c r="J12" s="324">
        <v>0</v>
      </c>
      <c r="K12" s="325">
        <v>0</v>
      </c>
      <c r="L12" s="325">
        <v>0</v>
      </c>
      <c r="M12" s="325">
        <v>0</v>
      </c>
      <c r="N12" s="215" t="str">
        <f>+'แผนลงทุน 1ปี '!F10</f>
        <v>เงินบำรุง</v>
      </c>
      <c r="O12" s="215" t="str">
        <f>+'แผนลงทุน 1ปี '!G10</f>
        <v>ครุภัณฑ์</v>
      </c>
      <c r="P12" s="215" t="str">
        <f>+'แผนลงทุน 1ปี '!H10</f>
        <v>M</v>
      </c>
    </row>
    <row r="13" spans="1:16" s="138" customFormat="1" ht="21">
      <c r="B13" s="699">
        <v>6</v>
      </c>
      <c r="C13" s="322" t="s">
        <v>741</v>
      </c>
      <c r="D13" s="215" t="s">
        <v>2727</v>
      </c>
      <c r="E13" s="219">
        <f>+'แผนลงทุน 1ปี '!C11</f>
        <v>30000</v>
      </c>
      <c r="F13" s="1633">
        <f>+'แผนลงทุน 1ปี '!D11</f>
        <v>1</v>
      </c>
      <c r="G13" s="219">
        <f>+'แผนลงทุน 1ปี '!E11</f>
        <v>30000</v>
      </c>
      <c r="H13" s="324">
        <v>0</v>
      </c>
      <c r="I13" s="325">
        <v>0</v>
      </c>
      <c r="J13" s="324">
        <v>0</v>
      </c>
      <c r="K13" s="325">
        <v>0</v>
      </c>
      <c r="L13" s="325">
        <v>0</v>
      </c>
      <c r="M13" s="325">
        <v>0</v>
      </c>
      <c r="N13" s="215" t="str">
        <f>+'แผนลงทุน 1ปี '!F11</f>
        <v>เงินบำรุง</v>
      </c>
      <c r="O13" s="215" t="str">
        <f>+'แผนลงทุน 1ปี '!G11</f>
        <v>ครุภัณฑ์</v>
      </c>
      <c r="P13" s="215" t="str">
        <f>+'แผนลงทุน 1ปี '!H11</f>
        <v>M</v>
      </c>
    </row>
    <row r="14" spans="1:16" s="138" customFormat="1" ht="42">
      <c r="B14" s="699">
        <v>7</v>
      </c>
      <c r="C14" s="251" t="s">
        <v>2729</v>
      </c>
      <c r="D14" s="215" t="s">
        <v>2727</v>
      </c>
      <c r="E14" s="219">
        <f>+'แผนลงทุน 1ปี '!C12</f>
        <v>2700000</v>
      </c>
      <c r="F14" s="1633">
        <f>+'แผนลงทุน 1ปี '!D12</f>
        <v>1</v>
      </c>
      <c r="G14" s="219">
        <f>+'แผนลงทุน 1ปี '!E12</f>
        <v>2700000</v>
      </c>
      <c r="H14" s="324">
        <v>0</v>
      </c>
      <c r="I14" s="325">
        <v>0</v>
      </c>
      <c r="J14" s="324">
        <v>0</v>
      </c>
      <c r="K14" s="325">
        <v>0</v>
      </c>
      <c r="L14" s="325">
        <v>0</v>
      </c>
      <c r="M14" s="325">
        <v>0</v>
      </c>
      <c r="N14" s="215" t="str">
        <f>+'แผนลงทุน 1ปี '!F12</f>
        <v>เงินบำรุง</v>
      </c>
      <c r="O14" s="215" t="str">
        <f>+'แผนลงทุน 1ปี '!G12</f>
        <v>ครุภัณฑ์</v>
      </c>
      <c r="P14" s="215" t="str">
        <f>+'แผนลงทุน 1ปี '!H12</f>
        <v>M</v>
      </c>
    </row>
    <row r="15" spans="1:16" s="138" customFormat="1" ht="21">
      <c r="B15" s="699">
        <v>8</v>
      </c>
      <c r="C15" s="322" t="s">
        <v>800</v>
      </c>
      <c r="D15" s="215" t="s">
        <v>2727</v>
      </c>
      <c r="E15" s="219">
        <f>+'แผนลงทุน 1ปี '!C13</f>
        <v>650000</v>
      </c>
      <c r="F15" s="1633">
        <f>+'แผนลงทุน 1ปี '!D13</f>
        <v>1</v>
      </c>
      <c r="G15" s="219">
        <f>+'แผนลงทุน 1ปี '!E13</f>
        <v>650000</v>
      </c>
      <c r="H15" s="324">
        <v>0</v>
      </c>
      <c r="I15" s="325">
        <v>0</v>
      </c>
      <c r="J15" s="324">
        <v>0</v>
      </c>
      <c r="K15" s="325">
        <v>0</v>
      </c>
      <c r="L15" s="325">
        <v>0</v>
      </c>
      <c r="M15" s="325">
        <v>0</v>
      </c>
      <c r="N15" s="215" t="str">
        <f>+'แผนลงทุน 1ปี '!F13</f>
        <v>เงินบำรุง</v>
      </c>
      <c r="O15" s="215" t="str">
        <f>+'แผนลงทุน 1ปี '!G13</f>
        <v>ครุภัณฑ์</v>
      </c>
      <c r="P15" s="215" t="str">
        <f>+'แผนลงทุน 1ปี '!H13</f>
        <v>M</v>
      </c>
    </row>
    <row r="16" spans="1:16" s="138" customFormat="1" ht="21">
      <c r="B16" s="699">
        <v>9</v>
      </c>
      <c r="C16" s="322" t="s">
        <v>801</v>
      </c>
      <c r="D16" s="215" t="s">
        <v>2727</v>
      </c>
      <c r="E16" s="219">
        <f>+'แผนลงทุน 1ปี '!C14</f>
        <v>1337500</v>
      </c>
      <c r="F16" s="1633">
        <f>+'แผนลงทุน 1ปี '!D14</f>
        <v>1</v>
      </c>
      <c r="G16" s="219">
        <f>+'แผนลงทุน 1ปี '!E14</f>
        <v>1337500</v>
      </c>
      <c r="H16" s="324">
        <v>0</v>
      </c>
      <c r="I16" s="325">
        <v>0</v>
      </c>
      <c r="J16" s="324">
        <v>0</v>
      </c>
      <c r="K16" s="325">
        <v>0</v>
      </c>
      <c r="L16" s="325">
        <v>0</v>
      </c>
      <c r="M16" s="325">
        <v>0</v>
      </c>
      <c r="N16" s="215" t="str">
        <f>+'แผนลงทุน 1ปี '!F14</f>
        <v>เงินบำรุง</v>
      </c>
      <c r="O16" s="215" t="str">
        <f>+'แผนลงทุน 1ปี '!G14</f>
        <v>ครุภัณฑ์</v>
      </c>
      <c r="P16" s="215" t="str">
        <f>+'แผนลงทุน 1ปี '!H14</f>
        <v>M</v>
      </c>
    </row>
    <row r="17" spans="2:16" s="138" customFormat="1" ht="21">
      <c r="B17" s="699">
        <v>10</v>
      </c>
      <c r="C17" s="322" t="s">
        <v>802</v>
      </c>
      <c r="D17" s="215" t="s">
        <v>2727</v>
      </c>
      <c r="E17" s="219">
        <f>+'แผนลงทุน 1ปี '!C15</f>
        <v>448598.13</v>
      </c>
      <c r="F17" s="1633">
        <f>+'แผนลงทุน 1ปี '!D15</f>
        <v>1</v>
      </c>
      <c r="G17" s="219">
        <f>+'แผนลงทุน 1ปี '!E15</f>
        <v>448598.13</v>
      </c>
      <c r="H17" s="324">
        <v>0</v>
      </c>
      <c r="I17" s="325">
        <v>0</v>
      </c>
      <c r="J17" s="324">
        <v>0</v>
      </c>
      <c r="K17" s="325">
        <v>0</v>
      </c>
      <c r="L17" s="325">
        <v>0</v>
      </c>
      <c r="M17" s="325">
        <v>0</v>
      </c>
      <c r="N17" s="215" t="str">
        <f>+'แผนลงทุน 1ปี '!F15</f>
        <v>เงินบำรุง</v>
      </c>
      <c r="O17" s="215" t="str">
        <f>+'แผนลงทุน 1ปี '!G15</f>
        <v>ครุภัณฑ์</v>
      </c>
      <c r="P17" s="215" t="str">
        <f>+'แผนลงทุน 1ปี '!H15</f>
        <v>M</v>
      </c>
    </row>
    <row r="18" spans="2:16" s="138" customFormat="1" ht="21">
      <c r="B18" s="699">
        <v>11</v>
      </c>
      <c r="C18" s="322" t="s">
        <v>799</v>
      </c>
      <c r="D18" s="215" t="s">
        <v>2727</v>
      </c>
      <c r="E18" s="219">
        <f>+'แผนลงทุน 1ปี '!C16</f>
        <v>4500000</v>
      </c>
      <c r="F18" s="1633">
        <f>+'แผนลงทุน 1ปี '!D16</f>
        <v>1</v>
      </c>
      <c r="G18" s="219">
        <f>+'แผนลงทุน 1ปี '!E16</f>
        <v>4500000</v>
      </c>
      <c r="H18" s="324">
        <v>0</v>
      </c>
      <c r="I18" s="325">
        <v>0</v>
      </c>
      <c r="J18" s="324">
        <v>0</v>
      </c>
      <c r="K18" s="325">
        <v>0</v>
      </c>
      <c r="L18" s="325">
        <v>0</v>
      </c>
      <c r="M18" s="325">
        <v>0</v>
      </c>
      <c r="N18" s="215" t="str">
        <f>+'แผนลงทุน 1ปี '!F16</f>
        <v>เงินบำรุง</v>
      </c>
      <c r="O18" s="215" t="str">
        <f>+'แผนลงทุน 1ปี '!G16</f>
        <v>ครุภัณฑ์</v>
      </c>
      <c r="P18" s="215" t="str">
        <f>+'แผนลงทุน 1ปี '!H16</f>
        <v>M</v>
      </c>
    </row>
    <row r="19" spans="2:16" s="138" customFormat="1" ht="21">
      <c r="B19" s="699">
        <v>12</v>
      </c>
      <c r="C19" s="322" t="s">
        <v>190</v>
      </c>
      <c r="D19" s="215" t="s">
        <v>2726</v>
      </c>
      <c r="E19" s="219">
        <f>+'แผนลงทุน 1ปี '!C17</f>
        <v>579900</v>
      </c>
      <c r="F19" s="1633">
        <f>+'แผนลงทุน 1ปี '!D17</f>
        <v>1</v>
      </c>
      <c r="G19" s="219">
        <f>+'แผนลงทุน 1ปี '!E17</f>
        <v>579900</v>
      </c>
      <c r="H19" s="324">
        <v>0</v>
      </c>
      <c r="I19" s="325">
        <v>0</v>
      </c>
      <c r="J19" s="324">
        <v>0</v>
      </c>
      <c r="K19" s="325">
        <v>0</v>
      </c>
      <c r="L19" s="325">
        <v>0</v>
      </c>
      <c r="M19" s="325">
        <v>0</v>
      </c>
      <c r="N19" s="215" t="str">
        <f>+'แผนลงทุน 1ปี '!F17</f>
        <v>เงินบำรุง</v>
      </c>
      <c r="O19" s="215" t="str">
        <f>+'แผนลงทุน 1ปี '!G17</f>
        <v>ครุภัณฑ์</v>
      </c>
      <c r="P19" s="215" t="str">
        <f>+'แผนลงทุน 1ปี '!H17</f>
        <v>M</v>
      </c>
    </row>
    <row r="20" spans="2:16" s="138" customFormat="1" ht="21">
      <c r="B20" s="699">
        <v>13</v>
      </c>
      <c r="C20" s="322" t="s">
        <v>1167</v>
      </c>
      <c r="D20" s="215" t="s">
        <v>2727</v>
      </c>
      <c r="E20" s="219">
        <f>+'แผนลงทุน 1ปี '!C18</f>
        <v>9800</v>
      </c>
      <c r="F20" s="1633">
        <f>+'แผนลงทุน 1ปี '!D18</f>
        <v>1</v>
      </c>
      <c r="G20" s="219">
        <f>+'แผนลงทุน 1ปี '!E18</f>
        <v>9800</v>
      </c>
      <c r="H20" s="324">
        <v>0</v>
      </c>
      <c r="I20" s="325">
        <v>0</v>
      </c>
      <c r="J20" s="324">
        <v>0</v>
      </c>
      <c r="K20" s="325">
        <v>0</v>
      </c>
      <c r="L20" s="325">
        <v>0</v>
      </c>
      <c r="M20" s="325">
        <v>0</v>
      </c>
      <c r="N20" s="215" t="str">
        <f>+'แผนลงทุน 1ปี '!F18</f>
        <v>เงินบำรุง</v>
      </c>
      <c r="O20" s="215" t="str">
        <f>+'แผนลงทุน 1ปี '!G18</f>
        <v>ครุภัณฑ์</v>
      </c>
      <c r="P20" s="215" t="str">
        <f>+'แผนลงทุน 1ปี '!H18</f>
        <v>M</v>
      </c>
    </row>
    <row r="21" spans="2:16" s="138" customFormat="1" ht="21">
      <c r="B21" s="699">
        <v>14</v>
      </c>
      <c r="C21" s="690" t="s">
        <v>188</v>
      </c>
      <c r="D21" s="215" t="s">
        <v>2727</v>
      </c>
      <c r="E21" s="219">
        <f>+'แผนลงทุน 1ปี '!C19</f>
        <v>400000</v>
      </c>
      <c r="F21" s="1633">
        <f>+'แผนลงทุน 1ปี '!D19</f>
        <v>1</v>
      </c>
      <c r="G21" s="219">
        <f>+'แผนลงทุน 1ปี '!E19</f>
        <v>400000</v>
      </c>
      <c r="H21" s="324">
        <v>0</v>
      </c>
      <c r="I21" s="325">
        <v>0</v>
      </c>
      <c r="J21" s="324">
        <v>0</v>
      </c>
      <c r="K21" s="325">
        <v>0</v>
      </c>
      <c r="L21" s="325">
        <v>0</v>
      </c>
      <c r="M21" s="325">
        <v>0</v>
      </c>
      <c r="N21" s="215" t="str">
        <f>+'แผนลงทุน 1ปี '!F19</f>
        <v>เงินบำรุง</v>
      </c>
      <c r="O21" s="215" t="str">
        <f>+'แผนลงทุน 1ปี '!G19</f>
        <v>ครุภัณฑ์</v>
      </c>
      <c r="P21" s="215" t="str">
        <f>+'แผนลงทุน 1ปี '!H19</f>
        <v>M</v>
      </c>
    </row>
    <row r="22" spans="2:16" s="138" customFormat="1" ht="21">
      <c r="B22" s="699">
        <v>15</v>
      </c>
      <c r="C22" s="690" t="s">
        <v>187</v>
      </c>
      <c r="D22" s="215" t="s">
        <v>2727</v>
      </c>
      <c r="E22" s="219">
        <f>+'แผนลงทุน 1ปี '!C20</f>
        <v>100000</v>
      </c>
      <c r="F22" s="1633">
        <f>+'แผนลงทุน 1ปี '!D20</f>
        <v>1</v>
      </c>
      <c r="G22" s="219">
        <f>+'แผนลงทุน 1ปี '!E20</f>
        <v>100000</v>
      </c>
      <c r="H22" s="324">
        <v>0</v>
      </c>
      <c r="I22" s="325">
        <v>0</v>
      </c>
      <c r="J22" s="324">
        <v>0</v>
      </c>
      <c r="K22" s="325">
        <v>0</v>
      </c>
      <c r="L22" s="325">
        <v>0</v>
      </c>
      <c r="M22" s="325">
        <v>0</v>
      </c>
      <c r="N22" s="215" t="str">
        <f>+'แผนลงทุน 1ปี '!F20</f>
        <v>เงินบำรุง</v>
      </c>
      <c r="O22" s="215" t="str">
        <f>+'แผนลงทุน 1ปี '!G20</f>
        <v>ครุภัณฑ์</v>
      </c>
      <c r="P22" s="215" t="str">
        <f>+'แผนลงทุน 1ปี '!H20</f>
        <v>M</v>
      </c>
    </row>
    <row r="23" spans="2:16" s="138" customFormat="1" ht="21">
      <c r="B23" s="699">
        <v>16</v>
      </c>
      <c r="C23" s="498" t="s">
        <v>200</v>
      </c>
      <c r="D23" s="215" t="s">
        <v>2727</v>
      </c>
      <c r="E23" s="219">
        <f>+'แผนลงทุน 1ปี '!C21</f>
        <v>65000</v>
      </c>
      <c r="F23" s="1633">
        <f>+'แผนลงทุน 1ปี '!D21</f>
        <v>1</v>
      </c>
      <c r="G23" s="219">
        <f>+'แผนลงทุน 1ปี '!E21</f>
        <v>65000</v>
      </c>
      <c r="H23" s="324">
        <v>0</v>
      </c>
      <c r="I23" s="325">
        <v>0</v>
      </c>
      <c r="J23" s="324">
        <v>0</v>
      </c>
      <c r="K23" s="325">
        <v>0</v>
      </c>
      <c r="L23" s="325">
        <v>0</v>
      </c>
      <c r="M23" s="325">
        <v>0</v>
      </c>
      <c r="N23" s="215" t="str">
        <f>+'แผนลงทุน 1ปี '!F21</f>
        <v>เงินบำรุง</v>
      </c>
      <c r="O23" s="215" t="str">
        <f>+'แผนลงทุน 1ปี '!G21</f>
        <v>ครุภัณฑ์</v>
      </c>
      <c r="P23" s="215" t="str">
        <f>+'แผนลงทุน 1ปี '!H21</f>
        <v>M</v>
      </c>
    </row>
    <row r="24" spans="2:16" s="138" customFormat="1" ht="21">
      <c r="B24" s="699">
        <v>17</v>
      </c>
      <c r="C24" s="2454" t="s">
        <v>481</v>
      </c>
      <c r="D24" s="215" t="s">
        <v>2727</v>
      </c>
      <c r="E24" s="219">
        <f>+'แผนลงทุน 1ปี '!C22</f>
        <v>50000</v>
      </c>
      <c r="F24" s="1633">
        <f>+'แผนลงทุน 1ปี '!D22</f>
        <v>1</v>
      </c>
      <c r="G24" s="219">
        <f>+'แผนลงทุน 1ปี '!E22</f>
        <v>50000</v>
      </c>
      <c r="H24" s="324">
        <v>0</v>
      </c>
      <c r="I24" s="325">
        <v>0</v>
      </c>
      <c r="J24" s="324">
        <v>0</v>
      </c>
      <c r="K24" s="325">
        <v>0</v>
      </c>
      <c r="L24" s="325">
        <v>0</v>
      </c>
      <c r="M24" s="325">
        <v>0</v>
      </c>
      <c r="N24" s="215" t="str">
        <f>+'แผนลงทุน 1ปี '!F22</f>
        <v>เงินบำรุง</v>
      </c>
      <c r="O24" s="215" t="str">
        <f>+'แผนลงทุน 1ปี '!G22</f>
        <v>ครุภัณฑ์</v>
      </c>
      <c r="P24" s="215" t="str">
        <f>+'แผนลงทุน 1ปี '!H22</f>
        <v>M</v>
      </c>
    </row>
    <row r="25" spans="2:16" s="138" customFormat="1" ht="21">
      <c r="B25" s="699">
        <v>18</v>
      </c>
      <c r="C25" s="2454" t="s">
        <v>480</v>
      </c>
      <c r="D25" s="215" t="s">
        <v>2730</v>
      </c>
      <c r="E25" s="219">
        <f>+'แผนลงทุน 1ปี '!C23</f>
        <v>40000</v>
      </c>
      <c r="F25" s="1633">
        <f>+'แผนลงทุน 1ปี '!D23</f>
        <v>1</v>
      </c>
      <c r="G25" s="219">
        <f>+'แผนลงทุน 1ปี '!E23</f>
        <v>40000</v>
      </c>
      <c r="H25" s="324">
        <v>0</v>
      </c>
      <c r="I25" s="325">
        <v>0</v>
      </c>
      <c r="J25" s="324">
        <v>0</v>
      </c>
      <c r="K25" s="325">
        <v>0</v>
      </c>
      <c r="L25" s="325">
        <v>0</v>
      </c>
      <c r="M25" s="325">
        <v>0</v>
      </c>
      <c r="N25" s="215" t="str">
        <f>+'แผนลงทุน 1ปี '!F23</f>
        <v>เงินบำรุง</v>
      </c>
      <c r="O25" s="215" t="str">
        <f>+'แผนลงทุน 1ปี '!G23</f>
        <v>ครุภัณฑ์</v>
      </c>
      <c r="P25" s="215" t="str">
        <f>+'แผนลงทุน 1ปี '!H23</f>
        <v>M</v>
      </c>
    </row>
    <row r="26" spans="2:16" s="138" customFormat="1" ht="23.1" customHeight="1">
      <c r="B26" s="699">
        <v>19</v>
      </c>
      <c r="C26" s="498" t="s">
        <v>205</v>
      </c>
      <c r="D26" s="215" t="s">
        <v>2730</v>
      </c>
      <c r="E26" s="219">
        <f>+'แผนลงทุน 1ปี '!C24</f>
        <v>31849</v>
      </c>
      <c r="F26" s="1633">
        <f>+'แผนลงทุน 1ปี '!D24</f>
        <v>1</v>
      </c>
      <c r="G26" s="219">
        <f>+'แผนลงทุน 1ปี '!E24</f>
        <v>31849</v>
      </c>
      <c r="H26" s="324">
        <v>0</v>
      </c>
      <c r="I26" s="325">
        <v>0</v>
      </c>
      <c r="J26" s="324">
        <v>0</v>
      </c>
      <c r="K26" s="325">
        <v>0</v>
      </c>
      <c r="L26" s="325">
        <v>0</v>
      </c>
      <c r="M26" s="325">
        <v>0</v>
      </c>
      <c r="N26" s="215" t="str">
        <f>+'แผนลงทุน 1ปี '!F24</f>
        <v>เงินบำรุง</v>
      </c>
      <c r="O26" s="215" t="str">
        <f>+'แผนลงทุน 1ปี '!G24</f>
        <v>ครุภัณฑ์</v>
      </c>
      <c r="P26" s="215" t="str">
        <f>+'แผนลงทุน 1ปี '!H24</f>
        <v>M</v>
      </c>
    </row>
    <row r="27" spans="2:16" s="138" customFormat="1" ht="21">
      <c r="B27" s="699">
        <v>20</v>
      </c>
      <c r="C27" s="2454" t="s">
        <v>482</v>
      </c>
      <c r="D27" s="215" t="s">
        <v>2730</v>
      </c>
      <c r="E27" s="219">
        <f>+'แผนลงทุน 1ปี '!C25</f>
        <v>9500</v>
      </c>
      <c r="F27" s="1633">
        <f>+'แผนลงทุน 1ปี '!D25</f>
        <v>2</v>
      </c>
      <c r="G27" s="219">
        <f>+'แผนลงทุน 1ปี '!E25</f>
        <v>19000</v>
      </c>
      <c r="H27" s="324">
        <v>0</v>
      </c>
      <c r="I27" s="325">
        <v>0</v>
      </c>
      <c r="J27" s="324">
        <v>0</v>
      </c>
      <c r="K27" s="325">
        <v>0</v>
      </c>
      <c r="L27" s="325">
        <v>0</v>
      </c>
      <c r="M27" s="325">
        <v>0</v>
      </c>
      <c r="N27" s="215" t="str">
        <f>+'แผนลงทุน 1ปี '!F25</f>
        <v>เงินบำรุง</v>
      </c>
      <c r="O27" s="215" t="str">
        <f>+'แผนลงทุน 1ปี '!G25</f>
        <v>ครุภัณฑ์</v>
      </c>
      <c r="P27" s="215" t="str">
        <f>+'แผนลงทุน 1ปี '!H25</f>
        <v>M</v>
      </c>
    </row>
    <row r="28" spans="2:16" s="138" customFormat="1" ht="21">
      <c r="B28" s="699">
        <v>21</v>
      </c>
      <c r="C28" s="690" t="s">
        <v>202</v>
      </c>
      <c r="D28" s="215" t="s">
        <v>2730</v>
      </c>
      <c r="E28" s="219">
        <f>+'แผนลงทุน 1ปี '!C26</f>
        <v>5500</v>
      </c>
      <c r="F28" s="1633">
        <f>+'แผนลงทุน 1ปี '!D26</f>
        <v>10</v>
      </c>
      <c r="G28" s="219">
        <f>+'แผนลงทุน 1ปี '!E26</f>
        <v>55000</v>
      </c>
      <c r="H28" s="324">
        <v>0</v>
      </c>
      <c r="I28" s="325">
        <v>0</v>
      </c>
      <c r="J28" s="324">
        <v>0</v>
      </c>
      <c r="K28" s="325">
        <v>0</v>
      </c>
      <c r="L28" s="325">
        <v>0</v>
      </c>
      <c r="M28" s="325">
        <v>0</v>
      </c>
      <c r="N28" s="215" t="str">
        <f>+'แผนลงทุน 1ปี '!F26</f>
        <v>เงินบำรุง</v>
      </c>
      <c r="O28" s="215" t="str">
        <f>+'แผนลงทุน 1ปี '!G26</f>
        <v>ครุภัณฑ์</v>
      </c>
      <c r="P28" s="215" t="str">
        <f>+'แผนลงทุน 1ปี '!H26</f>
        <v>M</v>
      </c>
    </row>
    <row r="29" spans="2:16" s="138" customFormat="1" ht="21">
      <c r="B29" s="699">
        <v>22</v>
      </c>
      <c r="C29" s="1477" t="s">
        <v>485</v>
      </c>
      <c r="D29" s="215" t="s">
        <v>2730</v>
      </c>
      <c r="E29" s="219">
        <f>+'แผนลงทุน 1ปี '!C27</f>
        <v>4950</v>
      </c>
      <c r="F29" s="1633">
        <f>+'แผนลงทุน 1ปี '!D27</f>
        <v>2</v>
      </c>
      <c r="G29" s="219">
        <f>+'แผนลงทุน 1ปี '!E27</f>
        <v>9900</v>
      </c>
      <c r="H29" s="324">
        <v>0</v>
      </c>
      <c r="I29" s="325">
        <v>0</v>
      </c>
      <c r="J29" s="324">
        <v>0</v>
      </c>
      <c r="K29" s="325">
        <v>0</v>
      </c>
      <c r="L29" s="325">
        <v>0</v>
      </c>
      <c r="M29" s="325">
        <v>0</v>
      </c>
      <c r="N29" s="215" t="str">
        <f>+'แผนลงทุน 1ปี '!F27</f>
        <v>เงินบำรุง</v>
      </c>
      <c r="O29" s="215" t="str">
        <f>+'แผนลงทุน 1ปี '!G27</f>
        <v>ครุภัณฑ์</v>
      </c>
      <c r="P29" s="215" t="str">
        <f>+'แผนลงทุน 1ปี '!H27</f>
        <v>M</v>
      </c>
    </row>
    <row r="30" spans="2:16" s="138" customFormat="1" ht="21">
      <c r="B30" s="699">
        <v>23</v>
      </c>
      <c r="C30" s="2454" t="s">
        <v>479</v>
      </c>
      <c r="D30" s="215" t="s">
        <v>2731</v>
      </c>
      <c r="E30" s="219">
        <f>+'แผนลงทุน 1ปี '!C28</f>
        <v>2000</v>
      </c>
      <c r="F30" s="1633">
        <f>+'แผนลงทุน 1ปี '!D28</f>
        <v>1</v>
      </c>
      <c r="G30" s="219">
        <f>+'แผนลงทุน 1ปี '!E28</f>
        <v>2000</v>
      </c>
      <c r="H30" s="324">
        <v>0</v>
      </c>
      <c r="I30" s="325">
        <v>0</v>
      </c>
      <c r="J30" s="324">
        <v>0</v>
      </c>
      <c r="K30" s="325">
        <v>0</v>
      </c>
      <c r="L30" s="325">
        <v>0</v>
      </c>
      <c r="M30" s="325">
        <v>0</v>
      </c>
      <c r="N30" s="215" t="str">
        <f>+'แผนลงทุน 1ปี '!F28</f>
        <v>เงินบำรุง</v>
      </c>
      <c r="O30" s="215" t="str">
        <f>+'แผนลงทุน 1ปี '!G28</f>
        <v>ครุภัณฑ์</v>
      </c>
      <c r="P30" s="215" t="str">
        <f>+'แผนลงทุน 1ปี '!H28</f>
        <v>M</v>
      </c>
    </row>
    <row r="31" spans="2:16" s="138" customFormat="1" ht="21">
      <c r="B31" s="699">
        <v>24</v>
      </c>
      <c r="C31" s="690" t="s">
        <v>654</v>
      </c>
      <c r="D31" s="215" t="s">
        <v>2727</v>
      </c>
      <c r="E31" s="219">
        <f>+'แผนลงทุน 1ปี '!C29</f>
        <v>130000</v>
      </c>
      <c r="F31" s="1633">
        <f>+'แผนลงทุน 1ปี '!D29</f>
        <v>2</v>
      </c>
      <c r="G31" s="219">
        <f>+'แผนลงทุน 1ปี '!E29</f>
        <v>260000</v>
      </c>
      <c r="H31" s="324">
        <v>0</v>
      </c>
      <c r="I31" s="325">
        <v>0</v>
      </c>
      <c r="J31" s="324">
        <v>0</v>
      </c>
      <c r="K31" s="325">
        <v>0</v>
      </c>
      <c r="L31" s="325">
        <v>0</v>
      </c>
      <c r="M31" s="325">
        <v>0</v>
      </c>
      <c r="N31" s="215" t="str">
        <f>+'แผนลงทุน 1ปี '!F29</f>
        <v>เงินบำรุง</v>
      </c>
      <c r="O31" s="215" t="str">
        <f>+'แผนลงทุน 1ปี '!G29</f>
        <v>ครุภัณฑ์</v>
      </c>
      <c r="P31" s="215" t="str">
        <f>+'แผนลงทุน 1ปี '!H29</f>
        <v>M</v>
      </c>
    </row>
    <row r="32" spans="2:16" s="138" customFormat="1" ht="42">
      <c r="B32" s="699">
        <v>25</v>
      </c>
      <c r="C32" s="487" t="s">
        <v>1191</v>
      </c>
      <c r="D32" s="215" t="s">
        <v>2727</v>
      </c>
      <c r="E32" s="219">
        <f>+'แผนลงทุน 1ปี '!C30</f>
        <v>400000</v>
      </c>
      <c r="F32" s="1633">
        <f>+'แผนลงทุน 1ปี '!D30</f>
        <v>1</v>
      </c>
      <c r="G32" s="219">
        <f>+'แผนลงทุน 1ปี '!E30</f>
        <v>400000</v>
      </c>
      <c r="H32" s="324">
        <v>0</v>
      </c>
      <c r="I32" s="325">
        <v>0</v>
      </c>
      <c r="J32" s="324">
        <v>0</v>
      </c>
      <c r="K32" s="325">
        <v>0</v>
      </c>
      <c r="L32" s="325">
        <v>0</v>
      </c>
      <c r="M32" s="325">
        <v>0</v>
      </c>
      <c r="N32" s="215" t="str">
        <f>+'แผนลงทุน 1ปี '!F30</f>
        <v>เงินบำรุง</v>
      </c>
      <c r="O32" s="215" t="str">
        <f>+'แผนลงทุน 1ปี '!G30</f>
        <v>ครุภัณฑ์</v>
      </c>
      <c r="P32" s="215" t="str">
        <f>+'แผนลงทุน 1ปี '!H30</f>
        <v>M</v>
      </c>
    </row>
    <row r="33" spans="2:16" s="138" customFormat="1" ht="21">
      <c r="B33" s="699">
        <v>26</v>
      </c>
      <c r="C33" s="322" t="s">
        <v>803</v>
      </c>
      <c r="D33" s="215" t="s">
        <v>2727</v>
      </c>
      <c r="E33" s="219">
        <f>+'แผนลงทุน 1ปี '!C31</f>
        <v>310000</v>
      </c>
      <c r="F33" s="1633">
        <f>+'แผนลงทุน 1ปี '!D31</f>
        <v>1</v>
      </c>
      <c r="G33" s="219">
        <f>+'แผนลงทุน 1ปี '!E31</f>
        <v>310000</v>
      </c>
      <c r="H33" s="324">
        <v>0</v>
      </c>
      <c r="I33" s="325">
        <v>0</v>
      </c>
      <c r="J33" s="324">
        <v>0</v>
      </c>
      <c r="K33" s="325">
        <v>0</v>
      </c>
      <c r="L33" s="325">
        <v>0</v>
      </c>
      <c r="M33" s="325">
        <v>0</v>
      </c>
      <c r="N33" s="215" t="str">
        <f>+'แผนลงทุน 1ปี '!F31</f>
        <v>เงินบำรุง</v>
      </c>
      <c r="O33" s="215" t="str">
        <f>+'แผนลงทุน 1ปี '!G31</f>
        <v>ครุภัณฑ์</v>
      </c>
      <c r="P33" s="215" t="str">
        <f>+'แผนลงทุน 1ปี '!H31</f>
        <v>M</v>
      </c>
    </row>
    <row r="34" spans="2:16" s="138" customFormat="1" ht="21">
      <c r="B34" s="699">
        <v>27</v>
      </c>
      <c r="C34" s="520" t="s">
        <v>813</v>
      </c>
      <c r="D34" s="215" t="s">
        <v>2727</v>
      </c>
      <c r="E34" s="219">
        <f>+'แผนลงทุน 1ปี '!C32</f>
        <v>5990</v>
      </c>
      <c r="F34" s="1633">
        <f>+'แผนลงทุน 1ปี '!D32</f>
        <v>2</v>
      </c>
      <c r="G34" s="219">
        <f>+'แผนลงทุน 1ปี '!E32</f>
        <v>11980</v>
      </c>
      <c r="H34" s="324">
        <v>0</v>
      </c>
      <c r="I34" s="325">
        <v>0</v>
      </c>
      <c r="J34" s="324">
        <v>0</v>
      </c>
      <c r="K34" s="325">
        <v>0</v>
      </c>
      <c r="L34" s="325">
        <v>0</v>
      </c>
      <c r="M34" s="325">
        <v>0</v>
      </c>
      <c r="N34" s="215" t="str">
        <f>+'แผนลงทุน 1ปี '!F32</f>
        <v>เงินบำรุง</v>
      </c>
      <c r="O34" s="215" t="str">
        <f>+'แผนลงทุน 1ปี '!G32</f>
        <v>ครุภัณฑ์</v>
      </c>
      <c r="P34" s="215" t="str">
        <f>+'แผนลงทุน 1ปี '!H32</f>
        <v>M</v>
      </c>
    </row>
    <row r="35" spans="2:16" s="138" customFormat="1" ht="23.1" customHeight="1">
      <c r="B35" s="699">
        <v>28</v>
      </c>
      <c r="C35" s="520" t="s">
        <v>840</v>
      </c>
      <c r="D35" s="215" t="s">
        <v>2730</v>
      </c>
      <c r="E35" s="219">
        <f>+'แผนลงทุน 1ปี '!C33</f>
        <v>33000</v>
      </c>
      <c r="F35" s="1633">
        <f>+'แผนลงทุน 1ปี '!D33</f>
        <v>4</v>
      </c>
      <c r="G35" s="219">
        <f>+'แผนลงทุน 1ปี '!E33</f>
        <v>132000</v>
      </c>
      <c r="H35" s="324">
        <v>0</v>
      </c>
      <c r="I35" s="325">
        <v>0</v>
      </c>
      <c r="J35" s="324">
        <v>0</v>
      </c>
      <c r="K35" s="325">
        <v>0</v>
      </c>
      <c r="L35" s="325">
        <v>0</v>
      </c>
      <c r="M35" s="325">
        <v>0</v>
      </c>
      <c r="N35" s="215" t="str">
        <f>+'แผนลงทุน 1ปี '!F33</f>
        <v>เงินบำรุง</v>
      </c>
      <c r="O35" s="215" t="str">
        <f>+'แผนลงทุน 1ปี '!G33</f>
        <v>ครุภัณฑ์</v>
      </c>
      <c r="P35" s="215" t="str">
        <f>+'แผนลงทุน 1ปี '!H33</f>
        <v>M</v>
      </c>
    </row>
    <row r="36" spans="2:16" s="138" customFormat="1" ht="21">
      <c r="B36" s="699">
        <v>29</v>
      </c>
      <c r="C36" s="498" t="s">
        <v>987</v>
      </c>
      <c r="D36" s="215" t="s">
        <v>2728</v>
      </c>
      <c r="E36" s="219">
        <f>+'แผนลงทุน 1ปี '!C34</f>
        <v>2500000</v>
      </c>
      <c r="F36" s="1633">
        <f>+'แผนลงทุน 1ปี '!D34</f>
        <v>1</v>
      </c>
      <c r="G36" s="219">
        <f>+'แผนลงทุน 1ปี '!E34</f>
        <v>2500000</v>
      </c>
      <c r="H36" s="324">
        <v>0</v>
      </c>
      <c r="I36" s="325">
        <v>0</v>
      </c>
      <c r="J36" s="324">
        <v>0</v>
      </c>
      <c r="K36" s="325">
        <v>0</v>
      </c>
      <c r="L36" s="325">
        <v>0</v>
      </c>
      <c r="M36" s="325">
        <v>0</v>
      </c>
      <c r="N36" s="215" t="str">
        <f>+'แผนลงทุน 1ปี '!F34</f>
        <v>เงินบำรุง</v>
      </c>
      <c r="O36" s="215" t="str">
        <f>+'แผนลงทุน 1ปี '!G34</f>
        <v>ครุภัณฑ์</v>
      </c>
      <c r="P36" s="215" t="str">
        <f>+'แผนลงทุน 1ปี '!H34</f>
        <v>M</v>
      </c>
    </row>
    <row r="37" spans="2:16" s="138" customFormat="1" ht="21">
      <c r="B37" s="699">
        <v>30</v>
      </c>
      <c r="C37" s="221" t="s">
        <v>1339</v>
      </c>
      <c r="D37" s="215" t="s">
        <v>2732</v>
      </c>
      <c r="E37" s="219">
        <f>+'แผนลงทุน 1ปี '!C35</f>
        <v>19900</v>
      </c>
      <c r="F37" s="1633">
        <f>+'แผนลงทุน 1ปี '!D35</f>
        <v>1</v>
      </c>
      <c r="G37" s="219">
        <f>+'แผนลงทุน 1ปี '!E35</f>
        <v>19900</v>
      </c>
      <c r="H37" s="324">
        <v>0</v>
      </c>
      <c r="I37" s="325">
        <v>0</v>
      </c>
      <c r="J37" s="324">
        <v>0</v>
      </c>
      <c r="K37" s="325">
        <v>0</v>
      </c>
      <c r="L37" s="325">
        <v>0</v>
      </c>
      <c r="M37" s="325">
        <v>0</v>
      </c>
      <c r="N37" s="215" t="str">
        <f>+'แผนลงทุน 1ปี '!F35</f>
        <v>เงินบำรุง</v>
      </c>
      <c r="O37" s="215" t="str">
        <f>+'แผนลงทุน 1ปี '!G35</f>
        <v>ครุภัณฑ์</v>
      </c>
      <c r="P37" s="215" t="str">
        <f>+'แผนลงทุน 1ปี '!H35</f>
        <v>M</v>
      </c>
    </row>
    <row r="38" spans="2:16" s="138" customFormat="1" ht="21">
      <c r="B38" s="699">
        <v>31</v>
      </c>
      <c r="C38" s="221" t="s">
        <v>1340</v>
      </c>
      <c r="D38" s="215" t="s">
        <v>2733</v>
      </c>
      <c r="E38" s="219">
        <f>+'แผนลงทุน 1ปี '!C36</f>
        <v>90000</v>
      </c>
      <c r="F38" s="1633">
        <f>+'แผนลงทุน 1ปี '!D36</f>
        <v>1</v>
      </c>
      <c r="G38" s="219">
        <f>+'แผนลงทุน 1ปี '!E36</f>
        <v>90000</v>
      </c>
      <c r="H38" s="324">
        <v>0</v>
      </c>
      <c r="I38" s="325">
        <v>0</v>
      </c>
      <c r="J38" s="324">
        <v>0</v>
      </c>
      <c r="K38" s="325">
        <v>0</v>
      </c>
      <c r="L38" s="325">
        <v>0</v>
      </c>
      <c r="M38" s="325">
        <v>0</v>
      </c>
      <c r="N38" s="215" t="str">
        <f>+'แผนลงทุน 1ปี '!F36</f>
        <v>เงินบำรุง</v>
      </c>
      <c r="O38" s="215" t="str">
        <f>+'แผนลงทุน 1ปี '!G36</f>
        <v>ครุภัณฑ์</v>
      </c>
      <c r="P38" s="215" t="str">
        <f>+'แผนลงทุน 1ปี '!H36</f>
        <v>M</v>
      </c>
    </row>
    <row r="39" spans="2:16" s="138" customFormat="1" ht="21">
      <c r="B39" s="699">
        <v>32</v>
      </c>
      <c r="C39" s="221" t="s">
        <v>1341</v>
      </c>
      <c r="D39" s="215" t="s">
        <v>2727</v>
      </c>
      <c r="E39" s="219">
        <f>+'แผนลงทุน 1ปี '!C37</f>
        <v>50000</v>
      </c>
      <c r="F39" s="1633">
        <f>+'แผนลงทุน 1ปี '!D37</f>
        <v>1</v>
      </c>
      <c r="G39" s="219">
        <f>+'แผนลงทุน 1ปี '!E37</f>
        <v>50000</v>
      </c>
      <c r="H39" s="324">
        <v>0</v>
      </c>
      <c r="I39" s="325">
        <v>0</v>
      </c>
      <c r="J39" s="324">
        <v>0</v>
      </c>
      <c r="K39" s="325">
        <v>0</v>
      </c>
      <c r="L39" s="325">
        <v>0</v>
      </c>
      <c r="M39" s="325">
        <v>0</v>
      </c>
      <c r="N39" s="215" t="str">
        <f>+'แผนลงทุน 1ปี '!F37</f>
        <v>เงินบำรุง</v>
      </c>
      <c r="O39" s="215" t="str">
        <f>+'แผนลงทุน 1ปี '!G37</f>
        <v>ครุภัณฑ์</v>
      </c>
      <c r="P39" s="215" t="str">
        <f>+'แผนลงทุน 1ปี '!H37</f>
        <v>M</v>
      </c>
    </row>
    <row r="40" spans="2:16" s="138" customFormat="1" ht="21">
      <c r="B40" s="699">
        <v>33</v>
      </c>
      <c r="C40" s="221" t="s">
        <v>1342</v>
      </c>
      <c r="D40" s="215" t="s">
        <v>2734</v>
      </c>
      <c r="E40" s="219">
        <f>+'แผนลงทุน 1ปี '!C38</f>
        <v>15000</v>
      </c>
      <c r="F40" s="1633">
        <f>+'แผนลงทุน 1ปี '!D38</f>
        <v>1</v>
      </c>
      <c r="G40" s="219">
        <f>+'แผนลงทุน 1ปี '!E38</f>
        <v>15000</v>
      </c>
      <c r="H40" s="324">
        <v>0</v>
      </c>
      <c r="I40" s="325">
        <v>0</v>
      </c>
      <c r="J40" s="324">
        <v>0</v>
      </c>
      <c r="K40" s="325">
        <v>0</v>
      </c>
      <c r="L40" s="325">
        <v>0</v>
      </c>
      <c r="M40" s="325">
        <v>0</v>
      </c>
      <c r="N40" s="215" t="str">
        <f>+'แผนลงทุน 1ปี '!F38</f>
        <v>เงินบำรุง</v>
      </c>
      <c r="O40" s="215" t="str">
        <f>+'แผนลงทุน 1ปี '!G38</f>
        <v>ครุภัณฑ์</v>
      </c>
      <c r="P40" s="215" t="str">
        <f>+'แผนลงทุน 1ปี '!H38</f>
        <v>M</v>
      </c>
    </row>
    <row r="41" spans="2:16" s="138" customFormat="1" ht="21">
      <c r="B41" s="699">
        <v>34</v>
      </c>
      <c r="C41" s="221" t="s">
        <v>1343</v>
      </c>
      <c r="D41" s="215" t="s">
        <v>2730</v>
      </c>
      <c r="E41" s="219">
        <f>+'แผนลงทุน 1ปี '!C39</f>
        <v>642000</v>
      </c>
      <c r="F41" s="1633">
        <f>+'แผนลงทุน 1ปี '!D39</f>
        <v>1</v>
      </c>
      <c r="G41" s="219">
        <f>+'แผนลงทุน 1ปี '!E39</f>
        <v>642000</v>
      </c>
      <c r="H41" s="324">
        <v>0</v>
      </c>
      <c r="I41" s="325">
        <v>0</v>
      </c>
      <c r="J41" s="324">
        <v>0</v>
      </c>
      <c r="K41" s="325">
        <v>0</v>
      </c>
      <c r="L41" s="325">
        <v>0</v>
      </c>
      <c r="M41" s="325">
        <v>0</v>
      </c>
      <c r="N41" s="215" t="str">
        <f>+'แผนลงทุน 1ปี '!F39</f>
        <v>เงินบำรุง</v>
      </c>
      <c r="O41" s="215" t="str">
        <f>+'แผนลงทุน 1ปี '!G39</f>
        <v>ครุภัณฑ์</v>
      </c>
      <c r="P41" s="215" t="str">
        <f>+'แผนลงทุน 1ปี '!H39</f>
        <v>M</v>
      </c>
    </row>
    <row r="42" spans="2:16" s="138" customFormat="1" ht="21">
      <c r="B42" s="699">
        <v>35</v>
      </c>
      <c r="C42" s="221" t="s">
        <v>1342</v>
      </c>
      <c r="D42" s="215" t="s">
        <v>2734</v>
      </c>
      <c r="E42" s="219">
        <f>+'แผนลงทุน 1ปี '!C40</f>
        <v>15000</v>
      </c>
      <c r="F42" s="1633">
        <f>+'แผนลงทุน 1ปี '!D40</f>
        <v>1</v>
      </c>
      <c r="G42" s="219">
        <f>+'แผนลงทุน 1ปี '!E40</f>
        <v>15000</v>
      </c>
      <c r="H42" s="324">
        <v>0</v>
      </c>
      <c r="I42" s="325">
        <v>0</v>
      </c>
      <c r="J42" s="324">
        <v>0</v>
      </c>
      <c r="K42" s="325">
        <v>0</v>
      </c>
      <c r="L42" s="325">
        <v>0</v>
      </c>
      <c r="M42" s="325">
        <v>0</v>
      </c>
      <c r="N42" s="215" t="str">
        <f>+'แผนลงทุน 1ปี '!F40</f>
        <v>เงินบำรุง</v>
      </c>
      <c r="O42" s="215" t="str">
        <f>+'แผนลงทุน 1ปี '!G40</f>
        <v>ครุภัณฑ์</v>
      </c>
      <c r="P42" s="215" t="str">
        <f>+'แผนลงทุน 1ปี '!H40</f>
        <v>M</v>
      </c>
    </row>
    <row r="43" spans="2:16" s="138" customFormat="1" ht="23.1" customHeight="1">
      <c r="B43" s="699">
        <v>36</v>
      </c>
      <c r="C43" s="221" t="s">
        <v>1342</v>
      </c>
      <c r="D43" s="215" t="s">
        <v>2734</v>
      </c>
      <c r="E43" s="219">
        <f>+'แผนลงทุน 1ปี '!C41</f>
        <v>15000</v>
      </c>
      <c r="F43" s="1633">
        <f>+'แผนลงทุน 1ปี '!D41</f>
        <v>1</v>
      </c>
      <c r="G43" s="219">
        <f>+'แผนลงทุน 1ปี '!E41</f>
        <v>15000</v>
      </c>
      <c r="H43" s="324">
        <v>0</v>
      </c>
      <c r="I43" s="325">
        <v>0</v>
      </c>
      <c r="J43" s="324">
        <v>0</v>
      </c>
      <c r="K43" s="325">
        <v>0</v>
      </c>
      <c r="L43" s="325">
        <v>0</v>
      </c>
      <c r="M43" s="325">
        <v>0</v>
      </c>
      <c r="N43" s="215" t="str">
        <f>+'แผนลงทุน 1ปี '!F41</f>
        <v>เงินบำรุง</v>
      </c>
      <c r="O43" s="215" t="str">
        <f>+'แผนลงทุน 1ปี '!G41</f>
        <v>ครุภัณฑ์</v>
      </c>
      <c r="P43" s="215" t="str">
        <f>+'แผนลงทุน 1ปี '!H41</f>
        <v>M</v>
      </c>
    </row>
    <row r="44" spans="2:16" s="138" customFormat="1" ht="21">
      <c r="B44" s="699">
        <v>37</v>
      </c>
      <c r="C44" s="221" t="s">
        <v>1340</v>
      </c>
      <c r="D44" s="215" t="s">
        <v>2733</v>
      </c>
      <c r="E44" s="219">
        <f>+'แผนลงทุน 1ปี '!C42</f>
        <v>68500</v>
      </c>
      <c r="F44" s="1633">
        <f>+'แผนลงทุน 1ปี '!D42</f>
        <v>2</v>
      </c>
      <c r="G44" s="219">
        <f>+'แผนลงทุน 1ปี '!E42</f>
        <v>137000</v>
      </c>
      <c r="H44" s="324">
        <v>0</v>
      </c>
      <c r="I44" s="325">
        <v>0</v>
      </c>
      <c r="J44" s="324">
        <v>0</v>
      </c>
      <c r="K44" s="325">
        <v>0</v>
      </c>
      <c r="L44" s="325">
        <v>0</v>
      </c>
      <c r="M44" s="325">
        <v>0</v>
      </c>
      <c r="N44" s="215" t="str">
        <f>+'แผนลงทุน 1ปี '!F42</f>
        <v>เงินบำรุง</v>
      </c>
      <c r="O44" s="215" t="str">
        <f>+'แผนลงทุน 1ปี '!G42</f>
        <v>ครุภัณฑ์</v>
      </c>
      <c r="P44" s="215" t="str">
        <f>+'แผนลงทุน 1ปี '!H42</f>
        <v>M</v>
      </c>
    </row>
    <row r="45" spans="2:16" s="138" customFormat="1" ht="21">
      <c r="B45" s="699">
        <v>38</v>
      </c>
      <c r="C45" s="221" t="s">
        <v>846</v>
      </c>
      <c r="D45" s="215" t="s">
        <v>2732</v>
      </c>
      <c r="E45" s="219">
        <f>+'แผนลงทุน 1ปี '!C43</f>
        <v>8400</v>
      </c>
      <c r="F45" s="1633">
        <f>+'แผนลงทุน 1ปี '!D43</f>
        <v>63</v>
      </c>
      <c r="G45" s="219">
        <f>+'แผนลงทุน 1ปี '!E43</f>
        <v>529200</v>
      </c>
      <c r="H45" s="324">
        <v>0</v>
      </c>
      <c r="I45" s="325">
        <v>0</v>
      </c>
      <c r="J45" s="324">
        <v>0</v>
      </c>
      <c r="K45" s="325">
        <v>0</v>
      </c>
      <c r="L45" s="325">
        <v>0</v>
      </c>
      <c r="M45" s="325">
        <v>0</v>
      </c>
      <c r="N45" s="215" t="str">
        <f>+'แผนลงทุน 1ปี '!F43</f>
        <v>เงินบำรุง</v>
      </c>
      <c r="O45" s="215" t="str">
        <f>+'แผนลงทุน 1ปี '!G43</f>
        <v>ครุภัณฑ์</v>
      </c>
      <c r="P45" s="215" t="str">
        <f>+'แผนลงทุน 1ปี '!H43</f>
        <v>M</v>
      </c>
    </row>
    <row r="46" spans="2:16" s="138" customFormat="1" ht="21">
      <c r="B46" s="699">
        <v>39</v>
      </c>
      <c r="C46" s="221" t="s">
        <v>1346</v>
      </c>
      <c r="D46" s="215" t="s">
        <v>2732</v>
      </c>
      <c r="E46" s="219">
        <f>+'แผนลงทุน 1ปี '!C44</f>
        <v>28600</v>
      </c>
      <c r="F46" s="1633">
        <f>+'แผนลงทุน 1ปี '!D44</f>
        <v>3</v>
      </c>
      <c r="G46" s="219">
        <f>+'แผนลงทุน 1ปี '!E44</f>
        <v>85800</v>
      </c>
      <c r="H46" s="324">
        <v>0</v>
      </c>
      <c r="I46" s="325">
        <v>0</v>
      </c>
      <c r="J46" s="324">
        <v>0</v>
      </c>
      <c r="K46" s="325">
        <v>0</v>
      </c>
      <c r="L46" s="325">
        <v>0</v>
      </c>
      <c r="M46" s="325">
        <v>0</v>
      </c>
      <c r="N46" s="215" t="str">
        <f>+'แผนลงทุน 1ปี '!F44</f>
        <v>เงินบำรุง</v>
      </c>
      <c r="O46" s="215" t="str">
        <f>+'แผนลงทุน 1ปี '!G44</f>
        <v>ครุภัณฑ์</v>
      </c>
      <c r="P46" s="215" t="str">
        <f>+'แผนลงทุน 1ปี '!H44</f>
        <v>M</v>
      </c>
    </row>
    <row r="47" spans="2:16" s="138" customFormat="1" ht="21">
      <c r="B47" s="699">
        <v>40</v>
      </c>
      <c r="C47" s="221" t="s">
        <v>1347</v>
      </c>
      <c r="D47" s="215" t="s">
        <v>2727</v>
      </c>
      <c r="E47" s="219">
        <f>+'แผนลงทุน 1ปี '!C45</f>
        <v>53500</v>
      </c>
      <c r="F47" s="1633">
        <f>+'แผนลงทุน 1ปี '!D45</f>
        <v>1</v>
      </c>
      <c r="G47" s="219">
        <f>+'แผนลงทุน 1ปี '!E45</f>
        <v>53500</v>
      </c>
      <c r="H47" s="324">
        <v>0</v>
      </c>
      <c r="I47" s="325">
        <v>0</v>
      </c>
      <c r="J47" s="324">
        <v>0</v>
      </c>
      <c r="K47" s="325">
        <v>0</v>
      </c>
      <c r="L47" s="325">
        <v>0</v>
      </c>
      <c r="M47" s="325">
        <v>0</v>
      </c>
      <c r="N47" s="215" t="str">
        <f>+'แผนลงทุน 1ปี '!F45</f>
        <v>เงินบำรุง</v>
      </c>
      <c r="O47" s="215" t="str">
        <f>+'แผนลงทุน 1ปี '!G45</f>
        <v>ครุภัณฑ์</v>
      </c>
      <c r="P47" s="215" t="str">
        <f>+'แผนลงทุน 1ปี '!H45</f>
        <v>M</v>
      </c>
    </row>
    <row r="48" spans="2:16" s="138" customFormat="1" ht="21">
      <c r="B48" s="699">
        <v>41</v>
      </c>
      <c r="C48" s="221" t="s">
        <v>1348</v>
      </c>
      <c r="D48" s="215" t="s">
        <v>2735</v>
      </c>
      <c r="E48" s="219">
        <f>+'แผนลงทุน 1ปี '!C46</f>
        <v>120000</v>
      </c>
      <c r="F48" s="1633">
        <f>+'แผนลงทุน 1ปี '!D46</f>
        <v>3</v>
      </c>
      <c r="G48" s="219">
        <f>+'แผนลงทุน 1ปี '!E46</f>
        <v>360000</v>
      </c>
      <c r="H48" s="324">
        <v>0</v>
      </c>
      <c r="I48" s="325">
        <v>0</v>
      </c>
      <c r="J48" s="324">
        <v>0</v>
      </c>
      <c r="K48" s="325">
        <v>0</v>
      </c>
      <c r="L48" s="325">
        <v>0</v>
      </c>
      <c r="M48" s="325">
        <v>0</v>
      </c>
      <c r="N48" s="215" t="str">
        <f>+'แผนลงทุน 1ปี '!F46</f>
        <v>เงินบำรุง</v>
      </c>
      <c r="O48" s="215" t="str">
        <f>+'แผนลงทุน 1ปี '!G46</f>
        <v>ครุภัณฑ์</v>
      </c>
      <c r="P48" s="215" t="str">
        <f>+'แผนลงทุน 1ปี '!H46</f>
        <v>M</v>
      </c>
    </row>
    <row r="49" spans="2:16" s="138" customFormat="1" ht="21">
      <c r="B49" s="699">
        <v>42</v>
      </c>
      <c r="C49" s="221" t="s">
        <v>1349</v>
      </c>
      <c r="D49" s="215" t="s">
        <v>2735</v>
      </c>
      <c r="E49" s="219">
        <f>+'แผนลงทุน 1ปี '!C47</f>
        <v>43000</v>
      </c>
      <c r="F49" s="1633">
        <f>+'แผนลงทุน 1ปี '!D47</f>
        <v>6</v>
      </c>
      <c r="G49" s="219">
        <f>+'แผนลงทุน 1ปี '!E47</f>
        <v>258000</v>
      </c>
      <c r="H49" s="324">
        <v>0</v>
      </c>
      <c r="I49" s="325">
        <v>0</v>
      </c>
      <c r="J49" s="324">
        <v>0</v>
      </c>
      <c r="K49" s="325">
        <v>0</v>
      </c>
      <c r="L49" s="325">
        <v>0</v>
      </c>
      <c r="M49" s="325">
        <v>0</v>
      </c>
      <c r="N49" s="215" t="str">
        <f>+'แผนลงทุน 1ปี '!F47</f>
        <v>เงินบำรุง</v>
      </c>
      <c r="O49" s="215" t="str">
        <f>+'แผนลงทุน 1ปี '!G47</f>
        <v>ครุภัณฑ์</v>
      </c>
      <c r="P49" s="215" t="str">
        <f>+'แผนลงทุน 1ปี '!H47</f>
        <v>M</v>
      </c>
    </row>
    <row r="50" spans="2:16" s="138" customFormat="1" ht="23.1" customHeight="1">
      <c r="B50" s="699">
        <v>43</v>
      </c>
      <c r="C50" s="221" t="s">
        <v>1350</v>
      </c>
      <c r="D50" s="215" t="s">
        <v>2732</v>
      </c>
      <c r="E50" s="219">
        <f>+'แผนลงทุน 1ปี '!C48</f>
        <v>24600</v>
      </c>
      <c r="F50" s="1633">
        <f>+'แผนลงทุน 1ปี '!D48</f>
        <v>1</v>
      </c>
      <c r="G50" s="219">
        <f>+'แผนลงทุน 1ปี '!E48</f>
        <v>24600</v>
      </c>
      <c r="H50" s="324">
        <v>0</v>
      </c>
      <c r="I50" s="325">
        <v>0</v>
      </c>
      <c r="J50" s="324">
        <v>0</v>
      </c>
      <c r="K50" s="325">
        <v>0</v>
      </c>
      <c r="L50" s="325">
        <v>0</v>
      </c>
      <c r="M50" s="325">
        <v>0</v>
      </c>
      <c r="N50" s="215" t="str">
        <f>+'แผนลงทุน 1ปี '!F48</f>
        <v>เงินบำรุง</v>
      </c>
      <c r="O50" s="215" t="str">
        <f>+'แผนลงทุน 1ปี '!G48</f>
        <v>ครุภัณฑ์</v>
      </c>
      <c r="P50" s="215" t="str">
        <f>+'แผนลงทุน 1ปี '!H48</f>
        <v>M</v>
      </c>
    </row>
    <row r="51" spans="2:16" s="138" customFormat="1" ht="21">
      <c r="B51" s="699">
        <v>44</v>
      </c>
      <c r="C51" s="221" t="s">
        <v>1479</v>
      </c>
      <c r="D51" s="215" t="s">
        <v>2732</v>
      </c>
      <c r="E51" s="219">
        <f>+'แผนลงทุน 1ปี '!C49</f>
        <v>12800</v>
      </c>
      <c r="F51" s="1633">
        <f>+'แผนลงทุน 1ปี '!D49</f>
        <v>1</v>
      </c>
      <c r="G51" s="219">
        <f>+'แผนลงทุน 1ปี '!E49</f>
        <v>12800</v>
      </c>
      <c r="H51" s="324">
        <v>0</v>
      </c>
      <c r="I51" s="325">
        <v>0</v>
      </c>
      <c r="J51" s="324">
        <v>0</v>
      </c>
      <c r="K51" s="325">
        <v>0</v>
      </c>
      <c r="L51" s="325">
        <v>0</v>
      </c>
      <c r="M51" s="325">
        <v>0</v>
      </c>
      <c r="N51" s="215" t="str">
        <f>+'แผนลงทุน 1ปี '!F49</f>
        <v>เงินบำรุง</v>
      </c>
      <c r="O51" s="215" t="str">
        <f>+'แผนลงทุน 1ปี '!G49</f>
        <v>ครุภัณฑ์</v>
      </c>
      <c r="P51" s="215" t="str">
        <f>+'แผนลงทุน 1ปี '!H49</f>
        <v>M</v>
      </c>
    </row>
    <row r="52" spans="2:16" s="138" customFormat="1" ht="21">
      <c r="B52" s="699">
        <v>45</v>
      </c>
      <c r="C52" s="221" t="s">
        <v>1351</v>
      </c>
      <c r="D52" s="215" t="s">
        <v>2727</v>
      </c>
      <c r="E52" s="219">
        <f>+'แผนลงทุน 1ปี '!C50</f>
        <v>278200</v>
      </c>
      <c r="F52" s="1633">
        <f>+'แผนลงทุน 1ปี '!D50</f>
        <v>1</v>
      </c>
      <c r="G52" s="219">
        <f>+'แผนลงทุน 1ปี '!E50</f>
        <v>278200</v>
      </c>
      <c r="H52" s="324">
        <v>0</v>
      </c>
      <c r="I52" s="325">
        <v>0</v>
      </c>
      <c r="J52" s="324">
        <v>0</v>
      </c>
      <c r="K52" s="325">
        <v>0</v>
      </c>
      <c r="L52" s="325">
        <v>0</v>
      </c>
      <c r="M52" s="325">
        <v>0</v>
      </c>
      <c r="N52" s="215" t="str">
        <f>+'แผนลงทุน 1ปี '!F50</f>
        <v>เงินบำรุง</v>
      </c>
      <c r="O52" s="215" t="str">
        <f>+'แผนลงทุน 1ปี '!G50</f>
        <v>ครุภัณฑ์</v>
      </c>
      <c r="P52" s="215" t="str">
        <f>+'แผนลงทุน 1ปี '!H50</f>
        <v>M</v>
      </c>
    </row>
    <row r="53" spans="2:16" s="138" customFormat="1" ht="21">
      <c r="B53" s="699">
        <v>46</v>
      </c>
      <c r="C53" s="221" t="s">
        <v>1352</v>
      </c>
      <c r="D53" s="215" t="s">
        <v>2736</v>
      </c>
      <c r="E53" s="219">
        <f>+'แผนลงทุน 1ปี '!C51</f>
        <v>48150</v>
      </c>
      <c r="F53" s="1633">
        <f>+'แผนลงทุน 1ปี '!D51</f>
        <v>2</v>
      </c>
      <c r="G53" s="219">
        <f>+'แผนลงทุน 1ปี '!E51</f>
        <v>96300</v>
      </c>
      <c r="H53" s="324">
        <v>0</v>
      </c>
      <c r="I53" s="325">
        <v>0</v>
      </c>
      <c r="J53" s="324">
        <v>0</v>
      </c>
      <c r="K53" s="325">
        <v>0</v>
      </c>
      <c r="L53" s="325">
        <v>0</v>
      </c>
      <c r="M53" s="325">
        <v>0</v>
      </c>
      <c r="N53" s="215" t="str">
        <f>+'แผนลงทุน 1ปี '!F51</f>
        <v>เงินบำรุง</v>
      </c>
      <c r="O53" s="215" t="str">
        <f>+'แผนลงทุน 1ปี '!G51</f>
        <v>ครุภัณฑ์</v>
      </c>
      <c r="P53" s="215" t="str">
        <f>+'แผนลงทุน 1ปี '!H51</f>
        <v>M</v>
      </c>
    </row>
    <row r="54" spans="2:16" s="138" customFormat="1" ht="21">
      <c r="B54" s="699">
        <v>47</v>
      </c>
      <c r="C54" s="221" t="s">
        <v>1353</v>
      </c>
      <c r="D54" s="215" t="s">
        <v>2727</v>
      </c>
      <c r="E54" s="219">
        <f>+'แผนลงทุน 1ปี '!C52</f>
        <v>39600</v>
      </c>
      <c r="F54" s="1633">
        <f>+'แผนลงทุน 1ปี '!D52</f>
        <v>1</v>
      </c>
      <c r="G54" s="219">
        <f>+'แผนลงทุน 1ปี '!E52</f>
        <v>39600</v>
      </c>
      <c r="H54" s="324">
        <v>0</v>
      </c>
      <c r="I54" s="325">
        <v>0</v>
      </c>
      <c r="J54" s="324">
        <v>0</v>
      </c>
      <c r="K54" s="325">
        <v>0</v>
      </c>
      <c r="L54" s="325">
        <v>0</v>
      </c>
      <c r="M54" s="325">
        <v>0</v>
      </c>
      <c r="N54" s="215" t="str">
        <f>+'แผนลงทุน 1ปี '!F52</f>
        <v>เงินบำรุง</v>
      </c>
      <c r="O54" s="215" t="str">
        <f>+'แผนลงทุน 1ปี '!G52</f>
        <v>ครุภัณฑ์</v>
      </c>
      <c r="P54" s="215" t="str">
        <f>+'แผนลงทุน 1ปี '!H52</f>
        <v>M</v>
      </c>
    </row>
    <row r="55" spans="2:16" s="138" customFormat="1" ht="21">
      <c r="B55" s="699">
        <v>48</v>
      </c>
      <c r="C55" s="221" t="s">
        <v>1355</v>
      </c>
      <c r="D55" s="215" t="s">
        <v>2736</v>
      </c>
      <c r="E55" s="219">
        <f>+'แผนลงทุน 1ปี '!C53</f>
        <v>42000</v>
      </c>
      <c r="F55" s="1633">
        <f>+'แผนลงทุน 1ปี '!D53</f>
        <v>1</v>
      </c>
      <c r="G55" s="219">
        <f>+'แผนลงทุน 1ปี '!E53</f>
        <v>42000</v>
      </c>
      <c r="H55" s="324">
        <v>0</v>
      </c>
      <c r="I55" s="325">
        <v>0</v>
      </c>
      <c r="J55" s="324">
        <v>0</v>
      </c>
      <c r="K55" s="325">
        <v>0</v>
      </c>
      <c r="L55" s="325">
        <v>0</v>
      </c>
      <c r="M55" s="325">
        <v>0</v>
      </c>
      <c r="N55" s="215" t="str">
        <f>+'แผนลงทุน 1ปี '!F53</f>
        <v>เงินบำรุง</v>
      </c>
      <c r="O55" s="215" t="str">
        <f>+'แผนลงทุน 1ปี '!G53</f>
        <v>ครุภัณฑ์</v>
      </c>
      <c r="P55" s="215" t="str">
        <f>+'แผนลงทุน 1ปี '!H53</f>
        <v>M</v>
      </c>
    </row>
    <row r="56" spans="2:16" s="138" customFormat="1" ht="21">
      <c r="B56" s="699">
        <v>49</v>
      </c>
      <c r="C56" s="221" t="s">
        <v>1356</v>
      </c>
      <c r="D56" s="215" t="s">
        <v>2728</v>
      </c>
      <c r="E56" s="219">
        <f>+'แผนลงทุน 1ปี '!C54</f>
        <v>250000</v>
      </c>
      <c r="F56" s="1633">
        <f>+'แผนลงทุน 1ปี '!D54</f>
        <v>1</v>
      </c>
      <c r="G56" s="219">
        <f>+'แผนลงทุน 1ปี '!E54</f>
        <v>250000</v>
      </c>
      <c r="H56" s="324">
        <v>0</v>
      </c>
      <c r="I56" s="325">
        <v>0</v>
      </c>
      <c r="J56" s="324">
        <v>0</v>
      </c>
      <c r="K56" s="325">
        <v>0</v>
      </c>
      <c r="L56" s="325">
        <v>0</v>
      </c>
      <c r="M56" s="325">
        <v>0</v>
      </c>
      <c r="N56" s="215" t="str">
        <f>+'แผนลงทุน 1ปี '!F54</f>
        <v>เงินบำรุง</v>
      </c>
      <c r="O56" s="215" t="str">
        <f>+'แผนลงทุน 1ปี '!G54</f>
        <v>ครุภัณฑ์</v>
      </c>
      <c r="P56" s="215" t="str">
        <f>+'แผนลงทุน 1ปี '!H54</f>
        <v>M</v>
      </c>
    </row>
    <row r="57" spans="2:16" s="138" customFormat="1" ht="21">
      <c r="B57" s="699">
        <v>50</v>
      </c>
      <c r="C57" s="216" t="s">
        <v>1357</v>
      </c>
      <c r="D57" s="215" t="s">
        <v>2727</v>
      </c>
      <c r="E57" s="219">
        <f>+'แผนลงทุน 1ปี '!C55</f>
        <v>20000</v>
      </c>
      <c r="F57" s="1633">
        <f>+'แผนลงทุน 1ปี '!D55</f>
        <v>1</v>
      </c>
      <c r="G57" s="219">
        <f>+'แผนลงทุน 1ปี '!E55</f>
        <v>20000</v>
      </c>
      <c r="H57" s="324">
        <v>0</v>
      </c>
      <c r="I57" s="325">
        <v>0</v>
      </c>
      <c r="J57" s="324">
        <v>0</v>
      </c>
      <c r="K57" s="325">
        <v>0</v>
      </c>
      <c r="L57" s="325">
        <v>0</v>
      </c>
      <c r="M57" s="325">
        <v>0</v>
      </c>
      <c r="N57" s="215" t="str">
        <f>+'แผนลงทุน 1ปี '!F55</f>
        <v>เงินบำรุง</v>
      </c>
      <c r="O57" s="215" t="str">
        <f>+'แผนลงทุน 1ปี '!G55</f>
        <v>ครุภัณฑ์</v>
      </c>
      <c r="P57" s="215" t="str">
        <f>+'แผนลงทุน 1ปี '!H55</f>
        <v>M</v>
      </c>
    </row>
    <row r="58" spans="2:16" s="138" customFormat="1" ht="42">
      <c r="B58" s="699">
        <v>51</v>
      </c>
      <c r="C58" s="251" t="s">
        <v>1398</v>
      </c>
      <c r="D58" s="215" t="s">
        <v>2727</v>
      </c>
      <c r="E58" s="219">
        <f>+'แผนลงทุน 1ปี '!C56</f>
        <v>8500</v>
      </c>
      <c r="F58" s="1633">
        <f>+'แผนลงทุน 1ปี '!D56</f>
        <v>2</v>
      </c>
      <c r="G58" s="219">
        <f>+'แผนลงทุน 1ปี '!E56</f>
        <v>17000</v>
      </c>
      <c r="H58" s="324">
        <v>0</v>
      </c>
      <c r="I58" s="325">
        <v>0</v>
      </c>
      <c r="J58" s="324">
        <v>0</v>
      </c>
      <c r="K58" s="325">
        <v>0</v>
      </c>
      <c r="L58" s="325">
        <v>0</v>
      </c>
      <c r="M58" s="325">
        <v>0</v>
      </c>
      <c r="N58" s="215" t="str">
        <f>+'แผนลงทุน 1ปี '!F56</f>
        <v>เงินบำรุง</v>
      </c>
      <c r="O58" s="215" t="str">
        <f>+'แผนลงทุน 1ปี '!G56</f>
        <v>ครุภัณฑ์</v>
      </c>
      <c r="P58" s="215" t="str">
        <f>+'แผนลงทุน 1ปี '!H56</f>
        <v>M</v>
      </c>
    </row>
    <row r="59" spans="2:16" s="138" customFormat="1" ht="21">
      <c r="B59" s="699">
        <v>52</v>
      </c>
      <c r="C59" s="216" t="s">
        <v>1392</v>
      </c>
      <c r="D59" s="215" t="s">
        <v>2727</v>
      </c>
      <c r="E59" s="219">
        <f>+'แผนลงทุน 1ปี '!C57</f>
        <v>2200000</v>
      </c>
      <c r="F59" s="1633">
        <f>+'แผนลงทุน 1ปี '!D57</f>
        <v>3</v>
      </c>
      <c r="G59" s="219">
        <f>+'แผนลงทุน 1ปี '!E57</f>
        <v>6600000</v>
      </c>
      <c r="H59" s="324">
        <v>0</v>
      </c>
      <c r="I59" s="325">
        <v>0</v>
      </c>
      <c r="J59" s="324">
        <v>0</v>
      </c>
      <c r="K59" s="325">
        <v>0</v>
      </c>
      <c r="L59" s="325">
        <v>0</v>
      </c>
      <c r="M59" s="325">
        <v>0</v>
      </c>
      <c r="N59" s="215" t="str">
        <f>+'แผนลงทุน 1ปี '!F57</f>
        <v>เงินบำรุง</v>
      </c>
      <c r="O59" s="215" t="str">
        <f>+'แผนลงทุน 1ปี '!G57</f>
        <v>ครุภัณฑ์</v>
      </c>
      <c r="P59" s="215" t="str">
        <f>+'แผนลงทุน 1ปี '!H57</f>
        <v>M</v>
      </c>
    </row>
    <row r="60" spans="2:16" s="138" customFormat="1" ht="21">
      <c r="B60" s="699">
        <v>53</v>
      </c>
      <c r="C60" s="216" t="s">
        <v>1394</v>
      </c>
      <c r="D60" s="215" t="s">
        <v>2730</v>
      </c>
      <c r="E60" s="219">
        <f>+'แผนลงทุน 1ปี '!C58</f>
        <v>480000</v>
      </c>
      <c r="F60" s="1633">
        <f>+'แผนลงทุน 1ปี '!D58</f>
        <v>1</v>
      </c>
      <c r="G60" s="219">
        <f>+'แผนลงทุน 1ปี '!E58</f>
        <v>480000</v>
      </c>
      <c r="H60" s="324">
        <v>0</v>
      </c>
      <c r="I60" s="325">
        <v>0</v>
      </c>
      <c r="J60" s="324">
        <v>0</v>
      </c>
      <c r="K60" s="325">
        <v>0</v>
      </c>
      <c r="L60" s="325">
        <v>0</v>
      </c>
      <c r="M60" s="325">
        <v>0</v>
      </c>
      <c r="N60" s="215" t="str">
        <f>+'แผนลงทุน 1ปี '!F58</f>
        <v>เงินบำรุง</v>
      </c>
      <c r="O60" s="215" t="str">
        <f>+'แผนลงทุน 1ปี '!G58</f>
        <v>ครุภัณฑ์</v>
      </c>
      <c r="P60" s="215" t="str">
        <f>+'แผนลงทุน 1ปี '!H58</f>
        <v>M</v>
      </c>
    </row>
    <row r="61" spans="2:16" s="138" customFormat="1" ht="21">
      <c r="B61" s="699">
        <v>54</v>
      </c>
      <c r="C61" s="216" t="s">
        <v>1395</v>
      </c>
      <c r="D61" s="215" t="s">
        <v>2727</v>
      </c>
      <c r="E61" s="219">
        <f>+'แผนลงทุน 1ปี '!C59</f>
        <v>86000</v>
      </c>
      <c r="F61" s="1633">
        <f>+'แผนลงทุน 1ปี '!D59</f>
        <v>2</v>
      </c>
      <c r="G61" s="219">
        <f>+'แผนลงทุน 1ปี '!E59</f>
        <v>172000</v>
      </c>
      <c r="H61" s="324">
        <v>0</v>
      </c>
      <c r="I61" s="325">
        <v>0</v>
      </c>
      <c r="J61" s="324">
        <v>0</v>
      </c>
      <c r="K61" s="325">
        <v>0</v>
      </c>
      <c r="L61" s="325">
        <v>0</v>
      </c>
      <c r="M61" s="325">
        <v>0</v>
      </c>
      <c r="N61" s="215" t="str">
        <f>+'แผนลงทุน 1ปี '!F59</f>
        <v>เงินบำรุง</v>
      </c>
      <c r="O61" s="215" t="str">
        <f>+'แผนลงทุน 1ปี '!G59</f>
        <v>ครุภัณฑ์</v>
      </c>
      <c r="P61" s="215" t="str">
        <f>+'แผนลงทุน 1ปี '!H59</f>
        <v>M</v>
      </c>
    </row>
    <row r="62" spans="2:16" s="138" customFormat="1" ht="21">
      <c r="B62" s="699">
        <v>55</v>
      </c>
      <c r="C62" s="216" t="s">
        <v>196</v>
      </c>
      <c r="D62" s="215" t="s">
        <v>2727</v>
      </c>
      <c r="E62" s="219">
        <f>+'แผนลงทุน 1ปี '!C60</f>
        <v>63500</v>
      </c>
      <c r="F62" s="1633">
        <f>+'แผนลงทุน 1ปี '!D60</f>
        <v>2</v>
      </c>
      <c r="G62" s="219">
        <f>+'แผนลงทุน 1ปี '!E60</f>
        <v>127000</v>
      </c>
      <c r="H62" s="324">
        <v>0</v>
      </c>
      <c r="I62" s="325">
        <v>0</v>
      </c>
      <c r="J62" s="324">
        <v>0</v>
      </c>
      <c r="K62" s="325">
        <v>0</v>
      </c>
      <c r="L62" s="325">
        <v>0</v>
      </c>
      <c r="M62" s="325">
        <v>0</v>
      </c>
      <c r="N62" s="215" t="str">
        <f>+'แผนลงทุน 1ปี '!F60</f>
        <v>เงินบำรุง</v>
      </c>
      <c r="O62" s="215" t="str">
        <f>+'แผนลงทุน 1ปี '!G60</f>
        <v>ครุภัณฑ์</v>
      </c>
      <c r="P62" s="215" t="str">
        <f>+'แผนลงทุน 1ปี '!H60</f>
        <v>M</v>
      </c>
    </row>
    <row r="63" spans="2:16" s="138" customFormat="1" ht="21">
      <c r="B63" s="699">
        <v>56</v>
      </c>
      <c r="C63" s="216" t="s">
        <v>1396</v>
      </c>
      <c r="D63" s="215" t="s">
        <v>2727</v>
      </c>
      <c r="E63" s="219">
        <f>+'แผนลงทุน 1ปี '!C61</f>
        <v>310300</v>
      </c>
      <c r="F63" s="1633">
        <f>+'แผนลงทุน 1ปี '!D61</f>
        <v>1</v>
      </c>
      <c r="G63" s="219">
        <f>+'แผนลงทุน 1ปี '!E61</f>
        <v>310300</v>
      </c>
      <c r="H63" s="324">
        <v>0</v>
      </c>
      <c r="I63" s="325">
        <v>0</v>
      </c>
      <c r="J63" s="324">
        <v>0</v>
      </c>
      <c r="K63" s="325">
        <v>0</v>
      </c>
      <c r="L63" s="325">
        <v>0</v>
      </c>
      <c r="M63" s="325">
        <v>0</v>
      </c>
      <c r="N63" s="215" t="str">
        <f>+'แผนลงทุน 1ปี '!F61</f>
        <v>เงินบำรุง</v>
      </c>
      <c r="O63" s="215" t="str">
        <f>+'แผนลงทุน 1ปี '!G61</f>
        <v>ครุภัณฑ์</v>
      </c>
      <c r="P63" s="215" t="str">
        <f>+'แผนลงทุน 1ปี '!H61</f>
        <v>M</v>
      </c>
    </row>
    <row r="64" spans="2:16" s="138" customFormat="1" ht="42">
      <c r="B64" s="699">
        <v>57</v>
      </c>
      <c r="C64" s="260" t="s">
        <v>1399</v>
      </c>
      <c r="D64" s="215" t="s">
        <v>2727</v>
      </c>
      <c r="E64" s="219">
        <f>+'แผนลงทุน 1ปี '!C62</f>
        <v>80250</v>
      </c>
      <c r="F64" s="1633">
        <f>+'แผนลงทุน 1ปี '!D62</f>
        <v>1</v>
      </c>
      <c r="G64" s="219">
        <f>+'แผนลงทุน 1ปี '!E62</f>
        <v>80250</v>
      </c>
      <c r="H64" s="324">
        <v>0</v>
      </c>
      <c r="I64" s="325">
        <v>0</v>
      </c>
      <c r="J64" s="324">
        <v>0</v>
      </c>
      <c r="K64" s="325">
        <v>0</v>
      </c>
      <c r="L64" s="325">
        <v>0</v>
      </c>
      <c r="M64" s="325">
        <v>0</v>
      </c>
      <c r="N64" s="215" t="str">
        <f>+'แผนลงทุน 1ปี '!F62</f>
        <v>เงินบำรุง</v>
      </c>
      <c r="O64" s="215" t="str">
        <f>+'แผนลงทุน 1ปี '!G62</f>
        <v>ครุภัณฑ์</v>
      </c>
      <c r="P64" s="215" t="str">
        <f>+'แผนลงทุน 1ปี '!H62</f>
        <v>M</v>
      </c>
    </row>
    <row r="65" spans="2:16" s="138" customFormat="1" ht="21">
      <c r="B65" s="699">
        <v>58</v>
      </c>
      <c r="C65" s="216" t="s">
        <v>1397</v>
      </c>
      <c r="D65" s="215" t="s">
        <v>2733</v>
      </c>
      <c r="E65" s="219">
        <f>+'แผนลงทุน 1ปี '!C63</f>
        <v>29000</v>
      </c>
      <c r="F65" s="1633">
        <f>+'แผนลงทุน 1ปี '!D63</f>
        <v>2</v>
      </c>
      <c r="G65" s="219">
        <f>+'แผนลงทุน 1ปี '!E63</f>
        <v>58000</v>
      </c>
      <c r="H65" s="324">
        <v>0</v>
      </c>
      <c r="I65" s="325">
        <v>0</v>
      </c>
      <c r="J65" s="324">
        <v>0</v>
      </c>
      <c r="K65" s="325">
        <v>0</v>
      </c>
      <c r="L65" s="325">
        <v>0</v>
      </c>
      <c r="M65" s="325">
        <v>0</v>
      </c>
      <c r="N65" s="215" t="str">
        <f>+'แผนลงทุน 1ปี '!F63</f>
        <v>เงินบำรุง</v>
      </c>
      <c r="O65" s="215" t="str">
        <f>+'แผนลงทุน 1ปี '!G63</f>
        <v>ครุภัณฑ์</v>
      </c>
      <c r="P65" s="215" t="str">
        <f>+'แผนลงทุน 1ปี '!H63</f>
        <v>M</v>
      </c>
    </row>
    <row r="66" spans="2:16" s="138" customFormat="1" ht="21">
      <c r="B66" s="699">
        <v>59</v>
      </c>
      <c r="C66" s="251" t="s">
        <v>1450</v>
      </c>
      <c r="D66" s="215" t="s">
        <v>2727</v>
      </c>
      <c r="E66" s="219">
        <f>+'แผนลงทุน 1ปี '!C64</f>
        <v>380000</v>
      </c>
      <c r="F66" s="1633">
        <f>+'แผนลงทุน 1ปี '!D64</f>
        <v>1</v>
      </c>
      <c r="G66" s="219">
        <f>+'แผนลงทุน 1ปี '!E64</f>
        <v>380000</v>
      </c>
      <c r="H66" s="324">
        <v>0</v>
      </c>
      <c r="I66" s="325">
        <v>0</v>
      </c>
      <c r="J66" s="324">
        <v>0</v>
      </c>
      <c r="K66" s="325">
        <v>0</v>
      </c>
      <c r="L66" s="325">
        <v>0</v>
      </c>
      <c r="M66" s="325">
        <v>0</v>
      </c>
      <c r="N66" s="215" t="str">
        <f>+'แผนลงทุน 1ปี '!F64</f>
        <v>เงินบำรุง</v>
      </c>
      <c r="O66" s="215" t="str">
        <f>+'แผนลงทุน 1ปี '!G64</f>
        <v>ครุภัณฑ์</v>
      </c>
      <c r="P66" s="215" t="str">
        <f>+'แผนลงทุน 1ปี '!H64</f>
        <v>M</v>
      </c>
    </row>
    <row r="67" spans="2:16" s="138" customFormat="1" ht="21">
      <c r="B67" s="699">
        <v>60</v>
      </c>
      <c r="C67" s="1602" t="s">
        <v>1451</v>
      </c>
      <c r="D67" s="215" t="s">
        <v>2727</v>
      </c>
      <c r="E67" s="219">
        <f>+'แผนลงทุน 1ปี '!C65</f>
        <v>1605000</v>
      </c>
      <c r="F67" s="1633">
        <f>+'แผนลงทุน 1ปี '!D65</f>
        <v>1</v>
      </c>
      <c r="G67" s="219">
        <f>+'แผนลงทุน 1ปี '!E65</f>
        <v>1605000</v>
      </c>
      <c r="H67" s="324">
        <v>0</v>
      </c>
      <c r="I67" s="325">
        <v>0</v>
      </c>
      <c r="J67" s="324">
        <v>0</v>
      </c>
      <c r="K67" s="325">
        <v>0</v>
      </c>
      <c r="L67" s="325">
        <v>0</v>
      </c>
      <c r="M67" s="325">
        <v>0</v>
      </c>
      <c r="N67" s="215" t="str">
        <f>+'แผนลงทุน 1ปี '!F65</f>
        <v>เงินบำรุง</v>
      </c>
      <c r="O67" s="215" t="str">
        <f>+'แผนลงทุน 1ปี '!G65</f>
        <v>ครุภัณฑ์</v>
      </c>
      <c r="P67" s="215" t="str">
        <f>+'แผนลงทุน 1ปี '!H65</f>
        <v>M</v>
      </c>
    </row>
    <row r="68" spans="2:16" s="138" customFormat="1" ht="42">
      <c r="B68" s="699">
        <v>61</v>
      </c>
      <c r="C68" s="1603" t="s">
        <v>1452</v>
      </c>
      <c r="D68" s="215" t="s">
        <v>2727</v>
      </c>
      <c r="E68" s="219">
        <f>+'แผนลงทุน 1ปี '!C66</f>
        <v>950000</v>
      </c>
      <c r="F68" s="1633">
        <f>+'แผนลงทุน 1ปี '!D66</f>
        <v>1</v>
      </c>
      <c r="G68" s="219">
        <f>+'แผนลงทุน 1ปี '!E66</f>
        <v>950000</v>
      </c>
      <c r="H68" s="324">
        <v>0</v>
      </c>
      <c r="I68" s="325">
        <v>0</v>
      </c>
      <c r="J68" s="324">
        <v>0</v>
      </c>
      <c r="K68" s="325">
        <v>0</v>
      </c>
      <c r="L68" s="325">
        <v>0</v>
      </c>
      <c r="M68" s="325">
        <v>0</v>
      </c>
      <c r="N68" s="215" t="str">
        <f>+'แผนลงทุน 1ปี '!F66</f>
        <v>เงินบำรุง</v>
      </c>
      <c r="O68" s="215" t="str">
        <f>+'แผนลงทุน 1ปี '!G66</f>
        <v>ครุภัณฑ์</v>
      </c>
      <c r="P68" s="215" t="str">
        <f>+'แผนลงทุน 1ปี '!H66</f>
        <v>M</v>
      </c>
    </row>
    <row r="69" spans="2:16" s="138" customFormat="1" ht="21">
      <c r="B69" s="699">
        <v>62</v>
      </c>
      <c r="C69" s="1603" t="s">
        <v>1453</v>
      </c>
      <c r="D69" s="215" t="s">
        <v>2730</v>
      </c>
      <c r="E69" s="219">
        <f>+'แผนลงทุน 1ปี '!C67</f>
        <v>47910</v>
      </c>
      <c r="F69" s="1633">
        <f>+'แผนลงทุน 1ปี '!D67</f>
        <v>1</v>
      </c>
      <c r="G69" s="219">
        <f>+'แผนลงทุน 1ปี '!E67</f>
        <v>47910</v>
      </c>
      <c r="H69" s="324">
        <v>0</v>
      </c>
      <c r="I69" s="325">
        <v>0</v>
      </c>
      <c r="J69" s="324">
        <v>0</v>
      </c>
      <c r="K69" s="325">
        <v>0</v>
      </c>
      <c r="L69" s="325">
        <v>0</v>
      </c>
      <c r="M69" s="325">
        <v>0</v>
      </c>
      <c r="N69" s="215" t="str">
        <f>+'แผนลงทุน 1ปี '!F67</f>
        <v>เงินบำรุง</v>
      </c>
      <c r="O69" s="215" t="str">
        <f>+'แผนลงทุน 1ปี '!G67</f>
        <v>ครุภัณฑ์</v>
      </c>
      <c r="P69" s="215" t="str">
        <f>+'แผนลงทุน 1ปี '!H67</f>
        <v>M</v>
      </c>
    </row>
    <row r="70" spans="2:16" s="138" customFormat="1" ht="21">
      <c r="B70" s="699">
        <v>63</v>
      </c>
      <c r="C70" s="2902" t="s">
        <v>2501</v>
      </c>
      <c r="D70" s="215" t="s">
        <v>2727</v>
      </c>
      <c r="E70" s="219">
        <f>+'แผนลงทุน 1ปี '!C68</f>
        <v>1600000</v>
      </c>
      <c r="F70" s="1633">
        <f>+'แผนลงทุน 1ปี '!D68</f>
        <v>1</v>
      </c>
      <c r="G70" s="219">
        <f>+'แผนลงทุน 1ปี '!E68</f>
        <v>1600000</v>
      </c>
      <c r="H70" s="324">
        <v>0</v>
      </c>
      <c r="I70" s="325">
        <v>0</v>
      </c>
      <c r="J70" s="324">
        <v>0</v>
      </c>
      <c r="K70" s="325">
        <v>0</v>
      </c>
      <c r="L70" s="325">
        <v>0</v>
      </c>
      <c r="M70" s="325">
        <v>0</v>
      </c>
      <c r="N70" s="215" t="str">
        <f>+'แผนลงทุน 1ปี '!F68</f>
        <v>เงินบำรุง</v>
      </c>
      <c r="O70" s="215" t="str">
        <f>+'แผนลงทุน 1ปี '!G68</f>
        <v>ครุภัณฑ์</v>
      </c>
      <c r="P70" s="215" t="str">
        <f>+'แผนลงทุน 1ปี '!H68</f>
        <v>M</v>
      </c>
    </row>
    <row r="71" spans="2:16" s="138" customFormat="1" ht="21">
      <c r="B71" s="699">
        <v>64</v>
      </c>
      <c r="C71" s="390" t="s">
        <v>1293</v>
      </c>
      <c r="D71" s="215" t="s">
        <v>2733</v>
      </c>
      <c r="E71" s="219">
        <f>+'แผนลงทุน 1ปี '!C69</f>
        <v>27500</v>
      </c>
      <c r="F71" s="1633">
        <f>+'แผนลงทุน 1ปี '!D69</f>
        <v>6</v>
      </c>
      <c r="G71" s="219">
        <f>+'แผนลงทุน 1ปี '!E69</f>
        <v>165000</v>
      </c>
      <c r="H71" s="324">
        <v>0</v>
      </c>
      <c r="I71" s="325">
        <v>0</v>
      </c>
      <c r="J71" s="324">
        <v>0</v>
      </c>
      <c r="K71" s="325">
        <v>0</v>
      </c>
      <c r="L71" s="325">
        <v>0</v>
      </c>
      <c r="M71" s="325">
        <v>0</v>
      </c>
      <c r="N71" s="215" t="str">
        <f>+'แผนลงทุน 1ปี '!F69</f>
        <v>เงินบำรุง</v>
      </c>
      <c r="O71" s="215" t="str">
        <f>+'แผนลงทุน 1ปี '!G69</f>
        <v>ครุภัณฑ์</v>
      </c>
      <c r="P71" s="215" t="str">
        <f>+'แผนลงทุน 1ปี '!H69</f>
        <v>M</v>
      </c>
    </row>
    <row r="72" spans="2:16" s="138" customFormat="1" ht="21">
      <c r="B72" s="699">
        <v>65</v>
      </c>
      <c r="C72" s="390" t="s">
        <v>1295</v>
      </c>
      <c r="D72" s="215" t="s">
        <v>2733</v>
      </c>
      <c r="E72" s="219">
        <f>+'แผนลงทุน 1ปี '!C70</f>
        <v>19500</v>
      </c>
      <c r="F72" s="1633">
        <f>+'แผนลงทุน 1ปี '!D70</f>
        <v>2</v>
      </c>
      <c r="G72" s="219">
        <f>+'แผนลงทุน 1ปี '!E70</f>
        <v>39000</v>
      </c>
      <c r="H72" s="324">
        <v>0</v>
      </c>
      <c r="I72" s="325">
        <v>0</v>
      </c>
      <c r="J72" s="324">
        <v>0</v>
      </c>
      <c r="K72" s="325">
        <v>0</v>
      </c>
      <c r="L72" s="325">
        <v>0</v>
      </c>
      <c r="M72" s="325">
        <v>0</v>
      </c>
      <c r="N72" s="215" t="str">
        <f>+'แผนลงทุน 1ปี '!F70</f>
        <v>เงินบำรุง</v>
      </c>
      <c r="O72" s="215" t="str">
        <f>+'แผนลงทุน 1ปี '!G70</f>
        <v>ครุภัณฑ์</v>
      </c>
      <c r="P72" s="215" t="str">
        <f>+'แผนลงทุน 1ปี '!H70</f>
        <v>M</v>
      </c>
    </row>
    <row r="73" spans="2:16" s="138" customFormat="1" ht="21">
      <c r="B73" s="699">
        <v>66</v>
      </c>
      <c r="C73" s="390" t="s">
        <v>1296</v>
      </c>
      <c r="D73" s="215" t="s">
        <v>2733</v>
      </c>
      <c r="E73" s="219">
        <f>+'แผนลงทุน 1ปี '!C71</f>
        <v>34000</v>
      </c>
      <c r="F73" s="1633">
        <f>+'แผนลงทุน 1ปี '!D71</f>
        <v>2</v>
      </c>
      <c r="G73" s="219">
        <f>+'แผนลงทุน 1ปี '!E71</f>
        <v>68000</v>
      </c>
      <c r="H73" s="324">
        <v>0</v>
      </c>
      <c r="I73" s="325">
        <v>0</v>
      </c>
      <c r="J73" s="324">
        <v>0</v>
      </c>
      <c r="K73" s="325">
        <v>0</v>
      </c>
      <c r="L73" s="325">
        <v>0</v>
      </c>
      <c r="M73" s="325">
        <v>0</v>
      </c>
      <c r="N73" s="215" t="str">
        <f>+'แผนลงทุน 1ปี '!F71</f>
        <v>เงินบำรุง</v>
      </c>
      <c r="O73" s="215" t="str">
        <f>+'แผนลงทุน 1ปี '!G71</f>
        <v>ครุภัณฑ์</v>
      </c>
      <c r="P73" s="215" t="str">
        <f>+'แผนลงทุน 1ปี '!H71</f>
        <v>M</v>
      </c>
    </row>
    <row r="74" spans="2:16" s="138" customFormat="1" ht="21">
      <c r="B74" s="699">
        <v>67</v>
      </c>
      <c r="C74" s="390" t="s">
        <v>1297</v>
      </c>
      <c r="D74" s="215" t="s">
        <v>2733</v>
      </c>
      <c r="E74" s="219">
        <f>+'แผนลงทุน 1ปี '!C72</f>
        <v>18700</v>
      </c>
      <c r="F74" s="1633">
        <f>+'แผนลงทุน 1ปี '!D72</f>
        <v>6</v>
      </c>
      <c r="G74" s="219">
        <f>+'แผนลงทุน 1ปี '!E72</f>
        <v>112200</v>
      </c>
      <c r="H74" s="324">
        <v>0</v>
      </c>
      <c r="I74" s="325">
        <v>0</v>
      </c>
      <c r="J74" s="324">
        <v>0</v>
      </c>
      <c r="K74" s="325">
        <v>0</v>
      </c>
      <c r="L74" s="325">
        <v>0</v>
      </c>
      <c r="M74" s="325">
        <v>0</v>
      </c>
      <c r="N74" s="215" t="str">
        <f>+'แผนลงทุน 1ปี '!F72</f>
        <v>เงินบำรุง</v>
      </c>
      <c r="O74" s="215" t="str">
        <f>+'แผนลงทุน 1ปี '!G72</f>
        <v>ครุภัณฑ์</v>
      </c>
      <c r="P74" s="215" t="str">
        <f>+'แผนลงทุน 1ปี '!H72</f>
        <v>M</v>
      </c>
    </row>
    <row r="75" spans="2:16" s="138" customFormat="1" ht="23.1" customHeight="1">
      <c r="B75" s="699">
        <v>68</v>
      </c>
      <c r="C75" s="390" t="s">
        <v>1298</v>
      </c>
      <c r="D75" s="215" t="s">
        <v>2733</v>
      </c>
      <c r="E75" s="219">
        <f>+'แผนลงทุน 1ปี '!C73</f>
        <v>19500</v>
      </c>
      <c r="F75" s="1633">
        <f>+'แผนลงทุน 1ปี '!D73</f>
        <v>4</v>
      </c>
      <c r="G75" s="219">
        <f>+'แผนลงทุน 1ปี '!E73</f>
        <v>78000</v>
      </c>
      <c r="H75" s="324">
        <v>0</v>
      </c>
      <c r="I75" s="325">
        <v>0</v>
      </c>
      <c r="J75" s="324">
        <v>0</v>
      </c>
      <c r="K75" s="325">
        <v>0</v>
      </c>
      <c r="L75" s="325">
        <v>0</v>
      </c>
      <c r="M75" s="325">
        <v>0</v>
      </c>
      <c r="N75" s="215" t="str">
        <f>+'แผนลงทุน 1ปี '!F73</f>
        <v>เงินบำรุง</v>
      </c>
      <c r="O75" s="215" t="str">
        <f>+'แผนลงทุน 1ปี '!G73</f>
        <v>ครุภัณฑ์</v>
      </c>
      <c r="P75" s="215" t="str">
        <f>+'แผนลงทุน 1ปี '!H73</f>
        <v>M</v>
      </c>
    </row>
    <row r="76" spans="2:16" s="138" customFormat="1" ht="21">
      <c r="B76" s="699">
        <v>69</v>
      </c>
      <c r="C76" s="390" t="s">
        <v>1299</v>
      </c>
      <c r="D76" s="215" t="s">
        <v>2735</v>
      </c>
      <c r="E76" s="219">
        <f>+'แผนลงทุน 1ปี '!C74</f>
        <v>43000</v>
      </c>
      <c r="F76" s="1633">
        <f>+'แผนลงทุน 1ปี '!D74</f>
        <v>6</v>
      </c>
      <c r="G76" s="219">
        <f>+'แผนลงทุน 1ปี '!E74</f>
        <v>258000</v>
      </c>
      <c r="H76" s="324">
        <v>0</v>
      </c>
      <c r="I76" s="325">
        <v>0</v>
      </c>
      <c r="J76" s="324">
        <v>0</v>
      </c>
      <c r="K76" s="325">
        <v>0</v>
      </c>
      <c r="L76" s="325">
        <v>0</v>
      </c>
      <c r="M76" s="325">
        <v>0</v>
      </c>
      <c r="N76" s="215" t="str">
        <f>+'แผนลงทุน 1ปี '!F74</f>
        <v>เงินบำรุง</v>
      </c>
      <c r="O76" s="215" t="str">
        <f>+'แผนลงทุน 1ปี '!G74</f>
        <v>ครุภัณฑ์</v>
      </c>
      <c r="P76" s="215" t="str">
        <f>+'แผนลงทุน 1ปี '!H74</f>
        <v>M</v>
      </c>
    </row>
    <row r="77" spans="2:16" s="138" customFormat="1" ht="21">
      <c r="B77" s="699">
        <v>70</v>
      </c>
      <c r="C77" s="390" t="s">
        <v>1300</v>
      </c>
      <c r="D77" s="215" t="s">
        <v>2732</v>
      </c>
      <c r="E77" s="219">
        <f>+'แผนลงทุน 1ปี '!C75</f>
        <v>11700</v>
      </c>
      <c r="F77" s="1633">
        <f>+'แผนลงทุน 1ปี '!D75</f>
        <v>12</v>
      </c>
      <c r="G77" s="219">
        <f>+'แผนลงทุน 1ปี '!E75</f>
        <v>140400</v>
      </c>
      <c r="H77" s="324">
        <v>0</v>
      </c>
      <c r="I77" s="325">
        <v>0</v>
      </c>
      <c r="J77" s="324">
        <v>0</v>
      </c>
      <c r="K77" s="325">
        <v>0</v>
      </c>
      <c r="L77" s="325">
        <v>0</v>
      </c>
      <c r="M77" s="325">
        <v>0</v>
      </c>
      <c r="N77" s="215" t="str">
        <f>+'แผนลงทุน 1ปี '!F75</f>
        <v>เงินบำรุง</v>
      </c>
      <c r="O77" s="215" t="str">
        <f>+'แผนลงทุน 1ปี '!G75</f>
        <v>ครุภัณฑ์</v>
      </c>
      <c r="P77" s="215" t="str">
        <f>+'แผนลงทุน 1ปี '!H75</f>
        <v>M</v>
      </c>
    </row>
    <row r="78" spans="2:16" s="138" customFormat="1" ht="21">
      <c r="B78" s="699">
        <v>71</v>
      </c>
      <c r="C78" s="390" t="s">
        <v>1319</v>
      </c>
      <c r="D78" s="215" t="s">
        <v>2733</v>
      </c>
      <c r="E78" s="219">
        <f>+'แผนลงทุน 1ปี '!C76</f>
        <v>12700</v>
      </c>
      <c r="F78" s="1633">
        <f>+'แผนลงทุน 1ปี '!D76</f>
        <v>12</v>
      </c>
      <c r="G78" s="219">
        <f>+'แผนลงทุน 1ปี '!E76</f>
        <v>152400</v>
      </c>
      <c r="H78" s="324">
        <v>0</v>
      </c>
      <c r="I78" s="325">
        <v>0</v>
      </c>
      <c r="J78" s="324">
        <v>0</v>
      </c>
      <c r="K78" s="325">
        <v>0</v>
      </c>
      <c r="L78" s="325">
        <v>0</v>
      </c>
      <c r="M78" s="325">
        <v>0</v>
      </c>
      <c r="N78" s="215" t="str">
        <f>+'แผนลงทุน 1ปี '!F76</f>
        <v>เงินบำรุง</v>
      </c>
      <c r="O78" s="215" t="str">
        <f>+'แผนลงทุน 1ปี '!G76</f>
        <v>ครุภัณฑ์</v>
      </c>
      <c r="P78" s="215" t="str">
        <f>+'แผนลงทุน 1ปี '!H76</f>
        <v>M</v>
      </c>
    </row>
    <row r="79" spans="2:16" s="138" customFormat="1" ht="21">
      <c r="B79" s="699">
        <v>72</v>
      </c>
      <c r="C79" s="390" t="s">
        <v>1321</v>
      </c>
      <c r="D79" s="215" t="s">
        <v>2733</v>
      </c>
      <c r="E79" s="219">
        <f>+'แผนลงทุน 1ปี '!C77</f>
        <v>5400</v>
      </c>
      <c r="F79" s="1633">
        <f>+'แผนลงทุน 1ปี '!D77</f>
        <v>6</v>
      </c>
      <c r="G79" s="219">
        <f>+'แผนลงทุน 1ปี '!E77</f>
        <v>32400</v>
      </c>
      <c r="H79" s="324">
        <v>0</v>
      </c>
      <c r="I79" s="325">
        <v>0</v>
      </c>
      <c r="J79" s="324">
        <v>0</v>
      </c>
      <c r="K79" s="325">
        <v>0</v>
      </c>
      <c r="L79" s="325">
        <v>0</v>
      </c>
      <c r="M79" s="325">
        <v>0</v>
      </c>
      <c r="N79" s="215" t="str">
        <f>+'แผนลงทุน 1ปี '!F77</f>
        <v>เงินบำรุง</v>
      </c>
      <c r="O79" s="215" t="str">
        <f>+'แผนลงทุน 1ปี '!G77</f>
        <v>ครุภัณฑ์</v>
      </c>
      <c r="P79" s="215" t="str">
        <f>+'แผนลงทุน 1ปี '!H77</f>
        <v>M</v>
      </c>
    </row>
    <row r="80" spans="2:16" s="138" customFormat="1" ht="21">
      <c r="B80" s="699">
        <v>73</v>
      </c>
      <c r="C80" s="689" t="s">
        <v>476</v>
      </c>
      <c r="D80" s="215" t="s">
        <v>2732</v>
      </c>
      <c r="E80" s="219">
        <f>+'แผนลงทุน 1ปี '!C78</f>
        <v>15000</v>
      </c>
      <c r="F80" s="1633">
        <f>+'แผนลงทุน 1ปี '!D78</f>
        <v>1</v>
      </c>
      <c r="G80" s="219">
        <f>+'แผนลงทุน 1ปี '!E78</f>
        <v>15000</v>
      </c>
      <c r="H80" s="324">
        <v>0</v>
      </c>
      <c r="I80" s="325">
        <v>0</v>
      </c>
      <c r="J80" s="324">
        <v>0</v>
      </c>
      <c r="K80" s="325">
        <v>0</v>
      </c>
      <c r="L80" s="325">
        <v>0</v>
      </c>
      <c r="M80" s="325">
        <v>0</v>
      </c>
      <c r="N80" s="215" t="str">
        <f>+'แผนลงทุน 1ปี '!F78</f>
        <v>เงินบำรุง</v>
      </c>
      <c r="O80" s="215" t="str">
        <f>+'แผนลงทุน 1ปี '!G78</f>
        <v>ครุภัณฑ์</v>
      </c>
      <c r="P80" s="215" t="str">
        <f>+'แผนลงทุน 1ปี '!H78</f>
        <v>M</v>
      </c>
    </row>
    <row r="81" spans="2:16" s="138" customFormat="1" ht="21">
      <c r="B81" s="699">
        <v>74</v>
      </c>
      <c r="C81" s="683" t="s">
        <v>483</v>
      </c>
      <c r="D81" s="215" t="s">
        <v>2733</v>
      </c>
      <c r="E81" s="219">
        <f>+'แผนลงทุน 1ปี '!C79</f>
        <v>6500</v>
      </c>
      <c r="F81" s="1633">
        <f>+'แผนลงทุน 1ปี '!D79</f>
        <v>2</v>
      </c>
      <c r="G81" s="219">
        <f>+'แผนลงทุน 1ปี '!E79</f>
        <v>13000</v>
      </c>
      <c r="H81" s="324">
        <v>0</v>
      </c>
      <c r="I81" s="325">
        <v>0</v>
      </c>
      <c r="J81" s="324">
        <v>0</v>
      </c>
      <c r="K81" s="325">
        <v>0</v>
      </c>
      <c r="L81" s="325">
        <v>0</v>
      </c>
      <c r="M81" s="325">
        <v>0</v>
      </c>
      <c r="N81" s="215" t="str">
        <f>+'แผนลงทุน 1ปี '!F79</f>
        <v>เงินบำรุง</v>
      </c>
      <c r="O81" s="215" t="str">
        <f>+'แผนลงทุน 1ปี '!G79</f>
        <v>ครุภัณฑ์</v>
      </c>
      <c r="P81" s="215" t="str">
        <f>+'แผนลงทุน 1ปี '!H79</f>
        <v>M</v>
      </c>
    </row>
    <row r="82" spans="2:16" s="138" customFormat="1" ht="21">
      <c r="B82" s="699">
        <v>75</v>
      </c>
      <c r="C82" s="689" t="s">
        <v>477</v>
      </c>
      <c r="D82" s="215" t="s">
        <v>2732</v>
      </c>
      <c r="E82" s="219">
        <f>+'แผนลงทุน 1ปี '!C80</f>
        <v>10000</v>
      </c>
      <c r="F82" s="1633">
        <f>+'แผนลงทุน 1ปี '!D80</f>
        <v>1</v>
      </c>
      <c r="G82" s="219">
        <f>+'แผนลงทุน 1ปี '!E80</f>
        <v>10000</v>
      </c>
      <c r="H82" s="324">
        <v>0</v>
      </c>
      <c r="I82" s="325">
        <v>0</v>
      </c>
      <c r="J82" s="324">
        <v>0</v>
      </c>
      <c r="K82" s="325">
        <v>0</v>
      </c>
      <c r="L82" s="325">
        <v>0</v>
      </c>
      <c r="M82" s="325">
        <v>0</v>
      </c>
      <c r="N82" s="215" t="str">
        <f>+'แผนลงทุน 1ปี '!F80</f>
        <v>เงินบำรุง</v>
      </c>
      <c r="O82" s="215" t="str">
        <f>+'แผนลงทุน 1ปี '!G80</f>
        <v>ครุภัณฑ์</v>
      </c>
      <c r="P82" s="215" t="str">
        <f>+'แผนลงทุน 1ปี '!H80</f>
        <v>M</v>
      </c>
    </row>
    <row r="83" spans="2:16" s="138" customFormat="1" ht="21">
      <c r="B83" s="699">
        <v>76</v>
      </c>
      <c r="C83" s="682" t="s">
        <v>489</v>
      </c>
      <c r="D83" s="215" t="s">
        <v>2733</v>
      </c>
      <c r="E83" s="219">
        <f>+'แผนลงทุน 1ปี '!C81</f>
        <v>50000</v>
      </c>
      <c r="F83" s="1633">
        <f>+'แผนลงทุน 1ปี '!D81</f>
        <v>1</v>
      </c>
      <c r="G83" s="219">
        <f>+'แผนลงทุน 1ปี '!E81</f>
        <v>50000</v>
      </c>
      <c r="H83" s="324">
        <v>0</v>
      </c>
      <c r="I83" s="325">
        <v>0</v>
      </c>
      <c r="J83" s="324">
        <v>0</v>
      </c>
      <c r="K83" s="325">
        <v>0</v>
      </c>
      <c r="L83" s="325">
        <v>0</v>
      </c>
      <c r="M83" s="325">
        <v>0</v>
      </c>
      <c r="N83" s="215" t="str">
        <f>+'แผนลงทุน 1ปี '!F81</f>
        <v>เงินบำรุง</v>
      </c>
      <c r="O83" s="215" t="str">
        <f>+'แผนลงทุน 1ปี '!G81</f>
        <v>ครุภัณฑ์</v>
      </c>
      <c r="P83" s="215" t="str">
        <f>+'แผนลงทุน 1ปี '!H81</f>
        <v>M</v>
      </c>
    </row>
    <row r="84" spans="2:16" s="138" customFormat="1" ht="21">
      <c r="B84" s="699">
        <v>77</v>
      </c>
      <c r="C84" s="689" t="s">
        <v>2502</v>
      </c>
      <c r="D84" s="215" t="s">
        <v>2737</v>
      </c>
      <c r="E84" s="219">
        <f>+'แผนลงทุน 1ปี '!C82</f>
        <v>4500</v>
      </c>
      <c r="F84" s="1633">
        <f>+'แผนลงทุน 1ปี '!D82</f>
        <v>2</v>
      </c>
      <c r="G84" s="219">
        <f>+'แผนลงทุน 1ปี '!E82</f>
        <v>9000</v>
      </c>
      <c r="H84" s="324">
        <v>0</v>
      </c>
      <c r="I84" s="325">
        <v>0</v>
      </c>
      <c r="J84" s="324">
        <v>0</v>
      </c>
      <c r="K84" s="325">
        <v>0</v>
      </c>
      <c r="L84" s="325">
        <v>0</v>
      </c>
      <c r="M84" s="325">
        <v>0</v>
      </c>
      <c r="N84" s="215" t="str">
        <f>+'แผนลงทุน 1ปี '!F82</f>
        <v>เงินบำรุง</v>
      </c>
      <c r="O84" s="215" t="str">
        <f>+'แผนลงทุน 1ปี '!G82</f>
        <v>ครุภัณฑ์</v>
      </c>
      <c r="P84" s="215" t="str">
        <f>+'แผนลงทุน 1ปี '!H82</f>
        <v>M</v>
      </c>
    </row>
    <row r="85" spans="2:16" s="138" customFormat="1" ht="21">
      <c r="B85" s="699">
        <v>78</v>
      </c>
      <c r="C85" s="689" t="s">
        <v>484</v>
      </c>
      <c r="D85" s="215" t="s">
        <v>2733</v>
      </c>
      <c r="E85" s="219">
        <f>+'แผนลงทุน 1ปี '!C83</f>
        <v>3950</v>
      </c>
      <c r="F85" s="1633">
        <f>+'แผนลงทุน 1ปี '!D83</f>
        <v>2</v>
      </c>
      <c r="G85" s="219">
        <f>+'แผนลงทุน 1ปี '!E83</f>
        <v>7900</v>
      </c>
      <c r="H85" s="324">
        <v>0</v>
      </c>
      <c r="I85" s="325">
        <v>0</v>
      </c>
      <c r="J85" s="324">
        <v>0</v>
      </c>
      <c r="K85" s="325">
        <v>0</v>
      </c>
      <c r="L85" s="325">
        <v>0</v>
      </c>
      <c r="M85" s="325">
        <v>0</v>
      </c>
      <c r="N85" s="215" t="str">
        <f>+'แผนลงทุน 1ปี '!F83</f>
        <v>เงินบำรุง</v>
      </c>
      <c r="O85" s="215" t="str">
        <f>+'แผนลงทุน 1ปี '!G83</f>
        <v>ครุภัณฑ์</v>
      </c>
      <c r="P85" s="215" t="str">
        <f>+'แผนลงทุน 1ปี '!H83</f>
        <v>M</v>
      </c>
    </row>
    <row r="86" spans="2:16" s="138" customFormat="1" ht="21">
      <c r="B86" s="699">
        <v>79</v>
      </c>
      <c r="C86" s="685" t="s">
        <v>488</v>
      </c>
      <c r="D86" s="215" t="s">
        <v>2733</v>
      </c>
      <c r="E86" s="219">
        <f>+'แผนลงทุน 1ปี '!C84</f>
        <v>3950</v>
      </c>
      <c r="F86" s="1633">
        <f>+'แผนลงทุน 1ปี '!D84</f>
        <v>2</v>
      </c>
      <c r="G86" s="219">
        <f>+'แผนลงทุน 1ปี '!E84</f>
        <v>7900</v>
      </c>
      <c r="H86" s="324">
        <v>0</v>
      </c>
      <c r="I86" s="325">
        <v>0</v>
      </c>
      <c r="J86" s="324">
        <v>0</v>
      </c>
      <c r="K86" s="325">
        <v>0</v>
      </c>
      <c r="L86" s="325">
        <v>0</v>
      </c>
      <c r="M86" s="325">
        <v>0</v>
      </c>
      <c r="N86" s="215" t="str">
        <f>+'แผนลงทุน 1ปี '!F84</f>
        <v>เงินบำรุง</v>
      </c>
      <c r="O86" s="215" t="str">
        <f>+'แผนลงทุน 1ปี '!G84</f>
        <v>ครุภัณฑ์</v>
      </c>
      <c r="P86" s="215" t="str">
        <f>+'แผนลงทุน 1ปี '!H84</f>
        <v>M</v>
      </c>
    </row>
    <row r="87" spans="2:16" s="138" customFormat="1" ht="21">
      <c r="B87" s="699">
        <v>80</v>
      </c>
      <c r="C87" s="689" t="s">
        <v>478</v>
      </c>
      <c r="D87" s="215" t="s">
        <v>2733</v>
      </c>
      <c r="E87" s="219">
        <f>+'แผนลงทุน 1ปี '!C85</f>
        <v>4000</v>
      </c>
      <c r="F87" s="1633">
        <f>+'แผนลงทุน 1ปี '!D85</f>
        <v>1</v>
      </c>
      <c r="G87" s="219">
        <f>+'แผนลงทุน 1ปี '!E85</f>
        <v>4000</v>
      </c>
      <c r="H87" s="324">
        <v>0</v>
      </c>
      <c r="I87" s="325">
        <v>0</v>
      </c>
      <c r="J87" s="324">
        <v>0</v>
      </c>
      <c r="K87" s="325">
        <v>0</v>
      </c>
      <c r="L87" s="325">
        <v>0</v>
      </c>
      <c r="M87" s="325">
        <v>0</v>
      </c>
      <c r="N87" s="215" t="str">
        <f>+'แผนลงทุน 1ปี '!F85</f>
        <v>เงินบำรุง</v>
      </c>
      <c r="O87" s="215" t="str">
        <f>+'แผนลงทุน 1ปี '!G85</f>
        <v>ครุภัณฑ์</v>
      </c>
      <c r="P87" s="215" t="str">
        <f>+'แผนลงทุน 1ปี '!H85</f>
        <v>M</v>
      </c>
    </row>
    <row r="88" spans="2:16" s="138" customFormat="1" ht="42">
      <c r="B88" s="699">
        <v>81</v>
      </c>
      <c r="C88" s="2447" t="s">
        <v>2721</v>
      </c>
      <c r="D88" s="215" t="s">
        <v>2733</v>
      </c>
      <c r="E88" s="219">
        <f>+'แผนลงทุน 1ปี '!C86</f>
        <v>7500</v>
      </c>
      <c r="F88" s="1633">
        <f>+'แผนลงทุน 1ปี '!D86</f>
        <v>6</v>
      </c>
      <c r="G88" s="219">
        <f>+'แผนลงทุน 1ปี '!E86</f>
        <v>45000</v>
      </c>
      <c r="H88" s="324">
        <v>0</v>
      </c>
      <c r="I88" s="325">
        <v>0</v>
      </c>
      <c r="J88" s="324">
        <v>0</v>
      </c>
      <c r="K88" s="325">
        <v>0</v>
      </c>
      <c r="L88" s="325">
        <v>0</v>
      </c>
      <c r="M88" s="325">
        <v>0</v>
      </c>
      <c r="N88" s="215" t="str">
        <f>+'แผนลงทุน 1ปี '!F86</f>
        <v>เงินบำรุง</v>
      </c>
      <c r="O88" s="215" t="str">
        <f>+'แผนลงทุน 1ปี '!G86</f>
        <v>ครุภัณฑ์</v>
      </c>
      <c r="P88" s="215" t="str">
        <f>+'แผนลงทุน 1ปี '!H86</f>
        <v>M</v>
      </c>
    </row>
    <row r="89" spans="2:16" s="138" customFormat="1" ht="21">
      <c r="B89" s="699">
        <v>82</v>
      </c>
      <c r="C89" s="390" t="s">
        <v>1325</v>
      </c>
      <c r="D89" s="215" t="s">
        <v>2733</v>
      </c>
      <c r="E89" s="219">
        <f>+'แผนลงทุน 1ปี '!C87</f>
        <v>2950</v>
      </c>
      <c r="F89" s="1633">
        <f>+'แผนลงทุน 1ปี '!D87</f>
        <v>6</v>
      </c>
      <c r="G89" s="219">
        <f>+'แผนลงทุน 1ปี '!E87</f>
        <v>17700</v>
      </c>
      <c r="H89" s="324">
        <v>0</v>
      </c>
      <c r="I89" s="325">
        <v>0</v>
      </c>
      <c r="J89" s="324">
        <v>0</v>
      </c>
      <c r="K89" s="325">
        <v>0</v>
      </c>
      <c r="L89" s="325">
        <v>0</v>
      </c>
      <c r="M89" s="325">
        <v>0</v>
      </c>
      <c r="N89" s="215" t="str">
        <f>+'แผนลงทุน 1ปี '!F87</f>
        <v>เงินบำรุง</v>
      </c>
      <c r="O89" s="215" t="str">
        <f>+'แผนลงทุน 1ปี '!G87</f>
        <v>ครุภัณฑ์</v>
      </c>
      <c r="P89" s="215" t="str">
        <f>+'แผนลงทุน 1ปี '!H87</f>
        <v>M</v>
      </c>
    </row>
    <row r="90" spans="2:16" s="138" customFormat="1" ht="21">
      <c r="B90" s="699">
        <v>83</v>
      </c>
      <c r="C90" s="221" t="s">
        <v>1303</v>
      </c>
      <c r="D90" s="215" t="s">
        <v>2732</v>
      </c>
      <c r="E90" s="219">
        <f>+'แผนลงทุน 1ปี '!C88</f>
        <v>14400</v>
      </c>
      <c r="F90" s="1633">
        <f>+'แผนลงทุน 1ปี '!D88</f>
        <v>1</v>
      </c>
      <c r="G90" s="219">
        <f>+'แผนลงทุน 1ปี '!E88</f>
        <v>14400</v>
      </c>
      <c r="H90" s="324">
        <v>0</v>
      </c>
      <c r="I90" s="325">
        <v>0</v>
      </c>
      <c r="J90" s="324">
        <v>0</v>
      </c>
      <c r="K90" s="325">
        <v>0</v>
      </c>
      <c r="L90" s="325">
        <v>0</v>
      </c>
      <c r="M90" s="325">
        <v>0</v>
      </c>
      <c r="N90" s="215" t="str">
        <f>+'แผนลงทุน 1ปี '!F88</f>
        <v>เงินบำรุง</v>
      </c>
      <c r="O90" s="215" t="str">
        <f>+'แผนลงทุน 1ปี '!G88</f>
        <v>ครุภัณฑ์</v>
      </c>
      <c r="P90" s="215" t="str">
        <f>+'แผนลงทุน 1ปี '!H88</f>
        <v>M</v>
      </c>
    </row>
    <row r="91" spans="2:16" s="138" customFormat="1" ht="23.1" customHeight="1">
      <c r="B91" s="699">
        <v>84</v>
      </c>
      <c r="C91" s="390" t="s">
        <v>1331</v>
      </c>
      <c r="D91" s="215" t="s">
        <v>2732</v>
      </c>
      <c r="E91" s="219">
        <f>+'แผนลงทุน 1ปี '!C89</f>
        <v>6955</v>
      </c>
      <c r="F91" s="1633">
        <f>+'แผนลงทุน 1ปี '!D89</f>
        <v>1</v>
      </c>
      <c r="G91" s="219">
        <f>+'แผนลงทุน 1ปี '!E89</f>
        <v>6955</v>
      </c>
      <c r="H91" s="324">
        <v>0</v>
      </c>
      <c r="I91" s="325">
        <v>0</v>
      </c>
      <c r="J91" s="324">
        <v>0</v>
      </c>
      <c r="K91" s="325">
        <v>0</v>
      </c>
      <c r="L91" s="325">
        <v>0</v>
      </c>
      <c r="M91" s="325">
        <v>0</v>
      </c>
      <c r="N91" s="215" t="str">
        <f>+'แผนลงทุน 1ปี '!F89</f>
        <v>เงินบำรุง</v>
      </c>
      <c r="O91" s="215" t="str">
        <f>+'แผนลงทุน 1ปี '!G89</f>
        <v>ครุภัณฑ์</v>
      </c>
      <c r="P91" s="215" t="str">
        <f>+'แผนลงทุน 1ปี '!H89</f>
        <v>M</v>
      </c>
    </row>
    <row r="92" spans="2:16" s="138" customFormat="1" ht="21">
      <c r="B92" s="699">
        <v>85</v>
      </c>
      <c r="C92" s="478" t="s">
        <v>1337</v>
      </c>
      <c r="D92" s="215" t="s">
        <v>2732</v>
      </c>
      <c r="E92" s="219">
        <f>+'แผนลงทุน 1ปี '!C90</f>
        <v>7400</v>
      </c>
      <c r="F92" s="1633">
        <f>+'แผนลงทุน 1ปี '!D90</f>
        <v>1</v>
      </c>
      <c r="G92" s="219">
        <f>+'แผนลงทุน 1ปี '!E90</f>
        <v>7400</v>
      </c>
      <c r="H92" s="324">
        <v>0</v>
      </c>
      <c r="I92" s="325">
        <v>0</v>
      </c>
      <c r="J92" s="324">
        <v>0</v>
      </c>
      <c r="K92" s="325">
        <v>0</v>
      </c>
      <c r="L92" s="325">
        <v>0</v>
      </c>
      <c r="M92" s="325">
        <v>0</v>
      </c>
      <c r="N92" s="215" t="str">
        <f>+'แผนลงทุน 1ปี '!F90</f>
        <v>เงินบำรุง</v>
      </c>
      <c r="O92" s="215" t="str">
        <f>+'แผนลงทุน 1ปี '!G90</f>
        <v>ครุภัณฑ์</v>
      </c>
      <c r="P92" s="215" t="str">
        <f>+'แผนลงทุน 1ปี '!H90</f>
        <v>M</v>
      </c>
    </row>
    <row r="93" spans="2:16" s="138" customFormat="1" ht="21">
      <c r="B93" s="699">
        <v>86</v>
      </c>
      <c r="C93" s="251" t="s">
        <v>554</v>
      </c>
      <c r="D93" s="215" t="s">
        <v>2727</v>
      </c>
      <c r="E93" s="219">
        <f>+'แผนลงทุน 1ปี '!C91</f>
        <v>5100000</v>
      </c>
      <c r="F93" s="1633">
        <f>+'แผนลงทุน 1ปี '!D91</f>
        <v>1</v>
      </c>
      <c r="G93" s="219">
        <f>+'แผนลงทุน 1ปี '!E91</f>
        <v>5100000</v>
      </c>
      <c r="H93" s="324">
        <v>0</v>
      </c>
      <c r="I93" s="325">
        <v>0</v>
      </c>
      <c r="J93" s="324">
        <v>0</v>
      </c>
      <c r="K93" s="325">
        <v>0</v>
      </c>
      <c r="L93" s="325">
        <v>0</v>
      </c>
      <c r="M93" s="325">
        <v>0</v>
      </c>
      <c r="N93" s="215" t="str">
        <f>+'แผนลงทุน 1ปี '!F91</f>
        <v>เงินบำรุง</v>
      </c>
      <c r="O93" s="215" t="str">
        <f>+'แผนลงทุน 1ปี '!G91</f>
        <v>ครุภัณฑ์</v>
      </c>
      <c r="P93" s="215" t="str">
        <f>+'แผนลงทุน 1ปี '!H91</f>
        <v>M</v>
      </c>
    </row>
    <row r="94" spans="2:16" s="138" customFormat="1" ht="42">
      <c r="B94" s="699">
        <v>87</v>
      </c>
      <c r="C94" s="251" t="s">
        <v>555</v>
      </c>
      <c r="D94" s="215" t="s">
        <v>2733</v>
      </c>
      <c r="E94" s="219">
        <f>+'แผนลงทุน 1ปี '!C92</f>
        <v>2800000</v>
      </c>
      <c r="F94" s="1633">
        <f>+'แผนลงทุน 1ปี '!D92</f>
        <v>1</v>
      </c>
      <c r="G94" s="219">
        <f>+'แผนลงทุน 1ปี '!E92</f>
        <v>2800000</v>
      </c>
      <c r="H94" s="324">
        <v>0</v>
      </c>
      <c r="I94" s="325">
        <v>0</v>
      </c>
      <c r="J94" s="324">
        <v>0</v>
      </c>
      <c r="K94" s="325">
        <v>0</v>
      </c>
      <c r="L94" s="325">
        <v>0</v>
      </c>
      <c r="M94" s="325">
        <v>0</v>
      </c>
      <c r="N94" s="215" t="str">
        <f>+'แผนลงทุน 1ปี '!F92</f>
        <v>เงินบำรุง</v>
      </c>
      <c r="O94" s="215" t="str">
        <f>+'แผนลงทุน 1ปี '!G92</f>
        <v>ครุภัณฑ์</v>
      </c>
      <c r="P94" s="215" t="str">
        <f>+'แผนลงทุน 1ปี '!H92</f>
        <v>M</v>
      </c>
    </row>
    <row r="95" spans="2:16" s="138" customFormat="1" ht="21">
      <c r="B95" s="699">
        <v>88</v>
      </c>
      <c r="C95" s="251" t="s">
        <v>556</v>
      </c>
      <c r="D95" s="215" t="s">
        <v>2727</v>
      </c>
      <c r="E95" s="219">
        <f>+'แผนลงทุน 1ปี '!C93</f>
        <v>1400000</v>
      </c>
      <c r="F95" s="1633">
        <f>+'แผนลงทุน 1ปี '!D93</f>
        <v>1</v>
      </c>
      <c r="G95" s="219">
        <f>+'แผนลงทุน 1ปี '!E93</f>
        <v>1400000</v>
      </c>
      <c r="H95" s="324">
        <v>0</v>
      </c>
      <c r="I95" s="325">
        <v>0</v>
      </c>
      <c r="J95" s="324">
        <v>0</v>
      </c>
      <c r="K95" s="325">
        <v>0</v>
      </c>
      <c r="L95" s="325">
        <v>0</v>
      </c>
      <c r="M95" s="325">
        <v>0</v>
      </c>
      <c r="N95" s="215" t="str">
        <f>+'แผนลงทุน 1ปี '!F93</f>
        <v>เงินบำรุง</v>
      </c>
      <c r="O95" s="215" t="str">
        <f>+'แผนลงทุน 1ปี '!G93</f>
        <v>ครุภัณฑ์</v>
      </c>
      <c r="P95" s="215" t="str">
        <f>+'แผนลงทุน 1ปี '!H93</f>
        <v>M</v>
      </c>
    </row>
    <row r="96" spans="2:16" s="138" customFormat="1" ht="21">
      <c r="B96" s="699">
        <v>89</v>
      </c>
      <c r="C96" s="251" t="s">
        <v>557</v>
      </c>
      <c r="D96" s="215" t="s">
        <v>2730</v>
      </c>
      <c r="E96" s="219">
        <f>+'แผนลงทุน 1ปี '!C94</f>
        <v>500000</v>
      </c>
      <c r="F96" s="1633">
        <f>+'แผนลงทุน 1ปี '!D94</f>
        <v>2</v>
      </c>
      <c r="G96" s="219">
        <f>+'แผนลงทุน 1ปี '!E94</f>
        <v>1000000</v>
      </c>
      <c r="H96" s="324">
        <v>0</v>
      </c>
      <c r="I96" s="325">
        <v>0</v>
      </c>
      <c r="J96" s="324">
        <v>0</v>
      </c>
      <c r="K96" s="325">
        <v>0</v>
      </c>
      <c r="L96" s="325">
        <v>0</v>
      </c>
      <c r="M96" s="325">
        <v>0</v>
      </c>
      <c r="N96" s="215" t="str">
        <f>+'แผนลงทุน 1ปี '!F94</f>
        <v>เงินบำรุง</v>
      </c>
      <c r="O96" s="215" t="str">
        <f>+'แผนลงทุน 1ปี '!G94</f>
        <v>ครุภัณฑ์</v>
      </c>
      <c r="P96" s="215" t="str">
        <f>+'แผนลงทุน 1ปี '!H94</f>
        <v>M</v>
      </c>
    </row>
    <row r="97" spans="2:16" s="138" customFormat="1" ht="21">
      <c r="B97" s="699">
        <v>90</v>
      </c>
      <c r="C97" s="251" t="s">
        <v>558</v>
      </c>
      <c r="D97" s="215" t="s">
        <v>2727</v>
      </c>
      <c r="E97" s="219">
        <f>+'แผนลงทุน 1ปี '!C95</f>
        <v>370000</v>
      </c>
      <c r="F97" s="1633">
        <f>+'แผนลงทุน 1ปี '!D95</f>
        <v>2</v>
      </c>
      <c r="G97" s="219">
        <f>+'แผนลงทุน 1ปี '!E95</f>
        <v>740000</v>
      </c>
      <c r="H97" s="324">
        <v>0</v>
      </c>
      <c r="I97" s="325">
        <v>0</v>
      </c>
      <c r="J97" s="324">
        <v>0</v>
      </c>
      <c r="K97" s="325">
        <v>0</v>
      </c>
      <c r="L97" s="325">
        <v>0</v>
      </c>
      <c r="M97" s="325">
        <v>0</v>
      </c>
      <c r="N97" s="215" t="str">
        <f>+'แผนลงทุน 1ปี '!F95</f>
        <v>เงินบำรุง</v>
      </c>
      <c r="O97" s="215" t="str">
        <f>+'แผนลงทุน 1ปี '!G95</f>
        <v>ครุภัณฑ์</v>
      </c>
      <c r="P97" s="215" t="str">
        <f>+'แผนลงทุน 1ปี '!H95</f>
        <v>M</v>
      </c>
    </row>
    <row r="98" spans="2:16" s="138" customFormat="1" ht="21">
      <c r="B98" s="699">
        <v>91</v>
      </c>
      <c r="C98" s="251" t="s">
        <v>1042</v>
      </c>
      <c r="D98" s="215" t="s">
        <v>2727</v>
      </c>
      <c r="E98" s="219">
        <f>+'แผนลงทุน 1ปี '!C96</f>
        <v>2200000</v>
      </c>
      <c r="F98" s="1633">
        <f>+'แผนลงทุน 1ปี '!D96</f>
        <v>1</v>
      </c>
      <c r="G98" s="219">
        <f>+'แผนลงทุน 1ปี '!E96</f>
        <v>2200000</v>
      </c>
      <c r="H98" s="324">
        <v>0</v>
      </c>
      <c r="I98" s="325">
        <v>0</v>
      </c>
      <c r="J98" s="324">
        <v>0</v>
      </c>
      <c r="K98" s="325">
        <v>0</v>
      </c>
      <c r="L98" s="325">
        <v>0</v>
      </c>
      <c r="M98" s="325">
        <v>0</v>
      </c>
      <c r="N98" s="215" t="str">
        <f>+'แผนลงทุน 1ปี '!F96</f>
        <v>เงินบำรุง</v>
      </c>
      <c r="O98" s="215" t="str">
        <f>+'แผนลงทุน 1ปี '!G96</f>
        <v>ครุภัณฑ์</v>
      </c>
      <c r="P98" s="215" t="str">
        <f>+'แผนลงทุน 1ปี '!H96</f>
        <v>M</v>
      </c>
    </row>
    <row r="99" spans="2:16" s="138" customFormat="1" ht="21">
      <c r="B99" s="699">
        <v>92</v>
      </c>
      <c r="C99" s="251" t="s">
        <v>559</v>
      </c>
      <c r="D99" s="215" t="s">
        <v>2727</v>
      </c>
      <c r="E99" s="219">
        <f>+'แผนลงทุน 1ปี '!C97</f>
        <v>1800000</v>
      </c>
      <c r="F99" s="1633">
        <f>+'แผนลงทุน 1ปี '!D97</f>
        <v>1</v>
      </c>
      <c r="G99" s="219">
        <f>+'แผนลงทุน 1ปี '!E97</f>
        <v>1800000</v>
      </c>
      <c r="H99" s="324">
        <v>0</v>
      </c>
      <c r="I99" s="325">
        <v>0</v>
      </c>
      <c r="J99" s="324">
        <v>0</v>
      </c>
      <c r="K99" s="325">
        <v>0</v>
      </c>
      <c r="L99" s="325">
        <v>0</v>
      </c>
      <c r="M99" s="325">
        <v>0</v>
      </c>
      <c r="N99" s="215" t="str">
        <f>+'แผนลงทุน 1ปี '!F97</f>
        <v>เงินบำรุง</v>
      </c>
      <c r="O99" s="215" t="str">
        <f>+'แผนลงทุน 1ปี '!G97</f>
        <v>ครุภัณฑ์</v>
      </c>
      <c r="P99" s="215" t="str">
        <f>+'แผนลงทุน 1ปี '!H97</f>
        <v>M</v>
      </c>
    </row>
    <row r="100" spans="2:16" s="138" customFormat="1" ht="21">
      <c r="B100" s="699">
        <v>93</v>
      </c>
      <c r="C100" s="251" t="s">
        <v>560</v>
      </c>
      <c r="D100" s="215" t="s">
        <v>2727</v>
      </c>
      <c r="E100" s="219">
        <f>+'แผนลงทุน 1ปี '!C98</f>
        <v>2000000</v>
      </c>
      <c r="F100" s="1633">
        <f>+'แผนลงทุน 1ปี '!D98</f>
        <v>1</v>
      </c>
      <c r="G100" s="219">
        <f>+'แผนลงทุน 1ปี '!E98</f>
        <v>2000000</v>
      </c>
      <c r="H100" s="324">
        <v>0</v>
      </c>
      <c r="I100" s="325">
        <v>0</v>
      </c>
      <c r="J100" s="324">
        <v>0</v>
      </c>
      <c r="K100" s="325">
        <v>0</v>
      </c>
      <c r="L100" s="325">
        <v>0</v>
      </c>
      <c r="M100" s="325">
        <v>0</v>
      </c>
      <c r="N100" s="215" t="str">
        <f>+'แผนลงทุน 1ปี '!F98</f>
        <v>เงินบำรุง</v>
      </c>
      <c r="O100" s="215" t="str">
        <f>+'แผนลงทุน 1ปี '!G98</f>
        <v>ครุภัณฑ์</v>
      </c>
      <c r="P100" s="215" t="str">
        <f>+'แผนลงทุน 1ปี '!H98</f>
        <v>M</v>
      </c>
    </row>
    <row r="101" spans="2:16" s="138" customFormat="1" ht="21">
      <c r="B101" s="699">
        <v>94</v>
      </c>
      <c r="C101" s="251" t="s">
        <v>1032</v>
      </c>
      <c r="D101" s="215" t="s">
        <v>2730</v>
      </c>
      <c r="E101" s="219">
        <f>+'แผนลงทุน 1ปี '!C99</f>
        <v>890000</v>
      </c>
      <c r="F101" s="1633">
        <f>+'แผนลงทุน 1ปี '!D99</f>
        <v>1</v>
      </c>
      <c r="G101" s="219">
        <f>+'แผนลงทุน 1ปี '!E99</f>
        <v>890000</v>
      </c>
      <c r="H101" s="324">
        <v>0</v>
      </c>
      <c r="I101" s="325">
        <v>0</v>
      </c>
      <c r="J101" s="324">
        <v>0</v>
      </c>
      <c r="K101" s="325">
        <v>0</v>
      </c>
      <c r="L101" s="325">
        <v>0</v>
      </c>
      <c r="M101" s="325">
        <v>0</v>
      </c>
      <c r="N101" s="215" t="str">
        <f>+'แผนลงทุน 1ปี '!F99</f>
        <v>เงินบำรุง</v>
      </c>
      <c r="O101" s="215" t="str">
        <f>+'แผนลงทุน 1ปี '!G99</f>
        <v>ครุภัณฑ์</v>
      </c>
      <c r="P101" s="215" t="str">
        <f>+'แผนลงทุน 1ปี '!H99</f>
        <v>M</v>
      </c>
    </row>
    <row r="102" spans="2:16" s="138" customFormat="1" ht="21">
      <c r="B102" s="699">
        <v>95</v>
      </c>
      <c r="C102" s="251" t="s">
        <v>1033</v>
      </c>
      <c r="D102" s="215" t="s">
        <v>2730</v>
      </c>
      <c r="E102" s="219">
        <f>+'แผนลงทุน 1ปี '!C100</f>
        <v>268000</v>
      </c>
      <c r="F102" s="1633">
        <f>+'แผนลงทุน 1ปี '!D100</f>
        <v>1</v>
      </c>
      <c r="G102" s="219">
        <f>+'แผนลงทุน 1ปี '!E100</f>
        <v>268000</v>
      </c>
      <c r="H102" s="324">
        <v>0</v>
      </c>
      <c r="I102" s="325">
        <v>0</v>
      </c>
      <c r="J102" s="324">
        <v>0</v>
      </c>
      <c r="K102" s="325">
        <v>0</v>
      </c>
      <c r="L102" s="325">
        <v>0</v>
      </c>
      <c r="M102" s="325">
        <v>0</v>
      </c>
      <c r="N102" s="215" t="str">
        <f>+'แผนลงทุน 1ปี '!F100</f>
        <v>เงินบำรุง</v>
      </c>
      <c r="O102" s="215" t="str">
        <f>+'แผนลงทุน 1ปี '!G100</f>
        <v>ครุภัณฑ์</v>
      </c>
      <c r="P102" s="215" t="str">
        <f>+'แผนลงทุน 1ปี '!H100</f>
        <v>M</v>
      </c>
    </row>
    <row r="103" spans="2:16" s="138" customFormat="1" ht="21">
      <c r="B103" s="699">
        <v>96</v>
      </c>
      <c r="C103" s="684" t="s">
        <v>1034</v>
      </c>
      <c r="D103" s="215" t="s">
        <v>2730</v>
      </c>
      <c r="E103" s="219">
        <f>+'แผนลงทุน 1ปี '!C101</f>
        <v>1832600</v>
      </c>
      <c r="F103" s="1633">
        <f>+'แผนลงทุน 1ปี '!D101</f>
        <v>1</v>
      </c>
      <c r="G103" s="219">
        <f>+'แผนลงทุน 1ปี '!E101</f>
        <v>1832600</v>
      </c>
      <c r="H103" s="324">
        <v>0</v>
      </c>
      <c r="I103" s="325">
        <v>0</v>
      </c>
      <c r="J103" s="324">
        <v>0</v>
      </c>
      <c r="K103" s="325">
        <v>0</v>
      </c>
      <c r="L103" s="325">
        <v>0</v>
      </c>
      <c r="M103" s="325">
        <v>0</v>
      </c>
      <c r="N103" s="215" t="str">
        <f>+'แผนลงทุน 1ปี '!F101</f>
        <v>เงินบำรุง</v>
      </c>
      <c r="O103" s="215" t="str">
        <f>+'แผนลงทุน 1ปี '!G101</f>
        <v>ครุภัณฑ์</v>
      </c>
      <c r="P103" s="215" t="str">
        <f>+'แผนลงทุน 1ปี '!H101</f>
        <v>M</v>
      </c>
    </row>
    <row r="104" spans="2:16" s="138" customFormat="1" ht="21">
      <c r="B104" s="699">
        <v>97</v>
      </c>
      <c r="C104" s="498" t="s">
        <v>1507</v>
      </c>
      <c r="D104" s="215" t="s">
        <v>2728</v>
      </c>
      <c r="E104" s="219">
        <f>+'แผนลงทุน 1ปี '!C102</f>
        <v>498000</v>
      </c>
      <c r="F104" s="1633">
        <f>+'แผนลงทุน 1ปี '!D102</f>
        <v>1</v>
      </c>
      <c r="G104" s="219">
        <f>+'แผนลงทุน 1ปี '!E102</f>
        <v>498000</v>
      </c>
      <c r="H104" s="324">
        <v>0</v>
      </c>
      <c r="I104" s="325">
        <v>0</v>
      </c>
      <c r="J104" s="324">
        <v>0</v>
      </c>
      <c r="K104" s="325">
        <v>0</v>
      </c>
      <c r="L104" s="325">
        <v>0</v>
      </c>
      <c r="M104" s="325">
        <v>0</v>
      </c>
      <c r="N104" s="215" t="str">
        <f>+'แผนลงทุน 1ปี '!F102</f>
        <v>เงินบำรุง</v>
      </c>
      <c r="O104" s="215" t="str">
        <f>+'แผนลงทุน 1ปี '!G102</f>
        <v>ครุภัณฑ์</v>
      </c>
      <c r="P104" s="215" t="str">
        <f>+'แผนลงทุน 1ปี '!H102</f>
        <v>M</v>
      </c>
    </row>
    <row r="105" spans="2:16" s="138" customFormat="1" ht="21">
      <c r="B105" s="699">
        <v>98</v>
      </c>
      <c r="C105" s="305" t="s">
        <v>1578</v>
      </c>
      <c r="D105" s="215" t="s">
        <v>2733</v>
      </c>
      <c r="E105" s="219">
        <f>+'แผนลงทุน 1ปี '!C103</f>
        <v>8700</v>
      </c>
      <c r="F105" s="1633">
        <f>+'แผนลงทุน 1ปี '!D103</f>
        <v>10</v>
      </c>
      <c r="G105" s="219">
        <f>+'แผนลงทุน 1ปี '!E103</f>
        <v>87000</v>
      </c>
      <c r="H105" s="324">
        <v>0</v>
      </c>
      <c r="I105" s="325">
        <v>0</v>
      </c>
      <c r="J105" s="324">
        <v>0</v>
      </c>
      <c r="K105" s="325">
        <v>0</v>
      </c>
      <c r="L105" s="325">
        <v>0</v>
      </c>
      <c r="M105" s="325">
        <v>0</v>
      </c>
      <c r="N105" s="215" t="str">
        <f>+'แผนลงทุน 1ปี '!F103</f>
        <v>เงินบำรุง</v>
      </c>
      <c r="O105" s="215" t="str">
        <f>+'แผนลงทุน 1ปี '!G103</f>
        <v>ครุภัณฑ์</v>
      </c>
      <c r="P105" s="215" t="str">
        <f>+'แผนลงทุน 1ปี '!H103</f>
        <v>M</v>
      </c>
    </row>
    <row r="106" spans="2:16" s="138" customFormat="1" ht="21">
      <c r="B106" s="699">
        <v>99</v>
      </c>
      <c r="C106" s="309" t="s">
        <v>1321</v>
      </c>
      <c r="D106" s="215" t="s">
        <v>2733</v>
      </c>
      <c r="E106" s="219">
        <f>+'แผนลงทุน 1ปี '!C104</f>
        <v>5400</v>
      </c>
      <c r="F106" s="1633">
        <f>+'แผนลงทุน 1ปี '!D104</f>
        <v>5</v>
      </c>
      <c r="G106" s="219">
        <f>+'แผนลงทุน 1ปี '!E104</f>
        <v>27000</v>
      </c>
      <c r="H106" s="324">
        <v>0</v>
      </c>
      <c r="I106" s="325">
        <v>0</v>
      </c>
      <c r="J106" s="324">
        <v>0</v>
      </c>
      <c r="K106" s="325">
        <v>0</v>
      </c>
      <c r="L106" s="325">
        <v>0</v>
      </c>
      <c r="M106" s="325">
        <v>0</v>
      </c>
      <c r="N106" s="215" t="str">
        <f>+'แผนลงทุน 1ปี '!F104</f>
        <v>เงินบำรุง</v>
      </c>
      <c r="O106" s="215" t="str">
        <f>+'แผนลงทุน 1ปี '!G104</f>
        <v>ครุภัณฑ์</v>
      </c>
      <c r="P106" s="215" t="str">
        <f>+'แผนลงทุน 1ปี '!H104</f>
        <v>M</v>
      </c>
    </row>
    <row r="107" spans="2:16" s="138" customFormat="1" ht="21">
      <c r="B107" s="699">
        <v>100</v>
      </c>
      <c r="C107" s="309" t="s">
        <v>1582</v>
      </c>
      <c r="D107" s="215" t="s">
        <v>2733</v>
      </c>
      <c r="E107" s="219">
        <f>+'แผนลงทุน 1ปี '!C105</f>
        <v>12700</v>
      </c>
      <c r="F107" s="1633">
        <f>+'แผนลงทุน 1ปี '!D105</f>
        <v>8</v>
      </c>
      <c r="G107" s="219">
        <f>+'แผนลงทุน 1ปี '!E105</f>
        <v>101600</v>
      </c>
      <c r="H107" s="324">
        <v>0</v>
      </c>
      <c r="I107" s="325">
        <v>0</v>
      </c>
      <c r="J107" s="324">
        <v>0</v>
      </c>
      <c r="K107" s="325">
        <v>0</v>
      </c>
      <c r="L107" s="325">
        <v>0</v>
      </c>
      <c r="M107" s="325">
        <v>0</v>
      </c>
      <c r="N107" s="215" t="str">
        <f>+'แผนลงทุน 1ปี '!F105</f>
        <v>เงินบำรุง</v>
      </c>
      <c r="O107" s="215" t="str">
        <f>+'แผนลงทุน 1ปี '!G105</f>
        <v>ครุภัณฑ์</v>
      </c>
      <c r="P107" s="215" t="str">
        <f>+'แผนลงทุน 1ปี '!H105</f>
        <v>M</v>
      </c>
    </row>
    <row r="108" spans="2:16" s="138" customFormat="1" ht="42">
      <c r="B108" s="699">
        <v>101</v>
      </c>
      <c r="C108" s="312" t="s">
        <v>2483</v>
      </c>
      <c r="D108" s="215" t="s">
        <v>2733</v>
      </c>
      <c r="E108" s="219">
        <f>+'แผนลงทุน 1ปี '!C106</f>
        <v>7500</v>
      </c>
      <c r="F108" s="1633">
        <f>+'แผนลงทุน 1ปี '!D106</f>
        <v>8</v>
      </c>
      <c r="G108" s="219">
        <f>+'แผนลงทุน 1ปี '!E106</f>
        <v>60000</v>
      </c>
      <c r="H108" s="324">
        <v>0</v>
      </c>
      <c r="I108" s="325">
        <v>0</v>
      </c>
      <c r="J108" s="324">
        <v>0</v>
      </c>
      <c r="K108" s="325">
        <v>0</v>
      </c>
      <c r="L108" s="325">
        <v>0</v>
      </c>
      <c r="M108" s="325">
        <v>0</v>
      </c>
      <c r="N108" s="215" t="str">
        <f>+'แผนลงทุน 1ปี '!F106</f>
        <v>เงินบำรุง</v>
      </c>
      <c r="O108" s="215" t="str">
        <f>+'แผนลงทุน 1ปี '!G106</f>
        <v>ครุภัณฑ์</v>
      </c>
      <c r="P108" s="215" t="str">
        <f>+'แผนลงทุน 1ปี '!H106</f>
        <v>M</v>
      </c>
    </row>
    <row r="109" spans="2:16" s="138" customFormat="1" ht="21">
      <c r="B109" s="699">
        <v>102</v>
      </c>
      <c r="C109" s="305" t="s">
        <v>1585</v>
      </c>
      <c r="D109" s="215" t="s">
        <v>2733</v>
      </c>
      <c r="E109" s="219">
        <f>+'แผนลงทุน 1ปี '!C107</f>
        <v>9700</v>
      </c>
      <c r="F109" s="1633">
        <f>+'แผนลงทุน 1ปี '!D107</f>
        <v>4</v>
      </c>
      <c r="G109" s="219">
        <f>+'แผนลงทุน 1ปี '!E107</f>
        <v>38800</v>
      </c>
      <c r="H109" s="324">
        <v>0</v>
      </c>
      <c r="I109" s="325">
        <v>0</v>
      </c>
      <c r="J109" s="324">
        <v>0</v>
      </c>
      <c r="K109" s="325">
        <v>0</v>
      </c>
      <c r="L109" s="325">
        <v>0</v>
      </c>
      <c r="M109" s="325">
        <v>0</v>
      </c>
      <c r="N109" s="215" t="str">
        <f>+'แผนลงทุน 1ปี '!F107</f>
        <v>เงินบำรุง</v>
      </c>
      <c r="O109" s="215" t="str">
        <f>+'แผนลงทุน 1ปี '!G107</f>
        <v>ครุภัณฑ์</v>
      </c>
      <c r="P109" s="215" t="str">
        <f>+'แผนลงทุน 1ปี '!H107</f>
        <v>M</v>
      </c>
    </row>
    <row r="110" spans="2:16" s="138" customFormat="1" ht="21">
      <c r="B110" s="699">
        <v>103</v>
      </c>
      <c r="C110" s="305" t="s">
        <v>1586</v>
      </c>
      <c r="D110" s="215" t="s">
        <v>2732</v>
      </c>
      <c r="E110" s="219">
        <f>+'แผนลงทุน 1ปี '!C108</f>
        <v>15000</v>
      </c>
      <c r="F110" s="1633">
        <f>+'แผนลงทุน 1ปี '!D108</f>
        <v>2</v>
      </c>
      <c r="G110" s="219">
        <f>+'แผนลงทุน 1ปี '!E108</f>
        <v>30000</v>
      </c>
      <c r="H110" s="324">
        <v>0</v>
      </c>
      <c r="I110" s="325">
        <v>0</v>
      </c>
      <c r="J110" s="324">
        <v>0</v>
      </c>
      <c r="K110" s="325">
        <v>0</v>
      </c>
      <c r="L110" s="325">
        <v>0</v>
      </c>
      <c r="M110" s="325">
        <v>0</v>
      </c>
      <c r="N110" s="215" t="str">
        <f>+'แผนลงทุน 1ปี '!F108</f>
        <v>เงินบำรุง</v>
      </c>
      <c r="O110" s="215" t="str">
        <f>+'แผนลงทุน 1ปี '!G108</f>
        <v>ครุภัณฑ์</v>
      </c>
      <c r="P110" s="215" t="str">
        <f>+'แผนลงทุน 1ปี '!H108</f>
        <v>M</v>
      </c>
    </row>
    <row r="111" spans="2:16" s="138" customFormat="1" ht="21">
      <c r="B111" s="699">
        <v>104</v>
      </c>
      <c r="C111" s="305" t="s">
        <v>1588</v>
      </c>
      <c r="D111" s="215" t="s">
        <v>2732</v>
      </c>
      <c r="E111" s="219">
        <f>+'แผนลงทุน 1ปี '!C109</f>
        <v>7275</v>
      </c>
      <c r="F111" s="1633">
        <f>+'แผนลงทุน 1ปี '!D109</f>
        <v>6</v>
      </c>
      <c r="G111" s="219">
        <f>+'แผนลงทุน 1ปี '!E109</f>
        <v>43650</v>
      </c>
      <c r="H111" s="324">
        <v>0</v>
      </c>
      <c r="I111" s="325">
        <v>0</v>
      </c>
      <c r="J111" s="324">
        <v>0</v>
      </c>
      <c r="K111" s="325">
        <v>0</v>
      </c>
      <c r="L111" s="325">
        <v>0</v>
      </c>
      <c r="M111" s="325">
        <v>0</v>
      </c>
      <c r="N111" s="215" t="str">
        <f>+'แผนลงทุน 1ปี '!F109</f>
        <v>เงินบำรุง</v>
      </c>
      <c r="O111" s="215" t="str">
        <f>+'แผนลงทุน 1ปี '!G109</f>
        <v>ครุภัณฑ์</v>
      </c>
      <c r="P111" s="215" t="str">
        <f>+'แผนลงทุน 1ปี '!H109</f>
        <v>M</v>
      </c>
    </row>
    <row r="112" spans="2:16" s="138" customFormat="1" ht="21">
      <c r="B112" s="699">
        <v>105</v>
      </c>
      <c r="C112" s="305" t="s">
        <v>1589</v>
      </c>
      <c r="D112" s="215" t="s">
        <v>2732</v>
      </c>
      <c r="E112" s="219">
        <f>+'แผนลงทุน 1ปี '!C110</f>
        <v>18000</v>
      </c>
      <c r="F112" s="1633">
        <f>+'แผนลงทุน 1ปี '!D110</f>
        <v>1</v>
      </c>
      <c r="G112" s="219">
        <f>+'แผนลงทุน 1ปี '!E110</f>
        <v>18000</v>
      </c>
      <c r="H112" s="324">
        <v>0</v>
      </c>
      <c r="I112" s="325">
        <v>0</v>
      </c>
      <c r="J112" s="324">
        <v>0</v>
      </c>
      <c r="K112" s="325">
        <v>0</v>
      </c>
      <c r="L112" s="325">
        <v>0</v>
      </c>
      <c r="M112" s="325">
        <v>0</v>
      </c>
      <c r="N112" s="215" t="str">
        <f>+'แผนลงทุน 1ปี '!F110</f>
        <v>เงินบำรุง</v>
      </c>
      <c r="O112" s="215" t="str">
        <f>+'แผนลงทุน 1ปี '!G110</f>
        <v>ครุภัณฑ์</v>
      </c>
      <c r="P112" s="215" t="str">
        <f>+'แผนลงทุน 1ปี '!H110</f>
        <v>M</v>
      </c>
    </row>
    <row r="113" spans="2:16" s="138" customFormat="1" ht="21">
      <c r="B113" s="699">
        <v>106</v>
      </c>
      <c r="C113" s="305" t="s">
        <v>1590</v>
      </c>
      <c r="D113" s="215" t="s">
        <v>2732</v>
      </c>
      <c r="E113" s="219">
        <f>+'แผนลงทุน 1ปี '!C111</f>
        <v>35000</v>
      </c>
      <c r="F113" s="1633">
        <f>+'แผนลงทุน 1ปี '!D111</f>
        <v>1</v>
      </c>
      <c r="G113" s="219">
        <f>+'แผนลงทุน 1ปี '!E111</f>
        <v>35000</v>
      </c>
      <c r="H113" s="324">
        <v>0</v>
      </c>
      <c r="I113" s="325">
        <v>0</v>
      </c>
      <c r="J113" s="324">
        <v>0</v>
      </c>
      <c r="K113" s="325">
        <v>0</v>
      </c>
      <c r="L113" s="325">
        <v>0</v>
      </c>
      <c r="M113" s="325">
        <v>0</v>
      </c>
      <c r="N113" s="215" t="str">
        <f>+'แผนลงทุน 1ปี '!F111</f>
        <v>เงินบำรุง</v>
      </c>
      <c r="O113" s="215" t="str">
        <f>+'แผนลงทุน 1ปี '!G111</f>
        <v>ครุภัณฑ์</v>
      </c>
      <c r="P113" s="215" t="str">
        <f>+'แผนลงทุน 1ปี '!H111</f>
        <v>M</v>
      </c>
    </row>
    <row r="114" spans="2:16" s="138" customFormat="1" ht="21">
      <c r="B114" s="699">
        <v>107</v>
      </c>
      <c r="C114" s="305" t="s">
        <v>1591</v>
      </c>
      <c r="D114" s="215" t="s">
        <v>2732</v>
      </c>
      <c r="E114" s="219">
        <f>+'แผนลงทุน 1ปี '!C112</f>
        <v>35000</v>
      </c>
      <c r="F114" s="1633">
        <f>+'แผนลงทุน 1ปี '!D112</f>
        <v>5</v>
      </c>
      <c r="G114" s="219">
        <f>+'แผนลงทุน 1ปี '!E112</f>
        <v>175000</v>
      </c>
      <c r="H114" s="324">
        <v>0</v>
      </c>
      <c r="I114" s="325">
        <v>0</v>
      </c>
      <c r="J114" s="324">
        <v>0</v>
      </c>
      <c r="K114" s="325">
        <v>0</v>
      </c>
      <c r="L114" s="325">
        <v>0</v>
      </c>
      <c r="M114" s="325">
        <v>0</v>
      </c>
      <c r="N114" s="215" t="str">
        <f>+'แผนลงทุน 1ปี '!F112</f>
        <v>เงินบำรุง</v>
      </c>
      <c r="O114" s="215" t="str">
        <f>+'แผนลงทุน 1ปี '!G112</f>
        <v>ครุภัณฑ์</v>
      </c>
      <c r="P114" s="215" t="str">
        <f>+'แผนลงทุน 1ปี '!H112</f>
        <v>M</v>
      </c>
    </row>
    <row r="115" spans="2:16" s="138" customFormat="1" ht="21">
      <c r="B115" s="699">
        <v>108</v>
      </c>
      <c r="C115" s="305" t="s">
        <v>1593</v>
      </c>
      <c r="D115" s="215" t="s">
        <v>2732</v>
      </c>
      <c r="E115" s="219">
        <f>+'แผนลงทุน 1ปี '!C113</f>
        <v>7566</v>
      </c>
      <c r="F115" s="1633">
        <f>+'แผนลงทุน 1ปี '!D113</f>
        <v>8</v>
      </c>
      <c r="G115" s="219">
        <f>+'แผนลงทุน 1ปี '!E113</f>
        <v>60528</v>
      </c>
      <c r="H115" s="324">
        <v>0</v>
      </c>
      <c r="I115" s="325">
        <v>0</v>
      </c>
      <c r="J115" s="324">
        <v>0</v>
      </c>
      <c r="K115" s="325">
        <v>0</v>
      </c>
      <c r="L115" s="325">
        <v>0</v>
      </c>
      <c r="M115" s="325">
        <v>0</v>
      </c>
      <c r="N115" s="215" t="str">
        <f>+'แผนลงทุน 1ปี '!F113</f>
        <v>เงินบำรุง</v>
      </c>
      <c r="O115" s="215" t="str">
        <f>+'แผนลงทุน 1ปี '!G113</f>
        <v>ครุภัณฑ์</v>
      </c>
      <c r="P115" s="215" t="str">
        <f>+'แผนลงทุน 1ปี '!H113</f>
        <v>M</v>
      </c>
    </row>
    <row r="116" spans="2:16" s="138" customFormat="1" ht="21">
      <c r="B116" s="699">
        <v>109</v>
      </c>
      <c r="C116" s="305" t="s">
        <v>1594</v>
      </c>
      <c r="D116" s="215" t="s">
        <v>2730</v>
      </c>
      <c r="E116" s="219">
        <f>+'แผนลงทุน 1ปี '!C114</f>
        <v>16000</v>
      </c>
      <c r="F116" s="1633">
        <f>+'แผนลงทุน 1ปี '!D114</f>
        <v>2</v>
      </c>
      <c r="G116" s="219">
        <f>+'แผนลงทุน 1ปี '!E114</f>
        <v>32000</v>
      </c>
      <c r="H116" s="324">
        <v>0</v>
      </c>
      <c r="I116" s="325">
        <v>0</v>
      </c>
      <c r="J116" s="324">
        <v>0</v>
      </c>
      <c r="K116" s="325">
        <v>0</v>
      </c>
      <c r="L116" s="325">
        <v>0</v>
      </c>
      <c r="M116" s="325">
        <v>0</v>
      </c>
      <c r="N116" s="215" t="str">
        <f>+'แผนลงทุน 1ปี '!F114</f>
        <v>เงินบำรุง</v>
      </c>
      <c r="O116" s="215" t="str">
        <f>+'แผนลงทุน 1ปี '!G114</f>
        <v>ครุภัณฑ์</v>
      </c>
      <c r="P116" s="215" t="str">
        <f>+'แผนลงทุน 1ปี '!H114</f>
        <v>M</v>
      </c>
    </row>
    <row r="117" spans="2:16" s="138" customFormat="1" ht="21">
      <c r="B117" s="699">
        <v>110</v>
      </c>
      <c r="C117" s="305" t="s">
        <v>1595</v>
      </c>
      <c r="D117" s="215" t="s">
        <v>2730</v>
      </c>
      <c r="E117" s="219">
        <f>+'แผนลงทุน 1ปี '!C115</f>
        <v>28000</v>
      </c>
      <c r="F117" s="1633">
        <f>+'แผนลงทุน 1ปี '!D115</f>
        <v>2</v>
      </c>
      <c r="G117" s="219">
        <f>+'แผนลงทุน 1ปี '!E115</f>
        <v>56000</v>
      </c>
      <c r="H117" s="324">
        <v>0</v>
      </c>
      <c r="I117" s="325">
        <v>0</v>
      </c>
      <c r="J117" s="324">
        <v>0</v>
      </c>
      <c r="K117" s="325">
        <v>0</v>
      </c>
      <c r="L117" s="325">
        <v>0</v>
      </c>
      <c r="M117" s="325">
        <v>0</v>
      </c>
      <c r="N117" s="215" t="str">
        <f>+'แผนลงทุน 1ปี '!F115</f>
        <v>เงินบำรุง</v>
      </c>
      <c r="O117" s="215" t="str">
        <f>+'แผนลงทุน 1ปี '!G115</f>
        <v>ครุภัณฑ์</v>
      </c>
      <c r="P117" s="215" t="str">
        <f>+'แผนลงทุน 1ปี '!H115</f>
        <v>M</v>
      </c>
    </row>
    <row r="118" spans="2:16" s="138" customFormat="1" ht="21">
      <c r="B118" s="699">
        <v>111</v>
      </c>
      <c r="C118" s="305" t="s">
        <v>1596</v>
      </c>
      <c r="D118" s="215" t="s">
        <v>2730</v>
      </c>
      <c r="E118" s="219">
        <f>+'แผนลงทุน 1ปี '!C116</f>
        <v>6300</v>
      </c>
      <c r="F118" s="1633">
        <f>+'แผนลงทุน 1ปี '!D116</f>
        <v>4</v>
      </c>
      <c r="G118" s="219">
        <f>+'แผนลงทุน 1ปี '!E116</f>
        <v>25200</v>
      </c>
      <c r="H118" s="324">
        <v>0</v>
      </c>
      <c r="I118" s="325">
        <v>0</v>
      </c>
      <c r="J118" s="324">
        <v>0</v>
      </c>
      <c r="K118" s="325">
        <v>0</v>
      </c>
      <c r="L118" s="325">
        <v>0</v>
      </c>
      <c r="M118" s="325">
        <v>0</v>
      </c>
      <c r="N118" s="215" t="str">
        <f>+'แผนลงทุน 1ปี '!F116</f>
        <v>เงินบำรุง</v>
      </c>
      <c r="O118" s="215" t="str">
        <f>+'แผนลงทุน 1ปี '!G116</f>
        <v>ครุภัณฑ์</v>
      </c>
      <c r="P118" s="215" t="str">
        <f>+'แผนลงทุน 1ปี '!H116</f>
        <v>M</v>
      </c>
    </row>
    <row r="119" spans="2:16" s="138" customFormat="1" ht="21">
      <c r="B119" s="699">
        <v>112</v>
      </c>
      <c r="C119" s="305" t="s">
        <v>1597</v>
      </c>
      <c r="D119" s="215" t="s">
        <v>2735</v>
      </c>
      <c r="E119" s="219">
        <f>+'แผนลงทุน 1ปี '!C117</f>
        <v>45000</v>
      </c>
      <c r="F119" s="1633">
        <f>+'แผนลงทุน 1ปี '!D117</f>
        <v>2</v>
      </c>
      <c r="G119" s="219">
        <f>+'แผนลงทุน 1ปี '!E117</f>
        <v>90000</v>
      </c>
      <c r="H119" s="324">
        <v>0</v>
      </c>
      <c r="I119" s="325">
        <v>0</v>
      </c>
      <c r="J119" s="324">
        <v>0</v>
      </c>
      <c r="K119" s="325">
        <v>0</v>
      </c>
      <c r="L119" s="325">
        <v>0</v>
      </c>
      <c r="M119" s="325">
        <v>0</v>
      </c>
      <c r="N119" s="215" t="str">
        <f>+'แผนลงทุน 1ปี '!F117</f>
        <v>เงินบำรุง</v>
      </c>
      <c r="O119" s="215" t="str">
        <f>+'แผนลงทุน 1ปี '!G117</f>
        <v>ครุภัณฑ์</v>
      </c>
      <c r="P119" s="215" t="str">
        <f>+'แผนลงทุน 1ปี '!H117</f>
        <v>M</v>
      </c>
    </row>
    <row r="120" spans="2:16" s="138" customFormat="1" ht="21">
      <c r="B120" s="699">
        <v>113</v>
      </c>
      <c r="C120" s="305" t="s">
        <v>1598</v>
      </c>
      <c r="D120" s="215" t="s">
        <v>2735</v>
      </c>
      <c r="E120" s="219">
        <f>+'แผนลงทุน 1ปี '!C118</f>
        <v>260000</v>
      </c>
      <c r="F120" s="1633">
        <f>+'แผนลงทุน 1ปี '!D118</f>
        <v>1</v>
      </c>
      <c r="G120" s="219">
        <f>+'แผนลงทุน 1ปี '!E118</f>
        <v>260000</v>
      </c>
      <c r="H120" s="324">
        <v>0</v>
      </c>
      <c r="I120" s="325">
        <v>0</v>
      </c>
      <c r="J120" s="324">
        <v>0</v>
      </c>
      <c r="K120" s="325">
        <v>0</v>
      </c>
      <c r="L120" s="325">
        <v>0</v>
      </c>
      <c r="M120" s="325">
        <v>0</v>
      </c>
      <c r="N120" s="215" t="str">
        <f>+'แผนลงทุน 1ปี '!F118</f>
        <v>เงินบำรุง</v>
      </c>
      <c r="O120" s="215" t="str">
        <f>+'แผนลงทุน 1ปี '!G118</f>
        <v>ครุภัณฑ์</v>
      </c>
      <c r="P120" s="215" t="str">
        <f>+'แผนลงทุน 1ปี '!H118</f>
        <v>M</v>
      </c>
    </row>
    <row r="121" spans="2:16" s="138" customFormat="1" ht="21">
      <c r="B121" s="699">
        <v>114</v>
      </c>
      <c r="C121" s="305" t="s">
        <v>1599</v>
      </c>
      <c r="D121" s="215" t="s">
        <v>2736</v>
      </c>
      <c r="E121" s="219">
        <f>+'แผนลงทุน 1ปี '!C119</f>
        <v>110000</v>
      </c>
      <c r="F121" s="1633">
        <f>+'แผนลงทุน 1ปี '!D119</f>
        <v>18</v>
      </c>
      <c r="G121" s="219">
        <f>+'แผนลงทุน 1ปี '!E119</f>
        <v>1980000</v>
      </c>
      <c r="H121" s="324">
        <v>0</v>
      </c>
      <c r="I121" s="325">
        <v>0</v>
      </c>
      <c r="J121" s="324">
        <v>0</v>
      </c>
      <c r="K121" s="325">
        <v>0</v>
      </c>
      <c r="L121" s="325">
        <v>0</v>
      </c>
      <c r="M121" s="325">
        <v>0</v>
      </c>
      <c r="N121" s="215" t="str">
        <f>+'แผนลงทุน 1ปี '!F119</f>
        <v>เงินบำรุง</v>
      </c>
      <c r="O121" s="215" t="str">
        <f>+'แผนลงทุน 1ปี '!G119</f>
        <v>ครุภัณฑ์</v>
      </c>
      <c r="P121" s="215" t="str">
        <f>+'แผนลงทุน 1ปี '!H119</f>
        <v>M</v>
      </c>
    </row>
    <row r="122" spans="2:16" s="138" customFormat="1" ht="21">
      <c r="B122" s="699">
        <v>115</v>
      </c>
      <c r="C122" s="305" t="s">
        <v>1600</v>
      </c>
      <c r="D122" s="215" t="s">
        <v>2731</v>
      </c>
      <c r="E122" s="219">
        <f>+'แผนลงทุน 1ปี '!C120</f>
        <v>2619</v>
      </c>
      <c r="F122" s="1633">
        <f>+'แผนลงทุน 1ปี '!D120</f>
        <v>7</v>
      </c>
      <c r="G122" s="219">
        <f>+'แผนลงทุน 1ปี '!E120</f>
        <v>18333</v>
      </c>
      <c r="H122" s="324">
        <v>0</v>
      </c>
      <c r="I122" s="325">
        <v>0</v>
      </c>
      <c r="J122" s="324">
        <v>0</v>
      </c>
      <c r="K122" s="325">
        <v>0</v>
      </c>
      <c r="L122" s="325">
        <v>0</v>
      </c>
      <c r="M122" s="325">
        <v>0</v>
      </c>
      <c r="N122" s="215" t="str">
        <f>+'แผนลงทุน 1ปี '!F120</f>
        <v>เงินบำรุง</v>
      </c>
      <c r="O122" s="215" t="str">
        <f>+'แผนลงทุน 1ปี '!G120</f>
        <v>ครุภัณฑ์</v>
      </c>
      <c r="P122" s="215" t="str">
        <f>+'แผนลงทุน 1ปี '!H120</f>
        <v>M</v>
      </c>
    </row>
    <row r="123" spans="2:16" s="138" customFormat="1" ht="21">
      <c r="B123" s="699">
        <v>116</v>
      </c>
      <c r="C123" s="305" t="s">
        <v>1603</v>
      </c>
      <c r="D123" s="215" t="s">
        <v>2728</v>
      </c>
      <c r="E123" s="219">
        <f>+'แผนลงทุน 1ปี '!C121</f>
        <v>3910850</v>
      </c>
      <c r="F123" s="1633">
        <f>+'แผนลงทุน 1ปี '!D121</f>
        <v>1</v>
      </c>
      <c r="G123" s="219">
        <f>+'แผนลงทุน 1ปี '!E121</f>
        <v>3910850</v>
      </c>
      <c r="H123" s="324">
        <v>0</v>
      </c>
      <c r="I123" s="325">
        <v>0</v>
      </c>
      <c r="J123" s="324">
        <v>0</v>
      </c>
      <c r="K123" s="325">
        <v>0</v>
      </c>
      <c r="L123" s="325">
        <v>0</v>
      </c>
      <c r="M123" s="325">
        <v>0</v>
      </c>
      <c r="N123" s="215" t="str">
        <f>+'แผนลงทุน 1ปี '!F121</f>
        <v>เงินบำรุง</v>
      </c>
      <c r="O123" s="215" t="str">
        <f>+'แผนลงทุน 1ปี '!G121</f>
        <v>ครุภัณฑ์</v>
      </c>
      <c r="P123" s="215" t="str">
        <f>+'แผนลงทุน 1ปี '!H121</f>
        <v>M</v>
      </c>
    </row>
    <row r="124" spans="2:16" s="138" customFormat="1" ht="21">
      <c r="B124" s="699">
        <v>117</v>
      </c>
      <c r="C124" s="297" t="s">
        <v>1604</v>
      </c>
      <c r="D124" s="215" t="s">
        <v>2727</v>
      </c>
      <c r="E124" s="219">
        <f>+'แผนลงทุน 1ปี '!C122</f>
        <v>99000</v>
      </c>
      <c r="F124" s="1633">
        <f>+'แผนลงทุน 1ปี '!D122</f>
        <v>1</v>
      </c>
      <c r="G124" s="219">
        <f>+'แผนลงทุน 1ปี '!E122</f>
        <v>99000</v>
      </c>
      <c r="H124" s="324">
        <v>0</v>
      </c>
      <c r="I124" s="325">
        <v>0</v>
      </c>
      <c r="J124" s="324">
        <v>0</v>
      </c>
      <c r="K124" s="325">
        <v>0</v>
      </c>
      <c r="L124" s="325">
        <v>0</v>
      </c>
      <c r="M124" s="325">
        <v>0</v>
      </c>
      <c r="N124" s="215" t="str">
        <f>+'แผนลงทุน 1ปี '!F122</f>
        <v>เงินบำรุง</v>
      </c>
      <c r="O124" s="215" t="str">
        <f>+'แผนลงทุน 1ปี '!G122</f>
        <v>ครุภัณฑ์</v>
      </c>
      <c r="P124" s="215" t="str">
        <f>+'แผนลงทุน 1ปี '!H122</f>
        <v>M</v>
      </c>
    </row>
    <row r="125" spans="2:16" s="138" customFormat="1" ht="21">
      <c r="B125" s="699">
        <v>118</v>
      </c>
      <c r="C125" s="297" t="s">
        <v>1605</v>
      </c>
      <c r="D125" s="215" t="s">
        <v>2733</v>
      </c>
      <c r="E125" s="219">
        <f>+'แผนลงทุน 1ปี '!C123</f>
        <v>15000</v>
      </c>
      <c r="F125" s="1633">
        <f>+'แผนลงทุน 1ปี '!D123</f>
        <v>6</v>
      </c>
      <c r="G125" s="219">
        <f>+'แผนลงทุน 1ปี '!E123</f>
        <v>90000</v>
      </c>
      <c r="H125" s="324">
        <v>0</v>
      </c>
      <c r="I125" s="325">
        <v>0</v>
      </c>
      <c r="J125" s="324">
        <v>0</v>
      </c>
      <c r="K125" s="325">
        <v>0</v>
      </c>
      <c r="L125" s="325">
        <v>0</v>
      </c>
      <c r="M125" s="325">
        <v>0</v>
      </c>
      <c r="N125" s="215" t="str">
        <f>+'แผนลงทุน 1ปี '!F123</f>
        <v>เงินบำรุง</v>
      </c>
      <c r="O125" s="215" t="str">
        <f>+'แผนลงทุน 1ปี '!G123</f>
        <v>ครุภัณฑ์</v>
      </c>
      <c r="P125" s="215" t="str">
        <f>+'แผนลงทุน 1ปี '!H123</f>
        <v>M</v>
      </c>
    </row>
    <row r="126" spans="2:16" s="138" customFormat="1" ht="21">
      <c r="B126" s="699">
        <v>119</v>
      </c>
      <c r="C126" s="297" t="s">
        <v>1606</v>
      </c>
      <c r="D126" s="215" t="s">
        <v>2732</v>
      </c>
      <c r="E126" s="219">
        <f>+'แผนลงทุน 1ปี '!C124</f>
        <v>24600</v>
      </c>
      <c r="F126" s="1633">
        <f>+'แผนลงทุน 1ปี '!D124</f>
        <v>1</v>
      </c>
      <c r="G126" s="219">
        <f>+'แผนลงทุน 1ปี '!E124</f>
        <v>24600</v>
      </c>
      <c r="H126" s="324">
        <v>0</v>
      </c>
      <c r="I126" s="325">
        <v>0</v>
      </c>
      <c r="J126" s="324">
        <v>0</v>
      </c>
      <c r="K126" s="325">
        <v>0</v>
      </c>
      <c r="L126" s="325">
        <v>0</v>
      </c>
      <c r="M126" s="325">
        <v>0</v>
      </c>
      <c r="N126" s="215" t="str">
        <f>+'แผนลงทุน 1ปี '!F124</f>
        <v>เงินบำรุง</v>
      </c>
      <c r="O126" s="215" t="str">
        <f>+'แผนลงทุน 1ปี '!G124</f>
        <v>ครุภัณฑ์</v>
      </c>
      <c r="P126" s="215" t="str">
        <f>+'แผนลงทุน 1ปี '!H124</f>
        <v>M</v>
      </c>
    </row>
    <row r="127" spans="2:16" s="138" customFormat="1" ht="21">
      <c r="B127" s="699">
        <v>120</v>
      </c>
      <c r="C127" s="297" t="s">
        <v>1607</v>
      </c>
      <c r="D127" s="215" t="s">
        <v>2732</v>
      </c>
      <c r="E127" s="219">
        <f>+'แผนลงทุน 1ปี '!C125</f>
        <v>8600</v>
      </c>
      <c r="F127" s="1633">
        <f>+'แผนลงทุน 1ปี '!D125</f>
        <v>1</v>
      </c>
      <c r="G127" s="219">
        <f>+'แผนลงทุน 1ปี '!E125</f>
        <v>8600</v>
      </c>
      <c r="H127" s="324">
        <v>0</v>
      </c>
      <c r="I127" s="325">
        <v>0</v>
      </c>
      <c r="J127" s="324">
        <v>0</v>
      </c>
      <c r="K127" s="325">
        <v>0</v>
      </c>
      <c r="L127" s="325">
        <v>0</v>
      </c>
      <c r="M127" s="325">
        <v>0</v>
      </c>
      <c r="N127" s="215" t="str">
        <f>+'แผนลงทุน 1ปี '!F125</f>
        <v>เงินบำรุง</v>
      </c>
      <c r="O127" s="215" t="str">
        <f>+'แผนลงทุน 1ปี '!G125</f>
        <v>ครุภัณฑ์</v>
      </c>
      <c r="P127" s="215" t="str">
        <f>+'แผนลงทุน 1ปี '!H125</f>
        <v>M</v>
      </c>
    </row>
    <row r="128" spans="2:16" s="138" customFormat="1" ht="21">
      <c r="B128" s="699">
        <v>121</v>
      </c>
      <c r="C128" s="297" t="s">
        <v>1608</v>
      </c>
      <c r="D128" s="215" t="s">
        <v>2733</v>
      </c>
      <c r="E128" s="219">
        <f>+'แผนลงทุน 1ปี '!C126</f>
        <v>6000</v>
      </c>
      <c r="F128" s="1633">
        <f>+'แผนลงทุน 1ปี '!D126</f>
        <v>3</v>
      </c>
      <c r="G128" s="219">
        <f>+'แผนลงทุน 1ปี '!E126</f>
        <v>18000</v>
      </c>
      <c r="H128" s="324">
        <v>0</v>
      </c>
      <c r="I128" s="325">
        <v>0</v>
      </c>
      <c r="J128" s="324">
        <v>0</v>
      </c>
      <c r="K128" s="325">
        <v>0</v>
      </c>
      <c r="L128" s="325">
        <v>0</v>
      </c>
      <c r="M128" s="325">
        <v>0</v>
      </c>
      <c r="N128" s="215" t="str">
        <f>+'แผนลงทุน 1ปี '!F126</f>
        <v>เงินบำรุง</v>
      </c>
      <c r="O128" s="215" t="str">
        <f>+'แผนลงทุน 1ปี '!G126</f>
        <v>ครุภัณฑ์</v>
      </c>
      <c r="P128" s="215" t="str">
        <f>+'แผนลงทุน 1ปี '!H126</f>
        <v>M</v>
      </c>
    </row>
    <row r="129" spans="2:16" s="138" customFormat="1" ht="21">
      <c r="B129" s="699">
        <v>122</v>
      </c>
      <c r="C129" s="297" t="s">
        <v>1609</v>
      </c>
      <c r="D129" s="215" t="s">
        <v>2733</v>
      </c>
      <c r="E129" s="219">
        <f>+'แผนลงทุน 1ปี '!C127</f>
        <v>2000</v>
      </c>
      <c r="F129" s="1633">
        <f>+'แผนลงทุน 1ปี '!D127</f>
        <v>8</v>
      </c>
      <c r="G129" s="219">
        <f>+'แผนลงทุน 1ปี '!E127</f>
        <v>16000</v>
      </c>
      <c r="H129" s="324">
        <v>0</v>
      </c>
      <c r="I129" s="325">
        <v>0</v>
      </c>
      <c r="J129" s="324">
        <v>0</v>
      </c>
      <c r="K129" s="325">
        <v>0</v>
      </c>
      <c r="L129" s="325">
        <v>0</v>
      </c>
      <c r="M129" s="325">
        <v>0</v>
      </c>
      <c r="N129" s="215" t="str">
        <f>+'แผนลงทุน 1ปี '!F127</f>
        <v>เงินบำรุง</v>
      </c>
      <c r="O129" s="215" t="str">
        <f>+'แผนลงทุน 1ปี '!G127</f>
        <v>ครุภัณฑ์</v>
      </c>
      <c r="P129" s="215" t="str">
        <f>+'แผนลงทุน 1ปี '!H127</f>
        <v>M</v>
      </c>
    </row>
    <row r="130" spans="2:16" s="138" customFormat="1" ht="21">
      <c r="B130" s="699">
        <v>123</v>
      </c>
      <c r="C130" s="297" t="s">
        <v>1577</v>
      </c>
      <c r="D130" s="215" t="s">
        <v>2727</v>
      </c>
      <c r="E130" s="219">
        <f>+'แผนลงทุน 1ปี '!C128</f>
        <v>500000</v>
      </c>
      <c r="F130" s="1633">
        <f>+'แผนลงทุน 1ปี '!D128</f>
        <v>1</v>
      </c>
      <c r="G130" s="219">
        <f>+'แผนลงทุน 1ปี '!E128</f>
        <v>500000</v>
      </c>
      <c r="H130" s="324">
        <v>0</v>
      </c>
      <c r="I130" s="325">
        <v>0</v>
      </c>
      <c r="J130" s="324">
        <v>0</v>
      </c>
      <c r="K130" s="325">
        <v>0</v>
      </c>
      <c r="L130" s="325">
        <v>0</v>
      </c>
      <c r="M130" s="325">
        <v>0</v>
      </c>
      <c r="N130" s="215" t="str">
        <f>+'แผนลงทุน 1ปี '!F128</f>
        <v>เงินบำรุง</v>
      </c>
      <c r="O130" s="215" t="str">
        <f>+'แผนลงทุน 1ปี '!G128</f>
        <v>ครุภัณฑ์</v>
      </c>
      <c r="P130" s="215" t="str">
        <f>+'แผนลงทุน 1ปี '!H128</f>
        <v>M</v>
      </c>
    </row>
    <row r="131" spans="2:16" s="138" customFormat="1" ht="21">
      <c r="B131" s="699">
        <v>124</v>
      </c>
      <c r="C131" s="478" t="s">
        <v>1745</v>
      </c>
      <c r="D131" s="215" t="s">
        <v>2727</v>
      </c>
      <c r="E131" s="219">
        <f>+'แผนลงทุน 1ปี '!C129</f>
        <v>3800000</v>
      </c>
      <c r="F131" s="1633">
        <f>+'แผนลงทุน 1ปี '!D129</f>
        <v>1</v>
      </c>
      <c r="G131" s="219">
        <f>+'แผนลงทุน 1ปี '!E129</f>
        <v>3800000</v>
      </c>
      <c r="H131" s="324">
        <v>0</v>
      </c>
      <c r="I131" s="325">
        <v>0</v>
      </c>
      <c r="J131" s="324">
        <v>0</v>
      </c>
      <c r="K131" s="325">
        <v>0</v>
      </c>
      <c r="L131" s="325">
        <v>0</v>
      </c>
      <c r="M131" s="325">
        <v>0</v>
      </c>
      <c r="N131" s="215" t="str">
        <f>+'แผนลงทุน 1ปี '!F129</f>
        <v>เงินบำรุง</v>
      </c>
      <c r="O131" s="215" t="str">
        <f>+'แผนลงทุน 1ปี '!G129</f>
        <v>ครุภัณฑ์</v>
      </c>
      <c r="P131" s="215" t="str">
        <f>+'แผนลงทุน 1ปี '!H129</f>
        <v>M</v>
      </c>
    </row>
    <row r="132" spans="2:16" s="138" customFormat="1" ht="21">
      <c r="B132" s="699">
        <v>125</v>
      </c>
      <c r="C132" s="478" t="s">
        <v>1746</v>
      </c>
      <c r="D132" s="215" t="s">
        <v>2728</v>
      </c>
      <c r="E132" s="219">
        <f>+'แผนลงทุน 1ปี '!C130</f>
        <v>202658</v>
      </c>
      <c r="F132" s="1633">
        <f>+'แผนลงทุน 1ปี '!D130</f>
        <v>1</v>
      </c>
      <c r="G132" s="219">
        <f>+'แผนลงทุน 1ปี '!E130</f>
        <v>202658</v>
      </c>
      <c r="H132" s="324">
        <v>0</v>
      </c>
      <c r="I132" s="325">
        <v>0</v>
      </c>
      <c r="J132" s="324">
        <v>0</v>
      </c>
      <c r="K132" s="325">
        <v>0</v>
      </c>
      <c r="L132" s="325">
        <v>0</v>
      </c>
      <c r="M132" s="325">
        <v>0</v>
      </c>
      <c r="N132" s="215" t="str">
        <f>+'แผนลงทุน 1ปี '!F130</f>
        <v>เงินบำรุง</v>
      </c>
      <c r="O132" s="215" t="str">
        <f>+'แผนลงทุน 1ปี '!G130</f>
        <v>ครุภัณฑ์</v>
      </c>
      <c r="P132" s="215" t="str">
        <f>+'แผนลงทุน 1ปี '!H130</f>
        <v>M</v>
      </c>
    </row>
    <row r="133" spans="2:16" s="138" customFormat="1" ht="21">
      <c r="B133" s="699">
        <v>126</v>
      </c>
      <c r="C133" s="478" t="s">
        <v>200</v>
      </c>
      <c r="D133" s="215" t="s">
        <v>2727</v>
      </c>
      <c r="E133" s="219">
        <f>+'แผนลงทุน 1ปี '!C131</f>
        <v>120000</v>
      </c>
      <c r="F133" s="1633">
        <f>+'แผนลงทุน 1ปี '!D131</f>
        <v>1</v>
      </c>
      <c r="G133" s="219">
        <f>+'แผนลงทุน 1ปี '!E131</f>
        <v>120000</v>
      </c>
      <c r="H133" s="324">
        <v>0</v>
      </c>
      <c r="I133" s="325">
        <v>0</v>
      </c>
      <c r="J133" s="324">
        <v>0</v>
      </c>
      <c r="K133" s="325">
        <v>0</v>
      </c>
      <c r="L133" s="325">
        <v>0</v>
      </c>
      <c r="M133" s="325">
        <v>0</v>
      </c>
      <c r="N133" s="215" t="str">
        <f>+'แผนลงทุน 1ปี '!F131</f>
        <v>เงินบำรุง</v>
      </c>
      <c r="O133" s="215" t="str">
        <f>+'แผนลงทุน 1ปี '!G131</f>
        <v>ครุภัณฑ์</v>
      </c>
      <c r="P133" s="215" t="str">
        <f>+'แผนลงทุน 1ปี '!H131</f>
        <v>M</v>
      </c>
    </row>
    <row r="134" spans="2:16" s="138" customFormat="1" ht="21">
      <c r="B134" s="699">
        <v>127</v>
      </c>
      <c r="C134" s="478" t="s">
        <v>1750</v>
      </c>
      <c r="D134" s="215" t="s">
        <v>2727</v>
      </c>
      <c r="E134" s="219">
        <f>+'แผนลงทุน 1ปี '!C132</f>
        <v>160000</v>
      </c>
      <c r="F134" s="1633">
        <f>+'แผนลงทุน 1ปี '!D132</f>
        <v>2</v>
      </c>
      <c r="G134" s="219">
        <f>+'แผนลงทุน 1ปี '!E132</f>
        <v>320000</v>
      </c>
      <c r="H134" s="324">
        <v>0</v>
      </c>
      <c r="I134" s="325">
        <v>0</v>
      </c>
      <c r="J134" s="324">
        <v>0</v>
      </c>
      <c r="K134" s="325">
        <v>0</v>
      </c>
      <c r="L134" s="325">
        <v>0</v>
      </c>
      <c r="M134" s="325">
        <v>0</v>
      </c>
      <c r="N134" s="215" t="str">
        <f>+'แผนลงทุน 1ปี '!F132</f>
        <v>เงินบำรุง</v>
      </c>
      <c r="O134" s="215" t="str">
        <f>+'แผนลงทุน 1ปี '!G132</f>
        <v>ครุภัณฑ์</v>
      </c>
      <c r="P134" s="215" t="str">
        <f>+'แผนลงทุน 1ปี '!H132</f>
        <v>M</v>
      </c>
    </row>
    <row r="135" spans="2:16" s="138" customFormat="1" ht="21">
      <c r="B135" s="699">
        <v>128</v>
      </c>
      <c r="C135" s="478" t="s">
        <v>1755</v>
      </c>
      <c r="D135" s="215" t="s">
        <v>2734</v>
      </c>
      <c r="E135" s="219">
        <f>+'แผนลงทุน 1ปี '!C133</f>
        <v>15000</v>
      </c>
      <c r="F135" s="1633">
        <f>+'แผนลงทุน 1ปี '!D133</f>
        <v>1</v>
      </c>
      <c r="G135" s="219">
        <f>+'แผนลงทุน 1ปี '!E133</f>
        <v>15000</v>
      </c>
      <c r="H135" s="324">
        <v>0</v>
      </c>
      <c r="I135" s="325">
        <v>0</v>
      </c>
      <c r="J135" s="324">
        <v>0</v>
      </c>
      <c r="K135" s="325">
        <v>0</v>
      </c>
      <c r="L135" s="325">
        <v>0</v>
      </c>
      <c r="M135" s="325">
        <v>0</v>
      </c>
      <c r="N135" s="215" t="str">
        <f>+'แผนลงทุน 1ปี '!F133</f>
        <v>เงินบำรุง</v>
      </c>
      <c r="O135" s="215" t="str">
        <f>+'แผนลงทุน 1ปี '!G133</f>
        <v>ครุภัณฑ์</v>
      </c>
      <c r="P135" s="215" t="str">
        <f>+'แผนลงทุน 1ปี '!H133</f>
        <v>M</v>
      </c>
    </row>
    <row r="136" spans="2:16" s="138" customFormat="1" ht="21">
      <c r="B136" s="699">
        <v>129</v>
      </c>
      <c r="C136" s="478" t="s">
        <v>1756</v>
      </c>
      <c r="D136" s="215" t="s">
        <v>2733</v>
      </c>
      <c r="E136" s="219">
        <f>+'แผนลงทุน 1ปี '!C134</f>
        <v>30000</v>
      </c>
      <c r="F136" s="1633">
        <f>+'แผนลงทุน 1ปี '!D134</f>
        <v>1</v>
      </c>
      <c r="G136" s="219">
        <f>+'แผนลงทุน 1ปี '!E134</f>
        <v>30000</v>
      </c>
      <c r="H136" s="324">
        <v>0</v>
      </c>
      <c r="I136" s="325">
        <v>0</v>
      </c>
      <c r="J136" s="324">
        <v>0</v>
      </c>
      <c r="K136" s="325">
        <v>0</v>
      </c>
      <c r="L136" s="325">
        <v>0</v>
      </c>
      <c r="M136" s="325">
        <v>0</v>
      </c>
      <c r="N136" s="215" t="str">
        <f>+'แผนลงทุน 1ปี '!F134</f>
        <v>เงินบำรุง</v>
      </c>
      <c r="O136" s="215" t="str">
        <f>+'แผนลงทุน 1ปี '!G134</f>
        <v>ครุภัณฑ์</v>
      </c>
      <c r="P136" s="215" t="str">
        <f>+'แผนลงทุน 1ปี '!H134</f>
        <v>M</v>
      </c>
    </row>
    <row r="137" spans="2:16" s="138" customFormat="1" ht="21">
      <c r="B137" s="699">
        <v>130</v>
      </c>
      <c r="C137" s="478" t="s">
        <v>1861</v>
      </c>
      <c r="D137" s="215" t="s">
        <v>2727</v>
      </c>
      <c r="E137" s="219">
        <f>+'แผนลงทุน 1ปี '!C135</f>
        <v>40000</v>
      </c>
      <c r="F137" s="1633">
        <f>+'แผนลงทุน 1ปี '!D135</f>
        <v>2</v>
      </c>
      <c r="G137" s="219">
        <f>+'แผนลงทุน 1ปี '!E135</f>
        <v>80000</v>
      </c>
      <c r="H137" s="324">
        <v>0</v>
      </c>
      <c r="I137" s="325">
        <v>0</v>
      </c>
      <c r="J137" s="324">
        <v>0</v>
      </c>
      <c r="K137" s="325">
        <v>0</v>
      </c>
      <c r="L137" s="325">
        <v>0</v>
      </c>
      <c r="M137" s="325">
        <v>0</v>
      </c>
      <c r="N137" s="215" t="str">
        <f>+'แผนลงทุน 1ปี '!F135</f>
        <v>เงินบำรุง</v>
      </c>
      <c r="O137" s="215" t="str">
        <f>+'แผนลงทุน 1ปี '!G135</f>
        <v>ครุภัณฑ์</v>
      </c>
      <c r="P137" s="215" t="str">
        <f>+'แผนลงทุน 1ปี '!H135</f>
        <v>M</v>
      </c>
    </row>
    <row r="138" spans="2:16" s="138" customFormat="1" ht="21">
      <c r="B138" s="699">
        <v>131</v>
      </c>
      <c r="C138" s="478" t="s">
        <v>1759</v>
      </c>
      <c r="D138" s="215" t="s">
        <v>2735</v>
      </c>
      <c r="E138" s="219">
        <f>+'แผนลงทุน 1ปี '!C136</f>
        <v>260000</v>
      </c>
      <c r="F138" s="1633">
        <f>+'แผนลงทุน 1ปี '!D136</f>
        <v>2</v>
      </c>
      <c r="G138" s="219">
        <f>+'แผนลงทุน 1ปี '!E136</f>
        <v>520000</v>
      </c>
      <c r="H138" s="324">
        <v>0</v>
      </c>
      <c r="I138" s="325">
        <v>0</v>
      </c>
      <c r="J138" s="324">
        <v>0</v>
      </c>
      <c r="K138" s="325">
        <v>0</v>
      </c>
      <c r="L138" s="325">
        <v>0</v>
      </c>
      <c r="M138" s="325">
        <v>0</v>
      </c>
      <c r="N138" s="215" t="str">
        <f>+'แผนลงทุน 1ปี '!F136</f>
        <v>เงินบำรุง</v>
      </c>
      <c r="O138" s="215" t="str">
        <f>+'แผนลงทุน 1ปี '!G136</f>
        <v>ครุภัณฑ์</v>
      </c>
      <c r="P138" s="215" t="str">
        <f>+'แผนลงทุน 1ปี '!H136</f>
        <v>M</v>
      </c>
    </row>
    <row r="139" spans="2:16" s="138" customFormat="1" ht="21">
      <c r="B139" s="699">
        <v>132</v>
      </c>
      <c r="C139" s="478" t="s">
        <v>1760</v>
      </c>
      <c r="D139" s="215" t="s">
        <v>2735</v>
      </c>
      <c r="E139" s="219">
        <f>+'แผนลงทุน 1ปี '!C137</f>
        <v>45000</v>
      </c>
      <c r="F139" s="1633">
        <f>+'แผนลงทุน 1ปี '!D137</f>
        <v>1</v>
      </c>
      <c r="G139" s="219">
        <f>+'แผนลงทุน 1ปี '!E137</f>
        <v>45000</v>
      </c>
      <c r="H139" s="324">
        <v>0</v>
      </c>
      <c r="I139" s="325">
        <v>0</v>
      </c>
      <c r="J139" s="324">
        <v>0</v>
      </c>
      <c r="K139" s="325">
        <v>0</v>
      </c>
      <c r="L139" s="325">
        <v>0</v>
      </c>
      <c r="M139" s="325">
        <v>0</v>
      </c>
      <c r="N139" s="215" t="str">
        <f>+'แผนลงทุน 1ปี '!F137</f>
        <v>เงินบำรุง</v>
      </c>
      <c r="O139" s="215" t="str">
        <f>+'แผนลงทุน 1ปี '!G137</f>
        <v>ครุภัณฑ์</v>
      </c>
      <c r="P139" s="215" t="str">
        <f>+'แผนลงทุน 1ปี '!H137</f>
        <v>M</v>
      </c>
    </row>
    <row r="140" spans="2:16" s="138" customFormat="1" ht="21">
      <c r="B140" s="699">
        <v>133</v>
      </c>
      <c r="C140" s="478" t="s">
        <v>803</v>
      </c>
      <c r="D140" s="215" t="s">
        <v>2727</v>
      </c>
      <c r="E140" s="219">
        <f>+'แผนลงทุน 1ปี '!C138</f>
        <v>305000</v>
      </c>
      <c r="F140" s="1633">
        <f>+'แผนลงทุน 1ปี '!D138</f>
        <v>1</v>
      </c>
      <c r="G140" s="219">
        <f>+'แผนลงทุน 1ปี '!E138</f>
        <v>305000</v>
      </c>
      <c r="H140" s="324">
        <v>0</v>
      </c>
      <c r="I140" s="325">
        <v>0</v>
      </c>
      <c r="J140" s="324">
        <v>0</v>
      </c>
      <c r="K140" s="325">
        <v>0</v>
      </c>
      <c r="L140" s="325">
        <v>0</v>
      </c>
      <c r="M140" s="325">
        <v>0</v>
      </c>
      <c r="N140" s="215" t="str">
        <f>+'แผนลงทุน 1ปี '!F138</f>
        <v>เงินบำรุง</v>
      </c>
      <c r="O140" s="215" t="str">
        <f>+'แผนลงทุน 1ปี '!G138</f>
        <v>ครุภัณฑ์</v>
      </c>
      <c r="P140" s="215" t="str">
        <f>+'แผนลงทุน 1ปี '!H138</f>
        <v>M</v>
      </c>
    </row>
    <row r="141" spans="2:16" s="138" customFormat="1" ht="21">
      <c r="B141" s="699">
        <v>134</v>
      </c>
      <c r="C141" s="478" t="s">
        <v>1762</v>
      </c>
      <c r="D141" s="215" t="s">
        <v>2733</v>
      </c>
      <c r="E141" s="219">
        <f>+'แผนลงทุน 1ปี '!C139</f>
        <v>3638</v>
      </c>
      <c r="F141" s="1633">
        <f>+'แผนลงทุน 1ปี '!D139</f>
        <v>7</v>
      </c>
      <c r="G141" s="219">
        <f>+'แผนลงทุน 1ปี '!E139</f>
        <v>25466</v>
      </c>
      <c r="H141" s="324">
        <v>0</v>
      </c>
      <c r="I141" s="325">
        <v>0</v>
      </c>
      <c r="J141" s="324">
        <v>0</v>
      </c>
      <c r="K141" s="325">
        <v>0</v>
      </c>
      <c r="L141" s="325">
        <v>0</v>
      </c>
      <c r="M141" s="325">
        <v>0</v>
      </c>
      <c r="N141" s="215" t="str">
        <f>+'แผนลงทุน 1ปี '!F139</f>
        <v>เงินบำรุง</v>
      </c>
      <c r="O141" s="215" t="str">
        <f>+'แผนลงทุน 1ปี '!G139</f>
        <v>ครุภัณฑ์</v>
      </c>
      <c r="P141" s="215" t="str">
        <f>+'แผนลงทุน 1ปี '!H139</f>
        <v>M</v>
      </c>
    </row>
    <row r="142" spans="2:16" s="138" customFormat="1" ht="21">
      <c r="B142" s="699">
        <v>135</v>
      </c>
      <c r="C142" s="478" t="s">
        <v>556</v>
      </c>
      <c r="D142" s="215" t="s">
        <v>2727</v>
      </c>
      <c r="E142" s="219">
        <f>+'แผนลงทุน 1ปี '!C140</f>
        <v>150000</v>
      </c>
      <c r="F142" s="1633">
        <f>+'แผนลงทุน 1ปี '!D140</f>
        <v>3</v>
      </c>
      <c r="G142" s="219">
        <f>+'แผนลงทุน 1ปี '!E140</f>
        <v>450000</v>
      </c>
      <c r="H142" s="324">
        <v>0</v>
      </c>
      <c r="I142" s="325">
        <v>0</v>
      </c>
      <c r="J142" s="324">
        <v>0</v>
      </c>
      <c r="K142" s="325">
        <v>0</v>
      </c>
      <c r="L142" s="325">
        <v>0</v>
      </c>
      <c r="M142" s="325">
        <v>0</v>
      </c>
      <c r="N142" s="215" t="str">
        <f>+'แผนลงทุน 1ปี '!F140</f>
        <v>เงินบำรุง</v>
      </c>
      <c r="O142" s="215" t="str">
        <f>+'แผนลงทุน 1ปี '!G140</f>
        <v>ครุภัณฑ์</v>
      </c>
      <c r="P142" s="215" t="str">
        <f>+'แผนลงทุน 1ปี '!H140</f>
        <v>M</v>
      </c>
    </row>
    <row r="143" spans="2:16" s="138" customFormat="1" ht="42">
      <c r="B143" s="699">
        <v>136</v>
      </c>
      <c r="C143" s="391" t="s">
        <v>2602</v>
      </c>
      <c r="D143" s="215" t="s">
        <v>2727</v>
      </c>
      <c r="E143" s="219">
        <f>+'แผนลงทุน 1ปี '!C141</f>
        <v>39000</v>
      </c>
      <c r="F143" s="1633">
        <f>+'แผนลงทุน 1ปี '!D141</f>
        <v>4</v>
      </c>
      <c r="G143" s="219">
        <f>+'แผนลงทุน 1ปี '!E141</f>
        <v>156000</v>
      </c>
      <c r="H143" s="324">
        <v>0</v>
      </c>
      <c r="I143" s="325">
        <v>0</v>
      </c>
      <c r="J143" s="324">
        <v>0</v>
      </c>
      <c r="K143" s="325">
        <v>0</v>
      </c>
      <c r="L143" s="325">
        <v>0</v>
      </c>
      <c r="M143" s="325">
        <v>0</v>
      </c>
      <c r="N143" s="215" t="str">
        <f>+'แผนลงทุน 1ปี '!F141</f>
        <v>เงินบำรุง</v>
      </c>
      <c r="O143" s="215" t="str">
        <f>+'แผนลงทุน 1ปี '!G141</f>
        <v>ครุภัณฑ์</v>
      </c>
      <c r="P143" s="215" t="str">
        <f>+'แผนลงทุน 1ปี '!H141</f>
        <v>M</v>
      </c>
    </row>
    <row r="144" spans="2:16" s="138" customFormat="1" ht="42">
      <c r="B144" s="699">
        <v>137</v>
      </c>
      <c r="C144" s="391" t="s">
        <v>2720</v>
      </c>
      <c r="D144" s="215" t="s">
        <v>2727</v>
      </c>
      <c r="E144" s="219">
        <f>+'แผนลงทุน 1ปี '!C142</f>
        <v>39000</v>
      </c>
      <c r="F144" s="1633">
        <f>+'แผนลงทุน 1ปี '!D142</f>
        <v>4</v>
      </c>
      <c r="G144" s="219">
        <f>+'แผนลงทุน 1ปี '!E142</f>
        <v>156000</v>
      </c>
      <c r="H144" s="324">
        <v>0</v>
      </c>
      <c r="I144" s="325">
        <v>0</v>
      </c>
      <c r="J144" s="324">
        <v>0</v>
      </c>
      <c r="K144" s="325">
        <v>0</v>
      </c>
      <c r="L144" s="325">
        <v>0</v>
      </c>
      <c r="M144" s="325">
        <v>0</v>
      </c>
      <c r="N144" s="215" t="str">
        <f>+'แผนลงทุน 1ปี '!F142</f>
        <v>เงินบำรุง</v>
      </c>
      <c r="O144" s="215" t="str">
        <f>+'แผนลงทุน 1ปี '!G142</f>
        <v>ครุภัณฑ์</v>
      </c>
      <c r="P144" s="215" t="str">
        <f>+'แผนลงทุน 1ปี '!H142</f>
        <v>M</v>
      </c>
    </row>
    <row r="145" spans="2:16" s="138" customFormat="1" ht="21">
      <c r="B145" s="699">
        <v>138</v>
      </c>
      <c r="C145" s="478" t="s">
        <v>1765</v>
      </c>
      <c r="D145" s="215" t="s">
        <v>2730</v>
      </c>
      <c r="E145" s="219">
        <f>+'แผนลงทุน 1ปี '!C143</f>
        <v>0</v>
      </c>
      <c r="F145" s="1633">
        <f>+'แผนลงทุน 1ปี '!D143</f>
        <v>7</v>
      </c>
      <c r="G145" s="219">
        <f>+'แผนลงทุน 1ปี '!E143</f>
        <v>44000</v>
      </c>
      <c r="H145" s="324">
        <v>0</v>
      </c>
      <c r="I145" s="325">
        <v>0</v>
      </c>
      <c r="J145" s="324">
        <v>0</v>
      </c>
      <c r="K145" s="325">
        <v>0</v>
      </c>
      <c r="L145" s="325">
        <v>0</v>
      </c>
      <c r="M145" s="325">
        <v>0</v>
      </c>
      <c r="N145" s="215" t="str">
        <f>+'แผนลงทุน 1ปี '!F143</f>
        <v>เงินบำรุง</v>
      </c>
      <c r="O145" s="215" t="str">
        <f>+'แผนลงทุน 1ปี '!G143</f>
        <v>ครุภัณฑ์</v>
      </c>
      <c r="P145" s="215" t="str">
        <f>+'แผนลงทุน 1ปี '!H143</f>
        <v>M</v>
      </c>
    </row>
    <row r="146" spans="2:16" s="138" customFormat="1" ht="21">
      <c r="B146" s="699">
        <v>139</v>
      </c>
      <c r="C146" s="478" t="s">
        <v>1766</v>
      </c>
      <c r="D146" s="215" t="s">
        <v>2730</v>
      </c>
      <c r="E146" s="219">
        <f>+'แผนลงทุน 1ปี '!C144</f>
        <v>17500</v>
      </c>
      <c r="F146" s="1633">
        <f>+'แผนลงทุน 1ปี '!D144</f>
        <v>8</v>
      </c>
      <c r="G146" s="219">
        <f>+'แผนลงทุน 1ปี '!E144</f>
        <v>140000</v>
      </c>
      <c r="H146" s="324">
        <v>0</v>
      </c>
      <c r="I146" s="325">
        <v>0</v>
      </c>
      <c r="J146" s="324">
        <v>0</v>
      </c>
      <c r="K146" s="325">
        <v>0</v>
      </c>
      <c r="L146" s="325">
        <v>0</v>
      </c>
      <c r="M146" s="325">
        <v>0</v>
      </c>
      <c r="N146" s="215" t="str">
        <f>+'แผนลงทุน 1ปี '!F144</f>
        <v>เงินบำรุง</v>
      </c>
      <c r="O146" s="215" t="str">
        <f>+'แผนลงทุน 1ปี '!G144</f>
        <v>ครุภัณฑ์</v>
      </c>
      <c r="P146" s="215" t="str">
        <f>+'แผนลงทุน 1ปี '!H144</f>
        <v>M</v>
      </c>
    </row>
    <row r="147" spans="2:16" s="138" customFormat="1" ht="21">
      <c r="B147" s="699">
        <v>140</v>
      </c>
      <c r="C147" s="478" t="s">
        <v>1767</v>
      </c>
      <c r="D147" s="215" t="s">
        <v>2730</v>
      </c>
      <c r="E147" s="219">
        <f>+'แผนลงทุน 1ปี '!C145</f>
        <v>0</v>
      </c>
      <c r="F147" s="1633">
        <f>+'แผนลงทุน 1ปี '!D145</f>
        <v>11</v>
      </c>
      <c r="G147" s="219">
        <f>+'แผนลงทุน 1ปี '!E145</f>
        <v>28700</v>
      </c>
      <c r="H147" s="324">
        <v>0</v>
      </c>
      <c r="I147" s="325">
        <v>0</v>
      </c>
      <c r="J147" s="324">
        <v>0</v>
      </c>
      <c r="K147" s="325">
        <v>0</v>
      </c>
      <c r="L147" s="325">
        <v>0</v>
      </c>
      <c r="M147" s="325">
        <v>0</v>
      </c>
      <c r="N147" s="215" t="str">
        <f>+'แผนลงทุน 1ปี '!F145</f>
        <v>เงินบำรุง</v>
      </c>
      <c r="O147" s="215" t="str">
        <f>+'แผนลงทุน 1ปี '!G145</f>
        <v>ครุภัณฑ์</v>
      </c>
      <c r="P147" s="215" t="str">
        <f>+'แผนลงทุน 1ปี '!H145</f>
        <v>M</v>
      </c>
    </row>
    <row r="148" spans="2:16" s="138" customFormat="1" ht="21">
      <c r="B148" s="699">
        <v>141</v>
      </c>
      <c r="C148" s="478" t="s">
        <v>1077</v>
      </c>
      <c r="D148" s="215" t="s">
        <v>2730</v>
      </c>
      <c r="E148" s="219">
        <f>+'แผนลงทุน 1ปี '!C146</f>
        <v>1000</v>
      </c>
      <c r="F148" s="1633">
        <f>+'แผนลงทุน 1ปี '!D146</f>
        <v>7</v>
      </c>
      <c r="G148" s="219">
        <f>+'แผนลงทุน 1ปี '!E146</f>
        <v>7000</v>
      </c>
      <c r="H148" s="324">
        <v>0</v>
      </c>
      <c r="I148" s="325">
        <v>0</v>
      </c>
      <c r="J148" s="324">
        <v>0</v>
      </c>
      <c r="K148" s="325">
        <v>0</v>
      </c>
      <c r="L148" s="325">
        <v>0</v>
      </c>
      <c r="M148" s="325">
        <v>0</v>
      </c>
      <c r="N148" s="215" t="str">
        <f>+'แผนลงทุน 1ปี '!F146</f>
        <v>เงินบำรุง</v>
      </c>
      <c r="O148" s="215" t="str">
        <f>+'แผนลงทุน 1ปี '!G146</f>
        <v>ครุภัณฑ์</v>
      </c>
      <c r="P148" s="215" t="str">
        <f>+'แผนลงทุน 1ปี '!H146</f>
        <v>M</v>
      </c>
    </row>
    <row r="149" spans="2:16" s="138" customFormat="1" ht="42">
      <c r="B149" s="699">
        <v>142</v>
      </c>
      <c r="C149" s="391" t="s">
        <v>2719</v>
      </c>
      <c r="D149" s="215" t="s">
        <v>2727</v>
      </c>
      <c r="E149" s="219">
        <f>+'แผนลงทุน 1ปี '!C147</f>
        <v>80250</v>
      </c>
      <c r="F149" s="1633">
        <f>+'แผนลงทุน 1ปี '!D147</f>
        <v>4</v>
      </c>
      <c r="G149" s="219">
        <f>+'แผนลงทุน 1ปี '!E147</f>
        <v>321000</v>
      </c>
      <c r="H149" s="324">
        <v>0</v>
      </c>
      <c r="I149" s="325">
        <v>0</v>
      </c>
      <c r="J149" s="324">
        <v>0</v>
      </c>
      <c r="K149" s="325">
        <v>0</v>
      </c>
      <c r="L149" s="325">
        <v>0</v>
      </c>
      <c r="M149" s="325">
        <v>0</v>
      </c>
      <c r="N149" s="215" t="str">
        <f>+'แผนลงทุน 1ปี '!F147</f>
        <v>เงินบำรุง</v>
      </c>
      <c r="O149" s="215" t="str">
        <f>+'แผนลงทุน 1ปี '!G147</f>
        <v>ครุภัณฑ์</v>
      </c>
      <c r="P149" s="215" t="str">
        <f>+'แผนลงทุน 1ปี '!H147</f>
        <v>M</v>
      </c>
    </row>
    <row r="150" spans="2:16" s="138" customFormat="1" ht="21">
      <c r="B150" s="699">
        <v>143</v>
      </c>
      <c r="C150" s="478" t="s">
        <v>1772</v>
      </c>
      <c r="D150" s="215" t="s">
        <v>2736</v>
      </c>
      <c r="E150" s="219">
        <f>+'แผนลงทุน 1ปี '!C148</f>
        <v>750000</v>
      </c>
      <c r="F150" s="1633">
        <f>+'แผนลงทุน 1ปี '!D148</f>
        <v>1</v>
      </c>
      <c r="G150" s="219">
        <f>+'แผนลงทุน 1ปี '!E148</f>
        <v>750000</v>
      </c>
      <c r="H150" s="324">
        <v>0</v>
      </c>
      <c r="I150" s="325">
        <v>0</v>
      </c>
      <c r="J150" s="324">
        <v>0</v>
      </c>
      <c r="K150" s="325">
        <v>0</v>
      </c>
      <c r="L150" s="325">
        <v>0</v>
      </c>
      <c r="M150" s="325">
        <v>0</v>
      </c>
      <c r="N150" s="215" t="str">
        <f>+'แผนลงทุน 1ปี '!F148</f>
        <v>เงินบำรุง</v>
      </c>
      <c r="O150" s="215" t="str">
        <f>+'แผนลงทุน 1ปี '!G148</f>
        <v>ครุภัณฑ์</v>
      </c>
      <c r="P150" s="215" t="str">
        <f>+'แผนลงทุน 1ปี '!H148</f>
        <v>M</v>
      </c>
    </row>
    <row r="151" spans="2:16" s="138" customFormat="1" ht="21">
      <c r="B151" s="699">
        <v>144</v>
      </c>
      <c r="C151" s="478" t="s">
        <v>1773</v>
      </c>
      <c r="D151" s="215" t="s">
        <v>2727</v>
      </c>
      <c r="E151" s="219">
        <f>+'แผนลงทุน 1ปี '!C149</f>
        <v>1500000</v>
      </c>
      <c r="F151" s="1633">
        <f>+'แผนลงทุน 1ปี '!D149</f>
        <v>1</v>
      </c>
      <c r="G151" s="219">
        <f>+'แผนลงทุน 1ปี '!E149</f>
        <v>1500000</v>
      </c>
      <c r="H151" s="324">
        <v>0</v>
      </c>
      <c r="I151" s="325">
        <v>0</v>
      </c>
      <c r="J151" s="324">
        <v>0</v>
      </c>
      <c r="K151" s="325">
        <v>0</v>
      </c>
      <c r="L151" s="325">
        <v>0</v>
      </c>
      <c r="M151" s="325">
        <v>0</v>
      </c>
      <c r="N151" s="215" t="str">
        <f>+'แผนลงทุน 1ปี '!F149</f>
        <v>เงินบำรุง</v>
      </c>
      <c r="O151" s="215" t="str">
        <f>+'แผนลงทุน 1ปี '!G149</f>
        <v>ครุภัณฑ์</v>
      </c>
      <c r="P151" s="215" t="str">
        <f>+'แผนลงทุน 1ปี '!H149</f>
        <v>M</v>
      </c>
    </row>
    <row r="152" spans="2:16" s="138" customFormat="1" ht="21">
      <c r="B152" s="699">
        <v>145</v>
      </c>
      <c r="C152" s="478" t="s">
        <v>1774</v>
      </c>
      <c r="D152" s="215" t="s">
        <v>2730</v>
      </c>
      <c r="E152" s="219">
        <f>+'แผนลงทุน 1ปี '!C150</f>
        <v>180</v>
      </c>
      <c r="F152" s="1633">
        <f>+'แผนลงทุน 1ปี '!D150</f>
        <v>10</v>
      </c>
      <c r="G152" s="219">
        <f>+'แผนลงทุน 1ปี '!E150</f>
        <v>1800</v>
      </c>
      <c r="H152" s="324">
        <v>0</v>
      </c>
      <c r="I152" s="325">
        <v>0</v>
      </c>
      <c r="J152" s="324">
        <v>0</v>
      </c>
      <c r="K152" s="325">
        <v>0</v>
      </c>
      <c r="L152" s="325">
        <v>0</v>
      </c>
      <c r="M152" s="325">
        <v>0</v>
      </c>
      <c r="N152" s="215" t="str">
        <f>+'แผนลงทุน 1ปี '!F150</f>
        <v>เงินบำรุง</v>
      </c>
      <c r="O152" s="215" t="str">
        <f>+'แผนลงทุน 1ปี '!G150</f>
        <v>ครุภัณฑ์</v>
      </c>
      <c r="P152" s="215" t="str">
        <f>+'แผนลงทุน 1ปี '!H150</f>
        <v>M</v>
      </c>
    </row>
    <row r="153" spans="2:16" s="138" customFormat="1" ht="21">
      <c r="B153" s="699">
        <v>146</v>
      </c>
      <c r="C153" s="478" t="s">
        <v>1775</v>
      </c>
      <c r="D153" s="215" t="s">
        <v>2730</v>
      </c>
      <c r="E153" s="219">
        <f>+'แผนลงทุน 1ปี '!C151</f>
        <v>180</v>
      </c>
      <c r="F153" s="1633">
        <f>+'แผนลงทุน 1ปี '!D151</f>
        <v>50</v>
      </c>
      <c r="G153" s="219">
        <f>+'แผนลงทุน 1ปี '!E151</f>
        <v>9000</v>
      </c>
      <c r="H153" s="324">
        <v>0</v>
      </c>
      <c r="I153" s="325">
        <v>0</v>
      </c>
      <c r="J153" s="324">
        <v>0</v>
      </c>
      <c r="K153" s="325">
        <v>0</v>
      </c>
      <c r="L153" s="325">
        <v>0</v>
      </c>
      <c r="M153" s="325">
        <v>0</v>
      </c>
      <c r="N153" s="215" t="str">
        <f>+'แผนลงทุน 1ปี '!F151</f>
        <v>เงินบำรุง</v>
      </c>
      <c r="O153" s="215" t="str">
        <f>+'แผนลงทุน 1ปี '!G151</f>
        <v>ครุภัณฑ์</v>
      </c>
      <c r="P153" s="215" t="str">
        <f>+'แผนลงทุน 1ปี '!H151</f>
        <v>M</v>
      </c>
    </row>
    <row r="154" spans="2:16" s="138" customFormat="1" ht="21">
      <c r="B154" s="699">
        <v>147</v>
      </c>
      <c r="C154" s="478" t="s">
        <v>1776</v>
      </c>
      <c r="D154" s="215" t="s">
        <v>2730</v>
      </c>
      <c r="E154" s="219">
        <f>+'แผนลงทุน 1ปี '!C152</f>
        <v>180</v>
      </c>
      <c r="F154" s="1633">
        <f>+'แผนลงทุน 1ปี '!D152</f>
        <v>50</v>
      </c>
      <c r="G154" s="219">
        <f>+'แผนลงทุน 1ปี '!E152</f>
        <v>9000</v>
      </c>
      <c r="H154" s="324">
        <v>0</v>
      </c>
      <c r="I154" s="325">
        <v>0</v>
      </c>
      <c r="J154" s="324">
        <v>0</v>
      </c>
      <c r="K154" s="325">
        <v>0</v>
      </c>
      <c r="L154" s="325">
        <v>0</v>
      </c>
      <c r="M154" s="325">
        <v>0</v>
      </c>
      <c r="N154" s="215" t="str">
        <f>+'แผนลงทุน 1ปี '!F152</f>
        <v>เงินบำรุง</v>
      </c>
      <c r="O154" s="215" t="str">
        <f>+'แผนลงทุน 1ปี '!G152</f>
        <v>ครุภัณฑ์</v>
      </c>
      <c r="P154" s="215" t="str">
        <f>+'แผนลงทุน 1ปี '!H152</f>
        <v>M</v>
      </c>
    </row>
    <row r="155" spans="2:16" s="138" customFormat="1" ht="21">
      <c r="B155" s="233">
        <v>148</v>
      </c>
      <c r="C155" s="478" t="s">
        <v>1770</v>
      </c>
      <c r="D155" s="215" t="s">
        <v>2728</v>
      </c>
      <c r="E155" s="219">
        <f>+'แผนลงทุน 1ปี '!C153</f>
        <v>243853</v>
      </c>
      <c r="F155" s="1633">
        <f>+'แผนลงทุน 1ปี '!D153</f>
        <v>1</v>
      </c>
      <c r="G155" s="219">
        <f>+'แผนลงทุน 1ปี '!E153</f>
        <v>243853</v>
      </c>
      <c r="H155" s="324">
        <v>0</v>
      </c>
      <c r="I155" s="325">
        <v>0</v>
      </c>
      <c r="J155" s="324">
        <v>0</v>
      </c>
      <c r="K155" s="325">
        <v>0</v>
      </c>
      <c r="L155" s="325">
        <v>0</v>
      </c>
      <c r="M155" s="325">
        <v>0</v>
      </c>
      <c r="N155" s="215" t="str">
        <f>+'แผนลงทุน 1ปี '!F153</f>
        <v>เงินบำรุง</v>
      </c>
      <c r="O155" s="215" t="str">
        <f>+'แผนลงทุน 1ปี '!G153</f>
        <v>ครุภัณฑ์</v>
      </c>
      <c r="P155" s="215" t="str">
        <f>+'แผนลงทุน 1ปี '!H153</f>
        <v>M</v>
      </c>
    </row>
    <row r="156" spans="2:16" s="138" customFormat="1" ht="21">
      <c r="B156" s="699">
        <v>149</v>
      </c>
      <c r="C156" s="478" t="s">
        <v>1777</v>
      </c>
      <c r="D156" s="215" t="s">
        <v>2727</v>
      </c>
      <c r="E156" s="219">
        <f>+'แผนลงทุน 1ปี '!C154</f>
        <v>3000000</v>
      </c>
      <c r="F156" s="1633">
        <f>+'แผนลงทุน 1ปี '!D154</f>
        <v>1</v>
      </c>
      <c r="G156" s="219">
        <f>+'แผนลงทุน 1ปี '!E154</f>
        <v>3000000</v>
      </c>
      <c r="H156" s="324">
        <v>0</v>
      </c>
      <c r="I156" s="325">
        <v>0</v>
      </c>
      <c r="J156" s="324">
        <v>0</v>
      </c>
      <c r="K156" s="325">
        <v>0</v>
      </c>
      <c r="L156" s="325">
        <v>0</v>
      </c>
      <c r="M156" s="325">
        <v>0</v>
      </c>
      <c r="N156" s="215" t="str">
        <f>+'แผนลงทุน 1ปี '!F154</f>
        <v>เงินบำรุง</v>
      </c>
      <c r="O156" s="215" t="str">
        <f>+'แผนลงทุน 1ปี '!G154</f>
        <v>ครุภัณฑ์</v>
      </c>
      <c r="P156" s="215" t="str">
        <f>+'แผนลงทุน 1ปี '!H154</f>
        <v>M</v>
      </c>
    </row>
    <row r="157" spans="2:16" s="138" customFormat="1" ht="21">
      <c r="B157" s="699">
        <v>150</v>
      </c>
      <c r="C157" s="478" t="s">
        <v>1778</v>
      </c>
      <c r="D157" s="215" t="s">
        <v>2735</v>
      </c>
      <c r="E157" s="219">
        <f>+'แผนลงทุน 1ปี '!C155</f>
        <v>800000</v>
      </c>
      <c r="F157" s="1633">
        <f>+'แผนลงทุน 1ปี '!D155</f>
        <v>1</v>
      </c>
      <c r="G157" s="219">
        <f>+'แผนลงทุน 1ปี '!E155</f>
        <v>800000</v>
      </c>
      <c r="H157" s="324">
        <v>0</v>
      </c>
      <c r="I157" s="325">
        <v>0</v>
      </c>
      <c r="J157" s="324">
        <v>0</v>
      </c>
      <c r="K157" s="325">
        <v>0</v>
      </c>
      <c r="L157" s="325">
        <v>0</v>
      </c>
      <c r="M157" s="325">
        <v>0</v>
      </c>
      <c r="N157" s="215" t="str">
        <f>+'แผนลงทุน 1ปี '!F155</f>
        <v>เงินบำรุง</v>
      </c>
      <c r="O157" s="215" t="str">
        <f>+'แผนลงทุน 1ปี '!G155</f>
        <v>ครุภัณฑ์</v>
      </c>
      <c r="P157" s="215" t="str">
        <f>+'แผนลงทุน 1ปี '!H155</f>
        <v>M</v>
      </c>
    </row>
    <row r="158" spans="2:16" s="138" customFormat="1" ht="42">
      <c r="B158" s="699">
        <v>151</v>
      </c>
      <c r="C158" s="391" t="s">
        <v>2738</v>
      </c>
      <c r="D158" s="215" t="s">
        <v>2735</v>
      </c>
      <c r="E158" s="219">
        <f>+'แผนลงทุน 1ปี '!C156</f>
        <v>162308.29999999999</v>
      </c>
      <c r="F158" s="1633">
        <f>+'แผนลงทุน 1ปี '!D156</f>
        <v>1</v>
      </c>
      <c r="G158" s="219">
        <f>+'แผนลงทุน 1ปี '!E156</f>
        <v>162308.29999999999</v>
      </c>
      <c r="H158" s="324">
        <v>0</v>
      </c>
      <c r="I158" s="325">
        <v>0</v>
      </c>
      <c r="J158" s="324">
        <v>0</v>
      </c>
      <c r="K158" s="325">
        <v>0</v>
      </c>
      <c r="L158" s="325">
        <v>0</v>
      </c>
      <c r="M158" s="325">
        <v>0</v>
      </c>
      <c r="N158" s="215" t="str">
        <f>+'แผนลงทุน 1ปี '!F156</f>
        <v>เงินบำรุง</v>
      </c>
      <c r="O158" s="215" t="str">
        <f>+'แผนลงทุน 1ปี '!G156</f>
        <v>ครุภัณฑ์</v>
      </c>
      <c r="P158" s="215" t="str">
        <f>+'แผนลงทุน 1ปี '!H156</f>
        <v>M</v>
      </c>
    </row>
    <row r="159" spans="2:16" s="138" customFormat="1" ht="21">
      <c r="B159" s="699">
        <v>152</v>
      </c>
      <c r="C159" s="478" t="s">
        <v>1780</v>
      </c>
      <c r="D159" s="215" t="s">
        <v>2733</v>
      </c>
      <c r="E159" s="219">
        <f>+'แผนลงทุน 1ปี '!C157</f>
        <v>450000</v>
      </c>
      <c r="F159" s="1633">
        <f>+'แผนลงทุน 1ปี '!D157</f>
        <v>1</v>
      </c>
      <c r="G159" s="219">
        <f>+'แผนลงทุน 1ปี '!E157</f>
        <v>450000</v>
      </c>
      <c r="H159" s="324">
        <v>0</v>
      </c>
      <c r="I159" s="325">
        <v>0</v>
      </c>
      <c r="J159" s="324">
        <v>0</v>
      </c>
      <c r="K159" s="325">
        <v>0</v>
      </c>
      <c r="L159" s="325">
        <v>0</v>
      </c>
      <c r="M159" s="325">
        <v>0</v>
      </c>
      <c r="N159" s="215" t="str">
        <f>+'แผนลงทุน 1ปี '!F157</f>
        <v>เงินบำรุง</v>
      </c>
      <c r="O159" s="215" t="str">
        <f>+'แผนลงทุน 1ปี '!G157</f>
        <v>ครุภัณฑ์</v>
      </c>
      <c r="P159" s="215" t="str">
        <f>+'แผนลงทุน 1ปี '!H157</f>
        <v>M</v>
      </c>
    </row>
    <row r="160" spans="2:16" s="138" customFormat="1" ht="21">
      <c r="B160" s="699">
        <v>153</v>
      </c>
      <c r="C160" s="478" t="s">
        <v>1781</v>
      </c>
      <c r="D160" s="215" t="s">
        <v>2727</v>
      </c>
      <c r="E160" s="219">
        <f>+'แผนลงทุน 1ปี '!C158</f>
        <v>25000</v>
      </c>
      <c r="F160" s="1633">
        <f>+'แผนลงทุน 1ปี '!D158</f>
        <v>3</v>
      </c>
      <c r="G160" s="219">
        <f>+'แผนลงทุน 1ปี '!E158</f>
        <v>75000</v>
      </c>
      <c r="H160" s="324">
        <v>0</v>
      </c>
      <c r="I160" s="325">
        <v>0</v>
      </c>
      <c r="J160" s="324">
        <v>0</v>
      </c>
      <c r="K160" s="325">
        <v>0</v>
      </c>
      <c r="L160" s="325">
        <v>0</v>
      </c>
      <c r="M160" s="325">
        <v>0</v>
      </c>
      <c r="N160" s="215" t="str">
        <f>+'แผนลงทุน 1ปี '!F158</f>
        <v>เงินบำรุง</v>
      </c>
      <c r="O160" s="215" t="str">
        <f>+'แผนลงทุน 1ปี '!G158</f>
        <v>ครุภัณฑ์</v>
      </c>
      <c r="P160" s="215" t="str">
        <f>+'แผนลงทุน 1ปี '!H158</f>
        <v>M</v>
      </c>
    </row>
    <row r="161" spans="2:16" s="138" customFormat="1" ht="21">
      <c r="B161" s="699">
        <v>154</v>
      </c>
      <c r="C161" s="478" t="s">
        <v>1783</v>
      </c>
      <c r="D161" s="215" t="s">
        <v>2736</v>
      </c>
      <c r="E161" s="219">
        <f>+'แผนลงทุน 1ปี '!C159</f>
        <v>60000</v>
      </c>
      <c r="F161" s="1633">
        <f>+'แผนลงทุน 1ปี '!D159</f>
        <v>54</v>
      </c>
      <c r="G161" s="219">
        <f>+'แผนลงทุน 1ปี '!E159</f>
        <v>3240000</v>
      </c>
      <c r="H161" s="324">
        <v>0</v>
      </c>
      <c r="I161" s="325">
        <v>0</v>
      </c>
      <c r="J161" s="324">
        <v>0</v>
      </c>
      <c r="K161" s="325">
        <v>0</v>
      </c>
      <c r="L161" s="325">
        <v>0</v>
      </c>
      <c r="M161" s="325">
        <v>0</v>
      </c>
      <c r="N161" s="215" t="str">
        <f>+'แผนลงทุน 1ปี '!F159</f>
        <v>เงินบำรุง</v>
      </c>
      <c r="O161" s="215" t="str">
        <f>+'แผนลงทุน 1ปี '!G159</f>
        <v>ครุภัณฑ์</v>
      </c>
      <c r="P161" s="215" t="str">
        <f>+'แผนลงทุน 1ปี '!H159</f>
        <v>M</v>
      </c>
    </row>
    <row r="162" spans="2:16" s="138" customFormat="1" ht="21">
      <c r="B162" s="699">
        <v>155</v>
      </c>
      <c r="C162" s="478" t="s">
        <v>1784</v>
      </c>
      <c r="D162" s="215" t="s">
        <v>2734</v>
      </c>
      <c r="E162" s="219">
        <f>+'แผนลงทุน 1ปี '!C160</f>
        <v>14500</v>
      </c>
      <c r="F162" s="1633">
        <f>+'แผนลงทุน 1ปี '!D160</f>
        <v>2</v>
      </c>
      <c r="G162" s="219">
        <f>+'แผนลงทุน 1ปี '!E160</f>
        <v>29000</v>
      </c>
      <c r="H162" s="324">
        <v>0</v>
      </c>
      <c r="I162" s="325">
        <v>0</v>
      </c>
      <c r="J162" s="324">
        <v>0</v>
      </c>
      <c r="K162" s="325">
        <v>0</v>
      </c>
      <c r="L162" s="325">
        <v>0</v>
      </c>
      <c r="M162" s="325">
        <v>0</v>
      </c>
      <c r="N162" s="215" t="str">
        <f>+'แผนลงทุน 1ปี '!F160</f>
        <v>เงินบำรุง</v>
      </c>
      <c r="O162" s="215" t="str">
        <f>+'แผนลงทุน 1ปี '!G160</f>
        <v>ครุภัณฑ์</v>
      </c>
      <c r="P162" s="215" t="str">
        <f>+'แผนลงทุน 1ปี '!H160</f>
        <v>M</v>
      </c>
    </row>
    <row r="163" spans="2:16" s="138" customFormat="1" ht="21">
      <c r="B163" s="699">
        <v>156</v>
      </c>
      <c r="C163" s="478" t="s">
        <v>1791</v>
      </c>
      <c r="D163" s="215" t="s">
        <v>2735</v>
      </c>
      <c r="E163" s="219">
        <f>+'แผนลงทุน 1ปี '!C161</f>
        <v>280000</v>
      </c>
      <c r="F163" s="1633">
        <f>+'แผนลงทุน 1ปี '!D161</f>
        <v>1</v>
      </c>
      <c r="G163" s="219">
        <f>+'แผนลงทุน 1ปี '!E161</f>
        <v>280000</v>
      </c>
      <c r="H163" s="324">
        <v>0</v>
      </c>
      <c r="I163" s="325">
        <v>0</v>
      </c>
      <c r="J163" s="324">
        <v>0</v>
      </c>
      <c r="K163" s="325">
        <v>0</v>
      </c>
      <c r="L163" s="325">
        <v>0</v>
      </c>
      <c r="M163" s="325">
        <v>0</v>
      </c>
      <c r="N163" s="215" t="str">
        <f>+'แผนลงทุน 1ปี '!F161</f>
        <v>เงินบำรุง</v>
      </c>
      <c r="O163" s="215" t="str">
        <f>+'แผนลงทุน 1ปี '!G161</f>
        <v>ครุภัณฑ์</v>
      </c>
      <c r="P163" s="215" t="str">
        <f>+'แผนลงทุน 1ปี '!H161</f>
        <v>M</v>
      </c>
    </row>
    <row r="164" spans="2:16" s="138" customFormat="1" ht="21">
      <c r="B164" s="699">
        <v>157</v>
      </c>
      <c r="C164" s="478" t="s">
        <v>1792</v>
      </c>
      <c r="D164" s="215" t="s">
        <v>2727</v>
      </c>
      <c r="E164" s="219">
        <f>+'แผนลงทุน 1ปี '!C162</f>
        <v>150000</v>
      </c>
      <c r="F164" s="1633">
        <f>+'แผนลงทุน 1ปี '!D162</f>
        <v>1</v>
      </c>
      <c r="G164" s="219">
        <f>+'แผนลงทุน 1ปี '!E162</f>
        <v>150000</v>
      </c>
      <c r="H164" s="324">
        <v>0</v>
      </c>
      <c r="I164" s="325">
        <v>0</v>
      </c>
      <c r="J164" s="324">
        <v>0</v>
      </c>
      <c r="K164" s="325">
        <v>0</v>
      </c>
      <c r="L164" s="325">
        <v>0</v>
      </c>
      <c r="M164" s="325">
        <v>0</v>
      </c>
      <c r="N164" s="215" t="str">
        <f>+'แผนลงทุน 1ปี '!F162</f>
        <v>เงินบำรุง</v>
      </c>
      <c r="O164" s="215" t="str">
        <f>+'แผนลงทุน 1ปี '!G162</f>
        <v>ครุภัณฑ์</v>
      </c>
      <c r="P164" s="215" t="str">
        <f>+'แผนลงทุน 1ปี '!H162</f>
        <v>M</v>
      </c>
    </row>
    <row r="165" spans="2:16" s="138" customFormat="1" ht="21">
      <c r="B165" s="699">
        <v>158</v>
      </c>
      <c r="C165" s="478" t="s">
        <v>1794</v>
      </c>
      <c r="D165" s="215" t="s">
        <v>2727</v>
      </c>
      <c r="E165" s="219">
        <f>+'แผนลงทุน 1ปี '!C163</f>
        <v>149120.98000000001</v>
      </c>
      <c r="F165" s="1633">
        <f>+'แผนลงทุน 1ปี '!D163</f>
        <v>1</v>
      </c>
      <c r="G165" s="219">
        <f>+'แผนลงทุน 1ปี '!E163</f>
        <v>149120.98000000001</v>
      </c>
      <c r="H165" s="324">
        <v>0</v>
      </c>
      <c r="I165" s="325">
        <v>0</v>
      </c>
      <c r="J165" s="324">
        <v>0</v>
      </c>
      <c r="K165" s="325">
        <v>0</v>
      </c>
      <c r="L165" s="325">
        <v>0</v>
      </c>
      <c r="M165" s="325">
        <v>0</v>
      </c>
      <c r="N165" s="215" t="str">
        <f>+'แผนลงทุน 1ปี '!F163</f>
        <v>เงินบำรุง</v>
      </c>
      <c r="O165" s="215" t="str">
        <f>+'แผนลงทุน 1ปี '!G163</f>
        <v>ครุภัณฑ์</v>
      </c>
      <c r="P165" s="215" t="str">
        <f>+'แผนลงทุน 1ปี '!H163</f>
        <v>M</v>
      </c>
    </row>
    <row r="166" spans="2:16" s="138" customFormat="1" ht="21">
      <c r="B166" s="699">
        <v>159</v>
      </c>
      <c r="C166" s="478" t="s">
        <v>2468</v>
      </c>
      <c r="D166" s="215" t="s">
        <v>2732</v>
      </c>
      <c r="E166" s="219">
        <f>+'แผนลงทุน 1ปี '!C164</f>
        <v>40000</v>
      </c>
      <c r="F166" s="1633">
        <f>+'แผนลงทุน 1ปี '!D164</f>
        <v>7</v>
      </c>
      <c r="G166" s="219">
        <f>+'แผนลงทุน 1ปี '!E164</f>
        <v>280000</v>
      </c>
      <c r="H166" s="324">
        <v>0</v>
      </c>
      <c r="I166" s="325">
        <v>0</v>
      </c>
      <c r="J166" s="324">
        <v>0</v>
      </c>
      <c r="K166" s="325">
        <v>0</v>
      </c>
      <c r="L166" s="325">
        <v>0</v>
      </c>
      <c r="M166" s="325">
        <v>0</v>
      </c>
      <c r="N166" s="215" t="str">
        <f>+'แผนลงทุน 1ปี '!F164</f>
        <v>เงินบำรุง</v>
      </c>
      <c r="O166" s="215" t="str">
        <f>+'แผนลงทุน 1ปี '!G164</f>
        <v>ครุภัณฑ์</v>
      </c>
      <c r="P166" s="215" t="str">
        <f>+'แผนลงทุน 1ปี '!H164</f>
        <v>M</v>
      </c>
    </row>
    <row r="167" spans="2:16" s="138" customFormat="1" ht="21">
      <c r="B167" s="699">
        <v>160</v>
      </c>
      <c r="C167" s="478" t="s">
        <v>479</v>
      </c>
      <c r="D167" s="215" t="s">
        <v>2731</v>
      </c>
      <c r="E167" s="219">
        <f>+'แผนลงทุน 1ปี '!C165</f>
        <v>2619</v>
      </c>
      <c r="F167" s="1633">
        <f>+'แผนลงทุน 1ปี '!D165</f>
        <v>7</v>
      </c>
      <c r="G167" s="219">
        <f>+'แผนลงทุน 1ปี '!E165</f>
        <v>18333</v>
      </c>
      <c r="H167" s="324">
        <v>0</v>
      </c>
      <c r="I167" s="325">
        <v>0</v>
      </c>
      <c r="J167" s="324">
        <v>0</v>
      </c>
      <c r="K167" s="325">
        <v>0</v>
      </c>
      <c r="L167" s="325">
        <v>0</v>
      </c>
      <c r="M167" s="325">
        <v>0</v>
      </c>
      <c r="N167" s="215" t="str">
        <f>+'แผนลงทุน 1ปี '!F165</f>
        <v>เงินบำรุง</v>
      </c>
      <c r="O167" s="215" t="str">
        <f>+'แผนลงทุน 1ปี '!G165</f>
        <v>ครุภัณฑ์</v>
      </c>
      <c r="P167" s="215" t="str">
        <f>+'แผนลงทุน 1ปี '!H165</f>
        <v>M</v>
      </c>
    </row>
    <row r="168" spans="2:16" s="138" customFormat="1" ht="21">
      <c r="B168" s="699">
        <v>161</v>
      </c>
      <c r="C168" s="478" t="s">
        <v>1804</v>
      </c>
      <c r="D168" s="215" t="s">
        <v>2727</v>
      </c>
      <c r="E168" s="219">
        <f>+'แผนลงทุน 1ปี '!C166</f>
        <v>60000</v>
      </c>
      <c r="F168" s="1633">
        <f>+'แผนลงทุน 1ปี '!D166</f>
        <v>1</v>
      </c>
      <c r="G168" s="219">
        <f>+'แผนลงทุน 1ปี '!E166</f>
        <v>60000</v>
      </c>
      <c r="H168" s="324">
        <v>0</v>
      </c>
      <c r="I168" s="325">
        <v>0</v>
      </c>
      <c r="J168" s="324">
        <v>0</v>
      </c>
      <c r="K168" s="325">
        <v>0</v>
      </c>
      <c r="L168" s="325">
        <v>0</v>
      </c>
      <c r="M168" s="325">
        <v>0</v>
      </c>
      <c r="N168" s="215" t="str">
        <f>+'แผนลงทุน 1ปี '!F166</f>
        <v>เงินบำรุง</v>
      </c>
      <c r="O168" s="215" t="str">
        <f>+'แผนลงทุน 1ปี '!G166</f>
        <v>ครุภัณฑ์</v>
      </c>
      <c r="P168" s="215" t="str">
        <f>+'แผนลงทุน 1ปี '!H166</f>
        <v>M</v>
      </c>
    </row>
    <row r="169" spans="2:16" s="138" customFormat="1" ht="21">
      <c r="B169" s="699">
        <v>162</v>
      </c>
      <c r="C169" s="478" t="s">
        <v>1808</v>
      </c>
      <c r="D169" s="215" t="s">
        <v>2728</v>
      </c>
      <c r="E169" s="219">
        <f>+'แผนลงทุน 1ปี '!C167</f>
        <v>3910850</v>
      </c>
      <c r="F169" s="1633">
        <f>+'แผนลงทุน 1ปี '!D167</f>
        <v>1</v>
      </c>
      <c r="G169" s="219">
        <f>+'แผนลงทุน 1ปี '!E167</f>
        <v>3910850</v>
      </c>
      <c r="H169" s="324">
        <v>0</v>
      </c>
      <c r="I169" s="325">
        <v>0</v>
      </c>
      <c r="J169" s="324">
        <v>0</v>
      </c>
      <c r="K169" s="325">
        <v>0</v>
      </c>
      <c r="L169" s="325">
        <v>0</v>
      </c>
      <c r="M169" s="325">
        <v>0</v>
      </c>
      <c r="N169" s="215" t="str">
        <f>+'แผนลงทุน 1ปี '!F167</f>
        <v>เงินบำรุง</v>
      </c>
      <c r="O169" s="215" t="str">
        <f>+'แผนลงทุน 1ปี '!G167</f>
        <v>ครุภัณฑ์</v>
      </c>
      <c r="P169" s="215" t="str">
        <f>+'แผนลงทุน 1ปี '!H167</f>
        <v>M</v>
      </c>
    </row>
    <row r="170" spans="2:16" s="138" customFormat="1" ht="42">
      <c r="B170" s="699">
        <v>163</v>
      </c>
      <c r="C170" s="391" t="s">
        <v>2718</v>
      </c>
      <c r="D170" s="215" t="s">
        <v>2727</v>
      </c>
      <c r="E170" s="219">
        <f>+'แผนลงทุน 1ปี '!C168</f>
        <v>60000</v>
      </c>
      <c r="F170" s="1633">
        <f>+'แผนลงทุน 1ปี '!D168</f>
        <v>1</v>
      </c>
      <c r="G170" s="219">
        <f>+'แผนลงทุน 1ปี '!E168</f>
        <v>60000</v>
      </c>
      <c r="H170" s="324">
        <v>0</v>
      </c>
      <c r="I170" s="325">
        <v>0</v>
      </c>
      <c r="J170" s="324">
        <v>0</v>
      </c>
      <c r="K170" s="325">
        <v>0</v>
      </c>
      <c r="L170" s="325">
        <v>0</v>
      </c>
      <c r="M170" s="325">
        <v>0</v>
      </c>
      <c r="N170" s="215" t="str">
        <f>+'แผนลงทุน 1ปี '!F168</f>
        <v>เงินบำรุง</v>
      </c>
      <c r="O170" s="215" t="str">
        <f>+'แผนลงทุน 1ปี '!G168</f>
        <v>ครุภัณฑ์</v>
      </c>
      <c r="P170" s="215" t="str">
        <f>+'แผนลงทุน 1ปี '!H168</f>
        <v>M</v>
      </c>
    </row>
    <row r="171" spans="2:16" s="138" customFormat="1" ht="21">
      <c r="B171" s="699">
        <v>164</v>
      </c>
      <c r="C171" s="478" t="s">
        <v>1834</v>
      </c>
      <c r="D171" s="215" t="s">
        <v>2727</v>
      </c>
      <c r="E171" s="219">
        <f>+'แผนลงทุน 1ปี '!C169</f>
        <v>250000</v>
      </c>
      <c r="F171" s="1633">
        <f>+'แผนลงทุน 1ปี '!D169</f>
        <v>1</v>
      </c>
      <c r="G171" s="219">
        <f>+'แผนลงทุน 1ปี '!E169</f>
        <v>250000</v>
      </c>
      <c r="H171" s="324">
        <v>0</v>
      </c>
      <c r="I171" s="325">
        <v>0</v>
      </c>
      <c r="J171" s="324">
        <v>0</v>
      </c>
      <c r="K171" s="325">
        <v>0</v>
      </c>
      <c r="L171" s="325">
        <v>0</v>
      </c>
      <c r="M171" s="325">
        <v>0</v>
      </c>
      <c r="N171" s="215" t="str">
        <f>+'แผนลงทุน 1ปี '!F169</f>
        <v>เงินบำรุง</v>
      </c>
      <c r="O171" s="215" t="str">
        <f>+'แผนลงทุน 1ปี '!G169</f>
        <v>ครุภัณฑ์</v>
      </c>
      <c r="P171" s="215" t="str">
        <f>+'แผนลงทุน 1ปี '!H169</f>
        <v>M</v>
      </c>
    </row>
    <row r="172" spans="2:16" s="138" customFormat="1" ht="21">
      <c r="B172" s="699">
        <v>165</v>
      </c>
      <c r="C172" s="478" t="s">
        <v>1839</v>
      </c>
      <c r="D172" s="215" t="s">
        <v>2735</v>
      </c>
      <c r="E172" s="219">
        <f>+'แผนลงทุน 1ปี '!C170</f>
        <v>38500</v>
      </c>
      <c r="F172" s="1633">
        <f>+'แผนลงทุน 1ปี '!D170</f>
        <v>1</v>
      </c>
      <c r="G172" s="219">
        <f>+'แผนลงทุน 1ปี '!E170</f>
        <v>38500</v>
      </c>
      <c r="H172" s="324">
        <v>0</v>
      </c>
      <c r="I172" s="325">
        <v>0</v>
      </c>
      <c r="J172" s="324">
        <v>0</v>
      </c>
      <c r="K172" s="325">
        <v>0</v>
      </c>
      <c r="L172" s="325">
        <v>0</v>
      </c>
      <c r="M172" s="325">
        <v>0</v>
      </c>
      <c r="N172" s="215" t="str">
        <f>+'แผนลงทุน 1ปี '!F170</f>
        <v>เงินบำรุง</v>
      </c>
      <c r="O172" s="215" t="str">
        <f>+'แผนลงทุน 1ปี '!G170</f>
        <v>ครุภัณฑ์</v>
      </c>
      <c r="P172" s="215" t="str">
        <f>+'แผนลงทุน 1ปี '!H170</f>
        <v>M</v>
      </c>
    </row>
    <row r="173" spans="2:16" s="138" customFormat="1" ht="21">
      <c r="B173" s="699">
        <v>166</v>
      </c>
      <c r="C173" s="478" t="s">
        <v>2469</v>
      </c>
      <c r="D173" s="215" t="s">
        <v>2735</v>
      </c>
      <c r="E173" s="219">
        <f>+'แผนลงทุน 1ปี '!C171</f>
        <v>21485</v>
      </c>
      <c r="F173" s="1633">
        <f>+'แผนลงทุน 1ปี '!D171</f>
        <v>1</v>
      </c>
      <c r="G173" s="219">
        <f>+'แผนลงทุน 1ปี '!E171</f>
        <v>21485</v>
      </c>
      <c r="H173" s="324">
        <v>0</v>
      </c>
      <c r="I173" s="325">
        <v>0</v>
      </c>
      <c r="J173" s="324">
        <v>0</v>
      </c>
      <c r="K173" s="325">
        <v>0</v>
      </c>
      <c r="L173" s="325">
        <v>0</v>
      </c>
      <c r="M173" s="325">
        <v>0</v>
      </c>
      <c r="N173" s="215" t="str">
        <f>+'แผนลงทุน 1ปี '!F171</f>
        <v>เงินบำรุง</v>
      </c>
      <c r="O173" s="215" t="str">
        <f>+'แผนลงทุน 1ปี '!G171</f>
        <v>ครุภัณฑ์</v>
      </c>
      <c r="P173" s="215" t="str">
        <f>+'แผนลงทุน 1ปี '!H171</f>
        <v>M</v>
      </c>
    </row>
    <row r="174" spans="2:16" s="138" customFormat="1" ht="21">
      <c r="B174" s="699">
        <v>167</v>
      </c>
      <c r="C174" s="478" t="s">
        <v>1841</v>
      </c>
      <c r="D174" s="215" t="s">
        <v>2732</v>
      </c>
      <c r="E174" s="219">
        <f>+'แผนลงทุน 1ปี '!C172</f>
        <v>193616.5</v>
      </c>
      <c r="F174" s="1633">
        <f>+'แผนลงทุน 1ปี '!D172</f>
        <v>1</v>
      </c>
      <c r="G174" s="219">
        <f>+'แผนลงทุน 1ปี '!E172</f>
        <v>193616.5</v>
      </c>
      <c r="H174" s="324">
        <v>0</v>
      </c>
      <c r="I174" s="325">
        <v>0</v>
      </c>
      <c r="J174" s="324">
        <v>0</v>
      </c>
      <c r="K174" s="325">
        <v>0</v>
      </c>
      <c r="L174" s="325">
        <v>0</v>
      </c>
      <c r="M174" s="325">
        <v>0</v>
      </c>
      <c r="N174" s="215" t="str">
        <f>+'แผนลงทุน 1ปี '!F172</f>
        <v>เงินบำรุง</v>
      </c>
      <c r="O174" s="215" t="str">
        <f>+'แผนลงทุน 1ปี '!G172</f>
        <v>ครุภัณฑ์</v>
      </c>
      <c r="P174" s="215" t="str">
        <f>+'แผนลงทุน 1ปี '!H172</f>
        <v>M</v>
      </c>
    </row>
    <row r="175" spans="2:16" s="138" customFormat="1" ht="21">
      <c r="B175" s="699">
        <v>168</v>
      </c>
      <c r="C175" s="478" t="s">
        <v>1843</v>
      </c>
      <c r="D175" s="215" t="s">
        <v>2734</v>
      </c>
      <c r="E175" s="219">
        <f>+'แผนลงทุน 1ปี '!C173</f>
        <v>14500</v>
      </c>
      <c r="F175" s="1633">
        <f>+'แผนลงทุน 1ปี '!D173</f>
        <v>1</v>
      </c>
      <c r="G175" s="219">
        <f>+'แผนลงทุน 1ปี '!E173</f>
        <v>14500</v>
      </c>
      <c r="H175" s="324">
        <v>0</v>
      </c>
      <c r="I175" s="325">
        <v>0</v>
      </c>
      <c r="J175" s="324">
        <v>0</v>
      </c>
      <c r="K175" s="325">
        <v>0</v>
      </c>
      <c r="L175" s="325">
        <v>0</v>
      </c>
      <c r="M175" s="325">
        <v>0</v>
      </c>
      <c r="N175" s="215" t="str">
        <f>+'แผนลงทุน 1ปี '!F173</f>
        <v>เงินบำรุง</v>
      </c>
      <c r="O175" s="215" t="str">
        <f>+'แผนลงทุน 1ปี '!G173</f>
        <v>ครุภัณฑ์</v>
      </c>
      <c r="P175" s="215" t="str">
        <f>+'แผนลงทุน 1ปี '!H173</f>
        <v>M</v>
      </c>
    </row>
    <row r="176" spans="2:16" s="138" customFormat="1" ht="21">
      <c r="B176" s="699">
        <v>169</v>
      </c>
      <c r="C176" s="478" t="s">
        <v>1846</v>
      </c>
      <c r="D176" s="215" t="s">
        <v>2727</v>
      </c>
      <c r="E176" s="219">
        <f>+'แผนลงทุน 1ปี '!C174</f>
        <v>1200000</v>
      </c>
      <c r="F176" s="1633">
        <f>+'แผนลงทุน 1ปี '!D174</f>
        <v>4</v>
      </c>
      <c r="G176" s="219">
        <f>+'แผนลงทุน 1ปี '!E174</f>
        <v>4800000</v>
      </c>
      <c r="H176" s="324">
        <v>0</v>
      </c>
      <c r="I176" s="325">
        <v>0</v>
      </c>
      <c r="J176" s="324">
        <v>0</v>
      </c>
      <c r="K176" s="325">
        <v>0</v>
      </c>
      <c r="L176" s="325">
        <v>0</v>
      </c>
      <c r="M176" s="325">
        <v>0</v>
      </c>
      <c r="N176" s="215" t="str">
        <f>+'แผนลงทุน 1ปี '!F174</f>
        <v>เงินบำรุง</v>
      </c>
      <c r="O176" s="215" t="str">
        <f>+'แผนลงทุน 1ปี '!G174</f>
        <v>ครุภัณฑ์</v>
      </c>
      <c r="P176" s="215" t="str">
        <f>+'แผนลงทุน 1ปี '!H174</f>
        <v>M</v>
      </c>
    </row>
    <row r="177" spans="2:16" s="138" customFormat="1" ht="21">
      <c r="B177" s="699">
        <v>170</v>
      </c>
      <c r="C177" s="478" t="s">
        <v>1847</v>
      </c>
      <c r="D177" s="215" t="s">
        <v>2727</v>
      </c>
      <c r="E177" s="219">
        <f>+'แผนลงทุน 1ปี '!C175</f>
        <v>150000</v>
      </c>
      <c r="F177" s="1633">
        <f>+'แผนลงทุน 1ปี '!D175</f>
        <v>4</v>
      </c>
      <c r="G177" s="219">
        <f>+'แผนลงทุน 1ปี '!E175</f>
        <v>600000</v>
      </c>
      <c r="H177" s="324">
        <v>0</v>
      </c>
      <c r="I177" s="325">
        <v>0</v>
      </c>
      <c r="J177" s="324">
        <v>0</v>
      </c>
      <c r="K177" s="325">
        <v>0</v>
      </c>
      <c r="L177" s="325">
        <v>0</v>
      </c>
      <c r="M177" s="325">
        <v>0</v>
      </c>
      <c r="N177" s="215" t="str">
        <f>+'แผนลงทุน 1ปี '!F175</f>
        <v>เงินบำรุง</v>
      </c>
      <c r="O177" s="215" t="str">
        <f>+'แผนลงทุน 1ปี '!G175</f>
        <v>ครุภัณฑ์</v>
      </c>
      <c r="P177" s="215" t="str">
        <f>+'แผนลงทุน 1ปี '!H175</f>
        <v>M</v>
      </c>
    </row>
    <row r="178" spans="2:16" s="138" customFormat="1" ht="21">
      <c r="B178" s="699">
        <v>171</v>
      </c>
      <c r="C178" s="478" t="s">
        <v>1848</v>
      </c>
      <c r="D178" s="215" t="s">
        <v>2727</v>
      </c>
      <c r="E178" s="219">
        <f>+'แผนลงทุน 1ปี '!C176</f>
        <v>11500</v>
      </c>
      <c r="F178" s="1633">
        <f>+'แผนลงทุน 1ปี '!D176</f>
        <v>1</v>
      </c>
      <c r="G178" s="219">
        <f>+'แผนลงทุน 1ปี '!E176</f>
        <v>11500</v>
      </c>
      <c r="H178" s="324">
        <v>0</v>
      </c>
      <c r="I178" s="325">
        <v>0</v>
      </c>
      <c r="J178" s="324">
        <v>0</v>
      </c>
      <c r="K178" s="325">
        <v>0</v>
      </c>
      <c r="L178" s="325">
        <v>0</v>
      </c>
      <c r="M178" s="325">
        <v>0</v>
      </c>
      <c r="N178" s="215" t="str">
        <f>+'แผนลงทุน 1ปี '!F176</f>
        <v>เงินบำรุง</v>
      </c>
      <c r="O178" s="215" t="str">
        <f>+'แผนลงทุน 1ปี '!G176</f>
        <v>ครุภัณฑ์</v>
      </c>
      <c r="P178" s="215" t="str">
        <f>+'แผนลงทุน 1ปี '!H176</f>
        <v>M</v>
      </c>
    </row>
    <row r="179" spans="2:16" s="138" customFormat="1" ht="43.5" customHeight="1">
      <c r="B179" s="699">
        <v>172</v>
      </c>
      <c r="C179" s="260" t="s">
        <v>2485</v>
      </c>
      <c r="D179" s="215" t="s">
        <v>2727</v>
      </c>
      <c r="E179" s="219">
        <f>+'แผนลงทุน 1ปี '!C177</f>
        <v>1200000</v>
      </c>
      <c r="F179" s="1633">
        <f>+'แผนลงทุน 1ปี '!D177</f>
        <v>1</v>
      </c>
      <c r="G179" s="219">
        <f>+'แผนลงทุน 1ปี '!E177</f>
        <v>1200000</v>
      </c>
      <c r="H179" s="324">
        <v>0</v>
      </c>
      <c r="I179" s="325">
        <v>0</v>
      </c>
      <c r="J179" s="324">
        <v>0</v>
      </c>
      <c r="K179" s="325">
        <v>0</v>
      </c>
      <c r="L179" s="325">
        <v>0</v>
      </c>
      <c r="M179" s="325">
        <v>0</v>
      </c>
      <c r="N179" s="215" t="str">
        <f>+'แผนลงทุน 1ปี '!F177</f>
        <v>เงินบำรุง</v>
      </c>
      <c r="O179" s="215" t="str">
        <f>+'แผนลงทุน 1ปี '!G177</f>
        <v>ครุภัณฑ์</v>
      </c>
      <c r="P179" s="215" t="str">
        <f>+'แผนลงทุน 1ปี '!H177</f>
        <v>M</v>
      </c>
    </row>
    <row r="180" spans="2:16" s="138" customFormat="1" ht="21">
      <c r="B180" s="699">
        <v>173</v>
      </c>
      <c r="C180" s="478" t="s">
        <v>1854</v>
      </c>
      <c r="D180" s="215" t="s">
        <v>2727</v>
      </c>
      <c r="E180" s="219">
        <f>+'แผนลงทุน 1ปี '!C178</f>
        <v>15000</v>
      </c>
      <c r="F180" s="1633">
        <f>+'แผนลงทุน 1ปี '!D178</f>
        <v>1</v>
      </c>
      <c r="G180" s="219">
        <f>+'แผนลงทุน 1ปี '!E178</f>
        <v>15000</v>
      </c>
      <c r="H180" s="324">
        <v>0</v>
      </c>
      <c r="I180" s="325">
        <v>0</v>
      </c>
      <c r="J180" s="324">
        <v>0</v>
      </c>
      <c r="K180" s="325">
        <v>0</v>
      </c>
      <c r="L180" s="325">
        <v>0</v>
      </c>
      <c r="M180" s="325">
        <v>0</v>
      </c>
      <c r="N180" s="215" t="str">
        <f>+'แผนลงทุน 1ปี '!F178</f>
        <v>เงินบำรุง</v>
      </c>
      <c r="O180" s="215" t="str">
        <f>+'แผนลงทุน 1ปี '!G178</f>
        <v>ครุภัณฑ์</v>
      </c>
      <c r="P180" s="215" t="str">
        <f>+'แผนลงทุน 1ปี '!H178</f>
        <v>M</v>
      </c>
    </row>
    <row r="181" spans="2:16" s="138" customFormat="1" ht="21">
      <c r="B181" s="699">
        <v>174</v>
      </c>
      <c r="C181" s="478" t="s">
        <v>842</v>
      </c>
      <c r="D181" s="215" t="s">
        <v>2727</v>
      </c>
      <c r="E181" s="219">
        <f>+'แผนลงทุน 1ปี '!C179</f>
        <v>180000</v>
      </c>
      <c r="F181" s="1633">
        <f>+'แผนลงทุน 1ปี '!D179</f>
        <v>2</v>
      </c>
      <c r="G181" s="219">
        <f>+'แผนลงทุน 1ปี '!E179</f>
        <v>360000</v>
      </c>
      <c r="H181" s="324">
        <v>0</v>
      </c>
      <c r="I181" s="325">
        <v>0</v>
      </c>
      <c r="J181" s="324">
        <v>0</v>
      </c>
      <c r="K181" s="325">
        <v>0</v>
      </c>
      <c r="L181" s="325">
        <v>0</v>
      </c>
      <c r="M181" s="325">
        <v>0</v>
      </c>
      <c r="N181" s="215" t="str">
        <f>+'แผนลงทุน 1ปี '!F179</f>
        <v>เงินบำรุง</v>
      </c>
      <c r="O181" s="215" t="str">
        <f>+'แผนลงทุน 1ปี '!G179</f>
        <v>ครุภัณฑ์</v>
      </c>
      <c r="P181" s="215" t="str">
        <f>+'แผนลงทุน 1ปี '!H179</f>
        <v>M</v>
      </c>
    </row>
    <row r="182" spans="2:16" s="138" customFormat="1" ht="45" customHeight="1">
      <c r="B182" s="699">
        <v>175</v>
      </c>
      <c r="C182" s="260" t="s">
        <v>2485</v>
      </c>
      <c r="D182" s="215" t="s">
        <v>2727</v>
      </c>
      <c r="E182" s="219">
        <f>+'แผนลงทุน 1ปี '!C180</f>
        <v>1200000</v>
      </c>
      <c r="F182" s="1633">
        <f>+'แผนลงทุน 1ปี '!D180</f>
        <v>1</v>
      </c>
      <c r="G182" s="219">
        <f>+'แผนลงทุน 1ปี '!E180</f>
        <v>1200000</v>
      </c>
      <c r="H182" s="324">
        <v>0</v>
      </c>
      <c r="I182" s="325">
        <v>0</v>
      </c>
      <c r="J182" s="324">
        <v>0</v>
      </c>
      <c r="K182" s="325">
        <v>0</v>
      </c>
      <c r="L182" s="325">
        <v>0</v>
      </c>
      <c r="M182" s="325">
        <v>0</v>
      </c>
      <c r="N182" s="215" t="str">
        <f>+'แผนลงทุน 1ปี '!F180</f>
        <v>เงินบำรุง</v>
      </c>
      <c r="O182" s="215" t="str">
        <f>+'แผนลงทุน 1ปี '!G180</f>
        <v>ครุภัณฑ์</v>
      </c>
      <c r="P182" s="215" t="str">
        <f>+'แผนลงทุน 1ปี '!H180</f>
        <v>M</v>
      </c>
    </row>
    <row r="183" spans="2:16" s="138" customFormat="1" ht="21">
      <c r="B183" s="699">
        <v>176</v>
      </c>
      <c r="C183" s="478" t="s">
        <v>842</v>
      </c>
      <c r="D183" s="215" t="s">
        <v>2727</v>
      </c>
      <c r="E183" s="219">
        <f>+'แผนลงทุน 1ปี '!C181</f>
        <v>180000</v>
      </c>
      <c r="F183" s="1633">
        <f>+'แผนลงทุน 1ปี '!D181</f>
        <v>1</v>
      </c>
      <c r="G183" s="219">
        <f>+'แผนลงทุน 1ปี '!E181</f>
        <v>180000</v>
      </c>
      <c r="H183" s="324">
        <v>0</v>
      </c>
      <c r="I183" s="325">
        <v>0</v>
      </c>
      <c r="J183" s="324">
        <v>0</v>
      </c>
      <c r="K183" s="325">
        <v>0</v>
      </c>
      <c r="L183" s="325">
        <v>0</v>
      </c>
      <c r="M183" s="325">
        <v>0</v>
      </c>
      <c r="N183" s="215" t="str">
        <f>+'แผนลงทุน 1ปี '!F181</f>
        <v>เงินบำรุง</v>
      </c>
      <c r="O183" s="215" t="str">
        <f>+'แผนลงทุน 1ปี '!G181</f>
        <v>ครุภัณฑ์</v>
      </c>
      <c r="P183" s="215" t="str">
        <f>+'แผนลงทุน 1ปี '!H181</f>
        <v>M</v>
      </c>
    </row>
    <row r="184" spans="2:16" s="138" customFormat="1" ht="21">
      <c r="B184" s="699">
        <v>177</v>
      </c>
      <c r="C184" s="478" t="s">
        <v>1861</v>
      </c>
      <c r="D184" s="215" t="s">
        <v>2727</v>
      </c>
      <c r="E184" s="219">
        <f>+'แผนลงทุน 1ปี '!C182</f>
        <v>40000</v>
      </c>
      <c r="F184" s="1633">
        <f>+'แผนลงทุน 1ปี '!D182</f>
        <v>1</v>
      </c>
      <c r="G184" s="219">
        <f>+'แผนลงทุน 1ปี '!E182</f>
        <v>40000</v>
      </c>
      <c r="H184" s="324">
        <v>0</v>
      </c>
      <c r="I184" s="325">
        <v>0</v>
      </c>
      <c r="J184" s="324">
        <v>0</v>
      </c>
      <c r="K184" s="325">
        <v>0</v>
      </c>
      <c r="L184" s="325">
        <v>0</v>
      </c>
      <c r="M184" s="325">
        <v>0</v>
      </c>
      <c r="N184" s="215" t="str">
        <f>+'แผนลงทุน 1ปี '!F182</f>
        <v>เงินบำรุง</v>
      </c>
      <c r="O184" s="215" t="str">
        <f>+'แผนลงทุน 1ปี '!G182</f>
        <v>ครุภัณฑ์</v>
      </c>
      <c r="P184" s="215" t="str">
        <f>+'แผนลงทุน 1ปี '!H182</f>
        <v>M</v>
      </c>
    </row>
    <row r="185" spans="2:16" s="138" customFormat="1" ht="21">
      <c r="B185" s="699">
        <v>178</v>
      </c>
      <c r="C185" s="478" t="s">
        <v>1862</v>
      </c>
      <c r="D185" s="215" t="s">
        <v>2730</v>
      </c>
      <c r="E185" s="219">
        <f>+'แผนลงทุน 1ปี '!C183</f>
        <v>2000</v>
      </c>
      <c r="F185" s="1633">
        <f>+'แผนลงทุน 1ปี '!D183</f>
        <v>2</v>
      </c>
      <c r="G185" s="219">
        <f>+'แผนลงทุน 1ปี '!E183</f>
        <v>4000</v>
      </c>
      <c r="H185" s="324">
        <v>0</v>
      </c>
      <c r="I185" s="325">
        <v>0</v>
      </c>
      <c r="J185" s="324">
        <v>0</v>
      </c>
      <c r="K185" s="325">
        <v>0</v>
      </c>
      <c r="L185" s="325">
        <v>0</v>
      </c>
      <c r="M185" s="325">
        <v>0</v>
      </c>
      <c r="N185" s="215" t="str">
        <f>+'แผนลงทุน 1ปี '!F183</f>
        <v>เงินบำรุง</v>
      </c>
      <c r="O185" s="215" t="str">
        <f>+'แผนลงทุน 1ปี '!G183</f>
        <v>ครุภัณฑ์</v>
      </c>
      <c r="P185" s="215" t="str">
        <f>+'แผนลงทุน 1ปี '!H183</f>
        <v>M</v>
      </c>
    </row>
    <row r="186" spans="2:16" s="138" customFormat="1" ht="21">
      <c r="B186" s="699">
        <v>179</v>
      </c>
      <c r="C186" s="478" t="s">
        <v>1863</v>
      </c>
      <c r="D186" s="215" t="s">
        <v>2730</v>
      </c>
      <c r="E186" s="219">
        <f>+'แผนลงทุน 1ปี '!C184</f>
        <v>21000</v>
      </c>
      <c r="F186" s="1633">
        <f>+'แผนลงทุน 1ปี '!D184</f>
        <v>5</v>
      </c>
      <c r="G186" s="219">
        <f>+'แผนลงทุน 1ปี '!E184</f>
        <v>105000</v>
      </c>
      <c r="H186" s="324">
        <v>0</v>
      </c>
      <c r="I186" s="325">
        <v>0</v>
      </c>
      <c r="J186" s="324">
        <v>0</v>
      </c>
      <c r="K186" s="325">
        <v>0</v>
      </c>
      <c r="L186" s="325">
        <v>0</v>
      </c>
      <c r="M186" s="325">
        <v>0</v>
      </c>
      <c r="N186" s="215" t="str">
        <f>+'แผนลงทุน 1ปี '!F184</f>
        <v>เงินบำรุง</v>
      </c>
      <c r="O186" s="215" t="str">
        <f>+'แผนลงทุน 1ปี '!G184</f>
        <v>ครุภัณฑ์</v>
      </c>
      <c r="P186" s="215" t="str">
        <f>+'แผนลงทุน 1ปี '!H184</f>
        <v>M</v>
      </c>
    </row>
    <row r="187" spans="2:16" s="138" customFormat="1" ht="21">
      <c r="B187" s="699">
        <v>180</v>
      </c>
      <c r="C187" s="478" t="s">
        <v>1864</v>
      </c>
      <c r="D187" s="215" t="s">
        <v>2730</v>
      </c>
      <c r="E187" s="219">
        <f>+'แผนลงทุน 1ปี '!C185</f>
        <v>12000</v>
      </c>
      <c r="F187" s="1633">
        <f>+'แผนลงทุน 1ปี '!D185</f>
        <v>4</v>
      </c>
      <c r="G187" s="219">
        <f>+'แผนลงทุน 1ปี '!E185</f>
        <v>48000</v>
      </c>
      <c r="H187" s="324">
        <v>0</v>
      </c>
      <c r="I187" s="325">
        <v>0</v>
      </c>
      <c r="J187" s="324">
        <v>0</v>
      </c>
      <c r="K187" s="325">
        <v>0</v>
      </c>
      <c r="L187" s="325">
        <v>0</v>
      </c>
      <c r="M187" s="325">
        <v>0</v>
      </c>
      <c r="N187" s="215" t="str">
        <f>+'แผนลงทุน 1ปี '!F185</f>
        <v>เงินบำรุง</v>
      </c>
      <c r="O187" s="215" t="str">
        <f>+'แผนลงทุน 1ปี '!G185</f>
        <v>ครุภัณฑ์</v>
      </c>
      <c r="P187" s="215" t="str">
        <f>+'แผนลงทุน 1ปี '!H185</f>
        <v>M</v>
      </c>
    </row>
    <row r="188" spans="2:16" s="138" customFormat="1" ht="21">
      <c r="B188" s="699">
        <v>181</v>
      </c>
      <c r="C188" s="478" t="s">
        <v>1865</v>
      </c>
      <c r="D188" s="215" t="s">
        <v>2727</v>
      </c>
      <c r="E188" s="219">
        <f>+'แผนลงทุน 1ปี '!C186</f>
        <v>35000</v>
      </c>
      <c r="F188" s="1633">
        <f>+'แผนลงทุน 1ปี '!D186</f>
        <v>2</v>
      </c>
      <c r="G188" s="219">
        <f>+'แผนลงทุน 1ปี '!E186</f>
        <v>70000</v>
      </c>
      <c r="H188" s="324">
        <v>0</v>
      </c>
      <c r="I188" s="325">
        <v>0</v>
      </c>
      <c r="J188" s="324">
        <v>0</v>
      </c>
      <c r="K188" s="325">
        <v>0</v>
      </c>
      <c r="L188" s="325">
        <v>0</v>
      </c>
      <c r="M188" s="325">
        <v>0</v>
      </c>
      <c r="N188" s="215" t="str">
        <f>+'แผนลงทุน 1ปี '!F186</f>
        <v>เงินบำรุง</v>
      </c>
      <c r="O188" s="215" t="str">
        <f>+'แผนลงทุน 1ปี '!G186</f>
        <v>ครุภัณฑ์</v>
      </c>
      <c r="P188" s="215" t="str">
        <f>+'แผนลงทุน 1ปี '!H186</f>
        <v>M</v>
      </c>
    </row>
    <row r="189" spans="2:16" s="138" customFormat="1" ht="21">
      <c r="B189" s="699">
        <v>182</v>
      </c>
      <c r="C189" s="478" t="s">
        <v>1866</v>
      </c>
      <c r="D189" s="215" t="s">
        <v>2735</v>
      </c>
      <c r="E189" s="219">
        <f>+'แผนลงทุน 1ปี '!C187</f>
        <v>50000</v>
      </c>
      <c r="F189" s="1633">
        <f>+'แผนลงทุน 1ปี '!D187</f>
        <v>2</v>
      </c>
      <c r="G189" s="219">
        <f>+'แผนลงทุน 1ปี '!E187</f>
        <v>100000</v>
      </c>
      <c r="H189" s="324">
        <v>0</v>
      </c>
      <c r="I189" s="325">
        <v>0</v>
      </c>
      <c r="J189" s="324">
        <v>0</v>
      </c>
      <c r="K189" s="325">
        <v>0</v>
      </c>
      <c r="L189" s="325">
        <v>0</v>
      </c>
      <c r="M189" s="325">
        <v>0</v>
      </c>
      <c r="N189" s="215" t="str">
        <f>+'แผนลงทุน 1ปี '!F187</f>
        <v>เงินบำรุง</v>
      </c>
      <c r="O189" s="215" t="str">
        <f>+'แผนลงทุน 1ปี '!G187</f>
        <v>ครุภัณฑ์</v>
      </c>
      <c r="P189" s="215" t="str">
        <f>+'แผนลงทุน 1ปี '!H187</f>
        <v>M</v>
      </c>
    </row>
    <row r="190" spans="2:16" s="138" customFormat="1" ht="21">
      <c r="B190" s="699">
        <v>183</v>
      </c>
      <c r="C190" s="478" t="s">
        <v>1867</v>
      </c>
      <c r="D190" s="215" t="s">
        <v>2732</v>
      </c>
      <c r="E190" s="219">
        <f>+'แผนลงทุน 1ปี '!C188</f>
        <v>50000</v>
      </c>
      <c r="F190" s="1633">
        <f>+'แผนลงทุน 1ปี '!D188</f>
        <v>1</v>
      </c>
      <c r="G190" s="219">
        <f>+'แผนลงทุน 1ปี '!E188</f>
        <v>50000</v>
      </c>
      <c r="H190" s="324">
        <v>0</v>
      </c>
      <c r="I190" s="325">
        <v>0</v>
      </c>
      <c r="J190" s="324">
        <v>0</v>
      </c>
      <c r="K190" s="325">
        <v>0</v>
      </c>
      <c r="L190" s="325">
        <v>0</v>
      </c>
      <c r="M190" s="325">
        <v>0</v>
      </c>
      <c r="N190" s="215" t="str">
        <f>+'แผนลงทุน 1ปี '!F188</f>
        <v>เงินบำรุง</v>
      </c>
      <c r="O190" s="215" t="str">
        <f>+'แผนลงทุน 1ปี '!G188</f>
        <v>ครุภัณฑ์</v>
      </c>
      <c r="P190" s="215" t="str">
        <f>+'แผนลงทุน 1ปี '!H188</f>
        <v>M</v>
      </c>
    </row>
    <row r="191" spans="2:16" s="138" customFormat="1" ht="21">
      <c r="B191" s="699">
        <v>184</v>
      </c>
      <c r="C191" s="478" t="s">
        <v>1868</v>
      </c>
      <c r="D191" s="215" t="s">
        <v>2727</v>
      </c>
      <c r="E191" s="219">
        <f>+'แผนลงทุน 1ปี '!C189</f>
        <v>65000</v>
      </c>
      <c r="F191" s="1633">
        <f>+'แผนลงทุน 1ปี '!D189</f>
        <v>1</v>
      </c>
      <c r="G191" s="219">
        <f>+'แผนลงทุน 1ปี '!E189</f>
        <v>65000</v>
      </c>
      <c r="H191" s="324">
        <v>0</v>
      </c>
      <c r="I191" s="325">
        <v>0</v>
      </c>
      <c r="J191" s="324">
        <v>0</v>
      </c>
      <c r="K191" s="325">
        <v>0</v>
      </c>
      <c r="L191" s="325">
        <v>0</v>
      </c>
      <c r="M191" s="325">
        <v>0</v>
      </c>
      <c r="N191" s="215" t="str">
        <f>+'แผนลงทุน 1ปี '!F189</f>
        <v>เงินบำรุง</v>
      </c>
      <c r="O191" s="215" t="str">
        <f>+'แผนลงทุน 1ปี '!G189</f>
        <v>ครุภัณฑ์</v>
      </c>
      <c r="P191" s="215" t="str">
        <f>+'แผนลงทุน 1ปี '!H189</f>
        <v>M</v>
      </c>
    </row>
    <row r="192" spans="2:16" s="138" customFormat="1" ht="21">
      <c r="B192" s="233">
        <v>185</v>
      </c>
      <c r="C192" s="478" t="s">
        <v>1869</v>
      </c>
      <c r="D192" s="215" t="s">
        <v>2734</v>
      </c>
      <c r="E192" s="219">
        <f>+'แผนลงทุน 1ปี '!C190</f>
        <v>4000</v>
      </c>
      <c r="F192" s="1633">
        <f>+'แผนลงทุน 1ปี '!D190</f>
        <v>1</v>
      </c>
      <c r="G192" s="219">
        <f>+'แผนลงทุน 1ปี '!E190</f>
        <v>4000</v>
      </c>
      <c r="H192" s="324">
        <v>0</v>
      </c>
      <c r="I192" s="325">
        <v>0</v>
      </c>
      <c r="J192" s="324">
        <v>0</v>
      </c>
      <c r="K192" s="325">
        <v>0</v>
      </c>
      <c r="L192" s="325">
        <v>0</v>
      </c>
      <c r="M192" s="325">
        <v>0</v>
      </c>
      <c r="N192" s="215" t="str">
        <f>+'แผนลงทุน 1ปี '!F190</f>
        <v>เงินบำรุง</v>
      </c>
      <c r="O192" s="215" t="str">
        <f>+'แผนลงทุน 1ปี '!G190</f>
        <v>ครุภัณฑ์</v>
      </c>
      <c r="P192" s="215" t="str">
        <f>+'แผนลงทุน 1ปี '!H190</f>
        <v>M</v>
      </c>
    </row>
    <row r="193" spans="2:16" s="138" customFormat="1" ht="21">
      <c r="B193" s="699">
        <v>186</v>
      </c>
      <c r="C193" s="478" t="s">
        <v>1073</v>
      </c>
      <c r="D193" s="215" t="s">
        <v>2730</v>
      </c>
      <c r="E193" s="219">
        <f>+'แผนลงทุน 1ปี '!C191</f>
        <v>10000</v>
      </c>
      <c r="F193" s="1633">
        <f>+'แผนลงทุน 1ปี '!D191</f>
        <v>1</v>
      </c>
      <c r="G193" s="219">
        <f>+'แผนลงทุน 1ปี '!E191</f>
        <v>10000</v>
      </c>
      <c r="H193" s="324">
        <v>0</v>
      </c>
      <c r="I193" s="325">
        <v>0</v>
      </c>
      <c r="J193" s="324">
        <v>0</v>
      </c>
      <c r="K193" s="325">
        <v>0</v>
      </c>
      <c r="L193" s="325">
        <v>0</v>
      </c>
      <c r="M193" s="325">
        <v>0</v>
      </c>
      <c r="N193" s="215" t="str">
        <f>+'แผนลงทุน 1ปี '!F191</f>
        <v>เงินบำรุง</v>
      </c>
      <c r="O193" s="215" t="str">
        <f>+'แผนลงทุน 1ปี '!G191</f>
        <v>ครุภัณฑ์</v>
      </c>
      <c r="P193" s="215" t="str">
        <f>+'แผนลงทุน 1ปี '!H191</f>
        <v>M</v>
      </c>
    </row>
    <row r="194" spans="2:16" s="138" customFormat="1" ht="21">
      <c r="B194" s="699">
        <v>187</v>
      </c>
      <c r="C194" s="478" t="s">
        <v>2001</v>
      </c>
      <c r="D194" s="215" t="s">
        <v>2727</v>
      </c>
      <c r="E194" s="219">
        <f>+'แผนลงทุน 1ปี '!C192</f>
        <v>40000</v>
      </c>
      <c r="F194" s="1633">
        <f>+'แผนลงทุน 1ปี '!D192</f>
        <v>1</v>
      </c>
      <c r="G194" s="219">
        <f>+'แผนลงทุน 1ปี '!E192</f>
        <v>40000</v>
      </c>
      <c r="H194" s="324">
        <v>0</v>
      </c>
      <c r="I194" s="325">
        <v>0</v>
      </c>
      <c r="J194" s="324">
        <v>0</v>
      </c>
      <c r="K194" s="325">
        <v>0</v>
      </c>
      <c r="L194" s="325">
        <v>0</v>
      </c>
      <c r="M194" s="325">
        <v>0</v>
      </c>
      <c r="N194" s="215" t="str">
        <f>+'แผนลงทุน 1ปี '!F192</f>
        <v>เงินบำรุง</v>
      </c>
      <c r="O194" s="215" t="str">
        <f>+'แผนลงทุน 1ปี '!G192</f>
        <v>ครุภัณฑ์</v>
      </c>
      <c r="P194" s="215" t="str">
        <f>+'แผนลงทุน 1ปี '!H192</f>
        <v>M</v>
      </c>
    </row>
    <row r="195" spans="2:16" s="138" customFormat="1" ht="21">
      <c r="B195" s="699">
        <v>188</v>
      </c>
      <c r="C195" s="478" t="s">
        <v>2002</v>
      </c>
      <c r="D195" s="215" t="s">
        <v>2727</v>
      </c>
      <c r="E195" s="219">
        <f>+'แผนลงทุน 1ปี '!C193</f>
        <v>300000</v>
      </c>
      <c r="F195" s="1633">
        <f>+'แผนลงทุน 1ปี '!D193</f>
        <v>1</v>
      </c>
      <c r="G195" s="219">
        <f>+'แผนลงทุน 1ปี '!E193</f>
        <v>300000</v>
      </c>
      <c r="H195" s="324">
        <v>0</v>
      </c>
      <c r="I195" s="325">
        <v>0</v>
      </c>
      <c r="J195" s="324">
        <v>0</v>
      </c>
      <c r="K195" s="325">
        <v>0</v>
      </c>
      <c r="L195" s="325">
        <v>0</v>
      </c>
      <c r="M195" s="325">
        <v>0</v>
      </c>
      <c r="N195" s="215" t="str">
        <f>+'แผนลงทุน 1ปี '!F193</f>
        <v>เงินบำรุง</v>
      </c>
      <c r="O195" s="215" t="str">
        <f>+'แผนลงทุน 1ปี '!G193</f>
        <v>ครุภัณฑ์</v>
      </c>
      <c r="P195" s="215" t="str">
        <f>+'แผนลงทุน 1ปี '!H193</f>
        <v>M</v>
      </c>
    </row>
    <row r="196" spans="2:16" s="138" customFormat="1" ht="21">
      <c r="B196" s="699">
        <v>189</v>
      </c>
      <c r="C196" s="478" t="s">
        <v>2003</v>
      </c>
      <c r="D196" s="215" t="s">
        <v>2727</v>
      </c>
      <c r="E196" s="219">
        <f>+'แผนลงทุน 1ปี '!C194</f>
        <v>25000</v>
      </c>
      <c r="F196" s="1633">
        <f>+'แผนลงทุน 1ปี '!D194</f>
        <v>1</v>
      </c>
      <c r="G196" s="219">
        <f>+'แผนลงทุน 1ปี '!E194</f>
        <v>25000</v>
      </c>
      <c r="H196" s="324">
        <v>0</v>
      </c>
      <c r="I196" s="325">
        <v>0</v>
      </c>
      <c r="J196" s="324">
        <v>0</v>
      </c>
      <c r="K196" s="325">
        <v>0</v>
      </c>
      <c r="L196" s="325">
        <v>0</v>
      </c>
      <c r="M196" s="325">
        <v>0</v>
      </c>
      <c r="N196" s="215" t="str">
        <f>+'แผนลงทุน 1ปี '!F194</f>
        <v>เงินบำรุง</v>
      </c>
      <c r="O196" s="215" t="str">
        <f>+'แผนลงทุน 1ปี '!G194</f>
        <v>ครุภัณฑ์</v>
      </c>
      <c r="P196" s="215" t="str">
        <f>+'แผนลงทุน 1ปี '!H194</f>
        <v>M</v>
      </c>
    </row>
    <row r="197" spans="2:16" s="138" customFormat="1" ht="21">
      <c r="B197" s="699">
        <v>190</v>
      </c>
      <c r="C197" s="478" t="s">
        <v>2042</v>
      </c>
      <c r="D197" s="215" t="s">
        <v>2727</v>
      </c>
      <c r="E197" s="219">
        <f>+'แผนลงทุน 1ปี '!C195</f>
        <v>36500</v>
      </c>
      <c r="F197" s="1633">
        <f>+'แผนลงทุน 1ปี '!D195</f>
        <v>1</v>
      </c>
      <c r="G197" s="219">
        <f>+'แผนลงทุน 1ปี '!E195</f>
        <v>36500</v>
      </c>
      <c r="H197" s="324">
        <v>0</v>
      </c>
      <c r="I197" s="325">
        <v>0</v>
      </c>
      <c r="J197" s="324">
        <v>0</v>
      </c>
      <c r="K197" s="325">
        <v>0</v>
      </c>
      <c r="L197" s="325">
        <v>0</v>
      </c>
      <c r="M197" s="325">
        <v>0</v>
      </c>
      <c r="N197" s="215" t="str">
        <f>+'แผนลงทุน 1ปี '!F195</f>
        <v>เงินบำรุง</v>
      </c>
      <c r="O197" s="215" t="str">
        <f>+'แผนลงทุน 1ปี '!G195</f>
        <v>ครุภัณฑ์</v>
      </c>
      <c r="P197" s="215" t="str">
        <f>+'แผนลงทุน 1ปี '!H195</f>
        <v>M</v>
      </c>
    </row>
    <row r="198" spans="2:16" s="138" customFormat="1" ht="21">
      <c r="B198" s="699">
        <v>191</v>
      </c>
      <c r="C198" s="478" t="s">
        <v>2055</v>
      </c>
      <c r="D198" s="215" t="s">
        <v>2727</v>
      </c>
      <c r="E198" s="219">
        <f>+'แผนลงทุน 1ปี '!C196</f>
        <v>440000</v>
      </c>
      <c r="F198" s="1633">
        <f>+'แผนลงทุน 1ปี '!D196</f>
        <v>1</v>
      </c>
      <c r="G198" s="219">
        <f>+'แผนลงทุน 1ปี '!E196</f>
        <v>440000</v>
      </c>
      <c r="H198" s="324">
        <v>0</v>
      </c>
      <c r="I198" s="325">
        <v>0</v>
      </c>
      <c r="J198" s="324">
        <v>0</v>
      </c>
      <c r="K198" s="325">
        <v>0</v>
      </c>
      <c r="L198" s="325">
        <v>0</v>
      </c>
      <c r="M198" s="325">
        <v>0</v>
      </c>
      <c r="N198" s="215" t="str">
        <f>+'แผนลงทุน 1ปี '!F196</f>
        <v>เงินบำรุง</v>
      </c>
      <c r="O198" s="215" t="str">
        <f>+'แผนลงทุน 1ปี '!G196</f>
        <v>ครุภัณฑ์</v>
      </c>
      <c r="P198" s="215" t="str">
        <f>+'แผนลงทุน 1ปี '!H196</f>
        <v>M</v>
      </c>
    </row>
    <row r="199" spans="2:16" s="138" customFormat="1" ht="21">
      <c r="B199" s="699">
        <v>192</v>
      </c>
      <c r="C199" s="478" t="s">
        <v>2056</v>
      </c>
      <c r="D199" s="215" t="s">
        <v>2734</v>
      </c>
      <c r="E199" s="219">
        <f>+'แผนลงทุน 1ปี '!C197</f>
        <v>15000</v>
      </c>
      <c r="F199" s="1633">
        <f>+'แผนลงทุน 1ปี '!D197</f>
        <v>2</v>
      </c>
      <c r="G199" s="219">
        <f>+'แผนลงทุน 1ปี '!E197</f>
        <v>30000</v>
      </c>
      <c r="H199" s="324">
        <v>0</v>
      </c>
      <c r="I199" s="325">
        <v>0</v>
      </c>
      <c r="J199" s="324">
        <v>0</v>
      </c>
      <c r="K199" s="325">
        <v>0</v>
      </c>
      <c r="L199" s="325">
        <v>0</v>
      </c>
      <c r="M199" s="325">
        <v>0</v>
      </c>
      <c r="N199" s="215" t="str">
        <f>+'แผนลงทุน 1ปี '!F197</f>
        <v>เงินบำรุง</v>
      </c>
      <c r="O199" s="215" t="str">
        <f>+'แผนลงทุน 1ปี '!G197</f>
        <v>ครุภัณฑ์</v>
      </c>
      <c r="P199" s="215" t="str">
        <f>+'แผนลงทุน 1ปี '!H197</f>
        <v>M</v>
      </c>
    </row>
    <row r="200" spans="2:16" s="138" customFormat="1" ht="21">
      <c r="B200" s="699">
        <v>193</v>
      </c>
      <c r="C200" s="2453" t="s">
        <v>2053</v>
      </c>
      <c r="D200" s="215" t="s">
        <v>2727</v>
      </c>
      <c r="E200" s="219">
        <f>+'แผนลงทุน 1ปี '!C198</f>
        <v>2000000</v>
      </c>
      <c r="F200" s="1633">
        <f>+'แผนลงทุน 1ปี '!D198</f>
        <v>1</v>
      </c>
      <c r="G200" s="219">
        <f>+'แผนลงทุน 1ปี '!E198</f>
        <v>2000000</v>
      </c>
      <c r="H200" s="324">
        <v>0</v>
      </c>
      <c r="I200" s="325">
        <v>0</v>
      </c>
      <c r="J200" s="324">
        <v>0</v>
      </c>
      <c r="K200" s="325">
        <v>0</v>
      </c>
      <c r="L200" s="325">
        <v>0</v>
      </c>
      <c r="M200" s="325">
        <v>0</v>
      </c>
      <c r="N200" s="215" t="str">
        <f>+'แผนลงทุน 1ปี '!F198</f>
        <v>เงินบำรุง</v>
      </c>
      <c r="O200" s="215" t="str">
        <f>+'แผนลงทุน 1ปี '!G198</f>
        <v>ครุภัณฑ์</v>
      </c>
      <c r="P200" s="215" t="str">
        <f>+'แผนลงทุน 1ปี '!H198</f>
        <v>M</v>
      </c>
    </row>
    <row r="201" spans="2:16" s="138" customFormat="1" ht="42">
      <c r="B201" s="699">
        <v>194</v>
      </c>
      <c r="C201" s="391" t="s">
        <v>2604</v>
      </c>
      <c r="D201" s="215" t="s">
        <v>2727</v>
      </c>
      <c r="E201" s="219">
        <f>+'แผนลงทุน 1ปี '!C199</f>
        <v>50000</v>
      </c>
      <c r="F201" s="1633">
        <f>+'แผนลงทุน 1ปี '!D199</f>
        <v>10</v>
      </c>
      <c r="G201" s="219">
        <f>+'แผนลงทุน 1ปี '!E199</f>
        <v>500000</v>
      </c>
      <c r="H201" s="324">
        <v>0</v>
      </c>
      <c r="I201" s="325">
        <v>0</v>
      </c>
      <c r="J201" s="324">
        <v>0</v>
      </c>
      <c r="K201" s="325">
        <v>0</v>
      </c>
      <c r="L201" s="325">
        <v>0</v>
      </c>
      <c r="M201" s="325">
        <v>0</v>
      </c>
      <c r="N201" s="215" t="str">
        <f>+'แผนลงทุน 1ปี '!F199</f>
        <v>เงินบำรุง</v>
      </c>
      <c r="O201" s="215" t="str">
        <f>+'แผนลงทุน 1ปี '!G199</f>
        <v>ครุภัณฑ์</v>
      </c>
      <c r="P201" s="215" t="str">
        <f>+'แผนลงทุน 1ปี '!H199</f>
        <v>M</v>
      </c>
    </row>
    <row r="202" spans="2:16" s="138" customFormat="1" ht="21">
      <c r="B202" s="699">
        <v>195</v>
      </c>
      <c r="C202" s="478" t="s">
        <v>2066</v>
      </c>
      <c r="D202" s="215" t="s">
        <v>2727</v>
      </c>
      <c r="E202" s="219">
        <f>+'แผนลงทุน 1ปี '!C200</f>
        <v>7500</v>
      </c>
      <c r="F202" s="1633">
        <f>+'แผนลงทุน 1ปี '!D200</f>
        <v>1</v>
      </c>
      <c r="G202" s="219">
        <f>+'แผนลงทุน 1ปี '!E200</f>
        <v>7500</v>
      </c>
      <c r="H202" s="324">
        <v>0</v>
      </c>
      <c r="I202" s="325">
        <v>0</v>
      </c>
      <c r="J202" s="324">
        <v>0</v>
      </c>
      <c r="K202" s="325">
        <v>0</v>
      </c>
      <c r="L202" s="325">
        <v>0</v>
      </c>
      <c r="M202" s="325">
        <v>0</v>
      </c>
      <c r="N202" s="215" t="str">
        <f>+'แผนลงทุน 1ปี '!F200</f>
        <v>เงินบำรุง</v>
      </c>
      <c r="O202" s="215" t="str">
        <f>+'แผนลงทุน 1ปี '!G200</f>
        <v>ครุภัณฑ์</v>
      </c>
      <c r="P202" s="215" t="str">
        <f>+'แผนลงทุน 1ปี '!H200</f>
        <v>M</v>
      </c>
    </row>
    <row r="203" spans="2:16" s="138" customFormat="1" ht="21">
      <c r="B203" s="699">
        <v>196</v>
      </c>
      <c r="C203" s="478" t="s">
        <v>2068</v>
      </c>
      <c r="D203" s="215" t="s">
        <v>2727</v>
      </c>
      <c r="E203" s="219">
        <f>+'แผนลงทุน 1ปี '!C201</f>
        <v>6000</v>
      </c>
      <c r="F203" s="1633">
        <f>+'แผนลงทุน 1ปี '!D201</f>
        <v>3</v>
      </c>
      <c r="G203" s="219">
        <f>+'แผนลงทุน 1ปี '!E201</f>
        <v>18000</v>
      </c>
      <c r="H203" s="324">
        <v>0</v>
      </c>
      <c r="I203" s="325">
        <v>0</v>
      </c>
      <c r="J203" s="324">
        <v>0</v>
      </c>
      <c r="K203" s="325">
        <v>0</v>
      </c>
      <c r="L203" s="325">
        <v>0</v>
      </c>
      <c r="M203" s="325">
        <v>0</v>
      </c>
      <c r="N203" s="215" t="str">
        <f>+'แผนลงทุน 1ปี '!F201</f>
        <v>เงินบำรุง</v>
      </c>
      <c r="O203" s="215" t="str">
        <f>+'แผนลงทุน 1ปี '!G201</f>
        <v>ครุภัณฑ์</v>
      </c>
      <c r="P203" s="215" t="str">
        <f>+'แผนลงทุน 1ปี '!H201</f>
        <v>M</v>
      </c>
    </row>
    <row r="204" spans="2:16" s="138" customFormat="1" ht="21">
      <c r="B204" s="699">
        <v>197</v>
      </c>
      <c r="C204" s="478" t="s">
        <v>2071</v>
      </c>
      <c r="D204" s="215" t="s">
        <v>2727</v>
      </c>
      <c r="E204" s="219">
        <f>+'แผนลงทุน 1ปี '!C202</f>
        <v>35000</v>
      </c>
      <c r="F204" s="1633">
        <f>+'แผนลงทุน 1ปี '!D202</f>
        <v>2</v>
      </c>
      <c r="G204" s="219">
        <f>+'แผนลงทุน 1ปี '!E202</f>
        <v>70000</v>
      </c>
      <c r="H204" s="324">
        <v>0</v>
      </c>
      <c r="I204" s="325">
        <v>0</v>
      </c>
      <c r="J204" s="324">
        <v>0</v>
      </c>
      <c r="K204" s="325">
        <v>0</v>
      </c>
      <c r="L204" s="325">
        <v>0</v>
      </c>
      <c r="M204" s="325">
        <v>0</v>
      </c>
      <c r="N204" s="215" t="str">
        <f>+'แผนลงทุน 1ปี '!F202</f>
        <v>เงินบำรุง</v>
      </c>
      <c r="O204" s="215" t="str">
        <f>+'แผนลงทุน 1ปี '!G202</f>
        <v>ครุภัณฑ์</v>
      </c>
      <c r="P204" s="215" t="str">
        <f>+'แผนลงทุน 1ปี '!H202</f>
        <v>M</v>
      </c>
    </row>
    <row r="205" spans="2:16" s="138" customFormat="1" ht="21">
      <c r="B205" s="699">
        <v>198</v>
      </c>
      <c r="C205" s="478" t="s">
        <v>2073</v>
      </c>
      <c r="D205" s="215" t="s">
        <v>2727</v>
      </c>
      <c r="E205" s="219">
        <f>+'แผนลงทุน 1ปี '!C203</f>
        <v>65000</v>
      </c>
      <c r="F205" s="1633">
        <f>+'แผนลงทุน 1ปี '!D203</f>
        <v>4</v>
      </c>
      <c r="G205" s="219">
        <f>+'แผนลงทุน 1ปี '!E203</f>
        <v>260000</v>
      </c>
      <c r="H205" s="324">
        <v>0</v>
      </c>
      <c r="I205" s="325">
        <v>0</v>
      </c>
      <c r="J205" s="324">
        <v>0</v>
      </c>
      <c r="K205" s="325">
        <v>0</v>
      </c>
      <c r="L205" s="325">
        <v>0</v>
      </c>
      <c r="M205" s="325">
        <v>0</v>
      </c>
      <c r="N205" s="215" t="str">
        <f>+'แผนลงทุน 1ปี '!F203</f>
        <v>เงินบำรุง</v>
      </c>
      <c r="O205" s="215" t="str">
        <f>+'แผนลงทุน 1ปี '!G203</f>
        <v>ครุภัณฑ์</v>
      </c>
      <c r="P205" s="215" t="str">
        <f>+'แผนลงทุน 1ปี '!H203</f>
        <v>M</v>
      </c>
    </row>
    <row r="206" spans="2:16" s="138" customFormat="1" ht="21">
      <c r="B206" s="699">
        <v>199</v>
      </c>
      <c r="C206" s="478" t="s">
        <v>1039</v>
      </c>
      <c r="D206" s="215" t="s">
        <v>2735</v>
      </c>
      <c r="E206" s="219">
        <f>+'แผนลงทุน 1ปี '!C204</f>
        <v>300000</v>
      </c>
      <c r="F206" s="1633">
        <f>+'แผนลงทุน 1ปี '!D204</f>
        <v>1</v>
      </c>
      <c r="G206" s="219">
        <f>+'แผนลงทุน 1ปี '!E204</f>
        <v>300000</v>
      </c>
      <c r="H206" s="324">
        <v>0</v>
      </c>
      <c r="I206" s="325">
        <v>0</v>
      </c>
      <c r="J206" s="324">
        <v>0</v>
      </c>
      <c r="K206" s="325">
        <v>0</v>
      </c>
      <c r="L206" s="325">
        <v>0</v>
      </c>
      <c r="M206" s="325">
        <v>0</v>
      </c>
      <c r="N206" s="215" t="str">
        <f>+'แผนลงทุน 1ปี '!F204</f>
        <v>เงินบำรุง</v>
      </c>
      <c r="O206" s="215" t="str">
        <f>+'แผนลงทุน 1ปี '!G204</f>
        <v>ครุภัณฑ์</v>
      </c>
      <c r="P206" s="215" t="str">
        <f>+'แผนลงทุน 1ปี '!H204</f>
        <v>M</v>
      </c>
    </row>
    <row r="207" spans="2:16" s="138" customFormat="1" ht="21">
      <c r="B207" s="699">
        <v>200</v>
      </c>
      <c r="C207" s="478" t="s">
        <v>2079</v>
      </c>
      <c r="D207" s="215" t="s">
        <v>2734</v>
      </c>
      <c r="E207" s="219">
        <f>+'แผนลงทุน 1ปี '!C205</f>
        <v>15000</v>
      </c>
      <c r="F207" s="1633">
        <f>+'แผนลงทุน 1ปี '!D205</f>
        <v>1</v>
      </c>
      <c r="G207" s="219">
        <f>+'แผนลงทุน 1ปี '!E205</f>
        <v>15000</v>
      </c>
      <c r="H207" s="324">
        <v>0</v>
      </c>
      <c r="I207" s="325">
        <v>0</v>
      </c>
      <c r="J207" s="324">
        <v>0</v>
      </c>
      <c r="K207" s="325">
        <v>0</v>
      </c>
      <c r="L207" s="325">
        <v>0</v>
      </c>
      <c r="M207" s="325">
        <v>0</v>
      </c>
      <c r="N207" s="215" t="str">
        <f>+'แผนลงทุน 1ปี '!F205</f>
        <v>เงินบำรุง</v>
      </c>
      <c r="O207" s="215" t="str">
        <f>+'แผนลงทุน 1ปี '!G205</f>
        <v>ครุภัณฑ์</v>
      </c>
      <c r="P207" s="215" t="str">
        <f>+'แผนลงทุน 1ปี '!H205</f>
        <v>M</v>
      </c>
    </row>
    <row r="208" spans="2:16" s="138" customFormat="1" ht="21">
      <c r="B208" s="699">
        <v>201</v>
      </c>
      <c r="C208" s="478" t="s">
        <v>2086</v>
      </c>
      <c r="D208" s="215" t="s">
        <v>2736</v>
      </c>
      <c r="E208" s="219">
        <f>+'แผนลงทุน 1ปี '!C206</f>
        <v>125000</v>
      </c>
      <c r="F208" s="1633">
        <f>+'แผนลงทุน 1ปี '!D206</f>
        <v>4</v>
      </c>
      <c r="G208" s="219">
        <f>+'แผนลงทุน 1ปี '!E206</f>
        <v>500000</v>
      </c>
      <c r="H208" s="324">
        <v>0</v>
      </c>
      <c r="I208" s="325">
        <v>0</v>
      </c>
      <c r="J208" s="324">
        <v>0</v>
      </c>
      <c r="K208" s="325">
        <v>0</v>
      </c>
      <c r="L208" s="325">
        <v>0</v>
      </c>
      <c r="M208" s="325">
        <v>0</v>
      </c>
      <c r="N208" s="215" t="str">
        <f>+'แผนลงทุน 1ปี '!F206</f>
        <v>เงินบำรุง</v>
      </c>
      <c r="O208" s="215" t="str">
        <f>+'แผนลงทุน 1ปี '!G206</f>
        <v>ครุภัณฑ์</v>
      </c>
      <c r="P208" s="215" t="str">
        <f>+'แผนลงทุน 1ปี '!H206</f>
        <v>M</v>
      </c>
    </row>
    <row r="209" spans="2:16" s="138" customFormat="1" ht="21">
      <c r="B209" s="699">
        <v>202</v>
      </c>
      <c r="C209" s="478" t="s">
        <v>2079</v>
      </c>
      <c r="D209" s="215" t="s">
        <v>2734</v>
      </c>
      <c r="E209" s="219">
        <f>+'แผนลงทุน 1ปี '!C207</f>
        <v>15000</v>
      </c>
      <c r="F209" s="1633">
        <f>+'แผนลงทุน 1ปี '!D207</f>
        <v>4</v>
      </c>
      <c r="G209" s="219">
        <f>+'แผนลงทุน 1ปี '!E207</f>
        <v>60000</v>
      </c>
      <c r="H209" s="324">
        <v>0</v>
      </c>
      <c r="I209" s="325">
        <v>0</v>
      </c>
      <c r="J209" s="324">
        <v>0</v>
      </c>
      <c r="K209" s="325">
        <v>0</v>
      </c>
      <c r="L209" s="325">
        <v>0</v>
      </c>
      <c r="M209" s="325">
        <v>0</v>
      </c>
      <c r="N209" s="215" t="str">
        <f>+'แผนลงทุน 1ปี '!F207</f>
        <v>เงินบำรุง</v>
      </c>
      <c r="O209" s="215" t="str">
        <f>+'แผนลงทุน 1ปี '!G207</f>
        <v>ครุภัณฑ์</v>
      </c>
      <c r="P209" s="215" t="str">
        <f>+'แผนลงทุน 1ปี '!H207</f>
        <v>M</v>
      </c>
    </row>
    <row r="210" spans="2:16" s="138" customFormat="1" ht="21">
      <c r="B210" s="699">
        <v>203</v>
      </c>
      <c r="C210" s="478" t="s">
        <v>2089</v>
      </c>
      <c r="D210" s="215" t="s">
        <v>2727</v>
      </c>
      <c r="E210" s="219">
        <f>+'แผนลงทุน 1ปี '!C208</f>
        <v>5985000</v>
      </c>
      <c r="F210" s="1633">
        <f>+'แผนลงทุน 1ปี '!D208</f>
        <v>1</v>
      </c>
      <c r="G210" s="219">
        <f>+'แผนลงทุน 1ปี '!E208</f>
        <v>5985000</v>
      </c>
      <c r="H210" s="324">
        <v>0</v>
      </c>
      <c r="I210" s="325">
        <v>0</v>
      </c>
      <c r="J210" s="324">
        <v>0</v>
      </c>
      <c r="K210" s="325">
        <v>0</v>
      </c>
      <c r="L210" s="325">
        <v>0</v>
      </c>
      <c r="M210" s="325">
        <v>0</v>
      </c>
      <c r="N210" s="215" t="str">
        <f>+'แผนลงทุน 1ปี '!F208</f>
        <v>เงินบำรุง</v>
      </c>
      <c r="O210" s="215" t="str">
        <f>+'แผนลงทุน 1ปี '!G208</f>
        <v>ครุภัณฑ์</v>
      </c>
      <c r="P210" s="215" t="str">
        <f>+'แผนลงทุน 1ปี '!H208</f>
        <v>M</v>
      </c>
    </row>
    <row r="211" spans="2:16" s="138" customFormat="1" ht="21">
      <c r="B211" s="699">
        <v>204</v>
      </c>
      <c r="C211" s="478" t="s">
        <v>2092</v>
      </c>
      <c r="D211" s="215" t="s">
        <v>2732</v>
      </c>
      <c r="E211" s="219">
        <f>+'แผนลงทุน 1ปี '!C209</f>
        <v>16900</v>
      </c>
      <c r="F211" s="1633">
        <f>+'แผนลงทุน 1ปี '!D209</f>
        <v>1</v>
      </c>
      <c r="G211" s="219">
        <f>+'แผนลงทุน 1ปี '!E209</f>
        <v>16900</v>
      </c>
      <c r="H211" s="324">
        <v>0</v>
      </c>
      <c r="I211" s="325">
        <v>0</v>
      </c>
      <c r="J211" s="324">
        <v>0</v>
      </c>
      <c r="K211" s="325">
        <v>0</v>
      </c>
      <c r="L211" s="325">
        <v>0</v>
      </c>
      <c r="M211" s="325">
        <v>0</v>
      </c>
      <c r="N211" s="215" t="str">
        <f>+'แผนลงทุน 1ปี '!F209</f>
        <v>เงินบำรุง</v>
      </c>
      <c r="O211" s="215" t="str">
        <f>+'แผนลงทุน 1ปี '!G209</f>
        <v>ครุภัณฑ์</v>
      </c>
      <c r="P211" s="215" t="str">
        <f>+'แผนลงทุน 1ปี '!H209</f>
        <v>M</v>
      </c>
    </row>
    <row r="212" spans="2:16" s="138" customFormat="1" ht="42">
      <c r="B212" s="699">
        <v>205</v>
      </c>
      <c r="C212" s="391" t="s">
        <v>2717</v>
      </c>
      <c r="D212" s="215" t="s">
        <v>2727</v>
      </c>
      <c r="E212" s="219">
        <f>+'แผนลงทุน 1ปี '!C210</f>
        <v>450000</v>
      </c>
      <c r="F212" s="1633">
        <f>+'แผนลงทุน 1ปี '!D210</f>
        <v>2</v>
      </c>
      <c r="G212" s="219">
        <f>+'แผนลงทุน 1ปี '!E210</f>
        <v>900000</v>
      </c>
      <c r="H212" s="324">
        <v>0</v>
      </c>
      <c r="I212" s="325">
        <v>0</v>
      </c>
      <c r="J212" s="324">
        <v>0</v>
      </c>
      <c r="K212" s="325">
        <v>0</v>
      </c>
      <c r="L212" s="325">
        <v>0</v>
      </c>
      <c r="M212" s="325">
        <v>0</v>
      </c>
      <c r="N212" s="215" t="str">
        <f>+'แผนลงทุน 1ปี '!F210</f>
        <v>เงินบำรุง</v>
      </c>
      <c r="O212" s="215" t="str">
        <f>+'แผนลงทุน 1ปี '!G210</f>
        <v>ครุภัณฑ์</v>
      </c>
      <c r="P212" s="215" t="str">
        <f>+'แผนลงทุน 1ปี '!H210</f>
        <v>M</v>
      </c>
    </row>
    <row r="213" spans="2:16" s="138" customFormat="1" ht="21">
      <c r="B213" s="699">
        <v>206</v>
      </c>
      <c r="C213" s="478" t="s">
        <v>1915</v>
      </c>
      <c r="D213" s="215" t="s">
        <v>2727</v>
      </c>
      <c r="E213" s="219">
        <f>+'แผนลงทุน 1ปี '!C211</f>
        <v>50000</v>
      </c>
      <c r="F213" s="1633">
        <f>+'แผนลงทุน 1ปี '!D211</f>
        <v>1</v>
      </c>
      <c r="G213" s="219">
        <f>+'แผนลงทุน 1ปี '!E211</f>
        <v>50000</v>
      </c>
      <c r="H213" s="324">
        <v>0</v>
      </c>
      <c r="I213" s="325">
        <v>0</v>
      </c>
      <c r="J213" s="324">
        <v>0</v>
      </c>
      <c r="K213" s="325">
        <v>0</v>
      </c>
      <c r="L213" s="325">
        <v>0</v>
      </c>
      <c r="M213" s="325">
        <v>0</v>
      </c>
      <c r="N213" s="215" t="str">
        <f>+'แผนลงทุน 1ปี '!F211</f>
        <v>เงินบำรุง</v>
      </c>
      <c r="O213" s="215" t="str">
        <f>+'แผนลงทุน 1ปี '!G211</f>
        <v>ครุภัณฑ์</v>
      </c>
      <c r="P213" s="215" t="str">
        <f>+'แผนลงทุน 1ปี '!H211</f>
        <v>M</v>
      </c>
    </row>
    <row r="214" spans="2:16" s="138" customFormat="1" ht="21">
      <c r="B214" s="699">
        <v>207</v>
      </c>
      <c r="C214" s="478" t="s">
        <v>2096</v>
      </c>
      <c r="D214" s="215" t="s">
        <v>2727</v>
      </c>
      <c r="E214" s="219">
        <f>+'แผนลงทุน 1ปี '!C212</f>
        <v>33705</v>
      </c>
      <c r="F214" s="1633">
        <f>+'แผนลงทุน 1ปี '!D212</f>
        <v>2</v>
      </c>
      <c r="G214" s="219">
        <f>+'แผนลงทุน 1ปี '!E212</f>
        <v>67410</v>
      </c>
      <c r="H214" s="324">
        <v>0</v>
      </c>
      <c r="I214" s="325">
        <v>0</v>
      </c>
      <c r="J214" s="324">
        <v>0</v>
      </c>
      <c r="K214" s="325">
        <v>0</v>
      </c>
      <c r="L214" s="325">
        <v>0</v>
      </c>
      <c r="M214" s="325">
        <v>0</v>
      </c>
      <c r="N214" s="215" t="str">
        <f>+'แผนลงทุน 1ปี '!F212</f>
        <v>เงินบำรุง</v>
      </c>
      <c r="O214" s="215" t="str">
        <f>+'แผนลงทุน 1ปี '!G212</f>
        <v>ครุภัณฑ์</v>
      </c>
      <c r="P214" s="215" t="str">
        <f>+'แผนลงทุน 1ปี '!H212</f>
        <v>M</v>
      </c>
    </row>
    <row r="215" spans="2:16" s="138" customFormat="1" ht="21">
      <c r="B215" s="699">
        <v>208</v>
      </c>
      <c r="C215" s="478" t="s">
        <v>2104</v>
      </c>
      <c r="D215" s="215" t="s">
        <v>2736</v>
      </c>
      <c r="E215" s="219">
        <f>+'แผนลงทุน 1ปี '!C213</f>
        <v>38413</v>
      </c>
      <c r="F215" s="1633">
        <f>+'แผนลงทุน 1ปี '!D213</f>
        <v>1</v>
      </c>
      <c r="G215" s="219">
        <f>+'แผนลงทุน 1ปี '!E213</f>
        <v>38413</v>
      </c>
      <c r="H215" s="324">
        <v>0</v>
      </c>
      <c r="I215" s="325">
        <v>0</v>
      </c>
      <c r="J215" s="324">
        <v>0</v>
      </c>
      <c r="K215" s="325">
        <v>0</v>
      </c>
      <c r="L215" s="325">
        <v>0</v>
      </c>
      <c r="M215" s="325">
        <v>0</v>
      </c>
      <c r="N215" s="215" t="str">
        <f>+'แผนลงทุน 1ปี '!F213</f>
        <v>เงินบำรุง</v>
      </c>
      <c r="O215" s="215" t="str">
        <f>+'แผนลงทุน 1ปี '!G213</f>
        <v>ครุภัณฑ์</v>
      </c>
      <c r="P215" s="215" t="str">
        <f>+'แผนลงทุน 1ปี '!H213</f>
        <v>M</v>
      </c>
    </row>
    <row r="216" spans="2:16" s="138" customFormat="1" ht="21">
      <c r="B216" s="699">
        <v>209</v>
      </c>
      <c r="C216" s="478" t="s">
        <v>2115</v>
      </c>
      <c r="D216" s="215" t="s">
        <v>2733</v>
      </c>
      <c r="E216" s="219">
        <f>+'แผนลงทุน 1ปี '!C214</f>
        <v>65000</v>
      </c>
      <c r="F216" s="1633">
        <f>+'แผนลงทุน 1ปี '!D214</f>
        <v>1</v>
      </c>
      <c r="G216" s="219">
        <f>+'แผนลงทุน 1ปี '!E214</f>
        <v>65000</v>
      </c>
      <c r="H216" s="324">
        <v>0</v>
      </c>
      <c r="I216" s="325">
        <v>0</v>
      </c>
      <c r="J216" s="324">
        <v>0</v>
      </c>
      <c r="K216" s="325">
        <v>0</v>
      </c>
      <c r="L216" s="325">
        <v>0</v>
      </c>
      <c r="M216" s="325">
        <v>0</v>
      </c>
      <c r="N216" s="215" t="str">
        <f>+'แผนลงทุน 1ปี '!F214</f>
        <v>เงินบำรุง</v>
      </c>
      <c r="O216" s="215" t="str">
        <f>+'แผนลงทุน 1ปี '!G214</f>
        <v>ครุภัณฑ์</v>
      </c>
      <c r="P216" s="215" t="str">
        <f>+'แผนลงทุน 1ปี '!H214</f>
        <v>M</v>
      </c>
    </row>
    <row r="217" spans="2:16" s="138" customFormat="1" ht="21">
      <c r="B217" s="699">
        <v>210</v>
      </c>
      <c r="C217" s="478" t="s">
        <v>2121</v>
      </c>
      <c r="D217" s="215" t="s">
        <v>2727</v>
      </c>
      <c r="E217" s="219">
        <f>+'แผนลงทุน 1ปี '!C215</f>
        <v>45900</v>
      </c>
      <c r="F217" s="1633">
        <f>+'แผนลงทุน 1ปี '!D215</f>
        <v>1</v>
      </c>
      <c r="G217" s="219">
        <f>+'แผนลงทุน 1ปี '!E215</f>
        <v>45900</v>
      </c>
      <c r="H217" s="324">
        <v>0</v>
      </c>
      <c r="I217" s="325">
        <v>0</v>
      </c>
      <c r="J217" s="324">
        <v>0</v>
      </c>
      <c r="K217" s="325">
        <v>0</v>
      </c>
      <c r="L217" s="325">
        <v>0</v>
      </c>
      <c r="M217" s="325">
        <v>0</v>
      </c>
      <c r="N217" s="215" t="str">
        <f>+'แผนลงทุน 1ปี '!F215</f>
        <v>เงินบำรุง</v>
      </c>
      <c r="O217" s="215" t="str">
        <f>+'แผนลงทุน 1ปี '!G215</f>
        <v>ครุภัณฑ์</v>
      </c>
      <c r="P217" s="215" t="str">
        <f>+'แผนลงทุน 1ปี '!H215</f>
        <v>M</v>
      </c>
    </row>
    <row r="218" spans="2:16" s="138" customFormat="1" ht="21">
      <c r="B218" s="699">
        <v>211</v>
      </c>
      <c r="C218" s="478" t="s">
        <v>448</v>
      </c>
      <c r="D218" s="215" t="s">
        <v>2728</v>
      </c>
      <c r="E218" s="219">
        <f>+'แผนลงทุน 1ปี '!C216</f>
        <v>202658</v>
      </c>
      <c r="F218" s="1633">
        <f>+'แผนลงทุน 1ปี '!D216</f>
        <v>1</v>
      </c>
      <c r="G218" s="219">
        <f>+'แผนลงทุน 1ปี '!E216</f>
        <v>202658</v>
      </c>
      <c r="H218" s="324">
        <v>0</v>
      </c>
      <c r="I218" s="325">
        <v>0</v>
      </c>
      <c r="J218" s="324">
        <v>0</v>
      </c>
      <c r="K218" s="325">
        <v>0</v>
      </c>
      <c r="L218" s="325">
        <v>0</v>
      </c>
      <c r="M218" s="325">
        <v>0</v>
      </c>
      <c r="N218" s="215" t="str">
        <f>+'แผนลงทุน 1ปี '!F216</f>
        <v>เงินบำรุง</v>
      </c>
      <c r="O218" s="215" t="str">
        <f>+'แผนลงทุน 1ปี '!G216</f>
        <v>ครุภัณฑ์</v>
      </c>
      <c r="P218" s="215" t="str">
        <f>+'แผนลงทุน 1ปี '!H216</f>
        <v>M</v>
      </c>
    </row>
    <row r="219" spans="2:16" s="138" customFormat="1" ht="21">
      <c r="B219" s="699">
        <v>212</v>
      </c>
      <c r="C219" s="478" t="s">
        <v>2125</v>
      </c>
      <c r="D219" s="215" t="s">
        <v>2733</v>
      </c>
      <c r="E219" s="219">
        <f>+'แผนลงทุน 1ปี '!C217</f>
        <v>40000</v>
      </c>
      <c r="F219" s="1633">
        <f>+'แผนลงทุน 1ปี '!D217</f>
        <v>1</v>
      </c>
      <c r="G219" s="219">
        <f>+'แผนลงทุน 1ปี '!E217</f>
        <v>40000</v>
      </c>
      <c r="H219" s="324">
        <v>0</v>
      </c>
      <c r="I219" s="325">
        <v>0</v>
      </c>
      <c r="J219" s="324">
        <v>0</v>
      </c>
      <c r="K219" s="325">
        <v>0</v>
      </c>
      <c r="L219" s="325">
        <v>0</v>
      </c>
      <c r="M219" s="325">
        <v>0</v>
      </c>
      <c r="N219" s="215" t="str">
        <f>+'แผนลงทุน 1ปี '!F217</f>
        <v>เงินบำรุง</v>
      </c>
      <c r="O219" s="215" t="str">
        <f>+'แผนลงทุน 1ปี '!G217</f>
        <v>ครุภัณฑ์</v>
      </c>
      <c r="P219" s="215" t="str">
        <f>+'แผนลงทุน 1ปี '!H217</f>
        <v>M</v>
      </c>
    </row>
    <row r="220" spans="2:16" s="138" customFormat="1" ht="21">
      <c r="B220" s="699">
        <v>213</v>
      </c>
      <c r="C220" s="478" t="s">
        <v>2126</v>
      </c>
      <c r="D220" s="215" t="s">
        <v>2733</v>
      </c>
      <c r="E220" s="219">
        <f>+'แผนลงทุน 1ปี '!C218</f>
        <v>6000</v>
      </c>
      <c r="F220" s="1633">
        <f>+'แผนลงทุน 1ปี '!D218</f>
        <v>2</v>
      </c>
      <c r="G220" s="219">
        <f>+'แผนลงทุน 1ปี '!E218</f>
        <v>12000</v>
      </c>
      <c r="H220" s="324">
        <v>0</v>
      </c>
      <c r="I220" s="325">
        <v>0</v>
      </c>
      <c r="J220" s="324">
        <v>0</v>
      </c>
      <c r="K220" s="325">
        <v>0</v>
      </c>
      <c r="L220" s="325">
        <v>0</v>
      </c>
      <c r="M220" s="325">
        <v>0</v>
      </c>
      <c r="N220" s="215" t="str">
        <f>+'แผนลงทุน 1ปี '!F218</f>
        <v>เงินบำรุง</v>
      </c>
      <c r="O220" s="215" t="str">
        <f>+'แผนลงทุน 1ปี '!G218</f>
        <v>ครุภัณฑ์</v>
      </c>
      <c r="P220" s="215" t="str">
        <f>+'แผนลงทุน 1ปี '!H218</f>
        <v>M</v>
      </c>
    </row>
    <row r="221" spans="2:16" s="138" customFormat="1" ht="21">
      <c r="B221" s="699">
        <v>214</v>
      </c>
      <c r="C221" s="478" t="s">
        <v>2127</v>
      </c>
      <c r="D221" s="215" t="s">
        <v>2732</v>
      </c>
      <c r="E221" s="219">
        <f>+'แผนลงทุน 1ปี '!C219</f>
        <v>14600</v>
      </c>
      <c r="F221" s="1633">
        <f>+'แผนลงทุน 1ปี '!D219</f>
        <v>1</v>
      </c>
      <c r="G221" s="219">
        <f>+'แผนลงทุน 1ปี '!E219</f>
        <v>14600</v>
      </c>
      <c r="H221" s="324">
        <v>0</v>
      </c>
      <c r="I221" s="325">
        <v>0</v>
      </c>
      <c r="J221" s="324">
        <v>0</v>
      </c>
      <c r="K221" s="325">
        <v>0</v>
      </c>
      <c r="L221" s="325">
        <v>0</v>
      </c>
      <c r="M221" s="325">
        <v>0</v>
      </c>
      <c r="N221" s="215" t="str">
        <f>+'แผนลงทุน 1ปี '!F219</f>
        <v>เงินบำรุง</v>
      </c>
      <c r="O221" s="215" t="str">
        <f>+'แผนลงทุน 1ปี '!G219</f>
        <v>ครุภัณฑ์</v>
      </c>
      <c r="P221" s="215" t="str">
        <f>+'แผนลงทุน 1ปี '!H219</f>
        <v>M</v>
      </c>
    </row>
    <row r="222" spans="2:16" s="138" customFormat="1" ht="21">
      <c r="B222" s="699">
        <v>215</v>
      </c>
      <c r="C222" s="478" t="s">
        <v>2475</v>
      </c>
      <c r="D222" s="215" t="s">
        <v>2727</v>
      </c>
      <c r="E222" s="219">
        <f>+'แผนลงทุน 1ปี '!C220</f>
        <v>7500</v>
      </c>
      <c r="F222" s="1633">
        <f>+'แผนลงทุน 1ปี '!D220</f>
        <v>1</v>
      </c>
      <c r="G222" s="219">
        <f>+'แผนลงทุน 1ปี '!E220</f>
        <v>7500</v>
      </c>
      <c r="H222" s="324">
        <v>0</v>
      </c>
      <c r="I222" s="325">
        <v>0</v>
      </c>
      <c r="J222" s="324">
        <v>0</v>
      </c>
      <c r="K222" s="325">
        <v>0</v>
      </c>
      <c r="L222" s="325">
        <v>0</v>
      </c>
      <c r="M222" s="325">
        <v>0</v>
      </c>
      <c r="N222" s="215" t="str">
        <f>+'แผนลงทุน 1ปี '!F220</f>
        <v>เงินบำรุง</v>
      </c>
      <c r="O222" s="215" t="str">
        <f>+'แผนลงทุน 1ปี '!G220</f>
        <v>ครุภัณฑ์</v>
      </c>
      <c r="P222" s="215" t="str">
        <f>+'แผนลงทุน 1ปี '!H220</f>
        <v>M</v>
      </c>
    </row>
    <row r="223" spans="2:16" s="138" customFormat="1" ht="21">
      <c r="B223" s="699">
        <v>216</v>
      </c>
      <c r="C223" s="478" t="s">
        <v>2001</v>
      </c>
      <c r="D223" s="215" t="s">
        <v>2727</v>
      </c>
      <c r="E223" s="219">
        <f>+'แผนลงทุน 1ปี '!C221</f>
        <v>40000</v>
      </c>
      <c r="F223" s="1633">
        <f>+'แผนลงทุน 1ปี '!D221</f>
        <v>1</v>
      </c>
      <c r="G223" s="219">
        <f>+'แผนลงทุน 1ปี '!E221</f>
        <v>40000</v>
      </c>
      <c r="H223" s="324">
        <v>0</v>
      </c>
      <c r="I223" s="325">
        <v>0</v>
      </c>
      <c r="J223" s="324">
        <v>0</v>
      </c>
      <c r="K223" s="325">
        <v>0</v>
      </c>
      <c r="L223" s="325">
        <v>0</v>
      </c>
      <c r="M223" s="325">
        <v>0</v>
      </c>
      <c r="N223" s="215" t="str">
        <f>+'แผนลงทุน 1ปี '!F221</f>
        <v>เงินบำรุง</v>
      </c>
      <c r="O223" s="215" t="str">
        <f>+'แผนลงทุน 1ปี '!G221</f>
        <v>ครุภัณฑ์</v>
      </c>
      <c r="P223" s="215" t="str">
        <f>+'แผนลงทุน 1ปี '!H221</f>
        <v>M</v>
      </c>
    </row>
    <row r="224" spans="2:16" s="138" customFormat="1" ht="21">
      <c r="B224" s="699">
        <v>217</v>
      </c>
      <c r="C224" s="478" t="s">
        <v>2139</v>
      </c>
      <c r="D224" s="215" t="s">
        <v>2727</v>
      </c>
      <c r="E224" s="219">
        <f>+'แผนลงทุน 1ปี '!C222</f>
        <v>150000</v>
      </c>
      <c r="F224" s="1633">
        <f>+'แผนลงทุน 1ปี '!D222</f>
        <v>1</v>
      </c>
      <c r="G224" s="219">
        <f>+'แผนลงทุน 1ปี '!E222</f>
        <v>150000</v>
      </c>
      <c r="H224" s="324">
        <v>0</v>
      </c>
      <c r="I224" s="325">
        <v>0</v>
      </c>
      <c r="J224" s="324">
        <v>0</v>
      </c>
      <c r="K224" s="325">
        <v>0</v>
      </c>
      <c r="L224" s="325">
        <v>0</v>
      </c>
      <c r="M224" s="325">
        <v>0</v>
      </c>
      <c r="N224" s="215" t="str">
        <f>+'แผนลงทุน 1ปี '!F222</f>
        <v>เงินบำรุง</v>
      </c>
      <c r="O224" s="215" t="str">
        <f>+'แผนลงทุน 1ปี '!G222</f>
        <v>ครุภัณฑ์</v>
      </c>
      <c r="P224" s="215" t="str">
        <f>+'แผนลงทุน 1ปี '!H222</f>
        <v>M</v>
      </c>
    </row>
    <row r="225" spans="2:16" s="138" customFormat="1" ht="21">
      <c r="B225" s="699">
        <v>218</v>
      </c>
      <c r="C225" s="478" t="s">
        <v>1357</v>
      </c>
      <c r="D225" s="215" t="s">
        <v>2727</v>
      </c>
      <c r="E225" s="219">
        <f>+'แผนลงทุน 1ปี '!C223</f>
        <v>20000</v>
      </c>
      <c r="F225" s="1633">
        <f>+'แผนลงทุน 1ปี '!D223</f>
        <v>1</v>
      </c>
      <c r="G225" s="219">
        <f>+'แผนลงทุน 1ปี '!E223</f>
        <v>20000</v>
      </c>
      <c r="H225" s="324">
        <v>0</v>
      </c>
      <c r="I225" s="325">
        <v>0</v>
      </c>
      <c r="J225" s="324">
        <v>0</v>
      </c>
      <c r="K225" s="325">
        <v>0</v>
      </c>
      <c r="L225" s="325">
        <v>0</v>
      </c>
      <c r="M225" s="325">
        <v>0</v>
      </c>
      <c r="N225" s="215" t="str">
        <f>+'แผนลงทุน 1ปี '!F223</f>
        <v>เงินบำรุง</v>
      </c>
      <c r="O225" s="215" t="str">
        <f>+'แผนลงทุน 1ปี '!G223</f>
        <v>ครุภัณฑ์</v>
      </c>
      <c r="P225" s="215" t="str">
        <f>+'แผนลงทุน 1ปี '!H223</f>
        <v>M</v>
      </c>
    </row>
    <row r="226" spans="2:16" s="138" customFormat="1" ht="21">
      <c r="B226" s="699">
        <v>219</v>
      </c>
      <c r="C226" s="478" t="s">
        <v>1772</v>
      </c>
      <c r="D226" s="215" t="s">
        <v>2736</v>
      </c>
      <c r="E226" s="219">
        <f>+'แผนลงทุน 1ปี '!C224</f>
        <v>750000</v>
      </c>
      <c r="F226" s="1633">
        <f>+'แผนลงทุน 1ปี '!D224</f>
        <v>1</v>
      </c>
      <c r="G226" s="219">
        <f>+'แผนลงทุน 1ปี '!E224</f>
        <v>750000</v>
      </c>
      <c r="H226" s="324">
        <v>0</v>
      </c>
      <c r="I226" s="325">
        <v>0</v>
      </c>
      <c r="J226" s="324">
        <v>0</v>
      </c>
      <c r="K226" s="325">
        <v>0</v>
      </c>
      <c r="L226" s="325">
        <v>0</v>
      </c>
      <c r="M226" s="325">
        <v>0</v>
      </c>
      <c r="N226" s="215" t="str">
        <f>+'แผนลงทุน 1ปี '!F224</f>
        <v>เงินบำรุง</v>
      </c>
      <c r="O226" s="215" t="str">
        <f>+'แผนลงทุน 1ปี '!G224</f>
        <v>ครุภัณฑ์</v>
      </c>
      <c r="P226" s="215" t="str">
        <f>+'แผนลงทุน 1ปี '!H224</f>
        <v>M</v>
      </c>
    </row>
    <row r="227" spans="2:16" s="138" customFormat="1" ht="21">
      <c r="B227" s="699">
        <v>220</v>
      </c>
      <c r="C227" s="478" t="s">
        <v>1773</v>
      </c>
      <c r="D227" s="215" t="s">
        <v>2727</v>
      </c>
      <c r="E227" s="219">
        <f>+'แผนลงทุน 1ปี '!C225</f>
        <v>1500000</v>
      </c>
      <c r="F227" s="1633">
        <f>+'แผนลงทุน 1ปี '!D225</f>
        <v>1</v>
      </c>
      <c r="G227" s="219">
        <f>+'แผนลงทุน 1ปี '!E225</f>
        <v>1500000</v>
      </c>
      <c r="H227" s="324">
        <v>0</v>
      </c>
      <c r="I227" s="325">
        <v>0</v>
      </c>
      <c r="J227" s="324">
        <v>0</v>
      </c>
      <c r="K227" s="325">
        <v>0</v>
      </c>
      <c r="L227" s="325">
        <v>0</v>
      </c>
      <c r="M227" s="325">
        <v>0</v>
      </c>
      <c r="N227" s="215" t="str">
        <f>+'แผนลงทุน 1ปี '!F225</f>
        <v>เงินบำรุง</v>
      </c>
      <c r="O227" s="215" t="str">
        <f>+'แผนลงทุน 1ปี '!G225</f>
        <v>ครุภัณฑ์</v>
      </c>
      <c r="P227" s="215" t="str">
        <f>+'แผนลงทุน 1ปี '!H225</f>
        <v>M</v>
      </c>
    </row>
    <row r="228" spans="2:16" s="138" customFormat="1" ht="21">
      <c r="B228" s="699">
        <v>221</v>
      </c>
      <c r="C228" s="478" t="s">
        <v>2151</v>
      </c>
      <c r="D228" s="215" t="s">
        <v>2727</v>
      </c>
      <c r="E228" s="219">
        <f>+'แผนลงทุน 1ปี '!C226</f>
        <v>440000</v>
      </c>
      <c r="F228" s="1633">
        <f>+'แผนลงทุน 1ปี '!D226</f>
        <v>1</v>
      </c>
      <c r="G228" s="219">
        <f>+'แผนลงทุน 1ปี '!E226</f>
        <v>440000</v>
      </c>
      <c r="H228" s="324">
        <v>0</v>
      </c>
      <c r="I228" s="325">
        <v>0</v>
      </c>
      <c r="J228" s="324">
        <v>0</v>
      </c>
      <c r="K228" s="325">
        <v>0</v>
      </c>
      <c r="L228" s="325">
        <v>0</v>
      </c>
      <c r="M228" s="325">
        <v>0</v>
      </c>
      <c r="N228" s="215" t="str">
        <f>+'แผนลงทุน 1ปี '!F226</f>
        <v>เงินบำรุง</v>
      </c>
      <c r="O228" s="215" t="str">
        <f>+'แผนลงทุน 1ปี '!G226</f>
        <v>ครุภัณฑ์</v>
      </c>
      <c r="P228" s="215" t="str">
        <f>+'แผนลงทุน 1ปี '!H226</f>
        <v>M</v>
      </c>
    </row>
    <row r="229" spans="2:16" s="138" customFormat="1" ht="21">
      <c r="B229" s="699">
        <v>222</v>
      </c>
      <c r="C229" s="478" t="s">
        <v>1819</v>
      </c>
      <c r="D229" s="215" t="s">
        <v>2727</v>
      </c>
      <c r="E229" s="219">
        <f>+'แผนลงทุน 1ปี '!C227</f>
        <v>2500</v>
      </c>
      <c r="F229" s="1633">
        <f>+'แผนลงทุน 1ปี '!D227</f>
        <v>8</v>
      </c>
      <c r="G229" s="219">
        <f>+'แผนลงทุน 1ปี '!E227</f>
        <v>20000</v>
      </c>
      <c r="H229" s="324">
        <v>0</v>
      </c>
      <c r="I229" s="325">
        <v>0</v>
      </c>
      <c r="J229" s="324">
        <v>0</v>
      </c>
      <c r="K229" s="325">
        <v>0</v>
      </c>
      <c r="L229" s="325">
        <v>0</v>
      </c>
      <c r="M229" s="325">
        <v>0</v>
      </c>
      <c r="N229" s="215" t="str">
        <f>+'แผนลงทุน 1ปี '!F227</f>
        <v>เงินบำรุง</v>
      </c>
      <c r="O229" s="215" t="str">
        <f>+'แผนลงทุน 1ปี '!G227</f>
        <v>ครุภัณฑ์</v>
      </c>
      <c r="P229" s="215" t="str">
        <f>+'แผนลงทุน 1ปี '!H227</f>
        <v>M</v>
      </c>
    </row>
    <row r="230" spans="2:16" s="138" customFormat="1" ht="21">
      <c r="B230" s="699">
        <v>223</v>
      </c>
      <c r="C230" s="478" t="s">
        <v>1994</v>
      </c>
      <c r="D230" s="215" t="s">
        <v>2727</v>
      </c>
      <c r="E230" s="219">
        <f>+'แผนลงทุน 1ปี '!C228</f>
        <v>1600000</v>
      </c>
      <c r="F230" s="1633">
        <f>+'แผนลงทุน 1ปี '!D228</f>
        <v>2</v>
      </c>
      <c r="G230" s="219">
        <f>+'แผนลงทุน 1ปี '!E228</f>
        <v>3200000</v>
      </c>
      <c r="H230" s="324">
        <v>0</v>
      </c>
      <c r="I230" s="325">
        <v>0</v>
      </c>
      <c r="J230" s="324">
        <v>0</v>
      </c>
      <c r="K230" s="325">
        <v>0</v>
      </c>
      <c r="L230" s="325">
        <v>0</v>
      </c>
      <c r="M230" s="325">
        <v>0</v>
      </c>
      <c r="N230" s="215" t="str">
        <f>+'แผนลงทุน 1ปี '!F228</f>
        <v>เงินบำรุง</v>
      </c>
      <c r="O230" s="215" t="str">
        <f>+'แผนลงทุน 1ปี '!G228</f>
        <v>ครุภัณฑ์</v>
      </c>
      <c r="P230" s="215" t="str">
        <f>+'แผนลงทุน 1ปี '!H228</f>
        <v>M</v>
      </c>
    </row>
    <row r="231" spans="2:16" s="138" customFormat="1" ht="21">
      <c r="B231" s="699">
        <v>224</v>
      </c>
      <c r="C231" s="478" t="s">
        <v>2143</v>
      </c>
      <c r="D231" s="215" t="s">
        <v>2734</v>
      </c>
      <c r="E231" s="219">
        <f>+'แผนลงทุน 1ปี '!C229</f>
        <v>14500</v>
      </c>
      <c r="F231" s="1633">
        <f>+'แผนลงทุน 1ปี '!D229</f>
        <v>2</v>
      </c>
      <c r="G231" s="219">
        <f>+'แผนลงทุน 1ปี '!E229</f>
        <v>29000</v>
      </c>
      <c r="H231" s="324">
        <v>0</v>
      </c>
      <c r="I231" s="325">
        <v>0</v>
      </c>
      <c r="J231" s="324">
        <v>0</v>
      </c>
      <c r="K231" s="325">
        <v>0</v>
      </c>
      <c r="L231" s="325">
        <v>0</v>
      </c>
      <c r="M231" s="325">
        <v>0</v>
      </c>
      <c r="N231" s="215" t="str">
        <f>+'แผนลงทุน 1ปี '!F229</f>
        <v>เงินบำรุง</v>
      </c>
      <c r="O231" s="215" t="str">
        <f>+'แผนลงทุน 1ปี '!G229</f>
        <v>ครุภัณฑ์</v>
      </c>
      <c r="P231" s="215" t="str">
        <f>+'แผนลงทุน 1ปี '!H229</f>
        <v>M</v>
      </c>
    </row>
    <row r="232" spans="2:16" s="138" customFormat="1" ht="21">
      <c r="B232" s="233">
        <v>225</v>
      </c>
      <c r="C232" s="478" t="s">
        <v>2140</v>
      </c>
      <c r="D232" s="215" t="s">
        <v>2733</v>
      </c>
      <c r="E232" s="219">
        <f>+'แผนลงทุน 1ปี '!C230</f>
        <v>13000</v>
      </c>
      <c r="F232" s="1633">
        <f>+'แผนลงทุน 1ปี '!D230</f>
        <v>1</v>
      </c>
      <c r="G232" s="219">
        <f>+'แผนลงทุน 1ปี '!E230</f>
        <v>13000</v>
      </c>
      <c r="H232" s="324">
        <v>0</v>
      </c>
      <c r="I232" s="325">
        <v>0</v>
      </c>
      <c r="J232" s="324">
        <v>0</v>
      </c>
      <c r="K232" s="325">
        <v>0</v>
      </c>
      <c r="L232" s="325">
        <v>0</v>
      </c>
      <c r="M232" s="325">
        <v>0</v>
      </c>
      <c r="N232" s="215" t="str">
        <f>+'แผนลงทุน 1ปี '!F230</f>
        <v>เงินบำรุง</v>
      </c>
      <c r="O232" s="215" t="str">
        <f>+'แผนลงทุน 1ปี '!G230</f>
        <v>ครุภัณฑ์</v>
      </c>
      <c r="P232" s="215" t="str">
        <f>+'แผนลงทุน 1ปี '!H230</f>
        <v>M</v>
      </c>
    </row>
    <row r="233" spans="2:16" s="138" customFormat="1" ht="21">
      <c r="B233" s="699">
        <v>226</v>
      </c>
      <c r="C233" s="478" t="s">
        <v>1907</v>
      </c>
      <c r="D233" s="215" t="s">
        <v>2730</v>
      </c>
      <c r="E233" s="219">
        <f>+'แผนลงทุน 1ปี '!C231</f>
        <v>3200</v>
      </c>
      <c r="F233" s="1633">
        <f>+'แผนลงทุน 1ปี '!D231</f>
        <v>4</v>
      </c>
      <c r="G233" s="219">
        <f>+'แผนลงทุน 1ปี '!E231</f>
        <v>12800</v>
      </c>
      <c r="H233" s="324">
        <v>0</v>
      </c>
      <c r="I233" s="325">
        <v>0</v>
      </c>
      <c r="J233" s="324">
        <v>0</v>
      </c>
      <c r="K233" s="325">
        <v>0</v>
      </c>
      <c r="L233" s="325">
        <v>0</v>
      </c>
      <c r="M233" s="325">
        <v>0</v>
      </c>
      <c r="N233" s="215" t="str">
        <f>+'แผนลงทุน 1ปี '!F231</f>
        <v>เงินบริจาค</v>
      </c>
      <c r="O233" s="215" t="str">
        <f>+'แผนลงทุน 1ปี '!G231</f>
        <v>ครุภัณฑ์</v>
      </c>
      <c r="P233" s="215" t="str">
        <f>+'แผนลงทุน 1ปี '!H231</f>
        <v>M</v>
      </c>
    </row>
    <row r="234" spans="2:16" s="138" customFormat="1" ht="21">
      <c r="B234" s="699">
        <v>227</v>
      </c>
      <c r="C234" s="478" t="s">
        <v>1908</v>
      </c>
      <c r="D234" s="215" t="s">
        <v>2730</v>
      </c>
      <c r="E234" s="219">
        <f>+'แผนลงทุน 1ปี '!C232</f>
        <v>90900</v>
      </c>
      <c r="F234" s="1633">
        <f>+'แผนลงทุน 1ปี '!D232</f>
        <v>2</v>
      </c>
      <c r="G234" s="219">
        <f>+'แผนลงทุน 1ปี '!E232</f>
        <v>181800</v>
      </c>
      <c r="H234" s="324">
        <v>0</v>
      </c>
      <c r="I234" s="325">
        <v>0</v>
      </c>
      <c r="J234" s="324">
        <v>0</v>
      </c>
      <c r="K234" s="325">
        <v>0</v>
      </c>
      <c r="L234" s="325">
        <v>0</v>
      </c>
      <c r="M234" s="325">
        <v>0</v>
      </c>
      <c r="N234" s="215" t="str">
        <f>+'แผนลงทุน 1ปี '!F232</f>
        <v>เงินบริจาค</v>
      </c>
      <c r="O234" s="215" t="str">
        <f>+'แผนลงทุน 1ปี '!G232</f>
        <v>ครุภัณฑ์</v>
      </c>
      <c r="P234" s="215" t="str">
        <f>+'แผนลงทุน 1ปี '!H232</f>
        <v>M</v>
      </c>
    </row>
    <row r="235" spans="2:16" s="138" customFormat="1" ht="42">
      <c r="B235" s="699">
        <v>228</v>
      </c>
      <c r="C235" s="260" t="s">
        <v>2494</v>
      </c>
      <c r="D235" s="215" t="s">
        <v>2730</v>
      </c>
      <c r="E235" s="219">
        <f>+'แผนลงทุน 1ปี '!C233</f>
        <v>250000</v>
      </c>
      <c r="F235" s="1633">
        <f>+'แผนลงทุน 1ปี '!D233</f>
        <v>1</v>
      </c>
      <c r="G235" s="219">
        <f>+'แผนลงทุน 1ปี '!E233</f>
        <v>250000</v>
      </c>
      <c r="H235" s="324">
        <v>0</v>
      </c>
      <c r="I235" s="325">
        <v>0</v>
      </c>
      <c r="J235" s="324">
        <v>0</v>
      </c>
      <c r="K235" s="325">
        <v>0</v>
      </c>
      <c r="L235" s="325">
        <v>0</v>
      </c>
      <c r="M235" s="325">
        <v>0</v>
      </c>
      <c r="N235" s="215" t="str">
        <f>+'แผนลงทุน 1ปี '!F233</f>
        <v>เงินบริจาค</v>
      </c>
      <c r="O235" s="215" t="str">
        <f>+'แผนลงทุน 1ปี '!G233</f>
        <v>ครุภัณฑ์</v>
      </c>
      <c r="P235" s="215" t="str">
        <f>+'แผนลงทุน 1ปี '!H233</f>
        <v>M</v>
      </c>
    </row>
    <row r="236" spans="2:16" s="138" customFormat="1" ht="42">
      <c r="B236" s="699">
        <v>229</v>
      </c>
      <c r="C236" s="391" t="s">
        <v>2586</v>
      </c>
      <c r="D236" s="215" t="s">
        <v>2730</v>
      </c>
      <c r="E236" s="219">
        <f>+'แผนลงทุน 1ปี '!C234</f>
        <v>98600</v>
      </c>
      <c r="F236" s="1633">
        <f>+'แผนลงทุน 1ปี '!D234</f>
        <v>1</v>
      </c>
      <c r="G236" s="219">
        <f>+'แผนลงทุน 1ปี '!E234</f>
        <v>98600</v>
      </c>
      <c r="H236" s="324">
        <v>0</v>
      </c>
      <c r="I236" s="325">
        <v>0</v>
      </c>
      <c r="J236" s="324">
        <v>0</v>
      </c>
      <c r="K236" s="325">
        <v>0</v>
      </c>
      <c r="L236" s="325">
        <v>0</v>
      </c>
      <c r="M236" s="325">
        <v>0</v>
      </c>
      <c r="N236" s="215" t="str">
        <f>+'แผนลงทุน 1ปี '!F234</f>
        <v>เงินบริจาค</v>
      </c>
      <c r="O236" s="215" t="str">
        <f>+'แผนลงทุน 1ปี '!G234</f>
        <v>ครุภัณฑ์</v>
      </c>
      <c r="P236" s="215" t="str">
        <f>+'แผนลงทุน 1ปี '!H234</f>
        <v>M</v>
      </c>
    </row>
    <row r="237" spans="2:16" s="138" customFormat="1" ht="42">
      <c r="B237" s="699">
        <v>230</v>
      </c>
      <c r="C237" s="391" t="s">
        <v>2587</v>
      </c>
      <c r="D237" s="215" t="s">
        <v>2730</v>
      </c>
      <c r="E237" s="219">
        <f>+'แผนลงทุน 1ปี '!C235</f>
        <v>91400</v>
      </c>
      <c r="F237" s="1633">
        <f>+'แผนลงทุน 1ปี '!D235</f>
        <v>1</v>
      </c>
      <c r="G237" s="219">
        <f>+'แผนลงทุน 1ปี '!E235</f>
        <v>91400</v>
      </c>
      <c r="H237" s="324">
        <v>0</v>
      </c>
      <c r="I237" s="325">
        <v>0</v>
      </c>
      <c r="J237" s="324">
        <v>0</v>
      </c>
      <c r="K237" s="325">
        <v>0</v>
      </c>
      <c r="L237" s="325">
        <v>0</v>
      </c>
      <c r="M237" s="325">
        <v>0</v>
      </c>
      <c r="N237" s="215" t="str">
        <f>+'แผนลงทุน 1ปี '!F235</f>
        <v>เงินบริจาค</v>
      </c>
      <c r="O237" s="215" t="str">
        <f>+'แผนลงทุน 1ปี '!G235</f>
        <v>ครุภัณฑ์</v>
      </c>
      <c r="P237" s="215" t="str">
        <f>+'แผนลงทุน 1ปี '!H235</f>
        <v>M</v>
      </c>
    </row>
    <row r="238" spans="2:16" s="138" customFormat="1" ht="42">
      <c r="B238" s="699">
        <v>231</v>
      </c>
      <c r="C238" s="391" t="s">
        <v>2588</v>
      </c>
      <c r="D238" s="215" t="s">
        <v>2730</v>
      </c>
      <c r="E238" s="219">
        <f>+'แผนลงทุน 1ปี '!C236</f>
        <v>32000</v>
      </c>
      <c r="F238" s="1633">
        <f>+'แผนลงทุน 1ปี '!D236</f>
        <v>5</v>
      </c>
      <c r="G238" s="219">
        <f>+'แผนลงทุน 1ปี '!E236</f>
        <v>160000</v>
      </c>
      <c r="H238" s="324">
        <v>0</v>
      </c>
      <c r="I238" s="325">
        <v>0</v>
      </c>
      <c r="J238" s="324">
        <v>0</v>
      </c>
      <c r="K238" s="325">
        <v>0</v>
      </c>
      <c r="L238" s="325">
        <v>0</v>
      </c>
      <c r="M238" s="325">
        <v>0</v>
      </c>
      <c r="N238" s="215" t="str">
        <f>+'แผนลงทุน 1ปี '!F236</f>
        <v>เงินบริจาค</v>
      </c>
      <c r="O238" s="215" t="str">
        <f>+'แผนลงทุน 1ปี '!G236</f>
        <v>ครุภัณฑ์</v>
      </c>
      <c r="P238" s="215" t="str">
        <f>+'แผนลงทุน 1ปี '!H236</f>
        <v>M</v>
      </c>
    </row>
    <row r="239" spans="2:16" s="138" customFormat="1" ht="42">
      <c r="B239" s="699">
        <v>232</v>
      </c>
      <c r="C239" s="391" t="s">
        <v>2589</v>
      </c>
      <c r="D239" s="215" t="s">
        <v>2730</v>
      </c>
      <c r="E239" s="219">
        <f>+'แผนลงทุน 1ปี '!C237</f>
        <v>32000</v>
      </c>
      <c r="F239" s="1633">
        <f>+'แผนลงทุน 1ปี '!D237</f>
        <v>5</v>
      </c>
      <c r="G239" s="219">
        <f>+'แผนลงทุน 1ปี '!E237</f>
        <v>160000</v>
      </c>
      <c r="H239" s="324">
        <v>0</v>
      </c>
      <c r="I239" s="325">
        <v>0</v>
      </c>
      <c r="J239" s="324">
        <v>0</v>
      </c>
      <c r="K239" s="325">
        <v>0</v>
      </c>
      <c r="L239" s="325">
        <v>0</v>
      </c>
      <c r="M239" s="325">
        <v>0</v>
      </c>
      <c r="N239" s="215" t="str">
        <f>+'แผนลงทุน 1ปี '!F237</f>
        <v>เงินบริจาค</v>
      </c>
      <c r="O239" s="215" t="str">
        <f>+'แผนลงทุน 1ปี '!G237</f>
        <v>ครุภัณฑ์</v>
      </c>
      <c r="P239" s="215" t="str">
        <f>+'แผนลงทุน 1ปี '!H237</f>
        <v>M</v>
      </c>
    </row>
    <row r="240" spans="2:16" s="138" customFormat="1" ht="21">
      <c r="B240" s="699">
        <v>233</v>
      </c>
      <c r="C240" s="478" t="s">
        <v>1914</v>
      </c>
      <c r="D240" s="215" t="s">
        <v>2730</v>
      </c>
      <c r="E240" s="219">
        <f>+'แผนลงทุน 1ปี '!C238</f>
        <v>7700</v>
      </c>
      <c r="F240" s="1633">
        <f>+'แผนลงทุน 1ปี '!D238</f>
        <v>2</v>
      </c>
      <c r="G240" s="219">
        <f>+'แผนลงทุน 1ปี '!E238</f>
        <v>15400</v>
      </c>
      <c r="H240" s="324">
        <v>0</v>
      </c>
      <c r="I240" s="325">
        <v>0</v>
      </c>
      <c r="J240" s="324">
        <v>0</v>
      </c>
      <c r="K240" s="325">
        <v>0</v>
      </c>
      <c r="L240" s="325">
        <v>0</v>
      </c>
      <c r="M240" s="325">
        <v>0</v>
      </c>
      <c r="N240" s="215" t="str">
        <f>+'แผนลงทุน 1ปี '!F238</f>
        <v>เงินบริจาค</v>
      </c>
      <c r="O240" s="215" t="str">
        <f>+'แผนลงทุน 1ปี '!G238</f>
        <v>ครุภัณฑ์</v>
      </c>
      <c r="P240" s="215" t="str">
        <f>+'แผนลงทุน 1ปี '!H238</f>
        <v>M</v>
      </c>
    </row>
    <row r="241" spans="2:16" s="138" customFormat="1" ht="21">
      <c r="B241" s="699">
        <v>234</v>
      </c>
      <c r="C241" s="478" t="s">
        <v>1915</v>
      </c>
      <c r="D241" s="215" t="s">
        <v>2727</v>
      </c>
      <c r="E241" s="219">
        <f>+'แผนลงทุน 1ปี '!C239</f>
        <v>50000</v>
      </c>
      <c r="F241" s="1633">
        <f>+'แผนลงทุน 1ปี '!D239</f>
        <v>1</v>
      </c>
      <c r="G241" s="219">
        <f>+'แผนลงทุน 1ปี '!E239</f>
        <v>50000</v>
      </c>
      <c r="H241" s="324">
        <v>0</v>
      </c>
      <c r="I241" s="325">
        <v>0</v>
      </c>
      <c r="J241" s="324">
        <v>0</v>
      </c>
      <c r="K241" s="325">
        <v>0</v>
      </c>
      <c r="L241" s="325">
        <v>0</v>
      </c>
      <c r="M241" s="325">
        <v>0</v>
      </c>
      <c r="N241" s="215" t="str">
        <f>+'แผนลงทุน 1ปี '!F239</f>
        <v>เงินบริจาค</v>
      </c>
      <c r="O241" s="215" t="str">
        <f>+'แผนลงทุน 1ปี '!G239</f>
        <v>ครุภัณฑ์</v>
      </c>
      <c r="P241" s="215" t="str">
        <f>+'แผนลงทุน 1ปี '!H239</f>
        <v>M</v>
      </c>
    </row>
    <row r="242" spans="2:16" s="138" customFormat="1" ht="21">
      <c r="B242" s="699">
        <v>235</v>
      </c>
      <c r="C242" s="478" t="s">
        <v>1916</v>
      </c>
      <c r="D242" s="215" t="s">
        <v>2732</v>
      </c>
      <c r="E242" s="219">
        <f>+'แผนลงทุน 1ปี '!C240</f>
        <v>40000</v>
      </c>
      <c r="F242" s="1633">
        <f>+'แผนลงทุน 1ปี '!D240</f>
        <v>1</v>
      </c>
      <c r="G242" s="219">
        <f>+'แผนลงทุน 1ปี '!E240</f>
        <v>40000</v>
      </c>
      <c r="H242" s="324">
        <v>0</v>
      </c>
      <c r="I242" s="325">
        <v>0</v>
      </c>
      <c r="J242" s="324">
        <v>0</v>
      </c>
      <c r="K242" s="325">
        <v>0</v>
      </c>
      <c r="L242" s="325">
        <v>0</v>
      </c>
      <c r="M242" s="325">
        <v>0</v>
      </c>
      <c r="N242" s="215" t="str">
        <f>+'แผนลงทุน 1ปี '!F240</f>
        <v>เงินบริจาค</v>
      </c>
      <c r="O242" s="215" t="str">
        <f>+'แผนลงทุน 1ปี '!G240</f>
        <v>ครุภัณฑ์</v>
      </c>
      <c r="P242" s="215" t="str">
        <f>+'แผนลงทุน 1ปี '!H240</f>
        <v>M</v>
      </c>
    </row>
    <row r="243" spans="2:16" s="138" customFormat="1" ht="21">
      <c r="B243" s="699">
        <v>236</v>
      </c>
      <c r="C243" s="478" t="s">
        <v>1917</v>
      </c>
      <c r="D243" s="215" t="s">
        <v>2727</v>
      </c>
      <c r="E243" s="219">
        <f>+'แผนลงทุน 1ปี '!C241</f>
        <v>150000</v>
      </c>
      <c r="F243" s="1633">
        <f>+'แผนลงทุน 1ปี '!D241</f>
        <v>1</v>
      </c>
      <c r="G243" s="219">
        <f>+'แผนลงทุน 1ปี '!E241</f>
        <v>150000</v>
      </c>
      <c r="H243" s="324">
        <v>0</v>
      </c>
      <c r="I243" s="325">
        <v>0</v>
      </c>
      <c r="J243" s="324">
        <v>0</v>
      </c>
      <c r="K243" s="325">
        <v>0</v>
      </c>
      <c r="L243" s="325">
        <v>0</v>
      </c>
      <c r="M243" s="325">
        <v>0</v>
      </c>
      <c r="N243" s="215" t="str">
        <f>+'แผนลงทุน 1ปี '!F241</f>
        <v>เงินบริจาค</v>
      </c>
      <c r="O243" s="215" t="str">
        <f>+'แผนลงทุน 1ปี '!G241</f>
        <v>ครุภัณฑ์</v>
      </c>
      <c r="P243" s="215" t="str">
        <f>+'แผนลงทุน 1ปี '!H241</f>
        <v>M</v>
      </c>
    </row>
    <row r="244" spans="2:16" s="138" customFormat="1" ht="21">
      <c r="B244" s="699">
        <v>237</v>
      </c>
      <c r="C244" s="478" t="s">
        <v>2450</v>
      </c>
      <c r="D244" s="215" t="s">
        <v>2727</v>
      </c>
      <c r="E244" s="219">
        <f>+'แผนลงทุน 1ปี '!C242</f>
        <v>50000</v>
      </c>
      <c r="F244" s="1633">
        <f>+'แผนลงทุน 1ปี '!D242</f>
        <v>1</v>
      </c>
      <c r="G244" s="219">
        <f>+'แผนลงทุน 1ปี '!E242</f>
        <v>50000</v>
      </c>
      <c r="H244" s="324">
        <v>0</v>
      </c>
      <c r="I244" s="325">
        <v>0</v>
      </c>
      <c r="J244" s="324">
        <v>0</v>
      </c>
      <c r="K244" s="325">
        <v>0</v>
      </c>
      <c r="L244" s="325">
        <v>0</v>
      </c>
      <c r="M244" s="325">
        <v>0</v>
      </c>
      <c r="N244" s="215" t="str">
        <f>+'แผนลงทุน 1ปี '!F242</f>
        <v>เงินบริจาค</v>
      </c>
      <c r="O244" s="215" t="str">
        <f>+'แผนลงทุน 1ปี '!G242</f>
        <v>ครุภัณฑ์</v>
      </c>
      <c r="P244" s="215" t="str">
        <f>+'แผนลงทุน 1ปี '!H242</f>
        <v>M</v>
      </c>
    </row>
    <row r="245" spans="2:16" s="138" customFormat="1" ht="21">
      <c r="B245" s="699">
        <v>238</v>
      </c>
      <c r="C245" s="478" t="s">
        <v>1919</v>
      </c>
      <c r="D245" s="215" t="s">
        <v>2735</v>
      </c>
      <c r="E245" s="219">
        <f>+'แผนลงทุน 1ปี '!C243</f>
        <v>400000</v>
      </c>
      <c r="F245" s="1633">
        <f>+'แผนลงทุน 1ปี '!D243</f>
        <v>1</v>
      </c>
      <c r="G245" s="219">
        <f>+'แผนลงทุน 1ปี '!E243</f>
        <v>400000</v>
      </c>
      <c r="H245" s="324">
        <v>0</v>
      </c>
      <c r="I245" s="325">
        <v>0</v>
      </c>
      <c r="J245" s="324">
        <v>0</v>
      </c>
      <c r="K245" s="325">
        <v>0</v>
      </c>
      <c r="L245" s="325">
        <v>0</v>
      </c>
      <c r="M245" s="325">
        <v>0</v>
      </c>
      <c r="N245" s="215" t="str">
        <f>+'แผนลงทุน 1ปี '!F243</f>
        <v>เงินบริจาค</v>
      </c>
      <c r="O245" s="215" t="str">
        <f>+'แผนลงทุน 1ปี '!G243</f>
        <v>ครุภัณฑ์</v>
      </c>
      <c r="P245" s="215" t="str">
        <f>+'แผนลงทุน 1ปี '!H243</f>
        <v>M</v>
      </c>
    </row>
    <row r="246" spans="2:16" s="138" customFormat="1" ht="42">
      <c r="B246" s="699">
        <v>239</v>
      </c>
      <c r="C246" s="391" t="s">
        <v>2585</v>
      </c>
      <c r="D246" s="215" t="s">
        <v>2727</v>
      </c>
      <c r="E246" s="219">
        <f>+'แผนลงทุน 1ปี '!C244</f>
        <v>80000</v>
      </c>
      <c r="F246" s="1633">
        <f>+'แผนลงทุน 1ปี '!D244</f>
        <v>1</v>
      </c>
      <c r="G246" s="219">
        <f>+'แผนลงทุน 1ปี '!E244</f>
        <v>80000</v>
      </c>
      <c r="H246" s="324">
        <v>0</v>
      </c>
      <c r="I246" s="325">
        <v>0</v>
      </c>
      <c r="J246" s="324">
        <v>0</v>
      </c>
      <c r="K246" s="325">
        <v>0</v>
      </c>
      <c r="L246" s="325">
        <v>0</v>
      </c>
      <c r="M246" s="325">
        <v>0</v>
      </c>
      <c r="N246" s="215" t="str">
        <f>+'แผนลงทุน 1ปี '!F244</f>
        <v>เงินบริจาค</v>
      </c>
      <c r="O246" s="215" t="str">
        <f>+'แผนลงทุน 1ปี '!G244</f>
        <v>ครุภัณฑ์</v>
      </c>
      <c r="P246" s="215" t="str">
        <f>+'แผนลงทุน 1ปี '!H244</f>
        <v>M</v>
      </c>
    </row>
    <row r="247" spans="2:16" s="138" customFormat="1" ht="21">
      <c r="B247" s="699">
        <v>240</v>
      </c>
      <c r="C247" s="478" t="s">
        <v>2001</v>
      </c>
      <c r="D247" s="215" t="s">
        <v>2727</v>
      </c>
      <c r="E247" s="219">
        <f>+'แผนลงทุน 1ปี '!C245</f>
        <v>40000</v>
      </c>
      <c r="F247" s="1633">
        <f>+'แผนลงทุน 1ปี '!D245</f>
        <v>1</v>
      </c>
      <c r="G247" s="219">
        <f>+'แผนลงทุน 1ปี '!E245</f>
        <v>40000</v>
      </c>
      <c r="H247" s="324">
        <v>0</v>
      </c>
      <c r="I247" s="325">
        <v>0</v>
      </c>
      <c r="J247" s="324">
        <v>0</v>
      </c>
      <c r="K247" s="325">
        <v>0</v>
      </c>
      <c r="L247" s="325">
        <v>0</v>
      </c>
      <c r="M247" s="325">
        <v>0</v>
      </c>
      <c r="N247" s="215" t="str">
        <f>+'แผนลงทุน 1ปี '!F245</f>
        <v>เงินบริจาค</v>
      </c>
      <c r="O247" s="215" t="str">
        <f>+'แผนลงทุน 1ปี '!G245</f>
        <v>ครุภัณฑ์</v>
      </c>
      <c r="P247" s="215" t="str">
        <f>+'แผนลงทุน 1ปี '!H245</f>
        <v>M</v>
      </c>
    </row>
    <row r="248" spans="2:16" s="138" customFormat="1" ht="21">
      <c r="B248" s="699">
        <v>241</v>
      </c>
      <c r="C248" s="478" t="s">
        <v>2123</v>
      </c>
      <c r="D248" s="215" t="s">
        <v>2734</v>
      </c>
      <c r="E248" s="219">
        <f>+'แผนลงทุน 1ปี '!C246</f>
        <v>15000</v>
      </c>
      <c r="F248" s="1633">
        <f>+'แผนลงทุน 1ปี '!D246</f>
        <v>1</v>
      </c>
      <c r="G248" s="219">
        <f>+'แผนลงทุน 1ปี '!E246</f>
        <v>15000</v>
      </c>
      <c r="H248" s="324">
        <v>0</v>
      </c>
      <c r="I248" s="325">
        <v>0</v>
      </c>
      <c r="J248" s="324">
        <v>0</v>
      </c>
      <c r="K248" s="325">
        <v>0</v>
      </c>
      <c r="L248" s="325">
        <v>0</v>
      </c>
      <c r="M248" s="325">
        <v>0</v>
      </c>
      <c r="N248" s="215" t="str">
        <f>+'แผนลงทุน 1ปี '!F246</f>
        <v>เงินบริจาค</v>
      </c>
      <c r="O248" s="215" t="str">
        <f>+'แผนลงทุน 1ปี '!G246</f>
        <v>ครุภัณฑ์</v>
      </c>
      <c r="P248" s="215" t="str">
        <f>+'แผนลงทุน 1ปี '!H246</f>
        <v>M</v>
      </c>
    </row>
    <row r="249" spans="2:16" s="138" customFormat="1" ht="63">
      <c r="B249" s="699">
        <v>242</v>
      </c>
      <c r="C249" s="260" t="s">
        <v>2590</v>
      </c>
      <c r="D249" s="215" t="s">
        <v>2727</v>
      </c>
      <c r="E249" s="219">
        <f>+'แผนลงทุน 1ปี '!C247</f>
        <v>25000</v>
      </c>
      <c r="F249" s="1633">
        <f>+'แผนลงทุน 1ปี '!D247</f>
        <v>3</v>
      </c>
      <c r="G249" s="219">
        <f>+'แผนลงทุน 1ปี '!E247</f>
        <v>75000</v>
      </c>
      <c r="H249" s="324">
        <v>0</v>
      </c>
      <c r="I249" s="325">
        <v>0</v>
      </c>
      <c r="J249" s="324">
        <v>0</v>
      </c>
      <c r="K249" s="325">
        <v>0</v>
      </c>
      <c r="L249" s="325">
        <v>0</v>
      </c>
      <c r="M249" s="325">
        <v>0</v>
      </c>
      <c r="N249" s="215" t="str">
        <f>+'แผนลงทุน 1ปี '!F247</f>
        <v>เงินบริจาค</v>
      </c>
      <c r="O249" s="215" t="str">
        <f>+'แผนลงทุน 1ปี '!G247</f>
        <v>ครุภัณฑ์</v>
      </c>
      <c r="P249" s="215" t="str">
        <f>+'แผนลงทุน 1ปี '!H247</f>
        <v>M</v>
      </c>
    </row>
    <row r="250" spans="2:16" s="138" customFormat="1" ht="21">
      <c r="B250" s="699">
        <v>243</v>
      </c>
      <c r="C250" s="478" t="s">
        <v>1861</v>
      </c>
      <c r="D250" s="215" t="s">
        <v>2727</v>
      </c>
      <c r="E250" s="219">
        <f>+'แผนลงทุน 1ปี '!C248</f>
        <v>40000</v>
      </c>
      <c r="F250" s="1633">
        <f>+'แผนลงทุน 1ปี '!D248</f>
        <v>1</v>
      </c>
      <c r="G250" s="219">
        <f>+'แผนลงทุน 1ปี '!E248</f>
        <v>40000</v>
      </c>
      <c r="H250" s="324">
        <v>0</v>
      </c>
      <c r="I250" s="325">
        <v>0</v>
      </c>
      <c r="J250" s="324">
        <v>0</v>
      </c>
      <c r="K250" s="325">
        <v>0</v>
      </c>
      <c r="L250" s="325">
        <v>0</v>
      </c>
      <c r="M250" s="325">
        <v>0</v>
      </c>
      <c r="N250" s="215" t="str">
        <f>+'แผนลงทุน 1ปี '!F248</f>
        <v>เงินบริจาค</v>
      </c>
      <c r="O250" s="215" t="str">
        <f>+'แผนลงทุน 1ปี '!G248</f>
        <v>ครุภัณฑ์</v>
      </c>
      <c r="P250" s="215" t="str">
        <f>+'แผนลงทุน 1ปี '!H248</f>
        <v>M</v>
      </c>
    </row>
    <row r="251" spans="2:16" s="138" customFormat="1" ht="42">
      <c r="B251" s="699">
        <v>244</v>
      </c>
      <c r="C251" s="260" t="s">
        <v>1998</v>
      </c>
      <c r="D251" s="215" t="s">
        <v>2727</v>
      </c>
      <c r="E251" s="219">
        <f>+'แผนลงทุน 1ปี '!C249</f>
        <v>100000</v>
      </c>
      <c r="F251" s="1633">
        <f>+'แผนลงทุน 1ปี '!D249</f>
        <v>1</v>
      </c>
      <c r="G251" s="219">
        <f>+'แผนลงทุน 1ปี '!E249</f>
        <v>100000</v>
      </c>
      <c r="H251" s="324">
        <v>0</v>
      </c>
      <c r="I251" s="325">
        <v>0</v>
      </c>
      <c r="J251" s="324">
        <v>0</v>
      </c>
      <c r="K251" s="325">
        <v>0</v>
      </c>
      <c r="L251" s="325">
        <v>0</v>
      </c>
      <c r="M251" s="325">
        <v>0</v>
      </c>
      <c r="N251" s="215" t="str">
        <f>+'แผนลงทุน 1ปี '!F249</f>
        <v>เงินบริจาค</v>
      </c>
      <c r="O251" s="215" t="str">
        <f>+'แผนลงทุน 1ปี '!G249</f>
        <v>ครุภัณฑ์</v>
      </c>
      <c r="P251" s="215" t="str">
        <f>+'แผนลงทุน 1ปี '!H249</f>
        <v>M</v>
      </c>
    </row>
    <row r="252" spans="2:16" s="138" customFormat="1" ht="21">
      <c r="B252" s="699">
        <v>245</v>
      </c>
      <c r="C252" s="478" t="s">
        <v>2091</v>
      </c>
      <c r="D252" s="215" t="s">
        <v>2727</v>
      </c>
      <c r="E252" s="219">
        <f>+'แผนลงทุน 1ปี '!C250</f>
        <v>21500</v>
      </c>
      <c r="F252" s="1633">
        <f>+'แผนลงทุน 1ปี '!D250</f>
        <v>1</v>
      </c>
      <c r="G252" s="219">
        <f>+'แผนลงทุน 1ปี '!E250</f>
        <v>21500</v>
      </c>
      <c r="H252" s="324">
        <v>0</v>
      </c>
      <c r="I252" s="325">
        <v>0</v>
      </c>
      <c r="J252" s="324">
        <v>0</v>
      </c>
      <c r="K252" s="325">
        <v>0</v>
      </c>
      <c r="L252" s="325">
        <v>0</v>
      </c>
      <c r="M252" s="325">
        <v>0</v>
      </c>
      <c r="N252" s="215" t="str">
        <f>+'แผนลงทุน 1ปี '!F250</f>
        <v>เงินบริจาค</v>
      </c>
      <c r="O252" s="215" t="str">
        <f>+'แผนลงทุน 1ปี '!G250</f>
        <v>ครุภัณฑ์</v>
      </c>
      <c r="P252" s="215" t="str">
        <f>+'แผนลงทุน 1ปี '!H250</f>
        <v>M</v>
      </c>
    </row>
    <row r="253" spans="2:16" s="138" customFormat="1" ht="21">
      <c r="B253" s="699">
        <v>246</v>
      </c>
      <c r="C253" s="478" t="s">
        <v>1921</v>
      </c>
      <c r="D253" s="215" t="s">
        <v>2730</v>
      </c>
      <c r="E253" s="219">
        <f>+'แผนลงทุน 1ปี '!C251</f>
        <v>28355</v>
      </c>
      <c r="F253" s="1633">
        <f>+'แผนลงทุน 1ปี '!D251</f>
        <v>1</v>
      </c>
      <c r="G253" s="219">
        <f>+'แผนลงทุน 1ปี '!E251</f>
        <v>28355</v>
      </c>
      <c r="H253" s="324">
        <v>0</v>
      </c>
      <c r="I253" s="325">
        <v>0</v>
      </c>
      <c r="J253" s="324">
        <v>0</v>
      </c>
      <c r="K253" s="325">
        <v>0</v>
      </c>
      <c r="L253" s="325">
        <v>0</v>
      </c>
      <c r="M253" s="325">
        <v>0</v>
      </c>
      <c r="N253" s="215" t="str">
        <f>+'แผนลงทุน 1ปี '!F251</f>
        <v>เงินบริจาค</v>
      </c>
      <c r="O253" s="215" t="str">
        <f>+'แผนลงทุน 1ปี '!G251</f>
        <v>ครุภัณฑ์</v>
      </c>
      <c r="P253" s="215" t="str">
        <f>+'แผนลงทุน 1ปี '!H251</f>
        <v>M</v>
      </c>
    </row>
    <row r="254" spans="2:16" s="138" customFormat="1" ht="21">
      <c r="B254" s="699">
        <v>247</v>
      </c>
      <c r="C254" s="260" t="s">
        <v>207</v>
      </c>
      <c r="D254" s="215"/>
      <c r="E254" s="219">
        <f>+'แผนลงทุน 1ปี '!C252</f>
        <v>0</v>
      </c>
      <c r="F254" s="1633">
        <f>+'แผนลงทุน 1ปี '!D252</f>
        <v>0</v>
      </c>
      <c r="G254" s="219">
        <f>+'แผนลงทุน 1ปี '!E252</f>
        <v>1950787.01</v>
      </c>
      <c r="H254" s="324">
        <v>0</v>
      </c>
      <c r="I254" s="325">
        <v>0</v>
      </c>
      <c r="J254" s="324">
        <v>0</v>
      </c>
      <c r="K254" s="325">
        <v>0</v>
      </c>
      <c r="L254" s="325">
        <v>0</v>
      </c>
      <c r="M254" s="325">
        <v>0</v>
      </c>
      <c r="N254" s="215">
        <f>+'แผนลงทุน 1ปี '!F252</f>
        <v>0</v>
      </c>
      <c r="O254" s="215">
        <f>+'แผนลงทุน 1ปี '!G252</f>
        <v>0</v>
      </c>
      <c r="P254" s="215">
        <f>+'แผนลงทุน 1ปี '!H252</f>
        <v>0</v>
      </c>
    </row>
    <row r="255" spans="2:16" s="138" customFormat="1" ht="21">
      <c r="B255" s="699">
        <v>248</v>
      </c>
      <c r="C255" s="260" t="s">
        <v>208</v>
      </c>
      <c r="D255" s="215"/>
      <c r="E255" s="219">
        <f>+'แผนลงทุน 1ปี '!C253</f>
        <v>0</v>
      </c>
      <c r="F255" s="1633">
        <f>+'แผนลงทุน 1ปี '!D253</f>
        <v>0</v>
      </c>
      <c r="G255" s="219">
        <f>+'แผนลงทุน 1ปี '!E253</f>
        <v>15841851.859999999</v>
      </c>
      <c r="H255" s="324">
        <v>0</v>
      </c>
      <c r="I255" s="325">
        <v>0</v>
      </c>
      <c r="J255" s="324">
        <v>0</v>
      </c>
      <c r="K255" s="325">
        <v>0</v>
      </c>
      <c r="L255" s="325">
        <v>0</v>
      </c>
      <c r="M255" s="325">
        <v>0</v>
      </c>
      <c r="N255" s="215">
        <f>+'แผนลงทุน 1ปี '!F253</f>
        <v>0</v>
      </c>
      <c r="O255" s="215">
        <f>+'แผนลงทุน 1ปี '!G253</f>
        <v>0</v>
      </c>
      <c r="P255" s="215">
        <f>+'แผนลงทุน 1ปี '!H253</f>
        <v>0</v>
      </c>
    </row>
    <row r="256" spans="2:16" s="138" customFormat="1" ht="21">
      <c r="B256" s="699">
        <v>249</v>
      </c>
      <c r="C256" s="260" t="s">
        <v>210</v>
      </c>
      <c r="D256" s="215"/>
      <c r="E256" s="219">
        <f>+'แผนลงทุน 1ปี '!C254</f>
        <v>0</v>
      </c>
      <c r="F256" s="1633">
        <f>+'แผนลงทุน 1ปี '!D254</f>
        <v>0</v>
      </c>
      <c r="G256" s="219">
        <f>+'แผนลงทุน 1ปี '!E254</f>
        <v>154098</v>
      </c>
      <c r="H256" s="324">
        <v>0</v>
      </c>
      <c r="I256" s="325">
        <v>0</v>
      </c>
      <c r="J256" s="324">
        <v>0</v>
      </c>
      <c r="K256" s="325">
        <v>0</v>
      </c>
      <c r="L256" s="325">
        <v>0</v>
      </c>
      <c r="M256" s="325">
        <v>0</v>
      </c>
      <c r="N256" s="215">
        <f>+'แผนลงทุน 1ปี '!F254</f>
        <v>0</v>
      </c>
      <c r="O256" s="215">
        <f>+'แผนลงทุน 1ปี '!G254</f>
        <v>0</v>
      </c>
      <c r="P256" s="215">
        <f>+'แผนลงทุน 1ปี '!H254</f>
        <v>0</v>
      </c>
    </row>
    <row r="257" spans="2:16" s="138" customFormat="1" ht="21">
      <c r="B257" s="699">
        <v>250</v>
      </c>
      <c r="C257" s="260" t="s">
        <v>209</v>
      </c>
      <c r="D257" s="215"/>
      <c r="E257" s="219">
        <f>+'แผนลงทุน 1ปี '!C255</f>
        <v>0</v>
      </c>
      <c r="F257" s="1633">
        <f>+'แผนลงทุน 1ปี '!D255</f>
        <v>0</v>
      </c>
      <c r="G257" s="219">
        <f>+'แผนลงทุน 1ปี '!E255</f>
        <v>50433574.466666661</v>
      </c>
      <c r="H257" s="324">
        <v>0</v>
      </c>
      <c r="I257" s="325">
        <v>0</v>
      </c>
      <c r="J257" s="324">
        <v>0</v>
      </c>
      <c r="K257" s="325">
        <v>0</v>
      </c>
      <c r="L257" s="325">
        <v>0</v>
      </c>
      <c r="M257" s="325">
        <v>0</v>
      </c>
      <c r="N257" s="215">
        <f>+'แผนลงทุน 1ปี '!F255</f>
        <v>0</v>
      </c>
      <c r="O257" s="215">
        <f>+'แผนลงทุน 1ปี '!G255</f>
        <v>0</v>
      </c>
      <c r="P257" s="215">
        <f>+'แผนลงทุน 1ปี '!H255</f>
        <v>0</v>
      </c>
    </row>
    <row r="258" spans="2:16" s="138" customFormat="1" ht="21">
      <c r="B258" s="699">
        <v>251</v>
      </c>
      <c r="C258" s="260" t="s">
        <v>2591</v>
      </c>
      <c r="D258" s="215"/>
      <c r="E258" s="219">
        <f>+'แผนลงทุน 1ปี '!C256</f>
        <v>0</v>
      </c>
      <c r="F258" s="1633">
        <f>+'แผนลงทุน 1ปี '!D256</f>
        <v>0</v>
      </c>
      <c r="G258" s="219">
        <f>+'แผนลงทุน 1ปี '!E256</f>
        <v>3148000</v>
      </c>
      <c r="H258" s="324">
        <v>0</v>
      </c>
      <c r="I258" s="325">
        <v>0</v>
      </c>
      <c r="J258" s="324">
        <v>0</v>
      </c>
      <c r="K258" s="325">
        <v>0</v>
      </c>
      <c r="L258" s="325">
        <v>0</v>
      </c>
      <c r="M258" s="325">
        <v>0</v>
      </c>
      <c r="N258" s="215">
        <f>+'แผนลงทุน 1ปี '!F256</f>
        <v>0</v>
      </c>
      <c r="O258" s="215">
        <f>+'แผนลงทุน 1ปี '!G256</f>
        <v>0</v>
      </c>
      <c r="P258" s="215">
        <f>+'แผนลงทุน 1ปี '!H256</f>
        <v>0</v>
      </c>
    </row>
    <row r="259" spans="2:16" s="138" customFormat="1" ht="21">
      <c r="B259" s="699">
        <v>252</v>
      </c>
      <c r="C259" s="260" t="s">
        <v>2592</v>
      </c>
      <c r="D259" s="215"/>
      <c r="E259" s="219">
        <f>+'แผนลงทุน 1ปี '!C257</f>
        <v>0</v>
      </c>
      <c r="F259" s="1633">
        <f>+'แผนลงทุน 1ปี '!D257</f>
        <v>0</v>
      </c>
      <c r="G259" s="219">
        <f>+'แผนลงทุน 1ปี '!E257</f>
        <v>46663</v>
      </c>
      <c r="H259" s="324">
        <v>0</v>
      </c>
      <c r="I259" s="325">
        <v>0</v>
      </c>
      <c r="J259" s="324">
        <v>0</v>
      </c>
      <c r="K259" s="325">
        <v>0</v>
      </c>
      <c r="L259" s="325">
        <v>0</v>
      </c>
      <c r="M259" s="325">
        <v>0</v>
      </c>
      <c r="N259" s="215">
        <f>+'แผนลงทุน 1ปี '!F257</f>
        <v>0</v>
      </c>
      <c r="O259" s="215">
        <f>+'แผนลงทุน 1ปี '!G257</f>
        <v>0</v>
      </c>
      <c r="P259" s="215">
        <f>+'แผนลงทุน 1ปี '!H257</f>
        <v>0</v>
      </c>
    </row>
    <row r="260" spans="2:16" s="138" customFormat="1" ht="21">
      <c r="B260" s="699">
        <v>253</v>
      </c>
      <c r="C260" s="260" t="s">
        <v>363</v>
      </c>
      <c r="D260" s="215"/>
      <c r="E260" s="219">
        <f>+'แผนลงทุน 1ปี '!C258</f>
        <v>0</v>
      </c>
      <c r="F260" s="1633">
        <f>+'แผนลงทุน 1ปี '!D258</f>
        <v>0</v>
      </c>
      <c r="G260" s="219">
        <f>+'แผนลงทุน 1ปี '!E258</f>
        <v>67172.5</v>
      </c>
      <c r="H260" s="324">
        <v>0</v>
      </c>
      <c r="I260" s="325">
        <v>0</v>
      </c>
      <c r="J260" s="324">
        <v>0</v>
      </c>
      <c r="K260" s="325">
        <v>0</v>
      </c>
      <c r="L260" s="325">
        <v>0</v>
      </c>
      <c r="M260" s="325">
        <v>0</v>
      </c>
      <c r="N260" s="215">
        <f>+'แผนลงทุน 1ปี '!F258</f>
        <v>0</v>
      </c>
      <c r="O260" s="215">
        <f>+'แผนลงทุน 1ปี '!G258</f>
        <v>0</v>
      </c>
      <c r="P260" s="215">
        <f>+'แผนลงทุน 1ปี '!H258</f>
        <v>0</v>
      </c>
    </row>
    <row r="261" spans="2:16" s="138" customFormat="1" ht="21">
      <c r="B261" s="699">
        <v>254</v>
      </c>
      <c r="C261" s="260" t="s">
        <v>364</v>
      </c>
      <c r="D261" s="215"/>
      <c r="E261" s="219">
        <f>+'แผนลงทุน 1ปี '!C259</f>
        <v>0</v>
      </c>
      <c r="F261" s="1633">
        <f>+'แผนลงทุน 1ปี '!D259</f>
        <v>0</v>
      </c>
      <c r="G261" s="219">
        <f>+'แผนลงทุน 1ปี '!E259</f>
        <v>0</v>
      </c>
      <c r="H261" s="324">
        <v>0</v>
      </c>
      <c r="I261" s="325">
        <v>0</v>
      </c>
      <c r="J261" s="324">
        <v>0</v>
      </c>
      <c r="K261" s="325">
        <v>0</v>
      </c>
      <c r="L261" s="325">
        <v>0</v>
      </c>
      <c r="M261" s="325">
        <v>0</v>
      </c>
      <c r="N261" s="215">
        <f>+'แผนลงทุน 1ปี '!F259</f>
        <v>0</v>
      </c>
      <c r="O261" s="215">
        <f>+'แผนลงทุน 1ปี '!G259</f>
        <v>0</v>
      </c>
      <c r="P261" s="215">
        <f>+'แผนลงทุน 1ปี '!H259</f>
        <v>0</v>
      </c>
    </row>
    <row r="262" spans="2:16" s="138" customFormat="1" ht="21">
      <c r="B262" s="699">
        <v>255</v>
      </c>
      <c r="C262" s="260" t="s">
        <v>2593</v>
      </c>
      <c r="D262" s="215"/>
      <c r="E262" s="219">
        <f>+'แผนลงทุน 1ปี '!C260</f>
        <v>0</v>
      </c>
      <c r="F262" s="1633">
        <f>+'แผนลงทุน 1ปี '!D260</f>
        <v>0</v>
      </c>
      <c r="G262" s="219">
        <f>+'แผนลงทุน 1ปี '!E260</f>
        <v>0</v>
      </c>
      <c r="H262" s="324">
        <v>0</v>
      </c>
      <c r="I262" s="325">
        <v>0</v>
      </c>
      <c r="J262" s="324">
        <v>0</v>
      </c>
      <c r="K262" s="325">
        <v>0</v>
      </c>
      <c r="L262" s="325">
        <v>0</v>
      </c>
      <c r="M262" s="325">
        <v>0</v>
      </c>
      <c r="N262" s="215">
        <f>+'แผนลงทุน 1ปี '!F260</f>
        <v>0</v>
      </c>
      <c r="O262" s="215">
        <f>+'แผนลงทุน 1ปี '!G260</f>
        <v>0</v>
      </c>
      <c r="P262" s="215">
        <f>+'แผนลงทุน 1ปี '!H260</f>
        <v>0</v>
      </c>
    </row>
    <row r="263" spans="2:16" s="138" customFormat="1" ht="21">
      <c r="B263" s="699">
        <v>256</v>
      </c>
      <c r="C263" s="260" t="s">
        <v>512</v>
      </c>
      <c r="D263" s="215"/>
      <c r="E263" s="219">
        <f>+'แผนลงทุน 1ปี '!C261</f>
        <v>0</v>
      </c>
      <c r="F263" s="1633">
        <f>+'แผนลงทุน 1ปี '!D261</f>
        <v>0</v>
      </c>
      <c r="G263" s="219">
        <f>+'แผนลงทุน 1ปี '!E261</f>
        <v>124655</v>
      </c>
      <c r="H263" s="324">
        <v>0</v>
      </c>
      <c r="I263" s="325">
        <v>0</v>
      </c>
      <c r="J263" s="324">
        <v>0</v>
      </c>
      <c r="K263" s="325">
        <v>0</v>
      </c>
      <c r="L263" s="325">
        <v>0</v>
      </c>
      <c r="M263" s="325">
        <v>0</v>
      </c>
      <c r="N263" s="215">
        <f>+'แผนลงทุน 1ปี '!F261</f>
        <v>0</v>
      </c>
      <c r="O263" s="215">
        <f>+'แผนลงทุน 1ปี '!G261</f>
        <v>0</v>
      </c>
      <c r="P263" s="215">
        <f>+'แผนลงทุน 1ปี '!H261</f>
        <v>0</v>
      </c>
    </row>
    <row r="264" spans="2:16" s="138" customFormat="1" ht="21">
      <c r="B264" s="233">
        <v>257</v>
      </c>
      <c r="C264" s="260" t="s">
        <v>2601</v>
      </c>
      <c r="D264" s="215"/>
      <c r="E264" s="219">
        <f>+'แผนลงทุน 1ปี '!C262</f>
        <v>0</v>
      </c>
      <c r="F264" s="1633">
        <f>+'แผนลงทุน 1ปี '!D262</f>
        <v>0</v>
      </c>
      <c r="G264" s="219">
        <f>+'แผนลงทุน 1ปี '!E262</f>
        <v>3187710</v>
      </c>
      <c r="H264" s="324">
        <v>0</v>
      </c>
      <c r="I264" s="325">
        <v>0</v>
      </c>
      <c r="J264" s="324">
        <v>0</v>
      </c>
      <c r="K264" s="325">
        <v>0</v>
      </c>
      <c r="L264" s="325">
        <v>0</v>
      </c>
      <c r="M264" s="325">
        <v>0</v>
      </c>
      <c r="N264" s="215">
        <f>+'แผนลงทุน 1ปี '!F262</f>
        <v>0</v>
      </c>
      <c r="O264" s="215">
        <f>+'แผนลงทุน 1ปี '!G262</f>
        <v>0</v>
      </c>
      <c r="P264" s="215">
        <f>+'แผนลงทุน 1ปี '!H262</f>
        <v>0</v>
      </c>
    </row>
    <row r="265" spans="2:16" s="138" customFormat="1" ht="63">
      <c r="B265" s="699">
        <v>258</v>
      </c>
      <c r="C265" s="260" t="s">
        <v>1926</v>
      </c>
      <c r="D265" s="215" t="s">
        <v>2727</v>
      </c>
      <c r="E265" s="219">
        <f>+'แผนลงทุน 1ปี '!C263</f>
        <v>530000</v>
      </c>
      <c r="F265" s="1633">
        <f>+'แผนลงทุน 1ปี '!D263</f>
        <v>6</v>
      </c>
      <c r="G265" s="219">
        <f>+'แผนลงทุน 1ปี '!E263</f>
        <v>3180000</v>
      </c>
      <c r="H265" s="324">
        <v>0</v>
      </c>
      <c r="I265" s="325">
        <v>0</v>
      </c>
      <c r="J265" s="324">
        <v>0</v>
      </c>
      <c r="K265" s="325">
        <v>0</v>
      </c>
      <c r="L265" s="325">
        <v>0</v>
      </c>
      <c r="M265" s="325">
        <v>0</v>
      </c>
      <c r="N265" s="215" t="str">
        <f>+'แผนลงทุน 1ปี '!F263</f>
        <v>งบค่าเสื่อม</v>
      </c>
      <c r="O265" s="215" t="str">
        <f>+'แผนลงทุน 1ปี '!G263</f>
        <v>ครุภัณฑ์</v>
      </c>
      <c r="P265" s="215" t="str">
        <f>+'แผนลงทุน 1ปี '!H263</f>
        <v>M</v>
      </c>
    </row>
    <row r="266" spans="2:16" s="138" customFormat="1" ht="21">
      <c r="B266" s="699">
        <v>259</v>
      </c>
      <c r="C266" s="260" t="s">
        <v>1927</v>
      </c>
      <c r="D266" s="215" t="s">
        <v>2727</v>
      </c>
      <c r="E266" s="219">
        <f>+'แผนลงทุน 1ปี '!C264</f>
        <v>1799500</v>
      </c>
      <c r="F266" s="1633">
        <f>+'แผนลงทุน 1ปี '!D264</f>
        <v>1</v>
      </c>
      <c r="G266" s="219">
        <f>+'แผนลงทุน 1ปี '!E264</f>
        <v>1799500</v>
      </c>
      <c r="H266" s="324">
        <v>0</v>
      </c>
      <c r="I266" s="325">
        <v>0</v>
      </c>
      <c r="J266" s="324">
        <v>0</v>
      </c>
      <c r="K266" s="325">
        <v>0</v>
      </c>
      <c r="L266" s="325">
        <v>0</v>
      </c>
      <c r="M266" s="325">
        <v>0</v>
      </c>
      <c r="N266" s="215" t="str">
        <f>+'แผนลงทุน 1ปี '!F264</f>
        <v>งบค่าเสื่อม</v>
      </c>
      <c r="O266" s="215" t="str">
        <f>+'แผนลงทุน 1ปี '!G264</f>
        <v>ครุภัณฑ์</v>
      </c>
      <c r="P266" s="215" t="str">
        <f>+'แผนลงทุน 1ปี '!H264</f>
        <v>M</v>
      </c>
    </row>
    <row r="267" spans="2:16" s="138" customFormat="1" ht="42">
      <c r="B267" s="699">
        <v>260</v>
      </c>
      <c r="C267" s="260" t="s">
        <v>2594</v>
      </c>
      <c r="D267" s="215" t="s">
        <v>2727</v>
      </c>
      <c r="E267" s="219">
        <f>+'แผนลงทุน 1ปี '!C265</f>
        <v>4800000</v>
      </c>
      <c r="F267" s="1633">
        <f>+'แผนลงทุน 1ปี '!D265</f>
        <v>1</v>
      </c>
      <c r="G267" s="219">
        <f>+'แผนลงทุน 1ปี '!E265</f>
        <v>4800000</v>
      </c>
      <c r="H267" s="324">
        <v>0</v>
      </c>
      <c r="I267" s="325">
        <v>0</v>
      </c>
      <c r="J267" s="324">
        <v>0</v>
      </c>
      <c r="K267" s="325">
        <v>0</v>
      </c>
      <c r="L267" s="325">
        <v>0</v>
      </c>
      <c r="M267" s="325">
        <v>0</v>
      </c>
      <c r="N267" s="215" t="str">
        <f>+'แผนลงทุน 1ปี '!F265</f>
        <v>งบค่าเสื่อม</v>
      </c>
      <c r="O267" s="215" t="str">
        <f>+'แผนลงทุน 1ปี '!G265</f>
        <v>ครุภัณฑ์</v>
      </c>
      <c r="P267" s="215" t="str">
        <f>+'แผนลงทุน 1ปี '!H265</f>
        <v>M</v>
      </c>
    </row>
    <row r="268" spans="2:16" s="138" customFormat="1" ht="27.75" customHeight="1">
      <c r="B268" s="699">
        <v>261</v>
      </c>
      <c r="C268" s="1603" t="s">
        <v>1928</v>
      </c>
      <c r="D268" s="215" t="s">
        <v>2732</v>
      </c>
      <c r="E268" s="219">
        <f>+'แผนลงทุน 1ปี '!C266</f>
        <v>1585000</v>
      </c>
      <c r="F268" s="1633">
        <f>+'แผนลงทุน 1ปี '!D266</f>
        <v>1</v>
      </c>
      <c r="G268" s="219">
        <f>+'แผนลงทุน 1ปี '!E266</f>
        <v>1585000</v>
      </c>
      <c r="H268" s="324">
        <v>0</v>
      </c>
      <c r="I268" s="325">
        <v>0</v>
      </c>
      <c r="J268" s="324">
        <v>0</v>
      </c>
      <c r="K268" s="325">
        <v>0</v>
      </c>
      <c r="L268" s="325">
        <v>0</v>
      </c>
      <c r="M268" s="325">
        <v>0</v>
      </c>
      <c r="N268" s="215" t="str">
        <f>+'แผนลงทุน 1ปี '!F266</f>
        <v>งบค่าเสื่อม</v>
      </c>
      <c r="O268" s="215" t="str">
        <f>+'แผนลงทุน 1ปี '!G266</f>
        <v>ครุภัณฑ์</v>
      </c>
      <c r="P268" s="215" t="str">
        <f>+'แผนลงทุน 1ปี '!H266</f>
        <v>M</v>
      </c>
    </row>
    <row r="269" spans="2:16" s="138" customFormat="1" ht="42">
      <c r="B269" s="699">
        <v>262</v>
      </c>
      <c r="C269" s="260" t="s">
        <v>1929</v>
      </c>
      <c r="D269" s="215" t="s">
        <v>2727</v>
      </c>
      <c r="E269" s="219">
        <f>+'แผนลงทุน 1ปี '!C267</f>
        <v>900000</v>
      </c>
      <c r="F269" s="1633">
        <f>+'แผนลงทุน 1ปี '!D267</f>
        <v>1</v>
      </c>
      <c r="G269" s="219">
        <f>+'แผนลงทุน 1ปี '!E267</f>
        <v>900000</v>
      </c>
      <c r="H269" s="324">
        <v>0</v>
      </c>
      <c r="I269" s="325">
        <v>0</v>
      </c>
      <c r="J269" s="324">
        <v>0</v>
      </c>
      <c r="K269" s="325">
        <v>0</v>
      </c>
      <c r="L269" s="325">
        <v>0</v>
      </c>
      <c r="M269" s="325">
        <v>0</v>
      </c>
      <c r="N269" s="215" t="str">
        <f>+'แผนลงทุน 1ปี '!F267</f>
        <v>งบค่าเสื่อม</v>
      </c>
      <c r="O269" s="215" t="str">
        <f>+'แผนลงทุน 1ปี '!G267</f>
        <v>ครุภัณฑ์</v>
      </c>
      <c r="P269" s="215" t="str">
        <f>+'แผนลงทุน 1ปี '!H267</f>
        <v>M</v>
      </c>
    </row>
    <row r="270" spans="2:16" s="138" customFormat="1" ht="21">
      <c r="B270" s="699">
        <v>263</v>
      </c>
      <c r="C270" s="260" t="s">
        <v>2595</v>
      </c>
      <c r="D270" s="215" t="s">
        <v>2727</v>
      </c>
      <c r="E270" s="219">
        <f>+'แผนลงทุน 1ปี '!C268</f>
        <v>160000</v>
      </c>
      <c r="F270" s="1633">
        <f>+'แผนลงทุน 1ปี '!D268</f>
        <v>3</v>
      </c>
      <c r="G270" s="219">
        <f>+'แผนลงทุน 1ปี '!E268</f>
        <v>480000</v>
      </c>
      <c r="H270" s="324">
        <v>0</v>
      </c>
      <c r="I270" s="325">
        <v>0</v>
      </c>
      <c r="J270" s="324">
        <v>0</v>
      </c>
      <c r="K270" s="325">
        <v>0</v>
      </c>
      <c r="L270" s="325">
        <v>0</v>
      </c>
      <c r="M270" s="325">
        <v>0</v>
      </c>
      <c r="N270" s="215" t="str">
        <f>+'แผนลงทุน 1ปี '!F268</f>
        <v>งบค่าเสื่อม</v>
      </c>
      <c r="O270" s="215" t="str">
        <f>+'แผนลงทุน 1ปี '!G268</f>
        <v>ครุภัณฑ์</v>
      </c>
      <c r="P270" s="215" t="str">
        <f>+'แผนลงทุน 1ปี '!H268</f>
        <v>M</v>
      </c>
    </row>
    <row r="271" spans="2:16" s="138" customFormat="1" ht="42">
      <c r="B271" s="699">
        <v>264</v>
      </c>
      <c r="C271" s="260" t="s">
        <v>1930</v>
      </c>
      <c r="D271" s="215" t="s">
        <v>2727</v>
      </c>
      <c r="E271" s="219">
        <f>+'แผนลงทุน 1ปี '!C269</f>
        <v>1500000</v>
      </c>
      <c r="F271" s="1633">
        <f>+'แผนลงทุน 1ปี '!D269</f>
        <v>1</v>
      </c>
      <c r="G271" s="219">
        <f>+'แผนลงทุน 1ปี '!E269</f>
        <v>1500000</v>
      </c>
      <c r="H271" s="324">
        <v>0</v>
      </c>
      <c r="I271" s="325">
        <v>0</v>
      </c>
      <c r="J271" s="324">
        <v>0</v>
      </c>
      <c r="K271" s="325">
        <v>0</v>
      </c>
      <c r="L271" s="325">
        <v>0</v>
      </c>
      <c r="M271" s="325">
        <v>0</v>
      </c>
      <c r="N271" s="215" t="str">
        <f>+'แผนลงทุน 1ปี '!F269</f>
        <v>งบค่าเสื่อม</v>
      </c>
      <c r="O271" s="215" t="str">
        <f>+'แผนลงทุน 1ปี '!G269</f>
        <v>ครุภัณฑ์</v>
      </c>
      <c r="P271" s="215" t="str">
        <f>+'แผนลงทุน 1ปี '!H269</f>
        <v>M</v>
      </c>
    </row>
    <row r="272" spans="2:16" s="138" customFormat="1" ht="42">
      <c r="B272" s="699">
        <v>265</v>
      </c>
      <c r="C272" s="260" t="s">
        <v>1931</v>
      </c>
      <c r="D272" s="215" t="s">
        <v>2727</v>
      </c>
      <c r="E272" s="219">
        <f>+'แผนลงทุน 1ปี '!C270</f>
        <v>3000000</v>
      </c>
      <c r="F272" s="1633">
        <f>+'แผนลงทุน 1ปี '!D270</f>
        <v>1</v>
      </c>
      <c r="G272" s="219">
        <f>+'แผนลงทุน 1ปี '!E270</f>
        <v>3000000</v>
      </c>
      <c r="H272" s="324">
        <v>0</v>
      </c>
      <c r="I272" s="325">
        <v>0</v>
      </c>
      <c r="J272" s="324">
        <v>0</v>
      </c>
      <c r="K272" s="325">
        <v>0</v>
      </c>
      <c r="L272" s="325">
        <v>0</v>
      </c>
      <c r="M272" s="325">
        <v>0</v>
      </c>
      <c r="N272" s="215" t="str">
        <f>+'แผนลงทุน 1ปี '!F270</f>
        <v>งบค่าเสื่อม</v>
      </c>
      <c r="O272" s="215" t="str">
        <f>+'แผนลงทุน 1ปี '!G270</f>
        <v>ครุภัณฑ์</v>
      </c>
      <c r="P272" s="215" t="str">
        <f>+'แผนลงทุน 1ปี '!H270</f>
        <v>M</v>
      </c>
    </row>
    <row r="273" spans="2:16" s="138" customFormat="1" ht="22.5" customHeight="1">
      <c r="B273" s="699">
        <v>266</v>
      </c>
      <c r="C273" s="260" t="s">
        <v>2596</v>
      </c>
      <c r="D273" s="215" t="s">
        <v>2727</v>
      </c>
      <c r="E273" s="219">
        <f>+'แผนลงทุน 1ปี '!C271</f>
        <v>350000</v>
      </c>
      <c r="F273" s="1633">
        <f>+'แผนลงทุน 1ปี '!D271</f>
        <v>1</v>
      </c>
      <c r="G273" s="219">
        <f>+'แผนลงทุน 1ปี '!E271</f>
        <v>350000</v>
      </c>
      <c r="H273" s="324">
        <v>0</v>
      </c>
      <c r="I273" s="325">
        <v>0</v>
      </c>
      <c r="J273" s="324">
        <v>0</v>
      </c>
      <c r="K273" s="325">
        <v>0</v>
      </c>
      <c r="L273" s="325">
        <v>0</v>
      </c>
      <c r="M273" s="325">
        <v>0</v>
      </c>
      <c r="N273" s="215" t="str">
        <f>+'แผนลงทุน 1ปี '!F271</f>
        <v>งบค่าเสื่อม</v>
      </c>
      <c r="O273" s="215" t="str">
        <f>+'แผนลงทุน 1ปี '!G271</f>
        <v>ครุภัณฑ์</v>
      </c>
      <c r="P273" s="215" t="str">
        <f>+'แผนลงทุน 1ปี '!H271</f>
        <v>M</v>
      </c>
    </row>
    <row r="274" spans="2:16" s="138" customFormat="1" ht="22.5" customHeight="1">
      <c r="B274" s="699">
        <v>267</v>
      </c>
      <c r="C274" s="260" t="s">
        <v>2716</v>
      </c>
      <c r="D274" s="215" t="s">
        <v>2727</v>
      </c>
      <c r="E274" s="219">
        <f>+'แผนลงทุน 1ปี '!C272</f>
        <v>150000</v>
      </c>
      <c r="F274" s="1633">
        <f>+'แผนลงทุน 1ปี '!D272</f>
        <v>1</v>
      </c>
      <c r="G274" s="219">
        <f>+'แผนลงทุน 1ปี '!E272</f>
        <v>150000</v>
      </c>
      <c r="H274" s="324">
        <v>0</v>
      </c>
      <c r="I274" s="325">
        <v>0</v>
      </c>
      <c r="J274" s="324">
        <v>0</v>
      </c>
      <c r="K274" s="325">
        <v>0</v>
      </c>
      <c r="L274" s="325">
        <v>0</v>
      </c>
      <c r="M274" s="325">
        <v>0</v>
      </c>
      <c r="N274" s="215" t="str">
        <f>+'แผนลงทุน 1ปี '!F272</f>
        <v>งบค่าเสื่อม</v>
      </c>
      <c r="O274" s="215" t="str">
        <f>+'แผนลงทุน 1ปี '!G272</f>
        <v>ครุภัณฑ์</v>
      </c>
      <c r="P274" s="215" t="str">
        <f>+'แผนลงทุน 1ปี '!H272</f>
        <v>M</v>
      </c>
    </row>
    <row r="275" spans="2:16" s="138" customFormat="1" ht="21">
      <c r="B275" s="699">
        <v>268</v>
      </c>
      <c r="C275" s="260" t="s">
        <v>842</v>
      </c>
      <c r="D275" s="215" t="s">
        <v>2727</v>
      </c>
      <c r="E275" s="219">
        <f>+'แผนลงทุน 1ปี '!C273</f>
        <v>180000</v>
      </c>
      <c r="F275" s="1633">
        <f>+'แผนลงทุน 1ปี '!D273</f>
        <v>1</v>
      </c>
      <c r="G275" s="219">
        <f>+'แผนลงทุน 1ปี '!E273</f>
        <v>180000</v>
      </c>
      <c r="H275" s="324">
        <v>0</v>
      </c>
      <c r="I275" s="325">
        <v>0</v>
      </c>
      <c r="J275" s="324">
        <v>0</v>
      </c>
      <c r="K275" s="325">
        <v>0</v>
      </c>
      <c r="L275" s="325">
        <v>0</v>
      </c>
      <c r="M275" s="325">
        <v>0</v>
      </c>
      <c r="N275" s="215" t="str">
        <f>+'แผนลงทุน 1ปี '!F273</f>
        <v>งบค่าเสื่อม</v>
      </c>
      <c r="O275" s="215" t="str">
        <f>+'แผนลงทุน 1ปี '!G273</f>
        <v>ครุภัณฑ์</v>
      </c>
      <c r="P275" s="215" t="str">
        <f>+'แผนลงทุน 1ปี '!H273</f>
        <v>M</v>
      </c>
    </row>
    <row r="276" spans="2:16" s="138" customFormat="1" ht="21">
      <c r="B276" s="699">
        <v>269</v>
      </c>
      <c r="C276" s="1982" t="s">
        <v>1943</v>
      </c>
      <c r="D276" s="215" t="s">
        <v>2727</v>
      </c>
      <c r="E276" s="219">
        <f>+'แผนลงทุน 1ปี '!C274</f>
        <v>369000</v>
      </c>
      <c r="F276" s="1633">
        <f>+'แผนลงทุน 1ปี '!D274</f>
        <v>1</v>
      </c>
      <c r="G276" s="219">
        <f>+'แผนลงทุน 1ปี '!E274</f>
        <v>369000</v>
      </c>
      <c r="H276" s="324">
        <v>0</v>
      </c>
      <c r="I276" s="325">
        <v>0</v>
      </c>
      <c r="J276" s="324">
        <v>0</v>
      </c>
      <c r="K276" s="325">
        <v>0</v>
      </c>
      <c r="L276" s="325">
        <v>0</v>
      </c>
      <c r="M276" s="325">
        <v>0</v>
      </c>
      <c r="N276" s="215" t="str">
        <f>+'แผนลงทุน 1ปี '!F274</f>
        <v>งบค่าเสื่อม</v>
      </c>
      <c r="O276" s="215" t="str">
        <f>+'แผนลงทุน 1ปี '!G274</f>
        <v>ครุภัณฑ์</v>
      </c>
      <c r="P276" s="215" t="str">
        <f>+'แผนลงทุน 1ปี '!H274</f>
        <v>M</v>
      </c>
    </row>
    <row r="277" spans="2:16" s="138" customFormat="1" ht="21">
      <c r="B277" s="699">
        <v>270</v>
      </c>
      <c r="C277" s="1982" t="s">
        <v>1944</v>
      </c>
      <c r="D277" s="215" t="s">
        <v>2727</v>
      </c>
      <c r="E277" s="219">
        <f>+'แผนลงทุน 1ปี '!C275</f>
        <v>1670000</v>
      </c>
      <c r="F277" s="1633">
        <f>+'แผนลงทุน 1ปี '!D275</f>
        <v>3</v>
      </c>
      <c r="G277" s="219">
        <f>+'แผนลงทุน 1ปี '!E275</f>
        <v>5010000</v>
      </c>
      <c r="H277" s="324">
        <v>0</v>
      </c>
      <c r="I277" s="325">
        <v>0</v>
      </c>
      <c r="J277" s="324">
        <v>0</v>
      </c>
      <c r="K277" s="325">
        <v>0</v>
      </c>
      <c r="L277" s="325">
        <v>0</v>
      </c>
      <c r="M277" s="325">
        <v>0</v>
      </c>
      <c r="N277" s="215" t="str">
        <f>+'แผนลงทุน 1ปี '!F275</f>
        <v>งบค่าเสื่อม</v>
      </c>
      <c r="O277" s="215" t="str">
        <f>+'แผนลงทุน 1ปี '!G275</f>
        <v>ครุภัณฑ์</v>
      </c>
      <c r="P277" s="215" t="str">
        <f>+'แผนลงทุน 1ปี '!H275</f>
        <v>M</v>
      </c>
    </row>
    <row r="278" spans="2:16" s="138" customFormat="1" ht="21">
      <c r="B278" s="699">
        <v>271</v>
      </c>
      <c r="C278" s="1982" t="s">
        <v>838</v>
      </c>
      <c r="D278" s="215" t="s">
        <v>2727</v>
      </c>
      <c r="E278" s="219">
        <f>+'แผนลงทุน 1ปี '!C276</f>
        <v>70500</v>
      </c>
      <c r="F278" s="1633">
        <f>+'แผนลงทุน 1ปี '!D276</f>
        <v>2</v>
      </c>
      <c r="G278" s="219">
        <f>+'แผนลงทุน 1ปี '!E276</f>
        <v>141000</v>
      </c>
      <c r="H278" s="324">
        <v>0</v>
      </c>
      <c r="I278" s="325">
        <v>0</v>
      </c>
      <c r="J278" s="324">
        <v>0</v>
      </c>
      <c r="K278" s="325">
        <v>0</v>
      </c>
      <c r="L278" s="325">
        <v>0</v>
      </c>
      <c r="M278" s="325">
        <v>0</v>
      </c>
      <c r="N278" s="215" t="str">
        <f>+'แผนลงทุน 1ปี '!F276</f>
        <v>งบค่าเสื่อม</v>
      </c>
      <c r="O278" s="215" t="str">
        <f>+'แผนลงทุน 1ปี '!G276</f>
        <v>ครุภัณฑ์</v>
      </c>
      <c r="P278" s="215" t="str">
        <f>+'แผนลงทุน 1ปี '!H276</f>
        <v>M</v>
      </c>
    </row>
    <row r="279" spans="2:16" s="138" customFormat="1" ht="21">
      <c r="B279" s="699">
        <v>272</v>
      </c>
      <c r="C279" s="251" t="s">
        <v>206</v>
      </c>
      <c r="D279" s="215"/>
      <c r="E279" s="325">
        <v>0</v>
      </c>
      <c r="F279" s="325">
        <v>0</v>
      </c>
      <c r="G279" s="325">
        <v>0</v>
      </c>
      <c r="H279" s="324">
        <v>0</v>
      </c>
      <c r="I279" s="1635">
        <f>+'3ปี'!K52</f>
        <v>17000000</v>
      </c>
      <c r="J279" s="324"/>
      <c r="K279" s="1635">
        <f>+'3ปี'!L52</f>
        <v>17000000</v>
      </c>
      <c r="L279" s="325">
        <v>0</v>
      </c>
      <c r="M279" s="325">
        <v>0</v>
      </c>
      <c r="N279" s="215" t="s">
        <v>206</v>
      </c>
      <c r="O279" s="215" t="str">
        <f>+'แผนลงทุน 1ปี '!G277</f>
        <v>สิ่งก่อสร้าง</v>
      </c>
      <c r="P279" s="215" t="str">
        <f>+'แผนลงทุน 1ปี '!H277</f>
        <v>M</v>
      </c>
    </row>
    <row r="280" spans="2:16" s="138" customFormat="1" ht="21">
      <c r="B280" s="699">
        <v>273</v>
      </c>
      <c r="C280" s="251" t="s">
        <v>2722</v>
      </c>
      <c r="D280" s="215"/>
      <c r="E280" s="325">
        <v>0</v>
      </c>
      <c r="F280" s="325">
        <v>0</v>
      </c>
      <c r="G280" s="325">
        <v>0</v>
      </c>
      <c r="H280" s="324">
        <v>0</v>
      </c>
      <c r="I280" s="1635">
        <f>+'3ปี'!K54</f>
        <v>100000000</v>
      </c>
      <c r="J280" s="324"/>
      <c r="K280" s="1635">
        <f>+'3ปี'!L54</f>
        <v>100000000</v>
      </c>
      <c r="L280" s="325">
        <v>0</v>
      </c>
      <c r="M280" s="325">
        <v>0</v>
      </c>
      <c r="N280" s="215" t="s">
        <v>195</v>
      </c>
      <c r="O280" s="215" t="str">
        <f>+'แผนลงทุน 1ปี '!G278</f>
        <v>สิ่งก่อสร้าง</v>
      </c>
      <c r="P280" s="215" t="str">
        <f>+'แผนลงทุน 1ปี '!H278</f>
        <v>M</v>
      </c>
    </row>
    <row r="281" spans="2:16" s="138" customFormat="1" ht="22.9" customHeight="1">
      <c r="B281" s="708"/>
      <c r="C281" s="716" t="s">
        <v>9</v>
      </c>
      <c r="D281" s="708"/>
      <c r="E281" s="709"/>
      <c r="F281" s="710"/>
      <c r="G281" s="710"/>
      <c r="H281" s="711"/>
      <c r="I281" s="712"/>
      <c r="J281" s="710"/>
      <c r="K281" s="713"/>
      <c r="L281" s="714"/>
      <c r="M281" s="714"/>
      <c r="N281" s="715"/>
      <c r="O281" s="708"/>
      <c r="P281" s="708"/>
    </row>
    <row r="282" spans="2:16" s="138" customFormat="1" ht="23.1" customHeight="1">
      <c r="B282" s="215">
        <v>274</v>
      </c>
      <c r="C282" s="2540" t="s">
        <v>516</v>
      </c>
      <c r="D282" s="215" t="s">
        <v>2739</v>
      </c>
      <c r="E282" s="496">
        <f>+'แผนลงทุน 1ปี '!C277</f>
        <v>4500000</v>
      </c>
      <c r="F282" s="1634">
        <f>+'แผนลงทุน 1ปี '!D277</f>
        <v>1</v>
      </c>
      <c r="G282" s="496">
        <f>+'แผนลงทุน 1ปี '!E277</f>
        <v>4500000</v>
      </c>
      <c r="H282" s="324">
        <v>0</v>
      </c>
      <c r="I282" s="324">
        <v>0</v>
      </c>
      <c r="J282" s="324">
        <v>0</v>
      </c>
      <c r="K282" s="324">
        <v>0</v>
      </c>
      <c r="L282" s="324">
        <v>0</v>
      </c>
      <c r="M282" s="324">
        <v>0</v>
      </c>
      <c r="N282" s="215" t="str">
        <f>+'แผนลงทุน 1ปี '!F277</f>
        <v>เงินบำรุง</v>
      </c>
      <c r="O282" s="215" t="str">
        <f>+'แผนลงทุน 1ปี '!G277</f>
        <v>สิ่งก่อสร้าง</v>
      </c>
      <c r="P282" s="215" t="str">
        <f>+'แผนลงทุน 1ปี '!H277</f>
        <v>M</v>
      </c>
    </row>
    <row r="283" spans="2:16" s="138" customFormat="1" ht="23.1" customHeight="1">
      <c r="B283" s="215">
        <v>275</v>
      </c>
      <c r="C283" s="2050" t="s">
        <v>1485</v>
      </c>
      <c r="D283" s="215" t="s">
        <v>2739</v>
      </c>
      <c r="E283" s="496">
        <f>+'แผนลงทุน 1ปี '!C278</f>
        <v>57000000</v>
      </c>
      <c r="F283" s="1634">
        <f>+'แผนลงทุน 1ปี '!D278</f>
        <v>1</v>
      </c>
      <c r="G283" s="496">
        <f>+'แผนลงทุน 1ปี '!E278</f>
        <v>57000000</v>
      </c>
      <c r="H283" s="324">
        <v>0</v>
      </c>
      <c r="I283" s="324">
        <v>0</v>
      </c>
      <c r="J283" s="324">
        <v>0</v>
      </c>
      <c r="K283" s="324">
        <v>0</v>
      </c>
      <c r="L283" s="324">
        <v>0</v>
      </c>
      <c r="M283" s="324">
        <v>0</v>
      </c>
      <c r="N283" s="215" t="str">
        <f>+'แผนลงทุน 1ปี '!F278</f>
        <v>เงินบำรุง</v>
      </c>
      <c r="O283" s="215" t="str">
        <f>+'แผนลงทุน 1ปี '!G278</f>
        <v>สิ่งก่อสร้าง</v>
      </c>
      <c r="P283" s="215" t="str">
        <f>+'แผนลงทุน 1ปี '!H278</f>
        <v>M</v>
      </c>
    </row>
    <row r="284" spans="2:16" s="138" customFormat="1" ht="23.1" customHeight="1">
      <c r="B284" s="215">
        <v>276</v>
      </c>
      <c r="C284" s="2050" t="s">
        <v>1973</v>
      </c>
      <c r="D284" s="215" t="s">
        <v>2739</v>
      </c>
      <c r="E284" s="496">
        <f>+'แผนลงทุน 1ปี '!C279</f>
        <v>2000000</v>
      </c>
      <c r="F284" s="1634">
        <f>+'แผนลงทุน 1ปี '!D279</f>
        <v>1</v>
      </c>
      <c r="G284" s="496">
        <f>+'แผนลงทุน 1ปี '!E279</f>
        <v>2000000</v>
      </c>
      <c r="H284" s="324">
        <v>0</v>
      </c>
      <c r="I284" s="324">
        <v>0</v>
      </c>
      <c r="J284" s="324">
        <v>0</v>
      </c>
      <c r="K284" s="324">
        <v>0</v>
      </c>
      <c r="L284" s="324">
        <v>0</v>
      </c>
      <c r="M284" s="324">
        <v>0</v>
      </c>
      <c r="N284" s="215" t="str">
        <f>+'แผนลงทุน 1ปี '!F279</f>
        <v>เงินบำรุง</v>
      </c>
      <c r="O284" s="215" t="str">
        <f>+'แผนลงทุน 1ปี '!G279</f>
        <v>สิ่งก่อสร้าง</v>
      </c>
      <c r="P284" s="215" t="str">
        <f>+'แผนลงทุน 1ปี '!H279</f>
        <v>M</v>
      </c>
    </row>
    <row r="285" spans="2:16" s="138" customFormat="1" ht="23.1" customHeight="1">
      <c r="B285" s="215">
        <v>277</v>
      </c>
      <c r="C285" s="2259" t="s">
        <v>691</v>
      </c>
      <c r="D285" s="215" t="s">
        <v>2739</v>
      </c>
      <c r="E285" s="496">
        <f>+'แผนลงทุน 1ปี '!C280</f>
        <v>2300000</v>
      </c>
      <c r="F285" s="1634">
        <f>+'แผนลงทุน 1ปี '!D280</f>
        <v>1</v>
      </c>
      <c r="G285" s="496">
        <f>+'แผนลงทุน 1ปี '!E280</f>
        <v>2300000</v>
      </c>
      <c r="H285" s="324">
        <v>0</v>
      </c>
      <c r="I285" s="324">
        <v>0</v>
      </c>
      <c r="J285" s="324">
        <v>0</v>
      </c>
      <c r="K285" s="324">
        <v>0</v>
      </c>
      <c r="L285" s="324">
        <v>0</v>
      </c>
      <c r="M285" s="324">
        <v>0</v>
      </c>
      <c r="N285" s="215" t="str">
        <f>+'แผนลงทุน 1ปี '!F280</f>
        <v>เงินบำรุง</v>
      </c>
      <c r="O285" s="215" t="str">
        <f>+'แผนลงทุน 1ปี '!G280</f>
        <v>สิ่งก่อสร้าง</v>
      </c>
      <c r="P285" s="215" t="str">
        <f>+'แผนลงทุน 1ปี '!H280</f>
        <v>M</v>
      </c>
    </row>
    <row r="286" spans="2:16" s="138" customFormat="1" ht="72">
      <c r="B286" s="215">
        <v>278</v>
      </c>
      <c r="C286" s="2050" t="s">
        <v>2743</v>
      </c>
      <c r="D286" s="215" t="s">
        <v>2739</v>
      </c>
      <c r="E286" s="496">
        <f>+'แผนลงทุน 1ปี '!C281</f>
        <v>17250000</v>
      </c>
      <c r="F286" s="1634">
        <f>+'แผนลงทุน 1ปี '!D281</f>
        <v>1</v>
      </c>
      <c r="G286" s="496">
        <f>+'แผนลงทุน 1ปี '!E281</f>
        <v>17250000</v>
      </c>
      <c r="H286" s="324">
        <v>0</v>
      </c>
      <c r="I286" s="324">
        <v>0</v>
      </c>
      <c r="J286" s="324">
        <v>0</v>
      </c>
      <c r="K286" s="324">
        <v>0</v>
      </c>
      <c r="L286" s="324">
        <v>0</v>
      </c>
      <c r="M286" s="324">
        <v>0</v>
      </c>
      <c r="N286" s="215" t="str">
        <f>+'แผนลงทุน 1ปี '!F281</f>
        <v>เงินบำรุง</v>
      </c>
      <c r="O286" s="215" t="str">
        <f>+'แผนลงทุน 1ปี '!G281</f>
        <v>สิ่งก่อสร้าง</v>
      </c>
      <c r="P286" s="215" t="str">
        <f>+'แผนลงทุน 1ปี '!H281</f>
        <v>M</v>
      </c>
    </row>
    <row r="287" spans="2:16" s="138" customFormat="1" ht="23.1" customHeight="1">
      <c r="B287" s="215">
        <v>279</v>
      </c>
      <c r="C287" s="2190" t="s">
        <v>1976</v>
      </c>
      <c r="D287" s="215" t="s">
        <v>2739</v>
      </c>
      <c r="E287" s="496">
        <f>+'แผนลงทุน 1ปี '!C282</f>
        <v>2500000</v>
      </c>
      <c r="F287" s="1634">
        <f>+'แผนลงทุน 1ปี '!D282</f>
        <v>1</v>
      </c>
      <c r="G287" s="496">
        <f>+'แผนลงทุน 1ปี '!E282</f>
        <v>2500000</v>
      </c>
      <c r="H287" s="324">
        <v>0</v>
      </c>
      <c r="I287" s="324">
        <v>0</v>
      </c>
      <c r="J287" s="324">
        <v>0</v>
      </c>
      <c r="K287" s="324">
        <v>0</v>
      </c>
      <c r="L287" s="324">
        <v>0</v>
      </c>
      <c r="M287" s="324">
        <v>0</v>
      </c>
      <c r="N287" s="215" t="str">
        <f>+'แผนลงทุน 1ปี '!F282</f>
        <v>เงินบำรุง</v>
      </c>
      <c r="O287" s="215" t="str">
        <f>+'แผนลงทุน 1ปี '!G282</f>
        <v>สิ่งก่อสร้าง</v>
      </c>
      <c r="P287" s="215" t="str">
        <f>+'แผนลงทุน 1ปี '!H282</f>
        <v>E</v>
      </c>
    </row>
    <row r="288" spans="2:16" s="138" customFormat="1" ht="23.1" customHeight="1">
      <c r="B288" s="215">
        <v>280</v>
      </c>
      <c r="C288" s="2056" t="s">
        <v>1219</v>
      </c>
      <c r="D288" s="215" t="s">
        <v>2739</v>
      </c>
      <c r="E288" s="496">
        <f>+'แผนลงทุน 1ปี '!C283</f>
        <v>99450</v>
      </c>
      <c r="F288" s="1634">
        <f>+'แผนลงทุน 1ปี '!D283</f>
        <v>1</v>
      </c>
      <c r="G288" s="496">
        <f>+'แผนลงทุน 1ปี '!E283</f>
        <v>99450</v>
      </c>
      <c r="H288" s="324">
        <v>0</v>
      </c>
      <c r="I288" s="324">
        <v>0</v>
      </c>
      <c r="J288" s="324">
        <v>0</v>
      </c>
      <c r="K288" s="324">
        <v>0</v>
      </c>
      <c r="L288" s="324">
        <v>0</v>
      </c>
      <c r="M288" s="324">
        <v>0</v>
      </c>
      <c r="N288" s="215" t="str">
        <f>+'แผนลงทุน 1ปี '!F283</f>
        <v>เงินบำรุง</v>
      </c>
      <c r="O288" s="215" t="str">
        <f>+'แผนลงทุน 1ปี '!G283</f>
        <v>สิ่งก่อสร้าง</v>
      </c>
      <c r="P288" s="215" t="str">
        <f>+'แผนลงทุน 1ปี '!H283</f>
        <v>M</v>
      </c>
    </row>
    <row r="289" spans="2:16" s="138" customFormat="1" ht="54.75" customHeight="1">
      <c r="B289" s="215">
        <v>281</v>
      </c>
      <c r="C289" s="2050" t="s">
        <v>1984</v>
      </c>
      <c r="D289" s="215" t="s">
        <v>2739</v>
      </c>
      <c r="E289" s="496">
        <f>+'แผนลงทุน 1ปี '!C284</f>
        <v>359200</v>
      </c>
      <c r="F289" s="1634">
        <f>+'แผนลงทุน 1ปี '!D284</f>
        <v>1</v>
      </c>
      <c r="G289" s="496">
        <f>+'แผนลงทุน 1ปี '!E284</f>
        <v>359200</v>
      </c>
      <c r="H289" s="324">
        <v>0</v>
      </c>
      <c r="I289" s="324">
        <v>0</v>
      </c>
      <c r="J289" s="324">
        <v>0</v>
      </c>
      <c r="K289" s="324">
        <v>0</v>
      </c>
      <c r="L289" s="324">
        <v>0</v>
      </c>
      <c r="M289" s="324">
        <v>0</v>
      </c>
      <c r="N289" s="215" t="str">
        <f>+'แผนลงทุน 1ปี '!F284</f>
        <v>เงินบำรุง</v>
      </c>
      <c r="O289" s="215" t="str">
        <f>+'แผนลงทุน 1ปี '!G284</f>
        <v>สิ่งก่อสร้าง</v>
      </c>
      <c r="P289" s="215" t="str">
        <f>+'แผนลงทุน 1ปี '!H284</f>
        <v>M</v>
      </c>
    </row>
    <row r="290" spans="2:16" s="138" customFormat="1" ht="23.1" customHeight="1">
      <c r="B290" s="215">
        <v>282</v>
      </c>
      <c r="C290" s="2056" t="s">
        <v>1985</v>
      </c>
      <c r="D290" s="215" t="s">
        <v>2739</v>
      </c>
      <c r="E290" s="496">
        <f>+'แผนลงทุน 1ปี '!C285</f>
        <v>400000</v>
      </c>
      <c r="F290" s="1634">
        <f>+'แผนลงทุน 1ปี '!D285</f>
        <v>1</v>
      </c>
      <c r="G290" s="496">
        <f>+'แผนลงทุน 1ปี '!E285</f>
        <v>400000</v>
      </c>
      <c r="H290" s="324">
        <v>0</v>
      </c>
      <c r="I290" s="324">
        <v>0</v>
      </c>
      <c r="J290" s="324">
        <v>0</v>
      </c>
      <c r="K290" s="324">
        <v>0</v>
      </c>
      <c r="L290" s="324">
        <v>0</v>
      </c>
      <c r="M290" s="324">
        <v>0</v>
      </c>
      <c r="N290" s="215" t="str">
        <f>+'แผนลงทุน 1ปี '!F285</f>
        <v>เงินบำรุง</v>
      </c>
      <c r="O290" s="215" t="str">
        <f>+'แผนลงทุน 1ปี '!G285</f>
        <v>สิ่งก่อสร้าง</v>
      </c>
      <c r="P290" s="215" t="str">
        <f>+'แผนลงทุน 1ปี '!H285</f>
        <v>M</v>
      </c>
    </row>
    <row r="291" spans="2:16" s="138" customFormat="1" ht="23.1" customHeight="1">
      <c r="B291" s="215">
        <v>283</v>
      </c>
      <c r="C291" s="2128" t="s">
        <v>1732</v>
      </c>
      <c r="D291" s="215" t="s">
        <v>2739</v>
      </c>
      <c r="E291" s="496">
        <f>+'แผนลงทุน 1ปี '!C286</f>
        <v>573000</v>
      </c>
      <c r="F291" s="1634">
        <f>+'แผนลงทุน 1ปี '!D286</f>
        <v>1</v>
      </c>
      <c r="G291" s="496">
        <f>+'แผนลงทุน 1ปี '!E286</f>
        <v>573000</v>
      </c>
      <c r="H291" s="324">
        <v>0</v>
      </c>
      <c r="I291" s="324">
        <v>0</v>
      </c>
      <c r="J291" s="324">
        <v>0</v>
      </c>
      <c r="K291" s="324">
        <v>0</v>
      </c>
      <c r="L291" s="324">
        <v>0</v>
      </c>
      <c r="M291" s="324">
        <v>0</v>
      </c>
      <c r="N291" s="215" t="str">
        <f>+'แผนลงทุน 1ปี '!F286</f>
        <v>เงินบำรุง</v>
      </c>
      <c r="O291" s="215" t="str">
        <f>+'แผนลงทุน 1ปี '!G286</f>
        <v>สิ่งก่อสร้าง</v>
      </c>
      <c r="P291" s="215" t="str">
        <f>+'แผนลงทุน 1ปี '!H286</f>
        <v>M</v>
      </c>
    </row>
    <row r="292" spans="2:16" s="138" customFormat="1" ht="23.1" customHeight="1">
      <c r="B292" s="215">
        <v>284</v>
      </c>
      <c r="C292" s="2280" t="s">
        <v>1714</v>
      </c>
      <c r="D292" s="215" t="s">
        <v>2739</v>
      </c>
      <c r="E292" s="496">
        <f>+'แผนลงทุน 1ปี '!C287</f>
        <v>200000</v>
      </c>
      <c r="F292" s="1634">
        <f>+'แผนลงทุน 1ปี '!D287</f>
        <v>1</v>
      </c>
      <c r="G292" s="496">
        <f>+'แผนลงทุน 1ปี '!E287</f>
        <v>200000</v>
      </c>
      <c r="H292" s="324">
        <v>0</v>
      </c>
      <c r="I292" s="324">
        <v>0</v>
      </c>
      <c r="J292" s="324">
        <v>0</v>
      </c>
      <c r="K292" s="324">
        <v>0</v>
      </c>
      <c r="L292" s="324">
        <v>0</v>
      </c>
      <c r="M292" s="324">
        <v>0</v>
      </c>
      <c r="N292" s="215" t="str">
        <f>+'แผนลงทุน 1ปี '!F287</f>
        <v>เงินบำรุง</v>
      </c>
      <c r="O292" s="215" t="str">
        <f>+'แผนลงทุน 1ปี '!G287</f>
        <v>สิ่งก่อสร้าง</v>
      </c>
      <c r="P292" s="215" t="str">
        <f>+'แผนลงทุน 1ปี '!H287</f>
        <v>M</v>
      </c>
    </row>
    <row r="293" spans="2:16" s="138" customFormat="1" ht="23.1" customHeight="1">
      <c r="B293" s="215">
        <v>285</v>
      </c>
      <c r="C293" s="2128" t="s">
        <v>1710</v>
      </c>
      <c r="D293" s="215" t="s">
        <v>2739</v>
      </c>
      <c r="E293" s="496">
        <f>+'แผนลงทุน 1ปี '!C288</f>
        <v>45000</v>
      </c>
      <c r="F293" s="1634">
        <f>+'แผนลงทุน 1ปี '!D288</f>
        <v>2</v>
      </c>
      <c r="G293" s="496">
        <f>+'แผนลงทุน 1ปี '!E288</f>
        <v>90000</v>
      </c>
      <c r="H293" s="324">
        <v>0</v>
      </c>
      <c r="I293" s="324">
        <v>0</v>
      </c>
      <c r="J293" s="324">
        <v>0</v>
      </c>
      <c r="K293" s="324">
        <v>0</v>
      </c>
      <c r="L293" s="324">
        <v>0</v>
      </c>
      <c r="M293" s="324">
        <v>0</v>
      </c>
      <c r="N293" s="215" t="str">
        <f>+'แผนลงทุน 1ปี '!F288</f>
        <v>เงินบำรุง</v>
      </c>
      <c r="O293" s="215" t="str">
        <f>+'แผนลงทุน 1ปี '!G288</f>
        <v>สิ่งก่อสร้าง</v>
      </c>
      <c r="P293" s="215" t="str">
        <f>+'แผนลงทุน 1ปี '!H288</f>
        <v>M</v>
      </c>
    </row>
    <row r="294" spans="2:16" s="138" customFormat="1" ht="48">
      <c r="B294" s="215">
        <v>286</v>
      </c>
      <c r="C294" s="2548" t="s">
        <v>2740</v>
      </c>
      <c r="D294" s="215" t="s">
        <v>2739</v>
      </c>
      <c r="E294" s="496">
        <f>+'แผนลงทุน 1ปี '!C289</f>
        <v>10000</v>
      </c>
      <c r="F294" s="1634">
        <f>+'แผนลงทุน 1ปี '!D289</f>
        <v>2</v>
      </c>
      <c r="G294" s="496">
        <f>+'แผนลงทุน 1ปี '!E289</f>
        <v>20000</v>
      </c>
      <c r="H294" s="324">
        <v>0</v>
      </c>
      <c r="I294" s="324">
        <v>0</v>
      </c>
      <c r="J294" s="324">
        <v>0</v>
      </c>
      <c r="K294" s="324">
        <v>0</v>
      </c>
      <c r="L294" s="324">
        <v>0</v>
      </c>
      <c r="M294" s="324">
        <v>0</v>
      </c>
      <c r="N294" s="215" t="str">
        <f>+'แผนลงทุน 1ปี '!F289</f>
        <v>เงินบำรุง</v>
      </c>
      <c r="O294" s="215" t="str">
        <f>+'แผนลงทุน 1ปี '!G289</f>
        <v>สิ่งก่อสร้าง</v>
      </c>
      <c r="P294" s="215" t="str">
        <f>+'แผนลงทุน 1ปี '!H289</f>
        <v>M</v>
      </c>
    </row>
    <row r="295" spans="2:16" s="138" customFormat="1" ht="48">
      <c r="B295" s="215">
        <v>287</v>
      </c>
      <c r="C295" s="2284" t="s">
        <v>1744</v>
      </c>
      <c r="D295" s="215" t="s">
        <v>2739</v>
      </c>
      <c r="E295" s="496">
        <f>+'แผนลงทุน 1ปี '!C290</f>
        <v>200000</v>
      </c>
      <c r="F295" s="1634">
        <f>+'แผนลงทุน 1ปี '!D290</f>
        <v>1</v>
      </c>
      <c r="G295" s="496">
        <f>+'แผนลงทุน 1ปี '!E290</f>
        <v>200000</v>
      </c>
      <c r="H295" s="324">
        <v>0</v>
      </c>
      <c r="I295" s="324">
        <v>0</v>
      </c>
      <c r="J295" s="324">
        <v>0</v>
      </c>
      <c r="K295" s="324">
        <v>0</v>
      </c>
      <c r="L295" s="324">
        <v>0</v>
      </c>
      <c r="M295" s="324">
        <v>0</v>
      </c>
      <c r="N295" s="215" t="str">
        <f>+'แผนลงทุน 1ปี '!F290</f>
        <v>เงินบำรุง</v>
      </c>
      <c r="O295" s="215" t="str">
        <f>+'แผนลงทุน 1ปี '!G290</f>
        <v>สิ่งก่อสร้าง</v>
      </c>
      <c r="P295" s="215" t="str">
        <f>+'แผนลงทุน 1ปี '!H290</f>
        <v>M</v>
      </c>
    </row>
    <row r="296" spans="2:16" s="138" customFormat="1" ht="23.1" customHeight="1">
      <c r="B296" s="215">
        <v>288</v>
      </c>
      <c r="C296" s="2546" t="s">
        <v>2597</v>
      </c>
      <c r="D296" s="215" t="s">
        <v>2739</v>
      </c>
      <c r="E296" s="496">
        <f>+'แผนลงทุน 1ปี '!C291</f>
        <v>117630</v>
      </c>
      <c r="F296" s="1634">
        <f>+'แผนลงทุน 1ปี '!D291</f>
        <v>1</v>
      </c>
      <c r="G296" s="496">
        <f>+'แผนลงทุน 1ปี '!E291</f>
        <v>117630</v>
      </c>
      <c r="H296" s="324">
        <v>0</v>
      </c>
      <c r="I296" s="324">
        <v>0</v>
      </c>
      <c r="J296" s="324">
        <v>0</v>
      </c>
      <c r="K296" s="324">
        <v>0</v>
      </c>
      <c r="L296" s="324">
        <v>0</v>
      </c>
      <c r="M296" s="324">
        <v>0</v>
      </c>
      <c r="N296" s="215" t="str">
        <f>+'แผนลงทุน 1ปี '!F291</f>
        <v>เงินบำรุง</v>
      </c>
      <c r="O296" s="215" t="str">
        <f>+'แผนลงทุน 1ปี '!G291</f>
        <v>สิ่งก่อสร้าง</v>
      </c>
      <c r="P296" s="215" t="str">
        <f>+'แผนลงทุน 1ปี '!H291</f>
        <v>M</v>
      </c>
    </row>
    <row r="297" spans="2:16" s="138" customFormat="1" ht="23.1" customHeight="1">
      <c r="B297" s="215">
        <v>289</v>
      </c>
      <c r="C297" s="2294" t="s">
        <v>1971</v>
      </c>
      <c r="D297" s="215" t="s">
        <v>2739</v>
      </c>
      <c r="E297" s="496">
        <f>+'แผนลงทุน 1ปี '!C292</f>
        <v>239376.56</v>
      </c>
      <c r="F297" s="1634">
        <f>+'แผนลงทุน 1ปี '!D292</f>
        <v>1</v>
      </c>
      <c r="G297" s="496">
        <f>+'แผนลงทุน 1ปี '!E292</f>
        <v>239376.56</v>
      </c>
      <c r="H297" s="324">
        <v>0</v>
      </c>
      <c r="I297" s="324">
        <v>0</v>
      </c>
      <c r="J297" s="324">
        <v>0</v>
      </c>
      <c r="K297" s="324">
        <v>0</v>
      </c>
      <c r="L297" s="324">
        <v>0</v>
      </c>
      <c r="M297" s="324">
        <v>0</v>
      </c>
      <c r="N297" s="215" t="str">
        <f>+'แผนลงทุน 1ปี '!F292</f>
        <v>เงินบำรุง</v>
      </c>
      <c r="O297" s="215" t="str">
        <f>+'แผนลงทุน 1ปี '!G292</f>
        <v>สิ่งก่อสร้าง</v>
      </c>
      <c r="P297" s="215" t="str">
        <f>+'แผนลงทุน 1ปี '!H292</f>
        <v>M</v>
      </c>
    </row>
    <row r="298" spans="2:16" s="138" customFormat="1" ht="23.1" customHeight="1">
      <c r="B298" s="215">
        <v>290</v>
      </c>
      <c r="C298" s="2284" t="s">
        <v>1713</v>
      </c>
      <c r="D298" s="215" t="s">
        <v>2739</v>
      </c>
      <c r="E298" s="496">
        <f>+'แผนลงทุน 1ปี '!C293</f>
        <v>229094.49</v>
      </c>
      <c r="F298" s="1634">
        <f>+'แผนลงทุน 1ปี '!D293</f>
        <v>1</v>
      </c>
      <c r="G298" s="496">
        <f>+'แผนลงทุน 1ปี '!E293</f>
        <v>229094.49</v>
      </c>
      <c r="H298" s="324">
        <v>0</v>
      </c>
      <c r="I298" s="324">
        <v>0</v>
      </c>
      <c r="J298" s="324">
        <v>0</v>
      </c>
      <c r="K298" s="324">
        <v>0</v>
      </c>
      <c r="L298" s="324">
        <v>0</v>
      </c>
      <c r="M298" s="324">
        <v>0</v>
      </c>
      <c r="N298" s="215" t="str">
        <f>+'แผนลงทุน 1ปี '!F293</f>
        <v>เงินบำรุง</v>
      </c>
      <c r="O298" s="215" t="str">
        <f>+'แผนลงทุน 1ปี '!G293</f>
        <v>สิ่งก่อสร้าง</v>
      </c>
      <c r="P298" s="215" t="str">
        <f>+'แผนลงทุน 1ปี '!H293</f>
        <v>M</v>
      </c>
    </row>
    <row r="299" spans="2:16" s="138" customFormat="1" ht="23.1" customHeight="1">
      <c r="B299" s="215">
        <v>291</v>
      </c>
      <c r="C299" s="2284" t="s">
        <v>1990</v>
      </c>
      <c r="D299" s="215" t="s">
        <v>2739</v>
      </c>
      <c r="E299" s="496">
        <f>+'แผนลงทุน 1ปี '!C294</f>
        <v>500000</v>
      </c>
      <c r="F299" s="1634">
        <f>+'แผนลงทุน 1ปี '!D294</f>
        <v>1</v>
      </c>
      <c r="G299" s="496">
        <f>+'แผนลงทุน 1ปี '!E294</f>
        <v>500000</v>
      </c>
      <c r="H299" s="324">
        <v>0</v>
      </c>
      <c r="I299" s="324">
        <v>0</v>
      </c>
      <c r="J299" s="324">
        <v>0</v>
      </c>
      <c r="K299" s="324">
        <v>0</v>
      </c>
      <c r="L299" s="324">
        <v>0</v>
      </c>
      <c r="M299" s="324">
        <v>0</v>
      </c>
      <c r="N299" s="215" t="str">
        <f>+'แผนลงทุน 1ปี '!F294</f>
        <v>เงินบำรุง</v>
      </c>
      <c r="O299" s="215" t="str">
        <f>+'แผนลงทุน 1ปี '!G294</f>
        <v>สิ่งก่อสร้าง</v>
      </c>
      <c r="P299" s="215" t="str">
        <f>+'แผนลงทุน 1ปี '!H294</f>
        <v>M</v>
      </c>
    </row>
    <row r="300" spans="2:16" s="138" customFormat="1" ht="48">
      <c r="B300" s="215">
        <v>292</v>
      </c>
      <c r="C300" s="2284" t="s">
        <v>1988</v>
      </c>
      <c r="D300" s="215" t="s">
        <v>2739</v>
      </c>
      <c r="E300" s="496">
        <f>+'แผนลงทุน 1ปี '!C295</f>
        <v>500000</v>
      </c>
      <c r="F300" s="1634">
        <f>+'แผนลงทุน 1ปี '!D295</f>
        <v>1</v>
      </c>
      <c r="G300" s="496">
        <f>+'แผนลงทุน 1ปี '!E295</f>
        <v>500000</v>
      </c>
      <c r="H300" s="324">
        <v>0</v>
      </c>
      <c r="I300" s="324">
        <v>0</v>
      </c>
      <c r="J300" s="324">
        <v>0</v>
      </c>
      <c r="K300" s="324">
        <v>0</v>
      </c>
      <c r="L300" s="324">
        <v>0</v>
      </c>
      <c r="M300" s="324">
        <v>0</v>
      </c>
      <c r="N300" s="215" t="str">
        <f>+'แผนลงทุน 1ปี '!F295</f>
        <v>เงินบำรุง</v>
      </c>
      <c r="O300" s="215" t="str">
        <f>+'แผนลงทุน 1ปี '!G295</f>
        <v>สิ่งก่อสร้าง</v>
      </c>
      <c r="P300" s="215" t="str">
        <f>+'แผนลงทุน 1ปี '!H295</f>
        <v>M</v>
      </c>
    </row>
    <row r="301" spans="2:16" s="138" customFormat="1" ht="23.1" customHeight="1">
      <c r="B301" s="215">
        <v>293</v>
      </c>
      <c r="C301" s="2259" t="s">
        <v>1991</v>
      </c>
      <c r="D301" s="215" t="s">
        <v>2739</v>
      </c>
      <c r="E301" s="496">
        <f>+'แผนลงทุน 1ปี '!C296</f>
        <v>500000</v>
      </c>
      <c r="F301" s="1634">
        <f>+'แผนลงทุน 1ปี '!D296</f>
        <v>1</v>
      </c>
      <c r="G301" s="496">
        <f>+'แผนลงทุน 1ปี '!E296</f>
        <v>500000</v>
      </c>
      <c r="H301" s="324">
        <v>0</v>
      </c>
      <c r="I301" s="324">
        <v>0</v>
      </c>
      <c r="J301" s="324">
        <v>0</v>
      </c>
      <c r="K301" s="324">
        <v>0</v>
      </c>
      <c r="L301" s="324">
        <v>0</v>
      </c>
      <c r="M301" s="324">
        <v>0</v>
      </c>
      <c r="N301" s="215" t="str">
        <f>+'แผนลงทุน 1ปี '!F296</f>
        <v>เงินบำรุง</v>
      </c>
      <c r="O301" s="215" t="str">
        <f>+'แผนลงทุน 1ปี '!G296</f>
        <v>สิ่งก่อสร้าง</v>
      </c>
      <c r="P301" s="215" t="str">
        <f>+'แผนลงทุน 1ปี '!H296</f>
        <v>M</v>
      </c>
    </row>
    <row r="302" spans="2:16" s="138" customFormat="1" ht="23.1" customHeight="1">
      <c r="B302" s="215">
        <v>294</v>
      </c>
      <c r="C302" s="2259" t="s">
        <v>1063</v>
      </c>
      <c r="D302" s="215" t="s">
        <v>2739</v>
      </c>
      <c r="E302" s="496">
        <f>+'แผนลงทุน 1ปี '!C297</f>
        <v>2000000</v>
      </c>
      <c r="F302" s="1634">
        <f>+'แผนลงทุน 1ปี '!D297</f>
        <v>1</v>
      </c>
      <c r="G302" s="496">
        <f>+'แผนลงทุน 1ปี '!E297</f>
        <v>2000000</v>
      </c>
      <c r="H302" s="324">
        <v>0</v>
      </c>
      <c r="I302" s="324">
        <v>0</v>
      </c>
      <c r="J302" s="324">
        <v>0</v>
      </c>
      <c r="K302" s="324">
        <v>0</v>
      </c>
      <c r="L302" s="324">
        <v>0</v>
      </c>
      <c r="M302" s="324">
        <v>0</v>
      </c>
      <c r="N302" s="215" t="str">
        <f>+'แผนลงทุน 1ปี '!F297</f>
        <v>เงินบริจาค</v>
      </c>
      <c r="O302" s="215" t="str">
        <f>+'แผนลงทุน 1ปี '!G297</f>
        <v>สิ่งก่อสร้าง</v>
      </c>
      <c r="P302" s="215" t="str">
        <f>+'แผนลงทุน 1ปี '!H297</f>
        <v>M</v>
      </c>
    </row>
    <row r="303" spans="2:16" s="138" customFormat="1" ht="23.1" customHeight="1">
      <c r="B303" s="215">
        <v>295</v>
      </c>
      <c r="C303" s="2259" t="s">
        <v>1500</v>
      </c>
      <c r="D303" s="215" t="s">
        <v>2739</v>
      </c>
      <c r="E303" s="496">
        <f>+'แผนลงทุน 1ปี '!C298</f>
        <v>2700000</v>
      </c>
      <c r="F303" s="1634">
        <f>+'แผนลงทุน 1ปี '!D298</f>
        <v>1</v>
      </c>
      <c r="G303" s="496">
        <f>+'แผนลงทุน 1ปี '!E298</f>
        <v>2700000</v>
      </c>
      <c r="H303" s="324">
        <v>0</v>
      </c>
      <c r="I303" s="324">
        <v>0</v>
      </c>
      <c r="J303" s="324">
        <v>0</v>
      </c>
      <c r="K303" s="324">
        <v>0</v>
      </c>
      <c r="L303" s="324">
        <v>0</v>
      </c>
      <c r="M303" s="324">
        <v>0</v>
      </c>
      <c r="N303" s="215" t="str">
        <f>+'แผนลงทุน 1ปี '!F298</f>
        <v>เงินบริจาค</v>
      </c>
      <c r="O303" s="215" t="str">
        <f>+'แผนลงทุน 1ปี '!G298</f>
        <v>สิ่งก่อสร้าง</v>
      </c>
      <c r="P303" s="215" t="str">
        <f>+'แผนลงทุน 1ปี '!H298</f>
        <v>M</v>
      </c>
    </row>
    <row r="304" spans="2:16" s="138" customFormat="1" ht="24">
      <c r="B304" s="215">
        <v>296</v>
      </c>
      <c r="C304" s="2547" t="s">
        <v>1061</v>
      </c>
      <c r="D304" s="215" t="s">
        <v>2739</v>
      </c>
      <c r="E304" s="496">
        <f>+'แผนลงทุน 1ปี '!C299</f>
        <v>100000000</v>
      </c>
      <c r="F304" s="1634">
        <f>+'แผนลงทุน 1ปี '!D299</f>
        <v>1</v>
      </c>
      <c r="G304" s="496">
        <f>+'แผนลงทุน 1ปี '!E299</f>
        <v>100000000</v>
      </c>
      <c r="H304" s="324"/>
      <c r="I304" s="324">
        <v>321000000</v>
      </c>
      <c r="J304" s="324">
        <v>0</v>
      </c>
      <c r="K304" s="324">
        <v>0</v>
      </c>
      <c r="L304" s="324">
        <v>0</v>
      </c>
      <c r="M304" s="324">
        <v>0</v>
      </c>
      <c r="N304" s="215" t="str">
        <f>+'แผนลงทุน 1ปี '!F299</f>
        <v>เงินบริจาค</v>
      </c>
      <c r="O304" s="215" t="str">
        <f>+'แผนลงทุน 1ปี '!G299</f>
        <v>สิ่งก่อสร้าง</v>
      </c>
      <c r="P304" s="215" t="str">
        <f>+'แผนลงทุน 1ปี '!H299</f>
        <v>M</v>
      </c>
    </row>
    <row r="305" spans="2:16" s="138" customFormat="1" ht="72">
      <c r="B305" s="215">
        <v>297</v>
      </c>
      <c r="C305" s="2900" t="s">
        <v>2723</v>
      </c>
      <c r="D305" s="215" t="s">
        <v>2739</v>
      </c>
      <c r="E305" s="2106">
        <v>18490000</v>
      </c>
      <c r="F305" s="324">
        <v>0</v>
      </c>
      <c r="G305" s="324">
        <v>0</v>
      </c>
      <c r="H305" s="2260">
        <v>1</v>
      </c>
      <c r="I305" s="496">
        <f>+E305*H305</f>
        <v>18490000</v>
      </c>
      <c r="J305" s="324">
        <v>0</v>
      </c>
      <c r="K305" s="324">
        <v>0</v>
      </c>
      <c r="L305" s="324">
        <v>0</v>
      </c>
      <c r="M305" s="324">
        <v>0</v>
      </c>
      <c r="N305" s="215" t="s">
        <v>195</v>
      </c>
      <c r="O305" s="215" t="s">
        <v>9</v>
      </c>
      <c r="P305" s="215" t="s">
        <v>662</v>
      </c>
    </row>
    <row r="306" spans="2:16" s="138" customFormat="1" ht="45" customHeight="1">
      <c r="B306" s="215">
        <v>298</v>
      </c>
      <c r="C306" s="2901" t="s">
        <v>2724</v>
      </c>
      <c r="D306" s="215" t="s">
        <v>2739</v>
      </c>
      <c r="E306" s="2059">
        <v>3000000</v>
      </c>
      <c r="F306" s="324">
        <v>0</v>
      </c>
      <c r="G306" s="324">
        <v>0</v>
      </c>
      <c r="H306" s="2051">
        <v>2</v>
      </c>
      <c r="I306" s="496">
        <f>+E306*H306</f>
        <v>6000000</v>
      </c>
      <c r="J306" s="324">
        <v>0</v>
      </c>
      <c r="K306" s="324">
        <v>0</v>
      </c>
      <c r="L306" s="324">
        <v>0</v>
      </c>
      <c r="M306" s="324">
        <v>0</v>
      </c>
      <c r="N306" s="215" t="s">
        <v>195</v>
      </c>
      <c r="O306" s="215" t="s">
        <v>9</v>
      </c>
      <c r="P306" s="215" t="s">
        <v>665</v>
      </c>
    </row>
    <row r="307" spans="2:16" s="138" customFormat="1" ht="23.1" customHeight="1">
      <c r="B307" s="215">
        <v>299</v>
      </c>
      <c r="C307" s="2265" t="s">
        <v>2508</v>
      </c>
      <c r="D307" s="215" t="s">
        <v>2739</v>
      </c>
      <c r="E307" s="2267">
        <v>18522237.399999999</v>
      </c>
      <c r="F307" s="324">
        <v>0</v>
      </c>
      <c r="G307" s="324">
        <v>0</v>
      </c>
      <c r="H307" s="2266">
        <v>1</v>
      </c>
      <c r="I307" s="496">
        <f>+E307*H307</f>
        <v>18522237.399999999</v>
      </c>
      <c r="J307" s="324">
        <v>0</v>
      </c>
      <c r="K307" s="324">
        <v>0</v>
      </c>
      <c r="L307" s="324">
        <v>0</v>
      </c>
      <c r="M307" s="324">
        <v>0</v>
      </c>
      <c r="N307" s="215" t="s">
        <v>195</v>
      </c>
      <c r="O307" s="215" t="s">
        <v>9</v>
      </c>
      <c r="P307" s="215" t="s">
        <v>665</v>
      </c>
    </row>
    <row r="308" spans="2:16" s="138" customFormat="1" ht="24">
      <c r="B308" s="215">
        <v>300</v>
      </c>
      <c r="C308" s="2050" t="s">
        <v>2741</v>
      </c>
      <c r="D308" s="215" t="s">
        <v>2739</v>
      </c>
      <c r="E308" s="2052">
        <v>20000000</v>
      </c>
      <c r="F308" s="324">
        <v>0</v>
      </c>
      <c r="G308" s="324">
        <v>0</v>
      </c>
      <c r="H308" s="2051">
        <v>1</v>
      </c>
      <c r="I308" s="496">
        <f>+E308*H308</f>
        <v>20000000</v>
      </c>
      <c r="J308" s="324">
        <v>0</v>
      </c>
      <c r="K308" s="324">
        <v>0</v>
      </c>
      <c r="L308" s="324">
        <v>0</v>
      </c>
      <c r="M308" s="324">
        <v>0</v>
      </c>
      <c r="N308" s="215" t="s">
        <v>195</v>
      </c>
      <c r="O308" s="215" t="s">
        <v>9</v>
      </c>
      <c r="P308" s="215">
        <f>+'แผนลงทุน 1ปี '!H302</f>
        <v>0</v>
      </c>
    </row>
    <row r="309" spans="2:16" s="138" customFormat="1" ht="23.1" customHeight="1">
      <c r="B309" s="215">
        <v>301</v>
      </c>
      <c r="C309" s="2056" t="s">
        <v>2742</v>
      </c>
      <c r="D309" s="215" t="s">
        <v>2739</v>
      </c>
      <c r="E309" s="2059">
        <v>116270000</v>
      </c>
      <c r="F309" s="324">
        <v>0</v>
      </c>
      <c r="G309" s="324">
        <v>0</v>
      </c>
      <c r="H309" s="2051">
        <v>1</v>
      </c>
      <c r="I309" s="496">
        <f>+E309*H309</f>
        <v>116270000</v>
      </c>
      <c r="J309" s="324">
        <v>0</v>
      </c>
      <c r="K309" s="324">
        <v>0</v>
      </c>
      <c r="L309" s="324">
        <v>0</v>
      </c>
      <c r="M309" s="324">
        <v>0</v>
      </c>
      <c r="N309" s="215" t="s">
        <v>195</v>
      </c>
      <c r="O309" s="215" t="s">
        <v>9</v>
      </c>
      <c r="P309" s="215" t="s">
        <v>665</v>
      </c>
    </row>
    <row r="310" spans="2:16" s="138" customFormat="1" ht="24">
      <c r="B310" s="215">
        <v>302</v>
      </c>
      <c r="C310" s="2056" t="s">
        <v>2584</v>
      </c>
      <c r="D310" s="215" t="s">
        <v>2739</v>
      </c>
      <c r="E310" s="2059">
        <v>19202986.120000001</v>
      </c>
      <c r="F310" s="324">
        <v>0</v>
      </c>
      <c r="G310" s="324">
        <v>0</v>
      </c>
      <c r="H310" s="2051">
        <v>1</v>
      </c>
      <c r="I310" s="496">
        <f>+E310*H310</f>
        <v>19202986.120000001</v>
      </c>
      <c r="J310" s="324">
        <v>0</v>
      </c>
      <c r="K310" s="324">
        <v>0</v>
      </c>
      <c r="L310" s="324">
        <v>0</v>
      </c>
      <c r="M310" s="324">
        <v>0</v>
      </c>
      <c r="N310" s="215" t="s">
        <v>195</v>
      </c>
      <c r="O310" s="215" t="s">
        <v>9</v>
      </c>
      <c r="P310" s="215" t="s">
        <v>665</v>
      </c>
    </row>
    <row r="311" spans="2:16" s="138" customFormat="1" ht="24">
      <c r="B311" s="215">
        <v>303</v>
      </c>
      <c r="C311" s="2056" t="s">
        <v>157</v>
      </c>
      <c r="D311" s="215"/>
      <c r="E311" s="324">
        <v>0</v>
      </c>
      <c r="F311" s="324">
        <v>0</v>
      </c>
      <c r="G311" s="324">
        <v>0</v>
      </c>
      <c r="H311" s="324">
        <v>0</v>
      </c>
      <c r="I311" s="324">
        <v>0</v>
      </c>
      <c r="J311" s="324">
        <v>0</v>
      </c>
      <c r="K311" s="324">
        <f>+'3ปี'!L57</f>
        <v>50000000</v>
      </c>
      <c r="L311" s="324">
        <v>0</v>
      </c>
      <c r="M311" s="324">
        <v>0</v>
      </c>
      <c r="N311" s="215" t="s">
        <v>233</v>
      </c>
      <c r="O311" s="215" t="s">
        <v>9</v>
      </c>
      <c r="P311" s="215"/>
    </row>
    <row r="312" spans="2:16" s="138" customFormat="1" ht="24">
      <c r="B312" s="215">
        <v>304</v>
      </c>
      <c r="C312" s="2056" t="s">
        <v>159</v>
      </c>
      <c r="D312" s="215"/>
      <c r="E312" s="324">
        <v>0</v>
      </c>
      <c r="F312" s="324">
        <v>0</v>
      </c>
      <c r="G312" s="324">
        <v>0</v>
      </c>
      <c r="H312" s="324">
        <v>0</v>
      </c>
      <c r="I312" s="324">
        <v>0</v>
      </c>
      <c r="J312" s="324">
        <v>0</v>
      </c>
      <c r="K312" s="324">
        <f>+'3ปี'!L58</f>
        <v>50000000</v>
      </c>
      <c r="L312" s="324">
        <v>0</v>
      </c>
      <c r="M312" s="324">
        <v>0</v>
      </c>
      <c r="N312" s="215" t="s">
        <v>195</v>
      </c>
      <c r="O312" s="215" t="s">
        <v>9</v>
      </c>
      <c r="P312" s="215"/>
    </row>
    <row r="313" spans="2:16" s="138" customFormat="1" ht="24" customHeight="1">
      <c r="B313" s="215"/>
      <c r="C313" s="235" t="s">
        <v>4</v>
      </c>
      <c r="D313" s="235"/>
      <c r="E313" s="235"/>
      <c r="F313" s="717">
        <f>SUM(F8:F312)</f>
        <v>834</v>
      </c>
      <c r="G313" s="717">
        <f t="shared" ref="G313:K313" si="0">SUM(G8:G312)</f>
        <v>407611992.79666668</v>
      </c>
      <c r="H313" s="717">
        <f t="shared" si="0"/>
        <v>7</v>
      </c>
      <c r="I313" s="717">
        <f t="shared" si="0"/>
        <v>636485223.51999998</v>
      </c>
      <c r="J313" s="717">
        <f t="shared" si="0"/>
        <v>0</v>
      </c>
      <c r="K313" s="717">
        <f t="shared" si="0"/>
        <v>217000000</v>
      </c>
      <c r="L313" s="326">
        <f>SUM(L8:L97)</f>
        <v>0</v>
      </c>
      <c r="M313" s="718">
        <f t="shared" ref="M313" si="1">+G313+I313+K313</f>
        <v>1261097216.3166666</v>
      </c>
      <c r="N313" s="216"/>
      <c r="O313" s="216"/>
      <c r="P313" s="235"/>
    </row>
    <row r="314" spans="2:16" s="138" customFormat="1" ht="24" customHeight="1">
      <c r="B314" s="340"/>
      <c r="C314" s="340"/>
      <c r="D314" s="340"/>
      <c r="E314" s="340"/>
      <c r="F314" s="722"/>
      <c r="G314" s="341"/>
      <c r="H314" s="340"/>
      <c r="I314" s="341"/>
      <c r="J314" s="141"/>
      <c r="K314" s="341"/>
      <c r="L314" s="141"/>
      <c r="M314" s="723"/>
      <c r="P314" s="340"/>
    </row>
    <row r="315" spans="2:16" s="138" customFormat="1" ht="24" customHeight="1">
      <c r="B315" s="340"/>
      <c r="C315" s="340"/>
      <c r="D315" s="340"/>
      <c r="E315" s="340"/>
      <c r="F315" s="141"/>
      <c r="G315" s="341"/>
      <c r="H315" s="141"/>
      <c r="I315" s="341"/>
      <c r="J315" s="141"/>
      <c r="K315" s="341"/>
      <c r="L315" s="141"/>
      <c r="M315" s="341"/>
      <c r="P315" s="340"/>
    </row>
    <row r="316" spans="2:16">
      <c r="I316" s="332"/>
      <c r="K316" s="332"/>
      <c r="L316" s="332"/>
      <c r="M316" s="332"/>
    </row>
    <row r="317" spans="2:16" ht="21">
      <c r="D317" s="2741" t="s">
        <v>10</v>
      </c>
      <c r="E317" s="2741"/>
      <c r="F317" s="2741"/>
      <c r="G317" s="2741"/>
      <c r="H317" s="19"/>
      <c r="I317" s="333"/>
      <c r="J317" s="333"/>
      <c r="K317" s="2745" t="s">
        <v>671</v>
      </c>
      <c r="L317" s="2745"/>
      <c r="M317" s="2745"/>
      <c r="N317" s="2745"/>
    </row>
    <row r="318" spans="2:16" ht="39.75" customHeight="1">
      <c r="D318" s="2744" t="s">
        <v>667</v>
      </c>
      <c r="E318" s="2744"/>
      <c r="F318" s="2744"/>
      <c r="G318" s="2744"/>
      <c r="H318" s="19"/>
      <c r="I318" s="334" t="s">
        <v>669</v>
      </c>
      <c r="J318" s="334"/>
      <c r="K318" s="2746" t="s">
        <v>670</v>
      </c>
      <c r="L318" s="2746"/>
      <c r="M318" s="2746"/>
      <c r="N318" s="2746"/>
    </row>
    <row r="319" spans="2:16" ht="39.75" customHeight="1">
      <c r="D319" s="719"/>
      <c r="E319" s="719"/>
      <c r="F319" s="719"/>
      <c r="G319" s="719"/>
      <c r="H319" s="19"/>
      <c r="I319" s="334"/>
      <c r="J319" s="334"/>
      <c r="K319" s="720"/>
      <c r="L319" s="720"/>
      <c r="M319" s="720"/>
      <c r="N319" s="720"/>
    </row>
    <row r="320" spans="2:16" ht="21">
      <c r="H320" s="19"/>
      <c r="I320" s="335"/>
      <c r="J320" s="19"/>
      <c r="K320" s="335"/>
      <c r="L320" s="335"/>
      <c r="M320" s="332"/>
    </row>
    <row r="321" spans="2:16" ht="54.75" customHeight="1">
      <c r="H321" s="2744" t="s">
        <v>672</v>
      </c>
      <c r="I321" s="2741"/>
      <c r="J321" s="2741"/>
      <c r="K321" s="2741"/>
      <c r="L321" s="335"/>
      <c r="M321" s="332"/>
    </row>
    <row r="322" spans="2:16" ht="21">
      <c r="H322" s="19"/>
      <c r="I322" s="335"/>
      <c r="J322" s="19"/>
      <c r="K322" s="335"/>
      <c r="L322" s="335"/>
      <c r="M322" s="332"/>
    </row>
    <row r="323" spans="2:16" ht="21">
      <c r="H323" s="19"/>
      <c r="I323" s="335"/>
      <c r="J323" s="19"/>
      <c r="K323" s="335"/>
      <c r="L323" s="335"/>
      <c r="M323" s="332"/>
    </row>
    <row r="324" spans="2:16" s="329" customFormat="1" ht="53.25" customHeight="1">
      <c r="B324" s="336"/>
      <c r="D324" s="336"/>
      <c r="H324" s="138"/>
      <c r="I324" s="2742" t="s">
        <v>222</v>
      </c>
      <c r="J324" s="2743"/>
      <c r="K324" s="2743"/>
      <c r="L324" s="337"/>
      <c r="M324" s="338"/>
      <c r="P324" s="336"/>
    </row>
    <row r="325" spans="2:16" ht="21">
      <c r="H325" s="19"/>
      <c r="I325" s="335"/>
      <c r="J325" s="19"/>
      <c r="K325" s="335"/>
      <c r="L325" s="335"/>
      <c r="M325" s="332"/>
      <c r="P325" s="339"/>
    </row>
    <row r="326" spans="2:16" ht="21">
      <c r="H326" s="19"/>
      <c r="I326" s="335"/>
      <c r="J326" s="19"/>
      <c r="K326" s="335"/>
      <c r="L326" s="335"/>
      <c r="M326" s="332"/>
    </row>
    <row r="327" spans="2:16" ht="21">
      <c r="H327" s="19"/>
      <c r="I327" s="335"/>
      <c r="J327" s="19"/>
      <c r="K327" s="335"/>
      <c r="L327" s="335"/>
      <c r="M327" s="332"/>
    </row>
    <row r="328" spans="2:16" ht="21">
      <c r="H328" s="19"/>
      <c r="I328" s="2741"/>
      <c r="J328" s="2741"/>
      <c r="K328" s="2741"/>
      <c r="L328" s="2741"/>
      <c r="M328" s="332"/>
    </row>
  </sheetData>
  <mergeCells count="21">
    <mergeCell ref="I328:L328"/>
    <mergeCell ref="I324:K324"/>
    <mergeCell ref="D317:G317"/>
    <mergeCell ref="B5:B6"/>
    <mergeCell ref="C5:C6"/>
    <mergeCell ref="D5:D6"/>
    <mergeCell ref="E5:E6"/>
    <mergeCell ref="F5:G5"/>
    <mergeCell ref="H321:K321"/>
    <mergeCell ref="D318:G318"/>
    <mergeCell ref="K317:N317"/>
    <mergeCell ref="K318:N318"/>
    <mergeCell ref="A1:P1"/>
    <mergeCell ref="A2:P2"/>
    <mergeCell ref="A3:P3"/>
    <mergeCell ref="N5:N6"/>
    <mergeCell ref="O5:O6"/>
    <mergeCell ref="P5:P6"/>
    <mergeCell ref="H5:I5"/>
    <mergeCell ref="J5:K5"/>
    <mergeCell ref="L5:M5"/>
  </mergeCells>
  <pageMargins left="0.15748031496062992" right="0.19685039370078741" top="0.51181102362204722" bottom="0.43307086614173229" header="0.35433070866141736" footer="0.23622047244094491"/>
  <pageSetup paperSize="9" scale="57" firstPageNumber="5" orientation="landscape" useFirstPageNumber="1" horizontalDpi="4294967293" r:id="rId1"/>
  <headerFooter alignWithMargins="0">
    <oddFooter>&amp;C&amp;P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O75"/>
  <sheetViews>
    <sheetView view="pageBreakPreview" zoomScale="110" zoomScaleNormal="120" zoomScaleSheetLayoutView="110" workbookViewId="0">
      <selection activeCell="L16" sqref="L16"/>
    </sheetView>
  </sheetViews>
  <sheetFormatPr defaultRowHeight="15"/>
  <cols>
    <col min="1" max="1" width="1.28515625" customWidth="1"/>
    <col min="2" max="2" width="2.85546875" customWidth="1"/>
    <col min="3" max="3" width="3.140625" customWidth="1"/>
    <col min="4" max="4" width="3.42578125" customWidth="1"/>
    <col min="5" max="5" width="55.7109375" customWidth="1"/>
    <col min="6" max="8" width="21.85546875" customWidth="1"/>
    <col min="9" max="9" width="4.28515625" customWidth="1"/>
    <col min="10" max="10" width="4.42578125" customWidth="1"/>
    <col min="11" max="11" width="4.85546875" customWidth="1"/>
  </cols>
  <sheetData>
    <row r="1" spans="1:8" ht="18.95" customHeight="1">
      <c r="A1" s="51"/>
      <c r="B1" s="52"/>
      <c r="C1" s="52"/>
      <c r="D1" s="52"/>
      <c r="E1" s="52"/>
      <c r="F1" s="53"/>
      <c r="H1" s="561" t="s">
        <v>99</v>
      </c>
    </row>
    <row r="2" spans="1:8" ht="18.95" customHeight="1">
      <c r="A2" s="51"/>
      <c r="B2" s="2747" t="s">
        <v>89</v>
      </c>
      <c r="C2" s="2747"/>
      <c r="D2" s="2747"/>
      <c r="E2" s="2747"/>
      <c r="F2" s="2747"/>
      <c r="G2" s="2747"/>
      <c r="H2" s="2747"/>
    </row>
    <row r="3" spans="1:8" ht="18.95" customHeight="1">
      <c r="A3" s="51"/>
      <c r="B3" s="2747" t="s">
        <v>186</v>
      </c>
      <c r="C3" s="2747"/>
      <c r="D3" s="2747"/>
      <c r="E3" s="2747"/>
      <c r="F3" s="2747"/>
      <c r="G3" s="2747"/>
      <c r="H3" s="2747"/>
    </row>
    <row r="4" spans="1:8" ht="18.95" customHeight="1">
      <c r="A4" s="51"/>
      <c r="B4" s="2747" t="s">
        <v>100</v>
      </c>
      <c r="C4" s="2747"/>
      <c r="D4" s="2747"/>
      <c r="E4" s="2747"/>
      <c r="F4" s="2747"/>
      <c r="G4" s="2747"/>
      <c r="H4" s="2747"/>
    </row>
    <row r="5" spans="1:8" ht="18.95" customHeight="1">
      <c r="A5" s="51"/>
      <c r="B5" s="2750" t="s">
        <v>1430</v>
      </c>
      <c r="C5" s="2750"/>
      <c r="D5" s="2750"/>
      <c r="E5" s="2750"/>
      <c r="F5" s="2750"/>
      <c r="G5" s="2750"/>
      <c r="H5" s="2750"/>
    </row>
    <row r="6" spans="1:8" ht="18.95" customHeight="1">
      <c r="A6" s="51"/>
      <c r="B6" s="2748" t="s">
        <v>3</v>
      </c>
      <c r="C6" s="2748"/>
      <c r="D6" s="2748"/>
      <c r="E6" s="2748"/>
      <c r="F6" s="554" t="s">
        <v>179</v>
      </c>
      <c r="G6" s="554" t="s">
        <v>621</v>
      </c>
      <c r="H6" s="554" t="s">
        <v>1431</v>
      </c>
    </row>
    <row r="7" spans="1:8" ht="18.95" customHeight="1">
      <c r="A7" s="51"/>
      <c r="B7" s="555" t="s">
        <v>101</v>
      </c>
      <c r="C7" s="555"/>
      <c r="D7" s="555"/>
      <c r="E7" s="555"/>
      <c r="F7" s="556"/>
      <c r="G7" s="556"/>
      <c r="H7" s="556"/>
    </row>
    <row r="8" spans="1:8" ht="18.95" customHeight="1">
      <c r="A8" s="51"/>
      <c r="B8" s="555"/>
      <c r="C8" s="555" t="s">
        <v>102</v>
      </c>
      <c r="D8" s="555"/>
      <c r="E8" s="557"/>
      <c r="F8" s="558">
        <v>0</v>
      </c>
      <c r="G8" s="558">
        <v>0</v>
      </c>
      <c r="H8" s="558">
        <v>0</v>
      </c>
    </row>
    <row r="9" spans="1:8" ht="18.95" customHeight="1">
      <c r="A9" s="51"/>
      <c r="B9" s="555"/>
      <c r="C9" s="555" t="s">
        <v>103</v>
      </c>
      <c r="D9" s="555"/>
      <c r="E9" s="559"/>
      <c r="F9" s="558">
        <v>50000000</v>
      </c>
      <c r="G9" s="558">
        <v>50000000</v>
      </c>
      <c r="H9" s="558">
        <v>50000000</v>
      </c>
    </row>
    <row r="10" spans="1:8" ht="18.95" customHeight="1">
      <c r="A10" s="51"/>
      <c r="B10" s="555"/>
      <c r="C10" s="555" t="s">
        <v>104</v>
      </c>
      <c r="D10" s="555"/>
      <c r="E10" s="559"/>
      <c r="F10" s="558">
        <v>6000000</v>
      </c>
      <c r="G10" s="558">
        <v>6000000</v>
      </c>
      <c r="H10" s="558">
        <v>6000000</v>
      </c>
    </row>
    <row r="11" spans="1:8" ht="18.95" customHeight="1">
      <c r="A11" s="51"/>
      <c r="B11" s="555"/>
      <c r="C11" s="562"/>
      <c r="D11" s="563"/>
      <c r="E11" s="564" t="s">
        <v>105</v>
      </c>
      <c r="F11" s="560">
        <f>SUM(F8:F10)</f>
        <v>56000000</v>
      </c>
      <c r="G11" s="560">
        <f>SUM(G8:G10)</f>
        <v>56000000</v>
      </c>
      <c r="H11" s="560">
        <f>SUM(H8:H10)</f>
        <v>56000000</v>
      </c>
    </row>
    <row r="12" spans="1:8" ht="18.95" customHeight="1">
      <c r="A12" s="51"/>
      <c r="B12" s="52"/>
      <c r="C12" s="52"/>
      <c r="D12" s="52"/>
      <c r="E12" s="52"/>
      <c r="F12" s="18"/>
    </row>
    <row r="13" spans="1:8" ht="18.95" customHeight="1">
      <c r="A13" s="51"/>
      <c r="B13" s="52"/>
      <c r="C13" s="52"/>
      <c r="D13" s="52"/>
      <c r="F13" s="18"/>
    </row>
    <row r="14" spans="1:8" ht="18.95" customHeight="1">
      <c r="A14" s="51"/>
      <c r="B14" s="52"/>
      <c r="C14" s="52"/>
      <c r="D14" s="52"/>
      <c r="E14" s="66"/>
      <c r="F14" s="30"/>
    </row>
    <row r="15" spans="1:8" ht="18.95" customHeight="1">
      <c r="A15" s="51"/>
      <c r="B15" s="52"/>
      <c r="C15" s="52"/>
      <c r="D15" s="52"/>
      <c r="E15" s="66"/>
      <c r="F15" s="30"/>
    </row>
    <row r="16" spans="1:8" ht="18.95" customHeight="1">
      <c r="A16" s="51"/>
      <c r="B16" s="52"/>
      <c r="C16" s="52"/>
      <c r="D16" s="52"/>
      <c r="E16" s="66"/>
      <c r="F16" s="30"/>
    </row>
    <row r="17" spans="1:15" ht="18.95" customHeight="1">
      <c r="A17" s="51"/>
      <c r="B17" s="52"/>
      <c r="C17" s="52"/>
      <c r="D17" s="52"/>
      <c r="E17" s="66"/>
      <c r="F17" s="30"/>
      <c r="O17" t="s">
        <v>504</v>
      </c>
    </row>
    <row r="18" spans="1:15" ht="18.95" customHeight="1">
      <c r="A18" s="51"/>
      <c r="B18" s="52"/>
      <c r="C18" s="52"/>
      <c r="D18" s="52"/>
      <c r="E18" s="66"/>
      <c r="F18" s="62"/>
    </row>
    <row r="19" spans="1:15" ht="18.95" customHeight="1">
      <c r="A19" s="51"/>
      <c r="B19" s="52"/>
      <c r="C19" s="52"/>
      <c r="D19" s="52"/>
      <c r="E19" s="66"/>
      <c r="F19" s="62"/>
    </row>
    <row r="20" spans="1:15" ht="18.95" customHeight="1">
      <c r="B20" s="2749"/>
      <c r="C20" s="2749"/>
      <c r="D20" s="2749"/>
      <c r="E20" s="2749"/>
      <c r="F20" s="2749"/>
    </row>
    <row r="21" spans="1:15" ht="18.95" customHeight="1">
      <c r="B21" s="18"/>
      <c r="C21" s="18"/>
      <c r="D21" s="18"/>
      <c r="E21" s="18"/>
      <c r="F21" s="53"/>
    </row>
    <row r="22" spans="1:15" ht="18.95" customHeight="1">
      <c r="B22" s="2747"/>
      <c r="C22" s="2747"/>
      <c r="D22" s="2747"/>
      <c r="E22" s="2747"/>
      <c r="F22" s="53"/>
    </row>
    <row r="23" spans="1:15" ht="18.95" customHeight="1">
      <c r="B23" s="52"/>
      <c r="C23" s="52"/>
      <c r="D23" s="52"/>
      <c r="E23" s="52"/>
      <c r="F23" s="53"/>
    </row>
    <row r="24" spans="1:15" ht="18.95" customHeight="1">
      <c r="B24" s="52"/>
      <c r="C24" s="52"/>
      <c r="D24" s="52"/>
      <c r="E24" s="52"/>
      <c r="F24" s="18"/>
    </row>
    <row r="25" spans="1:15" ht="18.95" customHeight="1">
      <c r="B25" s="52"/>
      <c r="C25" s="52"/>
      <c r="D25" s="52"/>
      <c r="E25" s="52"/>
      <c r="F25" s="18"/>
    </row>
    <row r="26" spans="1:15" ht="18.95" customHeight="1">
      <c r="B26" s="52"/>
      <c r="C26" s="52"/>
      <c r="D26" s="52"/>
      <c r="E26" s="66"/>
      <c r="F26" s="30"/>
    </row>
    <row r="27" spans="1:15" ht="18.95" customHeight="1">
      <c r="B27" s="18"/>
      <c r="C27" s="18"/>
      <c r="D27" s="18"/>
      <c r="E27" s="66"/>
      <c r="F27" s="30"/>
    </row>
    <row r="28" spans="1:15" ht="18.95" customHeight="1">
      <c r="B28" s="18"/>
      <c r="C28" s="18"/>
      <c r="D28" s="18"/>
      <c r="E28" s="66"/>
      <c r="F28" s="30"/>
    </row>
    <row r="29" spans="1:15" ht="21" customHeight="1"/>
    <row r="30" spans="1:15" ht="21" customHeight="1"/>
    <row r="31" spans="1:15" ht="21" customHeight="1"/>
    <row r="32" spans="1:15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21" customHeight="1"/>
    <row r="44" ht="21" customHeight="1"/>
    <row r="45" ht="21" customHeight="1"/>
    <row r="46" ht="21" customHeight="1"/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</sheetData>
  <mergeCells count="7">
    <mergeCell ref="B22:E22"/>
    <mergeCell ref="B6:E6"/>
    <mergeCell ref="B20:F20"/>
    <mergeCell ref="B2:H2"/>
    <mergeCell ref="B3:H3"/>
    <mergeCell ref="B4:H4"/>
    <mergeCell ref="B5:H5"/>
  </mergeCells>
  <pageMargins left="0.59055118110236227" right="0" top="0.55118110236220474" bottom="0.55118110236220474" header="0.31496062992125984" footer="0.31496062992125984"/>
  <pageSetup paperSize="9" firstPageNumber="5" orientation="landscape" useFirstPageNumber="1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H202"/>
  <sheetViews>
    <sheetView view="pageBreakPreview" topLeftCell="A4" zoomScale="110" zoomScaleSheetLayoutView="110" workbookViewId="0">
      <selection activeCell="F12" sqref="F12"/>
    </sheetView>
  </sheetViews>
  <sheetFormatPr defaultColWidth="9" defaultRowHeight="15"/>
  <cols>
    <col min="1" max="1" width="1.28515625" customWidth="1"/>
    <col min="2" max="2" width="1.7109375" customWidth="1"/>
    <col min="3" max="3" width="2" customWidth="1"/>
    <col min="4" max="4" width="2.28515625" customWidth="1"/>
    <col min="5" max="5" width="68.5703125" customWidth="1"/>
    <col min="6" max="7" width="27" customWidth="1"/>
    <col min="8" max="8" width="27.7109375" customWidth="1"/>
    <col min="9" max="9" width="4.28515625" customWidth="1"/>
    <col min="10" max="10" width="4.42578125" customWidth="1"/>
    <col min="11" max="11" width="4.85546875" customWidth="1"/>
  </cols>
  <sheetData>
    <row r="1" spans="1:8" ht="18.95" customHeight="1">
      <c r="A1" s="51"/>
      <c r="B1" s="52"/>
      <c r="C1" s="52"/>
      <c r="D1" s="52"/>
      <c r="E1" s="52"/>
      <c r="F1" s="53"/>
      <c r="H1" s="19" t="s">
        <v>88</v>
      </c>
    </row>
    <row r="2" spans="1:8" ht="18.95" customHeight="1">
      <c r="A2" s="51"/>
      <c r="B2" s="2747" t="s">
        <v>89</v>
      </c>
      <c r="C2" s="2747"/>
      <c r="D2" s="2747"/>
      <c r="E2" s="2747"/>
      <c r="F2" s="2747"/>
      <c r="G2" s="2747"/>
      <c r="H2" s="2747"/>
    </row>
    <row r="3" spans="1:8" ht="18.95" customHeight="1">
      <c r="A3" s="51"/>
      <c r="B3" s="2747" t="s">
        <v>186</v>
      </c>
      <c r="C3" s="2747"/>
      <c r="D3" s="2747"/>
      <c r="E3" s="2747"/>
      <c r="F3" s="2747"/>
      <c r="G3" s="2747"/>
      <c r="H3" s="2747"/>
    </row>
    <row r="4" spans="1:8" ht="18.95" customHeight="1">
      <c r="A4" s="51"/>
      <c r="B4" s="2747" t="s">
        <v>90</v>
      </c>
      <c r="C4" s="2747"/>
      <c r="D4" s="2747"/>
      <c r="E4" s="2747"/>
      <c r="F4" s="2747"/>
      <c r="G4" s="2747"/>
      <c r="H4" s="2747"/>
    </row>
    <row r="5" spans="1:8" ht="18.95" customHeight="1">
      <c r="A5" s="51"/>
      <c r="B5" s="2750" t="s">
        <v>1430</v>
      </c>
      <c r="C5" s="2750"/>
      <c r="D5" s="2750"/>
      <c r="E5" s="2750"/>
      <c r="F5" s="2750"/>
      <c r="G5" s="2750"/>
      <c r="H5" s="2750"/>
    </row>
    <row r="6" spans="1:8" ht="14.25" customHeight="1">
      <c r="A6" s="51"/>
      <c r="B6" s="2751" t="s">
        <v>3</v>
      </c>
      <c r="C6" s="2752"/>
      <c r="D6" s="2752"/>
      <c r="E6" s="2753"/>
      <c r="F6" s="2757" t="s">
        <v>179</v>
      </c>
      <c r="G6" s="2757" t="s">
        <v>621</v>
      </c>
      <c r="H6" s="2757" t="s">
        <v>1431</v>
      </c>
    </row>
    <row r="7" spans="1:8" ht="9.75" customHeight="1">
      <c r="A7" s="51"/>
      <c r="B7" s="2754"/>
      <c r="C7" s="2755"/>
      <c r="D7" s="2755"/>
      <c r="E7" s="2756"/>
      <c r="F7" s="2758"/>
      <c r="G7" s="2758"/>
      <c r="H7" s="2758"/>
    </row>
    <row r="8" spans="1:8" ht="18.95" customHeight="1">
      <c r="A8" s="51"/>
      <c r="B8" s="55" t="s">
        <v>91</v>
      </c>
      <c r="C8" s="56"/>
      <c r="D8" s="56"/>
      <c r="E8" s="56"/>
      <c r="F8" s="57"/>
      <c r="G8" s="57"/>
      <c r="H8" s="57"/>
    </row>
    <row r="9" spans="1:8" ht="18.95" customHeight="1">
      <c r="A9" s="51"/>
      <c r="B9" s="54"/>
      <c r="D9" s="52" t="s">
        <v>92</v>
      </c>
      <c r="E9" s="52"/>
      <c r="F9" s="58"/>
      <c r="G9" s="58"/>
      <c r="H9" s="58"/>
    </row>
    <row r="10" spans="1:8" ht="18.95" customHeight="1">
      <c r="A10" s="51"/>
      <c r="B10" s="54"/>
      <c r="C10" s="52"/>
      <c r="D10" s="52"/>
      <c r="E10" s="52" t="s">
        <v>35</v>
      </c>
      <c r="F10" s="121">
        <v>0</v>
      </c>
      <c r="G10" s="121">
        <v>0</v>
      </c>
      <c r="H10" s="121">
        <v>0</v>
      </c>
    </row>
    <row r="11" spans="1:8" ht="18.95" customHeight="1">
      <c r="A11" s="51"/>
      <c r="B11" s="54"/>
      <c r="C11" s="52"/>
      <c r="D11" s="52"/>
      <c r="E11" s="52" t="s">
        <v>93</v>
      </c>
      <c r="F11" s="121">
        <v>0</v>
      </c>
      <c r="G11" s="121">
        <v>0</v>
      </c>
      <c r="H11" s="121">
        <v>0</v>
      </c>
    </row>
    <row r="12" spans="1:8" ht="18.95" customHeight="1">
      <c r="A12" s="51"/>
      <c r="B12" s="59"/>
      <c r="C12" s="18"/>
      <c r="D12" s="18"/>
      <c r="E12" s="52" t="s">
        <v>185</v>
      </c>
      <c r="F12" s="121">
        <v>50000000</v>
      </c>
      <c r="G12" s="121">
        <v>50000000</v>
      </c>
      <c r="H12" s="121">
        <v>50000000</v>
      </c>
    </row>
    <row r="13" spans="1:8" ht="18.95" customHeight="1">
      <c r="A13" s="51"/>
      <c r="B13" s="59"/>
      <c r="C13" s="18"/>
      <c r="D13" s="18"/>
      <c r="E13" s="52" t="s">
        <v>36</v>
      </c>
      <c r="F13" s="121">
        <v>0</v>
      </c>
      <c r="G13" s="121">
        <v>0</v>
      </c>
      <c r="H13" s="121">
        <v>0</v>
      </c>
    </row>
    <row r="14" spans="1:8" ht="18.95" customHeight="1">
      <c r="A14" s="51"/>
      <c r="B14" s="59"/>
      <c r="C14" s="18"/>
      <c r="D14" s="18"/>
      <c r="E14" s="52" t="s">
        <v>37</v>
      </c>
      <c r="F14" s="121">
        <v>0</v>
      </c>
      <c r="G14" s="121">
        <v>0</v>
      </c>
      <c r="H14" s="121">
        <v>0</v>
      </c>
    </row>
    <row r="15" spans="1:8" ht="18.95" customHeight="1">
      <c r="A15" s="51"/>
      <c r="B15" s="59"/>
      <c r="C15" s="18"/>
      <c r="D15" s="18"/>
      <c r="E15" s="52" t="s">
        <v>38</v>
      </c>
      <c r="F15" s="121">
        <v>5000000</v>
      </c>
      <c r="G15" s="121">
        <v>5000000</v>
      </c>
      <c r="H15" s="121">
        <v>5000000</v>
      </c>
    </row>
    <row r="16" spans="1:8" ht="18.95" customHeight="1">
      <c r="A16" s="51"/>
      <c r="B16" s="59"/>
      <c r="C16" s="18"/>
      <c r="D16" s="18"/>
      <c r="E16" s="52" t="s">
        <v>39</v>
      </c>
      <c r="F16" s="121">
        <v>0</v>
      </c>
      <c r="G16" s="121">
        <v>0</v>
      </c>
      <c r="H16" s="121">
        <v>0</v>
      </c>
    </row>
    <row r="17" spans="1:8" ht="18.95" customHeight="1">
      <c r="A17" s="51"/>
      <c r="B17" s="54"/>
      <c r="C17" s="52"/>
      <c r="D17" s="52"/>
      <c r="E17" s="52" t="s">
        <v>40</v>
      </c>
      <c r="F17" s="121">
        <v>10000000</v>
      </c>
      <c r="G17" s="121">
        <v>10000000</v>
      </c>
      <c r="H17" s="121">
        <v>10000000</v>
      </c>
    </row>
    <row r="18" spans="1:8" ht="18.95" customHeight="1">
      <c r="A18" s="51"/>
      <c r="B18" s="59"/>
      <c r="C18" s="52"/>
      <c r="D18" s="52"/>
      <c r="E18" s="52" t="s">
        <v>79</v>
      </c>
      <c r="F18" s="121">
        <v>0</v>
      </c>
      <c r="G18" s="121">
        <v>0</v>
      </c>
      <c r="H18" s="121">
        <v>0</v>
      </c>
    </row>
    <row r="19" spans="1:8" ht="18.95" customHeight="1">
      <c r="A19" s="51"/>
      <c r="B19" s="59"/>
      <c r="C19" s="18"/>
      <c r="D19" s="18"/>
      <c r="E19" s="52" t="s">
        <v>41</v>
      </c>
      <c r="F19" s="121">
        <v>0</v>
      </c>
      <c r="G19" s="121">
        <v>0</v>
      </c>
      <c r="H19" s="121">
        <v>0</v>
      </c>
    </row>
    <row r="20" spans="1:8" ht="18.95" customHeight="1">
      <c r="A20" s="51"/>
      <c r="B20" s="59"/>
      <c r="D20" s="52" t="s">
        <v>94</v>
      </c>
      <c r="E20" s="52"/>
      <c r="F20" s="121"/>
      <c r="G20" s="121"/>
      <c r="H20" s="121"/>
    </row>
    <row r="21" spans="1:8" ht="18.95" customHeight="1">
      <c r="A21" s="51"/>
      <c r="B21" s="59"/>
      <c r="C21" s="52"/>
      <c r="D21" s="52"/>
      <c r="E21" s="52" t="s">
        <v>43</v>
      </c>
      <c r="F21" s="121">
        <v>100000000</v>
      </c>
      <c r="G21" s="121">
        <v>100000000</v>
      </c>
      <c r="H21" s="121">
        <v>100000000</v>
      </c>
    </row>
    <row r="22" spans="1:8" ht="18.95" customHeight="1">
      <c r="A22" s="51"/>
      <c r="B22" s="59"/>
      <c r="C22" s="52"/>
      <c r="D22" s="52"/>
      <c r="E22" s="52" t="s">
        <v>44</v>
      </c>
      <c r="F22" s="121">
        <v>90000000</v>
      </c>
      <c r="G22" s="121">
        <v>90000000</v>
      </c>
      <c r="H22" s="121">
        <v>90000000</v>
      </c>
    </row>
    <row r="23" spans="1:8" ht="18.95" customHeight="1">
      <c r="A23" s="51"/>
      <c r="B23" s="59"/>
      <c r="C23" s="52"/>
      <c r="D23" s="52"/>
      <c r="E23" s="52" t="s">
        <v>50</v>
      </c>
      <c r="F23" s="121">
        <v>14000000</v>
      </c>
      <c r="G23" s="121">
        <v>14000000</v>
      </c>
      <c r="H23" s="121">
        <v>14000000</v>
      </c>
    </row>
    <row r="24" spans="1:8" ht="18.95" customHeight="1">
      <c r="A24" s="51"/>
      <c r="B24" s="59"/>
      <c r="C24" s="52"/>
      <c r="D24" s="52"/>
      <c r="E24" s="52" t="s">
        <v>51</v>
      </c>
      <c r="F24" s="121">
        <v>5000000</v>
      </c>
      <c r="G24" s="121">
        <v>5000000</v>
      </c>
      <c r="H24" s="121">
        <v>5000000</v>
      </c>
    </row>
    <row r="25" spans="1:8" ht="18.95" customHeight="1">
      <c r="A25" s="51"/>
      <c r="B25" s="59"/>
      <c r="C25" s="52"/>
      <c r="D25" s="52"/>
      <c r="E25" s="52" t="s">
        <v>52</v>
      </c>
      <c r="F25" s="121">
        <v>30000000</v>
      </c>
      <c r="G25" s="121">
        <v>30000000</v>
      </c>
      <c r="H25" s="121">
        <v>30000000</v>
      </c>
    </row>
    <row r="26" spans="1:8" ht="18.95" customHeight="1">
      <c r="A26" s="51"/>
      <c r="B26" s="59"/>
      <c r="D26" s="52" t="s">
        <v>95</v>
      </c>
      <c r="E26" s="52"/>
      <c r="F26" s="121">
        <v>40000000</v>
      </c>
      <c r="G26" s="121">
        <v>50000000</v>
      </c>
      <c r="H26" s="121">
        <v>60000000</v>
      </c>
    </row>
    <row r="27" spans="1:8" ht="18.95" customHeight="1">
      <c r="A27" s="51"/>
      <c r="B27" s="59"/>
      <c r="D27" s="52" t="s">
        <v>96</v>
      </c>
      <c r="E27" s="52"/>
      <c r="F27" s="121">
        <v>10000000</v>
      </c>
      <c r="G27" s="121">
        <v>10000000</v>
      </c>
      <c r="H27" s="121">
        <v>10000000</v>
      </c>
    </row>
    <row r="28" spans="1:8" ht="18.95" customHeight="1">
      <c r="A28" s="51"/>
      <c r="B28" s="59"/>
      <c r="D28" s="52" t="s">
        <v>97</v>
      </c>
      <c r="E28" s="52"/>
      <c r="F28" s="121">
        <v>5000000</v>
      </c>
      <c r="G28" s="121">
        <v>5000000</v>
      </c>
      <c r="H28" s="121">
        <v>5000000</v>
      </c>
    </row>
    <row r="29" spans="1:8" ht="18.95" customHeight="1">
      <c r="A29" s="51"/>
      <c r="B29" s="59"/>
      <c r="D29" s="52" t="s">
        <v>113</v>
      </c>
      <c r="E29" s="52"/>
      <c r="F29" s="121">
        <v>20000000</v>
      </c>
      <c r="G29" s="121">
        <v>20000000</v>
      </c>
      <c r="H29" s="121">
        <v>20000000</v>
      </c>
    </row>
    <row r="30" spans="1:8" ht="18.95" customHeight="1">
      <c r="A30" s="51"/>
      <c r="B30" s="60"/>
      <c r="C30" s="61"/>
      <c r="D30" s="61"/>
      <c r="E30" s="67" t="s">
        <v>98</v>
      </c>
      <c r="F30" s="120">
        <f>SUM(F9:F29)</f>
        <v>379000000</v>
      </c>
      <c r="G30" s="120">
        <f>SUM(G9:G29)</f>
        <v>389000000</v>
      </c>
      <c r="H30" s="120">
        <f>SUM(H9:H29)</f>
        <v>399000000</v>
      </c>
    </row>
    <row r="31" spans="1:8" ht="18.95" customHeight="1">
      <c r="A31" s="51"/>
      <c r="B31" s="52"/>
      <c r="C31" s="52"/>
      <c r="D31" s="52"/>
      <c r="E31" s="52"/>
      <c r="F31" s="18"/>
    </row>
    <row r="32" spans="1:8" ht="18.95" customHeight="1">
      <c r="A32" s="51"/>
      <c r="B32" s="52"/>
      <c r="C32" s="52"/>
      <c r="D32" s="52"/>
      <c r="F32" s="18"/>
    </row>
    <row r="33" spans="1:6" ht="18.95" customHeight="1">
      <c r="A33" s="51"/>
      <c r="B33" s="52"/>
      <c r="C33" s="52"/>
      <c r="D33" s="52"/>
      <c r="E33" s="52"/>
      <c r="F33" s="30"/>
    </row>
    <row r="34" spans="1:6" ht="18.95" customHeight="1">
      <c r="A34" s="51"/>
      <c r="B34" s="52"/>
      <c r="C34" s="52"/>
      <c r="D34" s="52"/>
      <c r="E34" s="52"/>
      <c r="F34" s="30"/>
    </row>
    <row r="35" spans="1:6" ht="18.95" customHeight="1">
      <c r="A35" s="51"/>
      <c r="B35" s="52"/>
      <c r="C35" s="52"/>
      <c r="D35" s="52"/>
      <c r="E35" s="52"/>
      <c r="F35" s="30"/>
    </row>
    <row r="36" spans="1:6" ht="18.95" customHeight="1">
      <c r="A36" s="51"/>
      <c r="B36" s="52"/>
      <c r="C36" s="52"/>
      <c r="D36" s="52"/>
      <c r="E36" s="52"/>
      <c r="F36" s="30"/>
    </row>
    <row r="37" spans="1:6" ht="18.95" customHeight="1">
      <c r="A37" s="51"/>
      <c r="B37" s="52"/>
      <c r="C37" s="52"/>
      <c r="D37" s="52"/>
      <c r="E37" s="52"/>
      <c r="F37" s="62"/>
    </row>
    <row r="38" spans="1:6" ht="18.95" customHeight="1">
      <c r="A38" s="51"/>
      <c r="B38" s="52"/>
      <c r="C38" s="52"/>
      <c r="D38" s="52"/>
      <c r="E38" s="52"/>
      <c r="F38" s="62"/>
    </row>
    <row r="39" spans="1:6" ht="18.95" customHeight="1">
      <c r="B39" s="2749"/>
      <c r="C39" s="2749"/>
      <c r="D39" s="2749"/>
      <c r="E39" s="2749"/>
      <c r="F39" s="2749"/>
    </row>
    <row r="40" spans="1:6" ht="18.95" customHeight="1">
      <c r="B40" s="18"/>
      <c r="C40" s="18"/>
      <c r="D40" s="18"/>
      <c r="E40" s="18"/>
      <c r="F40" s="53"/>
    </row>
    <row r="41" spans="1:6" ht="18.95" customHeight="1">
      <c r="B41" s="2747"/>
      <c r="C41" s="2747"/>
      <c r="D41" s="2747"/>
      <c r="E41" s="2747"/>
      <c r="F41" s="53"/>
    </row>
    <row r="42" spans="1:6" ht="18.95" customHeight="1">
      <c r="B42" s="52"/>
      <c r="C42" s="52"/>
      <c r="D42" s="52"/>
      <c r="E42" s="52"/>
      <c r="F42" s="53"/>
    </row>
    <row r="43" spans="1:6" ht="18.95" customHeight="1">
      <c r="B43" s="52"/>
      <c r="C43" s="52"/>
      <c r="D43" s="52"/>
      <c r="E43" s="52"/>
      <c r="F43" s="18"/>
    </row>
    <row r="44" spans="1:6" ht="18.95" customHeight="1">
      <c r="B44" s="52"/>
      <c r="C44" s="52"/>
      <c r="D44" s="52"/>
      <c r="E44" s="52"/>
      <c r="F44" s="18"/>
    </row>
    <row r="45" spans="1:6" ht="18.95" customHeight="1">
      <c r="B45" s="52"/>
      <c r="C45" s="52"/>
      <c r="D45" s="52"/>
      <c r="E45" s="52"/>
      <c r="F45" s="30"/>
    </row>
    <row r="46" spans="1:6" ht="18.95" customHeight="1">
      <c r="B46" s="18"/>
      <c r="C46" s="18"/>
      <c r="D46" s="18"/>
      <c r="E46" s="52"/>
      <c r="F46" s="30"/>
    </row>
    <row r="47" spans="1:6" ht="18.95" customHeight="1">
      <c r="B47" s="18"/>
      <c r="C47" s="18"/>
      <c r="D47" s="18"/>
      <c r="E47" s="52"/>
      <c r="F47" s="30"/>
    </row>
    <row r="48" spans="1:6" ht="18.95" customHeight="1">
      <c r="B48" s="18"/>
      <c r="C48" s="18"/>
      <c r="D48" s="18"/>
      <c r="E48" s="52"/>
      <c r="F48" s="30"/>
    </row>
    <row r="49" spans="2:6" ht="18.95" customHeight="1">
      <c r="B49" s="18"/>
      <c r="C49" s="18"/>
      <c r="D49" s="18"/>
      <c r="E49" s="52"/>
      <c r="F49" s="30"/>
    </row>
    <row r="50" spans="2:6" ht="18.95" customHeight="1">
      <c r="B50" s="18"/>
      <c r="C50" s="18"/>
      <c r="D50" s="18"/>
      <c r="E50" s="52"/>
      <c r="F50" s="30"/>
    </row>
    <row r="51" spans="2:6" ht="18.95" customHeight="1">
      <c r="B51" s="18"/>
      <c r="C51" s="18"/>
      <c r="D51" s="18"/>
      <c r="E51" s="52"/>
      <c r="F51" s="30"/>
    </row>
    <row r="52" spans="2:6" ht="18.95" customHeight="1">
      <c r="B52" s="18"/>
      <c r="C52" s="18"/>
      <c r="D52" s="18"/>
      <c r="E52" s="52"/>
      <c r="F52" s="30"/>
    </row>
    <row r="53" spans="2:6" ht="18.95" customHeight="1">
      <c r="B53" s="18"/>
      <c r="C53" s="18"/>
      <c r="D53" s="18"/>
      <c r="E53" s="52"/>
      <c r="F53" s="30"/>
    </row>
    <row r="54" spans="2:6" ht="18.95" customHeight="1">
      <c r="B54" s="18"/>
      <c r="C54" s="18"/>
      <c r="D54" s="52"/>
      <c r="E54" s="52"/>
      <c r="F54" s="30"/>
    </row>
    <row r="55" spans="2:6" ht="18.95" customHeight="1">
      <c r="B55" s="18"/>
      <c r="C55" s="18"/>
      <c r="D55" s="52"/>
      <c r="E55" s="52"/>
      <c r="F55" s="30"/>
    </row>
    <row r="56" spans="2:6" ht="18.95" customHeight="1">
      <c r="B56" s="18"/>
      <c r="C56" s="18"/>
      <c r="D56" s="52"/>
      <c r="E56" s="52"/>
      <c r="F56" s="30"/>
    </row>
    <row r="57" spans="2:6" ht="18.95" customHeight="1">
      <c r="B57" s="18"/>
      <c r="C57" s="18"/>
      <c r="D57" s="52"/>
      <c r="E57" s="63"/>
      <c r="F57" s="30"/>
    </row>
    <row r="58" spans="2:6" ht="18.95" customHeight="1">
      <c r="B58" s="18"/>
      <c r="C58" s="18"/>
      <c r="D58" s="52"/>
      <c r="E58" s="52"/>
      <c r="F58" s="30"/>
    </row>
    <row r="59" spans="2:6" ht="18.95" customHeight="1">
      <c r="B59" s="18"/>
      <c r="C59" s="18"/>
      <c r="D59" s="52"/>
      <c r="E59" s="52"/>
      <c r="F59" s="30"/>
    </row>
    <row r="60" spans="2:6" ht="18.95" customHeight="1">
      <c r="B60" s="18"/>
      <c r="C60" s="18"/>
      <c r="D60" s="52"/>
      <c r="E60" s="52"/>
      <c r="F60" s="30"/>
    </row>
    <row r="61" spans="2:6" ht="18.95" customHeight="1">
      <c r="B61" s="18"/>
      <c r="C61" s="18"/>
      <c r="D61" s="52"/>
      <c r="E61" s="52"/>
      <c r="F61" s="30"/>
    </row>
    <row r="62" spans="2:6" ht="18.95" customHeight="1">
      <c r="B62" s="18"/>
      <c r="C62" s="18"/>
      <c r="D62" s="52"/>
      <c r="E62" s="52"/>
      <c r="F62" s="30"/>
    </row>
    <row r="63" spans="2:6" ht="18.95" customHeight="1">
      <c r="B63" s="18"/>
      <c r="C63" s="18"/>
      <c r="D63" s="52"/>
      <c r="E63" s="52"/>
      <c r="F63" s="30"/>
    </row>
    <row r="64" spans="2:6" ht="18.95" customHeight="1">
      <c r="B64" s="18"/>
      <c r="C64" s="18"/>
      <c r="D64" s="52"/>
      <c r="E64" s="52"/>
      <c r="F64" s="30"/>
    </row>
    <row r="65" spans="2:6" ht="18.95" customHeight="1">
      <c r="B65" s="18"/>
      <c r="C65" s="18"/>
      <c r="D65" s="52"/>
      <c r="E65" s="52"/>
      <c r="F65" s="30"/>
    </row>
    <row r="66" spans="2:6" ht="18.95" customHeight="1">
      <c r="B66" s="18"/>
      <c r="C66" s="18"/>
      <c r="D66" s="52"/>
      <c r="E66" s="52"/>
      <c r="F66" s="30"/>
    </row>
    <row r="67" spans="2:6" ht="18.95" customHeight="1">
      <c r="B67" s="18"/>
      <c r="C67" s="18"/>
      <c r="D67" s="52"/>
      <c r="E67" s="52"/>
      <c r="F67" s="30"/>
    </row>
    <row r="68" spans="2:6" ht="18.95" customHeight="1">
      <c r="B68" s="18"/>
      <c r="C68" s="18"/>
      <c r="D68" s="52"/>
      <c r="E68" s="52"/>
      <c r="F68" s="30"/>
    </row>
    <row r="69" spans="2:6" ht="18.95" customHeight="1">
      <c r="B69" s="18"/>
      <c r="C69" s="18"/>
      <c r="D69" s="52"/>
      <c r="E69" s="64"/>
      <c r="F69" s="62"/>
    </row>
    <row r="70" spans="2:6" ht="18.95" customHeight="1">
      <c r="B70" s="18"/>
      <c r="C70" s="18"/>
      <c r="D70" s="52"/>
      <c r="E70" s="64"/>
      <c r="F70" s="62"/>
    </row>
    <row r="71" spans="2:6" ht="18.95" customHeight="1">
      <c r="B71" s="18"/>
      <c r="C71" s="18"/>
      <c r="D71" s="18"/>
      <c r="E71" s="64"/>
      <c r="F71" s="62"/>
    </row>
    <row r="72" spans="2:6" ht="18.95" customHeight="1">
      <c r="B72" s="18"/>
      <c r="C72" s="18"/>
      <c r="D72" s="18"/>
      <c r="E72" s="64"/>
      <c r="F72" s="64"/>
    </row>
    <row r="73" spans="2:6" ht="18.95" customHeight="1">
      <c r="B73" s="18"/>
      <c r="C73" s="18"/>
      <c r="D73" s="18"/>
      <c r="E73" s="64"/>
      <c r="F73" s="62"/>
    </row>
    <row r="74" spans="2:6" ht="18.95" customHeight="1">
      <c r="B74" s="18"/>
      <c r="C74" s="18"/>
      <c r="D74" s="18"/>
      <c r="E74" s="64"/>
      <c r="F74" s="62"/>
    </row>
    <row r="75" spans="2:6" ht="18.95" customHeight="1">
      <c r="B75" s="18"/>
      <c r="C75" s="18"/>
      <c r="D75" s="18"/>
      <c r="E75" s="18"/>
      <c r="F75" s="18"/>
    </row>
    <row r="76" spans="2:6" ht="18.95" customHeight="1">
      <c r="B76" s="18"/>
      <c r="C76" s="18"/>
      <c r="D76" s="18"/>
      <c r="E76" s="18"/>
      <c r="F76" s="18"/>
    </row>
    <row r="77" spans="2:6" ht="18.95" customHeight="1">
      <c r="B77" s="18"/>
      <c r="C77" s="18"/>
      <c r="D77" s="18"/>
      <c r="E77" s="18"/>
      <c r="F77" s="18"/>
    </row>
    <row r="78" spans="2:6" ht="18.95" customHeight="1">
      <c r="B78" s="2749"/>
      <c r="C78" s="2749"/>
      <c r="D78" s="2749"/>
      <c r="E78" s="2749"/>
      <c r="F78" s="2749"/>
    </row>
    <row r="79" spans="2:6" ht="18.95" customHeight="1">
      <c r="B79" s="65"/>
      <c r="C79" s="65"/>
      <c r="D79" s="65"/>
      <c r="E79" s="65"/>
      <c r="F79" s="53"/>
    </row>
    <row r="80" spans="2:6" ht="18.95" customHeight="1">
      <c r="B80" s="2747"/>
      <c r="C80" s="2747"/>
      <c r="D80" s="2747"/>
      <c r="E80" s="2747"/>
      <c r="F80" s="53"/>
    </row>
    <row r="81" spans="2:6" ht="18.95" customHeight="1">
      <c r="B81" s="52"/>
      <c r="C81" s="52"/>
      <c r="D81" s="52"/>
      <c r="E81" s="52"/>
      <c r="F81" s="53"/>
    </row>
    <row r="82" spans="2:6" ht="18.95" customHeight="1">
      <c r="B82" s="52"/>
      <c r="C82" s="52"/>
      <c r="D82" s="52"/>
      <c r="E82" s="52"/>
      <c r="F82" s="52"/>
    </row>
    <row r="83" spans="2:6" ht="18.95" customHeight="1">
      <c r="B83" s="52"/>
      <c r="C83" s="52"/>
      <c r="D83" s="52"/>
      <c r="F83" s="30"/>
    </row>
    <row r="84" spans="2:6" ht="18.95" customHeight="1">
      <c r="B84" s="52"/>
      <c r="C84" s="52"/>
      <c r="D84" s="52"/>
      <c r="F84" s="30"/>
    </row>
    <row r="85" spans="2:6" ht="18.95" customHeight="1">
      <c r="B85" s="52"/>
      <c r="C85" s="52"/>
      <c r="D85" s="52"/>
      <c r="E85" s="52"/>
      <c r="F85" s="30"/>
    </row>
    <row r="86" spans="2:6" ht="18.95" customHeight="1">
      <c r="B86" s="52"/>
      <c r="C86" s="52"/>
      <c r="D86" s="52"/>
      <c r="E86" s="52"/>
      <c r="F86" s="30"/>
    </row>
    <row r="87" spans="2:6" ht="18.95" customHeight="1">
      <c r="B87" s="52"/>
      <c r="C87" s="52"/>
      <c r="D87" s="52"/>
      <c r="E87" s="52"/>
      <c r="F87" s="30"/>
    </row>
    <row r="88" spans="2:6" ht="18.95" customHeight="1">
      <c r="B88" s="52"/>
      <c r="C88" s="52"/>
      <c r="D88" s="52"/>
      <c r="E88" s="52"/>
      <c r="F88" s="30"/>
    </row>
    <row r="89" spans="2:6" ht="18.95" customHeight="1">
      <c r="B89" s="52"/>
      <c r="C89" s="52"/>
      <c r="D89" s="52"/>
      <c r="E89" s="64"/>
      <c r="F89" s="62"/>
    </row>
    <row r="90" spans="2:6" ht="18.95" customHeight="1">
      <c r="B90" s="18"/>
      <c r="C90" s="18"/>
      <c r="D90" s="18"/>
      <c r="E90" s="18"/>
      <c r="F90" s="18"/>
    </row>
    <row r="91" spans="2:6" ht="18.95" customHeight="1">
      <c r="B91" s="18"/>
      <c r="C91" s="18"/>
      <c r="D91" s="52"/>
      <c r="E91" s="18"/>
      <c r="F91" s="18"/>
    </row>
    <row r="92" spans="2:6" ht="18.95" customHeight="1">
      <c r="B92" s="18"/>
      <c r="C92" s="18"/>
      <c r="D92" s="18"/>
      <c r="E92" s="52"/>
      <c r="F92" s="18"/>
    </row>
    <row r="93" spans="2:6" ht="18.95" customHeight="1">
      <c r="B93" s="18"/>
      <c r="C93" s="18"/>
      <c r="D93" s="18"/>
      <c r="E93" s="52"/>
      <c r="F93" s="18"/>
    </row>
    <row r="94" spans="2:6" ht="18.95" customHeight="1">
      <c r="B94" s="18"/>
      <c r="C94" s="18"/>
      <c r="D94" s="18"/>
      <c r="E94" s="52"/>
      <c r="F94" s="18"/>
    </row>
    <row r="95" spans="2:6" ht="18.95" customHeight="1">
      <c r="B95" s="18"/>
      <c r="C95" s="18"/>
      <c r="D95" s="18"/>
      <c r="E95" s="18"/>
      <c r="F95" s="18"/>
    </row>
    <row r="96" spans="2:6" ht="18.95" customHeight="1">
      <c r="B96" s="18"/>
      <c r="C96" s="18"/>
      <c r="D96" s="18"/>
      <c r="E96" s="18"/>
      <c r="F96" s="18"/>
    </row>
    <row r="97" spans="2:6" ht="18.95" customHeight="1">
      <c r="B97" s="52"/>
      <c r="C97" s="52"/>
      <c r="D97" s="52"/>
      <c r="E97" s="52"/>
      <c r="F97" s="52"/>
    </row>
    <row r="98" spans="2:6" ht="18.95" customHeight="1">
      <c r="B98" s="52"/>
      <c r="C98" s="52"/>
      <c r="D98" s="52"/>
      <c r="E98" s="52"/>
      <c r="F98" s="52"/>
    </row>
    <row r="99" spans="2:6" ht="18.95" customHeight="1">
      <c r="B99" s="52"/>
      <c r="C99" s="52"/>
      <c r="D99" s="52"/>
      <c r="E99" s="52"/>
      <c r="F99" s="52"/>
    </row>
    <row r="100" spans="2:6" ht="18.95" customHeight="1">
      <c r="B100" s="52"/>
      <c r="C100" s="52"/>
      <c r="D100" s="52"/>
      <c r="E100" s="52"/>
      <c r="F100" s="52"/>
    </row>
    <row r="101" spans="2:6" ht="18.95" customHeight="1">
      <c r="B101" s="52"/>
      <c r="C101" s="52"/>
      <c r="D101" s="52"/>
      <c r="E101" s="52"/>
      <c r="F101" s="52"/>
    </row>
    <row r="102" spans="2:6" ht="18.95" customHeight="1">
      <c r="B102" s="18"/>
      <c r="C102" s="18"/>
      <c r="D102" s="18"/>
      <c r="E102" s="18"/>
      <c r="F102" s="18"/>
    </row>
    <row r="103" spans="2:6" ht="18.95" customHeight="1">
      <c r="B103" s="18"/>
      <c r="C103" s="18"/>
      <c r="D103" s="18"/>
      <c r="E103" s="18"/>
      <c r="F103" s="18"/>
    </row>
    <row r="104" spans="2:6" ht="18.95" customHeight="1">
      <c r="B104" s="18"/>
      <c r="C104" s="18"/>
      <c r="D104" s="18"/>
      <c r="E104" s="18"/>
      <c r="F104" s="18"/>
    </row>
    <row r="105" spans="2:6" ht="18.95" customHeight="1">
      <c r="B105" s="18"/>
      <c r="C105" s="18"/>
      <c r="D105" s="18"/>
      <c r="E105" s="18"/>
      <c r="F105" s="18"/>
    </row>
    <row r="106" spans="2:6" ht="18.95" customHeight="1">
      <c r="B106" s="18"/>
      <c r="C106" s="18"/>
      <c r="D106" s="18"/>
      <c r="E106" s="18"/>
      <c r="F106" s="18"/>
    </row>
    <row r="107" spans="2:6" ht="18.95" customHeight="1">
      <c r="B107" s="18"/>
      <c r="C107" s="18"/>
      <c r="D107" s="18"/>
      <c r="E107" s="18"/>
      <c r="F107" s="18"/>
    </row>
    <row r="108" spans="2:6" ht="18.95" customHeight="1">
      <c r="B108" s="18"/>
      <c r="C108" s="18"/>
      <c r="D108" s="18"/>
      <c r="E108" s="18"/>
      <c r="F108" s="18"/>
    </row>
    <row r="109" spans="2:6" ht="18.95" customHeight="1">
      <c r="B109" s="18"/>
      <c r="C109" s="18"/>
      <c r="D109" s="18"/>
      <c r="E109" s="18"/>
      <c r="F109" s="18"/>
    </row>
    <row r="110" spans="2:6" ht="18.95" customHeight="1">
      <c r="B110" s="18"/>
      <c r="C110" s="18"/>
      <c r="D110" s="18"/>
      <c r="E110" s="18"/>
      <c r="F110" s="18"/>
    </row>
    <row r="111" spans="2:6" ht="18.95" customHeight="1">
      <c r="B111" s="18"/>
      <c r="C111" s="18"/>
      <c r="D111" s="18"/>
      <c r="E111" s="18"/>
      <c r="F111" s="18"/>
    </row>
    <row r="112" spans="2:6" ht="18.95" customHeight="1">
      <c r="B112" s="18"/>
      <c r="C112" s="18"/>
      <c r="D112" s="18"/>
      <c r="E112" s="18"/>
      <c r="F112" s="18"/>
    </row>
    <row r="113" spans="2:6" ht="18.95" customHeight="1">
      <c r="B113" s="18"/>
      <c r="C113" s="18"/>
      <c r="D113" s="18"/>
      <c r="E113" s="18"/>
      <c r="F113" s="18"/>
    </row>
    <row r="114" spans="2:6" ht="18.95" customHeight="1">
      <c r="B114" s="18"/>
      <c r="C114" s="18"/>
      <c r="D114" s="18"/>
      <c r="E114" s="18"/>
      <c r="F114" s="18"/>
    </row>
    <row r="115" spans="2:6" ht="18.95" customHeight="1">
      <c r="B115" s="18"/>
      <c r="C115" s="18"/>
      <c r="D115" s="18"/>
      <c r="E115" s="18"/>
      <c r="F115" s="18"/>
    </row>
    <row r="116" spans="2:6" ht="18.95" customHeight="1">
      <c r="B116" s="18"/>
      <c r="C116" s="18"/>
      <c r="D116" s="18"/>
      <c r="E116" s="18"/>
      <c r="F116" s="18"/>
    </row>
    <row r="117" spans="2:6" ht="18.95" customHeight="1">
      <c r="B117" s="18"/>
      <c r="C117" s="18"/>
      <c r="D117" s="18"/>
      <c r="E117" s="18"/>
      <c r="F117" s="18"/>
    </row>
    <row r="118" spans="2:6" ht="20.45" customHeight="1">
      <c r="B118" s="18"/>
      <c r="C118" s="18"/>
      <c r="D118" s="18"/>
      <c r="E118" s="18"/>
      <c r="F118" s="18"/>
    </row>
    <row r="119" spans="2:6" ht="20.45" customHeight="1">
      <c r="B119" s="18"/>
      <c r="C119" s="18"/>
      <c r="D119" s="18"/>
      <c r="E119" s="18"/>
      <c r="F119" s="18"/>
    </row>
    <row r="120" spans="2:6" ht="20.45" customHeight="1">
      <c r="B120" s="18"/>
      <c r="C120" s="18"/>
      <c r="D120" s="18"/>
      <c r="E120" s="18"/>
      <c r="F120" s="18"/>
    </row>
    <row r="121" spans="2:6" ht="20.45" customHeight="1">
      <c r="B121" s="18"/>
      <c r="C121" s="18"/>
      <c r="D121" s="18"/>
      <c r="E121" s="18"/>
      <c r="F121" s="18"/>
    </row>
    <row r="122" spans="2:6" ht="20.45" customHeight="1">
      <c r="B122" s="18"/>
      <c r="C122" s="18"/>
      <c r="D122" s="18"/>
      <c r="E122" s="18"/>
      <c r="F122" s="18"/>
    </row>
    <row r="123" spans="2:6" ht="18.75">
      <c r="B123" s="18"/>
      <c r="C123" s="18"/>
      <c r="D123" s="18"/>
      <c r="E123" s="18"/>
      <c r="F123" s="18"/>
    </row>
    <row r="124" spans="2:6" ht="18.75">
      <c r="B124" s="18"/>
      <c r="C124" s="18"/>
      <c r="D124" s="18"/>
      <c r="E124" s="18"/>
      <c r="F124" s="18"/>
    </row>
    <row r="125" spans="2:6" ht="18.75">
      <c r="B125" s="18"/>
      <c r="C125" s="18"/>
      <c r="D125" s="18"/>
      <c r="E125" s="18"/>
      <c r="F125" s="18"/>
    </row>
    <row r="126" spans="2:6" ht="18.75">
      <c r="B126" s="18"/>
      <c r="C126" s="18"/>
      <c r="D126" s="18"/>
      <c r="E126" s="18"/>
      <c r="F126" s="18"/>
    </row>
    <row r="127" spans="2:6" ht="18.75">
      <c r="B127" s="18"/>
      <c r="C127" s="18"/>
      <c r="D127" s="18"/>
      <c r="E127" s="18"/>
      <c r="F127" s="18"/>
    </row>
    <row r="128" spans="2:6" ht="18.75">
      <c r="B128" s="18"/>
      <c r="C128" s="18"/>
      <c r="D128" s="18"/>
      <c r="E128" s="18"/>
      <c r="F128" s="18"/>
    </row>
    <row r="129" spans="2:6" ht="18.75">
      <c r="B129" s="18"/>
      <c r="C129" s="18"/>
      <c r="D129" s="18"/>
      <c r="E129" s="18"/>
      <c r="F129" s="18"/>
    </row>
    <row r="142" spans="2:6" ht="21" customHeight="1"/>
    <row r="143" spans="2:6" ht="21" customHeight="1"/>
    <row r="144" spans="2:6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</sheetData>
  <mergeCells count="12">
    <mergeCell ref="B41:E41"/>
    <mergeCell ref="B78:F78"/>
    <mergeCell ref="B80:E80"/>
    <mergeCell ref="B39:F39"/>
    <mergeCell ref="B2:H2"/>
    <mergeCell ref="B3:H3"/>
    <mergeCell ref="B4:H4"/>
    <mergeCell ref="B5:H5"/>
    <mergeCell ref="B6:E7"/>
    <mergeCell ref="F6:F7"/>
    <mergeCell ref="G6:G7"/>
    <mergeCell ref="H6:H7"/>
  </mergeCells>
  <pageMargins left="0.27559055118110237" right="0" top="0.55118110236220474" bottom="0.51181102362204722" header="0.39370078740157483" footer="0.11811023622047245"/>
  <pageSetup paperSize="9" scale="90" firstPageNumber="6" orientation="landscape" useFirstPageNumber="1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01D2-B066-433E-8B40-6F417A5A7EEB}">
  <sheetPr>
    <tabColor rgb="FF92D050"/>
  </sheetPr>
  <dimension ref="A1:H202"/>
  <sheetViews>
    <sheetView tabSelected="1" view="pageBreakPreview" topLeftCell="A13" zoomScale="110" zoomScaleSheetLayoutView="110" workbookViewId="0">
      <selection activeCell="L37" sqref="L37"/>
    </sheetView>
  </sheetViews>
  <sheetFormatPr defaultColWidth="9" defaultRowHeight="15"/>
  <cols>
    <col min="1" max="1" width="1.28515625" customWidth="1"/>
    <col min="2" max="2" width="1.7109375" customWidth="1"/>
    <col min="3" max="3" width="2" customWidth="1"/>
    <col min="4" max="4" width="2.28515625" customWidth="1"/>
    <col min="5" max="5" width="68.5703125" customWidth="1"/>
    <col min="6" max="7" width="27" customWidth="1"/>
    <col min="8" max="8" width="27.7109375" customWidth="1"/>
    <col min="9" max="9" width="4.28515625" customWidth="1"/>
    <col min="10" max="10" width="4.42578125" customWidth="1"/>
    <col min="11" max="11" width="4.85546875" customWidth="1"/>
  </cols>
  <sheetData>
    <row r="1" spans="1:8" ht="18.95" customHeight="1">
      <c r="A1" s="51"/>
      <c r="B1" s="52"/>
      <c r="C1" s="52"/>
      <c r="D1" s="52"/>
      <c r="E1" s="52"/>
      <c r="F1" s="53"/>
      <c r="H1" s="19" t="s">
        <v>88</v>
      </c>
    </row>
    <row r="2" spans="1:8" ht="18.95" customHeight="1">
      <c r="A2" s="51"/>
      <c r="B2" s="2747" t="s">
        <v>89</v>
      </c>
      <c r="C2" s="2747"/>
      <c r="D2" s="2747"/>
      <c r="E2" s="2747"/>
      <c r="F2" s="2747"/>
      <c r="G2" s="2747"/>
      <c r="H2" s="2747"/>
    </row>
    <row r="3" spans="1:8" ht="18.95" customHeight="1">
      <c r="A3" s="51"/>
      <c r="B3" s="2747" t="s">
        <v>186</v>
      </c>
      <c r="C3" s="2747"/>
      <c r="D3" s="2747"/>
      <c r="E3" s="2747"/>
      <c r="F3" s="2747"/>
      <c r="G3" s="2747"/>
      <c r="H3" s="2747"/>
    </row>
    <row r="4" spans="1:8" ht="18.95" customHeight="1">
      <c r="A4" s="51"/>
      <c r="B4" s="2747" t="s">
        <v>90</v>
      </c>
      <c r="C4" s="2747"/>
      <c r="D4" s="2747"/>
      <c r="E4" s="2747"/>
      <c r="F4" s="2747"/>
      <c r="G4" s="2747"/>
      <c r="H4" s="2747"/>
    </row>
    <row r="5" spans="1:8" ht="18.95" customHeight="1">
      <c r="A5" s="51"/>
      <c r="B5" s="2750" t="s">
        <v>1430</v>
      </c>
      <c r="C5" s="2750"/>
      <c r="D5" s="2750"/>
      <c r="E5" s="2750"/>
      <c r="F5" s="2750"/>
      <c r="G5" s="2750"/>
      <c r="H5" s="2750"/>
    </row>
    <row r="6" spans="1:8" ht="14.25" customHeight="1">
      <c r="A6" s="51"/>
      <c r="B6" s="2751" t="s">
        <v>3</v>
      </c>
      <c r="C6" s="2752"/>
      <c r="D6" s="2752"/>
      <c r="E6" s="2753"/>
      <c r="F6" s="2757" t="s">
        <v>179</v>
      </c>
      <c r="G6" s="2757" t="s">
        <v>621</v>
      </c>
      <c r="H6" s="2757" t="s">
        <v>1431</v>
      </c>
    </row>
    <row r="7" spans="1:8" ht="9.75" customHeight="1">
      <c r="A7" s="51"/>
      <c r="B7" s="2754"/>
      <c r="C7" s="2755"/>
      <c r="D7" s="2755"/>
      <c r="E7" s="2756"/>
      <c r="F7" s="2758"/>
      <c r="G7" s="2758"/>
      <c r="H7" s="2758"/>
    </row>
    <row r="8" spans="1:8" ht="18.95" customHeight="1">
      <c r="A8" s="51"/>
      <c r="B8" s="55" t="s">
        <v>91</v>
      </c>
      <c r="C8" s="56"/>
      <c r="D8" s="56"/>
      <c r="E8" s="56"/>
      <c r="F8" s="57"/>
      <c r="G8" s="57"/>
      <c r="H8" s="57"/>
    </row>
    <row r="9" spans="1:8" ht="18.95" customHeight="1">
      <c r="A9" s="51"/>
      <c r="B9" s="54"/>
      <c r="D9" s="52" t="s">
        <v>92</v>
      </c>
      <c r="E9" s="52"/>
      <c r="F9" s="58"/>
      <c r="G9" s="58"/>
      <c r="H9" s="58"/>
    </row>
    <row r="10" spans="1:8" ht="18.95" customHeight="1">
      <c r="A10" s="51"/>
      <c r="B10" s="54"/>
      <c r="C10" s="52"/>
      <c r="D10" s="52"/>
      <c r="E10" s="52" t="s">
        <v>35</v>
      </c>
      <c r="F10" s="121">
        <v>0</v>
      </c>
      <c r="G10" s="121">
        <v>0</v>
      </c>
      <c r="H10" s="121">
        <v>0</v>
      </c>
    </row>
    <row r="11" spans="1:8" ht="18.95" customHeight="1">
      <c r="A11" s="51"/>
      <c r="B11" s="54"/>
      <c r="C11" s="52"/>
      <c r="D11" s="52"/>
      <c r="E11" s="52" t="s">
        <v>93</v>
      </c>
      <c r="F11" s="121">
        <v>0</v>
      </c>
      <c r="G11" s="121">
        <v>0</v>
      </c>
      <c r="H11" s="121">
        <v>0</v>
      </c>
    </row>
    <row r="12" spans="1:8" ht="18.95" customHeight="1">
      <c r="A12" s="51"/>
      <c r="B12" s="59"/>
      <c r="C12" s="18"/>
      <c r="D12" s="18"/>
      <c r="E12" s="52" t="s">
        <v>185</v>
      </c>
      <c r="F12" s="121">
        <v>24000000</v>
      </c>
      <c r="G12" s="121">
        <v>50000000</v>
      </c>
      <c r="H12" s="121">
        <v>50000000</v>
      </c>
    </row>
    <row r="13" spans="1:8" ht="18.95" customHeight="1">
      <c r="A13" s="51"/>
      <c r="B13" s="59"/>
      <c r="C13" s="18"/>
      <c r="D13" s="18"/>
      <c r="E13" s="52" t="s">
        <v>36</v>
      </c>
      <c r="F13" s="121">
        <v>0</v>
      </c>
      <c r="G13" s="121">
        <v>0</v>
      </c>
      <c r="H13" s="121">
        <v>0</v>
      </c>
    </row>
    <row r="14" spans="1:8" ht="18.95" customHeight="1">
      <c r="A14" s="51"/>
      <c r="B14" s="59"/>
      <c r="C14" s="18"/>
      <c r="D14" s="18"/>
      <c r="E14" s="52" t="s">
        <v>37</v>
      </c>
      <c r="F14" s="121">
        <v>0</v>
      </c>
      <c r="G14" s="121">
        <v>0</v>
      </c>
      <c r="H14" s="121">
        <v>0</v>
      </c>
    </row>
    <row r="15" spans="1:8" ht="18.95" customHeight="1">
      <c r="A15" s="51"/>
      <c r="B15" s="59"/>
      <c r="C15" s="18"/>
      <c r="D15" s="18"/>
      <c r="E15" s="52" t="s">
        <v>38</v>
      </c>
      <c r="F15" s="121">
        <v>5000000</v>
      </c>
      <c r="G15" s="121">
        <v>5000000</v>
      </c>
      <c r="H15" s="121">
        <v>5000000</v>
      </c>
    </row>
    <row r="16" spans="1:8" ht="18.95" customHeight="1">
      <c r="A16" s="51"/>
      <c r="B16" s="59"/>
      <c r="C16" s="18"/>
      <c r="D16" s="18"/>
      <c r="E16" s="52" t="s">
        <v>39</v>
      </c>
      <c r="F16" s="121">
        <v>0</v>
      </c>
      <c r="G16" s="121">
        <v>0</v>
      </c>
      <c r="H16" s="121">
        <v>0</v>
      </c>
    </row>
    <row r="17" spans="1:8" ht="18.95" customHeight="1">
      <c r="A17" s="51"/>
      <c r="B17" s="54"/>
      <c r="C17" s="52"/>
      <c r="D17" s="52"/>
      <c r="E17" s="52" t="s">
        <v>40</v>
      </c>
      <c r="F17" s="121">
        <v>5000000</v>
      </c>
      <c r="G17" s="121">
        <v>10000000</v>
      </c>
      <c r="H17" s="121">
        <v>10000000</v>
      </c>
    </row>
    <row r="18" spans="1:8" ht="18.95" customHeight="1">
      <c r="A18" s="51"/>
      <c r="B18" s="59"/>
      <c r="C18" s="52"/>
      <c r="D18" s="52"/>
      <c r="E18" s="52" t="s">
        <v>79</v>
      </c>
      <c r="F18" s="121">
        <v>0</v>
      </c>
      <c r="G18" s="121">
        <v>0</v>
      </c>
      <c r="H18" s="121">
        <v>0</v>
      </c>
    </row>
    <row r="19" spans="1:8" ht="18.95" customHeight="1">
      <c r="A19" s="51"/>
      <c r="B19" s="59"/>
      <c r="C19" s="18"/>
      <c r="D19" s="18"/>
      <c r="E19" s="52" t="s">
        <v>41</v>
      </c>
      <c r="F19" s="121">
        <v>0</v>
      </c>
      <c r="G19" s="121">
        <v>0</v>
      </c>
      <c r="H19" s="121">
        <v>0</v>
      </c>
    </row>
    <row r="20" spans="1:8" ht="18.95" customHeight="1">
      <c r="A20" s="51"/>
      <c r="B20" s="59"/>
      <c r="D20" s="52" t="s">
        <v>94</v>
      </c>
      <c r="E20" s="52"/>
      <c r="F20" s="121"/>
      <c r="G20" s="121"/>
      <c r="H20" s="121"/>
    </row>
    <row r="21" spans="1:8" ht="18.95" customHeight="1">
      <c r="A21" s="51"/>
      <c r="B21" s="59"/>
      <c r="C21" s="52"/>
      <c r="D21" s="52"/>
      <c r="E21" s="52" t="s">
        <v>43</v>
      </c>
      <c r="F21" s="121">
        <v>100000000</v>
      </c>
      <c r="G21" s="121">
        <v>100000000</v>
      </c>
      <c r="H21" s="121">
        <v>100000000</v>
      </c>
    </row>
    <row r="22" spans="1:8" ht="18.95" customHeight="1">
      <c r="A22" s="51"/>
      <c r="B22" s="59"/>
      <c r="C22" s="52"/>
      <c r="D22" s="52"/>
      <c r="E22" s="52" t="s">
        <v>44</v>
      </c>
      <c r="F22" s="121">
        <v>50000000</v>
      </c>
      <c r="G22" s="121">
        <v>90000000</v>
      </c>
      <c r="H22" s="121">
        <v>90000000</v>
      </c>
    </row>
    <row r="23" spans="1:8" ht="18.95" customHeight="1">
      <c r="A23" s="51"/>
      <c r="B23" s="59"/>
      <c r="C23" s="52"/>
      <c r="D23" s="52"/>
      <c r="E23" s="52" t="s">
        <v>50</v>
      </c>
      <c r="F23" s="121">
        <v>10000000</v>
      </c>
      <c r="G23" s="121">
        <v>14000000</v>
      </c>
      <c r="H23" s="121">
        <v>14000000</v>
      </c>
    </row>
    <row r="24" spans="1:8" ht="18.95" customHeight="1">
      <c r="A24" s="51"/>
      <c r="B24" s="59"/>
      <c r="C24" s="52"/>
      <c r="D24" s="52"/>
      <c r="E24" s="52" t="s">
        <v>51</v>
      </c>
      <c r="F24" s="121">
        <v>4000000</v>
      </c>
      <c r="G24" s="121">
        <v>5000000</v>
      </c>
      <c r="H24" s="121">
        <v>5000000</v>
      </c>
    </row>
    <row r="25" spans="1:8" ht="18.95" customHeight="1">
      <c r="A25" s="51"/>
      <c r="B25" s="59"/>
      <c r="C25" s="52"/>
      <c r="D25" s="52"/>
      <c r="E25" s="52" t="s">
        <v>52</v>
      </c>
      <c r="F25" s="121">
        <v>15000000</v>
      </c>
      <c r="G25" s="121">
        <v>30000000</v>
      </c>
      <c r="H25" s="121">
        <v>30000000</v>
      </c>
    </row>
    <row r="26" spans="1:8" ht="18.95" customHeight="1">
      <c r="A26" s="51"/>
      <c r="B26" s="59"/>
      <c r="D26" s="52" t="s">
        <v>95</v>
      </c>
      <c r="E26" s="52"/>
      <c r="F26" s="121">
        <v>20000000</v>
      </c>
      <c r="G26" s="121">
        <v>50000000</v>
      </c>
      <c r="H26" s="121">
        <v>60000000</v>
      </c>
    </row>
    <row r="27" spans="1:8" ht="18.95" customHeight="1">
      <c r="A27" s="51"/>
      <c r="B27" s="59"/>
      <c r="D27" s="52" t="s">
        <v>96</v>
      </c>
      <c r="E27" s="52"/>
      <c r="F27" s="121">
        <v>10000000</v>
      </c>
      <c r="G27" s="121">
        <v>10000000</v>
      </c>
      <c r="H27" s="121">
        <v>10000000</v>
      </c>
    </row>
    <row r="28" spans="1:8" ht="18.95" customHeight="1">
      <c r="A28" s="51"/>
      <c r="B28" s="59"/>
      <c r="D28" s="52" t="s">
        <v>97</v>
      </c>
      <c r="E28" s="52"/>
      <c r="F28" s="121">
        <v>5000000</v>
      </c>
      <c r="G28" s="121">
        <v>5000000</v>
      </c>
      <c r="H28" s="121">
        <v>5000000</v>
      </c>
    </row>
    <row r="29" spans="1:8" ht="18.95" customHeight="1">
      <c r="A29" s="51"/>
      <c r="B29" s="59"/>
      <c r="D29" s="52" t="s">
        <v>113</v>
      </c>
      <c r="E29" s="52"/>
      <c r="F29" s="121">
        <v>20000000</v>
      </c>
      <c r="G29" s="121">
        <v>20000000</v>
      </c>
      <c r="H29" s="121">
        <v>20000000</v>
      </c>
    </row>
    <row r="30" spans="1:8" ht="18.95" customHeight="1">
      <c r="A30" s="51"/>
      <c r="B30" s="60"/>
      <c r="C30" s="61"/>
      <c r="D30" s="61"/>
      <c r="E30" s="67" t="s">
        <v>98</v>
      </c>
      <c r="F30" s="120">
        <f>SUM(F9:F29)</f>
        <v>268000000</v>
      </c>
      <c r="G30" s="120">
        <f>SUM(G9:G29)</f>
        <v>389000000</v>
      </c>
      <c r="H30" s="120">
        <f>SUM(H9:H29)</f>
        <v>399000000</v>
      </c>
    </row>
    <row r="31" spans="1:8" ht="18.95" customHeight="1">
      <c r="A31" s="51"/>
      <c r="B31" s="52"/>
      <c r="C31" s="52"/>
      <c r="D31" s="52"/>
      <c r="E31" s="52"/>
      <c r="F31" s="18"/>
    </row>
    <row r="32" spans="1:8" ht="18.95" customHeight="1">
      <c r="A32" s="51"/>
      <c r="B32" s="52"/>
      <c r="C32" s="52"/>
      <c r="D32" s="52"/>
      <c r="F32" s="18"/>
    </row>
    <row r="33" spans="1:6" ht="18.95" customHeight="1">
      <c r="A33" s="51"/>
      <c r="B33" s="52"/>
      <c r="C33" s="52"/>
      <c r="D33" s="52"/>
      <c r="E33" s="52"/>
      <c r="F33" s="30"/>
    </row>
    <row r="34" spans="1:6" ht="18.95" customHeight="1">
      <c r="A34" s="51"/>
      <c r="B34" s="52"/>
      <c r="C34" s="52"/>
      <c r="D34" s="52"/>
      <c r="E34" s="52"/>
      <c r="F34" s="30"/>
    </row>
    <row r="35" spans="1:6" ht="18.95" customHeight="1">
      <c r="A35" s="51"/>
      <c r="B35" s="52"/>
      <c r="C35" s="52"/>
      <c r="D35" s="52"/>
      <c r="E35" s="52"/>
      <c r="F35" s="30"/>
    </row>
    <row r="36" spans="1:6" ht="18.95" customHeight="1">
      <c r="A36" s="51"/>
      <c r="B36" s="52"/>
      <c r="C36" s="52"/>
      <c r="D36" s="52"/>
      <c r="E36" s="52"/>
      <c r="F36" s="30"/>
    </row>
    <row r="37" spans="1:6" ht="18.95" customHeight="1">
      <c r="A37" s="51"/>
      <c r="B37" s="52"/>
      <c r="C37" s="52"/>
      <c r="D37" s="52"/>
      <c r="E37" s="52"/>
      <c r="F37" s="62"/>
    </row>
    <row r="38" spans="1:6" ht="18.95" customHeight="1">
      <c r="A38" s="51"/>
      <c r="B38" s="52"/>
      <c r="C38" s="52"/>
      <c r="D38" s="52"/>
      <c r="E38" s="52"/>
      <c r="F38" s="62"/>
    </row>
    <row r="39" spans="1:6" ht="18.95" customHeight="1">
      <c r="B39" s="2749"/>
      <c r="C39" s="2749"/>
      <c r="D39" s="2749"/>
      <c r="E39" s="2749"/>
      <c r="F39" s="2749"/>
    </row>
    <row r="40" spans="1:6" ht="18.95" customHeight="1">
      <c r="B40" s="18"/>
      <c r="C40" s="18"/>
      <c r="D40" s="18"/>
      <c r="E40" s="18"/>
      <c r="F40" s="53"/>
    </row>
    <row r="41" spans="1:6" ht="18.95" customHeight="1">
      <c r="B41" s="2747"/>
      <c r="C41" s="2747"/>
      <c r="D41" s="2747"/>
      <c r="E41" s="2747"/>
      <c r="F41" s="53"/>
    </row>
    <row r="42" spans="1:6" ht="18.95" customHeight="1">
      <c r="B42" s="52"/>
      <c r="C42" s="52"/>
      <c r="D42" s="52"/>
      <c r="E42" s="52"/>
      <c r="F42" s="53"/>
    </row>
    <row r="43" spans="1:6" ht="18.95" customHeight="1">
      <c r="B43" s="52"/>
      <c r="C43" s="52"/>
      <c r="D43" s="52"/>
      <c r="E43" s="52"/>
      <c r="F43" s="18"/>
    </row>
    <row r="44" spans="1:6" ht="18.95" customHeight="1">
      <c r="B44" s="52"/>
      <c r="C44" s="52"/>
      <c r="D44" s="52"/>
      <c r="E44" s="52"/>
      <c r="F44" s="18"/>
    </row>
    <row r="45" spans="1:6" ht="18.95" customHeight="1">
      <c r="B45" s="52"/>
      <c r="C45" s="52"/>
      <c r="D45" s="52"/>
      <c r="E45" s="52"/>
      <c r="F45" s="30"/>
    </row>
    <row r="46" spans="1:6" ht="18.95" customHeight="1">
      <c r="B46" s="18"/>
      <c r="C46" s="18"/>
      <c r="D46" s="18"/>
      <c r="E46" s="52"/>
      <c r="F46" s="30"/>
    </row>
    <row r="47" spans="1:6" ht="18.95" customHeight="1">
      <c r="B47" s="18"/>
      <c r="C47" s="18"/>
      <c r="D47" s="18"/>
      <c r="E47" s="52"/>
      <c r="F47" s="30"/>
    </row>
    <row r="48" spans="1:6" ht="18.95" customHeight="1">
      <c r="B48" s="18"/>
      <c r="C48" s="18"/>
      <c r="D48" s="18"/>
      <c r="E48" s="52"/>
      <c r="F48" s="30"/>
    </row>
    <row r="49" spans="2:6" ht="18.95" customHeight="1">
      <c r="B49" s="18"/>
      <c r="C49" s="18"/>
      <c r="D49" s="18"/>
      <c r="E49" s="52"/>
      <c r="F49" s="30"/>
    </row>
    <row r="50" spans="2:6" ht="18.95" customHeight="1">
      <c r="B50" s="18"/>
      <c r="C50" s="18"/>
      <c r="D50" s="18"/>
      <c r="E50" s="52"/>
      <c r="F50" s="30"/>
    </row>
    <row r="51" spans="2:6" ht="18.95" customHeight="1">
      <c r="B51" s="18"/>
      <c r="C51" s="18"/>
      <c r="D51" s="18"/>
      <c r="E51" s="52"/>
      <c r="F51" s="30"/>
    </row>
    <row r="52" spans="2:6" ht="18.95" customHeight="1">
      <c r="B52" s="18"/>
      <c r="C52" s="18"/>
      <c r="D52" s="18"/>
      <c r="E52" s="52"/>
      <c r="F52" s="30"/>
    </row>
    <row r="53" spans="2:6" ht="18.95" customHeight="1">
      <c r="B53" s="18"/>
      <c r="C53" s="18"/>
      <c r="D53" s="18"/>
      <c r="E53" s="52"/>
      <c r="F53" s="30"/>
    </row>
    <row r="54" spans="2:6" ht="18.95" customHeight="1">
      <c r="B54" s="18"/>
      <c r="C54" s="18"/>
      <c r="D54" s="52"/>
      <c r="E54" s="52"/>
      <c r="F54" s="30"/>
    </row>
    <row r="55" spans="2:6" ht="18.95" customHeight="1">
      <c r="B55" s="18"/>
      <c r="C55" s="18"/>
      <c r="D55" s="52"/>
      <c r="E55" s="52"/>
      <c r="F55" s="30"/>
    </row>
    <row r="56" spans="2:6" ht="18.95" customHeight="1">
      <c r="B56" s="18"/>
      <c r="C56" s="18"/>
      <c r="D56" s="52"/>
      <c r="E56" s="52"/>
      <c r="F56" s="30"/>
    </row>
    <row r="57" spans="2:6" ht="18.95" customHeight="1">
      <c r="B57" s="18"/>
      <c r="C57" s="18"/>
      <c r="D57" s="52"/>
      <c r="E57" s="63"/>
      <c r="F57" s="30"/>
    </row>
    <row r="58" spans="2:6" ht="18.95" customHeight="1">
      <c r="B58" s="18"/>
      <c r="C58" s="18"/>
      <c r="D58" s="52"/>
      <c r="E58" s="52"/>
      <c r="F58" s="30"/>
    </row>
    <row r="59" spans="2:6" ht="18.95" customHeight="1">
      <c r="B59" s="18"/>
      <c r="C59" s="18"/>
      <c r="D59" s="52"/>
      <c r="E59" s="52"/>
      <c r="F59" s="30"/>
    </row>
    <row r="60" spans="2:6" ht="18.95" customHeight="1">
      <c r="B60" s="18"/>
      <c r="C60" s="18"/>
      <c r="D60" s="52"/>
      <c r="E60" s="52"/>
      <c r="F60" s="30"/>
    </row>
    <row r="61" spans="2:6" ht="18.95" customHeight="1">
      <c r="B61" s="18"/>
      <c r="C61" s="18"/>
      <c r="D61" s="52"/>
      <c r="E61" s="52"/>
      <c r="F61" s="30"/>
    </row>
    <row r="62" spans="2:6" ht="18.95" customHeight="1">
      <c r="B62" s="18"/>
      <c r="C62" s="18"/>
      <c r="D62" s="52"/>
      <c r="E62" s="52"/>
      <c r="F62" s="30"/>
    </row>
    <row r="63" spans="2:6" ht="18.95" customHeight="1">
      <c r="B63" s="18"/>
      <c r="C63" s="18"/>
      <c r="D63" s="52"/>
      <c r="E63" s="52"/>
      <c r="F63" s="30"/>
    </row>
    <row r="64" spans="2:6" ht="18.95" customHeight="1">
      <c r="B64" s="18"/>
      <c r="C64" s="18"/>
      <c r="D64" s="52"/>
      <c r="E64" s="52"/>
      <c r="F64" s="30"/>
    </row>
    <row r="65" spans="2:6" ht="18.95" customHeight="1">
      <c r="B65" s="18"/>
      <c r="C65" s="18"/>
      <c r="D65" s="52"/>
      <c r="E65" s="52"/>
      <c r="F65" s="30"/>
    </row>
    <row r="66" spans="2:6" ht="18.95" customHeight="1">
      <c r="B66" s="18"/>
      <c r="C66" s="18"/>
      <c r="D66" s="52"/>
      <c r="E66" s="52"/>
      <c r="F66" s="30"/>
    </row>
    <row r="67" spans="2:6" ht="18.95" customHeight="1">
      <c r="B67" s="18"/>
      <c r="C67" s="18"/>
      <c r="D67" s="52"/>
      <c r="E67" s="52"/>
      <c r="F67" s="30"/>
    </row>
    <row r="68" spans="2:6" ht="18.95" customHeight="1">
      <c r="B68" s="18"/>
      <c r="C68" s="18"/>
      <c r="D68" s="52"/>
      <c r="E68" s="52"/>
      <c r="F68" s="30"/>
    </row>
    <row r="69" spans="2:6" ht="18.95" customHeight="1">
      <c r="B69" s="18"/>
      <c r="C69" s="18"/>
      <c r="D69" s="52"/>
      <c r="E69" s="64"/>
      <c r="F69" s="62"/>
    </row>
    <row r="70" spans="2:6" ht="18.95" customHeight="1">
      <c r="B70" s="18"/>
      <c r="C70" s="18"/>
      <c r="D70" s="52"/>
      <c r="E70" s="64"/>
      <c r="F70" s="62"/>
    </row>
    <row r="71" spans="2:6" ht="18.95" customHeight="1">
      <c r="B71" s="18"/>
      <c r="C71" s="18"/>
      <c r="D71" s="18"/>
      <c r="E71" s="64"/>
      <c r="F71" s="62"/>
    </row>
    <row r="72" spans="2:6" ht="18.95" customHeight="1">
      <c r="B72" s="18"/>
      <c r="C72" s="18"/>
      <c r="D72" s="18"/>
      <c r="E72" s="64"/>
      <c r="F72" s="64"/>
    </row>
    <row r="73" spans="2:6" ht="18.95" customHeight="1">
      <c r="B73" s="18"/>
      <c r="C73" s="18"/>
      <c r="D73" s="18"/>
      <c r="E73" s="64"/>
      <c r="F73" s="62"/>
    </row>
    <row r="74" spans="2:6" ht="18.95" customHeight="1">
      <c r="B74" s="18"/>
      <c r="C74" s="18"/>
      <c r="D74" s="18"/>
      <c r="E74" s="64"/>
      <c r="F74" s="62"/>
    </row>
    <row r="75" spans="2:6" ht="18.95" customHeight="1">
      <c r="B75" s="18"/>
      <c r="C75" s="18"/>
      <c r="D75" s="18"/>
      <c r="E75" s="18"/>
      <c r="F75" s="18"/>
    </row>
    <row r="76" spans="2:6" ht="18.95" customHeight="1">
      <c r="B76" s="18"/>
      <c r="C76" s="18"/>
      <c r="D76" s="18"/>
      <c r="E76" s="18"/>
      <c r="F76" s="18"/>
    </row>
    <row r="77" spans="2:6" ht="18.95" customHeight="1">
      <c r="B77" s="18"/>
      <c r="C77" s="18"/>
      <c r="D77" s="18"/>
      <c r="E77" s="18"/>
      <c r="F77" s="18"/>
    </row>
    <row r="78" spans="2:6" ht="18.95" customHeight="1">
      <c r="B78" s="2749"/>
      <c r="C78" s="2749"/>
      <c r="D78" s="2749"/>
      <c r="E78" s="2749"/>
      <c r="F78" s="2749"/>
    </row>
    <row r="79" spans="2:6" ht="18.95" customHeight="1">
      <c r="B79" s="65"/>
      <c r="C79" s="65"/>
      <c r="D79" s="65"/>
      <c r="E79" s="65"/>
      <c r="F79" s="53"/>
    </row>
    <row r="80" spans="2:6" ht="18.95" customHeight="1">
      <c r="B80" s="2747"/>
      <c r="C80" s="2747"/>
      <c r="D80" s="2747"/>
      <c r="E80" s="2747"/>
      <c r="F80" s="53"/>
    </row>
    <row r="81" spans="2:6" ht="18.95" customHeight="1">
      <c r="B81" s="52"/>
      <c r="C81" s="52"/>
      <c r="D81" s="52"/>
      <c r="E81" s="52"/>
      <c r="F81" s="53"/>
    </row>
    <row r="82" spans="2:6" ht="18.95" customHeight="1">
      <c r="B82" s="52"/>
      <c r="C82" s="52"/>
      <c r="D82" s="52"/>
      <c r="E82" s="52"/>
      <c r="F82" s="52"/>
    </row>
    <row r="83" spans="2:6" ht="18.95" customHeight="1">
      <c r="B83" s="52"/>
      <c r="C83" s="52"/>
      <c r="D83" s="52"/>
      <c r="F83" s="30"/>
    </row>
    <row r="84" spans="2:6" ht="18.95" customHeight="1">
      <c r="B84" s="52"/>
      <c r="C84" s="52"/>
      <c r="D84" s="52"/>
      <c r="F84" s="30"/>
    </row>
    <row r="85" spans="2:6" ht="18.95" customHeight="1">
      <c r="B85" s="52"/>
      <c r="C85" s="52"/>
      <c r="D85" s="52"/>
      <c r="E85" s="52"/>
      <c r="F85" s="30"/>
    </row>
    <row r="86" spans="2:6" ht="18.95" customHeight="1">
      <c r="B86" s="52"/>
      <c r="C86" s="52"/>
      <c r="D86" s="52"/>
      <c r="E86" s="52"/>
      <c r="F86" s="30"/>
    </row>
    <row r="87" spans="2:6" ht="18.95" customHeight="1">
      <c r="B87" s="52"/>
      <c r="C87" s="52"/>
      <c r="D87" s="52"/>
      <c r="E87" s="52"/>
      <c r="F87" s="30"/>
    </row>
    <row r="88" spans="2:6" ht="18.95" customHeight="1">
      <c r="B88" s="52"/>
      <c r="C88" s="52"/>
      <c r="D88" s="52"/>
      <c r="E88" s="52"/>
      <c r="F88" s="30"/>
    </row>
    <row r="89" spans="2:6" ht="18.95" customHeight="1">
      <c r="B89" s="52"/>
      <c r="C89" s="52"/>
      <c r="D89" s="52"/>
      <c r="E89" s="64"/>
      <c r="F89" s="62"/>
    </row>
    <row r="90" spans="2:6" ht="18.95" customHeight="1">
      <c r="B90" s="18"/>
      <c r="C90" s="18"/>
      <c r="D90" s="18"/>
      <c r="E90" s="18"/>
      <c r="F90" s="18"/>
    </row>
    <row r="91" spans="2:6" ht="18.95" customHeight="1">
      <c r="B91" s="18"/>
      <c r="C91" s="18"/>
      <c r="D91" s="52"/>
      <c r="E91" s="18"/>
      <c r="F91" s="18"/>
    </row>
    <row r="92" spans="2:6" ht="18.95" customHeight="1">
      <c r="B92" s="18"/>
      <c r="C92" s="18"/>
      <c r="D92" s="18"/>
      <c r="E92" s="52"/>
      <c r="F92" s="18"/>
    </row>
    <row r="93" spans="2:6" ht="18.95" customHeight="1">
      <c r="B93" s="18"/>
      <c r="C93" s="18"/>
      <c r="D93" s="18"/>
      <c r="E93" s="52"/>
      <c r="F93" s="18"/>
    </row>
    <row r="94" spans="2:6" ht="18.95" customHeight="1">
      <c r="B94" s="18"/>
      <c r="C94" s="18"/>
      <c r="D94" s="18"/>
      <c r="E94" s="52"/>
      <c r="F94" s="18"/>
    </row>
    <row r="95" spans="2:6" ht="18.95" customHeight="1">
      <c r="B95" s="18"/>
      <c r="C95" s="18"/>
      <c r="D95" s="18"/>
      <c r="E95" s="18"/>
      <c r="F95" s="18"/>
    </row>
    <row r="96" spans="2:6" ht="18.95" customHeight="1">
      <c r="B96" s="18"/>
      <c r="C96" s="18"/>
      <c r="D96" s="18"/>
      <c r="E96" s="18"/>
      <c r="F96" s="18"/>
    </row>
    <row r="97" spans="2:6" ht="18.95" customHeight="1">
      <c r="B97" s="52"/>
      <c r="C97" s="52"/>
      <c r="D97" s="52"/>
      <c r="E97" s="52"/>
      <c r="F97" s="52"/>
    </row>
    <row r="98" spans="2:6" ht="18.95" customHeight="1">
      <c r="B98" s="52"/>
      <c r="C98" s="52"/>
      <c r="D98" s="52"/>
      <c r="E98" s="52"/>
      <c r="F98" s="52"/>
    </row>
    <row r="99" spans="2:6" ht="18.95" customHeight="1">
      <c r="B99" s="52"/>
      <c r="C99" s="52"/>
      <c r="D99" s="52"/>
      <c r="E99" s="52"/>
      <c r="F99" s="52"/>
    </row>
    <row r="100" spans="2:6" ht="18.95" customHeight="1">
      <c r="B100" s="52"/>
      <c r="C100" s="52"/>
      <c r="D100" s="52"/>
      <c r="E100" s="52"/>
      <c r="F100" s="52"/>
    </row>
    <row r="101" spans="2:6" ht="18.95" customHeight="1">
      <c r="B101" s="52"/>
      <c r="C101" s="52"/>
      <c r="D101" s="52"/>
      <c r="E101" s="52"/>
      <c r="F101" s="52"/>
    </row>
    <row r="102" spans="2:6" ht="18.95" customHeight="1">
      <c r="B102" s="18"/>
      <c r="C102" s="18"/>
      <c r="D102" s="18"/>
      <c r="E102" s="18"/>
      <c r="F102" s="18"/>
    </row>
    <row r="103" spans="2:6" ht="18.95" customHeight="1">
      <c r="B103" s="18"/>
      <c r="C103" s="18"/>
      <c r="D103" s="18"/>
      <c r="E103" s="18"/>
      <c r="F103" s="18"/>
    </row>
    <row r="104" spans="2:6" ht="18.95" customHeight="1">
      <c r="B104" s="18"/>
      <c r="C104" s="18"/>
      <c r="D104" s="18"/>
      <c r="E104" s="18"/>
      <c r="F104" s="18"/>
    </row>
    <row r="105" spans="2:6" ht="18.95" customHeight="1">
      <c r="B105" s="18"/>
      <c r="C105" s="18"/>
      <c r="D105" s="18"/>
      <c r="E105" s="18"/>
      <c r="F105" s="18"/>
    </row>
    <row r="106" spans="2:6" ht="18.95" customHeight="1">
      <c r="B106" s="18"/>
      <c r="C106" s="18"/>
      <c r="D106" s="18"/>
      <c r="E106" s="18"/>
      <c r="F106" s="18"/>
    </row>
    <row r="107" spans="2:6" ht="18.95" customHeight="1">
      <c r="B107" s="18"/>
      <c r="C107" s="18"/>
      <c r="D107" s="18"/>
      <c r="E107" s="18"/>
      <c r="F107" s="18"/>
    </row>
    <row r="108" spans="2:6" ht="18.95" customHeight="1">
      <c r="B108" s="18"/>
      <c r="C108" s="18"/>
      <c r="D108" s="18"/>
      <c r="E108" s="18"/>
      <c r="F108" s="18"/>
    </row>
    <row r="109" spans="2:6" ht="18.95" customHeight="1">
      <c r="B109" s="18"/>
      <c r="C109" s="18"/>
      <c r="D109" s="18"/>
      <c r="E109" s="18"/>
      <c r="F109" s="18"/>
    </row>
    <row r="110" spans="2:6" ht="18.95" customHeight="1">
      <c r="B110" s="18"/>
      <c r="C110" s="18"/>
      <c r="D110" s="18"/>
      <c r="E110" s="18"/>
      <c r="F110" s="18"/>
    </row>
    <row r="111" spans="2:6" ht="18.95" customHeight="1">
      <c r="B111" s="18"/>
      <c r="C111" s="18"/>
      <c r="D111" s="18"/>
      <c r="E111" s="18"/>
      <c r="F111" s="18"/>
    </row>
    <row r="112" spans="2:6" ht="18.95" customHeight="1">
      <c r="B112" s="18"/>
      <c r="C112" s="18"/>
      <c r="D112" s="18"/>
      <c r="E112" s="18"/>
      <c r="F112" s="18"/>
    </row>
    <row r="113" spans="2:6" ht="18.95" customHeight="1">
      <c r="B113" s="18"/>
      <c r="C113" s="18"/>
      <c r="D113" s="18"/>
      <c r="E113" s="18"/>
      <c r="F113" s="18"/>
    </row>
    <row r="114" spans="2:6" ht="18.95" customHeight="1">
      <c r="B114" s="18"/>
      <c r="C114" s="18"/>
      <c r="D114" s="18"/>
      <c r="E114" s="18"/>
      <c r="F114" s="18"/>
    </row>
    <row r="115" spans="2:6" ht="18.95" customHeight="1">
      <c r="B115" s="18"/>
      <c r="C115" s="18"/>
      <c r="D115" s="18"/>
      <c r="E115" s="18"/>
      <c r="F115" s="18"/>
    </row>
    <row r="116" spans="2:6" ht="18.95" customHeight="1">
      <c r="B116" s="18"/>
      <c r="C116" s="18"/>
      <c r="D116" s="18"/>
      <c r="E116" s="18"/>
      <c r="F116" s="18"/>
    </row>
    <row r="117" spans="2:6" ht="18.95" customHeight="1">
      <c r="B117" s="18"/>
      <c r="C117" s="18"/>
      <c r="D117" s="18"/>
      <c r="E117" s="18"/>
      <c r="F117" s="18"/>
    </row>
    <row r="118" spans="2:6" ht="20.45" customHeight="1">
      <c r="B118" s="18"/>
      <c r="C118" s="18"/>
      <c r="D118" s="18"/>
      <c r="E118" s="18"/>
      <c r="F118" s="18"/>
    </row>
    <row r="119" spans="2:6" ht="20.45" customHeight="1">
      <c r="B119" s="18"/>
      <c r="C119" s="18"/>
      <c r="D119" s="18"/>
      <c r="E119" s="18"/>
      <c r="F119" s="18"/>
    </row>
    <row r="120" spans="2:6" ht="20.45" customHeight="1">
      <c r="B120" s="18"/>
      <c r="C120" s="18"/>
      <c r="D120" s="18"/>
      <c r="E120" s="18"/>
      <c r="F120" s="18"/>
    </row>
    <row r="121" spans="2:6" ht="20.45" customHeight="1">
      <c r="B121" s="18"/>
      <c r="C121" s="18"/>
      <c r="D121" s="18"/>
      <c r="E121" s="18"/>
      <c r="F121" s="18"/>
    </row>
    <row r="122" spans="2:6" ht="20.45" customHeight="1">
      <c r="B122" s="18"/>
      <c r="C122" s="18"/>
      <c r="D122" s="18"/>
      <c r="E122" s="18"/>
      <c r="F122" s="18"/>
    </row>
    <row r="123" spans="2:6" ht="18.75">
      <c r="B123" s="18"/>
      <c r="C123" s="18"/>
      <c r="D123" s="18"/>
      <c r="E123" s="18"/>
      <c r="F123" s="18"/>
    </row>
    <row r="124" spans="2:6" ht="18.75">
      <c r="B124" s="18"/>
      <c r="C124" s="18"/>
      <c r="D124" s="18"/>
      <c r="E124" s="18"/>
      <c r="F124" s="18"/>
    </row>
    <row r="125" spans="2:6" ht="18.75">
      <c r="B125" s="18"/>
      <c r="C125" s="18"/>
      <c r="D125" s="18"/>
      <c r="E125" s="18"/>
      <c r="F125" s="18"/>
    </row>
    <row r="126" spans="2:6" ht="18.75">
      <c r="B126" s="18"/>
      <c r="C126" s="18"/>
      <c r="D126" s="18"/>
      <c r="E126" s="18"/>
      <c r="F126" s="18"/>
    </row>
    <row r="127" spans="2:6" ht="18.75">
      <c r="B127" s="18"/>
      <c r="C127" s="18"/>
      <c r="D127" s="18"/>
      <c r="E127" s="18"/>
      <c r="F127" s="18"/>
    </row>
    <row r="128" spans="2:6" ht="18.75">
      <c r="B128" s="18"/>
      <c r="C128" s="18"/>
      <c r="D128" s="18"/>
      <c r="E128" s="18"/>
      <c r="F128" s="18"/>
    </row>
    <row r="129" spans="2:6" ht="18.75">
      <c r="B129" s="18"/>
      <c r="C129" s="18"/>
      <c r="D129" s="18"/>
      <c r="E129" s="18"/>
      <c r="F129" s="18"/>
    </row>
    <row r="142" spans="2:6" ht="21" customHeight="1"/>
    <row r="143" spans="2:6" ht="21" customHeight="1"/>
    <row r="144" spans="2:6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  <row r="201" ht="21" customHeight="1"/>
    <row r="202" ht="21" customHeight="1"/>
  </sheetData>
  <mergeCells count="12">
    <mergeCell ref="B39:F39"/>
    <mergeCell ref="B41:E41"/>
    <mergeCell ref="B78:F78"/>
    <mergeCell ref="B80:E80"/>
    <mergeCell ref="B2:H2"/>
    <mergeCell ref="B3:H3"/>
    <mergeCell ref="B4:H4"/>
    <mergeCell ref="B5:H5"/>
    <mergeCell ref="B6:E7"/>
    <mergeCell ref="F6:F7"/>
    <mergeCell ref="G6:G7"/>
    <mergeCell ref="H6:H7"/>
  </mergeCells>
  <pageMargins left="0.27559055118110237" right="0" top="0.55118110236220474" bottom="0.51181102362204722" header="0.39370078740157483" footer="0.11811023622047245"/>
  <pageSetup paperSize="9" scale="90" firstPageNumber="6" orientation="landscape" useFirstPageNumber="1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"/>
  <sheetViews>
    <sheetView zoomScale="150" zoomScaleNormal="150" zoomScaleSheetLayoutView="140" workbookViewId="0">
      <selection activeCell="E14" sqref="E14"/>
    </sheetView>
  </sheetViews>
  <sheetFormatPr defaultColWidth="8" defaultRowHeight="24" customHeight="1"/>
  <cols>
    <col min="1" max="1" width="9.85546875" style="197" customWidth="1"/>
    <col min="2" max="2" width="39.7109375" style="197" customWidth="1"/>
    <col min="3" max="3" width="34.7109375" style="196" customWidth="1"/>
    <col min="4" max="4" width="45.28515625" style="197" customWidth="1"/>
    <col min="5" max="7" width="24.140625" style="197" customWidth="1"/>
    <col min="8" max="8" width="20.42578125" style="196" customWidth="1"/>
    <col min="9" max="9" width="8" style="197"/>
    <col min="10" max="10" width="16.85546875" style="197" customWidth="1"/>
    <col min="11" max="16384" width="8" style="197"/>
  </cols>
  <sheetData>
    <row r="1" spans="1:8" ht="20.25" customHeight="1">
      <c r="A1" s="2760"/>
      <c r="B1" s="2760"/>
      <c r="C1" s="2760"/>
      <c r="D1" s="2760"/>
      <c r="E1" s="195"/>
      <c r="F1" s="195"/>
      <c r="G1" s="195"/>
    </row>
    <row r="2" spans="1:8" ht="20.25" customHeight="1">
      <c r="A2" s="2760" t="s">
        <v>2579</v>
      </c>
      <c r="B2" s="2760"/>
      <c r="C2" s="2760"/>
      <c r="D2" s="2760"/>
      <c r="E2" s="198"/>
      <c r="F2" s="198"/>
      <c r="G2" s="198"/>
    </row>
    <row r="3" spans="1:8" ht="20.25" customHeight="1">
      <c r="A3" s="195"/>
      <c r="B3" s="195"/>
      <c r="C3" s="195"/>
      <c r="D3" s="195"/>
      <c r="E3" s="195"/>
      <c r="F3" s="195"/>
      <c r="G3" s="195"/>
    </row>
    <row r="4" spans="1:8" s="196" customFormat="1" ht="27.75" customHeight="1">
      <c r="A4" s="2761" t="s">
        <v>3</v>
      </c>
      <c r="B4" s="2761"/>
      <c r="C4" s="345" t="s">
        <v>220</v>
      </c>
      <c r="D4" s="346" t="s">
        <v>221</v>
      </c>
      <c r="E4" s="198"/>
      <c r="F4" s="198"/>
      <c r="G4" s="198"/>
    </row>
    <row r="5" spans="1:8" s="1373" customFormat="1" ht="54">
      <c r="A5" s="2762" t="s">
        <v>1720</v>
      </c>
      <c r="B5" s="2762"/>
      <c r="C5" s="1557">
        <v>702847044.01999998</v>
      </c>
      <c r="D5" s="1369" t="s">
        <v>2578</v>
      </c>
      <c r="E5" s="1370"/>
      <c r="F5" s="1371"/>
      <c r="G5" s="1371"/>
      <c r="H5" s="1372"/>
    </row>
    <row r="6" spans="1:8" ht="23.25">
      <c r="A6" s="2759" t="s">
        <v>1196</v>
      </c>
      <c r="B6" s="2759"/>
      <c r="C6" s="1558">
        <f>+ประมาณการรายรับ!AG21</f>
        <v>2459096016.1900001</v>
      </c>
      <c r="D6" s="347"/>
      <c r="E6" s="200"/>
      <c r="F6" s="200"/>
      <c r="G6" s="200"/>
      <c r="H6" s="197"/>
    </row>
    <row r="7" spans="1:8" ht="26.25" customHeight="1">
      <c r="A7" s="2759" t="s">
        <v>1474</v>
      </c>
      <c r="B7" s="2759"/>
      <c r="C7" s="1558">
        <f>+C5+C6</f>
        <v>3161943060.21</v>
      </c>
      <c r="D7" s="348"/>
      <c r="E7" s="201"/>
      <c r="F7" s="201"/>
      <c r="G7" s="201"/>
      <c r="H7" s="199"/>
    </row>
    <row r="8" spans="1:8" ht="24" customHeight="1">
      <c r="A8" s="2759" t="s">
        <v>1475</v>
      </c>
      <c r="B8" s="2759"/>
      <c r="C8" s="1558">
        <f>+ประมาณการรายจ่าย!AG17</f>
        <v>2629490512.7966666</v>
      </c>
      <c r="D8" s="347"/>
    </row>
    <row r="9" spans="1:8" ht="23.25">
      <c r="A9" s="2759" t="s">
        <v>1476</v>
      </c>
      <c r="B9" s="2759"/>
      <c r="C9" s="1558">
        <f>+C7-C8</f>
        <v>532452547.41333342</v>
      </c>
      <c r="D9" s="349"/>
      <c r="E9" s="200"/>
      <c r="F9" s="200"/>
      <c r="G9" s="200"/>
      <c r="H9" s="197"/>
    </row>
    <row r="10" spans="1:8" s="196" customFormat="1" ht="24" customHeight="1">
      <c r="A10" s="202" t="s">
        <v>222</v>
      </c>
      <c r="B10" s="197"/>
      <c r="D10" s="197"/>
      <c r="E10" s="197"/>
      <c r="F10" s="197"/>
      <c r="G10" s="197"/>
    </row>
  </sheetData>
  <mergeCells count="8">
    <mergeCell ref="A8:B8"/>
    <mergeCell ref="A9:B9"/>
    <mergeCell ref="A1:D1"/>
    <mergeCell ref="A2:D2"/>
    <mergeCell ref="A4:B4"/>
    <mergeCell ref="A5:B5"/>
    <mergeCell ref="A6:B6"/>
    <mergeCell ref="A7:B7"/>
  </mergeCells>
  <printOptions horizontalCentered="1"/>
  <pageMargins left="0.51181102362204722" right="0.47244094488188981" top="0.74803149606299213" bottom="0.74803149606299213" header="0.31496062992125984" footer="0.31496062992125984"/>
  <pageSetup paperSize="9" firstPageNumber="16" orientation="landscape" useFirstPageNumber="1" horizontalDpi="4294967293" r:id="rId1"/>
  <headerFooter>
    <oddFooter>&amp;C&amp;10&amp;P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1:AL28"/>
  <sheetViews>
    <sheetView view="pageBreakPreview" zoomScale="110" zoomScaleNormal="100" zoomScaleSheetLayoutView="110" workbookViewId="0">
      <pane ySplit="4" topLeftCell="A17" activePane="bottomLeft" state="frozen"/>
      <selection pane="bottomLeft" activeCell="AJ26" sqref="AJ26"/>
    </sheetView>
  </sheetViews>
  <sheetFormatPr defaultColWidth="8" defaultRowHeight="24"/>
  <cols>
    <col min="1" max="1" width="2.7109375" style="928" customWidth="1"/>
    <col min="2" max="2" width="37.7109375" style="928" customWidth="1"/>
    <col min="3" max="3" width="19.7109375" style="928" hidden="1" customWidth="1"/>
    <col min="4" max="4" width="19.5703125" style="928" hidden="1" customWidth="1"/>
    <col min="5" max="6" width="19.42578125" style="928" hidden="1" customWidth="1"/>
    <col min="7" max="7" width="19.85546875" style="928" hidden="1" customWidth="1"/>
    <col min="8" max="8" width="19.7109375" style="928" hidden="1" customWidth="1"/>
    <col min="9" max="9" width="18.140625" style="928" hidden="1" customWidth="1"/>
    <col min="10" max="10" width="19.5703125" style="928" hidden="1" customWidth="1"/>
    <col min="11" max="11" width="19.42578125" style="928" bestFit="1" customWidth="1"/>
    <col min="12" max="12" width="16.42578125" style="931" customWidth="1"/>
    <col min="13" max="13" width="19.140625" style="931" customWidth="1"/>
    <col min="14" max="14" width="16.85546875" style="931" bestFit="1" customWidth="1"/>
    <col min="15" max="15" width="19.85546875" style="931" hidden="1" customWidth="1"/>
    <col min="16" max="16" width="18.140625" style="931" hidden="1" customWidth="1"/>
    <col min="17" max="17" width="12.140625" style="931" hidden="1" customWidth="1"/>
    <col min="18" max="18" width="19.5703125" style="931" hidden="1" customWidth="1"/>
    <col min="19" max="19" width="13.140625" style="931" hidden="1" customWidth="1"/>
    <col min="20" max="20" width="19.7109375" style="931" hidden="1" customWidth="1"/>
    <col min="21" max="22" width="16.7109375" style="931" hidden="1" customWidth="1"/>
    <col min="23" max="23" width="6.7109375" style="931" hidden="1" customWidth="1"/>
    <col min="24" max="24" width="13.140625" style="931" hidden="1" customWidth="1"/>
    <col min="25" max="25" width="16.7109375" style="931" hidden="1" customWidth="1"/>
    <col min="26" max="26" width="16.5703125" style="928" bestFit="1" customWidth="1"/>
    <col min="27" max="27" width="13.140625" style="928" hidden="1" customWidth="1"/>
    <col min="28" max="28" width="16.85546875" style="928" bestFit="1" customWidth="1"/>
    <col min="29" max="29" width="17.85546875" style="928" hidden="1" customWidth="1"/>
    <col min="30" max="30" width="7.85546875" style="928" hidden="1" customWidth="1"/>
    <col min="31" max="31" width="18.7109375" style="928" customWidth="1"/>
    <col min="32" max="32" width="8.28515625" style="928" customWidth="1"/>
    <col min="33" max="33" width="21.7109375" style="928" customWidth="1"/>
    <col min="34" max="34" width="23.28515625" style="928" hidden="1" customWidth="1"/>
    <col min="35" max="35" width="10.5703125" style="928" hidden="1" customWidth="1"/>
    <col min="36" max="36" width="35.140625" style="928" customWidth="1"/>
    <col min="37" max="37" width="22" style="982" customWidth="1"/>
    <col min="38" max="38" width="16" style="928" customWidth="1"/>
    <col min="39" max="16384" width="8" style="928"/>
  </cols>
  <sheetData>
    <row r="1" spans="2:38" ht="31.5" customHeight="1">
      <c r="B1" s="2763" t="s">
        <v>1512</v>
      </c>
      <c r="C1" s="2763"/>
      <c r="D1" s="2763"/>
      <c r="E1" s="2763"/>
      <c r="F1" s="2763"/>
      <c r="G1" s="2763"/>
      <c r="H1" s="2763"/>
      <c r="I1" s="2763"/>
      <c r="J1" s="2763"/>
      <c r="K1" s="2763"/>
      <c r="L1" s="2763"/>
      <c r="M1" s="2763"/>
      <c r="N1" s="2763"/>
      <c r="O1" s="2763"/>
      <c r="P1" s="2763"/>
      <c r="Q1" s="2763"/>
      <c r="R1" s="2763"/>
      <c r="S1" s="2763"/>
      <c r="T1" s="2763"/>
      <c r="U1" s="2763"/>
      <c r="V1" s="2763"/>
      <c r="W1" s="2763"/>
      <c r="X1" s="2763"/>
      <c r="Y1" s="2763"/>
      <c r="Z1" s="2763"/>
      <c r="AA1" s="2763"/>
      <c r="AB1" s="2763"/>
      <c r="AC1" s="2763"/>
      <c r="AD1" s="2763"/>
      <c r="AE1" s="2763"/>
      <c r="AF1" s="2763"/>
      <c r="AG1" s="2763"/>
      <c r="AH1" s="2763"/>
      <c r="AI1" s="2763"/>
      <c r="AJ1" s="2763"/>
    </row>
    <row r="2" spans="2:38" ht="13.5" customHeight="1">
      <c r="B2" s="929"/>
      <c r="C2" s="929"/>
      <c r="D2" s="929"/>
      <c r="E2" s="930"/>
      <c r="F2" s="930"/>
      <c r="G2" s="930"/>
      <c r="H2" s="930"/>
      <c r="I2" s="930"/>
      <c r="J2" s="930"/>
      <c r="K2" s="930"/>
    </row>
    <row r="3" spans="2:38" ht="22.5" customHeight="1">
      <c r="B3" s="2777" t="s">
        <v>3</v>
      </c>
      <c r="C3" s="2768" t="s">
        <v>223</v>
      </c>
      <c r="D3" s="2768" t="s">
        <v>224</v>
      </c>
      <c r="E3" s="2768" t="s">
        <v>700</v>
      </c>
      <c r="F3" s="2768" t="s">
        <v>494</v>
      </c>
      <c r="G3" s="2768" t="s">
        <v>699</v>
      </c>
      <c r="H3" s="2770" t="s">
        <v>493</v>
      </c>
      <c r="I3" s="2771"/>
      <c r="J3" s="2768" t="s">
        <v>698</v>
      </c>
      <c r="K3" s="2772" t="s">
        <v>495</v>
      </c>
      <c r="L3" s="2773"/>
      <c r="M3" s="2765" t="s">
        <v>695</v>
      </c>
      <c r="N3" s="2765"/>
      <c r="O3" s="2768" t="s">
        <v>696</v>
      </c>
      <c r="P3" s="2785" t="s">
        <v>571</v>
      </c>
      <c r="Q3" s="2786"/>
      <c r="R3" s="2785" t="s">
        <v>571</v>
      </c>
      <c r="S3" s="2786"/>
      <c r="T3" s="2789" t="s">
        <v>718</v>
      </c>
      <c r="U3" s="2790" t="s">
        <v>697</v>
      </c>
      <c r="V3" s="2785" t="str">
        <f>+R3</f>
        <v>ผลการดำเนินงาน</v>
      </c>
      <c r="W3" s="2792"/>
      <c r="X3" s="2786"/>
      <c r="Y3" s="2795" t="s">
        <v>1221</v>
      </c>
      <c r="Z3" s="2793" t="s">
        <v>2580</v>
      </c>
      <c r="AA3" s="1596"/>
      <c r="AB3" s="2779" t="s">
        <v>1511</v>
      </c>
      <c r="AC3" s="2781" t="s">
        <v>571</v>
      </c>
      <c r="AD3" s="2782"/>
      <c r="AE3" s="2782"/>
      <c r="AF3" s="2783"/>
      <c r="AG3" s="2779" t="s">
        <v>1737</v>
      </c>
      <c r="AH3" s="2779" t="s">
        <v>1728</v>
      </c>
      <c r="AI3" s="2779" t="s">
        <v>1729</v>
      </c>
      <c r="AJ3" s="2788" t="s">
        <v>221</v>
      </c>
    </row>
    <row r="4" spans="2:38" ht="65.25" customHeight="1">
      <c r="B4" s="2778"/>
      <c r="C4" s="2775"/>
      <c r="D4" s="2775"/>
      <c r="E4" s="2769"/>
      <c r="F4" s="2769"/>
      <c r="G4" s="2769"/>
      <c r="H4" s="933" t="s">
        <v>508</v>
      </c>
      <c r="I4" s="933" t="s">
        <v>509</v>
      </c>
      <c r="J4" s="2769"/>
      <c r="K4" s="933" t="s">
        <v>508</v>
      </c>
      <c r="L4" s="933" t="s">
        <v>509</v>
      </c>
      <c r="M4" s="933" t="s">
        <v>508</v>
      </c>
      <c r="N4" s="933" t="s">
        <v>509</v>
      </c>
      <c r="O4" s="2769"/>
      <c r="P4" s="932" t="s">
        <v>689</v>
      </c>
      <c r="Q4" s="934" t="s">
        <v>255</v>
      </c>
      <c r="R4" s="935" t="s">
        <v>711</v>
      </c>
      <c r="S4" s="932" t="s">
        <v>710</v>
      </c>
      <c r="T4" s="2789"/>
      <c r="U4" s="2791"/>
      <c r="V4" s="936" t="s">
        <v>1055</v>
      </c>
      <c r="W4" s="935" t="s">
        <v>1053</v>
      </c>
      <c r="X4" s="932" t="s">
        <v>710</v>
      </c>
      <c r="Y4" s="2796"/>
      <c r="Z4" s="2794"/>
      <c r="AA4" s="932" t="s">
        <v>710</v>
      </c>
      <c r="AB4" s="2778"/>
      <c r="AC4" s="987" t="s">
        <v>1501</v>
      </c>
      <c r="AD4" s="987" t="s">
        <v>1053</v>
      </c>
      <c r="AE4" s="987" t="s">
        <v>1502</v>
      </c>
      <c r="AF4" s="987" t="s">
        <v>1053</v>
      </c>
      <c r="AG4" s="2778"/>
      <c r="AH4" s="2780"/>
      <c r="AI4" s="2780"/>
      <c r="AJ4" s="2788"/>
      <c r="AK4" s="1374">
        <v>244256</v>
      </c>
    </row>
    <row r="5" spans="2:38" s="941" customFormat="1" ht="22.5" customHeight="1">
      <c r="B5" s="1559" t="s">
        <v>225</v>
      </c>
      <c r="C5" s="938">
        <v>275565069.03000003</v>
      </c>
      <c r="D5" s="939">
        <v>222490537.03999999</v>
      </c>
      <c r="E5" s="939">
        <v>290000000</v>
      </c>
      <c r="F5" s="939">
        <v>317202709.10000002</v>
      </c>
      <c r="G5" s="939">
        <v>320000000</v>
      </c>
      <c r="H5" s="1560">
        <f>358071658.1-I5</f>
        <v>328043603.65000004</v>
      </c>
      <c r="I5" s="1560">
        <v>30028054.449999999</v>
      </c>
      <c r="J5" s="724">
        <v>310000000</v>
      </c>
      <c r="K5" s="1584">
        <v>335753903.76999998</v>
      </c>
      <c r="L5" s="1585">
        <v>0</v>
      </c>
      <c r="M5" s="939">
        <v>377311396.82999998</v>
      </c>
      <c r="N5" s="1573">
        <v>0</v>
      </c>
      <c r="O5" s="939">
        <v>380000000</v>
      </c>
      <c r="P5" s="939">
        <v>101318550.87</v>
      </c>
      <c r="Q5" s="940">
        <f>+P5/O5*100</f>
        <v>26.662776544736843</v>
      </c>
      <c r="R5" s="940">
        <f>+'[1]รายรับ มีค.68'!$E$5</f>
        <v>203888566.25</v>
      </c>
      <c r="S5" s="939">
        <f>+R5/O5*100</f>
        <v>53.65488585526316</v>
      </c>
      <c r="T5" s="939">
        <v>380000000</v>
      </c>
      <c r="U5" s="939">
        <v>380000000</v>
      </c>
      <c r="V5" s="939">
        <v>306987125.54000002</v>
      </c>
      <c r="W5" s="939">
        <f>+V5/T21*100</f>
        <v>11.545959360916241</v>
      </c>
      <c r="X5" s="939">
        <f>+V5/T5*100</f>
        <v>80.786085668421066</v>
      </c>
      <c r="Y5" s="939">
        <f>+T5</f>
        <v>380000000</v>
      </c>
      <c r="Z5" s="939">
        <v>409011018.95999998</v>
      </c>
      <c r="AA5" s="1560">
        <f>+Z5/Y5*100</f>
        <v>107.63447867368421</v>
      </c>
      <c r="AB5" s="939">
        <v>420000000</v>
      </c>
      <c r="AC5" s="939">
        <v>127859480.45</v>
      </c>
      <c r="AD5" s="939">
        <f>+AC5/AB5*100</f>
        <v>30.442733440476189</v>
      </c>
      <c r="AE5" s="939">
        <v>247148855.59</v>
      </c>
      <c r="AF5" s="939">
        <f>+AE5/AB5*100</f>
        <v>58.84496561666667</v>
      </c>
      <c r="AG5" s="939">
        <f>+AB5</f>
        <v>420000000</v>
      </c>
      <c r="AH5" s="939">
        <f>AE5-AC5</f>
        <v>119289375.14</v>
      </c>
      <c r="AI5" s="940">
        <f>(AH5/AE5)*100</f>
        <v>48.266205746827914</v>
      </c>
      <c r="AJ5" s="939"/>
      <c r="AK5" s="983"/>
      <c r="AL5" s="941" t="s">
        <v>1227</v>
      </c>
    </row>
    <row r="6" spans="2:38" s="941" customFormat="1" ht="22.5" customHeight="1">
      <c r="B6" s="1561" t="s">
        <v>1223</v>
      </c>
      <c r="C6" s="2774">
        <v>122981852.74999999</v>
      </c>
      <c r="D6" s="2787">
        <v>122013651.94</v>
      </c>
      <c r="E6" s="942">
        <v>120000000</v>
      </c>
      <c r="F6" s="942">
        <v>80308337.230000004</v>
      </c>
      <c r="G6" s="943">
        <v>180000000</v>
      </c>
      <c r="H6" s="944">
        <f>199068334.89-I6</f>
        <v>132312034.88999999</v>
      </c>
      <c r="I6" s="944">
        <v>66756300</v>
      </c>
      <c r="J6" s="368">
        <v>130000000</v>
      </c>
      <c r="K6" s="991">
        <v>113391295.02</v>
      </c>
      <c r="L6" s="1586">
        <v>0</v>
      </c>
      <c r="M6" s="943">
        <v>149782909.38999999</v>
      </c>
      <c r="N6" s="951">
        <v>0</v>
      </c>
      <c r="O6" s="943">
        <v>160000000</v>
      </c>
      <c r="P6" s="943">
        <v>30508548.23</v>
      </c>
      <c r="Q6" s="942">
        <f t="shared" ref="Q6:Q21" si="0">+P6/O6*100</f>
        <v>19.067842643749998</v>
      </c>
      <c r="R6" s="942">
        <f>+'[1]รายรับ มีค.68'!$E$9</f>
        <v>68939728.170000002</v>
      </c>
      <c r="S6" s="943">
        <f t="shared" ref="S6:S21" si="1">+R6/O6*100</f>
        <v>43.08733010625</v>
      </c>
      <c r="T6" s="943">
        <v>160000000</v>
      </c>
      <c r="U6" s="943">
        <v>160000000</v>
      </c>
      <c r="V6" s="943">
        <v>106693206.81999999</v>
      </c>
      <c r="W6" s="943">
        <f>+V6/T21*100</f>
        <v>4.0127918324348091</v>
      </c>
      <c r="X6" s="943">
        <f t="shared" ref="X6:X20" si="2">+V6/T6*100</f>
        <v>66.683254262499986</v>
      </c>
      <c r="Y6" s="943">
        <v>160000000</v>
      </c>
      <c r="Z6" s="943">
        <f>140314219.3-Z7</f>
        <v>68620296.710000008</v>
      </c>
      <c r="AA6" s="944">
        <f t="shared" ref="AA6:AA22" si="3">+Z6/Y6*100</f>
        <v>42.887685443750009</v>
      </c>
      <c r="AB6" s="943">
        <v>70000000</v>
      </c>
      <c r="AC6" s="943">
        <v>13481387.65</v>
      </c>
      <c r="AD6" s="1718">
        <f t="shared" ref="AD6:AD21" si="4">+AC6/AB6*100</f>
        <v>19.259125214285717</v>
      </c>
      <c r="AE6" s="943">
        <v>34468667.539999999</v>
      </c>
      <c r="AF6" s="1718">
        <f t="shared" ref="AF6:AF20" si="5">+AE6/AB6*100</f>
        <v>49.240953628571425</v>
      </c>
      <c r="AG6" s="943">
        <f>+AB6</f>
        <v>70000000</v>
      </c>
      <c r="AH6" s="943">
        <f t="shared" ref="AH6:AH21" si="6">AE6-AC6</f>
        <v>20987279.890000001</v>
      </c>
      <c r="AI6" s="942">
        <f t="shared" ref="AI6:AI21" si="7">(AH6/AE6)*100</f>
        <v>60.887993032062539</v>
      </c>
      <c r="AJ6" s="943"/>
      <c r="AK6" s="983"/>
    </row>
    <row r="7" spans="2:38" s="941" customFormat="1" ht="23.25" customHeight="1">
      <c r="B7" s="1561" t="s">
        <v>1226</v>
      </c>
      <c r="C7" s="2774"/>
      <c r="D7" s="2787"/>
      <c r="E7" s="942"/>
      <c r="F7" s="942"/>
      <c r="G7" s="943"/>
      <c r="H7" s="1570">
        <v>0</v>
      </c>
      <c r="I7" s="1570">
        <v>0</v>
      </c>
      <c r="J7" s="1571"/>
      <c r="K7" s="1587">
        <v>0</v>
      </c>
      <c r="L7" s="1587">
        <v>0</v>
      </c>
      <c r="M7" s="951">
        <v>0</v>
      </c>
      <c r="N7" s="951">
        <v>0</v>
      </c>
      <c r="O7" s="951"/>
      <c r="P7" s="951"/>
      <c r="Q7" s="1572"/>
      <c r="R7" s="1572"/>
      <c r="S7" s="951"/>
      <c r="T7" s="951"/>
      <c r="U7" s="951"/>
      <c r="V7" s="951"/>
      <c r="W7" s="951"/>
      <c r="X7" s="951"/>
      <c r="Y7" s="951">
        <v>0</v>
      </c>
      <c r="Z7" s="943">
        <v>71693922.590000004</v>
      </c>
      <c r="AA7" s="944"/>
      <c r="AB7" s="943">
        <v>80000000</v>
      </c>
      <c r="AC7" s="943">
        <v>17628091.52</v>
      </c>
      <c r="AD7" s="1718">
        <f t="shared" si="4"/>
        <v>22.035114400000001</v>
      </c>
      <c r="AE7" s="943">
        <v>44861609.119999997</v>
      </c>
      <c r="AF7" s="943">
        <f t="shared" si="5"/>
        <v>56.077011399999996</v>
      </c>
      <c r="AG7" s="943">
        <v>90000000</v>
      </c>
      <c r="AH7" s="943">
        <f t="shared" si="6"/>
        <v>27233517.599999998</v>
      </c>
      <c r="AI7" s="942">
        <f t="shared" si="7"/>
        <v>60.705619201382753</v>
      </c>
      <c r="AJ7" s="943"/>
    </row>
    <row r="8" spans="2:38" s="941" customFormat="1">
      <c r="B8" s="947" t="s">
        <v>701</v>
      </c>
      <c r="C8" s="2774"/>
      <c r="D8" s="2787"/>
      <c r="E8" s="942"/>
      <c r="F8" s="942">
        <v>33519999.82</v>
      </c>
      <c r="G8" s="943">
        <v>40000000</v>
      </c>
      <c r="H8" s="944">
        <f>34138822.62-I8</f>
        <v>28882736.149999999</v>
      </c>
      <c r="I8" s="944">
        <v>5256086.47</v>
      </c>
      <c r="J8" s="369">
        <v>35000000</v>
      </c>
      <c r="K8" s="991">
        <v>33388979.420000002</v>
      </c>
      <c r="L8" s="1586">
        <v>0</v>
      </c>
      <c r="M8" s="943">
        <v>53444240.979999997</v>
      </c>
      <c r="N8" s="951">
        <v>0</v>
      </c>
      <c r="O8" s="943">
        <v>60000000</v>
      </c>
      <c r="P8" s="943">
        <v>49241185.75</v>
      </c>
      <c r="Q8" s="942">
        <f t="shared" si="0"/>
        <v>82.068642916666661</v>
      </c>
      <c r="R8" s="942">
        <f>+'[1]รายรับ มีค.68'!$E$15</f>
        <v>55379689.560000002</v>
      </c>
      <c r="S8" s="943">
        <f t="shared" si="1"/>
        <v>92.299482600000005</v>
      </c>
      <c r="T8" s="943">
        <v>60000000</v>
      </c>
      <c r="U8" s="943">
        <v>58000000</v>
      </c>
      <c r="V8" s="943">
        <v>75077175.620000005</v>
      </c>
      <c r="W8" s="943">
        <f>+V8/T21*100</f>
        <v>2.8236950234186411</v>
      </c>
      <c r="X8" s="943">
        <f t="shared" si="2"/>
        <v>125.12862603333335</v>
      </c>
      <c r="Y8" s="943">
        <f t="shared" ref="Y8:Y12" si="8">+T8</f>
        <v>60000000</v>
      </c>
      <c r="Z8" s="943">
        <v>75273783.620000005</v>
      </c>
      <c r="AA8" s="944">
        <f t="shared" si="3"/>
        <v>125.45630603333333</v>
      </c>
      <c r="AB8" s="943">
        <v>60000000</v>
      </c>
      <c r="AC8" s="943">
        <v>23814740.82</v>
      </c>
      <c r="AD8" s="943">
        <f t="shared" si="4"/>
        <v>39.691234700000003</v>
      </c>
      <c r="AE8" s="943">
        <v>23904232.82</v>
      </c>
      <c r="AF8" s="1734">
        <f t="shared" si="5"/>
        <v>39.840388033333333</v>
      </c>
      <c r="AG8" s="943">
        <v>60000000</v>
      </c>
      <c r="AH8" s="943">
        <f t="shared" si="6"/>
        <v>89492</v>
      </c>
      <c r="AI8" s="942">
        <f t="shared" si="7"/>
        <v>0.37437721040402749</v>
      </c>
      <c r="AJ8" s="943" t="s">
        <v>1738</v>
      </c>
      <c r="AK8" s="983"/>
    </row>
    <row r="9" spans="2:38" s="941" customFormat="1">
      <c r="B9" s="947" t="s">
        <v>690</v>
      </c>
      <c r="C9" s="948"/>
      <c r="D9" s="943"/>
      <c r="E9" s="943"/>
      <c r="F9" s="943">
        <v>0</v>
      </c>
      <c r="G9" s="943"/>
      <c r="H9" s="1562">
        <v>0</v>
      </c>
      <c r="I9" s="1000">
        <v>0</v>
      </c>
      <c r="J9" s="946"/>
      <c r="K9" s="991">
        <v>1081750</v>
      </c>
      <c r="L9" s="1586">
        <v>0</v>
      </c>
      <c r="M9" s="943">
        <v>2316591.5</v>
      </c>
      <c r="N9" s="951">
        <v>0</v>
      </c>
      <c r="O9" s="943">
        <v>2500000</v>
      </c>
      <c r="P9" s="949">
        <v>0</v>
      </c>
      <c r="Q9" s="950">
        <f t="shared" si="0"/>
        <v>0</v>
      </c>
      <c r="R9" s="950">
        <f>+'[1]รายรับ มีค.68'!$E$18</f>
        <v>0</v>
      </c>
      <c r="S9" s="951">
        <f t="shared" si="1"/>
        <v>0</v>
      </c>
      <c r="T9" s="943">
        <v>1500000</v>
      </c>
      <c r="U9" s="943">
        <v>1000000</v>
      </c>
      <c r="V9" s="943">
        <v>446800</v>
      </c>
      <c r="W9" s="943">
        <f>+V9/T21*100</f>
        <v>1.680440061902596E-2</v>
      </c>
      <c r="X9" s="943">
        <f t="shared" si="2"/>
        <v>29.786666666666665</v>
      </c>
      <c r="Y9" s="943">
        <f t="shared" si="8"/>
        <v>1500000</v>
      </c>
      <c r="Z9" s="943">
        <v>1023450</v>
      </c>
      <c r="AA9" s="944">
        <f t="shared" si="3"/>
        <v>68.23</v>
      </c>
      <c r="AB9" s="943">
        <v>1500000</v>
      </c>
      <c r="AC9" s="943">
        <v>15250</v>
      </c>
      <c r="AD9" s="1717">
        <f t="shared" si="4"/>
        <v>1.0166666666666666</v>
      </c>
      <c r="AE9" s="991">
        <v>565632</v>
      </c>
      <c r="AF9" s="1734">
        <f t="shared" si="5"/>
        <v>37.708799999999997</v>
      </c>
      <c r="AG9" s="943">
        <v>1500000</v>
      </c>
      <c r="AH9" s="943">
        <f t="shared" si="6"/>
        <v>550382</v>
      </c>
      <c r="AI9" s="942">
        <f t="shared" si="7"/>
        <v>97.303900769404834</v>
      </c>
      <c r="AJ9" s="943" t="s">
        <v>1739</v>
      </c>
      <c r="AK9" s="983"/>
    </row>
    <row r="10" spans="2:38" s="941" customFormat="1" ht="21" customHeight="1">
      <c r="B10" s="947" t="s">
        <v>226</v>
      </c>
      <c r="C10" s="948">
        <v>2595940</v>
      </c>
      <c r="D10" s="943">
        <v>2276789</v>
      </c>
      <c r="E10" s="943">
        <v>2000000</v>
      </c>
      <c r="F10" s="943">
        <v>2539830</v>
      </c>
      <c r="G10" s="943">
        <v>2800000</v>
      </c>
      <c r="H10" s="944">
        <v>2838270</v>
      </c>
      <c r="I10" s="1000">
        <v>0</v>
      </c>
      <c r="J10" s="369">
        <v>2800000</v>
      </c>
      <c r="K10" s="991">
        <v>2918349</v>
      </c>
      <c r="L10" s="1586">
        <v>0</v>
      </c>
      <c r="M10" s="943">
        <v>3384420</v>
      </c>
      <c r="N10" s="951">
        <v>0</v>
      </c>
      <c r="O10" s="943">
        <v>4000000</v>
      </c>
      <c r="P10" s="943">
        <v>899640</v>
      </c>
      <c r="Q10" s="942">
        <f t="shared" si="0"/>
        <v>22.491</v>
      </c>
      <c r="R10" s="942">
        <f>+'[1]รายรับ มีค.68'!$E$16</f>
        <v>1803570</v>
      </c>
      <c r="S10" s="943">
        <f t="shared" si="1"/>
        <v>45.08925</v>
      </c>
      <c r="T10" s="943">
        <v>4000000</v>
      </c>
      <c r="U10" s="943">
        <v>3600000</v>
      </c>
      <c r="V10" s="943">
        <v>2698020</v>
      </c>
      <c r="W10" s="943">
        <f>+V10/T21*100</f>
        <v>0.10147405765027846</v>
      </c>
      <c r="X10" s="943">
        <f t="shared" si="2"/>
        <v>67.450500000000005</v>
      </c>
      <c r="Y10" s="943">
        <f t="shared" si="8"/>
        <v>4000000</v>
      </c>
      <c r="Z10" s="943">
        <v>3690330</v>
      </c>
      <c r="AA10" s="944">
        <f t="shared" si="3"/>
        <v>92.258250000000004</v>
      </c>
      <c r="AB10" s="943">
        <v>4500000</v>
      </c>
      <c r="AC10" s="943">
        <v>1012410</v>
      </c>
      <c r="AD10" s="1718">
        <f t="shared" si="4"/>
        <v>22.498000000000001</v>
      </c>
      <c r="AE10" s="943">
        <v>2018880</v>
      </c>
      <c r="AF10" s="1718">
        <f t="shared" si="5"/>
        <v>44.863999999999997</v>
      </c>
      <c r="AG10" s="943">
        <v>4500000</v>
      </c>
      <c r="AH10" s="943">
        <f t="shared" si="6"/>
        <v>1006470</v>
      </c>
      <c r="AI10" s="942">
        <f t="shared" si="7"/>
        <v>49.852888730385168</v>
      </c>
      <c r="AJ10" s="943" t="s">
        <v>1950</v>
      </c>
    </row>
    <row r="11" spans="2:38" s="941" customFormat="1" ht="23.25" customHeight="1">
      <c r="B11" s="947" t="s">
        <v>227</v>
      </c>
      <c r="C11" s="948">
        <v>283395810.69</v>
      </c>
      <c r="D11" s="943">
        <v>275758702.74000001</v>
      </c>
      <c r="E11" s="943">
        <v>260000000</v>
      </c>
      <c r="F11" s="943">
        <v>273177015.36000001</v>
      </c>
      <c r="G11" s="943">
        <v>280000000</v>
      </c>
      <c r="H11" s="944">
        <f>363425410.7-I11</f>
        <v>333398356.25</v>
      </c>
      <c r="I11" s="944">
        <v>30027054.449999999</v>
      </c>
      <c r="J11" s="369">
        <f>330000000+36000000</f>
        <v>366000000</v>
      </c>
      <c r="K11" s="991">
        <f>420399940.4-L11</f>
        <v>384374222.90999997</v>
      </c>
      <c r="L11" s="991">
        <v>36025717.490000002</v>
      </c>
      <c r="M11" s="943">
        <v>446127245.68000001</v>
      </c>
      <c r="N11" s="951">
        <v>0</v>
      </c>
      <c r="O11" s="943">
        <v>500000000</v>
      </c>
      <c r="P11" s="943">
        <v>122508423.33</v>
      </c>
      <c r="Q11" s="942">
        <f t="shared" si="0"/>
        <v>24.501684666000003</v>
      </c>
      <c r="R11" s="942">
        <f>+'[1]รายรับ มีค.68'!$E$6</f>
        <v>269828788.21999997</v>
      </c>
      <c r="S11" s="943">
        <f>+R11/O11*100</f>
        <v>53.965757643999993</v>
      </c>
      <c r="T11" s="943">
        <v>500000000</v>
      </c>
      <c r="U11" s="943">
        <v>500000000</v>
      </c>
      <c r="V11" s="943">
        <v>405008295.75999999</v>
      </c>
      <c r="W11" s="943">
        <f>+V11/T21*100</f>
        <v>15.232590993688436</v>
      </c>
      <c r="X11" s="943">
        <f t="shared" si="2"/>
        <v>81.001659151999988</v>
      </c>
      <c r="Y11" s="943">
        <f t="shared" si="8"/>
        <v>500000000</v>
      </c>
      <c r="Z11" s="943">
        <v>548846857.66999996</v>
      </c>
      <c r="AA11" s="944">
        <f t="shared" si="3"/>
        <v>109.76937153399999</v>
      </c>
      <c r="AB11" s="943">
        <f>550000000+10800000+4973460</f>
        <v>565773460</v>
      </c>
      <c r="AC11" s="943">
        <v>146158238.97999999</v>
      </c>
      <c r="AD11" s="943">
        <f t="shared" si="4"/>
        <v>25.833350150429464</v>
      </c>
      <c r="AE11" s="943">
        <v>306611230.39999998</v>
      </c>
      <c r="AF11" s="943">
        <f t="shared" si="5"/>
        <v>54.193286196210046</v>
      </c>
      <c r="AG11" s="943">
        <v>570000000</v>
      </c>
      <c r="AH11" s="943">
        <f t="shared" si="6"/>
        <v>160452991.41999999</v>
      </c>
      <c r="AI11" s="942">
        <f t="shared" si="7"/>
        <v>52.331087550405655</v>
      </c>
      <c r="AJ11" s="943"/>
      <c r="AK11" s="983" t="s">
        <v>1228</v>
      </c>
    </row>
    <row r="12" spans="2:38" s="941" customFormat="1">
      <c r="B12" s="947" t="s">
        <v>228</v>
      </c>
      <c r="C12" s="948">
        <v>289802714.42000002</v>
      </c>
      <c r="D12" s="943">
        <v>292159612.86000001</v>
      </c>
      <c r="E12" s="943">
        <v>257000000</v>
      </c>
      <c r="F12" s="943">
        <v>331942909.73000002</v>
      </c>
      <c r="G12" s="943">
        <v>220000000</v>
      </c>
      <c r="H12" s="944">
        <v>260719394.19</v>
      </c>
      <c r="I12" s="1000">
        <v>0</v>
      </c>
      <c r="J12" s="369">
        <v>230000000</v>
      </c>
      <c r="K12" s="943">
        <v>256205985.19999999</v>
      </c>
      <c r="L12" s="949">
        <v>0</v>
      </c>
      <c r="M12" s="943">
        <v>320435833.62</v>
      </c>
      <c r="N12" s="951">
        <v>0</v>
      </c>
      <c r="O12" s="943">
        <v>320000000</v>
      </c>
      <c r="P12" s="943">
        <v>73802474.189999998</v>
      </c>
      <c r="Q12" s="942">
        <f t="shared" si="0"/>
        <v>23.063273184374999</v>
      </c>
      <c r="R12" s="942">
        <f>+'[1]รายรับ มีค.68'!$E$4</f>
        <v>158496328.92000002</v>
      </c>
      <c r="S12" s="943">
        <f t="shared" si="1"/>
        <v>49.530102787500006</v>
      </c>
      <c r="T12" s="943">
        <v>305000000</v>
      </c>
      <c r="U12" s="943">
        <v>300000000</v>
      </c>
      <c r="V12" s="943">
        <v>236475022.77000001</v>
      </c>
      <c r="W12" s="943">
        <f>+V12/T21*100</f>
        <v>8.89395930846098</v>
      </c>
      <c r="X12" s="943">
        <f t="shared" si="2"/>
        <v>77.532794350819671</v>
      </c>
      <c r="Y12" s="943">
        <f t="shared" si="8"/>
        <v>305000000</v>
      </c>
      <c r="Z12" s="943">
        <v>288315148.23000002</v>
      </c>
      <c r="AA12" s="944">
        <f t="shared" si="3"/>
        <v>94.529556796721309</v>
      </c>
      <c r="AB12" s="943">
        <v>280000000</v>
      </c>
      <c r="AC12" s="943">
        <v>102751886.84</v>
      </c>
      <c r="AD12" s="943">
        <f t="shared" si="4"/>
        <v>36.697102442857144</v>
      </c>
      <c r="AE12" s="943">
        <v>226550804.11000001</v>
      </c>
      <c r="AF12" s="943">
        <f t="shared" si="5"/>
        <v>80.911001467857147</v>
      </c>
      <c r="AG12" s="943">
        <v>300000000</v>
      </c>
      <c r="AH12" s="943">
        <f t="shared" si="6"/>
        <v>123798917.27000001</v>
      </c>
      <c r="AI12" s="942">
        <f t="shared" si="7"/>
        <v>54.645101683192607</v>
      </c>
      <c r="AJ12" s="943" t="s">
        <v>1933</v>
      </c>
      <c r="AK12" s="983">
        <v>300000000</v>
      </c>
      <c r="AL12" s="937"/>
    </row>
    <row r="13" spans="2:38" s="1016" customFormat="1" ht="48">
      <c r="B13" s="1564" t="s">
        <v>1242</v>
      </c>
      <c r="C13" s="1565">
        <v>117687474.26000001</v>
      </c>
      <c r="D13" s="1566">
        <v>166136748.46000001</v>
      </c>
      <c r="E13" s="1566">
        <v>140000000</v>
      </c>
      <c r="F13" s="1566">
        <v>198543298.19</v>
      </c>
      <c r="G13" s="1566">
        <v>538000000</v>
      </c>
      <c r="H13" s="1567">
        <f>447875225.97-I13</f>
        <v>137980635.72000003</v>
      </c>
      <c r="I13" s="1567">
        <v>309894590.25</v>
      </c>
      <c r="J13" s="370">
        <v>280000000</v>
      </c>
      <c r="K13" s="1566">
        <v>147863308.34999999</v>
      </c>
      <c r="L13" s="1566">
        <v>108660563.33</v>
      </c>
      <c r="M13" s="1566">
        <v>238887039.13</v>
      </c>
      <c r="N13" s="1566">
        <v>53552393.840000004</v>
      </c>
      <c r="O13" s="1566">
        <v>300000000</v>
      </c>
      <c r="P13" s="1566">
        <v>78875096</v>
      </c>
      <c r="Q13" s="1568">
        <f t="shared" si="0"/>
        <v>26.291698666666669</v>
      </c>
      <c r="R13" s="1568">
        <f>+'[1]รายรับ มีค.68'!$E$8</f>
        <v>128025897.59000002</v>
      </c>
      <c r="S13" s="1566">
        <f t="shared" si="1"/>
        <v>42.675299196666671</v>
      </c>
      <c r="T13" s="1566">
        <v>300000000</v>
      </c>
      <c r="U13" s="1566">
        <v>250000000</v>
      </c>
      <c r="V13" s="1566">
        <v>193270359.13</v>
      </c>
      <c r="W13" s="1566">
        <f>+V13/T21*100</f>
        <v>7.2690074812075682</v>
      </c>
      <c r="X13" s="1566">
        <f t="shared" si="2"/>
        <v>64.423453043333339</v>
      </c>
      <c r="Y13" s="1566">
        <v>250000000</v>
      </c>
      <c r="Z13" s="1566">
        <v>223224038.05000001</v>
      </c>
      <c r="AA13" s="1567">
        <f t="shared" si="3"/>
        <v>89.289615220000002</v>
      </c>
      <c r="AB13" s="1566">
        <v>270000000</v>
      </c>
      <c r="AC13" s="1566">
        <v>108994621.31</v>
      </c>
      <c r="AD13" s="1566">
        <f t="shared" si="4"/>
        <v>40.368378262962963</v>
      </c>
      <c r="AE13" s="1566">
        <v>162911689.55000001</v>
      </c>
      <c r="AF13" s="1566">
        <f t="shared" si="5"/>
        <v>60.3376627962963</v>
      </c>
      <c r="AG13" s="1566">
        <v>290000000</v>
      </c>
      <c r="AH13" s="1566">
        <f t="shared" si="6"/>
        <v>53917068.24000001</v>
      </c>
      <c r="AI13" s="1568">
        <f t="shared" si="7"/>
        <v>33.095886727914674</v>
      </c>
      <c r="AJ13" s="1566"/>
      <c r="AK13" s="1569"/>
    </row>
    <row r="14" spans="2:38" s="941" customFormat="1" ht="23.25" customHeight="1">
      <c r="B14" s="947" t="s">
        <v>229</v>
      </c>
      <c r="C14" s="948">
        <v>393155882.16000003</v>
      </c>
      <c r="D14" s="943">
        <v>369285769.63</v>
      </c>
      <c r="E14" s="943">
        <v>300000000</v>
      </c>
      <c r="F14" s="943">
        <v>319777344.06999999</v>
      </c>
      <c r="G14" s="943">
        <v>385125843.01999998</v>
      </c>
      <c r="H14" s="944">
        <f>424079959.12-I14</f>
        <v>267342714.47</v>
      </c>
      <c r="I14" s="944">
        <v>156737244.65000001</v>
      </c>
      <c r="J14" s="369">
        <v>303000000</v>
      </c>
      <c r="K14" s="943">
        <f>302887691.68-L14</f>
        <v>294588801.48000002</v>
      </c>
      <c r="L14" s="943">
        <f>2546414.6+5752475.6</f>
        <v>8298890.1999999993</v>
      </c>
      <c r="M14" s="943">
        <v>372644207.60000002</v>
      </c>
      <c r="N14" s="949">
        <v>0</v>
      </c>
      <c r="O14" s="943">
        <f>380000000+1582997.38</f>
        <v>381582997.38</v>
      </c>
      <c r="P14" s="943">
        <v>89799428.819999993</v>
      </c>
      <c r="Q14" s="942">
        <f t="shared" si="0"/>
        <v>23.533393635611365</v>
      </c>
      <c r="R14" s="942">
        <f>+'[1]รายรับ มีค.68'!$E$7+'[1]รายรับ มีค.68'!$E$10</f>
        <v>174612602.28</v>
      </c>
      <c r="S14" s="943">
        <f t="shared" si="1"/>
        <v>45.760058356612724</v>
      </c>
      <c r="T14" s="943">
        <v>365000000</v>
      </c>
      <c r="U14" s="943">
        <v>360000000</v>
      </c>
      <c r="V14" s="943">
        <v>244429167.63</v>
      </c>
      <c r="W14" s="943">
        <f>+V14/T21*100</f>
        <v>9.1931191938889256</v>
      </c>
      <c r="X14" s="943">
        <f t="shared" si="2"/>
        <v>66.966895241095898</v>
      </c>
      <c r="Y14" s="943">
        <v>315000000</v>
      </c>
      <c r="Z14" s="943">
        <v>346980309.44</v>
      </c>
      <c r="AA14" s="944">
        <f t="shared" si="3"/>
        <v>110.15247918730158</v>
      </c>
      <c r="AB14" s="943">
        <v>350000000</v>
      </c>
      <c r="AC14" s="943">
        <v>77612702.760000005</v>
      </c>
      <c r="AD14" s="1718">
        <f t="shared" si="4"/>
        <v>22.175057931428572</v>
      </c>
      <c r="AE14" s="943">
        <v>129931817.86</v>
      </c>
      <c r="AF14" s="1734">
        <f t="shared" si="5"/>
        <v>37.123376531428569</v>
      </c>
      <c r="AG14" s="943">
        <v>350000000</v>
      </c>
      <c r="AH14" s="943">
        <f t="shared" si="6"/>
        <v>52319115.099999994</v>
      </c>
      <c r="AI14" s="942">
        <f t="shared" si="7"/>
        <v>40.266592095535231</v>
      </c>
      <c r="AJ14" s="943" t="s">
        <v>1740</v>
      </c>
      <c r="AK14" s="983" t="s">
        <v>1494</v>
      </c>
      <c r="AL14" s="941" t="s">
        <v>1229</v>
      </c>
    </row>
    <row r="15" spans="2:38" s="941" customFormat="1" ht="24.75" customHeight="1">
      <c r="B15" s="947" t="s">
        <v>230</v>
      </c>
      <c r="C15" s="948">
        <v>48600771.059999987</v>
      </c>
      <c r="D15" s="943">
        <v>45977565.460000001</v>
      </c>
      <c r="E15" s="943">
        <v>37500000</v>
      </c>
      <c r="F15" s="943">
        <v>30901117.359999999</v>
      </c>
      <c r="G15" s="943">
        <v>25000000</v>
      </c>
      <c r="H15" s="944">
        <v>27619830.59</v>
      </c>
      <c r="I15" s="1000">
        <v>0</v>
      </c>
      <c r="J15" s="369">
        <v>35000000</v>
      </c>
      <c r="K15" s="943">
        <v>37306318.189999998</v>
      </c>
      <c r="L15" s="949">
        <v>0</v>
      </c>
      <c r="M15" s="943">
        <v>42779050.310000002</v>
      </c>
      <c r="N15" s="949">
        <v>0</v>
      </c>
      <c r="O15" s="943">
        <v>45000000</v>
      </c>
      <c r="P15" s="943">
        <v>7985797.2300000004</v>
      </c>
      <c r="Q15" s="942">
        <f t="shared" si="0"/>
        <v>17.746216066666669</v>
      </c>
      <c r="R15" s="942">
        <f>+'[1]รายรับ มีค.68'!$E$12</f>
        <v>16826246.460000001</v>
      </c>
      <c r="S15" s="943">
        <f t="shared" si="1"/>
        <v>37.391658800000002</v>
      </c>
      <c r="T15" s="943">
        <v>40000000</v>
      </c>
      <c r="U15" s="943">
        <v>38000000</v>
      </c>
      <c r="V15" s="943">
        <v>31593586.82</v>
      </c>
      <c r="W15" s="943">
        <f>+V15/T21*100</f>
        <v>1.188252663194401</v>
      </c>
      <c r="X15" s="943">
        <f t="shared" si="2"/>
        <v>78.983967050000004</v>
      </c>
      <c r="Y15" s="943">
        <f>+T15</f>
        <v>40000000</v>
      </c>
      <c r="Z15" s="943">
        <v>40154261.170000002</v>
      </c>
      <c r="AA15" s="944">
        <f t="shared" si="3"/>
        <v>100.38565292500002</v>
      </c>
      <c r="AB15" s="943">
        <v>40000000</v>
      </c>
      <c r="AC15" s="943">
        <v>8280353.4299999997</v>
      </c>
      <c r="AD15" s="1718">
        <f t="shared" si="4"/>
        <v>20.700883574999999</v>
      </c>
      <c r="AE15" s="943">
        <v>19170328.390000001</v>
      </c>
      <c r="AF15" s="1718">
        <f t="shared" si="5"/>
        <v>47.925820975000001</v>
      </c>
      <c r="AG15" s="943">
        <v>40000000</v>
      </c>
      <c r="AH15" s="943">
        <f t="shared" si="6"/>
        <v>10889974.960000001</v>
      </c>
      <c r="AI15" s="942">
        <f t="shared" si="7"/>
        <v>56.806407999148526</v>
      </c>
      <c r="AJ15" s="943"/>
      <c r="AK15" s="983"/>
    </row>
    <row r="16" spans="2:38" s="1016" customFormat="1" ht="48">
      <c r="B16" s="1564" t="s">
        <v>1243</v>
      </c>
      <c r="C16" s="1565">
        <v>122182581.03</v>
      </c>
      <c r="D16" s="1566">
        <v>78226877.689999998</v>
      </c>
      <c r="E16" s="1566">
        <v>50000000</v>
      </c>
      <c r="F16" s="1566">
        <v>52237456.57</v>
      </c>
      <c r="G16" s="1566">
        <v>52000000</v>
      </c>
      <c r="H16" s="1567">
        <v>59446164.280000001</v>
      </c>
      <c r="I16" s="1933">
        <v>0</v>
      </c>
      <c r="J16" s="370">
        <v>55000000</v>
      </c>
      <c r="K16" s="1566">
        <v>53074741.299999997</v>
      </c>
      <c r="L16" s="1934">
        <v>0</v>
      </c>
      <c r="M16" s="1566">
        <v>62740890.890000001</v>
      </c>
      <c r="N16" s="1934">
        <v>0</v>
      </c>
      <c r="O16" s="1566">
        <v>63000000</v>
      </c>
      <c r="P16" s="1566">
        <v>17533964.920000002</v>
      </c>
      <c r="Q16" s="1568">
        <f t="shared" si="0"/>
        <v>27.831690349206351</v>
      </c>
      <c r="R16" s="1568">
        <f>+'[1]รายรับ มีค.68'!$E$11</f>
        <v>53809230.849999994</v>
      </c>
      <c r="S16" s="1566">
        <f>+R16/O16*100</f>
        <v>85.411477539682537</v>
      </c>
      <c r="T16" s="1566">
        <v>65000000</v>
      </c>
      <c r="U16" s="1566">
        <v>65000000</v>
      </c>
      <c r="V16" s="1566">
        <v>67600169.870000005</v>
      </c>
      <c r="W16" s="1566">
        <f>+V16/T21*100</f>
        <v>2.5424806096904389</v>
      </c>
      <c r="X16" s="1566">
        <f t="shared" si="2"/>
        <v>104.00026133846154</v>
      </c>
      <c r="Y16" s="1566">
        <f t="shared" ref="Y16:Y19" si="9">+T16</f>
        <v>65000000</v>
      </c>
      <c r="Z16" s="1566">
        <v>87645150.670000002</v>
      </c>
      <c r="AA16" s="1567">
        <f t="shared" si="3"/>
        <v>134.83869333846155</v>
      </c>
      <c r="AB16" s="1566">
        <v>60000000</v>
      </c>
      <c r="AC16" s="1566">
        <v>24887578.609999999</v>
      </c>
      <c r="AD16" s="1566">
        <f t="shared" si="4"/>
        <v>41.479297683333336</v>
      </c>
      <c r="AE16" s="1566">
        <v>51470548.159999996</v>
      </c>
      <c r="AF16" s="1566">
        <f t="shared" si="5"/>
        <v>85.784246933333336</v>
      </c>
      <c r="AG16" s="1566">
        <v>60000000</v>
      </c>
      <c r="AH16" s="1566">
        <f t="shared" si="6"/>
        <v>26582969.549999997</v>
      </c>
      <c r="AI16" s="1568">
        <f t="shared" si="7"/>
        <v>51.646952481183753</v>
      </c>
      <c r="AJ16" s="1566"/>
      <c r="AK16" s="1569" t="s">
        <v>1230</v>
      </c>
    </row>
    <row r="17" spans="2:38" s="941" customFormat="1" ht="26.25" customHeight="1">
      <c r="B17" s="947" t="s">
        <v>231</v>
      </c>
      <c r="C17" s="948">
        <v>424009.91</v>
      </c>
      <c r="D17" s="943">
        <v>374208.25</v>
      </c>
      <c r="E17" s="943">
        <v>300000</v>
      </c>
      <c r="F17" s="943">
        <v>365997.15</v>
      </c>
      <c r="G17" s="943">
        <v>350000</v>
      </c>
      <c r="H17" s="944">
        <v>706946.53</v>
      </c>
      <c r="I17" s="1000">
        <v>0</v>
      </c>
      <c r="J17" s="369">
        <v>1000000</v>
      </c>
      <c r="K17" s="943">
        <v>2022594.46</v>
      </c>
      <c r="L17" s="949">
        <v>0</v>
      </c>
      <c r="M17" s="943">
        <v>2896990.42</v>
      </c>
      <c r="N17" s="949">
        <v>0</v>
      </c>
      <c r="O17" s="943">
        <v>3000000</v>
      </c>
      <c r="P17" s="943">
        <v>1097157.96</v>
      </c>
      <c r="Q17" s="942">
        <f t="shared" si="0"/>
        <v>36.571932000000004</v>
      </c>
      <c r="R17" s="942">
        <f>+'[1]รายรับ มีค.68'!$E$17</f>
        <v>1322097.26</v>
      </c>
      <c r="S17" s="943">
        <f t="shared" si="1"/>
        <v>44.06990866666667</v>
      </c>
      <c r="T17" s="943">
        <v>2500000</v>
      </c>
      <c r="U17" s="943">
        <v>2500000</v>
      </c>
      <c r="V17" s="943">
        <v>3096143.23</v>
      </c>
      <c r="W17" s="943">
        <f>+V17/T21*100</f>
        <v>0.11644769742794323</v>
      </c>
      <c r="X17" s="943">
        <f t="shared" si="2"/>
        <v>123.84572920000001</v>
      </c>
      <c r="Y17" s="943">
        <f t="shared" si="9"/>
        <v>2500000</v>
      </c>
      <c r="Z17" s="943">
        <v>3269077.56</v>
      </c>
      <c r="AA17" s="944">
        <f t="shared" si="3"/>
        <v>130.76310240000001</v>
      </c>
      <c r="AB17" s="943">
        <v>2500000</v>
      </c>
      <c r="AC17" s="943">
        <v>1179057.71</v>
      </c>
      <c r="AD17" s="943">
        <f t="shared" si="4"/>
        <v>47.162308400000001</v>
      </c>
      <c r="AE17" s="943">
        <v>1353525.49</v>
      </c>
      <c r="AF17" s="943">
        <f t="shared" si="5"/>
        <v>54.141019599999993</v>
      </c>
      <c r="AG17" s="943">
        <v>2500000</v>
      </c>
      <c r="AH17" s="943">
        <f t="shared" si="6"/>
        <v>174467.78000000003</v>
      </c>
      <c r="AI17" s="942">
        <f t="shared" si="7"/>
        <v>12.889877677885478</v>
      </c>
      <c r="AJ17" s="943"/>
      <c r="AK17" s="983"/>
    </row>
    <row r="18" spans="2:38" s="1016" customFormat="1" ht="48">
      <c r="B18" s="1719" t="s">
        <v>232</v>
      </c>
      <c r="C18" s="1565">
        <v>21853803.41</v>
      </c>
      <c r="D18" s="1566">
        <v>20101135.34</v>
      </c>
      <c r="E18" s="1566">
        <v>19207318.109999999</v>
      </c>
      <c r="F18" s="1566">
        <v>19207318.109999999</v>
      </c>
      <c r="G18" s="1566">
        <v>19448683.25</v>
      </c>
      <c r="H18" s="1567">
        <v>19448683.25</v>
      </c>
      <c r="I18" s="1933">
        <v>0</v>
      </c>
      <c r="J18" s="370">
        <v>17480288.41</v>
      </c>
      <c r="K18" s="1566">
        <v>17480288.41</v>
      </c>
      <c r="L18" s="1934">
        <v>0</v>
      </c>
      <c r="M18" s="1566">
        <v>16162272.77</v>
      </c>
      <c r="N18" s="1934">
        <v>0</v>
      </c>
      <c r="O18" s="1566">
        <v>16000000</v>
      </c>
      <c r="P18" s="1934">
        <v>0</v>
      </c>
      <c r="Q18" s="2009">
        <f t="shared" si="0"/>
        <v>0</v>
      </c>
      <c r="R18" s="2009">
        <f>+'[1]รายรับ มีค.68'!$E$13</f>
        <v>0</v>
      </c>
      <c r="S18" s="1934">
        <f t="shared" si="1"/>
        <v>0</v>
      </c>
      <c r="T18" s="1566">
        <f>17204967.59+13622384.42</f>
        <v>30827352.009999998</v>
      </c>
      <c r="U18" s="1566">
        <f>17204967.59+13622384.42</f>
        <v>30827352.009999998</v>
      </c>
      <c r="V18" s="1566">
        <v>30827352.010000002</v>
      </c>
      <c r="W18" s="1566">
        <f>+V18/T21*100</f>
        <v>1.1594341387640448</v>
      </c>
      <c r="X18" s="1566">
        <f t="shared" si="2"/>
        <v>100.00000000000003</v>
      </c>
      <c r="Y18" s="1566">
        <f t="shared" si="9"/>
        <v>30827352.009999998</v>
      </c>
      <c r="Z18" s="1566">
        <v>30827352.010000002</v>
      </c>
      <c r="AA18" s="1567">
        <f t="shared" si="3"/>
        <v>100.00000000000003</v>
      </c>
      <c r="AB18" s="1566">
        <v>17000000</v>
      </c>
      <c r="AC18" s="1934">
        <v>0</v>
      </c>
      <c r="AD18" s="2010">
        <f t="shared" si="4"/>
        <v>0</v>
      </c>
      <c r="AE18" s="1934">
        <v>22596016.190000001</v>
      </c>
      <c r="AF18" s="2010">
        <f>+AE18/AB18*100</f>
        <v>132.91774229411766</v>
      </c>
      <c r="AG18" s="1934">
        <f>+AE18</f>
        <v>22596016.190000001</v>
      </c>
      <c r="AH18" s="1566">
        <f t="shared" si="6"/>
        <v>22596016.190000001</v>
      </c>
      <c r="AI18" s="1568">
        <f t="shared" si="7"/>
        <v>100</v>
      </c>
      <c r="AJ18" s="2011" t="s">
        <v>1741</v>
      </c>
      <c r="AK18" s="2012" t="s">
        <v>1493</v>
      </c>
    </row>
    <row r="19" spans="2:38" s="1016" customFormat="1" ht="72">
      <c r="B19" s="1564" t="s">
        <v>1949</v>
      </c>
      <c r="C19" s="1565">
        <v>22213083.209999997</v>
      </c>
      <c r="D19" s="1566">
        <v>30480312.800000001</v>
      </c>
      <c r="E19" s="1566">
        <v>22000000</v>
      </c>
      <c r="F19" s="1566">
        <v>20906672.210000001</v>
      </c>
      <c r="G19" s="1566">
        <v>20000000</v>
      </c>
      <c r="H19" s="1567">
        <v>19066649.559999999</v>
      </c>
      <c r="I19" s="1933">
        <v>0</v>
      </c>
      <c r="J19" s="370">
        <v>20000000</v>
      </c>
      <c r="K19" s="1566">
        <f>20147886.2-K9</f>
        <v>19066136.199999999</v>
      </c>
      <c r="L19" s="1934">
        <v>0</v>
      </c>
      <c r="M19" s="1566">
        <v>52743682.310000002</v>
      </c>
      <c r="N19" s="1934">
        <v>0</v>
      </c>
      <c r="O19" s="1566">
        <f>17000000+49000000-3459109.44-10000000</f>
        <v>52540890.560000002</v>
      </c>
      <c r="P19" s="1988">
        <v>10121037.18</v>
      </c>
      <c r="Q19" s="1568">
        <f t="shared" si="0"/>
        <v>19.263162599884183</v>
      </c>
      <c r="R19" s="1568">
        <f>+'[1]รายรับ มีค.68'!$E$14</f>
        <v>18239955.349999998</v>
      </c>
      <c r="S19" s="1566">
        <f t="shared" si="1"/>
        <v>34.715733128220499</v>
      </c>
      <c r="T19" s="1566">
        <v>25000000</v>
      </c>
      <c r="U19" s="1566">
        <v>25000000</v>
      </c>
      <c r="V19" s="1566">
        <v>21765857.219999999</v>
      </c>
      <c r="W19" s="1566">
        <f>+V19/T21*100</f>
        <v>0.8186261963773469</v>
      </c>
      <c r="X19" s="1566">
        <f t="shared" si="2"/>
        <v>87.063428879999989</v>
      </c>
      <c r="Y19" s="1566">
        <f t="shared" si="9"/>
        <v>25000000</v>
      </c>
      <c r="Z19" s="1566">
        <v>55181492.18</v>
      </c>
      <c r="AA19" s="1567">
        <f t="shared" si="3"/>
        <v>220.72596872</v>
      </c>
      <c r="AB19" s="1566">
        <v>28000000</v>
      </c>
      <c r="AC19" s="1566">
        <v>3703377.88</v>
      </c>
      <c r="AD19" s="1989">
        <f t="shared" si="4"/>
        <v>13.226349571428573</v>
      </c>
      <c r="AE19" s="1566">
        <v>10378143.029999999</v>
      </c>
      <c r="AF19" s="1723">
        <f t="shared" si="5"/>
        <v>37.064796535714287</v>
      </c>
      <c r="AG19" s="1566">
        <v>28000000</v>
      </c>
      <c r="AH19" s="1566">
        <f t="shared" si="6"/>
        <v>6674765.1499999994</v>
      </c>
      <c r="AI19" s="1568">
        <f t="shared" si="7"/>
        <v>64.315601844234749</v>
      </c>
      <c r="AJ19" s="1566"/>
      <c r="AK19" s="1569"/>
    </row>
    <row r="20" spans="2:38" s="1016" customFormat="1" ht="48.75" customHeight="1">
      <c r="B20" s="1935" t="s">
        <v>233</v>
      </c>
      <c r="C20" s="1936" t="s">
        <v>234</v>
      </c>
      <c r="D20" s="1936" t="s">
        <v>234</v>
      </c>
      <c r="E20" s="1936"/>
      <c r="F20" s="1936" t="s">
        <v>234</v>
      </c>
      <c r="G20" s="1936" t="s">
        <v>234</v>
      </c>
      <c r="H20" s="1937">
        <v>30635000</v>
      </c>
      <c r="I20" s="1938">
        <v>0</v>
      </c>
      <c r="J20" s="371">
        <v>40000000</v>
      </c>
      <c r="K20" s="1939">
        <f>37320736.75+2250237</f>
        <v>39570973.75</v>
      </c>
      <c r="L20" s="1940">
        <v>0</v>
      </c>
      <c r="M20" s="1941">
        <v>57795479.579999998</v>
      </c>
      <c r="N20" s="1940">
        <v>0</v>
      </c>
      <c r="O20" s="1939">
        <v>123000000</v>
      </c>
      <c r="P20" s="1939">
        <f>8554331.03+91345607.11</f>
        <v>99899938.140000001</v>
      </c>
      <c r="Q20" s="1942">
        <f t="shared" si="0"/>
        <v>81.219461902439022</v>
      </c>
      <c r="R20" s="1942">
        <f>11699031.03+324266057.58</f>
        <v>335965088.60999995</v>
      </c>
      <c r="S20" s="1939">
        <f t="shared" si="1"/>
        <v>273.14234846341463</v>
      </c>
      <c r="T20" s="1939">
        <v>420000000</v>
      </c>
      <c r="U20" s="1939">
        <v>420000000</v>
      </c>
      <c r="V20" s="1939">
        <v>411950697.06999999</v>
      </c>
      <c r="W20" s="1939">
        <f>+V20/T21*100</f>
        <v>15.493698632164913</v>
      </c>
      <c r="X20" s="1939">
        <f t="shared" si="2"/>
        <v>98.083499302380943</v>
      </c>
      <c r="Y20" s="1939">
        <f>21702189.82+390248507.25</f>
        <v>411950697.06999999</v>
      </c>
      <c r="Z20" s="1939">
        <f>24223818.56+399970169.85</f>
        <v>424193988.41000003</v>
      </c>
      <c r="AA20" s="1937">
        <f t="shared" si="3"/>
        <v>102.97202830996051</v>
      </c>
      <c r="AB20" s="1939">
        <v>100000000</v>
      </c>
      <c r="AC20" s="1939">
        <f>4658917.6+30726945.31</f>
        <v>35385862.909999996</v>
      </c>
      <c r="AD20" s="1939">
        <f t="shared" si="4"/>
        <v>35.38586291</v>
      </c>
      <c r="AE20" s="1939">
        <f>9835789.6+51097942.41</f>
        <v>60933732.009999998</v>
      </c>
      <c r="AF20" s="1939">
        <f t="shared" si="5"/>
        <v>60.93373201</v>
      </c>
      <c r="AG20" s="1939">
        <v>150000000</v>
      </c>
      <c r="AH20" s="1939">
        <f t="shared" si="6"/>
        <v>25547869.100000001</v>
      </c>
      <c r="AI20" s="1942">
        <f t="shared" si="7"/>
        <v>41.927300786052747</v>
      </c>
      <c r="AJ20" s="1943" t="s">
        <v>1742</v>
      </c>
      <c r="AK20" s="1569"/>
    </row>
    <row r="21" spans="2:38" s="957" customFormat="1" ht="26.25" customHeight="1">
      <c r="B21" s="1006" t="s">
        <v>235</v>
      </c>
      <c r="C21" s="1007">
        <f>SUM(C5:C19)</f>
        <v>1700458991.9300003</v>
      </c>
      <c r="D21" s="961">
        <f>SUM(D5:D19)</f>
        <v>1625281911.21</v>
      </c>
      <c r="E21" s="961">
        <f>SUM(E5:E20)</f>
        <v>1498007318.1099999</v>
      </c>
      <c r="F21" s="961">
        <f>SUM(F5:F19)</f>
        <v>1680630004.8999999</v>
      </c>
      <c r="G21" s="956">
        <f>SUM(G5:G19)</f>
        <v>2082724526.27</v>
      </c>
      <c r="H21" s="961">
        <f>SUM(H5:H20)</f>
        <v>1648441019.53</v>
      </c>
      <c r="I21" s="961">
        <f>SUM(I5:I19)</f>
        <v>598699330.26999998</v>
      </c>
      <c r="J21" s="961">
        <f>SUM(J5:J20)</f>
        <v>1825280288.4100001</v>
      </c>
      <c r="K21" s="961">
        <f t="shared" ref="K21:N21" si="10">SUM(K5:K20)</f>
        <v>1738087647.46</v>
      </c>
      <c r="L21" s="961">
        <f t="shared" si="10"/>
        <v>152985171.01999998</v>
      </c>
      <c r="M21" s="961">
        <f>SUM(M5:M20)</f>
        <v>2199452251.0100002</v>
      </c>
      <c r="N21" s="961">
        <f t="shared" si="10"/>
        <v>53552393.840000004</v>
      </c>
      <c r="O21" s="961">
        <f>SUM(O5:O20)</f>
        <v>2410623887.9400001</v>
      </c>
      <c r="P21" s="961">
        <f>SUM(P5:P20)</f>
        <v>683591242.62</v>
      </c>
      <c r="Q21" s="1367">
        <f t="shared" si="0"/>
        <v>28.357440828488727</v>
      </c>
      <c r="R21" s="1363">
        <f>SUM(R5:R20)</f>
        <v>1487137789.5199997</v>
      </c>
      <c r="S21" s="1368">
        <f t="shared" si="1"/>
        <v>61.690991985930829</v>
      </c>
      <c r="T21" s="961">
        <f>SUM(T5:T20)</f>
        <v>2658827352.0100002</v>
      </c>
      <c r="U21" s="961">
        <f>SUM(U5:U20)</f>
        <v>2593927352.0100002</v>
      </c>
      <c r="V21" s="961">
        <f>SUM(V5:V20)</f>
        <v>2137918979.49</v>
      </c>
      <c r="W21" s="961">
        <f>+V21/T21*100</f>
        <v>80.408341589903984</v>
      </c>
      <c r="X21" s="961">
        <f>+V21/T21*100</f>
        <v>80.408341589903984</v>
      </c>
      <c r="Y21" s="961">
        <f>SUM(Y5:Y20)</f>
        <v>2550778049.0799999</v>
      </c>
      <c r="Z21" s="956">
        <f>SUM(Z5:Z20)</f>
        <v>2677950477.27</v>
      </c>
      <c r="AA21" s="1563">
        <f t="shared" si="3"/>
        <v>104.98563284390299</v>
      </c>
      <c r="AB21" s="961">
        <f>SUM(AB5:AB20)</f>
        <v>2349273460</v>
      </c>
      <c r="AC21" s="961">
        <f>SUM(AC5:AC20)</f>
        <v>692765040.86999989</v>
      </c>
      <c r="AD21" s="1368">
        <f t="shared" si="4"/>
        <v>29.488480275514622</v>
      </c>
      <c r="AE21" s="1368">
        <f>SUM(AE5:AE20)</f>
        <v>1344875712.2600002</v>
      </c>
      <c r="AF21" s="1368">
        <f>+AE21/AB21*100</f>
        <v>57.246452367448121</v>
      </c>
      <c r="AG21" s="1368">
        <f>SUM(AG5:AG20)</f>
        <v>2459096016.1900001</v>
      </c>
      <c r="AH21" s="1927">
        <f t="shared" si="6"/>
        <v>652110671.39000034</v>
      </c>
      <c r="AI21" s="1929">
        <f t="shared" si="7"/>
        <v>48.488545480099354</v>
      </c>
      <c r="AJ21" s="1368"/>
      <c r="AK21" s="984"/>
    </row>
    <row r="22" spans="2:38" s="957" customFormat="1" ht="26.25" customHeight="1">
      <c r="B22" s="958" t="s">
        <v>1220</v>
      </c>
      <c r="C22" s="959"/>
      <c r="D22" s="960"/>
      <c r="E22" s="960"/>
      <c r="F22" s="960"/>
      <c r="G22" s="960"/>
      <c r="H22" s="2766">
        <f>+H21+I21</f>
        <v>2247140349.8000002</v>
      </c>
      <c r="I22" s="2766"/>
      <c r="J22" s="961"/>
      <c r="K22" s="2767">
        <f>+K21+L21</f>
        <v>1891072818.48</v>
      </c>
      <c r="L22" s="2767"/>
      <c r="M22" s="2767">
        <f>+M21+N21</f>
        <v>2253004644.8500004</v>
      </c>
      <c r="N22" s="2767"/>
      <c r="O22" s="962"/>
      <c r="P22" s="963"/>
      <c r="Q22" s="963"/>
      <c r="R22" s="2784" t="s">
        <v>1057</v>
      </c>
      <c r="S22" s="2784"/>
      <c r="T22" s="964">
        <f>+T21-T20</f>
        <v>2238827352.0100002</v>
      </c>
      <c r="U22" s="964"/>
      <c r="V22" s="964">
        <f>+V21-V20</f>
        <v>1725968282.4200001</v>
      </c>
      <c r="W22" s="964"/>
      <c r="X22" s="964">
        <f>+V22/T22*100</f>
        <v>77.092513671071615</v>
      </c>
      <c r="Y22" s="964">
        <f>+T22-100000000</f>
        <v>2138827352.0100002</v>
      </c>
      <c r="Z22" s="965">
        <f>+Z21-Z20</f>
        <v>2253756488.8600001</v>
      </c>
      <c r="AA22" s="966">
        <f t="shared" si="3"/>
        <v>105.37346489149735</v>
      </c>
      <c r="AB22" s="985"/>
      <c r="AC22" s="985"/>
      <c r="AD22" s="985"/>
      <c r="AE22" s="985"/>
      <c r="AF22" s="985"/>
      <c r="AG22" s="985"/>
      <c r="AH22" s="985"/>
      <c r="AI22" s="985"/>
      <c r="AJ22" s="985"/>
      <c r="AK22" s="984"/>
      <c r="AL22" s="957" t="s">
        <v>2023</v>
      </c>
    </row>
    <row r="23" spans="2:38" s="957" customFormat="1" ht="26.25" customHeight="1">
      <c r="B23" s="967"/>
      <c r="C23" s="968"/>
      <c r="D23" s="969"/>
      <c r="E23" s="969">
        <v>64</v>
      </c>
      <c r="F23" s="969">
        <f>+F21/E21*100</f>
        <v>112.19104103045443</v>
      </c>
      <c r="G23" s="969"/>
      <c r="H23" s="2776">
        <f>+H21+I21</f>
        <v>2247140349.8000002</v>
      </c>
      <c r="I23" s="2776"/>
      <c r="J23" s="969"/>
      <c r="K23" s="2776">
        <f>+K21+L21</f>
        <v>1891072818.48</v>
      </c>
      <c r="L23" s="2776"/>
      <c r="M23" s="2776">
        <f>+M21+N21</f>
        <v>2253004644.8500004</v>
      </c>
      <c r="N23" s="2776"/>
      <c r="O23" s="970" t="s">
        <v>993</v>
      </c>
      <c r="P23" s="971"/>
      <c r="Q23" s="969"/>
      <c r="R23" s="972">
        <f>+O21-ประมาณการรายจ่าย!N17</f>
        <v>2459500</v>
      </c>
      <c r="S23" s="973" t="str">
        <f>+O23</f>
        <v>แผนเกินดุล +</v>
      </c>
      <c r="T23" s="974">
        <f>+T21-ประมาณการรายจ่าย!T17</f>
        <v>11222235.800000191</v>
      </c>
      <c r="V23" s="975"/>
      <c r="X23" s="976" t="s">
        <v>1193</v>
      </c>
      <c r="Y23" s="969"/>
      <c r="Z23" s="957" t="s">
        <v>1459</v>
      </c>
      <c r="AB23" s="1604">
        <f>+AB21-ประมาณการรายจ่าย!AB18</f>
        <v>204771374.90999985</v>
      </c>
      <c r="AC23" s="1604"/>
      <c r="AD23" s="1604"/>
      <c r="AE23" s="1604"/>
      <c r="AF23" s="1604"/>
      <c r="AG23" s="1604"/>
      <c r="AH23" s="1604"/>
      <c r="AI23" s="1604"/>
      <c r="AJ23" s="1604"/>
      <c r="AK23" s="984"/>
    </row>
    <row r="24" spans="2:38" s="957" customFormat="1" ht="26.25" customHeight="1">
      <c r="B24" s="967"/>
      <c r="C24" s="968"/>
      <c r="D24" s="969"/>
      <c r="E24" s="969">
        <v>65</v>
      </c>
      <c r="F24" s="969">
        <f>+H21/G21*100</f>
        <v>79.148298238088728</v>
      </c>
      <c r="G24" s="969"/>
      <c r="H24" s="969"/>
      <c r="I24" s="969"/>
      <c r="J24" s="969"/>
      <c r="K24" s="969"/>
      <c r="L24" s="969"/>
      <c r="M24" s="969"/>
      <c r="N24" s="969"/>
      <c r="O24" s="969"/>
      <c r="P24" s="969"/>
      <c r="Q24" s="969"/>
      <c r="R24" s="969"/>
      <c r="S24" s="969"/>
      <c r="T24" s="973"/>
      <c r="U24" s="969"/>
      <c r="V24" s="969"/>
      <c r="W24" s="969"/>
      <c r="X24" s="969"/>
      <c r="Z24" s="975" t="s">
        <v>1458</v>
      </c>
      <c r="AB24" s="1610">
        <f>+AB23*20/100</f>
        <v>40954274.981999971</v>
      </c>
      <c r="AC24" s="1610"/>
      <c r="AD24" s="1610"/>
      <c r="AE24" s="1610"/>
      <c r="AF24" s="1610"/>
      <c r="AG24" s="1610"/>
      <c r="AH24" s="1610"/>
      <c r="AI24" s="1610"/>
      <c r="AJ24" s="1610"/>
      <c r="AK24" s="984"/>
    </row>
    <row r="25" spans="2:38" s="957" customFormat="1" ht="35.25" customHeight="1">
      <c r="B25" s="967"/>
      <c r="C25" s="968"/>
      <c r="D25" s="969"/>
      <c r="E25" s="969">
        <v>66</v>
      </c>
      <c r="F25" s="969">
        <f>+K21/J21*100</f>
        <v>95.223054699946744</v>
      </c>
      <c r="G25" s="969"/>
      <c r="H25" s="969"/>
      <c r="I25" s="969"/>
      <c r="J25" s="969"/>
      <c r="K25" s="969"/>
      <c r="L25" s="969"/>
      <c r="M25" s="969"/>
      <c r="N25" s="969"/>
      <c r="O25" s="969"/>
      <c r="P25" s="969"/>
      <c r="Q25" s="969"/>
      <c r="R25" s="969"/>
      <c r="S25" s="969"/>
      <c r="T25" s="971"/>
      <c r="U25" s="969"/>
      <c r="V25" s="969"/>
      <c r="W25" s="969"/>
      <c r="X25" s="969"/>
      <c r="Y25" s="969"/>
      <c r="AG25" s="2386">
        <f>+AG21-ประมาณการรายจ่าย!AG17</f>
        <v>-170394496.60666656</v>
      </c>
      <c r="AK25" s="984"/>
    </row>
    <row r="26" spans="2:38">
      <c r="B26" s="930"/>
      <c r="C26" s="930"/>
      <c r="D26" s="977"/>
      <c r="E26" s="977">
        <v>67</v>
      </c>
      <c r="F26" s="977" t="e">
        <f>+M21/#REF!*100</f>
        <v>#REF!</v>
      </c>
      <c r="G26" s="977"/>
      <c r="H26" s="977"/>
      <c r="I26" s="977"/>
      <c r="J26" s="977"/>
      <c r="K26" s="977"/>
    </row>
    <row r="27" spans="2:38" ht="26.25" customHeight="1">
      <c r="C27" s="2764"/>
      <c r="D27" s="2764"/>
      <c r="E27" s="978"/>
      <c r="F27" s="979"/>
      <c r="G27" s="979"/>
      <c r="H27" s="979"/>
      <c r="I27" s="979"/>
      <c r="J27" s="979"/>
      <c r="K27" s="979"/>
      <c r="L27" s="980"/>
      <c r="M27" s="980"/>
      <c r="O27" s="980"/>
      <c r="P27" s="980"/>
      <c r="Q27" s="980"/>
      <c r="R27" s="980"/>
      <c r="S27" s="980"/>
      <c r="T27" s="980"/>
      <c r="U27" s="980"/>
      <c r="V27" s="980"/>
      <c r="W27" s="980"/>
      <c r="X27" s="980"/>
      <c r="Y27" s="980"/>
    </row>
    <row r="28" spans="2:38" ht="26.25" customHeight="1">
      <c r="L28" s="981"/>
      <c r="M28" s="981"/>
      <c r="N28" s="981"/>
      <c r="O28" s="981"/>
      <c r="P28" s="981"/>
      <c r="Q28" s="981"/>
      <c r="R28" s="981"/>
      <c r="S28" s="981"/>
      <c r="T28" s="981"/>
      <c r="U28" s="981"/>
      <c r="V28" s="981"/>
      <c r="W28" s="981"/>
      <c r="X28" s="981"/>
      <c r="Y28" s="981"/>
    </row>
  </sheetData>
  <mergeCells count="35">
    <mergeCell ref="D6:D8"/>
    <mergeCell ref="AJ3:AJ4"/>
    <mergeCell ref="AG3:AG4"/>
    <mergeCell ref="T3:T4"/>
    <mergeCell ref="U3:U4"/>
    <mergeCell ref="V3:X3"/>
    <mergeCell ref="Z3:Z4"/>
    <mergeCell ref="AB3:AB4"/>
    <mergeCell ref="Y3:Y4"/>
    <mergeCell ref="M22:N22"/>
    <mergeCell ref="O3:O4"/>
    <mergeCell ref="R22:S22"/>
    <mergeCell ref="P3:Q3"/>
    <mergeCell ref="R3:S3"/>
    <mergeCell ref="B3:B4"/>
    <mergeCell ref="G3:G4"/>
    <mergeCell ref="AH3:AH4"/>
    <mergeCell ref="AI3:AI4"/>
    <mergeCell ref="AC3:AF3"/>
    <mergeCell ref="B1:AJ1"/>
    <mergeCell ref="C27:D27"/>
    <mergeCell ref="M3:N3"/>
    <mergeCell ref="H22:I22"/>
    <mergeCell ref="K22:L22"/>
    <mergeCell ref="J3:J4"/>
    <mergeCell ref="E3:E4"/>
    <mergeCell ref="H3:I3"/>
    <mergeCell ref="K3:L3"/>
    <mergeCell ref="C6:C8"/>
    <mergeCell ref="C3:C4"/>
    <mergeCell ref="D3:D4"/>
    <mergeCell ref="F3:F4"/>
    <mergeCell ref="M23:N23"/>
    <mergeCell ref="H23:I23"/>
    <mergeCell ref="K23:L23"/>
  </mergeCells>
  <pageMargins left="0.27559055118110237" right="0.19685039370078741" top="0.59055118110236227" bottom="0.35433070866141736" header="0.23622047244094491" footer="0.15748031496062992"/>
  <pageSetup paperSize="9" scale="62" firstPageNumber="17" orientation="landscape" useFirstPageNumber="1" horizontalDpi="4294967293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B1:AM47"/>
  <sheetViews>
    <sheetView view="pageBreakPreview" zoomScale="110" zoomScaleNormal="170" zoomScaleSheetLayoutView="110" workbookViewId="0">
      <selection activeCell="AK16" sqref="AK16"/>
    </sheetView>
  </sheetViews>
  <sheetFormatPr defaultColWidth="8" defaultRowHeight="24"/>
  <cols>
    <col min="1" max="1" width="3" style="928" customWidth="1"/>
    <col min="2" max="2" width="27" style="928" bestFit="1" customWidth="1"/>
    <col min="3" max="3" width="19.7109375" style="928" hidden="1" customWidth="1"/>
    <col min="4" max="4" width="19.28515625" style="928" hidden="1" customWidth="1"/>
    <col min="5" max="5" width="19.42578125" style="928" hidden="1" customWidth="1"/>
    <col min="6" max="6" width="19.5703125" style="928" hidden="1" customWidth="1"/>
    <col min="7" max="7" width="19.42578125" style="928" hidden="1" customWidth="1"/>
    <col min="8" max="8" width="19.28515625" style="928" hidden="1" customWidth="1"/>
    <col min="9" max="9" width="19.7109375" style="928" hidden="1" customWidth="1"/>
    <col min="10" max="10" width="19.140625" style="928" customWidth="1"/>
    <col min="11" max="11" width="20.140625" style="928" hidden="1" customWidth="1"/>
    <col min="12" max="12" width="20" style="928" hidden="1" customWidth="1"/>
    <col min="13" max="13" width="19.7109375" style="928" bestFit="1" customWidth="1"/>
    <col min="14" max="14" width="19.85546875" style="928" hidden="1" customWidth="1"/>
    <col min="15" max="15" width="6.28515625" style="928" hidden="1" customWidth="1"/>
    <col min="16" max="16" width="17.5703125" style="928" hidden="1" customWidth="1"/>
    <col min="17" max="17" width="14" style="928" hidden="1" customWidth="1"/>
    <col min="18" max="18" width="19.42578125" style="928" hidden="1" customWidth="1"/>
    <col min="19" max="19" width="14.7109375" style="986" hidden="1" customWidth="1"/>
    <col min="20" max="20" width="19.42578125" style="986" hidden="1" customWidth="1"/>
    <col min="21" max="21" width="32.28515625" style="986" hidden="1" customWidth="1"/>
    <col min="22" max="22" width="19.7109375" style="986" hidden="1" customWidth="1"/>
    <col min="23" max="23" width="8" style="986" hidden="1" customWidth="1"/>
    <col min="24" max="24" width="14.7109375" style="986" hidden="1" customWidth="1"/>
    <col min="25" max="25" width="19.7109375" style="928" hidden="1" customWidth="1"/>
    <col min="26" max="26" width="19.85546875" style="928" bestFit="1" customWidth="1"/>
    <col min="27" max="27" width="8.5703125" style="928" hidden="1" customWidth="1"/>
    <col min="28" max="28" width="19.28515625" style="928" bestFit="1" customWidth="1"/>
    <col min="29" max="29" width="18.28515625" style="928" hidden="1" customWidth="1"/>
    <col min="30" max="30" width="8.28515625" style="928" hidden="1" customWidth="1"/>
    <col min="31" max="31" width="20.42578125" style="928" customWidth="1"/>
    <col min="32" max="32" width="8.28515625" style="928" customWidth="1"/>
    <col min="33" max="33" width="23.5703125" style="928" customWidth="1"/>
    <col min="34" max="34" width="17.85546875" style="928" hidden="1" customWidth="1"/>
    <col min="35" max="35" width="9.5703125" style="928" hidden="1" customWidth="1"/>
    <col min="36" max="36" width="29.42578125" style="928" customWidth="1"/>
    <col min="37" max="37" width="39.140625" style="928" customWidth="1"/>
    <col min="38" max="38" width="18.140625" style="928" bestFit="1" customWidth="1"/>
    <col min="39" max="39" width="10.42578125" style="928" customWidth="1"/>
    <col min="40" max="41" width="8" style="928"/>
    <col min="42" max="42" width="9" style="928" customWidth="1"/>
    <col min="43" max="16384" width="8" style="928"/>
  </cols>
  <sheetData>
    <row r="1" spans="2:39" ht="32.25" customHeight="1">
      <c r="B1" s="2763" t="s">
        <v>1513</v>
      </c>
      <c r="C1" s="2763"/>
      <c r="D1" s="2763"/>
      <c r="E1" s="2763"/>
      <c r="F1" s="2763"/>
      <c r="G1" s="2763"/>
      <c r="H1" s="2763"/>
      <c r="I1" s="2763"/>
      <c r="J1" s="2763"/>
      <c r="K1" s="2763"/>
      <c r="L1" s="2763"/>
      <c r="M1" s="2763"/>
      <c r="N1" s="2763"/>
      <c r="O1" s="2763"/>
      <c r="P1" s="2763"/>
      <c r="Q1" s="2763"/>
      <c r="R1" s="2763"/>
      <c r="S1" s="2763"/>
      <c r="T1" s="2763"/>
      <c r="U1" s="2763"/>
      <c r="V1" s="2763"/>
      <c r="W1" s="2763"/>
      <c r="X1" s="2763"/>
      <c r="Y1" s="2763"/>
      <c r="Z1" s="2763"/>
      <c r="AA1" s="2763"/>
      <c r="AB1" s="2763"/>
      <c r="AC1" s="2763"/>
      <c r="AD1" s="2763"/>
      <c r="AE1" s="2763"/>
      <c r="AF1" s="2763"/>
      <c r="AG1" s="2763"/>
      <c r="AH1" s="2763"/>
      <c r="AI1" s="2763"/>
      <c r="AJ1" s="2763"/>
      <c r="AK1" s="1638"/>
      <c r="AL1" s="1638"/>
    </row>
    <row r="2" spans="2:39" ht="12" customHeight="1">
      <c r="B2" s="930"/>
      <c r="C2" s="930"/>
      <c r="D2" s="930"/>
      <c r="E2" s="930"/>
      <c r="F2" s="930"/>
      <c r="G2" s="930"/>
      <c r="H2" s="930"/>
      <c r="I2" s="930"/>
    </row>
    <row r="3" spans="2:39" ht="21.75" customHeight="1">
      <c r="B3" s="2802" t="s">
        <v>3</v>
      </c>
      <c r="C3" s="2799" t="s">
        <v>236</v>
      </c>
      <c r="D3" s="2790" t="s">
        <v>237</v>
      </c>
      <c r="E3" s="2790" t="s">
        <v>706</v>
      </c>
      <c r="F3" s="2790" t="s">
        <v>248</v>
      </c>
      <c r="G3" s="2790" t="s">
        <v>707</v>
      </c>
      <c r="H3" s="2800" t="s">
        <v>523</v>
      </c>
      <c r="I3" s="2790" t="s">
        <v>708</v>
      </c>
      <c r="J3" s="2795" t="s">
        <v>524</v>
      </c>
      <c r="K3" s="2795" t="s">
        <v>238</v>
      </c>
      <c r="L3" s="2790" t="s">
        <v>705</v>
      </c>
      <c r="M3" s="2790" t="s">
        <v>1222</v>
      </c>
      <c r="N3" s="2790" t="s">
        <v>712</v>
      </c>
      <c r="O3" s="2795" t="s">
        <v>221</v>
      </c>
      <c r="P3" s="2795" t="str">
        <f>+รายละเอียดรายจ่าย!AA3</f>
        <v>ผลการดำเนินงาน</v>
      </c>
      <c r="Q3" s="2795"/>
      <c r="R3" s="2795" t="s">
        <v>571</v>
      </c>
      <c r="S3" s="2795"/>
      <c r="T3" s="2790" t="s">
        <v>709</v>
      </c>
      <c r="U3" s="2790" t="s">
        <v>221</v>
      </c>
      <c r="V3" s="2790" t="str">
        <f>+R3</f>
        <v>ผลการดำเนินงาน</v>
      </c>
      <c r="W3" s="2790"/>
      <c r="X3" s="2790"/>
      <c r="Y3" s="2795" t="s">
        <v>1221</v>
      </c>
      <c r="Z3" s="2795" t="s">
        <v>1492</v>
      </c>
      <c r="AA3" s="2795"/>
      <c r="AB3" s="2795" t="s">
        <v>1195</v>
      </c>
      <c r="AC3" s="2788" t="s">
        <v>571</v>
      </c>
      <c r="AD3" s="2788"/>
      <c r="AE3" s="2788"/>
      <c r="AF3" s="2788"/>
      <c r="AG3" s="2795" t="s">
        <v>1743</v>
      </c>
      <c r="AH3" s="2795" t="s">
        <v>1728</v>
      </c>
      <c r="AI3" s="2795" t="s">
        <v>1729</v>
      </c>
      <c r="AJ3" s="2795" t="s">
        <v>221</v>
      </c>
    </row>
    <row r="4" spans="2:39" ht="64.5" customHeight="1">
      <c r="B4" s="2803"/>
      <c r="C4" s="2797"/>
      <c r="D4" s="2797"/>
      <c r="E4" s="2797"/>
      <c r="F4" s="2797"/>
      <c r="G4" s="2797"/>
      <c r="H4" s="2801"/>
      <c r="I4" s="2797"/>
      <c r="J4" s="2798"/>
      <c r="K4" s="2798"/>
      <c r="L4" s="2797"/>
      <c r="M4" s="2791"/>
      <c r="N4" s="2791"/>
      <c r="O4" s="2798"/>
      <c r="P4" s="1964" t="str">
        <f>+รายละเอียดรายจ่าย!AA4</f>
        <v>ไตรมาส 1 (ต.ค.-ธ.ค.67)</v>
      </c>
      <c r="Q4" s="1964" t="str">
        <f>+รายละเอียดรายจ่าย!AB4</f>
        <v>คิดเป็นร้อยละของแผน</v>
      </c>
      <c r="R4" s="1965" t="s">
        <v>711</v>
      </c>
      <c r="S4" s="1930" t="s">
        <v>710</v>
      </c>
      <c r="T4" s="2791"/>
      <c r="U4" s="2791"/>
      <c r="V4" s="1966" t="s">
        <v>1052</v>
      </c>
      <c r="W4" s="1966" t="s">
        <v>1053</v>
      </c>
      <c r="X4" s="1930" t="s">
        <v>710</v>
      </c>
      <c r="Y4" s="2798"/>
      <c r="Z4" s="2798"/>
      <c r="AA4" s="2798"/>
      <c r="AB4" s="2798"/>
      <c r="AC4" s="987" t="s">
        <v>1501</v>
      </c>
      <c r="AD4" s="987" t="s">
        <v>1053</v>
      </c>
      <c r="AE4" s="987" t="s">
        <v>1502</v>
      </c>
      <c r="AF4" s="987" t="s">
        <v>1053</v>
      </c>
      <c r="AG4" s="2798"/>
      <c r="AH4" s="2798"/>
      <c r="AI4" s="2798"/>
      <c r="AJ4" s="2798"/>
    </row>
    <row r="5" spans="2:39" s="941" customFormat="1" ht="27" customHeight="1">
      <c r="B5" s="1956" t="s">
        <v>687</v>
      </c>
      <c r="C5" s="1957">
        <v>225760041.12999997</v>
      </c>
      <c r="D5" s="1958">
        <v>231433774.67000002</v>
      </c>
      <c r="E5" s="1958">
        <v>180000000</v>
      </c>
      <c r="F5" s="1958">
        <v>180533834.22999999</v>
      </c>
      <c r="G5" s="1958">
        <v>192030320</v>
      </c>
      <c r="H5" s="988">
        <f>'[2]รายละเอียดรายจ่าย  '!H5</f>
        <v>188204023.53</v>
      </c>
      <c r="I5" s="988">
        <v>207980000</v>
      </c>
      <c r="J5" s="988">
        <f>+'[2]รายละเอียดรายจ่าย  '!K5</f>
        <v>188464884.25</v>
      </c>
      <c r="K5" s="988">
        <f>+(J5/10)*12</f>
        <v>226157861.10000002</v>
      </c>
      <c r="L5" s="1959">
        <f>+รายละเอียดรายจ่าย!Q5</f>
        <v>195000000</v>
      </c>
      <c r="M5" s="1959">
        <f>+รายละเอียดรายจ่าย!R5</f>
        <v>191760801.52000001</v>
      </c>
      <c r="N5" s="988">
        <f>+รายละเอียดรายจ่าย!Y5</f>
        <v>205000000</v>
      </c>
      <c r="O5" s="1960"/>
      <c r="P5" s="1960">
        <f>+รายละเอียดรายจ่าย!AA5</f>
        <v>50880935.869999997</v>
      </c>
      <c r="Q5" s="1960">
        <f>+รายละเอียดรายจ่าย!AB5</f>
        <v>24.819968717073166</v>
      </c>
      <c r="R5" s="1960">
        <f>+รายละเอียดรายจ่าย!AD5</f>
        <v>100870203.28</v>
      </c>
      <c r="S5" s="1961">
        <f>+R5/N5*100</f>
        <v>49.204977209756095</v>
      </c>
      <c r="T5" s="1961">
        <f>+รายละเอียดรายจ่าย!AF5</f>
        <v>205000000</v>
      </c>
      <c r="U5" s="1961"/>
      <c r="V5" s="1962">
        <f>+รายละเอียดรายจ่าย!AG5</f>
        <v>151325858.96000001</v>
      </c>
      <c r="W5" s="1962">
        <f>+V5/T17*100</f>
        <v>5.7155751072357912</v>
      </c>
      <c r="X5" s="1961">
        <f>+V5/T5*100</f>
        <v>73.817492175609758</v>
      </c>
      <c r="Y5" s="1960">
        <f>+รายละเอียดรายจ่าย!AJ5</f>
        <v>205000000</v>
      </c>
      <c r="Z5" s="1960">
        <f>+รายละเอียดรายจ่าย!AK5</f>
        <v>206401625.15000001</v>
      </c>
      <c r="AA5" s="1960">
        <f>+รายละเอียดรายจ่าย!AL5</f>
        <v>100.68371958536586</v>
      </c>
      <c r="AB5" s="1963">
        <f>+รายละเอียดรายจ่าย!AN5</f>
        <v>212000000</v>
      </c>
      <c r="AC5" s="1963">
        <f>+รายละเอียดรายจ่าย!AO5</f>
        <v>57104861.780000001</v>
      </c>
      <c r="AD5" s="1963">
        <f>+AC5/AB5*100</f>
        <v>26.936255556603772</v>
      </c>
      <c r="AE5" s="988">
        <f>+รายละเอียดรายจ่าย!AR5</f>
        <v>113307087.90000001</v>
      </c>
      <c r="AF5" s="988">
        <f>+AE5/AB5*100</f>
        <v>53.446739575471703</v>
      </c>
      <c r="AG5" s="1960">
        <f>+รายละเอียดรายจ่าย!AU5</f>
        <v>212000000</v>
      </c>
      <c r="AH5" s="1960">
        <f>AE5-AC5</f>
        <v>56202226.120000005</v>
      </c>
      <c r="AI5" s="1960">
        <f>(AH5/AE5)*100</f>
        <v>49.601686144825898</v>
      </c>
      <c r="AJ5" s="1960"/>
      <c r="AL5" s="937">
        <f>+(M5-L5)*100/L5</f>
        <v>-1.6611274256410202</v>
      </c>
      <c r="AM5" s="937">
        <f>+(N5-M5)*100/M5</f>
        <v>6.904017074949067</v>
      </c>
    </row>
    <row r="6" spans="2:39" s="941" customFormat="1" ht="27" customHeight="1">
      <c r="B6" s="989" t="s">
        <v>239</v>
      </c>
      <c r="C6" s="948">
        <v>365495423.25999999</v>
      </c>
      <c r="D6" s="990">
        <v>340655387.89999998</v>
      </c>
      <c r="E6" s="990">
        <v>320480000</v>
      </c>
      <c r="F6" s="990">
        <v>321953186.18000001</v>
      </c>
      <c r="G6" s="990">
        <v>342049500</v>
      </c>
      <c r="H6" s="943">
        <f>'[2]รายละเอียดรายจ่าย  '!H6</f>
        <v>358064945.39999998</v>
      </c>
      <c r="I6" s="943">
        <v>411928000</v>
      </c>
      <c r="J6" s="943">
        <f>+'[2]รายละเอียดรายจ่าย  '!K6</f>
        <v>378597766.77000004</v>
      </c>
      <c r="K6" s="943">
        <f t="shared" ref="K6:K16" si="0">+(J6/10)*12</f>
        <v>454317320.12400001</v>
      </c>
      <c r="L6" s="991">
        <f>+รายละเอียดรายจ่าย!Q6</f>
        <v>476200000</v>
      </c>
      <c r="M6" s="991">
        <f>+รายละเอียดรายจ่าย!R6</f>
        <v>475811669.74000001</v>
      </c>
      <c r="N6" s="943">
        <f>+รายละเอียดรายจ่าย!Y6</f>
        <v>476200000</v>
      </c>
      <c r="O6" s="944"/>
      <c r="P6" s="944">
        <f>+รายละเอียดรายจ่าย!AA6</f>
        <v>117826267.93000001</v>
      </c>
      <c r="Q6" s="944">
        <f>+รายละเอียดรายจ่าย!AB6</f>
        <v>24.743021404871904</v>
      </c>
      <c r="R6" s="944">
        <f>+รายละเอียดรายจ่าย!AD6</f>
        <v>237819467.22999999</v>
      </c>
      <c r="S6" s="992">
        <f t="shared" ref="S6:S17" si="1">+R6/N6*100</f>
        <v>49.941089296514072</v>
      </c>
      <c r="T6" s="992">
        <f>+รายละเอียดรายจ่าย!AF6</f>
        <v>476200000</v>
      </c>
      <c r="U6" s="992"/>
      <c r="V6" s="993">
        <f>+รายละเอียดรายจ่าย!AG6</f>
        <v>361229988.62</v>
      </c>
      <c r="W6" s="993">
        <f>+V6/T17*100</f>
        <v>13.643650497892009</v>
      </c>
      <c r="X6" s="992">
        <f t="shared" ref="X6:X17" si="2">+V6/T6*100</f>
        <v>75.856780474590508</v>
      </c>
      <c r="Y6" s="944">
        <f>+รายละเอียดรายจ่าย!AJ6</f>
        <v>476200000</v>
      </c>
      <c r="Z6" s="944">
        <f>+รายละเอียดรายจ่าย!AK6</f>
        <v>491678972.99000001</v>
      </c>
      <c r="AA6" s="944">
        <f>+รายละเอียดรายจ่าย!AL6</f>
        <v>103.25051931751365</v>
      </c>
      <c r="AB6" s="945">
        <f>+รายละเอียดรายจ่าย!AN6</f>
        <v>487600000</v>
      </c>
      <c r="AC6" s="945">
        <f>+รายละเอียดรายจ่าย!AO6</f>
        <v>116171363.75</v>
      </c>
      <c r="AD6" s="1718">
        <f t="shared" ref="AD6:AD17" si="3">+AC6/AB6*100</f>
        <v>23.825136125922889</v>
      </c>
      <c r="AE6" s="943">
        <f>+รายละเอียดรายจ่าย!AR6</f>
        <v>245919510.83000001</v>
      </c>
      <c r="AF6" s="943">
        <f t="shared" ref="AF6:AF17" si="4">+AE6/AB6*100</f>
        <v>50.434682286710419</v>
      </c>
      <c r="AG6" s="943">
        <f>+รายละเอียดรายจ่าย!AU6</f>
        <v>487600000</v>
      </c>
      <c r="AH6" s="944">
        <f t="shared" ref="AH6:AH17" si="5">AE6-AC6</f>
        <v>129748147.08000001</v>
      </c>
      <c r="AI6" s="944">
        <f t="shared" ref="AI6:AI13" si="6">(AH6/AE6)*100</f>
        <v>52.760411990934998</v>
      </c>
      <c r="AJ6" s="944"/>
      <c r="AL6" s="937">
        <f t="shared" ref="AL6:AL16" si="7">+(M6-L6)*100/L6</f>
        <v>-8.154772364552508E-2</v>
      </c>
      <c r="AM6" s="937">
        <f t="shared" ref="AM6:AM16" si="8">+(N6-M6)*100/M6</f>
        <v>8.1614278231592674E-2</v>
      </c>
    </row>
    <row r="7" spans="2:39" s="941" customFormat="1" ht="27" customHeight="1">
      <c r="B7" s="989" t="s">
        <v>52</v>
      </c>
      <c r="C7" s="948">
        <v>114515973.67</v>
      </c>
      <c r="D7" s="990">
        <v>105818582.3</v>
      </c>
      <c r="E7" s="990">
        <v>135733331</v>
      </c>
      <c r="F7" s="990">
        <v>144893237.53</v>
      </c>
      <c r="G7" s="990">
        <v>270000000</v>
      </c>
      <c r="H7" s="943">
        <f>'[2]รายละเอียดรายจ่าย  '!H17</f>
        <v>193716698.40000001</v>
      </c>
      <c r="I7" s="946">
        <v>184177860</v>
      </c>
      <c r="J7" s="943">
        <f>+'[2]รายละเอียดรายจ่าย  '!K17</f>
        <v>170224752.50999999</v>
      </c>
      <c r="K7" s="943">
        <f t="shared" si="0"/>
        <v>204269703.01199996</v>
      </c>
      <c r="L7" s="991">
        <f>+รายละเอียดรายจ่าย!Q17</f>
        <v>191000000</v>
      </c>
      <c r="M7" s="991">
        <f>+รายละเอียดรายจ่าย!R17</f>
        <v>219379411.42000005</v>
      </c>
      <c r="N7" s="943">
        <f>+รายละเอียดรายจ่าย!Y17</f>
        <v>209321600</v>
      </c>
      <c r="O7" s="944"/>
      <c r="P7" s="944">
        <f>+รายละเอียดรายจ่าย!AA17</f>
        <v>53560336.310000017</v>
      </c>
      <c r="Q7" s="944">
        <f>+รายละเอียดรายจ่าย!AB17</f>
        <v>25.58758212721478</v>
      </c>
      <c r="R7" s="944">
        <f>+รายละเอียดรายจ่าย!AD17</f>
        <v>92750469.38000001</v>
      </c>
      <c r="S7" s="992">
        <f t="shared" si="1"/>
        <v>44.31003268654549</v>
      </c>
      <c r="T7" s="994">
        <f>+รายละเอียดรายจ่าย!AF17</f>
        <v>202234000</v>
      </c>
      <c r="U7" s="995" t="s">
        <v>988</v>
      </c>
      <c r="V7" s="995">
        <f>+รายละเอียดรายจ่าย!AG17</f>
        <v>144211898.39000002</v>
      </c>
      <c r="W7" s="992">
        <f>+V7/T17*100</f>
        <v>5.4468809380621233</v>
      </c>
      <c r="X7" s="992">
        <f t="shared" si="2"/>
        <v>71.309422940751816</v>
      </c>
      <c r="Y7" s="944">
        <f>+รายละเอียดรายจ่าย!AJ17</f>
        <v>202234000</v>
      </c>
      <c r="Z7" s="944">
        <f>+รายละเอียดรายจ่าย!AK17</f>
        <v>200092441.31999996</v>
      </c>
      <c r="AA7" s="944">
        <f>+รายละเอียดรายจ่าย!AL17</f>
        <v>98.941049141093956</v>
      </c>
      <c r="AB7" s="945">
        <f>+รายละเอียดรายจ่าย!AN17</f>
        <v>235917690</v>
      </c>
      <c r="AC7" s="945">
        <f>+รายละเอียดรายจ่าย!AO17</f>
        <v>49662103.449999996</v>
      </c>
      <c r="AD7" s="1718">
        <f t="shared" si="3"/>
        <v>21.050606018565201</v>
      </c>
      <c r="AE7" s="943">
        <f>+รายละเอียดรายจ่าย!AR17</f>
        <v>107529647.7</v>
      </c>
      <c r="AF7" s="943">
        <f t="shared" si="4"/>
        <v>45.57930679127962</v>
      </c>
      <c r="AG7" s="943">
        <f>+รายละเอียดรายจ่าย!AU17</f>
        <v>267227840</v>
      </c>
      <c r="AH7" s="944">
        <f t="shared" si="5"/>
        <v>57867544.250000007</v>
      </c>
      <c r="AI7" s="944">
        <f t="shared" si="6"/>
        <v>53.815431825319749</v>
      </c>
      <c r="AJ7" s="944"/>
      <c r="AL7" s="937">
        <f t="shared" si="7"/>
        <v>14.85833058638746</v>
      </c>
      <c r="AM7" s="937">
        <f t="shared" si="8"/>
        <v>-4.5846651492488739</v>
      </c>
    </row>
    <row r="8" spans="2:39" s="941" customFormat="1" ht="27" customHeight="1">
      <c r="B8" s="996" t="s">
        <v>240</v>
      </c>
      <c r="C8" s="948">
        <v>43921101.860000007</v>
      </c>
      <c r="D8" s="990">
        <v>37230122.970000006</v>
      </c>
      <c r="E8" s="990">
        <v>45120000</v>
      </c>
      <c r="F8" s="990">
        <v>46273598.899999999</v>
      </c>
      <c r="G8" s="990">
        <v>60000000</v>
      </c>
      <c r="H8" s="943">
        <f>'[2]รายละเอียดรายจ่าย  '!H63</f>
        <v>57251974.939999998</v>
      </c>
      <c r="I8" s="946">
        <v>64500000</v>
      </c>
      <c r="J8" s="943">
        <f>+'[2]รายละเอียดรายจ่าย  '!K63</f>
        <v>64033302.310000002</v>
      </c>
      <c r="K8" s="943">
        <f t="shared" si="0"/>
        <v>76839962.772000015</v>
      </c>
      <c r="L8" s="991">
        <f>+รายละเอียดรายจ่าย!Q125</f>
        <v>63200000</v>
      </c>
      <c r="M8" s="991">
        <f>+รายละเอียดรายจ่าย!R125</f>
        <v>59796624.25</v>
      </c>
      <c r="N8" s="943">
        <f>+รายละเอียดรายจ่าย!Y125</f>
        <v>70000000</v>
      </c>
      <c r="O8" s="944"/>
      <c r="P8" s="944">
        <f>+รายละเอียดรายจ่าย!AA125</f>
        <v>14050028.329999998</v>
      </c>
      <c r="Q8" s="944">
        <f>+รายละเอียดรายจ่าย!AB125</f>
        <v>20.071469042857139</v>
      </c>
      <c r="R8" s="944">
        <f>+รายละเอียดรายจ่าย!AD125</f>
        <v>29100809.289999999</v>
      </c>
      <c r="S8" s="992">
        <f t="shared" si="1"/>
        <v>41.5725847</v>
      </c>
      <c r="T8" s="994">
        <f>+รายละเอียดรายจ่าย!AF125</f>
        <v>70000000</v>
      </c>
      <c r="U8" s="995"/>
      <c r="V8" s="995">
        <f>+รายละเอียดรายจ่าย!AG125</f>
        <v>44400793.759999998</v>
      </c>
      <c r="W8" s="992">
        <f>+V8/T17*100</f>
        <v>1.677017221645158</v>
      </c>
      <c r="X8" s="992">
        <f t="shared" si="2"/>
        <v>63.429705371428568</v>
      </c>
      <c r="Y8" s="944">
        <f>+รายละเอียดรายจ่าย!AJ125</f>
        <v>70000000</v>
      </c>
      <c r="Z8" s="944">
        <f>+รายละเอียดรายจ่าย!AK125</f>
        <v>59560213.590000004</v>
      </c>
      <c r="AA8" s="944">
        <f>+รายละเอียดรายจ่าย!AL125</f>
        <v>85.086019414285715</v>
      </c>
      <c r="AB8" s="945">
        <f>+รายละเอียดรายจ่าย!AN125</f>
        <v>70000000</v>
      </c>
      <c r="AC8" s="945">
        <f>+รายละเอียดรายจ่าย!AO125</f>
        <v>14386781.509999998</v>
      </c>
      <c r="AD8" s="1718">
        <f t="shared" si="3"/>
        <v>20.552545014285712</v>
      </c>
      <c r="AE8" s="943">
        <f>+รายละเอียดรายจ่าย!AR125</f>
        <v>29037249.710000001</v>
      </c>
      <c r="AF8" s="943">
        <f t="shared" si="4"/>
        <v>41.481785299999999</v>
      </c>
      <c r="AG8" s="943">
        <f>+รายละเอียดรายจ่าย!AU125</f>
        <v>60000000</v>
      </c>
      <c r="AH8" s="944">
        <f t="shared" si="5"/>
        <v>14650468.200000003</v>
      </c>
      <c r="AI8" s="944">
        <f t="shared" si="6"/>
        <v>50.454049010552801</v>
      </c>
      <c r="AJ8" s="944"/>
      <c r="AL8" s="937">
        <f t="shared" si="7"/>
        <v>-5.3850882120253161</v>
      </c>
      <c r="AM8" s="937">
        <f t="shared" si="8"/>
        <v>17.063464498165214</v>
      </c>
    </row>
    <row r="9" spans="2:39" s="941" customFormat="1" ht="27" customHeight="1">
      <c r="B9" s="996" t="s">
        <v>241</v>
      </c>
      <c r="C9" s="948">
        <v>802345072.25999999</v>
      </c>
      <c r="D9" s="990">
        <v>790994484.04000008</v>
      </c>
      <c r="E9" s="990">
        <v>733300000</v>
      </c>
      <c r="F9" s="990">
        <v>879617532.46000004</v>
      </c>
      <c r="G9" s="990">
        <v>836150000</v>
      </c>
      <c r="H9" s="943">
        <f>'[2]รายละเอียดรายจ่าย  '!H73</f>
        <v>912235784.20999992</v>
      </c>
      <c r="I9" s="943">
        <v>847930000</v>
      </c>
      <c r="J9" s="943">
        <f>+'[2]รายละเอียดรายจ่าย  '!K73</f>
        <v>904032336.96999991</v>
      </c>
      <c r="K9" s="943">
        <f t="shared" si="0"/>
        <v>1084838804.3639998</v>
      </c>
      <c r="L9" s="991">
        <f>+รายละเอียดรายจ่าย!Q135</f>
        <v>652120000</v>
      </c>
      <c r="M9" s="991">
        <f>+รายละเอียดรายจ่าย!R135</f>
        <v>1112817148.3900001</v>
      </c>
      <c r="N9" s="943">
        <f>+รายละเอียดรายจ่าย!Y135</f>
        <v>1049980000</v>
      </c>
      <c r="O9" s="944"/>
      <c r="P9" s="944">
        <f>+รายละเอียดรายจ่าย!AA135</f>
        <v>270618132.63999999</v>
      </c>
      <c r="Q9" s="944">
        <f>+รายละเอียดรายจ่าย!AB135</f>
        <v>25.773646416122208</v>
      </c>
      <c r="R9" s="944">
        <f>+รายละเอียดรายจ่าย!AD135</f>
        <v>533003844.96999997</v>
      </c>
      <c r="S9" s="992">
        <f t="shared" si="1"/>
        <v>50.763237868340347</v>
      </c>
      <c r="T9" s="994">
        <f>+รายละเอียดรายจ่าย!AF135</f>
        <v>1097740000</v>
      </c>
      <c r="U9" s="995" t="s">
        <v>989</v>
      </c>
      <c r="V9" s="995">
        <f>+รายละเอียดรายจ่าย!AG135</f>
        <v>811288763.12000012</v>
      </c>
      <c r="W9" s="992">
        <f>+V9/T17*100</f>
        <v>30.642362720666803</v>
      </c>
      <c r="X9" s="992">
        <f t="shared" si="2"/>
        <v>73.905365853480802</v>
      </c>
      <c r="Y9" s="944">
        <f>+รายละเอียดรายจ่าย!AJ135</f>
        <v>1131980000</v>
      </c>
      <c r="Z9" s="944">
        <f>+รายละเอียดรายจ่าย!AK135</f>
        <v>1142823121.5400002</v>
      </c>
      <c r="AA9" s="944">
        <f>+รายละเอียดรายจ่าย!AL135</f>
        <v>100.95788985141081</v>
      </c>
      <c r="AB9" s="945">
        <f>+รายละเอียดรายจ่าย!AN135</f>
        <v>1101560000</v>
      </c>
      <c r="AC9" s="945">
        <f>+รายละเอียดรายจ่าย!AO135</f>
        <v>296597914.11999995</v>
      </c>
      <c r="AD9" s="945">
        <f t="shared" si="3"/>
        <v>26.925261821416896</v>
      </c>
      <c r="AE9" s="943">
        <f>+รายละเอียดรายจ่าย!AR135</f>
        <v>630353778.57000005</v>
      </c>
      <c r="AF9" s="943">
        <f t="shared" si="4"/>
        <v>57.223735299938269</v>
      </c>
      <c r="AG9" s="943">
        <f>+รายละเอียดรายจ่าย!AU135</f>
        <v>1145160000</v>
      </c>
      <c r="AH9" s="944">
        <f t="shared" si="5"/>
        <v>333755864.45000011</v>
      </c>
      <c r="AI9" s="944">
        <f t="shared" si="6"/>
        <v>52.947388561253291</v>
      </c>
      <c r="AJ9" s="944"/>
      <c r="AL9" s="937">
        <f t="shared" si="7"/>
        <v>70.646069494878262</v>
      </c>
      <c r="AM9" s="937">
        <f t="shared" si="8"/>
        <v>-5.6466732635196664</v>
      </c>
    </row>
    <row r="10" spans="2:39" s="941" customFormat="1" ht="27" customHeight="1">
      <c r="B10" s="996" t="s">
        <v>242</v>
      </c>
      <c r="C10" s="948">
        <v>52923244.689999998</v>
      </c>
      <c r="D10" s="990">
        <v>43393687.409999996</v>
      </c>
      <c r="E10" s="990">
        <v>40000000</v>
      </c>
      <c r="F10" s="990">
        <v>31693585.300000001</v>
      </c>
      <c r="G10" s="990">
        <v>46970000</v>
      </c>
      <c r="H10" s="943">
        <f>'[2]รายละเอียดรายจ่าย  '!H116</f>
        <v>50941596.510000005</v>
      </c>
      <c r="I10" s="943">
        <v>87108535.609999999</v>
      </c>
      <c r="J10" s="943">
        <f>+'[2]รายละเอียดรายจ่าย  '!K116</f>
        <v>62031461.739999995</v>
      </c>
      <c r="K10" s="943">
        <f t="shared" si="0"/>
        <v>74437754.088</v>
      </c>
      <c r="L10" s="997">
        <f>+รายละเอียดรายจ่าย!Q178</f>
        <v>128176698.95</v>
      </c>
      <c r="M10" s="997">
        <f>+รายละเอียดรายจ่าย!R178</f>
        <v>89194195.700000003</v>
      </c>
      <c r="N10" s="997">
        <f>+รายละเอียดรายจ่าย!Y178</f>
        <v>97879111</v>
      </c>
      <c r="O10" s="952"/>
      <c r="P10" s="952">
        <f>+รายละเอียดรายจ่าย!AA178</f>
        <v>5563073.5999999996</v>
      </c>
      <c r="Q10" s="952">
        <f>+รายละเอียดรายจ่าย!AB178</f>
        <v>5.683616803589481</v>
      </c>
      <c r="R10" s="952">
        <f>+รายละเอียดรายจ่าย!AD178</f>
        <v>39114995.789999999</v>
      </c>
      <c r="S10" s="992">
        <f t="shared" si="1"/>
        <v>39.962557271285391</v>
      </c>
      <c r="T10" s="994">
        <f>+รายละเอียดรายจ่าย!AF178</f>
        <v>173795839.27000001</v>
      </c>
      <c r="U10" s="998" t="s">
        <v>990</v>
      </c>
      <c r="V10" s="998">
        <f>+รายละเอียดรายจ่าย!AG178</f>
        <v>44725394.780000001</v>
      </c>
      <c r="W10" s="994">
        <f>+V10/T17*100</f>
        <v>1.6892773966241466</v>
      </c>
      <c r="X10" s="992">
        <f t="shared" si="2"/>
        <v>25.734445063737688</v>
      </c>
      <c r="Y10" s="944">
        <f>+รายละเอียดรายจ่าย!AJ178</f>
        <v>129584356.77000001</v>
      </c>
      <c r="Z10" s="944">
        <f>+รายละเอียดรายจ่าย!AK178</f>
        <v>113603678.73</v>
      </c>
      <c r="AA10" s="944">
        <f>+รายละเอียดรายจ่าย!AL178</f>
        <v>87.667741355259267</v>
      </c>
      <c r="AB10" s="945">
        <f>+รายละเอียดรายจ่าย!AN178</f>
        <v>157283315.04666668</v>
      </c>
      <c r="AC10" s="945">
        <f>+รายละเอียดรายจ่าย!AO178</f>
        <v>31499165.589999996</v>
      </c>
      <c r="AD10" s="1718">
        <f t="shared" si="3"/>
        <v>20.027022943059187</v>
      </c>
      <c r="AE10" s="943">
        <f>+รายละเอียดรายจ่าย!AR178</f>
        <v>62441555.329999998</v>
      </c>
      <c r="AF10" s="943">
        <f t="shared" si="4"/>
        <v>39.700050390897026</v>
      </c>
      <c r="AG10" s="943">
        <f>+รายละเอียดรายจ่าย!AU178</f>
        <v>210146531.74666664</v>
      </c>
      <c r="AH10" s="944">
        <f t="shared" si="5"/>
        <v>30942389.740000002</v>
      </c>
      <c r="AI10" s="944">
        <f t="shared" si="6"/>
        <v>49.554162410707534</v>
      </c>
      <c r="AJ10" s="944"/>
      <c r="AL10" s="937">
        <f t="shared" si="7"/>
        <v>-30.413096584119824</v>
      </c>
      <c r="AM10" s="937">
        <f t="shared" si="8"/>
        <v>9.73708572832615</v>
      </c>
    </row>
    <row r="11" spans="2:39" s="941" customFormat="1" ht="25.5" customHeight="1">
      <c r="B11" s="947" t="s">
        <v>54</v>
      </c>
      <c r="C11" s="948">
        <v>0</v>
      </c>
      <c r="D11" s="990">
        <v>0</v>
      </c>
      <c r="E11" s="990">
        <v>0</v>
      </c>
      <c r="F11" s="999">
        <v>0</v>
      </c>
      <c r="G11" s="999">
        <v>13265578</v>
      </c>
      <c r="H11" s="999">
        <v>0</v>
      </c>
      <c r="I11" s="999">
        <v>170287950</v>
      </c>
      <c r="J11" s="999">
        <v>0</v>
      </c>
      <c r="K11" s="943">
        <f t="shared" si="0"/>
        <v>0</v>
      </c>
      <c r="L11" s="943">
        <f>+รายละเอียดรายจ่าย!Q195</f>
        <v>0</v>
      </c>
      <c r="M11" s="949">
        <f>+รายละเอียดรายจ่าย!R195</f>
        <v>0</v>
      </c>
      <c r="N11" s="943">
        <f>+รายละเอียดรายจ่าย!Y195</f>
        <v>250026911.13999999</v>
      </c>
      <c r="O11" s="946"/>
      <c r="P11" s="944">
        <f>+รายละเอียดรายจ่าย!AA195</f>
        <v>1237363</v>
      </c>
      <c r="Q11" s="944">
        <f>+รายละเอียดรายจ่าย!AB195</f>
        <v>0.49489192757620853</v>
      </c>
      <c r="R11" s="944">
        <f>+รายละเอียดรายจ่าย!AD195</f>
        <v>1237363</v>
      </c>
      <c r="S11" s="992">
        <f t="shared" si="1"/>
        <v>0.49489192757620853</v>
      </c>
      <c r="T11" s="994">
        <f>+รายละเอียดรายจ่าย!AF195</f>
        <v>373640511.13999999</v>
      </c>
      <c r="U11" s="995" t="s">
        <v>991</v>
      </c>
      <c r="V11" s="995">
        <f>+รายละเอียดรายจ่าย!AG195</f>
        <v>6270963</v>
      </c>
      <c r="W11" s="992">
        <f>+V11/T17*100</f>
        <v>0.23685416535894799</v>
      </c>
      <c r="X11" s="992">
        <f t="shared" si="2"/>
        <v>1.6783412967900375</v>
      </c>
      <c r="Y11" s="944">
        <f>+รายละเอียดรายจ่าย!AJ195</f>
        <v>42815511.140000001</v>
      </c>
      <c r="Z11" s="944">
        <f>+รายละเอียดรายจ่าย!AK195</f>
        <v>20311325.890000001</v>
      </c>
      <c r="AA11" s="944">
        <f>+รายละเอียดรายจ่าย!AL195</f>
        <v>47.439176478788617</v>
      </c>
      <c r="AB11" s="945">
        <f>+รายละเอียดรายจ่าย!AN195</f>
        <v>500893455.70999998</v>
      </c>
      <c r="AC11" s="945">
        <f>+รายละเอียดรายจ่าย!AO195</f>
        <v>47227693.759999998</v>
      </c>
      <c r="AD11" s="1718">
        <f t="shared" si="3"/>
        <v>9.4286905172390991</v>
      </c>
      <c r="AE11" s="991">
        <f>+รายละเอียดรายจ่าย!AR195</f>
        <v>76527693.75999999</v>
      </c>
      <c r="AF11" s="943">
        <f t="shared" si="4"/>
        <v>15.278237894229324</v>
      </c>
      <c r="AG11" s="943">
        <f>+รายละเอียดรายจ่าย!AU195</f>
        <v>194277751.05000001</v>
      </c>
      <c r="AH11" s="944">
        <f t="shared" si="5"/>
        <v>29299999.999999993</v>
      </c>
      <c r="AI11" s="944">
        <f t="shared" si="6"/>
        <v>38.286793395196646</v>
      </c>
      <c r="AJ11" s="944"/>
      <c r="AK11" s="1724" t="s">
        <v>1495</v>
      </c>
      <c r="AL11" s="937" t="e">
        <f t="shared" si="7"/>
        <v>#DIV/0!</v>
      </c>
      <c r="AM11" s="937" t="e">
        <f t="shared" si="8"/>
        <v>#DIV/0!</v>
      </c>
    </row>
    <row r="12" spans="2:39" s="941" customFormat="1" ht="27" customHeight="1">
      <c r="B12" s="996" t="s">
        <v>243</v>
      </c>
      <c r="C12" s="948">
        <v>56280</v>
      </c>
      <c r="D12" s="990">
        <v>66450</v>
      </c>
      <c r="E12" s="990">
        <v>11500000</v>
      </c>
      <c r="F12" s="990">
        <v>10584700</v>
      </c>
      <c r="G12" s="990">
        <v>14490000</v>
      </c>
      <c r="H12" s="943">
        <f>'[2]รายละเอียดรายจ่าย  '!H68</f>
        <v>10427900</v>
      </c>
      <c r="I12" s="943">
        <v>11990000</v>
      </c>
      <c r="J12" s="943">
        <f>+'[2]รายละเอียดรายจ่าย  '!K68</f>
        <v>10495200</v>
      </c>
      <c r="K12" s="943">
        <f t="shared" si="0"/>
        <v>12594240</v>
      </c>
      <c r="L12" s="943">
        <f>+รายละเอียดรายจ่าย!Q130</f>
        <v>11136000</v>
      </c>
      <c r="M12" s="943">
        <f>+รายละเอียดรายจ่าย!R130</f>
        <v>10899200</v>
      </c>
      <c r="N12" s="943">
        <f>+รายละเอียดรายจ่าย!Y130</f>
        <v>11136000</v>
      </c>
      <c r="O12" s="944"/>
      <c r="P12" s="944">
        <f>+รายละเอียดรายจ่าย!AA130</f>
        <v>2791400</v>
      </c>
      <c r="Q12" s="944">
        <f>+รายละเอียดรายจ่าย!AB130</f>
        <v>25.066451149425291</v>
      </c>
      <c r="R12" s="944">
        <f>+รายละเอียดรายจ่าย!AD130</f>
        <v>5470050</v>
      </c>
      <c r="S12" s="992">
        <f t="shared" si="1"/>
        <v>49.12042025862069</v>
      </c>
      <c r="T12" s="992">
        <f>+รายละเอียดรายจ่าย!AF130</f>
        <v>11136000</v>
      </c>
      <c r="U12" s="992"/>
      <c r="V12" s="992">
        <f>+รายละเอียดรายจ่าย!AG130</f>
        <v>8139600</v>
      </c>
      <c r="W12" s="992">
        <f>+V12/T17*100</f>
        <v>0.30743255291981353</v>
      </c>
      <c r="X12" s="992">
        <f t="shared" si="2"/>
        <v>73.092672413793096</v>
      </c>
      <c r="Y12" s="944">
        <f>+รายละเอียดรายจ่าย!AJ130</f>
        <v>11136000</v>
      </c>
      <c r="Z12" s="944">
        <f>+รายละเอียดรายจ่าย!AK130</f>
        <v>10963600</v>
      </c>
      <c r="AA12" s="944">
        <f>+รายละเอียดรายจ่าย!AL130</f>
        <v>98.451867816091948</v>
      </c>
      <c r="AB12" s="945">
        <f>+รายละเอียดรายจ่าย!AN130</f>
        <v>11136000</v>
      </c>
      <c r="AC12" s="945">
        <f>+รายละเอียดรายจ่าย!AO130</f>
        <v>2644300</v>
      </c>
      <c r="AD12" s="945">
        <f t="shared" si="3"/>
        <v>23.745510057471265</v>
      </c>
      <c r="AE12" s="943">
        <f>+รายละเอียดรายจ่าย!AR130</f>
        <v>5213200</v>
      </c>
      <c r="AF12" s="943">
        <f t="shared" si="4"/>
        <v>46.813936781609193</v>
      </c>
      <c r="AG12" s="943">
        <f>+รายละเอียดรายจ่าย!AU130</f>
        <v>11136000</v>
      </c>
      <c r="AH12" s="944">
        <f t="shared" si="5"/>
        <v>2568900</v>
      </c>
      <c r="AI12" s="944">
        <f t="shared" si="6"/>
        <v>49.276835724698842</v>
      </c>
      <c r="AJ12" s="944"/>
      <c r="AL12" s="937">
        <f t="shared" si="7"/>
        <v>-2.1264367816091956</v>
      </c>
      <c r="AM12" s="937">
        <f t="shared" si="8"/>
        <v>2.1726365237815619</v>
      </c>
    </row>
    <row r="13" spans="2:39" s="1016" customFormat="1" ht="24.75" customHeight="1">
      <c r="B13" s="1719" t="s">
        <v>1490</v>
      </c>
      <c r="C13" s="1565">
        <v>30192900.050000001</v>
      </c>
      <c r="D13" s="1720">
        <v>21519064.539999999</v>
      </c>
      <c r="E13" s="1720">
        <v>21470467.600000001</v>
      </c>
      <c r="F13" s="1720">
        <v>18936040.710000001</v>
      </c>
      <c r="G13" s="1720">
        <v>13567272.48</v>
      </c>
      <c r="H13" s="1566">
        <f>'[2]รายละเอียดรายจ่าย  '!H131</f>
        <v>18135519.539999999</v>
      </c>
      <c r="I13" s="1566">
        <v>13978607.67</v>
      </c>
      <c r="J13" s="1566">
        <f>+'[2]รายละเอียดรายจ่าย  '!K131</f>
        <v>12299449.889999999</v>
      </c>
      <c r="K13" s="1566">
        <f t="shared" si="0"/>
        <v>14759339.867999997</v>
      </c>
      <c r="L13" s="1566">
        <f>+รายละเอียดรายจ่าย!Q199</f>
        <v>13893664.469999999</v>
      </c>
      <c r="M13" s="1566">
        <f>+รายละเอียดรายจ่าย!R199</f>
        <v>28042293.940000001</v>
      </c>
      <c r="N13" s="1566">
        <f>+รายละเอียดรายจ่าย!Y199</f>
        <v>22452939.98</v>
      </c>
      <c r="O13" s="1567"/>
      <c r="P13" s="1567">
        <f>+รายละเอียดรายจ่าย!AA199</f>
        <v>1972744.43</v>
      </c>
      <c r="Q13" s="1567">
        <f>+รายละเอียดรายจ่าย!AB199</f>
        <v>8.7861297084356256</v>
      </c>
      <c r="R13" s="1567">
        <f>+รายละเอียดรายจ่าย!AD199</f>
        <v>7760974.3300000001</v>
      </c>
      <c r="S13" s="1721">
        <f t="shared" si="1"/>
        <v>34.565514970035558</v>
      </c>
      <c r="T13" s="1721">
        <f>+รายละเอียดรายจ่าย!AF199</f>
        <v>22452939.98</v>
      </c>
      <c r="U13" s="1721"/>
      <c r="V13" s="1721">
        <f>+รายละเอียดรายจ่าย!AG199</f>
        <v>10621099.23</v>
      </c>
      <c r="W13" s="1721">
        <f>+V13/T17*100</f>
        <v>0.40115873643588951</v>
      </c>
      <c r="X13" s="1721">
        <f t="shared" si="2"/>
        <v>47.30382408477805</v>
      </c>
      <c r="Y13" s="1567">
        <f>+รายละเอียดรายจ่าย!AJ199</f>
        <v>22464939.98</v>
      </c>
      <c r="Z13" s="1567">
        <f>+รายละเอียดรายจ่าย!AK199</f>
        <v>24790281.41</v>
      </c>
      <c r="AA13" s="1567">
        <f>+รายละเอียดรายจ่าย!AL199</f>
        <v>110.35097993615916</v>
      </c>
      <c r="AB13" s="1722">
        <f>+รายละเอียดรายจ่าย!AN199</f>
        <v>12171005.09</v>
      </c>
      <c r="AC13" s="1722">
        <f>+รายละเอียดรายจ่าย!AO199</f>
        <v>12844076.01</v>
      </c>
      <c r="AD13" s="1723">
        <f t="shared" si="3"/>
        <v>105.53011780886537</v>
      </c>
      <c r="AE13" s="1566">
        <f>+รายละเอียดรายจ่าย!AR199</f>
        <v>19450810.630000003</v>
      </c>
      <c r="AF13" s="1566">
        <f t="shared" si="4"/>
        <v>159.81268996412854</v>
      </c>
      <c r="AG13" s="1566">
        <f>+รายละเอียดรายจ่าย!AU199</f>
        <v>27825000</v>
      </c>
      <c r="AH13" s="1567">
        <f t="shared" si="5"/>
        <v>6606734.6200000029</v>
      </c>
      <c r="AI13" s="1567">
        <f t="shared" si="6"/>
        <v>33.966371611320355</v>
      </c>
      <c r="AJ13" s="1945"/>
      <c r="AK13" s="1727" t="s">
        <v>1489</v>
      </c>
      <c r="AL13" s="1017">
        <f t="shared" si="7"/>
        <v>101.8351170099907</v>
      </c>
      <c r="AM13" s="1017">
        <f t="shared" si="8"/>
        <v>-19.931871379563752</v>
      </c>
    </row>
    <row r="14" spans="2:39" s="941" customFormat="1" ht="27" customHeight="1">
      <c r="B14" s="947" t="s">
        <v>1491</v>
      </c>
      <c r="C14" s="948">
        <v>0</v>
      </c>
      <c r="D14" s="990">
        <v>0</v>
      </c>
      <c r="E14" s="990">
        <v>0</v>
      </c>
      <c r="F14" s="999">
        <v>0</v>
      </c>
      <c r="G14" s="999">
        <v>19125843.02</v>
      </c>
      <c r="H14" s="943">
        <f>'[2]รายละเอียดรายจ่าย  '!H149</f>
        <v>19125843.02</v>
      </c>
      <c r="I14" s="943"/>
      <c r="J14" s="943">
        <f>+'[2]รายละเอียดรายจ่าย  '!K149</f>
        <v>4357500</v>
      </c>
      <c r="K14" s="943">
        <f>+J14</f>
        <v>4357500</v>
      </c>
      <c r="L14" s="999">
        <v>0</v>
      </c>
      <c r="M14" s="999">
        <v>0</v>
      </c>
      <c r="N14" s="943">
        <f>+รายละเอียดรายจ่าย!Y218</f>
        <v>1582997.38</v>
      </c>
      <c r="O14" s="944"/>
      <c r="P14" s="1000">
        <f>+รายละเอียดรายจ่าย!AA218</f>
        <v>0</v>
      </c>
      <c r="Q14" s="944"/>
      <c r="R14" s="944">
        <f>+รายละเอียดรายจ่าย!AD218</f>
        <v>0</v>
      </c>
      <c r="S14" s="992">
        <f t="shared" si="1"/>
        <v>0</v>
      </c>
      <c r="T14" s="994">
        <f>+รายละเอียดรายจ่าย!AF218</f>
        <v>820997.38</v>
      </c>
      <c r="U14" s="992"/>
      <c r="V14" s="993">
        <f>+รายละเอียดรายจ่าย!AG218</f>
        <v>232250</v>
      </c>
      <c r="W14" s="993">
        <f>+V14/T17*100</f>
        <v>8.7720785315773143E-3</v>
      </c>
      <c r="X14" s="993">
        <f t="shared" si="2"/>
        <v>28.288762626745534</v>
      </c>
      <c r="Y14" s="1001">
        <f>+รายละเอียดรายจ่าย!AJ218</f>
        <v>820997.38</v>
      </c>
      <c r="Z14" s="1001">
        <f>+รายละเอียดรายจ่าย!AW218</f>
        <v>325000</v>
      </c>
      <c r="AA14" s="944">
        <f>+รายละเอียดรายจ่าย!AL218</f>
        <v>39.585997217189657</v>
      </c>
      <c r="AB14" s="1394">
        <f>+รายละเอียดรายจ่าย!AN218</f>
        <v>0</v>
      </c>
      <c r="AC14" s="1691">
        <f>+รายละเอียดรายจ่าย!AO218</f>
        <v>0</v>
      </c>
      <c r="AD14" s="1725">
        <v>0</v>
      </c>
      <c r="AE14" s="949">
        <f>+รายละเอียดรายจ่าย!AR218</f>
        <v>0</v>
      </c>
      <c r="AF14" s="949">
        <v>0</v>
      </c>
      <c r="AG14" s="949">
        <f>+รายละเอียดรายจ่าย!AU218</f>
        <v>0</v>
      </c>
      <c r="AH14" s="944">
        <f t="shared" si="5"/>
        <v>0</v>
      </c>
      <c r="AI14" s="944">
        <v>0</v>
      </c>
      <c r="AJ14" s="944"/>
      <c r="AL14" s="937" t="e">
        <f t="shared" si="7"/>
        <v>#DIV/0!</v>
      </c>
      <c r="AM14" s="937" t="e">
        <f t="shared" si="8"/>
        <v>#DIV/0!</v>
      </c>
    </row>
    <row r="15" spans="2:39" s="941" customFormat="1" ht="27" customHeight="1">
      <c r="B15" s="947" t="str">
        <f>+รายละเอียดรายจ่าย!C219</f>
        <v>งบบริหารจัดการแรงงานต่างด้าว</v>
      </c>
      <c r="C15" s="948"/>
      <c r="D15" s="990"/>
      <c r="E15" s="990">
        <v>0</v>
      </c>
      <c r="F15" s="999">
        <v>0</v>
      </c>
      <c r="G15" s="999"/>
      <c r="H15" s="999">
        <v>0</v>
      </c>
      <c r="I15" s="999"/>
      <c r="J15" s="999">
        <v>0</v>
      </c>
      <c r="K15" s="999">
        <v>0</v>
      </c>
      <c r="L15" s="999">
        <v>0</v>
      </c>
      <c r="M15" s="999">
        <v>0</v>
      </c>
      <c r="N15" s="943">
        <f>+รายละเอียดรายจ่าย!Y219</f>
        <v>4584828.4400000004</v>
      </c>
      <c r="O15" s="944"/>
      <c r="P15" s="1000">
        <f>+รายละเอียดรายจ่าย!AA219</f>
        <v>0</v>
      </c>
      <c r="Q15" s="944"/>
      <c r="R15" s="944">
        <f>+รายละเอียดรายจ่าย!AD219</f>
        <v>0</v>
      </c>
      <c r="S15" s="992">
        <f t="shared" si="1"/>
        <v>0</v>
      </c>
      <c r="T15" s="992">
        <f>+รายละเอียดรายจ่าย!AF219</f>
        <v>4584828.4400000004</v>
      </c>
      <c r="U15" s="992"/>
      <c r="V15" s="993">
        <f>+รายละเอียดรายจ่าย!AG219</f>
        <v>0</v>
      </c>
      <c r="W15" s="993">
        <f>+V15/T17*100</f>
        <v>0</v>
      </c>
      <c r="X15" s="993">
        <f t="shared" si="2"/>
        <v>0</v>
      </c>
      <c r="Y15" s="1001">
        <f>+รายละเอียดรายจ่าย!AJ219</f>
        <v>4584828.4400000004</v>
      </c>
      <c r="Z15" s="1001">
        <f>+รายละเอียดรายจ่าย!AK219</f>
        <v>1910941.2</v>
      </c>
      <c r="AA15" s="944">
        <f>+รายละเอียดรายจ่าย!AL219</f>
        <v>41.67966642607896</v>
      </c>
      <c r="AB15" s="1394">
        <f>+รายละเอียดรายจ่าย!AN219</f>
        <v>4117390</v>
      </c>
      <c r="AC15" s="1691">
        <f>+รายละเอียดรายจ่าย!AO219</f>
        <v>0</v>
      </c>
      <c r="AD15" s="1725">
        <v>0</v>
      </c>
      <c r="AE15" s="949">
        <f>+รายละเอียดรายจ่าย!AR219</f>
        <v>0</v>
      </c>
      <c r="AF15" s="949">
        <f t="shared" si="4"/>
        <v>0</v>
      </c>
      <c r="AG15" s="949">
        <f>+รายละเอียดรายจ่าย!AU219</f>
        <v>4117390</v>
      </c>
      <c r="AH15" s="944">
        <f t="shared" si="5"/>
        <v>0</v>
      </c>
      <c r="AI15" s="944">
        <v>0</v>
      </c>
      <c r="AJ15" s="944"/>
      <c r="AL15" s="937" t="e">
        <f t="shared" si="7"/>
        <v>#DIV/0!</v>
      </c>
      <c r="AM15" s="937" t="e">
        <f t="shared" si="8"/>
        <v>#DIV/0!</v>
      </c>
    </row>
    <row r="16" spans="2:39" s="941" customFormat="1" ht="27" customHeight="1">
      <c r="B16" s="1759" t="s">
        <v>244</v>
      </c>
      <c r="C16" s="955">
        <v>0</v>
      </c>
      <c r="D16" s="955">
        <v>0</v>
      </c>
      <c r="E16" s="955">
        <v>10403519.51</v>
      </c>
      <c r="F16" s="1574">
        <v>0</v>
      </c>
      <c r="G16" s="1574">
        <v>12000000</v>
      </c>
      <c r="H16" s="1002">
        <v>0</v>
      </c>
      <c r="I16" s="1002">
        <v>10000000</v>
      </c>
      <c r="J16" s="1002">
        <v>0</v>
      </c>
      <c r="K16" s="955">
        <f t="shared" si="0"/>
        <v>0</v>
      </c>
      <c r="L16" s="955">
        <f>+รายละเอียดรายจ่าย!Q224</f>
        <v>2000000</v>
      </c>
      <c r="M16" s="1002">
        <v>0</v>
      </c>
      <c r="N16" s="955">
        <f>+รายละเอียดรายจ่าย!Y224</f>
        <v>10000000</v>
      </c>
      <c r="O16" s="953"/>
      <c r="P16" s="1003">
        <f>+รายละเอียดรายจ่าย!AA220</f>
        <v>0</v>
      </c>
      <c r="Q16" s="953"/>
      <c r="R16" s="953">
        <f>+รายละเอียดรายจ่าย!AD224</f>
        <v>0</v>
      </c>
      <c r="S16" s="954">
        <f t="shared" si="1"/>
        <v>0</v>
      </c>
      <c r="T16" s="954">
        <f>+รายละเอียดรายจ่าย!AF224</f>
        <v>10000000</v>
      </c>
      <c r="U16" s="954"/>
      <c r="V16" s="1004">
        <f>+รายละเอียดรายจ่าย!AG224</f>
        <v>0</v>
      </c>
      <c r="W16" s="1004">
        <f>+V16/T17*100</f>
        <v>0</v>
      </c>
      <c r="X16" s="1004">
        <f t="shared" si="2"/>
        <v>0</v>
      </c>
      <c r="Y16" s="1005">
        <f>+รายละเอียดรายจ่าย!AJ224</f>
        <v>10000000</v>
      </c>
      <c r="Z16" s="1005">
        <f>+รายละเอียดรายจ่าย!AK224</f>
        <v>0</v>
      </c>
      <c r="AA16" s="953">
        <f>+รายละเอียดรายจ่าย!AL224</f>
        <v>0</v>
      </c>
      <c r="AB16" s="1395">
        <f>+รายละเอียดรายจ่าย!AN224</f>
        <v>10000000</v>
      </c>
      <c r="AC16" s="1692">
        <f>+รายละเอียดรายจ่าย!AO224</f>
        <v>0</v>
      </c>
      <c r="AD16" s="1726">
        <v>0</v>
      </c>
      <c r="AE16" s="1574">
        <f>+รายละเอียดรายจ่าย!AR224</f>
        <v>0</v>
      </c>
      <c r="AF16" s="1574">
        <f t="shared" si="4"/>
        <v>0</v>
      </c>
      <c r="AG16" s="1574">
        <f>+รายละเอียดรายจ่าย!AU224</f>
        <v>10000000</v>
      </c>
      <c r="AH16" s="953">
        <f t="shared" si="5"/>
        <v>0</v>
      </c>
      <c r="AI16" s="953">
        <v>0</v>
      </c>
      <c r="AJ16" s="953"/>
      <c r="AL16" s="937">
        <f t="shared" si="7"/>
        <v>-100</v>
      </c>
      <c r="AM16" s="937" t="e">
        <f t="shared" si="8"/>
        <v>#DIV/0!</v>
      </c>
    </row>
    <row r="17" spans="2:36" s="1009" customFormat="1" ht="27" customHeight="1">
      <c r="B17" s="1946" t="s">
        <v>4</v>
      </c>
      <c r="C17" s="1947">
        <f t="shared" ref="C17:J17" si="9">SUM(C5:C16)</f>
        <v>1635210036.9199998</v>
      </c>
      <c r="D17" s="1948">
        <f t="shared" si="9"/>
        <v>1571111553.8300002</v>
      </c>
      <c r="E17" s="1948">
        <f t="shared" si="9"/>
        <v>1498007318.1099999</v>
      </c>
      <c r="F17" s="1949">
        <f t="shared" si="9"/>
        <v>1634485715.3099999</v>
      </c>
      <c r="G17" s="1949">
        <f t="shared" si="9"/>
        <v>1819648513.5</v>
      </c>
      <c r="H17" s="1948">
        <f>SUM(H5:H16)</f>
        <v>1808104285.55</v>
      </c>
      <c r="I17" s="1948">
        <f t="shared" si="9"/>
        <v>2009880953.28</v>
      </c>
      <c r="J17" s="1950">
        <f t="shared" si="9"/>
        <v>1794536654.4400001</v>
      </c>
      <c r="K17" s="1950">
        <f>+(J17/10)*12</f>
        <v>2153443985.3280001</v>
      </c>
      <c r="L17" s="1950">
        <f>+L5+L6+L7+L8+L9+L10+L11+L12+L13+L14+L16</f>
        <v>1732726363.4200001</v>
      </c>
      <c r="M17" s="1950">
        <f>SUM(M5:M16)</f>
        <v>2187701344.96</v>
      </c>
      <c r="N17" s="1950">
        <f>SUM(N5:N16)</f>
        <v>2408164387.9400001</v>
      </c>
      <c r="O17" s="1951"/>
      <c r="P17" s="1008">
        <f>+รายละเอียดรายจ่าย!AA225</f>
        <v>518500282.11000001</v>
      </c>
      <c r="Q17" s="1008">
        <f>+รายละเอียดรายจ่าย!AB225</f>
        <v>21.530933880869206</v>
      </c>
      <c r="R17" s="1008">
        <f>SUM(R5:R16)</f>
        <v>1047128177.27</v>
      </c>
      <c r="S17" s="1952">
        <f t="shared" si="1"/>
        <v>43.482420988948263</v>
      </c>
      <c r="T17" s="1952">
        <f>SUM(T5:T16)</f>
        <v>2647605116.21</v>
      </c>
      <c r="U17" s="1952"/>
      <c r="V17" s="1952">
        <f>SUM(V5:V16)-V14</f>
        <v>1582214359.8600001</v>
      </c>
      <c r="W17" s="1952">
        <f>+V17/T17*100</f>
        <v>59.760209336840688</v>
      </c>
      <c r="X17" s="1952">
        <f t="shared" si="2"/>
        <v>59.760209336840688</v>
      </c>
      <c r="Y17" s="1008">
        <f>SUM(Y5:Y16)</f>
        <v>2306820633.71</v>
      </c>
      <c r="Z17" s="1008">
        <f>SUM(Z5:Z16)</f>
        <v>2272461201.8199997</v>
      </c>
      <c r="AA17" s="1008">
        <f>+รายละเอียดรายจ่าย!AL225</f>
        <v>98.510528673625529</v>
      </c>
      <c r="AB17" s="1008">
        <f>SUM(AB5:AB16)</f>
        <v>2802678855.8466668</v>
      </c>
      <c r="AC17" s="1008">
        <f>SUM(AC5:AC16)</f>
        <v>628138259.96999991</v>
      </c>
      <c r="AD17" s="1953">
        <f t="shared" si="3"/>
        <v>22.412066893059869</v>
      </c>
      <c r="AE17" s="1954">
        <f>SUM(AE5:AE16)</f>
        <v>1289780534.4300001</v>
      </c>
      <c r="AF17" s="1954">
        <f t="shared" si="4"/>
        <v>46.019562025074315</v>
      </c>
      <c r="AG17" s="1008">
        <f>+รายละเอียดรายจ่าย!AU225</f>
        <v>2629490512.7966666</v>
      </c>
      <c r="AH17" s="1008">
        <f t="shared" si="5"/>
        <v>661642274.46000016</v>
      </c>
      <c r="AI17" s="1008">
        <f>(AH17/AE17)*100</f>
        <v>51.298826179944122</v>
      </c>
      <c r="AJ17" s="1955"/>
    </row>
    <row r="18" spans="2:36">
      <c r="F18" s="928" t="s">
        <v>518</v>
      </c>
      <c r="O18" s="1010"/>
      <c r="P18" s="1010"/>
      <c r="Q18" s="1010"/>
      <c r="R18" s="1010"/>
      <c r="S18" s="1011"/>
      <c r="T18" s="1011"/>
      <c r="U18" s="1011"/>
      <c r="V18" s="1011"/>
      <c r="W18" s="1011"/>
      <c r="X18" s="1011"/>
      <c r="Y18" s="1010"/>
      <c r="Z18" s="1010"/>
      <c r="AA18" s="1010"/>
      <c r="AB18" s="1611">
        <f>+AB17-AB10-AB11</f>
        <v>2144502085.0900002</v>
      </c>
      <c r="AC18" s="1611"/>
      <c r="AD18" s="1611">
        <f>+AC17+41982193.76</f>
        <v>670120453.7299999</v>
      </c>
      <c r="AE18" s="1611"/>
      <c r="AF18" s="1611"/>
      <c r="AG18" s="1944"/>
      <c r="AH18" s="1928"/>
      <c r="AI18" s="1928"/>
      <c r="AJ18" s="1928"/>
    </row>
    <row r="19" spans="2:36">
      <c r="B19" s="928">
        <v>64</v>
      </c>
      <c r="E19" s="1010">
        <f>+F17/E17*100</f>
        <v>109.11066291533152</v>
      </c>
      <c r="T19" s="1011">
        <f>+T17-200000000</f>
        <v>2447605116.21</v>
      </c>
      <c r="Y19" s="1010">
        <f>+(Y10+Y11)/Y17*100</f>
        <v>7.4734838673925763</v>
      </c>
      <c r="Z19" s="1010"/>
      <c r="AA19" s="1010"/>
      <c r="AB19" s="1010"/>
      <c r="AC19" s="1010"/>
      <c r="AD19" s="1010">
        <f>+AD18/AB17*100</f>
        <v>23.909997834110104</v>
      </c>
      <c r="AE19" s="1010"/>
      <c r="AF19" s="1010"/>
      <c r="AG19" s="1010"/>
      <c r="AH19" s="1010"/>
      <c r="AI19" s="1010"/>
      <c r="AJ19" s="1010"/>
    </row>
    <row r="20" spans="2:36" s="1016" customFormat="1" ht="38.450000000000003" customHeight="1">
      <c r="B20" s="1012">
        <v>65</v>
      </c>
      <c r="C20" s="1013"/>
      <c r="D20" s="1013"/>
      <c r="E20" s="1014">
        <f>+H17/G17*100</f>
        <v>99.36557923882809</v>
      </c>
      <c r="F20" s="1013"/>
      <c r="G20" s="1013"/>
      <c r="H20" s="1013"/>
      <c r="I20" s="1015"/>
      <c r="L20" s="1017"/>
      <c r="M20" s="1017"/>
      <c r="N20" s="1018">
        <f>+(N17-M17)*100/M17</f>
        <v>10.077382979532381</v>
      </c>
      <c r="O20" s="1019"/>
      <c r="P20" s="1019"/>
      <c r="Q20" s="1019"/>
      <c r="R20" s="1019"/>
      <c r="S20" s="1020" t="s">
        <v>9</v>
      </c>
      <c r="T20" s="1021">
        <v>28000000</v>
      </c>
      <c r="U20" s="1020"/>
      <c r="V20" s="1020">
        <f>+รายละเอียดรายจ่าย!AF196-ประมาณการรายจ่าย!T20</f>
        <v>145640511.13999999</v>
      </c>
      <c r="W20" s="1020"/>
      <c r="X20" s="1020"/>
      <c r="Y20" s="1019"/>
      <c r="Z20" s="1019"/>
      <c r="AA20" s="1019"/>
      <c r="AB20" s="1019"/>
      <c r="AC20" s="1019"/>
      <c r="AD20" s="1019"/>
      <c r="AE20" s="1019"/>
      <c r="AF20" s="1019"/>
      <c r="AG20" s="1019"/>
      <c r="AH20" s="1019"/>
      <c r="AI20" s="1019"/>
      <c r="AJ20" s="1019"/>
    </row>
    <row r="21" spans="2:36" ht="26.25" customHeight="1">
      <c r="B21" s="928">
        <v>66</v>
      </c>
      <c r="C21" s="2764"/>
      <c r="D21" s="2764"/>
      <c r="E21" s="1022">
        <f>+J17/I17*100</f>
        <v>89.285718714405874</v>
      </c>
      <c r="F21" s="979"/>
      <c r="G21" s="979"/>
      <c r="H21" s="979"/>
      <c r="I21" s="979"/>
      <c r="T21" s="1011"/>
    </row>
    <row r="22" spans="2:36" ht="26.25" customHeight="1">
      <c r="B22" s="928">
        <v>67</v>
      </c>
      <c r="E22" s="1010">
        <f>+M17/L17*100</f>
        <v>126.25775143410326</v>
      </c>
      <c r="J22" s="1010"/>
      <c r="K22" s="1010"/>
      <c r="L22" s="1010"/>
      <c r="M22" s="1010"/>
      <c r="N22" s="1010"/>
      <c r="O22" s="1010"/>
      <c r="P22" s="1010"/>
      <c r="Q22" s="1010"/>
      <c r="R22" s="1010"/>
      <c r="S22" s="1011"/>
      <c r="T22" s="1011"/>
      <c r="U22" s="1011"/>
      <c r="V22" s="1011"/>
      <c r="W22" s="1011"/>
      <c r="X22" s="1011"/>
      <c r="Y22" s="1010"/>
      <c r="Z22" s="1010"/>
      <c r="AA22" s="1010"/>
      <c r="AB22" s="1010"/>
      <c r="AC22" s="1010"/>
      <c r="AD22" s="1010"/>
      <c r="AE22" s="1010"/>
      <c r="AF22" s="1010"/>
      <c r="AG22" s="1010"/>
      <c r="AH22" s="1010"/>
      <c r="AI22" s="1010"/>
      <c r="AJ22" s="1010"/>
    </row>
    <row r="23" spans="2:36">
      <c r="L23" s="1010"/>
      <c r="M23" s="1010"/>
      <c r="N23" s="1010"/>
    </row>
    <row r="42" spans="20:36" ht="24.75" thickBot="1"/>
    <row r="43" spans="20:36" ht="24.75" thickBot="1">
      <c r="T43" s="1023">
        <v>1680630004.9000001</v>
      </c>
      <c r="U43" s="1024">
        <v>1634485715.3099999</v>
      </c>
      <c r="V43" s="1025"/>
      <c r="W43" s="1025"/>
      <c r="X43" s="1025"/>
      <c r="Y43" s="1026">
        <f>+T43-U43</f>
        <v>46144289.590000153</v>
      </c>
      <c r="Z43" s="1026"/>
      <c r="AA43" s="1026"/>
      <c r="AB43" s="1026"/>
      <c r="AC43" s="1026"/>
      <c r="AD43" s="1026"/>
      <c r="AE43" s="1026"/>
      <c r="AF43" s="1026"/>
      <c r="AG43" s="1026"/>
      <c r="AH43" s="1026"/>
      <c r="AI43" s="1026"/>
      <c r="AJ43" s="1026"/>
    </row>
    <row r="44" spans="20:36" ht="24.75" thickBot="1">
      <c r="T44" s="1027">
        <v>1648441019.53</v>
      </c>
      <c r="U44" s="1028">
        <v>1808104285.55</v>
      </c>
      <c r="V44" s="1025"/>
      <c r="W44" s="1025"/>
      <c r="X44" s="1025"/>
      <c r="Y44" s="1026">
        <f t="shared" ref="Y44:Y47" si="10">+T44-U44</f>
        <v>-159663266.01999998</v>
      </c>
      <c r="Z44" s="1026"/>
      <c r="AA44" s="1026"/>
      <c r="AB44" s="1026"/>
      <c r="AC44" s="1026"/>
      <c r="AD44" s="1026"/>
      <c r="AE44" s="1026"/>
      <c r="AF44" s="1026"/>
      <c r="AG44" s="1026"/>
      <c r="AH44" s="1026"/>
      <c r="AI44" s="1026"/>
      <c r="AJ44" s="1026"/>
    </row>
    <row r="45" spans="20:36" ht="24.75" thickBot="1">
      <c r="T45" s="1027">
        <v>1774113364.95</v>
      </c>
      <c r="U45" s="1028">
        <v>1794536654.4400001</v>
      </c>
      <c r="V45" s="1025"/>
      <c r="W45" s="1025"/>
      <c r="X45" s="1025"/>
      <c r="Y45" s="1026">
        <f t="shared" si="10"/>
        <v>-20423289.49000001</v>
      </c>
      <c r="Z45" s="1026"/>
      <c r="AA45" s="1026"/>
      <c r="AB45" s="1026"/>
      <c r="AC45" s="1026"/>
      <c r="AD45" s="1026"/>
      <c r="AE45" s="1026"/>
      <c r="AF45" s="1026"/>
      <c r="AG45" s="1026"/>
      <c r="AH45" s="1026"/>
      <c r="AI45" s="1026"/>
      <c r="AJ45" s="1026"/>
    </row>
    <row r="46" spans="20:36" ht="24.75" thickBot="1">
      <c r="T46" s="1027">
        <v>2199452251.0100002</v>
      </c>
      <c r="U46" s="1028">
        <v>2187708275.04</v>
      </c>
      <c r="V46" s="1025"/>
      <c r="W46" s="1025"/>
      <c r="X46" s="1025"/>
      <c r="Y46" s="1026">
        <f t="shared" si="10"/>
        <v>11743975.970000267</v>
      </c>
      <c r="Z46" s="1026"/>
      <c r="AA46" s="1026"/>
      <c r="AB46" s="1026"/>
      <c r="AC46" s="1026"/>
      <c r="AD46" s="1026"/>
      <c r="AE46" s="1026"/>
      <c r="AF46" s="1026"/>
      <c r="AG46" s="1026"/>
      <c r="AH46" s="1026"/>
      <c r="AI46" s="1026"/>
      <c r="AJ46" s="1026"/>
    </row>
    <row r="47" spans="20:36" ht="24.75" thickBot="1">
      <c r="T47" s="1029">
        <v>1487137789.52</v>
      </c>
      <c r="U47" s="1028">
        <v>1047128177.27</v>
      </c>
      <c r="V47" s="1025"/>
      <c r="W47" s="1025"/>
      <c r="X47" s="1025"/>
      <c r="Y47" s="1026">
        <f t="shared" si="10"/>
        <v>440009612.25</v>
      </c>
      <c r="Z47" s="1026"/>
      <c r="AA47" s="1026"/>
      <c r="AB47" s="1026"/>
      <c r="AC47" s="1026"/>
      <c r="AD47" s="1026"/>
      <c r="AE47" s="1026"/>
      <c r="AF47" s="1026"/>
      <c r="AG47" s="1026"/>
      <c r="AH47" s="1026"/>
      <c r="AI47" s="1026"/>
      <c r="AJ47" s="1026"/>
    </row>
  </sheetData>
  <mergeCells count="29">
    <mergeCell ref="AJ3:AJ4"/>
    <mergeCell ref="AC3:AF3"/>
    <mergeCell ref="B1:AJ1"/>
    <mergeCell ref="AH3:AH4"/>
    <mergeCell ref="AI3:AI4"/>
    <mergeCell ref="AB3:AB4"/>
    <mergeCell ref="Y3:Y4"/>
    <mergeCell ref="Z3:AA4"/>
    <mergeCell ref="U3:U4"/>
    <mergeCell ref="R3:S3"/>
    <mergeCell ref="O3:O4"/>
    <mergeCell ref="I3:I4"/>
    <mergeCell ref="V3:X3"/>
    <mergeCell ref="P3:Q3"/>
    <mergeCell ref="AG3:AG4"/>
    <mergeCell ref="B3:B4"/>
    <mergeCell ref="T3:T4"/>
    <mergeCell ref="C21:D21"/>
    <mergeCell ref="L3:L4"/>
    <mergeCell ref="M3:M4"/>
    <mergeCell ref="N3:N4"/>
    <mergeCell ref="J3:J4"/>
    <mergeCell ref="K3:K4"/>
    <mergeCell ref="C3:C4"/>
    <mergeCell ref="D3:D4"/>
    <mergeCell ref="F3:F4"/>
    <mergeCell ref="H3:H4"/>
    <mergeCell ref="E3:E4"/>
    <mergeCell ref="G3:G4"/>
  </mergeCells>
  <pageMargins left="0.19685039370078741" right="0.19685039370078741" top="0.78740157480314965" bottom="0.47244094488188981" header="0.31496062992125984" footer="0.11811023622047245"/>
  <pageSetup paperSize="9" scale="75" firstPageNumber="18" orientation="landscape" useFirstPageNumber="1" horizontalDpi="4294967293" r:id="rId1"/>
  <headerFooter>
    <oddFooter>&amp;C&amp;14&amp;P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M1181"/>
  <sheetViews>
    <sheetView topLeftCell="A262" zoomScale="110" zoomScaleNormal="110" zoomScaleSheetLayoutView="80" workbookViewId="0">
      <selection activeCell="B223" sqref="B223"/>
    </sheetView>
  </sheetViews>
  <sheetFormatPr defaultColWidth="11" defaultRowHeight="15.75" customHeight="1"/>
  <cols>
    <col min="1" max="1" width="7.28515625" style="185" customWidth="1"/>
    <col min="2" max="2" width="74.28515625" style="185" customWidth="1"/>
    <col min="3" max="3" width="7.7109375" style="411" customWidth="1"/>
    <col min="4" max="4" width="15" style="186" customWidth="1"/>
    <col min="5" max="5" width="16.140625" style="461" customWidth="1"/>
    <col min="6" max="6" width="29.42578125" style="185" customWidth="1"/>
    <col min="7" max="7" width="16.85546875" style="185" customWidth="1"/>
    <col min="8" max="8" width="36.42578125" style="185" customWidth="1"/>
    <col min="9" max="9" width="13.7109375" style="189" customWidth="1"/>
    <col min="10" max="16384" width="11" style="185"/>
  </cols>
  <sheetData>
    <row r="1" spans="1:13" ht="35.25" customHeight="1">
      <c r="A1" s="2808" t="s">
        <v>726</v>
      </c>
      <c r="B1" s="2808"/>
      <c r="C1" s="2808"/>
      <c r="D1" s="2808"/>
      <c r="E1" s="2808"/>
      <c r="F1" s="2808"/>
      <c r="G1" s="2808"/>
      <c r="H1" s="2808"/>
    </row>
    <row r="2" spans="1:13" ht="66.75" customHeight="1">
      <c r="A2" s="243" t="s">
        <v>2</v>
      </c>
      <c r="B2" s="243" t="s">
        <v>3</v>
      </c>
      <c r="C2" s="243" t="s">
        <v>385</v>
      </c>
      <c r="D2" s="243" t="s">
        <v>386</v>
      </c>
      <c r="E2" s="493" t="s">
        <v>387</v>
      </c>
      <c r="F2" s="243" t="s">
        <v>388</v>
      </c>
      <c r="G2" s="243" t="s">
        <v>727</v>
      </c>
      <c r="H2" s="243" t="s">
        <v>221</v>
      </c>
    </row>
    <row r="3" spans="1:13" ht="24" customHeight="1">
      <c r="A3" s="227">
        <v>1</v>
      </c>
      <c r="B3" s="226" t="s">
        <v>647</v>
      </c>
      <c r="C3" s="227">
        <v>1</v>
      </c>
      <c r="D3" s="261">
        <v>2247000</v>
      </c>
      <c r="E3" s="261">
        <f t="shared" ref="E3:E109" si="0">C3*D3</f>
        <v>2247000</v>
      </c>
      <c r="F3" s="226" t="s">
        <v>412</v>
      </c>
      <c r="G3" s="226" t="s">
        <v>464</v>
      </c>
      <c r="H3" s="264" t="s">
        <v>411</v>
      </c>
      <c r="I3" s="638"/>
      <c r="J3" s="181" t="s">
        <v>1065</v>
      </c>
      <c r="K3" s="181"/>
      <c r="L3" s="181"/>
      <c r="M3" s="181"/>
    </row>
    <row r="4" spans="1:13" ht="24" customHeight="1">
      <c r="A4" s="227">
        <v>2</v>
      </c>
      <c r="B4" s="218" t="s">
        <v>440</v>
      </c>
      <c r="C4" s="220">
        <v>1</v>
      </c>
      <c r="D4" s="228">
        <v>2200000</v>
      </c>
      <c r="E4" s="261">
        <f t="shared" si="0"/>
        <v>2200000</v>
      </c>
      <c r="F4" s="225" t="s">
        <v>421</v>
      </c>
      <c r="G4" s="226" t="s">
        <v>464</v>
      </c>
      <c r="H4" s="264" t="s">
        <v>411</v>
      </c>
      <c r="I4" s="375"/>
      <c r="J4" s="181" t="s">
        <v>1065</v>
      </c>
      <c r="K4" s="181"/>
      <c r="L4" s="181"/>
      <c r="M4" s="181"/>
    </row>
    <row r="5" spans="1:13" ht="24" customHeight="1">
      <c r="A5" s="227">
        <v>3</v>
      </c>
      <c r="B5" s="218" t="s">
        <v>443</v>
      </c>
      <c r="C5" s="220">
        <v>1</v>
      </c>
      <c r="D5" s="228">
        <v>1760000</v>
      </c>
      <c r="E5" s="261">
        <f>C5*D5</f>
        <v>1760000</v>
      </c>
      <c r="F5" s="225" t="s">
        <v>421</v>
      </c>
      <c r="G5" s="225" t="s">
        <v>464</v>
      </c>
      <c r="H5" s="230" t="str">
        <f>+H4</f>
        <v>14.เบิกจ่ายแล้ว</v>
      </c>
      <c r="I5" s="180"/>
      <c r="J5" s="181"/>
      <c r="K5" s="181"/>
      <c r="L5" s="181"/>
      <c r="M5" s="181"/>
    </row>
    <row r="6" spans="1:13" ht="24" customHeight="1">
      <c r="A6" s="227">
        <v>4</v>
      </c>
      <c r="B6" s="218" t="s">
        <v>442</v>
      </c>
      <c r="C6" s="220">
        <v>1</v>
      </c>
      <c r="D6" s="228">
        <v>1450000</v>
      </c>
      <c r="E6" s="261">
        <f>C6*D6</f>
        <v>1450000</v>
      </c>
      <c r="F6" s="225" t="s">
        <v>421</v>
      </c>
      <c r="G6" s="225" t="s">
        <v>464</v>
      </c>
      <c r="H6" s="230" t="str">
        <f>+H5</f>
        <v>14.เบิกจ่ายแล้ว</v>
      </c>
      <c r="I6" s="606"/>
      <c r="J6" s="181" t="s">
        <v>1066</v>
      </c>
      <c r="K6" s="181"/>
      <c r="L6" s="181"/>
      <c r="M6" s="181"/>
    </row>
    <row r="7" spans="1:13" s="189" customFormat="1" ht="24" customHeight="1">
      <c r="A7" s="227">
        <v>5</v>
      </c>
      <c r="B7" s="389" t="s">
        <v>579</v>
      </c>
      <c r="C7" s="479">
        <v>1</v>
      </c>
      <c r="D7" s="265">
        <v>1600000</v>
      </c>
      <c r="E7" s="364">
        <f>C7*D7</f>
        <v>1600000</v>
      </c>
      <c r="F7" s="390" t="s">
        <v>574</v>
      </c>
      <c r="G7" s="225" t="s">
        <v>464</v>
      </c>
      <c r="H7" s="390" t="s">
        <v>1005</v>
      </c>
      <c r="I7" s="636"/>
      <c r="J7" s="180" t="s">
        <v>1066</v>
      </c>
      <c r="K7" s="180"/>
      <c r="L7" s="180"/>
      <c r="M7" s="180"/>
    </row>
    <row r="8" spans="1:13" ht="24" customHeight="1">
      <c r="A8" s="227">
        <v>6</v>
      </c>
      <c r="B8" s="264" t="s">
        <v>677</v>
      </c>
      <c r="C8" s="227">
        <v>1</v>
      </c>
      <c r="D8" s="229">
        <v>1250000</v>
      </c>
      <c r="E8" s="229">
        <v>1250000</v>
      </c>
      <c r="F8" s="232" t="s">
        <v>414</v>
      </c>
      <c r="G8" s="225" t="s">
        <v>464</v>
      </c>
      <c r="H8" s="232" t="s">
        <v>723</v>
      </c>
      <c r="I8" s="180"/>
      <c r="J8" s="181"/>
      <c r="K8" s="181"/>
      <c r="L8" s="181"/>
      <c r="M8" s="181"/>
    </row>
    <row r="9" spans="1:13" ht="21">
      <c r="A9" s="227">
        <v>7</v>
      </c>
      <c r="B9" s="478" t="s">
        <v>577</v>
      </c>
      <c r="C9" s="479">
        <v>1</v>
      </c>
      <c r="D9" s="265">
        <v>1250000</v>
      </c>
      <c r="E9" s="364">
        <v>1250000</v>
      </c>
      <c r="F9" s="478" t="s">
        <v>414</v>
      </c>
      <c r="G9" s="225" t="s">
        <v>464</v>
      </c>
      <c r="H9" s="391" t="s">
        <v>1054</v>
      </c>
      <c r="I9" s="180"/>
      <c r="J9" s="181"/>
      <c r="K9" s="181"/>
      <c r="L9" s="181"/>
      <c r="M9" s="181"/>
    </row>
    <row r="10" spans="1:13" ht="42">
      <c r="A10" s="227">
        <v>8</v>
      </c>
      <c r="B10" s="226" t="s">
        <v>427</v>
      </c>
      <c r="C10" s="227">
        <v>1</v>
      </c>
      <c r="D10" s="261">
        <v>1200000</v>
      </c>
      <c r="E10" s="261">
        <f>C10*D10</f>
        <v>1200000</v>
      </c>
      <c r="F10" s="226" t="s">
        <v>426</v>
      </c>
      <c r="G10" s="225" t="s">
        <v>464</v>
      </c>
      <c r="H10" s="232" t="str">
        <f>+H6</f>
        <v>14.เบิกจ่ายแล้ว</v>
      </c>
      <c r="I10" s="180"/>
      <c r="J10" s="181"/>
      <c r="K10" s="181"/>
      <c r="L10" s="181"/>
      <c r="M10" s="181"/>
    </row>
    <row r="11" spans="1:13" ht="24" customHeight="1">
      <c r="A11" s="227">
        <v>9</v>
      </c>
      <c r="B11" s="262" t="s">
        <v>433</v>
      </c>
      <c r="C11" s="227">
        <v>2</v>
      </c>
      <c r="D11" s="261">
        <v>250000</v>
      </c>
      <c r="E11" s="261">
        <f t="shared" ref="E11" si="1">C11*D11</f>
        <v>500000</v>
      </c>
      <c r="F11" s="226" t="s">
        <v>434</v>
      </c>
      <c r="G11" s="226" t="s">
        <v>464</v>
      </c>
      <c r="H11" s="602" t="s">
        <v>724</v>
      </c>
      <c r="I11" s="180"/>
      <c r="J11" s="181"/>
      <c r="K11" s="181"/>
      <c r="L11" s="181"/>
      <c r="M11" s="181"/>
    </row>
    <row r="12" spans="1:13" ht="24" customHeight="1">
      <c r="A12" s="227">
        <v>10</v>
      </c>
      <c r="B12" s="232" t="s">
        <v>448</v>
      </c>
      <c r="C12" s="227">
        <v>1</v>
      </c>
      <c r="D12" s="229">
        <v>499476</v>
      </c>
      <c r="E12" s="229">
        <f>C12*D12</f>
        <v>499476</v>
      </c>
      <c r="F12" s="232" t="s">
        <v>446</v>
      </c>
      <c r="G12" s="232" t="s">
        <v>464</v>
      </c>
      <c r="H12" s="242"/>
      <c r="I12" s="180"/>
      <c r="J12" s="181"/>
      <c r="K12" s="181"/>
      <c r="L12" s="181"/>
      <c r="M12" s="181"/>
    </row>
    <row r="13" spans="1:13" ht="24" customHeight="1">
      <c r="A13" s="227">
        <v>11</v>
      </c>
      <c r="B13" s="262" t="s">
        <v>435</v>
      </c>
      <c r="C13" s="227">
        <v>1</v>
      </c>
      <c r="D13" s="261">
        <v>490000</v>
      </c>
      <c r="E13" s="261">
        <f>C13*D13</f>
        <v>490000</v>
      </c>
      <c r="F13" s="226" t="s">
        <v>436</v>
      </c>
      <c r="G13" s="226" t="s">
        <v>464</v>
      </c>
      <c r="H13" s="372" t="str">
        <f>+H11</f>
        <v>9.รายงานผลการพิจารณาเสนอราคา</v>
      </c>
      <c r="I13" s="180"/>
      <c r="J13" s="181"/>
      <c r="K13" s="181"/>
      <c r="L13" s="181"/>
      <c r="M13" s="181"/>
    </row>
    <row r="14" spans="1:13" ht="24" customHeight="1">
      <c r="A14" s="227">
        <v>12</v>
      </c>
      <c r="B14" s="226" t="s">
        <v>437</v>
      </c>
      <c r="C14" s="227">
        <v>2</v>
      </c>
      <c r="D14" s="261">
        <v>225000</v>
      </c>
      <c r="E14" s="261">
        <f>C14*D14</f>
        <v>450000</v>
      </c>
      <c r="F14" s="226" t="s">
        <v>438</v>
      </c>
      <c r="G14" s="226" t="s">
        <v>464</v>
      </c>
      <c r="H14" s="372" t="str">
        <f>+H13</f>
        <v>9.รายงานผลการพิจารณาเสนอราคา</v>
      </c>
      <c r="I14" s="180"/>
      <c r="J14" s="181"/>
      <c r="K14" s="181"/>
      <c r="L14" s="181"/>
      <c r="M14" s="181"/>
    </row>
    <row r="15" spans="1:13" ht="24" customHeight="1">
      <c r="A15" s="227">
        <v>13</v>
      </c>
      <c r="B15" s="478" t="s">
        <v>578</v>
      </c>
      <c r="C15" s="479">
        <v>1</v>
      </c>
      <c r="D15" s="265">
        <v>330000</v>
      </c>
      <c r="E15" s="364">
        <v>330000</v>
      </c>
      <c r="F15" s="478" t="s">
        <v>453</v>
      </c>
      <c r="G15" s="478" t="s">
        <v>464</v>
      </c>
      <c r="H15" s="603" t="str">
        <f>+H148</f>
        <v>12.ครบกำหนดส่งมอบ</v>
      </c>
      <c r="I15" s="180"/>
      <c r="J15" s="181"/>
      <c r="K15" s="181"/>
      <c r="L15" s="181"/>
      <c r="M15" s="181"/>
    </row>
    <row r="16" spans="1:13" ht="24" customHeight="1">
      <c r="A16" s="227">
        <v>14</v>
      </c>
      <c r="B16" s="232" t="s">
        <v>450</v>
      </c>
      <c r="C16" s="227">
        <v>1</v>
      </c>
      <c r="D16" s="229">
        <v>330000</v>
      </c>
      <c r="E16" s="229">
        <f>C16*D16</f>
        <v>330000</v>
      </c>
      <c r="F16" s="232" t="s">
        <v>451</v>
      </c>
      <c r="G16" s="232" t="s">
        <v>464</v>
      </c>
      <c r="H16" s="603" t="str">
        <f t="shared" ref="H16:H22" si="2">+H15</f>
        <v>12.ครบกำหนดส่งมอบ</v>
      </c>
      <c r="I16" s="180"/>
      <c r="J16" s="181"/>
      <c r="K16" s="181"/>
      <c r="L16" s="181"/>
      <c r="M16" s="181"/>
    </row>
    <row r="17" spans="1:13" ht="24" customHeight="1">
      <c r="A17" s="227">
        <v>15</v>
      </c>
      <c r="B17" s="232" t="s">
        <v>452</v>
      </c>
      <c r="C17" s="227">
        <v>1</v>
      </c>
      <c r="D17" s="229">
        <v>317255</v>
      </c>
      <c r="E17" s="229">
        <v>317255</v>
      </c>
      <c r="F17" s="232" t="s">
        <v>417</v>
      </c>
      <c r="G17" s="232" t="s">
        <v>464</v>
      </c>
      <c r="H17" s="242" t="str">
        <f t="shared" si="2"/>
        <v>12.ครบกำหนดส่งมอบ</v>
      </c>
      <c r="I17" s="180"/>
      <c r="J17" s="181"/>
      <c r="K17" s="181"/>
      <c r="L17" s="181"/>
      <c r="M17" s="181"/>
    </row>
    <row r="18" spans="1:13" ht="24" customHeight="1">
      <c r="A18" s="227">
        <v>16</v>
      </c>
      <c r="B18" s="478" t="s">
        <v>580</v>
      </c>
      <c r="C18" s="479">
        <v>1</v>
      </c>
      <c r="D18" s="265">
        <v>250000</v>
      </c>
      <c r="E18" s="364">
        <f t="shared" ref="E18:E19" si="3">C18*D18</f>
        <v>250000</v>
      </c>
      <c r="F18" s="478" t="s">
        <v>429</v>
      </c>
      <c r="G18" s="478" t="s">
        <v>464</v>
      </c>
      <c r="H18" s="603" t="str">
        <f t="shared" si="2"/>
        <v>12.ครบกำหนดส่งมอบ</v>
      </c>
      <c r="I18" s="180"/>
      <c r="J18" s="181"/>
      <c r="K18" s="181"/>
      <c r="L18" s="181"/>
      <c r="M18" s="181"/>
    </row>
    <row r="19" spans="1:13" ht="24" customHeight="1">
      <c r="A19" s="227">
        <v>17</v>
      </c>
      <c r="B19" s="478" t="s">
        <v>581</v>
      </c>
      <c r="C19" s="479">
        <v>1</v>
      </c>
      <c r="D19" s="265">
        <v>229729</v>
      </c>
      <c r="E19" s="364">
        <f t="shared" si="3"/>
        <v>229729</v>
      </c>
      <c r="F19" s="478" t="s">
        <v>575</v>
      </c>
      <c r="G19" s="478" t="s">
        <v>464</v>
      </c>
      <c r="H19" s="603" t="str">
        <f t="shared" si="2"/>
        <v>12.ครบกำหนดส่งมอบ</v>
      </c>
      <c r="I19" s="180"/>
      <c r="J19" s="181"/>
      <c r="K19" s="181"/>
      <c r="L19" s="181"/>
      <c r="M19" s="181"/>
    </row>
    <row r="20" spans="1:13" ht="24" customHeight="1">
      <c r="A20" s="227">
        <v>18</v>
      </c>
      <c r="B20" s="262" t="s">
        <v>192</v>
      </c>
      <c r="C20" s="227">
        <v>2</v>
      </c>
      <c r="D20" s="261">
        <v>117500</v>
      </c>
      <c r="E20" s="261">
        <f>+C20*D20</f>
        <v>235000</v>
      </c>
      <c r="F20" s="226" t="s">
        <v>439</v>
      </c>
      <c r="G20" s="226" t="s">
        <v>464</v>
      </c>
      <c r="H20" s="242" t="str">
        <f t="shared" si="2"/>
        <v>12.ครบกำหนดส่งมอบ</v>
      </c>
      <c r="I20" s="180"/>
      <c r="J20" s="181"/>
      <c r="K20" s="181"/>
      <c r="L20" s="181"/>
      <c r="M20" s="181"/>
    </row>
    <row r="21" spans="1:13" ht="24" customHeight="1">
      <c r="A21" s="227">
        <v>19</v>
      </c>
      <c r="B21" s="478" t="s">
        <v>576</v>
      </c>
      <c r="C21" s="479">
        <v>1</v>
      </c>
      <c r="D21" s="265">
        <v>230000</v>
      </c>
      <c r="E21" s="364">
        <v>230000</v>
      </c>
      <c r="F21" s="478" t="s">
        <v>582</v>
      </c>
      <c r="G21" s="478" t="s">
        <v>464</v>
      </c>
      <c r="H21" s="603" t="str">
        <f t="shared" si="2"/>
        <v>12.ครบกำหนดส่งมอบ</v>
      </c>
      <c r="I21" s="180"/>
      <c r="J21" s="181"/>
      <c r="K21" s="181"/>
      <c r="L21" s="181"/>
      <c r="M21" s="181"/>
    </row>
    <row r="22" spans="1:13" ht="42">
      <c r="A22" s="227">
        <v>20</v>
      </c>
      <c r="B22" s="262" t="s">
        <v>432</v>
      </c>
      <c r="C22" s="227">
        <v>1</v>
      </c>
      <c r="D22" s="261">
        <v>200000</v>
      </c>
      <c r="E22" s="261">
        <f>+C22*D22</f>
        <v>200000</v>
      </c>
      <c r="F22" s="226" t="s">
        <v>570</v>
      </c>
      <c r="G22" s="226" t="s">
        <v>464</v>
      </c>
      <c r="H22" s="242" t="str">
        <f t="shared" si="2"/>
        <v>12.ครบกำหนดส่งมอบ</v>
      </c>
      <c r="I22" s="180"/>
      <c r="J22" s="181"/>
      <c r="K22" s="181"/>
      <c r="L22" s="181"/>
      <c r="M22" s="181"/>
    </row>
    <row r="23" spans="1:13" ht="24" customHeight="1">
      <c r="A23" s="227">
        <v>21</v>
      </c>
      <c r="B23" s="218" t="s">
        <v>441</v>
      </c>
      <c r="C23" s="220">
        <v>1</v>
      </c>
      <c r="D23" s="228">
        <v>200000</v>
      </c>
      <c r="E23" s="261">
        <f>C23*D23</f>
        <v>200000</v>
      </c>
      <c r="F23" s="225" t="s">
        <v>421</v>
      </c>
      <c r="G23" s="225" t="s">
        <v>464</v>
      </c>
      <c r="H23" s="242" t="s">
        <v>398</v>
      </c>
      <c r="I23" s="180"/>
      <c r="J23" s="181"/>
      <c r="K23" s="181"/>
      <c r="L23" s="181"/>
      <c r="M23" s="181"/>
    </row>
    <row r="24" spans="1:13" ht="24" customHeight="1">
      <c r="A24" s="227">
        <v>22</v>
      </c>
      <c r="B24" s="218" t="s">
        <v>189</v>
      </c>
      <c r="C24" s="220">
        <v>1</v>
      </c>
      <c r="D24" s="228">
        <v>200000</v>
      </c>
      <c r="E24" s="261">
        <f>C24*D24</f>
        <v>200000</v>
      </c>
      <c r="F24" s="225" t="s">
        <v>421</v>
      </c>
      <c r="G24" s="225" t="s">
        <v>464</v>
      </c>
      <c r="H24" s="242"/>
      <c r="I24" s="180"/>
      <c r="J24" s="181"/>
      <c r="K24" s="181"/>
      <c r="L24" s="181"/>
      <c r="M24" s="181"/>
    </row>
    <row r="25" spans="1:13" ht="24" customHeight="1">
      <c r="A25" s="227">
        <v>23</v>
      </c>
      <c r="B25" s="217" t="s">
        <v>201</v>
      </c>
      <c r="C25" s="223">
        <v>2</v>
      </c>
      <c r="D25" s="401">
        <v>100000</v>
      </c>
      <c r="E25" s="261">
        <f>C25*D25</f>
        <v>200000</v>
      </c>
      <c r="F25" s="217" t="s">
        <v>460</v>
      </c>
      <c r="G25" s="217" t="s">
        <v>464</v>
      </c>
      <c r="H25" s="372" t="s">
        <v>1064</v>
      </c>
      <c r="I25" s="180"/>
      <c r="J25" s="181"/>
      <c r="K25" s="181"/>
      <c r="L25" s="181"/>
      <c r="M25" s="181"/>
    </row>
    <row r="26" spans="1:13" ht="24" customHeight="1">
      <c r="A26" s="227">
        <v>24</v>
      </c>
      <c r="B26" s="218" t="s">
        <v>188</v>
      </c>
      <c r="C26" s="220">
        <v>1</v>
      </c>
      <c r="D26" s="228">
        <v>400000</v>
      </c>
      <c r="E26" s="261">
        <f>C26*D26</f>
        <v>400000</v>
      </c>
      <c r="F26" s="225" t="s">
        <v>421</v>
      </c>
      <c r="G26" s="225" t="s">
        <v>464</v>
      </c>
      <c r="H26" s="242"/>
      <c r="I26" s="180"/>
      <c r="J26" s="181"/>
      <c r="K26" s="181"/>
      <c r="L26" s="181"/>
      <c r="M26" s="181"/>
    </row>
    <row r="27" spans="1:13" ht="24" customHeight="1">
      <c r="A27" s="227">
        <v>25</v>
      </c>
      <c r="B27" s="218" t="s">
        <v>187</v>
      </c>
      <c r="C27" s="220">
        <v>1</v>
      </c>
      <c r="D27" s="228">
        <v>100000</v>
      </c>
      <c r="E27" s="261">
        <f t="shared" ref="E27" si="4">C27*D27</f>
        <v>100000</v>
      </c>
      <c r="F27" s="225" t="s">
        <v>421</v>
      </c>
      <c r="G27" s="225" t="s">
        <v>464</v>
      </c>
      <c r="H27" s="242"/>
      <c r="I27" s="180"/>
      <c r="J27" s="181"/>
      <c r="K27" s="181"/>
      <c r="L27" s="181"/>
      <c r="M27" s="181"/>
    </row>
    <row r="28" spans="1:13" ht="24" customHeight="1">
      <c r="A28" s="227">
        <v>26</v>
      </c>
      <c r="B28" s="217" t="s">
        <v>199</v>
      </c>
      <c r="C28" s="223">
        <v>1</v>
      </c>
      <c r="D28" s="401">
        <v>65000</v>
      </c>
      <c r="E28" s="261">
        <f>C28*D28</f>
        <v>65000</v>
      </c>
      <c r="F28" s="217" t="s">
        <v>459</v>
      </c>
      <c r="G28" s="217" t="s">
        <v>464</v>
      </c>
      <c r="H28" s="372" t="str">
        <f>+H22</f>
        <v>12.ครบกำหนดส่งมอบ</v>
      </c>
      <c r="I28" s="180"/>
      <c r="J28" s="181"/>
      <c r="K28" s="181"/>
      <c r="L28" s="181"/>
      <c r="M28" s="181"/>
    </row>
    <row r="29" spans="1:13" ht="24" customHeight="1">
      <c r="A29" s="227">
        <v>27</v>
      </c>
      <c r="B29" s="217" t="s">
        <v>200</v>
      </c>
      <c r="C29" s="223">
        <v>1</v>
      </c>
      <c r="D29" s="401">
        <v>65000</v>
      </c>
      <c r="E29" s="261">
        <f>C29*D29</f>
        <v>65000</v>
      </c>
      <c r="F29" s="217" t="s">
        <v>461</v>
      </c>
      <c r="G29" s="217" t="s">
        <v>464</v>
      </c>
      <c r="H29" s="372"/>
      <c r="I29" s="180"/>
      <c r="J29" s="181"/>
      <c r="K29" s="181"/>
      <c r="L29" s="181"/>
      <c r="M29" s="181"/>
    </row>
    <row r="30" spans="1:13" ht="24" customHeight="1">
      <c r="A30" s="227">
        <v>28</v>
      </c>
      <c r="B30" s="494" t="s">
        <v>481</v>
      </c>
      <c r="C30" s="362">
        <v>1</v>
      </c>
      <c r="D30" s="502">
        <v>50000</v>
      </c>
      <c r="E30" s="499">
        <f>+C30*D30</f>
        <v>50000</v>
      </c>
      <c r="F30" s="365" t="s">
        <v>445</v>
      </c>
      <c r="G30" s="365" t="s">
        <v>464</v>
      </c>
      <c r="H30" s="372"/>
      <c r="I30" s="180"/>
      <c r="J30" s="181"/>
      <c r="K30" s="181"/>
      <c r="L30" s="181"/>
      <c r="M30" s="181"/>
    </row>
    <row r="31" spans="1:13" ht="24" customHeight="1">
      <c r="A31" s="227">
        <v>29</v>
      </c>
      <c r="B31" s="494" t="s">
        <v>480</v>
      </c>
      <c r="C31" s="362">
        <v>1</v>
      </c>
      <c r="D31" s="502">
        <v>40000</v>
      </c>
      <c r="E31" s="499">
        <f>+C31*D31</f>
        <v>40000</v>
      </c>
      <c r="F31" s="365" t="s">
        <v>445</v>
      </c>
      <c r="G31" s="365" t="s">
        <v>464</v>
      </c>
      <c r="H31" s="372"/>
      <c r="I31" s="180"/>
      <c r="J31" s="181"/>
      <c r="K31" s="181"/>
      <c r="L31" s="181"/>
      <c r="M31" s="181"/>
    </row>
    <row r="32" spans="1:13" ht="24" customHeight="1">
      <c r="A32" s="227">
        <v>30</v>
      </c>
      <c r="B32" s="217" t="s">
        <v>205</v>
      </c>
      <c r="C32" s="223">
        <v>1</v>
      </c>
      <c r="D32" s="401">
        <v>31849</v>
      </c>
      <c r="E32" s="261">
        <f t="shared" ref="E32" si="5">C32*D32</f>
        <v>31849</v>
      </c>
      <c r="F32" s="217" t="s">
        <v>462</v>
      </c>
      <c r="G32" s="217" t="s">
        <v>464</v>
      </c>
      <c r="H32" s="372"/>
      <c r="I32" s="180"/>
      <c r="J32" s="181"/>
      <c r="K32" s="181"/>
      <c r="L32" s="181"/>
      <c r="M32" s="181"/>
    </row>
    <row r="33" spans="1:13" ht="24" customHeight="1">
      <c r="A33" s="227">
        <v>31</v>
      </c>
      <c r="B33" s="494" t="s">
        <v>482</v>
      </c>
      <c r="C33" s="362">
        <v>2</v>
      </c>
      <c r="D33" s="502">
        <v>9500</v>
      </c>
      <c r="E33" s="499">
        <f>+C33*D33</f>
        <v>19000</v>
      </c>
      <c r="F33" s="365" t="s">
        <v>445</v>
      </c>
      <c r="G33" s="365" t="s">
        <v>464</v>
      </c>
      <c r="H33" s="372"/>
      <c r="I33" s="180"/>
      <c r="J33" s="181"/>
      <c r="K33" s="181"/>
      <c r="L33" s="181"/>
      <c r="M33" s="181"/>
    </row>
    <row r="34" spans="1:13" ht="42.75" customHeight="1">
      <c r="A34" s="227">
        <v>32</v>
      </c>
      <c r="B34" s="222" t="s">
        <v>202</v>
      </c>
      <c r="C34" s="223">
        <v>10</v>
      </c>
      <c r="D34" s="401">
        <v>5500</v>
      </c>
      <c r="E34" s="261">
        <f>C34*D34</f>
        <v>55000</v>
      </c>
      <c r="F34" s="217" t="s">
        <v>639</v>
      </c>
      <c r="G34" s="217" t="s">
        <v>464</v>
      </c>
      <c r="H34" s="372"/>
      <c r="I34" s="180"/>
      <c r="J34" s="181"/>
      <c r="K34" s="181"/>
      <c r="L34" s="181"/>
      <c r="M34" s="181"/>
    </row>
    <row r="35" spans="1:13" ht="42">
      <c r="A35" s="227">
        <v>33</v>
      </c>
      <c r="B35" s="222" t="s">
        <v>457</v>
      </c>
      <c r="C35" s="223">
        <v>1</v>
      </c>
      <c r="D35" s="401">
        <v>33500</v>
      </c>
      <c r="E35" s="261">
        <f>C35*D35</f>
        <v>33500</v>
      </c>
      <c r="F35" s="217" t="s">
        <v>413</v>
      </c>
      <c r="G35" s="217" t="s">
        <v>464</v>
      </c>
      <c r="H35" s="372"/>
      <c r="I35" s="180"/>
      <c r="J35" s="181"/>
      <c r="K35" s="181"/>
      <c r="L35" s="181"/>
      <c r="M35" s="181"/>
    </row>
    <row r="36" spans="1:13" ht="24" customHeight="1">
      <c r="A36" s="227">
        <v>34</v>
      </c>
      <c r="B36" s="232" t="s">
        <v>485</v>
      </c>
      <c r="C36" s="227">
        <v>2</v>
      </c>
      <c r="D36" s="512">
        <v>4950</v>
      </c>
      <c r="E36" s="513">
        <f>+C36*D36</f>
        <v>9900</v>
      </c>
      <c r="F36" s="232" t="s">
        <v>445</v>
      </c>
      <c r="G36" s="232" t="s">
        <v>464</v>
      </c>
      <c r="H36" s="372"/>
      <c r="I36" s="180"/>
      <c r="J36" s="181"/>
      <c r="K36" s="181"/>
      <c r="L36" s="181"/>
      <c r="M36" s="181"/>
    </row>
    <row r="37" spans="1:13" ht="24" customHeight="1">
      <c r="A37" s="227">
        <v>35</v>
      </c>
      <c r="B37" s="514" t="s">
        <v>479</v>
      </c>
      <c r="C37" s="227">
        <v>1</v>
      </c>
      <c r="D37" s="512">
        <v>2000</v>
      </c>
      <c r="E37" s="513">
        <f>+C37*D37</f>
        <v>2000</v>
      </c>
      <c r="F37" s="232" t="s">
        <v>445</v>
      </c>
      <c r="G37" s="232" t="s">
        <v>464</v>
      </c>
      <c r="H37" s="372"/>
      <c r="I37" s="180"/>
      <c r="J37" s="181"/>
      <c r="K37" s="181"/>
      <c r="L37" s="181"/>
      <c r="M37" s="181"/>
    </row>
    <row r="38" spans="1:13" ht="21">
      <c r="A38" s="227">
        <v>36</v>
      </c>
      <c r="B38" s="222" t="s">
        <v>654</v>
      </c>
      <c r="C38" s="223">
        <v>2</v>
      </c>
      <c r="D38" s="323">
        <v>130000</v>
      </c>
      <c r="E38" s="439">
        <f>+C38*D38</f>
        <v>260000</v>
      </c>
      <c r="F38" s="231" t="s">
        <v>655</v>
      </c>
      <c r="G38" s="231" t="s">
        <v>464</v>
      </c>
      <c r="H38" s="604"/>
      <c r="I38" s="180"/>
      <c r="J38" s="181"/>
      <c r="K38" s="181"/>
      <c r="L38" s="181"/>
      <c r="M38" s="181"/>
    </row>
    <row r="39" spans="1:13" ht="21">
      <c r="A39" s="227">
        <v>37</v>
      </c>
      <c r="B39" s="222" t="s">
        <v>656</v>
      </c>
      <c r="C39" s="223">
        <v>1</v>
      </c>
      <c r="D39" s="323">
        <v>350000</v>
      </c>
      <c r="E39" s="439">
        <f t="shared" ref="E39:E46" si="6">+C39*D39</f>
        <v>350000</v>
      </c>
      <c r="F39" s="231" t="s">
        <v>424</v>
      </c>
      <c r="G39" s="231" t="s">
        <v>464</v>
      </c>
      <c r="H39" s="604" t="str">
        <f>+H28</f>
        <v>12.ครบกำหนดส่งมอบ</v>
      </c>
      <c r="I39" s="180"/>
      <c r="J39" s="181"/>
      <c r="K39" s="181"/>
      <c r="L39" s="181"/>
      <c r="M39" s="181"/>
    </row>
    <row r="40" spans="1:13" ht="21">
      <c r="A40" s="227">
        <v>38</v>
      </c>
      <c r="B40" s="322" t="s">
        <v>657</v>
      </c>
      <c r="C40" s="223">
        <v>1</v>
      </c>
      <c r="D40" s="323">
        <v>650000</v>
      </c>
      <c r="E40" s="439">
        <f t="shared" si="6"/>
        <v>650000</v>
      </c>
      <c r="F40" s="231" t="s">
        <v>423</v>
      </c>
      <c r="G40" s="231" t="s">
        <v>464</v>
      </c>
      <c r="H40" s="604" t="s">
        <v>725</v>
      </c>
      <c r="I40" s="180"/>
      <c r="J40" s="181"/>
      <c r="K40" s="181"/>
      <c r="L40" s="181"/>
      <c r="M40" s="181"/>
    </row>
    <row r="41" spans="1:13" ht="21">
      <c r="A41" s="227">
        <v>39</v>
      </c>
      <c r="B41" s="322" t="s">
        <v>658</v>
      </c>
      <c r="C41" s="223">
        <v>1</v>
      </c>
      <c r="D41" s="323">
        <v>100000</v>
      </c>
      <c r="E41" s="439">
        <f t="shared" si="6"/>
        <v>100000</v>
      </c>
      <c r="F41" s="231" t="s">
        <v>423</v>
      </c>
      <c r="G41" s="231" t="s">
        <v>464</v>
      </c>
      <c r="H41" s="604" t="s">
        <v>725</v>
      </c>
      <c r="I41" s="180"/>
      <c r="J41" s="181"/>
      <c r="K41" s="181"/>
      <c r="L41" s="181"/>
      <c r="M41" s="181"/>
    </row>
    <row r="42" spans="1:13" ht="21">
      <c r="A42" s="227">
        <v>40</v>
      </c>
      <c r="B42" s="322" t="s">
        <v>659</v>
      </c>
      <c r="C42" s="223">
        <v>2</v>
      </c>
      <c r="D42" s="323">
        <v>149000</v>
      </c>
      <c r="E42" s="439">
        <f t="shared" si="6"/>
        <v>298000</v>
      </c>
      <c r="F42" s="231" t="s">
        <v>423</v>
      </c>
      <c r="G42" s="231" t="s">
        <v>464</v>
      </c>
      <c r="H42" s="604" t="s">
        <v>725</v>
      </c>
      <c r="I42" s="180"/>
      <c r="J42" s="181"/>
      <c r="K42" s="181"/>
      <c r="L42" s="181"/>
      <c r="M42" s="181"/>
    </row>
    <row r="43" spans="1:13" s="245" customFormat="1" ht="21">
      <c r="A43" s="227">
        <v>41</v>
      </c>
      <c r="B43" s="251" t="s">
        <v>735</v>
      </c>
      <c r="C43" s="233">
        <v>1</v>
      </c>
      <c r="D43" s="418">
        <v>2495000</v>
      </c>
      <c r="E43" s="418">
        <f t="shared" si="6"/>
        <v>2495000</v>
      </c>
      <c r="F43" s="322" t="s">
        <v>574</v>
      </c>
      <c r="G43" s="232" t="s">
        <v>464</v>
      </c>
      <c r="H43" s="603" t="s">
        <v>862</v>
      </c>
      <c r="I43" s="361"/>
    </row>
    <row r="44" spans="1:13" s="245" customFormat="1" ht="21">
      <c r="A44" s="227">
        <v>42</v>
      </c>
      <c r="B44" s="322" t="s">
        <v>737</v>
      </c>
      <c r="C44" s="233">
        <v>1</v>
      </c>
      <c r="D44" s="418">
        <v>150000</v>
      </c>
      <c r="E44" s="418">
        <f t="shared" si="6"/>
        <v>150000</v>
      </c>
      <c r="F44" s="322" t="s">
        <v>736</v>
      </c>
      <c r="G44" s="232" t="s">
        <v>464</v>
      </c>
      <c r="H44" s="603" t="s">
        <v>862</v>
      </c>
      <c r="I44" s="361"/>
    </row>
    <row r="45" spans="1:13" s="245" customFormat="1" ht="21">
      <c r="A45" s="227">
        <v>43</v>
      </c>
      <c r="B45" s="322" t="s">
        <v>738</v>
      </c>
      <c r="C45" s="233">
        <v>2</v>
      </c>
      <c r="D45" s="418">
        <v>550000</v>
      </c>
      <c r="E45" s="418">
        <f t="shared" si="6"/>
        <v>1100000</v>
      </c>
      <c r="F45" s="322" t="s">
        <v>736</v>
      </c>
      <c r="G45" s="232" t="s">
        <v>464</v>
      </c>
      <c r="H45" s="603" t="s">
        <v>862</v>
      </c>
      <c r="I45" s="361"/>
    </row>
    <row r="46" spans="1:13" s="245" customFormat="1" ht="21">
      <c r="A46" s="227">
        <v>44</v>
      </c>
      <c r="B46" s="322" t="s">
        <v>741</v>
      </c>
      <c r="C46" s="233">
        <v>1</v>
      </c>
      <c r="D46" s="418">
        <v>30000</v>
      </c>
      <c r="E46" s="605">
        <f t="shared" si="6"/>
        <v>30000</v>
      </c>
      <c r="F46" s="322" t="s">
        <v>742</v>
      </c>
      <c r="G46" s="232" t="s">
        <v>464</v>
      </c>
      <c r="H46" s="603" t="s">
        <v>862</v>
      </c>
      <c r="I46" s="361"/>
    </row>
    <row r="47" spans="1:13" s="245" customFormat="1" ht="21">
      <c r="A47" s="227">
        <v>45</v>
      </c>
      <c r="B47" s="520" t="s">
        <v>744</v>
      </c>
      <c r="C47" s="233">
        <v>1</v>
      </c>
      <c r="D47" s="250">
        <v>400000</v>
      </c>
      <c r="E47" s="481">
        <f>+C47*D47</f>
        <v>400000</v>
      </c>
      <c r="F47" s="520" t="s">
        <v>745</v>
      </c>
      <c r="G47" s="232" t="s">
        <v>464</v>
      </c>
      <c r="H47" s="603" t="s">
        <v>862</v>
      </c>
      <c r="I47" s="361"/>
    </row>
    <row r="48" spans="1:13" s="245" customFormat="1" ht="21">
      <c r="A48" s="227">
        <v>46</v>
      </c>
      <c r="B48" s="322" t="s">
        <v>746</v>
      </c>
      <c r="C48" s="233">
        <v>1</v>
      </c>
      <c r="D48" s="418">
        <v>190000</v>
      </c>
      <c r="E48" s="418">
        <f>+C48*D48</f>
        <v>190000</v>
      </c>
      <c r="F48" s="322" t="s">
        <v>745</v>
      </c>
      <c r="G48" s="232" t="s">
        <v>464</v>
      </c>
      <c r="H48" s="603" t="s">
        <v>862</v>
      </c>
      <c r="I48" s="361"/>
    </row>
    <row r="49" spans="1:13" ht="42">
      <c r="A49" s="227">
        <v>47</v>
      </c>
      <c r="B49" s="260" t="s">
        <v>1004</v>
      </c>
      <c r="C49" s="215">
        <v>1</v>
      </c>
      <c r="D49" s="422">
        <v>2700000</v>
      </c>
      <c r="E49" s="418">
        <f t="shared" ref="E49:E52" si="7">+C49*D49</f>
        <v>2700000</v>
      </c>
      <c r="F49" s="216" t="s">
        <v>721</v>
      </c>
      <c r="G49" s="232" t="s">
        <v>464</v>
      </c>
      <c r="H49" s="604" t="s">
        <v>862</v>
      </c>
      <c r="I49" s="180"/>
      <c r="J49" s="181"/>
      <c r="K49" s="181"/>
      <c r="L49" s="181"/>
      <c r="M49" s="181"/>
    </row>
    <row r="50" spans="1:13" ht="21">
      <c r="A50" s="227">
        <v>48</v>
      </c>
      <c r="B50" s="478" t="s">
        <v>800</v>
      </c>
      <c r="C50" s="479">
        <v>1</v>
      </c>
      <c r="D50" s="413">
        <v>650000</v>
      </c>
      <c r="E50" s="421">
        <f t="shared" si="7"/>
        <v>650000</v>
      </c>
      <c r="F50" s="478" t="s">
        <v>721</v>
      </c>
      <c r="G50" s="232" t="s">
        <v>464</v>
      </c>
      <c r="H50" s="603" t="s">
        <v>862</v>
      </c>
      <c r="I50" s="180"/>
      <c r="J50" s="181"/>
      <c r="K50" s="181"/>
      <c r="L50" s="181"/>
      <c r="M50" s="181"/>
    </row>
    <row r="51" spans="1:13" ht="21">
      <c r="A51" s="227">
        <v>49</v>
      </c>
      <c r="B51" s="478" t="s">
        <v>801</v>
      </c>
      <c r="C51" s="479">
        <v>1</v>
      </c>
      <c r="D51" s="413">
        <v>1337500</v>
      </c>
      <c r="E51" s="421">
        <f t="shared" si="7"/>
        <v>1337500</v>
      </c>
      <c r="F51" s="478" t="s">
        <v>721</v>
      </c>
      <c r="G51" s="232" t="s">
        <v>464</v>
      </c>
      <c r="H51" s="603" t="s">
        <v>862</v>
      </c>
      <c r="I51" s="180"/>
      <c r="J51" s="181"/>
      <c r="K51" s="181"/>
      <c r="L51" s="181"/>
      <c r="M51" s="181"/>
    </row>
    <row r="52" spans="1:13" ht="21">
      <c r="A52" s="227">
        <v>50</v>
      </c>
      <c r="B52" s="478" t="s">
        <v>802</v>
      </c>
      <c r="C52" s="479">
        <v>1</v>
      </c>
      <c r="D52" s="413">
        <v>448598.13</v>
      </c>
      <c r="E52" s="421">
        <f t="shared" si="7"/>
        <v>448598.13</v>
      </c>
      <c r="F52" s="478" t="s">
        <v>721</v>
      </c>
      <c r="G52" s="232" t="s">
        <v>464</v>
      </c>
      <c r="H52" s="603" t="s">
        <v>862</v>
      </c>
      <c r="I52" s="180"/>
      <c r="J52" s="181"/>
      <c r="K52" s="181"/>
      <c r="L52" s="181"/>
      <c r="M52" s="181"/>
    </row>
    <row r="53" spans="1:13" ht="23.1" customHeight="1">
      <c r="A53" s="227">
        <v>51</v>
      </c>
      <c r="B53" s="478" t="s">
        <v>799</v>
      </c>
      <c r="C53" s="479">
        <v>1</v>
      </c>
      <c r="D53" s="413">
        <v>4500000</v>
      </c>
      <c r="E53" s="421">
        <f>+C53*D53</f>
        <v>4500000</v>
      </c>
      <c r="F53" s="478" t="s">
        <v>721</v>
      </c>
      <c r="G53" s="232" t="s">
        <v>464</v>
      </c>
      <c r="H53" s="603" t="s">
        <v>862</v>
      </c>
      <c r="I53" s="180"/>
      <c r="J53" s="181"/>
      <c r="K53" s="181"/>
      <c r="L53" s="181"/>
      <c r="M53" s="181"/>
    </row>
    <row r="54" spans="1:13" ht="23.1" customHeight="1">
      <c r="A54" s="227">
        <v>52</v>
      </c>
      <c r="B54" s="322" t="s">
        <v>803</v>
      </c>
      <c r="C54" s="233">
        <v>1</v>
      </c>
      <c r="D54" s="419">
        <v>310000</v>
      </c>
      <c r="E54" s="421">
        <f t="shared" ref="E54:E105" si="8">+C54*D54</f>
        <v>310000</v>
      </c>
      <c r="F54" s="322" t="s">
        <v>418</v>
      </c>
      <c r="G54" s="232" t="s">
        <v>464</v>
      </c>
      <c r="H54" s="603" t="s">
        <v>891</v>
      </c>
      <c r="I54" s="180"/>
      <c r="J54" s="181"/>
      <c r="K54" s="181"/>
      <c r="L54" s="181"/>
      <c r="M54" s="181"/>
    </row>
    <row r="55" spans="1:13" ht="23.1" customHeight="1">
      <c r="A55" s="227">
        <v>53</v>
      </c>
      <c r="B55" s="315" t="s">
        <v>804</v>
      </c>
      <c r="C55" s="363">
        <v>1</v>
      </c>
      <c r="D55" s="420">
        <v>2200000</v>
      </c>
      <c r="E55" s="421">
        <f t="shared" si="8"/>
        <v>2200000</v>
      </c>
      <c r="F55" s="322" t="s">
        <v>418</v>
      </c>
      <c r="G55" s="232" t="s">
        <v>464</v>
      </c>
      <c r="H55" s="603" t="s">
        <v>891</v>
      </c>
      <c r="I55" s="180"/>
      <c r="J55" s="181"/>
      <c r="K55" s="181"/>
      <c r="L55" s="181"/>
      <c r="M55" s="181"/>
    </row>
    <row r="56" spans="1:13" ht="23.1" customHeight="1">
      <c r="A56" s="227">
        <v>54</v>
      </c>
      <c r="B56" s="478" t="s">
        <v>805</v>
      </c>
      <c r="C56" s="479">
        <v>1</v>
      </c>
      <c r="D56" s="413">
        <v>28000</v>
      </c>
      <c r="E56" s="421">
        <f t="shared" si="8"/>
        <v>28000</v>
      </c>
      <c r="F56" s="478" t="s">
        <v>418</v>
      </c>
      <c r="G56" s="232" t="s">
        <v>464</v>
      </c>
      <c r="H56" s="603" t="s">
        <v>891</v>
      </c>
      <c r="I56" s="180"/>
      <c r="J56" s="181"/>
      <c r="K56" s="181"/>
      <c r="L56" s="181"/>
      <c r="M56" s="181"/>
    </row>
    <row r="57" spans="1:13" ht="23.1" customHeight="1">
      <c r="A57" s="227">
        <v>55</v>
      </c>
      <c r="B57" s="216" t="s">
        <v>806</v>
      </c>
      <c r="C57" s="215">
        <v>3</v>
      </c>
      <c r="D57" s="422">
        <v>85600</v>
      </c>
      <c r="E57" s="421">
        <f t="shared" si="8"/>
        <v>256800</v>
      </c>
      <c r="F57" s="216" t="s">
        <v>418</v>
      </c>
      <c r="G57" s="232" t="s">
        <v>464</v>
      </c>
      <c r="H57" s="603" t="s">
        <v>891</v>
      </c>
      <c r="I57" s="180"/>
      <c r="J57" s="181"/>
      <c r="K57" s="181"/>
      <c r="L57" s="181"/>
      <c r="M57" s="181"/>
    </row>
    <row r="58" spans="1:13" ht="23.1" customHeight="1">
      <c r="A58" s="227">
        <v>56</v>
      </c>
      <c r="B58" s="478" t="s">
        <v>807</v>
      </c>
      <c r="C58" s="479">
        <v>1</v>
      </c>
      <c r="D58" s="413">
        <v>14000</v>
      </c>
      <c r="E58" s="421">
        <f t="shared" si="8"/>
        <v>14000</v>
      </c>
      <c r="F58" s="478" t="s">
        <v>418</v>
      </c>
      <c r="G58" s="232" t="s">
        <v>464</v>
      </c>
      <c r="H58" s="603" t="s">
        <v>891</v>
      </c>
      <c r="I58" s="180"/>
      <c r="J58" s="181"/>
      <c r="K58" s="181"/>
      <c r="L58" s="181"/>
      <c r="M58" s="181"/>
    </row>
    <row r="59" spans="1:13" ht="23.1" customHeight="1">
      <c r="A59" s="227">
        <v>57</v>
      </c>
      <c r="B59" s="478" t="s">
        <v>808</v>
      </c>
      <c r="C59" s="479">
        <v>6</v>
      </c>
      <c r="D59" s="413">
        <v>24610</v>
      </c>
      <c r="E59" s="421">
        <f t="shared" si="8"/>
        <v>147660</v>
      </c>
      <c r="F59" s="478" t="s">
        <v>418</v>
      </c>
      <c r="G59" s="232" t="s">
        <v>464</v>
      </c>
      <c r="H59" s="603" t="s">
        <v>891</v>
      </c>
      <c r="I59" s="180"/>
      <c r="J59" s="181"/>
      <c r="K59" s="181"/>
      <c r="L59" s="181"/>
      <c r="M59" s="181"/>
    </row>
    <row r="60" spans="1:13" ht="23.1" customHeight="1">
      <c r="A60" s="227">
        <v>58</v>
      </c>
      <c r="B60" s="260" t="s">
        <v>809</v>
      </c>
      <c r="C60" s="414">
        <v>1</v>
      </c>
      <c r="D60" s="415">
        <v>25000</v>
      </c>
      <c r="E60" s="421">
        <f t="shared" si="8"/>
        <v>25000</v>
      </c>
      <c r="F60" s="221" t="s">
        <v>418</v>
      </c>
      <c r="G60" s="232" t="s">
        <v>464</v>
      </c>
      <c r="H60" s="603" t="s">
        <v>891</v>
      </c>
      <c r="I60" s="180"/>
      <c r="J60" s="181"/>
      <c r="K60" s="181"/>
      <c r="L60" s="181"/>
      <c r="M60" s="181"/>
    </row>
    <row r="61" spans="1:13" ht="23.1" customHeight="1">
      <c r="A61" s="227">
        <v>59</v>
      </c>
      <c r="B61" s="478" t="s">
        <v>810</v>
      </c>
      <c r="C61" s="479">
        <v>1</v>
      </c>
      <c r="D61" s="413">
        <v>85600</v>
      </c>
      <c r="E61" s="421">
        <f t="shared" si="8"/>
        <v>85600</v>
      </c>
      <c r="F61" s="478" t="s">
        <v>418</v>
      </c>
      <c r="G61" s="232" t="s">
        <v>464</v>
      </c>
      <c r="H61" s="603" t="s">
        <v>891</v>
      </c>
      <c r="I61" s="180"/>
      <c r="J61" s="181"/>
      <c r="K61" s="181"/>
      <c r="L61" s="181"/>
      <c r="M61" s="181"/>
    </row>
    <row r="62" spans="1:13" ht="23.1" customHeight="1">
      <c r="A62" s="227">
        <v>60</v>
      </c>
      <c r="B62" s="478" t="s">
        <v>811</v>
      </c>
      <c r="C62" s="479">
        <v>1</v>
      </c>
      <c r="D62" s="416">
        <v>8700</v>
      </c>
      <c r="E62" s="421">
        <f t="shared" si="8"/>
        <v>8700</v>
      </c>
      <c r="F62" s="478" t="s">
        <v>847</v>
      </c>
      <c r="G62" s="232" t="s">
        <v>464</v>
      </c>
      <c r="H62" s="603" t="s">
        <v>891</v>
      </c>
      <c r="I62" s="180"/>
      <c r="J62" s="181"/>
      <c r="K62" s="181"/>
      <c r="L62" s="181"/>
      <c r="M62" s="181"/>
    </row>
    <row r="63" spans="1:13" ht="23.1" customHeight="1">
      <c r="A63" s="227">
        <v>61</v>
      </c>
      <c r="B63" s="260" t="s">
        <v>812</v>
      </c>
      <c r="C63" s="414">
        <v>1</v>
      </c>
      <c r="D63" s="415">
        <v>6000</v>
      </c>
      <c r="E63" s="421">
        <f t="shared" si="8"/>
        <v>6000</v>
      </c>
      <c r="F63" s="390" t="s">
        <v>472</v>
      </c>
      <c r="G63" s="232" t="s">
        <v>464</v>
      </c>
      <c r="H63" s="603" t="s">
        <v>891</v>
      </c>
      <c r="I63" s="180"/>
      <c r="J63" s="181"/>
      <c r="K63" s="181"/>
      <c r="L63" s="181"/>
      <c r="M63" s="181"/>
    </row>
    <row r="64" spans="1:13" ht="23.1" customHeight="1">
      <c r="A64" s="227">
        <v>62</v>
      </c>
      <c r="B64" s="390" t="s">
        <v>813</v>
      </c>
      <c r="C64" s="479">
        <v>2</v>
      </c>
      <c r="D64" s="417">
        <v>5990</v>
      </c>
      <c r="E64" s="421">
        <f t="shared" si="8"/>
        <v>11980</v>
      </c>
      <c r="F64" s="390" t="s">
        <v>472</v>
      </c>
      <c r="G64" s="232" t="s">
        <v>464</v>
      </c>
      <c r="H64" s="603" t="s">
        <v>891</v>
      </c>
      <c r="I64" s="180"/>
      <c r="J64" s="181"/>
      <c r="K64" s="181"/>
      <c r="L64" s="181"/>
      <c r="M64" s="181"/>
    </row>
    <row r="65" spans="1:13" ht="23.1" customHeight="1">
      <c r="A65" s="227">
        <v>63</v>
      </c>
      <c r="B65" s="478" t="s">
        <v>814</v>
      </c>
      <c r="C65" s="479">
        <v>1</v>
      </c>
      <c r="D65" s="413">
        <v>35000</v>
      </c>
      <c r="E65" s="421">
        <f t="shared" si="8"/>
        <v>35000</v>
      </c>
      <c r="F65" s="478" t="s">
        <v>848</v>
      </c>
      <c r="G65" s="232" t="s">
        <v>464</v>
      </c>
      <c r="H65" s="603" t="s">
        <v>891</v>
      </c>
      <c r="I65" s="180"/>
      <c r="J65" s="181"/>
      <c r="K65" s="181"/>
      <c r="L65" s="181"/>
      <c r="M65" s="181"/>
    </row>
    <row r="66" spans="1:13" ht="23.1" customHeight="1">
      <c r="A66" s="227">
        <v>64</v>
      </c>
      <c r="B66" s="478" t="s">
        <v>815</v>
      </c>
      <c r="C66" s="479">
        <v>1</v>
      </c>
      <c r="D66" s="413">
        <v>20000</v>
      </c>
      <c r="E66" s="421">
        <f t="shared" si="8"/>
        <v>20000</v>
      </c>
      <c r="F66" s="478" t="s">
        <v>849</v>
      </c>
      <c r="G66" s="232" t="s">
        <v>464</v>
      </c>
      <c r="H66" s="603" t="s">
        <v>891</v>
      </c>
      <c r="I66" s="180"/>
      <c r="J66" s="181"/>
      <c r="K66" s="181"/>
      <c r="L66" s="181"/>
      <c r="M66" s="181"/>
    </row>
    <row r="67" spans="1:13" ht="23.1" customHeight="1">
      <c r="A67" s="227">
        <v>65</v>
      </c>
      <c r="B67" s="478" t="s">
        <v>816</v>
      </c>
      <c r="C67" s="479">
        <v>1</v>
      </c>
      <c r="D67" s="413">
        <v>25000</v>
      </c>
      <c r="E67" s="421">
        <f t="shared" si="8"/>
        <v>25000</v>
      </c>
      <c r="F67" s="478" t="s">
        <v>850</v>
      </c>
      <c r="G67" s="232" t="s">
        <v>464</v>
      </c>
      <c r="H67" s="603" t="s">
        <v>891</v>
      </c>
      <c r="I67" s="180"/>
      <c r="J67" s="181"/>
      <c r="K67" s="181"/>
      <c r="L67" s="181"/>
      <c r="M67" s="181"/>
    </row>
    <row r="68" spans="1:13" ht="23.1" customHeight="1">
      <c r="A68" s="227">
        <v>66</v>
      </c>
      <c r="B68" s="478" t="s">
        <v>817</v>
      </c>
      <c r="C68" s="479">
        <v>1</v>
      </c>
      <c r="D68" s="413">
        <v>28500</v>
      </c>
      <c r="E68" s="421">
        <f t="shared" si="8"/>
        <v>28500</v>
      </c>
      <c r="F68" s="478" t="s">
        <v>850</v>
      </c>
      <c r="G68" s="232" t="s">
        <v>464</v>
      </c>
      <c r="H68" s="603" t="s">
        <v>891</v>
      </c>
      <c r="I68" s="180"/>
      <c r="J68" s="181"/>
      <c r="K68" s="181"/>
      <c r="L68" s="181"/>
      <c r="M68" s="181"/>
    </row>
    <row r="69" spans="1:13" ht="23.1" customHeight="1">
      <c r="A69" s="227">
        <v>67</v>
      </c>
      <c r="B69" s="260" t="s">
        <v>818</v>
      </c>
      <c r="C69" s="414">
        <v>1</v>
      </c>
      <c r="D69" s="415">
        <v>6500</v>
      </c>
      <c r="E69" s="421">
        <f t="shared" si="8"/>
        <v>6500</v>
      </c>
      <c r="F69" s="260" t="s">
        <v>851</v>
      </c>
      <c r="G69" s="232" t="s">
        <v>464</v>
      </c>
      <c r="H69" s="603" t="s">
        <v>891</v>
      </c>
      <c r="I69" s="180"/>
      <c r="J69" s="181"/>
      <c r="K69" s="181"/>
      <c r="L69" s="181"/>
      <c r="M69" s="181"/>
    </row>
    <row r="70" spans="1:13" ht="23.1" customHeight="1">
      <c r="A70" s="227">
        <v>68</v>
      </c>
      <c r="B70" s="478" t="s">
        <v>819</v>
      </c>
      <c r="C70" s="479">
        <v>1</v>
      </c>
      <c r="D70" s="413">
        <v>75000</v>
      </c>
      <c r="E70" s="421">
        <f t="shared" si="8"/>
        <v>75000</v>
      </c>
      <c r="F70" s="478" t="s">
        <v>852</v>
      </c>
      <c r="G70" s="232" t="s">
        <v>464</v>
      </c>
      <c r="H70" s="603" t="s">
        <v>891</v>
      </c>
      <c r="I70" s="180"/>
      <c r="J70" s="181"/>
      <c r="K70" s="181"/>
      <c r="L70" s="181"/>
      <c r="M70" s="181"/>
    </row>
    <row r="71" spans="1:13" ht="23.1" customHeight="1">
      <c r="A71" s="227">
        <v>69</v>
      </c>
      <c r="B71" s="478" t="s">
        <v>820</v>
      </c>
      <c r="C71" s="479">
        <v>1</v>
      </c>
      <c r="D71" s="413">
        <v>85000</v>
      </c>
      <c r="E71" s="421">
        <f t="shared" si="8"/>
        <v>85000</v>
      </c>
      <c r="F71" s="478" t="s">
        <v>470</v>
      </c>
      <c r="G71" s="232" t="s">
        <v>464</v>
      </c>
      <c r="H71" s="603" t="s">
        <v>891</v>
      </c>
      <c r="I71" s="180"/>
      <c r="J71" s="181"/>
      <c r="K71" s="181"/>
      <c r="L71" s="181"/>
      <c r="M71" s="181"/>
    </row>
    <row r="72" spans="1:13" ht="23.1" customHeight="1">
      <c r="A72" s="227">
        <v>70</v>
      </c>
      <c r="B72" s="478" t="s">
        <v>820</v>
      </c>
      <c r="C72" s="479">
        <v>1</v>
      </c>
      <c r="D72" s="413">
        <v>85000</v>
      </c>
      <c r="E72" s="421">
        <f t="shared" si="8"/>
        <v>85000</v>
      </c>
      <c r="F72" s="478" t="s">
        <v>470</v>
      </c>
      <c r="G72" s="232" t="s">
        <v>464</v>
      </c>
      <c r="H72" s="603" t="s">
        <v>891</v>
      </c>
      <c r="I72" s="180"/>
      <c r="J72" s="181"/>
      <c r="K72" s="181"/>
      <c r="L72" s="181"/>
      <c r="M72" s="181"/>
    </row>
    <row r="73" spans="1:13" ht="23.1" customHeight="1">
      <c r="A73" s="227">
        <v>71</v>
      </c>
      <c r="B73" s="478" t="s">
        <v>821</v>
      </c>
      <c r="C73" s="479">
        <v>1</v>
      </c>
      <c r="D73" s="413">
        <v>20000</v>
      </c>
      <c r="E73" s="421">
        <f t="shared" si="8"/>
        <v>20000</v>
      </c>
      <c r="F73" s="478" t="s">
        <v>470</v>
      </c>
      <c r="G73" s="232" t="s">
        <v>464</v>
      </c>
      <c r="H73" s="603" t="s">
        <v>891</v>
      </c>
      <c r="I73" s="180"/>
      <c r="J73" s="181"/>
      <c r="K73" s="181"/>
      <c r="L73" s="181"/>
      <c r="M73" s="181"/>
    </row>
    <row r="74" spans="1:13" ht="23.1" customHeight="1">
      <c r="A74" s="227">
        <v>72</v>
      </c>
      <c r="B74" s="260" t="s">
        <v>822</v>
      </c>
      <c r="C74" s="414">
        <v>1</v>
      </c>
      <c r="D74" s="415">
        <v>12000</v>
      </c>
      <c r="E74" s="421">
        <f t="shared" si="8"/>
        <v>12000</v>
      </c>
      <c r="F74" s="390" t="s">
        <v>853</v>
      </c>
      <c r="G74" s="232" t="s">
        <v>464</v>
      </c>
      <c r="H74" s="603" t="s">
        <v>891</v>
      </c>
      <c r="I74" s="180"/>
      <c r="J74" s="181"/>
      <c r="K74" s="181"/>
      <c r="L74" s="181"/>
      <c r="M74" s="181"/>
    </row>
    <row r="75" spans="1:13" ht="23.1" customHeight="1">
      <c r="A75" s="227">
        <v>73</v>
      </c>
      <c r="B75" s="390" t="s">
        <v>823</v>
      </c>
      <c r="C75" s="479">
        <v>3</v>
      </c>
      <c r="D75" s="417">
        <v>9000</v>
      </c>
      <c r="E75" s="421">
        <f t="shared" si="8"/>
        <v>27000</v>
      </c>
      <c r="F75" s="390" t="s">
        <v>854</v>
      </c>
      <c r="G75" s="232" t="s">
        <v>464</v>
      </c>
      <c r="H75" s="603" t="s">
        <v>891</v>
      </c>
      <c r="I75" s="180"/>
      <c r="J75" s="181"/>
      <c r="K75" s="181"/>
      <c r="L75" s="181"/>
      <c r="M75" s="181"/>
    </row>
    <row r="76" spans="1:13" ht="23.1" customHeight="1">
      <c r="A76" s="227">
        <v>74</v>
      </c>
      <c r="B76" s="478" t="s">
        <v>824</v>
      </c>
      <c r="C76" s="479">
        <v>1</v>
      </c>
      <c r="D76" s="478">
        <v>85000</v>
      </c>
      <c r="E76" s="421">
        <f t="shared" si="8"/>
        <v>85000</v>
      </c>
      <c r="F76" s="478" t="s">
        <v>855</v>
      </c>
      <c r="G76" s="232" t="s">
        <v>464</v>
      </c>
      <c r="H76" s="603" t="s">
        <v>891</v>
      </c>
      <c r="I76" s="180"/>
      <c r="J76" s="181"/>
      <c r="K76" s="181"/>
      <c r="L76" s="181"/>
      <c r="M76" s="181"/>
    </row>
    <row r="77" spans="1:13" ht="23.1" customHeight="1">
      <c r="A77" s="227">
        <v>75</v>
      </c>
      <c r="B77" s="478" t="s">
        <v>825</v>
      </c>
      <c r="C77" s="479">
        <v>1</v>
      </c>
      <c r="D77" s="413">
        <v>280000</v>
      </c>
      <c r="E77" s="421">
        <f t="shared" si="8"/>
        <v>280000</v>
      </c>
      <c r="F77" s="478" t="s">
        <v>426</v>
      </c>
      <c r="G77" s="232" t="s">
        <v>464</v>
      </c>
      <c r="H77" s="603" t="s">
        <v>891</v>
      </c>
      <c r="I77" s="180"/>
      <c r="J77" s="181"/>
      <c r="K77" s="181"/>
      <c r="L77" s="181"/>
      <c r="M77" s="181"/>
    </row>
    <row r="78" spans="1:13" ht="23.1" customHeight="1">
      <c r="A78" s="227">
        <v>76</v>
      </c>
      <c r="B78" s="478" t="s">
        <v>826</v>
      </c>
      <c r="C78" s="479">
        <v>1</v>
      </c>
      <c r="D78" s="413">
        <v>15000</v>
      </c>
      <c r="E78" s="421">
        <f t="shared" si="8"/>
        <v>15000</v>
      </c>
      <c r="F78" s="478" t="s">
        <v>426</v>
      </c>
      <c r="G78" s="232" t="s">
        <v>464</v>
      </c>
      <c r="H78" s="603" t="s">
        <v>891</v>
      </c>
      <c r="I78" s="180"/>
      <c r="J78" s="181"/>
      <c r="K78" s="181"/>
      <c r="L78" s="181"/>
      <c r="M78" s="181"/>
    </row>
    <row r="79" spans="1:13" ht="23.1" customHeight="1">
      <c r="A79" s="227">
        <v>77</v>
      </c>
      <c r="B79" s="478" t="s">
        <v>827</v>
      </c>
      <c r="C79" s="479">
        <v>1</v>
      </c>
      <c r="D79" s="413">
        <v>60000</v>
      </c>
      <c r="E79" s="421">
        <f t="shared" si="8"/>
        <v>60000</v>
      </c>
      <c r="F79" s="478" t="s">
        <v>745</v>
      </c>
      <c r="G79" s="232" t="s">
        <v>464</v>
      </c>
      <c r="H79" s="603" t="s">
        <v>891</v>
      </c>
      <c r="I79" s="180"/>
      <c r="J79" s="181"/>
      <c r="K79" s="181"/>
      <c r="L79" s="181"/>
      <c r="M79" s="181"/>
    </row>
    <row r="80" spans="1:13" ht="23.1" customHeight="1">
      <c r="A80" s="227">
        <v>78</v>
      </c>
      <c r="B80" s="478" t="s">
        <v>828</v>
      </c>
      <c r="C80" s="479">
        <v>3</v>
      </c>
      <c r="D80" s="413">
        <v>10000</v>
      </c>
      <c r="E80" s="421">
        <f t="shared" si="8"/>
        <v>30000</v>
      </c>
      <c r="F80" s="478" t="s">
        <v>745</v>
      </c>
      <c r="G80" s="232" t="s">
        <v>464</v>
      </c>
      <c r="H80" s="603" t="s">
        <v>891</v>
      </c>
      <c r="I80" s="180"/>
      <c r="J80" s="181"/>
      <c r="K80" s="181"/>
      <c r="L80" s="181"/>
      <c r="M80" s="181"/>
    </row>
    <row r="81" spans="1:13" ht="23.1" customHeight="1">
      <c r="A81" s="227">
        <v>79</v>
      </c>
      <c r="B81" s="478" t="s">
        <v>829</v>
      </c>
      <c r="C81" s="479">
        <v>2</v>
      </c>
      <c r="D81" s="413">
        <v>49950</v>
      </c>
      <c r="E81" s="421">
        <f t="shared" si="8"/>
        <v>99900</v>
      </c>
      <c r="F81" s="478" t="s">
        <v>856</v>
      </c>
      <c r="G81" s="232" t="s">
        <v>464</v>
      </c>
      <c r="H81" s="603" t="s">
        <v>891</v>
      </c>
      <c r="I81" s="180"/>
      <c r="J81" s="181"/>
      <c r="K81" s="181"/>
      <c r="L81" s="181"/>
      <c r="M81" s="181"/>
    </row>
    <row r="82" spans="1:13" ht="23.1" customHeight="1">
      <c r="A82" s="227">
        <v>80</v>
      </c>
      <c r="B82" s="478" t="s">
        <v>830</v>
      </c>
      <c r="C82" s="479">
        <v>1</v>
      </c>
      <c r="D82" s="413">
        <v>850000</v>
      </c>
      <c r="E82" s="421">
        <f t="shared" si="8"/>
        <v>850000</v>
      </c>
      <c r="F82" s="478" t="s">
        <v>857</v>
      </c>
      <c r="G82" s="232" t="s">
        <v>464</v>
      </c>
      <c r="H82" s="603" t="s">
        <v>891</v>
      </c>
      <c r="I82" s="180"/>
      <c r="J82" s="181"/>
      <c r="K82" s="181"/>
      <c r="L82" s="181"/>
      <c r="M82" s="181"/>
    </row>
    <row r="83" spans="1:13" ht="23.1" customHeight="1">
      <c r="A83" s="227">
        <v>81</v>
      </c>
      <c r="B83" s="478" t="s">
        <v>831</v>
      </c>
      <c r="C83" s="479">
        <v>1</v>
      </c>
      <c r="D83" s="413">
        <v>130000</v>
      </c>
      <c r="E83" s="421">
        <f t="shared" si="8"/>
        <v>130000</v>
      </c>
      <c r="F83" s="478" t="s">
        <v>604</v>
      </c>
      <c r="G83" s="232" t="s">
        <v>464</v>
      </c>
      <c r="H83" s="603" t="s">
        <v>891</v>
      </c>
      <c r="I83" s="180"/>
      <c r="J83" s="181"/>
      <c r="K83" s="181"/>
      <c r="L83" s="181"/>
      <c r="M83" s="181"/>
    </row>
    <row r="84" spans="1:13" ht="23.1" customHeight="1">
      <c r="A84" s="227">
        <v>82</v>
      </c>
      <c r="B84" s="478" t="s">
        <v>832</v>
      </c>
      <c r="C84" s="479">
        <v>1</v>
      </c>
      <c r="D84" s="413">
        <v>30000</v>
      </c>
      <c r="E84" s="421">
        <f t="shared" si="8"/>
        <v>30000</v>
      </c>
      <c r="F84" s="478" t="s">
        <v>604</v>
      </c>
      <c r="G84" s="232" t="s">
        <v>464</v>
      </c>
      <c r="H84" s="603" t="s">
        <v>891</v>
      </c>
      <c r="I84" s="180"/>
      <c r="J84" s="181"/>
      <c r="K84" s="181"/>
      <c r="L84" s="181"/>
      <c r="M84" s="181"/>
    </row>
    <row r="85" spans="1:13" ht="23.1" customHeight="1">
      <c r="A85" s="227">
        <v>83</v>
      </c>
      <c r="B85" s="478" t="s">
        <v>833</v>
      </c>
      <c r="C85" s="479">
        <v>1</v>
      </c>
      <c r="D85" s="413">
        <v>14000</v>
      </c>
      <c r="E85" s="421">
        <f t="shared" si="8"/>
        <v>14000</v>
      </c>
      <c r="F85" s="478" t="s">
        <v>604</v>
      </c>
      <c r="G85" s="232" t="s">
        <v>464</v>
      </c>
      <c r="H85" s="603" t="s">
        <v>891</v>
      </c>
      <c r="I85" s="180"/>
      <c r="J85" s="181"/>
      <c r="K85" s="181"/>
      <c r="L85" s="181"/>
      <c r="M85" s="181"/>
    </row>
    <row r="86" spans="1:13" ht="23.1" customHeight="1">
      <c r="A86" s="227">
        <v>84</v>
      </c>
      <c r="B86" s="478" t="s">
        <v>834</v>
      </c>
      <c r="C86" s="479">
        <v>1</v>
      </c>
      <c r="D86" s="413">
        <v>5000</v>
      </c>
      <c r="E86" s="421">
        <f t="shared" si="8"/>
        <v>5000</v>
      </c>
      <c r="F86" s="478" t="s">
        <v>604</v>
      </c>
      <c r="G86" s="232" t="s">
        <v>464</v>
      </c>
      <c r="H86" s="603" t="s">
        <v>891</v>
      </c>
      <c r="I86" s="180"/>
      <c r="J86" s="181"/>
      <c r="K86" s="181"/>
      <c r="L86" s="181"/>
      <c r="M86" s="181"/>
    </row>
    <row r="87" spans="1:13" ht="23.1" customHeight="1">
      <c r="A87" s="227">
        <v>85</v>
      </c>
      <c r="B87" s="478" t="s">
        <v>835</v>
      </c>
      <c r="C87" s="479">
        <v>1</v>
      </c>
      <c r="D87" s="413">
        <v>350000</v>
      </c>
      <c r="E87" s="421">
        <f t="shared" si="8"/>
        <v>350000</v>
      </c>
      <c r="F87" s="478" t="s">
        <v>721</v>
      </c>
      <c r="G87" s="232" t="s">
        <v>464</v>
      </c>
      <c r="H87" s="603" t="s">
        <v>891</v>
      </c>
      <c r="I87" s="180"/>
      <c r="J87" s="181"/>
      <c r="K87" s="181"/>
      <c r="L87" s="181"/>
      <c r="M87" s="181"/>
    </row>
    <row r="88" spans="1:13" ht="23.1" customHeight="1">
      <c r="A88" s="227">
        <v>86</v>
      </c>
      <c r="B88" s="478" t="s">
        <v>190</v>
      </c>
      <c r="C88" s="479">
        <v>1</v>
      </c>
      <c r="D88" s="413">
        <v>579900</v>
      </c>
      <c r="E88" s="421">
        <f t="shared" si="8"/>
        <v>579900</v>
      </c>
      <c r="F88" s="478" t="s">
        <v>422</v>
      </c>
      <c r="G88" s="232" t="s">
        <v>464</v>
      </c>
      <c r="H88" s="603" t="s">
        <v>891</v>
      </c>
      <c r="I88" s="180"/>
      <c r="J88" s="181"/>
      <c r="K88" s="181"/>
      <c r="L88" s="181"/>
      <c r="M88" s="181"/>
    </row>
    <row r="89" spans="1:13" ht="23.1" customHeight="1">
      <c r="A89" s="227">
        <v>87</v>
      </c>
      <c r="B89" s="478" t="s">
        <v>836</v>
      </c>
      <c r="C89" s="479">
        <v>1</v>
      </c>
      <c r="D89" s="413">
        <v>35100</v>
      </c>
      <c r="E89" s="421">
        <f t="shared" si="8"/>
        <v>35100</v>
      </c>
      <c r="F89" s="478" t="s">
        <v>422</v>
      </c>
      <c r="G89" s="232" t="s">
        <v>464</v>
      </c>
      <c r="H89" s="603" t="s">
        <v>891</v>
      </c>
      <c r="I89" s="180"/>
      <c r="J89" s="181"/>
      <c r="K89" s="181"/>
      <c r="L89" s="181"/>
      <c r="M89" s="181"/>
    </row>
    <row r="90" spans="1:13" ht="23.1" customHeight="1">
      <c r="A90" s="227">
        <v>88</v>
      </c>
      <c r="B90" s="478" t="s">
        <v>837</v>
      </c>
      <c r="C90" s="479">
        <v>1</v>
      </c>
      <c r="D90" s="413">
        <v>19000</v>
      </c>
      <c r="E90" s="421">
        <f t="shared" si="8"/>
        <v>19000</v>
      </c>
      <c r="F90" s="478" t="s">
        <v>422</v>
      </c>
      <c r="G90" s="232" t="s">
        <v>464</v>
      </c>
      <c r="H90" s="603" t="s">
        <v>891</v>
      </c>
      <c r="I90" s="180"/>
      <c r="J90" s="181"/>
      <c r="K90" s="181"/>
      <c r="L90" s="181"/>
      <c r="M90" s="181"/>
    </row>
    <row r="91" spans="1:13" ht="23.1" customHeight="1">
      <c r="A91" s="227">
        <v>89</v>
      </c>
      <c r="B91" s="478" t="s">
        <v>863</v>
      </c>
      <c r="C91" s="479">
        <v>1</v>
      </c>
      <c r="D91" s="413">
        <v>35000</v>
      </c>
      <c r="E91" s="421">
        <f t="shared" si="8"/>
        <v>35000</v>
      </c>
      <c r="F91" s="478" t="s">
        <v>422</v>
      </c>
      <c r="G91" s="232" t="s">
        <v>464</v>
      </c>
      <c r="H91" s="603" t="s">
        <v>891</v>
      </c>
      <c r="I91" s="180"/>
      <c r="J91" s="181"/>
      <c r="K91" s="181"/>
      <c r="L91" s="181"/>
      <c r="M91" s="181"/>
    </row>
    <row r="92" spans="1:13" ht="23.1" customHeight="1">
      <c r="A92" s="227">
        <v>90</v>
      </c>
      <c r="B92" s="478" t="s">
        <v>836</v>
      </c>
      <c r="C92" s="479">
        <v>1</v>
      </c>
      <c r="D92" s="413">
        <v>35100</v>
      </c>
      <c r="E92" s="421">
        <f t="shared" si="8"/>
        <v>35100</v>
      </c>
      <c r="F92" s="478" t="s">
        <v>422</v>
      </c>
      <c r="G92" s="232" t="s">
        <v>464</v>
      </c>
      <c r="H92" s="603" t="s">
        <v>891</v>
      </c>
      <c r="I92" s="180"/>
      <c r="J92" s="181"/>
      <c r="K92" s="181"/>
      <c r="L92" s="181"/>
      <c r="M92" s="181"/>
    </row>
    <row r="93" spans="1:13" ht="23.1" customHeight="1">
      <c r="A93" s="227">
        <v>91</v>
      </c>
      <c r="B93" s="478" t="s">
        <v>838</v>
      </c>
      <c r="C93" s="479">
        <v>1</v>
      </c>
      <c r="D93" s="413">
        <v>71500</v>
      </c>
      <c r="E93" s="421">
        <f t="shared" si="8"/>
        <v>71500</v>
      </c>
      <c r="F93" s="478" t="s">
        <v>422</v>
      </c>
      <c r="G93" s="232" t="s">
        <v>464</v>
      </c>
      <c r="H93" s="603" t="s">
        <v>891</v>
      </c>
      <c r="I93" s="180"/>
      <c r="J93" s="181"/>
      <c r="K93" s="181"/>
      <c r="L93" s="181"/>
      <c r="M93" s="181"/>
    </row>
    <row r="94" spans="1:13" ht="23.1" customHeight="1">
      <c r="A94" s="227">
        <v>92</v>
      </c>
      <c r="B94" s="478" t="s">
        <v>839</v>
      </c>
      <c r="C94" s="479">
        <v>1</v>
      </c>
      <c r="D94" s="413">
        <v>180000</v>
      </c>
      <c r="E94" s="421">
        <f t="shared" si="8"/>
        <v>180000</v>
      </c>
      <c r="F94" s="478" t="s">
        <v>740</v>
      </c>
      <c r="G94" s="232" t="s">
        <v>464</v>
      </c>
      <c r="H94" s="603" t="s">
        <v>891</v>
      </c>
      <c r="I94" s="180"/>
      <c r="J94" s="181"/>
      <c r="K94" s="181"/>
      <c r="L94" s="181"/>
      <c r="M94" s="181"/>
    </row>
    <row r="95" spans="1:13" ht="23.1" customHeight="1">
      <c r="A95" s="227">
        <v>93</v>
      </c>
      <c r="B95" s="478" t="s">
        <v>864</v>
      </c>
      <c r="C95" s="479">
        <v>1</v>
      </c>
      <c r="D95" s="413">
        <v>74000</v>
      </c>
      <c r="E95" s="421">
        <f t="shared" si="8"/>
        <v>74000</v>
      </c>
      <c r="F95" s="478" t="s">
        <v>858</v>
      </c>
      <c r="G95" s="232" t="s">
        <v>464</v>
      </c>
      <c r="H95" s="603" t="s">
        <v>891</v>
      </c>
      <c r="I95" s="180"/>
      <c r="J95" s="181"/>
      <c r="K95" s="181"/>
      <c r="L95" s="181"/>
      <c r="M95" s="181"/>
    </row>
    <row r="96" spans="1:13" ht="23.1" customHeight="1">
      <c r="A96" s="227">
        <v>94</v>
      </c>
      <c r="B96" s="478" t="s">
        <v>865</v>
      </c>
      <c r="C96" s="479">
        <v>1</v>
      </c>
      <c r="D96" s="413">
        <v>80000</v>
      </c>
      <c r="E96" s="421">
        <f t="shared" si="8"/>
        <v>80000</v>
      </c>
      <c r="F96" s="478" t="s">
        <v>858</v>
      </c>
      <c r="G96" s="232" t="s">
        <v>464</v>
      </c>
      <c r="H96" s="603" t="s">
        <v>891</v>
      </c>
      <c r="I96" s="180"/>
      <c r="J96" s="181"/>
      <c r="K96" s="181"/>
      <c r="L96" s="181"/>
      <c r="M96" s="181"/>
    </row>
    <row r="97" spans="1:13" ht="23.1" customHeight="1">
      <c r="A97" s="227">
        <v>95</v>
      </c>
      <c r="B97" s="478" t="s">
        <v>866</v>
      </c>
      <c r="C97" s="479">
        <v>1</v>
      </c>
      <c r="D97" s="413">
        <v>14000</v>
      </c>
      <c r="E97" s="421">
        <f t="shared" si="8"/>
        <v>14000</v>
      </c>
      <c r="F97" s="478" t="s">
        <v>858</v>
      </c>
      <c r="G97" s="232" t="s">
        <v>464</v>
      </c>
      <c r="H97" s="603" t="s">
        <v>891</v>
      </c>
      <c r="I97" s="180"/>
      <c r="J97" s="181"/>
      <c r="K97" s="181"/>
      <c r="L97" s="181"/>
      <c r="M97" s="181"/>
    </row>
    <row r="98" spans="1:13" ht="23.1" customHeight="1">
      <c r="A98" s="227">
        <v>96</v>
      </c>
      <c r="B98" s="390" t="s">
        <v>840</v>
      </c>
      <c r="C98" s="479">
        <v>4</v>
      </c>
      <c r="D98" s="417">
        <v>33000</v>
      </c>
      <c r="E98" s="421">
        <f t="shared" si="8"/>
        <v>132000</v>
      </c>
      <c r="F98" s="390" t="s">
        <v>445</v>
      </c>
      <c r="G98" s="232" t="s">
        <v>464</v>
      </c>
      <c r="H98" s="603" t="s">
        <v>891</v>
      </c>
      <c r="I98" s="180"/>
      <c r="J98" s="181"/>
      <c r="K98" s="181"/>
      <c r="L98" s="181"/>
      <c r="M98" s="181"/>
    </row>
    <row r="99" spans="1:13" ht="23.1" customHeight="1">
      <c r="A99" s="227">
        <v>97</v>
      </c>
      <c r="B99" s="478" t="s">
        <v>841</v>
      </c>
      <c r="C99" s="479">
        <v>1</v>
      </c>
      <c r="D99" s="413">
        <v>405000</v>
      </c>
      <c r="E99" s="421">
        <f t="shared" si="8"/>
        <v>405000</v>
      </c>
      <c r="F99" s="478" t="s">
        <v>431</v>
      </c>
      <c r="G99" s="232" t="s">
        <v>464</v>
      </c>
      <c r="H99" s="603" t="s">
        <v>891</v>
      </c>
      <c r="I99" s="180"/>
      <c r="J99" s="181"/>
      <c r="K99" s="181"/>
      <c r="L99" s="181"/>
      <c r="M99" s="181"/>
    </row>
    <row r="100" spans="1:13" ht="23.1" customHeight="1">
      <c r="A100" s="227">
        <v>98</v>
      </c>
      <c r="B100" s="478" t="s">
        <v>842</v>
      </c>
      <c r="C100" s="479">
        <v>2</v>
      </c>
      <c r="D100" s="413">
        <v>200000</v>
      </c>
      <c r="E100" s="421">
        <f t="shared" si="8"/>
        <v>400000</v>
      </c>
      <c r="F100" s="478" t="s">
        <v>736</v>
      </c>
      <c r="G100" s="232" t="s">
        <v>464</v>
      </c>
      <c r="H100" s="603" t="s">
        <v>891</v>
      </c>
      <c r="I100" s="180"/>
      <c r="J100" s="181"/>
      <c r="K100" s="181"/>
      <c r="L100" s="181"/>
      <c r="M100" s="181"/>
    </row>
    <row r="101" spans="1:13" ht="23.1" customHeight="1">
      <c r="A101" s="227">
        <v>99</v>
      </c>
      <c r="B101" s="478" t="s">
        <v>843</v>
      </c>
      <c r="C101" s="479">
        <v>1</v>
      </c>
      <c r="D101" s="413">
        <v>10000</v>
      </c>
      <c r="E101" s="421">
        <f t="shared" si="8"/>
        <v>10000</v>
      </c>
      <c r="F101" s="478" t="s">
        <v>736</v>
      </c>
      <c r="G101" s="232" t="s">
        <v>464</v>
      </c>
      <c r="H101" s="603" t="s">
        <v>891</v>
      </c>
      <c r="I101" s="180"/>
      <c r="J101" s="181"/>
      <c r="K101" s="181"/>
      <c r="L101" s="181"/>
      <c r="M101" s="181"/>
    </row>
    <row r="102" spans="1:13" ht="23.1" customHeight="1">
      <c r="A102" s="227">
        <v>100</v>
      </c>
      <c r="B102" s="478" t="s">
        <v>191</v>
      </c>
      <c r="C102" s="479">
        <v>2</v>
      </c>
      <c r="D102" s="413">
        <v>120000</v>
      </c>
      <c r="E102" s="421">
        <f t="shared" si="8"/>
        <v>240000</v>
      </c>
      <c r="F102" s="478" t="s">
        <v>859</v>
      </c>
      <c r="G102" s="232" t="s">
        <v>464</v>
      </c>
      <c r="H102" s="603" t="s">
        <v>891</v>
      </c>
      <c r="I102" s="180"/>
      <c r="J102" s="181"/>
      <c r="K102" s="181"/>
      <c r="L102" s="181"/>
      <c r="M102" s="181"/>
    </row>
    <row r="103" spans="1:13" ht="23.1" customHeight="1">
      <c r="A103" s="227">
        <v>101</v>
      </c>
      <c r="B103" s="260" t="s">
        <v>844</v>
      </c>
      <c r="C103" s="414">
        <v>1</v>
      </c>
      <c r="D103" s="415">
        <v>20000</v>
      </c>
      <c r="E103" s="421">
        <f t="shared" si="8"/>
        <v>20000</v>
      </c>
      <c r="F103" s="260" t="s">
        <v>860</v>
      </c>
      <c r="G103" s="232" t="s">
        <v>464</v>
      </c>
      <c r="H103" s="603" t="s">
        <v>891</v>
      </c>
      <c r="I103" s="180"/>
      <c r="J103" s="181"/>
      <c r="K103" s="181"/>
      <c r="L103" s="181"/>
      <c r="M103" s="181"/>
    </row>
    <row r="104" spans="1:13" ht="23.1" customHeight="1">
      <c r="A104" s="227">
        <v>102</v>
      </c>
      <c r="B104" s="322" t="s">
        <v>845</v>
      </c>
      <c r="C104" s="233">
        <v>1</v>
      </c>
      <c r="D104" s="418">
        <v>9800</v>
      </c>
      <c r="E104" s="421">
        <f t="shared" si="8"/>
        <v>9800</v>
      </c>
      <c r="F104" s="322" t="s">
        <v>650</v>
      </c>
      <c r="G104" s="232" t="s">
        <v>464</v>
      </c>
      <c r="H104" s="603" t="s">
        <v>891</v>
      </c>
      <c r="I104" s="180"/>
      <c r="J104" s="181"/>
      <c r="K104" s="181"/>
      <c r="L104" s="181"/>
      <c r="M104" s="181"/>
    </row>
    <row r="105" spans="1:13" ht="23.1" customHeight="1">
      <c r="A105" s="227">
        <v>103</v>
      </c>
      <c r="B105" s="478" t="s">
        <v>846</v>
      </c>
      <c r="C105" s="479">
        <v>21</v>
      </c>
      <c r="D105" s="413">
        <v>8400</v>
      </c>
      <c r="E105" s="421">
        <f t="shared" si="8"/>
        <v>176400</v>
      </c>
      <c r="F105" s="478" t="s">
        <v>861</v>
      </c>
      <c r="G105" s="232" t="s">
        <v>464</v>
      </c>
      <c r="H105" s="603" t="s">
        <v>891</v>
      </c>
      <c r="I105" s="180"/>
      <c r="J105" s="181"/>
      <c r="K105" s="181"/>
      <c r="L105" s="181"/>
      <c r="M105" s="181"/>
    </row>
    <row r="106" spans="1:13" s="245" customFormat="1" ht="23.1" customHeight="1">
      <c r="A106" s="227">
        <v>104</v>
      </c>
      <c r="B106" s="226" t="s">
        <v>987</v>
      </c>
      <c r="C106" s="227">
        <v>1</v>
      </c>
      <c r="D106" s="229">
        <v>2500000</v>
      </c>
      <c r="E106" s="328">
        <f>+C106*D106</f>
        <v>2500000</v>
      </c>
      <c r="F106" s="315"/>
      <c r="G106" s="232" t="s">
        <v>464</v>
      </c>
      <c r="H106" s="603" t="str">
        <f>+H160</f>
        <v>รายการใหม่ปรับแผน(ครึ่งปีหลัง)</v>
      </c>
      <c r="I106" s="361"/>
    </row>
    <row r="107" spans="1:13" s="245" customFormat="1" ht="23.1" customHeight="1">
      <c r="A107" s="227">
        <v>105</v>
      </c>
      <c r="B107" s="183" t="s">
        <v>1041</v>
      </c>
      <c r="C107" s="182">
        <v>1</v>
      </c>
      <c r="D107" s="203">
        <v>450000</v>
      </c>
      <c r="E107" s="328">
        <f>+C107*D107</f>
        <v>450000</v>
      </c>
      <c r="F107" s="567" t="s">
        <v>414</v>
      </c>
      <c r="G107" s="232" t="s">
        <v>464</v>
      </c>
      <c r="H107" s="603" t="str">
        <f>+H161</f>
        <v>นอกแผนอนุมัติ เข้าแผน (ครึ่งปีหลัง)</v>
      </c>
      <c r="I107" s="361"/>
    </row>
    <row r="108" spans="1:13" s="430" customFormat="1" ht="21">
      <c r="A108" s="425"/>
      <c r="B108" s="224"/>
      <c r="C108" s="440"/>
      <c r="D108" s="441" t="s">
        <v>4</v>
      </c>
      <c r="E108" s="442">
        <f>SUM(E3:E107)</f>
        <v>45077247.129999995</v>
      </c>
      <c r="F108" s="224"/>
      <c r="G108" s="443"/>
      <c r="H108" s="224"/>
      <c r="I108" s="428"/>
      <c r="J108" s="429"/>
      <c r="K108" s="429"/>
      <c r="L108" s="429"/>
      <c r="M108" s="429"/>
    </row>
    <row r="109" spans="1:13" ht="24" customHeight="1">
      <c r="A109" s="227">
        <v>106</v>
      </c>
      <c r="B109" s="262" t="s">
        <v>193</v>
      </c>
      <c r="C109" s="227">
        <v>1</v>
      </c>
      <c r="D109" s="261">
        <v>2000000</v>
      </c>
      <c r="E109" s="261">
        <f t="shared" si="0"/>
        <v>2000000</v>
      </c>
      <c r="F109" s="226" t="s">
        <v>430</v>
      </c>
      <c r="G109" s="226" t="s">
        <v>728</v>
      </c>
      <c r="H109" s="264" t="s">
        <v>569</v>
      </c>
      <c r="I109" s="180"/>
      <c r="J109" s="181"/>
      <c r="K109" s="181"/>
      <c r="L109" s="181"/>
      <c r="M109" s="181"/>
    </row>
    <row r="110" spans="1:13" ht="23.1" customHeight="1">
      <c r="A110" s="388">
        <v>107</v>
      </c>
      <c r="B110" s="262" t="s">
        <v>197</v>
      </c>
      <c r="C110" s="227">
        <v>3</v>
      </c>
      <c r="D110" s="327">
        <f>+E110/C110</f>
        <v>278091.66666666669</v>
      </c>
      <c r="E110" s="261">
        <v>834275</v>
      </c>
      <c r="F110" s="226" t="s">
        <v>415</v>
      </c>
      <c r="G110" s="226" t="s">
        <v>728</v>
      </c>
      <c r="H110" s="232" t="str">
        <f>+H10</f>
        <v>14.เบิกจ่ายแล้ว</v>
      </c>
      <c r="I110" s="180"/>
      <c r="J110" s="181"/>
      <c r="K110" s="181"/>
      <c r="L110" s="181"/>
      <c r="M110" s="181"/>
    </row>
    <row r="111" spans="1:13" ht="23.1" customHeight="1">
      <c r="A111" s="227">
        <v>108</v>
      </c>
      <c r="B111" s="230" t="s">
        <v>520</v>
      </c>
      <c r="C111" s="220">
        <v>1</v>
      </c>
      <c r="D111" s="408">
        <v>720000</v>
      </c>
      <c r="E111" s="444">
        <f>+C111*D111</f>
        <v>720000</v>
      </c>
      <c r="F111" s="266"/>
      <c r="G111" s="266" t="s">
        <v>728</v>
      </c>
      <c r="H111" s="266"/>
      <c r="I111" s="180"/>
      <c r="J111" s="181"/>
      <c r="K111" s="181"/>
      <c r="L111" s="181"/>
      <c r="M111" s="181"/>
    </row>
    <row r="112" spans="1:13" ht="23.1" customHeight="1">
      <c r="A112" s="227">
        <v>109</v>
      </c>
      <c r="B112" s="322" t="s">
        <v>867</v>
      </c>
      <c r="C112" s="233">
        <v>1</v>
      </c>
      <c r="D112" s="418">
        <v>9290</v>
      </c>
      <c r="E112" s="418">
        <f t="shared" ref="E112:E134" si="9">+C112*D112</f>
        <v>9290</v>
      </c>
      <c r="F112" s="322" t="s">
        <v>743</v>
      </c>
      <c r="G112" s="365" t="s">
        <v>728</v>
      </c>
      <c r="H112" s="266" t="str">
        <f>+H52</f>
        <v>รายการใหม่ปรับแผน(ครึ่งปีหลัง)</v>
      </c>
      <c r="I112" s="180"/>
      <c r="J112" s="181"/>
      <c r="K112" s="181"/>
      <c r="L112" s="181"/>
      <c r="M112" s="181"/>
    </row>
    <row r="113" spans="1:13" ht="23.1" customHeight="1">
      <c r="A113" s="388">
        <v>110</v>
      </c>
      <c r="B113" s="315" t="s">
        <v>868</v>
      </c>
      <c r="C113" s="363">
        <v>12</v>
      </c>
      <c r="D113" s="421">
        <v>39630</v>
      </c>
      <c r="E113" s="418">
        <f t="shared" si="9"/>
        <v>475560</v>
      </c>
      <c r="F113" s="423" t="s">
        <v>888</v>
      </c>
      <c r="G113" s="266" t="s">
        <v>728</v>
      </c>
      <c r="H113" s="266" t="str">
        <f>+H105</f>
        <v>นอกแผนอนุมัติ เข้าแผน (ครึ่งปีหลัง)</v>
      </c>
      <c r="I113" s="180"/>
      <c r="J113" s="181"/>
      <c r="K113" s="181"/>
      <c r="L113" s="181"/>
      <c r="M113" s="181"/>
    </row>
    <row r="114" spans="1:13" ht="23.1" customHeight="1">
      <c r="A114" s="227">
        <v>111</v>
      </c>
      <c r="B114" s="478" t="s">
        <v>887</v>
      </c>
      <c r="C114" s="479">
        <v>2</v>
      </c>
      <c r="D114" s="413">
        <v>2290</v>
      </c>
      <c r="E114" s="418">
        <f t="shared" si="9"/>
        <v>4580</v>
      </c>
      <c r="F114" s="322" t="s">
        <v>888</v>
      </c>
      <c r="G114" s="266" t="s">
        <v>728</v>
      </c>
      <c r="H114" s="266" t="str">
        <f>+H113</f>
        <v>นอกแผนอนุมัติ เข้าแผน (ครึ่งปีหลัง)</v>
      </c>
      <c r="I114" s="180"/>
      <c r="J114" s="181"/>
      <c r="K114" s="181"/>
      <c r="L114" s="181"/>
      <c r="M114" s="181"/>
    </row>
    <row r="115" spans="1:13" ht="23.1" customHeight="1">
      <c r="A115" s="227">
        <v>112</v>
      </c>
      <c r="B115" s="478" t="s">
        <v>886</v>
      </c>
      <c r="C115" s="479">
        <v>3</v>
      </c>
      <c r="D115" s="413">
        <v>10500</v>
      </c>
      <c r="E115" s="418">
        <f t="shared" si="9"/>
        <v>31500</v>
      </c>
      <c r="F115" s="322" t="s">
        <v>888</v>
      </c>
      <c r="G115" s="266" t="s">
        <v>728</v>
      </c>
      <c r="H115" s="266" t="str">
        <f>+H114</f>
        <v>นอกแผนอนุมัติ เข้าแผน (ครึ่งปีหลัง)</v>
      </c>
      <c r="I115" s="180"/>
      <c r="J115" s="181"/>
      <c r="K115" s="181"/>
      <c r="L115" s="181"/>
      <c r="M115" s="181"/>
    </row>
    <row r="116" spans="1:13" ht="23.1" customHeight="1">
      <c r="A116" s="388">
        <v>113</v>
      </c>
      <c r="B116" s="478" t="s">
        <v>885</v>
      </c>
      <c r="C116" s="479">
        <v>33</v>
      </c>
      <c r="D116" s="413">
        <v>5690</v>
      </c>
      <c r="E116" s="418">
        <f t="shared" si="9"/>
        <v>187770</v>
      </c>
      <c r="F116" s="322" t="s">
        <v>888</v>
      </c>
      <c r="G116" s="266" t="s">
        <v>728</v>
      </c>
      <c r="H116" s="266" t="str">
        <f t="shared" ref="H116:H134" si="10">+H115</f>
        <v>นอกแผนอนุมัติ เข้าแผน (ครึ่งปีหลัง)</v>
      </c>
      <c r="I116" s="180"/>
      <c r="J116" s="181"/>
      <c r="K116" s="181"/>
      <c r="L116" s="181"/>
      <c r="M116" s="181"/>
    </row>
    <row r="117" spans="1:13" ht="23.1" customHeight="1">
      <c r="A117" s="227">
        <v>114</v>
      </c>
      <c r="B117" s="478" t="s">
        <v>884</v>
      </c>
      <c r="C117" s="479">
        <v>33</v>
      </c>
      <c r="D117" s="413">
        <v>3200</v>
      </c>
      <c r="E117" s="418">
        <f t="shared" si="9"/>
        <v>105600</v>
      </c>
      <c r="F117" s="322" t="s">
        <v>888</v>
      </c>
      <c r="G117" s="266" t="s">
        <v>728</v>
      </c>
      <c r="H117" s="266" t="str">
        <f t="shared" si="10"/>
        <v>นอกแผนอนุมัติ เข้าแผน (ครึ่งปีหลัง)</v>
      </c>
      <c r="I117" s="180"/>
      <c r="J117" s="181"/>
      <c r="K117" s="181"/>
      <c r="L117" s="181"/>
      <c r="M117" s="181"/>
    </row>
    <row r="118" spans="1:13" ht="23.1" customHeight="1">
      <c r="A118" s="227">
        <v>115</v>
      </c>
      <c r="B118" s="478" t="s">
        <v>883</v>
      </c>
      <c r="C118" s="479">
        <v>1</v>
      </c>
      <c r="D118" s="413">
        <v>6400</v>
      </c>
      <c r="E118" s="418">
        <f t="shared" si="9"/>
        <v>6400</v>
      </c>
      <c r="F118" s="322" t="s">
        <v>888</v>
      </c>
      <c r="G118" s="266" t="s">
        <v>728</v>
      </c>
      <c r="H118" s="266" t="str">
        <f t="shared" si="10"/>
        <v>นอกแผนอนุมัติ เข้าแผน (ครึ่งปีหลัง)</v>
      </c>
      <c r="I118" s="180"/>
      <c r="J118" s="181"/>
      <c r="K118" s="181"/>
      <c r="L118" s="181"/>
      <c r="M118" s="181"/>
    </row>
    <row r="119" spans="1:13" ht="23.1" customHeight="1">
      <c r="A119" s="388">
        <v>116</v>
      </c>
      <c r="B119" s="478" t="s">
        <v>882</v>
      </c>
      <c r="C119" s="479">
        <v>2</v>
      </c>
      <c r="D119" s="413">
        <v>8690</v>
      </c>
      <c r="E119" s="418">
        <f t="shared" si="9"/>
        <v>17380</v>
      </c>
      <c r="F119" s="322" t="s">
        <v>888</v>
      </c>
      <c r="G119" s="266" t="s">
        <v>728</v>
      </c>
      <c r="H119" s="266" t="str">
        <f t="shared" si="10"/>
        <v>นอกแผนอนุมัติ เข้าแผน (ครึ่งปีหลัง)</v>
      </c>
      <c r="I119" s="180"/>
      <c r="J119" s="181"/>
      <c r="K119" s="181"/>
      <c r="L119" s="181"/>
      <c r="M119" s="181"/>
    </row>
    <row r="120" spans="1:13" ht="23.1" customHeight="1">
      <c r="A120" s="227">
        <v>117</v>
      </c>
      <c r="B120" s="478" t="s">
        <v>869</v>
      </c>
      <c r="C120" s="479">
        <v>19</v>
      </c>
      <c r="D120" s="478">
        <v>3524.58</v>
      </c>
      <c r="E120" s="418">
        <f t="shared" si="9"/>
        <v>66967.02</v>
      </c>
      <c r="F120" s="478" t="s">
        <v>888</v>
      </c>
      <c r="G120" s="266" t="s">
        <v>728</v>
      </c>
      <c r="H120" s="266" t="str">
        <f t="shared" si="10"/>
        <v>นอกแผนอนุมัติ เข้าแผน (ครึ่งปีหลัง)</v>
      </c>
      <c r="I120" s="180"/>
      <c r="J120" s="181"/>
      <c r="K120" s="181"/>
      <c r="L120" s="181"/>
      <c r="M120" s="181"/>
    </row>
    <row r="121" spans="1:13" ht="23.1" customHeight="1">
      <c r="A121" s="227">
        <v>118</v>
      </c>
      <c r="B121" s="478" t="s">
        <v>870</v>
      </c>
      <c r="C121" s="479">
        <v>40</v>
      </c>
      <c r="D121" s="413">
        <v>2477.5</v>
      </c>
      <c r="E121" s="418">
        <f t="shared" si="9"/>
        <v>99100</v>
      </c>
      <c r="F121" s="478" t="s">
        <v>850</v>
      </c>
      <c r="G121" s="266" t="s">
        <v>728</v>
      </c>
      <c r="H121" s="266" t="str">
        <f t="shared" si="10"/>
        <v>นอกแผนอนุมัติ เข้าแผน (ครึ่งปีหลัง)</v>
      </c>
      <c r="I121" s="180"/>
      <c r="J121" s="181"/>
      <c r="K121" s="181"/>
      <c r="L121" s="181"/>
      <c r="M121" s="181"/>
    </row>
    <row r="122" spans="1:13" ht="23.1" customHeight="1">
      <c r="A122" s="388">
        <v>119</v>
      </c>
      <c r="B122" s="478" t="s">
        <v>871</v>
      </c>
      <c r="C122" s="479">
        <v>1</v>
      </c>
      <c r="D122" s="413">
        <v>22950</v>
      </c>
      <c r="E122" s="418">
        <f t="shared" si="9"/>
        <v>22950</v>
      </c>
      <c r="F122" s="478" t="s">
        <v>851</v>
      </c>
      <c r="G122" s="266" t="s">
        <v>728</v>
      </c>
      <c r="H122" s="266" t="str">
        <f t="shared" si="10"/>
        <v>นอกแผนอนุมัติ เข้าแผน (ครึ่งปีหลัง)</v>
      </c>
      <c r="I122" s="180"/>
      <c r="J122" s="181"/>
      <c r="K122" s="181"/>
      <c r="L122" s="181"/>
      <c r="M122" s="181"/>
    </row>
    <row r="123" spans="1:13" ht="23.1" customHeight="1">
      <c r="A123" s="227">
        <v>120</v>
      </c>
      <c r="B123" s="216" t="s">
        <v>887</v>
      </c>
      <c r="C123" s="215">
        <v>1</v>
      </c>
      <c r="D123" s="422">
        <v>2450.3000000000002</v>
      </c>
      <c r="E123" s="418">
        <f t="shared" si="9"/>
        <v>2450.3000000000002</v>
      </c>
      <c r="F123" s="216" t="s">
        <v>852</v>
      </c>
      <c r="G123" s="266" t="s">
        <v>728</v>
      </c>
      <c r="H123" s="266" t="str">
        <f t="shared" si="10"/>
        <v>นอกแผนอนุมัติ เข้าแผน (ครึ่งปีหลัง)</v>
      </c>
      <c r="I123" s="180"/>
      <c r="J123" s="181"/>
      <c r="K123" s="181"/>
      <c r="L123" s="181"/>
      <c r="M123" s="181"/>
    </row>
    <row r="124" spans="1:13" ht="23.1" customHeight="1">
      <c r="A124" s="227">
        <v>121</v>
      </c>
      <c r="B124" s="478" t="s">
        <v>872</v>
      </c>
      <c r="C124" s="479">
        <v>1</v>
      </c>
      <c r="D124" s="413">
        <v>3900</v>
      </c>
      <c r="E124" s="418">
        <f t="shared" si="9"/>
        <v>3900</v>
      </c>
      <c r="F124" s="478" t="s">
        <v>852</v>
      </c>
      <c r="G124" s="266" t="s">
        <v>728</v>
      </c>
      <c r="H124" s="266" t="str">
        <f t="shared" si="10"/>
        <v>นอกแผนอนุมัติ เข้าแผน (ครึ่งปีหลัง)</v>
      </c>
      <c r="I124" s="180"/>
      <c r="J124" s="181"/>
      <c r="K124" s="181"/>
      <c r="L124" s="181"/>
      <c r="M124" s="181"/>
    </row>
    <row r="125" spans="1:13" ht="21">
      <c r="A125" s="388">
        <v>122</v>
      </c>
      <c r="B125" s="478" t="s">
        <v>873</v>
      </c>
      <c r="C125" s="479">
        <v>1</v>
      </c>
      <c r="D125" s="413">
        <v>3900</v>
      </c>
      <c r="E125" s="418">
        <f t="shared" si="9"/>
        <v>3900</v>
      </c>
      <c r="F125" s="478" t="s">
        <v>854</v>
      </c>
      <c r="G125" s="266" t="s">
        <v>728</v>
      </c>
      <c r="H125" s="266" t="str">
        <f t="shared" si="10"/>
        <v>นอกแผนอนุมัติ เข้าแผน (ครึ่งปีหลัง)</v>
      </c>
      <c r="I125" s="180"/>
      <c r="J125" s="181"/>
      <c r="K125" s="181"/>
      <c r="L125" s="181"/>
      <c r="M125" s="181"/>
    </row>
    <row r="126" spans="1:13" ht="23.1" customHeight="1">
      <c r="A126" s="227">
        <v>123</v>
      </c>
      <c r="B126" s="478" t="s">
        <v>881</v>
      </c>
      <c r="C126" s="479">
        <v>1</v>
      </c>
      <c r="D126" s="413">
        <v>6790</v>
      </c>
      <c r="E126" s="418">
        <f t="shared" si="9"/>
        <v>6790</v>
      </c>
      <c r="F126" s="478" t="s">
        <v>743</v>
      </c>
      <c r="G126" s="266" t="s">
        <v>728</v>
      </c>
      <c r="H126" s="266" t="str">
        <f t="shared" si="10"/>
        <v>นอกแผนอนุมัติ เข้าแผน (ครึ่งปีหลัง)</v>
      </c>
      <c r="I126" s="180"/>
      <c r="J126" s="181"/>
      <c r="K126" s="181"/>
      <c r="L126" s="181"/>
      <c r="M126" s="181"/>
    </row>
    <row r="127" spans="1:13" ht="23.1" customHeight="1">
      <c r="A127" s="227">
        <v>124</v>
      </c>
      <c r="B127" s="391" t="s">
        <v>871</v>
      </c>
      <c r="C127" s="500">
        <v>1</v>
      </c>
      <c r="D127" s="501">
        <v>22950</v>
      </c>
      <c r="E127" s="418">
        <f t="shared" si="9"/>
        <v>22950</v>
      </c>
      <c r="F127" s="391" t="s">
        <v>855</v>
      </c>
      <c r="G127" s="266" t="s">
        <v>728</v>
      </c>
      <c r="H127" s="266" t="str">
        <f t="shared" si="10"/>
        <v>นอกแผนอนุมัติ เข้าแผน (ครึ่งปีหลัง)</v>
      </c>
      <c r="I127" s="180"/>
      <c r="J127" s="181"/>
      <c r="K127" s="181"/>
      <c r="L127" s="181"/>
      <c r="M127" s="181"/>
    </row>
    <row r="128" spans="1:13" ht="20.100000000000001" customHeight="1">
      <c r="A128" s="388">
        <v>125</v>
      </c>
      <c r="B128" s="260" t="s">
        <v>874</v>
      </c>
      <c r="C128" s="414">
        <v>1</v>
      </c>
      <c r="D128" s="415">
        <v>2140</v>
      </c>
      <c r="E128" s="418">
        <f t="shared" si="9"/>
        <v>2140</v>
      </c>
      <c r="F128" s="260" t="s">
        <v>451</v>
      </c>
      <c r="G128" s="266" t="s">
        <v>728</v>
      </c>
      <c r="H128" s="266" t="str">
        <f t="shared" si="10"/>
        <v>นอกแผนอนุมัติ เข้าแผน (ครึ่งปีหลัง)</v>
      </c>
      <c r="I128" s="180"/>
      <c r="J128" s="181"/>
      <c r="K128" s="181"/>
      <c r="L128" s="181"/>
      <c r="M128" s="181"/>
    </row>
    <row r="129" spans="1:13" ht="20.100000000000001" customHeight="1">
      <c r="A129" s="227">
        <v>126</v>
      </c>
      <c r="B129" s="478" t="s">
        <v>875</v>
      </c>
      <c r="C129" s="479">
        <v>1</v>
      </c>
      <c r="D129" s="413">
        <v>61018.03</v>
      </c>
      <c r="E129" s="418">
        <f t="shared" si="9"/>
        <v>61018.03</v>
      </c>
      <c r="F129" s="478" t="s">
        <v>889</v>
      </c>
      <c r="G129" s="266" t="s">
        <v>728</v>
      </c>
      <c r="H129" s="266" t="str">
        <f t="shared" si="10"/>
        <v>นอกแผนอนุมัติ เข้าแผน (ครึ่งปีหลัง)</v>
      </c>
      <c r="I129" s="180"/>
      <c r="J129" s="181"/>
      <c r="K129" s="181"/>
      <c r="L129" s="181"/>
      <c r="M129" s="181"/>
    </row>
    <row r="130" spans="1:13" ht="20.100000000000001" customHeight="1">
      <c r="A130" s="227">
        <v>127</v>
      </c>
      <c r="B130" s="478" t="s">
        <v>879</v>
      </c>
      <c r="C130" s="479">
        <v>1</v>
      </c>
      <c r="D130" s="413">
        <v>6500</v>
      </c>
      <c r="E130" s="418">
        <f t="shared" si="9"/>
        <v>6500</v>
      </c>
      <c r="F130" s="478" t="s">
        <v>890</v>
      </c>
      <c r="G130" s="266" t="s">
        <v>728</v>
      </c>
      <c r="H130" s="266" t="str">
        <f t="shared" si="10"/>
        <v>นอกแผนอนุมัติ เข้าแผน (ครึ่งปีหลัง)</v>
      </c>
      <c r="I130" s="180"/>
      <c r="J130" s="181"/>
      <c r="K130" s="181"/>
      <c r="L130" s="181"/>
      <c r="M130" s="181"/>
    </row>
    <row r="131" spans="1:13" ht="20.100000000000001" customHeight="1">
      <c r="A131" s="388">
        <v>128</v>
      </c>
      <c r="B131" s="478" t="s">
        <v>880</v>
      </c>
      <c r="C131" s="479">
        <v>1</v>
      </c>
      <c r="D131" s="413">
        <v>4500</v>
      </c>
      <c r="E131" s="418">
        <f t="shared" si="9"/>
        <v>4500</v>
      </c>
      <c r="F131" s="478" t="s">
        <v>890</v>
      </c>
      <c r="G131" s="266" t="s">
        <v>728</v>
      </c>
      <c r="H131" s="266" t="str">
        <f t="shared" si="10"/>
        <v>นอกแผนอนุมัติ เข้าแผน (ครึ่งปีหลัง)</v>
      </c>
      <c r="I131" s="180"/>
      <c r="J131" s="181"/>
      <c r="K131" s="181"/>
      <c r="L131" s="181"/>
      <c r="M131" s="181"/>
    </row>
    <row r="132" spans="1:13" ht="20.100000000000001" customHeight="1">
      <c r="A132" s="227">
        <v>129</v>
      </c>
      <c r="B132" s="478" t="s">
        <v>876</v>
      </c>
      <c r="C132" s="479">
        <v>1</v>
      </c>
      <c r="D132" s="413">
        <v>64000</v>
      </c>
      <c r="E132" s="418">
        <f t="shared" si="9"/>
        <v>64000</v>
      </c>
      <c r="F132" s="478" t="s">
        <v>614</v>
      </c>
      <c r="G132" s="266" t="s">
        <v>728</v>
      </c>
      <c r="H132" s="266" t="str">
        <f t="shared" si="10"/>
        <v>นอกแผนอนุมัติ เข้าแผน (ครึ่งปีหลัง)</v>
      </c>
      <c r="I132" s="180"/>
      <c r="J132" s="181"/>
      <c r="K132" s="181"/>
      <c r="L132" s="181"/>
      <c r="M132" s="181"/>
    </row>
    <row r="133" spans="1:13" ht="20.100000000000001" customHeight="1">
      <c r="A133" s="227">
        <v>130</v>
      </c>
      <c r="B133" s="478" t="s">
        <v>877</v>
      </c>
      <c r="C133" s="479">
        <v>1</v>
      </c>
      <c r="D133" s="413">
        <v>1400</v>
      </c>
      <c r="E133" s="418">
        <f t="shared" si="9"/>
        <v>1400</v>
      </c>
      <c r="F133" s="478" t="s">
        <v>614</v>
      </c>
      <c r="G133" s="266" t="s">
        <v>728</v>
      </c>
      <c r="H133" s="266" t="str">
        <f t="shared" si="10"/>
        <v>นอกแผนอนุมัติ เข้าแผน (ครึ่งปีหลัง)</v>
      </c>
      <c r="I133" s="180"/>
      <c r="J133" s="181"/>
      <c r="K133" s="181"/>
      <c r="L133" s="181"/>
      <c r="M133" s="181"/>
    </row>
    <row r="134" spans="1:13" ht="20.100000000000001" customHeight="1">
      <c r="A134" s="388">
        <v>131</v>
      </c>
      <c r="B134" s="478" t="s">
        <v>878</v>
      </c>
      <c r="C134" s="479">
        <v>1</v>
      </c>
      <c r="D134" s="413">
        <v>3900</v>
      </c>
      <c r="E134" s="418">
        <f t="shared" si="9"/>
        <v>3900</v>
      </c>
      <c r="F134" s="478" t="s">
        <v>614</v>
      </c>
      <c r="G134" s="266" t="s">
        <v>728</v>
      </c>
      <c r="H134" s="266" t="str">
        <f t="shared" si="10"/>
        <v>นอกแผนอนุมัติ เข้าแผน (ครึ่งปีหลัง)</v>
      </c>
      <c r="I134" s="180"/>
      <c r="J134" s="181"/>
      <c r="K134" s="181"/>
      <c r="L134" s="181"/>
      <c r="M134" s="181"/>
    </row>
    <row r="135" spans="1:13" s="430" customFormat="1" ht="20.100000000000001" customHeight="1">
      <c r="A135" s="425"/>
      <c r="B135" s="445"/>
      <c r="C135" s="446"/>
      <c r="D135" s="447" t="s">
        <v>4</v>
      </c>
      <c r="E135" s="448">
        <f>SUM(E109:E134)</f>
        <v>4764820.3499999996</v>
      </c>
      <c r="F135" s="449"/>
      <c r="G135" s="431"/>
      <c r="H135" s="431"/>
      <c r="I135" s="428"/>
      <c r="J135" s="429"/>
      <c r="K135" s="429"/>
      <c r="L135" s="429"/>
      <c r="M135" s="429"/>
    </row>
    <row r="136" spans="1:13" ht="20.100000000000001" customHeight="1">
      <c r="A136" s="388">
        <v>132</v>
      </c>
      <c r="B136" s="217" t="s">
        <v>204</v>
      </c>
      <c r="C136" s="223">
        <v>2</v>
      </c>
      <c r="D136" s="401">
        <v>7500</v>
      </c>
      <c r="E136" s="261">
        <f>C136*D136</f>
        <v>15000</v>
      </c>
      <c r="F136" s="217" t="s">
        <v>455</v>
      </c>
      <c r="G136" s="217" t="s">
        <v>731</v>
      </c>
      <c r="H136" s="372"/>
      <c r="I136" s="180"/>
      <c r="J136" s="181"/>
      <c r="K136" s="181"/>
      <c r="L136" s="181"/>
      <c r="M136" s="181"/>
    </row>
    <row r="137" spans="1:13" ht="20.100000000000001" customHeight="1">
      <c r="A137" s="223">
        <v>133</v>
      </c>
      <c r="B137" s="266" t="s">
        <v>627</v>
      </c>
      <c r="C137" s="388">
        <v>1</v>
      </c>
      <c r="D137" s="402">
        <v>1000000</v>
      </c>
      <c r="E137" s="450">
        <f>+C137*D137</f>
        <v>1000000</v>
      </c>
      <c r="F137" s="266" t="s">
        <v>471</v>
      </c>
      <c r="G137" s="266" t="s">
        <v>731</v>
      </c>
      <c r="H137" s="266"/>
      <c r="I137" s="180"/>
      <c r="J137" s="181"/>
      <c r="K137" s="181"/>
      <c r="L137" s="181"/>
      <c r="M137" s="181"/>
    </row>
    <row r="138" spans="1:13" ht="20.100000000000001" customHeight="1">
      <c r="A138" s="388">
        <v>134</v>
      </c>
      <c r="B138" s="478" t="s">
        <v>892</v>
      </c>
      <c r="C138" s="479">
        <v>1</v>
      </c>
      <c r="D138" s="413">
        <v>4800</v>
      </c>
      <c r="E138" s="444">
        <f t="shared" ref="E138:E144" si="11">+C138*D138</f>
        <v>4800</v>
      </c>
      <c r="F138" s="478" t="s">
        <v>472</v>
      </c>
      <c r="G138" s="266" t="s">
        <v>731</v>
      </c>
      <c r="H138" s="266" t="str">
        <f>+H134</f>
        <v>นอกแผนอนุมัติ เข้าแผน (ครึ่งปีหลัง)</v>
      </c>
      <c r="I138" s="180"/>
      <c r="J138" s="181"/>
      <c r="K138" s="181"/>
      <c r="L138" s="181"/>
      <c r="M138" s="181"/>
    </row>
    <row r="139" spans="1:13" ht="20.100000000000001" customHeight="1">
      <c r="A139" s="223">
        <v>135</v>
      </c>
      <c r="B139" s="478" t="s">
        <v>893</v>
      </c>
      <c r="C139" s="479">
        <v>2</v>
      </c>
      <c r="D139" s="413">
        <v>11235</v>
      </c>
      <c r="E139" s="444">
        <f t="shared" si="11"/>
        <v>22470</v>
      </c>
      <c r="F139" s="478" t="s">
        <v>472</v>
      </c>
      <c r="G139" s="266" t="s">
        <v>731</v>
      </c>
      <c r="H139" s="266"/>
      <c r="I139" s="180"/>
      <c r="J139" s="181"/>
      <c r="K139" s="181"/>
      <c r="L139" s="181"/>
      <c r="M139" s="181"/>
    </row>
    <row r="140" spans="1:13" ht="20.100000000000001" customHeight="1">
      <c r="A140" s="388">
        <v>136</v>
      </c>
      <c r="B140" s="478" t="s">
        <v>892</v>
      </c>
      <c r="C140" s="479">
        <v>1</v>
      </c>
      <c r="D140" s="497">
        <v>55533</v>
      </c>
      <c r="E140" s="444">
        <f t="shared" si="11"/>
        <v>55533</v>
      </c>
      <c r="F140" s="259" t="s">
        <v>472</v>
      </c>
      <c r="G140" s="266" t="s">
        <v>731</v>
      </c>
      <c r="H140" s="266"/>
      <c r="I140" s="180"/>
      <c r="J140" s="181"/>
      <c r="K140" s="181"/>
      <c r="L140" s="181"/>
      <c r="M140" s="181"/>
    </row>
    <row r="141" spans="1:13" ht="20.100000000000001" customHeight="1">
      <c r="A141" s="223">
        <v>137</v>
      </c>
      <c r="B141" s="478" t="s">
        <v>894</v>
      </c>
      <c r="C141" s="479">
        <v>1</v>
      </c>
      <c r="D141" s="413">
        <v>5025</v>
      </c>
      <c r="E141" s="450">
        <f t="shared" si="11"/>
        <v>5025</v>
      </c>
      <c r="F141" s="478" t="s">
        <v>896</v>
      </c>
      <c r="G141" s="266" t="s">
        <v>731</v>
      </c>
      <c r="H141" s="266"/>
      <c r="I141" s="180"/>
      <c r="J141" s="181"/>
      <c r="K141" s="181"/>
      <c r="L141" s="181"/>
      <c r="M141" s="181"/>
    </row>
    <row r="142" spans="1:13" ht="20.100000000000001" customHeight="1">
      <c r="A142" s="388">
        <v>138</v>
      </c>
      <c r="B142" s="478" t="s">
        <v>895</v>
      </c>
      <c r="C142" s="479">
        <v>1</v>
      </c>
      <c r="D142" s="413">
        <v>2685.7</v>
      </c>
      <c r="E142" s="450">
        <f t="shared" si="11"/>
        <v>2685.7</v>
      </c>
      <c r="F142" s="478" t="s">
        <v>745</v>
      </c>
      <c r="G142" s="266" t="s">
        <v>731</v>
      </c>
      <c r="H142" s="266"/>
      <c r="I142" s="180"/>
      <c r="J142" s="181"/>
      <c r="K142" s="181"/>
      <c r="L142" s="181"/>
      <c r="M142" s="181"/>
    </row>
    <row r="143" spans="1:13" ht="20.100000000000001" customHeight="1">
      <c r="A143" s="223">
        <v>139</v>
      </c>
      <c r="B143" s="478" t="s">
        <v>898</v>
      </c>
      <c r="C143" s="479">
        <v>2</v>
      </c>
      <c r="D143" s="413">
        <v>1701.3</v>
      </c>
      <c r="E143" s="450">
        <f t="shared" si="11"/>
        <v>3402.6</v>
      </c>
      <c r="F143" s="478" t="s">
        <v>614</v>
      </c>
      <c r="G143" s="266" t="s">
        <v>731</v>
      </c>
      <c r="H143" s="266"/>
      <c r="I143" s="180"/>
      <c r="J143" s="181"/>
      <c r="K143" s="181"/>
      <c r="L143" s="181"/>
      <c r="M143" s="181"/>
    </row>
    <row r="144" spans="1:13" ht="20.100000000000001" customHeight="1">
      <c r="A144" s="388">
        <v>140</v>
      </c>
      <c r="B144" s="478" t="s">
        <v>897</v>
      </c>
      <c r="C144" s="479">
        <v>4</v>
      </c>
      <c r="D144" s="413">
        <v>1519.4</v>
      </c>
      <c r="E144" s="450">
        <f t="shared" si="11"/>
        <v>6077.6</v>
      </c>
      <c r="F144" s="478" t="s">
        <v>614</v>
      </c>
      <c r="G144" s="266" t="s">
        <v>731</v>
      </c>
      <c r="H144" s="266"/>
      <c r="I144" s="180"/>
      <c r="J144" s="181"/>
      <c r="K144" s="181"/>
      <c r="L144" s="181"/>
      <c r="M144" s="181"/>
    </row>
    <row r="145" spans="1:13" s="430" customFormat="1" ht="20.100000000000001" customHeight="1">
      <c r="A145" s="432"/>
      <c r="B145" s="431"/>
      <c r="C145" s="432"/>
      <c r="D145" s="433" t="s">
        <v>4</v>
      </c>
      <c r="E145" s="434">
        <f>SUM(E136:E144)</f>
        <v>1114993.9000000001</v>
      </c>
      <c r="F145" s="431"/>
      <c r="G145" s="431"/>
      <c r="H145" s="431"/>
      <c r="I145" s="428"/>
      <c r="J145" s="429"/>
      <c r="K145" s="429"/>
      <c r="L145" s="429"/>
      <c r="M145" s="429"/>
    </row>
    <row r="146" spans="1:13" ht="42">
      <c r="A146" s="227">
        <v>141</v>
      </c>
      <c r="B146" s="409" t="s">
        <v>733</v>
      </c>
      <c r="C146" s="220">
        <v>1</v>
      </c>
      <c r="D146" s="257">
        <v>2500000</v>
      </c>
      <c r="E146" s="451">
        <f>+C146*D146</f>
        <v>2500000</v>
      </c>
      <c r="F146" s="230" t="s">
        <v>471</v>
      </c>
      <c r="G146" s="230" t="s">
        <v>732</v>
      </c>
      <c r="H146" s="230" t="s">
        <v>401</v>
      </c>
      <c r="I146" s="180"/>
      <c r="J146" s="181"/>
      <c r="K146" s="181"/>
      <c r="L146" s="181"/>
      <c r="M146" s="181"/>
    </row>
    <row r="147" spans="1:13" s="430" customFormat="1" ht="23.1" customHeight="1">
      <c r="A147" s="435"/>
      <c r="B147" s="436"/>
      <c r="C147" s="435"/>
      <c r="D147" s="437" t="s">
        <v>4</v>
      </c>
      <c r="E147" s="452">
        <f>SUM(E146)</f>
        <v>2500000</v>
      </c>
      <c r="F147" s="438"/>
      <c r="G147" s="438"/>
      <c r="H147" s="438"/>
      <c r="I147" s="428"/>
      <c r="J147" s="429"/>
      <c r="K147" s="429"/>
      <c r="L147" s="429"/>
      <c r="M147" s="429"/>
    </row>
    <row r="148" spans="1:13" ht="23.1" customHeight="1">
      <c r="A148" s="227">
        <v>142</v>
      </c>
      <c r="B148" s="232" t="s">
        <v>447</v>
      </c>
      <c r="C148" s="227">
        <v>2</v>
      </c>
      <c r="D148" s="229">
        <v>495000</v>
      </c>
      <c r="E148" s="229">
        <f>+C148*D148</f>
        <v>990000</v>
      </c>
      <c r="F148" s="232" t="s">
        <v>414</v>
      </c>
      <c r="G148" s="232" t="s">
        <v>729</v>
      </c>
      <c r="H148" s="232" t="s">
        <v>722</v>
      </c>
      <c r="I148" s="180"/>
      <c r="J148" s="181"/>
      <c r="K148" s="181"/>
      <c r="L148" s="181"/>
      <c r="M148" s="181"/>
    </row>
    <row r="149" spans="1:13" ht="23.1" customHeight="1">
      <c r="A149" s="227">
        <v>143</v>
      </c>
      <c r="B149" s="222" t="s">
        <v>203</v>
      </c>
      <c r="C149" s="223">
        <v>71</v>
      </c>
      <c r="D149" s="401">
        <v>7000</v>
      </c>
      <c r="E149" s="261">
        <f>C149*D149</f>
        <v>497000</v>
      </c>
      <c r="F149" s="217" t="s">
        <v>456</v>
      </c>
      <c r="G149" s="217" t="s">
        <v>729</v>
      </c>
      <c r="H149" s="218"/>
      <c r="I149" s="180"/>
      <c r="J149" s="181"/>
      <c r="K149" s="181"/>
      <c r="L149" s="181"/>
      <c r="M149" s="181"/>
    </row>
    <row r="150" spans="1:13" ht="23.1" customHeight="1">
      <c r="A150" s="227">
        <v>144</v>
      </c>
      <c r="B150" s="494" t="s">
        <v>476</v>
      </c>
      <c r="C150" s="362">
        <v>1</v>
      </c>
      <c r="D150" s="502">
        <v>15000</v>
      </c>
      <c r="E150" s="499">
        <f t="shared" ref="E150:E156" si="12">+C150*D150</f>
        <v>15000</v>
      </c>
      <c r="F150" s="365" t="s">
        <v>445</v>
      </c>
      <c r="G150" s="365" t="s">
        <v>729</v>
      </c>
      <c r="H150" s="218"/>
      <c r="I150" s="180"/>
      <c r="J150" s="181"/>
      <c r="K150" s="181"/>
      <c r="L150" s="181"/>
      <c r="M150" s="181"/>
    </row>
    <row r="151" spans="1:13" ht="23.1" customHeight="1">
      <c r="A151" s="227">
        <v>145</v>
      </c>
      <c r="B151" s="365" t="s">
        <v>483</v>
      </c>
      <c r="C151" s="362">
        <v>2</v>
      </c>
      <c r="D151" s="492">
        <v>6500</v>
      </c>
      <c r="E151" s="499">
        <f t="shared" si="12"/>
        <v>13000</v>
      </c>
      <c r="F151" s="365" t="s">
        <v>445</v>
      </c>
      <c r="G151" s="365" t="s">
        <v>729</v>
      </c>
      <c r="H151" s="218"/>
      <c r="I151" s="180"/>
      <c r="J151" s="181"/>
      <c r="K151" s="181"/>
      <c r="L151" s="181"/>
      <c r="M151" s="181"/>
    </row>
    <row r="152" spans="1:13" ht="23.1" customHeight="1">
      <c r="A152" s="227">
        <v>146</v>
      </c>
      <c r="B152" s="494" t="s">
        <v>477</v>
      </c>
      <c r="C152" s="362">
        <v>1</v>
      </c>
      <c r="D152" s="502">
        <v>10000</v>
      </c>
      <c r="E152" s="499">
        <f t="shared" si="12"/>
        <v>10000</v>
      </c>
      <c r="F152" s="365" t="s">
        <v>445</v>
      </c>
      <c r="G152" s="365" t="s">
        <v>729</v>
      </c>
      <c r="H152" s="218"/>
      <c r="I152" s="180"/>
      <c r="J152" s="181"/>
      <c r="K152" s="181"/>
      <c r="L152" s="181"/>
      <c r="M152" s="181"/>
    </row>
    <row r="153" spans="1:13" ht="23.1" customHeight="1">
      <c r="A153" s="227">
        <v>147</v>
      </c>
      <c r="B153" s="225" t="s">
        <v>489</v>
      </c>
      <c r="C153" s="220">
        <v>1</v>
      </c>
      <c r="D153" s="219">
        <v>50000</v>
      </c>
      <c r="E153" s="499">
        <f t="shared" si="12"/>
        <v>50000</v>
      </c>
      <c r="F153" s="365" t="s">
        <v>445</v>
      </c>
      <c r="G153" s="365" t="s">
        <v>729</v>
      </c>
      <c r="H153" s="218"/>
      <c r="I153" s="180"/>
      <c r="J153" s="181"/>
      <c r="K153" s="181"/>
      <c r="L153" s="181"/>
      <c r="M153" s="181"/>
    </row>
    <row r="154" spans="1:13" ht="23.1" customHeight="1">
      <c r="A154" s="227">
        <v>148</v>
      </c>
      <c r="B154" s="494" t="s">
        <v>486</v>
      </c>
      <c r="C154" s="362">
        <v>2</v>
      </c>
      <c r="D154" s="502">
        <v>4500</v>
      </c>
      <c r="E154" s="499">
        <f t="shared" si="12"/>
        <v>9000</v>
      </c>
      <c r="F154" s="365" t="s">
        <v>445</v>
      </c>
      <c r="G154" s="365" t="s">
        <v>729</v>
      </c>
      <c r="H154" s="218"/>
      <c r="I154" s="180"/>
      <c r="J154" s="181"/>
      <c r="K154" s="181"/>
      <c r="L154" s="181"/>
      <c r="M154" s="181"/>
    </row>
    <row r="155" spans="1:13" ht="23.1" customHeight="1">
      <c r="A155" s="227">
        <v>149</v>
      </c>
      <c r="B155" s="494" t="s">
        <v>484</v>
      </c>
      <c r="C155" s="362">
        <v>2</v>
      </c>
      <c r="D155" s="502">
        <v>3950</v>
      </c>
      <c r="E155" s="499">
        <f t="shared" si="12"/>
        <v>7900</v>
      </c>
      <c r="F155" s="365" t="s">
        <v>445</v>
      </c>
      <c r="G155" s="365" t="s">
        <v>729</v>
      </c>
      <c r="H155" s="218"/>
      <c r="I155" s="180"/>
      <c r="J155" s="181"/>
      <c r="K155" s="181"/>
      <c r="L155" s="181"/>
      <c r="M155" s="181"/>
    </row>
    <row r="156" spans="1:13" ht="23.1" customHeight="1">
      <c r="A156" s="227">
        <v>150</v>
      </c>
      <c r="B156" s="218" t="s">
        <v>488</v>
      </c>
      <c r="C156" s="220">
        <v>2</v>
      </c>
      <c r="D156" s="410">
        <v>3950</v>
      </c>
      <c r="E156" s="499">
        <f t="shared" si="12"/>
        <v>7900</v>
      </c>
      <c r="F156" s="365" t="s">
        <v>445</v>
      </c>
      <c r="G156" s="365" t="s">
        <v>729</v>
      </c>
      <c r="H156" s="218"/>
      <c r="I156" s="180"/>
      <c r="J156" s="181"/>
      <c r="K156" s="181"/>
      <c r="L156" s="181"/>
      <c r="M156" s="181"/>
    </row>
    <row r="157" spans="1:13" ht="23.1" customHeight="1">
      <c r="A157" s="227">
        <v>151</v>
      </c>
      <c r="B157" s="478" t="s">
        <v>501</v>
      </c>
      <c r="C157" s="479">
        <v>1</v>
      </c>
      <c r="D157" s="265">
        <v>5590</v>
      </c>
      <c r="E157" s="364">
        <v>5590</v>
      </c>
      <c r="F157" s="478" t="s">
        <v>583</v>
      </c>
      <c r="G157" s="478" t="s">
        <v>729</v>
      </c>
      <c r="H157" s="478"/>
      <c r="I157" s="180"/>
      <c r="J157" s="181"/>
      <c r="K157" s="181"/>
      <c r="L157" s="181"/>
      <c r="M157" s="181"/>
    </row>
    <row r="158" spans="1:13" ht="23.1" customHeight="1">
      <c r="A158" s="227">
        <v>152</v>
      </c>
      <c r="B158" s="494" t="s">
        <v>478</v>
      </c>
      <c r="C158" s="362">
        <v>1</v>
      </c>
      <c r="D158" s="502">
        <v>4000</v>
      </c>
      <c r="E158" s="499">
        <f t="shared" ref="E158" si="13">+C158*D158</f>
        <v>4000</v>
      </c>
      <c r="F158" s="365" t="s">
        <v>445</v>
      </c>
      <c r="G158" s="365" t="s">
        <v>729</v>
      </c>
      <c r="H158" s="218"/>
      <c r="I158" s="180"/>
      <c r="J158" s="181"/>
      <c r="K158" s="181"/>
      <c r="L158" s="181"/>
      <c r="M158" s="181"/>
    </row>
    <row r="159" spans="1:13" ht="23.1" customHeight="1">
      <c r="A159" s="227">
        <v>153</v>
      </c>
      <c r="B159" s="365" t="s">
        <v>487</v>
      </c>
      <c r="C159" s="362">
        <v>2</v>
      </c>
      <c r="D159" s="492">
        <v>1950</v>
      </c>
      <c r="E159" s="499">
        <f>+C159*D159</f>
        <v>3900</v>
      </c>
      <c r="F159" s="365" t="s">
        <v>445</v>
      </c>
      <c r="G159" s="365" t="s">
        <v>729</v>
      </c>
      <c r="H159" s="218"/>
      <c r="I159" s="180"/>
      <c r="J159" s="181"/>
      <c r="K159" s="181"/>
      <c r="L159" s="181"/>
      <c r="M159" s="181"/>
    </row>
    <row r="160" spans="1:13" ht="23.1" customHeight="1">
      <c r="A160" s="227">
        <v>154</v>
      </c>
      <c r="B160" s="216" t="s">
        <v>739</v>
      </c>
      <c r="C160" s="215">
        <v>1</v>
      </c>
      <c r="D160" s="422">
        <v>1590</v>
      </c>
      <c r="E160" s="422">
        <f>+C160*D160</f>
        <v>1590</v>
      </c>
      <c r="F160" s="216" t="s">
        <v>740</v>
      </c>
      <c r="G160" s="266" t="s">
        <v>729</v>
      </c>
      <c r="H160" s="218" t="str">
        <f>+H112</f>
        <v>รายการใหม่ปรับแผน(ครึ่งปีหลัง)</v>
      </c>
      <c r="I160" s="180"/>
      <c r="J160" s="181"/>
      <c r="K160" s="181"/>
      <c r="L160" s="181"/>
      <c r="M160" s="181"/>
    </row>
    <row r="161" spans="1:13" ht="23.1" customHeight="1">
      <c r="A161" s="227">
        <v>155</v>
      </c>
      <c r="B161" s="478" t="s">
        <v>899</v>
      </c>
      <c r="C161" s="479">
        <v>3</v>
      </c>
      <c r="D161" s="413">
        <v>15200</v>
      </c>
      <c r="E161" s="413">
        <f>+C161*D161</f>
        <v>45600</v>
      </c>
      <c r="F161" s="478" t="s">
        <v>888</v>
      </c>
      <c r="G161" s="365" t="s">
        <v>729</v>
      </c>
      <c r="H161" s="218" t="str">
        <f>+H138</f>
        <v>นอกแผนอนุมัติ เข้าแผน (ครึ่งปีหลัง)</v>
      </c>
      <c r="I161" s="180"/>
      <c r="J161" s="181"/>
      <c r="K161" s="181"/>
      <c r="L161" s="181"/>
      <c r="M161" s="181"/>
    </row>
    <row r="162" spans="1:13" ht="23.1" customHeight="1">
      <c r="A162" s="227">
        <v>156</v>
      </c>
      <c r="B162" s="478" t="s">
        <v>1006</v>
      </c>
      <c r="C162" s="479">
        <v>1</v>
      </c>
      <c r="D162" s="413">
        <v>2027.65</v>
      </c>
      <c r="E162" s="413">
        <v>2027.65</v>
      </c>
      <c r="F162" s="322" t="s">
        <v>888</v>
      </c>
      <c r="G162" s="365" t="s">
        <v>729</v>
      </c>
      <c r="H162" s="218" t="str">
        <f>+H161</f>
        <v>นอกแผนอนุมัติ เข้าแผน (ครึ่งปีหลัง)</v>
      </c>
      <c r="I162" s="180"/>
      <c r="J162" s="181"/>
      <c r="K162" s="181"/>
      <c r="L162" s="181"/>
      <c r="M162" s="181"/>
    </row>
    <row r="163" spans="1:13" ht="23.1" customHeight="1">
      <c r="A163" s="227">
        <v>157</v>
      </c>
      <c r="B163" s="478" t="s">
        <v>1007</v>
      </c>
      <c r="C163" s="479">
        <v>33</v>
      </c>
      <c r="D163" s="413">
        <v>2950</v>
      </c>
      <c r="E163" s="413">
        <f>+C163*D163</f>
        <v>97350</v>
      </c>
      <c r="F163" s="322" t="s">
        <v>888</v>
      </c>
      <c r="G163" s="365" t="s">
        <v>729</v>
      </c>
      <c r="H163" s="218" t="str">
        <f t="shared" ref="H163:H226" si="14">+H162</f>
        <v>นอกแผนอนุมัติ เข้าแผน (ครึ่งปีหลัง)</v>
      </c>
      <c r="I163" s="180"/>
      <c r="J163" s="181"/>
      <c r="K163" s="181"/>
      <c r="L163" s="181"/>
      <c r="M163" s="181"/>
    </row>
    <row r="164" spans="1:13" ht="23.1" customHeight="1">
      <c r="A164" s="227">
        <v>158</v>
      </c>
      <c r="B164" s="478" t="s">
        <v>1008</v>
      </c>
      <c r="C164" s="479">
        <v>33</v>
      </c>
      <c r="D164" s="413">
        <v>730</v>
      </c>
      <c r="E164" s="413">
        <f>+C164*D164</f>
        <v>24090</v>
      </c>
      <c r="F164" s="322" t="s">
        <v>888</v>
      </c>
      <c r="G164" s="365" t="s">
        <v>729</v>
      </c>
      <c r="H164" s="218" t="str">
        <f t="shared" si="14"/>
        <v>นอกแผนอนุมัติ เข้าแผน (ครึ่งปีหลัง)</v>
      </c>
      <c r="I164" s="180"/>
      <c r="J164" s="181"/>
      <c r="K164" s="181"/>
      <c r="L164" s="181"/>
      <c r="M164" s="181"/>
    </row>
    <row r="165" spans="1:13" ht="23.1" customHeight="1">
      <c r="A165" s="227">
        <v>159</v>
      </c>
      <c r="B165" s="315" t="s">
        <v>900</v>
      </c>
      <c r="C165" s="363">
        <v>3</v>
      </c>
      <c r="D165" s="421">
        <v>5900</v>
      </c>
      <c r="E165" s="421">
        <f>+C165*D165</f>
        <v>17700</v>
      </c>
      <c r="F165" s="315" t="s">
        <v>418</v>
      </c>
      <c r="G165" s="365" t="s">
        <v>729</v>
      </c>
      <c r="H165" s="218" t="str">
        <f t="shared" si="14"/>
        <v>นอกแผนอนุมัติ เข้าแผน (ครึ่งปีหลัง)</v>
      </c>
      <c r="I165" s="180"/>
      <c r="J165" s="181"/>
      <c r="K165" s="181"/>
      <c r="L165" s="181"/>
      <c r="M165" s="181"/>
    </row>
    <row r="166" spans="1:13" ht="23.1" customHeight="1">
      <c r="A166" s="227">
        <v>160</v>
      </c>
      <c r="B166" s="315" t="s">
        <v>901</v>
      </c>
      <c r="C166" s="363">
        <v>1</v>
      </c>
      <c r="D166" s="421">
        <v>76420</v>
      </c>
      <c r="E166" s="421">
        <f t="shared" ref="E166:E190" si="15">+C166*D166</f>
        <v>76420</v>
      </c>
      <c r="F166" s="315" t="s">
        <v>418</v>
      </c>
      <c r="G166" s="365" t="s">
        <v>729</v>
      </c>
      <c r="H166" s="218" t="str">
        <f t="shared" si="14"/>
        <v>นอกแผนอนุมัติ เข้าแผน (ครึ่งปีหลัง)</v>
      </c>
      <c r="I166" s="180"/>
      <c r="J166" s="181"/>
      <c r="K166" s="181"/>
      <c r="L166" s="181"/>
      <c r="M166" s="181"/>
    </row>
    <row r="167" spans="1:13" ht="23.1" customHeight="1">
      <c r="A167" s="227">
        <v>161</v>
      </c>
      <c r="B167" s="478" t="s">
        <v>902</v>
      </c>
      <c r="C167" s="479">
        <v>1</v>
      </c>
      <c r="D167" s="416">
        <v>6100</v>
      </c>
      <c r="E167" s="421">
        <f t="shared" si="15"/>
        <v>6100</v>
      </c>
      <c r="F167" s="478" t="s">
        <v>418</v>
      </c>
      <c r="G167" s="365" t="s">
        <v>729</v>
      </c>
      <c r="H167" s="218" t="str">
        <f t="shared" si="14"/>
        <v>นอกแผนอนุมัติ เข้าแผน (ครึ่งปีหลัง)</v>
      </c>
      <c r="I167" s="180"/>
      <c r="J167" s="181"/>
      <c r="K167" s="181"/>
      <c r="L167" s="181"/>
      <c r="M167" s="181"/>
    </row>
    <row r="168" spans="1:13" ht="23.1" customHeight="1">
      <c r="A168" s="227">
        <v>162</v>
      </c>
      <c r="B168" s="478" t="s">
        <v>903</v>
      </c>
      <c r="C168" s="479">
        <v>4</v>
      </c>
      <c r="D168" s="413">
        <v>750</v>
      </c>
      <c r="E168" s="421">
        <f t="shared" si="15"/>
        <v>3000</v>
      </c>
      <c r="F168" s="478" t="s">
        <v>472</v>
      </c>
      <c r="G168" s="365" t="s">
        <v>729</v>
      </c>
      <c r="H168" s="218" t="str">
        <f t="shared" si="14"/>
        <v>นอกแผนอนุมัติ เข้าแผน (ครึ่งปีหลัง)</v>
      </c>
      <c r="I168" s="180"/>
      <c r="J168" s="181"/>
      <c r="K168" s="181"/>
      <c r="L168" s="181"/>
      <c r="M168" s="181"/>
    </row>
    <row r="169" spans="1:13" ht="23.1" customHeight="1">
      <c r="A169" s="227">
        <v>163</v>
      </c>
      <c r="B169" s="478" t="s">
        <v>903</v>
      </c>
      <c r="C169" s="479">
        <v>1</v>
      </c>
      <c r="D169" s="413">
        <v>2990</v>
      </c>
      <c r="E169" s="421">
        <f t="shared" si="15"/>
        <v>2990</v>
      </c>
      <c r="F169" s="478" t="s">
        <v>472</v>
      </c>
      <c r="G169" s="365" t="s">
        <v>729</v>
      </c>
      <c r="H169" s="218" t="str">
        <f t="shared" si="14"/>
        <v>นอกแผนอนุมัติ เข้าแผน (ครึ่งปีหลัง)</v>
      </c>
      <c r="I169" s="180"/>
      <c r="J169" s="181"/>
      <c r="K169" s="181"/>
      <c r="L169" s="181"/>
      <c r="M169" s="181"/>
    </row>
    <row r="170" spans="1:13" ht="23.1" customHeight="1">
      <c r="A170" s="227">
        <v>164</v>
      </c>
      <c r="B170" s="478" t="s">
        <v>474</v>
      </c>
      <c r="C170" s="479">
        <v>2</v>
      </c>
      <c r="D170" s="413">
        <v>2590</v>
      </c>
      <c r="E170" s="421">
        <f t="shared" si="15"/>
        <v>5180</v>
      </c>
      <c r="F170" s="478" t="s">
        <v>944</v>
      </c>
      <c r="G170" s="365" t="s">
        <v>729</v>
      </c>
      <c r="H170" s="218" t="str">
        <f t="shared" si="14"/>
        <v>นอกแผนอนุมัติ เข้าแผน (ครึ่งปีหลัง)</v>
      </c>
      <c r="I170" s="180"/>
      <c r="J170" s="181"/>
      <c r="K170" s="181"/>
      <c r="L170" s="181"/>
      <c r="M170" s="181"/>
    </row>
    <row r="171" spans="1:13" ht="23.1" customHeight="1">
      <c r="A171" s="227">
        <v>165</v>
      </c>
      <c r="B171" s="478" t="s">
        <v>904</v>
      </c>
      <c r="C171" s="479">
        <v>1</v>
      </c>
      <c r="D171" s="413">
        <v>54500</v>
      </c>
      <c r="E171" s="421">
        <f t="shared" si="15"/>
        <v>54500</v>
      </c>
      <c r="F171" s="478" t="s">
        <v>850</v>
      </c>
      <c r="G171" s="365" t="s">
        <v>729</v>
      </c>
      <c r="H171" s="218" t="str">
        <f t="shared" si="14"/>
        <v>นอกแผนอนุมัติ เข้าแผน (ครึ่งปีหลัง)</v>
      </c>
      <c r="I171" s="180"/>
      <c r="J171" s="181"/>
      <c r="K171" s="181"/>
      <c r="L171" s="181"/>
      <c r="M171" s="181"/>
    </row>
    <row r="172" spans="1:13" ht="23.1" customHeight="1">
      <c r="A172" s="227">
        <v>166</v>
      </c>
      <c r="B172" s="478" t="s">
        <v>905</v>
      </c>
      <c r="C172" s="479">
        <v>1</v>
      </c>
      <c r="D172" s="413">
        <v>6400</v>
      </c>
      <c r="E172" s="421">
        <f t="shared" si="15"/>
        <v>6400</v>
      </c>
      <c r="F172" s="478" t="s">
        <v>850</v>
      </c>
      <c r="G172" s="365" t="s">
        <v>729</v>
      </c>
      <c r="H172" s="218" t="str">
        <f t="shared" si="14"/>
        <v>นอกแผนอนุมัติ เข้าแผน (ครึ่งปีหลัง)</v>
      </c>
      <c r="I172" s="180"/>
      <c r="J172" s="181"/>
      <c r="K172" s="181"/>
      <c r="L172" s="181"/>
      <c r="M172" s="181"/>
    </row>
    <row r="173" spans="1:13" ht="23.1" customHeight="1">
      <c r="A173" s="227">
        <v>167</v>
      </c>
      <c r="B173" s="478" t="s">
        <v>906</v>
      </c>
      <c r="C173" s="479">
        <v>1</v>
      </c>
      <c r="D173" s="413">
        <v>36700</v>
      </c>
      <c r="E173" s="421">
        <f t="shared" si="15"/>
        <v>36700</v>
      </c>
      <c r="F173" s="478" t="s">
        <v>850</v>
      </c>
      <c r="G173" s="365" t="s">
        <v>729</v>
      </c>
      <c r="H173" s="218" t="str">
        <f t="shared" si="14"/>
        <v>นอกแผนอนุมัติ เข้าแผน (ครึ่งปีหลัง)</v>
      </c>
      <c r="I173" s="180"/>
      <c r="J173" s="181"/>
      <c r="K173" s="181"/>
      <c r="L173" s="181"/>
      <c r="M173" s="181"/>
    </row>
    <row r="174" spans="1:13" ht="23.1" customHeight="1">
      <c r="A174" s="227">
        <v>168</v>
      </c>
      <c r="B174" s="478" t="s">
        <v>907</v>
      </c>
      <c r="C174" s="479">
        <v>1</v>
      </c>
      <c r="D174" s="413">
        <v>7200</v>
      </c>
      <c r="E174" s="421">
        <f t="shared" si="15"/>
        <v>7200</v>
      </c>
      <c r="F174" s="478" t="s">
        <v>850</v>
      </c>
      <c r="G174" s="365" t="s">
        <v>729</v>
      </c>
      <c r="H174" s="218" t="str">
        <f t="shared" si="14"/>
        <v>นอกแผนอนุมัติ เข้าแผน (ครึ่งปีหลัง)</v>
      </c>
      <c r="I174" s="180"/>
      <c r="J174" s="181"/>
      <c r="K174" s="181"/>
      <c r="L174" s="181"/>
      <c r="M174" s="181"/>
    </row>
    <row r="175" spans="1:13" ht="23.1" customHeight="1">
      <c r="A175" s="227">
        <v>169</v>
      </c>
      <c r="B175" s="478" t="s">
        <v>908</v>
      </c>
      <c r="C175" s="479">
        <v>1</v>
      </c>
      <c r="D175" s="413">
        <v>2305.85</v>
      </c>
      <c r="E175" s="421">
        <f t="shared" si="15"/>
        <v>2305.85</v>
      </c>
      <c r="F175" s="478" t="s">
        <v>851</v>
      </c>
      <c r="G175" s="365" t="s">
        <v>729</v>
      </c>
      <c r="H175" s="218" t="str">
        <f t="shared" si="14"/>
        <v>นอกแผนอนุมัติ เข้าแผน (ครึ่งปีหลัง)</v>
      </c>
      <c r="I175" s="180"/>
      <c r="J175" s="181"/>
      <c r="K175" s="181"/>
      <c r="L175" s="181"/>
      <c r="M175" s="181"/>
    </row>
    <row r="176" spans="1:13" ht="23.1" customHeight="1">
      <c r="A176" s="227">
        <v>170</v>
      </c>
      <c r="B176" s="478" t="s">
        <v>909</v>
      </c>
      <c r="C176" s="479">
        <v>2</v>
      </c>
      <c r="D176" s="413">
        <v>3300</v>
      </c>
      <c r="E176" s="421">
        <f t="shared" si="15"/>
        <v>6600</v>
      </c>
      <c r="F176" s="478" t="s">
        <v>851</v>
      </c>
      <c r="G176" s="365" t="s">
        <v>729</v>
      </c>
      <c r="H176" s="218" t="str">
        <f t="shared" si="14"/>
        <v>นอกแผนอนุมัติ เข้าแผน (ครึ่งปีหลัง)</v>
      </c>
      <c r="I176" s="180"/>
      <c r="J176" s="181"/>
      <c r="K176" s="181"/>
      <c r="L176" s="181"/>
      <c r="M176" s="181"/>
    </row>
    <row r="177" spans="1:13" ht="23.1" customHeight="1">
      <c r="A177" s="227">
        <v>171</v>
      </c>
      <c r="B177" s="260" t="s">
        <v>910</v>
      </c>
      <c r="C177" s="414">
        <v>1</v>
      </c>
      <c r="D177" s="415">
        <v>5590</v>
      </c>
      <c r="E177" s="421">
        <f t="shared" si="15"/>
        <v>5590</v>
      </c>
      <c r="F177" s="260" t="s">
        <v>945</v>
      </c>
      <c r="G177" s="365" t="s">
        <v>729</v>
      </c>
      <c r="H177" s="218" t="str">
        <f t="shared" si="14"/>
        <v>นอกแผนอนุมัติ เข้าแผน (ครึ่งปีหลัง)</v>
      </c>
      <c r="I177" s="180"/>
      <c r="J177" s="181"/>
      <c r="K177" s="181"/>
      <c r="L177" s="181"/>
      <c r="M177" s="181"/>
    </row>
    <row r="178" spans="1:13" ht="23.1" customHeight="1">
      <c r="A178" s="227">
        <v>172</v>
      </c>
      <c r="B178" s="478" t="s">
        <v>1009</v>
      </c>
      <c r="C178" s="479">
        <v>1</v>
      </c>
      <c r="D178" s="413">
        <v>28800</v>
      </c>
      <c r="E178" s="421">
        <f t="shared" si="15"/>
        <v>28800</v>
      </c>
      <c r="F178" s="260" t="s">
        <v>945</v>
      </c>
      <c r="G178" s="365" t="s">
        <v>729</v>
      </c>
      <c r="H178" s="218" t="str">
        <f t="shared" si="14"/>
        <v>นอกแผนอนุมัติ เข้าแผน (ครึ่งปีหลัง)</v>
      </c>
      <c r="I178" s="180"/>
      <c r="J178" s="181"/>
      <c r="K178" s="181"/>
      <c r="L178" s="181"/>
      <c r="M178" s="181"/>
    </row>
    <row r="179" spans="1:13" ht="23.1" customHeight="1">
      <c r="A179" s="227">
        <v>173</v>
      </c>
      <c r="B179" s="478" t="s">
        <v>1010</v>
      </c>
      <c r="C179" s="479">
        <v>1</v>
      </c>
      <c r="D179" s="413">
        <v>15500</v>
      </c>
      <c r="E179" s="421">
        <f t="shared" si="15"/>
        <v>15500</v>
      </c>
      <c r="F179" s="260" t="s">
        <v>945</v>
      </c>
      <c r="G179" s="365" t="s">
        <v>729</v>
      </c>
      <c r="H179" s="218" t="str">
        <f t="shared" si="14"/>
        <v>นอกแผนอนุมัติ เข้าแผน (ครึ่งปีหลัง)</v>
      </c>
      <c r="I179" s="180"/>
      <c r="J179" s="181"/>
      <c r="K179" s="181"/>
      <c r="L179" s="181"/>
      <c r="M179" s="181"/>
    </row>
    <row r="180" spans="1:13" ht="23.1" customHeight="1">
      <c r="A180" s="227">
        <v>174</v>
      </c>
      <c r="B180" s="478" t="s">
        <v>908</v>
      </c>
      <c r="C180" s="479">
        <v>7</v>
      </c>
      <c r="D180" s="413">
        <v>2204.1999999999998</v>
      </c>
      <c r="E180" s="421">
        <f t="shared" si="15"/>
        <v>15429.399999999998</v>
      </c>
      <c r="F180" s="260" t="s">
        <v>945</v>
      </c>
      <c r="G180" s="365" t="s">
        <v>729</v>
      </c>
      <c r="H180" s="218" t="str">
        <f t="shared" si="14"/>
        <v>นอกแผนอนุมัติ เข้าแผน (ครึ่งปีหลัง)</v>
      </c>
      <c r="I180" s="180"/>
      <c r="J180" s="181"/>
      <c r="K180" s="181"/>
      <c r="L180" s="181"/>
      <c r="M180" s="181"/>
    </row>
    <row r="181" spans="1:13" ht="23.1" customHeight="1">
      <c r="A181" s="227">
        <v>175</v>
      </c>
      <c r="B181" s="478" t="s">
        <v>908</v>
      </c>
      <c r="C181" s="479">
        <v>1</v>
      </c>
      <c r="D181" s="478">
        <v>2305.85</v>
      </c>
      <c r="E181" s="421">
        <f t="shared" si="15"/>
        <v>2305.85</v>
      </c>
      <c r="F181" s="478" t="s">
        <v>946</v>
      </c>
      <c r="G181" s="365" t="s">
        <v>729</v>
      </c>
      <c r="H181" s="218" t="str">
        <f t="shared" si="14"/>
        <v>นอกแผนอนุมัติ เข้าแผน (ครึ่งปีหลัง)</v>
      </c>
      <c r="I181" s="180"/>
      <c r="J181" s="181"/>
      <c r="K181" s="181"/>
      <c r="L181" s="181"/>
      <c r="M181" s="181"/>
    </row>
    <row r="182" spans="1:13" ht="23.1" customHeight="1">
      <c r="A182" s="227">
        <v>176</v>
      </c>
      <c r="B182" s="260" t="s">
        <v>911</v>
      </c>
      <c r="C182" s="414">
        <v>1</v>
      </c>
      <c r="D182" s="415">
        <v>31800</v>
      </c>
      <c r="E182" s="421">
        <f t="shared" si="15"/>
        <v>31800</v>
      </c>
      <c r="F182" s="260" t="s">
        <v>946</v>
      </c>
      <c r="G182" s="365" t="s">
        <v>729</v>
      </c>
      <c r="H182" s="218" t="str">
        <f t="shared" si="14"/>
        <v>นอกแผนอนุมัติ เข้าแผน (ครึ่งปีหลัง)</v>
      </c>
      <c r="I182" s="180"/>
      <c r="J182" s="181"/>
      <c r="K182" s="181"/>
      <c r="L182" s="181"/>
      <c r="M182" s="181"/>
    </row>
    <row r="183" spans="1:13" ht="23.1" customHeight="1">
      <c r="A183" s="227">
        <v>177</v>
      </c>
      <c r="B183" s="478" t="s">
        <v>912</v>
      </c>
      <c r="C183" s="479">
        <v>1</v>
      </c>
      <c r="D183" s="413">
        <v>28800</v>
      </c>
      <c r="E183" s="421">
        <f t="shared" si="15"/>
        <v>28800</v>
      </c>
      <c r="F183" s="478" t="s">
        <v>946</v>
      </c>
      <c r="G183" s="365" t="s">
        <v>729</v>
      </c>
      <c r="H183" s="218" t="str">
        <f t="shared" si="14"/>
        <v>นอกแผนอนุมัติ เข้าแผน (ครึ่งปีหลัง)</v>
      </c>
      <c r="I183" s="180"/>
      <c r="J183" s="181"/>
      <c r="K183" s="181"/>
      <c r="L183" s="181"/>
      <c r="M183" s="181"/>
    </row>
    <row r="184" spans="1:13" ht="23.1" customHeight="1">
      <c r="A184" s="227">
        <v>178</v>
      </c>
      <c r="B184" s="478" t="s">
        <v>913</v>
      </c>
      <c r="C184" s="479">
        <v>2</v>
      </c>
      <c r="D184" s="413">
        <v>1590</v>
      </c>
      <c r="E184" s="421">
        <f t="shared" si="15"/>
        <v>3180</v>
      </c>
      <c r="F184" s="478" t="s">
        <v>947</v>
      </c>
      <c r="G184" s="365" t="s">
        <v>729</v>
      </c>
      <c r="H184" s="218" t="str">
        <f t="shared" si="14"/>
        <v>นอกแผนอนุมัติ เข้าแผน (ครึ่งปีหลัง)</v>
      </c>
      <c r="I184" s="180"/>
      <c r="J184" s="181"/>
      <c r="K184" s="181"/>
      <c r="L184" s="181"/>
      <c r="M184" s="181"/>
    </row>
    <row r="185" spans="1:13" ht="23.1" customHeight="1">
      <c r="A185" s="227">
        <v>179</v>
      </c>
      <c r="B185" s="260" t="s">
        <v>914</v>
      </c>
      <c r="C185" s="414">
        <v>1</v>
      </c>
      <c r="D185" s="415">
        <v>36700</v>
      </c>
      <c r="E185" s="421">
        <f t="shared" si="15"/>
        <v>36700</v>
      </c>
      <c r="F185" s="260" t="s">
        <v>852</v>
      </c>
      <c r="G185" s="365" t="s">
        <v>729</v>
      </c>
      <c r="H185" s="218" t="str">
        <f t="shared" si="14"/>
        <v>นอกแผนอนุมัติ เข้าแผน (ครึ่งปีหลัง)</v>
      </c>
      <c r="I185" s="180"/>
      <c r="J185" s="181"/>
      <c r="K185" s="181"/>
      <c r="L185" s="181"/>
      <c r="M185" s="181"/>
    </row>
    <row r="186" spans="1:13" ht="23.1" customHeight="1">
      <c r="A186" s="227">
        <v>180</v>
      </c>
      <c r="B186" s="478" t="s">
        <v>915</v>
      </c>
      <c r="C186" s="479">
        <v>1</v>
      </c>
      <c r="D186" s="480">
        <v>2878.3</v>
      </c>
      <c r="E186" s="421">
        <f t="shared" si="15"/>
        <v>2878.3</v>
      </c>
      <c r="F186" s="478" t="s">
        <v>470</v>
      </c>
      <c r="G186" s="365" t="s">
        <v>729</v>
      </c>
      <c r="H186" s="218" t="str">
        <f t="shared" si="14"/>
        <v>นอกแผนอนุมัติ เข้าแผน (ครึ่งปีหลัง)</v>
      </c>
      <c r="I186" s="180"/>
      <c r="J186" s="181"/>
      <c r="K186" s="181"/>
      <c r="L186" s="181"/>
      <c r="M186" s="181"/>
    </row>
    <row r="187" spans="1:13" ht="23.1" customHeight="1">
      <c r="A187" s="227">
        <v>181</v>
      </c>
      <c r="B187" s="478" t="s">
        <v>916</v>
      </c>
      <c r="C187" s="479">
        <v>1</v>
      </c>
      <c r="D187" s="413">
        <v>49000</v>
      </c>
      <c r="E187" s="421">
        <f t="shared" si="15"/>
        <v>49000</v>
      </c>
      <c r="F187" s="478" t="s">
        <v>948</v>
      </c>
      <c r="G187" s="365" t="s">
        <v>729</v>
      </c>
      <c r="H187" s="218" t="str">
        <f t="shared" si="14"/>
        <v>นอกแผนอนุมัติ เข้าแผน (ครึ่งปีหลัง)</v>
      </c>
      <c r="I187" s="180"/>
      <c r="J187" s="181"/>
      <c r="K187" s="181"/>
      <c r="L187" s="181"/>
      <c r="M187" s="181"/>
    </row>
    <row r="188" spans="1:13" ht="23.1" customHeight="1">
      <c r="A188" s="227">
        <v>182</v>
      </c>
      <c r="B188" s="478" t="s">
        <v>917</v>
      </c>
      <c r="C188" s="479">
        <v>1</v>
      </c>
      <c r="D188" s="480">
        <v>2418.1999999999998</v>
      </c>
      <c r="E188" s="421">
        <f t="shared" si="15"/>
        <v>2418.1999999999998</v>
      </c>
      <c r="F188" s="478" t="s">
        <v>948</v>
      </c>
      <c r="G188" s="365" t="s">
        <v>729</v>
      </c>
      <c r="H188" s="218" t="str">
        <f t="shared" si="14"/>
        <v>นอกแผนอนุมัติ เข้าแผน (ครึ่งปีหลัง)</v>
      </c>
      <c r="I188" s="180"/>
      <c r="J188" s="181"/>
      <c r="K188" s="181"/>
      <c r="L188" s="181"/>
      <c r="M188" s="181"/>
    </row>
    <row r="189" spans="1:13" ht="23.1" customHeight="1">
      <c r="A189" s="227">
        <v>183</v>
      </c>
      <c r="B189" s="478" t="s">
        <v>918</v>
      </c>
      <c r="C189" s="479">
        <v>1</v>
      </c>
      <c r="D189" s="413">
        <v>1808.3</v>
      </c>
      <c r="E189" s="421">
        <f t="shared" si="15"/>
        <v>1808.3</v>
      </c>
      <c r="F189" s="478" t="s">
        <v>949</v>
      </c>
      <c r="G189" s="365" t="s">
        <v>729</v>
      </c>
      <c r="H189" s="218" t="str">
        <f t="shared" si="14"/>
        <v>นอกแผนอนุมัติ เข้าแผน (ครึ่งปีหลัง)</v>
      </c>
      <c r="I189" s="180"/>
      <c r="J189" s="181"/>
      <c r="K189" s="181"/>
      <c r="L189" s="181"/>
      <c r="M189" s="181"/>
    </row>
    <row r="190" spans="1:13" ht="23.1" customHeight="1">
      <c r="A190" s="227">
        <v>184</v>
      </c>
      <c r="B190" s="260" t="s">
        <v>919</v>
      </c>
      <c r="C190" s="414">
        <v>1</v>
      </c>
      <c r="D190" s="415">
        <v>53200</v>
      </c>
      <c r="E190" s="421">
        <f t="shared" si="15"/>
        <v>53200</v>
      </c>
      <c r="F190" s="260" t="s">
        <v>949</v>
      </c>
      <c r="G190" s="365" t="s">
        <v>729</v>
      </c>
      <c r="H190" s="218" t="str">
        <f t="shared" si="14"/>
        <v>นอกแผนอนุมัติ เข้าแผน (ครึ่งปีหลัง)</v>
      </c>
      <c r="I190" s="180"/>
      <c r="J190" s="181"/>
      <c r="K190" s="181"/>
      <c r="L190" s="181"/>
      <c r="M190" s="181"/>
    </row>
    <row r="191" spans="1:13" ht="23.1" customHeight="1">
      <c r="A191" s="227">
        <v>185</v>
      </c>
      <c r="B191" s="390" t="s">
        <v>920</v>
      </c>
      <c r="C191" s="479">
        <v>11</v>
      </c>
      <c r="D191" s="314">
        <v>8850</v>
      </c>
      <c r="E191" s="481">
        <v>104164.5</v>
      </c>
      <c r="F191" s="390" t="s">
        <v>743</v>
      </c>
      <c r="G191" s="365" t="s">
        <v>729</v>
      </c>
      <c r="H191" s="218" t="str">
        <f t="shared" si="14"/>
        <v>นอกแผนอนุมัติ เข้าแผน (ครึ่งปีหลัง)</v>
      </c>
      <c r="I191" s="180"/>
      <c r="J191" s="181"/>
      <c r="K191" s="181"/>
      <c r="L191" s="181"/>
      <c r="M191" s="181"/>
    </row>
    <row r="192" spans="1:13" ht="23.1" customHeight="1">
      <c r="A192" s="227">
        <v>186</v>
      </c>
      <c r="B192" s="478" t="s">
        <v>473</v>
      </c>
      <c r="C192" s="479">
        <v>1</v>
      </c>
      <c r="D192" s="413">
        <v>3400</v>
      </c>
      <c r="E192" s="413">
        <v>3400</v>
      </c>
      <c r="F192" s="478" t="s">
        <v>950</v>
      </c>
      <c r="G192" s="365" t="s">
        <v>729</v>
      </c>
      <c r="H192" s="218" t="str">
        <f t="shared" si="14"/>
        <v>นอกแผนอนุมัติ เข้าแผน (ครึ่งปีหลัง)</v>
      </c>
      <c r="I192" s="180"/>
      <c r="J192" s="181"/>
      <c r="K192" s="181"/>
      <c r="L192" s="181"/>
      <c r="M192" s="181"/>
    </row>
    <row r="193" spans="1:13" ht="23.1" customHeight="1">
      <c r="A193" s="227">
        <v>187</v>
      </c>
      <c r="B193" s="478" t="s">
        <v>908</v>
      </c>
      <c r="C193" s="479">
        <v>1</v>
      </c>
      <c r="D193" s="413">
        <v>2305.85</v>
      </c>
      <c r="E193" s="413">
        <v>2305.85</v>
      </c>
      <c r="F193" s="478" t="s">
        <v>950</v>
      </c>
      <c r="G193" s="365" t="s">
        <v>729</v>
      </c>
      <c r="H193" s="218" t="str">
        <f t="shared" si="14"/>
        <v>นอกแผนอนุมัติ เข้าแผน (ครึ่งปีหลัง)</v>
      </c>
      <c r="I193" s="180"/>
      <c r="J193" s="181"/>
      <c r="K193" s="181"/>
      <c r="L193" s="181"/>
      <c r="M193" s="181"/>
    </row>
    <row r="194" spans="1:13" ht="23.1" customHeight="1">
      <c r="A194" s="227">
        <v>188</v>
      </c>
      <c r="B194" s="478" t="s">
        <v>921</v>
      </c>
      <c r="C194" s="479">
        <v>2</v>
      </c>
      <c r="D194" s="413">
        <v>4291.8</v>
      </c>
      <c r="E194" s="421">
        <v>8583.6</v>
      </c>
      <c r="F194" s="478" t="s">
        <v>951</v>
      </c>
      <c r="G194" s="365" t="s">
        <v>729</v>
      </c>
      <c r="H194" s="218" t="str">
        <f t="shared" si="14"/>
        <v>นอกแผนอนุมัติ เข้าแผน (ครึ่งปีหลัง)</v>
      </c>
      <c r="I194" s="180"/>
      <c r="J194" s="181"/>
      <c r="K194" s="181"/>
      <c r="L194" s="181"/>
      <c r="M194" s="181"/>
    </row>
    <row r="195" spans="1:13" ht="23.1" customHeight="1">
      <c r="A195" s="227">
        <v>189</v>
      </c>
      <c r="B195" s="478" t="s">
        <v>922</v>
      </c>
      <c r="C195" s="479">
        <v>1</v>
      </c>
      <c r="D195" s="413">
        <v>2305.85</v>
      </c>
      <c r="E195" s="421">
        <v>2305.85</v>
      </c>
      <c r="F195" s="478" t="s">
        <v>952</v>
      </c>
      <c r="G195" s="365" t="s">
        <v>729</v>
      </c>
      <c r="H195" s="218" t="str">
        <f t="shared" si="14"/>
        <v>นอกแผนอนุมัติ เข้าแผน (ครึ่งปีหลัง)</v>
      </c>
      <c r="I195" s="180"/>
      <c r="J195" s="181"/>
      <c r="K195" s="181"/>
      <c r="L195" s="181"/>
      <c r="M195" s="181"/>
    </row>
    <row r="196" spans="1:13" ht="23.1" customHeight="1">
      <c r="A196" s="227">
        <v>190</v>
      </c>
      <c r="B196" s="478" t="s">
        <v>917</v>
      </c>
      <c r="C196" s="479">
        <v>1</v>
      </c>
      <c r="D196" s="413">
        <v>2590</v>
      </c>
      <c r="E196" s="421">
        <v>2590</v>
      </c>
      <c r="F196" s="478" t="s">
        <v>953</v>
      </c>
      <c r="G196" s="365" t="s">
        <v>729</v>
      </c>
      <c r="H196" s="218" t="str">
        <f t="shared" si="14"/>
        <v>นอกแผนอนุมัติ เข้าแผน (ครึ่งปีหลัง)</v>
      </c>
      <c r="I196" s="180"/>
      <c r="J196" s="181"/>
      <c r="K196" s="181"/>
      <c r="L196" s="181"/>
      <c r="M196" s="181"/>
    </row>
    <row r="197" spans="1:13" ht="23.1" customHeight="1">
      <c r="A197" s="227">
        <v>191</v>
      </c>
      <c r="B197" s="478" t="s">
        <v>923</v>
      </c>
      <c r="C197" s="479">
        <v>1</v>
      </c>
      <c r="D197" s="413">
        <v>52965</v>
      </c>
      <c r="E197" s="413">
        <v>52965</v>
      </c>
      <c r="F197" s="478" t="s">
        <v>428</v>
      </c>
      <c r="G197" s="365" t="s">
        <v>729</v>
      </c>
      <c r="H197" s="218" t="str">
        <f t="shared" si="14"/>
        <v>นอกแผนอนุมัติ เข้าแผน (ครึ่งปีหลัง)</v>
      </c>
      <c r="I197" s="180"/>
      <c r="J197" s="181"/>
      <c r="K197" s="181"/>
      <c r="L197" s="181"/>
      <c r="M197" s="181"/>
    </row>
    <row r="198" spans="1:13" ht="23.1" customHeight="1">
      <c r="A198" s="227">
        <v>192</v>
      </c>
      <c r="B198" s="478" t="s">
        <v>924</v>
      </c>
      <c r="C198" s="479">
        <v>5</v>
      </c>
      <c r="D198" s="413">
        <v>9580</v>
      </c>
      <c r="E198" s="413">
        <v>47900</v>
      </c>
      <c r="F198" s="478" t="s">
        <v>426</v>
      </c>
      <c r="G198" s="365" t="s">
        <v>729</v>
      </c>
      <c r="H198" s="218" t="str">
        <f t="shared" si="14"/>
        <v>นอกแผนอนุมัติ เข้าแผน (ครึ่งปีหลัง)</v>
      </c>
      <c r="I198" s="180"/>
      <c r="J198" s="181"/>
      <c r="K198" s="181"/>
      <c r="L198" s="181"/>
      <c r="M198" s="181"/>
    </row>
    <row r="199" spans="1:13" ht="23.1" customHeight="1">
      <c r="A199" s="227">
        <v>193</v>
      </c>
      <c r="B199" s="478" t="s">
        <v>925</v>
      </c>
      <c r="C199" s="479">
        <v>4</v>
      </c>
      <c r="D199" s="413">
        <v>6690</v>
      </c>
      <c r="E199" s="413">
        <v>26760</v>
      </c>
      <c r="F199" s="478" t="s">
        <v>856</v>
      </c>
      <c r="G199" s="365" t="s">
        <v>729</v>
      </c>
      <c r="H199" s="218" t="str">
        <f t="shared" si="14"/>
        <v>นอกแผนอนุมัติ เข้าแผน (ครึ่งปีหลัง)</v>
      </c>
      <c r="I199" s="180"/>
      <c r="J199" s="181"/>
      <c r="K199" s="181"/>
      <c r="L199" s="181"/>
      <c r="M199" s="181"/>
    </row>
    <row r="200" spans="1:13" ht="23.1" customHeight="1">
      <c r="A200" s="227">
        <v>194</v>
      </c>
      <c r="B200" s="260" t="s">
        <v>926</v>
      </c>
      <c r="C200" s="414">
        <v>1</v>
      </c>
      <c r="D200" s="415">
        <v>8390</v>
      </c>
      <c r="E200" s="424">
        <v>8390</v>
      </c>
      <c r="F200" s="260" t="s">
        <v>414</v>
      </c>
      <c r="G200" s="365" t="s">
        <v>729</v>
      </c>
      <c r="H200" s="218" t="str">
        <f t="shared" si="14"/>
        <v>นอกแผนอนุมัติ เข้าแผน (ครึ่งปีหลัง)</v>
      </c>
      <c r="I200" s="180"/>
      <c r="J200" s="181"/>
      <c r="K200" s="181"/>
      <c r="L200" s="181"/>
      <c r="M200" s="181"/>
    </row>
    <row r="201" spans="1:13" ht="23.1" customHeight="1">
      <c r="A201" s="227">
        <v>195</v>
      </c>
      <c r="B201" s="478" t="s">
        <v>927</v>
      </c>
      <c r="C201" s="479">
        <v>1</v>
      </c>
      <c r="D201" s="413">
        <v>2198.85</v>
      </c>
      <c r="E201" s="413">
        <v>2198.85</v>
      </c>
      <c r="F201" s="478" t="s">
        <v>414</v>
      </c>
      <c r="G201" s="365" t="s">
        <v>729</v>
      </c>
      <c r="H201" s="218" t="str">
        <f t="shared" si="14"/>
        <v>นอกแผนอนุมัติ เข้าแผน (ครึ่งปีหลัง)</v>
      </c>
      <c r="I201" s="180"/>
      <c r="J201" s="181"/>
      <c r="K201" s="181"/>
      <c r="L201" s="181"/>
      <c r="M201" s="181"/>
    </row>
    <row r="202" spans="1:13" ht="23.1" customHeight="1">
      <c r="A202" s="227">
        <v>196</v>
      </c>
      <c r="B202" s="478" t="s">
        <v>928</v>
      </c>
      <c r="C202" s="479">
        <v>1</v>
      </c>
      <c r="D202" s="413">
        <v>52965</v>
      </c>
      <c r="E202" s="413">
        <v>52965</v>
      </c>
      <c r="F202" s="478" t="s">
        <v>857</v>
      </c>
      <c r="G202" s="365" t="s">
        <v>729</v>
      </c>
      <c r="H202" s="218" t="str">
        <f t="shared" si="14"/>
        <v>นอกแผนอนุมัติ เข้าแผน (ครึ่งปีหลัง)</v>
      </c>
      <c r="I202" s="180"/>
      <c r="J202" s="181"/>
      <c r="K202" s="181"/>
      <c r="L202" s="181"/>
      <c r="M202" s="181"/>
    </row>
    <row r="203" spans="1:13" ht="23.1" customHeight="1">
      <c r="A203" s="227">
        <v>197</v>
      </c>
      <c r="B203" s="260" t="s">
        <v>929</v>
      </c>
      <c r="C203" s="414">
        <v>4</v>
      </c>
      <c r="D203" s="415">
        <v>1990</v>
      </c>
      <c r="E203" s="424">
        <v>7960</v>
      </c>
      <c r="F203" s="260" t="s">
        <v>954</v>
      </c>
      <c r="G203" s="365" t="s">
        <v>729</v>
      </c>
      <c r="H203" s="218" t="str">
        <f t="shared" si="14"/>
        <v>นอกแผนอนุมัติ เข้าแผน (ครึ่งปีหลัง)</v>
      </c>
      <c r="I203" s="180"/>
      <c r="J203" s="181"/>
      <c r="K203" s="181"/>
      <c r="L203" s="181"/>
      <c r="M203" s="181"/>
    </row>
    <row r="204" spans="1:13" ht="23.1" customHeight="1">
      <c r="A204" s="227">
        <v>198</v>
      </c>
      <c r="B204" s="221" t="s">
        <v>930</v>
      </c>
      <c r="C204" s="215">
        <v>1</v>
      </c>
      <c r="D204" s="424">
        <v>14700</v>
      </c>
      <c r="E204" s="424">
        <v>14700</v>
      </c>
      <c r="F204" s="482" t="s">
        <v>955</v>
      </c>
      <c r="G204" s="365" t="s">
        <v>729</v>
      </c>
      <c r="H204" s="218" t="str">
        <f t="shared" si="14"/>
        <v>นอกแผนอนุมัติ เข้าแผน (ครึ่งปีหลัง)</v>
      </c>
      <c r="I204" s="180"/>
      <c r="J204" s="181"/>
      <c r="K204" s="181"/>
      <c r="L204" s="181"/>
      <c r="M204" s="181"/>
    </row>
    <row r="205" spans="1:13" ht="23.1" customHeight="1">
      <c r="A205" s="227">
        <v>199</v>
      </c>
      <c r="B205" s="216" t="s">
        <v>931</v>
      </c>
      <c r="C205" s="215">
        <v>1</v>
      </c>
      <c r="D205" s="422">
        <v>16900</v>
      </c>
      <c r="E205" s="422">
        <v>16900</v>
      </c>
      <c r="F205" s="482" t="s">
        <v>955</v>
      </c>
      <c r="G205" s="365" t="s">
        <v>729</v>
      </c>
      <c r="H205" s="218" t="str">
        <f t="shared" si="14"/>
        <v>นอกแผนอนุมัติ เข้าแผน (ครึ่งปีหลัง)</v>
      </c>
      <c r="I205" s="180"/>
      <c r="J205" s="181"/>
      <c r="K205" s="181"/>
      <c r="L205" s="181"/>
      <c r="M205" s="181"/>
    </row>
    <row r="206" spans="1:13" ht="23.1" customHeight="1">
      <c r="A206" s="227">
        <v>200</v>
      </c>
      <c r="B206" s="478" t="s">
        <v>932</v>
      </c>
      <c r="C206" s="479">
        <v>1</v>
      </c>
      <c r="D206" s="413">
        <v>27900</v>
      </c>
      <c r="E206" s="413">
        <v>27900</v>
      </c>
      <c r="F206" s="478" t="s">
        <v>422</v>
      </c>
      <c r="G206" s="365" t="s">
        <v>729</v>
      </c>
      <c r="H206" s="218" t="str">
        <f t="shared" si="14"/>
        <v>นอกแผนอนุมัติ เข้าแผน (ครึ่งปีหลัง)</v>
      </c>
      <c r="I206" s="180"/>
      <c r="J206" s="181"/>
      <c r="K206" s="181"/>
      <c r="L206" s="181"/>
      <c r="M206" s="181"/>
    </row>
    <row r="207" spans="1:13" ht="23.1" customHeight="1">
      <c r="A207" s="227">
        <v>201</v>
      </c>
      <c r="B207" s="478" t="s">
        <v>933</v>
      </c>
      <c r="C207" s="479">
        <v>2</v>
      </c>
      <c r="D207" s="413">
        <v>1320</v>
      </c>
      <c r="E207" s="483">
        <v>2640</v>
      </c>
      <c r="F207" s="478" t="s">
        <v>956</v>
      </c>
      <c r="G207" s="365" t="s">
        <v>729</v>
      </c>
      <c r="H207" s="218" t="str">
        <f t="shared" si="14"/>
        <v>นอกแผนอนุมัติ เข้าแผน (ครึ่งปีหลัง)</v>
      </c>
      <c r="I207" s="180"/>
      <c r="J207" s="181"/>
      <c r="K207" s="181"/>
      <c r="L207" s="181"/>
      <c r="M207" s="181"/>
    </row>
    <row r="208" spans="1:13" ht="23.1" customHeight="1">
      <c r="A208" s="227">
        <v>202</v>
      </c>
      <c r="B208" s="478" t="s">
        <v>934</v>
      </c>
      <c r="C208" s="479">
        <v>1</v>
      </c>
      <c r="D208" s="413">
        <v>12500</v>
      </c>
      <c r="E208" s="413">
        <v>12500</v>
      </c>
      <c r="F208" s="478" t="s">
        <v>957</v>
      </c>
      <c r="G208" s="365" t="s">
        <v>729</v>
      </c>
      <c r="H208" s="218" t="str">
        <f t="shared" si="14"/>
        <v>นอกแผนอนุมัติ เข้าแผน (ครึ่งปีหลัง)</v>
      </c>
      <c r="I208" s="180"/>
      <c r="J208" s="181"/>
      <c r="K208" s="181"/>
      <c r="L208" s="181"/>
      <c r="M208" s="181"/>
    </row>
    <row r="209" spans="1:13" ht="23.1" customHeight="1">
      <c r="A209" s="227">
        <v>203</v>
      </c>
      <c r="B209" s="478" t="s">
        <v>935</v>
      </c>
      <c r="C209" s="479">
        <v>1</v>
      </c>
      <c r="D209" s="413">
        <v>4999</v>
      </c>
      <c r="E209" s="413">
        <v>4999</v>
      </c>
      <c r="F209" s="478" t="s">
        <v>958</v>
      </c>
      <c r="G209" s="365" t="s">
        <v>729</v>
      </c>
      <c r="H209" s="218" t="str">
        <f t="shared" si="14"/>
        <v>นอกแผนอนุมัติ เข้าแผน (ครึ่งปีหลัง)</v>
      </c>
      <c r="I209" s="180"/>
      <c r="J209" s="181"/>
      <c r="K209" s="181"/>
      <c r="L209" s="181"/>
      <c r="M209" s="181"/>
    </row>
    <row r="210" spans="1:13" ht="23.1" customHeight="1">
      <c r="A210" s="227">
        <v>204</v>
      </c>
      <c r="B210" s="390" t="s">
        <v>936</v>
      </c>
      <c r="C210" s="479">
        <v>1</v>
      </c>
      <c r="D210" s="417">
        <v>16050</v>
      </c>
      <c r="E210" s="417">
        <v>16050</v>
      </c>
      <c r="F210" s="479" t="s">
        <v>740</v>
      </c>
      <c r="G210" s="365" t="s">
        <v>729</v>
      </c>
      <c r="H210" s="218" t="str">
        <f t="shared" si="14"/>
        <v>นอกแผนอนุมัติ เข้าแผน (ครึ่งปีหลัง)</v>
      </c>
      <c r="I210" s="180"/>
      <c r="J210" s="181"/>
      <c r="K210" s="181"/>
      <c r="L210" s="181"/>
      <c r="M210" s="181"/>
    </row>
    <row r="211" spans="1:13" ht="23.1" customHeight="1">
      <c r="A211" s="227">
        <v>205</v>
      </c>
      <c r="B211" s="478" t="s">
        <v>1040</v>
      </c>
      <c r="C211" s="479">
        <v>1</v>
      </c>
      <c r="D211" s="413">
        <v>45500</v>
      </c>
      <c r="E211" s="413">
        <v>45500</v>
      </c>
      <c r="F211" s="478" t="s">
        <v>959</v>
      </c>
      <c r="G211" s="365" t="s">
        <v>729</v>
      </c>
      <c r="H211" s="218" t="str">
        <f t="shared" si="14"/>
        <v>นอกแผนอนุมัติ เข้าแผน (ครึ่งปีหลัง)</v>
      </c>
      <c r="I211" s="180"/>
      <c r="J211" s="181"/>
      <c r="K211" s="181"/>
      <c r="L211" s="181"/>
      <c r="M211" s="181"/>
    </row>
    <row r="212" spans="1:13" ht="23.1" customHeight="1">
      <c r="A212" s="227">
        <v>206</v>
      </c>
      <c r="B212" s="478" t="s">
        <v>1013</v>
      </c>
      <c r="C212" s="479">
        <v>1</v>
      </c>
      <c r="D212" s="413">
        <v>12000</v>
      </c>
      <c r="E212" s="413">
        <v>12000</v>
      </c>
      <c r="F212" s="478" t="s">
        <v>959</v>
      </c>
      <c r="G212" s="365" t="s">
        <v>729</v>
      </c>
      <c r="H212" s="218" t="str">
        <f t="shared" si="14"/>
        <v>นอกแผนอนุมัติ เข้าแผน (ครึ่งปีหลัง)</v>
      </c>
      <c r="I212" s="180"/>
      <c r="J212" s="181"/>
      <c r="K212" s="181"/>
      <c r="L212" s="181"/>
      <c r="M212" s="181"/>
    </row>
    <row r="213" spans="1:13" ht="23.1" customHeight="1">
      <c r="A213" s="227">
        <v>207</v>
      </c>
      <c r="B213" s="478" t="s">
        <v>739</v>
      </c>
      <c r="C213" s="479">
        <v>1</v>
      </c>
      <c r="D213" s="416">
        <v>1590</v>
      </c>
      <c r="E213" s="416">
        <v>1590</v>
      </c>
      <c r="F213" s="478" t="s">
        <v>960</v>
      </c>
      <c r="G213" s="365" t="s">
        <v>729</v>
      </c>
      <c r="H213" s="218" t="str">
        <f t="shared" si="14"/>
        <v>นอกแผนอนุมัติ เข้าแผน (ครึ่งปีหลัง)</v>
      </c>
      <c r="I213" s="180"/>
      <c r="J213" s="181"/>
      <c r="K213" s="181"/>
      <c r="L213" s="181"/>
      <c r="M213" s="181"/>
    </row>
    <row r="214" spans="1:13" ht="23.1" customHeight="1">
      <c r="A214" s="227">
        <v>208</v>
      </c>
      <c r="B214" s="478" t="s">
        <v>937</v>
      </c>
      <c r="C214" s="479">
        <v>2</v>
      </c>
      <c r="D214" s="413">
        <v>4994</v>
      </c>
      <c r="E214" s="413">
        <v>9988</v>
      </c>
      <c r="F214" s="478" t="s">
        <v>614</v>
      </c>
      <c r="G214" s="365" t="s">
        <v>729</v>
      </c>
      <c r="H214" s="218" t="str">
        <f t="shared" si="14"/>
        <v>นอกแผนอนุมัติ เข้าแผน (ครึ่งปีหลัง)</v>
      </c>
      <c r="I214" s="180"/>
      <c r="J214" s="181"/>
      <c r="K214" s="181"/>
      <c r="L214" s="181"/>
      <c r="M214" s="181"/>
    </row>
    <row r="215" spans="1:13" ht="23.1" customHeight="1">
      <c r="A215" s="227">
        <v>209</v>
      </c>
      <c r="B215" s="478" t="s">
        <v>911</v>
      </c>
      <c r="C215" s="479">
        <v>2</v>
      </c>
      <c r="D215" s="413">
        <v>50250</v>
      </c>
      <c r="E215" s="415">
        <v>100500</v>
      </c>
      <c r="F215" s="478" t="s">
        <v>614</v>
      </c>
      <c r="G215" s="365" t="s">
        <v>729</v>
      </c>
      <c r="H215" s="218" t="str">
        <f t="shared" si="14"/>
        <v>นอกแผนอนุมัติ เข้าแผน (ครึ่งปีหลัง)</v>
      </c>
      <c r="I215" s="180"/>
      <c r="J215" s="181"/>
      <c r="K215" s="181"/>
      <c r="L215" s="181"/>
      <c r="M215" s="181"/>
    </row>
    <row r="216" spans="1:13" ht="23.1" customHeight="1">
      <c r="A216" s="227">
        <v>210</v>
      </c>
      <c r="B216" s="478" t="s">
        <v>938</v>
      </c>
      <c r="C216" s="479">
        <v>1</v>
      </c>
      <c r="D216" s="413">
        <v>21590</v>
      </c>
      <c r="E216" s="413">
        <v>21590</v>
      </c>
      <c r="F216" s="478" t="s">
        <v>858</v>
      </c>
      <c r="G216" s="365" t="s">
        <v>729</v>
      </c>
      <c r="H216" s="218" t="str">
        <f t="shared" si="14"/>
        <v>นอกแผนอนุมัติ เข้าแผน (ครึ่งปีหลัง)</v>
      </c>
      <c r="I216" s="180"/>
      <c r="J216" s="181"/>
      <c r="K216" s="181"/>
      <c r="L216" s="181"/>
      <c r="M216" s="181"/>
    </row>
    <row r="217" spans="1:13" ht="23.1" customHeight="1">
      <c r="A217" s="227">
        <v>211</v>
      </c>
      <c r="B217" s="478" t="s">
        <v>939</v>
      </c>
      <c r="C217" s="479">
        <v>5</v>
      </c>
      <c r="D217" s="413"/>
      <c r="E217" s="2809">
        <v>16340</v>
      </c>
      <c r="F217" s="478" t="s">
        <v>961</v>
      </c>
      <c r="G217" s="365" t="s">
        <v>729</v>
      </c>
      <c r="H217" s="218" t="str">
        <f t="shared" si="14"/>
        <v>นอกแผนอนุมัติ เข้าแผน (ครึ่งปีหลัง)</v>
      </c>
      <c r="I217" s="180"/>
      <c r="J217" s="181"/>
      <c r="K217" s="181"/>
      <c r="L217" s="181"/>
      <c r="M217" s="181"/>
    </row>
    <row r="218" spans="1:13" ht="23.1" customHeight="1">
      <c r="A218" s="227">
        <v>212</v>
      </c>
      <c r="B218" s="478" t="s">
        <v>940</v>
      </c>
      <c r="C218" s="479">
        <v>1</v>
      </c>
      <c r="D218" s="413"/>
      <c r="E218" s="2810"/>
      <c r="F218" s="478" t="s">
        <v>961</v>
      </c>
      <c r="G218" s="365" t="s">
        <v>729</v>
      </c>
      <c r="H218" s="218" t="str">
        <f t="shared" si="14"/>
        <v>นอกแผนอนุมัติ เข้าแผน (ครึ่งปีหลัง)</v>
      </c>
      <c r="I218" s="180"/>
      <c r="J218" s="181"/>
      <c r="K218" s="181"/>
      <c r="L218" s="181"/>
      <c r="M218" s="181"/>
    </row>
    <row r="219" spans="1:13" ht="23.1" customHeight="1">
      <c r="A219" s="227">
        <v>213</v>
      </c>
      <c r="B219" s="478" t="s">
        <v>1011</v>
      </c>
      <c r="C219" s="479">
        <v>1</v>
      </c>
      <c r="D219" s="413">
        <v>53500</v>
      </c>
      <c r="E219" s="413">
        <v>53500</v>
      </c>
      <c r="F219" s="478" t="s">
        <v>859</v>
      </c>
      <c r="G219" s="365" t="s">
        <v>729</v>
      </c>
      <c r="H219" s="218" t="str">
        <f t="shared" si="14"/>
        <v>นอกแผนอนุมัติ เข้าแผน (ครึ่งปีหลัง)</v>
      </c>
      <c r="I219" s="180"/>
      <c r="J219" s="181"/>
      <c r="K219" s="181"/>
      <c r="L219" s="181"/>
      <c r="M219" s="181"/>
    </row>
    <row r="220" spans="1:13" ht="23.1" customHeight="1">
      <c r="A220" s="227">
        <v>214</v>
      </c>
      <c r="B220" s="478" t="s">
        <v>1012</v>
      </c>
      <c r="C220" s="479">
        <v>1</v>
      </c>
      <c r="D220" s="413">
        <v>23800</v>
      </c>
      <c r="E220" s="413">
        <v>23800</v>
      </c>
      <c r="F220" s="478" t="s">
        <v>859</v>
      </c>
      <c r="G220" s="365" t="s">
        <v>729</v>
      </c>
      <c r="H220" s="218" t="str">
        <f t="shared" si="14"/>
        <v>นอกแผนอนุมัติ เข้าแผน (ครึ่งปีหลัง)</v>
      </c>
      <c r="I220" s="180"/>
      <c r="J220" s="181"/>
      <c r="K220" s="181"/>
      <c r="L220" s="181"/>
      <c r="M220" s="181"/>
    </row>
    <row r="221" spans="1:13" ht="23.1" customHeight="1">
      <c r="A221" s="227">
        <v>215</v>
      </c>
      <c r="B221" s="478" t="s">
        <v>941</v>
      </c>
      <c r="C221" s="479">
        <v>4</v>
      </c>
      <c r="D221" s="413">
        <v>3400</v>
      </c>
      <c r="E221" s="413">
        <v>13600</v>
      </c>
      <c r="F221" s="478" t="s">
        <v>962</v>
      </c>
      <c r="G221" s="365" t="s">
        <v>729</v>
      </c>
      <c r="H221" s="218" t="str">
        <f t="shared" si="14"/>
        <v>นอกแผนอนุมัติ เข้าแผน (ครึ่งปีหลัง)</v>
      </c>
      <c r="I221" s="180"/>
      <c r="J221" s="181"/>
      <c r="K221" s="181"/>
      <c r="L221" s="181"/>
      <c r="M221" s="181"/>
    </row>
    <row r="222" spans="1:13" ht="23.1" customHeight="1">
      <c r="A222" s="227">
        <v>216</v>
      </c>
      <c r="B222" s="478" t="s">
        <v>942</v>
      </c>
      <c r="C222" s="479">
        <v>1</v>
      </c>
      <c r="D222" s="413">
        <v>16500</v>
      </c>
      <c r="E222" s="413">
        <v>16500</v>
      </c>
      <c r="F222" s="478" t="s">
        <v>415</v>
      </c>
      <c r="G222" s="365" t="s">
        <v>729</v>
      </c>
      <c r="H222" s="218" t="str">
        <f t="shared" si="14"/>
        <v>นอกแผนอนุมัติ เข้าแผน (ครึ่งปีหลัง)</v>
      </c>
      <c r="I222" s="180"/>
      <c r="J222" s="181"/>
      <c r="K222" s="181"/>
      <c r="L222" s="181"/>
      <c r="M222" s="181"/>
    </row>
    <row r="223" spans="1:13" ht="23.1" customHeight="1">
      <c r="A223" s="227">
        <v>217</v>
      </c>
      <c r="B223" s="478" t="s">
        <v>473</v>
      </c>
      <c r="C223" s="479">
        <v>2</v>
      </c>
      <c r="D223" s="413">
        <v>3400</v>
      </c>
      <c r="E223" s="413">
        <v>6800</v>
      </c>
      <c r="F223" s="478" t="s">
        <v>963</v>
      </c>
      <c r="G223" s="365" t="s">
        <v>729</v>
      </c>
      <c r="H223" s="218" t="str">
        <f t="shared" si="14"/>
        <v>นอกแผนอนุมัติ เข้าแผน (ครึ่งปีหลัง)</v>
      </c>
      <c r="I223" s="180"/>
      <c r="J223" s="181"/>
      <c r="K223" s="181"/>
      <c r="L223" s="181"/>
      <c r="M223" s="181"/>
    </row>
    <row r="224" spans="1:13" ht="23.1" customHeight="1">
      <c r="A224" s="227">
        <v>218</v>
      </c>
      <c r="B224" s="478" t="s">
        <v>943</v>
      </c>
      <c r="C224" s="479">
        <v>1</v>
      </c>
      <c r="D224" s="413">
        <v>42800</v>
      </c>
      <c r="E224" s="413">
        <v>42800</v>
      </c>
      <c r="F224" s="478" t="s">
        <v>861</v>
      </c>
      <c r="G224" s="365" t="s">
        <v>729</v>
      </c>
      <c r="H224" s="218" t="str">
        <f t="shared" si="14"/>
        <v>นอกแผนอนุมัติ เข้าแผน (ครึ่งปีหลัง)</v>
      </c>
      <c r="I224" s="180"/>
      <c r="J224" s="181"/>
      <c r="K224" s="181"/>
      <c r="L224" s="181"/>
      <c r="M224" s="181"/>
    </row>
    <row r="225" spans="1:13" ht="23.1" customHeight="1">
      <c r="A225" s="227">
        <v>219</v>
      </c>
      <c r="B225" s="478" t="s">
        <v>908</v>
      </c>
      <c r="C225" s="479">
        <v>1</v>
      </c>
      <c r="D225" s="413">
        <v>1883.2</v>
      </c>
      <c r="E225" s="413">
        <v>1883.2</v>
      </c>
      <c r="F225" s="478" t="s">
        <v>425</v>
      </c>
      <c r="G225" s="365" t="s">
        <v>729</v>
      </c>
      <c r="H225" s="218" t="str">
        <f t="shared" si="14"/>
        <v>นอกแผนอนุมัติ เข้าแผน (ครึ่งปีหลัง)</v>
      </c>
      <c r="I225" s="180"/>
      <c r="J225" s="181"/>
      <c r="K225" s="181"/>
      <c r="L225" s="181"/>
      <c r="M225" s="181"/>
    </row>
    <row r="226" spans="1:13" ht="23.1" customHeight="1">
      <c r="A226" s="227">
        <v>220</v>
      </c>
      <c r="B226" s="478" t="s">
        <v>473</v>
      </c>
      <c r="C226" s="479">
        <v>1</v>
      </c>
      <c r="D226" s="413">
        <v>3400</v>
      </c>
      <c r="E226" s="413">
        <v>3400</v>
      </c>
      <c r="F226" s="478" t="s">
        <v>964</v>
      </c>
      <c r="G226" s="365" t="s">
        <v>729</v>
      </c>
      <c r="H226" s="218" t="str">
        <f t="shared" si="14"/>
        <v>นอกแผนอนุมัติ เข้าแผน (ครึ่งปีหลัง)</v>
      </c>
      <c r="I226" s="180"/>
      <c r="J226" s="181"/>
      <c r="K226" s="181"/>
      <c r="L226" s="181"/>
      <c r="M226" s="181"/>
    </row>
    <row r="227" spans="1:13" s="430" customFormat="1" ht="24" customHeight="1">
      <c r="A227" s="425"/>
      <c r="B227" s="449"/>
      <c r="C227" s="446"/>
      <c r="D227" s="453" t="s">
        <v>4</v>
      </c>
      <c r="E227" s="448">
        <f>SUM(E148:E226)</f>
        <v>3074422.4000000004</v>
      </c>
      <c r="F227" s="449"/>
      <c r="G227" s="426"/>
      <c r="H227" s="427"/>
      <c r="I227" s="428"/>
      <c r="J227" s="429"/>
      <c r="K227" s="429"/>
      <c r="L227" s="429"/>
      <c r="M227" s="429"/>
    </row>
    <row r="228" spans="1:13" ht="23.1" customHeight="1">
      <c r="A228" s="227">
        <v>221</v>
      </c>
      <c r="B228" s="218" t="s">
        <v>506</v>
      </c>
      <c r="C228" s="220">
        <v>1</v>
      </c>
      <c r="D228" s="228">
        <v>410490</v>
      </c>
      <c r="E228" s="261">
        <f>+C228*D228</f>
        <v>410490</v>
      </c>
      <c r="F228" s="225" t="s">
        <v>507</v>
      </c>
      <c r="G228" s="225" t="s">
        <v>730</v>
      </c>
      <c r="H228" s="232"/>
      <c r="I228" s="180"/>
      <c r="J228" s="181"/>
      <c r="K228" s="181"/>
      <c r="L228" s="181"/>
      <c r="M228" s="181"/>
    </row>
    <row r="229" spans="1:13" ht="23.1" customHeight="1">
      <c r="A229" s="227">
        <v>222</v>
      </c>
      <c r="B229" s="262" t="s">
        <v>194</v>
      </c>
      <c r="C229" s="227">
        <v>1</v>
      </c>
      <c r="D229" s="261">
        <v>381027</v>
      </c>
      <c r="E229" s="261">
        <f>C229*D229</f>
        <v>381027</v>
      </c>
      <c r="F229" s="226" t="s">
        <v>417</v>
      </c>
      <c r="G229" s="226" t="s">
        <v>730</v>
      </c>
      <c r="H229" s="232" t="str">
        <f>+H5</f>
        <v>14.เบิกจ่ายแล้ว</v>
      </c>
      <c r="I229" s="180"/>
      <c r="J229" s="181"/>
      <c r="K229" s="181"/>
      <c r="L229" s="181"/>
      <c r="M229" s="181"/>
    </row>
    <row r="230" spans="1:13" ht="23.1" customHeight="1">
      <c r="A230" s="227">
        <v>223</v>
      </c>
      <c r="B230" s="218" t="s">
        <v>198</v>
      </c>
      <c r="C230" s="220">
        <v>1</v>
      </c>
      <c r="D230" s="410">
        <v>130000</v>
      </c>
      <c r="E230" s="261">
        <f>C230*D230</f>
        <v>130000</v>
      </c>
      <c r="F230" s="225" t="s">
        <v>416</v>
      </c>
      <c r="G230" s="225" t="s">
        <v>730</v>
      </c>
      <c r="H230" s="372"/>
      <c r="I230" s="180"/>
      <c r="J230" s="181"/>
      <c r="K230" s="181"/>
      <c r="L230" s="181"/>
      <c r="M230" s="181"/>
    </row>
    <row r="231" spans="1:13" ht="23.1" customHeight="1">
      <c r="A231" s="227">
        <v>224</v>
      </c>
      <c r="B231" s="260" t="s">
        <v>678</v>
      </c>
      <c r="C231" s="215">
        <v>6</v>
      </c>
      <c r="D231" s="267">
        <v>8470</v>
      </c>
      <c r="E231" s="366">
        <v>50820</v>
      </c>
      <c r="F231" s="216" t="s">
        <v>584</v>
      </c>
      <c r="G231" s="216" t="s">
        <v>730</v>
      </c>
      <c r="H231" s="216"/>
      <c r="I231" s="180"/>
      <c r="J231" s="181"/>
      <c r="K231" s="181"/>
      <c r="L231" s="181"/>
      <c r="M231" s="181"/>
    </row>
    <row r="232" spans="1:13" ht="47.25" customHeight="1">
      <c r="A232" s="227">
        <v>225</v>
      </c>
      <c r="B232" s="487" t="s">
        <v>529</v>
      </c>
      <c r="C232" s="233">
        <v>1</v>
      </c>
      <c r="D232" s="250">
        <v>9000000</v>
      </c>
      <c r="E232" s="404">
        <f>+C232*D232</f>
        <v>9000000</v>
      </c>
      <c r="F232" s="231" t="s">
        <v>532</v>
      </c>
      <c r="G232" s="231" t="s">
        <v>730</v>
      </c>
      <c r="H232" s="230"/>
      <c r="I232" s="180"/>
      <c r="J232" s="181"/>
      <c r="K232" s="181"/>
      <c r="L232" s="181"/>
      <c r="M232" s="181"/>
    </row>
    <row r="233" spans="1:13" ht="23.1" customHeight="1">
      <c r="A233" s="227">
        <v>226</v>
      </c>
      <c r="B233" s="487" t="s">
        <v>528</v>
      </c>
      <c r="C233" s="233">
        <v>1</v>
      </c>
      <c r="D233" s="250">
        <v>7000000</v>
      </c>
      <c r="E233" s="404">
        <f>+C233*D233</f>
        <v>7000000</v>
      </c>
      <c r="F233" s="231" t="s">
        <v>532</v>
      </c>
      <c r="G233" s="231" t="s">
        <v>730</v>
      </c>
      <c r="H233" s="230"/>
      <c r="I233" s="180"/>
      <c r="J233" s="181"/>
      <c r="K233" s="181"/>
      <c r="L233" s="181"/>
      <c r="M233" s="181"/>
    </row>
    <row r="234" spans="1:13" ht="23.1" customHeight="1">
      <c r="A234" s="227">
        <v>227</v>
      </c>
      <c r="B234" s="251" t="s">
        <v>530</v>
      </c>
      <c r="C234" s="233">
        <v>1</v>
      </c>
      <c r="D234" s="403">
        <v>2000000</v>
      </c>
      <c r="E234" s="404">
        <f>+C234*D234</f>
        <v>2000000</v>
      </c>
      <c r="F234" s="231" t="s">
        <v>532</v>
      </c>
      <c r="G234" s="231" t="s">
        <v>730</v>
      </c>
      <c r="H234" s="478" t="s">
        <v>725</v>
      </c>
      <c r="I234" s="180"/>
      <c r="J234" s="181"/>
      <c r="K234" s="181"/>
      <c r="L234" s="181"/>
      <c r="M234" s="181"/>
    </row>
    <row r="235" spans="1:13" s="245" customFormat="1" ht="23.1" customHeight="1">
      <c r="A235" s="227">
        <v>228</v>
      </c>
      <c r="B235" s="488" t="s">
        <v>531</v>
      </c>
      <c r="C235" s="233">
        <v>1</v>
      </c>
      <c r="D235" s="403">
        <v>152000</v>
      </c>
      <c r="E235" s="404">
        <v>152000</v>
      </c>
      <c r="F235" s="232" t="s">
        <v>532</v>
      </c>
      <c r="G235" s="232" t="s">
        <v>730</v>
      </c>
      <c r="H235" s="232"/>
      <c r="I235" s="361"/>
    </row>
    <row r="236" spans="1:13" ht="23.1" customHeight="1">
      <c r="A236" s="227">
        <v>229</v>
      </c>
      <c r="B236" s="488" t="s">
        <v>525</v>
      </c>
      <c r="C236" s="233">
        <v>1</v>
      </c>
      <c r="D236" s="403">
        <v>100000</v>
      </c>
      <c r="E236" s="404">
        <v>100000</v>
      </c>
      <c r="F236" s="231" t="s">
        <v>532</v>
      </c>
      <c r="G236" s="231" t="s">
        <v>730</v>
      </c>
      <c r="H236" s="478" t="s">
        <v>725</v>
      </c>
      <c r="I236" s="180"/>
      <c r="J236" s="181"/>
      <c r="K236" s="181"/>
      <c r="L236" s="181"/>
      <c r="M236" s="181"/>
    </row>
    <row r="237" spans="1:13" ht="23.1" customHeight="1">
      <c r="A237" s="227">
        <v>230</v>
      </c>
      <c r="B237" s="251" t="s">
        <v>526</v>
      </c>
      <c r="C237" s="233">
        <v>1</v>
      </c>
      <c r="D237" s="403">
        <v>250000</v>
      </c>
      <c r="E237" s="404">
        <v>250000</v>
      </c>
      <c r="F237" s="231" t="s">
        <v>532</v>
      </c>
      <c r="G237" s="231" t="s">
        <v>730</v>
      </c>
      <c r="H237" s="230"/>
      <c r="I237" s="180"/>
      <c r="J237" s="181"/>
      <c r="K237" s="181"/>
      <c r="L237" s="181"/>
      <c r="M237" s="181"/>
    </row>
    <row r="238" spans="1:13" ht="23.1" customHeight="1">
      <c r="A238" s="227">
        <v>231</v>
      </c>
      <c r="B238" s="489" t="s">
        <v>527</v>
      </c>
      <c r="C238" s="490">
        <v>2</v>
      </c>
      <c r="D238" s="405">
        <v>68000</v>
      </c>
      <c r="E238" s="405">
        <f>+C238*D238</f>
        <v>136000</v>
      </c>
      <c r="F238" s="231" t="s">
        <v>532</v>
      </c>
      <c r="G238" s="231" t="s">
        <v>730</v>
      </c>
      <c r="H238" s="230"/>
      <c r="I238" s="180"/>
      <c r="J238" s="181"/>
      <c r="K238" s="181"/>
      <c r="L238" s="181"/>
      <c r="M238" s="181"/>
    </row>
    <row r="239" spans="1:13" ht="23.1" customHeight="1">
      <c r="A239" s="227">
        <v>232</v>
      </c>
      <c r="B239" s="251" t="s">
        <v>734</v>
      </c>
      <c r="C239" s="233">
        <v>1</v>
      </c>
      <c r="D239" s="403">
        <v>800000</v>
      </c>
      <c r="E239" s="403">
        <v>800000</v>
      </c>
      <c r="F239" s="231" t="s">
        <v>532</v>
      </c>
      <c r="G239" s="231" t="s">
        <v>730</v>
      </c>
      <c r="H239" s="230" t="str">
        <f>+H242</f>
        <v>14.เบิกจ่ายแล้ว</v>
      </c>
      <c r="I239" s="180"/>
      <c r="J239" s="181"/>
      <c r="K239" s="181"/>
      <c r="L239" s="181"/>
      <c r="M239" s="181"/>
    </row>
    <row r="240" spans="1:13" ht="23.1" customHeight="1">
      <c r="A240" s="227">
        <v>233</v>
      </c>
      <c r="B240" s="252" t="s">
        <v>533</v>
      </c>
      <c r="C240" s="253">
        <v>20</v>
      </c>
      <c r="D240" s="406">
        <v>24000</v>
      </c>
      <c r="E240" s="454">
        <f t="shared" ref="E240:E272" si="16">+C240*D240</f>
        <v>480000</v>
      </c>
      <c r="F240" s="231" t="s">
        <v>532</v>
      </c>
      <c r="G240" s="231" t="s">
        <v>730</v>
      </c>
      <c r="H240" s="230" t="str">
        <f>+H39</f>
        <v>12.ครบกำหนดส่งมอบ</v>
      </c>
      <c r="I240" s="180"/>
      <c r="J240" s="181"/>
      <c r="K240" s="181"/>
      <c r="L240" s="181"/>
      <c r="M240" s="181"/>
    </row>
    <row r="241" spans="1:13" ht="23.1" customHeight="1">
      <c r="A241" s="227">
        <v>234</v>
      </c>
      <c r="B241" s="251" t="s">
        <v>648</v>
      </c>
      <c r="C241" s="253">
        <v>5</v>
      </c>
      <c r="D241" s="407">
        <v>40000</v>
      </c>
      <c r="E241" s="328">
        <f t="shared" si="16"/>
        <v>200000</v>
      </c>
      <c r="F241" s="231" t="s">
        <v>532</v>
      </c>
      <c r="G241" s="231" t="s">
        <v>730</v>
      </c>
      <c r="H241" s="230" t="str">
        <f>+H240</f>
        <v>12.ครบกำหนดส่งมอบ</v>
      </c>
      <c r="I241" s="180"/>
      <c r="J241" s="181"/>
      <c r="K241" s="181"/>
      <c r="L241" s="181"/>
      <c r="M241" s="181"/>
    </row>
    <row r="242" spans="1:13" ht="23.1" customHeight="1">
      <c r="A242" s="227">
        <v>235</v>
      </c>
      <c r="B242" s="252" t="s">
        <v>534</v>
      </c>
      <c r="C242" s="253">
        <v>15</v>
      </c>
      <c r="D242" s="407">
        <v>7900</v>
      </c>
      <c r="E242" s="328">
        <f t="shared" si="16"/>
        <v>118500</v>
      </c>
      <c r="F242" s="231" t="s">
        <v>532</v>
      </c>
      <c r="G242" s="231" t="s">
        <v>730</v>
      </c>
      <c r="H242" s="230" t="str">
        <f>+H244</f>
        <v>14.เบิกจ่ายแล้ว</v>
      </c>
      <c r="I242" s="180"/>
      <c r="J242" s="181"/>
      <c r="K242" s="181"/>
      <c r="L242" s="181"/>
      <c r="M242" s="181"/>
    </row>
    <row r="243" spans="1:13" ht="23.1" customHeight="1">
      <c r="A243" s="227">
        <v>236</v>
      </c>
      <c r="B243" s="252" t="s">
        <v>535</v>
      </c>
      <c r="C243" s="253">
        <v>5</v>
      </c>
      <c r="D243" s="407">
        <v>29000</v>
      </c>
      <c r="E243" s="328">
        <f t="shared" si="16"/>
        <v>145000</v>
      </c>
      <c r="F243" s="231" t="s">
        <v>532</v>
      </c>
      <c r="G243" s="231" t="s">
        <v>730</v>
      </c>
      <c r="H243" s="230"/>
      <c r="I243" s="180"/>
      <c r="J243" s="181"/>
      <c r="K243" s="181"/>
      <c r="L243" s="181"/>
      <c r="M243" s="181"/>
    </row>
    <row r="244" spans="1:13" ht="23.1" customHeight="1">
      <c r="A244" s="227">
        <v>237</v>
      </c>
      <c r="B244" s="252" t="s">
        <v>536</v>
      </c>
      <c r="C244" s="253">
        <v>50</v>
      </c>
      <c r="D244" s="407">
        <v>4000</v>
      </c>
      <c r="E244" s="328">
        <f t="shared" si="16"/>
        <v>200000</v>
      </c>
      <c r="F244" s="231" t="s">
        <v>532</v>
      </c>
      <c r="G244" s="231" t="s">
        <v>730</v>
      </c>
      <c r="H244" s="230" t="str">
        <f>+H110</f>
        <v>14.เบิกจ่ายแล้ว</v>
      </c>
      <c r="I244" s="180"/>
      <c r="J244" s="181"/>
      <c r="K244" s="181"/>
      <c r="L244" s="181"/>
      <c r="M244" s="181"/>
    </row>
    <row r="245" spans="1:13" ht="23.1" customHeight="1">
      <c r="A245" s="227">
        <v>238</v>
      </c>
      <c r="B245" s="252" t="s">
        <v>537</v>
      </c>
      <c r="C245" s="253">
        <v>100</v>
      </c>
      <c r="D245" s="407">
        <v>4000</v>
      </c>
      <c r="E245" s="328">
        <f t="shared" si="16"/>
        <v>400000</v>
      </c>
      <c r="F245" s="231" t="s">
        <v>532</v>
      </c>
      <c r="G245" s="231" t="s">
        <v>730</v>
      </c>
      <c r="H245" s="230" t="str">
        <f>+H240</f>
        <v>12.ครบกำหนดส่งมอบ</v>
      </c>
      <c r="I245" s="180"/>
      <c r="J245" s="181"/>
      <c r="K245" s="181"/>
      <c r="L245" s="181"/>
      <c r="M245" s="181"/>
    </row>
    <row r="246" spans="1:13" ht="23.1" customHeight="1">
      <c r="A246" s="227">
        <v>239</v>
      </c>
      <c r="B246" s="252" t="s">
        <v>538</v>
      </c>
      <c r="C246" s="253">
        <v>5</v>
      </c>
      <c r="D246" s="407">
        <v>37000</v>
      </c>
      <c r="E246" s="328">
        <f t="shared" si="16"/>
        <v>185000</v>
      </c>
      <c r="F246" s="231" t="s">
        <v>532</v>
      </c>
      <c r="G246" s="231" t="s">
        <v>730</v>
      </c>
      <c r="H246" s="478" t="s">
        <v>725</v>
      </c>
      <c r="I246" s="180"/>
      <c r="J246" s="181"/>
      <c r="K246" s="181"/>
      <c r="L246" s="181"/>
      <c r="M246" s="181"/>
    </row>
    <row r="247" spans="1:13" ht="23.1" customHeight="1">
      <c r="A247" s="227">
        <v>240</v>
      </c>
      <c r="B247" s="252" t="s">
        <v>540</v>
      </c>
      <c r="C247" s="253">
        <v>20</v>
      </c>
      <c r="D247" s="407">
        <v>13000</v>
      </c>
      <c r="E247" s="328">
        <f t="shared" si="16"/>
        <v>260000</v>
      </c>
      <c r="F247" s="231" t="s">
        <v>532</v>
      </c>
      <c r="G247" s="231" t="s">
        <v>730</v>
      </c>
      <c r="H247" s="230"/>
      <c r="I247" s="180"/>
      <c r="J247" s="181"/>
      <c r="K247" s="181"/>
      <c r="L247" s="181"/>
      <c r="M247" s="181"/>
    </row>
    <row r="248" spans="1:13" ht="231">
      <c r="A248" s="227">
        <v>241</v>
      </c>
      <c r="B248" s="252" t="s">
        <v>747</v>
      </c>
      <c r="C248" s="253">
        <v>1</v>
      </c>
      <c r="D248" s="407">
        <v>5000000</v>
      </c>
      <c r="E248" s="328">
        <f t="shared" si="16"/>
        <v>5000000</v>
      </c>
      <c r="F248" s="231" t="s">
        <v>532</v>
      </c>
      <c r="G248" s="231" t="s">
        <v>730</v>
      </c>
      <c r="H248" s="230" t="str">
        <f>+H160</f>
        <v>รายการใหม่ปรับแผน(ครึ่งปีหลัง)</v>
      </c>
      <c r="I248" s="180"/>
      <c r="J248" s="181"/>
      <c r="K248" s="181"/>
      <c r="L248" s="181"/>
      <c r="M248" s="181"/>
    </row>
    <row r="249" spans="1:13" ht="23.1" customHeight="1">
      <c r="A249" s="227">
        <v>242</v>
      </c>
      <c r="B249" s="252" t="s">
        <v>748</v>
      </c>
      <c r="C249" s="253">
        <v>10</v>
      </c>
      <c r="D249" s="484">
        <v>24000</v>
      </c>
      <c r="E249" s="328">
        <f t="shared" si="16"/>
        <v>240000</v>
      </c>
      <c r="F249" s="231" t="s">
        <v>532</v>
      </c>
      <c r="G249" s="231" t="s">
        <v>730</v>
      </c>
      <c r="H249" s="230" t="str">
        <f>+H248</f>
        <v>รายการใหม่ปรับแผน(ครึ่งปีหลัง)</v>
      </c>
      <c r="I249" s="180"/>
      <c r="J249" s="181"/>
      <c r="K249" s="181"/>
      <c r="L249" s="181"/>
      <c r="M249" s="181"/>
    </row>
    <row r="250" spans="1:13" ht="23.1" customHeight="1">
      <c r="A250" s="227">
        <v>243</v>
      </c>
      <c r="B250" s="252" t="s">
        <v>749</v>
      </c>
      <c r="C250" s="253">
        <v>10</v>
      </c>
      <c r="D250" s="484">
        <v>25800</v>
      </c>
      <c r="E250" s="328">
        <f t="shared" si="16"/>
        <v>258000</v>
      </c>
      <c r="F250" s="231" t="s">
        <v>532</v>
      </c>
      <c r="G250" s="231" t="s">
        <v>730</v>
      </c>
      <c r="H250" s="230" t="str">
        <f t="shared" ref="H250:H272" si="17">+H249</f>
        <v>รายการใหม่ปรับแผน(ครึ่งปีหลัง)</v>
      </c>
      <c r="I250" s="180"/>
      <c r="J250" s="181"/>
      <c r="K250" s="181"/>
      <c r="L250" s="181"/>
      <c r="M250" s="181"/>
    </row>
    <row r="251" spans="1:13" ht="23.1" customHeight="1">
      <c r="A251" s="227">
        <v>244</v>
      </c>
      <c r="B251" s="252" t="s">
        <v>750</v>
      </c>
      <c r="C251" s="253">
        <v>10</v>
      </c>
      <c r="D251" s="484">
        <v>25000</v>
      </c>
      <c r="E251" s="328">
        <f t="shared" si="16"/>
        <v>250000</v>
      </c>
      <c r="F251" s="231" t="s">
        <v>532</v>
      </c>
      <c r="G251" s="231" t="s">
        <v>730</v>
      </c>
      <c r="H251" s="230" t="str">
        <f t="shared" si="17"/>
        <v>รายการใหม่ปรับแผน(ครึ่งปีหลัง)</v>
      </c>
      <c r="I251" s="180"/>
      <c r="J251" s="181"/>
      <c r="K251" s="181"/>
      <c r="L251" s="181"/>
      <c r="M251" s="181"/>
    </row>
    <row r="252" spans="1:13" ht="23.1" customHeight="1">
      <c r="A252" s="227">
        <v>245</v>
      </c>
      <c r="B252" s="252" t="s">
        <v>751</v>
      </c>
      <c r="C252" s="253">
        <v>2</v>
      </c>
      <c r="D252" s="484">
        <v>32000</v>
      </c>
      <c r="E252" s="328">
        <f t="shared" si="16"/>
        <v>64000</v>
      </c>
      <c r="F252" s="231" t="s">
        <v>532</v>
      </c>
      <c r="G252" s="231" t="s">
        <v>730</v>
      </c>
      <c r="H252" s="230" t="str">
        <f t="shared" si="17"/>
        <v>รายการใหม่ปรับแผน(ครึ่งปีหลัง)</v>
      </c>
      <c r="I252" s="180"/>
      <c r="J252" s="181"/>
      <c r="K252" s="181"/>
      <c r="L252" s="181"/>
      <c r="M252" s="181"/>
    </row>
    <row r="253" spans="1:13" ht="23.1" customHeight="1">
      <c r="A253" s="227">
        <v>246</v>
      </c>
      <c r="B253" s="252" t="s">
        <v>752</v>
      </c>
      <c r="C253" s="253">
        <v>5</v>
      </c>
      <c r="D253" s="484">
        <v>23000</v>
      </c>
      <c r="E253" s="328">
        <f t="shared" si="16"/>
        <v>115000</v>
      </c>
      <c r="F253" s="231" t="s">
        <v>532</v>
      </c>
      <c r="G253" s="231" t="s">
        <v>730</v>
      </c>
      <c r="H253" s="230" t="str">
        <f t="shared" si="17"/>
        <v>รายการใหม่ปรับแผน(ครึ่งปีหลัง)</v>
      </c>
      <c r="I253" s="180"/>
      <c r="J253" s="181"/>
      <c r="K253" s="181"/>
      <c r="L253" s="181"/>
      <c r="M253" s="181"/>
    </row>
    <row r="254" spans="1:13" ht="23.1" customHeight="1">
      <c r="A254" s="227">
        <v>247</v>
      </c>
      <c r="B254" s="252" t="s">
        <v>753</v>
      </c>
      <c r="C254" s="253">
        <v>10</v>
      </c>
      <c r="D254" s="484">
        <v>6900</v>
      </c>
      <c r="E254" s="328">
        <f t="shared" si="16"/>
        <v>69000</v>
      </c>
      <c r="F254" s="231" t="s">
        <v>532</v>
      </c>
      <c r="G254" s="231" t="s">
        <v>730</v>
      </c>
      <c r="H254" s="230" t="str">
        <f t="shared" si="17"/>
        <v>รายการใหม่ปรับแผน(ครึ่งปีหลัง)</v>
      </c>
      <c r="I254" s="180"/>
      <c r="J254" s="181"/>
      <c r="K254" s="181"/>
      <c r="L254" s="181"/>
      <c r="M254" s="181"/>
    </row>
    <row r="255" spans="1:13" ht="23.1" customHeight="1">
      <c r="A255" s="227">
        <v>248</v>
      </c>
      <c r="B255" s="252" t="s">
        <v>534</v>
      </c>
      <c r="C255" s="253">
        <v>10</v>
      </c>
      <c r="D255" s="484">
        <v>6700</v>
      </c>
      <c r="E255" s="328">
        <f t="shared" si="16"/>
        <v>67000</v>
      </c>
      <c r="F255" s="231" t="s">
        <v>532</v>
      </c>
      <c r="G255" s="231" t="s">
        <v>730</v>
      </c>
      <c r="H255" s="230" t="str">
        <f t="shared" si="17"/>
        <v>รายการใหม่ปรับแผน(ครึ่งปีหลัง)</v>
      </c>
      <c r="I255" s="180"/>
      <c r="J255" s="181"/>
      <c r="K255" s="181"/>
      <c r="L255" s="181"/>
      <c r="M255" s="181"/>
    </row>
    <row r="256" spans="1:13" ht="23.1" customHeight="1">
      <c r="A256" s="227">
        <v>249</v>
      </c>
      <c r="B256" s="252" t="s">
        <v>754</v>
      </c>
      <c r="C256" s="253">
        <v>10</v>
      </c>
      <c r="D256" s="484">
        <v>8100</v>
      </c>
      <c r="E256" s="328">
        <f t="shared" si="16"/>
        <v>81000</v>
      </c>
      <c r="F256" s="231" t="s">
        <v>532</v>
      </c>
      <c r="G256" s="231" t="s">
        <v>730</v>
      </c>
      <c r="H256" s="230" t="str">
        <f t="shared" si="17"/>
        <v>รายการใหม่ปรับแผน(ครึ่งปีหลัง)</v>
      </c>
      <c r="I256" s="180"/>
      <c r="J256" s="181"/>
      <c r="K256" s="181"/>
      <c r="L256" s="181"/>
      <c r="M256" s="181"/>
    </row>
    <row r="257" spans="1:13" ht="23.1" customHeight="1">
      <c r="A257" s="227">
        <v>250</v>
      </c>
      <c r="B257" s="252" t="s">
        <v>755</v>
      </c>
      <c r="C257" s="253">
        <v>10</v>
      </c>
      <c r="D257" s="484">
        <v>10000</v>
      </c>
      <c r="E257" s="328">
        <f t="shared" si="16"/>
        <v>100000</v>
      </c>
      <c r="F257" s="231" t="s">
        <v>532</v>
      </c>
      <c r="G257" s="231" t="s">
        <v>730</v>
      </c>
      <c r="H257" s="230" t="str">
        <f t="shared" si="17"/>
        <v>รายการใหม่ปรับแผน(ครึ่งปีหลัง)</v>
      </c>
      <c r="I257" s="180"/>
      <c r="J257" s="181"/>
      <c r="K257" s="181"/>
      <c r="L257" s="181"/>
      <c r="M257" s="181"/>
    </row>
    <row r="258" spans="1:13" ht="23.1" customHeight="1">
      <c r="A258" s="227">
        <v>251</v>
      </c>
      <c r="B258" s="252" t="s">
        <v>756</v>
      </c>
      <c r="C258" s="253">
        <v>30</v>
      </c>
      <c r="D258" s="484">
        <v>2620</v>
      </c>
      <c r="E258" s="328">
        <f t="shared" si="16"/>
        <v>78600</v>
      </c>
      <c r="F258" s="231" t="s">
        <v>532</v>
      </c>
      <c r="G258" s="231" t="s">
        <v>730</v>
      </c>
      <c r="H258" s="230" t="str">
        <f t="shared" si="17"/>
        <v>รายการใหม่ปรับแผน(ครึ่งปีหลัง)</v>
      </c>
      <c r="I258" s="180"/>
      <c r="J258" s="181"/>
      <c r="K258" s="181"/>
      <c r="L258" s="181"/>
      <c r="M258" s="181"/>
    </row>
    <row r="259" spans="1:13" ht="23.1" customHeight="1">
      <c r="A259" s="227">
        <v>252</v>
      </c>
      <c r="B259" s="252" t="s">
        <v>757</v>
      </c>
      <c r="C259" s="253">
        <v>10</v>
      </c>
      <c r="D259" s="484">
        <v>8900</v>
      </c>
      <c r="E259" s="328">
        <f t="shared" si="16"/>
        <v>89000</v>
      </c>
      <c r="F259" s="231" t="s">
        <v>532</v>
      </c>
      <c r="G259" s="231" t="s">
        <v>730</v>
      </c>
      <c r="H259" s="230" t="str">
        <f t="shared" si="17"/>
        <v>รายการใหม่ปรับแผน(ครึ่งปีหลัง)</v>
      </c>
      <c r="I259" s="180"/>
      <c r="J259" s="181"/>
      <c r="K259" s="181"/>
      <c r="L259" s="181"/>
      <c r="M259" s="181"/>
    </row>
    <row r="260" spans="1:13" ht="23.1" customHeight="1">
      <c r="A260" s="227">
        <v>253</v>
      </c>
      <c r="B260" s="252" t="s">
        <v>1047</v>
      </c>
      <c r="C260" s="253">
        <v>10</v>
      </c>
      <c r="D260" s="484">
        <v>16800</v>
      </c>
      <c r="E260" s="328">
        <f t="shared" si="16"/>
        <v>168000</v>
      </c>
      <c r="F260" s="231" t="s">
        <v>532</v>
      </c>
      <c r="G260" s="231" t="s">
        <v>730</v>
      </c>
      <c r="H260" s="230" t="str">
        <f t="shared" si="17"/>
        <v>รายการใหม่ปรับแผน(ครึ่งปีหลัง)</v>
      </c>
      <c r="I260" s="180"/>
      <c r="J260" s="181"/>
      <c r="K260" s="181"/>
      <c r="L260" s="181"/>
      <c r="M260" s="181"/>
    </row>
    <row r="261" spans="1:13" ht="23.1" customHeight="1">
      <c r="A261" s="227">
        <v>254</v>
      </c>
      <c r="B261" s="252" t="s">
        <v>758</v>
      </c>
      <c r="C261" s="253">
        <v>10</v>
      </c>
      <c r="D261" s="485">
        <v>5400</v>
      </c>
      <c r="E261" s="328">
        <f t="shared" si="16"/>
        <v>54000</v>
      </c>
      <c r="F261" s="231" t="s">
        <v>532</v>
      </c>
      <c r="G261" s="231" t="s">
        <v>730</v>
      </c>
      <c r="H261" s="230" t="str">
        <f t="shared" si="17"/>
        <v>รายการใหม่ปรับแผน(ครึ่งปีหลัง)</v>
      </c>
      <c r="I261" s="180"/>
      <c r="J261" s="181"/>
      <c r="K261" s="181"/>
      <c r="L261" s="181"/>
      <c r="M261" s="181"/>
    </row>
    <row r="262" spans="1:13" ht="23.1" customHeight="1">
      <c r="A262" s="227">
        <v>255</v>
      </c>
      <c r="B262" s="252" t="s">
        <v>759</v>
      </c>
      <c r="C262" s="253">
        <v>4</v>
      </c>
      <c r="D262" s="485">
        <v>22000</v>
      </c>
      <c r="E262" s="328">
        <f t="shared" si="16"/>
        <v>88000</v>
      </c>
      <c r="F262" s="231" t="s">
        <v>532</v>
      </c>
      <c r="G262" s="231" t="s">
        <v>730</v>
      </c>
      <c r="H262" s="230" t="str">
        <f t="shared" si="17"/>
        <v>รายการใหม่ปรับแผน(ครึ่งปีหลัง)</v>
      </c>
      <c r="I262" s="180"/>
      <c r="J262" s="181"/>
      <c r="K262" s="181"/>
      <c r="L262" s="181"/>
      <c r="M262" s="181"/>
    </row>
    <row r="263" spans="1:13" ht="23.1" customHeight="1">
      <c r="A263" s="227">
        <v>256</v>
      </c>
      <c r="B263" s="252" t="s">
        <v>760</v>
      </c>
      <c r="C263" s="253">
        <v>1</v>
      </c>
      <c r="D263" s="485">
        <v>10600</v>
      </c>
      <c r="E263" s="328">
        <f t="shared" si="16"/>
        <v>10600</v>
      </c>
      <c r="F263" s="231" t="s">
        <v>532</v>
      </c>
      <c r="G263" s="231" t="s">
        <v>730</v>
      </c>
      <c r="H263" s="230" t="str">
        <f t="shared" si="17"/>
        <v>รายการใหม่ปรับแผน(ครึ่งปีหลัง)</v>
      </c>
      <c r="I263" s="180"/>
      <c r="J263" s="181"/>
      <c r="K263" s="181"/>
      <c r="L263" s="181"/>
      <c r="M263" s="181"/>
    </row>
    <row r="264" spans="1:13" ht="23.1" customHeight="1">
      <c r="A264" s="227">
        <v>257</v>
      </c>
      <c r="B264" s="252" t="s">
        <v>761</v>
      </c>
      <c r="C264" s="253">
        <v>1</v>
      </c>
      <c r="D264" s="485">
        <v>24300</v>
      </c>
      <c r="E264" s="328">
        <f t="shared" si="16"/>
        <v>24300</v>
      </c>
      <c r="F264" s="231" t="s">
        <v>532</v>
      </c>
      <c r="G264" s="231" t="s">
        <v>730</v>
      </c>
      <c r="H264" s="230" t="str">
        <f t="shared" si="17"/>
        <v>รายการใหม่ปรับแผน(ครึ่งปีหลัง)</v>
      </c>
      <c r="I264" s="180"/>
      <c r="J264" s="181"/>
      <c r="K264" s="181"/>
      <c r="L264" s="181"/>
      <c r="M264" s="181"/>
    </row>
    <row r="265" spans="1:13" ht="23.1" customHeight="1">
      <c r="A265" s="227">
        <v>258</v>
      </c>
      <c r="B265" s="252" t="s">
        <v>762</v>
      </c>
      <c r="C265" s="253">
        <v>1</v>
      </c>
      <c r="D265" s="485">
        <v>10516</v>
      </c>
      <c r="E265" s="328">
        <f t="shared" si="16"/>
        <v>10516</v>
      </c>
      <c r="F265" s="231" t="s">
        <v>532</v>
      </c>
      <c r="G265" s="231" t="s">
        <v>730</v>
      </c>
      <c r="H265" s="230" t="str">
        <f t="shared" si="17"/>
        <v>รายการใหม่ปรับแผน(ครึ่งปีหลัง)</v>
      </c>
      <c r="I265" s="180"/>
      <c r="J265" s="181"/>
      <c r="K265" s="181"/>
      <c r="L265" s="181"/>
      <c r="M265" s="181"/>
    </row>
    <row r="266" spans="1:13" ht="23.1" customHeight="1">
      <c r="A266" s="227">
        <v>259</v>
      </c>
      <c r="B266" s="252" t="s">
        <v>763</v>
      </c>
      <c r="C266" s="253">
        <v>2</v>
      </c>
      <c r="D266" s="485">
        <v>1700</v>
      </c>
      <c r="E266" s="328">
        <f t="shared" si="16"/>
        <v>3400</v>
      </c>
      <c r="F266" s="231" t="s">
        <v>532</v>
      </c>
      <c r="G266" s="231" t="s">
        <v>730</v>
      </c>
      <c r="H266" s="230" t="str">
        <f t="shared" si="17"/>
        <v>รายการใหม่ปรับแผน(ครึ่งปีหลัง)</v>
      </c>
      <c r="I266" s="180"/>
      <c r="J266" s="181"/>
      <c r="K266" s="181"/>
      <c r="L266" s="181"/>
      <c r="M266" s="181"/>
    </row>
    <row r="267" spans="1:13" ht="23.1" customHeight="1">
      <c r="A267" s="227">
        <v>260</v>
      </c>
      <c r="B267" s="252" t="s">
        <v>764</v>
      </c>
      <c r="C267" s="253">
        <v>2</v>
      </c>
      <c r="D267" s="485">
        <v>1850</v>
      </c>
      <c r="E267" s="328">
        <f t="shared" si="16"/>
        <v>3700</v>
      </c>
      <c r="F267" s="231" t="s">
        <v>532</v>
      </c>
      <c r="G267" s="231" t="s">
        <v>730</v>
      </c>
      <c r="H267" s="230" t="str">
        <f t="shared" si="17"/>
        <v>รายการใหม่ปรับแผน(ครึ่งปีหลัง)</v>
      </c>
      <c r="I267" s="180"/>
      <c r="J267" s="181"/>
      <c r="K267" s="181"/>
      <c r="L267" s="181"/>
      <c r="M267" s="181"/>
    </row>
    <row r="268" spans="1:13" ht="23.1" customHeight="1">
      <c r="A268" s="227">
        <v>261</v>
      </c>
      <c r="B268" s="252" t="s">
        <v>765</v>
      </c>
      <c r="C268" s="253">
        <v>2</v>
      </c>
      <c r="D268" s="485">
        <v>3000</v>
      </c>
      <c r="E268" s="328">
        <f t="shared" si="16"/>
        <v>6000</v>
      </c>
      <c r="F268" s="231" t="s">
        <v>532</v>
      </c>
      <c r="G268" s="231" t="s">
        <v>730</v>
      </c>
      <c r="H268" s="230" t="str">
        <f t="shared" si="17"/>
        <v>รายการใหม่ปรับแผน(ครึ่งปีหลัง)</v>
      </c>
      <c r="I268" s="180"/>
      <c r="J268" s="181"/>
      <c r="K268" s="181"/>
      <c r="L268" s="181"/>
      <c r="M268" s="181"/>
    </row>
    <row r="269" spans="1:13" ht="23.1" customHeight="1">
      <c r="A269" s="227">
        <v>262</v>
      </c>
      <c r="B269" s="252" t="s">
        <v>766</v>
      </c>
      <c r="C269" s="253">
        <v>2</v>
      </c>
      <c r="D269" s="485">
        <v>919</v>
      </c>
      <c r="E269" s="328">
        <f t="shared" si="16"/>
        <v>1838</v>
      </c>
      <c r="F269" s="231" t="s">
        <v>532</v>
      </c>
      <c r="G269" s="231" t="s">
        <v>730</v>
      </c>
      <c r="H269" s="230" t="str">
        <f t="shared" si="17"/>
        <v>รายการใหม่ปรับแผน(ครึ่งปีหลัง)</v>
      </c>
      <c r="I269" s="180"/>
      <c r="J269" s="181"/>
      <c r="K269" s="181"/>
      <c r="L269" s="181"/>
      <c r="M269" s="181"/>
    </row>
    <row r="270" spans="1:13" ht="42">
      <c r="A270" s="227">
        <v>263</v>
      </c>
      <c r="B270" s="251" t="s">
        <v>767</v>
      </c>
      <c r="C270" s="490">
        <v>1</v>
      </c>
      <c r="D270" s="468">
        <v>450000</v>
      </c>
      <c r="E270" s="328">
        <f t="shared" si="16"/>
        <v>450000</v>
      </c>
      <c r="F270" s="231" t="s">
        <v>532</v>
      </c>
      <c r="G270" s="231" t="s">
        <v>730</v>
      </c>
      <c r="H270" s="230" t="str">
        <f t="shared" si="17"/>
        <v>รายการใหม่ปรับแผน(ครึ่งปีหลัง)</v>
      </c>
      <c r="I270" s="180"/>
      <c r="J270" s="181"/>
      <c r="K270" s="181"/>
      <c r="L270" s="181"/>
      <c r="M270" s="181"/>
    </row>
    <row r="271" spans="1:13" ht="23.1" customHeight="1">
      <c r="A271" s="227">
        <v>264</v>
      </c>
      <c r="B271" s="252" t="s">
        <v>768</v>
      </c>
      <c r="C271" s="253">
        <v>20</v>
      </c>
      <c r="D271" s="485">
        <v>2500</v>
      </c>
      <c r="E271" s="328">
        <f t="shared" si="16"/>
        <v>50000</v>
      </c>
      <c r="F271" s="231" t="s">
        <v>532</v>
      </c>
      <c r="G271" s="231" t="s">
        <v>730</v>
      </c>
      <c r="H271" s="230" t="str">
        <f t="shared" si="17"/>
        <v>รายการใหม่ปรับแผน(ครึ่งปีหลัง)</v>
      </c>
      <c r="I271" s="180"/>
      <c r="J271" s="181"/>
      <c r="K271" s="181"/>
      <c r="L271" s="181"/>
      <c r="M271" s="181"/>
    </row>
    <row r="272" spans="1:13" ht="23.1" customHeight="1">
      <c r="A272" s="227">
        <v>265</v>
      </c>
      <c r="B272" s="252" t="s">
        <v>769</v>
      </c>
      <c r="C272" s="253">
        <v>2</v>
      </c>
      <c r="D272" s="485">
        <v>1800</v>
      </c>
      <c r="E272" s="328">
        <f t="shared" si="16"/>
        <v>3600</v>
      </c>
      <c r="F272" s="231" t="s">
        <v>532</v>
      </c>
      <c r="G272" s="231" t="s">
        <v>730</v>
      </c>
      <c r="H272" s="230" t="str">
        <f t="shared" si="17"/>
        <v>รายการใหม่ปรับแผน(ครึ่งปีหลัง)</v>
      </c>
      <c r="I272" s="180"/>
      <c r="J272" s="181"/>
      <c r="K272" s="181"/>
      <c r="L272" s="181"/>
      <c r="M272" s="181"/>
    </row>
    <row r="273" spans="1:13" ht="23.1" customHeight="1">
      <c r="A273" s="227">
        <v>266</v>
      </c>
      <c r="B273" s="478" t="s">
        <v>965</v>
      </c>
      <c r="C273" s="479">
        <v>3</v>
      </c>
      <c r="D273" s="413">
        <v>6900</v>
      </c>
      <c r="E273" s="328">
        <f>+C273*D273</f>
        <v>20700</v>
      </c>
      <c r="F273" s="478" t="s">
        <v>418</v>
      </c>
      <c r="G273" s="231" t="s">
        <v>730</v>
      </c>
      <c r="H273" s="230" t="str">
        <f>+H226</f>
        <v>นอกแผนอนุมัติ เข้าแผน (ครึ่งปีหลัง)</v>
      </c>
      <c r="I273" s="180"/>
      <c r="J273" s="181"/>
      <c r="K273" s="181"/>
      <c r="L273" s="181"/>
      <c r="M273" s="181"/>
    </row>
    <row r="274" spans="1:13" ht="23.1" customHeight="1">
      <c r="A274" s="227">
        <v>267</v>
      </c>
      <c r="B274" s="478" t="s">
        <v>966</v>
      </c>
      <c r="C274" s="479">
        <v>1</v>
      </c>
      <c r="D274" s="413">
        <v>1980</v>
      </c>
      <c r="E274" s="328">
        <f t="shared" ref="E274:E315" si="18">+C274*D274</f>
        <v>1980</v>
      </c>
      <c r="F274" s="478" t="s">
        <v>472</v>
      </c>
      <c r="G274" s="231" t="s">
        <v>730</v>
      </c>
      <c r="H274" s="230" t="str">
        <f>+H273</f>
        <v>นอกแผนอนุมัติ เข้าแผน (ครึ่งปีหลัง)</v>
      </c>
      <c r="I274" s="180"/>
      <c r="J274" s="181"/>
      <c r="K274" s="181"/>
      <c r="L274" s="181"/>
      <c r="M274" s="181"/>
    </row>
    <row r="275" spans="1:13" ht="23.1" customHeight="1">
      <c r="A275" s="227">
        <v>268</v>
      </c>
      <c r="B275" s="315" t="s">
        <v>969</v>
      </c>
      <c r="C275" s="363">
        <v>2</v>
      </c>
      <c r="D275" s="421">
        <v>26500</v>
      </c>
      <c r="E275" s="328">
        <f t="shared" si="18"/>
        <v>53000</v>
      </c>
      <c r="F275" s="315" t="s">
        <v>472</v>
      </c>
      <c r="G275" s="231" t="s">
        <v>730</v>
      </c>
      <c r="H275" s="230" t="str">
        <f t="shared" ref="H275:H315" si="19">+H274</f>
        <v>นอกแผนอนุมัติ เข้าแผน (ครึ่งปีหลัง)</v>
      </c>
      <c r="I275" s="180"/>
      <c r="J275" s="181"/>
      <c r="K275" s="181"/>
      <c r="L275" s="181"/>
      <c r="M275" s="181"/>
    </row>
    <row r="276" spans="1:13" ht="23.1" customHeight="1">
      <c r="A276" s="227">
        <v>269</v>
      </c>
      <c r="B276" s="315" t="s">
        <v>1014</v>
      </c>
      <c r="C276" s="363">
        <v>2</v>
      </c>
      <c r="D276" s="421">
        <v>2320</v>
      </c>
      <c r="E276" s="328">
        <f t="shared" si="18"/>
        <v>4640</v>
      </c>
      <c r="F276" s="315" t="s">
        <v>472</v>
      </c>
      <c r="G276" s="231" t="s">
        <v>730</v>
      </c>
      <c r="H276" s="230" t="str">
        <f t="shared" si="19"/>
        <v>นอกแผนอนุมัติ เข้าแผน (ครึ่งปีหลัง)</v>
      </c>
      <c r="I276" s="180"/>
      <c r="J276" s="181"/>
      <c r="K276" s="181"/>
      <c r="L276" s="181"/>
      <c r="M276" s="181"/>
    </row>
    <row r="277" spans="1:13" ht="23.1" customHeight="1">
      <c r="A277" s="227">
        <v>270</v>
      </c>
      <c r="B277" s="315" t="s">
        <v>1015</v>
      </c>
      <c r="C277" s="363">
        <v>1</v>
      </c>
      <c r="D277" s="421">
        <v>4290</v>
      </c>
      <c r="E277" s="328">
        <f t="shared" si="18"/>
        <v>4290</v>
      </c>
      <c r="F277" s="315" t="s">
        <v>472</v>
      </c>
      <c r="G277" s="231" t="s">
        <v>730</v>
      </c>
      <c r="H277" s="230" t="str">
        <f t="shared" si="19"/>
        <v>นอกแผนอนุมัติ เข้าแผน (ครึ่งปีหลัง)</v>
      </c>
      <c r="I277" s="180"/>
      <c r="J277" s="181"/>
      <c r="K277" s="181"/>
      <c r="L277" s="181"/>
      <c r="M277" s="181"/>
    </row>
    <row r="278" spans="1:13" ht="23.1" customHeight="1">
      <c r="A278" s="227">
        <v>271</v>
      </c>
      <c r="B278" s="315" t="s">
        <v>1016</v>
      </c>
      <c r="C278" s="363">
        <v>1</v>
      </c>
      <c r="D278" s="421">
        <v>5500</v>
      </c>
      <c r="E278" s="328">
        <f t="shared" si="18"/>
        <v>5500</v>
      </c>
      <c r="F278" s="315" t="s">
        <v>472</v>
      </c>
      <c r="G278" s="231" t="s">
        <v>730</v>
      </c>
      <c r="H278" s="230" t="str">
        <f t="shared" si="19"/>
        <v>นอกแผนอนุมัติ เข้าแผน (ครึ่งปีหลัง)</v>
      </c>
      <c r="I278" s="180"/>
      <c r="J278" s="181"/>
      <c r="K278" s="181"/>
      <c r="L278" s="181"/>
      <c r="M278" s="181"/>
    </row>
    <row r="279" spans="1:13" ht="23.1" customHeight="1">
      <c r="A279" s="227">
        <v>272</v>
      </c>
      <c r="B279" s="478" t="s">
        <v>969</v>
      </c>
      <c r="C279" s="479">
        <v>1</v>
      </c>
      <c r="D279" s="413">
        <v>26500</v>
      </c>
      <c r="E279" s="328">
        <f t="shared" si="18"/>
        <v>26500</v>
      </c>
      <c r="F279" s="478" t="s">
        <v>472</v>
      </c>
      <c r="G279" s="231" t="s">
        <v>730</v>
      </c>
      <c r="H279" s="230" t="str">
        <f t="shared" si="19"/>
        <v>นอกแผนอนุมัติ เข้าแผน (ครึ่งปีหลัง)</v>
      </c>
      <c r="I279" s="180"/>
      <c r="J279" s="181"/>
      <c r="K279" s="181"/>
      <c r="L279" s="181"/>
      <c r="M279" s="181"/>
    </row>
    <row r="280" spans="1:13" ht="23.1" customHeight="1">
      <c r="A280" s="227">
        <v>273</v>
      </c>
      <c r="B280" s="478" t="s">
        <v>1017</v>
      </c>
      <c r="C280" s="479">
        <v>1</v>
      </c>
      <c r="D280" s="413">
        <v>2320</v>
      </c>
      <c r="E280" s="328">
        <f t="shared" si="18"/>
        <v>2320</v>
      </c>
      <c r="F280" s="478" t="s">
        <v>472</v>
      </c>
      <c r="G280" s="231" t="s">
        <v>730</v>
      </c>
      <c r="H280" s="230" t="str">
        <f t="shared" si="19"/>
        <v>นอกแผนอนุมัติ เข้าแผน (ครึ่งปีหลัง)</v>
      </c>
      <c r="I280" s="180"/>
      <c r="J280" s="181"/>
      <c r="K280" s="181"/>
      <c r="L280" s="181"/>
      <c r="M280" s="181"/>
    </row>
    <row r="281" spans="1:13" ht="23.1" customHeight="1">
      <c r="A281" s="227">
        <v>274</v>
      </c>
      <c r="B281" s="478" t="s">
        <v>1018</v>
      </c>
      <c r="C281" s="479">
        <v>1</v>
      </c>
      <c r="D281" s="413">
        <v>7700</v>
      </c>
      <c r="E281" s="328">
        <f t="shared" si="18"/>
        <v>7700</v>
      </c>
      <c r="F281" s="478" t="s">
        <v>472</v>
      </c>
      <c r="G281" s="231" t="s">
        <v>730</v>
      </c>
      <c r="H281" s="230" t="str">
        <f t="shared" si="19"/>
        <v>นอกแผนอนุมัติ เข้าแผน (ครึ่งปีหลัง)</v>
      </c>
      <c r="I281" s="180"/>
      <c r="J281" s="181"/>
      <c r="K281" s="181"/>
      <c r="L281" s="181"/>
      <c r="M281" s="181"/>
    </row>
    <row r="282" spans="1:13" ht="23.1" customHeight="1">
      <c r="A282" s="227">
        <v>275</v>
      </c>
      <c r="B282" s="478" t="s">
        <v>1019</v>
      </c>
      <c r="C282" s="479">
        <v>1</v>
      </c>
      <c r="D282" s="413">
        <v>26500</v>
      </c>
      <c r="E282" s="328">
        <f t="shared" si="18"/>
        <v>26500</v>
      </c>
      <c r="F282" s="478" t="s">
        <v>981</v>
      </c>
      <c r="G282" s="231" t="s">
        <v>730</v>
      </c>
      <c r="H282" s="230" t="str">
        <f t="shared" si="19"/>
        <v>นอกแผนอนุมัติ เข้าแผน (ครึ่งปีหลัง)</v>
      </c>
      <c r="I282" s="180"/>
      <c r="J282" s="181"/>
      <c r="K282" s="181"/>
      <c r="L282" s="181"/>
      <c r="M282" s="181"/>
    </row>
    <row r="283" spans="1:13" ht="23.1" customHeight="1">
      <c r="A283" s="227">
        <v>276</v>
      </c>
      <c r="B283" s="478" t="s">
        <v>1014</v>
      </c>
      <c r="C283" s="479">
        <v>1</v>
      </c>
      <c r="D283" s="413">
        <v>2320</v>
      </c>
      <c r="E283" s="328">
        <f t="shared" si="18"/>
        <v>2320</v>
      </c>
      <c r="F283" s="478" t="s">
        <v>981</v>
      </c>
      <c r="G283" s="231" t="s">
        <v>730</v>
      </c>
      <c r="H283" s="230" t="str">
        <f t="shared" si="19"/>
        <v>นอกแผนอนุมัติ เข้าแผน (ครึ่งปีหลัง)</v>
      </c>
      <c r="I283" s="180"/>
      <c r="J283" s="181"/>
      <c r="K283" s="181"/>
      <c r="L283" s="181"/>
      <c r="M283" s="181"/>
    </row>
    <row r="284" spans="1:13" ht="42">
      <c r="A284" s="227">
        <v>277</v>
      </c>
      <c r="B284" s="260" t="s">
        <v>967</v>
      </c>
      <c r="C284" s="414">
        <v>1</v>
      </c>
      <c r="D284" s="415">
        <v>8990</v>
      </c>
      <c r="E284" s="328">
        <f t="shared" si="18"/>
        <v>8990</v>
      </c>
      <c r="F284" s="260" t="s">
        <v>949</v>
      </c>
      <c r="G284" s="231" t="s">
        <v>730</v>
      </c>
      <c r="H284" s="230" t="str">
        <f t="shared" si="19"/>
        <v>นอกแผนอนุมัติ เข้าแผน (ครึ่งปีหลัง)</v>
      </c>
      <c r="I284" s="180"/>
      <c r="J284" s="181"/>
      <c r="K284" s="181"/>
      <c r="L284" s="181"/>
      <c r="M284" s="181"/>
    </row>
    <row r="285" spans="1:13" ht="21.95" customHeight="1">
      <c r="A285" s="227">
        <v>278</v>
      </c>
      <c r="B285" s="390" t="s">
        <v>968</v>
      </c>
      <c r="C285" s="479">
        <v>8</v>
      </c>
      <c r="D285" s="485">
        <v>3960</v>
      </c>
      <c r="E285" s="328">
        <f t="shared" si="18"/>
        <v>31680</v>
      </c>
      <c r="F285" s="479" t="s">
        <v>955</v>
      </c>
      <c r="G285" s="231" t="s">
        <v>730</v>
      </c>
      <c r="H285" s="230" t="str">
        <f t="shared" si="19"/>
        <v>นอกแผนอนุมัติ เข้าแผน (ครึ่งปีหลัง)</v>
      </c>
      <c r="I285" s="180"/>
      <c r="J285" s="181"/>
      <c r="K285" s="181"/>
      <c r="L285" s="181"/>
      <c r="M285" s="181"/>
    </row>
    <row r="286" spans="1:13" ht="21.95" customHeight="1">
      <c r="A286" s="227">
        <v>279</v>
      </c>
      <c r="B286" s="216" t="s">
        <v>969</v>
      </c>
      <c r="C286" s="215">
        <v>1</v>
      </c>
      <c r="D286" s="485">
        <v>28820</v>
      </c>
      <c r="E286" s="328">
        <f t="shared" si="18"/>
        <v>28820</v>
      </c>
      <c r="F286" s="216" t="s">
        <v>422</v>
      </c>
      <c r="G286" s="231" t="s">
        <v>730</v>
      </c>
      <c r="H286" s="230" t="str">
        <f t="shared" si="19"/>
        <v>นอกแผนอนุมัติ เข้าแผน (ครึ่งปีหลัง)</v>
      </c>
      <c r="I286" s="180"/>
      <c r="J286" s="181"/>
      <c r="K286" s="181"/>
      <c r="L286" s="181"/>
      <c r="M286" s="181"/>
    </row>
    <row r="287" spans="1:13" ht="21.95" customHeight="1">
      <c r="A287" s="227">
        <v>280</v>
      </c>
      <c r="B287" s="478" t="s">
        <v>1019</v>
      </c>
      <c r="C287" s="479">
        <v>1</v>
      </c>
      <c r="D287" s="413">
        <v>26500</v>
      </c>
      <c r="E287" s="328">
        <f t="shared" si="18"/>
        <v>26500</v>
      </c>
      <c r="F287" s="478" t="s">
        <v>956</v>
      </c>
      <c r="G287" s="231" t="s">
        <v>730</v>
      </c>
      <c r="H287" s="230" t="str">
        <f t="shared" si="19"/>
        <v>นอกแผนอนุมัติ เข้าแผน (ครึ่งปีหลัง)</v>
      </c>
      <c r="I287" s="180"/>
      <c r="J287" s="181"/>
      <c r="K287" s="181"/>
      <c r="L287" s="181"/>
      <c r="M287" s="181"/>
    </row>
    <row r="288" spans="1:13" ht="21.95" customHeight="1">
      <c r="A288" s="227">
        <v>281</v>
      </c>
      <c r="B288" s="478" t="s">
        <v>1014</v>
      </c>
      <c r="C288" s="479">
        <v>1</v>
      </c>
      <c r="D288" s="413">
        <v>2320</v>
      </c>
      <c r="E288" s="328">
        <f t="shared" si="18"/>
        <v>2320</v>
      </c>
      <c r="F288" s="478" t="s">
        <v>956</v>
      </c>
      <c r="G288" s="231" t="s">
        <v>730</v>
      </c>
      <c r="H288" s="230" t="str">
        <f t="shared" si="19"/>
        <v>นอกแผนอนุมัติ เข้าแผน (ครึ่งปีหลัง)</v>
      </c>
      <c r="I288" s="180"/>
      <c r="J288" s="181"/>
      <c r="K288" s="181"/>
      <c r="L288" s="181"/>
      <c r="M288" s="181"/>
    </row>
    <row r="289" spans="1:13" ht="21.95" customHeight="1">
      <c r="A289" s="227">
        <v>282</v>
      </c>
      <c r="B289" s="478" t="s">
        <v>1020</v>
      </c>
      <c r="C289" s="479">
        <v>1</v>
      </c>
      <c r="D289" s="413">
        <v>6900</v>
      </c>
      <c r="E289" s="328">
        <f t="shared" si="18"/>
        <v>6900</v>
      </c>
      <c r="F289" s="478" t="s">
        <v>957</v>
      </c>
      <c r="G289" s="231" t="s">
        <v>730</v>
      </c>
      <c r="H289" s="230" t="str">
        <f t="shared" si="19"/>
        <v>นอกแผนอนุมัติ เข้าแผน (ครึ่งปีหลัง)</v>
      </c>
      <c r="I289" s="180"/>
      <c r="J289" s="181"/>
      <c r="K289" s="181"/>
      <c r="L289" s="181"/>
      <c r="M289" s="181"/>
    </row>
    <row r="290" spans="1:13" ht="21.95" customHeight="1">
      <c r="A290" s="227">
        <v>283</v>
      </c>
      <c r="B290" s="478" t="s">
        <v>468</v>
      </c>
      <c r="C290" s="479">
        <v>1</v>
      </c>
      <c r="D290" s="413">
        <v>10900</v>
      </c>
      <c r="E290" s="328">
        <f t="shared" si="18"/>
        <v>10900</v>
      </c>
      <c r="F290" s="478" t="s">
        <v>957</v>
      </c>
      <c r="G290" s="231" t="s">
        <v>730</v>
      </c>
      <c r="H290" s="230" t="str">
        <f t="shared" si="19"/>
        <v>นอกแผนอนุมัติ เข้าแผน (ครึ่งปีหลัง)</v>
      </c>
      <c r="I290" s="180"/>
      <c r="J290" s="181"/>
      <c r="K290" s="181"/>
      <c r="L290" s="181"/>
      <c r="M290" s="181"/>
    </row>
    <row r="291" spans="1:13" ht="21.95" customHeight="1">
      <c r="A291" s="227">
        <v>284</v>
      </c>
      <c r="B291" s="478" t="s">
        <v>970</v>
      </c>
      <c r="C291" s="479">
        <v>1</v>
      </c>
      <c r="D291" s="413">
        <v>65000</v>
      </c>
      <c r="E291" s="328">
        <f t="shared" si="18"/>
        <v>65000</v>
      </c>
      <c r="F291" s="478" t="s">
        <v>982</v>
      </c>
      <c r="G291" s="231" t="s">
        <v>730</v>
      </c>
      <c r="H291" s="230" t="str">
        <f t="shared" si="19"/>
        <v>นอกแผนอนุมัติ เข้าแผน (ครึ่งปีหลัง)</v>
      </c>
      <c r="I291" s="180"/>
      <c r="J291" s="181"/>
      <c r="K291" s="181"/>
      <c r="L291" s="181"/>
      <c r="M291" s="181"/>
    </row>
    <row r="292" spans="1:13" ht="21.95" customHeight="1">
      <c r="A292" s="227">
        <v>285</v>
      </c>
      <c r="B292" s="478" t="s">
        <v>1021</v>
      </c>
      <c r="C292" s="479">
        <v>1</v>
      </c>
      <c r="D292" s="413">
        <v>19200</v>
      </c>
      <c r="E292" s="328">
        <f t="shared" si="18"/>
        <v>19200</v>
      </c>
      <c r="F292" s="478" t="s">
        <v>584</v>
      </c>
      <c r="G292" s="231" t="s">
        <v>730</v>
      </c>
      <c r="H292" s="230" t="str">
        <f t="shared" si="19"/>
        <v>นอกแผนอนุมัติ เข้าแผน (ครึ่งปีหลัง)</v>
      </c>
      <c r="I292" s="180"/>
      <c r="J292" s="181"/>
      <c r="K292" s="181"/>
      <c r="L292" s="181"/>
      <c r="M292" s="181"/>
    </row>
    <row r="293" spans="1:13" ht="21.95" customHeight="1">
      <c r="A293" s="227">
        <v>286</v>
      </c>
      <c r="B293" s="478" t="s">
        <v>1022</v>
      </c>
      <c r="C293" s="479">
        <v>1</v>
      </c>
      <c r="D293" s="413">
        <v>19200</v>
      </c>
      <c r="E293" s="328">
        <f t="shared" si="18"/>
        <v>19200</v>
      </c>
      <c r="F293" s="478" t="s">
        <v>584</v>
      </c>
      <c r="G293" s="231" t="s">
        <v>730</v>
      </c>
      <c r="H293" s="230" t="str">
        <f t="shared" si="19"/>
        <v>นอกแผนอนุมัติ เข้าแผน (ครึ่งปีหลัง)</v>
      </c>
      <c r="I293" s="180"/>
      <c r="J293" s="181"/>
      <c r="K293" s="181"/>
      <c r="L293" s="181"/>
      <c r="M293" s="181"/>
    </row>
    <row r="294" spans="1:13" ht="21.95" customHeight="1">
      <c r="A294" s="227">
        <v>287</v>
      </c>
      <c r="B294" s="478" t="s">
        <v>1023</v>
      </c>
      <c r="C294" s="479">
        <v>1</v>
      </c>
      <c r="D294" s="413">
        <v>19200</v>
      </c>
      <c r="E294" s="328">
        <f t="shared" si="18"/>
        <v>19200</v>
      </c>
      <c r="F294" s="478" t="s">
        <v>584</v>
      </c>
      <c r="G294" s="231" t="s">
        <v>730</v>
      </c>
      <c r="H294" s="230" t="str">
        <f t="shared" si="19"/>
        <v>นอกแผนอนุมัติ เข้าแผน (ครึ่งปีหลัง)</v>
      </c>
      <c r="I294" s="180"/>
      <c r="J294" s="181"/>
      <c r="K294" s="181"/>
      <c r="L294" s="181"/>
      <c r="M294" s="181"/>
    </row>
    <row r="295" spans="1:13" ht="21.95" customHeight="1">
      <c r="A295" s="227">
        <v>288</v>
      </c>
      <c r="B295" s="478" t="s">
        <v>1024</v>
      </c>
      <c r="C295" s="479">
        <v>2</v>
      </c>
      <c r="D295" s="413">
        <v>11750</v>
      </c>
      <c r="E295" s="328">
        <f t="shared" si="18"/>
        <v>23500</v>
      </c>
      <c r="F295" s="478" t="s">
        <v>584</v>
      </c>
      <c r="G295" s="231" t="s">
        <v>730</v>
      </c>
      <c r="H295" s="230" t="str">
        <f t="shared" si="19"/>
        <v>นอกแผนอนุมัติ เข้าแผน (ครึ่งปีหลัง)</v>
      </c>
      <c r="I295" s="180"/>
      <c r="J295" s="181"/>
      <c r="K295" s="181"/>
      <c r="L295" s="181"/>
      <c r="M295" s="181"/>
    </row>
    <row r="296" spans="1:13" ht="21.95" customHeight="1">
      <c r="A296" s="227">
        <v>289</v>
      </c>
      <c r="B296" s="478" t="s">
        <v>1025</v>
      </c>
      <c r="C296" s="479">
        <v>1</v>
      </c>
      <c r="D296" s="413">
        <v>6600</v>
      </c>
      <c r="E296" s="328">
        <f t="shared" si="18"/>
        <v>6600</v>
      </c>
      <c r="F296" s="478" t="s">
        <v>584</v>
      </c>
      <c r="G296" s="231" t="s">
        <v>730</v>
      </c>
      <c r="H296" s="230" t="str">
        <f t="shared" si="19"/>
        <v>นอกแผนอนุมัติ เข้าแผน (ครึ่งปีหลัง)</v>
      </c>
      <c r="I296" s="180"/>
      <c r="J296" s="181"/>
      <c r="K296" s="181"/>
      <c r="L296" s="181"/>
      <c r="M296" s="181"/>
    </row>
    <row r="297" spans="1:13" ht="21.95" customHeight="1">
      <c r="A297" s="227">
        <v>290</v>
      </c>
      <c r="B297" s="478" t="s">
        <v>1026</v>
      </c>
      <c r="C297" s="479">
        <v>1</v>
      </c>
      <c r="D297" s="413">
        <v>5000</v>
      </c>
      <c r="E297" s="328">
        <f t="shared" si="18"/>
        <v>5000</v>
      </c>
      <c r="F297" s="478" t="s">
        <v>584</v>
      </c>
      <c r="G297" s="231" t="s">
        <v>730</v>
      </c>
      <c r="H297" s="230" t="str">
        <f t="shared" si="19"/>
        <v>นอกแผนอนุมัติ เข้าแผน (ครึ่งปีหลัง)</v>
      </c>
      <c r="I297" s="180"/>
      <c r="J297" s="181"/>
      <c r="K297" s="181"/>
      <c r="L297" s="181"/>
      <c r="M297" s="181"/>
    </row>
    <row r="298" spans="1:13" ht="21.95" customHeight="1">
      <c r="A298" s="227">
        <v>291</v>
      </c>
      <c r="B298" s="478" t="s">
        <v>1027</v>
      </c>
      <c r="C298" s="479">
        <v>1</v>
      </c>
      <c r="D298" s="413">
        <v>2650</v>
      </c>
      <c r="E298" s="328">
        <f t="shared" si="18"/>
        <v>2650</v>
      </c>
      <c r="F298" s="478" t="s">
        <v>584</v>
      </c>
      <c r="G298" s="231" t="s">
        <v>730</v>
      </c>
      <c r="H298" s="230" t="str">
        <f t="shared" si="19"/>
        <v>นอกแผนอนุมัติ เข้าแผน (ครึ่งปีหลัง)</v>
      </c>
      <c r="I298" s="180"/>
      <c r="J298" s="181"/>
      <c r="K298" s="181"/>
      <c r="L298" s="181"/>
      <c r="M298" s="181"/>
    </row>
    <row r="299" spans="1:13" ht="21.95" customHeight="1">
      <c r="A299" s="227">
        <v>292</v>
      </c>
      <c r="B299" s="478" t="s">
        <v>971</v>
      </c>
      <c r="C299" s="479">
        <v>8</v>
      </c>
      <c r="D299" s="413">
        <v>23125</v>
      </c>
      <c r="E299" s="328">
        <f t="shared" si="18"/>
        <v>185000</v>
      </c>
      <c r="F299" s="478" t="s">
        <v>416</v>
      </c>
      <c r="G299" s="231" t="s">
        <v>730</v>
      </c>
      <c r="H299" s="230" t="str">
        <f t="shared" si="19"/>
        <v>นอกแผนอนุมัติ เข้าแผน (ครึ่งปีหลัง)</v>
      </c>
      <c r="I299" s="180"/>
      <c r="J299" s="181"/>
      <c r="K299" s="181"/>
      <c r="L299" s="181"/>
      <c r="M299" s="181"/>
    </row>
    <row r="300" spans="1:13" ht="21.95" customHeight="1">
      <c r="A300" s="227">
        <v>293</v>
      </c>
      <c r="B300" s="478" t="s">
        <v>972</v>
      </c>
      <c r="C300" s="479">
        <v>3</v>
      </c>
      <c r="D300" s="413">
        <v>172805</v>
      </c>
      <c r="E300" s="328">
        <f t="shared" si="18"/>
        <v>518415</v>
      </c>
      <c r="F300" s="478" t="s">
        <v>584</v>
      </c>
      <c r="G300" s="231" t="s">
        <v>730</v>
      </c>
      <c r="H300" s="230" t="str">
        <f t="shared" si="19"/>
        <v>นอกแผนอนุมัติ เข้าแผน (ครึ่งปีหลัง)</v>
      </c>
      <c r="I300" s="180"/>
      <c r="J300" s="181"/>
      <c r="K300" s="181"/>
      <c r="L300" s="181"/>
      <c r="M300" s="181"/>
    </row>
    <row r="301" spans="1:13" ht="21.95" customHeight="1">
      <c r="A301" s="227">
        <v>294</v>
      </c>
      <c r="B301" s="315" t="s">
        <v>973</v>
      </c>
      <c r="C301" s="363">
        <v>1</v>
      </c>
      <c r="D301" s="421">
        <v>10690</v>
      </c>
      <c r="E301" s="328">
        <f t="shared" si="18"/>
        <v>10690</v>
      </c>
      <c r="F301" s="315" t="s">
        <v>584</v>
      </c>
      <c r="G301" s="231" t="s">
        <v>730</v>
      </c>
      <c r="H301" s="230" t="str">
        <f t="shared" si="19"/>
        <v>นอกแผนอนุมัติ เข้าแผน (ครึ่งปีหลัง)</v>
      </c>
      <c r="I301" s="180"/>
      <c r="J301" s="181"/>
      <c r="K301" s="181"/>
      <c r="L301" s="181"/>
      <c r="M301" s="181"/>
    </row>
    <row r="302" spans="1:13" ht="21.95" customHeight="1">
      <c r="A302" s="227">
        <v>295</v>
      </c>
      <c r="B302" s="478" t="s">
        <v>974</v>
      </c>
      <c r="C302" s="479">
        <v>2</v>
      </c>
      <c r="D302" s="413">
        <v>17560</v>
      </c>
      <c r="E302" s="328">
        <f t="shared" si="18"/>
        <v>35120</v>
      </c>
      <c r="F302" s="478" t="s">
        <v>584</v>
      </c>
      <c r="G302" s="231" t="s">
        <v>730</v>
      </c>
      <c r="H302" s="230" t="str">
        <f t="shared" si="19"/>
        <v>นอกแผนอนุมัติ เข้าแผน (ครึ่งปีหลัง)</v>
      </c>
      <c r="I302" s="180"/>
      <c r="J302" s="181"/>
      <c r="K302" s="181"/>
      <c r="L302" s="181"/>
      <c r="M302" s="181"/>
    </row>
    <row r="303" spans="1:13" ht="21.95" customHeight="1">
      <c r="A303" s="227">
        <v>296</v>
      </c>
      <c r="B303" s="478" t="s">
        <v>975</v>
      </c>
      <c r="C303" s="479">
        <v>4</v>
      </c>
      <c r="D303" s="413">
        <v>16800</v>
      </c>
      <c r="E303" s="328">
        <f t="shared" si="18"/>
        <v>67200</v>
      </c>
      <c r="F303" s="478" t="s">
        <v>584</v>
      </c>
      <c r="G303" s="231" t="s">
        <v>730</v>
      </c>
      <c r="H303" s="230" t="str">
        <f t="shared" si="19"/>
        <v>นอกแผนอนุมัติ เข้าแผน (ครึ่งปีหลัง)</v>
      </c>
      <c r="I303" s="180"/>
      <c r="J303" s="181"/>
      <c r="K303" s="181"/>
      <c r="L303" s="181"/>
      <c r="M303" s="181"/>
    </row>
    <row r="304" spans="1:13" ht="21.95" customHeight="1">
      <c r="A304" s="227">
        <v>297</v>
      </c>
      <c r="B304" s="478" t="s">
        <v>976</v>
      </c>
      <c r="C304" s="479">
        <v>1</v>
      </c>
      <c r="D304" s="413">
        <v>62076.05</v>
      </c>
      <c r="E304" s="328">
        <f t="shared" si="18"/>
        <v>62076.05</v>
      </c>
      <c r="F304" s="260" t="s">
        <v>584</v>
      </c>
      <c r="G304" s="231" t="s">
        <v>730</v>
      </c>
      <c r="H304" s="230" t="str">
        <f t="shared" si="19"/>
        <v>นอกแผนอนุมัติ เข้าแผน (ครึ่งปีหลัง)</v>
      </c>
      <c r="I304" s="180"/>
      <c r="J304" s="181"/>
      <c r="K304" s="181"/>
      <c r="L304" s="181"/>
      <c r="M304" s="181"/>
    </row>
    <row r="305" spans="1:13" ht="21.95" customHeight="1">
      <c r="A305" s="227">
        <v>298</v>
      </c>
      <c r="B305" s="478" t="s">
        <v>977</v>
      </c>
      <c r="C305" s="479">
        <v>3</v>
      </c>
      <c r="D305" s="413">
        <v>15943</v>
      </c>
      <c r="E305" s="328">
        <f t="shared" si="18"/>
        <v>47829</v>
      </c>
      <c r="F305" s="478" t="s">
        <v>584</v>
      </c>
      <c r="G305" s="231" t="s">
        <v>730</v>
      </c>
      <c r="H305" s="230" t="str">
        <f t="shared" si="19"/>
        <v>นอกแผนอนุมัติ เข้าแผน (ครึ่งปีหลัง)</v>
      </c>
      <c r="I305" s="180"/>
      <c r="J305" s="181"/>
      <c r="K305" s="181"/>
      <c r="L305" s="181"/>
      <c r="M305" s="181"/>
    </row>
    <row r="306" spans="1:13" ht="21.95" customHeight="1">
      <c r="A306" s="227">
        <v>299</v>
      </c>
      <c r="B306" s="478" t="s">
        <v>978</v>
      </c>
      <c r="C306" s="479">
        <v>2</v>
      </c>
      <c r="D306" s="413">
        <v>7220</v>
      </c>
      <c r="E306" s="328">
        <f t="shared" si="18"/>
        <v>14440</v>
      </c>
      <c r="F306" s="478" t="s">
        <v>584</v>
      </c>
      <c r="G306" s="231" t="s">
        <v>730</v>
      </c>
      <c r="H306" s="230" t="str">
        <f t="shared" si="19"/>
        <v>นอกแผนอนุมัติ เข้าแผน (ครึ่งปีหลัง)</v>
      </c>
      <c r="I306" s="180"/>
      <c r="J306" s="181"/>
      <c r="K306" s="181"/>
      <c r="L306" s="181"/>
      <c r="M306" s="181"/>
    </row>
    <row r="307" spans="1:13" ht="21.95" customHeight="1">
      <c r="A307" s="227">
        <v>300</v>
      </c>
      <c r="B307" s="478" t="s">
        <v>979</v>
      </c>
      <c r="C307" s="479">
        <v>3</v>
      </c>
      <c r="D307" s="413">
        <v>19973.333333333332</v>
      </c>
      <c r="E307" s="328">
        <f t="shared" si="18"/>
        <v>59920</v>
      </c>
      <c r="F307" s="478" t="s">
        <v>584</v>
      </c>
      <c r="G307" s="231" t="s">
        <v>730</v>
      </c>
      <c r="H307" s="230" t="str">
        <f t="shared" si="19"/>
        <v>นอกแผนอนุมัติ เข้าแผน (ครึ่งปีหลัง)</v>
      </c>
      <c r="I307" s="180"/>
      <c r="J307" s="181"/>
      <c r="K307" s="181"/>
      <c r="L307" s="181"/>
      <c r="M307" s="181"/>
    </row>
    <row r="308" spans="1:13" ht="21.95" customHeight="1">
      <c r="A308" s="227">
        <v>301</v>
      </c>
      <c r="B308" s="478" t="s">
        <v>1029</v>
      </c>
      <c r="C308" s="479">
        <v>5</v>
      </c>
      <c r="D308" s="413">
        <v>8100</v>
      </c>
      <c r="E308" s="328">
        <f t="shared" si="18"/>
        <v>40500</v>
      </c>
      <c r="F308" s="478" t="s">
        <v>584</v>
      </c>
      <c r="G308" s="231" t="s">
        <v>730</v>
      </c>
      <c r="H308" s="230" t="str">
        <f t="shared" si="19"/>
        <v>นอกแผนอนุมัติ เข้าแผน (ครึ่งปีหลัง)</v>
      </c>
      <c r="I308" s="180"/>
      <c r="J308" s="181"/>
      <c r="K308" s="181"/>
      <c r="L308" s="181"/>
      <c r="M308" s="181"/>
    </row>
    <row r="309" spans="1:13" ht="21.95" customHeight="1">
      <c r="A309" s="227">
        <v>302</v>
      </c>
      <c r="B309" s="478" t="s">
        <v>980</v>
      </c>
      <c r="C309" s="479">
        <v>1</v>
      </c>
      <c r="D309" s="413">
        <v>17140</v>
      </c>
      <c r="E309" s="328">
        <f t="shared" si="18"/>
        <v>17140</v>
      </c>
      <c r="F309" s="478" t="s">
        <v>467</v>
      </c>
      <c r="G309" s="231" t="s">
        <v>730</v>
      </c>
      <c r="H309" s="230" t="str">
        <f t="shared" si="19"/>
        <v>นอกแผนอนุมัติ เข้าแผน (ครึ่งปีหลัง)</v>
      </c>
      <c r="I309" s="180"/>
      <c r="J309" s="181"/>
      <c r="K309" s="181"/>
      <c r="L309" s="181"/>
      <c r="M309" s="181"/>
    </row>
    <row r="310" spans="1:13" ht="21.95" customHeight="1">
      <c r="A310" s="227">
        <v>303</v>
      </c>
      <c r="B310" s="260" t="s">
        <v>969</v>
      </c>
      <c r="C310" s="414">
        <v>9</v>
      </c>
      <c r="D310" s="415">
        <v>24900</v>
      </c>
      <c r="E310" s="328">
        <f t="shared" si="18"/>
        <v>224100</v>
      </c>
      <c r="F310" s="260" t="s">
        <v>961</v>
      </c>
      <c r="G310" s="231" t="s">
        <v>730</v>
      </c>
      <c r="H310" s="230" t="str">
        <f t="shared" si="19"/>
        <v>นอกแผนอนุมัติ เข้าแผน (ครึ่งปีหลัง)</v>
      </c>
      <c r="I310" s="180"/>
      <c r="J310" s="181"/>
      <c r="K310" s="181"/>
      <c r="L310" s="181"/>
      <c r="M310" s="181"/>
    </row>
    <row r="311" spans="1:13" ht="21.95" customHeight="1">
      <c r="A311" s="227">
        <v>304</v>
      </c>
      <c r="B311" s="478" t="s">
        <v>1019</v>
      </c>
      <c r="C311" s="479">
        <v>1</v>
      </c>
      <c r="D311" s="413">
        <v>26500</v>
      </c>
      <c r="E311" s="328">
        <f t="shared" si="18"/>
        <v>26500</v>
      </c>
      <c r="F311" s="478" t="s">
        <v>983</v>
      </c>
      <c r="G311" s="231" t="s">
        <v>730</v>
      </c>
      <c r="H311" s="230" t="str">
        <f t="shared" si="19"/>
        <v>นอกแผนอนุมัติ เข้าแผน (ครึ่งปีหลัง)</v>
      </c>
      <c r="I311" s="180"/>
      <c r="J311" s="181"/>
      <c r="K311" s="181"/>
      <c r="L311" s="181"/>
      <c r="M311" s="181"/>
    </row>
    <row r="312" spans="1:13" ht="21.95" customHeight="1">
      <c r="A312" s="227">
        <v>305</v>
      </c>
      <c r="B312" s="478" t="s">
        <v>1014</v>
      </c>
      <c r="C312" s="479">
        <v>1</v>
      </c>
      <c r="D312" s="413">
        <v>2320</v>
      </c>
      <c r="E312" s="328">
        <f t="shared" si="18"/>
        <v>2320</v>
      </c>
      <c r="F312" s="478" t="s">
        <v>983</v>
      </c>
      <c r="G312" s="231" t="s">
        <v>730</v>
      </c>
      <c r="H312" s="230" t="str">
        <f t="shared" si="19"/>
        <v>นอกแผนอนุมัติ เข้าแผน (ครึ่งปีหลัง)</v>
      </c>
      <c r="I312" s="180"/>
      <c r="J312" s="181"/>
      <c r="K312" s="181"/>
      <c r="L312" s="181"/>
      <c r="M312" s="181"/>
    </row>
    <row r="313" spans="1:13" ht="21.95" customHeight="1">
      <c r="A313" s="227">
        <v>306</v>
      </c>
      <c r="B313" s="478" t="s">
        <v>1019</v>
      </c>
      <c r="C313" s="479">
        <v>1</v>
      </c>
      <c r="D313" s="413">
        <v>26500</v>
      </c>
      <c r="E313" s="328">
        <f t="shared" si="18"/>
        <v>26500</v>
      </c>
      <c r="F313" s="478" t="s">
        <v>984</v>
      </c>
      <c r="G313" s="231" t="s">
        <v>730</v>
      </c>
      <c r="H313" s="230" t="str">
        <f t="shared" si="19"/>
        <v>นอกแผนอนุมัติ เข้าแผน (ครึ่งปีหลัง)</v>
      </c>
      <c r="I313" s="180"/>
      <c r="J313" s="181"/>
      <c r="K313" s="181"/>
      <c r="L313" s="181"/>
      <c r="M313" s="181"/>
    </row>
    <row r="314" spans="1:13" ht="21.95" customHeight="1">
      <c r="A314" s="227">
        <v>307</v>
      </c>
      <c r="B314" s="478" t="s">
        <v>1014</v>
      </c>
      <c r="C314" s="479">
        <v>1</v>
      </c>
      <c r="D314" s="413">
        <v>2320</v>
      </c>
      <c r="E314" s="328">
        <f t="shared" si="18"/>
        <v>2320</v>
      </c>
      <c r="F314" s="478" t="s">
        <v>984</v>
      </c>
      <c r="G314" s="231" t="s">
        <v>730</v>
      </c>
      <c r="H314" s="230" t="str">
        <f t="shared" si="19"/>
        <v>นอกแผนอนุมัติ เข้าแผน (ครึ่งปีหลัง)</v>
      </c>
      <c r="I314" s="180"/>
      <c r="J314" s="181"/>
      <c r="K314" s="181"/>
      <c r="L314" s="181"/>
      <c r="M314" s="181"/>
    </row>
    <row r="315" spans="1:13" ht="21.95" customHeight="1">
      <c r="A315" s="227">
        <v>308</v>
      </c>
      <c r="B315" s="478" t="s">
        <v>1028</v>
      </c>
      <c r="C315" s="479">
        <v>1</v>
      </c>
      <c r="D315" s="413">
        <v>6900</v>
      </c>
      <c r="E315" s="328">
        <f t="shared" si="18"/>
        <v>6900</v>
      </c>
      <c r="F315" s="478" t="s">
        <v>984</v>
      </c>
      <c r="G315" s="231" t="s">
        <v>730</v>
      </c>
      <c r="H315" s="230" t="str">
        <f t="shared" si="19"/>
        <v>นอกแผนอนุมัติ เข้าแผน (ครึ่งปีหลัง)</v>
      </c>
      <c r="I315" s="180"/>
      <c r="J315" s="181"/>
      <c r="K315" s="181"/>
      <c r="L315" s="181"/>
      <c r="M315" s="181"/>
    </row>
    <row r="316" spans="1:13" ht="21.95" customHeight="1">
      <c r="A316" s="411"/>
      <c r="B316" s="412"/>
      <c r="C316" s="352"/>
      <c r="D316" s="477" t="s">
        <v>4</v>
      </c>
      <c r="E316" s="459">
        <f>SUM(E228:E315)</f>
        <v>31463271.050000001</v>
      </c>
      <c r="H316" s="181"/>
      <c r="I316" s="180"/>
      <c r="J316" s="181"/>
      <c r="K316" s="181"/>
      <c r="L316" s="181"/>
      <c r="M316" s="181"/>
    </row>
    <row r="317" spans="1:13" ht="21.95" customHeight="1">
      <c r="A317" s="411"/>
      <c r="B317" s="412"/>
      <c r="C317" s="352"/>
      <c r="D317" s="477"/>
      <c r="E317" s="459"/>
      <c r="H317" s="181"/>
      <c r="I317" s="180"/>
      <c r="J317" s="181"/>
      <c r="K317" s="181"/>
      <c r="L317" s="181"/>
      <c r="M317" s="181"/>
    </row>
    <row r="318" spans="1:13" ht="27.75" customHeight="1">
      <c r="A318" s="2814" t="s">
        <v>1072</v>
      </c>
      <c r="B318" s="2814"/>
      <c r="C318" s="2814"/>
      <c r="D318" s="2814"/>
      <c r="E318" s="2814"/>
      <c r="F318" s="2814"/>
      <c r="G318" s="2814"/>
      <c r="H318" s="181"/>
      <c r="I318" s="180"/>
      <c r="J318" s="181"/>
      <c r="K318" s="181"/>
      <c r="L318" s="181"/>
      <c r="M318" s="181"/>
    </row>
    <row r="319" spans="1:13" ht="69" customHeight="1">
      <c r="A319" s="243" t="s">
        <v>2</v>
      </c>
      <c r="B319" s="243" t="s">
        <v>3</v>
      </c>
      <c r="C319" s="243" t="s">
        <v>385</v>
      </c>
      <c r="D319" s="243" t="s">
        <v>386</v>
      </c>
      <c r="E319" s="493" t="s">
        <v>387</v>
      </c>
      <c r="F319" s="243" t="s">
        <v>388</v>
      </c>
      <c r="G319" s="243" t="s">
        <v>727</v>
      </c>
      <c r="H319" s="181"/>
      <c r="I319" s="180"/>
      <c r="J319" s="181"/>
      <c r="K319" s="181"/>
      <c r="L319" s="181"/>
      <c r="M319" s="181"/>
    </row>
    <row r="320" spans="1:13" ht="21.95" customHeight="1">
      <c r="A320" s="223"/>
      <c r="B320" s="252" t="s">
        <v>1073</v>
      </c>
      <c r="C320" s="253">
        <v>2</v>
      </c>
      <c r="D320" s="407">
        <v>38000</v>
      </c>
      <c r="E320" s="328">
        <v>76000</v>
      </c>
      <c r="F320" s="231" t="s">
        <v>1074</v>
      </c>
      <c r="G320" s="231" t="s">
        <v>464</v>
      </c>
      <c r="H320" s="181"/>
      <c r="I320" s="180"/>
      <c r="J320" s="181"/>
      <c r="K320" s="181"/>
      <c r="L320" s="181"/>
      <c r="M320" s="181"/>
    </row>
    <row r="321" spans="1:13" ht="21.95" customHeight="1">
      <c r="A321" s="223"/>
      <c r="B321" s="252" t="s">
        <v>1075</v>
      </c>
      <c r="C321" s="253">
        <v>1</v>
      </c>
      <c r="D321" s="407">
        <v>1200000</v>
      </c>
      <c r="E321" s="328">
        <v>1200000</v>
      </c>
      <c r="F321" s="231" t="s">
        <v>1074</v>
      </c>
      <c r="G321" s="231" t="s">
        <v>464</v>
      </c>
      <c r="H321" s="181"/>
      <c r="I321" s="180"/>
      <c r="J321" s="181"/>
      <c r="K321" s="181"/>
      <c r="L321" s="181"/>
      <c r="M321" s="181"/>
    </row>
    <row r="322" spans="1:13" ht="21.95" customHeight="1">
      <c r="A322" s="223"/>
      <c r="B322" s="252" t="s">
        <v>1076</v>
      </c>
      <c r="C322" s="253">
        <v>100</v>
      </c>
      <c r="D322" s="407">
        <v>3300</v>
      </c>
      <c r="E322" s="328">
        <v>330000</v>
      </c>
      <c r="F322" s="231"/>
      <c r="G322" s="231" t="s">
        <v>464</v>
      </c>
      <c r="H322" s="181"/>
      <c r="I322" s="180"/>
      <c r="J322" s="181"/>
      <c r="K322" s="181"/>
      <c r="L322" s="181"/>
      <c r="M322" s="181"/>
    </row>
    <row r="323" spans="1:13" ht="21.95" customHeight="1">
      <c r="A323" s="223"/>
      <c r="B323" s="252" t="s">
        <v>1077</v>
      </c>
      <c r="C323" s="253">
        <v>30</v>
      </c>
      <c r="D323" s="407">
        <v>11500</v>
      </c>
      <c r="E323" s="328">
        <v>345000</v>
      </c>
      <c r="F323" s="231"/>
      <c r="G323" s="231" t="s">
        <v>464</v>
      </c>
      <c r="H323" s="181"/>
      <c r="I323" s="180"/>
      <c r="J323" s="181"/>
      <c r="K323" s="181"/>
      <c r="L323" s="181"/>
      <c r="M323" s="181"/>
    </row>
    <row r="324" spans="1:13" ht="21.95" customHeight="1">
      <c r="A324" s="223"/>
      <c r="B324" s="252" t="s">
        <v>1078</v>
      </c>
      <c r="C324" s="253">
        <v>2</v>
      </c>
      <c r="D324" s="407">
        <v>150000</v>
      </c>
      <c r="E324" s="328">
        <v>300000</v>
      </c>
      <c r="F324" s="231" t="s">
        <v>1074</v>
      </c>
      <c r="G324" s="231" t="s">
        <v>464</v>
      </c>
      <c r="H324" s="181"/>
      <c r="I324" s="180"/>
      <c r="J324" s="181"/>
      <c r="K324" s="181"/>
      <c r="L324" s="181"/>
      <c r="M324" s="181"/>
    </row>
    <row r="325" spans="1:13" ht="21.95" customHeight="1">
      <c r="A325" s="223"/>
      <c r="B325" s="252" t="s">
        <v>1079</v>
      </c>
      <c r="C325" s="253">
        <v>2</v>
      </c>
      <c r="D325" s="407">
        <v>350000</v>
      </c>
      <c r="E325" s="328">
        <v>700000</v>
      </c>
      <c r="F325" s="231" t="s">
        <v>1074</v>
      </c>
      <c r="G325" s="231" t="s">
        <v>464</v>
      </c>
      <c r="H325" s="181"/>
      <c r="I325" s="180"/>
      <c r="J325" s="181"/>
      <c r="K325" s="181"/>
      <c r="L325" s="181"/>
      <c r="M325" s="181"/>
    </row>
    <row r="326" spans="1:13" ht="21.95" customHeight="1">
      <c r="A326" s="223"/>
      <c r="B326" s="252" t="s">
        <v>1080</v>
      </c>
      <c r="C326" s="253">
        <v>17</v>
      </c>
      <c r="D326" s="407">
        <v>150000</v>
      </c>
      <c r="E326" s="328">
        <v>2550000</v>
      </c>
      <c r="F326" s="231" t="s">
        <v>1074</v>
      </c>
      <c r="G326" s="231" t="s">
        <v>464</v>
      </c>
      <c r="H326" s="181"/>
      <c r="I326" s="180"/>
      <c r="J326" s="181"/>
      <c r="K326" s="181"/>
      <c r="L326" s="181"/>
      <c r="M326" s="181"/>
    </row>
    <row r="327" spans="1:13" ht="21.95" customHeight="1">
      <c r="A327" s="223"/>
      <c r="B327" s="252" t="s">
        <v>1081</v>
      </c>
      <c r="C327" s="253">
        <v>2</v>
      </c>
      <c r="D327" s="407">
        <v>450000</v>
      </c>
      <c r="E327" s="328">
        <v>900000</v>
      </c>
      <c r="F327" s="231" t="s">
        <v>1074</v>
      </c>
      <c r="G327" s="231" t="s">
        <v>464</v>
      </c>
      <c r="H327" s="181"/>
      <c r="I327" s="180"/>
      <c r="J327" s="181"/>
      <c r="K327" s="181"/>
      <c r="L327" s="181"/>
      <c r="M327" s="181"/>
    </row>
    <row r="328" spans="1:13" ht="21.95" customHeight="1">
      <c r="A328" s="223"/>
      <c r="B328" s="252" t="s">
        <v>1082</v>
      </c>
      <c r="C328" s="253">
        <v>36</v>
      </c>
      <c r="D328" s="407">
        <v>100000</v>
      </c>
      <c r="E328" s="328">
        <v>3600000</v>
      </c>
      <c r="F328" s="231"/>
      <c r="G328" s="231" t="s">
        <v>464</v>
      </c>
      <c r="H328" s="181"/>
      <c r="I328" s="180"/>
      <c r="J328" s="181"/>
      <c r="K328" s="181"/>
      <c r="L328" s="181"/>
      <c r="M328" s="181"/>
    </row>
    <row r="329" spans="1:13" ht="21.95" customHeight="1">
      <c r="A329" s="223"/>
      <c r="B329" s="252" t="s">
        <v>1083</v>
      </c>
      <c r="C329" s="253">
        <v>1</v>
      </c>
      <c r="D329" s="407">
        <v>30000</v>
      </c>
      <c r="E329" s="328">
        <v>30000</v>
      </c>
      <c r="F329" s="231" t="s">
        <v>1074</v>
      </c>
      <c r="G329" s="231" t="s">
        <v>464</v>
      </c>
      <c r="H329" s="181"/>
      <c r="I329" s="180"/>
      <c r="J329" s="181"/>
      <c r="K329" s="181"/>
      <c r="L329" s="181"/>
      <c r="M329" s="181"/>
    </row>
    <row r="330" spans="1:13" ht="21.95" customHeight="1">
      <c r="A330" s="223"/>
      <c r="B330" s="252" t="s">
        <v>1084</v>
      </c>
      <c r="C330" s="253">
        <v>15</v>
      </c>
      <c r="D330" s="407">
        <v>35000</v>
      </c>
      <c r="E330" s="328">
        <v>525000</v>
      </c>
      <c r="F330" s="231" t="s">
        <v>1074</v>
      </c>
      <c r="G330" s="231" t="s">
        <v>464</v>
      </c>
      <c r="H330" s="181"/>
      <c r="I330" s="180"/>
      <c r="J330" s="181"/>
      <c r="K330" s="181"/>
      <c r="L330" s="181"/>
      <c r="M330" s="181"/>
    </row>
    <row r="331" spans="1:13" ht="21.95" customHeight="1">
      <c r="A331" s="223"/>
      <c r="B331" s="252" t="s">
        <v>1085</v>
      </c>
      <c r="C331" s="253">
        <v>3</v>
      </c>
      <c r="D331" s="407">
        <v>15000</v>
      </c>
      <c r="E331" s="328">
        <v>45000</v>
      </c>
      <c r="F331" s="231" t="s">
        <v>1074</v>
      </c>
      <c r="G331" s="231" t="s">
        <v>464</v>
      </c>
      <c r="H331" s="181"/>
      <c r="I331" s="180"/>
      <c r="J331" s="181"/>
      <c r="K331" s="181"/>
      <c r="L331" s="181"/>
      <c r="M331" s="181"/>
    </row>
    <row r="332" spans="1:13" ht="21.95" customHeight="1">
      <c r="A332" s="223"/>
      <c r="B332" s="252" t="s">
        <v>1086</v>
      </c>
      <c r="C332" s="253">
        <v>16</v>
      </c>
      <c r="D332" s="407">
        <v>4000</v>
      </c>
      <c r="E332" s="328">
        <v>64000</v>
      </c>
      <c r="F332" s="231" t="s">
        <v>1074</v>
      </c>
      <c r="G332" s="231" t="s">
        <v>464</v>
      </c>
      <c r="H332" s="181"/>
      <c r="I332" s="180"/>
      <c r="J332" s="181"/>
      <c r="K332" s="181"/>
      <c r="L332" s="181"/>
      <c r="M332" s="181"/>
    </row>
    <row r="333" spans="1:13" ht="21.95" customHeight="1">
      <c r="A333" s="223"/>
      <c r="B333" s="252" t="s">
        <v>1087</v>
      </c>
      <c r="C333" s="253">
        <v>11</v>
      </c>
      <c r="D333" s="407">
        <v>8000</v>
      </c>
      <c r="E333" s="328">
        <v>88000</v>
      </c>
      <c r="F333" s="231" t="s">
        <v>1074</v>
      </c>
      <c r="G333" s="231" t="s">
        <v>464</v>
      </c>
      <c r="H333" s="181"/>
      <c r="I333" s="180"/>
      <c r="J333" s="181"/>
      <c r="K333" s="181"/>
      <c r="L333" s="181"/>
      <c r="M333" s="181"/>
    </row>
    <row r="334" spans="1:13" ht="21.95" customHeight="1">
      <c r="A334" s="223"/>
      <c r="B334" s="252" t="s">
        <v>1088</v>
      </c>
      <c r="C334" s="253">
        <v>11</v>
      </c>
      <c r="D334" s="407">
        <v>6500</v>
      </c>
      <c r="E334" s="328">
        <v>71500</v>
      </c>
      <c r="F334" s="231" t="s">
        <v>1074</v>
      </c>
      <c r="G334" s="231" t="s">
        <v>464</v>
      </c>
      <c r="H334" s="181"/>
      <c r="I334" s="180"/>
      <c r="J334" s="181"/>
      <c r="K334" s="181"/>
      <c r="L334" s="181"/>
      <c r="M334" s="181"/>
    </row>
    <row r="335" spans="1:13" ht="21.95" customHeight="1">
      <c r="A335" s="223"/>
      <c r="B335" s="252" t="s">
        <v>1089</v>
      </c>
      <c r="C335" s="253">
        <v>9</v>
      </c>
      <c r="D335" s="407">
        <v>4000</v>
      </c>
      <c r="E335" s="328">
        <v>36000</v>
      </c>
      <c r="F335" s="231" t="s">
        <v>1074</v>
      </c>
      <c r="G335" s="231" t="s">
        <v>464</v>
      </c>
      <c r="H335" s="181"/>
      <c r="I335" s="180"/>
      <c r="J335" s="181"/>
      <c r="K335" s="181"/>
      <c r="L335" s="181"/>
      <c r="M335" s="181"/>
    </row>
    <row r="336" spans="1:13" ht="21.95" customHeight="1">
      <c r="A336" s="223"/>
      <c r="B336" s="252" t="s">
        <v>1090</v>
      </c>
      <c r="C336" s="253">
        <v>4</v>
      </c>
      <c r="D336" s="407">
        <v>15000</v>
      </c>
      <c r="E336" s="328">
        <v>60000</v>
      </c>
      <c r="F336" s="231" t="s">
        <v>1074</v>
      </c>
      <c r="G336" s="231" t="s">
        <v>464</v>
      </c>
      <c r="H336" s="181"/>
      <c r="I336" s="180"/>
      <c r="J336" s="181"/>
      <c r="K336" s="181"/>
      <c r="L336" s="181"/>
      <c r="M336" s="181"/>
    </row>
    <row r="337" spans="1:13" ht="21.95" customHeight="1">
      <c r="A337" s="223"/>
      <c r="B337" s="252" t="s">
        <v>1091</v>
      </c>
      <c r="C337" s="253">
        <v>5</v>
      </c>
      <c r="D337" s="407">
        <v>20000</v>
      </c>
      <c r="E337" s="328">
        <v>100000</v>
      </c>
      <c r="F337" s="231" t="s">
        <v>1074</v>
      </c>
      <c r="G337" s="231" t="s">
        <v>464</v>
      </c>
      <c r="H337" s="181"/>
      <c r="I337" s="180"/>
      <c r="J337" s="181"/>
      <c r="K337" s="181"/>
      <c r="L337" s="181"/>
      <c r="M337" s="181"/>
    </row>
    <row r="338" spans="1:13" ht="21.95" customHeight="1">
      <c r="A338" s="223"/>
      <c r="B338" s="252" t="s">
        <v>1092</v>
      </c>
      <c r="C338" s="253">
        <v>6</v>
      </c>
      <c r="D338" s="407">
        <v>23000</v>
      </c>
      <c r="E338" s="328">
        <v>138000</v>
      </c>
      <c r="F338" s="231" t="s">
        <v>1074</v>
      </c>
      <c r="G338" s="231" t="s">
        <v>464</v>
      </c>
      <c r="H338" s="181"/>
      <c r="I338" s="180"/>
      <c r="J338" s="181"/>
      <c r="K338" s="181"/>
      <c r="L338" s="181"/>
      <c r="M338" s="181"/>
    </row>
    <row r="339" spans="1:13" ht="21.95" customHeight="1">
      <c r="A339" s="223"/>
      <c r="B339" s="252" t="s">
        <v>1093</v>
      </c>
      <c r="C339" s="253">
        <v>5</v>
      </c>
      <c r="D339" s="407">
        <v>300</v>
      </c>
      <c r="E339" s="328">
        <v>1500</v>
      </c>
      <c r="F339" s="231" t="s">
        <v>1074</v>
      </c>
      <c r="G339" s="231" t="s">
        <v>464</v>
      </c>
      <c r="H339" s="181"/>
      <c r="I339" s="180"/>
      <c r="J339" s="181"/>
      <c r="K339" s="181"/>
      <c r="L339" s="181"/>
      <c r="M339" s="181"/>
    </row>
    <row r="340" spans="1:13" ht="21.95" customHeight="1">
      <c r="A340" s="223"/>
      <c r="B340" s="252" t="s">
        <v>1094</v>
      </c>
      <c r="C340" s="253">
        <v>8</v>
      </c>
      <c r="D340" s="407">
        <v>25000</v>
      </c>
      <c r="E340" s="328">
        <v>200000</v>
      </c>
      <c r="F340" s="231" t="s">
        <v>1074</v>
      </c>
      <c r="G340" s="231" t="s">
        <v>464</v>
      </c>
      <c r="H340" s="181"/>
      <c r="I340" s="180"/>
      <c r="J340" s="181"/>
      <c r="K340" s="181"/>
      <c r="L340" s="181"/>
      <c r="M340" s="181"/>
    </row>
    <row r="341" spans="1:13" ht="21.95" customHeight="1">
      <c r="A341" s="223"/>
      <c r="B341" s="252" t="s">
        <v>1095</v>
      </c>
      <c r="C341" s="253">
        <v>55</v>
      </c>
      <c r="D341" s="407">
        <v>23000</v>
      </c>
      <c r="E341" s="328">
        <v>1265000</v>
      </c>
      <c r="F341" s="231" t="s">
        <v>1074</v>
      </c>
      <c r="G341" s="231" t="s">
        <v>729</v>
      </c>
      <c r="H341" s="181"/>
      <c r="I341" s="180"/>
      <c r="J341" s="181"/>
      <c r="K341" s="181"/>
      <c r="L341" s="181"/>
      <c r="M341" s="181"/>
    </row>
    <row r="342" spans="1:13" ht="21.95" customHeight="1">
      <c r="A342" s="223"/>
      <c r="B342" s="252" t="s">
        <v>1096</v>
      </c>
      <c r="C342" s="253">
        <v>26</v>
      </c>
      <c r="D342" s="407">
        <v>25000</v>
      </c>
      <c r="E342" s="328">
        <v>650000</v>
      </c>
      <c r="F342" s="231" t="s">
        <v>1074</v>
      </c>
      <c r="G342" s="231" t="s">
        <v>729</v>
      </c>
      <c r="H342" s="181"/>
      <c r="I342" s="180"/>
      <c r="J342" s="181"/>
      <c r="K342" s="181"/>
      <c r="L342" s="181"/>
      <c r="M342" s="181"/>
    </row>
    <row r="343" spans="1:13" ht="21.95" customHeight="1">
      <c r="A343" s="223"/>
      <c r="B343" s="252" t="s">
        <v>1097</v>
      </c>
      <c r="C343" s="253">
        <v>7</v>
      </c>
      <c r="D343" s="407">
        <v>5000</v>
      </c>
      <c r="E343" s="328">
        <v>35000</v>
      </c>
      <c r="F343" s="231" t="s">
        <v>1074</v>
      </c>
      <c r="G343" s="231" t="s">
        <v>729</v>
      </c>
      <c r="H343" s="181"/>
      <c r="I343" s="180"/>
      <c r="J343" s="181"/>
      <c r="K343" s="181"/>
      <c r="L343" s="181"/>
      <c r="M343" s="181"/>
    </row>
    <row r="344" spans="1:13" ht="21.95" customHeight="1">
      <c r="A344" s="223"/>
      <c r="B344" s="252" t="s">
        <v>1098</v>
      </c>
      <c r="C344" s="253">
        <v>15</v>
      </c>
      <c r="D344" s="407">
        <v>10000</v>
      </c>
      <c r="E344" s="328">
        <v>150000</v>
      </c>
      <c r="F344" s="231" t="s">
        <v>1074</v>
      </c>
      <c r="G344" s="231" t="s">
        <v>729</v>
      </c>
      <c r="H344" s="181"/>
      <c r="I344" s="180"/>
      <c r="J344" s="181"/>
      <c r="K344" s="181"/>
      <c r="L344" s="181"/>
      <c r="M344" s="181"/>
    </row>
    <row r="345" spans="1:13" ht="21.95" customHeight="1">
      <c r="A345" s="223"/>
      <c r="B345" s="252" t="s">
        <v>1099</v>
      </c>
      <c r="C345" s="253">
        <v>14</v>
      </c>
      <c r="D345" s="407">
        <v>15000</v>
      </c>
      <c r="E345" s="328">
        <v>210000</v>
      </c>
      <c r="F345" s="231" t="s">
        <v>1074</v>
      </c>
      <c r="G345" s="231" t="s">
        <v>729</v>
      </c>
      <c r="H345" s="181"/>
      <c r="I345" s="180"/>
      <c r="J345" s="181"/>
      <c r="K345" s="181"/>
      <c r="L345" s="181"/>
      <c r="M345" s="181"/>
    </row>
    <row r="346" spans="1:13" ht="21.95" customHeight="1">
      <c r="A346" s="223"/>
      <c r="B346" s="252" t="s">
        <v>1100</v>
      </c>
      <c r="C346" s="253">
        <v>236</v>
      </c>
      <c r="D346" s="407">
        <v>200</v>
      </c>
      <c r="E346" s="328">
        <v>47200</v>
      </c>
      <c r="F346" s="231" t="s">
        <v>1074</v>
      </c>
      <c r="G346" s="231" t="s">
        <v>729</v>
      </c>
      <c r="H346" s="181"/>
      <c r="I346" s="180"/>
      <c r="J346" s="181"/>
      <c r="K346" s="181"/>
      <c r="L346" s="181"/>
      <c r="M346" s="181"/>
    </row>
    <row r="347" spans="1:13" ht="21.95" customHeight="1">
      <c r="A347" s="223"/>
      <c r="B347" s="252" t="s">
        <v>1101</v>
      </c>
      <c r="C347" s="253">
        <v>49</v>
      </c>
      <c r="D347" s="407">
        <v>3000</v>
      </c>
      <c r="E347" s="328">
        <v>147000</v>
      </c>
      <c r="F347" s="231" t="s">
        <v>1074</v>
      </c>
      <c r="G347" s="231" t="s">
        <v>729</v>
      </c>
      <c r="H347" s="181"/>
      <c r="I347" s="180"/>
      <c r="J347" s="181"/>
      <c r="K347" s="181"/>
      <c r="L347" s="181"/>
      <c r="M347" s="181"/>
    </row>
    <row r="348" spans="1:13" ht="21.95" customHeight="1">
      <c r="A348" s="223"/>
      <c r="B348" s="252" t="s">
        <v>1102</v>
      </c>
      <c r="C348" s="253">
        <v>46</v>
      </c>
      <c r="D348" s="407">
        <v>1300</v>
      </c>
      <c r="E348" s="328">
        <v>59800</v>
      </c>
      <c r="F348" s="231" t="s">
        <v>1074</v>
      </c>
      <c r="G348" s="231" t="s">
        <v>729</v>
      </c>
      <c r="H348" s="181"/>
      <c r="I348" s="180"/>
      <c r="J348" s="181"/>
      <c r="K348" s="181"/>
      <c r="L348" s="181"/>
      <c r="M348" s="181"/>
    </row>
    <row r="349" spans="1:13" ht="21.95" customHeight="1">
      <c r="A349" s="223"/>
      <c r="B349" s="252" t="s">
        <v>474</v>
      </c>
      <c r="C349" s="253">
        <v>29</v>
      </c>
      <c r="D349" s="407">
        <v>1500</v>
      </c>
      <c r="E349" s="328">
        <v>43500</v>
      </c>
      <c r="F349" s="231" t="s">
        <v>1074</v>
      </c>
      <c r="G349" s="231" t="s">
        <v>729</v>
      </c>
      <c r="H349" s="181"/>
      <c r="I349" s="180"/>
      <c r="J349" s="181"/>
      <c r="K349" s="181"/>
      <c r="L349" s="181"/>
      <c r="M349" s="181"/>
    </row>
    <row r="350" spans="1:13" ht="21.95" customHeight="1">
      <c r="A350" s="223"/>
      <c r="B350" s="252" t="s">
        <v>1103</v>
      </c>
      <c r="C350" s="253">
        <v>34</v>
      </c>
      <c r="D350" s="407">
        <v>2000</v>
      </c>
      <c r="E350" s="328">
        <v>68000</v>
      </c>
      <c r="F350" s="231" t="s">
        <v>1074</v>
      </c>
      <c r="G350" s="231" t="s">
        <v>729</v>
      </c>
      <c r="H350" s="181"/>
      <c r="I350" s="180"/>
      <c r="J350" s="181"/>
      <c r="K350" s="181"/>
      <c r="L350" s="181"/>
      <c r="M350" s="181"/>
    </row>
    <row r="351" spans="1:13" ht="21.95" customHeight="1">
      <c r="A351" s="223"/>
      <c r="B351" s="252" t="s">
        <v>1104</v>
      </c>
      <c r="C351" s="253">
        <v>14</v>
      </c>
      <c r="D351" s="407">
        <v>900</v>
      </c>
      <c r="E351" s="328">
        <v>12600</v>
      </c>
      <c r="F351" s="231" t="s">
        <v>1074</v>
      </c>
      <c r="G351" s="231" t="s">
        <v>729</v>
      </c>
      <c r="H351" s="181"/>
      <c r="I351" s="180"/>
      <c r="J351" s="181"/>
      <c r="K351" s="181"/>
      <c r="L351" s="181"/>
      <c r="M351" s="181"/>
    </row>
    <row r="352" spans="1:13" ht="21.95" customHeight="1">
      <c r="A352" s="223"/>
      <c r="B352" s="252" t="s">
        <v>1105</v>
      </c>
      <c r="C352" s="253">
        <v>14</v>
      </c>
      <c r="D352" s="407">
        <v>500</v>
      </c>
      <c r="E352" s="328">
        <v>7000</v>
      </c>
      <c r="F352" s="231" t="s">
        <v>1074</v>
      </c>
      <c r="G352" s="231" t="s">
        <v>729</v>
      </c>
      <c r="H352" s="181"/>
      <c r="I352" s="180"/>
      <c r="J352" s="181"/>
      <c r="K352" s="181"/>
      <c r="L352" s="181"/>
      <c r="M352" s="181"/>
    </row>
    <row r="353" spans="1:13" ht="21.95" customHeight="1">
      <c r="A353" s="223"/>
      <c r="B353" s="252" t="s">
        <v>1106</v>
      </c>
      <c r="C353" s="253">
        <v>130</v>
      </c>
      <c r="D353" s="407">
        <v>850</v>
      </c>
      <c r="E353" s="328">
        <v>110500</v>
      </c>
      <c r="F353" s="231" t="s">
        <v>1074</v>
      </c>
      <c r="G353" s="231" t="s">
        <v>729</v>
      </c>
      <c r="H353" s="181"/>
      <c r="I353" s="180"/>
      <c r="J353" s="181"/>
      <c r="K353" s="181"/>
      <c r="L353" s="181"/>
      <c r="M353" s="181"/>
    </row>
    <row r="354" spans="1:13" ht="21.95" customHeight="1">
      <c r="A354" s="223"/>
      <c r="B354" s="252" t="s">
        <v>1107</v>
      </c>
      <c r="C354" s="253">
        <v>110</v>
      </c>
      <c r="D354" s="407">
        <v>800</v>
      </c>
      <c r="E354" s="328">
        <v>88000</v>
      </c>
      <c r="F354" s="231" t="s">
        <v>1074</v>
      </c>
      <c r="G354" s="231" t="s">
        <v>729</v>
      </c>
      <c r="H354" s="181"/>
      <c r="I354" s="180"/>
      <c r="J354" s="181"/>
      <c r="K354" s="181"/>
      <c r="L354" s="181"/>
      <c r="M354" s="181"/>
    </row>
    <row r="355" spans="1:13" ht="21.95" customHeight="1">
      <c r="A355" s="223"/>
      <c r="B355" s="252" t="s">
        <v>1108</v>
      </c>
      <c r="C355" s="253">
        <v>14</v>
      </c>
      <c r="D355" s="407">
        <v>16000</v>
      </c>
      <c r="E355" s="328">
        <v>224000</v>
      </c>
      <c r="F355" s="231" t="s">
        <v>1074</v>
      </c>
      <c r="G355" s="231" t="s">
        <v>729</v>
      </c>
      <c r="H355" s="181"/>
      <c r="I355" s="180"/>
      <c r="J355" s="181"/>
      <c r="K355" s="181"/>
      <c r="L355" s="181"/>
      <c r="M355" s="181"/>
    </row>
    <row r="356" spans="1:13" ht="21.95" customHeight="1">
      <c r="A356" s="223"/>
      <c r="B356" s="252" t="s">
        <v>1109</v>
      </c>
      <c r="C356" s="253">
        <v>100</v>
      </c>
      <c r="D356" s="407">
        <v>1300</v>
      </c>
      <c r="E356" s="328">
        <v>130000</v>
      </c>
      <c r="F356" s="231" t="s">
        <v>1074</v>
      </c>
      <c r="G356" s="231" t="s">
        <v>729</v>
      </c>
      <c r="H356" s="181"/>
      <c r="I356" s="180"/>
      <c r="J356" s="181"/>
      <c r="K356" s="181"/>
      <c r="L356" s="181"/>
      <c r="M356" s="181"/>
    </row>
    <row r="357" spans="1:13" ht="21.95" customHeight="1">
      <c r="A357" s="223"/>
      <c r="B357" s="252" t="s">
        <v>1110</v>
      </c>
      <c r="C357" s="253">
        <v>39</v>
      </c>
      <c r="D357" s="407">
        <v>7500</v>
      </c>
      <c r="E357" s="328">
        <v>292500</v>
      </c>
      <c r="F357" s="231" t="s">
        <v>1074</v>
      </c>
      <c r="G357" s="231" t="s">
        <v>728</v>
      </c>
      <c r="H357" s="181"/>
      <c r="I357" s="180"/>
      <c r="J357" s="181"/>
      <c r="K357" s="181"/>
      <c r="L357" s="181"/>
      <c r="M357" s="181"/>
    </row>
    <row r="358" spans="1:13" ht="21.95" customHeight="1">
      <c r="A358" s="223"/>
      <c r="B358" s="252" t="s">
        <v>871</v>
      </c>
      <c r="C358" s="253">
        <v>13</v>
      </c>
      <c r="D358" s="407">
        <v>1500</v>
      </c>
      <c r="E358" s="328">
        <v>19500</v>
      </c>
      <c r="F358" s="231" t="s">
        <v>1074</v>
      </c>
      <c r="G358" s="231" t="s">
        <v>728</v>
      </c>
      <c r="H358" s="181"/>
      <c r="I358" s="180"/>
      <c r="J358" s="181"/>
      <c r="K358" s="181"/>
      <c r="L358" s="181"/>
      <c r="M358" s="181"/>
    </row>
    <row r="359" spans="1:13" ht="21.95" customHeight="1">
      <c r="A359" s="223"/>
      <c r="B359" s="252" t="s">
        <v>1111</v>
      </c>
      <c r="C359" s="253">
        <v>21</v>
      </c>
      <c r="D359" s="407">
        <v>40000</v>
      </c>
      <c r="E359" s="328">
        <v>840000</v>
      </c>
      <c r="F359" s="231" t="s">
        <v>1074</v>
      </c>
      <c r="G359" s="231" t="s">
        <v>728</v>
      </c>
      <c r="H359" s="181"/>
      <c r="I359" s="180"/>
      <c r="J359" s="181"/>
      <c r="K359" s="181"/>
      <c r="L359" s="181"/>
      <c r="M359" s="181"/>
    </row>
    <row r="360" spans="1:13" ht="21.95" customHeight="1">
      <c r="A360" s="223"/>
      <c r="B360" s="252" t="s">
        <v>1112</v>
      </c>
      <c r="C360" s="253">
        <v>194</v>
      </c>
      <c r="D360" s="407">
        <v>100</v>
      </c>
      <c r="E360" s="328">
        <v>19400</v>
      </c>
      <c r="F360" s="231" t="s">
        <v>1074</v>
      </c>
      <c r="G360" s="231" t="s">
        <v>728</v>
      </c>
      <c r="H360" s="181"/>
      <c r="I360" s="180"/>
      <c r="J360" s="181"/>
      <c r="K360" s="181"/>
      <c r="L360" s="181"/>
      <c r="M360" s="181"/>
    </row>
    <row r="361" spans="1:13" ht="21.95" customHeight="1">
      <c r="A361" s="223"/>
      <c r="B361" s="252" t="s">
        <v>1113</v>
      </c>
      <c r="C361" s="253">
        <v>200</v>
      </c>
      <c r="D361" s="407">
        <v>50</v>
      </c>
      <c r="E361" s="328">
        <v>10000</v>
      </c>
      <c r="F361" s="231" t="s">
        <v>1074</v>
      </c>
      <c r="G361" s="231" t="s">
        <v>728</v>
      </c>
      <c r="H361" s="181"/>
      <c r="I361" s="180"/>
      <c r="J361" s="181"/>
      <c r="K361" s="181"/>
      <c r="L361" s="181"/>
      <c r="M361" s="181"/>
    </row>
    <row r="362" spans="1:13" ht="21.95" customHeight="1">
      <c r="A362" s="223"/>
      <c r="B362" s="252" t="s">
        <v>1114</v>
      </c>
      <c r="C362" s="253">
        <v>84</v>
      </c>
      <c r="D362" s="407">
        <v>3000</v>
      </c>
      <c r="E362" s="328">
        <v>252000</v>
      </c>
      <c r="F362" s="231" t="s">
        <v>1074</v>
      </c>
      <c r="G362" s="231" t="s">
        <v>728</v>
      </c>
      <c r="H362" s="181"/>
      <c r="I362" s="180"/>
      <c r="J362" s="181"/>
      <c r="K362" s="181"/>
      <c r="L362" s="181"/>
      <c r="M362" s="181"/>
    </row>
    <row r="363" spans="1:13" ht="21.95" customHeight="1">
      <c r="A363" s="223"/>
      <c r="B363" s="252" t="s">
        <v>1115</v>
      </c>
      <c r="C363" s="253">
        <v>59</v>
      </c>
      <c r="D363" s="407">
        <v>400</v>
      </c>
      <c r="E363" s="328">
        <v>23600</v>
      </c>
      <c r="F363" s="231" t="s">
        <v>1074</v>
      </c>
      <c r="G363" s="231" t="s">
        <v>728</v>
      </c>
      <c r="H363" s="181"/>
      <c r="I363" s="180"/>
      <c r="J363" s="181"/>
      <c r="K363" s="181"/>
      <c r="L363" s="181"/>
      <c r="M363" s="181"/>
    </row>
    <row r="364" spans="1:13" ht="21.95" customHeight="1">
      <c r="A364" s="223"/>
      <c r="B364" s="252" t="s">
        <v>1116</v>
      </c>
      <c r="C364" s="253">
        <v>59</v>
      </c>
      <c r="D364" s="407">
        <v>750</v>
      </c>
      <c r="E364" s="328">
        <v>44250</v>
      </c>
      <c r="F364" s="231" t="s">
        <v>1074</v>
      </c>
      <c r="G364" s="231" t="s">
        <v>728</v>
      </c>
      <c r="H364" s="181"/>
      <c r="I364" s="180"/>
      <c r="J364" s="181"/>
      <c r="K364" s="181"/>
      <c r="L364" s="181"/>
      <c r="M364" s="181"/>
    </row>
    <row r="365" spans="1:13" ht="21.95" customHeight="1">
      <c r="A365" s="223"/>
      <c r="B365" s="252" t="s">
        <v>1117</v>
      </c>
      <c r="C365" s="253">
        <v>5</v>
      </c>
      <c r="D365" s="407">
        <v>6000</v>
      </c>
      <c r="E365" s="328">
        <v>30000</v>
      </c>
      <c r="F365" s="231" t="s">
        <v>1074</v>
      </c>
      <c r="G365" s="231" t="s">
        <v>728</v>
      </c>
      <c r="H365" s="181"/>
      <c r="I365" s="180"/>
      <c r="J365" s="181"/>
      <c r="K365" s="181"/>
      <c r="L365" s="181"/>
      <c r="M365" s="181"/>
    </row>
    <row r="366" spans="1:13" ht="21.95" customHeight="1">
      <c r="A366" s="223"/>
      <c r="B366" s="252" t="s">
        <v>1118</v>
      </c>
      <c r="C366" s="253">
        <v>5</v>
      </c>
      <c r="D366" s="407">
        <v>9000</v>
      </c>
      <c r="E366" s="328">
        <v>45000</v>
      </c>
      <c r="F366" s="231" t="s">
        <v>1074</v>
      </c>
      <c r="G366" s="231" t="s">
        <v>728</v>
      </c>
      <c r="H366" s="181"/>
      <c r="I366" s="180"/>
      <c r="J366" s="181"/>
      <c r="K366" s="181"/>
      <c r="L366" s="181"/>
      <c r="M366" s="181"/>
    </row>
    <row r="367" spans="1:13" ht="21.95" customHeight="1">
      <c r="A367" s="223"/>
      <c r="B367" s="252" t="s">
        <v>1119</v>
      </c>
      <c r="C367" s="253">
        <v>5</v>
      </c>
      <c r="D367" s="407">
        <v>2000</v>
      </c>
      <c r="E367" s="328">
        <v>10000</v>
      </c>
      <c r="F367" s="231" t="s">
        <v>1074</v>
      </c>
      <c r="G367" s="231" t="s">
        <v>728</v>
      </c>
      <c r="H367" s="181"/>
      <c r="I367" s="180"/>
      <c r="J367" s="181"/>
      <c r="K367" s="181"/>
      <c r="L367" s="181"/>
      <c r="M367" s="181"/>
    </row>
    <row r="368" spans="1:13" ht="21.95" customHeight="1">
      <c r="A368" s="223"/>
      <c r="B368" s="252" t="s">
        <v>1120</v>
      </c>
      <c r="C368" s="253">
        <v>12</v>
      </c>
      <c r="D368" s="407">
        <v>3300</v>
      </c>
      <c r="E368" s="328">
        <v>39600</v>
      </c>
      <c r="F368" s="231" t="s">
        <v>1074</v>
      </c>
      <c r="G368" s="231" t="s">
        <v>728</v>
      </c>
      <c r="H368" s="181"/>
      <c r="I368" s="180"/>
      <c r="J368" s="181"/>
      <c r="K368" s="181"/>
      <c r="L368" s="181"/>
      <c r="M368" s="181"/>
    </row>
    <row r="369" spans="1:13" ht="21.95" customHeight="1">
      <c r="A369" s="223"/>
      <c r="B369" s="252" t="s">
        <v>1121</v>
      </c>
      <c r="C369" s="253">
        <v>13</v>
      </c>
      <c r="D369" s="407">
        <v>1000</v>
      </c>
      <c r="E369" s="328">
        <v>13000</v>
      </c>
      <c r="F369" s="231" t="s">
        <v>1074</v>
      </c>
      <c r="G369" s="231" t="s">
        <v>728</v>
      </c>
      <c r="H369" s="181"/>
      <c r="I369" s="180"/>
      <c r="J369" s="181"/>
      <c r="K369" s="181"/>
      <c r="L369" s="181"/>
      <c r="M369" s="181"/>
    </row>
    <row r="370" spans="1:13" ht="21.95" customHeight="1">
      <c r="A370" s="223"/>
      <c r="B370" s="252" t="s">
        <v>1122</v>
      </c>
      <c r="C370" s="253">
        <v>5</v>
      </c>
      <c r="D370" s="407">
        <v>290</v>
      </c>
      <c r="E370" s="328">
        <v>1450</v>
      </c>
      <c r="F370" s="231" t="s">
        <v>1074</v>
      </c>
      <c r="G370" s="231" t="s">
        <v>728</v>
      </c>
      <c r="H370" s="181"/>
      <c r="I370" s="180"/>
      <c r="J370" s="181"/>
      <c r="K370" s="181"/>
      <c r="L370" s="181"/>
      <c r="M370" s="181"/>
    </row>
    <row r="371" spans="1:13" ht="21.95" customHeight="1">
      <c r="A371" s="223"/>
      <c r="B371" s="252" t="s">
        <v>1123</v>
      </c>
      <c r="C371" s="253">
        <v>100</v>
      </c>
      <c r="D371" s="407">
        <v>500</v>
      </c>
      <c r="E371" s="328">
        <v>50000</v>
      </c>
      <c r="F371" s="231" t="s">
        <v>1074</v>
      </c>
      <c r="G371" s="231" t="s">
        <v>728</v>
      </c>
      <c r="H371" s="181"/>
      <c r="I371" s="180"/>
      <c r="J371" s="181"/>
      <c r="K371" s="181"/>
      <c r="L371" s="181"/>
      <c r="M371" s="181"/>
    </row>
    <row r="372" spans="1:13" ht="21.95" customHeight="1">
      <c r="A372" s="223"/>
      <c r="B372" s="252" t="s">
        <v>1124</v>
      </c>
      <c r="C372" s="253">
        <v>30</v>
      </c>
      <c r="D372" s="407">
        <v>70</v>
      </c>
      <c r="E372" s="328">
        <v>2100</v>
      </c>
      <c r="F372" s="231" t="s">
        <v>1074</v>
      </c>
      <c r="G372" s="231" t="s">
        <v>728</v>
      </c>
      <c r="H372" s="181"/>
      <c r="I372" s="180"/>
      <c r="J372" s="181"/>
      <c r="K372" s="181"/>
      <c r="L372" s="181"/>
      <c r="M372" s="181"/>
    </row>
    <row r="373" spans="1:13" ht="21.95" customHeight="1">
      <c r="A373" s="223"/>
      <c r="B373" s="252" t="s">
        <v>1125</v>
      </c>
      <c r="C373" s="253">
        <v>46</v>
      </c>
      <c r="D373" s="407">
        <v>1048.5999999999999</v>
      </c>
      <c r="E373" s="328">
        <v>48235.6</v>
      </c>
      <c r="F373" s="231" t="s">
        <v>1074</v>
      </c>
      <c r="G373" s="231" t="s">
        <v>728</v>
      </c>
      <c r="H373" s="181"/>
      <c r="I373" s="180"/>
      <c r="J373" s="181"/>
      <c r="K373" s="181"/>
      <c r="L373" s="181"/>
      <c r="M373" s="181"/>
    </row>
    <row r="374" spans="1:13" ht="21.95" customHeight="1">
      <c r="A374" s="223"/>
      <c r="B374" s="252" t="s">
        <v>1126</v>
      </c>
      <c r="C374" s="253">
        <v>46</v>
      </c>
      <c r="D374" s="407">
        <v>20000</v>
      </c>
      <c r="E374" s="328">
        <v>920000</v>
      </c>
      <c r="F374" s="231" t="s">
        <v>1074</v>
      </c>
      <c r="G374" s="231" t="s">
        <v>728</v>
      </c>
      <c r="H374" s="181"/>
      <c r="I374" s="180"/>
      <c r="J374" s="181"/>
      <c r="K374" s="181"/>
      <c r="L374" s="181"/>
      <c r="M374" s="181"/>
    </row>
    <row r="375" spans="1:13" ht="21.95" customHeight="1">
      <c r="A375" s="223"/>
      <c r="B375" s="252" t="s">
        <v>465</v>
      </c>
      <c r="C375" s="253">
        <v>46</v>
      </c>
      <c r="D375" s="407">
        <v>3000</v>
      </c>
      <c r="E375" s="328">
        <v>138000</v>
      </c>
      <c r="F375" s="231" t="s">
        <v>1074</v>
      </c>
      <c r="G375" s="231" t="s">
        <v>728</v>
      </c>
      <c r="H375" s="181"/>
      <c r="I375" s="180"/>
      <c r="J375" s="181"/>
      <c r="K375" s="181"/>
      <c r="L375" s="181"/>
      <c r="M375" s="181"/>
    </row>
    <row r="376" spans="1:13" ht="21.95" customHeight="1">
      <c r="A376" s="223"/>
      <c r="B376" s="252" t="s">
        <v>1127</v>
      </c>
      <c r="C376" s="253">
        <v>46</v>
      </c>
      <c r="D376" s="407">
        <v>1059.3</v>
      </c>
      <c r="E376" s="328">
        <v>48727.799999999996</v>
      </c>
      <c r="F376" s="231" t="s">
        <v>1074</v>
      </c>
      <c r="G376" s="231" t="s">
        <v>728</v>
      </c>
      <c r="H376" s="181"/>
      <c r="I376" s="180"/>
      <c r="J376" s="181"/>
      <c r="K376" s="181"/>
      <c r="L376" s="181"/>
      <c r="M376" s="181"/>
    </row>
    <row r="377" spans="1:13" ht="21.95" customHeight="1">
      <c r="A377" s="223"/>
      <c r="B377" s="252" t="s">
        <v>1128</v>
      </c>
      <c r="C377" s="253">
        <v>46</v>
      </c>
      <c r="D377" s="407">
        <v>2500</v>
      </c>
      <c r="E377" s="328">
        <v>115000</v>
      </c>
      <c r="F377" s="231" t="s">
        <v>1074</v>
      </c>
      <c r="G377" s="231" t="s">
        <v>728</v>
      </c>
      <c r="H377" s="181"/>
      <c r="I377" s="180"/>
      <c r="J377" s="181"/>
      <c r="K377" s="181"/>
      <c r="L377" s="181"/>
      <c r="M377" s="181"/>
    </row>
    <row r="378" spans="1:13" ht="21.95" customHeight="1">
      <c r="A378" s="223"/>
      <c r="B378" s="252" t="s">
        <v>1129</v>
      </c>
      <c r="C378" s="253">
        <v>46</v>
      </c>
      <c r="D378" s="407">
        <v>3000</v>
      </c>
      <c r="E378" s="328">
        <v>138000</v>
      </c>
      <c r="F378" s="231" t="s">
        <v>1074</v>
      </c>
      <c r="G378" s="231" t="s">
        <v>728</v>
      </c>
      <c r="H378" s="181"/>
      <c r="I378" s="180"/>
      <c r="J378" s="181"/>
      <c r="K378" s="181"/>
      <c r="L378" s="181"/>
      <c r="M378" s="181"/>
    </row>
    <row r="379" spans="1:13" ht="21.95" customHeight="1">
      <c r="A379" s="223"/>
      <c r="B379" s="252" t="s">
        <v>1130</v>
      </c>
      <c r="C379" s="253">
        <v>46</v>
      </c>
      <c r="D379" s="407">
        <v>6000</v>
      </c>
      <c r="E379" s="328">
        <v>276000</v>
      </c>
      <c r="F379" s="231" t="s">
        <v>1074</v>
      </c>
      <c r="G379" s="231" t="s">
        <v>728</v>
      </c>
      <c r="H379" s="181"/>
      <c r="I379" s="180"/>
      <c r="J379" s="181"/>
      <c r="K379" s="181"/>
      <c r="L379" s="181"/>
      <c r="M379" s="181"/>
    </row>
    <row r="380" spans="1:13" ht="21.95" customHeight="1">
      <c r="A380" s="223"/>
      <c r="B380" s="252" t="s">
        <v>1131</v>
      </c>
      <c r="C380" s="253">
        <v>46</v>
      </c>
      <c r="D380" s="407">
        <v>4066</v>
      </c>
      <c r="E380" s="328">
        <v>187036</v>
      </c>
      <c r="F380" s="231" t="s">
        <v>1074</v>
      </c>
      <c r="G380" s="231" t="s">
        <v>728</v>
      </c>
      <c r="H380" s="181"/>
      <c r="I380" s="180"/>
      <c r="J380" s="181"/>
      <c r="K380" s="181"/>
      <c r="L380" s="181"/>
      <c r="M380" s="181"/>
    </row>
    <row r="381" spans="1:13" ht="21.95" customHeight="1">
      <c r="A381" s="223"/>
      <c r="B381" s="252" t="s">
        <v>1132</v>
      </c>
      <c r="C381" s="253">
        <v>92</v>
      </c>
      <c r="D381" s="407">
        <v>130</v>
      </c>
      <c r="E381" s="328">
        <v>11960</v>
      </c>
      <c r="F381" s="231" t="s">
        <v>1074</v>
      </c>
      <c r="G381" s="231" t="s">
        <v>728</v>
      </c>
      <c r="H381" s="181"/>
      <c r="I381" s="180"/>
      <c r="J381" s="181"/>
      <c r="K381" s="181"/>
      <c r="L381" s="181"/>
      <c r="M381" s="181"/>
    </row>
    <row r="382" spans="1:13" ht="21.95" customHeight="1">
      <c r="A382" s="223"/>
      <c r="B382" s="252" t="s">
        <v>1133</v>
      </c>
      <c r="C382" s="253">
        <v>92</v>
      </c>
      <c r="D382" s="407">
        <v>150</v>
      </c>
      <c r="E382" s="328">
        <v>13800</v>
      </c>
      <c r="F382" s="231" t="s">
        <v>1074</v>
      </c>
      <c r="G382" s="231" t="s">
        <v>728</v>
      </c>
      <c r="H382" s="181"/>
      <c r="I382" s="180"/>
      <c r="J382" s="181"/>
      <c r="K382" s="181"/>
      <c r="L382" s="181"/>
      <c r="M382" s="181"/>
    </row>
    <row r="383" spans="1:13" ht="21.95" customHeight="1">
      <c r="A383" s="223"/>
      <c r="B383" s="252" t="s">
        <v>1134</v>
      </c>
      <c r="C383" s="253">
        <v>92</v>
      </c>
      <c r="D383" s="407">
        <v>36</v>
      </c>
      <c r="E383" s="328">
        <v>3312</v>
      </c>
      <c r="F383" s="231" t="s">
        <v>1074</v>
      </c>
      <c r="G383" s="231" t="s">
        <v>728</v>
      </c>
      <c r="H383" s="181"/>
      <c r="I383" s="180"/>
      <c r="J383" s="181"/>
      <c r="K383" s="181"/>
      <c r="L383" s="181"/>
      <c r="M383" s="181"/>
    </row>
    <row r="384" spans="1:13" ht="21.95" customHeight="1">
      <c r="A384" s="223"/>
      <c r="B384" s="252" t="s">
        <v>1135</v>
      </c>
      <c r="C384" s="253">
        <v>92</v>
      </c>
      <c r="D384" s="407">
        <v>206</v>
      </c>
      <c r="E384" s="328">
        <v>18952</v>
      </c>
      <c r="F384" s="231" t="s">
        <v>1074</v>
      </c>
      <c r="G384" s="231" t="s">
        <v>728</v>
      </c>
      <c r="H384" s="181"/>
      <c r="I384" s="180"/>
      <c r="J384" s="181"/>
      <c r="K384" s="181"/>
      <c r="L384" s="181"/>
      <c r="M384" s="181"/>
    </row>
    <row r="385" spans="1:13" ht="21.95" customHeight="1">
      <c r="A385" s="223"/>
      <c r="B385" s="252" t="s">
        <v>1136</v>
      </c>
      <c r="C385" s="253">
        <v>92</v>
      </c>
      <c r="D385" s="407">
        <v>50</v>
      </c>
      <c r="E385" s="328">
        <v>4600</v>
      </c>
      <c r="F385" s="231" t="s">
        <v>1074</v>
      </c>
      <c r="G385" s="231" t="s">
        <v>728</v>
      </c>
      <c r="H385" s="181"/>
      <c r="I385" s="180"/>
      <c r="J385" s="181"/>
      <c r="K385" s="181"/>
      <c r="L385" s="181"/>
      <c r="M385" s="181"/>
    </row>
    <row r="386" spans="1:13" ht="21.95" customHeight="1">
      <c r="A386" s="223"/>
      <c r="B386" s="252" t="s">
        <v>1137</v>
      </c>
      <c r="C386" s="253">
        <v>92</v>
      </c>
      <c r="D386" s="407">
        <v>4</v>
      </c>
      <c r="E386" s="328">
        <v>368</v>
      </c>
      <c r="F386" s="231" t="s">
        <v>1074</v>
      </c>
      <c r="G386" s="231" t="s">
        <v>728</v>
      </c>
      <c r="H386" s="181"/>
      <c r="I386" s="180"/>
      <c r="J386" s="181"/>
      <c r="K386" s="181"/>
      <c r="L386" s="181"/>
      <c r="M386" s="181"/>
    </row>
    <row r="387" spans="1:13" ht="21.95" customHeight="1">
      <c r="A387" s="223"/>
      <c r="B387" s="252" t="s">
        <v>1138</v>
      </c>
      <c r="C387" s="253">
        <v>46</v>
      </c>
      <c r="D387" s="407">
        <v>100</v>
      </c>
      <c r="E387" s="328">
        <v>4600</v>
      </c>
      <c r="F387" s="231" t="s">
        <v>1074</v>
      </c>
      <c r="G387" s="231" t="s">
        <v>728</v>
      </c>
      <c r="H387" s="181"/>
      <c r="I387" s="180"/>
      <c r="J387" s="181"/>
      <c r="K387" s="181"/>
      <c r="L387" s="181"/>
      <c r="M387" s="181"/>
    </row>
    <row r="388" spans="1:13" ht="21.95" customHeight="1">
      <c r="A388" s="223"/>
      <c r="B388" s="252" t="s">
        <v>1112</v>
      </c>
      <c r="C388" s="253">
        <v>46</v>
      </c>
      <c r="D388" s="407">
        <v>100</v>
      </c>
      <c r="E388" s="328">
        <v>4600</v>
      </c>
      <c r="F388" s="231" t="s">
        <v>1074</v>
      </c>
      <c r="G388" s="231" t="s">
        <v>728</v>
      </c>
      <c r="H388" s="181"/>
      <c r="I388" s="180"/>
      <c r="J388" s="181"/>
      <c r="K388" s="181"/>
      <c r="L388" s="181"/>
      <c r="M388" s="181"/>
    </row>
    <row r="389" spans="1:13" ht="21.95" customHeight="1">
      <c r="A389" s="223"/>
      <c r="B389" s="252" t="s">
        <v>1139</v>
      </c>
      <c r="C389" s="253">
        <v>46</v>
      </c>
      <c r="D389" s="407">
        <v>290</v>
      </c>
      <c r="E389" s="328">
        <v>13340</v>
      </c>
      <c r="F389" s="231" t="s">
        <v>1074</v>
      </c>
      <c r="G389" s="231" t="s">
        <v>728</v>
      </c>
      <c r="H389" s="181"/>
      <c r="I389" s="180"/>
      <c r="J389" s="181"/>
      <c r="K389" s="181"/>
      <c r="L389" s="181"/>
      <c r="M389" s="181"/>
    </row>
    <row r="390" spans="1:13" ht="21.95" customHeight="1">
      <c r="A390" s="223"/>
      <c r="B390" s="252" t="s">
        <v>1140</v>
      </c>
      <c r="C390" s="253">
        <v>46</v>
      </c>
      <c r="D390" s="407">
        <v>500</v>
      </c>
      <c r="E390" s="328">
        <v>23000</v>
      </c>
      <c r="F390" s="231" t="s">
        <v>1074</v>
      </c>
      <c r="G390" s="231" t="s">
        <v>728</v>
      </c>
      <c r="H390" s="181"/>
      <c r="I390" s="180"/>
      <c r="J390" s="181"/>
      <c r="K390" s="181"/>
      <c r="L390" s="181"/>
      <c r="M390" s="181"/>
    </row>
    <row r="391" spans="1:13" ht="21.95" customHeight="1">
      <c r="A391" s="223"/>
      <c r="B391" s="252" t="s">
        <v>1141</v>
      </c>
      <c r="C391" s="253">
        <v>46</v>
      </c>
      <c r="D391" s="407">
        <v>200</v>
      </c>
      <c r="E391" s="328">
        <v>9200</v>
      </c>
      <c r="F391" s="231" t="s">
        <v>1074</v>
      </c>
      <c r="G391" s="231" t="s">
        <v>728</v>
      </c>
      <c r="H391" s="181"/>
      <c r="I391" s="180"/>
      <c r="J391" s="181"/>
      <c r="K391" s="181"/>
      <c r="L391" s="181"/>
      <c r="M391" s="181"/>
    </row>
    <row r="392" spans="1:13" ht="21.95" customHeight="1">
      <c r="A392" s="223"/>
      <c r="B392" s="252" t="s">
        <v>1142</v>
      </c>
      <c r="C392" s="253">
        <v>46</v>
      </c>
      <c r="D392" s="407">
        <v>900</v>
      </c>
      <c r="E392" s="328">
        <v>41400</v>
      </c>
      <c r="F392" s="231" t="s">
        <v>1074</v>
      </c>
      <c r="G392" s="231" t="s">
        <v>728</v>
      </c>
      <c r="H392" s="181"/>
      <c r="I392" s="180"/>
      <c r="J392" s="181"/>
      <c r="K392" s="181"/>
      <c r="L392" s="181"/>
      <c r="M392" s="181"/>
    </row>
    <row r="393" spans="1:13" ht="21.95" customHeight="1">
      <c r="A393" s="223"/>
      <c r="B393" s="252" t="s">
        <v>1143</v>
      </c>
      <c r="C393" s="253">
        <v>46</v>
      </c>
      <c r="D393" s="407">
        <v>70</v>
      </c>
      <c r="E393" s="328">
        <v>3220</v>
      </c>
      <c r="F393" s="231" t="s">
        <v>1074</v>
      </c>
      <c r="G393" s="231" t="s">
        <v>728</v>
      </c>
      <c r="H393" s="181"/>
      <c r="I393" s="180"/>
      <c r="J393" s="181"/>
      <c r="K393" s="181"/>
      <c r="L393" s="181"/>
      <c r="M393" s="181"/>
    </row>
    <row r="394" spans="1:13" ht="21.95" customHeight="1">
      <c r="A394" s="223"/>
      <c r="B394" s="252" t="s">
        <v>1144</v>
      </c>
      <c r="C394" s="253">
        <v>46</v>
      </c>
      <c r="D394" s="407">
        <v>600</v>
      </c>
      <c r="E394" s="328">
        <v>27600</v>
      </c>
      <c r="F394" s="231" t="s">
        <v>1074</v>
      </c>
      <c r="G394" s="231" t="s">
        <v>728</v>
      </c>
      <c r="H394" s="181"/>
      <c r="I394" s="180"/>
      <c r="J394" s="181"/>
      <c r="K394" s="181"/>
      <c r="L394" s="181"/>
      <c r="M394" s="181"/>
    </row>
    <row r="395" spans="1:13" ht="21.95" customHeight="1">
      <c r="A395" s="223"/>
      <c r="B395" s="252" t="s">
        <v>1145</v>
      </c>
      <c r="C395" s="253">
        <v>184</v>
      </c>
      <c r="D395" s="407">
        <v>68</v>
      </c>
      <c r="E395" s="328">
        <v>12512</v>
      </c>
      <c r="F395" s="231" t="s">
        <v>1074</v>
      </c>
      <c r="G395" s="231" t="s">
        <v>728</v>
      </c>
      <c r="H395" s="181"/>
      <c r="I395" s="180"/>
      <c r="J395" s="181"/>
      <c r="K395" s="181"/>
      <c r="L395" s="181"/>
      <c r="M395" s="181"/>
    </row>
    <row r="396" spans="1:13" ht="21.95" customHeight="1">
      <c r="A396" s="223"/>
      <c r="B396" s="252" t="s">
        <v>1146</v>
      </c>
      <c r="C396" s="253">
        <v>184</v>
      </c>
      <c r="D396" s="407">
        <v>244</v>
      </c>
      <c r="E396" s="328">
        <v>44896</v>
      </c>
      <c r="F396" s="231" t="s">
        <v>1074</v>
      </c>
      <c r="G396" s="231" t="s">
        <v>728</v>
      </c>
      <c r="H396" s="181"/>
      <c r="I396" s="180"/>
      <c r="J396" s="181"/>
      <c r="K396" s="181"/>
      <c r="L396" s="181"/>
      <c r="M396" s="181"/>
    </row>
    <row r="397" spans="1:13" ht="21.95" customHeight="1">
      <c r="A397" s="223"/>
      <c r="B397" s="252" t="s">
        <v>1147</v>
      </c>
      <c r="C397" s="253">
        <v>184</v>
      </c>
      <c r="D397" s="407">
        <v>802.5</v>
      </c>
      <c r="E397" s="328">
        <v>147660</v>
      </c>
      <c r="F397" s="231" t="s">
        <v>1074</v>
      </c>
      <c r="G397" s="231" t="s">
        <v>728</v>
      </c>
      <c r="H397" s="181"/>
      <c r="I397" s="180"/>
      <c r="J397" s="181"/>
      <c r="K397" s="181"/>
      <c r="L397" s="181"/>
      <c r="M397" s="181"/>
    </row>
    <row r="398" spans="1:13" ht="21.95" customHeight="1">
      <c r="A398" s="223"/>
      <c r="B398" s="252" t="s">
        <v>1148</v>
      </c>
      <c r="C398" s="253">
        <v>92</v>
      </c>
      <c r="D398" s="407">
        <v>406.6</v>
      </c>
      <c r="E398" s="328">
        <v>37407.200000000004</v>
      </c>
      <c r="F398" s="231" t="s">
        <v>1074</v>
      </c>
      <c r="G398" s="231" t="s">
        <v>728</v>
      </c>
      <c r="H398" s="181"/>
      <c r="I398" s="180"/>
      <c r="J398" s="181"/>
      <c r="K398" s="181"/>
      <c r="L398" s="181"/>
      <c r="M398" s="181"/>
    </row>
    <row r="399" spans="1:13" ht="21.95" customHeight="1">
      <c r="A399" s="223"/>
      <c r="B399" s="252" t="s">
        <v>1149</v>
      </c>
      <c r="C399" s="253">
        <v>46</v>
      </c>
      <c r="D399" s="407">
        <v>192.6</v>
      </c>
      <c r="E399" s="328">
        <v>8859.6</v>
      </c>
      <c r="F399" s="231" t="s">
        <v>1074</v>
      </c>
      <c r="G399" s="231" t="s">
        <v>728</v>
      </c>
      <c r="H399" s="181"/>
      <c r="I399" s="180"/>
      <c r="J399" s="181"/>
      <c r="K399" s="181"/>
      <c r="L399" s="181"/>
      <c r="M399" s="181"/>
    </row>
    <row r="400" spans="1:13" ht="21.95" customHeight="1">
      <c r="A400" s="223"/>
      <c r="B400" s="252" t="s">
        <v>1150</v>
      </c>
      <c r="C400" s="253">
        <v>46</v>
      </c>
      <c r="D400" s="407">
        <v>495</v>
      </c>
      <c r="E400" s="328">
        <v>22770</v>
      </c>
      <c r="F400" s="231" t="s">
        <v>1074</v>
      </c>
      <c r="G400" s="231" t="s">
        <v>728</v>
      </c>
      <c r="H400" s="181"/>
      <c r="I400" s="180"/>
      <c r="J400" s="181"/>
      <c r="K400" s="181"/>
      <c r="L400" s="181"/>
      <c r="M400" s="181"/>
    </row>
    <row r="401" spans="1:13" ht="21.95" customHeight="1">
      <c r="A401" s="223"/>
      <c r="B401" s="252" t="s">
        <v>1151</v>
      </c>
      <c r="C401" s="253">
        <v>230</v>
      </c>
      <c r="D401" s="407">
        <v>40.659999999999997</v>
      </c>
      <c r="E401" s="328">
        <v>9351.7999999999993</v>
      </c>
      <c r="F401" s="231" t="s">
        <v>1074</v>
      </c>
      <c r="G401" s="231" t="s">
        <v>728</v>
      </c>
      <c r="H401" s="181"/>
      <c r="I401" s="180"/>
      <c r="J401" s="181"/>
      <c r="K401" s="181"/>
      <c r="L401" s="181"/>
      <c r="M401" s="181"/>
    </row>
    <row r="402" spans="1:13" ht="21.95" customHeight="1">
      <c r="A402" s="223"/>
      <c r="B402" s="252" t="s">
        <v>1152</v>
      </c>
      <c r="C402" s="253">
        <v>92</v>
      </c>
      <c r="D402" s="407">
        <v>481.5</v>
      </c>
      <c r="E402" s="328">
        <v>44298</v>
      </c>
      <c r="F402" s="231" t="s">
        <v>1074</v>
      </c>
      <c r="G402" s="231" t="s">
        <v>728</v>
      </c>
      <c r="H402" s="181"/>
      <c r="I402" s="180"/>
      <c r="J402" s="181"/>
      <c r="K402" s="181"/>
      <c r="L402" s="181"/>
      <c r="M402" s="181"/>
    </row>
    <row r="403" spans="1:13" ht="21.95" customHeight="1">
      <c r="A403" s="223"/>
      <c r="B403" s="252" t="s">
        <v>1153</v>
      </c>
      <c r="C403" s="253">
        <v>184</v>
      </c>
      <c r="D403" s="407">
        <v>85.6</v>
      </c>
      <c r="E403" s="328">
        <v>15750.4</v>
      </c>
      <c r="F403" s="231" t="s">
        <v>1074</v>
      </c>
      <c r="G403" s="231" t="s">
        <v>728</v>
      </c>
      <c r="H403" s="181"/>
      <c r="I403" s="180"/>
      <c r="J403" s="181"/>
      <c r="K403" s="181"/>
      <c r="L403" s="181"/>
      <c r="M403" s="181"/>
    </row>
    <row r="404" spans="1:13" ht="21.95" customHeight="1">
      <c r="A404" s="223"/>
      <c r="B404" s="252" t="s">
        <v>1154</v>
      </c>
      <c r="C404" s="253">
        <v>184</v>
      </c>
      <c r="D404" s="407">
        <v>90.95</v>
      </c>
      <c r="E404" s="328">
        <v>16734.8</v>
      </c>
      <c r="F404" s="231" t="s">
        <v>1074</v>
      </c>
      <c r="G404" s="231" t="s">
        <v>728</v>
      </c>
      <c r="H404" s="181"/>
      <c r="I404" s="180"/>
      <c r="J404" s="181"/>
      <c r="K404" s="181"/>
      <c r="L404" s="181"/>
      <c r="M404" s="181"/>
    </row>
    <row r="405" spans="1:13" ht="21.95" customHeight="1">
      <c r="A405" s="223"/>
      <c r="B405" s="252" t="s">
        <v>1155</v>
      </c>
      <c r="C405" s="253">
        <v>92</v>
      </c>
      <c r="D405" s="407">
        <v>113.42</v>
      </c>
      <c r="E405" s="328">
        <v>10434.64</v>
      </c>
      <c r="F405" s="231" t="s">
        <v>1074</v>
      </c>
      <c r="G405" s="231" t="s">
        <v>728</v>
      </c>
      <c r="H405" s="181"/>
      <c r="I405" s="180"/>
      <c r="J405" s="181"/>
      <c r="K405" s="181"/>
      <c r="L405" s="181"/>
      <c r="M405" s="181"/>
    </row>
    <row r="406" spans="1:13" ht="21.95" customHeight="1">
      <c r="A406" s="223"/>
      <c r="B406" s="252" t="s">
        <v>1156</v>
      </c>
      <c r="C406" s="253">
        <v>46</v>
      </c>
      <c r="D406" s="407">
        <v>50</v>
      </c>
      <c r="E406" s="328">
        <v>2300</v>
      </c>
      <c r="F406" s="231" t="s">
        <v>1074</v>
      </c>
      <c r="G406" s="231" t="s">
        <v>728</v>
      </c>
      <c r="H406" s="181"/>
      <c r="I406" s="180"/>
      <c r="J406" s="181"/>
      <c r="K406" s="181"/>
      <c r="L406" s="181"/>
      <c r="M406" s="181"/>
    </row>
    <row r="407" spans="1:13" ht="21.95" customHeight="1">
      <c r="A407" s="223"/>
      <c r="B407" s="252" t="s">
        <v>1157</v>
      </c>
      <c r="C407" s="253">
        <v>46</v>
      </c>
      <c r="D407" s="407">
        <v>395</v>
      </c>
      <c r="E407" s="328">
        <v>18170</v>
      </c>
      <c r="F407" s="231" t="s">
        <v>1074</v>
      </c>
      <c r="G407" s="231" t="s">
        <v>728</v>
      </c>
      <c r="H407" s="181"/>
      <c r="I407" s="180"/>
      <c r="J407" s="181"/>
      <c r="K407" s="181"/>
      <c r="L407" s="181"/>
      <c r="M407" s="181"/>
    </row>
    <row r="408" spans="1:13" ht="21.95" customHeight="1">
      <c r="A408" s="223"/>
      <c r="B408" s="252" t="s">
        <v>1158</v>
      </c>
      <c r="C408" s="253">
        <v>46</v>
      </c>
      <c r="D408" s="407">
        <v>909.5</v>
      </c>
      <c r="E408" s="328">
        <v>41837</v>
      </c>
      <c r="F408" s="231" t="s">
        <v>1074</v>
      </c>
      <c r="G408" s="231" t="s">
        <v>728</v>
      </c>
      <c r="H408" s="181"/>
      <c r="I408" s="180"/>
      <c r="J408" s="181"/>
      <c r="K408" s="181"/>
      <c r="L408" s="181"/>
      <c r="M408" s="181"/>
    </row>
    <row r="409" spans="1:13" ht="21.95" customHeight="1">
      <c r="A409" s="223"/>
      <c r="B409" s="252" t="s">
        <v>1159</v>
      </c>
      <c r="C409" s="253">
        <v>46</v>
      </c>
      <c r="D409" s="407">
        <v>695.5</v>
      </c>
      <c r="E409" s="328">
        <v>31993</v>
      </c>
      <c r="F409" s="231" t="s">
        <v>1074</v>
      </c>
      <c r="G409" s="231" t="s">
        <v>728</v>
      </c>
      <c r="H409" s="181"/>
      <c r="I409" s="180"/>
      <c r="J409" s="181"/>
      <c r="K409" s="181"/>
      <c r="L409" s="181"/>
      <c r="M409" s="181"/>
    </row>
    <row r="410" spans="1:13" ht="21.95" customHeight="1">
      <c r="A410" s="223"/>
      <c r="B410" s="252" t="s">
        <v>1160</v>
      </c>
      <c r="C410" s="253">
        <v>46</v>
      </c>
      <c r="D410" s="407">
        <v>449.4</v>
      </c>
      <c r="E410" s="328">
        <v>20672.399999999998</v>
      </c>
      <c r="F410" s="231" t="s">
        <v>1074</v>
      </c>
      <c r="G410" s="231" t="s">
        <v>728</v>
      </c>
      <c r="H410" s="181"/>
      <c r="I410" s="180"/>
      <c r="J410" s="181"/>
      <c r="K410" s="181"/>
      <c r="L410" s="181"/>
      <c r="M410" s="181"/>
    </row>
    <row r="411" spans="1:13" ht="21.95" customHeight="1">
      <c r="A411" s="223"/>
      <c r="B411" s="252" t="s">
        <v>1161</v>
      </c>
      <c r="C411" s="253">
        <v>5</v>
      </c>
      <c r="D411" s="407">
        <v>395</v>
      </c>
      <c r="E411" s="328">
        <v>1975</v>
      </c>
      <c r="F411" s="231" t="s">
        <v>1074</v>
      </c>
      <c r="G411" s="231" t="s">
        <v>728</v>
      </c>
      <c r="H411" s="181"/>
      <c r="I411" s="180"/>
      <c r="J411" s="181"/>
      <c r="K411" s="181"/>
      <c r="L411" s="181"/>
      <c r="M411" s="181"/>
    </row>
    <row r="412" spans="1:13" ht="21.95" customHeight="1">
      <c r="A412" s="223"/>
      <c r="B412" s="252" t="s">
        <v>1162</v>
      </c>
      <c r="C412" s="253">
        <v>5</v>
      </c>
      <c r="D412" s="407">
        <v>395</v>
      </c>
      <c r="E412" s="328">
        <v>1975</v>
      </c>
      <c r="F412" s="231" t="s">
        <v>1074</v>
      </c>
      <c r="G412" s="231" t="s">
        <v>728</v>
      </c>
      <c r="H412" s="181"/>
      <c r="I412" s="180"/>
      <c r="J412" s="181"/>
      <c r="K412" s="181"/>
      <c r="L412" s="181"/>
      <c r="M412" s="181"/>
    </row>
    <row r="413" spans="1:13" ht="21.95" customHeight="1">
      <c r="A413" s="223"/>
      <c r="B413" s="252" t="s">
        <v>1163</v>
      </c>
      <c r="C413" s="253">
        <v>500</v>
      </c>
      <c r="D413" s="407">
        <v>105</v>
      </c>
      <c r="E413" s="328">
        <v>52500</v>
      </c>
      <c r="F413" s="231" t="s">
        <v>1074</v>
      </c>
      <c r="G413" s="231" t="s">
        <v>728</v>
      </c>
      <c r="H413" s="181"/>
      <c r="I413" s="180"/>
      <c r="J413" s="181"/>
      <c r="K413" s="181"/>
      <c r="L413" s="181"/>
      <c r="M413" s="181"/>
    </row>
    <row r="414" spans="1:13" ht="21.95" customHeight="1">
      <c r="A414" s="223"/>
      <c r="B414" s="252" t="s">
        <v>1164</v>
      </c>
      <c r="C414" s="253">
        <v>46</v>
      </c>
      <c r="D414" s="407">
        <v>206</v>
      </c>
      <c r="E414" s="328">
        <v>9476</v>
      </c>
      <c r="F414" s="231" t="s">
        <v>1074</v>
      </c>
      <c r="G414" s="231" t="s">
        <v>728</v>
      </c>
      <c r="H414" s="181"/>
      <c r="I414" s="180"/>
      <c r="J414" s="181"/>
      <c r="K414" s="181"/>
      <c r="L414" s="181"/>
      <c r="M414" s="181"/>
    </row>
    <row r="415" spans="1:13" ht="21.95" customHeight="1">
      <c r="A415" s="411"/>
      <c r="B415" s="412"/>
      <c r="C415" s="352"/>
      <c r="D415" s="477"/>
      <c r="E415" s="459">
        <f>SUM(E320:E414)</f>
        <v>18902524.240000002</v>
      </c>
      <c r="H415" s="181"/>
      <c r="I415" s="180"/>
      <c r="J415" s="181"/>
      <c r="K415" s="181"/>
      <c r="L415" s="181"/>
      <c r="M415" s="181"/>
    </row>
    <row r="416" spans="1:13" ht="21.95" customHeight="1">
      <c r="A416" s="411"/>
      <c r="B416" s="412"/>
      <c r="C416" s="352"/>
      <c r="D416" s="477"/>
      <c r="E416" s="459"/>
      <c r="H416" s="181"/>
      <c r="I416" s="180"/>
      <c r="J416" s="181"/>
      <c r="K416" s="181"/>
      <c r="L416" s="181"/>
      <c r="M416" s="181"/>
    </row>
    <row r="417" spans="1:13" ht="21.95" customHeight="1">
      <c r="A417" s="411"/>
      <c r="B417" s="412"/>
      <c r="C417" s="352"/>
      <c r="D417" s="477"/>
      <c r="E417" s="459"/>
      <c r="H417" s="181"/>
      <c r="I417" s="180"/>
      <c r="J417" s="181"/>
      <c r="K417" s="181"/>
      <c r="L417" s="181"/>
      <c r="M417" s="181"/>
    </row>
    <row r="418" spans="1:13" ht="21.95" customHeight="1">
      <c r="A418" s="411"/>
      <c r="B418" s="412"/>
      <c r="C418" s="352"/>
      <c r="D418" s="477"/>
      <c r="E418" s="459"/>
      <c r="H418" s="181"/>
      <c r="I418" s="180"/>
      <c r="J418" s="181"/>
      <c r="K418" s="181"/>
      <c r="L418" s="181"/>
      <c r="M418" s="181"/>
    </row>
    <row r="419" spans="1:13" ht="21.95" customHeight="1">
      <c r="A419" s="411"/>
      <c r="B419" s="412"/>
      <c r="C419" s="352"/>
      <c r="D419" s="477"/>
      <c r="E419" s="459"/>
      <c r="H419" s="181"/>
      <c r="I419" s="180"/>
      <c r="J419" s="181"/>
      <c r="K419" s="181"/>
      <c r="L419" s="181"/>
      <c r="M419" s="181"/>
    </row>
    <row r="420" spans="1:13" ht="21.95" customHeight="1">
      <c r="A420" s="411"/>
      <c r="B420" s="412"/>
      <c r="C420" s="352"/>
      <c r="D420" s="477"/>
      <c r="E420" s="459"/>
      <c r="H420" s="181"/>
      <c r="I420" s="180"/>
      <c r="J420" s="181"/>
      <c r="K420" s="181"/>
      <c r="L420" s="181"/>
      <c r="M420" s="181"/>
    </row>
    <row r="421" spans="1:13" ht="21.95" customHeight="1">
      <c r="A421" s="411"/>
      <c r="B421" s="412"/>
      <c r="C421" s="352"/>
      <c r="D421" s="477"/>
      <c r="E421" s="459"/>
      <c r="H421" s="181"/>
      <c r="I421" s="180"/>
      <c r="J421" s="181"/>
      <c r="K421" s="181"/>
      <c r="L421" s="181"/>
      <c r="M421" s="181"/>
    </row>
    <row r="422" spans="1:13" ht="21.95" customHeight="1">
      <c r="A422" s="411"/>
      <c r="B422" s="412"/>
      <c r="C422" s="352"/>
      <c r="D422" s="477"/>
      <c r="E422" s="459"/>
      <c r="H422" s="181"/>
      <c r="I422" s="180"/>
      <c r="J422" s="181"/>
      <c r="K422" s="181"/>
      <c r="L422" s="181"/>
      <c r="M422" s="181"/>
    </row>
    <row r="423" spans="1:13" ht="21.95" customHeight="1">
      <c r="A423" s="411"/>
      <c r="B423" s="412"/>
      <c r="C423" s="352"/>
      <c r="D423" s="477"/>
      <c r="E423" s="459"/>
      <c r="H423" s="181"/>
      <c r="I423" s="180"/>
      <c r="J423" s="181"/>
      <c r="K423" s="181"/>
      <c r="L423" s="181"/>
      <c r="M423" s="181"/>
    </row>
    <row r="424" spans="1:13" ht="21.95" customHeight="1">
      <c r="A424" s="411"/>
      <c r="B424" s="412"/>
      <c r="C424" s="352"/>
      <c r="D424" s="477"/>
      <c r="E424" s="459"/>
      <c r="H424" s="181"/>
      <c r="I424" s="180"/>
      <c r="J424" s="181"/>
      <c r="K424" s="181"/>
      <c r="L424" s="181"/>
      <c r="M424" s="181"/>
    </row>
    <row r="425" spans="1:13" ht="21.95" customHeight="1">
      <c r="A425" s="411"/>
      <c r="B425" s="412"/>
      <c r="C425" s="352"/>
      <c r="D425" s="477"/>
      <c r="E425" s="459"/>
      <c r="H425" s="181"/>
      <c r="I425" s="180"/>
      <c r="J425" s="181"/>
      <c r="K425" s="181"/>
      <c r="L425" s="181"/>
      <c r="M425" s="181"/>
    </row>
    <row r="426" spans="1:13" ht="21.95" customHeight="1">
      <c r="A426" s="411"/>
      <c r="B426" s="412"/>
      <c r="C426" s="352"/>
      <c r="D426" s="477"/>
      <c r="E426" s="459"/>
      <c r="H426" s="181"/>
      <c r="I426" s="180"/>
      <c r="J426" s="181"/>
      <c r="K426" s="181"/>
      <c r="L426" s="181"/>
      <c r="M426" s="181"/>
    </row>
    <row r="427" spans="1:13" ht="21.95" customHeight="1">
      <c r="A427" s="411"/>
      <c r="B427" s="412"/>
      <c r="C427" s="352"/>
      <c r="D427" s="477"/>
      <c r="E427" s="459"/>
      <c r="H427" s="181"/>
      <c r="I427" s="180"/>
      <c r="J427" s="181"/>
      <c r="K427" s="181"/>
      <c r="L427" s="181"/>
      <c r="M427" s="181"/>
    </row>
    <row r="428" spans="1:13" ht="21.95" customHeight="1">
      <c r="A428" s="411"/>
      <c r="B428" s="412"/>
      <c r="C428" s="352"/>
      <c r="D428" s="477"/>
      <c r="E428" s="459"/>
      <c r="H428" s="181"/>
      <c r="I428" s="180"/>
      <c r="J428" s="181"/>
      <c r="K428" s="181"/>
      <c r="L428" s="181"/>
      <c r="M428" s="181"/>
    </row>
    <row r="429" spans="1:13" ht="21.95" customHeight="1">
      <c r="A429" s="411"/>
      <c r="B429" s="412"/>
      <c r="C429" s="352"/>
      <c r="D429" s="477"/>
      <c r="E429" s="459"/>
      <c r="H429" s="181"/>
      <c r="I429" s="180"/>
      <c r="J429" s="181"/>
      <c r="K429" s="181"/>
      <c r="L429" s="181"/>
      <c r="M429" s="181"/>
    </row>
    <row r="430" spans="1:13" ht="21">
      <c r="A430" s="2805" t="s">
        <v>630</v>
      </c>
      <c r="B430" s="2806"/>
      <c r="C430" s="2806"/>
      <c r="D430" s="2806"/>
      <c r="E430" s="2806"/>
      <c r="F430" s="2807"/>
      <c r="G430" s="181"/>
      <c r="H430" s="181"/>
      <c r="I430" s="180"/>
      <c r="J430" s="181"/>
      <c r="K430" s="181"/>
      <c r="L430" s="181"/>
      <c r="M430" s="181"/>
    </row>
    <row r="431" spans="1:13" ht="21">
      <c r="A431" s="296">
        <v>1</v>
      </c>
      <c r="B431" s="297" t="s">
        <v>554</v>
      </c>
      <c r="C431" s="296">
        <v>1</v>
      </c>
      <c r="D431" s="298">
        <v>5100000</v>
      </c>
      <c r="E431" s="467">
        <f t="shared" ref="E431:E441" si="20">+C431*D431</f>
        <v>5100000</v>
      </c>
      <c r="F431" s="231" t="s">
        <v>562</v>
      </c>
      <c r="I431" s="180"/>
      <c r="J431" s="181"/>
      <c r="K431" s="181"/>
      <c r="L431" s="181"/>
      <c r="M431" s="181"/>
    </row>
    <row r="432" spans="1:13" ht="21">
      <c r="A432" s="253">
        <v>2</v>
      </c>
      <c r="B432" s="252" t="s">
        <v>555</v>
      </c>
      <c r="C432" s="253">
        <v>1</v>
      </c>
      <c r="D432" s="299">
        <v>2800000</v>
      </c>
      <c r="E432" s="468">
        <f t="shared" si="20"/>
        <v>2800000</v>
      </c>
      <c r="F432" s="231" t="s">
        <v>562</v>
      </c>
      <c r="I432" s="180"/>
      <c r="J432" s="181"/>
      <c r="K432" s="181"/>
      <c r="L432" s="181"/>
      <c r="M432" s="181"/>
    </row>
    <row r="433" spans="1:13" ht="21">
      <c r="A433" s="296">
        <v>3</v>
      </c>
      <c r="B433" s="297" t="s">
        <v>556</v>
      </c>
      <c r="C433" s="296">
        <v>1</v>
      </c>
      <c r="D433" s="298">
        <v>1400000</v>
      </c>
      <c r="E433" s="467">
        <f t="shared" si="20"/>
        <v>1400000</v>
      </c>
      <c r="F433" s="231" t="s">
        <v>562</v>
      </c>
      <c r="I433" s="180"/>
      <c r="J433" s="181"/>
      <c r="K433" s="181"/>
      <c r="L433" s="181"/>
      <c r="M433" s="181"/>
    </row>
    <row r="434" spans="1:13" ht="21">
      <c r="A434" s="296">
        <v>4</v>
      </c>
      <c r="B434" s="297" t="s">
        <v>557</v>
      </c>
      <c r="C434" s="296">
        <v>2</v>
      </c>
      <c r="D434" s="298">
        <v>500000</v>
      </c>
      <c r="E434" s="467">
        <f t="shared" si="20"/>
        <v>1000000</v>
      </c>
      <c r="F434" s="231" t="s">
        <v>562</v>
      </c>
      <c r="I434" s="180"/>
      <c r="J434" s="181"/>
      <c r="K434" s="181"/>
      <c r="L434" s="181"/>
      <c r="M434" s="181"/>
    </row>
    <row r="435" spans="1:13" ht="21">
      <c r="A435" s="296">
        <v>5</v>
      </c>
      <c r="B435" s="297" t="s">
        <v>558</v>
      </c>
      <c r="C435" s="296">
        <v>2</v>
      </c>
      <c r="D435" s="298">
        <v>370000</v>
      </c>
      <c r="E435" s="467">
        <f t="shared" si="20"/>
        <v>740000</v>
      </c>
      <c r="F435" s="231" t="s">
        <v>562</v>
      </c>
      <c r="I435" s="180"/>
      <c r="J435" s="181"/>
      <c r="K435" s="181"/>
      <c r="L435" s="181"/>
      <c r="M435" s="181"/>
    </row>
    <row r="436" spans="1:13" ht="21">
      <c r="A436" s="253">
        <v>6</v>
      </c>
      <c r="B436" s="252" t="s">
        <v>1042</v>
      </c>
      <c r="C436" s="253">
        <v>1</v>
      </c>
      <c r="D436" s="299">
        <v>2200000</v>
      </c>
      <c r="E436" s="468">
        <f t="shared" si="20"/>
        <v>2200000</v>
      </c>
      <c r="F436" s="231" t="s">
        <v>562</v>
      </c>
      <c r="I436" s="180"/>
      <c r="J436" s="181"/>
      <c r="K436" s="181"/>
      <c r="L436" s="181"/>
      <c r="M436" s="181"/>
    </row>
    <row r="437" spans="1:13" ht="21">
      <c r="A437" s="296">
        <v>7</v>
      </c>
      <c r="B437" s="297" t="s">
        <v>559</v>
      </c>
      <c r="C437" s="296">
        <v>1</v>
      </c>
      <c r="D437" s="298">
        <v>1800000</v>
      </c>
      <c r="E437" s="467">
        <f t="shared" si="20"/>
        <v>1800000</v>
      </c>
      <c r="F437" s="231" t="s">
        <v>562</v>
      </c>
      <c r="I437" s="180"/>
      <c r="J437" s="181"/>
      <c r="K437" s="181"/>
      <c r="L437" s="181"/>
      <c r="M437" s="181"/>
    </row>
    <row r="438" spans="1:13" ht="21">
      <c r="A438" s="296">
        <v>8</v>
      </c>
      <c r="B438" s="297" t="s">
        <v>560</v>
      </c>
      <c r="C438" s="296">
        <v>1</v>
      </c>
      <c r="D438" s="298">
        <v>2000000</v>
      </c>
      <c r="E438" s="467">
        <f t="shared" si="20"/>
        <v>2000000</v>
      </c>
      <c r="F438" s="231" t="s">
        <v>563</v>
      </c>
      <c r="I438" s="180"/>
      <c r="J438" s="181"/>
      <c r="K438" s="181"/>
      <c r="L438" s="181"/>
      <c r="M438" s="181"/>
    </row>
    <row r="439" spans="1:13" ht="24">
      <c r="A439" s="296">
        <v>9</v>
      </c>
      <c r="B439" s="528" t="s">
        <v>1032</v>
      </c>
      <c r="C439" s="532">
        <v>1</v>
      </c>
      <c r="D439" s="529">
        <v>890000</v>
      </c>
      <c r="E439" s="535">
        <f t="shared" si="20"/>
        <v>890000</v>
      </c>
      <c r="F439" s="231" t="s">
        <v>562</v>
      </c>
      <c r="I439" s="180"/>
      <c r="J439" s="181"/>
      <c r="K439" s="181"/>
      <c r="L439" s="181"/>
      <c r="M439" s="181"/>
    </row>
    <row r="440" spans="1:13" ht="24">
      <c r="A440" s="253">
        <v>10</v>
      </c>
      <c r="B440" s="528" t="s">
        <v>1033</v>
      </c>
      <c r="C440" s="532">
        <v>1</v>
      </c>
      <c r="D440" s="529">
        <v>268000</v>
      </c>
      <c r="E440" s="535">
        <f t="shared" si="20"/>
        <v>268000</v>
      </c>
      <c r="F440" s="231" t="s">
        <v>562</v>
      </c>
      <c r="I440" s="180"/>
      <c r="J440" s="181"/>
      <c r="K440" s="181"/>
      <c r="L440" s="181"/>
      <c r="M440" s="181"/>
    </row>
    <row r="441" spans="1:13" ht="24">
      <c r="A441" s="296">
        <v>11</v>
      </c>
      <c r="B441" s="528" t="s">
        <v>1034</v>
      </c>
      <c r="C441" s="532">
        <v>1</v>
      </c>
      <c r="D441" s="529">
        <v>1832600</v>
      </c>
      <c r="E441" s="535">
        <f t="shared" si="20"/>
        <v>1832600</v>
      </c>
      <c r="F441" s="231" t="s">
        <v>562</v>
      </c>
      <c r="I441" s="180"/>
      <c r="J441" s="181"/>
      <c r="K441" s="181"/>
      <c r="L441" s="181"/>
      <c r="M441" s="181"/>
    </row>
    <row r="442" spans="1:13" ht="23.25" customHeight="1">
      <c r="A442" s="296"/>
      <c r="B442" s="354" t="s">
        <v>4</v>
      </c>
      <c r="C442" s="296"/>
      <c r="D442" s="298"/>
      <c r="E442" s="469">
        <f>SUM(E431:E441)</f>
        <v>20030600</v>
      </c>
      <c r="F442" s="231"/>
      <c r="I442" s="180"/>
      <c r="J442" s="181"/>
      <c r="K442" s="181"/>
      <c r="L442" s="181"/>
      <c r="M442" s="181"/>
    </row>
    <row r="443" spans="1:13" ht="7.5" customHeight="1">
      <c r="A443" s="300"/>
      <c r="B443" s="301"/>
      <c r="C443" s="300"/>
      <c r="D443" s="302"/>
      <c r="E443" s="470"/>
      <c r="H443" s="181"/>
      <c r="I443" s="180"/>
      <c r="J443" s="181"/>
      <c r="K443" s="181"/>
      <c r="L443" s="181"/>
      <c r="M443" s="181"/>
    </row>
    <row r="444" spans="1:13" ht="21">
      <c r="A444" s="2811" t="s">
        <v>631</v>
      </c>
      <c r="B444" s="2812"/>
      <c r="C444" s="2812"/>
      <c r="D444" s="2812"/>
      <c r="E444" s="2812"/>
      <c r="F444" s="2813"/>
      <c r="H444" s="181"/>
      <c r="I444" s="180"/>
      <c r="J444" s="181"/>
      <c r="K444" s="181"/>
      <c r="L444" s="181"/>
      <c r="M444" s="181"/>
    </row>
    <row r="445" spans="1:13" ht="44.25" customHeight="1">
      <c r="A445" s="243" t="s">
        <v>2</v>
      </c>
      <c r="B445" s="243" t="s">
        <v>3</v>
      </c>
      <c r="C445" s="256" t="s">
        <v>385</v>
      </c>
      <c r="D445" s="256" t="s">
        <v>386</v>
      </c>
      <c r="E445" s="466" t="s">
        <v>387</v>
      </c>
      <c r="F445" s="243" t="s">
        <v>388</v>
      </c>
      <c r="G445" s="392"/>
      <c r="H445" s="181"/>
      <c r="I445" s="180"/>
      <c r="J445" s="181"/>
      <c r="K445" s="181"/>
      <c r="L445" s="181"/>
      <c r="M445" s="181"/>
    </row>
    <row r="446" spans="1:13" ht="21">
      <c r="A446" s="532">
        <v>1</v>
      </c>
      <c r="B446" s="533" t="s">
        <v>561</v>
      </c>
      <c r="C446" s="532"/>
      <c r="D446" s="534"/>
      <c r="E446" s="535"/>
      <c r="F446" s="536"/>
      <c r="H446" s="181"/>
      <c r="I446" s="180"/>
      <c r="J446" s="181"/>
      <c r="K446" s="181"/>
      <c r="L446" s="181"/>
      <c r="M446" s="181"/>
    </row>
    <row r="447" spans="1:13" ht="24">
      <c r="A447" s="538"/>
      <c r="B447" s="527" t="s">
        <v>1030</v>
      </c>
      <c r="C447" s="537">
        <v>2</v>
      </c>
      <c r="D447" s="529">
        <v>950000</v>
      </c>
      <c r="E447" s="529">
        <v>1900000</v>
      </c>
      <c r="F447" s="536" t="s">
        <v>563</v>
      </c>
      <c r="H447" s="181"/>
      <c r="I447" s="180"/>
      <c r="J447" s="181"/>
      <c r="K447" s="181"/>
      <c r="L447" s="181"/>
      <c r="M447" s="181"/>
    </row>
    <row r="448" spans="1:13" ht="24">
      <c r="A448" s="539"/>
      <c r="B448" s="527" t="s">
        <v>1031</v>
      </c>
      <c r="C448" s="537">
        <v>4</v>
      </c>
      <c r="D448" s="529">
        <v>585000</v>
      </c>
      <c r="E448" s="529">
        <v>2340000</v>
      </c>
      <c r="F448" s="231" t="s">
        <v>562</v>
      </c>
      <c r="H448" s="181"/>
      <c r="I448" s="180"/>
      <c r="J448" s="181"/>
      <c r="K448" s="181"/>
      <c r="L448" s="181"/>
      <c r="M448" s="181"/>
    </row>
    <row r="449" spans="1:13" ht="24">
      <c r="A449" s="300"/>
      <c r="B449" s="530"/>
      <c r="D449" s="531"/>
      <c r="E449" s="566">
        <f>SUM(E447:E448)</f>
        <v>4240000</v>
      </c>
      <c r="H449" s="181"/>
      <c r="I449" s="180"/>
      <c r="J449" s="181"/>
      <c r="K449" s="181"/>
      <c r="L449" s="181"/>
      <c r="M449" s="181"/>
    </row>
    <row r="450" spans="1:13" ht="21">
      <c r="A450" s="2804" t="s">
        <v>568</v>
      </c>
      <c r="B450" s="2804"/>
      <c r="C450" s="2804"/>
      <c r="D450" s="2804"/>
      <c r="E450" s="2804"/>
      <c r="F450" s="2804"/>
      <c r="G450" s="181"/>
      <c r="H450" s="181"/>
      <c r="I450" s="180"/>
      <c r="J450" s="181"/>
      <c r="K450" s="181"/>
      <c r="L450" s="181"/>
      <c r="M450" s="181"/>
    </row>
    <row r="451" spans="1:13" ht="42" customHeight="1">
      <c r="A451" s="243" t="s">
        <v>2</v>
      </c>
      <c r="B451" s="243" t="s">
        <v>3</v>
      </c>
      <c r="C451" s="256" t="s">
        <v>385</v>
      </c>
      <c r="D451" s="256" t="s">
        <v>386</v>
      </c>
      <c r="E451" s="466" t="s">
        <v>387</v>
      </c>
      <c r="F451" s="243" t="s">
        <v>388</v>
      </c>
      <c r="G451" s="181"/>
      <c r="H451" s="181"/>
      <c r="I451" s="180"/>
      <c r="J451" s="181"/>
      <c r="K451" s="181"/>
      <c r="L451" s="181"/>
      <c r="M451" s="181"/>
    </row>
    <row r="452" spans="1:13" ht="21">
      <c r="A452" s="179">
        <v>1</v>
      </c>
      <c r="B452" s="540" t="s">
        <v>649</v>
      </c>
      <c r="C452" s="545">
        <v>1</v>
      </c>
      <c r="D452" s="546">
        <v>5000000</v>
      </c>
      <c r="E452" s="544">
        <v>5000000</v>
      </c>
      <c r="F452" s="552" t="s">
        <v>650</v>
      </c>
      <c r="G452" s="393"/>
      <c r="H452" s="181"/>
      <c r="I452" s="180"/>
      <c r="J452" s="181"/>
      <c r="K452" s="181"/>
      <c r="L452" s="181"/>
      <c r="M452" s="181"/>
    </row>
    <row r="453" spans="1:13" ht="21">
      <c r="A453" s="179">
        <v>2</v>
      </c>
      <c r="B453" s="540" t="s">
        <v>1038</v>
      </c>
      <c r="C453" s="545">
        <v>1</v>
      </c>
      <c r="D453" s="546">
        <v>5000000</v>
      </c>
      <c r="E453" s="544">
        <f>+C453*D453</f>
        <v>5000000</v>
      </c>
      <c r="F453" s="552" t="s">
        <v>651</v>
      </c>
      <c r="G453" s="394"/>
      <c r="H453" s="181"/>
      <c r="I453" s="180"/>
      <c r="J453" s="181"/>
      <c r="K453" s="181"/>
      <c r="L453" s="181"/>
      <c r="M453" s="181"/>
    </row>
    <row r="454" spans="1:13" ht="21">
      <c r="A454" s="179">
        <v>3</v>
      </c>
      <c r="B454" s="540" t="s">
        <v>1043</v>
      </c>
      <c r="C454" s="545">
        <v>1</v>
      </c>
      <c r="D454" s="546">
        <v>7000000</v>
      </c>
      <c r="E454" s="544">
        <v>7000000</v>
      </c>
      <c r="F454" s="552" t="s">
        <v>652</v>
      </c>
      <c r="G454" s="395"/>
      <c r="H454" s="181"/>
      <c r="I454" s="180"/>
      <c r="J454" s="181"/>
      <c r="K454" s="181"/>
      <c r="L454" s="181"/>
      <c r="M454" s="181"/>
    </row>
    <row r="455" spans="1:13" ht="21">
      <c r="A455" s="179">
        <v>4</v>
      </c>
      <c r="B455" s="541" t="s">
        <v>1039</v>
      </c>
      <c r="C455" s="542">
        <v>1</v>
      </c>
      <c r="D455" s="543">
        <v>204967.59</v>
      </c>
      <c r="E455" s="543">
        <v>204967.59</v>
      </c>
      <c r="F455" s="541" t="s">
        <v>414</v>
      </c>
      <c r="G455" s="395"/>
      <c r="H455" s="181"/>
      <c r="I455" s="180"/>
      <c r="J455" s="181"/>
      <c r="K455" s="181"/>
      <c r="L455" s="181"/>
      <c r="M455" s="181"/>
    </row>
    <row r="456" spans="1:13" ht="42">
      <c r="A456" s="179">
        <v>5</v>
      </c>
      <c r="B456" s="540" t="s">
        <v>1035</v>
      </c>
      <c r="C456" s="545">
        <v>1</v>
      </c>
      <c r="D456" s="544">
        <v>12000000</v>
      </c>
      <c r="E456" s="544">
        <f>+D456</f>
        <v>12000000</v>
      </c>
      <c r="F456" s="540" t="s">
        <v>1037</v>
      </c>
      <c r="G456" s="395"/>
      <c r="H456" s="181"/>
      <c r="I456" s="180"/>
      <c r="J456" s="181"/>
      <c r="K456" s="181"/>
      <c r="L456" s="181"/>
      <c r="M456" s="181"/>
    </row>
    <row r="457" spans="1:13" ht="21">
      <c r="A457" s="179">
        <v>6</v>
      </c>
      <c r="B457" s="541" t="s">
        <v>1036</v>
      </c>
      <c r="C457" s="542">
        <v>1</v>
      </c>
      <c r="D457" s="543">
        <v>3500000</v>
      </c>
      <c r="E457" s="543">
        <v>3500000</v>
      </c>
      <c r="F457" s="541" t="s">
        <v>604</v>
      </c>
      <c r="G457" s="395"/>
      <c r="H457" s="181"/>
      <c r="I457" s="180"/>
      <c r="J457" s="181"/>
      <c r="K457" s="181"/>
      <c r="L457" s="181"/>
      <c r="M457" s="181"/>
    </row>
    <row r="458" spans="1:13" ht="21">
      <c r="A458" s="547"/>
      <c r="B458" s="548" t="s">
        <v>4</v>
      </c>
      <c r="C458" s="549"/>
      <c r="D458" s="550"/>
      <c r="E458" s="551">
        <f>SUM(E452:E457)</f>
        <v>32704967.59</v>
      </c>
      <c r="F458" s="547"/>
      <c r="G458" s="181"/>
      <c r="H458" s="181"/>
      <c r="I458" s="180"/>
      <c r="J458" s="181"/>
      <c r="K458" s="181"/>
      <c r="L458" s="181"/>
      <c r="M458" s="181"/>
    </row>
    <row r="459" spans="1:13" ht="24">
      <c r="A459" s="300"/>
      <c r="B459" s="530"/>
      <c r="D459" s="531"/>
      <c r="E459" s="531"/>
      <c r="H459" s="181"/>
      <c r="I459" s="180"/>
      <c r="J459" s="181"/>
      <c r="K459" s="181"/>
      <c r="L459" s="181"/>
      <c r="M459" s="181"/>
    </row>
    <row r="460" spans="1:13" ht="21">
      <c r="A460" s="2804" t="s">
        <v>602</v>
      </c>
      <c r="B460" s="2804"/>
      <c r="C460" s="2804"/>
      <c r="D460" s="2804"/>
      <c r="E460" s="2804"/>
      <c r="F460" s="2804"/>
      <c r="G460" s="181"/>
      <c r="H460" s="181"/>
      <c r="I460" s="180"/>
      <c r="J460" s="181"/>
      <c r="K460" s="181"/>
      <c r="L460" s="181"/>
      <c r="M460" s="181"/>
    </row>
    <row r="461" spans="1:13" ht="63">
      <c r="A461" s="243" t="s">
        <v>2</v>
      </c>
      <c r="B461" s="243" t="s">
        <v>3</v>
      </c>
      <c r="C461" s="256" t="s">
        <v>385</v>
      </c>
      <c r="D461" s="256" t="s">
        <v>386</v>
      </c>
      <c r="E461" s="466" t="s">
        <v>387</v>
      </c>
      <c r="F461" s="243" t="s">
        <v>388</v>
      </c>
      <c r="G461" s="392"/>
      <c r="H461" s="181"/>
      <c r="I461" s="180"/>
      <c r="J461" s="181"/>
      <c r="K461" s="181"/>
      <c r="L461" s="181"/>
      <c r="M461" s="181"/>
    </row>
    <row r="462" spans="1:13" ht="21">
      <c r="A462" s="215">
        <v>1</v>
      </c>
      <c r="B462" s="305" t="s">
        <v>643</v>
      </c>
      <c r="C462" s="306">
        <v>2</v>
      </c>
      <c r="D462" s="307">
        <v>4690</v>
      </c>
      <c r="E462" s="474">
        <f t="shared" ref="E462:E468" si="21">C462*D462</f>
        <v>9380</v>
      </c>
      <c r="F462" s="305" t="s">
        <v>587</v>
      </c>
      <c r="G462" s="398"/>
      <c r="H462" s="181"/>
      <c r="I462" s="180"/>
      <c r="J462" s="181"/>
      <c r="K462" s="181"/>
      <c r="L462" s="181"/>
      <c r="M462" s="181"/>
    </row>
    <row r="463" spans="1:13" ht="21">
      <c r="A463" s="215">
        <v>2</v>
      </c>
      <c r="B463" s="305" t="s">
        <v>588</v>
      </c>
      <c r="C463" s="306">
        <v>1</v>
      </c>
      <c r="D463" s="307">
        <v>150000</v>
      </c>
      <c r="E463" s="474">
        <f t="shared" si="21"/>
        <v>150000</v>
      </c>
      <c r="F463" s="305" t="s">
        <v>587</v>
      </c>
      <c r="G463" s="398"/>
      <c r="H463" s="181"/>
      <c r="I463" s="180"/>
      <c r="J463" s="181"/>
      <c r="K463" s="181"/>
      <c r="L463" s="181"/>
      <c r="M463" s="181"/>
    </row>
    <row r="464" spans="1:13" ht="21">
      <c r="A464" s="215">
        <v>3</v>
      </c>
      <c r="B464" s="305" t="s">
        <v>589</v>
      </c>
      <c r="C464" s="306">
        <v>3</v>
      </c>
      <c r="D464" s="308">
        <v>25000</v>
      </c>
      <c r="E464" s="474">
        <f t="shared" si="21"/>
        <v>75000</v>
      </c>
      <c r="F464" s="305" t="s">
        <v>587</v>
      </c>
      <c r="G464" s="398"/>
      <c r="H464" s="181"/>
      <c r="I464" s="180"/>
      <c r="J464" s="181"/>
      <c r="K464" s="181"/>
      <c r="L464" s="181"/>
      <c r="M464" s="181"/>
    </row>
    <row r="465" spans="1:13" ht="21">
      <c r="A465" s="215">
        <v>4</v>
      </c>
      <c r="B465" s="305" t="s">
        <v>640</v>
      </c>
      <c r="C465" s="306">
        <v>4</v>
      </c>
      <c r="D465" s="308">
        <v>7600</v>
      </c>
      <c r="E465" s="474">
        <f t="shared" si="21"/>
        <v>30400</v>
      </c>
      <c r="F465" s="305" t="s">
        <v>587</v>
      </c>
      <c r="G465" s="398"/>
      <c r="H465" s="181"/>
      <c r="I465" s="180"/>
      <c r="J465" s="181"/>
      <c r="K465" s="181"/>
      <c r="L465" s="181"/>
      <c r="M465" s="181"/>
    </row>
    <row r="466" spans="1:13" ht="21">
      <c r="A466" s="215">
        <v>5</v>
      </c>
      <c r="B466" s="305" t="s">
        <v>645</v>
      </c>
      <c r="C466" s="306">
        <v>4</v>
      </c>
      <c r="D466" s="308">
        <v>3400</v>
      </c>
      <c r="E466" s="474">
        <f t="shared" si="21"/>
        <v>13600</v>
      </c>
      <c r="F466" s="305" t="s">
        <v>587</v>
      </c>
      <c r="G466" s="398"/>
      <c r="H466" s="181"/>
      <c r="I466" s="180"/>
      <c r="J466" s="181"/>
      <c r="K466" s="181"/>
      <c r="L466" s="181"/>
      <c r="M466" s="181"/>
    </row>
    <row r="467" spans="1:13" ht="21">
      <c r="A467" s="215">
        <v>6</v>
      </c>
      <c r="B467" s="305" t="s">
        <v>590</v>
      </c>
      <c r="C467" s="306">
        <v>2</v>
      </c>
      <c r="D467" s="308">
        <v>3700</v>
      </c>
      <c r="E467" s="474">
        <f t="shared" si="21"/>
        <v>7400</v>
      </c>
      <c r="F467" s="305" t="s">
        <v>587</v>
      </c>
      <c r="G467" s="398"/>
      <c r="H467" s="181"/>
      <c r="I467" s="180"/>
      <c r="J467" s="181"/>
      <c r="K467" s="181"/>
      <c r="L467" s="181"/>
      <c r="M467" s="181"/>
    </row>
    <row r="468" spans="1:13" ht="21">
      <c r="A468" s="215">
        <v>7</v>
      </c>
      <c r="B468" s="305" t="s">
        <v>591</v>
      </c>
      <c r="C468" s="306">
        <v>2</v>
      </c>
      <c r="D468" s="308">
        <v>7500</v>
      </c>
      <c r="E468" s="474">
        <f t="shared" si="21"/>
        <v>15000</v>
      </c>
      <c r="F468" s="305" t="s">
        <v>587</v>
      </c>
      <c r="G468" s="398"/>
      <c r="H468" s="181"/>
      <c r="I468" s="180"/>
      <c r="J468" s="181"/>
      <c r="K468" s="181"/>
      <c r="L468" s="181"/>
      <c r="M468" s="181"/>
    </row>
    <row r="469" spans="1:13" ht="21">
      <c r="A469" s="215">
        <v>8</v>
      </c>
      <c r="B469" s="305" t="s">
        <v>592</v>
      </c>
      <c r="C469" s="306">
        <v>7</v>
      </c>
      <c r="D469" s="308">
        <f>+E469/C469</f>
        <v>6221.4285714285716</v>
      </c>
      <c r="E469" s="474">
        <v>43550</v>
      </c>
      <c r="F469" s="305" t="s">
        <v>587</v>
      </c>
      <c r="G469" s="398"/>
      <c r="H469" s="181"/>
      <c r="I469" s="180"/>
      <c r="J469" s="181"/>
      <c r="K469" s="181"/>
      <c r="L469" s="181"/>
      <c r="M469" s="181"/>
    </row>
    <row r="470" spans="1:13" ht="21">
      <c r="A470" s="215">
        <v>9</v>
      </c>
      <c r="B470" s="305" t="s">
        <v>593</v>
      </c>
      <c r="C470" s="306">
        <v>3</v>
      </c>
      <c r="D470" s="308">
        <v>8185</v>
      </c>
      <c r="E470" s="474">
        <f t="shared" ref="E470:E480" si="22">C470*D470</f>
        <v>24555</v>
      </c>
      <c r="F470" s="305" t="s">
        <v>587</v>
      </c>
      <c r="G470" s="398"/>
      <c r="H470" s="181"/>
      <c r="I470" s="180"/>
      <c r="J470" s="181"/>
      <c r="K470" s="181"/>
      <c r="L470" s="181"/>
      <c r="M470" s="181"/>
    </row>
    <row r="471" spans="1:13" ht="21">
      <c r="A471" s="215">
        <v>10</v>
      </c>
      <c r="B471" s="305" t="s">
        <v>641</v>
      </c>
      <c r="C471" s="306">
        <v>1</v>
      </c>
      <c r="D471" s="308">
        <v>25343.439999999999</v>
      </c>
      <c r="E471" s="474">
        <f t="shared" si="22"/>
        <v>25343.439999999999</v>
      </c>
      <c r="F471" s="305" t="s">
        <v>587</v>
      </c>
      <c r="G471" s="398"/>
      <c r="H471" s="181"/>
      <c r="I471" s="180"/>
      <c r="J471" s="181"/>
      <c r="K471" s="181"/>
      <c r="L471" s="181"/>
      <c r="M471" s="181"/>
    </row>
    <row r="472" spans="1:13" ht="21">
      <c r="A472" s="215">
        <v>11</v>
      </c>
      <c r="B472" s="305" t="s">
        <v>594</v>
      </c>
      <c r="C472" s="306">
        <v>2</v>
      </c>
      <c r="D472" s="308">
        <v>150000</v>
      </c>
      <c r="E472" s="474">
        <f t="shared" si="22"/>
        <v>300000</v>
      </c>
      <c r="F472" s="305" t="s">
        <v>587</v>
      </c>
      <c r="G472" s="398"/>
      <c r="H472" s="181"/>
      <c r="I472" s="180"/>
      <c r="J472" s="181"/>
      <c r="K472" s="181"/>
      <c r="L472" s="181"/>
      <c r="M472" s="181"/>
    </row>
    <row r="473" spans="1:13" ht="21">
      <c r="A473" s="215">
        <v>12</v>
      </c>
      <c r="B473" s="305" t="s">
        <v>642</v>
      </c>
      <c r="C473" s="306">
        <v>1</v>
      </c>
      <c r="D473" s="308">
        <v>45000</v>
      </c>
      <c r="E473" s="474">
        <f t="shared" si="22"/>
        <v>45000</v>
      </c>
      <c r="F473" s="305" t="s">
        <v>587</v>
      </c>
      <c r="G473" s="398"/>
      <c r="H473" s="181"/>
      <c r="I473" s="180"/>
      <c r="J473" s="181"/>
      <c r="K473" s="181"/>
      <c r="L473" s="181"/>
      <c r="M473" s="181"/>
    </row>
    <row r="474" spans="1:13" ht="21">
      <c r="A474" s="215">
        <v>13</v>
      </c>
      <c r="B474" s="305" t="s">
        <v>595</v>
      </c>
      <c r="C474" s="306">
        <v>4</v>
      </c>
      <c r="D474" s="308">
        <v>25000</v>
      </c>
      <c r="E474" s="474">
        <f t="shared" si="22"/>
        <v>100000</v>
      </c>
      <c r="F474" s="305" t="s">
        <v>587</v>
      </c>
      <c r="G474" s="398"/>
      <c r="H474" s="181"/>
      <c r="I474" s="180"/>
      <c r="J474" s="181"/>
      <c r="K474" s="181"/>
      <c r="L474" s="181"/>
      <c r="M474" s="181"/>
    </row>
    <row r="475" spans="1:13" ht="24.75" customHeight="1">
      <c r="A475" s="215">
        <v>14</v>
      </c>
      <c r="B475" s="305" t="s">
        <v>596</v>
      </c>
      <c r="C475" s="306">
        <v>1</v>
      </c>
      <c r="D475" s="308">
        <v>100000</v>
      </c>
      <c r="E475" s="474">
        <f t="shared" si="22"/>
        <v>100000</v>
      </c>
      <c r="F475" s="305" t="s">
        <v>587</v>
      </c>
      <c r="G475" s="398"/>
      <c r="H475" s="181"/>
      <c r="I475" s="180"/>
      <c r="J475" s="181"/>
      <c r="K475" s="181"/>
      <c r="L475" s="181"/>
      <c r="M475" s="181"/>
    </row>
    <row r="476" spans="1:13" ht="22.5" customHeight="1">
      <c r="A476" s="215">
        <v>15</v>
      </c>
      <c r="B476" s="309" t="s">
        <v>597</v>
      </c>
      <c r="C476" s="310">
        <v>1</v>
      </c>
      <c r="D476" s="311">
        <v>60000</v>
      </c>
      <c r="E476" s="474">
        <f t="shared" si="22"/>
        <v>60000</v>
      </c>
      <c r="F476" s="309" t="s">
        <v>587</v>
      </c>
      <c r="G476" s="399"/>
      <c r="H476" s="181"/>
      <c r="I476" s="180"/>
      <c r="J476" s="181"/>
      <c r="K476" s="181"/>
      <c r="L476" s="181"/>
      <c r="M476" s="181"/>
    </row>
    <row r="477" spans="1:13" ht="105.75" customHeight="1">
      <c r="A477" s="215">
        <v>16</v>
      </c>
      <c r="B477" s="309" t="s">
        <v>598</v>
      </c>
      <c r="C477" s="310">
        <v>9</v>
      </c>
      <c r="D477" s="311">
        <v>60000</v>
      </c>
      <c r="E477" s="474">
        <f t="shared" si="22"/>
        <v>540000</v>
      </c>
      <c r="F477" s="312" t="s">
        <v>1044</v>
      </c>
      <c r="G477" s="400"/>
      <c r="H477" s="181"/>
      <c r="I477" s="180"/>
      <c r="J477" s="181"/>
      <c r="K477" s="181"/>
      <c r="L477" s="181"/>
      <c r="M477" s="181"/>
    </row>
    <row r="478" spans="1:13" ht="24" customHeight="1">
      <c r="A478" s="215">
        <v>17</v>
      </c>
      <c r="B478" s="309" t="s">
        <v>599</v>
      </c>
      <c r="C478" s="310">
        <v>3</v>
      </c>
      <c r="D478" s="311">
        <v>240000</v>
      </c>
      <c r="E478" s="474">
        <f t="shared" si="22"/>
        <v>720000</v>
      </c>
      <c r="F478" s="312" t="s">
        <v>600</v>
      </c>
      <c r="G478" s="400"/>
      <c r="H478" s="181"/>
      <c r="I478" s="180"/>
      <c r="J478" s="181"/>
      <c r="K478" s="181"/>
      <c r="L478" s="181"/>
      <c r="M478" s="181"/>
    </row>
    <row r="479" spans="1:13" ht="21">
      <c r="A479" s="215">
        <v>18</v>
      </c>
      <c r="B479" s="309" t="s">
        <v>601</v>
      </c>
      <c r="C479" s="310">
        <v>1</v>
      </c>
      <c r="D479" s="311">
        <v>150000</v>
      </c>
      <c r="E479" s="474">
        <f t="shared" si="22"/>
        <v>150000</v>
      </c>
      <c r="F479" s="312" t="s">
        <v>463</v>
      </c>
      <c r="G479" s="400"/>
      <c r="H479" s="181"/>
      <c r="I479" s="180"/>
      <c r="J479" s="181"/>
      <c r="K479" s="181"/>
      <c r="L479" s="181"/>
      <c r="M479" s="181"/>
    </row>
    <row r="480" spans="1:13" ht="21">
      <c r="A480" s="215">
        <v>19</v>
      </c>
      <c r="B480" s="309" t="s">
        <v>644</v>
      </c>
      <c r="C480" s="310">
        <v>6</v>
      </c>
      <c r="D480" s="311">
        <v>4600</v>
      </c>
      <c r="E480" s="474">
        <f t="shared" si="22"/>
        <v>27600</v>
      </c>
      <c r="F480" s="312" t="s">
        <v>587</v>
      </c>
      <c r="G480" s="400"/>
      <c r="H480" s="181"/>
      <c r="I480" s="180"/>
      <c r="J480" s="181"/>
      <c r="K480" s="181"/>
      <c r="L480" s="181"/>
      <c r="M480" s="181"/>
    </row>
    <row r="481" spans="1:13" ht="21">
      <c r="A481" s="230"/>
      <c r="B481" s="350" t="s">
        <v>4</v>
      </c>
      <c r="C481" s="220"/>
      <c r="D481" s="351"/>
      <c r="E481" s="475">
        <f>SUM(E462:E480)</f>
        <v>2436828.44</v>
      </c>
      <c r="F481" s="230"/>
      <c r="G481" s="181"/>
      <c r="H481" s="181"/>
      <c r="I481" s="180"/>
      <c r="J481" s="181"/>
      <c r="K481" s="181"/>
      <c r="L481" s="181"/>
      <c r="M481" s="181"/>
    </row>
    <row r="482" spans="1:13" ht="21">
      <c r="A482" s="181"/>
      <c r="B482" s="355"/>
      <c r="C482" s="184"/>
      <c r="D482" s="188"/>
      <c r="E482" s="476"/>
      <c r="F482" s="181"/>
      <c r="G482" s="181"/>
      <c r="H482" s="181"/>
      <c r="I482" s="180"/>
      <c r="J482" s="181"/>
      <c r="K482" s="181"/>
      <c r="L482" s="181"/>
      <c r="M482" s="181"/>
    </row>
    <row r="483" spans="1:13" ht="21">
      <c r="A483" s="181"/>
      <c r="B483" s="355"/>
      <c r="C483" s="184"/>
      <c r="D483" s="188"/>
      <c r="E483" s="476"/>
      <c r="F483" s="181"/>
      <c r="G483" s="181"/>
      <c r="H483" s="181"/>
      <c r="I483" s="180"/>
      <c r="J483" s="181"/>
      <c r="K483" s="181"/>
      <c r="L483" s="181"/>
      <c r="M483" s="181"/>
    </row>
    <row r="484" spans="1:13" ht="21">
      <c r="A484" s="181"/>
      <c r="B484" s="355"/>
      <c r="C484" s="184"/>
      <c r="D484" s="188"/>
      <c r="E484" s="476"/>
      <c r="F484" s="181"/>
      <c r="G484" s="181"/>
      <c r="H484" s="181"/>
      <c r="I484" s="180"/>
      <c r="J484" s="181"/>
      <c r="K484" s="181"/>
      <c r="L484" s="181"/>
      <c r="M484" s="181"/>
    </row>
    <row r="485" spans="1:13" ht="21">
      <c r="A485" s="2805" t="s">
        <v>585</v>
      </c>
      <c r="B485" s="2806"/>
      <c r="C485" s="2806"/>
      <c r="D485" s="2806"/>
      <c r="E485" s="2806"/>
      <c r="F485" s="2807"/>
      <c r="G485" s="181"/>
      <c r="H485" s="181"/>
      <c r="I485" s="180"/>
      <c r="J485" s="181"/>
      <c r="K485" s="181"/>
      <c r="L485" s="181"/>
      <c r="M485" s="181"/>
    </row>
    <row r="486" spans="1:13" ht="21">
      <c r="A486" s="220">
        <v>1</v>
      </c>
      <c r="B486" s="260" t="s">
        <v>603</v>
      </c>
      <c r="C486" s="253">
        <v>1</v>
      </c>
      <c r="D486" s="268">
        <v>800000</v>
      </c>
      <c r="E486" s="263">
        <f>+C486*D486</f>
        <v>800000</v>
      </c>
      <c r="F486" s="230" t="s">
        <v>604</v>
      </c>
      <c r="G486" s="181"/>
      <c r="H486" s="181"/>
      <c r="I486" s="180"/>
      <c r="J486" s="181"/>
      <c r="K486" s="181"/>
      <c r="L486" s="181"/>
      <c r="M486" s="181"/>
    </row>
    <row r="487" spans="1:13" ht="21">
      <c r="A487" s="220">
        <v>2</v>
      </c>
      <c r="B487" s="260" t="s">
        <v>605</v>
      </c>
      <c r="C487" s="253">
        <v>1</v>
      </c>
      <c r="D487" s="268">
        <v>500000</v>
      </c>
      <c r="E487" s="263">
        <f t="shared" ref="E487:E490" si="23">+C487*D487</f>
        <v>500000</v>
      </c>
      <c r="F487" s="230" t="s">
        <v>418</v>
      </c>
      <c r="G487" s="181"/>
      <c r="H487" s="181"/>
      <c r="I487" s="180"/>
      <c r="J487" s="181"/>
      <c r="K487" s="181"/>
      <c r="L487" s="181"/>
      <c r="M487" s="181"/>
    </row>
    <row r="488" spans="1:13" ht="21">
      <c r="A488" s="220">
        <v>3</v>
      </c>
      <c r="B488" s="260" t="s">
        <v>606</v>
      </c>
      <c r="C488" s="253">
        <v>1</v>
      </c>
      <c r="D488" s="268">
        <v>120000</v>
      </c>
      <c r="E488" s="263">
        <f t="shared" si="23"/>
        <v>120000</v>
      </c>
      <c r="F488" s="230" t="s">
        <v>422</v>
      </c>
      <c r="G488" s="181"/>
      <c r="H488" s="181"/>
      <c r="I488" s="180"/>
      <c r="J488" s="181"/>
      <c r="K488" s="181"/>
      <c r="L488" s="181"/>
      <c r="M488" s="181"/>
    </row>
    <row r="489" spans="1:13" ht="21">
      <c r="A489" s="220">
        <v>4</v>
      </c>
      <c r="B489" s="260" t="s">
        <v>607</v>
      </c>
      <c r="C489" s="253">
        <v>1</v>
      </c>
      <c r="D489" s="268">
        <v>228000</v>
      </c>
      <c r="E489" s="263">
        <f t="shared" si="23"/>
        <v>228000</v>
      </c>
      <c r="F489" s="230" t="s">
        <v>574</v>
      </c>
      <c r="G489" s="181"/>
      <c r="H489" s="181"/>
      <c r="I489" s="180"/>
      <c r="J489" s="181"/>
      <c r="K489" s="181"/>
      <c r="L489" s="181"/>
      <c r="M489" s="181"/>
    </row>
    <row r="490" spans="1:13" ht="21">
      <c r="A490" s="220">
        <v>5</v>
      </c>
      <c r="B490" s="260" t="s">
        <v>608</v>
      </c>
      <c r="C490" s="253">
        <v>1</v>
      </c>
      <c r="D490" s="268">
        <v>500000</v>
      </c>
      <c r="E490" s="263">
        <f t="shared" si="23"/>
        <v>500000</v>
      </c>
      <c r="F490" s="230" t="s">
        <v>574</v>
      </c>
      <c r="G490" s="181"/>
      <c r="H490" s="181"/>
      <c r="I490" s="180"/>
      <c r="J490" s="181"/>
      <c r="K490" s="181"/>
      <c r="L490" s="181"/>
      <c r="M490" s="181"/>
    </row>
    <row r="491" spans="1:13" ht="21">
      <c r="A491" s="230"/>
      <c r="B491" s="350" t="s">
        <v>4</v>
      </c>
      <c r="C491" s="220"/>
      <c r="D491" s="351"/>
      <c r="E491" s="465">
        <f>SUM(E486:E490)</f>
        <v>2148000</v>
      </c>
      <c r="F491" s="230"/>
      <c r="G491" s="181"/>
      <c r="H491" s="181"/>
      <c r="I491" s="180"/>
      <c r="J491" s="181"/>
      <c r="K491" s="181"/>
      <c r="L491" s="181"/>
      <c r="M491" s="181"/>
    </row>
    <row r="492" spans="1:13" ht="21">
      <c r="A492" s="181"/>
      <c r="B492" s="355"/>
      <c r="C492" s="184"/>
      <c r="D492" s="188"/>
      <c r="E492" s="460"/>
      <c r="F492" s="181"/>
      <c r="G492" s="181"/>
      <c r="H492" s="181"/>
      <c r="I492" s="180"/>
      <c r="J492" s="181"/>
      <c r="K492" s="181"/>
      <c r="L492" s="181"/>
      <c r="M492" s="181"/>
    </row>
    <row r="493" spans="1:13" ht="21">
      <c r="A493" s="181"/>
      <c r="B493" s="255" t="s">
        <v>357</v>
      </c>
      <c r="C493" s="184"/>
      <c r="D493" s="188"/>
      <c r="F493" s="181"/>
      <c r="G493" s="181"/>
      <c r="H493" s="181"/>
      <c r="I493" s="180"/>
      <c r="J493" s="181"/>
      <c r="K493" s="181"/>
      <c r="L493" s="181"/>
      <c r="M493" s="181"/>
    </row>
    <row r="494" spans="1:13" ht="63">
      <c r="A494" s="248" t="s">
        <v>2</v>
      </c>
      <c r="B494" s="248" t="s">
        <v>3</v>
      </c>
      <c r="C494" s="249" t="s">
        <v>385</v>
      </c>
      <c r="D494" s="249" t="s">
        <v>386</v>
      </c>
      <c r="E494" s="462" t="s">
        <v>387</v>
      </c>
      <c r="F494" s="248" t="s">
        <v>388</v>
      </c>
      <c r="G494" s="392"/>
      <c r="H494" s="181"/>
      <c r="I494" s="180"/>
      <c r="J494" s="181"/>
      <c r="K494" s="181"/>
      <c r="L494" s="181"/>
      <c r="M494" s="181"/>
    </row>
    <row r="495" spans="1:13" s="377" customFormat="1" ht="21">
      <c r="A495" s="378">
        <v>1</v>
      </c>
      <c r="B495" s="379" t="s">
        <v>544</v>
      </c>
      <c r="C495" s="378">
        <v>10</v>
      </c>
      <c r="D495" s="386">
        <v>10000</v>
      </c>
      <c r="E495" s="463">
        <f>+C495*D495</f>
        <v>100000</v>
      </c>
      <c r="F495" s="374" t="s">
        <v>532</v>
      </c>
      <c r="H495" s="376"/>
      <c r="I495" s="375"/>
      <c r="J495" s="376"/>
      <c r="K495" s="376"/>
      <c r="L495" s="376"/>
      <c r="M495" s="376"/>
    </row>
    <row r="496" spans="1:13" s="377" customFormat="1" ht="21">
      <c r="A496" s="378">
        <v>2</v>
      </c>
      <c r="B496" s="379" t="s">
        <v>545</v>
      </c>
      <c r="C496" s="378">
        <v>5</v>
      </c>
      <c r="D496" s="386">
        <v>30000</v>
      </c>
      <c r="E496" s="463">
        <f t="shared" ref="E496:E538" si="24">+C496*D496</f>
        <v>150000</v>
      </c>
      <c r="F496" s="374" t="s">
        <v>532</v>
      </c>
      <c r="H496" s="376"/>
      <c r="I496" s="375"/>
      <c r="J496" s="376"/>
      <c r="K496" s="376"/>
      <c r="L496" s="376"/>
      <c r="M496" s="376"/>
    </row>
    <row r="497" spans="1:13" s="377" customFormat="1" ht="21">
      <c r="A497" s="378">
        <v>3</v>
      </c>
      <c r="B497" s="379" t="s">
        <v>546</v>
      </c>
      <c r="C497" s="378">
        <v>15</v>
      </c>
      <c r="D497" s="386">
        <v>50000</v>
      </c>
      <c r="E497" s="463">
        <f t="shared" si="24"/>
        <v>750000</v>
      </c>
      <c r="F497" s="374" t="s">
        <v>532</v>
      </c>
      <c r="H497" s="376"/>
      <c r="I497" s="375"/>
      <c r="J497" s="376"/>
      <c r="K497" s="376"/>
      <c r="L497" s="376"/>
      <c r="M497" s="376"/>
    </row>
    <row r="498" spans="1:13" s="377" customFormat="1" ht="21">
      <c r="A498" s="378">
        <v>4</v>
      </c>
      <c r="B498" s="379" t="s">
        <v>547</v>
      </c>
      <c r="C498" s="378">
        <v>10</v>
      </c>
      <c r="D498" s="386">
        <v>65000</v>
      </c>
      <c r="E498" s="463">
        <f t="shared" si="24"/>
        <v>650000</v>
      </c>
      <c r="F498" s="374" t="s">
        <v>532</v>
      </c>
      <c r="H498" s="376"/>
      <c r="I498" s="375"/>
      <c r="J498" s="376"/>
      <c r="K498" s="376"/>
      <c r="L498" s="376"/>
      <c r="M498" s="376"/>
    </row>
    <row r="499" spans="1:13" s="377" customFormat="1" ht="21">
      <c r="A499" s="378">
        <v>5</v>
      </c>
      <c r="B499" s="379" t="s">
        <v>548</v>
      </c>
      <c r="C499" s="378">
        <v>20</v>
      </c>
      <c r="D499" s="386">
        <v>8500</v>
      </c>
      <c r="E499" s="463">
        <f t="shared" si="24"/>
        <v>170000</v>
      </c>
      <c r="F499" s="374" t="s">
        <v>532</v>
      </c>
      <c r="H499" s="376"/>
      <c r="I499" s="375"/>
      <c r="J499" s="376"/>
      <c r="K499" s="376"/>
      <c r="L499" s="376"/>
      <c r="M499" s="376"/>
    </row>
    <row r="500" spans="1:13" s="377" customFormat="1" ht="21">
      <c r="A500" s="378">
        <v>6</v>
      </c>
      <c r="B500" s="379" t="s">
        <v>549</v>
      </c>
      <c r="C500" s="378">
        <v>20</v>
      </c>
      <c r="D500" s="386">
        <v>9500</v>
      </c>
      <c r="E500" s="463">
        <f t="shared" si="24"/>
        <v>190000</v>
      </c>
      <c r="F500" s="374" t="s">
        <v>532</v>
      </c>
      <c r="H500" s="376"/>
      <c r="I500" s="375"/>
      <c r="J500" s="376"/>
      <c r="K500" s="376"/>
      <c r="L500" s="376"/>
      <c r="M500" s="376"/>
    </row>
    <row r="501" spans="1:13" s="377" customFormat="1" ht="21">
      <c r="A501" s="378">
        <v>7</v>
      </c>
      <c r="B501" s="379" t="s">
        <v>550</v>
      </c>
      <c r="C501" s="378">
        <v>20</v>
      </c>
      <c r="D501" s="386">
        <v>5500</v>
      </c>
      <c r="E501" s="463">
        <f t="shared" si="24"/>
        <v>110000</v>
      </c>
      <c r="F501" s="374" t="s">
        <v>532</v>
      </c>
      <c r="H501" s="376"/>
      <c r="I501" s="375"/>
      <c r="J501" s="376"/>
      <c r="K501" s="376"/>
      <c r="L501" s="376"/>
      <c r="M501" s="376"/>
    </row>
    <row r="502" spans="1:13" s="377" customFormat="1" ht="21">
      <c r="A502" s="378">
        <v>8</v>
      </c>
      <c r="B502" s="379" t="s">
        <v>551</v>
      </c>
      <c r="C502" s="378">
        <v>20</v>
      </c>
      <c r="D502" s="386">
        <v>10000</v>
      </c>
      <c r="E502" s="463">
        <f t="shared" si="24"/>
        <v>200000</v>
      </c>
      <c r="F502" s="374" t="s">
        <v>532</v>
      </c>
      <c r="H502" s="376"/>
      <c r="I502" s="375"/>
      <c r="J502" s="376"/>
      <c r="K502" s="376"/>
      <c r="L502" s="376"/>
      <c r="M502" s="376"/>
    </row>
    <row r="503" spans="1:13" s="377" customFormat="1" ht="21">
      <c r="A503" s="378">
        <v>9</v>
      </c>
      <c r="B503" s="379" t="s">
        <v>552</v>
      </c>
      <c r="C503" s="378">
        <v>20</v>
      </c>
      <c r="D503" s="386">
        <v>20000</v>
      </c>
      <c r="E503" s="463">
        <f t="shared" si="24"/>
        <v>400000</v>
      </c>
      <c r="F503" s="374" t="s">
        <v>532</v>
      </c>
      <c r="H503" s="376"/>
      <c r="I503" s="375"/>
      <c r="J503" s="376"/>
      <c r="K503" s="376"/>
      <c r="L503" s="376"/>
      <c r="M503" s="376"/>
    </row>
    <row r="504" spans="1:13" s="377" customFormat="1" ht="21">
      <c r="A504" s="378">
        <v>10</v>
      </c>
      <c r="B504" s="381" t="s">
        <v>553</v>
      </c>
      <c r="C504" s="373">
        <v>6</v>
      </c>
      <c r="D504" s="380">
        <v>70000</v>
      </c>
      <c r="E504" s="463">
        <f t="shared" si="24"/>
        <v>420000</v>
      </c>
      <c r="F504" s="374" t="s">
        <v>532</v>
      </c>
      <c r="H504" s="376"/>
      <c r="I504" s="375"/>
      <c r="J504" s="376"/>
      <c r="K504" s="376"/>
      <c r="L504" s="376"/>
      <c r="M504" s="376"/>
    </row>
    <row r="505" spans="1:13" s="377" customFormat="1" ht="21">
      <c r="A505" s="378">
        <v>11</v>
      </c>
      <c r="B505" s="379" t="s">
        <v>539</v>
      </c>
      <c r="C505" s="382">
        <v>30</v>
      </c>
      <c r="D505" s="383">
        <v>6000</v>
      </c>
      <c r="E505" s="463">
        <f t="shared" si="24"/>
        <v>180000</v>
      </c>
      <c r="F505" s="374" t="s">
        <v>532</v>
      </c>
      <c r="H505" s="376"/>
      <c r="I505" s="375"/>
      <c r="J505" s="376"/>
      <c r="K505" s="376"/>
      <c r="L505" s="376"/>
      <c r="M505" s="376"/>
    </row>
    <row r="506" spans="1:13" s="377" customFormat="1" ht="21">
      <c r="A506" s="378">
        <v>12</v>
      </c>
      <c r="B506" s="384" t="s">
        <v>541</v>
      </c>
      <c r="C506" s="385">
        <v>100</v>
      </c>
      <c r="D506" s="387">
        <v>3200</v>
      </c>
      <c r="E506" s="463">
        <f t="shared" si="24"/>
        <v>320000</v>
      </c>
      <c r="F506" s="374" t="s">
        <v>532</v>
      </c>
      <c r="H506" s="376"/>
      <c r="I506" s="375"/>
      <c r="J506" s="376"/>
      <c r="K506" s="376"/>
      <c r="L506" s="376"/>
      <c r="M506" s="376"/>
    </row>
    <row r="507" spans="1:13" s="377" customFormat="1" ht="21">
      <c r="A507" s="378">
        <v>13</v>
      </c>
      <c r="B507" s="384" t="s">
        <v>542</v>
      </c>
      <c r="C507" s="385">
        <v>200</v>
      </c>
      <c r="D507" s="387">
        <v>600</v>
      </c>
      <c r="E507" s="463">
        <f t="shared" si="24"/>
        <v>120000</v>
      </c>
      <c r="F507" s="374" t="s">
        <v>532</v>
      </c>
      <c r="H507" s="376"/>
      <c r="I507" s="375"/>
      <c r="J507" s="376"/>
      <c r="K507" s="376"/>
      <c r="L507" s="376"/>
      <c r="M507" s="376"/>
    </row>
    <row r="508" spans="1:13" s="377" customFormat="1" ht="21">
      <c r="A508" s="378">
        <v>14</v>
      </c>
      <c r="B508" s="384" t="s">
        <v>543</v>
      </c>
      <c r="C508" s="385">
        <v>400</v>
      </c>
      <c r="D508" s="387">
        <v>500</v>
      </c>
      <c r="E508" s="463">
        <f t="shared" si="24"/>
        <v>200000</v>
      </c>
      <c r="F508" s="374" t="s">
        <v>532</v>
      </c>
      <c r="H508" s="376"/>
      <c r="I508" s="375"/>
      <c r="J508" s="376"/>
      <c r="K508" s="376"/>
      <c r="L508" s="376"/>
      <c r="M508" s="376"/>
    </row>
    <row r="509" spans="1:13" s="377" customFormat="1" ht="21">
      <c r="A509" s="378"/>
      <c r="B509" s="455" t="s">
        <v>771</v>
      </c>
      <c r="C509" s="456">
        <v>15</v>
      </c>
      <c r="D509" s="457">
        <v>3650</v>
      </c>
      <c r="E509" s="463">
        <f t="shared" si="24"/>
        <v>54750</v>
      </c>
      <c r="F509" s="374"/>
      <c r="H509" s="376"/>
      <c r="I509" s="375"/>
      <c r="J509" s="376"/>
      <c r="K509" s="376"/>
      <c r="L509" s="376"/>
      <c r="M509" s="376"/>
    </row>
    <row r="510" spans="1:13" s="377" customFormat="1" ht="21">
      <c r="A510" s="378"/>
      <c r="B510" s="455" t="s">
        <v>772</v>
      </c>
      <c r="C510" s="456">
        <v>10</v>
      </c>
      <c r="D510" s="457">
        <v>10000</v>
      </c>
      <c r="E510" s="463">
        <f t="shared" si="24"/>
        <v>100000</v>
      </c>
      <c r="F510" s="374"/>
      <c r="H510" s="376"/>
      <c r="I510" s="375"/>
      <c r="J510" s="376"/>
      <c r="K510" s="376"/>
      <c r="L510" s="376"/>
      <c r="M510" s="376"/>
    </row>
    <row r="511" spans="1:13" s="377" customFormat="1" ht="21">
      <c r="A511" s="378"/>
      <c r="B511" s="455" t="s">
        <v>773</v>
      </c>
      <c r="C511" s="456">
        <v>10</v>
      </c>
      <c r="D511" s="457">
        <v>3500</v>
      </c>
      <c r="E511" s="463">
        <f t="shared" si="24"/>
        <v>35000</v>
      </c>
      <c r="F511" s="374"/>
      <c r="H511" s="376"/>
      <c r="I511" s="375"/>
      <c r="J511" s="376"/>
      <c r="K511" s="376"/>
      <c r="L511" s="376"/>
      <c r="M511" s="376"/>
    </row>
    <row r="512" spans="1:13" s="377" customFormat="1" ht="21">
      <c r="A512" s="378"/>
      <c r="B512" s="455" t="s">
        <v>774</v>
      </c>
      <c r="C512" s="456">
        <v>10</v>
      </c>
      <c r="D512" s="457">
        <v>3000</v>
      </c>
      <c r="E512" s="463">
        <f t="shared" si="24"/>
        <v>30000</v>
      </c>
      <c r="F512" s="374"/>
      <c r="H512" s="376"/>
      <c r="I512" s="375"/>
      <c r="J512" s="376"/>
      <c r="K512" s="376"/>
      <c r="L512" s="376"/>
      <c r="M512" s="376"/>
    </row>
    <row r="513" spans="1:13" s="377" customFormat="1" ht="21">
      <c r="A513" s="378"/>
      <c r="B513" s="455" t="s">
        <v>775</v>
      </c>
      <c r="C513" s="456">
        <v>30</v>
      </c>
      <c r="D513" s="458">
        <v>700</v>
      </c>
      <c r="E513" s="463">
        <f t="shared" si="24"/>
        <v>21000</v>
      </c>
      <c r="F513" s="374"/>
      <c r="H513" s="376"/>
      <c r="I513" s="375"/>
      <c r="J513" s="376"/>
      <c r="K513" s="376"/>
      <c r="L513" s="376"/>
      <c r="M513" s="376"/>
    </row>
    <row r="514" spans="1:13" s="377" customFormat="1" ht="21">
      <c r="A514" s="378"/>
      <c r="B514" s="455" t="s">
        <v>776</v>
      </c>
      <c r="C514" s="456">
        <v>10</v>
      </c>
      <c r="D514" s="458">
        <v>7150</v>
      </c>
      <c r="E514" s="463">
        <f t="shared" si="24"/>
        <v>71500</v>
      </c>
      <c r="F514" s="374"/>
      <c r="H514" s="376"/>
      <c r="I514" s="375"/>
      <c r="J514" s="376"/>
      <c r="K514" s="376"/>
      <c r="L514" s="376"/>
      <c r="M514" s="376"/>
    </row>
    <row r="515" spans="1:13" s="377" customFormat="1" ht="21">
      <c r="A515" s="378"/>
      <c r="B515" s="455" t="s">
        <v>777</v>
      </c>
      <c r="C515" s="456">
        <v>10</v>
      </c>
      <c r="D515" s="458">
        <v>2000</v>
      </c>
      <c r="E515" s="463">
        <f t="shared" si="24"/>
        <v>20000</v>
      </c>
      <c r="F515" s="374"/>
      <c r="H515" s="376"/>
      <c r="I515" s="375"/>
      <c r="J515" s="376"/>
      <c r="K515" s="376"/>
      <c r="L515" s="376"/>
      <c r="M515" s="376"/>
    </row>
    <row r="516" spans="1:13" s="377" customFormat="1" ht="21">
      <c r="A516" s="378"/>
      <c r="B516" s="455" t="s">
        <v>778</v>
      </c>
      <c r="C516" s="456">
        <v>20</v>
      </c>
      <c r="D516" s="457">
        <v>1600</v>
      </c>
      <c r="E516" s="463">
        <f t="shared" si="24"/>
        <v>32000</v>
      </c>
      <c r="F516" s="374"/>
      <c r="H516" s="376"/>
      <c r="I516" s="375"/>
      <c r="J516" s="376"/>
      <c r="K516" s="376"/>
      <c r="L516" s="376"/>
      <c r="M516" s="376"/>
    </row>
    <row r="517" spans="1:13" s="377" customFormat="1" ht="21">
      <c r="A517" s="378"/>
      <c r="B517" s="455" t="s">
        <v>779</v>
      </c>
      <c r="C517" s="456">
        <v>20</v>
      </c>
      <c r="D517" s="457">
        <v>2700</v>
      </c>
      <c r="E517" s="463">
        <f t="shared" si="24"/>
        <v>54000</v>
      </c>
      <c r="F517" s="374"/>
      <c r="H517" s="376"/>
      <c r="I517" s="375"/>
      <c r="J517" s="376"/>
      <c r="K517" s="376"/>
      <c r="L517" s="376"/>
      <c r="M517" s="376"/>
    </row>
    <row r="518" spans="1:13" s="377" customFormat="1" ht="21">
      <c r="A518" s="378"/>
      <c r="B518" s="455" t="s">
        <v>780</v>
      </c>
      <c r="C518" s="456">
        <v>10</v>
      </c>
      <c r="D518" s="457">
        <v>1150</v>
      </c>
      <c r="E518" s="463">
        <f t="shared" si="24"/>
        <v>11500</v>
      </c>
      <c r="F518" s="374"/>
      <c r="H518" s="376"/>
      <c r="I518" s="375"/>
      <c r="J518" s="376"/>
      <c r="K518" s="376"/>
      <c r="L518" s="376"/>
      <c r="M518" s="376"/>
    </row>
    <row r="519" spans="1:13" s="377" customFormat="1" ht="21">
      <c r="A519" s="378"/>
      <c r="B519" s="455" t="s">
        <v>781</v>
      </c>
      <c r="C519" s="456">
        <v>20</v>
      </c>
      <c r="D519" s="458">
        <v>1500</v>
      </c>
      <c r="E519" s="463">
        <f t="shared" si="24"/>
        <v>30000</v>
      </c>
      <c r="F519" s="374"/>
      <c r="H519" s="376"/>
      <c r="I519" s="375"/>
      <c r="J519" s="376"/>
      <c r="K519" s="376"/>
      <c r="L519" s="376"/>
      <c r="M519" s="376"/>
    </row>
    <row r="520" spans="1:13" s="377" customFormat="1" ht="21">
      <c r="A520" s="378"/>
      <c r="B520" s="455" t="s">
        <v>782</v>
      </c>
      <c r="C520" s="456">
        <v>10</v>
      </c>
      <c r="D520" s="458">
        <v>4800</v>
      </c>
      <c r="E520" s="463">
        <f t="shared" si="24"/>
        <v>48000</v>
      </c>
      <c r="F520" s="374"/>
      <c r="H520" s="376"/>
      <c r="I520" s="375"/>
      <c r="J520" s="376"/>
      <c r="K520" s="376"/>
      <c r="L520" s="376"/>
      <c r="M520" s="376"/>
    </row>
    <row r="521" spans="1:13" s="377" customFormat="1" ht="21">
      <c r="A521" s="378"/>
      <c r="B521" s="455" t="s">
        <v>783</v>
      </c>
      <c r="C521" s="456">
        <v>5</v>
      </c>
      <c r="D521" s="458">
        <v>7900</v>
      </c>
      <c r="E521" s="463">
        <f t="shared" si="24"/>
        <v>39500</v>
      </c>
      <c r="F521" s="374"/>
      <c r="H521" s="376"/>
      <c r="I521" s="375"/>
      <c r="J521" s="376"/>
      <c r="K521" s="376"/>
      <c r="L521" s="376"/>
      <c r="M521" s="376"/>
    </row>
    <row r="522" spans="1:13" s="377" customFormat="1" ht="21">
      <c r="A522" s="378"/>
      <c r="B522" s="455" t="s">
        <v>784</v>
      </c>
      <c r="C522" s="456">
        <v>20</v>
      </c>
      <c r="D522" s="458">
        <v>1200</v>
      </c>
      <c r="E522" s="463">
        <f t="shared" si="24"/>
        <v>24000</v>
      </c>
      <c r="F522" s="374"/>
      <c r="H522" s="376"/>
      <c r="I522" s="375"/>
      <c r="J522" s="376"/>
      <c r="K522" s="376"/>
      <c r="L522" s="376"/>
      <c r="M522" s="376"/>
    </row>
    <row r="523" spans="1:13" s="377" customFormat="1" ht="21">
      <c r="A523" s="378"/>
      <c r="B523" s="455" t="s">
        <v>785</v>
      </c>
      <c r="C523" s="456">
        <v>2</v>
      </c>
      <c r="D523" s="458">
        <v>4950</v>
      </c>
      <c r="E523" s="463">
        <f t="shared" si="24"/>
        <v>9900</v>
      </c>
      <c r="F523" s="374"/>
      <c r="H523" s="376"/>
      <c r="I523" s="375"/>
      <c r="J523" s="376"/>
      <c r="K523" s="376"/>
      <c r="L523" s="376"/>
      <c r="M523" s="376"/>
    </row>
    <row r="524" spans="1:13" s="377" customFormat="1" ht="21">
      <c r="A524" s="378"/>
      <c r="B524" s="455" t="s">
        <v>786</v>
      </c>
      <c r="C524" s="456">
        <v>20</v>
      </c>
      <c r="D524" s="457">
        <v>3690</v>
      </c>
      <c r="E524" s="463">
        <f t="shared" si="24"/>
        <v>73800</v>
      </c>
      <c r="F524" s="374"/>
      <c r="H524" s="376"/>
      <c r="I524" s="375"/>
      <c r="J524" s="376"/>
      <c r="K524" s="376"/>
      <c r="L524" s="376"/>
      <c r="M524" s="376"/>
    </row>
    <row r="525" spans="1:13" s="377" customFormat="1" ht="21">
      <c r="A525" s="378"/>
      <c r="B525" s="455" t="s">
        <v>787</v>
      </c>
      <c r="C525" s="456">
        <v>30</v>
      </c>
      <c r="D525" s="457">
        <v>250</v>
      </c>
      <c r="E525" s="463">
        <f t="shared" si="24"/>
        <v>7500</v>
      </c>
      <c r="F525" s="374"/>
      <c r="H525" s="376"/>
      <c r="I525" s="375"/>
      <c r="J525" s="376"/>
      <c r="K525" s="376"/>
      <c r="L525" s="376"/>
      <c r="M525" s="376"/>
    </row>
    <row r="526" spans="1:13" s="377" customFormat="1" ht="21">
      <c r="A526" s="378"/>
      <c r="B526" s="455" t="s">
        <v>535</v>
      </c>
      <c r="C526" s="456">
        <v>3</v>
      </c>
      <c r="D526" s="458">
        <v>27000</v>
      </c>
      <c r="E526" s="463">
        <f t="shared" si="24"/>
        <v>81000</v>
      </c>
      <c r="F526" s="374"/>
      <c r="H526" s="376"/>
      <c r="I526" s="375"/>
      <c r="J526" s="376"/>
      <c r="K526" s="376"/>
      <c r="L526" s="376"/>
      <c r="M526" s="376"/>
    </row>
    <row r="527" spans="1:13" s="377" customFormat="1" ht="21">
      <c r="A527" s="378"/>
      <c r="B527" s="464" t="s">
        <v>788</v>
      </c>
      <c r="C527" s="456">
        <v>15</v>
      </c>
      <c r="D527" s="458">
        <v>2250</v>
      </c>
      <c r="E527" s="463">
        <f t="shared" si="24"/>
        <v>33750</v>
      </c>
      <c r="F527" s="374"/>
      <c r="H527" s="376"/>
      <c r="I527" s="375"/>
      <c r="J527" s="376"/>
      <c r="K527" s="376"/>
      <c r="L527" s="376"/>
      <c r="M527" s="376"/>
    </row>
    <row r="528" spans="1:13" s="377" customFormat="1" ht="21">
      <c r="A528" s="378"/>
      <c r="B528" s="455" t="s">
        <v>789</v>
      </c>
      <c r="C528" s="456">
        <v>10</v>
      </c>
      <c r="D528" s="458">
        <v>4000</v>
      </c>
      <c r="E528" s="463">
        <f t="shared" si="24"/>
        <v>40000</v>
      </c>
      <c r="F528" s="374"/>
      <c r="H528" s="376"/>
      <c r="I528" s="375"/>
      <c r="J528" s="376"/>
      <c r="K528" s="376"/>
      <c r="L528" s="376"/>
      <c r="M528" s="376"/>
    </row>
    <row r="529" spans="1:13" s="377" customFormat="1" ht="21">
      <c r="A529" s="378"/>
      <c r="B529" s="455" t="s">
        <v>790</v>
      </c>
      <c r="C529" s="456">
        <v>5</v>
      </c>
      <c r="D529" s="458">
        <v>5000</v>
      </c>
      <c r="E529" s="463">
        <f t="shared" si="24"/>
        <v>25000</v>
      </c>
      <c r="F529" s="374"/>
      <c r="H529" s="376"/>
      <c r="I529" s="375"/>
      <c r="J529" s="376"/>
      <c r="K529" s="376"/>
      <c r="L529" s="376"/>
      <c r="M529" s="376"/>
    </row>
    <row r="530" spans="1:13" s="377" customFormat="1" ht="21">
      <c r="A530" s="378"/>
      <c r="B530" s="455" t="s">
        <v>791</v>
      </c>
      <c r="C530" s="456">
        <v>4</v>
      </c>
      <c r="D530" s="458">
        <v>18500</v>
      </c>
      <c r="E530" s="463">
        <f t="shared" si="24"/>
        <v>74000</v>
      </c>
      <c r="F530" s="374"/>
      <c r="H530" s="376"/>
      <c r="I530" s="375"/>
      <c r="J530" s="376"/>
      <c r="K530" s="376"/>
      <c r="L530" s="376"/>
      <c r="M530" s="376"/>
    </row>
    <row r="531" spans="1:13" s="377" customFormat="1" ht="21">
      <c r="A531" s="378"/>
      <c r="B531" s="455" t="s">
        <v>792</v>
      </c>
      <c r="C531" s="456">
        <v>1</v>
      </c>
      <c r="D531" s="458">
        <v>90000</v>
      </c>
      <c r="E531" s="463">
        <f t="shared" si="24"/>
        <v>90000</v>
      </c>
      <c r="F531" s="374"/>
      <c r="H531" s="376"/>
      <c r="I531" s="375"/>
      <c r="J531" s="376"/>
      <c r="K531" s="376"/>
      <c r="L531" s="376"/>
      <c r="M531" s="376"/>
    </row>
    <row r="532" spans="1:13" s="377" customFormat="1" ht="21">
      <c r="A532" s="378"/>
      <c r="B532" s="455" t="s">
        <v>793</v>
      </c>
      <c r="C532" s="456">
        <v>2</v>
      </c>
      <c r="D532" s="458">
        <v>78000</v>
      </c>
      <c r="E532" s="463">
        <f t="shared" si="24"/>
        <v>156000</v>
      </c>
      <c r="F532" s="374"/>
      <c r="H532" s="376"/>
      <c r="I532" s="375"/>
      <c r="J532" s="376"/>
      <c r="K532" s="376"/>
      <c r="L532" s="376"/>
      <c r="M532" s="376"/>
    </row>
    <row r="533" spans="1:13" s="377" customFormat="1" ht="21">
      <c r="A533" s="378"/>
      <c r="B533" s="455" t="s">
        <v>794</v>
      </c>
      <c r="C533" s="456">
        <v>20</v>
      </c>
      <c r="D533" s="458">
        <v>1700</v>
      </c>
      <c r="E533" s="463">
        <f t="shared" si="24"/>
        <v>34000</v>
      </c>
      <c r="F533" s="374"/>
      <c r="H533" s="376"/>
      <c r="I533" s="375"/>
      <c r="J533" s="376"/>
      <c r="K533" s="376"/>
      <c r="L533" s="376"/>
      <c r="M533" s="376"/>
    </row>
    <row r="534" spans="1:13" s="377" customFormat="1" ht="21">
      <c r="A534" s="378"/>
      <c r="B534" s="455" t="s">
        <v>795</v>
      </c>
      <c r="C534" s="456">
        <v>50</v>
      </c>
      <c r="D534" s="458">
        <v>900</v>
      </c>
      <c r="E534" s="463">
        <f t="shared" si="24"/>
        <v>45000</v>
      </c>
      <c r="F534" s="374"/>
      <c r="H534" s="376"/>
      <c r="I534" s="375"/>
      <c r="J534" s="376"/>
      <c r="K534" s="376"/>
      <c r="L534" s="376"/>
      <c r="M534" s="376"/>
    </row>
    <row r="535" spans="1:13" s="377" customFormat="1" ht="21">
      <c r="A535" s="378"/>
      <c r="B535" s="455" t="s">
        <v>539</v>
      </c>
      <c r="C535" s="456">
        <v>10</v>
      </c>
      <c r="D535" s="458">
        <v>6000</v>
      </c>
      <c r="E535" s="463">
        <f t="shared" si="24"/>
        <v>60000</v>
      </c>
      <c r="F535" s="374"/>
      <c r="H535" s="376"/>
      <c r="I535" s="375"/>
      <c r="J535" s="376"/>
      <c r="K535" s="376"/>
      <c r="L535" s="376"/>
      <c r="M535" s="376"/>
    </row>
    <row r="536" spans="1:13" s="377" customFormat="1" ht="21">
      <c r="A536" s="378"/>
      <c r="B536" s="455" t="s">
        <v>796</v>
      </c>
      <c r="C536" s="456">
        <v>20</v>
      </c>
      <c r="D536" s="458">
        <v>1300</v>
      </c>
      <c r="E536" s="463">
        <f t="shared" si="24"/>
        <v>26000</v>
      </c>
      <c r="F536" s="374"/>
      <c r="H536" s="376"/>
      <c r="I536" s="375"/>
      <c r="J536" s="376"/>
      <c r="K536" s="376"/>
      <c r="L536" s="376"/>
      <c r="M536" s="376"/>
    </row>
    <row r="537" spans="1:13" s="377" customFormat="1" ht="21">
      <c r="A537" s="378"/>
      <c r="B537" s="455" t="s">
        <v>797</v>
      </c>
      <c r="C537" s="456">
        <v>20</v>
      </c>
      <c r="D537" s="458">
        <v>1300</v>
      </c>
      <c r="E537" s="463">
        <f t="shared" si="24"/>
        <v>26000</v>
      </c>
      <c r="F537" s="374"/>
      <c r="H537" s="376"/>
      <c r="I537" s="375"/>
      <c r="J537" s="376"/>
      <c r="K537" s="376"/>
      <c r="L537" s="376"/>
      <c r="M537" s="376"/>
    </row>
    <row r="538" spans="1:13" s="377" customFormat="1" ht="21">
      <c r="A538" s="378"/>
      <c r="B538" s="455" t="s">
        <v>798</v>
      </c>
      <c r="C538" s="456">
        <v>20</v>
      </c>
      <c r="D538" s="458">
        <v>700</v>
      </c>
      <c r="E538" s="463">
        <f t="shared" si="24"/>
        <v>14000</v>
      </c>
      <c r="F538" s="374"/>
      <c r="H538" s="376"/>
      <c r="I538" s="375"/>
      <c r="J538" s="376"/>
      <c r="K538" s="376"/>
      <c r="L538" s="376"/>
      <c r="M538" s="376"/>
    </row>
    <row r="539" spans="1:13" ht="21">
      <c r="A539" s="230"/>
      <c r="B539" s="350" t="s">
        <v>4</v>
      </c>
      <c r="C539" s="223"/>
      <c r="D539" s="353"/>
      <c r="E539" s="465">
        <f>SUM(E495:E538)</f>
        <v>5327200</v>
      </c>
      <c r="F539" s="230"/>
      <c r="G539" s="181"/>
      <c r="H539" s="181"/>
      <c r="I539" s="180"/>
      <c r="J539" s="181"/>
      <c r="K539" s="181"/>
      <c r="L539" s="181"/>
      <c r="M539" s="181"/>
    </row>
    <row r="540" spans="1:13" ht="21">
      <c r="A540" s="300"/>
      <c r="B540" s="301"/>
      <c r="C540" s="300"/>
      <c r="D540" s="302"/>
      <c r="E540" s="470"/>
      <c r="H540" s="181"/>
      <c r="I540" s="180"/>
      <c r="J540" s="181"/>
      <c r="K540" s="181"/>
      <c r="L540" s="181"/>
      <c r="M540" s="181"/>
    </row>
    <row r="541" spans="1:13" ht="21">
      <c r="A541" s="300"/>
      <c r="B541" s="301"/>
      <c r="C541" s="300"/>
      <c r="D541" s="302"/>
      <c r="E541" s="470"/>
      <c r="H541" s="181"/>
      <c r="I541" s="180"/>
      <c r="J541" s="181"/>
      <c r="K541" s="181"/>
      <c r="L541" s="181"/>
      <c r="M541" s="181"/>
    </row>
    <row r="542" spans="1:13" ht="21">
      <c r="A542" s="300"/>
      <c r="B542" s="301"/>
      <c r="C542" s="300"/>
      <c r="D542" s="302"/>
      <c r="E542" s="470"/>
      <c r="H542" s="181"/>
      <c r="I542" s="180"/>
      <c r="J542" s="181"/>
      <c r="K542" s="181"/>
      <c r="L542" s="181"/>
      <c r="M542" s="181"/>
    </row>
    <row r="543" spans="1:13" ht="21">
      <c r="A543" s="300"/>
      <c r="B543" s="301"/>
      <c r="C543" s="300"/>
      <c r="D543" s="302"/>
      <c r="E543" s="470"/>
      <c r="H543" s="181"/>
      <c r="I543" s="180"/>
      <c r="J543" s="181"/>
      <c r="K543" s="181"/>
      <c r="L543" s="181"/>
      <c r="M543" s="181"/>
    </row>
    <row r="544" spans="1:13" ht="21">
      <c r="A544" s="300"/>
      <c r="B544" s="301"/>
      <c r="C544" s="300"/>
      <c r="D544" s="302"/>
      <c r="E544" s="470"/>
      <c r="H544" s="181"/>
      <c r="I544" s="180"/>
      <c r="J544" s="181"/>
      <c r="K544" s="181"/>
      <c r="L544" s="181"/>
      <c r="M544" s="181"/>
    </row>
    <row r="545" spans="1:13" ht="21">
      <c r="A545" s="181"/>
      <c r="B545" s="181"/>
      <c r="C545" s="184"/>
      <c r="D545" s="188"/>
      <c r="F545" s="181"/>
      <c r="G545" s="181"/>
      <c r="H545" s="181"/>
      <c r="I545" s="180"/>
      <c r="J545" s="181"/>
      <c r="K545" s="181"/>
      <c r="L545" s="181"/>
      <c r="M545" s="181"/>
    </row>
    <row r="546" spans="1:13" ht="21">
      <c r="A546" s="181"/>
      <c r="B546" s="355"/>
      <c r="C546" s="184"/>
      <c r="D546" s="188"/>
      <c r="E546" s="460"/>
      <c r="F546" s="181"/>
      <c r="G546" s="181"/>
      <c r="H546" s="181"/>
      <c r="I546" s="180"/>
      <c r="J546" s="181"/>
      <c r="K546" s="181"/>
      <c r="L546" s="181"/>
      <c r="M546" s="181"/>
    </row>
    <row r="547" spans="1:13" ht="21">
      <c r="A547" s="181"/>
      <c r="B547" s="355"/>
      <c r="C547" s="184"/>
      <c r="D547" s="188"/>
      <c r="E547" s="460"/>
      <c r="F547" s="181"/>
      <c r="G547" s="181"/>
      <c r="H547" s="181"/>
      <c r="I547" s="180"/>
      <c r="J547" s="181"/>
      <c r="K547" s="181"/>
      <c r="L547" s="181"/>
      <c r="M547" s="181"/>
    </row>
    <row r="548" spans="1:13" ht="21">
      <c r="A548" s="181"/>
      <c r="B548" s="355"/>
      <c r="C548" s="184"/>
      <c r="D548" s="188"/>
      <c r="E548" s="460"/>
      <c r="F548" s="181"/>
      <c r="G548" s="181"/>
      <c r="H548" s="181"/>
      <c r="I548" s="180"/>
      <c r="J548" s="181"/>
      <c r="K548" s="181"/>
      <c r="L548" s="181"/>
      <c r="M548" s="181"/>
    </row>
    <row r="549" spans="1:13" ht="21">
      <c r="A549" s="181"/>
      <c r="B549" s="255" t="s">
        <v>609</v>
      </c>
      <c r="C549" s="184"/>
      <c r="D549" s="188"/>
      <c r="F549" s="181"/>
      <c r="G549" s="181"/>
      <c r="H549" s="181"/>
      <c r="I549" s="180"/>
      <c r="J549" s="181"/>
      <c r="K549" s="181"/>
      <c r="L549" s="181"/>
      <c r="M549" s="181"/>
    </row>
    <row r="550" spans="1:13" ht="63">
      <c r="A550" s="243" t="s">
        <v>2</v>
      </c>
      <c r="B550" s="243" t="s">
        <v>3</v>
      </c>
      <c r="C550" s="256" t="s">
        <v>385</v>
      </c>
      <c r="D550" s="256" t="s">
        <v>386</v>
      </c>
      <c r="E550" s="466" t="s">
        <v>387</v>
      </c>
      <c r="F550" s="243" t="s">
        <v>388</v>
      </c>
      <c r="G550" s="392"/>
      <c r="H550" s="181"/>
      <c r="I550" s="180"/>
      <c r="J550" s="181"/>
      <c r="K550" s="181"/>
      <c r="L550" s="181"/>
      <c r="M550" s="181"/>
    </row>
    <row r="551" spans="1:13" ht="21">
      <c r="A551" s="220">
        <v>1</v>
      </c>
      <c r="B551" s="258" t="s">
        <v>610</v>
      </c>
      <c r="C551" s="223">
        <v>1</v>
      </c>
      <c r="D551" s="303">
        <v>500000</v>
      </c>
      <c r="E551" s="471">
        <f>+C551*D551</f>
        <v>500000</v>
      </c>
      <c r="F551" s="304" t="s">
        <v>475</v>
      </c>
      <c r="G551" s="396"/>
      <c r="H551" s="181"/>
      <c r="I551" s="180"/>
      <c r="J551" s="181"/>
      <c r="K551" s="181"/>
      <c r="L551" s="181"/>
      <c r="M551" s="181"/>
    </row>
    <row r="552" spans="1:13" ht="63">
      <c r="A552" s="220">
        <v>2</v>
      </c>
      <c r="B552" s="258" t="s">
        <v>612</v>
      </c>
      <c r="C552" s="223">
        <v>1</v>
      </c>
      <c r="D552" s="234">
        <v>262000</v>
      </c>
      <c r="E552" s="472">
        <f t="shared" ref="E552:E553" si="25">+C552*D552</f>
        <v>262000</v>
      </c>
      <c r="F552" s="221" t="s">
        <v>611</v>
      </c>
      <c r="G552" s="397"/>
      <c r="H552" s="181"/>
      <c r="I552" s="180"/>
      <c r="J552" s="181"/>
      <c r="K552" s="181"/>
      <c r="L552" s="181"/>
      <c r="M552" s="181"/>
    </row>
    <row r="553" spans="1:13" ht="21">
      <c r="A553" s="220">
        <v>3</v>
      </c>
      <c r="B553" s="259" t="s">
        <v>613</v>
      </c>
      <c r="C553" s="223">
        <v>1</v>
      </c>
      <c r="D553" s="303">
        <v>820997.38</v>
      </c>
      <c r="E553" s="471">
        <f t="shared" si="25"/>
        <v>820997.38</v>
      </c>
      <c r="F553" s="304" t="s">
        <v>614</v>
      </c>
      <c r="G553" s="396"/>
      <c r="H553" s="181"/>
      <c r="I553" s="180"/>
      <c r="J553" s="181"/>
      <c r="K553" s="181"/>
      <c r="L553" s="181"/>
      <c r="M553" s="181"/>
    </row>
    <row r="554" spans="1:13" ht="21">
      <c r="A554" s="230"/>
      <c r="B554" s="350" t="s">
        <v>4</v>
      </c>
      <c r="C554" s="220"/>
      <c r="D554" s="351"/>
      <c r="E554" s="465">
        <f>SUM(E551:E553)</f>
        <v>1582997.38</v>
      </c>
      <c r="F554" s="230"/>
      <c r="G554" s="181"/>
      <c r="H554" s="181"/>
      <c r="I554" s="180"/>
      <c r="J554" s="181"/>
      <c r="K554" s="181"/>
      <c r="L554" s="181"/>
      <c r="M554" s="181"/>
    </row>
    <row r="555" spans="1:13" ht="21">
      <c r="A555" s="247"/>
      <c r="B555" s="356"/>
      <c r="C555" s="357"/>
      <c r="D555" s="254"/>
      <c r="E555" s="473"/>
      <c r="F555" s="247"/>
      <c r="G555" s="181"/>
      <c r="H555" s="181"/>
      <c r="I555" s="180"/>
      <c r="J555" s="181"/>
      <c r="K555" s="181"/>
      <c r="L555" s="181"/>
      <c r="M555" s="181"/>
    </row>
    <row r="556" spans="1:13" ht="10.5" customHeight="1">
      <c r="A556" s="181"/>
      <c r="B556" s="355"/>
      <c r="C556" s="184"/>
      <c r="D556" s="188"/>
      <c r="E556" s="476"/>
      <c r="F556" s="181"/>
      <c r="G556" s="181"/>
      <c r="H556" s="181"/>
      <c r="I556" s="180"/>
      <c r="J556" s="181"/>
      <c r="K556" s="181"/>
      <c r="L556" s="181"/>
      <c r="M556" s="181"/>
    </row>
    <row r="557" spans="1:13" ht="33" customHeight="1">
      <c r="A557" s="181"/>
      <c r="B557" s="355"/>
      <c r="C557" s="184"/>
      <c r="D557" s="188"/>
      <c r="E557" s="460"/>
      <c r="F557" s="181"/>
      <c r="G557" s="181"/>
      <c r="H557" s="181"/>
      <c r="I557" s="180"/>
      <c r="J557" s="181"/>
      <c r="K557" s="181"/>
      <c r="L557" s="181"/>
      <c r="M557" s="181"/>
    </row>
    <row r="558" spans="1:13" ht="11.25" customHeight="1">
      <c r="A558" s="181"/>
      <c r="B558" s="181"/>
      <c r="C558" s="184"/>
      <c r="D558" s="188"/>
      <c r="F558" s="181"/>
      <c r="G558" s="181"/>
      <c r="H558" s="181"/>
      <c r="I558" s="180"/>
      <c r="J558" s="181"/>
      <c r="K558" s="181"/>
      <c r="L558" s="181"/>
      <c r="M558" s="181"/>
    </row>
    <row r="559" spans="1:13" ht="21">
      <c r="A559" s="181"/>
      <c r="B559" s="255" t="s">
        <v>661</v>
      </c>
      <c r="C559" s="184"/>
      <c r="D559" s="188" t="s">
        <v>679</v>
      </c>
      <c r="E559" s="367">
        <v>3000000</v>
      </c>
      <c r="F559" s="188" t="s">
        <v>680</v>
      </c>
      <c r="G559" s="188"/>
      <c r="H559" s="358">
        <f>+E559-E564</f>
        <v>2994000</v>
      </c>
      <c r="I559" s="180"/>
      <c r="J559" s="181"/>
      <c r="K559" s="181"/>
      <c r="L559" s="181"/>
      <c r="M559" s="181"/>
    </row>
    <row r="560" spans="1:13" ht="63">
      <c r="A560" s="243" t="s">
        <v>2</v>
      </c>
      <c r="B560" s="243" t="s">
        <v>3</v>
      </c>
      <c r="C560" s="256" t="s">
        <v>385</v>
      </c>
      <c r="D560" s="256" t="s">
        <v>386</v>
      </c>
      <c r="E560" s="466" t="s">
        <v>387</v>
      </c>
      <c r="F560" s="243" t="s">
        <v>388</v>
      </c>
      <c r="G560" s="392"/>
      <c r="H560" s="181" t="s">
        <v>684</v>
      </c>
      <c r="I560" s="180"/>
      <c r="J560" s="181"/>
      <c r="K560" s="181"/>
      <c r="L560" s="181"/>
      <c r="M560" s="181"/>
    </row>
    <row r="561" spans="1:13" ht="21">
      <c r="A561" s="220">
        <v>1</v>
      </c>
      <c r="B561" s="230" t="s">
        <v>660</v>
      </c>
      <c r="C561" s="220">
        <v>1</v>
      </c>
      <c r="D561" s="257">
        <v>6000</v>
      </c>
      <c r="E561" s="263">
        <f>+C561*D561</f>
        <v>6000</v>
      </c>
      <c r="F561" s="230" t="s">
        <v>472</v>
      </c>
      <c r="G561" s="181"/>
      <c r="H561" s="181" t="s">
        <v>685</v>
      </c>
      <c r="I561" s="180"/>
      <c r="J561" s="181"/>
      <c r="K561" s="181"/>
      <c r="L561" s="181"/>
      <c r="M561" s="181"/>
    </row>
    <row r="562" spans="1:13" ht="21">
      <c r="A562" s="230"/>
      <c r="B562" s="230"/>
      <c r="C562" s="220"/>
      <c r="D562" s="257"/>
      <c r="E562" s="263"/>
      <c r="F562" s="230"/>
      <c r="G562" s="181"/>
      <c r="H562" s="181"/>
      <c r="I562" s="180"/>
      <c r="J562" s="181"/>
      <c r="K562" s="181"/>
      <c r="L562" s="181"/>
      <c r="M562" s="181"/>
    </row>
    <row r="563" spans="1:13" ht="21">
      <c r="A563" s="230"/>
      <c r="B563" s="230"/>
      <c r="C563" s="220"/>
      <c r="D563" s="257"/>
      <c r="E563" s="263"/>
      <c r="F563" s="230"/>
      <c r="G563" s="181"/>
      <c r="H563" s="181"/>
      <c r="I563" s="180"/>
      <c r="J563" s="181"/>
      <c r="K563" s="181"/>
      <c r="L563" s="181"/>
      <c r="M563" s="181"/>
    </row>
    <row r="564" spans="1:13" ht="21">
      <c r="A564" s="230"/>
      <c r="B564" s="220" t="s">
        <v>4</v>
      </c>
      <c r="C564" s="220"/>
      <c r="D564" s="257"/>
      <c r="E564" s="263">
        <f>SUM(E561:E563)</f>
        <v>6000</v>
      </c>
      <c r="F564" s="230"/>
      <c r="G564" s="181"/>
      <c r="H564" s="181"/>
      <c r="I564" s="180"/>
      <c r="J564" s="181"/>
      <c r="K564" s="181"/>
      <c r="L564" s="181"/>
      <c r="M564" s="181"/>
    </row>
    <row r="565" spans="1:13" ht="21">
      <c r="A565" s="230"/>
      <c r="B565" s="230"/>
      <c r="C565" s="220"/>
      <c r="D565" s="257"/>
      <c r="E565" s="263"/>
      <c r="F565" s="230"/>
      <c r="G565" s="181"/>
      <c r="H565" s="181"/>
      <c r="I565" s="180"/>
      <c r="J565" s="181"/>
      <c r="K565" s="181"/>
      <c r="L565" s="181"/>
      <c r="M565" s="181"/>
    </row>
    <row r="566" spans="1:13" ht="21">
      <c r="A566" s="230"/>
      <c r="B566" s="230"/>
      <c r="C566" s="220"/>
      <c r="D566" s="257"/>
      <c r="E566" s="263"/>
      <c r="F566" s="230"/>
      <c r="G566" s="181"/>
      <c r="H566" s="181"/>
      <c r="I566" s="180"/>
      <c r="J566" s="181"/>
      <c r="K566" s="181"/>
      <c r="L566" s="181"/>
      <c r="M566" s="181"/>
    </row>
    <row r="567" spans="1:13" ht="21">
      <c r="A567" s="230"/>
      <c r="B567" s="230"/>
      <c r="C567" s="220"/>
      <c r="D567" s="257"/>
      <c r="E567" s="263"/>
      <c r="F567" s="230"/>
      <c r="G567" s="181"/>
      <c r="H567" s="181"/>
      <c r="I567" s="180"/>
      <c r="J567" s="181"/>
      <c r="K567" s="181"/>
      <c r="L567" s="181"/>
      <c r="M567" s="181"/>
    </row>
    <row r="568" spans="1:13" ht="21">
      <c r="A568" s="230"/>
      <c r="B568" s="230"/>
      <c r="C568" s="220"/>
      <c r="D568" s="257"/>
      <c r="E568" s="263"/>
      <c r="F568" s="230"/>
      <c r="G568" s="181"/>
      <c r="H568" s="181"/>
      <c r="I568" s="180"/>
      <c r="J568" s="181"/>
      <c r="K568" s="181"/>
      <c r="L568" s="181"/>
      <c r="M568" s="181"/>
    </row>
    <row r="569" spans="1:13" ht="21">
      <c r="A569" s="181"/>
      <c r="B569" s="181"/>
      <c r="C569" s="184"/>
      <c r="D569" s="188"/>
      <c r="F569" s="181"/>
      <c r="G569" s="181"/>
      <c r="H569" s="181"/>
      <c r="I569" s="180"/>
      <c r="J569" s="181"/>
      <c r="K569" s="181"/>
      <c r="L569" s="181"/>
      <c r="M569" s="181"/>
    </row>
    <row r="570" spans="1:13" ht="21">
      <c r="A570" s="181"/>
      <c r="B570" s="181"/>
      <c r="C570" s="184"/>
      <c r="D570" s="188"/>
      <c r="F570" s="181"/>
      <c r="G570" s="181"/>
      <c r="H570" s="181"/>
      <c r="I570" s="180"/>
      <c r="J570" s="181"/>
      <c r="K570" s="181"/>
      <c r="L570" s="181"/>
      <c r="M570" s="181"/>
    </row>
    <row r="571" spans="1:13" ht="21">
      <c r="A571" s="181"/>
      <c r="B571" s="181"/>
      <c r="C571" s="184"/>
      <c r="D571" s="188"/>
      <c r="F571" s="181"/>
      <c r="G571" s="181"/>
      <c r="H571" s="181"/>
      <c r="I571" s="180"/>
      <c r="J571" s="181"/>
      <c r="K571" s="181"/>
      <c r="L571" s="181"/>
      <c r="M571" s="181"/>
    </row>
    <row r="572" spans="1:13" ht="21">
      <c r="A572" s="181"/>
      <c r="B572" s="181"/>
      <c r="C572" s="184"/>
      <c r="D572" s="188"/>
      <c r="F572" s="181"/>
      <c r="G572" s="181"/>
      <c r="H572" s="181"/>
      <c r="I572" s="180"/>
      <c r="J572" s="181"/>
      <c r="K572" s="181"/>
      <c r="L572" s="181"/>
      <c r="M572" s="181"/>
    </row>
    <row r="573" spans="1:13" ht="21">
      <c r="A573" s="181"/>
      <c r="B573" s="181"/>
      <c r="C573" s="184"/>
      <c r="D573" s="188"/>
      <c r="F573" s="181"/>
      <c r="G573" s="181"/>
      <c r="H573" s="181"/>
      <c r="I573" s="180"/>
      <c r="J573" s="181"/>
      <c r="K573" s="181"/>
      <c r="L573" s="181"/>
      <c r="M573" s="181"/>
    </row>
    <row r="574" spans="1:13" ht="21">
      <c r="A574" s="181"/>
      <c r="B574" s="181"/>
      <c r="C574" s="184"/>
      <c r="D574" s="188"/>
      <c r="F574" s="181"/>
      <c r="G574" s="181"/>
      <c r="H574" s="181"/>
      <c r="I574" s="180"/>
      <c r="J574" s="181"/>
      <c r="K574" s="181"/>
      <c r="L574" s="181"/>
      <c r="M574" s="181"/>
    </row>
    <row r="575" spans="1:13" ht="21">
      <c r="A575" s="181"/>
      <c r="B575" s="181"/>
      <c r="C575" s="184"/>
      <c r="D575" s="188"/>
      <c r="F575" s="181"/>
      <c r="G575" s="181"/>
      <c r="H575" s="181"/>
      <c r="I575" s="180"/>
      <c r="J575" s="181"/>
      <c r="K575" s="181"/>
      <c r="L575" s="181"/>
      <c r="M575" s="181"/>
    </row>
    <row r="576" spans="1:13" ht="21">
      <c r="A576" s="181"/>
      <c r="B576" s="181"/>
      <c r="C576" s="184"/>
      <c r="D576" s="188"/>
      <c r="F576" s="181"/>
      <c r="G576" s="181"/>
      <c r="H576" s="181"/>
      <c r="I576" s="180"/>
      <c r="J576" s="181"/>
      <c r="K576" s="181"/>
      <c r="L576" s="181"/>
      <c r="M576" s="181"/>
    </row>
    <row r="577" spans="1:13" ht="21">
      <c r="A577" s="181"/>
      <c r="B577" s="181"/>
      <c r="C577" s="184"/>
      <c r="D577" s="188"/>
      <c r="F577" s="181"/>
      <c r="G577" s="181"/>
      <c r="H577" s="181"/>
      <c r="I577" s="180"/>
      <c r="J577" s="181"/>
      <c r="K577" s="181"/>
      <c r="L577" s="181"/>
      <c r="M577" s="181"/>
    </row>
    <row r="578" spans="1:13" ht="21">
      <c r="A578" s="181"/>
      <c r="B578" s="181"/>
      <c r="C578" s="184"/>
      <c r="D578" s="188"/>
      <c r="F578" s="181"/>
      <c r="G578" s="181"/>
      <c r="H578" s="181"/>
      <c r="I578" s="180"/>
      <c r="J578" s="181"/>
      <c r="K578" s="181"/>
      <c r="L578" s="181"/>
      <c r="M578" s="181"/>
    </row>
    <row r="579" spans="1:13" ht="21">
      <c r="A579" s="181"/>
      <c r="B579" s="181"/>
      <c r="C579" s="184"/>
      <c r="D579" s="188"/>
      <c r="F579" s="181"/>
      <c r="G579" s="181"/>
      <c r="H579" s="181"/>
      <c r="I579" s="180"/>
      <c r="J579" s="181"/>
      <c r="K579" s="181"/>
      <c r="L579" s="181"/>
      <c r="M579" s="181"/>
    </row>
    <row r="580" spans="1:13" ht="21">
      <c r="A580" s="181"/>
      <c r="B580" s="181"/>
      <c r="C580" s="184"/>
      <c r="D580" s="188"/>
      <c r="F580" s="181"/>
      <c r="G580" s="181"/>
      <c r="H580" s="181"/>
      <c r="I580" s="180"/>
      <c r="J580" s="181"/>
      <c r="K580" s="181"/>
      <c r="L580" s="181"/>
      <c r="M580" s="181"/>
    </row>
    <row r="581" spans="1:13" ht="21">
      <c r="A581" s="181"/>
      <c r="B581" s="181"/>
      <c r="C581" s="184"/>
      <c r="D581" s="188"/>
      <c r="F581" s="181"/>
      <c r="G581" s="181"/>
      <c r="H581" s="181"/>
      <c r="I581" s="180"/>
      <c r="J581" s="181"/>
      <c r="K581" s="181"/>
      <c r="L581" s="181"/>
      <c r="M581" s="181"/>
    </row>
    <row r="582" spans="1:13" ht="21">
      <c r="A582" s="181"/>
      <c r="B582" s="181"/>
      <c r="C582" s="184"/>
      <c r="D582" s="188"/>
      <c r="F582" s="181"/>
      <c r="G582" s="181"/>
      <c r="H582" s="181"/>
      <c r="I582" s="180"/>
      <c r="J582" s="181"/>
      <c r="K582" s="181"/>
      <c r="L582" s="181"/>
      <c r="M582" s="181"/>
    </row>
    <row r="583" spans="1:13" ht="21">
      <c r="A583" s="181"/>
      <c r="B583" s="181"/>
      <c r="C583" s="184"/>
      <c r="D583" s="188"/>
      <c r="F583" s="181"/>
      <c r="G583" s="181"/>
      <c r="H583" s="181"/>
      <c r="I583" s="180"/>
      <c r="J583" s="181"/>
      <c r="K583" s="181"/>
      <c r="L583" s="181"/>
      <c r="M583" s="181"/>
    </row>
    <row r="584" spans="1:13" ht="21">
      <c r="A584" s="181"/>
      <c r="B584" s="181"/>
      <c r="C584" s="184"/>
      <c r="D584" s="188"/>
      <c r="F584" s="181"/>
      <c r="G584" s="181"/>
      <c r="H584" s="181"/>
      <c r="I584" s="180"/>
      <c r="J584" s="181"/>
      <c r="K584" s="181"/>
      <c r="L584" s="181"/>
      <c r="M584" s="181"/>
    </row>
    <row r="585" spans="1:13" ht="21">
      <c r="A585" s="181"/>
      <c r="B585" s="181"/>
      <c r="C585" s="184"/>
      <c r="D585" s="188"/>
      <c r="F585" s="181"/>
      <c r="G585" s="181"/>
      <c r="H585" s="181"/>
      <c r="I585" s="180"/>
      <c r="J585" s="181"/>
      <c r="K585" s="181"/>
      <c r="L585" s="181"/>
      <c r="M585" s="181"/>
    </row>
    <row r="586" spans="1:13" ht="21">
      <c r="A586" s="181"/>
      <c r="B586" s="181"/>
      <c r="C586" s="184"/>
      <c r="D586" s="188"/>
      <c r="F586" s="181"/>
      <c r="G586" s="181"/>
      <c r="H586" s="181"/>
      <c r="I586" s="180"/>
      <c r="J586" s="181"/>
      <c r="K586" s="181"/>
      <c r="L586" s="181"/>
      <c r="M586" s="181"/>
    </row>
    <row r="587" spans="1:13" ht="21">
      <c r="A587" s="181"/>
      <c r="B587" s="181"/>
      <c r="C587" s="184"/>
      <c r="D587" s="188"/>
      <c r="F587" s="181"/>
      <c r="G587" s="181"/>
      <c r="H587" s="181"/>
      <c r="I587" s="180"/>
      <c r="J587" s="181"/>
      <c r="K587" s="181"/>
      <c r="L587" s="181"/>
      <c r="M587" s="181"/>
    </row>
    <row r="588" spans="1:13" ht="21">
      <c r="A588" s="181"/>
      <c r="B588" s="181"/>
      <c r="C588" s="184"/>
      <c r="D588" s="188"/>
      <c r="F588" s="181"/>
      <c r="G588" s="181"/>
      <c r="H588" s="181"/>
      <c r="I588" s="180"/>
      <c r="J588" s="181"/>
      <c r="K588" s="181"/>
      <c r="L588" s="181"/>
      <c r="M588" s="181"/>
    </row>
    <row r="589" spans="1:13" ht="21">
      <c r="A589" s="181"/>
      <c r="B589" s="181"/>
      <c r="C589" s="184"/>
      <c r="D589" s="188"/>
      <c r="F589" s="181"/>
      <c r="G589" s="181"/>
      <c r="H589" s="181"/>
      <c r="I589" s="180"/>
      <c r="J589" s="181"/>
      <c r="K589" s="181"/>
      <c r="L589" s="181"/>
      <c r="M589" s="181"/>
    </row>
    <row r="590" spans="1:13" ht="21">
      <c r="A590" s="181"/>
      <c r="B590" s="181"/>
      <c r="C590" s="184"/>
      <c r="D590" s="188"/>
      <c r="F590" s="181"/>
      <c r="G590" s="181"/>
      <c r="H590" s="181"/>
      <c r="I590" s="180"/>
      <c r="J590" s="181"/>
      <c r="K590" s="181"/>
      <c r="L590" s="181"/>
      <c r="M590" s="181"/>
    </row>
    <row r="591" spans="1:13" ht="21">
      <c r="A591" s="181"/>
      <c r="B591" s="181"/>
      <c r="C591" s="184"/>
      <c r="D591" s="188"/>
      <c r="F591" s="181"/>
      <c r="G591" s="181"/>
      <c r="H591" s="181"/>
      <c r="I591" s="180"/>
      <c r="J591" s="181"/>
      <c r="K591" s="181"/>
      <c r="L591" s="181"/>
      <c r="M591" s="181"/>
    </row>
    <row r="592" spans="1:13" ht="21">
      <c r="A592" s="181"/>
      <c r="B592" s="181"/>
      <c r="C592" s="184"/>
      <c r="D592" s="188"/>
      <c r="F592" s="181"/>
      <c r="G592" s="181"/>
      <c r="H592" s="181"/>
      <c r="I592" s="180"/>
      <c r="J592" s="181"/>
      <c r="K592" s="181"/>
      <c r="L592" s="181"/>
      <c r="M592" s="181"/>
    </row>
    <row r="593" spans="1:13" ht="21">
      <c r="A593" s="181"/>
      <c r="B593" s="181"/>
      <c r="C593" s="184"/>
      <c r="D593" s="188"/>
      <c r="F593" s="181"/>
      <c r="G593" s="181"/>
      <c r="H593" s="181"/>
      <c r="I593" s="180"/>
      <c r="J593" s="181"/>
      <c r="K593" s="181"/>
      <c r="L593" s="181"/>
      <c r="M593" s="181"/>
    </row>
    <row r="594" spans="1:13" ht="21">
      <c r="A594" s="181"/>
      <c r="B594" s="181"/>
      <c r="C594" s="184"/>
      <c r="D594" s="188"/>
      <c r="F594" s="181"/>
      <c r="G594" s="181"/>
      <c r="H594" s="181"/>
      <c r="I594" s="180"/>
      <c r="J594" s="181"/>
      <c r="K594" s="181"/>
      <c r="L594" s="181"/>
      <c r="M594" s="181"/>
    </row>
    <row r="595" spans="1:13" ht="21">
      <c r="A595" s="181"/>
      <c r="B595" s="181"/>
      <c r="C595" s="184"/>
      <c r="D595" s="188"/>
      <c r="F595" s="181"/>
      <c r="G595" s="181"/>
      <c r="H595" s="181"/>
      <c r="I595" s="180"/>
      <c r="J595" s="181"/>
      <c r="K595" s="181"/>
      <c r="L595" s="181"/>
      <c r="M595" s="181"/>
    </row>
    <row r="596" spans="1:13" ht="21">
      <c r="A596" s="181"/>
      <c r="B596" s="181"/>
      <c r="C596" s="184"/>
      <c r="D596" s="188"/>
      <c r="F596" s="181"/>
      <c r="G596" s="181"/>
      <c r="H596" s="181"/>
      <c r="I596" s="180"/>
      <c r="J596" s="181"/>
      <c r="K596" s="181"/>
      <c r="L596" s="181"/>
      <c r="M596" s="181"/>
    </row>
    <row r="597" spans="1:13" ht="21">
      <c r="A597" s="181"/>
      <c r="B597" s="181"/>
      <c r="C597" s="184"/>
      <c r="D597" s="188"/>
      <c r="F597" s="181"/>
      <c r="G597" s="181"/>
      <c r="H597" s="181"/>
      <c r="I597" s="180"/>
      <c r="J597" s="181"/>
      <c r="K597" s="181"/>
      <c r="L597" s="181"/>
      <c r="M597" s="181"/>
    </row>
    <row r="598" spans="1:13" ht="21">
      <c r="A598" s="181"/>
      <c r="B598" s="181"/>
      <c r="C598" s="184"/>
      <c r="D598" s="188"/>
      <c r="F598" s="181"/>
      <c r="G598" s="181"/>
      <c r="H598" s="181"/>
      <c r="I598" s="180"/>
      <c r="J598" s="181"/>
      <c r="K598" s="181"/>
      <c r="L598" s="181"/>
      <c r="M598" s="181"/>
    </row>
    <row r="599" spans="1:13" ht="21">
      <c r="A599" s="181"/>
      <c r="B599" s="181"/>
      <c r="C599" s="184"/>
      <c r="D599" s="188"/>
      <c r="F599" s="181"/>
      <c r="G599" s="181"/>
      <c r="H599" s="181"/>
      <c r="I599" s="180"/>
      <c r="J599" s="181"/>
      <c r="K599" s="181"/>
      <c r="L599" s="181"/>
      <c r="M599" s="181"/>
    </row>
    <row r="600" spans="1:13" ht="21">
      <c r="A600" s="181"/>
      <c r="B600" s="181"/>
      <c r="C600" s="184"/>
      <c r="D600" s="188"/>
      <c r="F600" s="181"/>
      <c r="G600" s="181"/>
      <c r="H600" s="181"/>
      <c r="I600" s="180"/>
      <c r="J600" s="181"/>
      <c r="K600" s="181"/>
      <c r="L600" s="181"/>
      <c r="M600" s="181"/>
    </row>
    <row r="601" spans="1:13" ht="21">
      <c r="A601" s="181"/>
      <c r="B601" s="181"/>
      <c r="C601" s="184"/>
      <c r="D601" s="188"/>
      <c r="F601" s="181"/>
      <c r="G601" s="181"/>
      <c r="H601" s="181"/>
      <c r="I601" s="180"/>
      <c r="J601" s="181"/>
      <c r="K601" s="181"/>
      <c r="L601" s="181"/>
      <c r="M601" s="181"/>
    </row>
    <row r="602" spans="1:13" ht="21">
      <c r="A602" s="181"/>
      <c r="B602" s="181"/>
      <c r="C602" s="184"/>
      <c r="D602" s="188"/>
      <c r="F602" s="181"/>
      <c r="G602" s="181"/>
      <c r="H602" s="181"/>
      <c r="I602" s="180"/>
      <c r="J602" s="181"/>
      <c r="K602" s="181"/>
      <c r="L602" s="181"/>
      <c r="M602" s="181"/>
    </row>
    <row r="603" spans="1:13" ht="21">
      <c r="A603" s="181"/>
      <c r="B603" s="181"/>
      <c r="C603" s="184"/>
      <c r="D603" s="188"/>
      <c r="F603" s="181"/>
      <c r="G603" s="181"/>
      <c r="H603" s="181"/>
      <c r="I603" s="180"/>
      <c r="J603" s="181"/>
      <c r="K603" s="181"/>
      <c r="L603" s="181"/>
      <c r="M603" s="181"/>
    </row>
    <row r="604" spans="1:13" ht="21">
      <c r="A604" s="181"/>
      <c r="B604" s="181"/>
      <c r="C604" s="184"/>
      <c r="D604" s="188"/>
      <c r="F604" s="181"/>
      <c r="G604" s="181"/>
      <c r="H604" s="181"/>
      <c r="I604" s="180"/>
      <c r="J604" s="181"/>
      <c r="K604" s="181"/>
      <c r="L604" s="181"/>
      <c r="M604" s="181"/>
    </row>
    <row r="605" spans="1:13" ht="21">
      <c r="A605" s="181"/>
      <c r="B605" s="181"/>
      <c r="C605" s="184"/>
      <c r="D605" s="188"/>
      <c r="F605" s="181"/>
      <c r="G605" s="181"/>
      <c r="H605" s="181"/>
      <c r="I605" s="180"/>
      <c r="J605" s="181"/>
      <c r="K605" s="181"/>
      <c r="L605" s="181"/>
      <c r="M605" s="181"/>
    </row>
    <row r="606" spans="1:13" ht="21">
      <c r="A606" s="181"/>
      <c r="B606" s="181"/>
      <c r="C606" s="184"/>
      <c r="D606" s="188"/>
      <c r="F606" s="181"/>
      <c r="G606" s="181"/>
      <c r="H606" s="181"/>
      <c r="I606" s="180"/>
      <c r="J606" s="181"/>
      <c r="K606" s="181"/>
      <c r="L606" s="181"/>
      <c r="M606" s="181"/>
    </row>
    <row r="607" spans="1:13" ht="21">
      <c r="A607" s="181"/>
      <c r="B607" s="181"/>
      <c r="C607" s="184"/>
      <c r="D607" s="188"/>
      <c r="F607" s="181"/>
      <c r="G607" s="181"/>
      <c r="H607" s="181"/>
      <c r="I607" s="180"/>
      <c r="J607" s="181"/>
      <c r="K607" s="181"/>
      <c r="L607" s="181"/>
      <c r="M607" s="181"/>
    </row>
    <row r="608" spans="1:13" ht="21">
      <c r="A608" s="181"/>
      <c r="B608" s="181"/>
      <c r="C608" s="184"/>
      <c r="D608" s="188"/>
      <c r="F608" s="181"/>
      <c r="G608" s="181"/>
      <c r="H608" s="181"/>
      <c r="I608" s="180"/>
      <c r="J608" s="181"/>
      <c r="K608" s="181"/>
      <c r="L608" s="181"/>
      <c r="M608" s="181"/>
    </row>
    <row r="609" spans="1:13" ht="21">
      <c r="A609" s="181"/>
      <c r="B609" s="181"/>
      <c r="C609" s="184"/>
      <c r="D609" s="188"/>
      <c r="F609" s="181"/>
      <c r="G609" s="181"/>
      <c r="H609" s="181"/>
      <c r="I609" s="180"/>
      <c r="J609" s="181"/>
      <c r="K609" s="181"/>
      <c r="L609" s="181"/>
      <c r="M609" s="181"/>
    </row>
    <row r="610" spans="1:13" ht="21">
      <c r="A610" s="181"/>
      <c r="B610" s="181"/>
      <c r="C610" s="184"/>
      <c r="D610" s="188"/>
      <c r="F610" s="181"/>
      <c r="G610" s="181"/>
      <c r="H610" s="181"/>
      <c r="I610" s="180"/>
      <c r="J610" s="181"/>
      <c r="K610" s="181"/>
      <c r="L610" s="181"/>
      <c r="M610" s="181"/>
    </row>
    <row r="611" spans="1:13" ht="21">
      <c r="A611" s="181"/>
      <c r="B611" s="181"/>
      <c r="C611" s="184"/>
      <c r="D611" s="188"/>
      <c r="F611" s="181"/>
      <c r="G611" s="181"/>
      <c r="H611" s="181"/>
      <c r="I611" s="180"/>
      <c r="J611" s="181"/>
      <c r="K611" s="181"/>
      <c r="L611" s="181"/>
      <c r="M611" s="181"/>
    </row>
    <row r="612" spans="1:13" ht="21">
      <c r="A612" s="181"/>
      <c r="B612" s="181"/>
      <c r="C612" s="184"/>
      <c r="D612" s="188"/>
      <c r="F612" s="181"/>
      <c r="G612" s="181"/>
      <c r="H612" s="181"/>
      <c r="I612" s="180"/>
      <c r="J612" s="181"/>
      <c r="K612" s="181"/>
      <c r="L612" s="181"/>
      <c r="M612" s="181"/>
    </row>
    <row r="613" spans="1:13" ht="21">
      <c r="A613" s="181"/>
      <c r="B613" s="181"/>
      <c r="C613" s="184"/>
      <c r="D613" s="188"/>
      <c r="F613" s="181"/>
      <c r="G613" s="181"/>
      <c r="H613" s="181"/>
      <c r="I613" s="180"/>
      <c r="J613" s="181"/>
      <c r="K613" s="181"/>
      <c r="L613" s="181"/>
      <c r="M613" s="181"/>
    </row>
    <row r="614" spans="1:13" ht="21">
      <c r="A614" s="181"/>
      <c r="B614" s="181"/>
      <c r="C614" s="184"/>
      <c r="D614" s="188"/>
      <c r="F614" s="181"/>
      <c r="G614" s="181"/>
      <c r="H614" s="181"/>
      <c r="I614" s="180"/>
      <c r="J614" s="181"/>
      <c r="K614" s="181"/>
      <c r="L614" s="181"/>
      <c r="M614" s="181"/>
    </row>
    <row r="615" spans="1:13" ht="21">
      <c r="A615" s="181"/>
      <c r="B615" s="181"/>
      <c r="C615" s="184"/>
      <c r="D615" s="188"/>
      <c r="F615" s="181"/>
      <c r="G615" s="181"/>
      <c r="H615" s="181"/>
      <c r="I615" s="180"/>
      <c r="J615" s="181"/>
      <c r="K615" s="181"/>
      <c r="L615" s="181"/>
      <c r="M615" s="181"/>
    </row>
    <row r="616" spans="1:13" ht="21">
      <c r="A616" s="181"/>
      <c r="B616" s="181"/>
      <c r="C616" s="184"/>
      <c r="D616" s="188"/>
      <c r="F616" s="181"/>
      <c r="G616" s="181"/>
      <c r="H616" s="181"/>
      <c r="I616" s="180"/>
      <c r="J616" s="181"/>
      <c r="K616" s="181"/>
      <c r="L616" s="181"/>
      <c r="M616" s="181"/>
    </row>
    <row r="617" spans="1:13" ht="21">
      <c r="A617" s="181"/>
      <c r="B617" s="181"/>
      <c r="C617" s="184"/>
      <c r="D617" s="188"/>
      <c r="F617" s="181"/>
      <c r="G617" s="181"/>
      <c r="H617" s="181"/>
      <c r="I617" s="180"/>
      <c r="J617" s="181"/>
      <c r="K617" s="181"/>
      <c r="L617" s="181"/>
      <c r="M617" s="181"/>
    </row>
    <row r="618" spans="1:13" ht="21">
      <c r="A618" s="181"/>
      <c r="B618" s="181"/>
      <c r="C618" s="184"/>
      <c r="D618" s="188"/>
      <c r="F618" s="181"/>
      <c r="G618" s="181"/>
      <c r="H618" s="181"/>
      <c r="I618" s="180"/>
      <c r="J618" s="181"/>
      <c r="K618" s="181"/>
      <c r="L618" s="181"/>
      <c r="M618" s="181"/>
    </row>
    <row r="619" spans="1:13" ht="21">
      <c r="A619" s="181"/>
      <c r="B619" s="181"/>
      <c r="C619" s="184"/>
      <c r="D619" s="188"/>
      <c r="F619" s="181"/>
      <c r="G619" s="181"/>
      <c r="H619" s="181"/>
      <c r="I619" s="180"/>
      <c r="J619" s="181"/>
      <c r="K619" s="181"/>
      <c r="L619" s="181"/>
      <c r="M619" s="181"/>
    </row>
    <row r="620" spans="1:13" ht="21">
      <c r="A620" s="181"/>
      <c r="B620" s="181"/>
      <c r="C620" s="184"/>
      <c r="D620" s="188"/>
      <c r="F620" s="181"/>
      <c r="G620" s="181"/>
      <c r="H620" s="181"/>
      <c r="I620" s="180"/>
      <c r="J620" s="181"/>
      <c r="K620" s="181"/>
      <c r="L620" s="181"/>
      <c r="M620" s="181"/>
    </row>
    <row r="621" spans="1:13" ht="21">
      <c r="A621" s="181"/>
      <c r="B621" s="181"/>
      <c r="C621" s="184"/>
      <c r="D621" s="188"/>
      <c r="F621" s="181"/>
      <c r="G621" s="181"/>
      <c r="H621" s="181"/>
      <c r="I621" s="180"/>
      <c r="J621" s="181"/>
      <c r="K621" s="181"/>
      <c r="L621" s="181"/>
      <c r="M621" s="181"/>
    </row>
    <row r="622" spans="1:13" ht="21">
      <c r="A622" s="181"/>
      <c r="B622" s="181"/>
      <c r="C622" s="184"/>
      <c r="D622" s="188"/>
      <c r="F622" s="181"/>
      <c r="G622" s="181"/>
      <c r="H622" s="181"/>
      <c r="I622" s="180"/>
      <c r="J622" s="181"/>
      <c r="K622" s="181"/>
      <c r="L622" s="181"/>
      <c r="M622" s="181"/>
    </row>
    <row r="623" spans="1:13" ht="21">
      <c r="A623" s="181"/>
      <c r="B623" s="181"/>
      <c r="C623" s="184"/>
      <c r="D623" s="188"/>
      <c r="F623" s="181"/>
      <c r="G623" s="181"/>
      <c r="H623" s="181"/>
      <c r="I623" s="180"/>
      <c r="J623" s="181"/>
      <c r="K623" s="181"/>
      <c r="L623" s="181"/>
      <c r="M623" s="181"/>
    </row>
    <row r="624" spans="1:13" ht="21">
      <c r="A624" s="181"/>
      <c r="B624" s="181"/>
      <c r="C624" s="184"/>
      <c r="D624" s="188"/>
      <c r="F624" s="181"/>
      <c r="G624" s="181"/>
      <c r="H624" s="181"/>
      <c r="I624" s="180"/>
      <c r="J624" s="181"/>
      <c r="K624" s="181"/>
      <c r="L624" s="181"/>
      <c r="M624" s="181"/>
    </row>
    <row r="625" spans="1:13" ht="21">
      <c r="A625" s="181"/>
      <c r="B625" s="181"/>
      <c r="C625" s="184"/>
      <c r="D625" s="188"/>
      <c r="F625" s="181"/>
      <c r="G625" s="181"/>
      <c r="H625" s="181"/>
      <c r="I625" s="180"/>
      <c r="J625" s="181"/>
      <c r="K625" s="181"/>
      <c r="L625" s="181"/>
      <c r="M625" s="181"/>
    </row>
    <row r="626" spans="1:13" ht="21">
      <c r="A626" s="181"/>
      <c r="B626" s="181"/>
      <c r="C626" s="184"/>
      <c r="D626" s="188"/>
      <c r="F626" s="181"/>
      <c r="G626" s="181"/>
      <c r="H626" s="181"/>
      <c r="I626" s="180"/>
      <c r="J626" s="181"/>
      <c r="K626" s="181"/>
      <c r="L626" s="181"/>
      <c r="M626" s="181"/>
    </row>
    <row r="627" spans="1:13" ht="21">
      <c r="A627" s="181"/>
      <c r="B627" s="181"/>
      <c r="C627" s="184"/>
      <c r="D627" s="188"/>
      <c r="F627" s="181"/>
      <c r="G627" s="181"/>
      <c r="H627" s="181"/>
      <c r="I627" s="180"/>
      <c r="J627" s="181"/>
      <c r="K627" s="181"/>
      <c r="L627" s="181"/>
      <c r="M627" s="181"/>
    </row>
    <row r="628" spans="1:13" ht="21">
      <c r="A628" s="181"/>
      <c r="B628" s="181"/>
      <c r="C628" s="184"/>
      <c r="D628" s="188"/>
      <c r="F628" s="181"/>
      <c r="G628" s="181"/>
      <c r="H628" s="181"/>
      <c r="I628" s="180"/>
      <c r="J628" s="181"/>
      <c r="K628" s="181"/>
      <c r="L628" s="181"/>
      <c r="M628" s="181"/>
    </row>
    <row r="629" spans="1:13" ht="21">
      <c r="A629" s="181"/>
      <c r="B629" s="181"/>
      <c r="C629" s="184"/>
      <c r="D629" s="188"/>
      <c r="F629" s="181"/>
      <c r="G629" s="181"/>
      <c r="H629" s="181"/>
      <c r="I629" s="180"/>
      <c r="J629" s="181"/>
      <c r="K629" s="181"/>
      <c r="L629" s="181"/>
      <c r="M629" s="181"/>
    </row>
    <row r="630" spans="1:13" ht="21">
      <c r="A630" s="181"/>
      <c r="B630" s="181"/>
      <c r="C630" s="184"/>
      <c r="D630" s="188"/>
      <c r="F630" s="181"/>
      <c r="G630" s="181"/>
      <c r="H630" s="181"/>
      <c r="I630" s="180"/>
      <c r="J630" s="181"/>
      <c r="K630" s="181"/>
      <c r="L630" s="181"/>
      <c r="M630" s="181"/>
    </row>
    <row r="631" spans="1:13" ht="21">
      <c r="A631" s="181"/>
      <c r="B631" s="181"/>
      <c r="C631" s="184"/>
      <c r="D631" s="188"/>
      <c r="F631" s="181"/>
      <c r="G631" s="181"/>
      <c r="H631" s="181"/>
      <c r="I631" s="180"/>
      <c r="J631" s="181"/>
      <c r="K631" s="181"/>
      <c r="L631" s="181"/>
      <c r="M631" s="181"/>
    </row>
    <row r="632" spans="1:13" ht="21">
      <c r="A632" s="181"/>
      <c r="B632" s="181"/>
      <c r="C632" s="184"/>
      <c r="D632" s="188"/>
      <c r="F632" s="181"/>
      <c r="G632" s="181"/>
      <c r="H632" s="181"/>
      <c r="I632" s="180"/>
      <c r="J632" s="181"/>
      <c r="K632" s="181"/>
      <c r="L632" s="181"/>
      <c r="M632" s="181"/>
    </row>
    <row r="633" spans="1:13" ht="21">
      <c r="A633" s="181"/>
      <c r="B633" s="181"/>
      <c r="C633" s="184"/>
      <c r="D633" s="188"/>
      <c r="F633" s="181"/>
      <c r="G633" s="181"/>
      <c r="H633" s="181"/>
      <c r="I633" s="180"/>
      <c r="J633" s="181"/>
      <c r="K633" s="181"/>
      <c r="L633" s="181"/>
      <c r="M633" s="181"/>
    </row>
    <row r="634" spans="1:13" ht="21">
      <c r="A634" s="181"/>
      <c r="B634" s="181"/>
      <c r="C634" s="184"/>
      <c r="D634" s="188"/>
      <c r="F634" s="181"/>
      <c r="G634" s="181"/>
      <c r="H634" s="181"/>
      <c r="I634" s="180"/>
      <c r="J634" s="181"/>
      <c r="K634" s="181"/>
      <c r="L634" s="181"/>
      <c r="M634" s="181"/>
    </row>
    <row r="635" spans="1:13" ht="21">
      <c r="A635" s="181"/>
      <c r="B635" s="181"/>
      <c r="C635" s="184"/>
      <c r="D635" s="188"/>
      <c r="F635" s="181"/>
      <c r="G635" s="181"/>
      <c r="H635" s="181"/>
      <c r="I635" s="180"/>
      <c r="J635" s="181"/>
      <c r="K635" s="181"/>
      <c r="L635" s="181"/>
      <c r="M635" s="181"/>
    </row>
    <row r="636" spans="1:13" ht="21">
      <c r="A636" s="181"/>
      <c r="B636" s="181"/>
      <c r="C636" s="184"/>
      <c r="D636" s="188"/>
      <c r="F636" s="181"/>
      <c r="G636" s="181"/>
      <c r="H636" s="181"/>
      <c r="I636" s="180"/>
      <c r="J636" s="181"/>
      <c r="K636" s="181"/>
      <c r="L636" s="181"/>
      <c r="M636" s="181"/>
    </row>
    <row r="637" spans="1:13" ht="21">
      <c r="A637" s="181"/>
      <c r="B637" s="181"/>
      <c r="C637" s="184"/>
      <c r="D637" s="188"/>
      <c r="F637" s="181"/>
      <c r="G637" s="181"/>
      <c r="H637" s="181"/>
      <c r="I637" s="180"/>
      <c r="J637" s="181"/>
      <c r="K637" s="181"/>
      <c r="L637" s="181"/>
      <c r="M637" s="181"/>
    </row>
    <row r="638" spans="1:13" ht="21">
      <c r="A638" s="181"/>
      <c r="B638" s="181"/>
      <c r="C638" s="184"/>
      <c r="D638" s="188"/>
      <c r="F638" s="181"/>
      <c r="G638" s="181"/>
      <c r="H638" s="181"/>
      <c r="I638" s="180"/>
      <c r="J638" s="181"/>
      <c r="K638" s="181"/>
      <c r="L638" s="181"/>
      <c r="M638" s="181"/>
    </row>
    <row r="639" spans="1:13" ht="21">
      <c r="A639" s="181"/>
      <c r="B639" s="181"/>
      <c r="C639" s="184"/>
      <c r="D639" s="188"/>
      <c r="F639" s="181"/>
      <c r="G639" s="181"/>
      <c r="H639" s="181"/>
      <c r="I639" s="180"/>
      <c r="J639" s="181"/>
      <c r="K639" s="181"/>
      <c r="L639" s="181"/>
      <c r="M639" s="181"/>
    </row>
    <row r="640" spans="1:13" ht="21">
      <c r="A640" s="181"/>
      <c r="B640" s="181"/>
      <c r="C640" s="184"/>
      <c r="D640" s="188"/>
      <c r="F640" s="181"/>
      <c r="G640" s="181"/>
      <c r="H640" s="181"/>
      <c r="I640" s="180"/>
      <c r="J640" s="181"/>
      <c r="K640" s="181"/>
      <c r="L640" s="181"/>
      <c r="M640" s="181"/>
    </row>
    <row r="641" spans="1:13" ht="21">
      <c r="A641" s="181"/>
      <c r="B641" s="181"/>
      <c r="C641" s="184"/>
      <c r="D641" s="188"/>
      <c r="F641" s="181"/>
      <c r="G641" s="181"/>
      <c r="H641" s="181"/>
      <c r="I641" s="180"/>
      <c r="J641" s="181"/>
      <c r="K641" s="181"/>
      <c r="L641" s="181"/>
      <c r="M641" s="181"/>
    </row>
    <row r="642" spans="1:13" ht="21">
      <c r="A642" s="181"/>
      <c r="B642" s="181"/>
      <c r="C642" s="184"/>
      <c r="D642" s="188"/>
      <c r="F642" s="181"/>
      <c r="G642" s="181"/>
      <c r="H642" s="181"/>
      <c r="I642" s="180"/>
      <c r="J642" s="181"/>
      <c r="K642" s="181"/>
      <c r="L642" s="181"/>
      <c r="M642" s="181"/>
    </row>
    <row r="643" spans="1:13" ht="21">
      <c r="A643" s="181"/>
      <c r="B643" s="181"/>
      <c r="C643" s="184"/>
      <c r="D643" s="188"/>
      <c r="F643" s="181"/>
      <c r="G643" s="181"/>
      <c r="H643" s="181"/>
      <c r="I643" s="180"/>
      <c r="J643" s="181"/>
      <c r="K643" s="181"/>
      <c r="L643" s="181"/>
      <c r="M643" s="181"/>
    </row>
    <row r="644" spans="1:13" ht="21">
      <c r="A644" s="181"/>
      <c r="B644" s="181"/>
      <c r="C644" s="184"/>
      <c r="D644" s="188"/>
      <c r="F644" s="181"/>
      <c r="G644" s="181"/>
      <c r="H644" s="181"/>
      <c r="I644" s="180"/>
      <c r="J644" s="181"/>
      <c r="K644" s="181"/>
      <c r="L644" s="181"/>
      <c r="M644" s="181"/>
    </row>
    <row r="645" spans="1:13" ht="21">
      <c r="A645" s="181"/>
      <c r="B645" s="181"/>
      <c r="C645" s="184"/>
      <c r="D645" s="188"/>
      <c r="F645" s="181"/>
      <c r="G645" s="181"/>
      <c r="H645" s="181"/>
      <c r="I645" s="180"/>
      <c r="J645" s="181"/>
      <c r="K645" s="181"/>
      <c r="L645" s="181"/>
      <c r="M645" s="181"/>
    </row>
    <row r="646" spans="1:13" ht="21">
      <c r="A646" s="181"/>
      <c r="B646" s="181"/>
      <c r="C646" s="184"/>
      <c r="D646" s="188"/>
      <c r="F646" s="181"/>
      <c r="G646" s="181"/>
      <c r="H646" s="181"/>
      <c r="I646" s="180"/>
      <c r="J646" s="181"/>
      <c r="K646" s="181"/>
      <c r="L646" s="181"/>
      <c r="M646" s="181"/>
    </row>
    <row r="647" spans="1:13" ht="21">
      <c r="A647" s="181"/>
      <c r="B647" s="181"/>
      <c r="C647" s="184"/>
      <c r="D647" s="188"/>
      <c r="F647" s="181"/>
      <c r="G647" s="181"/>
      <c r="H647" s="181"/>
      <c r="I647" s="180"/>
      <c r="J647" s="181"/>
      <c r="K647" s="181"/>
      <c r="L647" s="181"/>
      <c r="M647" s="181"/>
    </row>
    <row r="648" spans="1:13" ht="21">
      <c r="A648" s="181"/>
      <c r="B648" s="181"/>
      <c r="C648" s="184"/>
      <c r="D648" s="188"/>
      <c r="F648" s="181"/>
      <c r="G648" s="181"/>
      <c r="H648" s="181"/>
      <c r="I648" s="180"/>
      <c r="J648" s="181"/>
      <c r="K648" s="181"/>
      <c r="L648" s="181"/>
      <c r="M648" s="181"/>
    </row>
    <row r="649" spans="1:13" ht="21">
      <c r="A649" s="181"/>
      <c r="B649" s="181"/>
      <c r="C649" s="184"/>
      <c r="D649" s="188"/>
      <c r="F649" s="181"/>
      <c r="G649" s="181"/>
      <c r="H649" s="181"/>
      <c r="I649" s="180"/>
      <c r="J649" s="181"/>
      <c r="K649" s="181"/>
      <c r="L649" s="181"/>
      <c r="M649" s="181"/>
    </row>
    <row r="650" spans="1:13" ht="21">
      <c r="A650" s="181"/>
      <c r="B650" s="181"/>
      <c r="C650" s="184"/>
      <c r="D650" s="188"/>
      <c r="F650" s="181"/>
      <c r="G650" s="181"/>
      <c r="H650" s="181"/>
      <c r="I650" s="180"/>
      <c r="J650" s="181"/>
      <c r="K650" s="181"/>
      <c r="L650" s="181"/>
      <c r="M650" s="181"/>
    </row>
    <row r="651" spans="1:13" ht="21">
      <c r="A651" s="181"/>
      <c r="B651" s="181"/>
      <c r="C651" s="184"/>
      <c r="D651" s="188"/>
      <c r="F651" s="181"/>
      <c r="G651" s="181"/>
      <c r="H651" s="181"/>
      <c r="I651" s="180"/>
      <c r="J651" s="181"/>
      <c r="K651" s="181"/>
      <c r="L651" s="181"/>
      <c r="M651" s="181"/>
    </row>
    <row r="652" spans="1:13" ht="21">
      <c r="A652" s="181"/>
      <c r="B652" s="181"/>
      <c r="C652" s="184"/>
      <c r="D652" s="188"/>
      <c r="F652" s="181"/>
      <c r="G652" s="181"/>
      <c r="H652" s="181"/>
      <c r="I652" s="180"/>
      <c r="J652" s="181"/>
      <c r="K652" s="181"/>
      <c r="L652" s="181"/>
      <c r="M652" s="181"/>
    </row>
    <row r="653" spans="1:13" ht="21">
      <c r="A653" s="181"/>
      <c r="B653" s="181"/>
      <c r="C653" s="184"/>
      <c r="D653" s="188"/>
      <c r="F653" s="181"/>
      <c r="G653" s="181"/>
      <c r="H653" s="181"/>
      <c r="I653" s="180"/>
      <c r="J653" s="181"/>
      <c r="K653" s="181"/>
      <c r="L653" s="181"/>
      <c r="M653" s="181"/>
    </row>
    <row r="654" spans="1:13" ht="21">
      <c r="A654" s="181"/>
      <c r="B654" s="181"/>
      <c r="C654" s="184"/>
      <c r="D654" s="188"/>
      <c r="F654" s="181"/>
      <c r="G654" s="181"/>
      <c r="H654" s="181"/>
      <c r="I654" s="180"/>
      <c r="J654" s="181"/>
      <c r="K654" s="181"/>
      <c r="L654" s="181"/>
      <c r="M654" s="181"/>
    </row>
    <row r="655" spans="1:13" ht="21">
      <c r="A655" s="181"/>
      <c r="B655" s="181"/>
      <c r="C655" s="184"/>
      <c r="D655" s="188"/>
      <c r="F655" s="181"/>
      <c r="G655" s="181"/>
      <c r="H655" s="181"/>
      <c r="I655" s="180"/>
      <c r="J655" s="181"/>
      <c r="K655" s="181"/>
      <c r="L655" s="181"/>
      <c r="M655" s="181"/>
    </row>
    <row r="656" spans="1:13" ht="21">
      <c r="A656" s="181"/>
      <c r="B656" s="181"/>
      <c r="C656" s="184"/>
      <c r="D656" s="188"/>
      <c r="F656" s="181"/>
      <c r="G656" s="181"/>
      <c r="H656" s="181"/>
      <c r="I656" s="180"/>
      <c r="J656" s="181"/>
      <c r="K656" s="181"/>
      <c r="L656" s="181"/>
      <c r="M656" s="181"/>
    </row>
    <row r="657" spans="1:13" ht="21">
      <c r="A657" s="181"/>
      <c r="B657" s="181"/>
      <c r="C657" s="184"/>
      <c r="D657" s="188"/>
      <c r="F657" s="181"/>
      <c r="G657" s="181"/>
      <c r="H657" s="181"/>
      <c r="I657" s="180"/>
      <c r="J657" s="181"/>
      <c r="K657" s="181"/>
      <c r="L657" s="181"/>
      <c r="M657" s="181"/>
    </row>
    <row r="658" spans="1:13" ht="21">
      <c r="A658" s="181"/>
      <c r="B658" s="181"/>
      <c r="C658" s="184"/>
      <c r="D658" s="188"/>
      <c r="F658" s="181"/>
      <c r="G658" s="181"/>
      <c r="H658" s="181"/>
      <c r="I658" s="180"/>
      <c r="J658" s="181"/>
      <c r="K658" s="181"/>
      <c r="L658" s="181"/>
      <c r="M658" s="181"/>
    </row>
    <row r="659" spans="1:13" ht="21">
      <c r="A659" s="181"/>
      <c r="B659" s="181"/>
      <c r="C659" s="184"/>
      <c r="D659" s="188"/>
      <c r="F659" s="181"/>
      <c r="G659" s="181"/>
      <c r="H659" s="181"/>
      <c r="I659" s="180"/>
      <c r="J659" s="181"/>
      <c r="K659" s="181"/>
      <c r="L659" s="181"/>
      <c r="M659" s="181"/>
    </row>
    <row r="660" spans="1:13" ht="21">
      <c r="A660" s="181"/>
      <c r="B660" s="181"/>
      <c r="C660" s="184"/>
      <c r="D660" s="188"/>
      <c r="F660" s="181"/>
      <c r="G660" s="181"/>
      <c r="H660" s="181"/>
      <c r="I660" s="180"/>
      <c r="J660" s="181"/>
      <c r="K660" s="181"/>
      <c r="L660" s="181"/>
      <c r="M660" s="181"/>
    </row>
    <row r="661" spans="1:13" ht="21">
      <c r="A661" s="181"/>
      <c r="B661" s="181"/>
      <c r="C661" s="184"/>
      <c r="D661" s="188"/>
      <c r="F661" s="181"/>
      <c r="G661" s="181"/>
      <c r="H661" s="181"/>
      <c r="I661" s="180"/>
      <c r="J661" s="181"/>
      <c r="K661" s="181"/>
      <c r="L661" s="181"/>
      <c r="M661" s="181"/>
    </row>
    <row r="662" spans="1:13" ht="21">
      <c r="A662" s="181"/>
      <c r="B662" s="181"/>
      <c r="C662" s="184"/>
      <c r="D662" s="188"/>
      <c r="F662" s="181"/>
      <c r="G662" s="181"/>
      <c r="H662" s="181"/>
      <c r="I662" s="180"/>
      <c r="J662" s="181"/>
      <c r="K662" s="181"/>
      <c r="L662" s="181"/>
      <c r="M662" s="181"/>
    </row>
    <row r="663" spans="1:13" ht="21">
      <c r="A663" s="181"/>
      <c r="B663" s="181"/>
      <c r="C663" s="184"/>
      <c r="D663" s="188"/>
      <c r="F663" s="181"/>
      <c r="G663" s="181"/>
      <c r="H663" s="181"/>
      <c r="I663" s="180"/>
      <c r="J663" s="181"/>
      <c r="K663" s="181"/>
      <c r="L663" s="181"/>
      <c r="M663" s="181"/>
    </row>
    <row r="664" spans="1:13" ht="21">
      <c r="A664" s="181"/>
      <c r="B664" s="181"/>
      <c r="C664" s="184"/>
      <c r="D664" s="188"/>
      <c r="F664" s="181"/>
      <c r="G664" s="181"/>
      <c r="H664" s="181"/>
      <c r="I664" s="180"/>
      <c r="J664" s="181"/>
      <c r="K664" s="181"/>
      <c r="L664" s="181"/>
      <c r="M664" s="181"/>
    </row>
    <row r="665" spans="1:13" ht="21">
      <c r="A665" s="181"/>
      <c r="B665" s="181"/>
      <c r="C665" s="184"/>
      <c r="D665" s="188"/>
      <c r="F665" s="181"/>
      <c r="G665" s="181"/>
      <c r="H665" s="181"/>
      <c r="I665" s="180"/>
      <c r="J665" s="181"/>
      <c r="K665" s="181"/>
      <c r="L665" s="181"/>
      <c r="M665" s="181"/>
    </row>
    <row r="666" spans="1:13" ht="21">
      <c r="A666" s="181"/>
      <c r="B666" s="181"/>
      <c r="C666" s="184"/>
      <c r="D666" s="188"/>
      <c r="F666" s="181"/>
      <c r="G666" s="181"/>
      <c r="H666" s="181"/>
      <c r="I666" s="180"/>
      <c r="J666" s="181"/>
      <c r="K666" s="181"/>
      <c r="L666" s="181"/>
      <c r="M666" s="181"/>
    </row>
    <row r="667" spans="1:13" ht="21">
      <c r="A667" s="181"/>
      <c r="B667" s="181"/>
      <c r="C667" s="184"/>
      <c r="D667" s="188"/>
      <c r="F667" s="181"/>
      <c r="G667" s="181"/>
      <c r="H667" s="181"/>
      <c r="I667" s="180"/>
      <c r="J667" s="181"/>
      <c r="K667" s="181"/>
      <c r="L667" s="181"/>
      <c r="M667" s="181"/>
    </row>
    <row r="668" spans="1:13" ht="21">
      <c r="A668" s="181"/>
      <c r="B668" s="181"/>
      <c r="C668" s="184"/>
      <c r="D668" s="188"/>
      <c r="F668" s="181"/>
      <c r="G668" s="181"/>
      <c r="H668" s="181"/>
      <c r="I668" s="180"/>
      <c r="J668" s="181"/>
      <c r="K668" s="181"/>
      <c r="L668" s="181"/>
      <c r="M668" s="181"/>
    </row>
    <row r="669" spans="1:13" ht="21">
      <c r="A669" s="181"/>
      <c r="B669" s="181"/>
      <c r="C669" s="184"/>
      <c r="D669" s="188"/>
      <c r="F669" s="181"/>
      <c r="G669" s="181"/>
      <c r="H669" s="181"/>
      <c r="I669" s="180"/>
      <c r="J669" s="181"/>
      <c r="K669" s="181"/>
      <c r="L669" s="181"/>
      <c r="M669" s="181"/>
    </row>
    <row r="670" spans="1:13" ht="21">
      <c r="A670" s="181"/>
      <c r="B670" s="181"/>
      <c r="C670" s="184"/>
      <c r="D670" s="188"/>
      <c r="F670" s="181"/>
      <c r="G670" s="181"/>
      <c r="H670" s="181"/>
      <c r="I670" s="180"/>
      <c r="J670" s="181"/>
      <c r="K670" s="181"/>
      <c r="L670" s="181"/>
      <c r="M670" s="181"/>
    </row>
    <row r="671" spans="1:13" ht="21">
      <c r="A671" s="181"/>
      <c r="B671" s="181"/>
      <c r="C671" s="184"/>
      <c r="D671" s="188"/>
      <c r="F671" s="181"/>
      <c r="G671" s="181"/>
      <c r="H671" s="181"/>
      <c r="I671" s="180"/>
      <c r="J671" s="181"/>
      <c r="K671" s="181"/>
      <c r="L671" s="181"/>
      <c r="M671" s="181"/>
    </row>
    <row r="672" spans="1:13" ht="21">
      <c r="A672" s="181"/>
      <c r="B672" s="181"/>
      <c r="C672" s="184"/>
      <c r="D672" s="188"/>
      <c r="F672" s="181"/>
      <c r="G672" s="181"/>
      <c r="H672" s="181"/>
      <c r="I672" s="180"/>
      <c r="J672" s="181"/>
      <c r="K672" s="181"/>
      <c r="L672" s="181"/>
      <c r="M672" s="181"/>
    </row>
    <row r="673" spans="1:13" ht="21">
      <c r="A673" s="181"/>
      <c r="B673" s="181"/>
      <c r="C673" s="184"/>
      <c r="D673" s="188"/>
      <c r="F673" s="181"/>
      <c r="G673" s="181"/>
      <c r="H673" s="181"/>
      <c r="I673" s="180"/>
      <c r="J673" s="181"/>
      <c r="K673" s="181"/>
      <c r="L673" s="181"/>
      <c r="M673" s="181"/>
    </row>
    <row r="674" spans="1:13" ht="21">
      <c r="A674" s="181"/>
      <c r="B674" s="181"/>
      <c r="C674" s="184"/>
      <c r="D674" s="188"/>
      <c r="F674" s="181"/>
      <c r="G674" s="181"/>
      <c r="H674" s="181"/>
      <c r="I674" s="180"/>
      <c r="J674" s="181"/>
      <c r="K674" s="181"/>
      <c r="L674" s="181"/>
      <c r="M674" s="181"/>
    </row>
    <row r="675" spans="1:13" ht="21">
      <c r="A675" s="181"/>
      <c r="B675" s="181"/>
      <c r="C675" s="184"/>
      <c r="D675" s="188"/>
      <c r="F675" s="181"/>
      <c r="G675" s="181"/>
      <c r="H675" s="181"/>
      <c r="I675" s="180"/>
      <c r="J675" s="181"/>
      <c r="K675" s="181"/>
      <c r="L675" s="181"/>
      <c r="M675" s="181"/>
    </row>
    <row r="676" spans="1:13" ht="21">
      <c r="A676" s="181"/>
      <c r="B676" s="181"/>
      <c r="C676" s="184"/>
      <c r="D676" s="188"/>
      <c r="F676" s="181"/>
      <c r="G676" s="181"/>
      <c r="H676" s="181"/>
      <c r="I676" s="180"/>
      <c r="J676" s="181"/>
      <c r="K676" s="181"/>
      <c r="L676" s="181"/>
      <c r="M676" s="181"/>
    </row>
    <row r="677" spans="1:13" ht="21">
      <c r="A677" s="181"/>
      <c r="B677" s="181"/>
      <c r="C677" s="184"/>
      <c r="D677" s="188"/>
      <c r="F677" s="181"/>
      <c r="G677" s="181"/>
      <c r="H677" s="181"/>
      <c r="I677" s="180"/>
      <c r="J677" s="181"/>
      <c r="K677" s="181"/>
      <c r="L677" s="181"/>
      <c r="M677" s="181"/>
    </row>
    <row r="678" spans="1:13" ht="21">
      <c r="A678" s="181"/>
      <c r="B678" s="181"/>
      <c r="C678" s="184"/>
      <c r="D678" s="188"/>
      <c r="F678" s="181"/>
      <c r="G678" s="181"/>
      <c r="H678" s="181"/>
      <c r="I678" s="180"/>
      <c r="J678" s="181"/>
      <c r="K678" s="181"/>
      <c r="L678" s="181"/>
      <c r="M678" s="181"/>
    </row>
    <row r="679" spans="1:13" ht="21">
      <c r="A679" s="181"/>
      <c r="B679" s="181"/>
      <c r="C679" s="184"/>
      <c r="D679" s="188"/>
      <c r="F679" s="181"/>
      <c r="G679" s="181"/>
      <c r="H679" s="181"/>
      <c r="I679" s="180"/>
      <c r="J679" s="181"/>
      <c r="K679" s="181"/>
      <c r="L679" s="181"/>
      <c r="M679" s="181"/>
    </row>
    <row r="680" spans="1:13" ht="21">
      <c r="A680" s="181"/>
      <c r="B680" s="181"/>
      <c r="C680" s="184"/>
      <c r="D680" s="188"/>
      <c r="F680" s="181"/>
      <c r="G680" s="181"/>
      <c r="H680" s="181"/>
      <c r="I680" s="180"/>
      <c r="J680" s="181"/>
      <c r="K680" s="181"/>
      <c r="L680" s="181"/>
      <c r="M680" s="181"/>
    </row>
    <row r="681" spans="1:13" ht="21">
      <c r="A681" s="181"/>
      <c r="B681" s="181"/>
      <c r="C681" s="184"/>
      <c r="D681" s="188"/>
      <c r="F681" s="181"/>
      <c r="G681" s="181"/>
      <c r="H681" s="181"/>
      <c r="I681" s="180"/>
      <c r="J681" s="181"/>
      <c r="K681" s="181"/>
      <c r="L681" s="181"/>
      <c r="M681" s="181"/>
    </row>
    <row r="682" spans="1:13" ht="21">
      <c r="A682" s="181"/>
      <c r="B682" s="181"/>
      <c r="C682" s="184"/>
      <c r="D682" s="188"/>
      <c r="F682" s="181"/>
      <c r="G682" s="181"/>
      <c r="H682" s="181"/>
      <c r="I682" s="180"/>
      <c r="J682" s="181"/>
      <c r="K682" s="181"/>
      <c r="L682" s="181"/>
      <c r="M682" s="181"/>
    </row>
    <row r="683" spans="1:13" ht="21">
      <c r="A683" s="181"/>
      <c r="B683" s="181"/>
      <c r="C683" s="184"/>
      <c r="D683" s="188"/>
      <c r="F683" s="181"/>
      <c r="G683" s="181"/>
      <c r="H683" s="181"/>
      <c r="I683" s="180"/>
      <c r="J683" s="181"/>
      <c r="K683" s="181"/>
      <c r="L683" s="181"/>
      <c r="M683" s="181"/>
    </row>
    <row r="684" spans="1:13" ht="21">
      <c r="A684" s="181"/>
      <c r="B684" s="181"/>
      <c r="C684" s="184"/>
      <c r="D684" s="188"/>
      <c r="F684" s="181"/>
      <c r="G684" s="181"/>
      <c r="H684" s="181"/>
      <c r="I684" s="180"/>
      <c r="J684" s="181"/>
      <c r="K684" s="181"/>
      <c r="L684" s="181"/>
      <c r="M684" s="181"/>
    </row>
    <row r="685" spans="1:13" ht="21">
      <c r="A685" s="181"/>
      <c r="B685" s="181"/>
      <c r="C685" s="184"/>
      <c r="D685" s="188"/>
      <c r="F685" s="181"/>
      <c r="G685" s="181"/>
      <c r="H685" s="181"/>
      <c r="I685" s="180"/>
      <c r="J685" s="181"/>
      <c r="K685" s="181"/>
      <c r="L685" s="181"/>
      <c r="M685" s="181"/>
    </row>
    <row r="686" spans="1:13" ht="21">
      <c r="A686" s="181"/>
      <c r="B686" s="181"/>
      <c r="C686" s="184"/>
      <c r="D686" s="188"/>
      <c r="F686" s="181"/>
      <c r="G686" s="181"/>
      <c r="H686" s="181"/>
      <c r="I686" s="180"/>
      <c r="J686" s="181"/>
      <c r="K686" s="181"/>
      <c r="L686" s="181"/>
      <c r="M686" s="181"/>
    </row>
    <row r="687" spans="1:13" ht="21">
      <c r="A687" s="181"/>
      <c r="B687" s="181"/>
      <c r="C687" s="184"/>
      <c r="D687" s="188"/>
      <c r="F687" s="181"/>
      <c r="G687" s="181"/>
      <c r="H687" s="181"/>
      <c r="I687" s="180"/>
      <c r="J687" s="181"/>
      <c r="K687" s="181"/>
      <c r="L687" s="181"/>
      <c r="M687" s="181"/>
    </row>
    <row r="688" spans="1:13" ht="21">
      <c r="A688" s="181"/>
      <c r="B688" s="181"/>
      <c r="C688" s="184"/>
      <c r="D688" s="188"/>
      <c r="F688" s="181"/>
      <c r="G688" s="181"/>
      <c r="H688" s="181"/>
      <c r="I688" s="180"/>
      <c r="J688" s="181"/>
      <c r="K688" s="181"/>
      <c r="L688" s="181"/>
      <c r="M688" s="181"/>
    </row>
    <row r="689" spans="1:13" ht="21">
      <c r="A689" s="181"/>
      <c r="B689" s="181"/>
      <c r="C689" s="184"/>
      <c r="D689" s="188"/>
      <c r="F689" s="181"/>
      <c r="G689" s="181"/>
      <c r="H689" s="181"/>
      <c r="I689" s="180"/>
      <c r="J689" s="181"/>
      <c r="K689" s="181"/>
      <c r="L689" s="181"/>
      <c r="M689" s="181"/>
    </row>
    <row r="690" spans="1:13" ht="21">
      <c r="A690" s="181"/>
      <c r="B690" s="181"/>
      <c r="C690" s="184"/>
      <c r="D690" s="188"/>
      <c r="F690" s="181"/>
      <c r="G690" s="181"/>
      <c r="H690" s="181"/>
      <c r="I690" s="180"/>
      <c r="J690" s="181"/>
      <c r="K690" s="181"/>
      <c r="L690" s="181"/>
      <c r="M690" s="181"/>
    </row>
    <row r="691" spans="1:13" ht="21">
      <c r="A691" s="181"/>
      <c r="B691" s="181"/>
      <c r="C691" s="184"/>
      <c r="D691" s="188"/>
      <c r="F691" s="181"/>
      <c r="G691" s="181"/>
      <c r="H691" s="181"/>
      <c r="I691" s="180"/>
      <c r="J691" s="181"/>
      <c r="K691" s="181"/>
      <c r="L691" s="181"/>
      <c r="M691" s="181"/>
    </row>
    <row r="692" spans="1:13" ht="21">
      <c r="A692" s="181"/>
      <c r="B692" s="181"/>
      <c r="C692" s="184"/>
      <c r="D692" s="188"/>
      <c r="F692" s="181"/>
      <c r="G692" s="181"/>
      <c r="H692" s="181"/>
      <c r="I692" s="180"/>
      <c r="J692" s="181"/>
      <c r="K692" s="181"/>
      <c r="L692" s="181"/>
      <c r="M692" s="181"/>
    </row>
    <row r="693" spans="1:13" ht="21">
      <c r="A693" s="181"/>
      <c r="B693" s="181"/>
      <c r="C693" s="184"/>
      <c r="D693" s="188"/>
      <c r="F693" s="181"/>
      <c r="G693" s="181"/>
      <c r="H693" s="181"/>
      <c r="I693" s="180"/>
      <c r="J693" s="181"/>
      <c r="K693" s="181"/>
      <c r="L693" s="181"/>
      <c r="M693" s="181"/>
    </row>
    <row r="694" spans="1:13" ht="21">
      <c r="A694" s="181"/>
      <c r="B694" s="181"/>
      <c r="C694" s="184"/>
      <c r="D694" s="188"/>
      <c r="F694" s="181"/>
      <c r="G694" s="181"/>
      <c r="H694" s="181"/>
      <c r="I694" s="180"/>
      <c r="J694" s="181"/>
      <c r="K694" s="181"/>
      <c r="L694" s="181"/>
      <c r="M694" s="181"/>
    </row>
    <row r="695" spans="1:13" ht="21">
      <c r="A695" s="181"/>
      <c r="B695" s="181"/>
      <c r="C695" s="184"/>
      <c r="D695" s="188"/>
      <c r="F695" s="181"/>
      <c r="G695" s="181"/>
      <c r="H695" s="181"/>
      <c r="I695" s="180"/>
      <c r="J695" s="181"/>
      <c r="K695" s="181"/>
      <c r="L695" s="181"/>
      <c r="M695" s="181"/>
    </row>
    <row r="696" spans="1:13" ht="21">
      <c r="A696" s="181"/>
      <c r="B696" s="181"/>
      <c r="C696" s="184"/>
      <c r="D696" s="188"/>
      <c r="F696" s="181"/>
      <c r="G696" s="181"/>
      <c r="H696" s="181"/>
      <c r="I696" s="180"/>
      <c r="J696" s="181"/>
      <c r="K696" s="181"/>
      <c r="L696" s="181"/>
      <c r="M696" s="181"/>
    </row>
    <row r="697" spans="1:13" ht="21">
      <c r="A697" s="181"/>
      <c r="B697" s="181"/>
      <c r="C697" s="184"/>
      <c r="D697" s="188"/>
      <c r="F697" s="181"/>
      <c r="G697" s="181"/>
      <c r="H697" s="181"/>
      <c r="I697" s="180"/>
      <c r="J697" s="181"/>
      <c r="K697" s="181"/>
      <c r="L697" s="181"/>
      <c r="M697" s="181"/>
    </row>
    <row r="698" spans="1:13" ht="21">
      <c r="A698" s="181"/>
      <c r="B698" s="181"/>
      <c r="C698" s="184"/>
      <c r="D698" s="188"/>
      <c r="F698" s="181"/>
      <c r="G698" s="181"/>
      <c r="H698" s="181"/>
      <c r="I698" s="180"/>
      <c r="J698" s="181"/>
      <c r="K698" s="181"/>
      <c r="L698" s="181"/>
      <c r="M698" s="181"/>
    </row>
    <row r="699" spans="1:13" ht="21">
      <c r="A699" s="181"/>
      <c r="B699" s="181"/>
      <c r="C699" s="184"/>
      <c r="D699" s="188"/>
      <c r="F699" s="181"/>
      <c r="G699" s="181"/>
      <c r="H699" s="181"/>
      <c r="I699" s="180"/>
      <c r="J699" s="181"/>
      <c r="K699" s="181"/>
      <c r="L699" s="181"/>
      <c r="M699" s="181"/>
    </row>
    <row r="700" spans="1:13" ht="21">
      <c r="A700" s="181"/>
      <c r="B700" s="181"/>
      <c r="C700" s="184"/>
      <c r="D700" s="188"/>
      <c r="F700" s="181"/>
      <c r="G700" s="181"/>
      <c r="H700" s="181"/>
      <c r="I700" s="180"/>
      <c r="J700" s="181"/>
      <c r="K700" s="181"/>
      <c r="L700" s="181"/>
      <c r="M700" s="181"/>
    </row>
    <row r="701" spans="1:13" ht="21">
      <c r="A701" s="181"/>
      <c r="B701" s="181"/>
      <c r="C701" s="184"/>
      <c r="D701" s="188"/>
      <c r="F701" s="181"/>
      <c r="G701" s="181"/>
      <c r="H701" s="181"/>
      <c r="I701" s="180"/>
      <c r="J701" s="181"/>
      <c r="K701" s="181"/>
      <c r="L701" s="181"/>
      <c r="M701" s="181"/>
    </row>
    <row r="702" spans="1:13" ht="21">
      <c r="A702" s="181"/>
      <c r="B702" s="181"/>
      <c r="C702" s="184"/>
      <c r="D702" s="188"/>
      <c r="F702" s="181"/>
      <c r="G702" s="181"/>
      <c r="H702" s="181"/>
      <c r="I702" s="180"/>
      <c r="J702" s="181"/>
      <c r="K702" s="181"/>
      <c r="L702" s="181"/>
      <c r="M702" s="181"/>
    </row>
    <row r="703" spans="1:13" ht="21">
      <c r="A703" s="181"/>
      <c r="B703" s="181"/>
      <c r="C703" s="184"/>
      <c r="D703" s="188"/>
      <c r="F703" s="181"/>
      <c r="G703" s="181"/>
      <c r="H703" s="181"/>
      <c r="I703" s="180"/>
      <c r="J703" s="181"/>
      <c r="K703" s="181"/>
      <c r="L703" s="181"/>
      <c r="M703" s="181"/>
    </row>
    <row r="704" spans="1:13" ht="21">
      <c r="A704" s="181"/>
      <c r="B704" s="181"/>
      <c r="C704" s="184"/>
      <c r="D704" s="188"/>
      <c r="F704" s="181"/>
      <c r="G704" s="181"/>
      <c r="H704" s="181"/>
      <c r="I704" s="180"/>
      <c r="J704" s="181"/>
      <c r="K704" s="181"/>
      <c r="L704" s="181"/>
      <c r="M704" s="181"/>
    </row>
    <row r="705" spans="1:13" ht="21">
      <c r="A705" s="181"/>
      <c r="B705" s="181"/>
      <c r="C705" s="184"/>
      <c r="D705" s="188"/>
      <c r="F705" s="181"/>
      <c r="G705" s="181"/>
      <c r="H705" s="181"/>
      <c r="I705" s="180"/>
      <c r="J705" s="181"/>
      <c r="K705" s="181"/>
      <c r="L705" s="181"/>
      <c r="M705" s="181"/>
    </row>
    <row r="706" spans="1:13" ht="21">
      <c r="A706" s="181"/>
      <c r="B706" s="181"/>
      <c r="C706" s="184"/>
      <c r="D706" s="188"/>
      <c r="F706" s="181"/>
      <c r="G706" s="181"/>
      <c r="H706" s="181"/>
      <c r="I706" s="180"/>
      <c r="J706" s="181"/>
      <c r="K706" s="181"/>
      <c r="L706" s="181"/>
      <c r="M706" s="181"/>
    </row>
    <row r="707" spans="1:13" ht="21">
      <c r="A707" s="181"/>
      <c r="B707" s="181"/>
      <c r="C707" s="184"/>
      <c r="D707" s="188"/>
      <c r="F707" s="181"/>
      <c r="G707" s="181"/>
      <c r="H707" s="181"/>
      <c r="I707" s="180"/>
      <c r="J707" s="181"/>
      <c r="K707" s="181"/>
      <c r="L707" s="181"/>
      <c r="M707" s="181"/>
    </row>
    <row r="708" spans="1:13" ht="21">
      <c r="A708" s="181"/>
      <c r="B708" s="181"/>
      <c r="C708" s="184"/>
      <c r="D708" s="188"/>
      <c r="F708" s="181"/>
      <c r="G708" s="181"/>
      <c r="H708" s="181"/>
      <c r="I708" s="180"/>
      <c r="J708" s="181"/>
      <c r="K708" s="181"/>
      <c r="L708" s="181"/>
      <c r="M708" s="181"/>
    </row>
    <row r="709" spans="1:13" ht="21">
      <c r="A709" s="181"/>
      <c r="B709" s="181"/>
      <c r="C709" s="184"/>
      <c r="D709" s="188"/>
      <c r="F709" s="181"/>
      <c r="G709" s="181"/>
      <c r="H709" s="181"/>
      <c r="I709" s="180"/>
      <c r="J709" s="181"/>
      <c r="K709" s="181"/>
      <c r="L709" s="181"/>
      <c r="M709" s="181"/>
    </row>
    <row r="710" spans="1:13" ht="21">
      <c r="A710" s="181"/>
      <c r="B710" s="181"/>
      <c r="C710" s="184"/>
      <c r="D710" s="188"/>
      <c r="F710" s="181"/>
      <c r="G710" s="181"/>
      <c r="H710" s="181"/>
      <c r="I710" s="180"/>
      <c r="J710" s="181"/>
      <c r="K710" s="181"/>
      <c r="L710" s="181"/>
      <c r="M710" s="181"/>
    </row>
    <row r="711" spans="1:13" ht="21">
      <c r="A711" s="181"/>
      <c r="B711" s="181"/>
      <c r="C711" s="184"/>
      <c r="D711" s="188"/>
      <c r="F711" s="181"/>
      <c r="G711" s="181"/>
      <c r="H711" s="181"/>
      <c r="I711" s="180"/>
      <c r="J711" s="181"/>
      <c r="K711" s="181"/>
      <c r="L711" s="181"/>
      <c r="M711" s="181"/>
    </row>
    <row r="712" spans="1:13" ht="21">
      <c r="A712" s="181"/>
      <c r="B712" s="181"/>
      <c r="C712" s="184"/>
      <c r="D712" s="188"/>
      <c r="F712" s="181"/>
      <c r="G712" s="181"/>
      <c r="H712" s="181"/>
      <c r="I712" s="180"/>
      <c r="J712" s="181"/>
      <c r="K712" s="181"/>
      <c r="L712" s="181"/>
      <c r="M712" s="181"/>
    </row>
    <row r="713" spans="1:13" ht="21">
      <c r="A713" s="181"/>
      <c r="B713" s="181"/>
      <c r="C713" s="184"/>
      <c r="D713" s="188"/>
      <c r="F713" s="181"/>
      <c r="G713" s="181"/>
      <c r="H713" s="181"/>
      <c r="I713" s="180"/>
      <c r="J713" s="181"/>
      <c r="K713" s="181"/>
      <c r="L713" s="181"/>
      <c r="M713" s="181"/>
    </row>
    <row r="714" spans="1:13" ht="21">
      <c r="A714" s="181"/>
      <c r="B714" s="181"/>
      <c r="C714" s="184"/>
      <c r="D714" s="188"/>
      <c r="F714" s="181"/>
      <c r="G714" s="181"/>
      <c r="H714" s="181"/>
      <c r="I714" s="180"/>
      <c r="J714" s="181"/>
      <c r="K714" s="181"/>
      <c r="L714" s="181"/>
      <c r="M714" s="181"/>
    </row>
    <row r="715" spans="1:13" ht="21">
      <c r="A715" s="181"/>
      <c r="B715" s="181"/>
      <c r="C715" s="184"/>
      <c r="D715" s="188"/>
      <c r="F715" s="181"/>
      <c r="G715" s="181"/>
      <c r="H715" s="181"/>
      <c r="I715" s="180"/>
      <c r="J715" s="181"/>
      <c r="K715" s="181"/>
      <c r="L715" s="181"/>
      <c r="M715" s="181"/>
    </row>
    <row r="716" spans="1:13" ht="21">
      <c r="A716" s="181"/>
      <c r="B716" s="181"/>
      <c r="C716" s="184"/>
      <c r="D716" s="188"/>
      <c r="F716" s="181"/>
      <c r="G716" s="181"/>
      <c r="H716" s="181"/>
      <c r="I716" s="180"/>
      <c r="J716" s="181"/>
      <c r="K716" s="181"/>
      <c r="L716" s="181"/>
      <c r="M716" s="181"/>
    </row>
    <row r="717" spans="1:13" ht="21">
      <c r="A717" s="181"/>
      <c r="B717" s="181"/>
      <c r="C717" s="184"/>
      <c r="D717" s="188"/>
      <c r="F717" s="181"/>
      <c r="G717" s="181"/>
      <c r="H717" s="181"/>
      <c r="I717" s="180"/>
      <c r="J717" s="181"/>
      <c r="K717" s="181"/>
      <c r="L717" s="181"/>
      <c r="M717" s="181"/>
    </row>
    <row r="718" spans="1:13" ht="21">
      <c r="A718" s="181"/>
      <c r="B718" s="181"/>
      <c r="C718" s="184"/>
      <c r="D718" s="188"/>
      <c r="F718" s="181"/>
      <c r="G718" s="181"/>
      <c r="H718" s="181"/>
      <c r="I718" s="180"/>
      <c r="J718" s="181"/>
      <c r="K718" s="181"/>
      <c r="L718" s="181"/>
      <c r="M718" s="181"/>
    </row>
    <row r="719" spans="1:13" ht="21">
      <c r="A719" s="181"/>
      <c r="B719" s="181"/>
      <c r="C719" s="184"/>
      <c r="D719" s="188"/>
      <c r="F719" s="181"/>
      <c r="G719" s="181"/>
      <c r="H719" s="181"/>
      <c r="I719" s="180"/>
      <c r="J719" s="181"/>
      <c r="K719" s="181"/>
      <c r="L719" s="181"/>
      <c r="M719" s="181"/>
    </row>
    <row r="720" spans="1:13" ht="21">
      <c r="A720" s="181"/>
      <c r="B720" s="181"/>
      <c r="C720" s="184"/>
      <c r="D720" s="188"/>
      <c r="F720" s="181"/>
      <c r="G720" s="181"/>
      <c r="H720" s="181"/>
      <c r="I720" s="180"/>
      <c r="J720" s="181"/>
      <c r="K720" s="181"/>
      <c r="L720" s="181"/>
      <c r="M720" s="181"/>
    </row>
    <row r="721" spans="1:13" ht="21">
      <c r="A721" s="181"/>
      <c r="B721" s="181"/>
      <c r="C721" s="184"/>
      <c r="D721" s="188"/>
      <c r="F721" s="181"/>
      <c r="G721" s="181"/>
      <c r="H721" s="181"/>
      <c r="I721" s="180"/>
      <c r="J721" s="181"/>
      <c r="K721" s="181"/>
      <c r="L721" s="181"/>
      <c r="M721" s="181"/>
    </row>
    <row r="722" spans="1:13" ht="21">
      <c r="A722" s="181"/>
      <c r="B722" s="181"/>
      <c r="C722" s="184"/>
      <c r="D722" s="188"/>
      <c r="F722" s="181"/>
      <c r="G722" s="181"/>
      <c r="H722" s="181"/>
      <c r="I722" s="180"/>
      <c r="J722" s="181"/>
      <c r="K722" s="181"/>
      <c r="L722" s="181"/>
      <c r="M722" s="181"/>
    </row>
    <row r="723" spans="1:13" ht="21">
      <c r="A723" s="181"/>
      <c r="B723" s="181"/>
      <c r="C723" s="184"/>
      <c r="D723" s="188"/>
      <c r="F723" s="181"/>
      <c r="G723" s="181"/>
      <c r="H723" s="181"/>
      <c r="I723" s="180"/>
      <c r="J723" s="181"/>
      <c r="K723" s="181"/>
      <c r="L723" s="181"/>
      <c r="M723" s="181"/>
    </row>
    <row r="724" spans="1:13" ht="21">
      <c r="A724" s="181"/>
      <c r="B724" s="181"/>
      <c r="C724" s="184"/>
      <c r="D724" s="188"/>
      <c r="F724" s="181"/>
      <c r="G724" s="181"/>
      <c r="H724" s="181"/>
      <c r="I724" s="180"/>
      <c r="J724" s="181"/>
      <c r="K724" s="181"/>
      <c r="L724" s="181"/>
      <c r="M724" s="181"/>
    </row>
    <row r="725" spans="1:13" ht="21">
      <c r="A725" s="181"/>
      <c r="B725" s="181"/>
      <c r="C725" s="184"/>
      <c r="D725" s="188"/>
      <c r="F725" s="181"/>
      <c r="G725" s="181"/>
      <c r="H725" s="181"/>
      <c r="I725" s="180"/>
      <c r="J725" s="181"/>
      <c r="K725" s="181"/>
      <c r="L725" s="181"/>
      <c r="M725" s="181"/>
    </row>
    <row r="726" spans="1:13" ht="21">
      <c r="A726" s="181"/>
      <c r="B726" s="181"/>
      <c r="C726" s="184"/>
      <c r="D726" s="188"/>
      <c r="F726" s="181"/>
      <c r="G726" s="181"/>
      <c r="H726" s="181"/>
      <c r="I726" s="180"/>
      <c r="J726" s="181"/>
      <c r="K726" s="181"/>
      <c r="L726" s="181"/>
      <c r="M726" s="181"/>
    </row>
    <row r="727" spans="1:13" ht="21">
      <c r="A727" s="181"/>
      <c r="B727" s="181"/>
      <c r="C727" s="184"/>
      <c r="D727" s="188"/>
      <c r="F727" s="181"/>
      <c r="G727" s="181"/>
      <c r="H727" s="181"/>
      <c r="I727" s="180"/>
      <c r="J727" s="181"/>
      <c r="K727" s="181"/>
      <c r="L727" s="181"/>
      <c r="M727" s="181"/>
    </row>
    <row r="728" spans="1:13" ht="21">
      <c r="A728" s="181"/>
      <c r="B728" s="181"/>
      <c r="C728" s="184"/>
      <c r="D728" s="188"/>
      <c r="F728" s="181"/>
      <c r="G728" s="181"/>
      <c r="H728" s="181"/>
      <c r="I728" s="180"/>
      <c r="J728" s="181"/>
      <c r="K728" s="181"/>
      <c r="L728" s="181"/>
      <c r="M728" s="181"/>
    </row>
    <row r="729" spans="1:13" ht="21">
      <c r="A729" s="181"/>
      <c r="B729" s="181"/>
      <c r="C729" s="184"/>
      <c r="D729" s="188"/>
      <c r="F729" s="181"/>
      <c r="G729" s="181"/>
      <c r="H729" s="181"/>
      <c r="I729" s="180"/>
      <c r="J729" s="181"/>
      <c r="K729" s="181"/>
      <c r="L729" s="181"/>
      <c r="M729" s="181"/>
    </row>
    <row r="730" spans="1:13" ht="21">
      <c r="A730" s="181"/>
      <c r="B730" s="181"/>
      <c r="C730" s="184"/>
      <c r="D730" s="188"/>
      <c r="F730" s="181"/>
      <c r="G730" s="181"/>
      <c r="H730" s="181"/>
      <c r="I730" s="180"/>
      <c r="J730" s="181"/>
      <c r="K730" s="181"/>
      <c r="L730" s="181"/>
      <c r="M730" s="181"/>
    </row>
    <row r="731" spans="1:13" ht="21">
      <c r="A731" s="181"/>
      <c r="B731" s="181"/>
      <c r="C731" s="184"/>
      <c r="D731" s="188"/>
      <c r="F731" s="181"/>
      <c r="G731" s="181"/>
      <c r="H731" s="181"/>
      <c r="I731" s="180"/>
      <c r="J731" s="181"/>
      <c r="K731" s="181"/>
      <c r="L731" s="181"/>
      <c r="M731" s="181"/>
    </row>
    <row r="732" spans="1:13" ht="21">
      <c r="A732" s="181"/>
      <c r="B732" s="181"/>
      <c r="C732" s="184"/>
      <c r="D732" s="188"/>
      <c r="F732" s="181"/>
      <c r="G732" s="181"/>
      <c r="H732" s="181"/>
      <c r="I732" s="180"/>
      <c r="J732" s="181"/>
      <c r="K732" s="181"/>
      <c r="L732" s="181"/>
      <c r="M732" s="181"/>
    </row>
    <row r="733" spans="1:13" ht="21">
      <c r="A733" s="181"/>
      <c r="B733" s="181"/>
      <c r="C733" s="184"/>
      <c r="D733" s="188"/>
      <c r="F733" s="181"/>
      <c r="G733" s="181"/>
      <c r="H733" s="181"/>
      <c r="I733" s="180"/>
      <c r="J733" s="181"/>
      <c r="K733" s="181"/>
      <c r="L733" s="181"/>
      <c r="M733" s="181"/>
    </row>
    <row r="734" spans="1:13" ht="21">
      <c r="A734" s="181"/>
      <c r="B734" s="181"/>
      <c r="C734" s="184"/>
      <c r="D734" s="188"/>
      <c r="F734" s="181"/>
      <c r="G734" s="181"/>
      <c r="H734" s="181"/>
      <c r="I734" s="180"/>
      <c r="J734" s="181"/>
      <c r="K734" s="181"/>
      <c r="L734" s="181"/>
      <c r="M734" s="181"/>
    </row>
    <row r="735" spans="1:13" ht="21">
      <c r="A735" s="181"/>
      <c r="B735" s="181"/>
      <c r="C735" s="184"/>
      <c r="D735" s="188"/>
      <c r="F735" s="181"/>
      <c r="G735" s="181"/>
      <c r="H735" s="181"/>
      <c r="I735" s="180"/>
      <c r="J735" s="181"/>
      <c r="K735" s="181"/>
      <c r="L735" s="181"/>
      <c r="M735" s="181"/>
    </row>
    <row r="736" spans="1:13" ht="21">
      <c r="A736" s="181"/>
      <c r="B736" s="181"/>
      <c r="C736" s="184"/>
      <c r="D736" s="188"/>
      <c r="F736" s="181"/>
      <c r="G736" s="181"/>
      <c r="H736" s="181"/>
      <c r="I736" s="180"/>
      <c r="J736" s="181"/>
      <c r="K736" s="181"/>
      <c r="L736" s="181"/>
      <c r="M736" s="181"/>
    </row>
    <row r="737" spans="1:13" ht="21">
      <c r="A737" s="181"/>
      <c r="B737" s="181"/>
      <c r="C737" s="184"/>
      <c r="D737" s="188"/>
      <c r="F737" s="181"/>
      <c r="G737" s="181"/>
      <c r="H737" s="181"/>
      <c r="I737" s="180"/>
      <c r="J737" s="181"/>
      <c r="K737" s="181"/>
      <c r="L737" s="181"/>
      <c r="M737" s="181"/>
    </row>
    <row r="738" spans="1:13" ht="21">
      <c r="A738" s="181"/>
      <c r="B738" s="181"/>
      <c r="C738" s="184"/>
      <c r="D738" s="188"/>
      <c r="F738" s="181"/>
      <c r="G738" s="181"/>
      <c r="H738" s="181"/>
      <c r="I738" s="180"/>
      <c r="J738" s="181"/>
      <c r="K738" s="181"/>
      <c r="L738" s="181"/>
      <c r="M738" s="181"/>
    </row>
    <row r="739" spans="1:13" ht="21">
      <c r="A739" s="181"/>
      <c r="B739" s="181"/>
      <c r="C739" s="184"/>
      <c r="D739" s="188"/>
      <c r="F739" s="181"/>
      <c r="G739" s="181"/>
      <c r="H739" s="181"/>
      <c r="I739" s="180"/>
      <c r="J739" s="181"/>
      <c r="K739" s="181"/>
      <c r="L739" s="181"/>
      <c r="M739" s="181"/>
    </row>
    <row r="740" spans="1:13" ht="21">
      <c r="A740" s="181"/>
      <c r="B740" s="181"/>
      <c r="C740" s="184"/>
      <c r="D740" s="188"/>
      <c r="F740" s="181"/>
      <c r="G740" s="181"/>
      <c r="H740" s="181"/>
      <c r="I740" s="180"/>
      <c r="J740" s="181"/>
      <c r="K740" s="181"/>
      <c r="L740" s="181"/>
      <c r="M740" s="181"/>
    </row>
    <row r="741" spans="1:13" ht="21">
      <c r="A741" s="181"/>
      <c r="B741" s="181"/>
      <c r="C741" s="184"/>
      <c r="D741" s="188"/>
      <c r="F741" s="181"/>
      <c r="G741" s="181"/>
      <c r="H741" s="181"/>
      <c r="I741" s="180"/>
      <c r="J741" s="181"/>
      <c r="K741" s="181"/>
      <c r="L741" s="181"/>
      <c r="M741" s="181"/>
    </row>
    <row r="742" spans="1:13" ht="21">
      <c r="A742" s="181"/>
      <c r="B742" s="181"/>
      <c r="C742" s="184"/>
      <c r="D742" s="188"/>
      <c r="F742" s="181"/>
      <c r="G742" s="181"/>
      <c r="H742" s="181"/>
      <c r="I742" s="180"/>
      <c r="J742" s="181"/>
      <c r="K742" s="181"/>
      <c r="L742" s="181"/>
      <c r="M742" s="181"/>
    </row>
    <row r="743" spans="1:13" ht="21">
      <c r="A743" s="181"/>
      <c r="B743" s="181"/>
      <c r="C743" s="184"/>
      <c r="D743" s="188"/>
      <c r="F743" s="181"/>
      <c r="G743" s="181"/>
      <c r="H743" s="181"/>
      <c r="I743" s="180"/>
      <c r="J743" s="181"/>
      <c r="K743" s="181"/>
      <c r="L743" s="181"/>
      <c r="M743" s="181"/>
    </row>
    <row r="744" spans="1:13" ht="21">
      <c r="A744" s="181"/>
      <c r="B744" s="181"/>
      <c r="C744" s="184"/>
      <c r="D744" s="188"/>
      <c r="F744" s="181"/>
      <c r="G744" s="181"/>
      <c r="H744" s="181"/>
      <c r="I744" s="180"/>
      <c r="J744" s="181"/>
      <c r="K744" s="181"/>
      <c r="L744" s="181"/>
      <c r="M744" s="181"/>
    </row>
    <row r="745" spans="1:13" ht="21">
      <c r="A745" s="181"/>
      <c r="B745" s="181"/>
      <c r="C745" s="184"/>
      <c r="D745" s="188"/>
      <c r="F745" s="181"/>
      <c r="G745" s="181"/>
      <c r="H745" s="181"/>
      <c r="I745" s="180"/>
      <c r="J745" s="181"/>
      <c r="K745" s="181"/>
      <c r="L745" s="181"/>
      <c r="M745" s="181"/>
    </row>
    <row r="746" spans="1:13" ht="21">
      <c r="A746" s="181"/>
      <c r="B746" s="181"/>
      <c r="C746" s="184"/>
      <c r="D746" s="188"/>
      <c r="F746" s="181"/>
      <c r="G746" s="181"/>
      <c r="H746" s="181"/>
      <c r="I746" s="180"/>
      <c r="J746" s="181"/>
      <c r="K746" s="181"/>
      <c r="L746" s="181"/>
      <c r="M746" s="181"/>
    </row>
    <row r="747" spans="1:13" ht="21">
      <c r="A747" s="181"/>
      <c r="B747" s="181"/>
      <c r="C747" s="184"/>
      <c r="D747" s="188"/>
      <c r="F747" s="181"/>
      <c r="G747" s="181"/>
      <c r="H747" s="181"/>
      <c r="I747" s="180"/>
      <c r="J747" s="181"/>
      <c r="K747" s="181"/>
      <c r="L747" s="181"/>
      <c r="M747" s="181"/>
    </row>
    <row r="748" spans="1:13" ht="21">
      <c r="A748" s="181"/>
      <c r="B748" s="181"/>
      <c r="C748" s="184"/>
      <c r="D748" s="188"/>
      <c r="F748" s="181"/>
      <c r="G748" s="181"/>
      <c r="H748" s="181"/>
      <c r="I748" s="180"/>
      <c r="J748" s="181"/>
      <c r="K748" s="181"/>
      <c r="L748" s="181"/>
      <c r="M748" s="181"/>
    </row>
    <row r="749" spans="1:13" ht="21">
      <c r="A749" s="181"/>
      <c r="B749" s="181"/>
      <c r="C749" s="184"/>
      <c r="D749" s="188"/>
      <c r="F749" s="181"/>
      <c r="G749" s="181"/>
      <c r="H749" s="181"/>
      <c r="I749" s="180"/>
      <c r="J749" s="181"/>
      <c r="K749" s="181"/>
      <c r="L749" s="181"/>
      <c r="M749" s="181"/>
    </row>
    <row r="750" spans="1:13" ht="21">
      <c r="A750" s="181"/>
      <c r="B750" s="181"/>
      <c r="C750" s="184"/>
      <c r="D750" s="188"/>
      <c r="F750" s="181"/>
      <c r="G750" s="181"/>
      <c r="H750" s="181"/>
      <c r="I750" s="180"/>
      <c r="J750" s="181"/>
      <c r="K750" s="181"/>
      <c r="L750" s="181"/>
      <c r="M750" s="181"/>
    </row>
    <row r="751" spans="1:13" ht="21">
      <c r="A751" s="181"/>
      <c r="B751" s="181"/>
      <c r="C751" s="184"/>
      <c r="D751" s="188"/>
      <c r="F751" s="181"/>
      <c r="G751" s="181"/>
      <c r="H751" s="181"/>
      <c r="I751" s="180"/>
      <c r="J751" s="181"/>
      <c r="K751" s="181"/>
      <c r="L751" s="181"/>
      <c r="M751" s="181"/>
    </row>
    <row r="752" spans="1:13" ht="21">
      <c r="A752" s="181"/>
      <c r="B752" s="181"/>
      <c r="C752" s="184"/>
      <c r="D752" s="188"/>
      <c r="F752" s="181"/>
      <c r="G752" s="181"/>
      <c r="H752" s="181"/>
      <c r="I752" s="180"/>
      <c r="J752" s="181"/>
      <c r="K752" s="181"/>
      <c r="L752" s="181"/>
      <c r="M752" s="181"/>
    </row>
    <row r="753" spans="1:13" ht="21">
      <c r="A753" s="181"/>
      <c r="B753" s="181"/>
      <c r="C753" s="184"/>
      <c r="D753" s="188"/>
      <c r="F753" s="181"/>
      <c r="G753" s="181"/>
      <c r="H753" s="181"/>
      <c r="I753" s="180"/>
      <c r="J753" s="181"/>
      <c r="K753" s="181"/>
      <c r="L753" s="181"/>
      <c r="M753" s="181"/>
    </row>
    <row r="754" spans="1:13" ht="21">
      <c r="A754" s="181"/>
      <c r="B754" s="181"/>
      <c r="C754" s="184"/>
      <c r="D754" s="188"/>
      <c r="F754" s="181"/>
      <c r="G754" s="181"/>
      <c r="H754" s="181"/>
      <c r="I754" s="180"/>
      <c r="J754" s="181"/>
      <c r="K754" s="181"/>
      <c r="L754" s="181"/>
      <c r="M754" s="181"/>
    </row>
    <row r="755" spans="1:13" ht="21">
      <c r="A755" s="181"/>
      <c r="B755" s="181"/>
      <c r="C755" s="184"/>
      <c r="D755" s="188"/>
      <c r="F755" s="181"/>
      <c r="G755" s="181"/>
      <c r="H755" s="181"/>
      <c r="I755" s="180"/>
      <c r="J755" s="181"/>
      <c r="K755" s="181"/>
      <c r="L755" s="181"/>
      <c r="M755" s="181"/>
    </row>
    <row r="756" spans="1:13" ht="21">
      <c r="A756" s="181"/>
      <c r="B756" s="181"/>
      <c r="C756" s="184"/>
      <c r="D756" s="188"/>
      <c r="F756" s="181"/>
      <c r="G756" s="181"/>
      <c r="H756" s="181"/>
      <c r="I756" s="180"/>
      <c r="J756" s="181"/>
      <c r="K756" s="181"/>
      <c r="L756" s="181"/>
      <c r="M756" s="181"/>
    </row>
    <row r="757" spans="1:13" ht="21">
      <c r="A757" s="181"/>
      <c r="B757" s="181"/>
      <c r="C757" s="184"/>
      <c r="D757" s="188"/>
      <c r="F757" s="181"/>
      <c r="G757" s="181"/>
      <c r="H757" s="181"/>
      <c r="I757" s="180"/>
      <c r="J757" s="181"/>
      <c r="K757" s="181"/>
      <c r="L757" s="181"/>
      <c r="M757" s="181"/>
    </row>
    <row r="758" spans="1:13" ht="21">
      <c r="A758" s="181"/>
      <c r="B758" s="181"/>
      <c r="C758" s="184"/>
      <c r="D758" s="188"/>
      <c r="F758" s="181"/>
      <c r="G758" s="181"/>
      <c r="H758" s="181"/>
      <c r="I758" s="180"/>
      <c r="J758" s="181"/>
      <c r="K758" s="181"/>
      <c r="L758" s="181"/>
      <c r="M758" s="181"/>
    </row>
    <row r="759" spans="1:13" ht="21">
      <c r="A759" s="181"/>
      <c r="B759" s="181"/>
      <c r="C759" s="184"/>
      <c r="D759" s="188"/>
      <c r="F759" s="181"/>
      <c r="G759" s="181"/>
      <c r="H759" s="181"/>
      <c r="I759" s="180"/>
      <c r="J759" s="181"/>
      <c r="K759" s="181"/>
      <c r="L759" s="181"/>
      <c r="M759" s="181"/>
    </row>
    <row r="760" spans="1:13" ht="21">
      <c r="A760" s="181"/>
      <c r="B760" s="181"/>
      <c r="C760" s="184"/>
      <c r="D760" s="188"/>
      <c r="F760" s="181"/>
      <c r="G760" s="181"/>
      <c r="H760" s="181"/>
      <c r="I760" s="180"/>
      <c r="J760" s="181"/>
      <c r="K760" s="181"/>
      <c r="L760" s="181"/>
      <c r="M760" s="181"/>
    </row>
    <row r="761" spans="1:13" ht="21">
      <c r="A761" s="181"/>
      <c r="B761" s="181"/>
      <c r="C761" s="184"/>
      <c r="D761" s="188"/>
      <c r="F761" s="181"/>
      <c r="G761" s="181"/>
      <c r="H761" s="181"/>
      <c r="I761" s="180"/>
      <c r="J761" s="181"/>
      <c r="K761" s="181"/>
      <c r="L761" s="181"/>
      <c r="M761" s="181"/>
    </row>
    <row r="762" spans="1:13" ht="21">
      <c r="A762" s="181"/>
      <c r="B762" s="181"/>
      <c r="C762" s="184"/>
      <c r="D762" s="188"/>
      <c r="F762" s="181"/>
      <c r="G762" s="181"/>
      <c r="H762" s="181"/>
      <c r="I762" s="180"/>
      <c r="J762" s="181"/>
      <c r="K762" s="181"/>
      <c r="L762" s="181"/>
      <c r="M762" s="181"/>
    </row>
    <row r="763" spans="1:13" ht="21">
      <c r="A763" s="181"/>
      <c r="B763" s="181"/>
      <c r="C763" s="184"/>
      <c r="D763" s="188"/>
      <c r="F763" s="181"/>
      <c r="G763" s="181"/>
      <c r="H763" s="181"/>
      <c r="I763" s="180"/>
      <c r="J763" s="181"/>
      <c r="K763" s="181"/>
      <c r="L763" s="181"/>
      <c r="M763" s="181"/>
    </row>
    <row r="764" spans="1:13" ht="21">
      <c r="A764" s="181"/>
      <c r="B764" s="181"/>
      <c r="C764" s="184"/>
      <c r="D764" s="188"/>
      <c r="F764" s="181"/>
      <c r="G764" s="181"/>
      <c r="H764" s="181"/>
      <c r="I764" s="180"/>
      <c r="J764" s="181"/>
      <c r="K764" s="181"/>
      <c r="L764" s="181"/>
      <c r="M764" s="181"/>
    </row>
    <row r="765" spans="1:13" ht="21">
      <c r="A765" s="181"/>
      <c r="B765" s="181"/>
      <c r="C765" s="184"/>
      <c r="D765" s="188"/>
      <c r="F765" s="181"/>
      <c r="G765" s="181"/>
      <c r="H765" s="181"/>
      <c r="I765" s="180"/>
      <c r="J765" s="181"/>
      <c r="K765" s="181"/>
      <c r="L765" s="181"/>
      <c r="M765" s="181"/>
    </row>
    <row r="766" spans="1:13" ht="21">
      <c r="A766" s="181"/>
      <c r="B766" s="181"/>
      <c r="C766" s="184"/>
      <c r="D766" s="188"/>
      <c r="F766" s="181"/>
      <c r="G766" s="181"/>
      <c r="H766" s="181"/>
      <c r="I766" s="180"/>
      <c r="J766" s="181"/>
      <c r="K766" s="181"/>
      <c r="L766" s="181"/>
      <c r="M766" s="181"/>
    </row>
    <row r="767" spans="1:13" ht="21">
      <c r="A767" s="181"/>
      <c r="B767" s="181"/>
      <c r="C767" s="184"/>
      <c r="D767" s="188"/>
      <c r="F767" s="181"/>
      <c r="G767" s="181"/>
      <c r="H767" s="181"/>
      <c r="I767" s="180"/>
      <c r="J767" s="181"/>
      <c r="K767" s="181"/>
      <c r="L767" s="181"/>
      <c r="M767" s="181"/>
    </row>
    <row r="768" spans="1:13" ht="21">
      <c r="A768" s="181"/>
      <c r="B768" s="181"/>
      <c r="C768" s="184"/>
      <c r="D768" s="188"/>
      <c r="F768" s="181"/>
      <c r="G768" s="181"/>
      <c r="H768" s="181"/>
      <c r="I768" s="180"/>
      <c r="J768" s="181"/>
      <c r="K768" s="181"/>
      <c r="L768" s="181"/>
      <c r="M768" s="181"/>
    </row>
    <row r="769" spans="1:13" ht="21">
      <c r="A769" s="181"/>
      <c r="B769" s="181"/>
      <c r="C769" s="184"/>
      <c r="D769" s="188"/>
      <c r="F769" s="181"/>
      <c r="G769" s="181"/>
      <c r="H769" s="181"/>
      <c r="I769" s="180"/>
      <c r="J769" s="181"/>
      <c r="K769" s="181"/>
      <c r="L769" s="181"/>
      <c r="M769" s="181"/>
    </row>
    <row r="770" spans="1:13" ht="21">
      <c r="A770" s="181"/>
      <c r="B770" s="181"/>
      <c r="C770" s="184"/>
      <c r="D770" s="188"/>
      <c r="F770" s="181"/>
      <c r="G770" s="181"/>
      <c r="H770" s="181"/>
      <c r="I770" s="180"/>
      <c r="J770" s="181"/>
      <c r="K770" s="181"/>
      <c r="L770" s="181"/>
      <c r="M770" s="181"/>
    </row>
    <row r="771" spans="1:13" ht="21">
      <c r="A771" s="181"/>
      <c r="B771" s="181"/>
      <c r="C771" s="184"/>
      <c r="D771" s="188"/>
      <c r="F771" s="181"/>
      <c r="G771" s="181"/>
      <c r="H771" s="181"/>
      <c r="I771" s="180"/>
      <c r="J771" s="181"/>
      <c r="K771" s="181"/>
      <c r="L771" s="181"/>
      <c r="M771" s="181"/>
    </row>
    <row r="772" spans="1:13" ht="21">
      <c r="A772" s="181"/>
      <c r="B772" s="181"/>
      <c r="C772" s="184"/>
      <c r="D772" s="188"/>
      <c r="F772" s="181"/>
      <c r="G772" s="181"/>
      <c r="H772" s="181"/>
      <c r="I772" s="180"/>
      <c r="J772" s="181"/>
      <c r="K772" s="181"/>
      <c r="L772" s="181"/>
      <c r="M772" s="181"/>
    </row>
    <row r="773" spans="1:13" ht="21">
      <c r="A773" s="181"/>
      <c r="B773" s="181"/>
      <c r="C773" s="184"/>
      <c r="D773" s="188"/>
      <c r="F773" s="181"/>
      <c r="G773" s="181"/>
      <c r="H773" s="181"/>
      <c r="I773" s="180"/>
      <c r="J773" s="181"/>
      <c r="K773" s="181"/>
      <c r="L773" s="181"/>
      <c r="M773" s="181"/>
    </row>
    <row r="774" spans="1:13" ht="21">
      <c r="A774" s="181"/>
      <c r="B774" s="181"/>
      <c r="C774" s="184"/>
      <c r="D774" s="188"/>
      <c r="F774" s="181"/>
      <c r="G774" s="181"/>
      <c r="H774" s="181"/>
      <c r="I774" s="180"/>
      <c r="J774" s="181"/>
      <c r="K774" s="181"/>
      <c r="L774" s="181"/>
      <c r="M774" s="181"/>
    </row>
    <row r="775" spans="1:13" ht="21">
      <c r="A775" s="181"/>
      <c r="B775" s="181"/>
      <c r="C775" s="184"/>
      <c r="D775" s="188"/>
      <c r="F775" s="181"/>
      <c r="G775" s="181"/>
      <c r="H775" s="181"/>
      <c r="I775" s="180"/>
      <c r="J775" s="181"/>
      <c r="K775" s="181"/>
      <c r="L775" s="181"/>
      <c r="M775" s="181"/>
    </row>
    <row r="776" spans="1:13" ht="21">
      <c r="A776" s="181"/>
      <c r="B776" s="181"/>
      <c r="C776" s="184"/>
      <c r="D776" s="188"/>
      <c r="F776" s="181"/>
      <c r="G776" s="181"/>
      <c r="H776" s="181"/>
      <c r="I776" s="180"/>
      <c r="J776" s="181"/>
      <c r="K776" s="181"/>
      <c r="L776" s="181"/>
      <c r="M776" s="181"/>
    </row>
    <row r="777" spans="1:13" ht="21">
      <c r="A777" s="181"/>
      <c r="B777" s="181"/>
      <c r="C777" s="184"/>
      <c r="D777" s="188"/>
      <c r="F777" s="181"/>
      <c r="G777" s="181"/>
      <c r="H777" s="181"/>
      <c r="I777" s="180"/>
      <c r="J777" s="181"/>
      <c r="K777" s="181"/>
      <c r="L777" s="181"/>
      <c r="M777" s="181"/>
    </row>
    <row r="778" spans="1:13" ht="21">
      <c r="A778" s="181"/>
      <c r="B778" s="181"/>
      <c r="C778" s="184"/>
      <c r="D778" s="188"/>
      <c r="F778" s="181"/>
      <c r="G778" s="181"/>
      <c r="H778" s="181"/>
      <c r="I778" s="180"/>
      <c r="J778" s="181"/>
      <c r="K778" s="181"/>
      <c r="L778" s="181"/>
      <c r="M778" s="181"/>
    </row>
    <row r="779" spans="1:13" ht="21">
      <c r="A779" s="181"/>
      <c r="B779" s="181"/>
      <c r="C779" s="184"/>
      <c r="D779" s="188"/>
      <c r="F779" s="181"/>
      <c r="G779" s="181"/>
      <c r="H779" s="181"/>
      <c r="I779" s="180"/>
      <c r="J779" s="181"/>
      <c r="K779" s="181"/>
      <c r="L779" s="181"/>
      <c r="M779" s="181"/>
    </row>
    <row r="780" spans="1:13" ht="21">
      <c r="A780" s="181"/>
      <c r="B780" s="181"/>
      <c r="C780" s="184"/>
      <c r="D780" s="188"/>
      <c r="F780" s="181"/>
      <c r="G780" s="181"/>
      <c r="H780" s="181"/>
      <c r="I780" s="180"/>
      <c r="J780" s="181"/>
      <c r="K780" s="181"/>
      <c r="L780" s="181"/>
      <c r="M780" s="181"/>
    </row>
    <row r="781" spans="1:13" ht="21">
      <c r="A781" s="181"/>
      <c r="B781" s="181"/>
      <c r="C781" s="184"/>
      <c r="D781" s="188"/>
      <c r="F781" s="181"/>
      <c r="G781" s="181"/>
      <c r="H781" s="181"/>
      <c r="I781" s="180"/>
      <c r="J781" s="181"/>
      <c r="K781" s="181"/>
      <c r="L781" s="181"/>
      <c r="M781" s="181"/>
    </row>
    <row r="782" spans="1:13" ht="21">
      <c r="A782" s="181"/>
      <c r="B782" s="181"/>
      <c r="C782" s="184"/>
      <c r="D782" s="188"/>
      <c r="F782" s="181"/>
      <c r="G782" s="181"/>
      <c r="H782" s="181"/>
      <c r="I782" s="180"/>
      <c r="J782" s="181"/>
      <c r="K782" s="181"/>
      <c r="L782" s="181"/>
      <c r="M782" s="181"/>
    </row>
    <row r="783" spans="1:13" ht="21">
      <c r="A783" s="181"/>
      <c r="B783" s="181"/>
      <c r="C783" s="184"/>
      <c r="D783" s="188"/>
      <c r="F783" s="181"/>
      <c r="G783" s="181"/>
      <c r="H783" s="181"/>
      <c r="I783" s="180"/>
      <c r="J783" s="181"/>
      <c r="K783" s="181"/>
      <c r="L783" s="181"/>
      <c r="M783" s="181"/>
    </row>
    <row r="784" spans="1:13" ht="21">
      <c r="A784" s="181"/>
      <c r="B784" s="181"/>
      <c r="C784" s="184"/>
      <c r="D784" s="188"/>
      <c r="F784" s="181"/>
      <c r="G784" s="181"/>
      <c r="H784" s="181"/>
      <c r="I784" s="180"/>
      <c r="J784" s="181"/>
      <c r="K784" s="181"/>
      <c r="L784" s="181"/>
      <c r="M784" s="181"/>
    </row>
    <row r="785" spans="1:13" ht="21">
      <c r="A785" s="181"/>
      <c r="B785" s="181"/>
      <c r="C785" s="184"/>
      <c r="D785" s="188"/>
      <c r="F785" s="181"/>
      <c r="G785" s="181"/>
      <c r="H785" s="181"/>
      <c r="I785" s="180"/>
      <c r="J785" s="181"/>
      <c r="K785" s="181"/>
      <c r="L785" s="181"/>
      <c r="M785" s="181"/>
    </row>
    <row r="786" spans="1:13" ht="21">
      <c r="A786" s="181"/>
      <c r="B786" s="181"/>
      <c r="C786" s="184"/>
      <c r="D786" s="188"/>
      <c r="F786" s="181"/>
      <c r="G786" s="181"/>
      <c r="H786" s="181"/>
      <c r="I786" s="180"/>
      <c r="J786" s="181"/>
      <c r="K786" s="181"/>
      <c r="L786" s="181"/>
      <c r="M786" s="181"/>
    </row>
    <row r="787" spans="1:13" ht="21">
      <c r="A787" s="181"/>
      <c r="B787" s="181"/>
      <c r="C787" s="184"/>
      <c r="D787" s="188"/>
      <c r="F787" s="181"/>
      <c r="G787" s="181"/>
      <c r="H787" s="181"/>
      <c r="I787" s="180"/>
      <c r="J787" s="181"/>
      <c r="K787" s="181"/>
      <c r="L787" s="181"/>
      <c r="M787" s="181"/>
    </row>
    <row r="788" spans="1:13" ht="21">
      <c r="A788" s="181"/>
      <c r="B788" s="181"/>
      <c r="C788" s="184"/>
      <c r="D788" s="188"/>
      <c r="F788" s="181"/>
      <c r="G788" s="181"/>
      <c r="H788" s="181"/>
      <c r="I788" s="180"/>
      <c r="J788" s="181"/>
      <c r="K788" s="181"/>
      <c r="L788" s="181"/>
      <c r="M788" s="181"/>
    </row>
    <row r="789" spans="1:13" ht="21">
      <c r="A789" s="181"/>
      <c r="B789" s="181"/>
      <c r="C789" s="184"/>
      <c r="D789" s="188"/>
      <c r="F789" s="181"/>
      <c r="G789" s="181"/>
      <c r="H789" s="181"/>
      <c r="I789" s="180"/>
      <c r="J789" s="181"/>
      <c r="K789" s="181"/>
      <c r="L789" s="181"/>
      <c r="M789" s="181"/>
    </row>
    <row r="790" spans="1:13" ht="21">
      <c r="A790" s="181"/>
      <c r="B790" s="181"/>
      <c r="C790" s="184"/>
      <c r="D790" s="188"/>
      <c r="F790" s="181"/>
      <c r="G790" s="181"/>
      <c r="H790" s="181"/>
      <c r="I790" s="180"/>
      <c r="J790" s="181"/>
      <c r="K790" s="181"/>
      <c r="L790" s="181"/>
      <c r="M790" s="181"/>
    </row>
    <row r="791" spans="1:13" ht="21">
      <c r="A791" s="181"/>
      <c r="B791" s="181"/>
      <c r="C791" s="184"/>
      <c r="D791" s="188"/>
      <c r="F791" s="181"/>
      <c r="G791" s="181"/>
      <c r="H791" s="181"/>
      <c r="I791" s="180"/>
      <c r="J791" s="181"/>
      <c r="K791" s="181"/>
      <c r="L791" s="181"/>
      <c r="M791" s="181"/>
    </row>
    <row r="792" spans="1:13" ht="21">
      <c r="A792" s="181"/>
      <c r="B792" s="181"/>
      <c r="C792" s="184"/>
      <c r="D792" s="188"/>
      <c r="F792" s="181"/>
      <c r="G792" s="181"/>
      <c r="H792" s="181"/>
      <c r="I792" s="180"/>
      <c r="J792" s="181"/>
      <c r="K792" s="181"/>
      <c r="L792" s="181"/>
      <c r="M792" s="181"/>
    </row>
    <row r="793" spans="1:13" ht="21">
      <c r="A793" s="181"/>
      <c r="B793" s="181"/>
      <c r="C793" s="184"/>
      <c r="D793" s="188"/>
      <c r="F793" s="181"/>
      <c r="G793" s="181"/>
      <c r="H793" s="181"/>
      <c r="I793" s="180"/>
      <c r="J793" s="181"/>
      <c r="K793" s="181"/>
      <c r="L793" s="181"/>
      <c r="M793" s="181"/>
    </row>
    <row r="794" spans="1:13" ht="21">
      <c r="A794" s="181"/>
      <c r="B794" s="181"/>
      <c r="C794" s="184"/>
      <c r="D794" s="188"/>
      <c r="F794" s="181"/>
      <c r="G794" s="181"/>
      <c r="H794" s="181"/>
      <c r="I794" s="180"/>
      <c r="J794" s="181"/>
      <c r="K794" s="181"/>
      <c r="L794" s="181"/>
      <c r="M794" s="181"/>
    </row>
    <row r="795" spans="1:13" ht="21">
      <c r="A795" s="181"/>
      <c r="B795" s="181"/>
      <c r="C795" s="184"/>
      <c r="D795" s="188"/>
      <c r="F795" s="181"/>
      <c r="G795" s="181"/>
      <c r="H795" s="181"/>
      <c r="I795" s="180"/>
      <c r="J795" s="181"/>
      <c r="K795" s="181"/>
      <c r="L795" s="181"/>
      <c r="M795" s="181"/>
    </row>
    <row r="796" spans="1:13" ht="21">
      <c r="A796" s="181"/>
      <c r="B796" s="181"/>
      <c r="C796" s="184"/>
      <c r="D796" s="188"/>
      <c r="F796" s="181"/>
      <c r="G796" s="181"/>
      <c r="H796" s="181"/>
      <c r="I796" s="180"/>
      <c r="J796" s="181"/>
      <c r="K796" s="181"/>
      <c r="L796" s="181"/>
      <c r="M796" s="181"/>
    </row>
    <row r="797" spans="1:13" ht="21">
      <c r="A797" s="181"/>
      <c r="B797" s="181"/>
      <c r="C797" s="184"/>
      <c r="D797" s="188"/>
      <c r="F797" s="181"/>
      <c r="G797" s="181"/>
      <c r="H797" s="181"/>
      <c r="I797" s="180"/>
      <c r="J797" s="181"/>
      <c r="K797" s="181"/>
      <c r="L797" s="181"/>
      <c r="M797" s="181"/>
    </row>
    <row r="798" spans="1:13" ht="21">
      <c r="A798" s="181"/>
      <c r="B798" s="181"/>
      <c r="C798" s="184"/>
      <c r="D798" s="188"/>
      <c r="F798" s="181"/>
      <c r="G798" s="181"/>
      <c r="H798" s="181"/>
      <c r="I798" s="180"/>
      <c r="J798" s="181"/>
      <c r="K798" s="181"/>
      <c r="L798" s="181"/>
      <c r="M798" s="181"/>
    </row>
    <row r="799" spans="1:13" ht="21">
      <c r="A799" s="181"/>
      <c r="B799" s="181"/>
      <c r="C799" s="184"/>
      <c r="D799" s="188"/>
      <c r="F799" s="181"/>
      <c r="G799" s="181"/>
      <c r="H799" s="181"/>
      <c r="I799" s="180"/>
      <c r="J799" s="181"/>
      <c r="K799" s="181"/>
      <c r="L799" s="181"/>
      <c r="M799" s="181"/>
    </row>
    <row r="800" spans="1:13" ht="21">
      <c r="A800" s="181"/>
      <c r="B800" s="181"/>
      <c r="C800" s="184"/>
      <c r="D800" s="188"/>
      <c r="F800" s="181"/>
      <c r="G800" s="181"/>
      <c r="H800" s="181"/>
      <c r="I800" s="180"/>
      <c r="J800" s="181"/>
      <c r="K800" s="181"/>
      <c r="L800" s="181"/>
      <c r="M800" s="181"/>
    </row>
    <row r="801" spans="1:13" ht="21">
      <c r="A801" s="181"/>
      <c r="B801" s="181"/>
      <c r="C801" s="184"/>
      <c r="D801" s="188"/>
      <c r="F801" s="181"/>
      <c r="G801" s="181"/>
      <c r="H801" s="181"/>
      <c r="I801" s="180"/>
      <c r="J801" s="181"/>
      <c r="K801" s="181"/>
      <c r="L801" s="181"/>
      <c r="M801" s="181"/>
    </row>
    <row r="802" spans="1:13" ht="21">
      <c r="A802" s="181"/>
      <c r="B802" s="181"/>
      <c r="C802" s="184"/>
      <c r="D802" s="188"/>
      <c r="F802" s="181"/>
      <c r="G802" s="181"/>
      <c r="H802" s="181"/>
      <c r="I802" s="180"/>
      <c r="J802" s="181"/>
      <c r="K802" s="181"/>
      <c r="L802" s="181"/>
      <c r="M802" s="181"/>
    </row>
    <row r="803" spans="1:13" ht="21">
      <c r="A803" s="181"/>
      <c r="B803" s="181"/>
      <c r="C803" s="184"/>
      <c r="D803" s="188"/>
      <c r="F803" s="181"/>
      <c r="G803" s="181"/>
      <c r="H803" s="181"/>
      <c r="I803" s="180"/>
      <c r="J803" s="181"/>
      <c r="K803" s="181"/>
      <c r="L803" s="181"/>
      <c r="M803" s="181"/>
    </row>
    <row r="804" spans="1:13" ht="21">
      <c r="A804" s="181"/>
      <c r="B804" s="181"/>
      <c r="C804" s="184"/>
      <c r="D804" s="188"/>
      <c r="F804" s="181"/>
      <c r="G804" s="181"/>
      <c r="H804" s="181"/>
      <c r="I804" s="180"/>
      <c r="J804" s="181"/>
      <c r="K804" s="181"/>
      <c r="L804" s="181"/>
      <c r="M804" s="181"/>
    </row>
    <row r="805" spans="1:13" ht="21">
      <c r="A805" s="181"/>
      <c r="B805" s="181"/>
      <c r="C805" s="184"/>
      <c r="D805" s="188"/>
      <c r="F805" s="181"/>
      <c r="G805" s="181"/>
      <c r="H805" s="181"/>
      <c r="I805" s="180"/>
      <c r="J805" s="181"/>
      <c r="K805" s="181"/>
      <c r="L805" s="181"/>
      <c r="M805" s="181"/>
    </row>
    <row r="806" spans="1:13" ht="21">
      <c r="A806" s="181"/>
      <c r="B806" s="181"/>
      <c r="C806" s="184"/>
      <c r="D806" s="188"/>
      <c r="F806" s="181"/>
      <c r="G806" s="181"/>
      <c r="H806" s="181"/>
      <c r="I806" s="180"/>
      <c r="J806" s="181"/>
      <c r="K806" s="181"/>
      <c r="L806" s="181"/>
      <c r="M806" s="181"/>
    </row>
    <row r="807" spans="1:13" ht="21">
      <c r="A807" s="181"/>
      <c r="B807" s="181"/>
      <c r="C807" s="184"/>
      <c r="D807" s="188"/>
      <c r="F807" s="181"/>
      <c r="G807" s="181"/>
      <c r="H807" s="181"/>
      <c r="I807" s="180"/>
      <c r="J807" s="181"/>
      <c r="K807" s="181"/>
      <c r="L807" s="181"/>
      <c r="M807" s="181"/>
    </row>
    <row r="808" spans="1:13" ht="21">
      <c r="A808" s="181"/>
      <c r="B808" s="181"/>
      <c r="C808" s="184"/>
      <c r="D808" s="188"/>
      <c r="F808" s="181"/>
      <c r="G808" s="181"/>
      <c r="H808" s="181"/>
      <c r="I808" s="180"/>
      <c r="J808" s="181"/>
      <c r="K808" s="181"/>
      <c r="L808" s="181"/>
      <c r="M808" s="181"/>
    </row>
    <row r="809" spans="1:13" ht="21">
      <c r="A809" s="181"/>
      <c r="B809" s="181"/>
      <c r="C809" s="184"/>
      <c r="D809" s="188"/>
      <c r="F809" s="181"/>
      <c r="G809" s="181"/>
      <c r="H809" s="181"/>
      <c r="I809" s="180"/>
      <c r="J809" s="181"/>
      <c r="K809" s="181"/>
      <c r="L809" s="181"/>
      <c r="M809" s="181"/>
    </row>
    <row r="810" spans="1:13" ht="21">
      <c r="A810" s="181"/>
      <c r="B810" s="181"/>
      <c r="C810" s="184"/>
      <c r="D810" s="188"/>
      <c r="F810" s="181"/>
      <c r="G810" s="181"/>
      <c r="H810" s="181"/>
      <c r="I810" s="180"/>
      <c r="J810" s="181"/>
      <c r="K810" s="181"/>
      <c r="L810" s="181"/>
      <c r="M810" s="181"/>
    </row>
    <row r="811" spans="1:13" ht="21">
      <c r="A811" s="181"/>
      <c r="B811" s="181"/>
      <c r="C811" s="184"/>
      <c r="D811" s="188"/>
      <c r="F811" s="181"/>
      <c r="G811" s="181"/>
      <c r="H811" s="181"/>
      <c r="I811" s="180"/>
      <c r="J811" s="181"/>
      <c r="K811" s="181"/>
      <c r="L811" s="181"/>
      <c r="M811" s="181"/>
    </row>
    <row r="812" spans="1:13" ht="21">
      <c r="A812" s="181"/>
      <c r="B812" s="181"/>
      <c r="C812" s="184"/>
      <c r="D812" s="188"/>
      <c r="F812" s="181"/>
      <c r="G812" s="181"/>
      <c r="H812" s="181"/>
      <c r="I812" s="180"/>
      <c r="J812" s="181"/>
      <c r="K812" s="181"/>
      <c r="L812" s="181"/>
      <c r="M812" s="181"/>
    </row>
    <row r="813" spans="1:13" ht="21">
      <c r="A813" s="181"/>
      <c r="B813" s="181"/>
      <c r="C813" s="184"/>
      <c r="D813" s="188"/>
      <c r="F813" s="181"/>
      <c r="G813" s="181"/>
      <c r="H813" s="181"/>
      <c r="I813" s="180"/>
      <c r="J813" s="181"/>
      <c r="K813" s="181"/>
      <c r="L813" s="181"/>
      <c r="M813" s="181"/>
    </row>
    <row r="814" spans="1:13" ht="21">
      <c r="A814" s="181"/>
      <c r="B814" s="181"/>
      <c r="C814" s="184"/>
      <c r="D814" s="188"/>
      <c r="F814" s="181"/>
      <c r="G814" s="181"/>
      <c r="H814" s="181"/>
      <c r="I814" s="180"/>
      <c r="J814" s="181"/>
      <c r="K814" s="181"/>
      <c r="L814" s="181"/>
      <c r="M814" s="181"/>
    </row>
    <row r="815" spans="1:13" ht="21">
      <c r="A815" s="181"/>
      <c r="B815" s="181"/>
      <c r="C815" s="184"/>
      <c r="D815" s="188"/>
      <c r="F815" s="181"/>
      <c r="G815" s="181"/>
      <c r="H815" s="181"/>
      <c r="I815" s="180"/>
      <c r="J815" s="181"/>
      <c r="K815" s="181"/>
      <c r="L815" s="181"/>
      <c r="M815" s="181"/>
    </row>
    <row r="816" spans="1:13" ht="21">
      <c r="A816" s="181"/>
      <c r="B816" s="181"/>
      <c r="C816" s="184"/>
      <c r="D816" s="188"/>
      <c r="F816" s="181"/>
      <c r="G816" s="181"/>
      <c r="H816" s="181"/>
      <c r="I816" s="180"/>
      <c r="J816" s="181"/>
      <c r="K816" s="181"/>
      <c r="L816" s="181"/>
      <c r="M816" s="181"/>
    </row>
    <row r="817" spans="1:13" ht="21">
      <c r="A817" s="181"/>
      <c r="B817" s="181"/>
      <c r="C817" s="184"/>
      <c r="D817" s="188"/>
      <c r="F817" s="181"/>
      <c r="G817" s="181"/>
      <c r="H817" s="181"/>
      <c r="I817" s="180"/>
      <c r="J817" s="181"/>
      <c r="K817" s="181"/>
      <c r="L817" s="181"/>
      <c r="M817" s="181"/>
    </row>
    <row r="818" spans="1:13" ht="21">
      <c r="A818" s="181"/>
      <c r="B818" s="181"/>
      <c r="C818" s="184"/>
      <c r="D818" s="188"/>
      <c r="F818" s="181"/>
      <c r="G818" s="181"/>
      <c r="H818" s="181"/>
      <c r="I818" s="180"/>
      <c r="J818" s="181"/>
      <c r="K818" s="181"/>
      <c r="L818" s="181"/>
      <c r="M818" s="181"/>
    </row>
    <row r="819" spans="1:13" ht="21">
      <c r="A819" s="181"/>
      <c r="B819" s="181"/>
      <c r="C819" s="184"/>
      <c r="D819" s="188"/>
      <c r="F819" s="181"/>
      <c r="G819" s="181"/>
      <c r="H819" s="181"/>
      <c r="I819" s="180"/>
      <c r="J819" s="181"/>
      <c r="K819" s="181"/>
      <c r="L819" s="181"/>
      <c r="M819" s="181"/>
    </row>
    <row r="820" spans="1:13" ht="21">
      <c r="A820" s="181"/>
      <c r="B820" s="181"/>
      <c r="C820" s="184"/>
      <c r="D820" s="188"/>
      <c r="F820" s="181"/>
      <c r="G820" s="181"/>
      <c r="H820" s="181"/>
      <c r="I820" s="180"/>
      <c r="J820" s="181"/>
      <c r="K820" s="181"/>
      <c r="L820" s="181"/>
      <c r="M820" s="181"/>
    </row>
    <row r="821" spans="1:13" ht="21">
      <c r="A821" s="181"/>
      <c r="B821" s="181"/>
      <c r="C821" s="184"/>
      <c r="D821" s="188"/>
      <c r="F821" s="181"/>
      <c r="G821" s="181"/>
      <c r="H821" s="181"/>
      <c r="I821" s="180"/>
      <c r="J821" s="181"/>
      <c r="K821" s="181"/>
      <c r="L821" s="181"/>
      <c r="M821" s="181"/>
    </row>
    <row r="822" spans="1:13" ht="21">
      <c r="A822" s="181"/>
      <c r="B822" s="181"/>
      <c r="C822" s="184"/>
      <c r="D822" s="188"/>
      <c r="F822" s="181"/>
      <c r="G822" s="181"/>
      <c r="H822" s="181"/>
      <c r="I822" s="180"/>
      <c r="J822" s="181"/>
      <c r="K822" s="181"/>
      <c r="L822" s="181"/>
      <c r="M822" s="181"/>
    </row>
    <row r="823" spans="1:13" ht="21">
      <c r="A823" s="181"/>
      <c r="B823" s="181"/>
      <c r="C823" s="184"/>
      <c r="D823" s="188"/>
      <c r="F823" s="181"/>
      <c r="G823" s="181"/>
      <c r="H823" s="181"/>
      <c r="I823" s="180"/>
      <c r="J823" s="181"/>
      <c r="K823" s="181"/>
      <c r="L823" s="181"/>
      <c r="M823" s="181"/>
    </row>
    <row r="824" spans="1:13" ht="21">
      <c r="A824" s="181"/>
      <c r="B824" s="181"/>
      <c r="C824" s="184"/>
      <c r="D824" s="188"/>
      <c r="F824" s="181"/>
      <c r="G824" s="181"/>
      <c r="H824" s="181"/>
      <c r="I824" s="180"/>
      <c r="J824" s="181"/>
      <c r="K824" s="181"/>
      <c r="L824" s="181"/>
      <c r="M824" s="181"/>
    </row>
    <row r="825" spans="1:13" ht="21">
      <c r="A825" s="181"/>
      <c r="B825" s="181"/>
      <c r="C825" s="184"/>
      <c r="D825" s="188"/>
      <c r="F825" s="181"/>
      <c r="G825" s="181"/>
      <c r="H825" s="181"/>
      <c r="I825" s="180"/>
      <c r="J825" s="181"/>
      <c r="K825" s="181"/>
      <c r="L825" s="181"/>
      <c r="M825" s="181"/>
    </row>
    <row r="826" spans="1:13" ht="21">
      <c r="A826" s="181"/>
      <c r="B826" s="181"/>
      <c r="C826" s="184"/>
      <c r="D826" s="188"/>
      <c r="F826" s="181"/>
      <c r="G826" s="181"/>
      <c r="H826" s="181"/>
      <c r="I826" s="180"/>
      <c r="J826" s="181"/>
      <c r="K826" s="181"/>
      <c r="L826" s="181"/>
      <c r="M826" s="181"/>
    </row>
    <row r="827" spans="1:13" ht="21">
      <c r="A827" s="181"/>
      <c r="B827" s="181"/>
      <c r="C827" s="184"/>
      <c r="D827" s="188"/>
      <c r="F827" s="181"/>
      <c r="G827" s="181"/>
      <c r="H827" s="181"/>
      <c r="I827" s="180"/>
      <c r="J827" s="181"/>
      <c r="K827" s="181"/>
      <c r="L827" s="181"/>
      <c r="M827" s="181"/>
    </row>
    <row r="828" spans="1:13" ht="21">
      <c r="A828" s="181"/>
      <c r="B828" s="181"/>
      <c r="C828" s="184"/>
      <c r="D828" s="188"/>
      <c r="F828" s="181"/>
      <c r="G828" s="181"/>
      <c r="H828" s="181"/>
      <c r="I828" s="180"/>
      <c r="J828" s="181"/>
      <c r="K828" s="181"/>
      <c r="L828" s="181"/>
      <c r="M828" s="181"/>
    </row>
    <row r="829" spans="1:13" ht="21">
      <c r="A829" s="181"/>
      <c r="B829" s="181"/>
      <c r="C829" s="184"/>
      <c r="D829" s="188"/>
      <c r="F829" s="181"/>
      <c r="G829" s="181"/>
      <c r="H829" s="181"/>
      <c r="I829" s="180"/>
      <c r="J829" s="181"/>
      <c r="K829" s="181"/>
      <c r="L829" s="181"/>
      <c r="M829" s="181"/>
    </row>
    <row r="830" spans="1:13" ht="21">
      <c r="A830" s="181"/>
      <c r="B830" s="181"/>
      <c r="C830" s="184"/>
      <c r="D830" s="188"/>
      <c r="F830" s="181"/>
      <c r="G830" s="181"/>
      <c r="H830" s="181"/>
      <c r="I830" s="180"/>
      <c r="J830" s="181"/>
      <c r="K830" s="181"/>
      <c r="L830" s="181"/>
      <c r="M830" s="181"/>
    </row>
    <row r="831" spans="1:13" ht="21">
      <c r="A831" s="181"/>
      <c r="B831" s="181"/>
      <c r="C831" s="184"/>
      <c r="D831" s="188"/>
      <c r="F831" s="181"/>
      <c r="G831" s="181"/>
      <c r="H831" s="181"/>
      <c r="I831" s="180"/>
      <c r="J831" s="181"/>
      <c r="K831" s="181"/>
      <c r="L831" s="181"/>
      <c r="M831" s="181"/>
    </row>
    <row r="832" spans="1:13" ht="21">
      <c r="A832" s="181"/>
      <c r="B832" s="181"/>
      <c r="C832" s="184"/>
      <c r="D832" s="188"/>
      <c r="F832" s="181"/>
      <c r="G832" s="181"/>
      <c r="H832" s="181"/>
      <c r="I832" s="180"/>
      <c r="J832" s="181"/>
      <c r="K832" s="181"/>
      <c r="L832" s="181"/>
      <c r="M832" s="181"/>
    </row>
    <row r="833" spans="1:13" ht="21">
      <c r="A833" s="181"/>
      <c r="B833" s="181"/>
      <c r="C833" s="184"/>
      <c r="D833" s="188"/>
      <c r="F833" s="181"/>
      <c r="G833" s="181"/>
      <c r="H833" s="181"/>
      <c r="I833" s="180"/>
      <c r="J833" s="181"/>
      <c r="K833" s="181"/>
      <c r="L833" s="181"/>
      <c r="M833" s="181"/>
    </row>
    <row r="834" spans="1:13" ht="21">
      <c r="A834" s="181"/>
      <c r="B834" s="181"/>
      <c r="C834" s="184"/>
      <c r="D834" s="188"/>
      <c r="F834" s="181"/>
      <c r="G834" s="181"/>
      <c r="H834" s="181"/>
      <c r="I834" s="180"/>
      <c r="J834" s="181"/>
      <c r="K834" s="181"/>
      <c r="L834" s="181"/>
      <c r="M834" s="181"/>
    </row>
    <row r="835" spans="1:13" ht="21">
      <c r="A835" s="181"/>
      <c r="B835" s="181"/>
      <c r="C835" s="184"/>
      <c r="D835" s="188"/>
      <c r="F835" s="181"/>
      <c r="G835" s="181"/>
      <c r="H835" s="181"/>
      <c r="I835" s="180"/>
      <c r="J835" s="181"/>
      <c r="K835" s="181"/>
      <c r="L835" s="181"/>
      <c r="M835" s="181"/>
    </row>
    <row r="836" spans="1:13" ht="21">
      <c r="A836" s="181"/>
      <c r="B836" s="181"/>
      <c r="C836" s="184"/>
      <c r="D836" s="188"/>
      <c r="F836" s="181"/>
      <c r="G836" s="181"/>
      <c r="H836" s="181"/>
      <c r="I836" s="180"/>
      <c r="J836" s="181"/>
      <c r="K836" s="181"/>
      <c r="L836" s="181"/>
      <c r="M836" s="181"/>
    </row>
    <row r="837" spans="1:13" ht="21">
      <c r="A837" s="181"/>
      <c r="B837" s="181"/>
      <c r="C837" s="184"/>
      <c r="D837" s="188"/>
      <c r="F837" s="181"/>
      <c r="G837" s="181"/>
      <c r="H837" s="181"/>
      <c r="I837" s="180"/>
      <c r="J837" s="181"/>
      <c r="K837" s="181"/>
      <c r="L837" s="181"/>
      <c r="M837" s="181"/>
    </row>
    <row r="838" spans="1:13" ht="21">
      <c r="A838" s="181"/>
      <c r="B838" s="181"/>
      <c r="C838" s="184"/>
      <c r="D838" s="188"/>
      <c r="F838" s="181"/>
      <c r="G838" s="181"/>
      <c r="H838" s="181"/>
      <c r="I838" s="180"/>
      <c r="J838" s="181"/>
      <c r="K838" s="181"/>
      <c r="L838" s="181"/>
      <c r="M838" s="181"/>
    </row>
    <row r="839" spans="1:13" ht="21">
      <c r="A839" s="181"/>
      <c r="B839" s="181"/>
      <c r="C839" s="184"/>
      <c r="D839" s="188"/>
      <c r="F839" s="181"/>
      <c r="G839" s="181"/>
      <c r="H839" s="181"/>
      <c r="I839" s="180"/>
      <c r="J839" s="181"/>
      <c r="K839" s="181"/>
      <c r="L839" s="181"/>
      <c r="M839" s="181"/>
    </row>
    <row r="840" spans="1:13" ht="21">
      <c r="A840" s="181"/>
      <c r="B840" s="181"/>
      <c r="C840" s="184"/>
      <c r="D840" s="188"/>
      <c r="F840" s="181"/>
      <c r="G840" s="181"/>
      <c r="H840" s="181"/>
      <c r="I840" s="180"/>
      <c r="J840" s="181"/>
      <c r="K840" s="181"/>
      <c r="L840" s="181"/>
      <c r="M840" s="181"/>
    </row>
    <row r="841" spans="1:13" ht="21">
      <c r="A841" s="181"/>
      <c r="B841" s="181"/>
      <c r="C841" s="184"/>
      <c r="D841" s="188"/>
      <c r="F841" s="181"/>
      <c r="G841" s="181"/>
      <c r="H841" s="181"/>
      <c r="I841" s="180"/>
      <c r="J841" s="181"/>
      <c r="K841" s="181"/>
      <c r="L841" s="181"/>
      <c r="M841" s="181"/>
    </row>
    <row r="842" spans="1:13" ht="21">
      <c r="A842" s="181"/>
      <c r="B842" s="181"/>
      <c r="C842" s="184"/>
      <c r="D842" s="188"/>
      <c r="F842" s="181"/>
      <c r="G842" s="181"/>
      <c r="H842" s="181"/>
      <c r="I842" s="180"/>
      <c r="J842" s="181"/>
      <c r="K842" s="181"/>
      <c r="L842" s="181"/>
      <c r="M842" s="181"/>
    </row>
    <row r="843" spans="1:13" ht="21">
      <c r="A843" s="181"/>
      <c r="B843" s="181"/>
      <c r="C843" s="184"/>
      <c r="D843" s="188"/>
      <c r="F843" s="181"/>
      <c r="G843" s="181"/>
      <c r="H843" s="181"/>
      <c r="I843" s="180"/>
      <c r="J843" s="181"/>
      <c r="K843" s="181"/>
      <c r="L843" s="181"/>
      <c r="M843" s="181"/>
    </row>
    <row r="844" spans="1:13" ht="21">
      <c r="A844" s="181"/>
      <c r="B844" s="181"/>
      <c r="C844" s="184"/>
      <c r="D844" s="188"/>
      <c r="F844" s="181"/>
      <c r="G844" s="181"/>
      <c r="H844" s="181"/>
      <c r="I844" s="180"/>
      <c r="J844" s="181"/>
      <c r="K844" s="181"/>
      <c r="L844" s="181"/>
      <c r="M844" s="181"/>
    </row>
    <row r="845" spans="1:13" ht="21">
      <c r="A845" s="181"/>
      <c r="B845" s="181"/>
      <c r="C845" s="184"/>
      <c r="D845" s="188"/>
      <c r="F845" s="181"/>
      <c r="G845" s="181"/>
      <c r="H845" s="181"/>
      <c r="I845" s="180"/>
      <c r="J845" s="181"/>
      <c r="K845" s="181"/>
      <c r="L845" s="181"/>
      <c r="M845" s="181"/>
    </row>
    <row r="846" spans="1:13" ht="21">
      <c r="A846" s="181"/>
      <c r="B846" s="181"/>
      <c r="C846" s="184"/>
      <c r="D846" s="188"/>
      <c r="F846" s="181"/>
      <c r="G846" s="181"/>
      <c r="H846" s="181"/>
      <c r="I846" s="180"/>
      <c r="J846" s="181"/>
      <c r="K846" s="181"/>
      <c r="L846" s="181"/>
      <c r="M846" s="181"/>
    </row>
    <row r="847" spans="1:13" ht="21">
      <c r="A847" s="181"/>
      <c r="B847" s="181"/>
      <c r="C847" s="184"/>
      <c r="D847" s="188"/>
      <c r="F847" s="181"/>
      <c r="G847" s="181"/>
      <c r="H847" s="181"/>
      <c r="I847" s="180"/>
      <c r="J847" s="181"/>
      <c r="K847" s="181"/>
      <c r="L847" s="181"/>
      <c r="M847" s="181"/>
    </row>
    <row r="848" spans="1:13" ht="21">
      <c r="A848" s="181"/>
      <c r="B848" s="181"/>
      <c r="C848" s="184"/>
      <c r="D848" s="188"/>
      <c r="F848" s="181"/>
      <c r="G848" s="181"/>
      <c r="H848" s="181"/>
      <c r="I848" s="180"/>
      <c r="J848" s="181"/>
      <c r="K848" s="181"/>
      <c r="L848" s="181"/>
      <c r="M848" s="181"/>
    </row>
    <row r="849" spans="1:13" ht="21">
      <c r="A849" s="181"/>
      <c r="B849" s="181"/>
      <c r="C849" s="184"/>
      <c r="D849" s="188"/>
      <c r="F849" s="181"/>
      <c r="G849" s="181"/>
      <c r="H849" s="181"/>
      <c r="I849" s="180"/>
      <c r="J849" s="181"/>
      <c r="K849" s="181"/>
      <c r="L849" s="181"/>
      <c r="M849" s="181"/>
    </row>
    <row r="850" spans="1:13" ht="21">
      <c r="A850" s="181"/>
      <c r="B850" s="181"/>
      <c r="C850" s="184"/>
      <c r="D850" s="188"/>
      <c r="F850" s="181"/>
      <c r="G850" s="181"/>
      <c r="H850" s="181"/>
      <c r="I850" s="180"/>
      <c r="J850" s="181"/>
      <c r="K850" s="181"/>
      <c r="L850" s="181"/>
      <c r="M850" s="181"/>
    </row>
    <row r="851" spans="1:13" ht="21">
      <c r="A851" s="181"/>
      <c r="B851" s="181"/>
      <c r="C851" s="184"/>
      <c r="D851" s="188"/>
      <c r="F851" s="181"/>
      <c r="G851" s="181"/>
      <c r="H851" s="181"/>
      <c r="I851" s="180"/>
      <c r="J851" s="181"/>
      <c r="K851" s="181"/>
      <c r="L851" s="181"/>
      <c r="M851" s="181"/>
    </row>
    <row r="852" spans="1:13" ht="21">
      <c r="A852" s="181"/>
      <c r="B852" s="181"/>
      <c r="C852" s="184"/>
      <c r="D852" s="188"/>
      <c r="F852" s="181"/>
      <c r="G852" s="181"/>
      <c r="H852" s="181"/>
      <c r="I852" s="180"/>
      <c r="J852" s="181"/>
      <c r="K852" s="181"/>
      <c r="L852" s="181"/>
      <c r="M852" s="181"/>
    </row>
    <row r="853" spans="1:13" ht="21">
      <c r="A853" s="181"/>
      <c r="B853" s="181"/>
      <c r="C853" s="184"/>
      <c r="D853" s="188"/>
      <c r="F853" s="181"/>
      <c r="G853" s="181"/>
      <c r="H853" s="181"/>
      <c r="I853" s="180"/>
      <c r="J853" s="181"/>
      <c r="K853" s="181"/>
      <c r="L853" s="181"/>
      <c r="M853" s="181"/>
    </row>
    <row r="854" spans="1:13" ht="21">
      <c r="A854" s="181"/>
      <c r="B854" s="181"/>
      <c r="C854" s="184"/>
      <c r="D854" s="188"/>
      <c r="F854" s="181"/>
      <c r="G854" s="181"/>
      <c r="H854" s="181"/>
      <c r="I854" s="180"/>
      <c r="J854" s="181"/>
      <c r="K854" s="181"/>
      <c r="L854" s="181"/>
      <c r="M854" s="181"/>
    </row>
    <row r="855" spans="1:13" ht="21">
      <c r="A855" s="181"/>
      <c r="B855" s="181"/>
      <c r="C855" s="184"/>
      <c r="D855" s="188"/>
      <c r="F855" s="181"/>
      <c r="G855" s="181"/>
      <c r="H855" s="181"/>
      <c r="I855" s="180"/>
      <c r="J855" s="181"/>
      <c r="K855" s="181"/>
      <c r="L855" s="181"/>
      <c r="M855" s="181"/>
    </row>
    <row r="856" spans="1:13" ht="21">
      <c r="A856" s="181"/>
      <c r="B856" s="181"/>
      <c r="C856" s="184"/>
      <c r="D856" s="188"/>
      <c r="F856" s="181"/>
      <c r="G856" s="181"/>
      <c r="H856" s="181"/>
      <c r="I856" s="180"/>
      <c r="J856" s="181"/>
      <c r="K856" s="181"/>
      <c r="L856" s="181"/>
      <c r="M856" s="181"/>
    </row>
    <row r="857" spans="1:13" ht="21">
      <c r="A857" s="181"/>
      <c r="B857" s="181"/>
      <c r="C857" s="184"/>
      <c r="D857" s="188"/>
      <c r="F857" s="181"/>
      <c r="G857" s="181"/>
      <c r="H857" s="181"/>
      <c r="I857" s="180"/>
      <c r="J857" s="181"/>
      <c r="K857" s="181"/>
      <c r="L857" s="181"/>
      <c r="M857" s="181"/>
    </row>
    <row r="858" spans="1:13" ht="21">
      <c r="A858" s="181"/>
      <c r="B858" s="181"/>
      <c r="C858" s="184"/>
      <c r="D858" s="188"/>
      <c r="F858" s="181"/>
      <c r="G858" s="181"/>
      <c r="H858" s="181"/>
      <c r="I858" s="180"/>
      <c r="J858" s="181"/>
      <c r="K858" s="181"/>
      <c r="L858" s="181"/>
      <c r="M858" s="181"/>
    </row>
    <row r="859" spans="1:13" ht="21">
      <c r="A859" s="181"/>
      <c r="B859" s="181"/>
      <c r="C859" s="184"/>
      <c r="D859" s="188"/>
      <c r="F859" s="181"/>
      <c r="G859" s="181"/>
      <c r="H859" s="181"/>
      <c r="I859" s="180"/>
      <c r="J859" s="181"/>
      <c r="K859" s="181"/>
      <c r="L859" s="181"/>
      <c r="M859" s="181"/>
    </row>
    <row r="860" spans="1:13" ht="21">
      <c r="A860" s="181"/>
      <c r="B860" s="181"/>
      <c r="C860" s="184"/>
      <c r="D860" s="188"/>
      <c r="F860" s="181"/>
      <c r="G860" s="181"/>
      <c r="H860" s="181"/>
      <c r="I860" s="180"/>
      <c r="J860" s="181"/>
      <c r="K860" s="181"/>
      <c r="L860" s="181"/>
      <c r="M860" s="181"/>
    </row>
    <row r="861" spans="1:13" ht="21">
      <c r="A861" s="181"/>
      <c r="B861" s="181"/>
      <c r="C861" s="184"/>
      <c r="D861" s="188"/>
      <c r="F861" s="181"/>
      <c r="G861" s="181"/>
      <c r="H861" s="181"/>
      <c r="I861" s="180"/>
      <c r="J861" s="181"/>
      <c r="K861" s="181"/>
      <c r="L861" s="181"/>
      <c r="M861" s="181"/>
    </row>
    <row r="862" spans="1:13" ht="21">
      <c r="A862" s="181"/>
      <c r="B862" s="181"/>
      <c r="C862" s="184"/>
      <c r="D862" s="188"/>
      <c r="F862" s="181"/>
      <c r="G862" s="181"/>
      <c r="H862" s="181"/>
      <c r="I862" s="180"/>
      <c r="J862" s="181"/>
      <c r="K862" s="181"/>
      <c r="L862" s="181"/>
      <c r="M862" s="181"/>
    </row>
    <row r="863" spans="1:13" ht="21">
      <c r="A863" s="181"/>
      <c r="B863" s="181"/>
      <c r="C863" s="184"/>
      <c r="D863" s="188"/>
      <c r="F863" s="181"/>
      <c r="G863" s="181"/>
      <c r="H863" s="181"/>
      <c r="I863" s="180"/>
      <c r="J863" s="181"/>
      <c r="K863" s="181"/>
      <c r="L863" s="181"/>
      <c r="M863" s="181"/>
    </row>
    <row r="864" spans="1:13" ht="21">
      <c r="A864" s="181"/>
      <c r="B864" s="181"/>
      <c r="C864" s="184"/>
      <c r="D864" s="188"/>
      <c r="F864" s="181"/>
      <c r="G864" s="181"/>
      <c r="H864" s="181"/>
      <c r="I864" s="180"/>
      <c r="J864" s="181"/>
      <c r="K864" s="181"/>
      <c r="L864" s="181"/>
      <c r="M864" s="181"/>
    </row>
    <row r="865" spans="1:13" ht="21">
      <c r="A865" s="181"/>
      <c r="B865" s="181"/>
      <c r="C865" s="184"/>
      <c r="D865" s="188"/>
      <c r="F865" s="181"/>
      <c r="G865" s="181"/>
      <c r="H865" s="181"/>
      <c r="I865" s="180"/>
      <c r="J865" s="181"/>
      <c r="K865" s="181"/>
      <c r="L865" s="181"/>
      <c r="M865" s="181"/>
    </row>
    <row r="866" spans="1:13" ht="21">
      <c r="A866" s="181"/>
      <c r="B866" s="181"/>
      <c r="C866" s="184"/>
      <c r="D866" s="188"/>
      <c r="F866" s="181"/>
      <c r="G866" s="181"/>
      <c r="H866" s="181"/>
      <c r="I866" s="180"/>
      <c r="J866" s="181"/>
      <c r="K866" s="181"/>
      <c r="L866" s="181"/>
      <c r="M866" s="181"/>
    </row>
    <row r="867" spans="1:13" ht="21">
      <c r="A867" s="181"/>
      <c r="B867" s="181"/>
      <c r="C867" s="184"/>
      <c r="D867" s="188"/>
      <c r="F867" s="181"/>
      <c r="G867" s="181"/>
      <c r="H867" s="181"/>
      <c r="I867" s="180"/>
      <c r="J867" s="181"/>
      <c r="K867" s="181"/>
      <c r="L867" s="181"/>
      <c r="M867" s="181"/>
    </row>
    <row r="868" spans="1:13" ht="21">
      <c r="A868" s="181"/>
      <c r="B868" s="181"/>
      <c r="C868" s="184"/>
      <c r="D868" s="188"/>
      <c r="F868" s="181"/>
      <c r="G868" s="181"/>
      <c r="H868" s="181"/>
      <c r="I868" s="180"/>
      <c r="J868" s="181"/>
      <c r="K868" s="181"/>
      <c r="L868" s="181"/>
      <c r="M868" s="181"/>
    </row>
    <row r="869" spans="1:13" ht="21">
      <c r="A869" s="181"/>
      <c r="B869" s="181"/>
      <c r="C869" s="184"/>
      <c r="D869" s="188"/>
      <c r="F869" s="181"/>
      <c r="G869" s="181"/>
      <c r="H869" s="181"/>
      <c r="I869" s="180"/>
      <c r="J869" s="181"/>
      <c r="K869" s="181"/>
      <c r="L869" s="181"/>
      <c r="M869" s="181"/>
    </row>
    <row r="870" spans="1:13" ht="21">
      <c r="A870" s="181"/>
      <c r="B870" s="181"/>
      <c r="C870" s="184"/>
      <c r="D870" s="188"/>
      <c r="F870" s="181"/>
      <c r="G870" s="181"/>
      <c r="H870" s="181"/>
      <c r="I870" s="180"/>
      <c r="J870" s="181"/>
      <c r="K870" s="181"/>
      <c r="L870" s="181"/>
      <c r="M870" s="181"/>
    </row>
    <row r="871" spans="1:13" ht="21">
      <c r="A871" s="181"/>
      <c r="B871" s="181"/>
      <c r="C871" s="184"/>
      <c r="D871" s="188"/>
      <c r="F871" s="181"/>
      <c r="G871" s="181"/>
      <c r="H871" s="181"/>
      <c r="I871" s="180"/>
      <c r="J871" s="181"/>
      <c r="K871" s="181"/>
      <c r="L871" s="181"/>
      <c r="M871" s="181"/>
    </row>
    <row r="872" spans="1:13" ht="21">
      <c r="A872" s="181"/>
      <c r="B872" s="181"/>
      <c r="C872" s="184"/>
      <c r="D872" s="188"/>
      <c r="F872" s="181"/>
      <c r="G872" s="181"/>
      <c r="H872" s="181"/>
      <c r="I872" s="180"/>
      <c r="J872" s="181"/>
      <c r="K872" s="181"/>
      <c r="L872" s="181"/>
      <c r="M872" s="181"/>
    </row>
    <row r="873" spans="1:13" ht="21">
      <c r="A873" s="181"/>
      <c r="B873" s="181"/>
      <c r="C873" s="184"/>
      <c r="D873" s="188"/>
      <c r="F873" s="181"/>
      <c r="G873" s="181"/>
      <c r="H873" s="181"/>
      <c r="I873" s="180"/>
      <c r="J873" s="181"/>
      <c r="K873" s="181"/>
      <c r="L873" s="181"/>
      <c r="M873" s="181"/>
    </row>
    <row r="874" spans="1:13" ht="21">
      <c r="A874" s="181"/>
      <c r="B874" s="181"/>
      <c r="C874" s="184"/>
      <c r="D874" s="188"/>
      <c r="F874" s="181"/>
      <c r="G874" s="181"/>
      <c r="H874" s="181"/>
      <c r="I874" s="180"/>
      <c r="J874" s="181"/>
      <c r="K874" s="181"/>
      <c r="L874" s="181"/>
      <c r="M874" s="181"/>
    </row>
    <row r="875" spans="1:13" ht="21">
      <c r="A875" s="181"/>
      <c r="B875" s="181"/>
      <c r="C875" s="184"/>
      <c r="D875" s="188"/>
      <c r="F875" s="181"/>
      <c r="G875" s="181"/>
      <c r="H875" s="181"/>
      <c r="I875" s="180"/>
      <c r="J875" s="181"/>
      <c r="K875" s="181"/>
      <c r="L875" s="181"/>
      <c r="M875" s="181"/>
    </row>
    <row r="876" spans="1:13" ht="21">
      <c r="A876" s="181"/>
      <c r="B876" s="181"/>
      <c r="C876" s="184"/>
      <c r="D876" s="188"/>
      <c r="F876" s="181"/>
      <c r="G876" s="181"/>
      <c r="H876" s="181"/>
      <c r="I876" s="180"/>
      <c r="J876" s="181"/>
      <c r="K876" s="181"/>
      <c r="L876" s="181"/>
      <c r="M876" s="181"/>
    </row>
    <row r="877" spans="1:13" ht="21">
      <c r="A877" s="181"/>
      <c r="B877" s="181"/>
      <c r="C877" s="184"/>
      <c r="D877" s="188"/>
      <c r="F877" s="181"/>
      <c r="G877" s="181"/>
      <c r="H877" s="181"/>
      <c r="I877" s="180"/>
      <c r="J877" s="181"/>
      <c r="K877" s="181"/>
      <c r="L877" s="181"/>
      <c r="M877" s="181"/>
    </row>
    <row r="878" spans="1:13" ht="21">
      <c r="A878" s="181"/>
      <c r="B878" s="181"/>
      <c r="C878" s="184"/>
      <c r="D878" s="188"/>
      <c r="F878" s="181"/>
      <c r="G878" s="181"/>
      <c r="H878" s="181"/>
      <c r="I878" s="180"/>
      <c r="J878" s="181"/>
      <c r="K878" s="181"/>
      <c r="L878" s="181"/>
      <c r="M878" s="181"/>
    </row>
    <row r="879" spans="1:13" ht="21">
      <c r="A879" s="181"/>
      <c r="B879" s="181"/>
      <c r="C879" s="184"/>
      <c r="D879" s="188"/>
      <c r="F879" s="181"/>
      <c r="G879" s="181"/>
      <c r="H879" s="181"/>
      <c r="I879" s="180"/>
      <c r="J879" s="181"/>
      <c r="K879" s="181"/>
      <c r="L879" s="181"/>
      <c r="M879" s="181"/>
    </row>
    <row r="880" spans="1:13" ht="21">
      <c r="A880" s="181"/>
      <c r="B880" s="181"/>
      <c r="C880" s="184"/>
      <c r="D880" s="188"/>
      <c r="F880" s="181"/>
      <c r="G880" s="181"/>
      <c r="H880" s="181"/>
      <c r="I880" s="180"/>
      <c r="J880" s="181"/>
      <c r="K880" s="181"/>
      <c r="L880" s="181"/>
      <c r="M880" s="181"/>
    </row>
    <row r="881" spans="1:13" ht="21">
      <c r="A881" s="181"/>
      <c r="B881" s="181"/>
      <c r="C881" s="184"/>
      <c r="D881" s="188"/>
      <c r="F881" s="181"/>
      <c r="G881" s="181"/>
      <c r="H881" s="181"/>
      <c r="I881" s="180"/>
      <c r="J881" s="181"/>
      <c r="K881" s="181"/>
      <c r="L881" s="181"/>
      <c r="M881" s="181"/>
    </row>
    <row r="882" spans="1:13" ht="21">
      <c r="A882" s="181"/>
      <c r="B882" s="181"/>
      <c r="C882" s="184"/>
      <c r="D882" s="188"/>
      <c r="F882" s="181"/>
      <c r="G882" s="181"/>
      <c r="H882" s="181"/>
      <c r="I882" s="180"/>
      <c r="J882" s="181"/>
      <c r="K882" s="181"/>
      <c r="L882" s="181"/>
      <c r="M882" s="181"/>
    </row>
    <row r="883" spans="1:13" ht="21">
      <c r="A883" s="181"/>
      <c r="B883" s="181"/>
      <c r="C883" s="184"/>
      <c r="D883" s="188"/>
      <c r="F883" s="181"/>
      <c r="G883" s="181"/>
      <c r="H883" s="181"/>
      <c r="I883" s="180"/>
      <c r="J883" s="181"/>
      <c r="K883" s="181"/>
      <c r="L883" s="181"/>
      <c r="M883" s="181"/>
    </row>
    <row r="884" spans="1:13" ht="21">
      <c r="A884" s="181"/>
      <c r="B884" s="181"/>
      <c r="C884" s="184"/>
      <c r="D884" s="188"/>
      <c r="F884" s="181"/>
      <c r="G884" s="181"/>
      <c r="H884" s="181"/>
      <c r="I884" s="180"/>
      <c r="J884" s="181"/>
      <c r="K884" s="181"/>
      <c r="L884" s="181"/>
      <c r="M884" s="181"/>
    </row>
    <row r="885" spans="1:13" ht="21">
      <c r="A885" s="181"/>
      <c r="B885" s="181"/>
      <c r="C885" s="184"/>
      <c r="D885" s="188"/>
      <c r="F885" s="181"/>
      <c r="G885" s="181"/>
      <c r="H885" s="181"/>
      <c r="I885" s="180"/>
      <c r="J885" s="181"/>
      <c r="K885" s="181"/>
      <c r="L885" s="181"/>
      <c r="M885" s="181"/>
    </row>
    <row r="886" spans="1:13" ht="21">
      <c r="A886" s="181"/>
      <c r="B886" s="181"/>
      <c r="C886" s="184"/>
      <c r="D886" s="188"/>
      <c r="F886" s="181"/>
      <c r="G886" s="181"/>
      <c r="H886" s="181"/>
      <c r="I886" s="180"/>
      <c r="J886" s="181"/>
      <c r="K886" s="181"/>
      <c r="L886" s="181"/>
      <c r="M886" s="181"/>
    </row>
    <row r="887" spans="1:13" ht="21">
      <c r="A887" s="181"/>
      <c r="B887" s="181"/>
      <c r="C887" s="184"/>
      <c r="D887" s="188"/>
      <c r="F887" s="181"/>
      <c r="G887" s="181"/>
      <c r="H887" s="181"/>
      <c r="I887" s="180"/>
      <c r="J887" s="181"/>
      <c r="K887" s="181"/>
      <c r="L887" s="181"/>
      <c r="M887" s="181"/>
    </row>
    <row r="888" spans="1:13" ht="21">
      <c r="A888" s="181"/>
      <c r="B888" s="181"/>
      <c r="C888" s="184"/>
      <c r="D888" s="188"/>
      <c r="F888" s="181"/>
      <c r="G888" s="181"/>
      <c r="H888" s="181"/>
      <c r="I888" s="180"/>
      <c r="J888" s="181"/>
      <c r="K888" s="181"/>
      <c r="L888" s="181"/>
      <c r="M888" s="181"/>
    </row>
    <row r="889" spans="1:13" ht="21">
      <c r="A889" s="181"/>
      <c r="B889" s="181"/>
      <c r="C889" s="184"/>
      <c r="D889" s="188"/>
      <c r="F889" s="181"/>
      <c r="G889" s="181"/>
      <c r="H889" s="181"/>
      <c r="I889" s="180"/>
      <c r="J889" s="181"/>
      <c r="K889" s="181"/>
      <c r="L889" s="181"/>
      <c r="M889" s="181"/>
    </row>
    <row r="890" spans="1:13" ht="21">
      <c r="A890" s="181"/>
      <c r="B890" s="181"/>
      <c r="C890" s="184"/>
      <c r="D890" s="188"/>
      <c r="F890" s="181"/>
      <c r="G890" s="181"/>
      <c r="H890" s="181"/>
      <c r="I890" s="180"/>
      <c r="J890" s="181"/>
      <c r="K890" s="181"/>
      <c r="L890" s="181"/>
      <c r="M890" s="181"/>
    </row>
    <row r="891" spans="1:13" ht="21">
      <c r="A891" s="181"/>
      <c r="B891" s="181"/>
      <c r="C891" s="184"/>
      <c r="D891" s="188"/>
      <c r="F891" s="181"/>
      <c r="G891" s="181"/>
      <c r="H891" s="181"/>
      <c r="I891" s="180"/>
      <c r="J891" s="181"/>
      <c r="K891" s="181"/>
      <c r="L891" s="181"/>
      <c r="M891" s="181"/>
    </row>
    <row r="892" spans="1:13" ht="21">
      <c r="A892" s="181"/>
      <c r="B892" s="181"/>
      <c r="C892" s="184"/>
      <c r="D892" s="188"/>
      <c r="F892" s="181"/>
      <c r="G892" s="181"/>
      <c r="H892" s="181"/>
      <c r="I892" s="180"/>
      <c r="J892" s="181"/>
      <c r="K892" s="181"/>
      <c r="L892" s="181"/>
      <c r="M892" s="181"/>
    </row>
    <row r="893" spans="1:13" ht="21">
      <c r="A893" s="181"/>
      <c r="B893" s="181"/>
      <c r="C893" s="184"/>
      <c r="D893" s="188"/>
      <c r="F893" s="181"/>
      <c r="G893" s="181"/>
      <c r="H893" s="181"/>
      <c r="I893" s="180"/>
      <c r="J893" s="181"/>
      <c r="K893" s="181"/>
      <c r="L893" s="181"/>
      <c r="M893" s="181"/>
    </row>
    <row r="894" spans="1:13" ht="21">
      <c r="A894" s="181"/>
      <c r="B894" s="181"/>
      <c r="C894" s="184"/>
      <c r="D894" s="188"/>
      <c r="F894" s="181"/>
      <c r="G894" s="181"/>
      <c r="H894" s="181"/>
      <c r="I894" s="180"/>
      <c r="J894" s="181"/>
      <c r="K894" s="181"/>
      <c r="L894" s="181"/>
      <c r="M894" s="181"/>
    </row>
    <row r="895" spans="1:13" ht="21">
      <c r="A895" s="181"/>
      <c r="B895" s="181"/>
      <c r="C895" s="184"/>
      <c r="D895" s="188"/>
      <c r="F895" s="181"/>
      <c r="G895" s="181"/>
      <c r="H895" s="181"/>
      <c r="I895" s="180"/>
      <c r="J895" s="181"/>
      <c r="K895" s="181"/>
      <c r="L895" s="181"/>
      <c r="M895" s="181"/>
    </row>
    <row r="896" spans="1:13" ht="21">
      <c r="A896" s="181"/>
      <c r="B896" s="181"/>
      <c r="C896" s="184"/>
      <c r="D896" s="188"/>
      <c r="F896" s="181"/>
      <c r="G896" s="181"/>
      <c r="H896" s="181"/>
      <c r="I896" s="180"/>
      <c r="J896" s="181"/>
      <c r="K896" s="181"/>
      <c r="L896" s="181"/>
      <c r="M896" s="181"/>
    </row>
    <row r="897" spans="1:13" ht="21">
      <c r="A897" s="181"/>
      <c r="B897" s="181"/>
      <c r="C897" s="184"/>
      <c r="D897" s="188"/>
      <c r="F897" s="181"/>
      <c r="G897" s="181"/>
      <c r="H897" s="181"/>
      <c r="I897" s="180"/>
      <c r="J897" s="181"/>
      <c r="K897" s="181"/>
      <c r="L897" s="181"/>
      <c r="M897" s="181"/>
    </row>
    <row r="898" spans="1:13" ht="21">
      <c r="A898" s="181"/>
      <c r="B898" s="181"/>
      <c r="C898" s="184"/>
      <c r="D898" s="188"/>
      <c r="F898" s="181"/>
      <c r="G898" s="181"/>
      <c r="H898" s="181"/>
      <c r="I898" s="180"/>
      <c r="J898" s="181"/>
      <c r="K898" s="181"/>
      <c r="L898" s="181"/>
      <c r="M898" s="181"/>
    </row>
    <row r="899" spans="1:13" ht="21">
      <c r="A899" s="181"/>
      <c r="B899" s="181"/>
      <c r="C899" s="184"/>
      <c r="D899" s="188"/>
      <c r="F899" s="181"/>
      <c r="G899" s="181"/>
      <c r="H899" s="181"/>
      <c r="I899" s="180"/>
      <c r="J899" s="181"/>
      <c r="K899" s="181"/>
      <c r="L899" s="181"/>
      <c r="M899" s="181"/>
    </row>
    <row r="900" spans="1:13" ht="21">
      <c r="A900" s="181"/>
      <c r="B900" s="181"/>
      <c r="C900" s="184"/>
      <c r="D900" s="188"/>
      <c r="F900" s="181"/>
      <c r="G900" s="181"/>
      <c r="H900" s="181"/>
      <c r="I900" s="180"/>
      <c r="J900" s="181"/>
      <c r="K900" s="181"/>
      <c r="L900" s="181"/>
      <c r="M900" s="181"/>
    </row>
    <row r="901" spans="1:13" ht="21">
      <c r="A901" s="181"/>
      <c r="B901" s="181"/>
      <c r="C901" s="184"/>
      <c r="D901" s="188"/>
      <c r="F901" s="181"/>
      <c r="G901" s="181"/>
      <c r="H901" s="181"/>
      <c r="I901" s="180"/>
      <c r="J901" s="181"/>
      <c r="K901" s="181"/>
      <c r="L901" s="181"/>
      <c r="M901" s="181"/>
    </row>
    <row r="902" spans="1:13" ht="21">
      <c r="A902" s="181"/>
      <c r="B902" s="181"/>
      <c r="C902" s="184"/>
      <c r="D902" s="188"/>
      <c r="F902" s="181"/>
      <c r="G902" s="181"/>
      <c r="H902" s="181"/>
      <c r="I902" s="180"/>
      <c r="J902" s="181"/>
      <c r="K902" s="181"/>
      <c r="L902" s="181"/>
      <c r="M902" s="181"/>
    </row>
    <row r="903" spans="1:13" ht="21">
      <c r="A903" s="181"/>
      <c r="B903" s="181"/>
      <c r="C903" s="184"/>
      <c r="D903" s="188"/>
      <c r="F903" s="181"/>
      <c r="G903" s="181"/>
      <c r="H903" s="181"/>
      <c r="I903" s="180"/>
      <c r="J903" s="181"/>
      <c r="K903" s="181"/>
      <c r="L903" s="181"/>
      <c r="M903" s="181"/>
    </row>
    <row r="904" spans="1:13" ht="21">
      <c r="A904" s="181"/>
      <c r="B904" s="181"/>
      <c r="C904" s="184"/>
      <c r="D904" s="188"/>
      <c r="F904" s="181"/>
      <c r="G904" s="181"/>
      <c r="H904" s="181"/>
      <c r="I904" s="180"/>
      <c r="J904" s="181"/>
      <c r="K904" s="181"/>
      <c r="L904" s="181"/>
      <c r="M904" s="181"/>
    </row>
    <row r="905" spans="1:13" ht="21">
      <c r="A905" s="181"/>
      <c r="B905" s="181"/>
      <c r="C905" s="184"/>
      <c r="D905" s="188"/>
      <c r="F905" s="181"/>
      <c r="G905" s="181"/>
      <c r="H905" s="181"/>
      <c r="I905" s="180"/>
      <c r="J905" s="181"/>
      <c r="K905" s="181"/>
      <c r="L905" s="181"/>
      <c r="M905" s="181"/>
    </row>
    <row r="906" spans="1:13" ht="21">
      <c r="A906" s="181"/>
      <c r="B906" s="181"/>
      <c r="C906" s="184"/>
      <c r="D906" s="188"/>
      <c r="F906" s="181"/>
      <c r="G906" s="181"/>
      <c r="H906" s="181"/>
      <c r="I906" s="180"/>
      <c r="J906" s="181"/>
      <c r="K906" s="181"/>
      <c r="L906" s="181"/>
      <c r="M906" s="181"/>
    </row>
    <row r="907" spans="1:13" ht="21">
      <c r="A907" s="181"/>
      <c r="B907" s="181"/>
      <c r="C907" s="184"/>
      <c r="D907" s="188"/>
      <c r="F907" s="181"/>
      <c r="G907" s="181"/>
      <c r="H907" s="181"/>
      <c r="I907" s="180"/>
      <c r="J907" s="181"/>
      <c r="K907" s="181"/>
      <c r="L907" s="181"/>
      <c r="M907" s="181"/>
    </row>
    <row r="908" spans="1:13" ht="21">
      <c r="A908" s="181"/>
      <c r="B908" s="181"/>
      <c r="C908" s="184"/>
      <c r="D908" s="188"/>
      <c r="F908" s="181"/>
      <c r="G908" s="181"/>
      <c r="H908" s="181"/>
      <c r="I908" s="180"/>
      <c r="J908" s="181"/>
      <c r="K908" s="181"/>
      <c r="L908" s="181"/>
      <c r="M908" s="181"/>
    </row>
    <row r="909" spans="1:13" ht="21">
      <c r="A909" s="181"/>
      <c r="B909" s="181"/>
      <c r="C909" s="184"/>
      <c r="D909" s="188"/>
      <c r="F909" s="181"/>
      <c r="G909" s="181"/>
      <c r="H909" s="181"/>
      <c r="I909" s="180"/>
      <c r="J909" s="181"/>
      <c r="K909" s="181"/>
      <c r="L909" s="181"/>
      <c r="M909" s="181"/>
    </row>
    <row r="910" spans="1:13" ht="21">
      <c r="A910" s="181"/>
      <c r="B910" s="181"/>
      <c r="C910" s="184"/>
      <c r="D910" s="188"/>
      <c r="F910" s="181"/>
      <c r="G910" s="181"/>
      <c r="H910" s="181"/>
      <c r="I910" s="180"/>
      <c r="J910" s="181"/>
      <c r="K910" s="181"/>
      <c r="L910" s="181"/>
      <c r="M910" s="181"/>
    </row>
    <row r="911" spans="1:13" ht="21">
      <c r="A911" s="181"/>
      <c r="B911" s="181"/>
      <c r="C911" s="184"/>
      <c r="D911" s="188"/>
      <c r="F911" s="181"/>
      <c r="G911" s="181"/>
      <c r="H911" s="181"/>
      <c r="I911" s="180"/>
      <c r="J911" s="181"/>
      <c r="K911" s="181"/>
      <c r="L911" s="181"/>
      <c r="M911" s="181"/>
    </row>
    <row r="912" spans="1:13" ht="21">
      <c r="A912" s="181"/>
      <c r="B912" s="181"/>
      <c r="C912" s="184"/>
      <c r="D912" s="188"/>
      <c r="F912" s="181"/>
      <c r="G912" s="181"/>
      <c r="H912" s="181"/>
      <c r="I912" s="180"/>
      <c r="J912" s="181"/>
      <c r="K912" s="181"/>
      <c r="L912" s="181"/>
      <c r="M912" s="181"/>
    </row>
    <row r="913" spans="1:13" ht="21">
      <c r="A913" s="181"/>
      <c r="B913" s="181"/>
      <c r="C913" s="184"/>
      <c r="D913" s="188"/>
      <c r="F913" s="181"/>
      <c r="G913" s="181"/>
      <c r="H913" s="181"/>
      <c r="I913" s="180"/>
      <c r="J913" s="181"/>
      <c r="K913" s="181"/>
      <c r="L913" s="181"/>
      <c r="M913" s="181"/>
    </row>
    <row r="914" spans="1:13" ht="15.75" customHeight="1">
      <c r="A914" s="181"/>
      <c r="B914" s="181"/>
      <c r="C914" s="184"/>
      <c r="D914" s="188"/>
      <c r="F914" s="181"/>
      <c r="G914" s="181"/>
      <c r="H914" s="181"/>
    </row>
    <row r="915" spans="1:13" ht="15.75" customHeight="1">
      <c r="A915" s="181"/>
      <c r="B915" s="181"/>
      <c r="C915" s="184"/>
      <c r="D915" s="188"/>
      <c r="F915" s="181"/>
      <c r="G915" s="181"/>
      <c r="H915" s="181"/>
    </row>
    <row r="916" spans="1:13" ht="15.75" customHeight="1">
      <c r="A916" s="181"/>
      <c r="B916" s="181"/>
      <c r="C916" s="184"/>
      <c r="D916" s="188"/>
      <c r="F916" s="181"/>
      <c r="G916" s="181"/>
      <c r="H916" s="181"/>
    </row>
    <row r="917" spans="1:13" ht="15.75" customHeight="1">
      <c r="A917" s="181"/>
      <c r="B917" s="181"/>
      <c r="C917" s="184"/>
      <c r="D917" s="188"/>
      <c r="F917" s="181"/>
      <c r="G917" s="181"/>
      <c r="H917" s="181"/>
    </row>
    <row r="918" spans="1:13" ht="15.75" customHeight="1">
      <c r="A918" s="181"/>
      <c r="B918" s="181"/>
      <c r="C918" s="184"/>
      <c r="D918" s="188"/>
      <c r="F918" s="181"/>
      <c r="G918" s="181"/>
      <c r="H918" s="181"/>
    </row>
    <row r="919" spans="1:13" ht="15.75" customHeight="1">
      <c r="A919" s="181"/>
      <c r="B919" s="181"/>
      <c r="C919" s="184"/>
      <c r="D919" s="188"/>
      <c r="F919" s="181"/>
      <c r="G919" s="181"/>
      <c r="H919" s="181"/>
    </row>
    <row r="920" spans="1:13" ht="15.75" customHeight="1">
      <c r="A920" s="181"/>
      <c r="B920" s="181"/>
      <c r="C920" s="184"/>
      <c r="D920" s="188"/>
      <c r="F920" s="181"/>
      <c r="G920" s="181"/>
      <c r="H920" s="181"/>
    </row>
    <row r="921" spans="1:13" ht="15.75" customHeight="1">
      <c r="A921" s="181"/>
      <c r="B921" s="181"/>
      <c r="C921" s="184"/>
      <c r="D921" s="188"/>
      <c r="F921" s="181"/>
      <c r="G921" s="181"/>
      <c r="H921" s="181"/>
    </row>
    <row r="922" spans="1:13" ht="15.75" customHeight="1">
      <c r="A922" s="181"/>
      <c r="B922" s="181"/>
      <c r="C922" s="184"/>
      <c r="D922" s="188"/>
      <c r="F922" s="181"/>
      <c r="G922" s="181"/>
      <c r="H922" s="181"/>
    </row>
    <row r="923" spans="1:13" ht="15.75" customHeight="1">
      <c r="A923" s="181"/>
      <c r="B923" s="181"/>
      <c r="C923" s="184"/>
      <c r="D923" s="188"/>
      <c r="F923" s="181"/>
      <c r="G923" s="181"/>
      <c r="H923" s="181"/>
    </row>
    <row r="924" spans="1:13" ht="15.75" customHeight="1">
      <c r="A924" s="181"/>
      <c r="B924" s="181"/>
      <c r="C924" s="184"/>
      <c r="D924" s="188"/>
      <c r="F924" s="181"/>
      <c r="G924" s="181"/>
      <c r="H924" s="181"/>
    </row>
    <row r="925" spans="1:13" ht="15.75" customHeight="1">
      <c r="A925" s="181"/>
      <c r="B925" s="181"/>
      <c r="C925" s="184"/>
      <c r="D925" s="188"/>
      <c r="F925" s="181"/>
      <c r="G925" s="181"/>
      <c r="H925" s="181"/>
    </row>
    <row r="926" spans="1:13" ht="15.75" customHeight="1">
      <c r="A926" s="181"/>
      <c r="B926" s="181"/>
      <c r="C926" s="184"/>
      <c r="D926" s="188"/>
      <c r="F926" s="181"/>
      <c r="G926" s="181"/>
      <c r="H926" s="181"/>
    </row>
    <row r="927" spans="1:13" ht="15.75" customHeight="1">
      <c r="A927" s="181"/>
      <c r="B927" s="181"/>
      <c r="C927" s="184"/>
      <c r="D927" s="188"/>
      <c r="F927" s="181"/>
      <c r="G927" s="181"/>
      <c r="H927" s="181"/>
    </row>
    <row r="928" spans="1:13" ht="15.75" customHeight="1">
      <c r="A928" s="181"/>
      <c r="B928" s="181"/>
      <c r="C928" s="184"/>
      <c r="D928" s="188"/>
      <c r="F928" s="181"/>
      <c r="G928" s="181"/>
      <c r="H928" s="181"/>
    </row>
    <row r="929" spans="1:8" ht="15.75" customHeight="1">
      <c r="A929" s="181"/>
      <c r="B929" s="181"/>
      <c r="C929" s="184"/>
      <c r="D929" s="188"/>
      <c r="F929" s="181"/>
      <c r="G929" s="181"/>
      <c r="H929" s="181"/>
    </row>
    <row r="930" spans="1:8" ht="15.75" customHeight="1">
      <c r="A930" s="181"/>
      <c r="B930" s="181"/>
      <c r="C930" s="184"/>
      <c r="D930" s="188"/>
      <c r="F930" s="181"/>
      <c r="G930" s="181"/>
      <c r="H930" s="181"/>
    </row>
    <row r="931" spans="1:8" ht="15.75" customHeight="1">
      <c r="A931" s="181"/>
      <c r="B931" s="181"/>
      <c r="C931" s="184"/>
      <c r="D931" s="188"/>
      <c r="F931" s="181"/>
      <c r="G931" s="181"/>
      <c r="H931" s="181"/>
    </row>
    <row r="932" spans="1:8" ht="15.75" customHeight="1">
      <c r="A932" s="181"/>
      <c r="B932" s="181"/>
      <c r="C932" s="184"/>
      <c r="D932" s="188"/>
      <c r="F932" s="181"/>
      <c r="G932" s="181"/>
      <c r="H932" s="181"/>
    </row>
    <row r="933" spans="1:8" ht="15.75" customHeight="1">
      <c r="A933" s="181"/>
      <c r="B933" s="181"/>
      <c r="C933" s="184"/>
      <c r="D933" s="188"/>
      <c r="F933" s="181"/>
      <c r="G933" s="181"/>
      <c r="H933" s="181"/>
    </row>
    <row r="934" spans="1:8" ht="15.75" customHeight="1">
      <c r="A934" s="181"/>
      <c r="B934" s="181"/>
      <c r="C934" s="184"/>
      <c r="D934" s="188"/>
      <c r="F934" s="181"/>
      <c r="G934" s="181"/>
      <c r="H934" s="181"/>
    </row>
    <row r="935" spans="1:8" ht="15.75" customHeight="1">
      <c r="A935" s="181"/>
      <c r="B935" s="181"/>
      <c r="C935" s="184"/>
      <c r="D935" s="188"/>
      <c r="F935" s="181"/>
      <c r="G935" s="181"/>
      <c r="H935" s="181"/>
    </row>
    <row r="936" spans="1:8" ht="15.75" customHeight="1">
      <c r="A936" s="181"/>
      <c r="B936" s="181"/>
      <c r="C936" s="184"/>
      <c r="D936" s="188"/>
      <c r="F936" s="181"/>
      <c r="G936" s="181"/>
      <c r="H936" s="181"/>
    </row>
    <row r="937" spans="1:8" ht="15.75" customHeight="1">
      <c r="A937" s="181"/>
      <c r="B937" s="181"/>
      <c r="C937" s="184"/>
      <c r="D937" s="188"/>
      <c r="F937" s="181"/>
      <c r="G937" s="181"/>
      <c r="H937" s="181"/>
    </row>
    <row r="938" spans="1:8" ht="15.75" customHeight="1">
      <c r="A938" s="181"/>
      <c r="B938" s="181"/>
      <c r="C938" s="184"/>
      <c r="D938" s="188"/>
      <c r="F938" s="181"/>
      <c r="G938" s="181"/>
      <c r="H938" s="181"/>
    </row>
    <row r="939" spans="1:8" ht="15.75" customHeight="1">
      <c r="A939" s="181"/>
      <c r="B939" s="181"/>
      <c r="C939" s="184"/>
      <c r="D939" s="188"/>
      <c r="F939" s="181"/>
      <c r="G939" s="181"/>
      <c r="H939" s="181"/>
    </row>
    <row r="940" spans="1:8" ht="15.75" customHeight="1">
      <c r="A940" s="181"/>
      <c r="B940" s="181"/>
      <c r="C940" s="184"/>
      <c r="D940" s="188"/>
      <c r="F940" s="181"/>
      <c r="G940" s="181"/>
      <c r="H940" s="181"/>
    </row>
    <row r="941" spans="1:8" ht="15.75" customHeight="1">
      <c r="A941" s="181"/>
      <c r="B941" s="181"/>
      <c r="C941" s="184"/>
      <c r="D941" s="188"/>
      <c r="F941" s="181"/>
      <c r="G941" s="181"/>
      <c r="H941" s="181"/>
    </row>
    <row r="942" spans="1:8" ht="15.75" customHeight="1">
      <c r="A942" s="181"/>
      <c r="B942" s="181"/>
      <c r="C942" s="184"/>
      <c r="D942" s="188"/>
      <c r="F942" s="181"/>
      <c r="G942" s="181"/>
      <c r="H942" s="181"/>
    </row>
    <row r="943" spans="1:8" ht="15.75" customHeight="1">
      <c r="A943" s="181"/>
      <c r="B943" s="181"/>
      <c r="C943" s="184"/>
      <c r="D943" s="188"/>
      <c r="F943" s="181"/>
      <c r="G943" s="181"/>
      <c r="H943" s="181"/>
    </row>
    <row r="944" spans="1:8" ht="15.75" customHeight="1">
      <c r="A944" s="181"/>
      <c r="B944" s="181"/>
      <c r="C944" s="184"/>
      <c r="D944" s="188"/>
      <c r="F944" s="181"/>
      <c r="G944" s="181"/>
      <c r="H944" s="181"/>
    </row>
    <row r="945" spans="1:8" ht="15.75" customHeight="1">
      <c r="A945" s="181"/>
      <c r="B945" s="181"/>
      <c r="C945" s="184"/>
      <c r="D945" s="188"/>
      <c r="F945" s="181"/>
      <c r="G945" s="181"/>
      <c r="H945" s="181"/>
    </row>
    <row r="946" spans="1:8" ht="15.75" customHeight="1">
      <c r="A946" s="181"/>
      <c r="B946" s="181"/>
      <c r="C946" s="184"/>
      <c r="D946" s="188"/>
      <c r="F946" s="181"/>
      <c r="G946" s="181"/>
      <c r="H946" s="181"/>
    </row>
    <row r="947" spans="1:8" ht="15.75" customHeight="1">
      <c r="A947" s="181"/>
      <c r="B947" s="181"/>
      <c r="C947" s="184"/>
      <c r="D947" s="188"/>
      <c r="F947" s="181"/>
      <c r="G947" s="181"/>
      <c r="H947" s="181"/>
    </row>
    <row r="948" spans="1:8" ht="15.75" customHeight="1">
      <c r="A948" s="181"/>
      <c r="B948" s="181"/>
      <c r="C948" s="184"/>
      <c r="D948" s="188"/>
      <c r="F948" s="181"/>
      <c r="G948" s="181"/>
      <c r="H948" s="181"/>
    </row>
    <row r="949" spans="1:8" ht="15.75" customHeight="1">
      <c r="A949" s="181"/>
      <c r="B949" s="181"/>
      <c r="C949" s="184"/>
      <c r="D949" s="188"/>
      <c r="F949" s="181"/>
      <c r="G949" s="181"/>
      <c r="H949" s="181"/>
    </row>
    <row r="950" spans="1:8" ht="15.75" customHeight="1">
      <c r="A950" s="181"/>
      <c r="B950" s="181"/>
      <c r="C950" s="184"/>
      <c r="D950" s="188"/>
      <c r="F950" s="181"/>
      <c r="G950" s="181"/>
      <c r="H950" s="181"/>
    </row>
    <row r="951" spans="1:8" ht="15.75" customHeight="1">
      <c r="A951" s="181"/>
      <c r="B951" s="181"/>
      <c r="C951" s="184"/>
      <c r="D951" s="188"/>
      <c r="F951" s="181"/>
      <c r="G951" s="181"/>
      <c r="H951" s="181"/>
    </row>
    <row r="952" spans="1:8" ht="15.75" customHeight="1">
      <c r="A952" s="181"/>
      <c r="B952" s="181"/>
      <c r="C952" s="184"/>
      <c r="D952" s="188"/>
      <c r="F952" s="181"/>
      <c r="G952" s="181"/>
      <c r="H952" s="181"/>
    </row>
    <row r="953" spans="1:8" ht="15.75" customHeight="1">
      <c r="A953" s="181"/>
      <c r="B953" s="181"/>
      <c r="C953" s="184"/>
      <c r="D953" s="188"/>
      <c r="F953" s="181"/>
      <c r="G953" s="181"/>
      <c r="H953" s="181"/>
    </row>
    <row r="954" spans="1:8" ht="15.75" customHeight="1">
      <c r="A954" s="181"/>
      <c r="B954" s="181"/>
      <c r="C954" s="184"/>
      <c r="D954" s="188"/>
      <c r="F954" s="181"/>
      <c r="G954" s="181"/>
      <c r="H954" s="181"/>
    </row>
    <row r="955" spans="1:8" ht="15.75" customHeight="1">
      <c r="A955" s="181"/>
      <c r="B955" s="181"/>
      <c r="C955" s="184"/>
      <c r="D955" s="188"/>
      <c r="F955" s="181"/>
      <c r="G955" s="181"/>
      <c r="H955" s="181"/>
    </row>
    <row r="956" spans="1:8" ht="15.75" customHeight="1">
      <c r="A956" s="181"/>
      <c r="B956" s="181"/>
      <c r="C956" s="184"/>
      <c r="D956" s="188"/>
      <c r="F956" s="181"/>
      <c r="G956" s="181"/>
      <c r="H956" s="181"/>
    </row>
    <row r="957" spans="1:8" ht="15.75" customHeight="1">
      <c r="A957" s="181"/>
      <c r="B957" s="181"/>
      <c r="C957" s="184"/>
      <c r="D957" s="188"/>
      <c r="F957" s="181"/>
      <c r="G957" s="181"/>
      <c r="H957" s="181"/>
    </row>
    <row r="958" spans="1:8" ht="15.75" customHeight="1">
      <c r="A958" s="181"/>
      <c r="B958" s="181"/>
      <c r="C958" s="184"/>
      <c r="D958" s="188"/>
      <c r="F958" s="181"/>
      <c r="G958" s="181"/>
      <c r="H958" s="181"/>
    </row>
    <row r="959" spans="1:8" ht="15.75" customHeight="1">
      <c r="A959" s="181"/>
      <c r="B959" s="181"/>
      <c r="C959" s="184"/>
      <c r="D959" s="188"/>
      <c r="F959" s="181"/>
      <c r="G959" s="181"/>
      <c r="H959" s="181"/>
    </row>
    <row r="960" spans="1:8" ht="15.75" customHeight="1">
      <c r="A960" s="181"/>
      <c r="B960" s="181"/>
      <c r="C960" s="184"/>
      <c r="D960" s="188"/>
      <c r="F960" s="181"/>
      <c r="G960" s="181"/>
      <c r="H960" s="181"/>
    </row>
    <row r="961" spans="1:8" ht="15.75" customHeight="1">
      <c r="A961" s="181"/>
      <c r="B961" s="181"/>
      <c r="C961" s="184"/>
      <c r="D961" s="188"/>
      <c r="F961" s="181"/>
      <c r="G961" s="181"/>
      <c r="H961" s="181"/>
    </row>
    <row r="962" spans="1:8" ht="15.75" customHeight="1">
      <c r="A962" s="181"/>
      <c r="B962" s="181"/>
      <c r="C962" s="184"/>
      <c r="D962" s="188"/>
      <c r="F962" s="181"/>
      <c r="G962" s="181"/>
      <c r="H962" s="181"/>
    </row>
    <row r="963" spans="1:8" ht="15.75" customHeight="1">
      <c r="A963" s="181"/>
      <c r="B963" s="181"/>
      <c r="C963" s="184"/>
      <c r="D963" s="188"/>
      <c r="F963" s="181"/>
      <c r="G963" s="181"/>
      <c r="H963" s="181"/>
    </row>
    <row r="964" spans="1:8" ht="15.75" customHeight="1">
      <c r="A964" s="181"/>
      <c r="B964" s="181"/>
      <c r="C964" s="184"/>
      <c r="D964" s="188"/>
      <c r="F964" s="181"/>
      <c r="G964" s="181"/>
      <c r="H964" s="181"/>
    </row>
    <row r="965" spans="1:8" ht="15.75" customHeight="1">
      <c r="A965" s="181"/>
      <c r="B965" s="181"/>
      <c r="C965" s="184"/>
      <c r="D965" s="188"/>
      <c r="F965" s="181"/>
      <c r="G965" s="181"/>
      <c r="H965" s="181"/>
    </row>
    <row r="966" spans="1:8" ht="15.75" customHeight="1">
      <c r="A966" s="181"/>
      <c r="B966" s="181"/>
      <c r="C966" s="184"/>
      <c r="D966" s="188"/>
      <c r="F966" s="181"/>
      <c r="G966" s="181"/>
      <c r="H966" s="181"/>
    </row>
    <row r="967" spans="1:8" ht="15.75" customHeight="1">
      <c r="A967" s="181"/>
      <c r="B967" s="181"/>
      <c r="C967" s="184"/>
      <c r="D967" s="188"/>
      <c r="F967" s="181"/>
      <c r="G967" s="181"/>
      <c r="H967" s="181"/>
    </row>
    <row r="968" spans="1:8" ht="15.75" customHeight="1">
      <c r="A968" s="181"/>
      <c r="B968" s="181"/>
      <c r="C968" s="184"/>
      <c r="D968" s="188"/>
      <c r="F968" s="181"/>
      <c r="G968" s="181"/>
      <c r="H968" s="181"/>
    </row>
    <row r="969" spans="1:8" ht="15.75" customHeight="1">
      <c r="A969" s="181"/>
      <c r="B969" s="181"/>
      <c r="C969" s="184"/>
      <c r="D969" s="188"/>
      <c r="F969" s="181"/>
      <c r="G969" s="181"/>
      <c r="H969" s="181"/>
    </row>
    <row r="970" spans="1:8" ht="15.75" customHeight="1">
      <c r="A970" s="181"/>
      <c r="B970" s="181"/>
      <c r="C970" s="184"/>
      <c r="D970" s="188"/>
      <c r="F970" s="181"/>
      <c r="G970" s="181"/>
      <c r="H970" s="181"/>
    </row>
    <row r="971" spans="1:8" ht="15.75" customHeight="1">
      <c r="A971" s="181"/>
      <c r="B971" s="181"/>
      <c r="C971" s="184"/>
      <c r="D971" s="188"/>
      <c r="F971" s="181"/>
      <c r="G971" s="181"/>
      <c r="H971" s="181"/>
    </row>
    <row r="972" spans="1:8" ht="15.75" customHeight="1">
      <c r="A972" s="181"/>
      <c r="B972" s="181"/>
      <c r="C972" s="184"/>
      <c r="D972" s="188"/>
      <c r="F972" s="181"/>
      <c r="G972" s="181"/>
      <c r="H972" s="181"/>
    </row>
    <row r="973" spans="1:8" ht="15.75" customHeight="1">
      <c r="A973" s="181"/>
      <c r="B973" s="181"/>
      <c r="C973" s="184"/>
      <c r="D973" s="188"/>
      <c r="F973" s="181"/>
      <c r="G973" s="181"/>
      <c r="H973" s="181"/>
    </row>
    <row r="974" spans="1:8" ht="15.75" customHeight="1">
      <c r="A974" s="181"/>
      <c r="B974" s="181"/>
      <c r="C974" s="184"/>
      <c r="D974" s="188"/>
      <c r="F974" s="181"/>
      <c r="G974" s="181"/>
      <c r="H974" s="181"/>
    </row>
    <row r="975" spans="1:8" ht="15.75" customHeight="1">
      <c r="A975" s="181"/>
      <c r="B975" s="181"/>
      <c r="C975" s="184"/>
      <c r="D975" s="188"/>
      <c r="F975" s="181"/>
      <c r="G975" s="181"/>
      <c r="H975" s="181"/>
    </row>
    <row r="976" spans="1:8" ht="15.75" customHeight="1">
      <c r="A976" s="181"/>
      <c r="B976" s="181"/>
      <c r="C976" s="184"/>
      <c r="D976" s="188"/>
      <c r="F976" s="181"/>
      <c r="G976" s="181"/>
      <c r="H976" s="181"/>
    </row>
    <row r="977" spans="1:8" ht="15.75" customHeight="1">
      <c r="A977" s="181"/>
      <c r="B977" s="181"/>
      <c r="C977" s="184"/>
      <c r="D977" s="188"/>
      <c r="F977" s="181"/>
      <c r="G977" s="181"/>
      <c r="H977" s="181"/>
    </row>
    <row r="978" spans="1:8" ht="15.75" customHeight="1">
      <c r="A978" s="181"/>
      <c r="B978" s="181"/>
      <c r="C978" s="184"/>
      <c r="D978" s="188"/>
      <c r="F978" s="181"/>
      <c r="G978" s="181"/>
      <c r="H978" s="181"/>
    </row>
    <row r="979" spans="1:8" ht="15.75" customHeight="1">
      <c r="A979" s="181"/>
      <c r="B979" s="181"/>
      <c r="C979" s="184"/>
      <c r="D979" s="188"/>
      <c r="F979" s="181"/>
      <c r="G979" s="181"/>
      <c r="H979" s="181"/>
    </row>
    <row r="980" spans="1:8" ht="15.75" customHeight="1">
      <c r="A980" s="181"/>
      <c r="B980" s="181"/>
      <c r="C980" s="184"/>
      <c r="D980" s="188"/>
      <c r="F980" s="181"/>
      <c r="G980" s="181"/>
      <c r="H980" s="181"/>
    </row>
    <row r="981" spans="1:8" ht="15.75" customHeight="1">
      <c r="A981" s="181"/>
      <c r="B981" s="181"/>
      <c r="C981" s="184"/>
      <c r="D981" s="188"/>
      <c r="F981" s="181"/>
      <c r="G981" s="181"/>
      <c r="H981" s="181"/>
    </row>
    <row r="982" spans="1:8" ht="15.75" customHeight="1">
      <c r="A982" s="181"/>
      <c r="B982" s="181"/>
      <c r="C982" s="184"/>
      <c r="D982" s="188"/>
      <c r="F982" s="181"/>
      <c r="G982" s="181"/>
      <c r="H982" s="181"/>
    </row>
    <row r="983" spans="1:8" ht="15.75" customHeight="1">
      <c r="A983" s="181"/>
      <c r="B983" s="181"/>
      <c r="C983" s="184"/>
      <c r="D983" s="188"/>
      <c r="F983" s="181"/>
      <c r="G983" s="181"/>
      <c r="H983" s="181"/>
    </row>
    <row r="984" spans="1:8" ht="15.75" customHeight="1">
      <c r="A984" s="181"/>
      <c r="B984" s="181"/>
      <c r="C984" s="184"/>
      <c r="D984" s="188"/>
      <c r="F984" s="181"/>
      <c r="G984" s="181"/>
      <c r="H984" s="181"/>
    </row>
    <row r="985" spans="1:8" ht="15.75" customHeight="1">
      <c r="A985" s="181"/>
      <c r="B985" s="181"/>
      <c r="C985" s="184"/>
      <c r="D985" s="188"/>
      <c r="F985" s="181"/>
      <c r="G985" s="181"/>
      <c r="H985" s="181"/>
    </row>
    <row r="986" spans="1:8" ht="15.75" customHeight="1">
      <c r="A986" s="181"/>
      <c r="B986" s="181"/>
      <c r="C986" s="184"/>
      <c r="D986" s="188"/>
      <c r="F986" s="181"/>
      <c r="G986" s="181"/>
      <c r="H986" s="181"/>
    </row>
    <row r="987" spans="1:8" ht="15.75" customHeight="1">
      <c r="A987" s="181"/>
      <c r="B987" s="181"/>
      <c r="C987" s="184"/>
      <c r="D987" s="188"/>
      <c r="F987" s="181"/>
      <c r="G987" s="181"/>
      <c r="H987" s="181"/>
    </row>
    <row r="988" spans="1:8" ht="15.75" customHeight="1">
      <c r="A988" s="181"/>
      <c r="B988" s="181"/>
      <c r="C988" s="184"/>
      <c r="D988" s="188"/>
      <c r="F988" s="181"/>
      <c r="G988" s="181"/>
      <c r="H988" s="181"/>
    </row>
    <row r="989" spans="1:8" ht="15.75" customHeight="1">
      <c r="A989" s="181"/>
      <c r="B989" s="181"/>
      <c r="C989" s="184"/>
      <c r="D989" s="188"/>
      <c r="F989" s="181"/>
      <c r="G989" s="181"/>
      <c r="H989" s="181"/>
    </row>
    <row r="990" spans="1:8" ht="15.75" customHeight="1">
      <c r="A990" s="181"/>
      <c r="B990" s="181"/>
      <c r="C990" s="184"/>
      <c r="D990" s="188"/>
      <c r="F990" s="181"/>
      <c r="G990" s="181"/>
      <c r="H990" s="181"/>
    </row>
    <row r="991" spans="1:8" ht="15.75" customHeight="1">
      <c r="A991" s="181"/>
      <c r="B991" s="181"/>
      <c r="C991" s="184"/>
      <c r="D991" s="188"/>
      <c r="F991" s="181"/>
      <c r="G991" s="181"/>
      <c r="H991" s="181"/>
    </row>
    <row r="992" spans="1:8" ht="15.75" customHeight="1">
      <c r="A992" s="181"/>
      <c r="B992" s="181"/>
      <c r="C992" s="184"/>
      <c r="D992" s="188"/>
      <c r="F992" s="181"/>
      <c r="G992" s="181"/>
      <c r="H992" s="181"/>
    </row>
    <row r="993" spans="1:8" ht="15.75" customHeight="1">
      <c r="A993" s="181"/>
      <c r="B993" s="181"/>
      <c r="C993" s="184"/>
      <c r="D993" s="188"/>
      <c r="F993" s="181"/>
      <c r="G993" s="181"/>
      <c r="H993" s="181"/>
    </row>
    <row r="994" spans="1:8" ht="15.75" customHeight="1">
      <c r="A994" s="181"/>
      <c r="B994" s="181"/>
      <c r="C994" s="184"/>
      <c r="D994" s="188"/>
      <c r="F994" s="181"/>
      <c r="G994" s="181"/>
      <c r="H994" s="181"/>
    </row>
    <row r="995" spans="1:8" ht="15.75" customHeight="1">
      <c r="A995" s="181"/>
      <c r="B995" s="181"/>
      <c r="C995" s="184"/>
      <c r="D995" s="188"/>
      <c r="F995" s="181"/>
      <c r="G995" s="181"/>
      <c r="H995" s="181"/>
    </row>
    <row r="996" spans="1:8" ht="15.75" customHeight="1">
      <c r="A996" s="181"/>
      <c r="B996" s="181"/>
      <c r="C996" s="184"/>
      <c r="D996" s="188"/>
      <c r="F996" s="181"/>
      <c r="G996" s="181"/>
      <c r="H996" s="181"/>
    </row>
    <row r="997" spans="1:8" ht="15.75" customHeight="1">
      <c r="A997" s="181"/>
      <c r="B997" s="181"/>
      <c r="C997" s="184"/>
      <c r="D997" s="188"/>
      <c r="F997" s="181"/>
      <c r="G997" s="181"/>
      <c r="H997" s="181"/>
    </row>
    <row r="998" spans="1:8" ht="15.75" customHeight="1">
      <c r="A998" s="181"/>
      <c r="B998" s="181"/>
      <c r="C998" s="184"/>
      <c r="D998" s="188"/>
      <c r="F998" s="181"/>
      <c r="G998" s="181"/>
      <c r="H998" s="181"/>
    </row>
    <row r="999" spans="1:8" ht="15.75" customHeight="1">
      <c r="A999" s="181"/>
      <c r="B999" s="181"/>
      <c r="C999" s="184"/>
      <c r="D999" s="188"/>
      <c r="F999" s="181"/>
      <c r="G999" s="181"/>
      <c r="H999" s="181"/>
    </row>
    <row r="1000" spans="1:8" ht="15.75" customHeight="1">
      <c r="A1000" s="181"/>
      <c r="B1000" s="181"/>
      <c r="C1000" s="184"/>
      <c r="D1000" s="188"/>
      <c r="F1000" s="181"/>
      <c r="G1000" s="181"/>
      <c r="H1000" s="181"/>
    </row>
    <row r="1001" spans="1:8" ht="15.75" customHeight="1">
      <c r="A1001" s="181"/>
      <c r="B1001" s="181"/>
      <c r="C1001" s="184"/>
      <c r="D1001" s="188"/>
      <c r="F1001" s="181"/>
      <c r="G1001" s="181"/>
      <c r="H1001" s="181"/>
    </row>
    <row r="1002" spans="1:8" ht="15.75" customHeight="1">
      <c r="A1002" s="181"/>
      <c r="B1002" s="181"/>
      <c r="C1002" s="184"/>
      <c r="D1002" s="188"/>
      <c r="F1002" s="181"/>
      <c r="G1002" s="181"/>
      <c r="H1002" s="181"/>
    </row>
    <row r="1003" spans="1:8" ht="15.75" customHeight="1">
      <c r="A1003" s="181"/>
      <c r="B1003" s="181"/>
      <c r="C1003" s="184"/>
      <c r="D1003" s="188"/>
      <c r="F1003" s="181"/>
      <c r="G1003" s="181"/>
      <c r="H1003" s="181"/>
    </row>
    <row r="1004" spans="1:8" ht="15.75" customHeight="1">
      <c r="A1004" s="181"/>
      <c r="B1004" s="181"/>
      <c r="C1004" s="184"/>
      <c r="D1004" s="188"/>
      <c r="F1004" s="181"/>
      <c r="G1004" s="181"/>
      <c r="H1004" s="181"/>
    </row>
    <row r="1005" spans="1:8" ht="15.75" customHeight="1">
      <c r="A1005" s="181"/>
      <c r="B1005" s="181"/>
      <c r="C1005" s="184"/>
      <c r="D1005" s="188"/>
      <c r="F1005" s="181"/>
      <c r="G1005" s="181"/>
      <c r="H1005" s="181"/>
    </row>
    <row r="1006" spans="1:8" ht="15.75" customHeight="1">
      <c r="A1006" s="181"/>
      <c r="B1006" s="181"/>
      <c r="C1006" s="184"/>
      <c r="D1006" s="188"/>
      <c r="F1006" s="181"/>
      <c r="G1006" s="181"/>
      <c r="H1006" s="181"/>
    </row>
    <row r="1007" spans="1:8" ht="15.75" customHeight="1">
      <c r="A1007" s="181"/>
      <c r="B1007" s="181"/>
      <c r="C1007" s="184"/>
      <c r="D1007" s="188"/>
      <c r="F1007" s="181"/>
      <c r="G1007" s="181"/>
      <c r="H1007" s="181"/>
    </row>
    <row r="1008" spans="1:8" ht="15.75" customHeight="1">
      <c r="A1008" s="181"/>
      <c r="B1008" s="181"/>
      <c r="C1008" s="184"/>
      <c r="D1008" s="188"/>
      <c r="F1008" s="181"/>
      <c r="G1008" s="181"/>
      <c r="H1008" s="181"/>
    </row>
    <row r="1009" spans="1:8" ht="15.75" customHeight="1">
      <c r="A1009" s="181"/>
      <c r="B1009" s="181"/>
      <c r="C1009" s="184"/>
      <c r="D1009" s="188"/>
      <c r="F1009" s="181"/>
      <c r="G1009" s="181"/>
      <c r="H1009" s="181"/>
    </row>
    <row r="1010" spans="1:8" ht="15.75" customHeight="1">
      <c r="A1010" s="181"/>
      <c r="B1010" s="181"/>
      <c r="C1010" s="184"/>
      <c r="D1010" s="188"/>
      <c r="F1010" s="181"/>
      <c r="G1010" s="181"/>
      <c r="H1010" s="181"/>
    </row>
    <row r="1011" spans="1:8" ht="15.75" customHeight="1">
      <c r="A1011" s="181"/>
      <c r="B1011" s="181"/>
      <c r="C1011" s="184"/>
      <c r="D1011" s="188"/>
      <c r="F1011" s="181"/>
      <c r="G1011" s="181"/>
      <c r="H1011" s="181"/>
    </row>
    <row r="1012" spans="1:8" ht="15.75" customHeight="1">
      <c r="A1012" s="181"/>
      <c r="B1012" s="181"/>
      <c r="C1012" s="184"/>
      <c r="D1012" s="188"/>
      <c r="F1012" s="181"/>
      <c r="G1012" s="181"/>
      <c r="H1012" s="181"/>
    </row>
    <row r="1013" spans="1:8" ht="15.75" customHeight="1">
      <c r="A1013" s="181"/>
      <c r="B1013" s="181"/>
      <c r="C1013" s="184"/>
      <c r="D1013" s="188"/>
      <c r="F1013" s="181"/>
      <c r="G1013" s="181"/>
      <c r="H1013" s="181"/>
    </row>
    <row r="1014" spans="1:8" ht="15.75" customHeight="1">
      <c r="A1014" s="181"/>
      <c r="B1014" s="181"/>
      <c r="C1014" s="184"/>
      <c r="D1014" s="188"/>
      <c r="F1014" s="181"/>
      <c r="G1014" s="181"/>
      <c r="H1014" s="181"/>
    </row>
    <row r="1015" spans="1:8" ht="15.75" customHeight="1">
      <c r="A1015" s="181"/>
      <c r="B1015" s="181"/>
      <c r="C1015" s="184"/>
      <c r="D1015" s="188"/>
      <c r="F1015" s="181"/>
      <c r="G1015" s="181"/>
      <c r="H1015" s="181"/>
    </row>
    <row r="1016" spans="1:8" ht="15.75" customHeight="1">
      <c r="A1016" s="181"/>
      <c r="B1016" s="181"/>
      <c r="C1016" s="184"/>
      <c r="D1016" s="188"/>
      <c r="F1016" s="181"/>
      <c r="G1016" s="181"/>
      <c r="H1016" s="181"/>
    </row>
    <row r="1017" spans="1:8" ht="15.75" customHeight="1">
      <c r="A1017" s="181"/>
      <c r="B1017" s="181"/>
      <c r="C1017" s="184"/>
      <c r="D1017" s="188"/>
      <c r="F1017" s="181"/>
      <c r="G1017" s="181"/>
      <c r="H1017" s="181"/>
    </row>
    <row r="1018" spans="1:8" ht="15.75" customHeight="1">
      <c r="A1018" s="181"/>
      <c r="B1018" s="181"/>
      <c r="C1018" s="184"/>
      <c r="D1018" s="188"/>
      <c r="F1018" s="181"/>
      <c r="G1018" s="181"/>
      <c r="H1018" s="181"/>
    </row>
    <row r="1019" spans="1:8" ht="15.75" customHeight="1">
      <c r="A1019" s="181"/>
      <c r="B1019" s="181"/>
      <c r="C1019" s="184"/>
      <c r="D1019" s="188"/>
      <c r="F1019" s="181"/>
      <c r="G1019" s="181"/>
      <c r="H1019" s="181"/>
    </row>
    <row r="1020" spans="1:8" ht="15.75" customHeight="1">
      <c r="A1020" s="181"/>
      <c r="B1020" s="181"/>
      <c r="C1020" s="184"/>
      <c r="D1020" s="188"/>
      <c r="F1020" s="181"/>
      <c r="G1020" s="181"/>
      <c r="H1020" s="181"/>
    </row>
    <row r="1021" spans="1:8" ht="15.75" customHeight="1">
      <c r="A1021" s="181"/>
      <c r="B1021" s="181"/>
      <c r="C1021" s="184"/>
      <c r="D1021" s="188"/>
      <c r="F1021" s="181"/>
      <c r="G1021" s="181"/>
      <c r="H1021" s="181"/>
    </row>
    <row r="1022" spans="1:8" ht="15.75" customHeight="1">
      <c r="A1022" s="181"/>
      <c r="B1022" s="181"/>
      <c r="C1022" s="184"/>
      <c r="D1022" s="188"/>
      <c r="F1022" s="181"/>
      <c r="G1022" s="181"/>
      <c r="H1022" s="181"/>
    </row>
    <row r="1023" spans="1:8" ht="15.75" customHeight="1">
      <c r="A1023" s="181"/>
      <c r="B1023" s="181"/>
      <c r="C1023" s="184"/>
      <c r="D1023" s="188"/>
      <c r="F1023" s="181"/>
      <c r="G1023" s="181"/>
      <c r="H1023" s="181"/>
    </row>
    <row r="1024" spans="1:8" ht="15.75" customHeight="1">
      <c r="A1024" s="181"/>
      <c r="B1024" s="181"/>
      <c r="C1024" s="184"/>
      <c r="D1024" s="188"/>
      <c r="F1024" s="181"/>
      <c r="G1024" s="181"/>
      <c r="H1024" s="181"/>
    </row>
    <row r="1025" spans="1:8" ht="15.75" customHeight="1">
      <c r="A1025" s="181"/>
      <c r="B1025" s="181"/>
      <c r="C1025" s="184"/>
      <c r="D1025" s="188"/>
      <c r="F1025" s="181"/>
      <c r="G1025" s="181"/>
      <c r="H1025" s="181"/>
    </row>
    <row r="1026" spans="1:8" ht="15.75" customHeight="1">
      <c r="A1026" s="181"/>
      <c r="B1026" s="181"/>
      <c r="C1026" s="184"/>
      <c r="D1026" s="188"/>
      <c r="F1026" s="181"/>
      <c r="G1026" s="181"/>
      <c r="H1026" s="181"/>
    </row>
    <row r="1027" spans="1:8" ht="15.75" customHeight="1">
      <c r="A1027" s="181"/>
      <c r="B1027" s="181"/>
      <c r="C1027" s="184"/>
      <c r="D1027" s="188"/>
      <c r="F1027" s="181"/>
      <c r="G1027" s="181"/>
      <c r="H1027" s="181"/>
    </row>
    <row r="1028" spans="1:8" ht="15.75" customHeight="1">
      <c r="A1028" s="181"/>
      <c r="B1028" s="181"/>
      <c r="C1028" s="184"/>
      <c r="D1028" s="188"/>
      <c r="F1028" s="181"/>
      <c r="G1028" s="181"/>
      <c r="H1028" s="181"/>
    </row>
    <row r="1029" spans="1:8" ht="15.75" customHeight="1">
      <c r="A1029" s="181"/>
      <c r="B1029" s="181"/>
      <c r="C1029" s="184"/>
      <c r="D1029" s="188"/>
      <c r="F1029" s="181"/>
      <c r="G1029" s="181"/>
      <c r="H1029" s="181"/>
    </row>
    <row r="1030" spans="1:8" ht="15.75" customHeight="1">
      <c r="A1030" s="181"/>
      <c r="B1030" s="181"/>
      <c r="C1030" s="184"/>
      <c r="D1030" s="188"/>
      <c r="F1030" s="181"/>
      <c r="G1030" s="181"/>
      <c r="H1030" s="181"/>
    </row>
    <row r="1031" spans="1:8" ht="15.75" customHeight="1">
      <c r="A1031" s="181"/>
      <c r="B1031" s="181"/>
      <c r="C1031" s="184"/>
      <c r="D1031" s="188"/>
      <c r="F1031" s="181"/>
      <c r="G1031" s="181"/>
      <c r="H1031" s="181"/>
    </row>
    <row r="1032" spans="1:8" ht="15.75" customHeight="1">
      <c r="A1032" s="181"/>
      <c r="B1032" s="181"/>
      <c r="C1032" s="184"/>
      <c r="D1032" s="188"/>
      <c r="F1032" s="181"/>
      <c r="G1032" s="181"/>
      <c r="H1032" s="181"/>
    </row>
    <row r="1033" spans="1:8" ht="15.75" customHeight="1">
      <c r="A1033" s="181"/>
      <c r="B1033" s="181"/>
      <c r="C1033" s="184"/>
      <c r="D1033" s="188"/>
      <c r="F1033" s="181"/>
      <c r="G1033" s="181"/>
      <c r="H1033" s="181"/>
    </row>
    <row r="1034" spans="1:8" ht="15.75" customHeight="1">
      <c r="A1034" s="181"/>
      <c r="B1034" s="181"/>
      <c r="C1034" s="184"/>
      <c r="D1034" s="188"/>
      <c r="F1034" s="181"/>
      <c r="G1034" s="181"/>
      <c r="H1034" s="181"/>
    </row>
    <row r="1035" spans="1:8" ht="15.75" customHeight="1">
      <c r="A1035" s="181"/>
      <c r="B1035" s="181"/>
      <c r="C1035" s="184"/>
      <c r="D1035" s="188"/>
      <c r="F1035" s="181"/>
      <c r="G1035" s="181"/>
      <c r="H1035" s="181"/>
    </row>
    <row r="1036" spans="1:8" ht="15.75" customHeight="1">
      <c r="A1036" s="181"/>
      <c r="B1036" s="181"/>
      <c r="C1036" s="184"/>
      <c r="D1036" s="188"/>
      <c r="F1036" s="181"/>
      <c r="G1036" s="181"/>
      <c r="H1036" s="181"/>
    </row>
    <row r="1037" spans="1:8" ht="15.75" customHeight="1">
      <c r="A1037" s="181"/>
      <c r="B1037" s="181"/>
      <c r="C1037" s="184"/>
      <c r="D1037" s="188"/>
      <c r="F1037" s="181"/>
      <c r="G1037" s="181"/>
      <c r="H1037" s="181"/>
    </row>
    <row r="1038" spans="1:8" ht="15.75" customHeight="1">
      <c r="A1038" s="181"/>
      <c r="B1038" s="181"/>
      <c r="C1038" s="184"/>
      <c r="D1038" s="188"/>
      <c r="F1038" s="181"/>
      <c r="G1038" s="181"/>
      <c r="H1038" s="181"/>
    </row>
    <row r="1039" spans="1:8" ht="15.75" customHeight="1">
      <c r="A1039" s="181"/>
      <c r="B1039" s="181"/>
      <c r="C1039" s="184"/>
      <c r="D1039" s="188"/>
      <c r="F1039" s="181"/>
      <c r="G1039" s="181"/>
      <c r="H1039" s="181"/>
    </row>
    <row r="1040" spans="1:8" ht="15.75" customHeight="1">
      <c r="A1040" s="181"/>
      <c r="B1040" s="181"/>
      <c r="C1040" s="184"/>
      <c r="D1040" s="188"/>
      <c r="F1040" s="181"/>
      <c r="G1040" s="181"/>
      <c r="H1040" s="181"/>
    </row>
    <row r="1041" spans="1:8" ht="15.75" customHeight="1">
      <c r="A1041" s="181"/>
      <c r="B1041" s="181"/>
      <c r="C1041" s="184"/>
      <c r="D1041" s="188"/>
      <c r="F1041" s="181"/>
      <c r="G1041" s="181"/>
      <c r="H1041" s="181"/>
    </row>
    <row r="1042" spans="1:8" ht="15.75" customHeight="1">
      <c r="A1042" s="181"/>
      <c r="B1042" s="181"/>
      <c r="C1042" s="184"/>
      <c r="D1042" s="188"/>
      <c r="F1042" s="181"/>
      <c r="G1042" s="181"/>
      <c r="H1042" s="181"/>
    </row>
    <row r="1043" spans="1:8" ht="15.75" customHeight="1">
      <c r="A1043" s="181"/>
      <c r="B1043" s="181"/>
      <c r="C1043" s="184"/>
      <c r="D1043" s="188"/>
      <c r="F1043" s="181"/>
      <c r="G1043" s="181"/>
      <c r="H1043" s="181"/>
    </row>
    <row r="1044" spans="1:8" ht="15.75" customHeight="1">
      <c r="A1044" s="181"/>
      <c r="B1044" s="181"/>
      <c r="C1044" s="184"/>
      <c r="D1044" s="188"/>
      <c r="F1044" s="181"/>
      <c r="G1044" s="181"/>
      <c r="H1044" s="181"/>
    </row>
    <row r="1045" spans="1:8" ht="15.75" customHeight="1">
      <c r="A1045" s="181"/>
      <c r="B1045" s="181"/>
      <c r="C1045" s="184"/>
      <c r="D1045" s="188"/>
      <c r="F1045" s="181"/>
      <c r="G1045" s="181"/>
      <c r="H1045" s="181"/>
    </row>
    <row r="1046" spans="1:8" ht="15.75" customHeight="1">
      <c r="A1046" s="181"/>
      <c r="B1046" s="181"/>
      <c r="C1046" s="184"/>
      <c r="D1046" s="188"/>
      <c r="F1046" s="181"/>
      <c r="G1046" s="181"/>
      <c r="H1046" s="181"/>
    </row>
    <row r="1047" spans="1:8" ht="15.75" customHeight="1">
      <c r="A1047" s="181"/>
      <c r="B1047" s="181"/>
      <c r="C1047" s="184"/>
      <c r="D1047" s="188"/>
      <c r="F1047" s="181"/>
      <c r="G1047" s="181"/>
      <c r="H1047" s="181"/>
    </row>
    <row r="1048" spans="1:8" ht="15.75" customHeight="1">
      <c r="A1048" s="181"/>
      <c r="B1048" s="181"/>
      <c r="C1048" s="184"/>
      <c r="D1048" s="188"/>
      <c r="F1048" s="181"/>
      <c r="G1048" s="181"/>
      <c r="H1048" s="181"/>
    </row>
    <row r="1049" spans="1:8" ht="15.75" customHeight="1">
      <c r="A1049" s="181"/>
      <c r="B1049" s="181"/>
      <c r="C1049" s="184"/>
      <c r="D1049" s="188"/>
      <c r="F1049" s="181"/>
      <c r="G1049" s="181"/>
      <c r="H1049" s="181"/>
    </row>
    <row r="1050" spans="1:8" ht="15.75" customHeight="1">
      <c r="A1050" s="181"/>
      <c r="B1050" s="181"/>
      <c r="C1050" s="184"/>
      <c r="D1050" s="188"/>
      <c r="F1050" s="181"/>
      <c r="G1050" s="181"/>
      <c r="H1050" s="181"/>
    </row>
    <row r="1051" spans="1:8" ht="15.75" customHeight="1">
      <c r="A1051" s="181"/>
      <c r="B1051" s="181"/>
      <c r="C1051" s="184"/>
      <c r="D1051" s="188"/>
      <c r="F1051" s="181"/>
      <c r="G1051" s="181"/>
      <c r="H1051" s="181"/>
    </row>
    <row r="1052" spans="1:8" ht="15.75" customHeight="1">
      <c r="A1052" s="181"/>
      <c r="B1052" s="181"/>
      <c r="C1052" s="184"/>
      <c r="D1052" s="188"/>
      <c r="F1052" s="181"/>
      <c r="G1052" s="181"/>
      <c r="H1052" s="181"/>
    </row>
    <row r="1053" spans="1:8" ht="15.75" customHeight="1">
      <c r="A1053" s="181"/>
      <c r="B1053" s="181"/>
      <c r="C1053" s="184"/>
      <c r="D1053" s="188"/>
      <c r="F1053" s="181"/>
      <c r="G1053" s="181"/>
      <c r="H1053" s="181"/>
    </row>
    <row r="1054" spans="1:8" ht="15.75" customHeight="1">
      <c r="A1054" s="181"/>
      <c r="B1054" s="181"/>
      <c r="C1054" s="184"/>
      <c r="D1054" s="188"/>
      <c r="F1054" s="181"/>
      <c r="G1054" s="181"/>
      <c r="H1054" s="181"/>
    </row>
    <row r="1055" spans="1:8" ht="15.75" customHeight="1">
      <c r="A1055" s="181"/>
      <c r="B1055" s="181"/>
      <c r="C1055" s="184"/>
      <c r="D1055" s="188"/>
      <c r="F1055" s="181"/>
      <c r="G1055" s="181"/>
      <c r="H1055" s="181"/>
    </row>
    <row r="1056" spans="1:8" ht="15.75" customHeight="1">
      <c r="A1056" s="181"/>
      <c r="B1056" s="181"/>
      <c r="C1056" s="184"/>
      <c r="D1056" s="188"/>
      <c r="F1056" s="181"/>
      <c r="G1056" s="181"/>
      <c r="H1056" s="181"/>
    </row>
    <row r="1057" spans="1:8" ht="15.75" customHeight="1">
      <c r="A1057" s="181"/>
      <c r="B1057" s="181"/>
      <c r="C1057" s="184"/>
      <c r="D1057" s="188"/>
      <c r="F1057" s="181"/>
      <c r="G1057" s="181"/>
      <c r="H1057" s="181"/>
    </row>
    <row r="1058" spans="1:8" ht="15.75" customHeight="1">
      <c r="A1058" s="181"/>
      <c r="B1058" s="181"/>
      <c r="C1058" s="184"/>
      <c r="D1058" s="188"/>
      <c r="F1058" s="181"/>
      <c r="G1058" s="181"/>
      <c r="H1058" s="181"/>
    </row>
    <row r="1059" spans="1:8" ht="15.75" customHeight="1">
      <c r="A1059" s="181"/>
      <c r="B1059" s="181"/>
      <c r="C1059" s="184"/>
      <c r="D1059" s="188"/>
      <c r="F1059" s="181"/>
      <c r="G1059" s="181"/>
      <c r="H1059" s="181"/>
    </row>
    <row r="1060" spans="1:8" ht="15.75" customHeight="1">
      <c r="A1060" s="181"/>
      <c r="B1060" s="181"/>
      <c r="C1060" s="184"/>
      <c r="D1060" s="188"/>
      <c r="F1060" s="181"/>
      <c r="G1060" s="181"/>
      <c r="H1060" s="181"/>
    </row>
    <row r="1061" spans="1:8" ht="15.75" customHeight="1">
      <c r="A1061" s="181"/>
      <c r="B1061" s="181"/>
      <c r="C1061" s="184"/>
      <c r="D1061" s="188"/>
      <c r="F1061" s="181"/>
      <c r="G1061" s="181"/>
      <c r="H1061" s="181"/>
    </row>
    <row r="1062" spans="1:8" ht="15.75" customHeight="1">
      <c r="A1062" s="181"/>
      <c r="B1062" s="181"/>
      <c r="C1062" s="184"/>
      <c r="D1062" s="188"/>
      <c r="F1062" s="181"/>
      <c r="G1062" s="181"/>
      <c r="H1062" s="181"/>
    </row>
    <row r="1063" spans="1:8" ht="15.75" customHeight="1">
      <c r="A1063" s="181"/>
      <c r="B1063" s="181"/>
      <c r="C1063" s="184"/>
      <c r="D1063" s="188"/>
      <c r="F1063" s="181"/>
      <c r="G1063" s="181"/>
      <c r="H1063" s="181"/>
    </row>
    <row r="1064" spans="1:8" ht="15.75" customHeight="1">
      <c r="A1064" s="181"/>
      <c r="B1064" s="181"/>
      <c r="C1064" s="184"/>
      <c r="D1064" s="188"/>
      <c r="F1064" s="181"/>
      <c r="G1064" s="181"/>
      <c r="H1064" s="181"/>
    </row>
    <row r="1065" spans="1:8" ht="15.75" customHeight="1">
      <c r="A1065" s="181"/>
      <c r="B1065" s="181"/>
      <c r="C1065" s="184"/>
      <c r="D1065" s="188"/>
      <c r="F1065" s="181"/>
      <c r="G1065" s="181"/>
      <c r="H1065" s="181"/>
    </row>
    <row r="1066" spans="1:8" ht="15.75" customHeight="1">
      <c r="A1066" s="181"/>
      <c r="B1066" s="181"/>
      <c r="C1066" s="184"/>
      <c r="D1066" s="188"/>
      <c r="F1066" s="181"/>
      <c r="G1066" s="181"/>
      <c r="H1066" s="181"/>
    </row>
    <row r="1067" spans="1:8" ht="15.75" customHeight="1">
      <c r="A1067" s="181"/>
      <c r="B1067" s="181"/>
      <c r="C1067" s="184"/>
      <c r="D1067" s="188"/>
      <c r="F1067" s="181"/>
      <c r="G1067" s="181"/>
      <c r="H1067" s="181"/>
    </row>
    <row r="1068" spans="1:8" ht="15.75" customHeight="1">
      <c r="A1068" s="181"/>
      <c r="B1068" s="181"/>
      <c r="C1068" s="184"/>
      <c r="D1068" s="188"/>
      <c r="F1068" s="181"/>
      <c r="G1068" s="181"/>
      <c r="H1068" s="181"/>
    </row>
    <row r="1069" spans="1:8" ht="15.75" customHeight="1">
      <c r="A1069" s="181"/>
      <c r="B1069" s="181"/>
      <c r="C1069" s="184"/>
      <c r="D1069" s="188"/>
      <c r="F1069" s="181"/>
      <c r="G1069" s="181"/>
      <c r="H1069" s="181"/>
    </row>
    <row r="1070" spans="1:8" ht="15.75" customHeight="1">
      <c r="A1070" s="181"/>
      <c r="B1070" s="181"/>
      <c r="C1070" s="184"/>
      <c r="D1070" s="188"/>
      <c r="F1070" s="181"/>
      <c r="G1070" s="181"/>
      <c r="H1070" s="181"/>
    </row>
    <row r="1071" spans="1:8" ht="15.75" customHeight="1">
      <c r="A1071" s="181"/>
      <c r="B1071" s="181"/>
      <c r="C1071" s="184"/>
      <c r="D1071" s="188"/>
      <c r="F1071" s="181"/>
      <c r="G1071" s="181"/>
      <c r="H1071" s="181"/>
    </row>
    <row r="1072" spans="1:8" ht="15.75" customHeight="1">
      <c r="A1072" s="181"/>
      <c r="B1072" s="181"/>
      <c r="C1072" s="184"/>
      <c r="D1072" s="188"/>
      <c r="F1072" s="181"/>
      <c r="G1072" s="181"/>
      <c r="H1072" s="181"/>
    </row>
    <row r="1073" spans="1:8" ht="15.75" customHeight="1">
      <c r="A1073" s="181"/>
      <c r="B1073" s="181"/>
      <c r="C1073" s="184"/>
      <c r="D1073" s="188"/>
      <c r="F1073" s="181"/>
      <c r="G1073" s="181"/>
      <c r="H1073" s="181"/>
    </row>
    <row r="1074" spans="1:8" ht="15.75" customHeight="1">
      <c r="A1074" s="181"/>
      <c r="B1074" s="181"/>
      <c r="C1074" s="184"/>
      <c r="D1074" s="188"/>
      <c r="F1074" s="181"/>
      <c r="G1074" s="181"/>
      <c r="H1074" s="181"/>
    </row>
    <row r="1075" spans="1:8" ht="15.75" customHeight="1">
      <c r="A1075" s="181"/>
      <c r="B1075" s="181"/>
      <c r="C1075" s="184"/>
      <c r="D1075" s="188"/>
      <c r="F1075" s="181"/>
      <c r="G1075" s="181"/>
      <c r="H1075" s="181"/>
    </row>
    <row r="1076" spans="1:8" ht="15.75" customHeight="1">
      <c r="A1076" s="181"/>
      <c r="B1076" s="181"/>
      <c r="C1076" s="184"/>
      <c r="D1076" s="188"/>
      <c r="F1076" s="181"/>
      <c r="G1076" s="181"/>
      <c r="H1076" s="181"/>
    </row>
    <row r="1077" spans="1:8" ht="15.75" customHeight="1">
      <c r="A1077" s="181"/>
      <c r="B1077" s="181"/>
      <c r="C1077" s="184"/>
      <c r="D1077" s="188"/>
      <c r="F1077" s="181"/>
      <c r="G1077" s="181"/>
      <c r="H1077" s="181"/>
    </row>
    <row r="1078" spans="1:8" ht="15.75" customHeight="1">
      <c r="A1078" s="181"/>
      <c r="B1078" s="181"/>
      <c r="C1078" s="184"/>
      <c r="D1078" s="188"/>
      <c r="F1078" s="181"/>
      <c r="G1078" s="181"/>
      <c r="H1078" s="181"/>
    </row>
    <row r="1079" spans="1:8" ht="15.75" customHeight="1">
      <c r="A1079" s="181"/>
      <c r="B1079" s="181"/>
      <c r="C1079" s="184"/>
      <c r="D1079" s="188"/>
      <c r="F1079" s="181"/>
      <c r="G1079" s="181"/>
      <c r="H1079" s="181"/>
    </row>
    <row r="1080" spans="1:8" ht="15.75" customHeight="1">
      <c r="A1080" s="181"/>
      <c r="B1080" s="181"/>
      <c r="C1080" s="184"/>
      <c r="D1080" s="188"/>
      <c r="F1080" s="181"/>
      <c r="G1080" s="181"/>
      <c r="H1080" s="181"/>
    </row>
    <row r="1081" spans="1:8" ht="15.75" customHeight="1">
      <c r="A1081" s="181"/>
      <c r="B1081" s="181"/>
      <c r="C1081" s="184"/>
      <c r="D1081" s="188"/>
      <c r="F1081" s="181"/>
      <c r="G1081" s="181"/>
      <c r="H1081" s="181"/>
    </row>
    <row r="1082" spans="1:8" ht="15.75" customHeight="1">
      <c r="A1082" s="181"/>
      <c r="B1082" s="181"/>
      <c r="C1082" s="184"/>
      <c r="D1082" s="188"/>
      <c r="F1082" s="181"/>
      <c r="G1082" s="181"/>
      <c r="H1082" s="181"/>
    </row>
    <row r="1083" spans="1:8" ht="15.75" customHeight="1">
      <c r="A1083" s="181"/>
      <c r="B1083" s="181"/>
      <c r="C1083" s="184"/>
      <c r="D1083" s="188"/>
      <c r="F1083" s="181"/>
      <c r="G1083" s="181"/>
      <c r="H1083" s="181"/>
    </row>
    <row r="1084" spans="1:8" ht="15.75" customHeight="1">
      <c r="A1084" s="181"/>
      <c r="B1084" s="181"/>
      <c r="C1084" s="184"/>
      <c r="D1084" s="188"/>
      <c r="F1084" s="181"/>
      <c r="G1084" s="181"/>
      <c r="H1084" s="181"/>
    </row>
    <row r="1085" spans="1:8" ht="15.75" customHeight="1">
      <c r="A1085" s="181"/>
      <c r="B1085" s="181"/>
      <c r="C1085" s="184"/>
      <c r="D1085" s="188"/>
      <c r="F1085" s="181"/>
      <c r="G1085" s="181"/>
      <c r="H1085" s="181"/>
    </row>
    <row r="1086" spans="1:8" ht="15.75" customHeight="1">
      <c r="A1086" s="181"/>
      <c r="B1086" s="181"/>
      <c r="C1086" s="184"/>
      <c r="D1086" s="188"/>
      <c r="F1086" s="181"/>
      <c r="G1086" s="181"/>
      <c r="H1086" s="181"/>
    </row>
    <row r="1087" spans="1:8" ht="15.75" customHeight="1">
      <c r="A1087" s="181"/>
      <c r="B1087" s="181"/>
      <c r="C1087" s="184"/>
      <c r="D1087" s="188"/>
      <c r="F1087" s="181"/>
      <c r="G1087" s="181"/>
      <c r="H1087" s="181"/>
    </row>
    <row r="1088" spans="1:8" ht="15.75" customHeight="1">
      <c r="A1088" s="181"/>
      <c r="B1088" s="181"/>
      <c r="C1088" s="184"/>
      <c r="D1088" s="188"/>
      <c r="F1088" s="181"/>
      <c r="G1088" s="181"/>
      <c r="H1088" s="181"/>
    </row>
    <row r="1089" spans="1:8" ht="15.75" customHeight="1">
      <c r="A1089" s="181"/>
      <c r="B1089" s="181"/>
      <c r="C1089" s="184"/>
      <c r="D1089" s="188"/>
      <c r="F1089" s="181"/>
      <c r="G1089" s="181"/>
      <c r="H1089" s="181"/>
    </row>
    <row r="1090" spans="1:8" ht="15.75" customHeight="1">
      <c r="A1090" s="181"/>
      <c r="B1090" s="181"/>
      <c r="C1090" s="184"/>
      <c r="D1090" s="188"/>
      <c r="F1090" s="181"/>
      <c r="G1090" s="181"/>
      <c r="H1090" s="181"/>
    </row>
    <row r="1091" spans="1:8" ht="15.75" customHeight="1">
      <c r="A1091" s="181"/>
      <c r="B1091" s="181"/>
      <c r="C1091" s="184"/>
      <c r="D1091" s="188"/>
      <c r="F1091" s="181"/>
      <c r="G1091" s="181"/>
      <c r="H1091" s="181"/>
    </row>
    <row r="1092" spans="1:8" ht="15.75" customHeight="1">
      <c r="A1092" s="181"/>
      <c r="B1092" s="181"/>
      <c r="C1092" s="184"/>
      <c r="D1092" s="188"/>
      <c r="F1092" s="181"/>
      <c r="G1092" s="181"/>
      <c r="H1092" s="181"/>
    </row>
    <row r="1093" spans="1:8" ht="15.75" customHeight="1">
      <c r="A1093" s="181"/>
      <c r="B1093" s="181"/>
      <c r="C1093" s="184"/>
      <c r="D1093" s="188"/>
      <c r="F1093" s="181"/>
      <c r="G1093" s="181"/>
      <c r="H1093" s="181"/>
    </row>
    <row r="1094" spans="1:8" ht="15.75" customHeight="1">
      <c r="A1094" s="181"/>
      <c r="B1094" s="181"/>
      <c r="C1094" s="184"/>
      <c r="D1094" s="188"/>
      <c r="F1094" s="181"/>
      <c r="G1094" s="181"/>
      <c r="H1094" s="181"/>
    </row>
    <row r="1095" spans="1:8" ht="15.75" customHeight="1">
      <c r="A1095" s="181"/>
      <c r="B1095" s="181"/>
      <c r="C1095" s="184"/>
      <c r="D1095" s="188"/>
      <c r="F1095" s="181"/>
      <c r="G1095" s="181"/>
      <c r="H1095" s="181"/>
    </row>
    <row r="1096" spans="1:8" ht="15.75" customHeight="1">
      <c r="A1096" s="181"/>
      <c r="B1096" s="181"/>
      <c r="C1096" s="184"/>
      <c r="D1096" s="188"/>
      <c r="F1096" s="181"/>
      <c r="G1096" s="181"/>
      <c r="H1096" s="181"/>
    </row>
    <row r="1097" spans="1:8" ht="15.75" customHeight="1">
      <c r="A1097" s="181"/>
      <c r="B1097" s="181"/>
      <c r="C1097" s="184"/>
      <c r="D1097" s="188"/>
      <c r="F1097" s="181"/>
      <c r="G1097" s="181"/>
      <c r="H1097" s="181"/>
    </row>
    <row r="1098" spans="1:8" ht="15.75" customHeight="1">
      <c r="A1098" s="181"/>
      <c r="B1098" s="181"/>
      <c r="C1098" s="184"/>
      <c r="D1098" s="188"/>
      <c r="F1098" s="181"/>
      <c r="G1098" s="181"/>
      <c r="H1098" s="181"/>
    </row>
    <row r="1099" spans="1:8" ht="15.75" customHeight="1">
      <c r="A1099" s="181"/>
      <c r="B1099" s="181"/>
      <c r="C1099" s="184"/>
      <c r="D1099" s="188"/>
      <c r="F1099" s="181"/>
      <c r="G1099" s="181"/>
      <c r="H1099" s="181"/>
    </row>
    <row r="1100" spans="1:8" ht="15.75" customHeight="1">
      <c r="A1100" s="181"/>
      <c r="B1100" s="181"/>
      <c r="C1100" s="184"/>
      <c r="D1100" s="188"/>
      <c r="F1100" s="181"/>
      <c r="G1100" s="181"/>
      <c r="H1100" s="181"/>
    </row>
    <row r="1101" spans="1:8" ht="15.75" customHeight="1">
      <c r="A1101" s="181"/>
      <c r="B1101" s="181"/>
      <c r="C1101" s="184"/>
      <c r="D1101" s="188"/>
      <c r="F1101" s="181"/>
      <c r="G1101" s="181"/>
      <c r="H1101" s="181"/>
    </row>
    <row r="1102" spans="1:8" ht="15.75" customHeight="1">
      <c r="A1102" s="181"/>
      <c r="B1102" s="181"/>
      <c r="C1102" s="184"/>
      <c r="D1102" s="188"/>
      <c r="F1102" s="181"/>
      <c r="G1102" s="181"/>
      <c r="H1102" s="181"/>
    </row>
    <row r="1103" spans="1:8" ht="15.75" customHeight="1">
      <c r="A1103" s="181"/>
      <c r="B1103" s="181"/>
      <c r="C1103" s="184"/>
      <c r="D1103" s="188"/>
      <c r="F1103" s="181"/>
      <c r="G1103" s="181"/>
      <c r="H1103" s="181"/>
    </row>
    <row r="1104" spans="1:8" ht="15.75" customHeight="1">
      <c r="A1104" s="181"/>
      <c r="B1104" s="181"/>
      <c r="C1104" s="184"/>
      <c r="D1104" s="188"/>
      <c r="F1104" s="181"/>
      <c r="G1104" s="181"/>
      <c r="H1104" s="181"/>
    </row>
    <row r="1105" spans="1:8" ht="15.75" customHeight="1">
      <c r="A1105" s="181"/>
      <c r="B1105" s="181"/>
      <c r="C1105" s="184"/>
      <c r="D1105" s="188"/>
      <c r="F1105" s="181"/>
      <c r="G1105" s="181"/>
      <c r="H1105" s="181"/>
    </row>
    <row r="1106" spans="1:8" ht="15.75" customHeight="1">
      <c r="A1106" s="181"/>
      <c r="B1106" s="181"/>
      <c r="C1106" s="184"/>
      <c r="D1106" s="188"/>
      <c r="F1106" s="181"/>
      <c r="G1106" s="181"/>
      <c r="H1106" s="181"/>
    </row>
    <row r="1107" spans="1:8" ht="15.75" customHeight="1">
      <c r="A1107" s="181"/>
      <c r="B1107" s="181"/>
      <c r="C1107" s="184"/>
      <c r="D1107" s="188"/>
      <c r="F1107" s="181"/>
      <c r="G1107" s="181"/>
      <c r="H1107" s="181"/>
    </row>
    <row r="1108" spans="1:8" ht="15.75" customHeight="1">
      <c r="A1108" s="181"/>
      <c r="B1108" s="181"/>
      <c r="C1108" s="184"/>
      <c r="D1108" s="188"/>
      <c r="F1108" s="181"/>
      <c r="G1108" s="181"/>
      <c r="H1108" s="181"/>
    </row>
    <row r="1109" spans="1:8" ht="15.75" customHeight="1">
      <c r="A1109" s="181"/>
      <c r="B1109" s="181"/>
      <c r="C1109" s="184"/>
      <c r="D1109" s="188"/>
      <c r="F1109" s="181"/>
      <c r="G1109" s="181"/>
      <c r="H1109" s="181"/>
    </row>
    <row r="1110" spans="1:8" ht="15.75" customHeight="1">
      <c r="A1110" s="181"/>
      <c r="B1110" s="181"/>
      <c r="C1110" s="184"/>
      <c r="D1110" s="188"/>
      <c r="F1110" s="181"/>
      <c r="G1110" s="181"/>
      <c r="H1110" s="181"/>
    </row>
    <row r="1111" spans="1:8" ht="15.75" customHeight="1">
      <c r="A1111" s="181"/>
      <c r="B1111" s="181"/>
      <c r="C1111" s="184"/>
      <c r="D1111" s="188"/>
      <c r="F1111" s="181"/>
      <c r="G1111" s="181"/>
      <c r="H1111" s="181"/>
    </row>
    <row r="1112" spans="1:8" ht="15.75" customHeight="1">
      <c r="A1112" s="181"/>
      <c r="B1112" s="181"/>
      <c r="C1112" s="184"/>
      <c r="D1112" s="188"/>
      <c r="F1112" s="181"/>
      <c r="G1112" s="181"/>
      <c r="H1112" s="181"/>
    </row>
    <row r="1113" spans="1:8" ht="15.75" customHeight="1">
      <c r="A1113" s="181"/>
      <c r="B1113" s="181"/>
      <c r="C1113" s="184"/>
      <c r="D1113" s="188"/>
      <c r="F1113" s="181"/>
      <c r="G1113" s="181"/>
      <c r="H1113" s="181"/>
    </row>
    <row r="1114" spans="1:8" ht="15.75" customHeight="1">
      <c r="A1114" s="181"/>
      <c r="B1114" s="181"/>
      <c r="C1114" s="184"/>
      <c r="D1114" s="188"/>
      <c r="F1114" s="181"/>
      <c r="G1114" s="181"/>
      <c r="H1114" s="181"/>
    </row>
    <row r="1115" spans="1:8" ht="15.75" customHeight="1">
      <c r="A1115" s="181"/>
      <c r="B1115" s="181"/>
      <c r="C1115" s="184"/>
      <c r="D1115" s="188"/>
      <c r="F1115" s="181"/>
      <c r="G1115" s="181"/>
      <c r="H1115" s="181"/>
    </row>
    <row r="1116" spans="1:8" ht="15.75" customHeight="1">
      <c r="A1116" s="181"/>
      <c r="B1116" s="181"/>
      <c r="C1116" s="184"/>
      <c r="D1116" s="188"/>
      <c r="F1116" s="181"/>
      <c r="G1116" s="181"/>
      <c r="H1116" s="181"/>
    </row>
    <row r="1117" spans="1:8" ht="15.75" customHeight="1">
      <c r="A1117" s="181"/>
      <c r="B1117" s="181"/>
      <c r="C1117" s="184"/>
      <c r="D1117" s="188"/>
      <c r="F1117" s="181"/>
      <c r="G1117" s="181"/>
      <c r="H1117" s="181"/>
    </row>
    <row r="1118" spans="1:8" ht="15.75" customHeight="1">
      <c r="A1118" s="181"/>
      <c r="B1118" s="181"/>
      <c r="C1118" s="184"/>
      <c r="D1118" s="188"/>
      <c r="F1118" s="181"/>
      <c r="G1118" s="181"/>
      <c r="H1118" s="181"/>
    </row>
    <row r="1119" spans="1:8" ht="15.75" customHeight="1">
      <c r="A1119" s="181"/>
      <c r="B1119" s="181"/>
      <c r="C1119" s="184"/>
      <c r="D1119" s="188"/>
      <c r="F1119" s="181"/>
      <c r="G1119" s="181"/>
      <c r="H1119" s="181"/>
    </row>
    <row r="1120" spans="1:8" ht="15.75" customHeight="1">
      <c r="A1120" s="181"/>
      <c r="B1120" s="181"/>
      <c r="C1120" s="184"/>
      <c r="D1120" s="188"/>
      <c r="F1120" s="181"/>
      <c r="G1120" s="181"/>
      <c r="H1120" s="181"/>
    </row>
    <row r="1121" spans="1:8" ht="15.75" customHeight="1">
      <c r="A1121" s="181"/>
      <c r="B1121" s="181"/>
      <c r="C1121" s="184"/>
      <c r="D1121" s="188"/>
      <c r="F1121" s="181"/>
      <c r="G1121" s="181"/>
      <c r="H1121" s="181"/>
    </row>
    <row r="1122" spans="1:8" ht="15.75" customHeight="1">
      <c r="A1122" s="181"/>
      <c r="B1122" s="181"/>
      <c r="C1122" s="184"/>
      <c r="D1122" s="188"/>
      <c r="F1122" s="181"/>
      <c r="G1122" s="181"/>
      <c r="H1122" s="181"/>
    </row>
    <row r="1123" spans="1:8" ht="15.75" customHeight="1">
      <c r="A1123" s="181"/>
      <c r="B1123" s="181"/>
      <c r="C1123" s="184"/>
      <c r="D1123" s="188"/>
      <c r="F1123" s="181"/>
      <c r="G1123" s="181"/>
      <c r="H1123" s="181"/>
    </row>
    <row r="1124" spans="1:8" ht="15.75" customHeight="1">
      <c r="A1124" s="181"/>
      <c r="B1124" s="181"/>
      <c r="C1124" s="184"/>
      <c r="D1124" s="188"/>
      <c r="F1124" s="181"/>
      <c r="G1124" s="181"/>
      <c r="H1124" s="181"/>
    </row>
    <row r="1125" spans="1:8" ht="15.75" customHeight="1">
      <c r="A1125" s="181"/>
      <c r="B1125" s="181"/>
      <c r="C1125" s="184"/>
      <c r="D1125" s="188"/>
      <c r="F1125" s="181"/>
      <c r="G1125" s="181"/>
      <c r="H1125" s="181"/>
    </row>
    <row r="1126" spans="1:8" ht="15.75" customHeight="1">
      <c r="A1126" s="181"/>
      <c r="B1126" s="181"/>
      <c r="C1126" s="184"/>
      <c r="D1126" s="188"/>
      <c r="F1126" s="181"/>
      <c r="G1126" s="181"/>
      <c r="H1126" s="181"/>
    </row>
    <row r="1127" spans="1:8" ht="15.75" customHeight="1">
      <c r="A1127" s="181"/>
      <c r="B1127" s="181"/>
      <c r="C1127" s="184"/>
      <c r="D1127" s="188"/>
      <c r="F1127" s="181"/>
      <c r="G1127" s="181"/>
      <c r="H1127" s="181"/>
    </row>
    <row r="1128" spans="1:8" ht="15.75" customHeight="1">
      <c r="A1128" s="181"/>
      <c r="B1128" s="181"/>
      <c r="C1128" s="184"/>
      <c r="D1128" s="188"/>
      <c r="F1128" s="181"/>
      <c r="G1128" s="181"/>
      <c r="H1128" s="181"/>
    </row>
    <row r="1129" spans="1:8" ht="15.75" customHeight="1">
      <c r="A1129" s="181"/>
      <c r="B1129" s="181"/>
      <c r="C1129" s="184"/>
      <c r="D1129" s="188"/>
      <c r="F1129" s="181"/>
      <c r="G1129" s="181"/>
      <c r="H1129" s="181"/>
    </row>
    <row r="1130" spans="1:8" ht="15.75" customHeight="1">
      <c r="A1130" s="181"/>
      <c r="B1130" s="181"/>
      <c r="C1130" s="184"/>
      <c r="D1130" s="188"/>
      <c r="F1130" s="181"/>
      <c r="G1130" s="181"/>
      <c r="H1130" s="181"/>
    </row>
    <row r="1131" spans="1:8" ht="15.75" customHeight="1">
      <c r="A1131" s="181"/>
      <c r="B1131" s="181"/>
      <c r="C1131" s="184"/>
      <c r="D1131" s="188"/>
      <c r="F1131" s="181"/>
      <c r="G1131" s="181"/>
      <c r="H1131" s="181"/>
    </row>
    <row r="1132" spans="1:8" ht="15.75" customHeight="1">
      <c r="A1132" s="181"/>
      <c r="B1132" s="181"/>
      <c r="C1132" s="184"/>
      <c r="D1132" s="188"/>
      <c r="F1132" s="181"/>
      <c r="G1132" s="181"/>
      <c r="H1132" s="181"/>
    </row>
    <row r="1133" spans="1:8" ht="15.75" customHeight="1">
      <c r="A1133" s="181"/>
      <c r="B1133" s="181"/>
      <c r="C1133" s="184"/>
      <c r="D1133" s="188"/>
      <c r="F1133" s="181"/>
      <c r="G1133" s="181"/>
      <c r="H1133" s="181"/>
    </row>
    <row r="1134" spans="1:8" ht="15.75" customHeight="1">
      <c r="A1134" s="181"/>
      <c r="B1134" s="181"/>
      <c r="C1134" s="184"/>
      <c r="D1134" s="188"/>
      <c r="F1134" s="181"/>
      <c r="G1134" s="181"/>
      <c r="H1134" s="181"/>
    </row>
    <row r="1135" spans="1:8" ht="15.75" customHeight="1">
      <c r="A1135" s="181"/>
      <c r="B1135" s="181"/>
      <c r="C1135" s="184"/>
      <c r="D1135" s="188"/>
      <c r="F1135" s="181"/>
      <c r="G1135" s="181"/>
      <c r="H1135" s="181"/>
    </row>
    <row r="1136" spans="1:8" ht="15.75" customHeight="1">
      <c r="A1136" s="181"/>
      <c r="B1136" s="181"/>
      <c r="C1136" s="184"/>
      <c r="D1136" s="188"/>
      <c r="F1136" s="181"/>
      <c r="G1136" s="181"/>
      <c r="H1136" s="181"/>
    </row>
    <row r="1137" spans="1:8" ht="15.75" customHeight="1">
      <c r="A1137" s="181"/>
      <c r="B1137" s="181"/>
      <c r="C1137" s="184"/>
      <c r="D1137" s="188"/>
      <c r="F1137" s="181"/>
      <c r="G1137" s="181"/>
      <c r="H1137" s="181"/>
    </row>
    <row r="1138" spans="1:8" ht="15.75" customHeight="1">
      <c r="A1138" s="181"/>
      <c r="B1138" s="181"/>
      <c r="C1138" s="184"/>
      <c r="D1138" s="188"/>
      <c r="F1138" s="181"/>
      <c r="G1138" s="181"/>
      <c r="H1138" s="181"/>
    </row>
    <row r="1139" spans="1:8" ht="15.75" customHeight="1">
      <c r="A1139" s="181"/>
      <c r="B1139" s="181"/>
      <c r="C1139" s="184"/>
      <c r="D1139" s="188"/>
      <c r="F1139" s="181"/>
      <c r="G1139" s="181"/>
      <c r="H1139" s="181"/>
    </row>
    <row r="1140" spans="1:8" ht="15.75" customHeight="1">
      <c r="A1140" s="181"/>
      <c r="B1140" s="181"/>
      <c r="C1140" s="184"/>
      <c r="D1140" s="188"/>
      <c r="F1140" s="181"/>
      <c r="G1140" s="181"/>
      <c r="H1140" s="181"/>
    </row>
    <row r="1141" spans="1:8" ht="15.75" customHeight="1">
      <c r="A1141" s="181"/>
      <c r="B1141" s="181"/>
      <c r="C1141" s="184"/>
      <c r="D1141" s="188"/>
      <c r="F1141" s="181"/>
      <c r="G1141" s="181"/>
      <c r="H1141" s="181"/>
    </row>
    <row r="1142" spans="1:8" ht="15.75" customHeight="1">
      <c r="A1142" s="181"/>
      <c r="B1142" s="181"/>
      <c r="C1142" s="184"/>
      <c r="D1142" s="188"/>
      <c r="F1142" s="181"/>
      <c r="G1142" s="181"/>
      <c r="H1142" s="181"/>
    </row>
    <row r="1143" spans="1:8" ht="15.75" customHeight="1">
      <c r="A1143" s="181"/>
      <c r="B1143" s="181"/>
      <c r="C1143" s="184"/>
      <c r="D1143" s="188"/>
      <c r="F1143" s="181"/>
      <c r="G1143" s="181"/>
      <c r="H1143" s="181"/>
    </row>
    <row r="1144" spans="1:8" ht="15.75" customHeight="1">
      <c r="A1144" s="181"/>
      <c r="B1144" s="181"/>
      <c r="C1144" s="184"/>
      <c r="D1144" s="188"/>
      <c r="F1144" s="181"/>
      <c r="G1144" s="181"/>
      <c r="H1144" s="181"/>
    </row>
    <row r="1145" spans="1:8" ht="15.75" customHeight="1">
      <c r="A1145" s="181"/>
      <c r="B1145" s="181"/>
      <c r="C1145" s="184"/>
      <c r="D1145" s="188"/>
      <c r="F1145" s="181"/>
      <c r="G1145" s="181"/>
      <c r="H1145" s="181"/>
    </row>
    <row r="1146" spans="1:8" ht="15.75" customHeight="1">
      <c r="A1146" s="181"/>
      <c r="B1146" s="181"/>
      <c r="C1146" s="184"/>
      <c r="D1146" s="188"/>
      <c r="F1146" s="181"/>
      <c r="G1146" s="181"/>
      <c r="H1146" s="181"/>
    </row>
    <row r="1147" spans="1:8" ht="15.75" customHeight="1">
      <c r="A1147" s="181"/>
      <c r="B1147" s="181"/>
      <c r="C1147" s="184"/>
      <c r="D1147" s="188"/>
      <c r="F1147" s="181"/>
      <c r="G1147" s="181"/>
      <c r="H1147" s="181"/>
    </row>
    <row r="1148" spans="1:8" ht="15.75" customHeight="1">
      <c r="A1148" s="181"/>
      <c r="B1148" s="181"/>
      <c r="C1148" s="184"/>
      <c r="D1148" s="188"/>
      <c r="F1148" s="181"/>
      <c r="G1148" s="181"/>
      <c r="H1148" s="181"/>
    </row>
    <row r="1149" spans="1:8" ht="15.75" customHeight="1">
      <c r="A1149" s="181"/>
      <c r="B1149" s="181"/>
      <c r="C1149" s="184"/>
      <c r="D1149" s="188"/>
      <c r="F1149" s="181"/>
      <c r="G1149" s="181"/>
      <c r="H1149" s="181"/>
    </row>
    <row r="1150" spans="1:8" ht="15.75" customHeight="1">
      <c r="A1150" s="181"/>
      <c r="B1150" s="181"/>
      <c r="C1150" s="184"/>
      <c r="D1150" s="188"/>
      <c r="F1150" s="181"/>
      <c r="G1150" s="181"/>
      <c r="H1150" s="181"/>
    </row>
    <row r="1151" spans="1:8" ht="15.75" customHeight="1">
      <c r="A1151" s="181"/>
      <c r="B1151" s="181"/>
      <c r="C1151" s="184"/>
      <c r="D1151" s="188"/>
      <c r="F1151" s="181"/>
      <c r="G1151" s="181"/>
      <c r="H1151" s="181"/>
    </row>
    <row r="1152" spans="1:8" ht="15.75" customHeight="1">
      <c r="A1152" s="181"/>
      <c r="B1152" s="181"/>
      <c r="C1152" s="184"/>
      <c r="D1152" s="188"/>
      <c r="F1152" s="181"/>
      <c r="G1152" s="181"/>
      <c r="H1152" s="181"/>
    </row>
    <row r="1153" spans="1:8" ht="15.75" customHeight="1">
      <c r="A1153" s="181"/>
      <c r="B1153" s="181"/>
      <c r="C1153" s="184"/>
      <c r="D1153" s="188"/>
      <c r="F1153" s="181"/>
      <c r="G1153" s="181"/>
      <c r="H1153" s="181"/>
    </row>
    <row r="1154" spans="1:8" ht="15.75" customHeight="1">
      <c r="A1154" s="181"/>
      <c r="B1154" s="181"/>
      <c r="C1154" s="184"/>
      <c r="D1154" s="188"/>
      <c r="F1154" s="181"/>
      <c r="G1154" s="181"/>
      <c r="H1154" s="181"/>
    </row>
    <row r="1155" spans="1:8" ht="15.75" customHeight="1">
      <c r="A1155" s="181"/>
      <c r="B1155" s="181"/>
      <c r="C1155" s="184"/>
      <c r="D1155" s="188"/>
      <c r="F1155" s="181"/>
      <c r="G1155" s="181"/>
      <c r="H1155" s="181"/>
    </row>
    <row r="1156" spans="1:8" ht="15.75" customHeight="1">
      <c r="A1156" s="181"/>
      <c r="B1156" s="181"/>
      <c r="C1156" s="184"/>
      <c r="D1156" s="188"/>
      <c r="F1156" s="181"/>
      <c r="G1156" s="181"/>
      <c r="H1156" s="181"/>
    </row>
    <row r="1157" spans="1:8" ht="15.75" customHeight="1">
      <c r="A1157" s="181"/>
      <c r="B1157" s="181"/>
      <c r="C1157" s="184"/>
      <c r="D1157" s="188"/>
      <c r="F1157" s="181"/>
      <c r="G1157" s="181"/>
      <c r="H1157" s="181"/>
    </row>
    <row r="1158" spans="1:8" ht="15.75" customHeight="1">
      <c r="A1158" s="181"/>
      <c r="B1158" s="181"/>
      <c r="C1158" s="184"/>
      <c r="D1158" s="188"/>
      <c r="F1158" s="181"/>
      <c r="G1158" s="181"/>
      <c r="H1158" s="181"/>
    </row>
    <row r="1159" spans="1:8" ht="15.75" customHeight="1">
      <c r="A1159" s="181"/>
      <c r="B1159" s="181"/>
      <c r="C1159" s="184"/>
      <c r="D1159" s="188"/>
      <c r="F1159" s="181"/>
      <c r="G1159" s="181"/>
      <c r="H1159" s="181"/>
    </row>
    <row r="1160" spans="1:8" ht="15.75" customHeight="1">
      <c r="A1160" s="181"/>
      <c r="B1160" s="181"/>
      <c r="C1160" s="184"/>
      <c r="D1160" s="188"/>
      <c r="F1160" s="181"/>
      <c r="G1160" s="181"/>
      <c r="H1160" s="181"/>
    </row>
    <row r="1161" spans="1:8" ht="15.75" customHeight="1">
      <c r="A1161" s="181"/>
      <c r="B1161" s="181"/>
      <c r="C1161" s="184"/>
      <c r="D1161" s="188"/>
      <c r="F1161" s="181"/>
      <c r="G1161" s="181"/>
      <c r="H1161" s="181"/>
    </row>
    <row r="1162" spans="1:8" ht="15.75" customHeight="1">
      <c r="A1162" s="181"/>
      <c r="B1162" s="181"/>
      <c r="C1162" s="184"/>
      <c r="D1162" s="188"/>
      <c r="F1162" s="181"/>
      <c r="G1162" s="181"/>
      <c r="H1162" s="181"/>
    </row>
    <row r="1163" spans="1:8" ht="15.75" customHeight="1">
      <c r="A1163" s="181"/>
      <c r="B1163" s="181"/>
      <c r="C1163" s="184"/>
      <c r="D1163" s="188"/>
      <c r="F1163" s="181"/>
      <c r="G1163" s="181"/>
      <c r="H1163" s="181"/>
    </row>
    <row r="1164" spans="1:8" ht="15.75" customHeight="1">
      <c r="A1164" s="181"/>
      <c r="B1164" s="181"/>
      <c r="C1164" s="184"/>
      <c r="D1164" s="188"/>
      <c r="F1164" s="181"/>
      <c r="G1164" s="181"/>
      <c r="H1164" s="181"/>
    </row>
    <row r="1165" spans="1:8" ht="15.75" customHeight="1">
      <c r="A1165" s="181"/>
      <c r="B1165" s="181"/>
      <c r="C1165" s="184"/>
      <c r="D1165" s="188"/>
      <c r="F1165" s="181"/>
      <c r="G1165" s="181"/>
      <c r="H1165" s="181"/>
    </row>
    <row r="1166" spans="1:8" ht="15.75" customHeight="1">
      <c r="A1166" s="181"/>
      <c r="B1166" s="181"/>
      <c r="C1166" s="184"/>
      <c r="D1166" s="188"/>
      <c r="F1166" s="181"/>
      <c r="G1166" s="181"/>
      <c r="H1166" s="181"/>
    </row>
    <row r="1167" spans="1:8" ht="15.75" customHeight="1">
      <c r="A1167" s="181"/>
      <c r="B1167" s="181"/>
      <c r="C1167" s="184"/>
      <c r="D1167" s="188"/>
      <c r="F1167" s="181"/>
      <c r="G1167" s="181"/>
      <c r="H1167" s="181"/>
    </row>
    <row r="1168" spans="1:8" ht="15.75" customHeight="1">
      <c r="A1168" s="181"/>
      <c r="B1168" s="181"/>
      <c r="C1168" s="184"/>
      <c r="D1168" s="188"/>
      <c r="F1168" s="181"/>
      <c r="G1168" s="181"/>
      <c r="H1168" s="181"/>
    </row>
    <row r="1169" spans="1:8" ht="15.75" customHeight="1">
      <c r="A1169" s="181"/>
      <c r="B1169" s="181"/>
      <c r="C1169" s="184"/>
      <c r="D1169" s="188"/>
      <c r="F1169" s="181"/>
      <c r="G1169" s="181"/>
      <c r="H1169" s="181"/>
    </row>
    <row r="1170" spans="1:8" ht="15.75" customHeight="1">
      <c r="A1170" s="181"/>
      <c r="B1170" s="181"/>
      <c r="C1170" s="184"/>
      <c r="D1170" s="188"/>
      <c r="F1170" s="181"/>
      <c r="G1170" s="181"/>
      <c r="H1170" s="181"/>
    </row>
    <row r="1171" spans="1:8" ht="15.75" customHeight="1">
      <c r="A1171" s="181"/>
      <c r="B1171" s="181"/>
      <c r="C1171" s="184"/>
      <c r="D1171" s="188"/>
      <c r="F1171" s="181"/>
      <c r="G1171" s="181"/>
      <c r="H1171" s="181"/>
    </row>
    <row r="1172" spans="1:8" ht="15.75" customHeight="1">
      <c r="A1172" s="181"/>
      <c r="B1172" s="181"/>
      <c r="C1172" s="184"/>
      <c r="D1172" s="188"/>
      <c r="F1172" s="181"/>
      <c r="G1172" s="181"/>
      <c r="H1172" s="181"/>
    </row>
    <row r="1173" spans="1:8" ht="15.75" customHeight="1">
      <c r="A1173" s="181"/>
      <c r="B1173" s="181"/>
      <c r="C1173" s="184"/>
      <c r="D1173" s="188"/>
      <c r="F1173" s="181"/>
      <c r="G1173" s="181"/>
      <c r="H1173" s="181"/>
    </row>
    <row r="1174" spans="1:8" ht="15.75" customHeight="1">
      <c r="A1174" s="181"/>
      <c r="B1174" s="181"/>
      <c r="C1174" s="184"/>
      <c r="D1174" s="188"/>
      <c r="F1174" s="181"/>
      <c r="G1174" s="181"/>
      <c r="H1174" s="181"/>
    </row>
    <row r="1175" spans="1:8" ht="15.75" customHeight="1">
      <c r="A1175" s="181"/>
      <c r="B1175" s="181"/>
      <c r="C1175" s="184"/>
      <c r="D1175" s="188"/>
      <c r="F1175" s="181"/>
      <c r="G1175" s="181"/>
      <c r="H1175" s="181"/>
    </row>
    <row r="1176" spans="1:8" ht="15.75" customHeight="1">
      <c r="A1176" s="181"/>
      <c r="B1176" s="181"/>
      <c r="C1176" s="184"/>
      <c r="D1176" s="188"/>
      <c r="F1176" s="181"/>
      <c r="G1176" s="181"/>
    </row>
    <row r="1177" spans="1:8" ht="15.75" customHeight="1">
      <c r="A1177" s="181"/>
      <c r="B1177" s="181"/>
      <c r="C1177" s="184"/>
      <c r="D1177" s="188"/>
      <c r="F1177" s="181"/>
      <c r="G1177" s="181"/>
    </row>
    <row r="1178" spans="1:8" ht="15.75" customHeight="1">
      <c r="A1178" s="181"/>
      <c r="B1178" s="181"/>
      <c r="C1178" s="184"/>
      <c r="D1178" s="188"/>
      <c r="F1178" s="181"/>
      <c r="G1178" s="181"/>
    </row>
    <row r="1179" spans="1:8" ht="15.75" customHeight="1">
      <c r="A1179" s="181"/>
      <c r="B1179" s="181"/>
      <c r="C1179" s="184"/>
      <c r="D1179" s="188"/>
      <c r="F1179" s="181"/>
      <c r="G1179" s="181"/>
    </row>
    <row r="1180" spans="1:8" ht="15.75" customHeight="1">
      <c r="A1180" s="181"/>
      <c r="B1180" s="181"/>
      <c r="C1180" s="184"/>
      <c r="D1180" s="188"/>
      <c r="F1180" s="181"/>
      <c r="G1180" s="181"/>
    </row>
    <row r="1181" spans="1:8" ht="15.75" customHeight="1">
      <c r="A1181" s="181"/>
      <c r="B1181" s="181"/>
      <c r="C1181" s="184"/>
      <c r="D1181" s="188"/>
      <c r="F1181" s="181"/>
      <c r="G1181" s="181"/>
    </row>
  </sheetData>
  <autoFilter ref="H1:H1181" xr:uid="{00000000-0009-0000-0000-00000D000000}"/>
  <mergeCells count="8">
    <mergeCell ref="A460:F460"/>
    <mergeCell ref="A485:F485"/>
    <mergeCell ref="A1:H1"/>
    <mergeCell ref="E217:E218"/>
    <mergeCell ref="A430:F430"/>
    <mergeCell ref="A444:F444"/>
    <mergeCell ref="A450:F450"/>
    <mergeCell ref="A318:G318"/>
  </mergeCells>
  <phoneticPr fontId="80" type="noConversion"/>
  <pageMargins left="0.23622047244094491" right="0.19685039370078741" top="0.43307086614173229" bottom="0.31496062992125984" header="0.23622047244094491" footer="0.11811023622047245"/>
  <pageSetup paperSize="9" scale="73" firstPageNumber="25" orientation="landscape" useFirstPageNumber="1" horizontalDpi="4294967293" verticalDpi="1200" r:id="rId1"/>
  <headerFooter>
    <oddFooter>&amp;C&amp;P</oddFooter>
  </headerFooter>
  <rowBreaks count="1" manualBreakCount="1">
    <brk id="491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M539"/>
  <sheetViews>
    <sheetView topLeftCell="A380" zoomScaleSheetLayoutView="110" workbookViewId="0">
      <selection activeCell="F389" sqref="F389"/>
    </sheetView>
  </sheetViews>
  <sheetFormatPr defaultColWidth="11" defaultRowHeight="23.25"/>
  <cols>
    <col min="1" max="1" width="5.7109375" style="740" customWidth="1"/>
    <col min="2" max="2" width="74.28515625" style="740" customWidth="1"/>
    <col min="3" max="3" width="9.5703125" style="862" customWidth="1"/>
    <col min="4" max="4" width="15" style="925" customWidth="1"/>
    <col min="5" max="5" width="16.140625" style="924" customWidth="1"/>
    <col min="6" max="6" width="38.42578125" style="740" customWidth="1"/>
    <col min="7" max="7" width="16.85546875" style="740" customWidth="1"/>
    <col min="8" max="8" width="36.42578125" style="740" customWidth="1"/>
    <col min="9" max="9" width="13.7109375" style="739" customWidth="1"/>
    <col min="10" max="10" width="15.140625" style="740" customWidth="1"/>
    <col min="11" max="16384" width="11" style="740"/>
  </cols>
  <sheetData>
    <row r="1" spans="1:13" ht="35.25" customHeight="1">
      <c r="A1" s="2816" t="s">
        <v>1165</v>
      </c>
      <c r="B1" s="2816"/>
      <c r="C1" s="2816"/>
      <c r="D1" s="2816"/>
      <c r="E1" s="2816"/>
      <c r="F1" s="2816"/>
      <c r="G1" s="2816"/>
      <c r="H1" s="2816"/>
    </row>
    <row r="2" spans="1:13" ht="46.5">
      <c r="A2" s="741" t="s">
        <v>2</v>
      </c>
      <c r="B2" s="741" t="s">
        <v>3</v>
      </c>
      <c r="C2" s="741" t="s">
        <v>385</v>
      </c>
      <c r="D2" s="741" t="s">
        <v>386</v>
      </c>
      <c r="E2" s="742" t="s">
        <v>387</v>
      </c>
      <c r="F2" s="741" t="s">
        <v>388</v>
      </c>
      <c r="G2" s="741" t="s">
        <v>727</v>
      </c>
      <c r="H2" s="742" t="s">
        <v>221</v>
      </c>
      <c r="I2" s="743"/>
      <c r="J2" s="744"/>
      <c r="K2" s="744"/>
      <c r="L2" s="744"/>
      <c r="M2" s="744"/>
    </row>
    <row r="3" spans="1:13" ht="46.5">
      <c r="A3" s="745">
        <v>1</v>
      </c>
      <c r="B3" s="746" t="s">
        <v>647</v>
      </c>
      <c r="C3" s="745">
        <v>1</v>
      </c>
      <c r="D3" s="747">
        <v>2247000</v>
      </c>
      <c r="E3" s="747">
        <f t="shared" ref="E3:E4" si="0">C3*D3</f>
        <v>2247000</v>
      </c>
      <c r="F3" s="746" t="s">
        <v>412</v>
      </c>
      <c r="G3" s="746" t="s">
        <v>464</v>
      </c>
      <c r="H3" s="748" t="s">
        <v>1198</v>
      </c>
      <c r="I3" s="743"/>
      <c r="J3" s="744"/>
      <c r="K3" s="744"/>
      <c r="L3" s="744"/>
      <c r="M3" s="744"/>
    </row>
    <row r="4" spans="1:13">
      <c r="A4" s="745">
        <v>2</v>
      </c>
      <c r="B4" s="749" t="s">
        <v>440</v>
      </c>
      <c r="C4" s="750">
        <v>1</v>
      </c>
      <c r="D4" s="751">
        <v>2200000</v>
      </c>
      <c r="E4" s="747">
        <f t="shared" si="0"/>
        <v>2200000</v>
      </c>
      <c r="F4" s="752" t="s">
        <v>421</v>
      </c>
      <c r="G4" s="746" t="s">
        <v>464</v>
      </c>
      <c r="H4" s="753" t="s">
        <v>490</v>
      </c>
      <c r="I4" s="743"/>
      <c r="J4" s="744"/>
      <c r="K4" s="744"/>
      <c r="L4" s="744"/>
      <c r="M4" s="744"/>
    </row>
    <row r="5" spans="1:13">
      <c r="A5" s="745">
        <v>3</v>
      </c>
      <c r="B5" s="749" t="s">
        <v>443</v>
      </c>
      <c r="C5" s="750">
        <v>1</v>
      </c>
      <c r="D5" s="751">
        <v>1760000</v>
      </c>
      <c r="E5" s="747">
        <f>C5*D5</f>
        <v>1760000</v>
      </c>
      <c r="F5" s="752" t="s">
        <v>421</v>
      </c>
      <c r="G5" s="752" t="s">
        <v>464</v>
      </c>
      <c r="H5" s="753" t="s">
        <v>490</v>
      </c>
      <c r="I5" s="743"/>
      <c r="J5" s="744"/>
      <c r="K5" s="744"/>
      <c r="L5" s="744"/>
      <c r="M5" s="744"/>
    </row>
    <row r="6" spans="1:13">
      <c r="A6" s="745">
        <v>4</v>
      </c>
      <c r="B6" s="749" t="s">
        <v>442</v>
      </c>
      <c r="C6" s="750">
        <v>1</v>
      </c>
      <c r="D6" s="751">
        <v>1450000</v>
      </c>
      <c r="E6" s="747">
        <f>C6*D6</f>
        <v>1450000</v>
      </c>
      <c r="F6" s="752" t="s">
        <v>421</v>
      </c>
      <c r="G6" s="752" t="s">
        <v>464</v>
      </c>
      <c r="H6" s="753" t="s">
        <v>490</v>
      </c>
      <c r="I6" s="743"/>
      <c r="J6" s="744"/>
      <c r="K6" s="744"/>
      <c r="L6" s="744"/>
      <c r="M6" s="744"/>
    </row>
    <row r="7" spans="1:13">
      <c r="A7" s="745">
        <v>5</v>
      </c>
      <c r="B7" s="754" t="s">
        <v>577</v>
      </c>
      <c r="C7" s="755">
        <v>1</v>
      </c>
      <c r="D7" s="756">
        <v>1250000</v>
      </c>
      <c r="E7" s="757">
        <v>1250000</v>
      </c>
      <c r="F7" s="754" t="s">
        <v>414</v>
      </c>
      <c r="G7" s="752" t="s">
        <v>464</v>
      </c>
      <c r="H7" s="753" t="s">
        <v>490</v>
      </c>
      <c r="I7" s="743"/>
      <c r="J7" s="744"/>
      <c r="K7" s="744"/>
      <c r="L7" s="744"/>
      <c r="M7" s="744"/>
    </row>
    <row r="8" spans="1:13" s="764" customFormat="1" ht="46.5">
      <c r="A8" s="758">
        <v>6</v>
      </c>
      <c r="B8" s="759" t="s">
        <v>427</v>
      </c>
      <c r="C8" s="758">
        <v>1</v>
      </c>
      <c r="D8" s="760">
        <v>1200000</v>
      </c>
      <c r="E8" s="760">
        <f>C8*D8</f>
        <v>1200000</v>
      </c>
      <c r="F8" s="759" t="s">
        <v>426</v>
      </c>
      <c r="G8" s="761" t="s">
        <v>464</v>
      </c>
      <c r="H8" s="753" t="s">
        <v>490</v>
      </c>
      <c r="I8" s="762"/>
      <c r="J8" s="763"/>
      <c r="K8" s="763"/>
      <c r="L8" s="763"/>
      <c r="M8" s="763"/>
    </row>
    <row r="9" spans="1:13">
      <c r="A9" s="745">
        <v>7</v>
      </c>
      <c r="B9" s="765" t="s">
        <v>433</v>
      </c>
      <c r="C9" s="745">
        <v>2</v>
      </c>
      <c r="D9" s="747">
        <v>250000</v>
      </c>
      <c r="E9" s="747">
        <f t="shared" ref="E9" si="1">C9*D9</f>
        <v>500000</v>
      </c>
      <c r="F9" s="746" t="s">
        <v>434</v>
      </c>
      <c r="G9" s="746" t="s">
        <v>464</v>
      </c>
      <c r="H9" s="753" t="s">
        <v>490</v>
      </c>
      <c r="I9" s="743"/>
      <c r="J9" s="744"/>
      <c r="K9" s="744"/>
      <c r="L9" s="744"/>
      <c r="M9" s="744"/>
    </row>
    <row r="10" spans="1:13">
      <c r="A10" s="745">
        <v>8</v>
      </c>
      <c r="B10" s="766" t="s">
        <v>448</v>
      </c>
      <c r="C10" s="745">
        <v>1</v>
      </c>
      <c r="D10" s="767">
        <v>499476</v>
      </c>
      <c r="E10" s="767">
        <f>C10*D10</f>
        <v>499476</v>
      </c>
      <c r="F10" s="766" t="s">
        <v>446</v>
      </c>
      <c r="G10" s="766" t="s">
        <v>464</v>
      </c>
      <c r="H10" s="768">
        <v>257067.5</v>
      </c>
      <c r="I10" s="768">
        <v>257067.5</v>
      </c>
      <c r="J10" s="744"/>
      <c r="K10" s="744"/>
      <c r="L10" s="744"/>
      <c r="M10" s="744"/>
    </row>
    <row r="11" spans="1:13">
      <c r="A11" s="745">
        <v>9</v>
      </c>
      <c r="B11" s="765" t="s">
        <v>435</v>
      </c>
      <c r="C11" s="745">
        <v>1</v>
      </c>
      <c r="D11" s="747">
        <v>490000</v>
      </c>
      <c r="E11" s="747">
        <f>C11*D11</f>
        <v>490000</v>
      </c>
      <c r="F11" s="746" t="s">
        <v>436</v>
      </c>
      <c r="G11" s="746" t="s">
        <v>464</v>
      </c>
      <c r="H11" s="753" t="s">
        <v>490</v>
      </c>
      <c r="I11" s="743"/>
      <c r="J11" s="744"/>
      <c r="K11" s="744"/>
      <c r="L11" s="744"/>
      <c r="M11" s="744"/>
    </row>
    <row r="12" spans="1:13">
      <c r="A12" s="745">
        <v>10</v>
      </c>
      <c r="B12" s="746" t="s">
        <v>437</v>
      </c>
      <c r="C12" s="745">
        <v>2</v>
      </c>
      <c r="D12" s="747">
        <v>225000</v>
      </c>
      <c r="E12" s="747">
        <f>C12*D12</f>
        <v>450000</v>
      </c>
      <c r="F12" s="746" t="s">
        <v>438</v>
      </c>
      <c r="G12" s="746" t="s">
        <v>464</v>
      </c>
      <c r="H12" s="753" t="s">
        <v>490</v>
      </c>
      <c r="I12" s="743"/>
      <c r="J12" s="744"/>
      <c r="K12" s="744"/>
      <c r="L12" s="744"/>
      <c r="M12" s="744"/>
    </row>
    <row r="13" spans="1:13">
      <c r="A13" s="745">
        <v>11</v>
      </c>
      <c r="B13" s="754" t="s">
        <v>578</v>
      </c>
      <c r="C13" s="755">
        <v>1</v>
      </c>
      <c r="D13" s="756">
        <v>330000</v>
      </c>
      <c r="E13" s="757">
        <v>330000</v>
      </c>
      <c r="F13" s="754" t="s">
        <v>453</v>
      </c>
      <c r="G13" s="754" t="s">
        <v>464</v>
      </c>
      <c r="H13" s="769" t="s">
        <v>490</v>
      </c>
      <c r="I13" s="743"/>
      <c r="J13" s="744"/>
      <c r="K13" s="744"/>
      <c r="L13" s="744"/>
      <c r="M13" s="744"/>
    </row>
    <row r="14" spans="1:13">
      <c r="A14" s="745">
        <v>12</v>
      </c>
      <c r="B14" s="766" t="s">
        <v>450</v>
      </c>
      <c r="C14" s="745">
        <v>1</v>
      </c>
      <c r="D14" s="767">
        <v>330000</v>
      </c>
      <c r="E14" s="767">
        <f>C14*D14</f>
        <v>330000</v>
      </c>
      <c r="F14" s="766" t="s">
        <v>451</v>
      </c>
      <c r="G14" s="766" t="s">
        <v>464</v>
      </c>
      <c r="H14" s="769" t="s">
        <v>490</v>
      </c>
      <c r="I14" s="743"/>
      <c r="J14" s="744"/>
      <c r="K14" s="744"/>
      <c r="L14" s="744"/>
      <c r="M14" s="744"/>
    </row>
    <row r="15" spans="1:13">
      <c r="A15" s="745">
        <v>13</v>
      </c>
      <c r="B15" s="766" t="s">
        <v>452</v>
      </c>
      <c r="C15" s="745">
        <v>1</v>
      </c>
      <c r="D15" s="767">
        <v>317255</v>
      </c>
      <c r="E15" s="767">
        <v>317255</v>
      </c>
      <c r="F15" s="766" t="s">
        <v>417</v>
      </c>
      <c r="G15" s="766" t="s">
        <v>464</v>
      </c>
      <c r="H15" s="769" t="s">
        <v>490</v>
      </c>
      <c r="I15" s="743"/>
      <c r="J15" s="744"/>
      <c r="K15" s="744"/>
      <c r="L15" s="744"/>
      <c r="M15" s="744"/>
    </row>
    <row r="16" spans="1:13">
      <c r="A16" s="745">
        <v>14</v>
      </c>
      <c r="B16" s="754" t="s">
        <v>580</v>
      </c>
      <c r="C16" s="755">
        <v>1</v>
      </c>
      <c r="D16" s="756">
        <v>250000</v>
      </c>
      <c r="E16" s="757">
        <f>C16*D16</f>
        <v>250000</v>
      </c>
      <c r="F16" s="754" t="s">
        <v>429</v>
      </c>
      <c r="G16" s="754" t="s">
        <v>464</v>
      </c>
      <c r="H16" s="769" t="s">
        <v>1199</v>
      </c>
      <c r="I16" s="743"/>
      <c r="J16" s="744"/>
      <c r="K16" s="744"/>
      <c r="L16" s="744"/>
      <c r="M16" s="744"/>
    </row>
    <row r="17" spans="1:13">
      <c r="A17" s="745">
        <v>15</v>
      </c>
      <c r="B17" s="765" t="s">
        <v>192</v>
      </c>
      <c r="C17" s="745">
        <v>2</v>
      </c>
      <c r="D17" s="747">
        <v>117500</v>
      </c>
      <c r="E17" s="747">
        <f>+C17*D17</f>
        <v>235000</v>
      </c>
      <c r="F17" s="746" t="s">
        <v>439</v>
      </c>
      <c r="G17" s="746" t="s">
        <v>464</v>
      </c>
      <c r="H17" s="769" t="s">
        <v>490</v>
      </c>
      <c r="I17" s="743"/>
      <c r="J17" s="744"/>
      <c r="K17" s="744"/>
      <c r="L17" s="744"/>
      <c r="M17" s="744"/>
    </row>
    <row r="18" spans="1:13">
      <c r="A18" s="745">
        <v>16</v>
      </c>
      <c r="B18" s="754" t="s">
        <v>576</v>
      </c>
      <c r="C18" s="755">
        <v>1</v>
      </c>
      <c r="D18" s="756">
        <v>230000</v>
      </c>
      <c r="E18" s="757">
        <v>230000</v>
      </c>
      <c r="F18" s="754" t="s">
        <v>582</v>
      </c>
      <c r="G18" s="754" t="s">
        <v>464</v>
      </c>
      <c r="H18" s="769" t="s">
        <v>490</v>
      </c>
      <c r="I18" s="743"/>
      <c r="J18" s="744"/>
      <c r="K18" s="744"/>
      <c r="L18" s="744"/>
      <c r="M18" s="744"/>
    </row>
    <row r="19" spans="1:13" s="764" customFormat="1" ht="46.5">
      <c r="A19" s="758">
        <v>17</v>
      </c>
      <c r="B19" s="770" t="s">
        <v>432</v>
      </c>
      <c r="C19" s="758">
        <v>1</v>
      </c>
      <c r="D19" s="760">
        <v>200000</v>
      </c>
      <c r="E19" s="760">
        <f>+C19*D19</f>
        <v>200000</v>
      </c>
      <c r="F19" s="759" t="s">
        <v>570</v>
      </c>
      <c r="G19" s="759" t="s">
        <v>464</v>
      </c>
      <c r="H19" s="771" t="s">
        <v>1200</v>
      </c>
      <c r="I19" s="762"/>
      <c r="J19" s="763"/>
      <c r="K19" s="763"/>
      <c r="L19" s="763"/>
      <c r="M19" s="763"/>
    </row>
    <row r="20" spans="1:13">
      <c r="A20" s="745">
        <v>18</v>
      </c>
      <c r="B20" s="749" t="s">
        <v>441</v>
      </c>
      <c r="C20" s="750">
        <v>1</v>
      </c>
      <c r="D20" s="751">
        <v>200000</v>
      </c>
      <c r="E20" s="747">
        <f>C20*D20</f>
        <v>200000</v>
      </c>
      <c r="F20" s="752" t="s">
        <v>421</v>
      </c>
      <c r="G20" s="752" t="s">
        <v>464</v>
      </c>
      <c r="H20" s="769" t="s">
        <v>490</v>
      </c>
      <c r="I20" s="743"/>
      <c r="J20" s="744"/>
      <c r="K20" s="744"/>
      <c r="L20" s="744"/>
      <c r="M20" s="744"/>
    </row>
    <row r="21" spans="1:13">
      <c r="A21" s="745">
        <v>19</v>
      </c>
      <c r="B21" s="772" t="s">
        <v>457</v>
      </c>
      <c r="C21" s="773">
        <v>1</v>
      </c>
      <c r="D21" s="774">
        <v>33500</v>
      </c>
      <c r="E21" s="747">
        <f>C21*D21</f>
        <v>33500</v>
      </c>
      <c r="F21" s="775" t="s">
        <v>458</v>
      </c>
      <c r="G21" s="775" t="s">
        <v>464</v>
      </c>
      <c r="H21" s="769" t="s">
        <v>490</v>
      </c>
      <c r="I21" s="743"/>
      <c r="J21" s="744"/>
      <c r="K21" s="744"/>
      <c r="L21" s="744"/>
      <c r="M21" s="744"/>
    </row>
    <row r="22" spans="1:13">
      <c r="A22" s="745">
        <v>20</v>
      </c>
      <c r="B22" s="754" t="s">
        <v>806</v>
      </c>
      <c r="C22" s="755">
        <v>3</v>
      </c>
      <c r="D22" s="776">
        <v>85600</v>
      </c>
      <c r="E22" s="768">
        <f t="shared" ref="E22:E32" si="2">+C22*D22</f>
        <v>256800</v>
      </c>
      <c r="F22" s="754" t="s">
        <v>418</v>
      </c>
      <c r="G22" s="766" t="s">
        <v>464</v>
      </c>
      <c r="H22" s="769" t="s">
        <v>490</v>
      </c>
      <c r="I22" s="743"/>
      <c r="J22" s="744"/>
      <c r="K22" s="744"/>
      <c r="L22" s="744"/>
      <c r="M22" s="744"/>
    </row>
    <row r="23" spans="1:13">
      <c r="A23" s="745">
        <v>21</v>
      </c>
      <c r="B23" s="754" t="s">
        <v>807</v>
      </c>
      <c r="C23" s="755">
        <v>1</v>
      </c>
      <c r="D23" s="776">
        <v>14000</v>
      </c>
      <c r="E23" s="768">
        <f t="shared" si="2"/>
        <v>14000</v>
      </c>
      <c r="F23" s="754" t="s">
        <v>418</v>
      </c>
      <c r="G23" s="766" t="s">
        <v>464</v>
      </c>
      <c r="H23" s="769" t="s">
        <v>490</v>
      </c>
      <c r="I23" s="743"/>
      <c r="J23" s="744"/>
      <c r="K23" s="744"/>
      <c r="L23" s="744"/>
      <c r="M23" s="744"/>
    </row>
    <row r="24" spans="1:13">
      <c r="A24" s="745">
        <v>22</v>
      </c>
      <c r="B24" s="754" t="s">
        <v>815</v>
      </c>
      <c r="C24" s="755">
        <v>1</v>
      </c>
      <c r="D24" s="776">
        <v>20000</v>
      </c>
      <c r="E24" s="768">
        <f t="shared" si="2"/>
        <v>20000</v>
      </c>
      <c r="F24" s="754" t="s">
        <v>849</v>
      </c>
      <c r="G24" s="766" t="s">
        <v>464</v>
      </c>
      <c r="H24" s="769" t="s">
        <v>490</v>
      </c>
      <c r="I24" s="743"/>
      <c r="J24" s="744"/>
      <c r="K24" s="744"/>
      <c r="L24" s="744"/>
      <c r="M24" s="744"/>
    </row>
    <row r="25" spans="1:13">
      <c r="A25" s="745">
        <v>23</v>
      </c>
      <c r="B25" s="777" t="s">
        <v>818</v>
      </c>
      <c r="C25" s="778">
        <v>1</v>
      </c>
      <c r="D25" s="779">
        <v>6500</v>
      </c>
      <c r="E25" s="768">
        <f t="shared" si="2"/>
        <v>6500</v>
      </c>
      <c r="F25" s="777" t="s">
        <v>851</v>
      </c>
      <c r="G25" s="766" t="s">
        <v>464</v>
      </c>
      <c r="H25" s="769" t="s">
        <v>490</v>
      </c>
      <c r="I25" s="743"/>
      <c r="J25" s="744"/>
      <c r="K25" s="744"/>
      <c r="L25" s="744"/>
      <c r="M25" s="744"/>
    </row>
    <row r="26" spans="1:13">
      <c r="A26" s="745">
        <v>24</v>
      </c>
      <c r="B26" s="754" t="s">
        <v>828</v>
      </c>
      <c r="C26" s="755">
        <v>3</v>
      </c>
      <c r="D26" s="776">
        <v>10000</v>
      </c>
      <c r="E26" s="768">
        <f t="shared" si="2"/>
        <v>30000</v>
      </c>
      <c r="F26" s="754" t="s">
        <v>745</v>
      </c>
      <c r="G26" s="766" t="s">
        <v>464</v>
      </c>
      <c r="H26" s="769" t="s">
        <v>490</v>
      </c>
      <c r="I26" s="743"/>
      <c r="J26" s="744"/>
      <c r="K26" s="744"/>
      <c r="L26" s="744"/>
      <c r="M26" s="744"/>
    </row>
    <row r="27" spans="1:13">
      <c r="A27" s="745">
        <v>25</v>
      </c>
      <c r="B27" s="754" t="s">
        <v>831</v>
      </c>
      <c r="C27" s="755">
        <v>1</v>
      </c>
      <c r="D27" s="776">
        <v>130000</v>
      </c>
      <c r="E27" s="768">
        <f t="shared" si="2"/>
        <v>130000</v>
      </c>
      <c r="F27" s="754" t="s">
        <v>604</v>
      </c>
      <c r="G27" s="766" t="s">
        <v>464</v>
      </c>
      <c r="H27" s="769" t="s">
        <v>490</v>
      </c>
      <c r="I27" s="743"/>
      <c r="J27" s="744"/>
      <c r="K27" s="744"/>
      <c r="L27" s="744"/>
      <c r="M27" s="744"/>
    </row>
    <row r="28" spans="1:13">
      <c r="A28" s="745">
        <v>26</v>
      </c>
      <c r="B28" s="754" t="s">
        <v>836</v>
      </c>
      <c r="C28" s="755">
        <v>1</v>
      </c>
      <c r="D28" s="776">
        <v>35100</v>
      </c>
      <c r="E28" s="768">
        <f t="shared" si="2"/>
        <v>35100</v>
      </c>
      <c r="F28" s="754" t="s">
        <v>422</v>
      </c>
      <c r="G28" s="766" t="s">
        <v>464</v>
      </c>
      <c r="H28" s="769" t="s">
        <v>490</v>
      </c>
      <c r="I28" s="743"/>
      <c r="J28" s="744"/>
      <c r="K28" s="744"/>
      <c r="L28" s="744"/>
      <c r="M28" s="744"/>
    </row>
    <row r="29" spans="1:13">
      <c r="A29" s="745">
        <v>27</v>
      </c>
      <c r="B29" s="754" t="s">
        <v>837</v>
      </c>
      <c r="C29" s="755">
        <v>1</v>
      </c>
      <c r="D29" s="776">
        <v>19000</v>
      </c>
      <c r="E29" s="768">
        <f t="shared" si="2"/>
        <v>19000</v>
      </c>
      <c r="F29" s="754" t="s">
        <v>422</v>
      </c>
      <c r="G29" s="766" t="s">
        <v>464</v>
      </c>
      <c r="H29" s="769" t="s">
        <v>490</v>
      </c>
      <c r="I29" s="743"/>
      <c r="J29" s="744"/>
      <c r="K29" s="744"/>
      <c r="L29" s="744"/>
      <c r="M29" s="744"/>
    </row>
    <row r="30" spans="1:13">
      <c r="A30" s="745">
        <v>28</v>
      </c>
      <c r="B30" s="754" t="s">
        <v>863</v>
      </c>
      <c r="C30" s="755">
        <v>1</v>
      </c>
      <c r="D30" s="776">
        <v>35000</v>
      </c>
      <c r="E30" s="768">
        <f t="shared" si="2"/>
        <v>35000</v>
      </c>
      <c r="F30" s="754" t="s">
        <v>422</v>
      </c>
      <c r="G30" s="766" t="s">
        <v>464</v>
      </c>
      <c r="H30" s="769" t="s">
        <v>490</v>
      </c>
      <c r="I30" s="743"/>
      <c r="J30" s="744"/>
      <c r="K30" s="744"/>
      <c r="L30" s="744"/>
      <c r="M30" s="744"/>
    </row>
    <row r="31" spans="1:13">
      <c r="A31" s="745">
        <v>29</v>
      </c>
      <c r="B31" s="754" t="s">
        <v>838</v>
      </c>
      <c r="C31" s="755">
        <v>1</v>
      </c>
      <c r="D31" s="776">
        <v>71500</v>
      </c>
      <c r="E31" s="768">
        <f t="shared" si="2"/>
        <v>71500</v>
      </c>
      <c r="F31" s="754" t="s">
        <v>422</v>
      </c>
      <c r="G31" s="766" t="s">
        <v>464</v>
      </c>
      <c r="H31" s="769"/>
      <c r="I31" s="743"/>
      <c r="J31" s="744"/>
      <c r="K31" s="744"/>
      <c r="L31" s="744"/>
      <c r="M31" s="744"/>
    </row>
    <row r="32" spans="1:13">
      <c r="A32" s="745">
        <v>30</v>
      </c>
      <c r="B32" s="754" t="s">
        <v>843</v>
      </c>
      <c r="C32" s="755">
        <v>1</v>
      </c>
      <c r="D32" s="776">
        <v>10000</v>
      </c>
      <c r="E32" s="768">
        <f t="shared" si="2"/>
        <v>10000</v>
      </c>
      <c r="F32" s="754" t="s">
        <v>736</v>
      </c>
      <c r="G32" s="766" t="s">
        <v>464</v>
      </c>
      <c r="H32" s="769" t="s">
        <v>490</v>
      </c>
      <c r="I32" s="743"/>
      <c r="J32" s="744"/>
      <c r="K32" s="744"/>
      <c r="L32" s="744"/>
      <c r="M32" s="744"/>
    </row>
    <row r="33" spans="1:13">
      <c r="A33" s="745">
        <v>31</v>
      </c>
      <c r="B33" s="780" t="s">
        <v>677</v>
      </c>
      <c r="C33" s="745">
        <v>1</v>
      </c>
      <c r="D33" s="767">
        <v>1250000</v>
      </c>
      <c r="E33" s="767">
        <v>1250000</v>
      </c>
      <c r="F33" s="766" t="s">
        <v>414</v>
      </c>
      <c r="G33" s="746" t="s">
        <v>464</v>
      </c>
      <c r="H33" s="771" t="s">
        <v>1201</v>
      </c>
      <c r="I33" s="743"/>
      <c r="J33" s="744"/>
      <c r="K33" s="744"/>
      <c r="L33" s="744"/>
      <c r="M33" s="744"/>
    </row>
    <row r="34" spans="1:13">
      <c r="A34" s="745">
        <v>32</v>
      </c>
      <c r="B34" s="754" t="s">
        <v>581</v>
      </c>
      <c r="C34" s="755">
        <v>1</v>
      </c>
      <c r="D34" s="756">
        <v>229729</v>
      </c>
      <c r="E34" s="757">
        <f t="shared" ref="E34" si="3">C34*D34</f>
        <v>229729</v>
      </c>
      <c r="F34" s="754" t="s">
        <v>575</v>
      </c>
      <c r="G34" s="754" t="s">
        <v>464</v>
      </c>
      <c r="H34" s="769" t="s">
        <v>490</v>
      </c>
      <c r="I34" s="743"/>
      <c r="J34" s="744"/>
      <c r="K34" s="744"/>
      <c r="L34" s="744"/>
      <c r="M34" s="744"/>
    </row>
    <row r="35" spans="1:13">
      <c r="A35" s="745">
        <v>33</v>
      </c>
      <c r="B35" s="775" t="s">
        <v>199</v>
      </c>
      <c r="C35" s="773">
        <v>1</v>
      </c>
      <c r="D35" s="774">
        <v>65000</v>
      </c>
      <c r="E35" s="747">
        <f>C35*D35</f>
        <v>65000</v>
      </c>
      <c r="F35" s="775" t="s">
        <v>459</v>
      </c>
      <c r="G35" s="775" t="s">
        <v>464</v>
      </c>
      <c r="H35" s="769"/>
      <c r="I35" s="743"/>
      <c r="J35" s="744"/>
      <c r="K35" s="744"/>
      <c r="L35" s="744"/>
      <c r="M35" s="744"/>
    </row>
    <row r="36" spans="1:13">
      <c r="A36" s="745">
        <v>34</v>
      </c>
      <c r="B36" s="772" t="s">
        <v>656</v>
      </c>
      <c r="C36" s="773">
        <v>1</v>
      </c>
      <c r="D36" s="781">
        <v>350000</v>
      </c>
      <c r="E36" s="782">
        <f t="shared" ref="E36:E43" si="4">+C36*D36</f>
        <v>350000</v>
      </c>
      <c r="F36" s="783" t="s">
        <v>424</v>
      </c>
      <c r="G36" s="783" t="s">
        <v>464</v>
      </c>
      <c r="H36" s="769" t="s">
        <v>490</v>
      </c>
      <c r="I36" s="743"/>
      <c r="J36" s="744"/>
      <c r="K36" s="744"/>
      <c r="L36" s="744"/>
      <c r="M36" s="744"/>
    </row>
    <row r="37" spans="1:13">
      <c r="A37" s="745">
        <v>35</v>
      </c>
      <c r="B37" s="784" t="s">
        <v>657</v>
      </c>
      <c r="C37" s="773">
        <v>1</v>
      </c>
      <c r="D37" s="781">
        <v>650000</v>
      </c>
      <c r="E37" s="782">
        <f t="shared" si="4"/>
        <v>650000</v>
      </c>
      <c r="F37" s="783" t="s">
        <v>423</v>
      </c>
      <c r="G37" s="783" t="s">
        <v>464</v>
      </c>
      <c r="H37" s="769" t="s">
        <v>490</v>
      </c>
      <c r="I37" s="743"/>
      <c r="J37" s="744"/>
      <c r="K37" s="744"/>
      <c r="L37" s="744"/>
      <c r="M37" s="744"/>
    </row>
    <row r="38" spans="1:13">
      <c r="A38" s="745">
        <v>36</v>
      </c>
      <c r="B38" s="784" t="s">
        <v>658</v>
      </c>
      <c r="C38" s="773">
        <v>1</v>
      </c>
      <c r="D38" s="781">
        <v>100000</v>
      </c>
      <c r="E38" s="782">
        <f t="shared" si="4"/>
        <v>100000</v>
      </c>
      <c r="F38" s="783" t="s">
        <v>423</v>
      </c>
      <c r="G38" s="783" t="s">
        <v>464</v>
      </c>
      <c r="H38" s="769" t="s">
        <v>490</v>
      </c>
      <c r="I38" s="743"/>
      <c r="J38" s="744"/>
      <c r="K38" s="744"/>
      <c r="L38" s="744"/>
      <c r="M38" s="744"/>
    </row>
    <row r="39" spans="1:13">
      <c r="A39" s="745">
        <v>37</v>
      </c>
      <c r="B39" s="784" t="s">
        <v>659</v>
      </c>
      <c r="C39" s="773">
        <v>2</v>
      </c>
      <c r="D39" s="781">
        <v>149000</v>
      </c>
      <c r="E39" s="782">
        <f t="shared" si="4"/>
        <v>298000</v>
      </c>
      <c r="F39" s="783" t="s">
        <v>423</v>
      </c>
      <c r="G39" s="783" t="s">
        <v>464</v>
      </c>
      <c r="H39" s="769" t="s">
        <v>490</v>
      </c>
      <c r="I39" s="743"/>
      <c r="J39" s="744"/>
      <c r="K39" s="744"/>
      <c r="L39" s="744"/>
      <c r="M39" s="744"/>
    </row>
    <row r="40" spans="1:13">
      <c r="A40" s="745">
        <v>38</v>
      </c>
      <c r="B40" s="785" t="s">
        <v>735</v>
      </c>
      <c r="C40" s="786">
        <v>1</v>
      </c>
      <c r="D40" s="768">
        <v>2495000</v>
      </c>
      <c r="E40" s="768">
        <f t="shared" si="4"/>
        <v>2495000</v>
      </c>
      <c r="F40" s="784" t="s">
        <v>574</v>
      </c>
      <c r="G40" s="766" t="s">
        <v>464</v>
      </c>
      <c r="H40" s="769" t="s">
        <v>490</v>
      </c>
      <c r="I40" s="743"/>
      <c r="J40" s="744"/>
      <c r="K40" s="744"/>
      <c r="L40" s="744"/>
      <c r="M40" s="744"/>
    </row>
    <row r="41" spans="1:13">
      <c r="A41" s="745">
        <v>39</v>
      </c>
      <c r="B41" s="784" t="s">
        <v>737</v>
      </c>
      <c r="C41" s="786">
        <v>1</v>
      </c>
      <c r="D41" s="768">
        <v>150000</v>
      </c>
      <c r="E41" s="768">
        <f t="shared" si="4"/>
        <v>150000</v>
      </c>
      <c r="F41" s="784" t="s">
        <v>736</v>
      </c>
      <c r="G41" s="766" t="s">
        <v>464</v>
      </c>
      <c r="H41" s="769" t="s">
        <v>1202</v>
      </c>
      <c r="I41" s="743"/>
      <c r="J41" s="744"/>
      <c r="K41" s="744"/>
      <c r="L41" s="744"/>
      <c r="M41" s="744"/>
    </row>
    <row r="42" spans="1:13">
      <c r="A42" s="745">
        <v>40</v>
      </c>
      <c r="B42" s="784" t="s">
        <v>738</v>
      </c>
      <c r="C42" s="786">
        <v>2</v>
      </c>
      <c r="D42" s="768">
        <v>550000</v>
      </c>
      <c r="E42" s="768">
        <f t="shared" si="4"/>
        <v>1100000</v>
      </c>
      <c r="F42" s="784" t="s">
        <v>736</v>
      </c>
      <c r="G42" s="766" t="s">
        <v>464</v>
      </c>
      <c r="H42" s="769" t="s">
        <v>1203</v>
      </c>
      <c r="I42" s="743"/>
      <c r="J42" s="744"/>
      <c r="K42" s="744"/>
      <c r="L42" s="744"/>
      <c r="M42" s="744"/>
    </row>
    <row r="43" spans="1:13">
      <c r="A43" s="745">
        <v>41</v>
      </c>
      <c r="B43" s="784" t="s">
        <v>741</v>
      </c>
      <c r="C43" s="786">
        <v>1</v>
      </c>
      <c r="D43" s="768">
        <v>30000</v>
      </c>
      <c r="E43" s="787">
        <f t="shared" si="4"/>
        <v>30000</v>
      </c>
      <c r="F43" s="784" t="s">
        <v>742</v>
      </c>
      <c r="G43" s="766" t="s">
        <v>464</v>
      </c>
      <c r="H43" s="769" t="s">
        <v>626</v>
      </c>
      <c r="I43" s="743"/>
      <c r="J43" s="744"/>
      <c r="K43" s="744"/>
      <c r="L43" s="744"/>
      <c r="M43" s="744"/>
    </row>
    <row r="44" spans="1:13">
      <c r="A44" s="745">
        <v>42</v>
      </c>
      <c r="B44" s="784" t="s">
        <v>746</v>
      </c>
      <c r="C44" s="786">
        <v>1</v>
      </c>
      <c r="D44" s="768">
        <v>190000</v>
      </c>
      <c r="E44" s="768">
        <f>+C44*D44</f>
        <v>190000</v>
      </c>
      <c r="F44" s="784" t="s">
        <v>745</v>
      </c>
      <c r="G44" s="766" t="s">
        <v>464</v>
      </c>
      <c r="H44" s="769" t="str">
        <f>+H51</f>
        <v>เบิกจ่ายแล้ว</v>
      </c>
      <c r="I44" s="743"/>
      <c r="J44" s="744"/>
      <c r="K44" s="744"/>
      <c r="L44" s="744"/>
      <c r="M44" s="744"/>
    </row>
    <row r="45" spans="1:13" s="764" customFormat="1" ht="46.5">
      <c r="A45" s="758">
        <v>43</v>
      </c>
      <c r="B45" s="788" t="s">
        <v>1004</v>
      </c>
      <c r="C45" s="789">
        <v>1</v>
      </c>
      <c r="D45" s="790">
        <v>2700000</v>
      </c>
      <c r="E45" s="791">
        <f t="shared" ref="E45:E48" si="5">+C45*D45</f>
        <v>2700000</v>
      </c>
      <c r="F45" s="792" t="s">
        <v>721</v>
      </c>
      <c r="G45" s="793" t="s">
        <v>464</v>
      </c>
      <c r="H45" s="753" t="s">
        <v>1204</v>
      </c>
      <c r="I45" s="762"/>
      <c r="J45" s="763"/>
      <c r="K45" s="763"/>
      <c r="L45" s="763"/>
      <c r="M45" s="763"/>
    </row>
    <row r="46" spans="1:13">
      <c r="A46" s="745">
        <v>44</v>
      </c>
      <c r="B46" s="754" t="s">
        <v>800</v>
      </c>
      <c r="C46" s="755">
        <v>1</v>
      </c>
      <c r="D46" s="776">
        <v>650000</v>
      </c>
      <c r="E46" s="768">
        <f t="shared" si="5"/>
        <v>650000</v>
      </c>
      <c r="F46" s="754" t="s">
        <v>721</v>
      </c>
      <c r="G46" s="766" t="s">
        <v>464</v>
      </c>
      <c r="H46" s="753" t="s">
        <v>1204</v>
      </c>
      <c r="I46" s="743"/>
      <c r="J46" s="744"/>
      <c r="K46" s="744"/>
      <c r="L46" s="744"/>
      <c r="M46" s="744"/>
    </row>
    <row r="47" spans="1:13">
      <c r="A47" s="745">
        <v>45</v>
      </c>
      <c r="B47" s="754" t="s">
        <v>801</v>
      </c>
      <c r="C47" s="755">
        <v>1</v>
      </c>
      <c r="D47" s="776">
        <v>1337500</v>
      </c>
      <c r="E47" s="768">
        <f t="shared" si="5"/>
        <v>1337500</v>
      </c>
      <c r="F47" s="754" t="s">
        <v>721</v>
      </c>
      <c r="G47" s="766" t="s">
        <v>464</v>
      </c>
      <c r="H47" s="753" t="s">
        <v>1204</v>
      </c>
      <c r="I47" s="743"/>
      <c r="J47" s="744"/>
      <c r="K47" s="744"/>
      <c r="L47" s="744"/>
      <c r="M47" s="744"/>
    </row>
    <row r="48" spans="1:13">
      <c r="A48" s="745">
        <v>46</v>
      </c>
      <c r="B48" s="754" t="s">
        <v>802</v>
      </c>
      <c r="C48" s="755">
        <v>1</v>
      </c>
      <c r="D48" s="776">
        <v>448598.13</v>
      </c>
      <c r="E48" s="768">
        <f t="shared" si="5"/>
        <v>448598.13</v>
      </c>
      <c r="F48" s="754" t="s">
        <v>721</v>
      </c>
      <c r="G48" s="766" t="s">
        <v>464</v>
      </c>
      <c r="H48" s="753" t="s">
        <v>1204</v>
      </c>
      <c r="I48" s="743"/>
      <c r="J48" s="744"/>
      <c r="K48" s="744"/>
      <c r="L48" s="744"/>
      <c r="M48" s="744"/>
    </row>
    <row r="49" spans="1:13">
      <c r="A49" s="745">
        <v>47</v>
      </c>
      <c r="B49" s="754" t="s">
        <v>799</v>
      </c>
      <c r="C49" s="755">
        <v>1</v>
      </c>
      <c r="D49" s="776">
        <v>4500000</v>
      </c>
      <c r="E49" s="768">
        <f t="shared" ref="E49:E86" si="6">+C49*D49</f>
        <v>4500000</v>
      </c>
      <c r="F49" s="754" t="s">
        <v>721</v>
      </c>
      <c r="G49" s="766" t="s">
        <v>464</v>
      </c>
      <c r="H49" s="753" t="s">
        <v>1204</v>
      </c>
      <c r="I49" s="743"/>
      <c r="J49" s="744"/>
      <c r="K49" s="744"/>
      <c r="L49" s="744"/>
      <c r="M49" s="744"/>
    </row>
    <row r="50" spans="1:13">
      <c r="A50" s="745">
        <v>48</v>
      </c>
      <c r="B50" s="784" t="s">
        <v>804</v>
      </c>
      <c r="C50" s="786">
        <v>1</v>
      </c>
      <c r="D50" s="794">
        <v>2200000</v>
      </c>
      <c r="E50" s="768">
        <f t="shared" si="6"/>
        <v>2200000</v>
      </c>
      <c r="F50" s="784" t="s">
        <v>418</v>
      </c>
      <c r="G50" s="766" t="s">
        <v>464</v>
      </c>
      <c r="H50" s="769" t="s">
        <v>490</v>
      </c>
      <c r="I50" s="743"/>
      <c r="J50" s="744"/>
      <c r="K50" s="744"/>
      <c r="L50" s="744"/>
      <c r="M50" s="744"/>
    </row>
    <row r="51" spans="1:13">
      <c r="A51" s="745">
        <v>49</v>
      </c>
      <c r="B51" s="754" t="s">
        <v>808</v>
      </c>
      <c r="C51" s="755">
        <v>6</v>
      </c>
      <c r="D51" s="776">
        <v>24610</v>
      </c>
      <c r="E51" s="768">
        <f t="shared" si="6"/>
        <v>147660</v>
      </c>
      <c r="F51" s="754" t="s">
        <v>418</v>
      </c>
      <c r="G51" s="766" t="s">
        <v>464</v>
      </c>
      <c r="H51" s="769" t="s">
        <v>490</v>
      </c>
      <c r="I51" s="743"/>
      <c r="J51" s="744"/>
      <c r="K51" s="744"/>
      <c r="L51" s="744"/>
      <c r="M51" s="744"/>
    </row>
    <row r="52" spans="1:13">
      <c r="A52" s="745">
        <v>50</v>
      </c>
      <c r="B52" s="754" t="s">
        <v>810</v>
      </c>
      <c r="C52" s="755">
        <v>1</v>
      </c>
      <c r="D52" s="776">
        <v>85600</v>
      </c>
      <c r="E52" s="768">
        <f t="shared" si="6"/>
        <v>85600</v>
      </c>
      <c r="F52" s="754" t="s">
        <v>418</v>
      </c>
      <c r="G52" s="766" t="s">
        <v>464</v>
      </c>
      <c r="H52" s="769" t="s">
        <v>490</v>
      </c>
      <c r="I52" s="743"/>
      <c r="J52" s="744"/>
      <c r="K52" s="744"/>
      <c r="L52" s="744"/>
      <c r="M52" s="744"/>
    </row>
    <row r="53" spans="1:13">
      <c r="A53" s="745">
        <v>51</v>
      </c>
      <c r="B53" s="754" t="s">
        <v>811</v>
      </c>
      <c r="C53" s="755">
        <v>1</v>
      </c>
      <c r="D53" s="795">
        <v>8700</v>
      </c>
      <c r="E53" s="768">
        <f t="shared" si="6"/>
        <v>8700</v>
      </c>
      <c r="F53" s="754" t="s">
        <v>847</v>
      </c>
      <c r="G53" s="766" t="s">
        <v>464</v>
      </c>
      <c r="H53" s="769" t="s">
        <v>490</v>
      </c>
      <c r="I53" s="743"/>
      <c r="J53" s="744"/>
      <c r="K53" s="744"/>
      <c r="L53" s="744"/>
      <c r="M53" s="744"/>
    </row>
    <row r="54" spans="1:13">
      <c r="A54" s="745">
        <v>52</v>
      </c>
      <c r="B54" s="777" t="s">
        <v>812</v>
      </c>
      <c r="C54" s="778">
        <v>1</v>
      </c>
      <c r="D54" s="779">
        <v>6000</v>
      </c>
      <c r="E54" s="768">
        <f t="shared" si="6"/>
        <v>6000</v>
      </c>
      <c r="F54" s="796" t="s">
        <v>472</v>
      </c>
      <c r="G54" s="766" t="s">
        <v>464</v>
      </c>
      <c r="H54" s="769" t="s">
        <v>490</v>
      </c>
      <c r="I54" s="743"/>
      <c r="J54" s="744"/>
      <c r="K54" s="744"/>
      <c r="L54" s="744"/>
      <c r="M54" s="744"/>
    </row>
    <row r="55" spans="1:13">
      <c r="A55" s="745">
        <v>53</v>
      </c>
      <c r="B55" s="754" t="s">
        <v>814</v>
      </c>
      <c r="C55" s="755">
        <v>1</v>
      </c>
      <c r="D55" s="776">
        <v>35000</v>
      </c>
      <c r="E55" s="768">
        <f t="shared" si="6"/>
        <v>35000</v>
      </c>
      <c r="F55" s="754" t="s">
        <v>848</v>
      </c>
      <c r="G55" s="766" t="s">
        <v>464</v>
      </c>
      <c r="H55" s="769" t="s">
        <v>490</v>
      </c>
      <c r="I55" s="743"/>
      <c r="J55" s="744"/>
      <c r="K55" s="744"/>
      <c r="L55" s="744"/>
      <c r="M55" s="744"/>
    </row>
    <row r="56" spans="1:13">
      <c r="A56" s="745">
        <v>54</v>
      </c>
      <c r="B56" s="754" t="s">
        <v>816</v>
      </c>
      <c r="C56" s="755">
        <v>1</v>
      </c>
      <c r="D56" s="776">
        <v>25000</v>
      </c>
      <c r="E56" s="768">
        <f t="shared" si="6"/>
        <v>25000</v>
      </c>
      <c r="F56" s="754" t="s">
        <v>850</v>
      </c>
      <c r="G56" s="766" t="s">
        <v>464</v>
      </c>
      <c r="H56" s="769" t="s">
        <v>490</v>
      </c>
      <c r="I56" s="743"/>
      <c r="J56" s="744"/>
      <c r="K56" s="744"/>
      <c r="L56" s="744"/>
      <c r="M56" s="744"/>
    </row>
    <row r="57" spans="1:13">
      <c r="A57" s="745">
        <v>55</v>
      </c>
      <c r="B57" s="754" t="s">
        <v>817</v>
      </c>
      <c r="C57" s="755">
        <v>1</v>
      </c>
      <c r="D57" s="776">
        <v>28500</v>
      </c>
      <c r="E57" s="768">
        <f t="shared" si="6"/>
        <v>28500</v>
      </c>
      <c r="F57" s="754" t="s">
        <v>850</v>
      </c>
      <c r="G57" s="766" t="s">
        <v>464</v>
      </c>
      <c r="H57" s="769" t="s">
        <v>490</v>
      </c>
      <c r="I57" s="743"/>
      <c r="J57" s="744"/>
      <c r="K57" s="744"/>
      <c r="L57" s="744"/>
      <c r="M57" s="744"/>
    </row>
    <row r="58" spans="1:13">
      <c r="A58" s="745">
        <v>56</v>
      </c>
      <c r="B58" s="754" t="s">
        <v>819</v>
      </c>
      <c r="C58" s="755">
        <v>1</v>
      </c>
      <c r="D58" s="776">
        <v>75000</v>
      </c>
      <c r="E58" s="768">
        <f t="shared" si="6"/>
        <v>75000</v>
      </c>
      <c r="F58" s="754" t="s">
        <v>852</v>
      </c>
      <c r="G58" s="766" t="s">
        <v>464</v>
      </c>
      <c r="H58" s="769" t="s">
        <v>490</v>
      </c>
      <c r="I58" s="743"/>
      <c r="J58" s="744"/>
      <c r="K58" s="744"/>
      <c r="L58" s="744"/>
      <c r="M58" s="744"/>
    </row>
    <row r="59" spans="1:13">
      <c r="A59" s="745">
        <v>57</v>
      </c>
      <c r="B59" s="754" t="s">
        <v>820</v>
      </c>
      <c r="C59" s="755">
        <v>1</v>
      </c>
      <c r="D59" s="776">
        <v>85000</v>
      </c>
      <c r="E59" s="768">
        <f t="shared" si="6"/>
        <v>85000</v>
      </c>
      <c r="F59" s="754" t="s">
        <v>470</v>
      </c>
      <c r="G59" s="766" t="s">
        <v>464</v>
      </c>
      <c r="H59" s="769" t="s">
        <v>490</v>
      </c>
      <c r="I59" s="743"/>
      <c r="J59" s="744"/>
      <c r="K59" s="744"/>
      <c r="L59" s="744"/>
      <c r="M59" s="744"/>
    </row>
    <row r="60" spans="1:13">
      <c r="A60" s="745">
        <v>58</v>
      </c>
      <c r="B60" s="754" t="s">
        <v>820</v>
      </c>
      <c r="C60" s="755">
        <v>1</v>
      </c>
      <c r="D60" s="776">
        <v>85000</v>
      </c>
      <c r="E60" s="768">
        <f t="shared" si="6"/>
        <v>85000</v>
      </c>
      <c r="F60" s="754" t="s">
        <v>470</v>
      </c>
      <c r="G60" s="766" t="s">
        <v>464</v>
      </c>
      <c r="H60" s="769" t="s">
        <v>490</v>
      </c>
      <c r="I60" s="743"/>
      <c r="J60" s="744"/>
      <c r="K60" s="744"/>
      <c r="L60" s="744"/>
      <c r="M60" s="744"/>
    </row>
    <row r="61" spans="1:13">
      <c r="A61" s="745">
        <v>59</v>
      </c>
      <c r="B61" s="754" t="s">
        <v>821</v>
      </c>
      <c r="C61" s="755">
        <v>1</v>
      </c>
      <c r="D61" s="776">
        <v>20000</v>
      </c>
      <c r="E61" s="768">
        <f t="shared" si="6"/>
        <v>20000</v>
      </c>
      <c r="F61" s="754" t="s">
        <v>470</v>
      </c>
      <c r="G61" s="766" t="s">
        <v>464</v>
      </c>
      <c r="H61" s="769" t="s">
        <v>490</v>
      </c>
      <c r="I61" s="743"/>
      <c r="J61" s="744"/>
      <c r="K61" s="744"/>
      <c r="L61" s="744"/>
      <c r="M61" s="744"/>
    </row>
    <row r="62" spans="1:13">
      <c r="A62" s="745">
        <v>60</v>
      </c>
      <c r="B62" s="777" t="s">
        <v>822</v>
      </c>
      <c r="C62" s="778">
        <v>1</v>
      </c>
      <c r="D62" s="779">
        <v>12000</v>
      </c>
      <c r="E62" s="768">
        <f t="shared" si="6"/>
        <v>12000</v>
      </c>
      <c r="F62" s="796" t="s">
        <v>853</v>
      </c>
      <c r="G62" s="766" t="s">
        <v>464</v>
      </c>
      <c r="H62" s="769" t="s">
        <v>490</v>
      </c>
      <c r="I62" s="743"/>
      <c r="J62" s="744"/>
      <c r="K62" s="744"/>
      <c r="L62" s="744"/>
      <c r="M62" s="744"/>
    </row>
    <row r="63" spans="1:13">
      <c r="A63" s="745">
        <v>61</v>
      </c>
      <c r="B63" s="796" t="s">
        <v>823</v>
      </c>
      <c r="C63" s="755">
        <v>3</v>
      </c>
      <c r="D63" s="797">
        <v>9000</v>
      </c>
      <c r="E63" s="768">
        <f t="shared" si="6"/>
        <v>27000</v>
      </c>
      <c r="F63" s="796" t="s">
        <v>854</v>
      </c>
      <c r="G63" s="766" t="s">
        <v>464</v>
      </c>
      <c r="H63" s="769" t="s">
        <v>490</v>
      </c>
      <c r="I63" s="743"/>
      <c r="J63" s="744"/>
      <c r="K63" s="744"/>
      <c r="L63" s="744"/>
      <c r="M63" s="744"/>
    </row>
    <row r="64" spans="1:13">
      <c r="A64" s="745">
        <v>62</v>
      </c>
      <c r="B64" s="754" t="s">
        <v>824</v>
      </c>
      <c r="C64" s="755">
        <v>1</v>
      </c>
      <c r="D64" s="754">
        <v>85000</v>
      </c>
      <c r="E64" s="768">
        <f t="shared" si="6"/>
        <v>85000</v>
      </c>
      <c r="F64" s="754" t="s">
        <v>855</v>
      </c>
      <c r="G64" s="766" t="s">
        <v>464</v>
      </c>
      <c r="H64" s="769" t="s">
        <v>490</v>
      </c>
      <c r="I64" s="743"/>
      <c r="J64" s="744"/>
      <c r="K64" s="744"/>
      <c r="L64" s="744"/>
      <c r="M64" s="744"/>
    </row>
    <row r="65" spans="1:13">
      <c r="A65" s="745">
        <v>63</v>
      </c>
      <c r="B65" s="754" t="s">
        <v>825</v>
      </c>
      <c r="C65" s="755">
        <v>1</v>
      </c>
      <c r="D65" s="776">
        <v>280000</v>
      </c>
      <c r="E65" s="768">
        <f t="shared" si="6"/>
        <v>280000</v>
      </c>
      <c r="F65" s="754" t="s">
        <v>426</v>
      </c>
      <c r="G65" s="766" t="s">
        <v>464</v>
      </c>
      <c r="H65" s="769" t="s">
        <v>490</v>
      </c>
      <c r="I65" s="743"/>
      <c r="J65" s="744"/>
      <c r="K65" s="744"/>
      <c r="L65" s="744"/>
      <c r="M65" s="744"/>
    </row>
    <row r="66" spans="1:13">
      <c r="A66" s="745">
        <v>64</v>
      </c>
      <c r="B66" s="754" t="s">
        <v>826</v>
      </c>
      <c r="C66" s="755">
        <v>1</v>
      </c>
      <c r="D66" s="776">
        <v>15000</v>
      </c>
      <c r="E66" s="768">
        <f t="shared" si="6"/>
        <v>15000</v>
      </c>
      <c r="F66" s="754" t="s">
        <v>426</v>
      </c>
      <c r="G66" s="766" t="s">
        <v>464</v>
      </c>
      <c r="H66" s="769" t="s">
        <v>490</v>
      </c>
      <c r="I66" s="743"/>
      <c r="J66" s="744"/>
      <c r="K66" s="744"/>
      <c r="L66" s="744"/>
      <c r="M66" s="744"/>
    </row>
    <row r="67" spans="1:13">
      <c r="A67" s="745">
        <v>65</v>
      </c>
      <c r="B67" s="754" t="s">
        <v>827</v>
      </c>
      <c r="C67" s="755">
        <v>1</v>
      </c>
      <c r="D67" s="776">
        <v>60000</v>
      </c>
      <c r="E67" s="768">
        <f t="shared" si="6"/>
        <v>60000</v>
      </c>
      <c r="F67" s="754" t="s">
        <v>745</v>
      </c>
      <c r="G67" s="766" t="s">
        <v>464</v>
      </c>
      <c r="H67" s="769" t="s">
        <v>490</v>
      </c>
      <c r="I67" s="743"/>
      <c r="J67" s="744"/>
      <c r="K67" s="744"/>
      <c r="L67" s="744"/>
      <c r="M67" s="744"/>
    </row>
    <row r="68" spans="1:13">
      <c r="A68" s="745">
        <v>66</v>
      </c>
      <c r="B68" s="754" t="s">
        <v>829</v>
      </c>
      <c r="C68" s="755">
        <v>2</v>
      </c>
      <c r="D68" s="776">
        <v>49950</v>
      </c>
      <c r="E68" s="768">
        <f t="shared" si="6"/>
        <v>99900</v>
      </c>
      <c r="F68" s="754" t="s">
        <v>856</v>
      </c>
      <c r="G68" s="766" t="s">
        <v>464</v>
      </c>
      <c r="H68" s="769" t="s">
        <v>490</v>
      </c>
      <c r="I68" s="743"/>
      <c r="J68" s="744"/>
      <c r="K68" s="744"/>
      <c r="L68" s="744"/>
      <c r="M68" s="744"/>
    </row>
    <row r="69" spans="1:13">
      <c r="A69" s="745">
        <v>67</v>
      </c>
      <c r="B69" s="754" t="s">
        <v>830</v>
      </c>
      <c r="C69" s="755">
        <v>1</v>
      </c>
      <c r="D69" s="776">
        <v>850000</v>
      </c>
      <c r="E69" s="768">
        <f t="shared" si="6"/>
        <v>850000</v>
      </c>
      <c r="F69" s="754" t="s">
        <v>857</v>
      </c>
      <c r="G69" s="766" t="s">
        <v>464</v>
      </c>
      <c r="H69" s="769" t="s">
        <v>490</v>
      </c>
      <c r="I69" s="743"/>
      <c r="J69" s="744"/>
      <c r="K69" s="744"/>
      <c r="L69" s="744"/>
      <c r="M69" s="744"/>
    </row>
    <row r="70" spans="1:13">
      <c r="A70" s="745">
        <v>68</v>
      </c>
      <c r="B70" s="754" t="s">
        <v>832</v>
      </c>
      <c r="C70" s="755">
        <v>1</v>
      </c>
      <c r="D70" s="776">
        <v>30000</v>
      </c>
      <c r="E70" s="768">
        <f t="shared" si="6"/>
        <v>30000</v>
      </c>
      <c r="F70" s="754" t="s">
        <v>604</v>
      </c>
      <c r="G70" s="766" t="s">
        <v>464</v>
      </c>
      <c r="H70" s="769" t="s">
        <v>490</v>
      </c>
      <c r="I70" s="743"/>
      <c r="J70" s="744"/>
      <c r="K70" s="744"/>
      <c r="L70" s="744"/>
      <c r="M70" s="744"/>
    </row>
    <row r="71" spans="1:13">
      <c r="A71" s="745">
        <v>69</v>
      </c>
      <c r="B71" s="754" t="s">
        <v>833</v>
      </c>
      <c r="C71" s="755">
        <v>1</v>
      </c>
      <c r="D71" s="776">
        <v>14000</v>
      </c>
      <c r="E71" s="768">
        <f t="shared" si="6"/>
        <v>14000</v>
      </c>
      <c r="F71" s="754" t="s">
        <v>604</v>
      </c>
      <c r="G71" s="766" t="s">
        <v>464</v>
      </c>
      <c r="H71" s="769" t="s">
        <v>490</v>
      </c>
      <c r="I71" s="743"/>
      <c r="J71" s="744"/>
      <c r="K71" s="744"/>
      <c r="L71" s="744"/>
      <c r="M71" s="744"/>
    </row>
    <row r="72" spans="1:13">
      <c r="A72" s="745">
        <v>70</v>
      </c>
      <c r="B72" s="754" t="s">
        <v>834</v>
      </c>
      <c r="C72" s="755">
        <v>1</v>
      </c>
      <c r="D72" s="776">
        <v>5000</v>
      </c>
      <c r="E72" s="768">
        <f t="shared" si="6"/>
        <v>5000</v>
      </c>
      <c r="F72" s="754" t="s">
        <v>604</v>
      </c>
      <c r="G72" s="766" t="s">
        <v>464</v>
      </c>
      <c r="H72" s="769" t="s">
        <v>490</v>
      </c>
      <c r="I72" s="743"/>
      <c r="J72" s="744"/>
      <c r="K72" s="744"/>
      <c r="L72" s="744"/>
      <c r="M72" s="744"/>
    </row>
    <row r="73" spans="1:13">
      <c r="A73" s="745">
        <v>71</v>
      </c>
      <c r="B73" s="754" t="s">
        <v>835</v>
      </c>
      <c r="C73" s="755">
        <v>1</v>
      </c>
      <c r="D73" s="776">
        <v>350000</v>
      </c>
      <c r="E73" s="768">
        <f t="shared" si="6"/>
        <v>350000</v>
      </c>
      <c r="F73" s="754" t="s">
        <v>721</v>
      </c>
      <c r="G73" s="766" t="s">
        <v>464</v>
      </c>
      <c r="H73" s="769" t="s">
        <v>490</v>
      </c>
      <c r="I73" s="743"/>
      <c r="J73" s="744"/>
      <c r="K73" s="744"/>
      <c r="L73" s="744"/>
      <c r="M73" s="744"/>
    </row>
    <row r="74" spans="1:13">
      <c r="A74" s="745">
        <v>72</v>
      </c>
      <c r="B74" s="754" t="s">
        <v>190</v>
      </c>
      <c r="C74" s="755">
        <v>1</v>
      </c>
      <c r="D74" s="776">
        <v>579900</v>
      </c>
      <c r="E74" s="768">
        <f t="shared" si="6"/>
        <v>579900</v>
      </c>
      <c r="F74" s="754" t="s">
        <v>422</v>
      </c>
      <c r="G74" s="766" t="s">
        <v>464</v>
      </c>
      <c r="H74" s="769" t="s">
        <v>626</v>
      </c>
      <c r="I74" s="743"/>
      <c r="J74" s="744"/>
      <c r="K74" s="744"/>
      <c r="L74" s="744"/>
      <c r="M74" s="744"/>
    </row>
    <row r="75" spans="1:13">
      <c r="A75" s="745">
        <v>73</v>
      </c>
      <c r="B75" s="754" t="s">
        <v>836</v>
      </c>
      <c r="C75" s="755">
        <v>1</v>
      </c>
      <c r="D75" s="776">
        <v>35100</v>
      </c>
      <c r="E75" s="768">
        <f t="shared" si="6"/>
        <v>35100</v>
      </c>
      <c r="F75" s="754" t="s">
        <v>422</v>
      </c>
      <c r="G75" s="766" t="s">
        <v>464</v>
      </c>
      <c r="H75" s="769" t="s">
        <v>490</v>
      </c>
      <c r="I75" s="743"/>
      <c r="J75" s="744"/>
      <c r="K75" s="744"/>
      <c r="L75" s="744"/>
      <c r="M75" s="744"/>
    </row>
    <row r="76" spans="1:13">
      <c r="A76" s="745">
        <v>74</v>
      </c>
      <c r="B76" s="754" t="s">
        <v>839</v>
      </c>
      <c r="C76" s="755">
        <v>1</v>
      </c>
      <c r="D76" s="776">
        <v>180000</v>
      </c>
      <c r="E76" s="768">
        <f t="shared" si="6"/>
        <v>180000</v>
      </c>
      <c r="F76" s="754" t="s">
        <v>740</v>
      </c>
      <c r="G76" s="766" t="s">
        <v>464</v>
      </c>
      <c r="H76" s="769" t="s">
        <v>490</v>
      </c>
      <c r="I76" s="743"/>
      <c r="J76" s="744"/>
      <c r="K76" s="744"/>
      <c r="L76" s="744"/>
      <c r="M76" s="744"/>
    </row>
    <row r="77" spans="1:13">
      <c r="A77" s="745">
        <v>75</v>
      </c>
      <c r="B77" s="754" t="s">
        <v>864</v>
      </c>
      <c r="C77" s="755">
        <v>1</v>
      </c>
      <c r="D77" s="776">
        <v>74000</v>
      </c>
      <c r="E77" s="768">
        <f t="shared" si="6"/>
        <v>74000</v>
      </c>
      <c r="F77" s="754" t="s">
        <v>858</v>
      </c>
      <c r="G77" s="766" t="s">
        <v>464</v>
      </c>
      <c r="H77" s="769" t="s">
        <v>490</v>
      </c>
      <c r="I77" s="743"/>
      <c r="J77" s="744"/>
      <c r="K77" s="744"/>
      <c r="L77" s="744"/>
      <c r="M77" s="744"/>
    </row>
    <row r="78" spans="1:13">
      <c r="A78" s="745">
        <v>76</v>
      </c>
      <c r="B78" s="754" t="s">
        <v>865</v>
      </c>
      <c r="C78" s="755">
        <v>1</v>
      </c>
      <c r="D78" s="776">
        <v>80000</v>
      </c>
      <c r="E78" s="768">
        <f t="shared" si="6"/>
        <v>80000</v>
      </c>
      <c r="F78" s="754" t="s">
        <v>858</v>
      </c>
      <c r="G78" s="766" t="s">
        <v>464</v>
      </c>
      <c r="H78" s="769" t="s">
        <v>490</v>
      </c>
      <c r="I78" s="743"/>
      <c r="J78" s="744"/>
      <c r="K78" s="744"/>
      <c r="L78" s="744"/>
      <c r="M78" s="744"/>
    </row>
    <row r="79" spans="1:13">
      <c r="A79" s="745">
        <v>77</v>
      </c>
      <c r="B79" s="754" t="s">
        <v>866</v>
      </c>
      <c r="C79" s="755">
        <v>1</v>
      </c>
      <c r="D79" s="776">
        <v>14000</v>
      </c>
      <c r="E79" s="768">
        <f t="shared" si="6"/>
        <v>14000</v>
      </c>
      <c r="F79" s="754" t="s">
        <v>858</v>
      </c>
      <c r="G79" s="766" t="s">
        <v>464</v>
      </c>
      <c r="H79" s="769" t="s">
        <v>490</v>
      </c>
      <c r="I79" s="743"/>
      <c r="J79" s="744"/>
      <c r="K79" s="744"/>
      <c r="L79" s="744"/>
      <c r="M79" s="744"/>
    </row>
    <row r="80" spans="1:13">
      <c r="A80" s="745">
        <v>78</v>
      </c>
      <c r="B80" s="754" t="s">
        <v>841</v>
      </c>
      <c r="C80" s="755">
        <v>1</v>
      </c>
      <c r="D80" s="776">
        <v>405000</v>
      </c>
      <c r="E80" s="768">
        <f t="shared" si="6"/>
        <v>405000</v>
      </c>
      <c r="F80" s="754" t="s">
        <v>431</v>
      </c>
      <c r="G80" s="766" t="s">
        <v>464</v>
      </c>
      <c r="H80" s="769" t="s">
        <v>490</v>
      </c>
      <c r="I80" s="743"/>
      <c r="J80" s="744"/>
      <c r="K80" s="744"/>
      <c r="L80" s="744"/>
      <c r="M80" s="744"/>
    </row>
    <row r="81" spans="1:13">
      <c r="A81" s="745">
        <v>79</v>
      </c>
      <c r="B81" s="754" t="s">
        <v>842</v>
      </c>
      <c r="C81" s="755">
        <v>2</v>
      </c>
      <c r="D81" s="776">
        <v>200000</v>
      </c>
      <c r="E81" s="768">
        <f t="shared" si="6"/>
        <v>400000</v>
      </c>
      <c r="F81" s="754" t="s">
        <v>736</v>
      </c>
      <c r="G81" s="766" t="s">
        <v>464</v>
      </c>
      <c r="H81" s="769" t="s">
        <v>490</v>
      </c>
      <c r="I81" s="743"/>
      <c r="J81" s="744"/>
      <c r="K81" s="744"/>
      <c r="L81" s="744"/>
      <c r="M81" s="744"/>
    </row>
    <row r="82" spans="1:13">
      <c r="A82" s="745">
        <v>80</v>
      </c>
      <c r="B82" s="754" t="s">
        <v>191</v>
      </c>
      <c r="C82" s="755">
        <v>2</v>
      </c>
      <c r="D82" s="776">
        <v>120000</v>
      </c>
      <c r="E82" s="768">
        <f t="shared" si="6"/>
        <v>240000</v>
      </c>
      <c r="F82" s="754" t="s">
        <v>859</v>
      </c>
      <c r="G82" s="766" t="s">
        <v>464</v>
      </c>
      <c r="H82" s="769" t="s">
        <v>490</v>
      </c>
      <c r="I82" s="743"/>
      <c r="J82" s="744"/>
      <c r="K82" s="744"/>
      <c r="L82" s="744"/>
      <c r="M82" s="744"/>
    </row>
    <row r="83" spans="1:13">
      <c r="A83" s="745">
        <v>81</v>
      </c>
      <c r="B83" s="777" t="s">
        <v>1166</v>
      </c>
      <c r="C83" s="778">
        <v>1</v>
      </c>
      <c r="D83" s="779">
        <v>20000</v>
      </c>
      <c r="E83" s="768">
        <f t="shared" si="6"/>
        <v>20000</v>
      </c>
      <c r="F83" s="777" t="s">
        <v>860</v>
      </c>
      <c r="G83" s="766" t="s">
        <v>464</v>
      </c>
      <c r="H83" s="769" t="s">
        <v>490</v>
      </c>
      <c r="I83" s="743"/>
      <c r="J83" s="744"/>
      <c r="K83" s="744"/>
      <c r="L83" s="744"/>
      <c r="M83" s="744"/>
    </row>
    <row r="84" spans="1:13">
      <c r="A84" s="745">
        <v>82</v>
      </c>
      <c r="B84" s="784" t="s">
        <v>1167</v>
      </c>
      <c r="C84" s="786">
        <v>1</v>
      </c>
      <c r="D84" s="768">
        <v>9800</v>
      </c>
      <c r="E84" s="768">
        <f t="shared" si="6"/>
        <v>9800</v>
      </c>
      <c r="F84" s="784" t="s">
        <v>650</v>
      </c>
      <c r="G84" s="766" t="s">
        <v>464</v>
      </c>
      <c r="H84" s="769" t="s">
        <v>1199</v>
      </c>
      <c r="I84" s="743"/>
      <c r="J84" s="744"/>
      <c r="K84" s="744"/>
      <c r="L84" s="744"/>
      <c r="M84" s="744"/>
    </row>
    <row r="85" spans="1:13">
      <c r="A85" s="745">
        <v>83</v>
      </c>
      <c r="B85" s="754" t="s">
        <v>846</v>
      </c>
      <c r="C85" s="755">
        <v>21</v>
      </c>
      <c r="D85" s="776">
        <v>8400</v>
      </c>
      <c r="E85" s="768">
        <f t="shared" si="6"/>
        <v>176400</v>
      </c>
      <c r="F85" s="754" t="s">
        <v>861</v>
      </c>
      <c r="G85" s="766" t="s">
        <v>464</v>
      </c>
      <c r="H85" s="769" t="s">
        <v>490</v>
      </c>
      <c r="I85" s="743"/>
      <c r="J85" s="744"/>
      <c r="K85" s="744"/>
      <c r="L85" s="744"/>
      <c r="M85" s="744"/>
    </row>
    <row r="86" spans="1:13">
      <c r="A86" s="745">
        <v>84</v>
      </c>
      <c r="B86" s="746" t="s">
        <v>1041</v>
      </c>
      <c r="C86" s="745">
        <v>1</v>
      </c>
      <c r="D86" s="767">
        <v>450000</v>
      </c>
      <c r="E86" s="798">
        <f t="shared" si="6"/>
        <v>450000</v>
      </c>
      <c r="F86" s="784" t="s">
        <v>414</v>
      </c>
      <c r="G86" s="766" t="s">
        <v>464</v>
      </c>
      <c r="H86" s="769" t="s">
        <v>490</v>
      </c>
      <c r="I86" s="743"/>
      <c r="J86" s="744"/>
      <c r="K86" s="744"/>
      <c r="L86" s="744"/>
      <c r="M86" s="744"/>
    </row>
    <row r="87" spans="1:13">
      <c r="A87" s="745"/>
      <c r="B87" s="2817" t="s">
        <v>1168</v>
      </c>
      <c r="C87" s="2818"/>
      <c r="D87" s="2819"/>
      <c r="E87" s="799">
        <f>SUM(E3:E86)</f>
        <v>38637518.129999995</v>
      </c>
      <c r="F87" s="784"/>
      <c r="G87" s="766"/>
      <c r="H87" s="769"/>
      <c r="I87" s="743"/>
      <c r="J87" s="744"/>
      <c r="K87" s="744"/>
      <c r="L87" s="744"/>
      <c r="M87" s="744"/>
    </row>
    <row r="88" spans="1:13">
      <c r="A88" s="750">
        <v>107</v>
      </c>
      <c r="B88" s="765" t="s">
        <v>197</v>
      </c>
      <c r="C88" s="745">
        <v>3</v>
      </c>
      <c r="D88" s="800">
        <f>+E88/C88</f>
        <v>278091.66666666669</v>
      </c>
      <c r="E88" s="747">
        <v>834275</v>
      </c>
      <c r="F88" s="746" t="s">
        <v>415</v>
      </c>
      <c r="G88" s="746" t="s">
        <v>728</v>
      </c>
      <c r="H88" s="769" t="s">
        <v>490</v>
      </c>
      <c r="I88" s="743"/>
      <c r="J88" s="744"/>
      <c r="K88" s="744"/>
      <c r="L88" s="744"/>
      <c r="M88" s="744"/>
    </row>
    <row r="89" spans="1:13">
      <c r="A89" s="745">
        <v>120</v>
      </c>
      <c r="B89" s="754" t="s">
        <v>887</v>
      </c>
      <c r="C89" s="755">
        <v>1</v>
      </c>
      <c r="D89" s="776">
        <v>2450.3000000000002</v>
      </c>
      <c r="E89" s="768">
        <f>+C89*D89</f>
        <v>2450.3000000000002</v>
      </c>
      <c r="F89" s="754" t="s">
        <v>852</v>
      </c>
      <c r="G89" s="801" t="s">
        <v>728</v>
      </c>
      <c r="H89" s="769" t="s">
        <v>490</v>
      </c>
      <c r="I89" s="743"/>
      <c r="J89" s="744"/>
      <c r="K89" s="744"/>
      <c r="L89" s="744"/>
      <c r="M89" s="744"/>
    </row>
    <row r="90" spans="1:13">
      <c r="A90" s="745">
        <v>121</v>
      </c>
      <c r="B90" s="754" t="s">
        <v>872</v>
      </c>
      <c r="C90" s="755">
        <v>1</v>
      </c>
      <c r="D90" s="776">
        <v>3900</v>
      </c>
      <c r="E90" s="768">
        <f>+C90*D90</f>
        <v>3900</v>
      </c>
      <c r="F90" s="754" t="s">
        <v>852</v>
      </c>
      <c r="G90" s="801" t="s">
        <v>728</v>
      </c>
      <c r="H90" s="769" t="s">
        <v>490</v>
      </c>
      <c r="I90" s="743"/>
      <c r="J90" s="744"/>
      <c r="K90" s="744"/>
      <c r="L90" s="744"/>
      <c r="M90" s="744"/>
    </row>
    <row r="91" spans="1:13">
      <c r="A91" s="750">
        <v>122</v>
      </c>
      <c r="B91" s="754" t="s">
        <v>873</v>
      </c>
      <c r="C91" s="755">
        <v>1</v>
      </c>
      <c r="D91" s="776">
        <v>3900</v>
      </c>
      <c r="E91" s="768">
        <f>+C91*D91</f>
        <v>3900</v>
      </c>
      <c r="F91" s="754" t="s">
        <v>854</v>
      </c>
      <c r="G91" s="801" t="s">
        <v>728</v>
      </c>
      <c r="H91" s="769" t="s">
        <v>490</v>
      </c>
      <c r="I91" s="743"/>
      <c r="J91" s="744"/>
      <c r="K91" s="744"/>
      <c r="L91" s="744"/>
      <c r="M91" s="744"/>
    </row>
    <row r="92" spans="1:13">
      <c r="A92" s="745">
        <v>123</v>
      </c>
      <c r="B92" s="754" t="s">
        <v>881</v>
      </c>
      <c r="C92" s="755">
        <v>1</v>
      </c>
      <c r="D92" s="776">
        <v>6790</v>
      </c>
      <c r="E92" s="768">
        <f>+C92*D92</f>
        <v>6790</v>
      </c>
      <c r="F92" s="754" t="s">
        <v>743</v>
      </c>
      <c r="G92" s="801" t="s">
        <v>728</v>
      </c>
      <c r="H92" s="769" t="s">
        <v>490</v>
      </c>
      <c r="I92" s="743"/>
      <c r="J92" s="744"/>
      <c r="K92" s="744"/>
      <c r="L92" s="744"/>
      <c r="M92" s="744"/>
    </row>
    <row r="93" spans="1:13">
      <c r="A93" s="750">
        <v>131</v>
      </c>
      <c r="B93" s="754" t="s">
        <v>878</v>
      </c>
      <c r="C93" s="755">
        <v>1</v>
      </c>
      <c r="D93" s="776">
        <v>3900</v>
      </c>
      <c r="E93" s="768">
        <f>+C93*D93</f>
        <v>3900</v>
      </c>
      <c r="F93" s="754" t="s">
        <v>614</v>
      </c>
      <c r="G93" s="801" t="s">
        <v>728</v>
      </c>
      <c r="H93" s="769" t="s">
        <v>490</v>
      </c>
      <c r="I93" s="743"/>
      <c r="J93" s="744"/>
      <c r="K93" s="744"/>
      <c r="L93" s="744"/>
      <c r="M93" s="744"/>
    </row>
    <row r="94" spans="1:13">
      <c r="A94" s="745">
        <v>106</v>
      </c>
      <c r="B94" s="765" t="s">
        <v>193</v>
      </c>
      <c r="C94" s="745">
        <v>1</v>
      </c>
      <c r="D94" s="747">
        <v>2000000</v>
      </c>
      <c r="E94" s="747">
        <f>C94*D94</f>
        <v>2000000</v>
      </c>
      <c r="F94" s="746" t="s">
        <v>430</v>
      </c>
      <c r="G94" s="746" t="s">
        <v>728</v>
      </c>
      <c r="H94" s="769" t="s">
        <v>490</v>
      </c>
      <c r="I94" s="743"/>
      <c r="J94" s="744"/>
      <c r="K94" s="744"/>
      <c r="L94" s="744"/>
      <c r="M94" s="744"/>
    </row>
    <row r="95" spans="1:13">
      <c r="A95" s="745">
        <v>108</v>
      </c>
      <c r="B95" s="801" t="s">
        <v>520</v>
      </c>
      <c r="C95" s="750">
        <v>1</v>
      </c>
      <c r="D95" s="802">
        <v>720000</v>
      </c>
      <c r="E95" s="803">
        <f t="shared" ref="E95:E104" si="7">+C95*D95</f>
        <v>720000</v>
      </c>
      <c r="F95" s="801"/>
      <c r="G95" s="801" t="s">
        <v>728</v>
      </c>
      <c r="H95" s="769" t="s">
        <v>490</v>
      </c>
      <c r="I95" s="743"/>
      <c r="J95" s="744"/>
      <c r="K95" s="744"/>
      <c r="L95" s="744"/>
      <c r="M95" s="744"/>
    </row>
    <row r="96" spans="1:13">
      <c r="A96" s="745">
        <v>109</v>
      </c>
      <c r="B96" s="784" t="s">
        <v>867</v>
      </c>
      <c r="C96" s="786">
        <v>1</v>
      </c>
      <c r="D96" s="768">
        <v>9290</v>
      </c>
      <c r="E96" s="768">
        <f t="shared" si="7"/>
        <v>9290</v>
      </c>
      <c r="F96" s="784" t="s">
        <v>743</v>
      </c>
      <c r="G96" s="766" t="s">
        <v>728</v>
      </c>
      <c r="H96" s="769" t="s">
        <v>490</v>
      </c>
      <c r="I96" s="743"/>
      <c r="J96" s="744"/>
      <c r="K96" s="744"/>
      <c r="L96" s="744"/>
      <c r="M96" s="744"/>
    </row>
    <row r="97" spans="1:13">
      <c r="A97" s="750">
        <v>110</v>
      </c>
      <c r="B97" s="784" t="s">
        <v>868</v>
      </c>
      <c r="C97" s="786">
        <v>12</v>
      </c>
      <c r="D97" s="768">
        <v>39630</v>
      </c>
      <c r="E97" s="768">
        <f t="shared" si="7"/>
        <v>475560</v>
      </c>
      <c r="F97" s="804" t="s">
        <v>888</v>
      </c>
      <c r="G97" s="801" t="s">
        <v>728</v>
      </c>
      <c r="H97" s="769" t="s">
        <v>490</v>
      </c>
      <c r="I97" s="743"/>
      <c r="J97" s="744"/>
      <c r="K97" s="744"/>
      <c r="L97" s="744"/>
      <c r="M97" s="744"/>
    </row>
    <row r="98" spans="1:13">
      <c r="A98" s="745">
        <v>112</v>
      </c>
      <c r="B98" s="754" t="s">
        <v>886</v>
      </c>
      <c r="C98" s="755">
        <v>3</v>
      </c>
      <c r="D98" s="776">
        <v>10500</v>
      </c>
      <c r="E98" s="768">
        <f t="shared" si="7"/>
        <v>31500</v>
      </c>
      <c r="F98" s="784" t="s">
        <v>888</v>
      </c>
      <c r="G98" s="801" t="s">
        <v>728</v>
      </c>
      <c r="H98" s="769" t="s">
        <v>490</v>
      </c>
      <c r="I98" s="743"/>
      <c r="J98" s="744"/>
      <c r="K98" s="744"/>
      <c r="L98" s="744"/>
      <c r="M98" s="744"/>
    </row>
    <row r="99" spans="1:13">
      <c r="A99" s="750">
        <v>113</v>
      </c>
      <c r="B99" s="754" t="s">
        <v>885</v>
      </c>
      <c r="C99" s="755">
        <v>33</v>
      </c>
      <c r="D99" s="776">
        <v>5690</v>
      </c>
      <c r="E99" s="768">
        <f t="shared" si="7"/>
        <v>187770</v>
      </c>
      <c r="F99" s="784" t="s">
        <v>888</v>
      </c>
      <c r="G99" s="801" t="s">
        <v>728</v>
      </c>
      <c r="H99" s="769" t="s">
        <v>490</v>
      </c>
      <c r="I99" s="743"/>
      <c r="J99" s="744"/>
      <c r="K99" s="744"/>
      <c r="L99" s="744"/>
      <c r="M99" s="744"/>
    </row>
    <row r="100" spans="1:13">
      <c r="A100" s="745">
        <v>114</v>
      </c>
      <c r="B100" s="754" t="s">
        <v>884</v>
      </c>
      <c r="C100" s="755">
        <v>33</v>
      </c>
      <c r="D100" s="776">
        <v>3200</v>
      </c>
      <c r="E100" s="768">
        <f t="shared" si="7"/>
        <v>105600</v>
      </c>
      <c r="F100" s="784" t="s">
        <v>888</v>
      </c>
      <c r="G100" s="801" t="s">
        <v>728</v>
      </c>
      <c r="H100" s="769" t="s">
        <v>490</v>
      </c>
      <c r="I100" s="743"/>
      <c r="J100" s="744"/>
      <c r="K100" s="744"/>
      <c r="L100" s="744"/>
      <c r="M100" s="744"/>
    </row>
    <row r="101" spans="1:13">
      <c r="A101" s="745">
        <v>115</v>
      </c>
      <c r="B101" s="754" t="s">
        <v>883</v>
      </c>
      <c r="C101" s="755">
        <v>1</v>
      </c>
      <c r="D101" s="776">
        <v>6400</v>
      </c>
      <c r="E101" s="768">
        <f t="shared" si="7"/>
        <v>6400</v>
      </c>
      <c r="F101" s="784" t="s">
        <v>888</v>
      </c>
      <c r="G101" s="801" t="s">
        <v>728</v>
      </c>
      <c r="H101" s="769" t="s">
        <v>490</v>
      </c>
      <c r="I101" s="743"/>
      <c r="J101" s="744"/>
      <c r="K101" s="744"/>
      <c r="L101" s="744"/>
      <c r="M101" s="744"/>
    </row>
    <row r="102" spans="1:13">
      <c r="A102" s="745">
        <v>127</v>
      </c>
      <c r="B102" s="754" t="s">
        <v>879</v>
      </c>
      <c r="C102" s="755">
        <v>1</v>
      </c>
      <c r="D102" s="776">
        <v>6500</v>
      </c>
      <c r="E102" s="768">
        <f t="shared" si="7"/>
        <v>6500</v>
      </c>
      <c r="F102" s="754" t="s">
        <v>890</v>
      </c>
      <c r="G102" s="801" t="s">
        <v>728</v>
      </c>
      <c r="H102" s="769" t="s">
        <v>490</v>
      </c>
      <c r="I102" s="743"/>
      <c r="J102" s="744"/>
      <c r="K102" s="744"/>
      <c r="L102" s="744"/>
      <c r="M102" s="744"/>
    </row>
    <row r="103" spans="1:13">
      <c r="A103" s="750">
        <v>128</v>
      </c>
      <c r="B103" s="754" t="s">
        <v>880</v>
      </c>
      <c r="C103" s="755">
        <v>1</v>
      </c>
      <c r="D103" s="776">
        <v>4500</v>
      </c>
      <c r="E103" s="768">
        <f t="shared" si="7"/>
        <v>4500</v>
      </c>
      <c r="F103" s="754" t="s">
        <v>890</v>
      </c>
      <c r="G103" s="801" t="s">
        <v>728</v>
      </c>
      <c r="H103" s="769" t="s">
        <v>490</v>
      </c>
      <c r="I103" s="743"/>
      <c r="J103" s="744"/>
      <c r="K103" s="744"/>
      <c r="L103" s="744"/>
      <c r="M103" s="744"/>
    </row>
    <row r="104" spans="1:13">
      <c r="A104" s="745">
        <v>129</v>
      </c>
      <c r="B104" s="754" t="s">
        <v>876</v>
      </c>
      <c r="C104" s="755">
        <v>1</v>
      </c>
      <c r="D104" s="776">
        <v>64000</v>
      </c>
      <c r="E104" s="768">
        <f t="shared" si="7"/>
        <v>64000</v>
      </c>
      <c r="F104" s="754" t="s">
        <v>614</v>
      </c>
      <c r="G104" s="801" t="s">
        <v>728</v>
      </c>
      <c r="H104" s="769" t="s">
        <v>490</v>
      </c>
      <c r="I104" s="743"/>
      <c r="J104" s="744"/>
      <c r="K104" s="744"/>
      <c r="L104" s="744"/>
      <c r="M104" s="744"/>
    </row>
    <row r="105" spans="1:13">
      <c r="A105" s="745"/>
      <c r="B105" s="2820" t="s">
        <v>1169</v>
      </c>
      <c r="C105" s="2821"/>
      <c r="D105" s="2822"/>
      <c r="E105" s="805">
        <f>SUM(E88:E104)</f>
        <v>4466335.3</v>
      </c>
      <c r="F105" s="754"/>
      <c r="G105" s="801"/>
      <c r="H105" s="769"/>
      <c r="I105" s="743"/>
      <c r="J105" s="744"/>
      <c r="K105" s="744"/>
      <c r="L105" s="744"/>
      <c r="M105" s="744"/>
    </row>
    <row r="106" spans="1:13">
      <c r="A106" s="750">
        <v>134</v>
      </c>
      <c r="B106" s="754" t="s">
        <v>892</v>
      </c>
      <c r="C106" s="755">
        <v>1</v>
      </c>
      <c r="D106" s="776">
        <v>4800</v>
      </c>
      <c r="E106" s="803">
        <f>+C106*D106</f>
        <v>4800</v>
      </c>
      <c r="F106" s="754" t="s">
        <v>472</v>
      </c>
      <c r="G106" s="801" t="s">
        <v>731</v>
      </c>
      <c r="H106" s="769" t="s">
        <v>490</v>
      </c>
      <c r="I106" s="743"/>
      <c r="J106" s="744"/>
      <c r="K106" s="744"/>
      <c r="L106" s="744"/>
      <c r="M106" s="744"/>
    </row>
    <row r="107" spans="1:13">
      <c r="A107" s="773">
        <v>135</v>
      </c>
      <c r="B107" s="754" t="s">
        <v>893</v>
      </c>
      <c r="C107" s="755">
        <v>2</v>
      </c>
      <c r="D107" s="776">
        <v>11235</v>
      </c>
      <c r="E107" s="803">
        <f>+C107*D107</f>
        <v>22470</v>
      </c>
      <c r="F107" s="754" t="s">
        <v>472</v>
      </c>
      <c r="G107" s="801" t="s">
        <v>731</v>
      </c>
      <c r="H107" s="769" t="s">
        <v>490</v>
      </c>
      <c r="I107" s="743"/>
      <c r="J107" s="744"/>
      <c r="K107" s="744"/>
      <c r="L107" s="744"/>
      <c r="M107" s="744"/>
    </row>
    <row r="108" spans="1:13">
      <c r="A108" s="750">
        <v>136</v>
      </c>
      <c r="B108" s="754" t="s">
        <v>892</v>
      </c>
      <c r="C108" s="755">
        <v>1</v>
      </c>
      <c r="D108" s="776">
        <v>55533</v>
      </c>
      <c r="E108" s="803">
        <f>+C108*D108</f>
        <v>55533</v>
      </c>
      <c r="F108" s="754" t="s">
        <v>472</v>
      </c>
      <c r="G108" s="801" t="s">
        <v>731</v>
      </c>
      <c r="H108" s="769" t="s">
        <v>490</v>
      </c>
      <c r="I108" s="743"/>
      <c r="J108" s="744"/>
      <c r="K108" s="744"/>
      <c r="L108" s="744"/>
      <c r="M108" s="744"/>
    </row>
    <row r="109" spans="1:13">
      <c r="A109" s="750"/>
      <c r="B109" s="2820" t="s">
        <v>1170</v>
      </c>
      <c r="C109" s="2821"/>
      <c r="D109" s="2822"/>
      <c r="E109" s="806">
        <f>SUM(E106:E108)</f>
        <v>82803</v>
      </c>
      <c r="F109" s="754"/>
      <c r="G109" s="801"/>
      <c r="H109" s="769"/>
      <c r="I109" s="743"/>
      <c r="J109" s="744"/>
      <c r="K109" s="744"/>
      <c r="L109" s="744"/>
      <c r="M109" s="744"/>
    </row>
    <row r="110" spans="1:13" s="764" customFormat="1" ht="69.75">
      <c r="A110" s="758">
        <v>141</v>
      </c>
      <c r="B110" s="807" t="s">
        <v>733</v>
      </c>
      <c r="C110" s="808">
        <v>1</v>
      </c>
      <c r="D110" s="809">
        <v>2500000</v>
      </c>
      <c r="E110" s="810">
        <f>+C110*D110</f>
        <v>2500000</v>
      </c>
      <c r="F110" s="811" t="s">
        <v>471</v>
      </c>
      <c r="G110" s="811" t="s">
        <v>732</v>
      </c>
      <c r="H110" s="748" t="s">
        <v>1205</v>
      </c>
      <c r="I110" s="762"/>
      <c r="J110" s="763"/>
      <c r="K110" s="763"/>
      <c r="L110" s="763"/>
      <c r="M110" s="763"/>
    </row>
    <row r="111" spans="1:13">
      <c r="A111" s="745"/>
      <c r="B111" s="2823" t="s">
        <v>1171</v>
      </c>
      <c r="C111" s="2824"/>
      <c r="D111" s="2825"/>
      <c r="E111" s="806">
        <f>SUM(E110)</f>
        <v>2500000</v>
      </c>
      <c r="F111" s="801"/>
      <c r="G111" s="801"/>
      <c r="H111" s="769"/>
      <c r="I111" s="743"/>
      <c r="J111" s="744"/>
      <c r="K111" s="744"/>
      <c r="L111" s="744"/>
      <c r="M111" s="744"/>
    </row>
    <row r="112" spans="1:13">
      <c r="A112" s="745">
        <v>153</v>
      </c>
      <c r="B112" s="766" t="s">
        <v>487</v>
      </c>
      <c r="C112" s="745">
        <v>2</v>
      </c>
      <c r="D112" s="812">
        <v>1950</v>
      </c>
      <c r="E112" s="813">
        <f t="shared" ref="E112:E119" si="8">+C112*D112</f>
        <v>3900</v>
      </c>
      <c r="F112" s="766" t="s">
        <v>445</v>
      </c>
      <c r="G112" s="766" t="s">
        <v>729</v>
      </c>
      <c r="H112" s="769" t="s">
        <v>1206</v>
      </c>
      <c r="I112" s="743"/>
      <c r="J112" s="744"/>
      <c r="K112" s="744"/>
      <c r="L112" s="744"/>
      <c r="M112" s="744"/>
    </row>
    <row r="113" spans="1:13">
      <c r="A113" s="745">
        <v>154</v>
      </c>
      <c r="B113" s="754" t="s">
        <v>739</v>
      </c>
      <c r="C113" s="755">
        <v>1</v>
      </c>
      <c r="D113" s="776">
        <v>1590</v>
      </c>
      <c r="E113" s="776">
        <f t="shared" si="8"/>
        <v>1590</v>
      </c>
      <c r="F113" s="754" t="s">
        <v>740</v>
      </c>
      <c r="G113" s="801" t="s">
        <v>729</v>
      </c>
      <c r="H113" s="769" t="s">
        <v>1206</v>
      </c>
      <c r="I113" s="743"/>
      <c r="J113" s="744"/>
      <c r="K113" s="744"/>
      <c r="L113" s="744"/>
      <c r="M113" s="744"/>
    </row>
    <row r="114" spans="1:13">
      <c r="A114" s="745">
        <v>159</v>
      </c>
      <c r="B114" s="784" t="s">
        <v>900</v>
      </c>
      <c r="C114" s="786">
        <v>3</v>
      </c>
      <c r="D114" s="768">
        <v>5900</v>
      </c>
      <c r="E114" s="768">
        <f t="shared" si="8"/>
        <v>17700</v>
      </c>
      <c r="F114" s="784" t="s">
        <v>418</v>
      </c>
      <c r="G114" s="766" t="s">
        <v>729</v>
      </c>
      <c r="H114" s="769" t="s">
        <v>490</v>
      </c>
      <c r="I114" s="743"/>
      <c r="J114" s="744"/>
      <c r="K114" s="744"/>
      <c r="L114" s="744"/>
      <c r="M114" s="744"/>
    </row>
    <row r="115" spans="1:13">
      <c r="A115" s="745">
        <v>160</v>
      </c>
      <c r="B115" s="784" t="s">
        <v>901</v>
      </c>
      <c r="C115" s="786">
        <v>1</v>
      </c>
      <c r="D115" s="768">
        <v>76420</v>
      </c>
      <c r="E115" s="768">
        <f t="shared" si="8"/>
        <v>76420</v>
      </c>
      <c r="F115" s="784" t="s">
        <v>418</v>
      </c>
      <c r="G115" s="766" t="s">
        <v>729</v>
      </c>
      <c r="H115" s="769" t="s">
        <v>490</v>
      </c>
      <c r="I115" s="743"/>
      <c r="J115" s="744"/>
      <c r="K115" s="744"/>
      <c r="L115" s="744"/>
      <c r="M115" s="744"/>
    </row>
    <row r="116" spans="1:13">
      <c r="A116" s="745">
        <v>161</v>
      </c>
      <c r="B116" s="754" t="s">
        <v>902</v>
      </c>
      <c r="C116" s="755">
        <v>1</v>
      </c>
      <c r="D116" s="795">
        <v>6100</v>
      </c>
      <c r="E116" s="768">
        <f t="shared" si="8"/>
        <v>6100</v>
      </c>
      <c r="F116" s="754" t="s">
        <v>418</v>
      </c>
      <c r="G116" s="766" t="s">
        <v>729</v>
      </c>
      <c r="H116" s="769" t="s">
        <v>490</v>
      </c>
      <c r="I116" s="743"/>
      <c r="J116" s="744"/>
      <c r="K116" s="744"/>
      <c r="L116" s="744"/>
      <c r="M116" s="744"/>
    </row>
    <row r="117" spans="1:13">
      <c r="A117" s="745">
        <v>164</v>
      </c>
      <c r="B117" s="754" t="s">
        <v>474</v>
      </c>
      <c r="C117" s="755">
        <v>2</v>
      </c>
      <c r="D117" s="776">
        <v>2590</v>
      </c>
      <c r="E117" s="768">
        <f t="shared" si="8"/>
        <v>5180</v>
      </c>
      <c r="F117" s="754" t="s">
        <v>944</v>
      </c>
      <c r="G117" s="766" t="s">
        <v>729</v>
      </c>
      <c r="H117" s="769" t="s">
        <v>490</v>
      </c>
      <c r="I117" s="743"/>
      <c r="J117" s="744"/>
      <c r="K117" s="744"/>
      <c r="L117" s="744"/>
      <c r="M117" s="744"/>
    </row>
    <row r="118" spans="1:13">
      <c r="A118" s="745">
        <v>179</v>
      </c>
      <c r="B118" s="777" t="s">
        <v>914</v>
      </c>
      <c r="C118" s="778">
        <v>1</v>
      </c>
      <c r="D118" s="779">
        <v>36700</v>
      </c>
      <c r="E118" s="768">
        <f t="shared" si="8"/>
        <v>36700</v>
      </c>
      <c r="F118" s="777" t="s">
        <v>852</v>
      </c>
      <c r="G118" s="766" t="s">
        <v>729</v>
      </c>
      <c r="H118" s="769" t="s">
        <v>490</v>
      </c>
      <c r="I118" s="743"/>
      <c r="J118" s="744"/>
      <c r="K118" s="744"/>
      <c r="L118" s="744"/>
      <c r="M118" s="744"/>
    </row>
    <row r="119" spans="1:13">
      <c r="A119" s="745">
        <v>184</v>
      </c>
      <c r="B119" s="777" t="s">
        <v>919</v>
      </c>
      <c r="C119" s="778">
        <v>1</v>
      </c>
      <c r="D119" s="779">
        <v>53200</v>
      </c>
      <c r="E119" s="768">
        <f t="shared" si="8"/>
        <v>53200</v>
      </c>
      <c r="F119" s="777" t="s">
        <v>949</v>
      </c>
      <c r="G119" s="766" t="s">
        <v>729</v>
      </c>
      <c r="H119" s="769" t="s">
        <v>490</v>
      </c>
      <c r="I119" s="743"/>
      <c r="J119" s="744"/>
      <c r="K119" s="744"/>
      <c r="L119" s="744"/>
      <c r="M119" s="744"/>
    </row>
    <row r="120" spans="1:13">
      <c r="A120" s="745">
        <v>185</v>
      </c>
      <c r="B120" s="796" t="s">
        <v>920</v>
      </c>
      <c r="C120" s="755">
        <v>11</v>
      </c>
      <c r="D120" s="782">
        <v>8850</v>
      </c>
      <c r="E120" s="814">
        <v>104164.5</v>
      </c>
      <c r="F120" s="796" t="s">
        <v>743</v>
      </c>
      <c r="G120" s="766" t="s">
        <v>729</v>
      </c>
      <c r="H120" s="769" t="s">
        <v>490</v>
      </c>
      <c r="I120" s="743"/>
      <c r="J120" s="744"/>
      <c r="K120" s="744"/>
      <c r="L120" s="744"/>
      <c r="M120" s="744"/>
    </row>
    <row r="121" spans="1:13">
      <c r="A121" s="745">
        <v>186</v>
      </c>
      <c r="B121" s="754" t="s">
        <v>473</v>
      </c>
      <c r="C121" s="755">
        <v>1</v>
      </c>
      <c r="D121" s="776">
        <v>3400</v>
      </c>
      <c r="E121" s="776">
        <v>3400</v>
      </c>
      <c r="F121" s="754" t="s">
        <v>950</v>
      </c>
      <c r="G121" s="766" t="s">
        <v>729</v>
      </c>
      <c r="H121" s="769" t="s">
        <v>490</v>
      </c>
      <c r="I121" s="743"/>
      <c r="J121" s="744"/>
      <c r="K121" s="744"/>
      <c r="L121" s="744"/>
      <c r="M121" s="744"/>
    </row>
    <row r="122" spans="1:13">
      <c r="A122" s="745">
        <v>187</v>
      </c>
      <c r="B122" s="754" t="s">
        <v>908</v>
      </c>
      <c r="C122" s="755">
        <v>1</v>
      </c>
      <c r="D122" s="776">
        <v>2305.85</v>
      </c>
      <c r="E122" s="776">
        <v>2305.85</v>
      </c>
      <c r="F122" s="754" t="s">
        <v>950</v>
      </c>
      <c r="G122" s="766" t="s">
        <v>729</v>
      </c>
      <c r="H122" s="769" t="s">
        <v>490</v>
      </c>
      <c r="I122" s="743"/>
      <c r="J122" s="744"/>
      <c r="K122" s="744"/>
      <c r="L122" s="744"/>
      <c r="M122" s="744"/>
    </row>
    <row r="123" spans="1:13">
      <c r="A123" s="745">
        <v>188</v>
      </c>
      <c r="B123" s="754" t="s">
        <v>921</v>
      </c>
      <c r="C123" s="755">
        <v>2</v>
      </c>
      <c r="D123" s="776">
        <v>4291.8</v>
      </c>
      <c r="E123" s="768">
        <v>8583.6</v>
      </c>
      <c r="F123" s="754" t="s">
        <v>951</v>
      </c>
      <c r="G123" s="766" t="s">
        <v>729</v>
      </c>
      <c r="H123" s="769" t="s">
        <v>490</v>
      </c>
      <c r="I123" s="743"/>
      <c r="J123" s="744"/>
      <c r="K123" s="744"/>
      <c r="L123" s="744"/>
      <c r="M123" s="744"/>
    </row>
    <row r="124" spans="1:13">
      <c r="A124" s="745">
        <v>191</v>
      </c>
      <c r="B124" s="754" t="s">
        <v>923</v>
      </c>
      <c r="C124" s="755">
        <v>1</v>
      </c>
      <c r="D124" s="776">
        <v>52965</v>
      </c>
      <c r="E124" s="776">
        <v>52965</v>
      </c>
      <c r="F124" s="754" t="s">
        <v>428</v>
      </c>
      <c r="G124" s="766" t="s">
        <v>729</v>
      </c>
      <c r="H124" s="769" t="s">
        <v>490</v>
      </c>
      <c r="I124" s="743"/>
      <c r="J124" s="744"/>
      <c r="K124" s="744"/>
      <c r="L124" s="744"/>
      <c r="M124" s="744"/>
    </row>
    <row r="125" spans="1:13">
      <c r="A125" s="745">
        <v>194</v>
      </c>
      <c r="B125" s="777" t="s">
        <v>926</v>
      </c>
      <c r="C125" s="778">
        <v>1</v>
      </c>
      <c r="D125" s="779">
        <v>8390</v>
      </c>
      <c r="E125" s="797">
        <v>8390</v>
      </c>
      <c r="F125" s="777" t="s">
        <v>414</v>
      </c>
      <c r="G125" s="766" t="s">
        <v>729</v>
      </c>
      <c r="H125" s="769" t="s">
        <v>490</v>
      </c>
      <c r="I125" s="743"/>
      <c r="J125" s="744"/>
      <c r="K125" s="744"/>
      <c r="L125" s="744"/>
      <c r="M125" s="744"/>
    </row>
    <row r="126" spans="1:13">
      <c r="A126" s="745">
        <v>195</v>
      </c>
      <c r="B126" s="754" t="s">
        <v>927</v>
      </c>
      <c r="C126" s="755">
        <v>1</v>
      </c>
      <c r="D126" s="776">
        <v>2198.85</v>
      </c>
      <c r="E126" s="776">
        <v>2198.85</v>
      </c>
      <c r="F126" s="754" t="s">
        <v>414</v>
      </c>
      <c r="G126" s="766" t="s">
        <v>729</v>
      </c>
      <c r="H126" s="769" t="s">
        <v>490</v>
      </c>
      <c r="I126" s="743"/>
      <c r="J126" s="744"/>
      <c r="K126" s="744"/>
      <c r="L126" s="744"/>
      <c r="M126" s="744"/>
    </row>
    <row r="127" spans="1:13">
      <c r="A127" s="745">
        <v>196</v>
      </c>
      <c r="B127" s="754" t="s">
        <v>928</v>
      </c>
      <c r="C127" s="755">
        <v>1</v>
      </c>
      <c r="D127" s="776">
        <v>52965</v>
      </c>
      <c r="E127" s="776">
        <v>52965</v>
      </c>
      <c r="F127" s="754" t="s">
        <v>857</v>
      </c>
      <c r="G127" s="766" t="s">
        <v>729</v>
      </c>
      <c r="H127" s="769" t="s">
        <v>490</v>
      </c>
      <c r="I127" s="743"/>
      <c r="J127" s="744"/>
      <c r="K127" s="744"/>
      <c r="L127" s="744"/>
      <c r="M127" s="744"/>
    </row>
    <row r="128" spans="1:13" s="764" customFormat="1">
      <c r="A128" s="758">
        <v>198</v>
      </c>
      <c r="B128" s="815" t="s">
        <v>930</v>
      </c>
      <c r="C128" s="789">
        <v>1</v>
      </c>
      <c r="D128" s="816">
        <v>14700</v>
      </c>
      <c r="E128" s="816">
        <v>14700</v>
      </c>
      <c r="F128" s="817" t="s">
        <v>955</v>
      </c>
      <c r="G128" s="793" t="s">
        <v>729</v>
      </c>
      <c r="H128" s="753" t="s">
        <v>490</v>
      </c>
      <c r="I128" s="762"/>
      <c r="J128" s="763"/>
      <c r="K128" s="763"/>
      <c r="L128" s="763"/>
      <c r="M128" s="763"/>
    </row>
    <row r="129" spans="1:13" s="764" customFormat="1">
      <c r="A129" s="758">
        <v>199</v>
      </c>
      <c r="B129" s="792" t="s">
        <v>931</v>
      </c>
      <c r="C129" s="789">
        <v>1</v>
      </c>
      <c r="D129" s="790">
        <v>16900</v>
      </c>
      <c r="E129" s="790">
        <v>16900</v>
      </c>
      <c r="F129" s="817" t="s">
        <v>955</v>
      </c>
      <c r="G129" s="793" t="s">
        <v>729</v>
      </c>
      <c r="H129" s="753" t="s">
        <v>490</v>
      </c>
      <c r="I129" s="762"/>
      <c r="J129" s="763"/>
      <c r="K129" s="763"/>
      <c r="L129" s="763"/>
      <c r="M129" s="763"/>
    </row>
    <row r="130" spans="1:13">
      <c r="A130" s="745">
        <v>200</v>
      </c>
      <c r="B130" s="754" t="s">
        <v>932</v>
      </c>
      <c r="C130" s="755">
        <v>1</v>
      </c>
      <c r="D130" s="776">
        <v>27900</v>
      </c>
      <c r="E130" s="776">
        <v>27900</v>
      </c>
      <c r="F130" s="754" t="s">
        <v>422</v>
      </c>
      <c r="G130" s="766" t="s">
        <v>729</v>
      </c>
      <c r="H130" s="769" t="s">
        <v>490</v>
      </c>
      <c r="I130" s="743"/>
      <c r="J130" s="744"/>
      <c r="K130" s="744"/>
      <c r="L130" s="744"/>
      <c r="M130" s="744"/>
    </row>
    <row r="131" spans="1:13">
      <c r="A131" s="745">
        <v>202</v>
      </c>
      <c r="B131" s="754" t="s">
        <v>934</v>
      </c>
      <c r="C131" s="755">
        <v>1</v>
      </c>
      <c r="D131" s="776">
        <v>12500</v>
      </c>
      <c r="E131" s="776">
        <v>12500</v>
      </c>
      <c r="F131" s="754" t="s">
        <v>957</v>
      </c>
      <c r="G131" s="766" t="s">
        <v>729</v>
      </c>
      <c r="H131" s="769" t="s">
        <v>490</v>
      </c>
      <c r="I131" s="743"/>
      <c r="J131" s="744"/>
      <c r="K131" s="744"/>
      <c r="L131" s="744"/>
      <c r="M131" s="744"/>
    </row>
    <row r="132" spans="1:13">
      <c r="A132" s="745">
        <v>203</v>
      </c>
      <c r="B132" s="754" t="s">
        <v>935</v>
      </c>
      <c r="C132" s="755">
        <v>1</v>
      </c>
      <c r="D132" s="776">
        <v>4999</v>
      </c>
      <c r="E132" s="776">
        <v>4999</v>
      </c>
      <c r="F132" s="754" t="s">
        <v>958</v>
      </c>
      <c r="G132" s="766" t="s">
        <v>729</v>
      </c>
      <c r="H132" s="769" t="s">
        <v>490</v>
      </c>
      <c r="I132" s="743"/>
      <c r="J132" s="744"/>
      <c r="K132" s="744"/>
      <c r="L132" s="744"/>
      <c r="M132" s="744"/>
    </row>
    <row r="133" spans="1:13">
      <c r="A133" s="745">
        <v>204</v>
      </c>
      <c r="B133" s="796" t="s">
        <v>936</v>
      </c>
      <c r="C133" s="755">
        <v>1</v>
      </c>
      <c r="D133" s="797">
        <v>16050</v>
      </c>
      <c r="E133" s="797">
        <v>16050</v>
      </c>
      <c r="F133" s="796" t="s">
        <v>740</v>
      </c>
      <c r="G133" s="766" t="s">
        <v>729</v>
      </c>
      <c r="H133" s="769" t="s">
        <v>490</v>
      </c>
      <c r="I133" s="743"/>
      <c r="J133" s="744"/>
      <c r="K133" s="744"/>
      <c r="L133" s="744"/>
      <c r="M133" s="744"/>
    </row>
    <row r="134" spans="1:13">
      <c r="A134" s="745">
        <v>210</v>
      </c>
      <c r="B134" s="754" t="s">
        <v>938</v>
      </c>
      <c r="C134" s="755">
        <v>1</v>
      </c>
      <c r="D134" s="776">
        <v>21590</v>
      </c>
      <c r="E134" s="776">
        <v>21590</v>
      </c>
      <c r="F134" s="754" t="s">
        <v>858</v>
      </c>
      <c r="G134" s="766" t="s">
        <v>729</v>
      </c>
      <c r="H134" s="769" t="s">
        <v>490</v>
      </c>
      <c r="I134" s="743"/>
      <c r="J134" s="744"/>
      <c r="K134" s="744"/>
      <c r="L134" s="744"/>
      <c r="M134" s="744"/>
    </row>
    <row r="135" spans="1:13">
      <c r="A135" s="745">
        <v>211</v>
      </c>
      <c r="B135" s="754" t="s">
        <v>939</v>
      </c>
      <c r="C135" s="755">
        <v>5</v>
      </c>
      <c r="D135" s="776"/>
      <c r="E135" s="2826">
        <v>16340</v>
      </c>
      <c r="F135" s="754" t="s">
        <v>961</v>
      </c>
      <c r="G135" s="766" t="s">
        <v>729</v>
      </c>
      <c r="H135" s="769" t="s">
        <v>490</v>
      </c>
      <c r="I135" s="743"/>
      <c r="J135" s="744"/>
      <c r="K135" s="744"/>
      <c r="L135" s="744"/>
      <c r="M135" s="744"/>
    </row>
    <row r="136" spans="1:13">
      <c r="A136" s="745">
        <v>212</v>
      </c>
      <c r="B136" s="754" t="s">
        <v>940</v>
      </c>
      <c r="C136" s="755">
        <v>1</v>
      </c>
      <c r="D136" s="776"/>
      <c r="E136" s="2827"/>
      <c r="F136" s="754" t="s">
        <v>961</v>
      </c>
      <c r="G136" s="766" t="s">
        <v>729</v>
      </c>
      <c r="H136" s="769" t="s">
        <v>490</v>
      </c>
      <c r="I136" s="743"/>
      <c r="J136" s="744"/>
      <c r="K136" s="744"/>
      <c r="L136" s="744"/>
      <c r="M136" s="744"/>
    </row>
    <row r="137" spans="1:13">
      <c r="A137" s="745">
        <v>213</v>
      </c>
      <c r="B137" s="754" t="s">
        <v>1011</v>
      </c>
      <c r="C137" s="755">
        <v>1</v>
      </c>
      <c r="D137" s="776">
        <v>53500</v>
      </c>
      <c r="E137" s="776">
        <v>53500</v>
      </c>
      <c r="F137" s="754" t="s">
        <v>859</v>
      </c>
      <c r="G137" s="766" t="s">
        <v>729</v>
      </c>
      <c r="H137" s="769" t="s">
        <v>490</v>
      </c>
      <c r="I137" s="743"/>
      <c r="J137" s="744"/>
      <c r="K137" s="744"/>
      <c r="L137" s="744"/>
      <c r="M137" s="744"/>
    </row>
    <row r="138" spans="1:13">
      <c r="A138" s="745">
        <v>214</v>
      </c>
      <c r="B138" s="754" t="s">
        <v>1012</v>
      </c>
      <c r="C138" s="755">
        <v>1</v>
      </c>
      <c r="D138" s="776">
        <v>23800</v>
      </c>
      <c r="E138" s="776">
        <v>23800</v>
      </c>
      <c r="F138" s="754" t="s">
        <v>859</v>
      </c>
      <c r="G138" s="766" t="s">
        <v>729</v>
      </c>
      <c r="H138" s="769" t="s">
        <v>490</v>
      </c>
      <c r="I138" s="743"/>
      <c r="J138" s="744"/>
      <c r="K138" s="744"/>
      <c r="L138" s="744"/>
      <c r="M138" s="744"/>
    </row>
    <row r="139" spans="1:13">
      <c r="A139" s="745">
        <v>215</v>
      </c>
      <c r="B139" s="754" t="s">
        <v>941</v>
      </c>
      <c r="C139" s="755">
        <v>4</v>
      </c>
      <c r="D139" s="776">
        <v>3400</v>
      </c>
      <c r="E139" s="776">
        <v>13600</v>
      </c>
      <c r="F139" s="754" t="s">
        <v>962</v>
      </c>
      <c r="G139" s="766" t="s">
        <v>729</v>
      </c>
      <c r="H139" s="769" t="s">
        <v>490</v>
      </c>
      <c r="I139" s="743"/>
      <c r="J139" s="744"/>
      <c r="K139" s="744"/>
      <c r="L139" s="744"/>
      <c r="M139" s="744"/>
    </row>
    <row r="140" spans="1:13">
      <c r="A140" s="745">
        <v>216</v>
      </c>
      <c r="B140" s="754" t="s">
        <v>942</v>
      </c>
      <c r="C140" s="755">
        <v>1</v>
      </c>
      <c r="D140" s="776">
        <v>16500</v>
      </c>
      <c r="E140" s="776">
        <v>16500</v>
      </c>
      <c r="F140" s="754" t="s">
        <v>415</v>
      </c>
      <c r="G140" s="766" t="s">
        <v>729</v>
      </c>
      <c r="H140" s="769" t="s">
        <v>490</v>
      </c>
      <c r="I140" s="743"/>
      <c r="J140" s="744"/>
      <c r="K140" s="744"/>
      <c r="L140" s="744"/>
      <c r="M140" s="744"/>
    </row>
    <row r="141" spans="1:13">
      <c r="A141" s="745">
        <v>217</v>
      </c>
      <c r="B141" s="754" t="s">
        <v>473</v>
      </c>
      <c r="C141" s="755">
        <v>2</v>
      </c>
      <c r="D141" s="776">
        <v>3400</v>
      </c>
      <c r="E141" s="776">
        <v>6800</v>
      </c>
      <c r="F141" s="754" t="s">
        <v>963</v>
      </c>
      <c r="G141" s="766" t="s">
        <v>729</v>
      </c>
      <c r="H141" s="769" t="s">
        <v>490</v>
      </c>
      <c r="I141" s="743"/>
      <c r="J141" s="744"/>
      <c r="K141" s="744"/>
      <c r="L141" s="744"/>
      <c r="M141" s="744"/>
    </row>
    <row r="142" spans="1:13">
      <c r="A142" s="745">
        <v>218</v>
      </c>
      <c r="B142" s="754" t="s">
        <v>943</v>
      </c>
      <c r="C142" s="755">
        <v>1</v>
      </c>
      <c r="D142" s="776">
        <v>42800</v>
      </c>
      <c r="E142" s="776">
        <v>42800</v>
      </c>
      <c r="F142" s="754" t="s">
        <v>861</v>
      </c>
      <c r="G142" s="766" t="s">
        <v>729</v>
      </c>
      <c r="H142" s="769" t="s">
        <v>490</v>
      </c>
      <c r="I142" s="743"/>
      <c r="J142" s="744"/>
      <c r="K142" s="744"/>
      <c r="L142" s="744"/>
      <c r="M142" s="744"/>
    </row>
    <row r="143" spans="1:13">
      <c r="A143" s="745">
        <v>219</v>
      </c>
      <c r="B143" s="754" t="s">
        <v>908</v>
      </c>
      <c r="C143" s="755">
        <v>1</v>
      </c>
      <c r="D143" s="776">
        <v>1883.2</v>
      </c>
      <c r="E143" s="776">
        <v>1883.2</v>
      </c>
      <c r="F143" s="754" t="s">
        <v>425</v>
      </c>
      <c r="G143" s="766" t="s">
        <v>729</v>
      </c>
      <c r="H143" s="769" t="s">
        <v>490</v>
      </c>
      <c r="I143" s="743"/>
      <c r="J143" s="744"/>
      <c r="K143" s="744"/>
      <c r="L143" s="744"/>
      <c r="M143" s="744"/>
    </row>
    <row r="144" spans="1:13">
      <c r="A144" s="745">
        <v>142</v>
      </c>
      <c r="B144" s="766" t="s">
        <v>447</v>
      </c>
      <c r="C144" s="745">
        <v>2</v>
      </c>
      <c r="D144" s="767">
        <v>495000</v>
      </c>
      <c r="E144" s="767">
        <f t="shared" ref="E144:E162" si="9">+C144*D144</f>
        <v>990000</v>
      </c>
      <c r="F144" s="766" t="s">
        <v>414</v>
      </c>
      <c r="G144" s="766" t="s">
        <v>729</v>
      </c>
      <c r="H144" s="769" t="s">
        <v>490</v>
      </c>
      <c r="I144" s="743"/>
      <c r="J144" s="744"/>
      <c r="K144" s="744"/>
      <c r="L144" s="744"/>
      <c r="M144" s="744"/>
    </row>
    <row r="145" spans="1:13">
      <c r="A145" s="745">
        <v>157</v>
      </c>
      <c r="B145" s="754" t="s">
        <v>1007</v>
      </c>
      <c r="C145" s="755">
        <v>33</v>
      </c>
      <c r="D145" s="776">
        <v>2950</v>
      </c>
      <c r="E145" s="776">
        <f t="shared" si="9"/>
        <v>97350</v>
      </c>
      <c r="F145" s="784" t="s">
        <v>888</v>
      </c>
      <c r="G145" s="766" t="s">
        <v>729</v>
      </c>
      <c r="H145" s="769" t="s">
        <v>490</v>
      </c>
      <c r="I145" s="743"/>
      <c r="J145" s="744"/>
      <c r="K145" s="744"/>
      <c r="L145" s="744"/>
      <c r="M145" s="744"/>
    </row>
    <row r="146" spans="1:13">
      <c r="A146" s="745">
        <v>158</v>
      </c>
      <c r="B146" s="754" t="s">
        <v>1008</v>
      </c>
      <c r="C146" s="755">
        <v>33</v>
      </c>
      <c r="D146" s="776">
        <v>730</v>
      </c>
      <c r="E146" s="776">
        <f t="shared" si="9"/>
        <v>24090</v>
      </c>
      <c r="F146" s="784" t="s">
        <v>888</v>
      </c>
      <c r="G146" s="766" t="s">
        <v>729</v>
      </c>
      <c r="H146" s="769" t="s">
        <v>490</v>
      </c>
      <c r="I146" s="743"/>
      <c r="J146" s="744"/>
      <c r="K146" s="744"/>
      <c r="L146" s="744"/>
      <c r="M146" s="744"/>
    </row>
    <row r="147" spans="1:13">
      <c r="A147" s="745">
        <v>165</v>
      </c>
      <c r="B147" s="754" t="s">
        <v>904</v>
      </c>
      <c r="C147" s="755">
        <v>1</v>
      </c>
      <c r="D147" s="776">
        <v>54500</v>
      </c>
      <c r="E147" s="768">
        <f t="shared" si="9"/>
        <v>54500</v>
      </c>
      <c r="F147" s="754" t="s">
        <v>850</v>
      </c>
      <c r="G147" s="766" t="s">
        <v>729</v>
      </c>
      <c r="H147" s="769" t="s">
        <v>490</v>
      </c>
      <c r="I147" s="743"/>
      <c r="J147" s="744"/>
      <c r="K147" s="744"/>
      <c r="L147" s="744"/>
      <c r="M147" s="744"/>
    </row>
    <row r="148" spans="1:13">
      <c r="A148" s="745">
        <v>166</v>
      </c>
      <c r="B148" s="754" t="s">
        <v>905</v>
      </c>
      <c r="C148" s="755">
        <v>1</v>
      </c>
      <c r="D148" s="776">
        <v>6400</v>
      </c>
      <c r="E148" s="768">
        <f t="shared" si="9"/>
        <v>6400</v>
      </c>
      <c r="F148" s="754" t="s">
        <v>850</v>
      </c>
      <c r="G148" s="766" t="s">
        <v>729</v>
      </c>
      <c r="H148" s="769" t="s">
        <v>490</v>
      </c>
      <c r="I148" s="743"/>
      <c r="J148" s="744"/>
      <c r="K148" s="744"/>
      <c r="L148" s="744"/>
      <c r="M148" s="744"/>
    </row>
    <row r="149" spans="1:13">
      <c r="A149" s="745">
        <v>167</v>
      </c>
      <c r="B149" s="754" t="s">
        <v>906</v>
      </c>
      <c r="C149" s="755">
        <v>1</v>
      </c>
      <c r="D149" s="776">
        <v>36700</v>
      </c>
      <c r="E149" s="768">
        <f t="shared" si="9"/>
        <v>36700</v>
      </c>
      <c r="F149" s="754" t="s">
        <v>850</v>
      </c>
      <c r="G149" s="766" t="s">
        <v>729</v>
      </c>
      <c r="H149" s="769" t="s">
        <v>490</v>
      </c>
      <c r="I149" s="743"/>
      <c r="J149" s="744"/>
      <c r="K149" s="744"/>
      <c r="L149" s="744"/>
      <c r="M149" s="744"/>
    </row>
    <row r="150" spans="1:13">
      <c r="A150" s="745">
        <v>168</v>
      </c>
      <c r="B150" s="754" t="s">
        <v>907</v>
      </c>
      <c r="C150" s="755">
        <v>1</v>
      </c>
      <c r="D150" s="776">
        <v>7200</v>
      </c>
      <c r="E150" s="768">
        <f t="shared" si="9"/>
        <v>7200</v>
      </c>
      <c r="F150" s="754" t="s">
        <v>850</v>
      </c>
      <c r="G150" s="766" t="s">
        <v>729</v>
      </c>
      <c r="H150" s="769" t="s">
        <v>490</v>
      </c>
      <c r="I150" s="743"/>
      <c r="J150" s="744"/>
      <c r="K150" s="744"/>
      <c r="L150" s="744"/>
      <c r="M150" s="744"/>
    </row>
    <row r="151" spans="1:13">
      <c r="A151" s="745">
        <v>169</v>
      </c>
      <c r="B151" s="754" t="s">
        <v>908</v>
      </c>
      <c r="C151" s="755">
        <v>1</v>
      </c>
      <c r="D151" s="776">
        <v>2305.85</v>
      </c>
      <c r="E151" s="768">
        <f t="shared" si="9"/>
        <v>2305.85</v>
      </c>
      <c r="F151" s="754" t="s">
        <v>851</v>
      </c>
      <c r="G151" s="766" t="s">
        <v>729</v>
      </c>
      <c r="H151" s="769" t="s">
        <v>490</v>
      </c>
      <c r="I151" s="743"/>
      <c r="J151" s="744"/>
      <c r="K151" s="744"/>
      <c r="L151" s="744"/>
      <c r="M151" s="744"/>
    </row>
    <row r="152" spans="1:13">
      <c r="A152" s="745">
        <v>170</v>
      </c>
      <c r="B152" s="754" t="s">
        <v>909</v>
      </c>
      <c r="C152" s="755">
        <v>2</v>
      </c>
      <c r="D152" s="776">
        <v>3300</v>
      </c>
      <c r="E152" s="768">
        <f t="shared" si="9"/>
        <v>6600</v>
      </c>
      <c r="F152" s="754" t="s">
        <v>851</v>
      </c>
      <c r="G152" s="766" t="s">
        <v>729</v>
      </c>
      <c r="H152" s="769" t="s">
        <v>490</v>
      </c>
      <c r="I152" s="743"/>
      <c r="J152" s="744"/>
      <c r="K152" s="744"/>
      <c r="L152" s="744"/>
      <c r="M152" s="744"/>
    </row>
    <row r="153" spans="1:13">
      <c r="A153" s="745">
        <v>171</v>
      </c>
      <c r="B153" s="777" t="s">
        <v>910</v>
      </c>
      <c r="C153" s="778">
        <v>1</v>
      </c>
      <c r="D153" s="779">
        <v>5590</v>
      </c>
      <c r="E153" s="768">
        <f t="shared" si="9"/>
        <v>5590</v>
      </c>
      <c r="F153" s="777" t="s">
        <v>945</v>
      </c>
      <c r="G153" s="766" t="s">
        <v>729</v>
      </c>
      <c r="H153" s="769" t="s">
        <v>490</v>
      </c>
      <c r="I153" s="743"/>
      <c r="J153" s="744"/>
      <c r="K153" s="744"/>
      <c r="L153" s="744"/>
      <c r="M153" s="744"/>
    </row>
    <row r="154" spans="1:13">
      <c r="A154" s="745">
        <v>172</v>
      </c>
      <c r="B154" s="754" t="s">
        <v>1009</v>
      </c>
      <c r="C154" s="755">
        <v>1</v>
      </c>
      <c r="D154" s="776">
        <v>28800</v>
      </c>
      <c r="E154" s="768">
        <f t="shared" si="9"/>
        <v>28800</v>
      </c>
      <c r="F154" s="777" t="s">
        <v>945</v>
      </c>
      <c r="G154" s="766" t="s">
        <v>729</v>
      </c>
      <c r="H154" s="769" t="s">
        <v>490</v>
      </c>
      <c r="I154" s="743"/>
      <c r="J154" s="744"/>
      <c r="K154" s="744"/>
      <c r="L154" s="744"/>
      <c r="M154" s="744"/>
    </row>
    <row r="155" spans="1:13">
      <c r="A155" s="745">
        <v>173</v>
      </c>
      <c r="B155" s="754" t="s">
        <v>1010</v>
      </c>
      <c r="C155" s="755">
        <v>1</v>
      </c>
      <c r="D155" s="776">
        <v>15500</v>
      </c>
      <c r="E155" s="768">
        <f t="shared" si="9"/>
        <v>15500</v>
      </c>
      <c r="F155" s="777" t="s">
        <v>945</v>
      </c>
      <c r="G155" s="766" t="s">
        <v>729</v>
      </c>
      <c r="H155" s="769" t="s">
        <v>490</v>
      </c>
      <c r="I155" s="743"/>
      <c r="J155" s="744"/>
      <c r="K155" s="744"/>
      <c r="L155" s="744"/>
      <c r="M155" s="744"/>
    </row>
    <row r="156" spans="1:13">
      <c r="A156" s="745">
        <v>174</v>
      </c>
      <c r="B156" s="754" t="s">
        <v>908</v>
      </c>
      <c r="C156" s="755">
        <v>7</v>
      </c>
      <c r="D156" s="776">
        <v>2204.1999999999998</v>
      </c>
      <c r="E156" s="768">
        <f t="shared" si="9"/>
        <v>15429.399999999998</v>
      </c>
      <c r="F156" s="777" t="s">
        <v>945</v>
      </c>
      <c r="G156" s="766" t="s">
        <v>729</v>
      </c>
      <c r="H156" s="769" t="s">
        <v>490</v>
      </c>
      <c r="I156" s="743"/>
      <c r="J156" s="744"/>
      <c r="K156" s="744"/>
      <c r="L156" s="744"/>
      <c r="M156" s="744"/>
    </row>
    <row r="157" spans="1:13">
      <c r="A157" s="745">
        <v>175</v>
      </c>
      <c r="B157" s="754" t="s">
        <v>908</v>
      </c>
      <c r="C157" s="755">
        <v>1</v>
      </c>
      <c r="D157" s="754">
        <v>2305.85</v>
      </c>
      <c r="E157" s="768">
        <f t="shared" si="9"/>
        <v>2305.85</v>
      </c>
      <c r="F157" s="754" t="s">
        <v>946</v>
      </c>
      <c r="G157" s="766" t="s">
        <v>729</v>
      </c>
      <c r="H157" s="769" t="s">
        <v>490</v>
      </c>
      <c r="I157" s="743"/>
      <c r="J157" s="744"/>
      <c r="K157" s="744"/>
      <c r="L157" s="744"/>
      <c r="M157" s="744"/>
    </row>
    <row r="158" spans="1:13">
      <c r="A158" s="745">
        <v>176</v>
      </c>
      <c r="B158" s="777" t="s">
        <v>911</v>
      </c>
      <c r="C158" s="778">
        <v>1</v>
      </c>
      <c r="D158" s="779">
        <v>31800</v>
      </c>
      <c r="E158" s="768">
        <f t="shared" si="9"/>
        <v>31800</v>
      </c>
      <c r="F158" s="777" t="s">
        <v>946</v>
      </c>
      <c r="G158" s="766" t="s">
        <v>729</v>
      </c>
      <c r="H158" s="769" t="s">
        <v>490</v>
      </c>
      <c r="I158" s="743"/>
      <c r="J158" s="744"/>
      <c r="K158" s="744"/>
      <c r="L158" s="744"/>
      <c r="M158" s="744"/>
    </row>
    <row r="159" spans="1:13">
      <c r="A159" s="745">
        <v>177</v>
      </c>
      <c r="B159" s="754" t="s">
        <v>912</v>
      </c>
      <c r="C159" s="755">
        <v>1</v>
      </c>
      <c r="D159" s="776">
        <v>28800</v>
      </c>
      <c r="E159" s="768">
        <f t="shared" si="9"/>
        <v>28800</v>
      </c>
      <c r="F159" s="754" t="s">
        <v>946</v>
      </c>
      <c r="G159" s="766" t="s">
        <v>729</v>
      </c>
      <c r="H159" s="769" t="s">
        <v>490</v>
      </c>
      <c r="I159" s="743"/>
      <c r="J159" s="744"/>
      <c r="K159" s="744"/>
      <c r="L159" s="744"/>
      <c r="M159" s="744"/>
    </row>
    <row r="160" spans="1:13">
      <c r="A160" s="745">
        <v>181</v>
      </c>
      <c r="B160" s="754" t="s">
        <v>916</v>
      </c>
      <c r="C160" s="755">
        <v>1</v>
      </c>
      <c r="D160" s="776">
        <v>49000</v>
      </c>
      <c r="E160" s="768">
        <f t="shared" si="9"/>
        <v>49000</v>
      </c>
      <c r="F160" s="754" t="s">
        <v>948</v>
      </c>
      <c r="G160" s="766" t="s">
        <v>729</v>
      </c>
      <c r="H160" s="769" t="s">
        <v>490</v>
      </c>
      <c r="I160" s="743"/>
      <c r="J160" s="744"/>
      <c r="K160" s="744"/>
      <c r="L160" s="744"/>
      <c r="M160" s="744"/>
    </row>
    <row r="161" spans="1:13">
      <c r="A161" s="745">
        <v>182</v>
      </c>
      <c r="B161" s="754" t="s">
        <v>917</v>
      </c>
      <c r="C161" s="755">
        <v>1</v>
      </c>
      <c r="D161" s="818">
        <v>2418.1999999999998</v>
      </c>
      <c r="E161" s="768">
        <f t="shared" si="9"/>
        <v>2418.1999999999998</v>
      </c>
      <c r="F161" s="754" t="s">
        <v>948</v>
      </c>
      <c r="G161" s="766" t="s">
        <v>729</v>
      </c>
      <c r="H161" s="769" t="s">
        <v>490</v>
      </c>
      <c r="I161" s="743"/>
      <c r="J161" s="744"/>
      <c r="K161" s="744"/>
      <c r="L161" s="744"/>
      <c r="M161" s="744"/>
    </row>
    <row r="162" spans="1:13">
      <c r="A162" s="745">
        <v>183</v>
      </c>
      <c r="B162" s="754" t="s">
        <v>918</v>
      </c>
      <c r="C162" s="755">
        <v>1</v>
      </c>
      <c r="D162" s="776">
        <v>1808.3</v>
      </c>
      <c r="E162" s="768">
        <f t="shared" si="9"/>
        <v>1808.3</v>
      </c>
      <c r="F162" s="754" t="s">
        <v>949</v>
      </c>
      <c r="G162" s="766" t="s">
        <v>729</v>
      </c>
      <c r="H162" s="769" t="s">
        <v>490</v>
      </c>
      <c r="I162" s="743"/>
      <c r="J162" s="744"/>
      <c r="K162" s="744"/>
      <c r="L162" s="744"/>
      <c r="M162" s="744"/>
    </row>
    <row r="163" spans="1:13">
      <c r="A163" s="745">
        <v>189</v>
      </c>
      <c r="B163" s="754" t="s">
        <v>922</v>
      </c>
      <c r="C163" s="755">
        <v>1</v>
      </c>
      <c r="D163" s="776">
        <v>2305.85</v>
      </c>
      <c r="E163" s="768">
        <v>2305.85</v>
      </c>
      <c r="F163" s="754" t="s">
        <v>952</v>
      </c>
      <c r="G163" s="766" t="s">
        <v>729</v>
      </c>
      <c r="H163" s="769" t="s">
        <v>490</v>
      </c>
      <c r="I163" s="743"/>
      <c r="J163" s="744"/>
      <c r="K163" s="744"/>
      <c r="L163" s="744"/>
      <c r="M163" s="744"/>
    </row>
    <row r="164" spans="1:13">
      <c r="A164" s="745">
        <v>190</v>
      </c>
      <c r="B164" s="754" t="s">
        <v>917</v>
      </c>
      <c r="C164" s="755">
        <v>1</v>
      </c>
      <c r="D164" s="776">
        <v>2590</v>
      </c>
      <c r="E164" s="768">
        <v>2590</v>
      </c>
      <c r="F164" s="754" t="s">
        <v>953</v>
      </c>
      <c r="G164" s="766" t="s">
        <v>729</v>
      </c>
      <c r="H164" s="769" t="s">
        <v>490</v>
      </c>
      <c r="I164" s="743"/>
      <c r="J164" s="744"/>
      <c r="K164" s="744"/>
      <c r="L164" s="744"/>
      <c r="M164" s="744"/>
    </row>
    <row r="165" spans="1:13">
      <c r="A165" s="745">
        <v>192</v>
      </c>
      <c r="B165" s="754" t="s">
        <v>924</v>
      </c>
      <c r="C165" s="755">
        <v>5</v>
      </c>
      <c r="D165" s="776">
        <v>9580</v>
      </c>
      <c r="E165" s="776">
        <v>47900</v>
      </c>
      <c r="F165" s="754" t="s">
        <v>426</v>
      </c>
      <c r="G165" s="766" t="s">
        <v>729</v>
      </c>
      <c r="H165" s="769" t="s">
        <v>490</v>
      </c>
      <c r="I165" s="743"/>
      <c r="J165" s="744"/>
      <c r="K165" s="744"/>
      <c r="L165" s="744"/>
      <c r="M165" s="744"/>
    </row>
    <row r="166" spans="1:13">
      <c r="A166" s="745">
        <v>193</v>
      </c>
      <c r="B166" s="754" t="s">
        <v>925</v>
      </c>
      <c r="C166" s="755">
        <v>4</v>
      </c>
      <c r="D166" s="776">
        <v>6690</v>
      </c>
      <c r="E166" s="776">
        <v>26760</v>
      </c>
      <c r="F166" s="754" t="s">
        <v>856</v>
      </c>
      <c r="G166" s="766" t="s">
        <v>729</v>
      </c>
      <c r="H166" s="769" t="s">
        <v>490</v>
      </c>
      <c r="I166" s="743"/>
      <c r="J166" s="744"/>
      <c r="K166" s="744"/>
      <c r="L166" s="744"/>
      <c r="M166" s="744"/>
    </row>
    <row r="167" spans="1:13">
      <c r="A167" s="745">
        <v>205</v>
      </c>
      <c r="B167" s="754" t="s">
        <v>1040</v>
      </c>
      <c r="C167" s="755">
        <v>1</v>
      </c>
      <c r="D167" s="776">
        <v>45500</v>
      </c>
      <c r="E167" s="776">
        <v>45500</v>
      </c>
      <c r="F167" s="754" t="s">
        <v>959</v>
      </c>
      <c r="G167" s="766" t="s">
        <v>729</v>
      </c>
      <c r="H167" s="769" t="s">
        <v>490</v>
      </c>
      <c r="I167" s="743"/>
      <c r="J167" s="744"/>
      <c r="K167" s="744"/>
      <c r="L167" s="744"/>
      <c r="M167" s="744"/>
    </row>
    <row r="168" spans="1:13">
      <c r="A168" s="745">
        <v>206</v>
      </c>
      <c r="B168" s="754" t="s">
        <v>1013</v>
      </c>
      <c r="C168" s="755">
        <v>1</v>
      </c>
      <c r="D168" s="776">
        <v>12000</v>
      </c>
      <c r="E168" s="776">
        <v>12000</v>
      </c>
      <c r="F168" s="754" t="s">
        <v>959</v>
      </c>
      <c r="G168" s="766" t="s">
        <v>729</v>
      </c>
      <c r="H168" s="769" t="s">
        <v>490</v>
      </c>
      <c r="I168" s="743"/>
      <c r="J168" s="744"/>
      <c r="K168" s="744"/>
      <c r="L168" s="744"/>
      <c r="M168" s="744"/>
    </row>
    <row r="169" spans="1:13">
      <c r="A169" s="745">
        <v>209</v>
      </c>
      <c r="B169" s="754" t="s">
        <v>911</v>
      </c>
      <c r="C169" s="755">
        <v>2</v>
      </c>
      <c r="D169" s="776">
        <v>50250</v>
      </c>
      <c r="E169" s="779">
        <v>100500</v>
      </c>
      <c r="F169" s="754" t="s">
        <v>614</v>
      </c>
      <c r="G169" s="766" t="s">
        <v>729</v>
      </c>
      <c r="H169" s="769" t="s">
        <v>490</v>
      </c>
      <c r="I169" s="743"/>
      <c r="J169" s="744"/>
      <c r="K169" s="744"/>
      <c r="L169" s="744"/>
      <c r="M169" s="744"/>
    </row>
    <row r="170" spans="1:13">
      <c r="A170" s="745">
        <v>220</v>
      </c>
      <c r="B170" s="754" t="s">
        <v>473</v>
      </c>
      <c r="C170" s="755">
        <v>1</v>
      </c>
      <c r="D170" s="776">
        <v>3400</v>
      </c>
      <c r="E170" s="776">
        <v>3400</v>
      </c>
      <c r="F170" s="754" t="s">
        <v>964</v>
      </c>
      <c r="G170" s="766" t="s">
        <v>729</v>
      </c>
      <c r="H170" s="769" t="s">
        <v>490</v>
      </c>
      <c r="I170" s="743"/>
      <c r="J170" s="744"/>
      <c r="K170" s="744"/>
      <c r="L170" s="744"/>
      <c r="M170" s="744"/>
    </row>
    <row r="171" spans="1:13">
      <c r="A171" s="745"/>
      <c r="B171" s="2820" t="s">
        <v>1172</v>
      </c>
      <c r="C171" s="2821"/>
      <c r="D171" s="2822"/>
      <c r="E171" s="819">
        <f>SUM(E112:E170)</f>
        <v>2373178.4500000002</v>
      </c>
      <c r="F171" s="754"/>
      <c r="G171" s="766"/>
      <c r="H171" s="769"/>
      <c r="I171" s="743"/>
      <c r="J171" s="744"/>
      <c r="K171" s="744"/>
      <c r="L171" s="744"/>
      <c r="M171" s="744"/>
    </row>
    <row r="172" spans="1:13">
      <c r="A172" s="745">
        <v>222</v>
      </c>
      <c r="B172" s="765" t="s">
        <v>194</v>
      </c>
      <c r="C172" s="745">
        <v>1</v>
      </c>
      <c r="D172" s="747">
        <v>381027</v>
      </c>
      <c r="E172" s="747">
        <f>C172*D172</f>
        <v>381027</v>
      </c>
      <c r="F172" s="746" t="s">
        <v>417</v>
      </c>
      <c r="G172" s="746" t="s">
        <v>730</v>
      </c>
      <c r="H172" s="769"/>
      <c r="I172" s="743"/>
      <c r="J172" s="744"/>
      <c r="K172" s="744"/>
      <c r="L172" s="744"/>
      <c r="M172" s="744"/>
    </row>
    <row r="173" spans="1:13" s="764" customFormat="1" ht="46.5">
      <c r="A173" s="758">
        <v>224</v>
      </c>
      <c r="B173" s="788" t="s">
        <v>1189</v>
      </c>
      <c r="C173" s="789">
        <v>6</v>
      </c>
      <c r="D173" s="820">
        <v>8470</v>
      </c>
      <c r="E173" s="821">
        <v>50820</v>
      </c>
      <c r="F173" s="792" t="s">
        <v>584</v>
      </c>
      <c r="G173" s="792" t="s">
        <v>730</v>
      </c>
      <c r="H173" s="769" t="s">
        <v>490</v>
      </c>
      <c r="I173" s="762"/>
      <c r="J173" s="763"/>
      <c r="K173" s="763"/>
      <c r="L173" s="763"/>
      <c r="M173" s="763"/>
    </row>
    <row r="174" spans="1:13">
      <c r="A174" s="745">
        <v>227</v>
      </c>
      <c r="B174" s="785" t="s">
        <v>530</v>
      </c>
      <c r="C174" s="786">
        <v>1</v>
      </c>
      <c r="D174" s="822">
        <v>2000000</v>
      </c>
      <c r="E174" s="823">
        <f>+C174*D174</f>
        <v>2000000</v>
      </c>
      <c r="F174" s="783" t="s">
        <v>532</v>
      </c>
      <c r="G174" s="783" t="s">
        <v>730</v>
      </c>
      <c r="H174" s="769" t="s">
        <v>490</v>
      </c>
      <c r="I174" s="743"/>
      <c r="J174" s="744"/>
      <c r="K174" s="744"/>
      <c r="L174" s="744"/>
      <c r="M174" s="744"/>
    </row>
    <row r="175" spans="1:13">
      <c r="A175" s="745">
        <v>229</v>
      </c>
      <c r="B175" s="824" t="s">
        <v>525</v>
      </c>
      <c r="C175" s="786">
        <v>1</v>
      </c>
      <c r="D175" s="822">
        <v>100000</v>
      </c>
      <c r="E175" s="823">
        <v>100000</v>
      </c>
      <c r="F175" s="783" t="s">
        <v>532</v>
      </c>
      <c r="G175" s="783" t="s">
        <v>730</v>
      </c>
      <c r="H175" s="825" t="s">
        <v>490</v>
      </c>
      <c r="I175" s="743"/>
      <c r="J175" s="744"/>
      <c r="K175" s="744"/>
      <c r="L175" s="744"/>
      <c r="M175" s="744"/>
    </row>
    <row r="176" spans="1:13">
      <c r="A176" s="745">
        <v>231</v>
      </c>
      <c r="B176" s="785" t="s">
        <v>527</v>
      </c>
      <c r="C176" s="826">
        <v>2</v>
      </c>
      <c r="D176" s="827">
        <v>68000</v>
      </c>
      <c r="E176" s="827">
        <f>+C176*D176</f>
        <v>136000</v>
      </c>
      <c r="F176" s="783" t="s">
        <v>532</v>
      </c>
      <c r="G176" s="783" t="s">
        <v>730</v>
      </c>
      <c r="H176" s="825" t="s">
        <v>490</v>
      </c>
      <c r="I176" s="743"/>
      <c r="J176" s="744"/>
      <c r="K176" s="744"/>
      <c r="L176" s="744"/>
      <c r="M176" s="744"/>
    </row>
    <row r="177" spans="1:13" s="764" customFormat="1" ht="23.25" customHeight="1">
      <c r="A177" s="758">
        <v>232</v>
      </c>
      <c r="B177" s="828" t="s">
        <v>734</v>
      </c>
      <c r="C177" s="829">
        <v>1</v>
      </c>
      <c r="D177" s="830">
        <v>800000</v>
      </c>
      <c r="E177" s="830">
        <v>800000</v>
      </c>
      <c r="F177" s="831" t="s">
        <v>532</v>
      </c>
      <c r="G177" s="831" t="s">
        <v>730</v>
      </c>
      <c r="H177" s="832" t="s">
        <v>567</v>
      </c>
      <c r="I177" s="762"/>
      <c r="J177" s="763"/>
      <c r="K177" s="763"/>
      <c r="L177" s="763"/>
      <c r="M177" s="763"/>
    </row>
    <row r="178" spans="1:13">
      <c r="A178" s="745">
        <v>233</v>
      </c>
      <c r="B178" s="833" t="s">
        <v>533</v>
      </c>
      <c r="C178" s="834">
        <v>20</v>
      </c>
      <c r="D178" s="835">
        <v>24000</v>
      </c>
      <c r="E178" s="836">
        <f t="shared" ref="E178:E215" si="10">+C178*D178</f>
        <v>480000</v>
      </c>
      <c r="F178" s="783" t="s">
        <v>532</v>
      </c>
      <c r="G178" s="783" t="s">
        <v>730</v>
      </c>
      <c r="H178" s="769" t="s">
        <v>1207</v>
      </c>
      <c r="I178" s="743"/>
      <c r="J178" s="744"/>
      <c r="K178" s="744"/>
      <c r="L178" s="744"/>
      <c r="M178" s="744"/>
    </row>
    <row r="179" spans="1:13">
      <c r="A179" s="745">
        <v>235</v>
      </c>
      <c r="B179" s="833" t="s">
        <v>534</v>
      </c>
      <c r="C179" s="834">
        <v>15</v>
      </c>
      <c r="D179" s="837">
        <v>7900</v>
      </c>
      <c r="E179" s="798">
        <f t="shared" si="10"/>
        <v>118500</v>
      </c>
      <c r="F179" s="783" t="s">
        <v>532</v>
      </c>
      <c r="G179" s="783" t="s">
        <v>730</v>
      </c>
      <c r="H179" s="769" t="s">
        <v>1207</v>
      </c>
      <c r="I179" s="743"/>
      <c r="J179" s="744"/>
      <c r="K179" s="744"/>
      <c r="L179" s="744"/>
      <c r="M179" s="744"/>
    </row>
    <row r="180" spans="1:13">
      <c r="A180" s="745">
        <v>237</v>
      </c>
      <c r="B180" s="833" t="s">
        <v>536</v>
      </c>
      <c r="C180" s="834">
        <v>50</v>
      </c>
      <c r="D180" s="837">
        <v>4000</v>
      </c>
      <c r="E180" s="798">
        <f t="shared" si="10"/>
        <v>200000</v>
      </c>
      <c r="F180" s="783" t="s">
        <v>532</v>
      </c>
      <c r="G180" s="783" t="s">
        <v>730</v>
      </c>
      <c r="H180" s="769" t="s">
        <v>1207</v>
      </c>
      <c r="I180" s="743"/>
      <c r="J180" s="744"/>
      <c r="K180" s="744"/>
      <c r="L180" s="744"/>
      <c r="M180" s="744"/>
    </row>
    <row r="181" spans="1:13">
      <c r="A181" s="745">
        <v>256</v>
      </c>
      <c r="B181" s="833" t="s">
        <v>760</v>
      </c>
      <c r="C181" s="834">
        <v>1</v>
      </c>
      <c r="D181" s="838">
        <v>10600</v>
      </c>
      <c r="E181" s="798">
        <f t="shared" si="10"/>
        <v>10600</v>
      </c>
      <c r="F181" s="783" t="s">
        <v>532</v>
      </c>
      <c r="G181" s="783" t="s">
        <v>730</v>
      </c>
      <c r="H181" s="839" t="s">
        <v>490</v>
      </c>
      <c r="I181" s="743"/>
      <c r="J181" s="744"/>
      <c r="K181" s="744"/>
      <c r="L181" s="744"/>
      <c r="M181" s="744"/>
    </row>
    <row r="182" spans="1:13">
      <c r="A182" s="745">
        <v>257</v>
      </c>
      <c r="B182" s="833" t="s">
        <v>761</v>
      </c>
      <c r="C182" s="834">
        <v>1</v>
      </c>
      <c r="D182" s="838">
        <v>24300</v>
      </c>
      <c r="E182" s="798">
        <f t="shared" si="10"/>
        <v>24300</v>
      </c>
      <c r="F182" s="783" t="s">
        <v>532</v>
      </c>
      <c r="G182" s="783" t="s">
        <v>730</v>
      </c>
      <c r="H182" s="839" t="s">
        <v>1208</v>
      </c>
      <c r="I182" s="743"/>
      <c r="J182" s="744"/>
      <c r="K182" s="744"/>
      <c r="L182" s="744"/>
      <c r="M182" s="744"/>
    </row>
    <row r="183" spans="1:13">
      <c r="A183" s="745">
        <v>258</v>
      </c>
      <c r="B183" s="833" t="s">
        <v>762</v>
      </c>
      <c r="C183" s="834">
        <v>1</v>
      </c>
      <c r="D183" s="838">
        <v>10516</v>
      </c>
      <c r="E183" s="798">
        <f t="shared" si="10"/>
        <v>10516</v>
      </c>
      <c r="F183" s="783" t="s">
        <v>532</v>
      </c>
      <c r="G183" s="783" t="s">
        <v>730</v>
      </c>
      <c r="H183" s="839" t="s">
        <v>1208</v>
      </c>
      <c r="I183" s="743"/>
      <c r="J183" s="744"/>
      <c r="K183" s="744"/>
      <c r="L183" s="744"/>
      <c r="M183" s="744"/>
    </row>
    <row r="184" spans="1:13">
      <c r="A184" s="745">
        <v>259</v>
      </c>
      <c r="B184" s="833" t="s">
        <v>763</v>
      </c>
      <c r="C184" s="834">
        <v>2</v>
      </c>
      <c r="D184" s="838">
        <v>1700</v>
      </c>
      <c r="E184" s="798">
        <f t="shared" si="10"/>
        <v>3400</v>
      </c>
      <c r="F184" s="783" t="s">
        <v>532</v>
      </c>
      <c r="G184" s="783" t="s">
        <v>730</v>
      </c>
      <c r="H184" s="839" t="s">
        <v>490</v>
      </c>
      <c r="I184" s="743"/>
      <c r="J184" s="744"/>
      <c r="K184" s="744"/>
      <c r="L184" s="744"/>
      <c r="M184" s="744"/>
    </row>
    <row r="185" spans="1:13">
      <c r="A185" s="745">
        <v>260</v>
      </c>
      <c r="B185" s="833" t="s">
        <v>764</v>
      </c>
      <c r="C185" s="834">
        <v>2</v>
      </c>
      <c r="D185" s="838">
        <v>1850</v>
      </c>
      <c r="E185" s="798">
        <f t="shared" si="10"/>
        <v>3700</v>
      </c>
      <c r="F185" s="783" t="s">
        <v>532</v>
      </c>
      <c r="G185" s="783" t="s">
        <v>730</v>
      </c>
      <c r="H185" s="839" t="s">
        <v>490</v>
      </c>
      <c r="I185" s="743"/>
      <c r="J185" s="744"/>
      <c r="K185" s="744"/>
      <c r="L185" s="744"/>
      <c r="M185" s="744"/>
    </row>
    <row r="186" spans="1:13">
      <c r="A186" s="745">
        <v>261</v>
      </c>
      <c r="B186" s="833" t="s">
        <v>765</v>
      </c>
      <c r="C186" s="834">
        <v>2</v>
      </c>
      <c r="D186" s="838">
        <v>3000</v>
      </c>
      <c r="E186" s="798">
        <f t="shared" si="10"/>
        <v>6000</v>
      </c>
      <c r="F186" s="783" t="s">
        <v>532</v>
      </c>
      <c r="G186" s="783" t="s">
        <v>730</v>
      </c>
      <c r="H186" s="839" t="s">
        <v>490</v>
      </c>
      <c r="I186" s="743"/>
      <c r="J186" s="744"/>
      <c r="K186" s="744"/>
      <c r="L186" s="744"/>
      <c r="M186" s="744"/>
    </row>
    <row r="187" spans="1:13">
      <c r="A187" s="745">
        <v>266</v>
      </c>
      <c r="B187" s="754" t="s">
        <v>965</v>
      </c>
      <c r="C187" s="755">
        <v>3</v>
      </c>
      <c r="D187" s="776">
        <v>6900</v>
      </c>
      <c r="E187" s="798">
        <f t="shared" si="10"/>
        <v>20700</v>
      </c>
      <c r="F187" s="754" t="s">
        <v>418</v>
      </c>
      <c r="G187" s="783" t="s">
        <v>730</v>
      </c>
      <c r="H187" s="769" t="s">
        <v>490</v>
      </c>
      <c r="I187" s="743"/>
      <c r="J187" s="744"/>
      <c r="K187" s="744"/>
      <c r="L187" s="744"/>
      <c r="M187" s="744"/>
    </row>
    <row r="188" spans="1:13">
      <c r="A188" s="745">
        <v>268</v>
      </c>
      <c r="B188" s="784" t="s">
        <v>969</v>
      </c>
      <c r="C188" s="786">
        <v>2</v>
      </c>
      <c r="D188" s="768">
        <v>26500</v>
      </c>
      <c r="E188" s="798">
        <f t="shared" si="10"/>
        <v>53000</v>
      </c>
      <c r="F188" s="784" t="s">
        <v>472</v>
      </c>
      <c r="G188" s="783" t="s">
        <v>730</v>
      </c>
      <c r="H188" s="769" t="s">
        <v>490</v>
      </c>
      <c r="I188" s="743"/>
      <c r="J188" s="744"/>
      <c r="K188" s="744"/>
      <c r="L188" s="744"/>
      <c r="M188" s="744"/>
    </row>
    <row r="189" spans="1:13">
      <c r="A189" s="745">
        <v>269</v>
      </c>
      <c r="B189" s="784" t="s">
        <v>1014</v>
      </c>
      <c r="C189" s="786">
        <v>2</v>
      </c>
      <c r="D189" s="768">
        <v>2320</v>
      </c>
      <c r="E189" s="798">
        <f t="shared" si="10"/>
        <v>4640</v>
      </c>
      <c r="F189" s="784" t="s">
        <v>472</v>
      </c>
      <c r="G189" s="783" t="s">
        <v>730</v>
      </c>
      <c r="H189" s="769" t="s">
        <v>490</v>
      </c>
      <c r="I189" s="743"/>
      <c r="J189" s="744"/>
      <c r="K189" s="744"/>
      <c r="L189" s="744"/>
      <c r="M189" s="744"/>
    </row>
    <row r="190" spans="1:13">
      <c r="A190" s="745">
        <v>270</v>
      </c>
      <c r="B190" s="784" t="s">
        <v>1015</v>
      </c>
      <c r="C190" s="786">
        <v>1</v>
      </c>
      <c r="D190" s="768">
        <v>4290</v>
      </c>
      <c r="E190" s="798">
        <f t="shared" si="10"/>
        <v>4290</v>
      </c>
      <c r="F190" s="784" t="s">
        <v>472</v>
      </c>
      <c r="G190" s="783" t="s">
        <v>730</v>
      </c>
      <c r="H190" s="769" t="s">
        <v>490</v>
      </c>
      <c r="I190" s="743"/>
      <c r="J190" s="744"/>
      <c r="K190" s="744"/>
      <c r="L190" s="744"/>
      <c r="M190" s="744"/>
    </row>
    <row r="191" spans="1:13">
      <c r="A191" s="745">
        <v>271</v>
      </c>
      <c r="B191" s="784" t="s">
        <v>1016</v>
      </c>
      <c r="C191" s="786">
        <v>1</v>
      </c>
      <c r="D191" s="768">
        <v>5500</v>
      </c>
      <c r="E191" s="798">
        <f t="shared" si="10"/>
        <v>5500</v>
      </c>
      <c r="F191" s="784" t="s">
        <v>472</v>
      </c>
      <c r="G191" s="783" t="s">
        <v>730</v>
      </c>
      <c r="H191" s="769" t="s">
        <v>490</v>
      </c>
      <c r="I191" s="743"/>
      <c r="J191" s="744"/>
      <c r="K191" s="744"/>
      <c r="L191" s="744"/>
      <c r="M191" s="744"/>
    </row>
    <row r="192" spans="1:13">
      <c r="A192" s="745">
        <v>272</v>
      </c>
      <c r="B192" s="754" t="s">
        <v>969</v>
      </c>
      <c r="C192" s="755">
        <v>1</v>
      </c>
      <c r="D192" s="776">
        <v>26500</v>
      </c>
      <c r="E192" s="798">
        <f t="shared" si="10"/>
        <v>26500</v>
      </c>
      <c r="F192" s="754" t="s">
        <v>472</v>
      </c>
      <c r="G192" s="783" t="s">
        <v>730</v>
      </c>
      <c r="H192" s="769" t="s">
        <v>490</v>
      </c>
      <c r="I192" s="743"/>
      <c r="J192" s="744"/>
      <c r="K192" s="744"/>
      <c r="L192" s="744"/>
      <c r="M192" s="744"/>
    </row>
    <row r="193" spans="1:13">
      <c r="A193" s="745">
        <v>273</v>
      </c>
      <c r="B193" s="754" t="s">
        <v>1017</v>
      </c>
      <c r="C193" s="755">
        <v>1</v>
      </c>
      <c r="D193" s="776">
        <v>2320</v>
      </c>
      <c r="E193" s="798">
        <f t="shared" si="10"/>
        <v>2320</v>
      </c>
      <c r="F193" s="754" t="s">
        <v>472</v>
      </c>
      <c r="G193" s="783" t="s">
        <v>730</v>
      </c>
      <c r="H193" s="769" t="s">
        <v>490</v>
      </c>
      <c r="I193" s="743"/>
      <c r="J193" s="744"/>
      <c r="K193" s="744"/>
      <c r="L193" s="744"/>
      <c r="M193" s="744"/>
    </row>
    <row r="194" spans="1:13">
      <c r="A194" s="745">
        <v>274</v>
      </c>
      <c r="B194" s="754" t="s">
        <v>1018</v>
      </c>
      <c r="C194" s="755">
        <v>1</v>
      </c>
      <c r="D194" s="776">
        <v>7700</v>
      </c>
      <c r="E194" s="798">
        <f t="shared" si="10"/>
        <v>7700</v>
      </c>
      <c r="F194" s="754" t="s">
        <v>472</v>
      </c>
      <c r="G194" s="783" t="s">
        <v>730</v>
      </c>
      <c r="H194" s="769" t="s">
        <v>490</v>
      </c>
      <c r="I194" s="743"/>
      <c r="J194" s="744"/>
      <c r="K194" s="744"/>
      <c r="L194" s="744"/>
      <c r="M194" s="744"/>
    </row>
    <row r="195" spans="1:13">
      <c r="A195" s="745">
        <v>275</v>
      </c>
      <c r="B195" s="754" t="s">
        <v>1019</v>
      </c>
      <c r="C195" s="755">
        <v>1</v>
      </c>
      <c r="D195" s="776">
        <v>26500</v>
      </c>
      <c r="E195" s="798">
        <f t="shared" si="10"/>
        <v>26500</v>
      </c>
      <c r="F195" s="754" t="s">
        <v>981</v>
      </c>
      <c r="G195" s="783" t="s">
        <v>730</v>
      </c>
      <c r="H195" s="769" t="s">
        <v>490</v>
      </c>
      <c r="I195" s="743"/>
      <c r="J195" s="744"/>
      <c r="K195" s="744"/>
      <c r="L195" s="744"/>
      <c r="M195" s="744"/>
    </row>
    <row r="196" spans="1:13">
      <c r="A196" s="745">
        <v>276</v>
      </c>
      <c r="B196" s="754" t="s">
        <v>1014</v>
      </c>
      <c r="C196" s="755">
        <v>1</v>
      </c>
      <c r="D196" s="776">
        <v>2320</v>
      </c>
      <c r="E196" s="798">
        <f t="shared" si="10"/>
        <v>2320</v>
      </c>
      <c r="F196" s="754" t="s">
        <v>981</v>
      </c>
      <c r="G196" s="783" t="s">
        <v>730</v>
      </c>
      <c r="H196" s="769" t="s">
        <v>490</v>
      </c>
      <c r="I196" s="743"/>
      <c r="J196" s="744"/>
      <c r="K196" s="744"/>
      <c r="L196" s="744"/>
      <c r="M196" s="744"/>
    </row>
    <row r="197" spans="1:13" s="764" customFormat="1" ht="46.5">
      <c r="A197" s="758">
        <v>277</v>
      </c>
      <c r="B197" s="788" t="s">
        <v>967</v>
      </c>
      <c r="C197" s="840">
        <v>1</v>
      </c>
      <c r="D197" s="841">
        <v>8990</v>
      </c>
      <c r="E197" s="842">
        <f t="shared" si="10"/>
        <v>8990</v>
      </c>
      <c r="F197" s="788" t="s">
        <v>949</v>
      </c>
      <c r="G197" s="831" t="s">
        <v>730</v>
      </c>
      <c r="H197" s="753" t="s">
        <v>490</v>
      </c>
      <c r="I197" s="762"/>
      <c r="J197" s="763"/>
      <c r="K197" s="763"/>
      <c r="L197" s="763"/>
      <c r="M197" s="763"/>
    </row>
    <row r="198" spans="1:13">
      <c r="A198" s="745">
        <v>279</v>
      </c>
      <c r="B198" s="754" t="s">
        <v>969</v>
      </c>
      <c r="C198" s="755">
        <v>1</v>
      </c>
      <c r="D198" s="838">
        <v>28820</v>
      </c>
      <c r="E198" s="798">
        <f t="shared" si="10"/>
        <v>28820</v>
      </c>
      <c r="F198" s="754" t="s">
        <v>422</v>
      </c>
      <c r="G198" s="783" t="s">
        <v>730</v>
      </c>
      <c r="H198" s="769" t="s">
        <v>490</v>
      </c>
      <c r="I198" s="743"/>
      <c r="J198" s="744"/>
      <c r="K198" s="744"/>
      <c r="L198" s="744"/>
      <c r="M198" s="744"/>
    </row>
    <row r="199" spans="1:13">
      <c r="A199" s="745">
        <v>280</v>
      </c>
      <c r="B199" s="754" t="s">
        <v>1019</v>
      </c>
      <c r="C199" s="755">
        <v>1</v>
      </c>
      <c r="D199" s="776">
        <v>26500</v>
      </c>
      <c r="E199" s="798">
        <f t="shared" si="10"/>
        <v>26500</v>
      </c>
      <c r="F199" s="754" t="s">
        <v>956</v>
      </c>
      <c r="G199" s="783" t="s">
        <v>730</v>
      </c>
      <c r="H199" s="769" t="s">
        <v>490</v>
      </c>
      <c r="I199" s="743"/>
      <c r="J199" s="744"/>
      <c r="K199" s="744"/>
      <c r="L199" s="744"/>
      <c r="M199" s="744"/>
    </row>
    <row r="200" spans="1:13">
      <c r="A200" s="745">
        <v>281</v>
      </c>
      <c r="B200" s="754" t="s">
        <v>1014</v>
      </c>
      <c r="C200" s="755">
        <v>1</v>
      </c>
      <c r="D200" s="776">
        <v>2320</v>
      </c>
      <c r="E200" s="798">
        <f t="shared" si="10"/>
        <v>2320</v>
      </c>
      <c r="F200" s="754" t="s">
        <v>956</v>
      </c>
      <c r="G200" s="783" t="s">
        <v>730</v>
      </c>
      <c r="H200" s="769" t="s">
        <v>490</v>
      </c>
      <c r="I200" s="743"/>
      <c r="J200" s="744"/>
      <c r="K200" s="744"/>
      <c r="L200" s="744"/>
      <c r="M200" s="744"/>
    </row>
    <row r="201" spans="1:13">
      <c r="A201" s="745">
        <v>282</v>
      </c>
      <c r="B201" s="754" t="s">
        <v>1020</v>
      </c>
      <c r="C201" s="755">
        <v>1</v>
      </c>
      <c r="D201" s="776">
        <v>6900</v>
      </c>
      <c r="E201" s="798">
        <f t="shared" si="10"/>
        <v>6900</v>
      </c>
      <c r="F201" s="754" t="s">
        <v>957</v>
      </c>
      <c r="G201" s="783" t="s">
        <v>730</v>
      </c>
      <c r="H201" s="769" t="s">
        <v>490</v>
      </c>
      <c r="I201" s="743"/>
      <c r="J201" s="744"/>
      <c r="K201" s="744"/>
      <c r="L201" s="744"/>
      <c r="M201" s="744"/>
    </row>
    <row r="202" spans="1:13">
      <c r="A202" s="745">
        <v>283</v>
      </c>
      <c r="B202" s="754" t="s">
        <v>468</v>
      </c>
      <c r="C202" s="755">
        <v>1</v>
      </c>
      <c r="D202" s="776">
        <v>10900</v>
      </c>
      <c r="E202" s="798">
        <f t="shared" si="10"/>
        <v>10900</v>
      </c>
      <c r="F202" s="754" t="s">
        <v>957</v>
      </c>
      <c r="G202" s="783" t="s">
        <v>730</v>
      </c>
      <c r="H202" s="769" t="s">
        <v>490</v>
      </c>
      <c r="I202" s="743"/>
      <c r="J202" s="744"/>
      <c r="K202" s="744"/>
      <c r="L202" s="744"/>
      <c r="M202" s="744"/>
    </row>
    <row r="203" spans="1:13">
      <c r="A203" s="745">
        <v>292</v>
      </c>
      <c r="B203" s="754" t="s">
        <v>971</v>
      </c>
      <c r="C203" s="755">
        <v>8</v>
      </c>
      <c r="D203" s="776">
        <v>23125</v>
      </c>
      <c r="E203" s="798">
        <f t="shared" si="10"/>
        <v>185000</v>
      </c>
      <c r="F203" s="754" t="s">
        <v>416</v>
      </c>
      <c r="G203" s="783" t="s">
        <v>730</v>
      </c>
      <c r="H203" s="825" t="s">
        <v>1209</v>
      </c>
      <c r="I203" s="743"/>
      <c r="J203" s="744"/>
      <c r="K203" s="744"/>
      <c r="L203" s="744"/>
      <c r="M203" s="744"/>
    </row>
    <row r="204" spans="1:13">
      <c r="A204" s="745">
        <v>293</v>
      </c>
      <c r="B204" s="754" t="s">
        <v>972</v>
      </c>
      <c r="C204" s="755">
        <v>3</v>
      </c>
      <c r="D204" s="776">
        <v>172805</v>
      </c>
      <c r="E204" s="798">
        <f t="shared" si="10"/>
        <v>518415</v>
      </c>
      <c r="F204" s="754" t="s">
        <v>584</v>
      </c>
      <c r="G204" s="783" t="s">
        <v>730</v>
      </c>
      <c r="H204" s="825" t="s">
        <v>1209</v>
      </c>
      <c r="I204" s="743"/>
      <c r="J204" s="744"/>
      <c r="K204" s="744"/>
      <c r="L204" s="744"/>
      <c r="M204" s="744"/>
    </row>
    <row r="205" spans="1:13">
      <c r="A205" s="745">
        <v>294</v>
      </c>
      <c r="B205" s="784" t="s">
        <v>973</v>
      </c>
      <c r="C205" s="786">
        <v>1</v>
      </c>
      <c r="D205" s="768">
        <v>10690</v>
      </c>
      <c r="E205" s="798">
        <f t="shared" si="10"/>
        <v>10690</v>
      </c>
      <c r="F205" s="784" t="s">
        <v>584</v>
      </c>
      <c r="G205" s="783" t="s">
        <v>730</v>
      </c>
      <c r="H205" s="839" t="s">
        <v>1209</v>
      </c>
      <c r="I205" s="743"/>
      <c r="J205" s="744"/>
      <c r="K205" s="744"/>
      <c r="L205" s="744"/>
      <c r="M205" s="744"/>
    </row>
    <row r="206" spans="1:13">
      <c r="A206" s="745">
        <v>295</v>
      </c>
      <c r="B206" s="754" t="s">
        <v>974</v>
      </c>
      <c r="C206" s="755">
        <v>2</v>
      </c>
      <c r="D206" s="776">
        <v>17560</v>
      </c>
      <c r="E206" s="798">
        <f t="shared" si="10"/>
        <v>35120</v>
      </c>
      <c r="F206" s="754" t="s">
        <v>584</v>
      </c>
      <c r="G206" s="783" t="s">
        <v>730</v>
      </c>
      <c r="H206" s="839" t="s">
        <v>1209</v>
      </c>
      <c r="I206" s="743"/>
      <c r="J206" s="744"/>
      <c r="K206" s="744"/>
      <c r="L206" s="744"/>
      <c r="M206" s="744"/>
    </row>
    <row r="207" spans="1:13">
      <c r="A207" s="745">
        <v>299</v>
      </c>
      <c r="B207" s="754" t="s">
        <v>978</v>
      </c>
      <c r="C207" s="755">
        <v>2</v>
      </c>
      <c r="D207" s="776">
        <v>7220</v>
      </c>
      <c r="E207" s="798">
        <f t="shared" si="10"/>
        <v>14440</v>
      </c>
      <c r="F207" s="754" t="s">
        <v>584</v>
      </c>
      <c r="G207" s="783" t="s">
        <v>730</v>
      </c>
      <c r="H207" s="769" t="s">
        <v>490</v>
      </c>
      <c r="I207" s="743"/>
      <c r="J207" s="744"/>
      <c r="K207" s="744"/>
      <c r="L207" s="744"/>
      <c r="M207" s="744"/>
    </row>
    <row r="208" spans="1:13">
      <c r="A208" s="745">
        <v>302</v>
      </c>
      <c r="B208" s="754" t="s">
        <v>980</v>
      </c>
      <c r="C208" s="755">
        <v>1</v>
      </c>
      <c r="D208" s="776">
        <v>17140</v>
      </c>
      <c r="E208" s="798">
        <f t="shared" si="10"/>
        <v>17140</v>
      </c>
      <c r="F208" s="754" t="s">
        <v>467</v>
      </c>
      <c r="G208" s="783" t="s">
        <v>730</v>
      </c>
      <c r="H208" s="769" t="s">
        <v>490</v>
      </c>
      <c r="I208" s="743"/>
      <c r="J208" s="744"/>
      <c r="K208" s="744"/>
      <c r="L208" s="744"/>
      <c r="M208" s="744"/>
    </row>
    <row r="209" spans="1:13">
      <c r="A209" s="745">
        <v>303</v>
      </c>
      <c r="B209" s="777" t="s">
        <v>969</v>
      </c>
      <c r="C209" s="778">
        <v>9</v>
      </c>
      <c r="D209" s="779">
        <v>24900</v>
      </c>
      <c r="E209" s="798">
        <f t="shared" si="10"/>
        <v>224100</v>
      </c>
      <c r="F209" s="777" t="s">
        <v>961</v>
      </c>
      <c r="G209" s="783" t="s">
        <v>730</v>
      </c>
      <c r="H209" s="769" t="s">
        <v>490</v>
      </c>
      <c r="I209" s="743"/>
      <c r="J209" s="744"/>
      <c r="K209" s="744"/>
      <c r="L209" s="744"/>
      <c r="M209" s="744"/>
    </row>
    <row r="210" spans="1:13">
      <c r="A210" s="745">
        <v>304</v>
      </c>
      <c r="B210" s="754" t="s">
        <v>1019</v>
      </c>
      <c r="C210" s="755">
        <v>1</v>
      </c>
      <c r="D210" s="776">
        <v>26500</v>
      </c>
      <c r="E210" s="798">
        <f t="shared" si="10"/>
        <v>26500</v>
      </c>
      <c r="F210" s="754" t="s">
        <v>983</v>
      </c>
      <c r="G210" s="783" t="s">
        <v>730</v>
      </c>
      <c r="H210" s="769" t="s">
        <v>490</v>
      </c>
      <c r="I210" s="743"/>
      <c r="J210" s="744"/>
      <c r="K210" s="744"/>
      <c r="L210" s="744"/>
      <c r="M210" s="744"/>
    </row>
    <row r="211" spans="1:13">
      <c r="A211" s="745">
        <v>305</v>
      </c>
      <c r="B211" s="754" t="s">
        <v>1014</v>
      </c>
      <c r="C211" s="755">
        <v>1</v>
      </c>
      <c r="D211" s="776">
        <v>2320</v>
      </c>
      <c r="E211" s="798">
        <f t="shared" si="10"/>
        <v>2320</v>
      </c>
      <c r="F211" s="754" t="s">
        <v>983</v>
      </c>
      <c r="G211" s="783" t="s">
        <v>730</v>
      </c>
      <c r="H211" s="769" t="s">
        <v>490</v>
      </c>
      <c r="I211" s="743"/>
      <c r="J211" s="744"/>
      <c r="K211" s="744"/>
      <c r="L211" s="744"/>
      <c r="M211" s="744"/>
    </row>
    <row r="212" spans="1:13">
      <c r="A212" s="745">
        <v>306</v>
      </c>
      <c r="B212" s="754" t="s">
        <v>1019</v>
      </c>
      <c r="C212" s="755">
        <v>1</v>
      </c>
      <c r="D212" s="776">
        <v>26500</v>
      </c>
      <c r="E212" s="798">
        <f t="shared" si="10"/>
        <v>26500</v>
      </c>
      <c r="F212" s="754" t="s">
        <v>984</v>
      </c>
      <c r="G212" s="783" t="s">
        <v>730</v>
      </c>
      <c r="H212" s="769" t="s">
        <v>490</v>
      </c>
      <c r="I212" s="743"/>
      <c r="J212" s="744"/>
      <c r="K212" s="744"/>
      <c r="L212" s="744"/>
      <c r="M212" s="744"/>
    </row>
    <row r="213" spans="1:13">
      <c r="A213" s="745">
        <v>307</v>
      </c>
      <c r="B213" s="754" t="s">
        <v>1014</v>
      </c>
      <c r="C213" s="755">
        <v>1</v>
      </c>
      <c r="D213" s="776">
        <v>2320</v>
      </c>
      <c r="E213" s="798">
        <f t="shared" si="10"/>
        <v>2320</v>
      </c>
      <c r="F213" s="754" t="s">
        <v>984</v>
      </c>
      <c r="G213" s="783" t="s">
        <v>730</v>
      </c>
      <c r="H213" s="769" t="s">
        <v>490</v>
      </c>
      <c r="I213" s="743"/>
      <c r="J213" s="744"/>
      <c r="K213" s="744"/>
      <c r="L213" s="744"/>
      <c r="M213" s="744"/>
    </row>
    <row r="214" spans="1:13">
      <c r="A214" s="745">
        <v>308</v>
      </c>
      <c r="B214" s="754" t="s">
        <v>1028</v>
      </c>
      <c r="C214" s="755">
        <v>1</v>
      </c>
      <c r="D214" s="776">
        <v>6900</v>
      </c>
      <c r="E214" s="798">
        <f t="shared" si="10"/>
        <v>6900</v>
      </c>
      <c r="F214" s="754" t="s">
        <v>984</v>
      </c>
      <c r="G214" s="783" t="s">
        <v>730</v>
      </c>
      <c r="H214" s="769" t="s">
        <v>490</v>
      </c>
      <c r="I214" s="743"/>
      <c r="J214" s="744"/>
      <c r="K214" s="744"/>
      <c r="L214" s="744"/>
      <c r="M214" s="744"/>
    </row>
    <row r="215" spans="1:13">
      <c r="A215" s="745">
        <v>221</v>
      </c>
      <c r="B215" s="749" t="s">
        <v>506</v>
      </c>
      <c r="C215" s="750">
        <v>1</v>
      </c>
      <c r="D215" s="751">
        <v>410490</v>
      </c>
      <c r="E215" s="747">
        <f t="shared" si="10"/>
        <v>410490</v>
      </c>
      <c r="F215" s="752" t="s">
        <v>507</v>
      </c>
      <c r="G215" s="752" t="s">
        <v>730</v>
      </c>
      <c r="H215" s="839" t="s">
        <v>1210</v>
      </c>
      <c r="I215" s="743"/>
      <c r="J215" s="744"/>
      <c r="K215" s="744"/>
      <c r="L215" s="744"/>
      <c r="M215" s="744"/>
    </row>
    <row r="216" spans="1:13">
      <c r="A216" s="745">
        <v>223</v>
      </c>
      <c r="B216" s="749" t="s">
        <v>198</v>
      </c>
      <c r="C216" s="750">
        <v>1</v>
      </c>
      <c r="D216" s="843">
        <v>130000</v>
      </c>
      <c r="E216" s="747">
        <f>C216*D216</f>
        <v>130000</v>
      </c>
      <c r="F216" s="752" t="s">
        <v>416</v>
      </c>
      <c r="G216" s="752" t="s">
        <v>730</v>
      </c>
      <c r="H216" s="769" t="s">
        <v>490</v>
      </c>
      <c r="I216" s="743"/>
      <c r="J216" s="744"/>
      <c r="K216" s="744"/>
      <c r="L216" s="744"/>
      <c r="M216" s="744"/>
    </row>
    <row r="217" spans="1:13" s="764" customFormat="1" ht="46.5">
      <c r="A217" s="758">
        <v>225</v>
      </c>
      <c r="B217" s="844" t="s">
        <v>1190</v>
      </c>
      <c r="C217" s="829">
        <v>1</v>
      </c>
      <c r="D217" s="845">
        <v>9000000</v>
      </c>
      <c r="E217" s="846">
        <f t="shared" ref="E217:E238" si="11">+C217*D217</f>
        <v>9000000</v>
      </c>
      <c r="F217" s="831" t="s">
        <v>532</v>
      </c>
      <c r="G217" s="831" t="s">
        <v>730</v>
      </c>
      <c r="H217" s="832" t="s">
        <v>1211</v>
      </c>
      <c r="I217" s="762"/>
      <c r="J217" s="763"/>
      <c r="K217" s="763"/>
      <c r="L217" s="763"/>
      <c r="M217" s="763"/>
    </row>
    <row r="218" spans="1:13">
      <c r="A218" s="745">
        <v>234</v>
      </c>
      <c r="B218" s="785" t="s">
        <v>648</v>
      </c>
      <c r="C218" s="834">
        <v>5</v>
      </c>
      <c r="D218" s="837">
        <v>40000</v>
      </c>
      <c r="E218" s="798">
        <f t="shared" si="11"/>
        <v>200000</v>
      </c>
      <c r="F218" s="783" t="s">
        <v>532</v>
      </c>
      <c r="G218" s="783" t="s">
        <v>730</v>
      </c>
      <c r="H218" s="839" t="s">
        <v>1209</v>
      </c>
      <c r="I218" s="743"/>
      <c r="J218" s="744"/>
      <c r="K218" s="744"/>
      <c r="L218" s="744"/>
      <c r="M218" s="744"/>
    </row>
    <row r="219" spans="1:13">
      <c r="A219" s="745">
        <v>236</v>
      </c>
      <c r="B219" s="833" t="s">
        <v>535</v>
      </c>
      <c r="C219" s="834">
        <v>5</v>
      </c>
      <c r="D219" s="837">
        <v>29000</v>
      </c>
      <c r="E219" s="798">
        <f t="shared" si="11"/>
        <v>145000</v>
      </c>
      <c r="F219" s="783" t="s">
        <v>532</v>
      </c>
      <c r="G219" s="783" t="s">
        <v>730</v>
      </c>
      <c r="H219" s="769"/>
      <c r="I219" s="743"/>
      <c r="J219" s="744"/>
      <c r="K219" s="744"/>
      <c r="L219" s="744"/>
      <c r="M219" s="744"/>
    </row>
    <row r="220" spans="1:13">
      <c r="A220" s="745">
        <v>238</v>
      </c>
      <c r="B220" s="833" t="s">
        <v>537</v>
      </c>
      <c r="C220" s="834">
        <v>100</v>
      </c>
      <c r="D220" s="837">
        <v>4000</v>
      </c>
      <c r="E220" s="798">
        <f t="shared" si="11"/>
        <v>400000</v>
      </c>
      <c r="F220" s="783" t="s">
        <v>532</v>
      </c>
      <c r="G220" s="783" t="s">
        <v>730</v>
      </c>
      <c r="H220" s="769" t="s">
        <v>1212</v>
      </c>
      <c r="I220" s="743"/>
      <c r="J220" s="744"/>
      <c r="K220" s="744"/>
      <c r="L220" s="744"/>
      <c r="M220" s="744"/>
    </row>
    <row r="221" spans="1:13">
      <c r="A221" s="745">
        <v>239</v>
      </c>
      <c r="B221" s="833" t="s">
        <v>538</v>
      </c>
      <c r="C221" s="834">
        <v>5</v>
      </c>
      <c r="D221" s="837">
        <v>37000</v>
      </c>
      <c r="E221" s="798">
        <f t="shared" si="11"/>
        <v>185000</v>
      </c>
      <c r="F221" s="783" t="s">
        <v>532</v>
      </c>
      <c r="G221" s="783" t="s">
        <v>730</v>
      </c>
      <c r="H221" s="769" t="s">
        <v>1212</v>
      </c>
      <c r="I221" s="743"/>
      <c r="J221" s="744"/>
      <c r="K221" s="744"/>
      <c r="L221" s="744"/>
      <c r="M221" s="744"/>
    </row>
    <row r="222" spans="1:13">
      <c r="A222" s="745">
        <v>240</v>
      </c>
      <c r="B222" s="833" t="s">
        <v>540</v>
      </c>
      <c r="C222" s="834">
        <v>20</v>
      </c>
      <c r="D222" s="837">
        <v>13000</v>
      </c>
      <c r="E222" s="798">
        <f t="shared" si="11"/>
        <v>260000</v>
      </c>
      <c r="F222" s="783" t="s">
        <v>532</v>
      </c>
      <c r="G222" s="783" t="s">
        <v>730</v>
      </c>
      <c r="H222" s="769" t="s">
        <v>1212</v>
      </c>
      <c r="I222" s="743"/>
      <c r="J222" s="744"/>
      <c r="K222" s="744"/>
      <c r="L222" s="744"/>
      <c r="M222" s="744"/>
    </row>
    <row r="223" spans="1:13">
      <c r="A223" s="745">
        <v>242</v>
      </c>
      <c r="B223" s="833" t="s">
        <v>748</v>
      </c>
      <c r="C223" s="834">
        <v>10</v>
      </c>
      <c r="D223" s="847">
        <v>24000</v>
      </c>
      <c r="E223" s="798">
        <f t="shared" si="11"/>
        <v>240000</v>
      </c>
      <c r="F223" s="783" t="s">
        <v>532</v>
      </c>
      <c r="G223" s="783" t="s">
        <v>730</v>
      </c>
      <c r="H223" s="769" t="s">
        <v>1212</v>
      </c>
      <c r="I223" s="743"/>
      <c r="J223" s="744"/>
      <c r="K223" s="744"/>
      <c r="L223" s="744"/>
      <c r="M223" s="744"/>
    </row>
    <row r="224" spans="1:13">
      <c r="A224" s="745">
        <v>243</v>
      </c>
      <c r="B224" s="833" t="s">
        <v>749</v>
      </c>
      <c r="C224" s="834">
        <v>10</v>
      </c>
      <c r="D224" s="847">
        <v>25800</v>
      </c>
      <c r="E224" s="798">
        <f t="shared" si="11"/>
        <v>258000</v>
      </c>
      <c r="F224" s="783" t="s">
        <v>532</v>
      </c>
      <c r="G224" s="783" t="s">
        <v>730</v>
      </c>
      <c r="H224" s="769" t="s">
        <v>1212</v>
      </c>
      <c r="I224" s="743"/>
      <c r="J224" s="744"/>
      <c r="K224" s="744"/>
      <c r="L224" s="744"/>
      <c r="M224" s="744"/>
    </row>
    <row r="225" spans="1:13">
      <c r="A225" s="745">
        <v>244</v>
      </c>
      <c r="B225" s="833" t="s">
        <v>750</v>
      </c>
      <c r="C225" s="834">
        <v>10</v>
      </c>
      <c r="D225" s="847">
        <v>25000</v>
      </c>
      <c r="E225" s="798">
        <f t="shared" si="11"/>
        <v>250000</v>
      </c>
      <c r="F225" s="783" t="s">
        <v>532</v>
      </c>
      <c r="G225" s="783" t="s">
        <v>730</v>
      </c>
      <c r="H225" s="769" t="s">
        <v>490</v>
      </c>
      <c r="I225" s="743"/>
      <c r="J225" s="744"/>
      <c r="K225" s="744"/>
      <c r="L225" s="744"/>
      <c r="M225" s="744"/>
    </row>
    <row r="226" spans="1:13">
      <c r="A226" s="745">
        <v>245</v>
      </c>
      <c r="B226" s="833" t="s">
        <v>751</v>
      </c>
      <c r="C226" s="834">
        <v>2</v>
      </c>
      <c r="D226" s="847">
        <v>32000</v>
      </c>
      <c r="E226" s="798">
        <f t="shared" si="11"/>
        <v>64000</v>
      </c>
      <c r="F226" s="783" t="s">
        <v>532</v>
      </c>
      <c r="G226" s="783" t="s">
        <v>730</v>
      </c>
      <c r="H226" s="825" t="s">
        <v>1209</v>
      </c>
      <c r="I226" s="743"/>
      <c r="J226" s="744"/>
      <c r="K226" s="744"/>
      <c r="L226" s="744"/>
      <c r="M226" s="744"/>
    </row>
    <row r="227" spans="1:13">
      <c r="A227" s="745">
        <v>246</v>
      </c>
      <c r="B227" s="833" t="s">
        <v>752</v>
      </c>
      <c r="C227" s="834">
        <v>5</v>
      </c>
      <c r="D227" s="847">
        <v>23000</v>
      </c>
      <c r="E227" s="798">
        <f t="shared" si="11"/>
        <v>115000</v>
      </c>
      <c r="F227" s="783" t="s">
        <v>532</v>
      </c>
      <c r="G227" s="783" t="s">
        <v>730</v>
      </c>
      <c r="H227" s="825" t="s">
        <v>1209</v>
      </c>
      <c r="I227" s="743"/>
      <c r="J227" s="744"/>
      <c r="K227" s="744"/>
      <c r="L227" s="744"/>
      <c r="M227" s="744"/>
    </row>
    <row r="228" spans="1:13">
      <c r="A228" s="745">
        <v>247</v>
      </c>
      <c r="B228" s="833" t="s">
        <v>753</v>
      </c>
      <c r="C228" s="834">
        <v>10</v>
      </c>
      <c r="D228" s="847">
        <v>6900</v>
      </c>
      <c r="E228" s="798">
        <f t="shared" si="11"/>
        <v>69000</v>
      </c>
      <c r="F228" s="783" t="s">
        <v>532</v>
      </c>
      <c r="G228" s="783" t="s">
        <v>730</v>
      </c>
      <c r="H228" s="769" t="s">
        <v>1212</v>
      </c>
      <c r="I228" s="743"/>
      <c r="J228" s="744"/>
      <c r="K228" s="744"/>
      <c r="L228" s="744"/>
      <c r="M228" s="744"/>
    </row>
    <row r="229" spans="1:13">
      <c r="A229" s="745">
        <v>248</v>
      </c>
      <c r="B229" s="833" t="s">
        <v>534</v>
      </c>
      <c r="C229" s="834">
        <v>10</v>
      </c>
      <c r="D229" s="847">
        <v>6700</v>
      </c>
      <c r="E229" s="798">
        <f t="shared" si="11"/>
        <v>67000</v>
      </c>
      <c r="F229" s="783" t="s">
        <v>532</v>
      </c>
      <c r="G229" s="783" t="s">
        <v>730</v>
      </c>
      <c r="H229" s="769" t="s">
        <v>1212</v>
      </c>
      <c r="I229" s="743"/>
      <c r="J229" s="744"/>
      <c r="K229" s="744"/>
      <c r="L229" s="744"/>
      <c r="M229" s="744"/>
    </row>
    <row r="230" spans="1:13">
      <c r="A230" s="745">
        <v>249</v>
      </c>
      <c r="B230" s="833" t="s">
        <v>754</v>
      </c>
      <c r="C230" s="834">
        <v>10</v>
      </c>
      <c r="D230" s="847">
        <v>8100</v>
      </c>
      <c r="E230" s="798">
        <f t="shared" si="11"/>
        <v>81000</v>
      </c>
      <c r="F230" s="783" t="s">
        <v>532</v>
      </c>
      <c r="G230" s="783" t="s">
        <v>730</v>
      </c>
      <c r="H230" s="769" t="s">
        <v>1212</v>
      </c>
      <c r="I230" s="743"/>
      <c r="J230" s="744"/>
      <c r="K230" s="744"/>
      <c r="L230" s="744"/>
      <c r="M230" s="744"/>
    </row>
    <row r="231" spans="1:13">
      <c r="A231" s="745">
        <v>250</v>
      </c>
      <c r="B231" s="833" t="s">
        <v>755</v>
      </c>
      <c r="C231" s="834">
        <v>10</v>
      </c>
      <c r="D231" s="847">
        <v>10000</v>
      </c>
      <c r="E231" s="798">
        <f t="shared" si="11"/>
        <v>100000</v>
      </c>
      <c r="F231" s="783" t="s">
        <v>532</v>
      </c>
      <c r="G231" s="783" t="s">
        <v>730</v>
      </c>
      <c r="H231" s="769" t="s">
        <v>1212</v>
      </c>
      <c r="I231" s="743"/>
      <c r="J231" s="744"/>
      <c r="K231" s="744"/>
      <c r="L231" s="744"/>
      <c r="M231" s="744"/>
    </row>
    <row r="232" spans="1:13">
      <c r="A232" s="745">
        <v>251</v>
      </c>
      <c r="B232" s="833" t="s">
        <v>756</v>
      </c>
      <c r="C232" s="834">
        <v>30</v>
      </c>
      <c r="D232" s="847">
        <v>2620</v>
      </c>
      <c r="E232" s="798">
        <f t="shared" si="11"/>
        <v>78600</v>
      </c>
      <c r="F232" s="783" t="s">
        <v>532</v>
      </c>
      <c r="G232" s="783" t="s">
        <v>730</v>
      </c>
      <c r="H232" s="769" t="s">
        <v>1212</v>
      </c>
      <c r="I232" s="743"/>
      <c r="J232" s="744"/>
      <c r="K232" s="744"/>
      <c r="L232" s="744"/>
      <c r="M232" s="744"/>
    </row>
    <row r="233" spans="1:13">
      <c r="A233" s="745">
        <v>252</v>
      </c>
      <c r="B233" s="833" t="s">
        <v>757</v>
      </c>
      <c r="C233" s="834">
        <v>10</v>
      </c>
      <c r="D233" s="847">
        <v>8900</v>
      </c>
      <c r="E233" s="798">
        <f t="shared" si="11"/>
        <v>89000</v>
      </c>
      <c r="F233" s="783" t="s">
        <v>532</v>
      </c>
      <c r="G233" s="783" t="s">
        <v>730</v>
      </c>
      <c r="H233" s="839" t="s">
        <v>1209</v>
      </c>
      <c r="I233" s="743"/>
      <c r="J233" s="744"/>
      <c r="K233" s="744"/>
      <c r="L233" s="744"/>
      <c r="M233" s="744"/>
    </row>
    <row r="234" spans="1:13">
      <c r="A234" s="745">
        <v>253</v>
      </c>
      <c r="B234" s="833" t="s">
        <v>1047</v>
      </c>
      <c r="C234" s="834">
        <v>10</v>
      </c>
      <c r="D234" s="847">
        <v>16800</v>
      </c>
      <c r="E234" s="798">
        <f t="shared" si="11"/>
        <v>168000</v>
      </c>
      <c r="F234" s="783" t="s">
        <v>532</v>
      </c>
      <c r="G234" s="783" t="s">
        <v>730</v>
      </c>
      <c r="H234" s="769" t="s">
        <v>490</v>
      </c>
      <c r="I234" s="743"/>
      <c r="J234" s="744"/>
      <c r="K234" s="744"/>
      <c r="L234" s="744"/>
      <c r="M234" s="744"/>
    </row>
    <row r="235" spans="1:13">
      <c r="A235" s="745">
        <v>254</v>
      </c>
      <c r="B235" s="833" t="s">
        <v>758</v>
      </c>
      <c r="C235" s="834">
        <v>10</v>
      </c>
      <c r="D235" s="838">
        <v>5400</v>
      </c>
      <c r="E235" s="798">
        <f t="shared" si="11"/>
        <v>54000</v>
      </c>
      <c r="F235" s="783" t="s">
        <v>532</v>
      </c>
      <c r="G235" s="783" t="s">
        <v>730</v>
      </c>
      <c r="H235" s="839" t="s">
        <v>1209</v>
      </c>
      <c r="I235" s="743"/>
      <c r="J235" s="744"/>
      <c r="K235" s="744"/>
      <c r="L235" s="744"/>
      <c r="M235" s="744"/>
    </row>
    <row r="236" spans="1:13">
      <c r="A236" s="745">
        <v>255</v>
      </c>
      <c r="B236" s="833" t="s">
        <v>759</v>
      </c>
      <c r="C236" s="834">
        <v>4</v>
      </c>
      <c r="D236" s="838">
        <v>22000</v>
      </c>
      <c r="E236" s="798">
        <f t="shared" si="11"/>
        <v>88000</v>
      </c>
      <c r="F236" s="783" t="s">
        <v>532</v>
      </c>
      <c r="G236" s="783" t="s">
        <v>730</v>
      </c>
      <c r="H236" s="769" t="s">
        <v>1212</v>
      </c>
      <c r="I236" s="743"/>
      <c r="J236" s="744"/>
      <c r="K236" s="744"/>
      <c r="L236" s="744"/>
      <c r="M236" s="744"/>
    </row>
    <row r="237" spans="1:13">
      <c r="A237" s="745">
        <v>262</v>
      </c>
      <c r="B237" s="833" t="s">
        <v>766</v>
      </c>
      <c r="C237" s="834">
        <v>2</v>
      </c>
      <c r="D237" s="838">
        <v>919</v>
      </c>
      <c r="E237" s="798">
        <f t="shared" si="11"/>
        <v>1838</v>
      </c>
      <c r="F237" s="783" t="s">
        <v>532</v>
      </c>
      <c r="G237" s="783" t="s">
        <v>730</v>
      </c>
      <c r="H237" s="839" t="s">
        <v>1209</v>
      </c>
      <c r="I237" s="743"/>
      <c r="J237" s="744"/>
      <c r="K237" s="744"/>
      <c r="L237" s="744"/>
      <c r="M237" s="744"/>
    </row>
    <row r="238" spans="1:13">
      <c r="A238" s="745">
        <v>265</v>
      </c>
      <c r="B238" s="833" t="s">
        <v>769</v>
      </c>
      <c r="C238" s="834">
        <v>2</v>
      </c>
      <c r="D238" s="838">
        <v>1800</v>
      </c>
      <c r="E238" s="798">
        <f t="shared" si="11"/>
        <v>3600</v>
      </c>
      <c r="F238" s="783" t="s">
        <v>532</v>
      </c>
      <c r="G238" s="783" t="s">
        <v>730</v>
      </c>
      <c r="H238" s="839" t="s">
        <v>1209</v>
      </c>
      <c r="I238" s="743"/>
      <c r="J238" s="744"/>
      <c r="K238" s="744"/>
      <c r="L238" s="744"/>
      <c r="M238" s="744"/>
    </row>
    <row r="239" spans="1:13">
      <c r="A239" s="745">
        <v>267</v>
      </c>
      <c r="B239" s="754" t="s">
        <v>966</v>
      </c>
      <c r="C239" s="755">
        <v>1</v>
      </c>
      <c r="D239" s="776">
        <v>1980</v>
      </c>
      <c r="E239" s="798">
        <f t="shared" ref="E239:E253" si="12">+C239*D239</f>
        <v>1980</v>
      </c>
      <c r="F239" s="754" t="s">
        <v>472</v>
      </c>
      <c r="G239" s="783" t="s">
        <v>730</v>
      </c>
      <c r="H239" s="839" t="s">
        <v>1209</v>
      </c>
      <c r="I239" s="743"/>
      <c r="J239" s="744"/>
      <c r="K239" s="744"/>
      <c r="L239" s="744"/>
      <c r="M239" s="744"/>
    </row>
    <row r="240" spans="1:13">
      <c r="A240" s="745">
        <v>278</v>
      </c>
      <c r="B240" s="796" t="s">
        <v>968</v>
      </c>
      <c r="C240" s="755">
        <v>8</v>
      </c>
      <c r="D240" s="838">
        <v>3960</v>
      </c>
      <c r="E240" s="798">
        <f t="shared" si="12"/>
        <v>31680</v>
      </c>
      <c r="F240" s="755" t="s">
        <v>955</v>
      </c>
      <c r="G240" s="783" t="s">
        <v>730</v>
      </c>
      <c r="H240" s="769" t="s">
        <v>1206</v>
      </c>
      <c r="I240" s="743"/>
      <c r="J240" s="744"/>
      <c r="K240" s="744"/>
      <c r="L240" s="744"/>
      <c r="M240" s="744"/>
    </row>
    <row r="241" spans="1:13">
      <c r="A241" s="745">
        <v>284</v>
      </c>
      <c r="B241" s="754" t="s">
        <v>970</v>
      </c>
      <c r="C241" s="755">
        <v>1</v>
      </c>
      <c r="D241" s="776">
        <v>65000</v>
      </c>
      <c r="E241" s="798">
        <f t="shared" si="12"/>
        <v>65000</v>
      </c>
      <c r="F241" s="754" t="s">
        <v>982</v>
      </c>
      <c r="G241" s="783" t="s">
        <v>730</v>
      </c>
      <c r="H241" s="769" t="s">
        <v>490</v>
      </c>
      <c r="I241" s="743"/>
      <c r="J241" s="744"/>
      <c r="K241" s="744"/>
      <c r="L241" s="744"/>
      <c r="M241" s="744"/>
    </row>
    <row r="242" spans="1:13">
      <c r="A242" s="745">
        <v>285</v>
      </c>
      <c r="B242" s="754" t="s">
        <v>1021</v>
      </c>
      <c r="C242" s="755">
        <v>1</v>
      </c>
      <c r="D242" s="776">
        <v>19200</v>
      </c>
      <c r="E242" s="798">
        <f t="shared" si="12"/>
        <v>19200</v>
      </c>
      <c r="F242" s="754" t="s">
        <v>584</v>
      </c>
      <c r="G242" s="783" t="s">
        <v>730</v>
      </c>
      <c r="H242" s="839" t="s">
        <v>1209</v>
      </c>
      <c r="I242" s="743"/>
      <c r="J242" s="744"/>
      <c r="K242" s="744"/>
      <c r="L242" s="744"/>
      <c r="M242" s="744"/>
    </row>
    <row r="243" spans="1:13">
      <c r="A243" s="745">
        <v>286</v>
      </c>
      <c r="B243" s="754" t="s">
        <v>1022</v>
      </c>
      <c r="C243" s="755">
        <v>1</v>
      </c>
      <c r="D243" s="776">
        <v>19200</v>
      </c>
      <c r="E243" s="798">
        <f t="shared" si="12"/>
        <v>19200</v>
      </c>
      <c r="F243" s="754" t="s">
        <v>584</v>
      </c>
      <c r="G243" s="783" t="s">
        <v>730</v>
      </c>
      <c r="H243" s="839" t="s">
        <v>1209</v>
      </c>
      <c r="I243" s="743"/>
      <c r="J243" s="744"/>
      <c r="K243" s="744"/>
      <c r="L243" s="744"/>
      <c r="M243" s="744"/>
    </row>
    <row r="244" spans="1:13">
      <c r="A244" s="745">
        <v>287</v>
      </c>
      <c r="B244" s="754" t="s">
        <v>1023</v>
      </c>
      <c r="C244" s="755">
        <v>1</v>
      </c>
      <c r="D244" s="776">
        <v>19200</v>
      </c>
      <c r="E244" s="798">
        <f t="shared" si="12"/>
        <v>19200</v>
      </c>
      <c r="F244" s="754" t="s">
        <v>584</v>
      </c>
      <c r="G244" s="783" t="s">
        <v>730</v>
      </c>
      <c r="H244" s="839" t="s">
        <v>1209</v>
      </c>
      <c r="I244" s="743"/>
      <c r="J244" s="744"/>
      <c r="K244" s="744"/>
      <c r="L244" s="744"/>
      <c r="M244" s="744"/>
    </row>
    <row r="245" spans="1:13">
      <c r="A245" s="745">
        <v>288</v>
      </c>
      <c r="B245" s="754" t="s">
        <v>1024</v>
      </c>
      <c r="C245" s="755">
        <v>2</v>
      </c>
      <c r="D245" s="776">
        <v>11750</v>
      </c>
      <c r="E245" s="798">
        <f t="shared" si="12"/>
        <v>23500</v>
      </c>
      <c r="F245" s="754" t="s">
        <v>584</v>
      </c>
      <c r="G245" s="783" t="s">
        <v>730</v>
      </c>
      <c r="H245" s="839" t="s">
        <v>1209</v>
      </c>
      <c r="I245" s="743"/>
      <c r="J245" s="744"/>
      <c r="K245" s="744"/>
      <c r="L245" s="744"/>
      <c r="M245" s="744"/>
    </row>
    <row r="246" spans="1:13">
      <c r="A246" s="745">
        <v>289</v>
      </c>
      <c r="B246" s="754" t="s">
        <v>1025</v>
      </c>
      <c r="C246" s="755">
        <v>1</v>
      </c>
      <c r="D246" s="776">
        <v>6600</v>
      </c>
      <c r="E246" s="798">
        <f t="shared" si="12"/>
        <v>6600</v>
      </c>
      <c r="F246" s="754" t="s">
        <v>584</v>
      </c>
      <c r="G246" s="783" t="s">
        <v>730</v>
      </c>
      <c r="H246" s="839" t="s">
        <v>1209</v>
      </c>
      <c r="I246" s="743"/>
      <c r="J246" s="744"/>
      <c r="K246" s="744"/>
      <c r="L246" s="744"/>
      <c r="M246" s="744"/>
    </row>
    <row r="247" spans="1:13">
      <c r="A247" s="745">
        <v>290</v>
      </c>
      <c r="B247" s="754" t="s">
        <v>1026</v>
      </c>
      <c r="C247" s="755">
        <v>1</v>
      </c>
      <c r="D247" s="776">
        <v>5000</v>
      </c>
      <c r="E247" s="798">
        <f t="shared" si="12"/>
        <v>5000</v>
      </c>
      <c r="F247" s="754" t="s">
        <v>584</v>
      </c>
      <c r="G247" s="783" t="s">
        <v>730</v>
      </c>
      <c r="H247" s="839" t="s">
        <v>1209</v>
      </c>
      <c r="I247" s="743"/>
      <c r="J247" s="744"/>
      <c r="K247" s="744"/>
      <c r="L247" s="744"/>
      <c r="M247" s="744"/>
    </row>
    <row r="248" spans="1:13">
      <c r="A248" s="745">
        <v>291</v>
      </c>
      <c r="B248" s="754" t="s">
        <v>1027</v>
      </c>
      <c r="C248" s="755">
        <v>1</v>
      </c>
      <c r="D248" s="776">
        <v>2650</v>
      </c>
      <c r="E248" s="798">
        <f t="shared" si="12"/>
        <v>2650</v>
      </c>
      <c r="F248" s="754" t="s">
        <v>584</v>
      </c>
      <c r="G248" s="783" t="s">
        <v>730</v>
      </c>
      <c r="H248" s="839" t="s">
        <v>1209</v>
      </c>
      <c r="I248" s="743"/>
      <c r="J248" s="744"/>
      <c r="K248" s="744"/>
      <c r="L248" s="744"/>
      <c r="M248" s="744"/>
    </row>
    <row r="249" spans="1:13">
      <c r="A249" s="745">
        <v>296</v>
      </c>
      <c r="B249" s="754" t="s">
        <v>975</v>
      </c>
      <c r="C249" s="755">
        <v>4</v>
      </c>
      <c r="D249" s="776">
        <v>16800</v>
      </c>
      <c r="E249" s="798">
        <f t="shared" si="12"/>
        <v>67200</v>
      </c>
      <c r="F249" s="754" t="s">
        <v>584</v>
      </c>
      <c r="G249" s="783" t="s">
        <v>730</v>
      </c>
      <c r="H249" s="769" t="s">
        <v>490</v>
      </c>
      <c r="I249" s="743"/>
      <c r="J249" s="744"/>
      <c r="K249" s="744"/>
      <c r="L249" s="744"/>
      <c r="M249" s="744"/>
    </row>
    <row r="250" spans="1:13">
      <c r="A250" s="745">
        <v>297</v>
      </c>
      <c r="B250" s="754" t="s">
        <v>976</v>
      </c>
      <c r="C250" s="755">
        <v>1</v>
      </c>
      <c r="D250" s="776">
        <v>62076.05</v>
      </c>
      <c r="E250" s="798">
        <f t="shared" si="12"/>
        <v>62076.05</v>
      </c>
      <c r="F250" s="777" t="s">
        <v>584</v>
      </c>
      <c r="G250" s="783" t="s">
        <v>730</v>
      </c>
      <c r="H250" s="839" t="s">
        <v>1209</v>
      </c>
      <c r="I250" s="743"/>
      <c r="J250" s="744"/>
      <c r="K250" s="744"/>
      <c r="L250" s="744"/>
      <c r="M250" s="744"/>
    </row>
    <row r="251" spans="1:13">
      <c r="A251" s="745">
        <v>298</v>
      </c>
      <c r="B251" s="754" t="s">
        <v>977</v>
      </c>
      <c r="C251" s="755">
        <v>3</v>
      </c>
      <c r="D251" s="776">
        <v>15943</v>
      </c>
      <c r="E251" s="798">
        <f t="shared" si="12"/>
        <v>47829</v>
      </c>
      <c r="F251" s="754" t="s">
        <v>584</v>
      </c>
      <c r="G251" s="783" t="s">
        <v>730</v>
      </c>
      <c r="H251" s="839" t="s">
        <v>1209</v>
      </c>
      <c r="I251" s="743"/>
      <c r="J251" s="744"/>
      <c r="K251" s="744"/>
      <c r="L251" s="744"/>
      <c r="M251" s="744"/>
    </row>
    <row r="252" spans="1:13">
      <c r="A252" s="745">
        <v>300</v>
      </c>
      <c r="B252" s="754" t="s">
        <v>979</v>
      </c>
      <c r="C252" s="755">
        <v>3</v>
      </c>
      <c r="D252" s="776">
        <v>19973.333333333332</v>
      </c>
      <c r="E252" s="798">
        <f t="shared" si="12"/>
        <v>59920</v>
      </c>
      <c r="F252" s="754" t="s">
        <v>584</v>
      </c>
      <c r="G252" s="783" t="s">
        <v>730</v>
      </c>
      <c r="H252" s="769" t="s">
        <v>1213</v>
      </c>
      <c r="I252" s="743"/>
      <c r="J252" s="744"/>
      <c r="K252" s="744"/>
      <c r="L252" s="744"/>
      <c r="M252" s="744"/>
    </row>
    <row r="253" spans="1:13">
      <c r="A253" s="745">
        <v>301</v>
      </c>
      <c r="B253" s="754" t="s">
        <v>1029</v>
      </c>
      <c r="C253" s="755">
        <v>5</v>
      </c>
      <c r="D253" s="776">
        <v>8100</v>
      </c>
      <c r="E253" s="798">
        <f t="shared" si="12"/>
        <v>40500</v>
      </c>
      <c r="F253" s="754" t="s">
        <v>584</v>
      </c>
      <c r="G253" s="783" t="s">
        <v>730</v>
      </c>
      <c r="H253" s="769" t="s">
        <v>1212</v>
      </c>
      <c r="I253" s="743"/>
      <c r="J253" s="744"/>
      <c r="K253" s="744"/>
      <c r="L253" s="744"/>
      <c r="M253" s="744"/>
    </row>
    <row r="254" spans="1:13">
      <c r="A254" s="745"/>
      <c r="B254" s="2820" t="s">
        <v>1173</v>
      </c>
      <c r="C254" s="2821"/>
      <c r="D254" s="2822"/>
      <c r="E254" s="799">
        <f>SUM(E172:E253)</f>
        <v>18561271.050000001</v>
      </c>
      <c r="F254" s="754"/>
      <c r="G254" s="783"/>
      <c r="H254" s="825"/>
      <c r="I254" s="743"/>
      <c r="J254" s="744"/>
      <c r="K254" s="744"/>
      <c r="L254" s="744"/>
      <c r="M254" s="744"/>
    </row>
    <row r="255" spans="1:13">
      <c r="A255" s="2828" t="s">
        <v>630</v>
      </c>
      <c r="B255" s="2828"/>
      <c r="C255" s="2828"/>
      <c r="D255" s="2828"/>
      <c r="E255" s="2828"/>
      <c r="F255" s="2828"/>
      <c r="G255" s="848"/>
      <c r="H255" s="769"/>
      <c r="I255" s="743"/>
      <c r="J255" s="744"/>
      <c r="K255" s="744"/>
      <c r="L255" s="744"/>
      <c r="M255" s="744"/>
    </row>
    <row r="256" spans="1:13">
      <c r="A256" s="834">
        <v>1</v>
      </c>
      <c r="B256" s="833" t="s">
        <v>554</v>
      </c>
      <c r="C256" s="834">
        <v>1</v>
      </c>
      <c r="D256" s="849">
        <v>5100000</v>
      </c>
      <c r="E256" s="850">
        <f t="shared" ref="E256:E266" si="13">+C256*D256</f>
        <v>5100000</v>
      </c>
      <c r="F256" s="783" t="s">
        <v>562</v>
      </c>
      <c r="H256" s="769"/>
      <c r="I256" s="743"/>
      <c r="J256" s="744"/>
      <c r="K256" s="744"/>
      <c r="L256" s="744"/>
      <c r="M256" s="744"/>
    </row>
    <row r="257" spans="1:13">
      <c r="A257" s="834">
        <v>2</v>
      </c>
      <c r="B257" s="833" t="s">
        <v>555</v>
      </c>
      <c r="C257" s="834">
        <v>1</v>
      </c>
      <c r="D257" s="849">
        <v>2800000</v>
      </c>
      <c r="E257" s="850">
        <f t="shared" si="13"/>
        <v>2800000</v>
      </c>
      <c r="F257" s="783" t="s">
        <v>562</v>
      </c>
      <c r="H257" s="769"/>
      <c r="I257" s="743"/>
      <c r="J257" s="744"/>
      <c r="K257" s="744"/>
      <c r="L257" s="744"/>
      <c r="M257" s="744"/>
    </row>
    <row r="258" spans="1:13">
      <c r="A258" s="834">
        <v>3</v>
      </c>
      <c r="B258" s="833" t="s">
        <v>556</v>
      </c>
      <c r="C258" s="834">
        <v>1</v>
      </c>
      <c r="D258" s="849">
        <v>1400000</v>
      </c>
      <c r="E258" s="850">
        <f t="shared" si="13"/>
        <v>1400000</v>
      </c>
      <c r="F258" s="783" t="s">
        <v>562</v>
      </c>
      <c r="H258" s="769"/>
      <c r="I258" s="743"/>
      <c r="J258" s="744"/>
      <c r="K258" s="744"/>
      <c r="L258" s="744"/>
      <c r="M258" s="744"/>
    </row>
    <row r="259" spans="1:13">
      <c r="A259" s="834">
        <v>4</v>
      </c>
      <c r="B259" s="833" t="s">
        <v>557</v>
      </c>
      <c r="C259" s="834">
        <v>2</v>
      </c>
      <c r="D259" s="849">
        <v>500000</v>
      </c>
      <c r="E259" s="850">
        <f t="shared" si="13"/>
        <v>1000000</v>
      </c>
      <c r="F259" s="783" t="s">
        <v>562</v>
      </c>
      <c r="H259" s="769"/>
      <c r="I259" s="743"/>
      <c r="J259" s="744"/>
      <c r="K259" s="744"/>
      <c r="L259" s="744"/>
      <c r="M259" s="744"/>
    </row>
    <row r="260" spans="1:13">
      <c r="A260" s="834">
        <v>5</v>
      </c>
      <c r="B260" s="833" t="s">
        <v>558</v>
      </c>
      <c r="C260" s="834">
        <v>2</v>
      </c>
      <c r="D260" s="849">
        <v>370000</v>
      </c>
      <c r="E260" s="850">
        <f t="shared" si="13"/>
        <v>740000</v>
      </c>
      <c r="F260" s="783" t="s">
        <v>562</v>
      </c>
      <c r="H260" s="769"/>
      <c r="I260" s="743"/>
      <c r="J260" s="744"/>
      <c r="K260" s="744"/>
      <c r="L260" s="744"/>
      <c r="M260" s="744"/>
    </row>
    <row r="261" spans="1:13">
      <c r="A261" s="834">
        <v>6</v>
      </c>
      <c r="B261" s="833" t="s">
        <v>1042</v>
      </c>
      <c r="C261" s="834">
        <v>1</v>
      </c>
      <c r="D261" s="849">
        <v>2200000</v>
      </c>
      <c r="E261" s="850">
        <f t="shared" si="13"/>
        <v>2200000</v>
      </c>
      <c r="F261" s="783" t="s">
        <v>562</v>
      </c>
      <c r="H261" s="769"/>
      <c r="I261" s="743"/>
      <c r="J261" s="744"/>
      <c r="K261" s="744"/>
      <c r="L261" s="744"/>
      <c r="M261" s="744"/>
    </row>
    <row r="262" spans="1:13">
      <c r="A262" s="834">
        <v>7</v>
      </c>
      <c r="B262" s="833" t="s">
        <v>559</v>
      </c>
      <c r="C262" s="834">
        <v>1</v>
      </c>
      <c r="D262" s="849">
        <v>1800000</v>
      </c>
      <c r="E262" s="850">
        <f t="shared" si="13"/>
        <v>1800000</v>
      </c>
      <c r="F262" s="783" t="s">
        <v>562</v>
      </c>
      <c r="H262" s="769"/>
      <c r="I262" s="743"/>
      <c r="J262" s="744"/>
      <c r="K262" s="744"/>
      <c r="L262" s="744"/>
      <c r="M262" s="744"/>
    </row>
    <row r="263" spans="1:13">
      <c r="A263" s="834">
        <v>8</v>
      </c>
      <c r="B263" s="833" t="s">
        <v>560</v>
      </c>
      <c r="C263" s="834">
        <v>1</v>
      </c>
      <c r="D263" s="849">
        <v>2000000</v>
      </c>
      <c r="E263" s="850">
        <f t="shared" si="13"/>
        <v>2000000</v>
      </c>
      <c r="F263" s="783" t="s">
        <v>563</v>
      </c>
      <c r="H263" s="769"/>
      <c r="I263" s="743"/>
      <c r="J263" s="744"/>
      <c r="K263" s="744"/>
      <c r="L263" s="744"/>
      <c r="M263" s="744"/>
    </row>
    <row r="264" spans="1:13">
      <c r="A264" s="834">
        <v>9</v>
      </c>
      <c r="B264" s="851" t="s">
        <v>1032</v>
      </c>
      <c r="C264" s="834">
        <v>1</v>
      </c>
      <c r="D264" s="852">
        <v>890000</v>
      </c>
      <c r="E264" s="850">
        <f t="shared" si="13"/>
        <v>890000</v>
      </c>
      <c r="F264" s="783" t="s">
        <v>562</v>
      </c>
      <c r="H264" s="769"/>
      <c r="I264" s="743"/>
      <c r="J264" s="744"/>
      <c r="K264" s="744"/>
      <c r="L264" s="744"/>
      <c r="M264" s="744"/>
    </row>
    <row r="265" spans="1:13">
      <c r="A265" s="834">
        <v>10</v>
      </c>
      <c r="B265" s="851" t="s">
        <v>1033</v>
      </c>
      <c r="C265" s="834">
        <v>1</v>
      </c>
      <c r="D265" s="852">
        <v>268000</v>
      </c>
      <c r="E265" s="850">
        <f t="shared" si="13"/>
        <v>268000</v>
      </c>
      <c r="F265" s="783" t="s">
        <v>562</v>
      </c>
      <c r="H265" s="769"/>
      <c r="I265" s="743"/>
      <c r="J265" s="744"/>
      <c r="K265" s="744"/>
      <c r="L265" s="744"/>
      <c r="M265" s="744"/>
    </row>
    <row r="266" spans="1:13">
      <c r="A266" s="834">
        <v>11</v>
      </c>
      <c r="B266" s="851" t="s">
        <v>1034</v>
      </c>
      <c r="C266" s="834">
        <v>1</v>
      </c>
      <c r="D266" s="852">
        <v>1832600</v>
      </c>
      <c r="E266" s="850">
        <f t="shared" si="13"/>
        <v>1832600</v>
      </c>
      <c r="F266" s="783" t="s">
        <v>562</v>
      </c>
      <c r="H266" s="769"/>
      <c r="I266" s="743"/>
      <c r="J266" s="744"/>
      <c r="K266" s="744"/>
      <c r="L266" s="744"/>
      <c r="M266" s="744"/>
    </row>
    <row r="267" spans="1:13">
      <c r="A267" s="834"/>
      <c r="B267" s="853" t="s">
        <v>4</v>
      </c>
      <c r="C267" s="834"/>
      <c r="D267" s="849"/>
      <c r="E267" s="854">
        <f>SUM(E256:E266)</f>
        <v>20030600</v>
      </c>
      <c r="F267" s="783"/>
      <c r="H267" s="769"/>
      <c r="I267" s="743"/>
      <c r="J267" s="744"/>
      <c r="K267" s="744"/>
      <c r="L267" s="744"/>
      <c r="M267" s="744"/>
    </row>
    <row r="268" spans="1:13">
      <c r="A268" s="855"/>
      <c r="B268" s="856"/>
      <c r="C268" s="855"/>
      <c r="D268" s="857"/>
      <c r="E268" s="858"/>
      <c r="H268" s="769"/>
      <c r="I268" s="743"/>
      <c r="J268" s="744"/>
      <c r="K268" s="744"/>
      <c r="L268" s="744"/>
      <c r="M268" s="744"/>
    </row>
    <row r="269" spans="1:13">
      <c r="A269" s="2829" t="s">
        <v>631</v>
      </c>
      <c r="B269" s="2829"/>
      <c r="C269" s="2829"/>
      <c r="D269" s="2829"/>
      <c r="E269" s="2829"/>
      <c r="F269" s="2829"/>
      <c r="H269" s="769"/>
      <c r="I269" s="743"/>
      <c r="J269" s="744"/>
      <c r="K269" s="744"/>
      <c r="L269" s="744"/>
      <c r="M269" s="744"/>
    </row>
    <row r="270" spans="1:13" ht="46.5">
      <c r="A270" s="741" t="s">
        <v>2</v>
      </c>
      <c r="B270" s="741" t="s">
        <v>3</v>
      </c>
      <c r="C270" s="741" t="s">
        <v>385</v>
      </c>
      <c r="D270" s="741" t="s">
        <v>386</v>
      </c>
      <c r="E270" s="742" t="s">
        <v>387</v>
      </c>
      <c r="F270" s="741" t="s">
        <v>388</v>
      </c>
      <c r="G270" s="859"/>
      <c r="H270" s="769"/>
      <c r="I270" s="743"/>
      <c r="J270" s="744"/>
      <c r="K270" s="744"/>
      <c r="L270" s="744"/>
      <c r="M270" s="744"/>
    </row>
    <row r="271" spans="1:13" ht="21" customHeight="1">
      <c r="A271" s="834">
        <v>1</v>
      </c>
      <c r="B271" s="833" t="s">
        <v>561</v>
      </c>
      <c r="C271" s="834"/>
      <c r="D271" s="849"/>
      <c r="E271" s="850"/>
      <c r="F271" s="783"/>
      <c r="H271" s="769"/>
      <c r="I271" s="743"/>
      <c r="J271" s="744"/>
      <c r="K271" s="744"/>
      <c r="L271" s="744"/>
      <c r="M271" s="744"/>
    </row>
    <row r="272" spans="1:13" ht="21" customHeight="1">
      <c r="A272" s="860"/>
      <c r="B272" s="833" t="s">
        <v>1030</v>
      </c>
      <c r="C272" s="773">
        <v>2</v>
      </c>
      <c r="D272" s="852">
        <v>950000</v>
      </c>
      <c r="E272" s="852">
        <v>1900000</v>
      </c>
      <c r="F272" s="783" t="s">
        <v>563</v>
      </c>
      <c r="H272" s="769"/>
    </row>
    <row r="273" spans="1:9" ht="21" customHeight="1">
      <c r="A273" s="861"/>
      <c r="B273" s="833" t="s">
        <v>1031</v>
      </c>
      <c r="C273" s="773">
        <v>4</v>
      </c>
      <c r="D273" s="852">
        <v>585000</v>
      </c>
      <c r="E273" s="852">
        <v>2340000</v>
      </c>
      <c r="F273" s="783" t="s">
        <v>562</v>
      </c>
      <c r="H273" s="769"/>
    </row>
    <row r="274" spans="1:9" ht="24.95" customHeight="1">
      <c r="A274" s="855"/>
      <c r="B274" s="856"/>
      <c r="D274" s="863"/>
      <c r="E274" s="864">
        <f>SUM(E272:E273)</f>
        <v>4240000</v>
      </c>
      <c r="H274" s="769"/>
    </row>
    <row r="275" spans="1:9" ht="24.95" customHeight="1">
      <c r="A275" s="2830" t="s">
        <v>568</v>
      </c>
      <c r="B275" s="2831"/>
      <c r="C275" s="2831"/>
      <c r="D275" s="2831"/>
      <c r="E275" s="2831"/>
      <c r="F275" s="2832"/>
      <c r="G275" s="744"/>
      <c r="H275" s="769"/>
    </row>
    <row r="276" spans="1:9" ht="46.5">
      <c r="A276" s="741" t="s">
        <v>2</v>
      </c>
      <c r="B276" s="741" t="s">
        <v>3</v>
      </c>
      <c r="C276" s="741" t="s">
        <v>385</v>
      </c>
      <c r="D276" s="741" t="s">
        <v>386</v>
      </c>
      <c r="E276" s="742" t="s">
        <v>387</v>
      </c>
      <c r="F276" s="741" t="s">
        <v>388</v>
      </c>
      <c r="G276" s="866" t="s">
        <v>1174</v>
      </c>
      <c r="H276" s="769"/>
    </row>
    <row r="277" spans="1:9" ht="24.95" customHeight="1">
      <c r="A277" s="750">
        <v>1</v>
      </c>
      <c r="B277" s="777" t="s">
        <v>649</v>
      </c>
      <c r="C277" s="778">
        <v>1</v>
      </c>
      <c r="D277" s="867">
        <v>5000000</v>
      </c>
      <c r="E277" s="779">
        <v>5000000</v>
      </c>
      <c r="F277" s="868" t="s">
        <v>650</v>
      </c>
      <c r="G277" s="869">
        <v>4990000</v>
      </c>
      <c r="H277" s="769"/>
    </row>
    <row r="278" spans="1:9" ht="24.95" customHeight="1">
      <c r="A278" s="750">
        <v>2</v>
      </c>
      <c r="B278" s="777" t="s">
        <v>1038</v>
      </c>
      <c r="C278" s="778">
        <v>1</v>
      </c>
      <c r="D278" s="867">
        <v>5000000</v>
      </c>
      <c r="E278" s="779">
        <f>+C278*D278</f>
        <v>5000000</v>
      </c>
      <c r="F278" s="868" t="s">
        <v>651</v>
      </c>
      <c r="G278" s="869">
        <v>4975000</v>
      </c>
      <c r="H278" s="769"/>
    </row>
    <row r="279" spans="1:9" ht="24.95" customHeight="1">
      <c r="A279" s="750">
        <v>3</v>
      </c>
      <c r="B279" s="777" t="s">
        <v>1043</v>
      </c>
      <c r="C279" s="778">
        <v>1</v>
      </c>
      <c r="D279" s="867">
        <v>7000000</v>
      </c>
      <c r="E279" s="779">
        <v>7000000</v>
      </c>
      <c r="F279" s="868" t="s">
        <v>652</v>
      </c>
      <c r="G279" s="870">
        <v>6500000</v>
      </c>
      <c r="H279" s="769"/>
    </row>
    <row r="280" spans="1:9" ht="24.95" customHeight="1">
      <c r="A280" s="750">
        <v>4</v>
      </c>
      <c r="B280" s="777" t="s">
        <v>1039</v>
      </c>
      <c r="C280" s="778">
        <v>1</v>
      </c>
      <c r="D280" s="779">
        <v>204967.59</v>
      </c>
      <c r="E280" s="779">
        <v>204967.59</v>
      </c>
      <c r="F280" s="777" t="s">
        <v>414</v>
      </c>
      <c r="G280" s="870">
        <v>200000</v>
      </c>
      <c r="H280" s="769"/>
    </row>
    <row r="281" spans="1:9" s="764" customFormat="1" ht="46.5">
      <c r="A281" s="808">
        <v>5</v>
      </c>
      <c r="B281" s="788" t="s">
        <v>1035</v>
      </c>
      <c r="C281" s="840">
        <v>1</v>
      </c>
      <c r="D281" s="841">
        <v>12000000</v>
      </c>
      <c r="E281" s="841">
        <f>+D281</f>
        <v>12000000</v>
      </c>
      <c r="F281" s="788" t="s">
        <v>1037</v>
      </c>
      <c r="G281" s="871">
        <v>11994000</v>
      </c>
      <c r="H281" s="753"/>
      <c r="I281" s="872"/>
    </row>
    <row r="282" spans="1:9" ht="24.95" customHeight="1">
      <c r="A282" s="750">
        <v>6</v>
      </c>
      <c r="B282" s="777" t="s">
        <v>1036</v>
      </c>
      <c r="C282" s="778">
        <v>1</v>
      </c>
      <c r="D282" s="779">
        <v>3500000</v>
      </c>
      <c r="E282" s="779">
        <v>3500000</v>
      </c>
      <c r="F282" s="777" t="s">
        <v>604</v>
      </c>
      <c r="G282" s="873" t="s">
        <v>1175</v>
      </c>
      <c r="H282" s="769"/>
    </row>
    <row r="283" spans="1:9" ht="24.95" customHeight="1">
      <c r="A283" s="874"/>
      <c r="B283" s="865" t="s">
        <v>4</v>
      </c>
      <c r="C283" s="875"/>
      <c r="D283" s="876"/>
      <c r="E283" s="877">
        <f>SUM(E277:E282)</f>
        <v>32704967.59</v>
      </c>
      <c r="F283" s="878">
        <f>+E283-30827352.01</f>
        <v>1877615.5799999982</v>
      </c>
      <c r="G283" s="801"/>
      <c r="H283" s="769"/>
    </row>
    <row r="284" spans="1:9" ht="24.95" customHeight="1">
      <c r="A284" s="855"/>
      <c r="B284" s="856"/>
      <c r="D284" s="863"/>
      <c r="E284" s="863"/>
      <c r="H284" s="769"/>
    </row>
    <row r="285" spans="1:9" ht="24.95" customHeight="1">
      <c r="A285" s="2815" t="s">
        <v>602</v>
      </c>
      <c r="B285" s="2815"/>
      <c r="C285" s="2815"/>
      <c r="D285" s="2815"/>
      <c r="E285" s="2815"/>
      <c r="F285" s="2815"/>
      <c r="G285" s="744"/>
      <c r="H285" s="769"/>
    </row>
    <row r="286" spans="1:9" ht="46.5">
      <c r="A286" s="879" t="s">
        <v>2</v>
      </c>
      <c r="B286" s="879" t="s">
        <v>3</v>
      </c>
      <c r="C286" s="879" t="s">
        <v>385</v>
      </c>
      <c r="D286" s="879" t="s">
        <v>386</v>
      </c>
      <c r="E286" s="880" t="s">
        <v>387</v>
      </c>
      <c r="F286" s="879" t="s">
        <v>388</v>
      </c>
      <c r="G286" s="859"/>
      <c r="H286" s="769"/>
    </row>
    <row r="287" spans="1:9" ht="24.95" customHeight="1">
      <c r="A287" s="755">
        <v>1</v>
      </c>
      <c r="B287" s="881" t="s">
        <v>643</v>
      </c>
      <c r="C287" s="882">
        <v>2</v>
      </c>
      <c r="D287" s="883">
        <v>4690</v>
      </c>
      <c r="E287" s="884">
        <f t="shared" ref="E287:E293" si="14">C287*D287</f>
        <v>9380</v>
      </c>
      <c r="F287" s="881" t="s">
        <v>587</v>
      </c>
      <c r="G287" s="885" t="s">
        <v>586</v>
      </c>
      <c r="H287" s="769" t="s">
        <v>626</v>
      </c>
    </row>
    <row r="288" spans="1:9" ht="24.95" customHeight="1">
      <c r="A288" s="755">
        <v>2</v>
      </c>
      <c r="B288" s="881" t="s">
        <v>588</v>
      </c>
      <c r="C288" s="882">
        <v>1</v>
      </c>
      <c r="D288" s="883">
        <v>150000</v>
      </c>
      <c r="E288" s="884">
        <f t="shared" si="14"/>
        <v>150000</v>
      </c>
      <c r="F288" s="881" t="s">
        <v>587</v>
      </c>
      <c r="G288" s="885"/>
      <c r="H288" s="769"/>
    </row>
    <row r="289" spans="1:9" ht="24.95" customHeight="1">
      <c r="A289" s="886">
        <v>3</v>
      </c>
      <c r="B289" s="887" t="s">
        <v>589</v>
      </c>
      <c r="C289" s="888">
        <v>3</v>
      </c>
      <c r="D289" s="889">
        <v>25000</v>
      </c>
      <c r="E289" s="890">
        <f t="shared" si="14"/>
        <v>75000</v>
      </c>
      <c r="F289" s="887" t="s">
        <v>587</v>
      </c>
      <c r="G289" s="891">
        <v>69840</v>
      </c>
      <c r="H289" s="769" t="s">
        <v>490</v>
      </c>
    </row>
    <row r="290" spans="1:9" ht="24.95" customHeight="1">
      <c r="A290" s="755">
        <v>4</v>
      </c>
      <c r="B290" s="881" t="s">
        <v>640</v>
      </c>
      <c r="C290" s="882">
        <v>4</v>
      </c>
      <c r="D290" s="892">
        <v>7600</v>
      </c>
      <c r="E290" s="884">
        <f t="shared" si="14"/>
        <v>30400</v>
      </c>
      <c r="F290" s="881" t="s">
        <v>587</v>
      </c>
      <c r="G290" s="885" t="s">
        <v>586</v>
      </c>
      <c r="H290" s="769" t="s">
        <v>626</v>
      </c>
    </row>
    <row r="291" spans="1:9" ht="24.95" customHeight="1">
      <c r="A291" s="755">
        <v>5</v>
      </c>
      <c r="B291" s="881" t="s">
        <v>645</v>
      </c>
      <c r="C291" s="882">
        <v>4</v>
      </c>
      <c r="D291" s="892">
        <v>3400</v>
      </c>
      <c r="E291" s="884">
        <f t="shared" si="14"/>
        <v>13600</v>
      </c>
      <c r="F291" s="881" t="s">
        <v>587</v>
      </c>
      <c r="G291" s="885" t="s">
        <v>586</v>
      </c>
      <c r="H291" s="769" t="s">
        <v>626</v>
      </c>
    </row>
    <row r="292" spans="1:9" ht="24.95" customHeight="1">
      <c r="A292" s="886">
        <v>6</v>
      </c>
      <c r="B292" s="887" t="s">
        <v>590</v>
      </c>
      <c r="C292" s="888">
        <v>2</v>
      </c>
      <c r="D292" s="889">
        <v>3700</v>
      </c>
      <c r="E292" s="890">
        <f t="shared" si="14"/>
        <v>7400</v>
      </c>
      <c r="F292" s="887" t="s">
        <v>587</v>
      </c>
      <c r="G292" s="891">
        <v>8774</v>
      </c>
      <c r="H292" s="769" t="s">
        <v>490</v>
      </c>
    </row>
    <row r="293" spans="1:9" ht="24.95" customHeight="1">
      <c r="A293" s="886">
        <v>7</v>
      </c>
      <c r="B293" s="887" t="s">
        <v>591</v>
      </c>
      <c r="C293" s="888">
        <v>2</v>
      </c>
      <c r="D293" s="889">
        <v>7500</v>
      </c>
      <c r="E293" s="890">
        <f t="shared" si="14"/>
        <v>15000</v>
      </c>
      <c r="F293" s="887" t="s">
        <v>587</v>
      </c>
      <c r="G293" s="891">
        <v>18618</v>
      </c>
      <c r="H293" s="769" t="s">
        <v>490</v>
      </c>
    </row>
    <row r="294" spans="1:9" ht="24.95" customHeight="1">
      <c r="A294" s="886">
        <v>8</v>
      </c>
      <c r="B294" s="887" t="s">
        <v>592</v>
      </c>
      <c r="C294" s="888">
        <v>7</v>
      </c>
      <c r="D294" s="889">
        <f>+E294/C294</f>
        <v>6221.4285714285716</v>
      </c>
      <c r="E294" s="890">
        <v>43550</v>
      </c>
      <c r="F294" s="887" t="s">
        <v>587</v>
      </c>
      <c r="G294" s="891">
        <v>42158</v>
      </c>
      <c r="H294" s="769" t="s">
        <v>490</v>
      </c>
    </row>
    <row r="295" spans="1:9" ht="24.95" customHeight="1">
      <c r="A295" s="886">
        <v>9</v>
      </c>
      <c r="B295" s="887" t="s">
        <v>593</v>
      </c>
      <c r="C295" s="888">
        <v>3</v>
      </c>
      <c r="D295" s="889">
        <v>8185</v>
      </c>
      <c r="E295" s="890">
        <f t="shared" ref="E295:E306" si="15">C295*D295</f>
        <v>24555</v>
      </c>
      <c r="F295" s="887" t="s">
        <v>587</v>
      </c>
      <c r="G295" s="891">
        <v>22149</v>
      </c>
      <c r="H295" s="769" t="s">
        <v>490</v>
      </c>
    </row>
    <row r="296" spans="1:9" ht="24.95" customHeight="1">
      <c r="A296" s="886">
        <v>10</v>
      </c>
      <c r="B296" s="887" t="s">
        <v>641</v>
      </c>
      <c r="C296" s="888">
        <v>1</v>
      </c>
      <c r="D296" s="889">
        <v>25343.439999999999</v>
      </c>
      <c r="E296" s="890">
        <f t="shared" si="15"/>
        <v>25343.439999999999</v>
      </c>
      <c r="F296" s="887" t="s">
        <v>587</v>
      </c>
      <c r="G296" s="891" t="s">
        <v>419</v>
      </c>
      <c r="H296" s="769" t="s">
        <v>1214</v>
      </c>
    </row>
    <row r="297" spans="1:9" ht="24.95" customHeight="1">
      <c r="A297" s="886">
        <v>11</v>
      </c>
      <c r="B297" s="887" t="s">
        <v>594</v>
      </c>
      <c r="C297" s="888">
        <v>2</v>
      </c>
      <c r="D297" s="889">
        <v>150000</v>
      </c>
      <c r="E297" s="890">
        <f t="shared" si="15"/>
        <v>300000</v>
      </c>
      <c r="F297" s="887" t="s">
        <v>587</v>
      </c>
      <c r="G297" s="891">
        <v>291000</v>
      </c>
      <c r="H297" s="769" t="s">
        <v>490</v>
      </c>
    </row>
    <row r="298" spans="1:9" ht="24.95" customHeight="1">
      <c r="A298" s="755">
        <v>12</v>
      </c>
      <c r="B298" s="881" t="s">
        <v>642</v>
      </c>
      <c r="C298" s="882">
        <v>1</v>
      </c>
      <c r="D298" s="892">
        <v>45000</v>
      </c>
      <c r="E298" s="884">
        <f t="shared" si="15"/>
        <v>45000</v>
      </c>
      <c r="F298" s="881" t="s">
        <v>587</v>
      </c>
      <c r="G298" s="891" t="s">
        <v>1176</v>
      </c>
      <c r="H298" s="769"/>
    </row>
    <row r="299" spans="1:9" ht="24.95" customHeight="1">
      <c r="A299" s="755">
        <v>13</v>
      </c>
      <c r="B299" s="881" t="s">
        <v>595</v>
      </c>
      <c r="C299" s="882">
        <v>4</v>
      </c>
      <c r="D299" s="892">
        <v>25000</v>
      </c>
      <c r="E299" s="884">
        <f t="shared" si="15"/>
        <v>100000</v>
      </c>
      <c r="F299" s="881" t="s">
        <v>587</v>
      </c>
      <c r="G299" s="891" t="s">
        <v>1176</v>
      </c>
      <c r="H299" s="769"/>
    </row>
    <row r="300" spans="1:9" ht="24.95" customHeight="1">
      <c r="A300" s="755">
        <v>14</v>
      </c>
      <c r="B300" s="881" t="s">
        <v>596</v>
      </c>
      <c r="C300" s="882">
        <v>1</v>
      </c>
      <c r="D300" s="892">
        <v>100000</v>
      </c>
      <c r="E300" s="884">
        <f t="shared" si="15"/>
        <v>100000</v>
      </c>
      <c r="F300" s="881" t="s">
        <v>587</v>
      </c>
      <c r="G300" s="891" t="s">
        <v>1176</v>
      </c>
      <c r="H300" s="769"/>
    </row>
    <row r="301" spans="1:9" ht="24.95" customHeight="1">
      <c r="A301" s="755">
        <v>15</v>
      </c>
      <c r="B301" s="881" t="s">
        <v>597</v>
      </c>
      <c r="C301" s="882">
        <v>1</v>
      </c>
      <c r="D301" s="892">
        <v>60000</v>
      </c>
      <c r="E301" s="884">
        <f t="shared" si="15"/>
        <v>60000</v>
      </c>
      <c r="F301" s="881" t="s">
        <v>587</v>
      </c>
      <c r="G301" s="893">
        <v>35823.599999999999</v>
      </c>
      <c r="H301" s="769"/>
    </row>
    <row r="302" spans="1:9" s="764" customFormat="1" ht="116.25">
      <c r="A302" s="789">
        <v>16</v>
      </c>
      <c r="B302" s="894" t="s">
        <v>598</v>
      </c>
      <c r="C302" s="895">
        <v>9</v>
      </c>
      <c r="D302" s="896">
        <v>60000</v>
      </c>
      <c r="E302" s="897">
        <f t="shared" si="15"/>
        <v>540000</v>
      </c>
      <c r="F302" s="898" t="s">
        <v>1187</v>
      </c>
      <c r="G302" s="899" t="s">
        <v>617</v>
      </c>
      <c r="H302" s="753" t="s">
        <v>1215</v>
      </c>
      <c r="I302" s="872"/>
    </row>
    <row r="303" spans="1:9" s="764" customFormat="1" ht="24.75" customHeight="1">
      <c r="A303" s="789">
        <v>17</v>
      </c>
      <c r="B303" s="894" t="s">
        <v>599</v>
      </c>
      <c r="C303" s="895">
        <v>1</v>
      </c>
      <c r="D303" s="896">
        <v>240000</v>
      </c>
      <c r="E303" s="897">
        <f t="shared" si="15"/>
        <v>240000</v>
      </c>
      <c r="F303" s="898" t="s">
        <v>1188</v>
      </c>
      <c r="G303" s="899" t="s">
        <v>1177</v>
      </c>
      <c r="H303" s="753" t="s">
        <v>626</v>
      </c>
      <c r="I303" s="872"/>
    </row>
    <row r="304" spans="1:9" ht="24.95" customHeight="1">
      <c r="A304" s="755">
        <v>18</v>
      </c>
      <c r="B304" s="881" t="s">
        <v>601</v>
      </c>
      <c r="C304" s="882">
        <v>1</v>
      </c>
      <c r="D304" s="892">
        <v>150000</v>
      </c>
      <c r="E304" s="884">
        <f t="shared" si="15"/>
        <v>150000</v>
      </c>
      <c r="F304" s="900" t="s">
        <v>463</v>
      </c>
      <c r="G304" s="901"/>
      <c r="H304" s="769" t="s">
        <v>626</v>
      </c>
    </row>
    <row r="305" spans="1:9" s="764" customFormat="1" ht="46.5">
      <c r="A305" s="789">
        <v>19</v>
      </c>
      <c r="B305" s="844" t="s">
        <v>1178</v>
      </c>
      <c r="C305" s="829">
        <v>1</v>
      </c>
      <c r="D305" s="902">
        <v>1200000</v>
      </c>
      <c r="E305" s="897">
        <f t="shared" si="15"/>
        <v>1200000</v>
      </c>
      <c r="F305" s="844" t="s">
        <v>1179</v>
      </c>
      <c r="G305" s="899"/>
      <c r="H305" s="753"/>
      <c r="I305" s="872"/>
    </row>
    <row r="306" spans="1:9" ht="24.95" customHeight="1">
      <c r="A306" s="755">
        <v>20</v>
      </c>
      <c r="B306" s="881" t="s">
        <v>644</v>
      </c>
      <c r="C306" s="882">
        <v>6</v>
      </c>
      <c r="D306" s="892">
        <v>4600</v>
      </c>
      <c r="E306" s="884">
        <f t="shared" si="15"/>
        <v>27600</v>
      </c>
      <c r="F306" s="900" t="s">
        <v>587</v>
      </c>
      <c r="G306" s="885" t="s">
        <v>586</v>
      </c>
      <c r="H306" s="769" t="s">
        <v>626</v>
      </c>
    </row>
    <row r="307" spans="1:9" ht="24.95" customHeight="1">
      <c r="A307" s="801"/>
      <c r="B307" s="866" t="s">
        <v>4</v>
      </c>
      <c r="C307" s="750"/>
      <c r="D307" s="903"/>
      <c r="E307" s="904">
        <f>SUM(E287:E306)</f>
        <v>3156828.44</v>
      </c>
      <c r="F307" s="801"/>
      <c r="G307" s="744"/>
      <c r="H307" s="769"/>
    </row>
    <row r="308" spans="1:9" ht="24.95" customHeight="1">
      <c r="A308" s="744"/>
      <c r="B308" s="905"/>
      <c r="C308" s="906"/>
      <c r="D308" s="907"/>
      <c r="E308" s="908"/>
      <c r="F308" s="744"/>
      <c r="G308" s="744"/>
      <c r="H308" s="769"/>
    </row>
    <row r="309" spans="1:9" ht="24.95" customHeight="1">
      <c r="A309" s="744"/>
      <c r="B309" s="905"/>
      <c r="C309" s="906"/>
      <c r="D309" s="907"/>
      <c r="E309" s="908"/>
      <c r="F309" s="744"/>
      <c r="G309" s="744"/>
      <c r="H309" s="769"/>
    </row>
    <row r="310" spans="1:9" ht="24.95" customHeight="1">
      <c r="A310" s="2815" t="s">
        <v>585</v>
      </c>
      <c r="B310" s="2815"/>
      <c r="C310" s="2815"/>
      <c r="D310" s="2815"/>
      <c r="E310" s="2815"/>
      <c r="F310" s="2815"/>
      <c r="G310" s="744"/>
      <c r="H310" s="769"/>
    </row>
    <row r="311" spans="1:9" ht="24.95" customHeight="1">
      <c r="A311" s="750">
        <v>1</v>
      </c>
      <c r="B311" s="777" t="s">
        <v>603</v>
      </c>
      <c r="C311" s="834">
        <v>1</v>
      </c>
      <c r="D311" s="909">
        <v>800000</v>
      </c>
      <c r="E311" s="798">
        <f>+C311*D311</f>
        <v>800000</v>
      </c>
      <c r="F311" s="801" t="s">
        <v>604</v>
      </c>
      <c r="G311" s="744"/>
      <c r="H311" s="769"/>
    </row>
    <row r="312" spans="1:9" ht="24.95" customHeight="1">
      <c r="A312" s="750">
        <v>2</v>
      </c>
      <c r="B312" s="777" t="s">
        <v>605</v>
      </c>
      <c r="C312" s="834">
        <v>1</v>
      </c>
      <c r="D312" s="909">
        <v>500000</v>
      </c>
      <c r="E312" s="798">
        <f t="shared" ref="E312:E315" si="16">+C312*D312</f>
        <v>500000</v>
      </c>
      <c r="F312" s="801" t="s">
        <v>418</v>
      </c>
      <c r="G312" s="744"/>
      <c r="H312" s="769"/>
    </row>
    <row r="313" spans="1:9" ht="24.95" customHeight="1">
      <c r="A313" s="750">
        <v>3</v>
      </c>
      <c r="B313" s="777" t="s">
        <v>606</v>
      </c>
      <c r="C313" s="834">
        <v>1</v>
      </c>
      <c r="D313" s="909">
        <v>120000</v>
      </c>
      <c r="E313" s="798">
        <f t="shared" si="16"/>
        <v>120000</v>
      </c>
      <c r="F313" s="801" t="s">
        <v>422</v>
      </c>
      <c r="G313" s="744"/>
      <c r="H313" s="769"/>
    </row>
    <row r="314" spans="1:9" ht="24.95" customHeight="1">
      <c r="A314" s="750">
        <v>4</v>
      </c>
      <c r="B314" s="777" t="s">
        <v>607</v>
      </c>
      <c r="C314" s="834">
        <v>1</v>
      </c>
      <c r="D314" s="909">
        <v>228000</v>
      </c>
      <c r="E314" s="798">
        <f t="shared" si="16"/>
        <v>228000</v>
      </c>
      <c r="F314" s="801" t="s">
        <v>574</v>
      </c>
      <c r="G314" s="744"/>
      <c r="H314" s="769"/>
    </row>
    <row r="315" spans="1:9" ht="24.95" customHeight="1">
      <c r="A315" s="750">
        <v>5</v>
      </c>
      <c r="B315" s="777" t="s">
        <v>608</v>
      </c>
      <c r="C315" s="834">
        <v>1</v>
      </c>
      <c r="D315" s="909">
        <v>500000</v>
      </c>
      <c r="E315" s="798">
        <f t="shared" si="16"/>
        <v>500000</v>
      </c>
      <c r="F315" s="801" t="s">
        <v>574</v>
      </c>
      <c r="G315" s="744"/>
      <c r="H315" s="769"/>
    </row>
    <row r="316" spans="1:9" ht="24.95" customHeight="1">
      <c r="A316" s="801"/>
      <c r="B316" s="866" t="s">
        <v>4</v>
      </c>
      <c r="C316" s="750"/>
      <c r="D316" s="903"/>
      <c r="E316" s="910">
        <f>SUM(E311:E315)</f>
        <v>2148000</v>
      </c>
      <c r="F316" s="801"/>
      <c r="G316" s="744"/>
      <c r="H316" s="769"/>
    </row>
    <row r="317" spans="1:9" ht="24.95" customHeight="1">
      <c r="A317" s="2832" t="s">
        <v>1180</v>
      </c>
      <c r="B317" s="2815"/>
      <c r="C317" s="2815"/>
      <c r="D317" s="2815"/>
      <c r="E317" s="2815"/>
      <c r="F317" s="2815"/>
      <c r="G317" s="2815"/>
      <c r="H317" s="769"/>
    </row>
    <row r="318" spans="1:9" ht="24.95" customHeight="1">
      <c r="A318" s="745">
        <v>22</v>
      </c>
      <c r="B318" s="765" t="s">
        <v>1181</v>
      </c>
      <c r="C318" s="745">
        <v>1</v>
      </c>
      <c r="D318" s="747">
        <v>200000</v>
      </c>
      <c r="E318" s="747">
        <f>C318*D318</f>
        <v>200000</v>
      </c>
      <c r="F318" s="746" t="s">
        <v>421</v>
      </c>
      <c r="G318" s="746" t="s">
        <v>464</v>
      </c>
      <c r="H318" s="769"/>
    </row>
    <row r="319" spans="1:9" ht="24.95" customHeight="1">
      <c r="A319" s="745">
        <v>23</v>
      </c>
      <c r="B319" s="746" t="s">
        <v>1182</v>
      </c>
      <c r="C319" s="745">
        <v>2</v>
      </c>
      <c r="D319" s="747">
        <v>100000</v>
      </c>
      <c r="E319" s="747">
        <f>C319*D319</f>
        <v>200000</v>
      </c>
      <c r="F319" s="746" t="s">
        <v>460</v>
      </c>
      <c r="G319" s="746" t="s">
        <v>464</v>
      </c>
      <c r="H319" s="769"/>
    </row>
    <row r="320" spans="1:9" ht="24.95" customHeight="1">
      <c r="A320" s="745">
        <v>24</v>
      </c>
      <c r="B320" s="765" t="s">
        <v>188</v>
      </c>
      <c r="C320" s="745">
        <v>1</v>
      </c>
      <c r="D320" s="747">
        <v>400000</v>
      </c>
      <c r="E320" s="747">
        <f>C320*D320</f>
        <v>400000</v>
      </c>
      <c r="F320" s="746" t="s">
        <v>421</v>
      </c>
      <c r="G320" s="746" t="s">
        <v>464</v>
      </c>
      <c r="H320" s="769"/>
    </row>
    <row r="321" spans="1:9" ht="24.95" customHeight="1">
      <c r="A321" s="745">
        <v>25</v>
      </c>
      <c r="B321" s="765" t="s">
        <v>187</v>
      </c>
      <c r="C321" s="745">
        <v>1</v>
      </c>
      <c r="D321" s="747">
        <v>100000</v>
      </c>
      <c r="E321" s="747">
        <f t="shared" ref="E321" si="17">C321*D321</f>
        <v>100000</v>
      </c>
      <c r="F321" s="746" t="s">
        <v>421</v>
      </c>
      <c r="G321" s="746" t="s">
        <v>464</v>
      </c>
      <c r="H321" s="769"/>
    </row>
    <row r="322" spans="1:9" ht="24.95" customHeight="1">
      <c r="A322" s="745">
        <v>27</v>
      </c>
      <c r="B322" s="746" t="s">
        <v>200</v>
      </c>
      <c r="C322" s="745">
        <v>1</v>
      </c>
      <c r="D322" s="747">
        <v>65000</v>
      </c>
      <c r="E322" s="747">
        <f>C322*D322</f>
        <v>65000</v>
      </c>
      <c r="F322" s="746" t="s">
        <v>461</v>
      </c>
      <c r="G322" s="746" t="s">
        <v>464</v>
      </c>
      <c r="H322" s="769"/>
    </row>
    <row r="323" spans="1:9" ht="24.95" customHeight="1">
      <c r="A323" s="745">
        <v>28</v>
      </c>
      <c r="B323" s="911" t="s">
        <v>481</v>
      </c>
      <c r="C323" s="745">
        <v>1</v>
      </c>
      <c r="D323" s="912">
        <v>50000</v>
      </c>
      <c r="E323" s="813">
        <f>+C323*D323</f>
        <v>50000</v>
      </c>
      <c r="F323" s="766" t="s">
        <v>445</v>
      </c>
      <c r="G323" s="766" t="s">
        <v>464</v>
      </c>
      <c r="H323" s="769"/>
    </row>
    <row r="324" spans="1:9" ht="24.95" customHeight="1">
      <c r="A324" s="745">
        <v>29</v>
      </c>
      <c r="B324" s="911" t="s">
        <v>480</v>
      </c>
      <c r="C324" s="745">
        <v>1</v>
      </c>
      <c r="D324" s="912">
        <v>40000</v>
      </c>
      <c r="E324" s="813">
        <f>+C324*D324</f>
        <v>40000</v>
      </c>
      <c r="F324" s="766" t="s">
        <v>445</v>
      </c>
      <c r="G324" s="766" t="s">
        <v>464</v>
      </c>
      <c r="H324" s="769"/>
    </row>
    <row r="325" spans="1:9" ht="24.95" customHeight="1">
      <c r="A325" s="745">
        <v>30</v>
      </c>
      <c r="B325" s="746" t="s">
        <v>205</v>
      </c>
      <c r="C325" s="745">
        <v>1</v>
      </c>
      <c r="D325" s="747">
        <v>31849</v>
      </c>
      <c r="E325" s="747">
        <f t="shared" ref="E325" si="18">C325*D325</f>
        <v>31849</v>
      </c>
      <c r="F325" s="746" t="s">
        <v>462</v>
      </c>
      <c r="G325" s="746" t="s">
        <v>464</v>
      </c>
      <c r="H325" s="769"/>
    </row>
    <row r="326" spans="1:9" ht="24.95" customHeight="1">
      <c r="A326" s="745">
        <v>31</v>
      </c>
      <c r="B326" s="911" t="s">
        <v>482</v>
      </c>
      <c r="C326" s="745">
        <v>2</v>
      </c>
      <c r="D326" s="912">
        <v>9500</v>
      </c>
      <c r="E326" s="813">
        <f>+C326*D326</f>
        <v>19000</v>
      </c>
      <c r="F326" s="766" t="s">
        <v>445</v>
      </c>
      <c r="G326" s="766" t="s">
        <v>464</v>
      </c>
      <c r="H326" s="769"/>
    </row>
    <row r="327" spans="1:9" s="764" customFormat="1" ht="46.5">
      <c r="A327" s="758">
        <v>32</v>
      </c>
      <c r="B327" s="770" t="s">
        <v>202</v>
      </c>
      <c r="C327" s="758">
        <v>10</v>
      </c>
      <c r="D327" s="760">
        <v>5500</v>
      </c>
      <c r="E327" s="760">
        <f>C327*D327</f>
        <v>55000</v>
      </c>
      <c r="F327" s="759" t="s">
        <v>639</v>
      </c>
      <c r="G327" s="759" t="s">
        <v>464</v>
      </c>
      <c r="H327" s="753"/>
      <c r="I327" s="872"/>
    </row>
    <row r="328" spans="1:9" ht="24.95" customHeight="1">
      <c r="A328" s="745">
        <v>34</v>
      </c>
      <c r="B328" s="766" t="s">
        <v>485</v>
      </c>
      <c r="C328" s="745">
        <v>2</v>
      </c>
      <c r="D328" s="812">
        <v>4950</v>
      </c>
      <c r="E328" s="813">
        <f>+C328*D328</f>
        <v>9900</v>
      </c>
      <c r="F328" s="766" t="s">
        <v>445</v>
      </c>
      <c r="G328" s="766" t="s">
        <v>464</v>
      </c>
      <c r="H328" s="769"/>
    </row>
    <row r="329" spans="1:9" ht="24.95" customHeight="1">
      <c r="A329" s="745">
        <v>35</v>
      </c>
      <c r="B329" s="911" t="s">
        <v>479</v>
      </c>
      <c r="C329" s="745">
        <v>1</v>
      </c>
      <c r="D329" s="812">
        <v>2000</v>
      </c>
      <c r="E329" s="813">
        <f>+C329*D329</f>
        <v>2000</v>
      </c>
      <c r="F329" s="766" t="s">
        <v>445</v>
      </c>
      <c r="G329" s="766" t="s">
        <v>464</v>
      </c>
      <c r="H329" s="769"/>
    </row>
    <row r="330" spans="1:9" ht="24.95" customHeight="1">
      <c r="A330" s="745">
        <v>36</v>
      </c>
      <c r="B330" s="765" t="s">
        <v>654</v>
      </c>
      <c r="C330" s="745">
        <v>2</v>
      </c>
      <c r="D330" s="782">
        <v>130000</v>
      </c>
      <c r="E330" s="782">
        <f>+C330*D330</f>
        <v>260000</v>
      </c>
      <c r="F330" s="766" t="s">
        <v>655</v>
      </c>
      <c r="G330" s="766" t="s">
        <v>464</v>
      </c>
      <c r="H330" s="769"/>
    </row>
    <row r="331" spans="1:9" ht="24.95" customHeight="1">
      <c r="A331" s="745">
        <v>45</v>
      </c>
      <c r="B331" s="804" t="s">
        <v>744</v>
      </c>
      <c r="C331" s="786">
        <v>1</v>
      </c>
      <c r="D331" s="782">
        <v>400000</v>
      </c>
      <c r="E331" s="814">
        <f>+C331*D331</f>
        <v>400000</v>
      </c>
      <c r="F331" s="804" t="s">
        <v>745</v>
      </c>
      <c r="G331" s="766" t="s">
        <v>464</v>
      </c>
      <c r="H331" s="769"/>
    </row>
    <row r="332" spans="1:9" ht="24.95" customHeight="1">
      <c r="A332" s="745">
        <v>52</v>
      </c>
      <c r="B332" s="784" t="s">
        <v>803</v>
      </c>
      <c r="C332" s="786">
        <v>1</v>
      </c>
      <c r="D332" s="794">
        <v>310000</v>
      </c>
      <c r="E332" s="768">
        <f t="shared" ref="E332:E336" si="19">+C332*D332</f>
        <v>310000</v>
      </c>
      <c r="F332" s="784" t="s">
        <v>418</v>
      </c>
      <c r="G332" s="766" t="s">
        <v>464</v>
      </c>
      <c r="H332" s="769"/>
    </row>
    <row r="333" spans="1:9" ht="24.95" customHeight="1">
      <c r="A333" s="745">
        <v>54</v>
      </c>
      <c r="B333" s="784" t="s">
        <v>805</v>
      </c>
      <c r="C333" s="786">
        <v>1</v>
      </c>
      <c r="D333" s="768">
        <v>28000</v>
      </c>
      <c r="E333" s="768">
        <f t="shared" si="19"/>
        <v>28000</v>
      </c>
      <c r="F333" s="784" t="s">
        <v>418</v>
      </c>
      <c r="G333" s="766" t="s">
        <v>464</v>
      </c>
      <c r="H333" s="769" t="s">
        <v>490</v>
      </c>
    </row>
    <row r="334" spans="1:9" ht="24.95" customHeight="1">
      <c r="A334" s="745">
        <v>58</v>
      </c>
      <c r="B334" s="785" t="s">
        <v>809</v>
      </c>
      <c r="C334" s="826">
        <v>1</v>
      </c>
      <c r="D334" s="814">
        <v>25000</v>
      </c>
      <c r="E334" s="768">
        <f t="shared" si="19"/>
        <v>25000</v>
      </c>
      <c r="F334" s="804" t="s">
        <v>418</v>
      </c>
      <c r="G334" s="766" t="s">
        <v>464</v>
      </c>
      <c r="H334" s="769" t="s">
        <v>490</v>
      </c>
    </row>
    <row r="335" spans="1:9" ht="24.95" customHeight="1">
      <c r="A335" s="745">
        <v>62</v>
      </c>
      <c r="B335" s="804" t="s">
        <v>813</v>
      </c>
      <c r="C335" s="786">
        <v>2</v>
      </c>
      <c r="D335" s="782">
        <v>5990</v>
      </c>
      <c r="E335" s="768">
        <f t="shared" si="19"/>
        <v>11980</v>
      </c>
      <c r="F335" s="804" t="s">
        <v>472</v>
      </c>
      <c r="G335" s="766" t="s">
        <v>464</v>
      </c>
      <c r="H335" s="769"/>
    </row>
    <row r="336" spans="1:9" ht="24.95" customHeight="1">
      <c r="A336" s="745">
        <v>96</v>
      </c>
      <c r="B336" s="804" t="s">
        <v>840</v>
      </c>
      <c r="C336" s="786">
        <v>4</v>
      </c>
      <c r="D336" s="782">
        <v>33000</v>
      </c>
      <c r="E336" s="768">
        <f t="shared" si="19"/>
        <v>132000</v>
      </c>
      <c r="F336" s="804" t="s">
        <v>445</v>
      </c>
      <c r="G336" s="766" t="s">
        <v>464</v>
      </c>
      <c r="H336" s="769"/>
    </row>
    <row r="337" spans="1:8" ht="24.95" customHeight="1">
      <c r="A337" s="745">
        <v>104</v>
      </c>
      <c r="B337" s="746" t="s">
        <v>987</v>
      </c>
      <c r="C337" s="745">
        <v>1</v>
      </c>
      <c r="D337" s="767">
        <v>2500000</v>
      </c>
      <c r="E337" s="798">
        <f>+C337*D337</f>
        <v>2500000</v>
      </c>
      <c r="F337" s="784"/>
      <c r="G337" s="766" t="s">
        <v>464</v>
      </c>
      <c r="H337" s="769"/>
    </row>
    <row r="338" spans="1:8" ht="24.95" customHeight="1">
      <c r="A338" s="745"/>
      <c r="B338" s="2820" t="s">
        <v>1168</v>
      </c>
      <c r="C338" s="2821"/>
      <c r="D338" s="2822"/>
      <c r="E338" s="805">
        <f>SUM(E318:E337)</f>
        <v>4839729</v>
      </c>
      <c r="F338" s="754"/>
      <c r="G338" s="766"/>
      <c r="H338" s="769"/>
    </row>
    <row r="339" spans="1:8" ht="24.95" customHeight="1">
      <c r="A339" s="745">
        <v>111</v>
      </c>
      <c r="B339" s="784" t="s">
        <v>887</v>
      </c>
      <c r="C339" s="786">
        <v>2</v>
      </c>
      <c r="D339" s="768">
        <v>2290</v>
      </c>
      <c r="E339" s="768">
        <f t="shared" ref="E339:E347" si="20">+C339*D339</f>
        <v>4580</v>
      </c>
      <c r="F339" s="784" t="s">
        <v>888</v>
      </c>
      <c r="G339" s="766" t="s">
        <v>728</v>
      </c>
      <c r="H339" s="769"/>
    </row>
    <row r="340" spans="1:8" ht="24.95" customHeight="1">
      <c r="A340" s="745">
        <v>116</v>
      </c>
      <c r="B340" s="784" t="s">
        <v>882</v>
      </c>
      <c r="C340" s="786">
        <v>2</v>
      </c>
      <c r="D340" s="768">
        <v>8690</v>
      </c>
      <c r="E340" s="768">
        <f t="shared" si="20"/>
        <v>17380</v>
      </c>
      <c r="F340" s="784" t="s">
        <v>888</v>
      </c>
      <c r="G340" s="766" t="s">
        <v>728</v>
      </c>
      <c r="H340" s="769"/>
    </row>
    <row r="341" spans="1:8" ht="24.95" customHeight="1">
      <c r="A341" s="745">
        <v>117</v>
      </c>
      <c r="B341" s="784" t="s">
        <v>869</v>
      </c>
      <c r="C341" s="786">
        <v>19</v>
      </c>
      <c r="D341" s="784">
        <v>3524.58</v>
      </c>
      <c r="E341" s="768">
        <f t="shared" si="20"/>
        <v>66967.02</v>
      </c>
      <c r="F341" s="784" t="s">
        <v>888</v>
      </c>
      <c r="G341" s="766" t="s">
        <v>728</v>
      </c>
      <c r="H341" s="769"/>
    </row>
    <row r="342" spans="1:8" ht="24.95" customHeight="1">
      <c r="A342" s="745">
        <v>118</v>
      </c>
      <c r="B342" s="784" t="s">
        <v>870</v>
      </c>
      <c r="C342" s="786">
        <v>40</v>
      </c>
      <c r="D342" s="768">
        <v>2477.5</v>
      </c>
      <c r="E342" s="768">
        <f t="shared" si="20"/>
        <v>99100</v>
      </c>
      <c r="F342" s="784" t="s">
        <v>850</v>
      </c>
      <c r="G342" s="766" t="s">
        <v>728</v>
      </c>
      <c r="H342" s="769"/>
    </row>
    <row r="343" spans="1:8" ht="24.95" customHeight="1">
      <c r="A343" s="745">
        <v>119</v>
      </c>
      <c r="B343" s="784" t="s">
        <v>871</v>
      </c>
      <c r="C343" s="786">
        <v>1</v>
      </c>
      <c r="D343" s="768">
        <v>22950</v>
      </c>
      <c r="E343" s="768">
        <f t="shared" si="20"/>
        <v>22950</v>
      </c>
      <c r="F343" s="784" t="s">
        <v>851</v>
      </c>
      <c r="G343" s="766" t="s">
        <v>728</v>
      </c>
      <c r="H343" s="769" t="s">
        <v>1216</v>
      </c>
    </row>
    <row r="344" spans="1:8" ht="24.95" customHeight="1">
      <c r="A344" s="745">
        <v>124</v>
      </c>
      <c r="B344" s="785" t="s">
        <v>871</v>
      </c>
      <c r="C344" s="826">
        <v>1</v>
      </c>
      <c r="D344" s="814">
        <v>22950</v>
      </c>
      <c r="E344" s="768">
        <f t="shared" si="20"/>
        <v>22950</v>
      </c>
      <c r="F344" s="785" t="s">
        <v>855</v>
      </c>
      <c r="G344" s="766" t="s">
        <v>728</v>
      </c>
      <c r="H344" s="769" t="s">
        <v>1216</v>
      </c>
    </row>
    <row r="345" spans="1:8" ht="24.95" customHeight="1">
      <c r="A345" s="745">
        <v>125</v>
      </c>
      <c r="B345" s="785" t="s">
        <v>874</v>
      </c>
      <c r="C345" s="826">
        <v>1</v>
      </c>
      <c r="D345" s="814">
        <v>2140</v>
      </c>
      <c r="E345" s="768">
        <f t="shared" si="20"/>
        <v>2140</v>
      </c>
      <c r="F345" s="785" t="s">
        <v>451</v>
      </c>
      <c r="G345" s="766" t="s">
        <v>728</v>
      </c>
      <c r="H345" s="769" t="s">
        <v>1206</v>
      </c>
    </row>
    <row r="346" spans="1:8" ht="24.95" customHeight="1">
      <c r="A346" s="745">
        <v>126</v>
      </c>
      <c r="B346" s="784" t="s">
        <v>875</v>
      </c>
      <c r="C346" s="786">
        <v>1</v>
      </c>
      <c r="D346" s="768">
        <v>61018.03</v>
      </c>
      <c r="E346" s="768">
        <f t="shared" si="20"/>
        <v>61018.03</v>
      </c>
      <c r="F346" s="784" t="s">
        <v>889</v>
      </c>
      <c r="G346" s="766" t="s">
        <v>728</v>
      </c>
      <c r="H346" s="769" t="s">
        <v>1206</v>
      </c>
    </row>
    <row r="347" spans="1:8" ht="24.95" customHeight="1">
      <c r="A347" s="745">
        <v>130</v>
      </c>
      <c r="B347" s="784" t="s">
        <v>877</v>
      </c>
      <c r="C347" s="786">
        <v>1</v>
      </c>
      <c r="D347" s="768">
        <v>1400</v>
      </c>
      <c r="E347" s="768">
        <f t="shared" si="20"/>
        <v>1400</v>
      </c>
      <c r="F347" s="784" t="s">
        <v>614</v>
      </c>
      <c r="G347" s="766" t="s">
        <v>728</v>
      </c>
      <c r="H347" s="769" t="s">
        <v>1206</v>
      </c>
    </row>
    <row r="348" spans="1:8" ht="24.95" customHeight="1">
      <c r="A348" s="745"/>
      <c r="B348" s="2834" t="s">
        <v>1169</v>
      </c>
      <c r="C348" s="2835"/>
      <c r="D348" s="2836"/>
      <c r="E348" s="805">
        <f>SUM(E339:E347)</f>
        <v>298485.05000000005</v>
      </c>
      <c r="F348" s="913"/>
      <c r="G348" s="801"/>
      <c r="H348" s="769"/>
    </row>
    <row r="349" spans="1:8" ht="24.95" customHeight="1">
      <c r="A349" s="745">
        <v>132</v>
      </c>
      <c r="B349" s="746" t="s">
        <v>204</v>
      </c>
      <c r="C349" s="745">
        <v>2</v>
      </c>
      <c r="D349" s="747">
        <v>7500</v>
      </c>
      <c r="E349" s="747">
        <f>C349*D349</f>
        <v>15000</v>
      </c>
      <c r="F349" s="746" t="s">
        <v>455</v>
      </c>
      <c r="G349" s="746" t="s">
        <v>731</v>
      </c>
      <c r="H349" s="769" t="s">
        <v>490</v>
      </c>
    </row>
    <row r="350" spans="1:8" ht="24.95" customHeight="1">
      <c r="A350" s="745">
        <v>133</v>
      </c>
      <c r="B350" s="766" t="s">
        <v>627</v>
      </c>
      <c r="C350" s="745">
        <v>1</v>
      </c>
      <c r="D350" s="747">
        <v>1000000</v>
      </c>
      <c r="E350" s="803">
        <f>+C350*D350</f>
        <v>1000000</v>
      </c>
      <c r="F350" s="766" t="s">
        <v>471</v>
      </c>
      <c r="G350" s="766" t="s">
        <v>731</v>
      </c>
      <c r="H350" s="769" t="s">
        <v>1206</v>
      </c>
    </row>
    <row r="351" spans="1:8" ht="24.95" customHeight="1">
      <c r="A351" s="745">
        <v>137</v>
      </c>
      <c r="B351" s="784" t="s">
        <v>894</v>
      </c>
      <c r="C351" s="786">
        <v>1</v>
      </c>
      <c r="D351" s="768">
        <v>5025</v>
      </c>
      <c r="E351" s="803">
        <f t="shared" ref="E351:E354" si="21">+C351*D351</f>
        <v>5025</v>
      </c>
      <c r="F351" s="784" t="s">
        <v>896</v>
      </c>
      <c r="G351" s="766" t="s">
        <v>731</v>
      </c>
      <c r="H351" s="769" t="s">
        <v>1206</v>
      </c>
    </row>
    <row r="352" spans="1:8" ht="24.95" customHeight="1">
      <c r="A352" s="745">
        <v>138</v>
      </c>
      <c r="B352" s="784" t="s">
        <v>895</v>
      </c>
      <c r="C352" s="786">
        <v>1</v>
      </c>
      <c r="D352" s="768">
        <v>2685.7</v>
      </c>
      <c r="E352" s="803">
        <f t="shared" si="21"/>
        <v>2685.7</v>
      </c>
      <c r="F352" s="784" t="s">
        <v>745</v>
      </c>
      <c r="G352" s="766" t="s">
        <v>731</v>
      </c>
      <c r="H352" s="769" t="s">
        <v>1206</v>
      </c>
    </row>
    <row r="353" spans="1:8" ht="24.95" customHeight="1">
      <c r="A353" s="745">
        <v>139</v>
      </c>
      <c r="B353" s="784" t="s">
        <v>898</v>
      </c>
      <c r="C353" s="786">
        <v>2</v>
      </c>
      <c r="D353" s="768">
        <v>1701.3</v>
      </c>
      <c r="E353" s="803">
        <f t="shared" si="21"/>
        <v>3402.6</v>
      </c>
      <c r="F353" s="784" t="s">
        <v>614</v>
      </c>
      <c r="G353" s="766" t="s">
        <v>731</v>
      </c>
      <c r="H353" s="769" t="s">
        <v>1206</v>
      </c>
    </row>
    <row r="354" spans="1:8" ht="24.95" customHeight="1">
      <c r="A354" s="745">
        <v>140</v>
      </c>
      <c r="B354" s="784" t="s">
        <v>897</v>
      </c>
      <c r="C354" s="786">
        <v>4</v>
      </c>
      <c r="D354" s="768">
        <v>1519.4</v>
      </c>
      <c r="E354" s="803">
        <f t="shared" si="21"/>
        <v>6077.6</v>
      </c>
      <c r="F354" s="784" t="s">
        <v>614</v>
      </c>
      <c r="G354" s="766" t="s">
        <v>731</v>
      </c>
      <c r="H354" s="769" t="s">
        <v>1206</v>
      </c>
    </row>
    <row r="355" spans="1:8" ht="24.95" customHeight="1">
      <c r="A355" s="750"/>
      <c r="B355" s="2837" t="s">
        <v>1170</v>
      </c>
      <c r="C355" s="2838"/>
      <c r="D355" s="2839"/>
      <c r="E355" s="806">
        <f>SUM(E349:E354)</f>
        <v>1032190.8999999999</v>
      </c>
      <c r="F355" s="801"/>
      <c r="G355" s="801"/>
      <c r="H355" s="769"/>
    </row>
    <row r="356" spans="1:8" ht="24.95" customHeight="1">
      <c r="A356" s="745">
        <v>143</v>
      </c>
      <c r="B356" s="765" t="s">
        <v>203</v>
      </c>
      <c r="C356" s="745">
        <v>71</v>
      </c>
      <c r="D356" s="747">
        <v>7000</v>
      </c>
      <c r="E356" s="747">
        <f>C356*D356</f>
        <v>497000</v>
      </c>
      <c r="F356" s="746" t="s">
        <v>456</v>
      </c>
      <c r="G356" s="746" t="s">
        <v>729</v>
      </c>
      <c r="H356" s="769"/>
    </row>
    <row r="357" spans="1:8" ht="24.95" customHeight="1">
      <c r="A357" s="745">
        <v>144</v>
      </c>
      <c r="B357" s="911" t="s">
        <v>476</v>
      </c>
      <c r="C357" s="745">
        <v>1</v>
      </c>
      <c r="D357" s="912">
        <v>15000</v>
      </c>
      <c r="E357" s="813">
        <f t="shared" ref="E357:E363" si="22">+C357*D357</f>
        <v>15000</v>
      </c>
      <c r="F357" s="766" t="s">
        <v>445</v>
      </c>
      <c r="G357" s="766" t="s">
        <v>729</v>
      </c>
      <c r="H357" s="769"/>
    </row>
    <row r="358" spans="1:8" ht="24.95" customHeight="1">
      <c r="A358" s="745">
        <v>145</v>
      </c>
      <c r="B358" s="766" t="s">
        <v>483</v>
      </c>
      <c r="C358" s="745">
        <v>2</v>
      </c>
      <c r="D358" s="812">
        <v>6500</v>
      </c>
      <c r="E358" s="813">
        <f t="shared" si="22"/>
        <v>13000</v>
      </c>
      <c r="F358" s="766" t="s">
        <v>445</v>
      </c>
      <c r="G358" s="766" t="s">
        <v>729</v>
      </c>
      <c r="H358" s="769"/>
    </row>
    <row r="359" spans="1:8" ht="24.95" customHeight="1">
      <c r="A359" s="745">
        <v>146</v>
      </c>
      <c r="B359" s="911" t="s">
        <v>477</v>
      </c>
      <c r="C359" s="745">
        <v>1</v>
      </c>
      <c r="D359" s="912">
        <v>10000</v>
      </c>
      <c r="E359" s="813">
        <f t="shared" si="22"/>
        <v>10000</v>
      </c>
      <c r="F359" s="766" t="s">
        <v>445</v>
      </c>
      <c r="G359" s="766" t="s">
        <v>729</v>
      </c>
      <c r="H359" s="769"/>
    </row>
    <row r="360" spans="1:8" ht="24.95" customHeight="1">
      <c r="A360" s="745">
        <v>147</v>
      </c>
      <c r="B360" s="746" t="s">
        <v>489</v>
      </c>
      <c r="C360" s="745">
        <v>1</v>
      </c>
      <c r="D360" s="800">
        <v>50000</v>
      </c>
      <c r="E360" s="813">
        <f t="shared" si="22"/>
        <v>50000</v>
      </c>
      <c r="F360" s="766" t="s">
        <v>445</v>
      </c>
      <c r="G360" s="766" t="s">
        <v>729</v>
      </c>
      <c r="H360" s="769"/>
    </row>
    <row r="361" spans="1:8" ht="24.95" customHeight="1">
      <c r="A361" s="745">
        <v>148</v>
      </c>
      <c r="B361" s="911" t="s">
        <v>486</v>
      </c>
      <c r="C361" s="745">
        <v>2</v>
      </c>
      <c r="D361" s="912">
        <v>4500</v>
      </c>
      <c r="E361" s="813">
        <f t="shared" si="22"/>
        <v>9000</v>
      </c>
      <c r="F361" s="766" t="s">
        <v>445</v>
      </c>
      <c r="G361" s="766" t="s">
        <v>729</v>
      </c>
      <c r="H361" s="769"/>
    </row>
    <row r="362" spans="1:8" ht="24.95" customHeight="1">
      <c r="A362" s="745">
        <v>149</v>
      </c>
      <c r="B362" s="911" t="s">
        <v>484</v>
      </c>
      <c r="C362" s="745">
        <v>2</v>
      </c>
      <c r="D362" s="912">
        <v>3950</v>
      </c>
      <c r="E362" s="813">
        <f t="shared" si="22"/>
        <v>7900</v>
      </c>
      <c r="F362" s="766" t="s">
        <v>445</v>
      </c>
      <c r="G362" s="766" t="s">
        <v>729</v>
      </c>
      <c r="H362" s="769"/>
    </row>
    <row r="363" spans="1:8" ht="24.95" customHeight="1">
      <c r="A363" s="745">
        <v>150</v>
      </c>
      <c r="B363" s="765" t="s">
        <v>488</v>
      </c>
      <c r="C363" s="745">
        <v>2</v>
      </c>
      <c r="D363" s="800">
        <v>3950</v>
      </c>
      <c r="E363" s="813">
        <f t="shared" si="22"/>
        <v>7900</v>
      </c>
      <c r="F363" s="766" t="s">
        <v>445</v>
      </c>
      <c r="G363" s="766" t="s">
        <v>729</v>
      </c>
      <c r="H363" s="769"/>
    </row>
    <row r="364" spans="1:8" ht="24.95" customHeight="1">
      <c r="A364" s="745">
        <v>151</v>
      </c>
      <c r="B364" s="784" t="s">
        <v>501</v>
      </c>
      <c r="C364" s="786">
        <v>1</v>
      </c>
      <c r="D364" s="757">
        <v>5590</v>
      </c>
      <c r="E364" s="757">
        <v>5590</v>
      </c>
      <c r="F364" s="784" t="s">
        <v>583</v>
      </c>
      <c r="G364" s="784" t="s">
        <v>729</v>
      </c>
      <c r="H364" s="769" t="s">
        <v>490</v>
      </c>
    </row>
    <row r="365" spans="1:8" ht="24.95" customHeight="1">
      <c r="A365" s="745">
        <v>152</v>
      </c>
      <c r="B365" s="911" t="s">
        <v>478</v>
      </c>
      <c r="C365" s="745">
        <v>1</v>
      </c>
      <c r="D365" s="912">
        <v>4000</v>
      </c>
      <c r="E365" s="813">
        <f t="shared" ref="E365" si="23">+C365*D365</f>
        <v>4000</v>
      </c>
      <c r="F365" s="766" t="s">
        <v>445</v>
      </c>
      <c r="G365" s="766" t="s">
        <v>729</v>
      </c>
      <c r="H365" s="769"/>
    </row>
    <row r="366" spans="1:8" ht="24.95" customHeight="1">
      <c r="A366" s="745">
        <v>155</v>
      </c>
      <c r="B366" s="784" t="s">
        <v>899</v>
      </c>
      <c r="C366" s="786">
        <v>3</v>
      </c>
      <c r="D366" s="768">
        <v>15200</v>
      </c>
      <c r="E366" s="768">
        <f>+C366*D366</f>
        <v>45600</v>
      </c>
      <c r="F366" s="784" t="s">
        <v>888</v>
      </c>
      <c r="G366" s="766" t="s">
        <v>729</v>
      </c>
      <c r="H366" s="769"/>
    </row>
    <row r="367" spans="1:8" ht="24.95" customHeight="1">
      <c r="A367" s="745">
        <v>156</v>
      </c>
      <c r="B367" s="784" t="s">
        <v>1006</v>
      </c>
      <c r="C367" s="786">
        <v>1</v>
      </c>
      <c r="D367" s="768">
        <v>2027.65</v>
      </c>
      <c r="E367" s="768">
        <v>2027.65</v>
      </c>
      <c r="F367" s="784" t="s">
        <v>888</v>
      </c>
      <c r="G367" s="766" t="s">
        <v>729</v>
      </c>
      <c r="H367" s="769"/>
    </row>
    <row r="368" spans="1:8" ht="24.95" customHeight="1">
      <c r="A368" s="745">
        <v>162</v>
      </c>
      <c r="B368" s="784" t="s">
        <v>903</v>
      </c>
      <c r="C368" s="786">
        <v>4</v>
      </c>
      <c r="D368" s="768">
        <v>750</v>
      </c>
      <c r="E368" s="768">
        <f t="shared" ref="E368:E371" si="24">+C368*D368</f>
        <v>3000</v>
      </c>
      <c r="F368" s="784" t="s">
        <v>472</v>
      </c>
      <c r="G368" s="766" t="s">
        <v>729</v>
      </c>
      <c r="H368" s="769" t="s">
        <v>1206</v>
      </c>
    </row>
    <row r="369" spans="1:9" ht="24.95" customHeight="1">
      <c r="A369" s="745">
        <v>163</v>
      </c>
      <c r="B369" s="784" t="s">
        <v>903</v>
      </c>
      <c r="C369" s="786">
        <v>1</v>
      </c>
      <c r="D369" s="768">
        <v>2990</v>
      </c>
      <c r="E369" s="768">
        <f t="shared" si="24"/>
        <v>2990</v>
      </c>
      <c r="F369" s="784" t="s">
        <v>472</v>
      </c>
      <c r="G369" s="766" t="s">
        <v>729</v>
      </c>
      <c r="H369" s="769"/>
    </row>
    <row r="370" spans="1:9" ht="24.95" customHeight="1">
      <c r="A370" s="745">
        <v>178</v>
      </c>
      <c r="B370" s="784" t="s">
        <v>913</v>
      </c>
      <c r="C370" s="786">
        <v>2</v>
      </c>
      <c r="D370" s="768">
        <v>1590</v>
      </c>
      <c r="E370" s="768">
        <f t="shared" si="24"/>
        <v>3180</v>
      </c>
      <c r="F370" s="784" t="s">
        <v>947</v>
      </c>
      <c r="G370" s="766" t="s">
        <v>729</v>
      </c>
      <c r="H370" s="769" t="s">
        <v>1206</v>
      </c>
    </row>
    <row r="371" spans="1:9" ht="24.95" customHeight="1">
      <c r="A371" s="745">
        <v>180</v>
      </c>
      <c r="B371" s="784" t="s">
        <v>915</v>
      </c>
      <c r="C371" s="786">
        <v>1</v>
      </c>
      <c r="D371" s="914">
        <v>2878.3</v>
      </c>
      <c r="E371" s="768">
        <f t="shared" si="24"/>
        <v>2878.3</v>
      </c>
      <c r="F371" s="784" t="s">
        <v>470</v>
      </c>
      <c r="G371" s="766" t="s">
        <v>729</v>
      </c>
      <c r="H371" s="769" t="s">
        <v>1206</v>
      </c>
    </row>
    <row r="372" spans="1:9" ht="24.95" customHeight="1">
      <c r="A372" s="745">
        <v>197</v>
      </c>
      <c r="B372" s="785" t="s">
        <v>929</v>
      </c>
      <c r="C372" s="826">
        <v>4</v>
      </c>
      <c r="D372" s="814">
        <v>1990</v>
      </c>
      <c r="E372" s="782">
        <v>7960</v>
      </c>
      <c r="F372" s="785" t="s">
        <v>954</v>
      </c>
      <c r="G372" s="766" t="s">
        <v>729</v>
      </c>
      <c r="H372" s="769" t="s">
        <v>1206</v>
      </c>
    </row>
    <row r="373" spans="1:9" ht="24.95" customHeight="1">
      <c r="A373" s="745">
        <v>201</v>
      </c>
      <c r="B373" s="784" t="s">
        <v>933</v>
      </c>
      <c r="C373" s="786">
        <v>2</v>
      </c>
      <c r="D373" s="768">
        <v>1320</v>
      </c>
      <c r="E373" s="915">
        <v>2640</v>
      </c>
      <c r="F373" s="784" t="s">
        <v>956</v>
      </c>
      <c r="G373" s="766" t="s">
        <v>729</v>
      </c>
      <c r="H373" s="769" t="s">
        <v>1206</v>
      </c>
    </row>
    <row r="374" spans="1:9" ht="24.95" customHeight="1">
      <c r="A374" s="745">
        <v>207</v>
      </c>
      <c r="B374" s="784" t="s">
        <v>739</v>
      </c>
      <c r="C374" s="786">
        <v>1</v>
      </c>
      <c r="D374" s="787">
        <v>1590</v>
      </c>
      <c r="E374" s="787">
        <v>1590</v>
      </c>
      <c r="F374" s="784" t="s">
        <v>960</v>
      </c>
      <c r="G374" s="766" t="s">
        <v>729</v>
      </c>
      <c r="H374" s="769" t="s">
        <v>1206</v>
      </c>
    </row>
    <row r="375" spans="1:9" ht="24.95" customHeight="1">
      <c r="A375" s="745">
        <v>208</v>
      </c>
      <c r="B375" s="784" t="s">
        <v>937</v>
      </c>
      <c r="C375" s="786">
        <v>2</v>
      </c>
      <c r="D375" s="768">
        <v>4994</v>
      </c>
      <c r="E375" s="768">
        <v>9988</v>
      </c>
      <c r="F375" s="784" t="s">
        <v>614</v>
      </c>
      <c r="G375" s="766" t="s">
        <v>729</v>
      </c>
      <c r="H375" s="769" t="s">
        <v>1206</v>
      </c>
    </row>
    <row r="376" spans="1:9" ht="24.95" customHeight="1">
      <c r="A376" s="745"/>
      <c r="B376" s="2840" t="s">
        <v>1172</v>
      </c>
      <c r="C376" s="2841"/>
      <c r="D376" s="2842"/>
      <c r="E376" s="805">
        <f>SUM(E356:E375)</f>
        <v>701243.95000000007</v>
      </c>
      <c r="F376" s="784"/>
      <c r="G376" s="766"/>
      <c r="H376" s="769"/>
    </row>
    <row r="377" spans="1:9" ht="24.95" customHeight="1">
      <c r="A377" s="745">
        <v>226</v>
      </c>
      <c r="B377" s="916" t="s">
        <v>1184</v>
      </c>
      <c r="C377" s="786">
        <v>1</v>
      </c>
      <c r="D377" s="782">
        <v>7000000</v>
      </c>
      <c r="E377" s="823">
        <f>+C377*D377</f>
        <v>7000000</v>
      </c>
      <c r="F377" s="783" t="s">
        <v>532</v>
      </c>
      <c r="G377" s="783" t="s">
        <v>730</v>
      </c>
      <c r="H377" s="769"/>
    </row>
    <row r="378" spans="1:9" ht="24.95" customHeight="1">
      <c r="A378" s="745">
        <v>228</v>
      </c>
      <c r="B378" s="824" t="s">
        <v>531</v>
      </c>
      <c r="C378" s="786">
        <v>1</v>
      </c>
      <c r="D378" s="822">
        <v>152000</v>
      </c>
      <c r="E378" s="823">
        <v>152000</v>
      </c>
      <c r="F378" s="766" t="s">
        <v>532</v>
      </c>
      <c r="G378" s="766" t="s">
        <v>730</v>
      </c>
      <c r="H378" s="769"/>
    </row>
    <row r="379" spans="1:9">
      <c r="A379" s="745">
        <v>230</v>
      </c>
      <c r="B379" s="785" t="s">
        <v>1185</v>
      </c>
      <c r="C379" s="786">
        <v>1</v>
      </c>
      <c r="D379" s="822">
        <v>250000</v>
      </c>
      <c r="E379" s="823">
        <v>250000</v>
      </c>
      <c r="F379" s="783" t="s">
        <v>532</v>
      </c>
      <c r="G379" s="783" t="s">
        <v>730</v>
      </c>
      <c r="H379" s="769"/>
    </row>
    <row r="380" spans="1:9" s="764" customFormat="1" ht="245.25" customHeight="1">
      <c r="A380" s="758">
        <v>241</v>
      </c>
      <c r="B380" s="917" t="s">
        <v>747</v>
      </c>
      <c r="C380" s="918">
        <v>1</v>
      </c>
      <c r="D380" s="919">
        <v>5000000</v>
      </c>
      <c r="E380" s="842">
        <f t="shared" ref="E380:E382" si="25">+C380*D380</f>
        <v>5000000</v>
      </c>
      <c r="F380" s="831" t="s">
        <v>532</v>
      </c>
      <c r="G380" s="831" t="s">
        <v>730</v>
      </c>
      <c r="H380" s="753"/>
      <c r="I380" s="872"/>
    </row>
    <row r="381" spans="1:9" s="764" customFormat="1" ht="46.5">
      <c r="A381" s="758">
        <v>263</v>
      </c>
      <c r="B381" s="828" t="s">
        <v>1186</v>
      </c>
      <c r="C381" s="920">
        <v>1</v>
      </c>
      <c r="D381" s="921">
        <v>450000</v>
      </c>
      <c r="E381" s="842">
        <f t="shared" si="25"/>
        <v>450000</v>
      </c>
      <c r="F381" s="831" t="s">
        <v>532</v>
      </c>
      <c r="G381" s="831" t="s">
        <v>730</v>
      </c>
      <c r="H381" s="753"/>
      <c r="I381" s="872"/>
    </row>
    <row r="382" spans="1:9" ht="24.95" customHeight="1">
      <c r="A382" s="745">
        <v>264</v>
      </c>
      <c r="B382" s="833" t="s">
        <v>768</v>
      </c>
      <c r="C382" s="834">
        <v>20</v>
      </c>
      <c r="D382" s="838">
        <v>2500</v>
      </c>
      <c r="E382" s="798">
        <f t="shared" si="25"/>
        <v>50000</v>
      </c>
      <c r="F382" s="783" t="s">
        <v>532</v>
      </c>
      <c r="G382" s="783" t="s">
        <v>730</v>
      </c>
      <c r="H382" s="769"/>
    </row>
    <row r="383" spans="1:9" ht="24.95" customHeight="1">
      <c r="A383" s="862"/>
      <c r="B383" s="2833" t="s">
        <v>1173</v>
      </c>
      <c r="C383" s="2833"/>
      <c r="D383" s="2833"/>
      <c r="E383" s="922">
        <f>SUM(E377:E382)</f>
        <v>12902000</v>
      </c>
      <c r="G383" s="923"/>
      <c r="H383" s="769"/>
    </row>
    <row r="384" spans="1:9" ht="15.75" customHeight="1">
      <c r="A384" s="744"/>
      <c r="B384" s="744"/>
      <c r="C384" s="906"/>
      <c r="D384" s="907"/>
      <c r="F384" s="744"/>
      <c r="G384" s="744"/>
      <c r="H384" s="769"/>
    </row>
    <row r="385" spans="1:8" ht="15.75" customHeight="1">
      <c r="A385" s="744"/>
      <c r="B385" s="744"/>
      <c r="C385" s="906"/>
      <c r="D385" s="907"/>
      <c r="F385" s="744"/>
      <c r="G385" s="744"/>
      <c r="H385" s="769"/>
    </row>
    <row r="386" spans="1:8" ht="15.75" customHeight="1">
      <c r="A386" s="744"/>
      <c r="B386" s="744"/>
      <c r="C386" s="906"/>
      <c r="D386" s="907"/>
      <c r="F386" s="744"/>
      <c r="G386" s="744"/>
      <c r="H386" s="769"/>
    </row>
    <row r="387" spans="1:8" ht="15.75" customHeight="1">
      <c r="A387" s="744"/>
      <c r="B387" s="744"/>
      <c r="C387" s="906"/>
      <c r="D387" s="907"/>
      <c r="F387" s="744"/>
      <c r="G387" s="744"/>
      <c r="H387" s="769"/>
    </row>
    <row r="388" spans="1:8" ht="15.75" customHeight="1">
      <c r="A388" s="744"/>
      <c r="B388" s="744"/>
      <c r="C388" s="906"/>
      <c r="D388" s="907"/>
      <c r="F388" s="744"/>
      <c r="G388" s="744"/>
      <c r="H388" s="769"/>
    </row>
    <row r="389" spans="1:8" ht="15.75" customHeight="1">
      <c r="A389" s="744"/>
      <c r="B389" s="744"/>
      <c r="C389" s="906"/>
      <c r="D389" s="907"/>
      <c r="F389" s="744"/>
      <c r="G389" s="744"/>
      <c r="H389" s="769"/>
    </row>
    <row r="390" spans="1:8" ht="15.75" customHeight="1">
      <c r="A390" s="744"/>
      <c r="B390" s="744"/>
      <c r="C390" s="906"/>
      <c r="D390" s="907"/>
      <c r="F390" s="744"/>
      <c r="G390" s="744"/>
      <c r="H390" s="769"/>
    </row>
    <row r="391" spans="1:8" ht="15.75" customHeight="1">
      <c r="A391" s="744"/>
      <c r="B391" s="744"/>
      <c r="C391" s="906"/>
      <c r="D391" s="907"/>
      <c r="F391" s="744"/>
      <c r="G391" s="744"/>
      <c r="H391" s="769"/>
    </row>
    <row r="392" spans="1:8" ht="15.75" customHeight="1">
      <c r="A392" s="744"/>
      <c r="B392" s="744"/>
      <c r="C392" s="906"/>
      <c r="D392" s="907"/>
      <c r="F392" s="744"/>
      <c r="G392" s="744"/>
      <c r="H392" s="769"/>
    </row>
    <row r="393" spans="1:8" ht="15.75" customHeight="1">
      <c r="A393" s="744"/>
      <c r="B393" s="744"/>
      <c r="C393" s="906"/>
      <c r="D393" s="907"/>
      <c r="F393" s="744"/>
      <c r="G393" s="744"/>
      <c r="H393" s="769"/>
    </row>
    <row r="394" spans="1:8" ht="15.75" customHeight="1">
      <c r="A394" s="744"/>
      <c r="B394" s="744"/>
      <c r="C394" s="906"/>
      <c r="D394" s="907"/>
      <c r="F394" s="744"/>
      <c r="G394" s="744"/>
      <c r="H394" s="769"/>
    </row>
    <row r="395" spans="1:8" ht="15.75" customHeight="1">
      <c r="A395" s="744"/>
      <c r="B395" s="744"/>
      <c r="C395" s="906"/>
      <c r="D395" s="907"/>
      <c r="F395" s="744"/>
      <c r="G395" s="744"/>
      <c r="H395" s="769"/>
    </row>
    <row r="396" spans="1:8" ht="15.75" customHeight="1">
      <c r="A396" s="744"/>
      <c r="B396" s="744"/>
      <c r="C396" s="906"/>
      <c r="D396" s="907"/>
      <c r="F396" s="744"/>
      <c r="G396" s="744"/>
      <c r="H396" s="769"/>
    </row>
    <row r="397" spans="1:8" ht="15.75" customHeight="1">
      <c r="A397" s="744"/>
      <c r="B397" s="744"/>
      <c r="C397" s="906"/>
      <c r="D397" s="907"/>
      <c r="F397" s="744"/>
      <c r="G397" s="744"/>
      <c r="H397" s="769"/>
    </row>
    <row r="398" spans="1:8" ht="15.75" customHeight="1">
      <c r="A398" s="744"/>
      <c r="B398" s="744"/>
      <c r="C398" s="906"/>
      <c r="D398" s="907"/>
      <c r="F398" s="744"/>
      <c r="G398" s="744"/>
      <c r="H398" s="769"/>
    </row>
    <row r="399" spans="1:8" ht="15.75" customHeight="1">
      <c r="A399" s="744"/>
      <c r="B399" s="744"/>
      <c r="C399" s="906"/>
      <c r="D399" s="907"/>
      <c r="F399" s="744"/>
      <c r="G399" s="744"/>
      <c r="H399" s="769"/>
    </row>
    <row r="400" spans="1:8" ht="15.75" customHeight="1">
      <c r="A400" s="744"/>
      <c r="B400" s="744"/>
      <c r="C400" s="906"/>
      <c r="D400" s="907"/>
      <c r="F400" s="744"/>
      <c r="G400" s="744"/>
      <c r="H400" s="769"/>
    </row>
    <row r="401" spans="1:8" ht="15.75" customHeight="1">
      <c r="A401" s="744"/>
      <c r="B401" s="744"/>
      <c r="C401" s="906"/>
      <c r="D401" s="907"/>
      <c r="F401" s="744"/>
      <c r="G401" s="744"/>
      <c r="H401" s="769"/>
    </row>
    <row r="402" spans="1:8" ht="15.75" customHeight="1">
      <c r="A402" s="744"/>
      <c r="B402" s="744"/>
      <c r="C402" s="906"/>
      <c r="D402" s="907"/>
      <c r="F402" s="744"/>
      <c r="G402" s="744"/>
      <c r="H402" s="769"/>
    </row>
    <row r="403" spans="1:8" ht="15.75" customHeight="1">
      <c r="A403" s="744"/>
      <c r="B403" s="744"/>
      <c r="C403" s="906"/>
      <c r="D403" s="907"/>
      <c r="F403" s="744"/>
      <c r="G403" s="744"/>
      <c r="H403" s="769"/>
    </row>
    <row r="404" spans="1:8" ht="15.75" customHeight="1">
      <c r="A404" s="744"/>
      <c r="B404" s="744"/>
      <c r="C404" s="906"/>
      <c r="D404" s="907"/>
      <c r="F404" s="744"/>
      <c r="G404" s="744"/>
      <c r="H404" s="769"/>
    </row>
    <row r="405" spans="1:8" ht="15.75" customHeight="1">
      <c r="A405" s="744"/>
      <c r="B405" s="744"/>
      <c r="C405" s="906"/>
      <c r="D405" s="907"/>
      <c r="F405" s="744"/>
      <c r="G405" s="744"/>
      <c r="H405" s="769"/>
    </row>
    <row r="406" spans="1:8" ht="15.75" customHeight="1">
      <c r="A406" s="744"/>
      <c r="B406" s="744"/>
      <c r="C406" s="906"/>
      <c r="D406" s="907"/>
      <c r="F406" s="744"/>
      <c r="G406" s="744"/>
      <c r="H406" s="769"/>
    </row>
    <row r="407" spans="1:8" ht="15.75" customHeight="1">
      <c r="A407" s="744"/>
      <c r="B407" s="744"/>
      <c r="C407" s="906"/>
      <c r="D407" s="907"/>
      <c r="F407" s="744"/>
      <c r="G407" s="744"/>
      <c r="H407" s="769"/>
    </row>
    <row r="408" spans="1:8" ht="15.75" customHeight="1">
      <c r="A408" s="744"/>
      <c r="B408" s="744"/>
      <c r="C408" s="906"/>
      <c r="D408" s="907"/>
      <c r="F408" s="744"/>
      <c r="G408" s="744"/>
      <c r="H408" s="769"/>
    </row>
    <row r="409" spans="1:8" ht="15.75" customHeight="1">
      <c r="A409" s="744"/>
      <c r="B409" s="744"/>
      <c r="C409" s="906"/>
      <c r="D409" s="907"/>
      <c r="F409" s="744"/>
      <c r="G409" s="744"/>
      <c r="H409" s="769"/>
    </row>
    <row r="410" spans="1:8" ht="15.75" customHeight="1">
      <c r="A410" s="744"/>
      <c r="B410" s="744"/>
      <c r="C410" s="906"/>
      <c r="D410" s="907"/>
      <c r="F410" s="744"/>
      <c r="G410" s="744"/>
      <c r="H410" s="769"/>
    </row>
    <row r="411" spans="1:8" ht="15.75" customHeight="1">
      <c r="A411" s="744"/>
      <c r="B411" s="744"/>
      <c r="C411" s="906"/>
      <c r="D411" s="907"/>
      <c r="F411" s="744"/>
      <c r="G411" s="744"/>
      <c r="H411" s="769"/>
    </row>
    <row r="412" spans="1:8" ht="15.75" customHeight="1">
      <c r="A412" s="744"/>
      <c r="B412" s="744"/>
      <c r="C412" s="906"/>
      <c r="D412" s="907"/>
      <c r="F412" s="744"/>
      <c r="G412" s="744"/>
      <c r="H412" s="769"/>
    </row>
    <row r="413" spans="1:8" ht="15.75" customHeight="1">
      <c r="A413" s="744"/>
      <c r="B413" s="744"/>
      <c r="C413" s="906"/>
      <c r="D413" s="907"/>
      <c r="F413" s="744"/>
      <c r="G413" s="744"/>
      <c r="H413" s="769"/>
    </row>
    <row r="414" spans="1:8" ht="15.75" customHeight="1">
      <c r="A414" s="744"/>
      <c r="B414" s="744"/>
      <c r="C414" s="906"/>
      <c r="D414" s="907"/>
      <c r="F414" s="744"/>
      <c r="G414" s="744"/>
      <c r="H414" s="769"/>
    </row>
    <row r="415" spans="1:8" ht="15.75" customHeight="1">
      <c r="A415" s="744"/>
      <c r="B415" s="744"/>
      <c r="C415" s="906"/>
      <c r="D415" s="907"/>
      <c r="F415" s="744"/>
      <c r="G415" s="744"/>
      <c r="H415" s="769"/>
    </row>
    <row r="416" spans="1:8" ht="15.75" customHeight="1">
      <c r="A416" s="744"/>
      <c r="B416" s="744"/>
      <c r="C416" s="906"/>
      <c r="D416" s="907"/>
      <c r="F416" s="744"/>
      <c r="G416" s="744"/>
      <c r="H416" s="769"/>
    </row>
    <row r="417" spans="1:8" ht="15.75" customHeight="1">
      <c r="A417" s="744"/>
      <c r="B417" s="744"/>
      <c r="C417" s="906"/>
      <c r="D417" s="907"/>
      <c r="F417" s="744"/>
      <c r="G417" s="744"/>
      <c r="H417" s="769"/>
    </row>
    <row r="418" spans="1:8" ht="15.75" customHeight="1">
      <c r="A418" s="744"/>
      <c r="B418" s="744"/>
      <c r="C418" s="906"/>
      <c r="D418" s="907"/>
      <c r="F418" s="744"/>
      <c r="G418" s="744"/>
      <c r="H418" s="744"/>
    </row>
    <row r="419" spans="1:8" ht="15.75" customHeight="1">
      <c r="A419" s="744"/>
      <c r="B419" s="744"/>
      <c r="C419" s="906"/>
      <c r="D419" s="907"/>
      <c r="F419" s="744"/>
      <c r="G419" s="744"/>
      <c r="H419" s="744"/>
    </row>
    <row r="420" spans="1:8" ht="15.75" customHeight="1">
      <c r="A420" s="744"/>
      <c r="B420" s="744"/>
      <c r="C420" s="906"/>
      <c r="D420" s="907"/>
      <c r="F420" s="744"/>
      <c r="G420" s="744"/>
      <c r="H420" s="744"/>
    </row>
    <row r="421" spans="1:8" ht="15.75" customHeight="1">
      <c r="A421" s="744"/>
      <c r="B421" s="744"/>
      <c r="C421" s="906"/>
      <c r="D421" s="907"/>
      <c r="F421" s="744"/>
      <c r="G421" s="744"/>
      <c r="H421" s="744"/>
    </row>
    <row r="422" spans="1:8" ht="15.75" customHeight="1">
      <c r="A422" s="744"/>
      <c r="B422" s="744"/>
      <c r="C422" s="906"/>
      <c r="D422" s="907"/>
      <c r="F422" s="744"/>
      <c r="G422" s="744"/>
      <c r="H422" s="744"/>
    </row>
    <row r="423" spans="1:8" ht="15.75" customHeight="1">
      <c r="A423" s="744"/>
      <c r="B423" s="744"/>
      <c r="C423" s="906"/>
      <c r="D423" s="907"/>
      <c r="F423" s="744"/>
      <c r="G423" s="744"/>
      <c r="H423" s="744"/>
    </row>
    <row r="424" spans="1:8" ht="15.75" customHeight="1">
      <c r="A424" s="744"/>
      <c r="B424" s="744"/>
      <c r="C424" s="906"/>
      <c r="D424" s="907"/>
      <c r="F424" s="744"/>
      <c r="G424" s="744"/>
      <c r="H424" s="744"/>
    </row>
    <row r="425" spans="1:8" ht="15.75" customHeight="1">
      <c r="A425" s="744"/>
      <c r="B425" s="744"/>
      <c r="C425" s="906"/>
      <c r="D425" s="907"/>
      <c r="F425" s="744"/>
      <c r="G425" s="744"/>
      <c r="H425" s="744"/>
    </row>
    <row r="426" spans="1:8" ht="15.75" customHeight="1">
      <c r="A426" s="744"/>
      <c r="B426" s="744"/>
      <c r="C426" s="906"/>
      <c r="D426" s="907"/>
      <c r="F426" s="744"/>
      <c r="G426" s="744"/>
      <c r="H426" s="744"/>
    </row>
    <row r="427" spans="1:8" ht="15.75" customHeight="1">
      <c r="A427" s="744"/>
      <c r="B427" s="744"/>
      <c r="C427" s="906"/>
      <c r="D427" s="907"/>
      <c r="F427" s="744"/>
      <c r="G427" s="744"/>
      <c r="H427" s="744"/>
    </row>
    <row r="428" spans="1:8" ht="15.75" customHeight="1">
      <c r="A428" s="744"/>
      <c r="B428" s="744"/>
      <c r="C428" s="906"/>
      <c r="D428" s="907"/>
      <c r="F428" s="744"/>
      <c r="G428" s="744"/>
      <c r="H428" s="744"/>
    </row>
    <row r="429" spans="1:8" ht="15.75" customHeight="1">
      <c r="A429" s="744"/>
      <c r="B429" s="744"/>
      <c r="C429" s="906"/>
      <c r="D429" s="907"/>
      <c r="F429" s="744"/>
      <c r="G429" s="744"/>
      <c r="H429" s="744"/>
    </row>
    <row r="430" spans="1:8" ht="15.75" customHeight="1">
      <c r="A430" s="744"/>
      <c r="B430" s="744"/>
      <c r="C430" s="906"/>
      <c r="D430" s="907"/>
      <c r="F430" s="744"/>
      <c r="G430" s="744"/>
      <c r="H430" s="744"/>
    </row>
    <row r="431" spans="1:8" ht="15.75" customHeight="1">
      <c r="A431" s="744"/>
      <c r="B431" s="744"/>
      <c r="C431" s="906"/>
      <c r="D431" s="907"/>
      <c r="F431" s="744"/>
      <c r="G431" s="744"/>
      <c r="H431" s="744"/>
    </row>
    <row r="432" spans="1:8" ht="15.75" customHeight="1">
      <c r="A432" s="744"/>
      <c r="B432" s="744"/>
      <c r="C432" s="906"/>
      <c r="D432" s="907"/>
      <c r="F432" s="744"/>
      <c r="G432" s="744"/>
      <c r="H432" s="744"/>
    </row>
    <row r="433" spans="1:8" ht="15.75" customHeight="1">
      <c r="A433" s="744"/>
      <c r="B433" s="744"/>
      <c r="C433" s="906"/>
      <c r="D433" s="907"/>
      <c r="F433" s="744"/>
      <c r="G433" s="744"/>
      <c r="H433" s="744"/>
    </row>
    <row r="434" spans="1:8" ht="15.75" customHeight="1">
      <c r="A434" s="744"/>
      <c r="B434" s="744"/>
      <c r="C434" s="906"/>
      <c r="D434" s="907"/>
      <c r="F434" s="744"/>
      <c r="G434" s="744"/>
      <c r="H434" s="744"/>
    </row>
    <row r="435" spans="1:8" ht="15.75" customHeight="1">
      <c r="A435" s="744"/>
      <c r="B435" s="744"/>
      <c r="C435" s="906"/>
      <c r="D435" s="907"/>
      <c r="F435" s="744"/>
      <c r="G435" s="744"/>
      <c r="H435" s="744"/>
    </row>
    <row r="436" spans="1:8" ht="15.75" customHeight="1">
      <c r="A436" s="744"/>
      <c r="B436" s="744"/>
      <c r="C436" s="906"/>
      <c r="D436" s="907"/>
      <c r="F436" s="744"/>
      <c r="G436" s="744"/>
      <c r="H436" s="744"/>
    </row>
    <row r="437" spans="1:8" ht="15.75" customHeight="1">
      <c r="A437" s="744"/>
      <c r="B437" s="744"/>
      <c r="C437" s="906"/>
      <c r="D437" s="907"/>
      <c r="F437" s="744"/>
      <c r="G437" s="744"/>
      <c r="H437" s="744"/>
    </row>
    <row r="438" spans="1:8" ht="15.75" customHeight="1">
      <c r="A438" s="744"/>
      <c r="B438" s="744"/>
      <c r="C438" s="906"/>
      <c r="D438" s="907"/>
      <c r="F438" s="744"/>
      <c r="G438" s="744"/>
      <c r="H438" s="744"/>
    </row>
    <row r="439" spans="1:8" ht="15.75" customHeight="1">
      <c r="A439" s="744"/>
      <c r="B439" s="744"/>
      <c r="C439" s="906"/>
      <c r="D439" s="907"/>
      <c r="F439" s="744"/>
      <c r="G439" s="744"/>
      <c r="H439" s="744"/>
    </row>
    <row r="440" spans="1:8" ht="15.75" customHeight="1">
      <c r="A440" s="744"/>
      <c r="B440" s="744"/>
      <c r="C440" s="906"/>
      <c r="D440" s="907"/>
      <c r="F440" s="744"/>
      <c r="G440" s="744"/>
      <c r="H440" s="744"/>
    </row>
    <row r="441" spans="1:8" ht="15.75" customHeight="1">
      <c r="A441" s="744"/>
      <c r="B441" s="744"/>
      <c r="C441" s="906"/>
      <c r="D441" s="907"/>
      <c r="F441" s="744"/>
      <c r="G441" s="744"/>
      <c r="H441" s="744"/>
    </row>
    <row r="442" spans="1:8" ht="15.75" customHeight="1">
      <c r="A442" s="744"/>
      <c r="B442" s="744"/>
      <c r="C442" s="906"/>
      <c r="D442" s="907"/>
      <c r="F442" s="744"/>
      <c r="G442" s="744"/>
      <c r="H442" s="744"/>
    </row>
    <row r="443" spans="1:8" ht="15.75" customHeight="1">
      <c r="A443" s="744"/>
      <c r="B443" s="744"/>
      <c r="C443" s="906"/>
      <c r="D443" s="907"/>
      <c r="F443" s="744"/>
      <c r="G443" s="744"/>
      <c r="H443" s="744"/>
    </row>
    <row r="444" spans="1:8" ht="15.75" customHeight="1">
      <c r="A444" s="744"/>
      <c r="B444" s="744"/>
      <c r="C444" s="906"/>
      <c r="D444" s="907"/>
      <c r="F444" s="744"/>
      <c r="G444" s="744"/>
      <c r="H444" s="744"/>
    </row>
    <row r="445" spans="1:8" ht="15.75" customHeight="1">
      <c r="A445" s="744"/>
      <c r="B445" s="744"/>
      <c r="C445" s="906"/>
      <c r="D445" s="907"/>
      <c r="F445" s="744"/>
      <c r="G445" s="744"/>
      <c r="H445" s="744"/>
    </row>
    <row r="446" spans="1:8" ht="15.75" customHeight="1">
      <c r="A446" s="744"/>
      <c r="B446" s="744"/>
      <c r="C446" s="906"/>
      <c r="D446" s="907"/>
      <c r="F446" s="744"/>
      <c r="G446" s="744"/>
      <c r="H446" s="744"/>
    </row>
    <row r="447" spans="1:8" ht="15.75" customHeight="1">
      <c r="A447" s="744"/>
      <c r="B447" s="744"/>
      <c r="C447" s="906"/>
      <c r="D447" s="907"/>
      <c r="F447" s="744"/>
      <c r="G447" s="744"/>
      <c r="H447" s="744"/>
    </row>
    <row r="448" spans="1:8" ht="15.75" customHeight="1">
      <c r="A448" s="744"/>
      <c r="B448" s="744"/>
      <c r="C448" s="906"/>
      <c r="D448" s="907"/>
      <c r="F448" s="744"/>
      <c r="G448" s="744"/>
      <c r="H448" s="744"/>
    </row>
    <row r="449" spans="1:8" ht="15.75" customHeight="1">
      <c r="A449" s="744"/>
      <c r="B449" s="744"/>
      <c r="C449" s="906"/>
      <c r="D449" s="907"/>
      <c r="F449" s="744"/>
      <c r="G449" s="744"/>
      <c r="H449" s="744"/>
    </row>
    <row r="450" spans="1:8" ht="15.75" customHeight="1">
      <c r="A450" s="744"/>
      <c r="B450" s="744"/>
      <c r="C450" s="906"/>
      <c r="D450" s="907"/>
      <c r="F450" s="744"/>
      <c r="G450" s="744"/>
      <c r="H450" s="744"/>
    </row>
    <row r="451" spans="1:8" ht="15.75" customHeight="1">
      <c r="A451" s="744"/>
      <c r="B451" s="744"/>
      <c r="C451" s="906"/>
      <c r="D451" s="907"/>
      <c r="F451" s="744"/>
      <c r="G451" s="744"/>
      <c r="H451" s="744"/>
    </row>
    <row r="452" spans="1:8" ht="15.75" customHeight="1">
      <c r="A452" s="744"/>
      <c r="B452" s="744"/>
      <c r="C452" s="906"/>
      <c r="D452" s="907"/>
      <c r="F452" s="744"/>
      <c r="G452" s="744"/>
      <c r="H452" s="744"/>
    </row>
    <row r="453" spans="1:8" ht="15.75" customHeight="1">
      <c r="A453" s="744"/>
      <c r="B453" s="744"/>
      <c r="C453" s="906"/>
      <c r="D453" s="907"/>
      <c r="F453" s="744"/>
      <c r="G453" s="744"/>
      <c r="H453" s="744"/>
    </row>
    <row r="454" spans="1:8" ht="15.75" customHeight="1">
      <c r="A454" s="744"/>
      <c r="B454" s="744"/>
      <c r="C454" s="906"/>
      <c r="D454" s="907"/>
      <c r="F454" s="744"/>
      <c r="G454" s="744"/>
      <c r="H454" s="744"/>
    </row>
    <row r="455" spans="1:8" ht="15.75" customHeight="1">
      <c r="A455" s="744"/>
      <c r="B455" s="744"/>
      <c r="C455" s="906"/>
      <c r="D455" s="907"/>
      <c r="F455" s="744"/>
      <c r="G455" s="744"/>
      <c r="H455" s="744"/>
    </row>
    <row r="456" spans="1:8" ht="15.75" customHeight="1">
      <c r="A456" s="744"/>
      <c r="B456" s="744"/>
      <c r="C456" s="906"/>
      <c r="D456" s="907"/>
      <c r="F456" s="744"/>
      <c r="G456" s="744"/>
      <c r="H456" s="744"/>
    </row>
    <row r="457" spans="1:8" ht="15.75" customHeight="1">
      <c r="A457" s="744"/>
      <c r="B457" s="744"/>
      <c r="C457" s="906"/>
      <c r="D457" s="907"/>
      <c r="F457" s="744"/>
      <c r="G457" s="744"/>
      <c r="H457" s="744"/>
    </row>
    <row r="458" spans="1:8" ht="15.75" customHeight="1">
      <c r="A458" s="744"/>
      <c r="B458" s="744"/>
      <c r="C458" s="906"/>
      <c r="D458" s="907"/>
      <c r="F458" s="744"/>
      <c r="G458" s="744"/>
      <c r="H458" s="744"/>
    </row>
    <row r="459" spans="1:8" ht="15.75" customHeight="1">
      <c r="A459" s="744"/>
      <c r="B459" s="744"/>
      <c r="C459" s="906"/>
      <c r="D459" s="907"/>
      <c r="F459" s="744"/>
      <c r="G459" s="744"/>
      <c r="H459" s="744"/>
    </row>
    <row r="460" spans="1:8" ht="15.75" customHeight="1">
      <c r="A460" s="744"/>
      <c r="B460" s="744"/>
      <c r="C460" s="906"/>
      <c r="D460" s="907"/>
      <c r="F460" s="744"/>
      <c r="G460" s="744"/>
      <c r="H460" s="744"/>
    </row>
    <row r="461" spans="1:8" ht="15.75" customHeight="1">
      <c r="A461" s="744"/>
      <c r="B461" s="744"/>
      <c r="C461" s="906"/>
      <c r="D461" s="907"/>
      <c r="F461" s="744"/>
      <c r="G461" s="744"/>
      <c r="H461" s="744"/>
    </row>
    <row r="462" spans="1:8" ht="15.75" customHeight="1">
      <c r="A462" s="744"/>
      <c r="B462" s="744"/>
      <c r="C462" s="906"/>
      <c r="D462" s="907"/>
      <c r="F462" s="744"/>
      <c r="G462" s="744"/>
      <c r="H462" s="744"/>
    </row>
    <row r="463" spans="1:8" ht="15.75" customHeight="1">
      <c r="A463" s="744"/>
      <c r="B463" s="744"/>
      <c r="C463" s="906"/>
      <c r="D463" s="907"/>
      <c r="F463" s="744"/>
      <c r="G463" s="744"/>
      <c r="H463" s="744"/>
    </row>
    <row r="464" spans="1:8" ht="15.75" customHeight="1">
      <c r="A464" s="744"/>
      <c r="B464" s="744"/>
      <c r="C464" s="906"/>
      <c r="D464" s="907"/>
      <c r="F464" s="744"/>
      <c r="G464" s="744"/>
      <c r="H464" s="744"/>
    </row>
    <row r="465" spans="1:8" ht="15.75" customHeight="1">
      <c r="A465" s="744"/>
      <c r="B465" s="744"/>
      <c r="C465" s="906"/>
      <c r="D465" s="907"/>
      <c r="F465" s="744"/>
      <c r="G465" s="744"/>
      <c r="H465" s="744"/>
    </row>
    <row r="466" spans="1:8" ht="15.75" customHeight="1">
      <c r="A466" s="744"/>
      <c r="B466" s="744"/>
      <c r="C466" s="906"/>
      <c r="D466" s="907"/>
      <c r="F466" s="744"/>
      <c r="G466" s="744"/>
      <c r="H466" s="744"/>
    </row>
    <row r="467" spans="1:8" ht="15.75" customHeight="1">
      <c r="A467" s="744"/>
      <c r="B467" s="744"/>
      <c r="C467" s="906"/>
      <c r="D467" s="907"/>
      <c r="F467" s="744"/>
      <c r="G467" s="744"/>
      <c r="H467" s="744"/>
    </row>
    <row r="468" spans="1:8" ht="15.75" customHeight="1">
      <c r="A468" s="744"/>
      <c r="B468" s="744"/>
      <c r="C468" s="906"/>
      <c r="D468" s="907"/>
      <c r="F468" s="744"/>
      <c r="G468" s="744"/>
      <c r="H468" s="744"/>
    </row>
    <row r="469" spans="1:8" ht="15.75" customHeight="1">
      <c r="A469" s="744"/>
      <c r="B469" s="744"/>
      <c r="C469" s="906"/>
      <c r="D469" s="907"/>
      <c r="F469" s="744"/>
      <c r="G469" s="744"/>
      <c r="H469" s="744"/>
    </row>
    <row r="470" spans="1:8" ht="15.75" customHeight="1">
      <c r="A470" s="744"/>
      <c r="B470" s="744"/>
      <c r="C470" s="906"/>
      <c r="D470" s="907"/>
      <c r="F470" s="744"/>
      <c r="G470" s="744"/>
      <c r="H470" s="744"/>
    </row>
    <row r="471" spans="1:8" ht="15.75" customHeight="1">
      <c r="A471" s="744"/>
      <c r="B471" s="744"/>
      <c r="C471" s="906"/>
      <c r="D471" s="907"/>
      <c r="F471" s="744"/>
      <c r="G471" s="744"/>
      <c r="H471" s="744"/>
    </row>
    <row r="472" spans="1:8" ht="15.75" customHeight="1">
      <c r="A472" s="744"/>
      <c r="B472" s="744"/>
      <c r="C472" s="906"/>
      <c r="D472" s="907"/>
      <c r="F472" s="744"/>
      <c r="G472" s="744"/>
      <c r="H472" s="744"/>
    </row>
    <row r="473" spans="1:8" ht="15.75" customHeight="1">
      <c r="A473" s="744"/>
      <c r="B473" s="744"/>
      <c r="C473" s="906"/>
      <c r="D473" s="907"/>
      <c r="F473" s="744"/>
      <c r="G473" s="744"/>
      <c r="H473" s="744"/>
    </row>
    <row r="474" spans="1:8" ht="15.75" customHeight="1">
      <c r="A474" s="744"/>
      <c r="B474" s="744"/>
      <c r="C474" s="906"/>
      <c r="D474" s="907"/>
      <c r="F474" s="744"/>
      <c r="G474" s="744"/>
      <c r="H474" s="744"/>
    </row>
    <row r="475" spans="1:8" ht="15.75" customHeight="1">
      <c r="A475" s="744"/>
      <c r="B475" s="744"/>
      <c r="C475" s="906"/>
      <c r="D475" s="907"/>
      <c r="F475" s="744"/>
      <c r="G475" s="744"/>
      <c r="H475" s="744"/>
    </row>
    <row r="476" spans="1:8" ht="15.75" customHeight="1">
      <c r="A476" s="744"/>
      <c r="B476" s="744"/>
      <c r="C476" s="906"/>
      <c r="D476" s="907"/>
      <c r="F476" s="744"/>
      <c r="G476" s="744"/>
      <c r="H476" s="744"/>
    </row>
    <row r="477" spans="1:8" ht="15.75" customHeight="1">
      <c r="A477" s="744"/>
      <c r="B477" s="744"/>
      <c r="C477" s="906"/>
      <c r="D477" s="907"/>
      <c r="F477" s="744"/>
      <c r="G477" s="744"/>
      <c r="H477" s="744"/>
    </row>
    <row r="478" spans="1:8" ht="15.75" customHeight="1">
      <c r="A478" s="744"/>
      <c r="B478" s="744"/>
      <c r="C478" s="906"/>
      <c r="D478" s="907"/>
      <c r="F478" s="744"/>
      <c r="G478" s="744"/>
      <c r="H478" s="744"/>
    </row>
    <row r="479" spans="1:8" ht="15.75" customHeight="1">
      <c r="A479" s="744"/>
      <c r="B479" s="744"/>
      <c r="C479" s="906"/>
      <c r="D479" s="907"/>
      <c r="F479" s="744"/>
      <c r="G479" s="744"/>
      <c r="H479" s="744"/>
    </row>
    <row r="480" spans="1:8" ht="15.75" customHeight="1">
      <c r="A480" s="744"/>
      <c r="B480" s="744"/>
      <c r="C480" s="906"/>
      <c r="D480" s="907"/>
      <c r="F480" s="744"/>
      <c r="G480" s="744"/>
      <c r="H480" s="744"/>
    </row>
    <row r="481" spans="1:8" ht="15.75" customHeight="1">
      <c r="A481" s="744"/>
      <c r="B481" s="744"/>
      <c r="C481" s="906"/>
      <c r="D481" s="907"/>
      <c r="F481" s="744"/>
      <c r="G481" s="744"/>
      <c r="H481" s="744"/>
    </row>
    <row r="482" spans="1:8" ht="15.75" customHeight="1">
      <c r="A482" s="744"/>
      <c r="B482" s="744"/>
      <c r="C482" s="906"/>
      <c r="D482" s="907"/>
      <c r="F482" s="744"/>
      <c r="G482" s="744"/>
      <c r="H482" s="744"/>
    </row>
    <row r="483" spans="1:8" ht="15.75" customHeight="1">
      <c r="A483" s="744"/>
      <c r="B483" s="744"/>
      <c r="C483" s="906"/>
      <c r="D483" s="907"/>
      <c r="F483" s="744"/>
      <c r="G483" s="744"/>
      <c r="H483" s="744"/>
    </row>
    <row r="484" spans="1:8" ht="15.75" customHeight="1">
      <c r="A484" s="744"/>
      <c r="B484" s="744"/>
      <c r="C484" s="906"/>
      <c r="D484" s="907"/>
      <c r="F484" s="744"/>
      <c r="G484" s="744"/>
      <c r="H484" s="744"/>
    </row>
    <row r="485" spans="1:8" ht="15.75" customHeight="1">
      <c r="A485" s="744"/>
      <c r="B485" s="744"/>
      <c r="C485" s="906"/>
      <c r="D485" s="907"/>
      <c r="F485" s="744"/>
      <c r="G485" s="744"/>
      <c r="H485" s="744"/>
    </row>
    <row r="486" spans="1:8" ht="15.75" customHeight="1">
      <c r="A486" s="744"/>
      <c r="B486" s="744"/>
      <c r="C486" s="906"/>
      <c r="D486" s="907"/>
      <c r="F486" s="744"/>
      <c r="G486" s="744"/>
      <c r="H486" s="744"/>
    </row>
    <row r="487" spans="1:8" ht="15.75" customHeight="1">
      <c r="A487" s="744"/>
      <c r="B487" s="744"/>
      <c r="C487" s="906"/>
      <c r="D487" s="907"/>
      <c r="F487" s="744"/>
      <c r="G487" s="744"/>
      <c r="H487" s="744"/>
    </row>
    <row r="488" spans="1:8" ht="15.75" customHeight="1">
      <c r="A488" s="744"/>
      <c r="B488" s="744"/>
      <c r="C488" s="906"/>
      <c r="D488" s="907"/>
      <c r="F488" s="744"/>
      <c r="G488" s="744"/>
      <c r="H488" s="744"/>
    </row>
    <row r="489" spans="1:8" ht="15.75" customHeight="1">
      <c r="A489" s="744"/>
      <c r="B489" s="744"/>
      <c r="C489" s="906"/>
      <c r="D489" s="907"/>
      <c r="F489" s="744"/>
      <c r="G489" s="744"/>
      <c r="H489" s="744"/>
    </row>
    <row r="490" spans="1:8" ht="15.75" customHeight="1">
      <c r="A490" s="744"/>
      <c r="B490" s="744"/>
      <c r="C490" s="906"/>
      <c r="D490" s="907"/>
      <c r="F490" s="744"/>
      <c r="G490" s="744"/>
      <c r="H490" s="744"/>
    </row>
    <row r="491" spans="1:8" ht="15.75" customHeight="1">
      <c r="A491" s="744"/>
      <c r="B491" s="744"/>
      <c r="C491" s="906"/>
      <c r="D491" s="907"/>
      <c r="F491" s="744"/>
      <c r="G491" s="744"/>
      <c r="H491" s="744"/>
    </row>
    <row r="492" spans="1:8" ht="15.75" customHeight="1">
      <c r="A492" s="744"/>
      <c r="B492" s="744"/>
      <c r="C492" s="906"/>
      <c r="D492" s="907"/>
      <c r="F492" s="744"/>
      <c r="G492" s="744"/>
      <c r="H492" s="744"/>
    </row>
    <row r="493" spans="1:8" ht="15.75" customHeight="1">
      <c r="A493" s="744"/>
      <c r="B493" s="744"/>
      <c r="C493" s="906"/>
      <c r="D493" s="907"/>
      <c r="F493" s="744"/>
      <c r="G493" s="744"/>
      <c r="H493" s="744"/>
    </row>
    <row r="494" spans="1:8" ht="15.75" customHeight="1">
      <c r="A494" s="744"/>
      <c r="B494" s="744"/>
      <c r="C494" s="906"/>
      <c r="D494" s="907"/>
      <c r="F494" s="744"/>
      <c r="G494" s="744"/>
      <c r="H494" s="744"/>
    </row>
    <row r="495" spans="1:8" ht="15.75" customHeight="1">
      <c r="A495" s="744"/>
      <c r="B495" s="744"/>
      <c r="C495" s="906"/>
      <c r="D495" s="907"/>
      <c r="F495" s="744"/>
      <c r="G495" s="744"/>
      <c r="H495" s="744"/>
    </row>
    <row r="496" spans="1:8" ht="15.75" customHeight="1">
      <c r="A496" s="744"/>
      <c r="B496" s="744"/>
      <c r="C496" s="906"/>
      <c r="D496" s="907"/>
      <c r="F496" s="744"/>
      <c r="G496" s="744"/>
      <c r="H496" s="744"/>
    </row>
    <row r="497" spans="1:8" ht="15.75" customHeight="1">
      <c r="A497" s="744"/>
      <c r="B497" s="744"/>
      <c r="C497" s="906"/>
      <c r="D497" s="907"/>
      <c r="F497" s="744"/>
      <c r="G497" s="744"/>
      <c r="H497" s="744"/>
    </row>
    <row r="498" spans="1:8" ht="15.75" customHeight="1">
      <c r="A498" s="744"/>
      <c r="B498" s="744"/>
      <c r="C498" s="906"/>
      <c r="D498" s="907"/>
      <c r="F498" s="744"/>
      <c r="G498" s="744"/>
      <c r="H498" s="744"/>
    </row>
    <row r="499" spans="1:8" ht="15.75" customHeight="1">
      <c r="A499" s="744"/>
      <c r="B499" s="744"/>
      <c r="C499" s="906"/>
      <c r="D499" s="907"/>
      <c r="F499" s="744"/>
      <c r="G499" s="744"/>
      <c r="H499" s="744"/>
    </row>
    <row r="500" spans="1:8" ht="15.75" customHeight="1">
      <c r="A500" s="744"/>
      <c r="B500" s="744"/>
      <c r="C500" s="906"/>
      <c r="D500" s="907"/>
      <c r="F500" s="744"/>
      <c r="G500" s="744"/>
      <c r="H500" s="744"/>
    </row>
    <row r="501" spans="1:8" ht="15.75" customHeight="1">
      <c r="A501" s="744"/>
      <c r="B501" s="744"/>
      <c r="C501" s="906"/>
      <c r="D501" s="907"/>
      <c r="F501" s="744"/>
      <c r="G501" s="744"/>
      <c r="H501" s="744"/>
    </row>
    <row r="502" spans="1:8" ht="15.75" customHeight="1">
      <c r="A502" s="744"/>
      <c r="B502" s="744"/>
      <c r="C502" s="906"/>
      <c r="D502" s="907"/>
      <c r="F502" s="744"/>
      <c r="G502" s="744"/>
      <c r="H502" s="744"/>
    </row>
    <row r="503" spans="1:8" ht="15.75" customHeight="1">
      <c r="A503" s="744"/>
      <c r="B503" s="744"/>
      <c r="C503" s="906"/>
      <c r="D503" s="907"/>
      <c r="F503" s="744"/>
      <c r="G503" s="744"/>
      <c r="H503" s="744"/>
    </row>
    <row r="504" spans="1:8" ht="15.75" customHeight="1">
      <c r="A504" s="744"/>
      <c r="B504" s="744"/>
      <c r="C504" s="906"/>
      <c r="D504" s="907"/>
      <c r="F504" s="744"/>
      <c r="G504" s="744"/>
      <c r="H504" s="744"/>
    </row>
    <row r="505" spans="1:8" ht="15.75" customHeight="1">
      <c r="A505" s="744"/>
      <c r="B505" s="744"/>
      <c r="C505" s="906"/>
      <c r="D505" s="907"/>
      <c r="F505" s="744"/>
      <c r="G505" s="744"/>
      <c r="H505" s="744"/>
    </row>
    <row r="506" spans="1:8" ht="15.75" customHeight="1">
      <c r="A506" s="744"/>
      <c r="B506" s="744"/>
      <c r="C506" s="906"/>
      <c r="D506" s="907"/>
      <c r="F506" s="744"/>
      <c r="G506" s="744"/>
      <c r="H506" s="744"/>
    </row>
    <row r="507" spans="1:8" ht="15.75" customHeight="1">
      <c r="A507" s="744"/>
      <c r="B507" s="744"/>
      <c r="C507" s="906"/>
      <c r="D507" s="907"/>
      <c r="F507" s="744"/>
      <c r="G507" s="744"/>
      <c r="H507" s="744"/>
    </row>
    <row r="508" spans="1:8" ht="15.75" customHeight="1">
      <c r="A508" s="744"/>
      <c r="B508" s="744"/>
      <c r="C508" s="906"/>
      <c r="D508" s="907"/>
      <c r="F508" s="744"/>
      <c r="G508" s="744"/>
      <c r="H508" s="744"/>
    </row>
    <row r="509" spans="1:8" ht="15.75" customHeight="1">
      <c r="A509" s="744"/>
      <c r="B509" s="744"/>
      <c r="C509" s="906"/>
      <c r="D509" s="907"/>
      <c r="F509" s="744"/>
      <c r="G509" s="744"/>
      <c r="H509" s="744"/>
    </row>
    <row r="510" spans="1:8" ht="15.75" customHeight="1">
      <c r="A510" s="744"/>
      <c r="B510" s="744"/>
      <c r="C510" s="906"/>
      <c r="D510" s="907"/>
      <c r="F510" s="744"/>
      <c r="G510" s="744"/>
      <c r="H510" s="744"/>
    </row>
    <row r="511" spans="1:8" ht="15.75" customHeight="1">
      <c r="A511" s="744"/>
      <c r="B511" s="744"/>
      <c r="C511" s="906"/>
      <c r="D511" s="907"/>
      <c r="F511" s="744"/>
      <c r="G511" s="744"/>
      <c r="H511" s="744"/>
    </row>
    <row r="512" spans="1:8" ht="15.75" customHeight="1">
      <c r="A512" s="744"/>
      <c r="B512" s="744"/>
      <c r="C512" s="906"/>
      <c r="D512" s="907"/>
      <c r="F512" s="744"/>
      <c r="G512" s="744"/>
      <c r="H512" s="744"/>
    </row>
    <row r="513" spans="1:8" ht="15.75" customHeight="1">
      <c r="A513" s="744"/>
      <c r="B513" s="744"/>
      <c r="C513" s="906"/>
      <c r="D513" s="907"/>
      <c r="F513" s="744"/>
      <c r="G513" s="744"/>
      <c r="H513" s="744"/>
    </row>
    <row r="514" spans="1:8" ht="15.75" customHeight="1">
      <c r="A514" s="744"/>
      <c r="B514" s="744"/>
      <c r="C514" s="906"/>
      <c r="D514" s="907"/>
      <c r="F514" s="744"/>
      <c r="G514" s="744"/>
      <c r="H514" s="744"/>
    </row>
    <row r="515" spans="1:8" ht="15.75" customHeight="1">
      <c r="A515" s="744"/>
      <c r="B515" s="744"/>
      <c r="C515" s="906"/>
      <c r="D515" s="907"/>
      <c r="F515" s="744"/>
      <c r="G515" s="744"/>
      <c r="H515" s="744"/>
    </row>
    <row r="516" spans="1:8" ht="15.75" customHeight="1">
      <c r="A516" s="744"/>
      <c r="B516" s="744"/>
      <c r="C516" s="906"/>
      <c r="D516" s="907"/>
      <c r="F516" s="744"/>
      <c r="G516" s="744"/>
      <c r="H516" s="744"/>
    </row>
    <row r="517" spans="1:8" ht="15.75" customHeight="1">
      <c r="A517" s="744"/>
      <c r="B517" s="744"/>
      <c r="C517" s="906"/>
      <c r="D517" s="907"/>
      <c r="F517" s="744"/>
      <c r="G517" s="744"/>
      <c r="H517" s="744"/>
    </row>
    <row r="518" spans="1:8" ht="15.75" customHeight="1">
      <c r="A518" s="744"/>
      <c r="B518" s="744"/>
      <c r="C518" s="906"/>
      <c r="D518" s="907"/>
      <c r="F518" s="744"/>
      <c r="G518" s="744"/>
      <c r="H518" s="744"/>
    </row>
    <row r="519" spans="1:8" ht="15.75" customHeight="1">
      <c r="A519" s="744"/>
      <c r="B519" s="744"/>
      <c r="C519" s="906"/>
      <c r="D519" s="907"/>
      <c r="F519" s="744"/>
      <c r="G519" s="744"/>
      <c r="H519" s="744"/>
    </row>
    <row r="520" spans="1:8" ht="15.75" customHeight="1">
      <c r="A520" s="744"/>
      <c r="B520" s="744"/>
      <c r="C520" s="906"/>
      <c r="D520" s="907"/>
      <c r="F520" s="744"/>
      <c r="G520" s="744"/>
      <c r="H520" s="744"/>
    </row>
    <row r="521" spans="1:8" ht="15.75" customHeight="1">
      <c r="A521" s="744"/>
      <c r="B521" s="744"/>
      <c r="C521" s="906"/>
      <c r="D521" s="907"/>
      <c r="F521" s="744"/>
      <c r="G521" s="744"/>
      <c r="H521" s="744"/>
    </row>
    <row r="522" spans="1:8" ht="15.75" customHeight="1">
      <c r="A522" s="744"/>
      <c r="B522" s="744"/>
      <c r="C522" s="906"/>
      <c r="D522" s="907"/>
      <c r="F522" s="744"/>
      <c r="G522" s="744"/>
      <c r="H522" s="744"/>
    </row>
    <row r="523" spans="1:8" ht="15.75" customHeight="1">
      <c r="A523" s="744"/>
      <c r="B523" s="744"/>
      <c r="C523" s="906"/>
      <c r="D523" s="907"/>
      <c r="F523" s="744"/>
      <c r="G523" s="744"/>
      <c r="H523" s="744"/>
    </row>
    <row r="524" spans="1:8" ht="15.75" customHeight="1">
      <c r="A524" s="744"/>
      <c r="B524" s="744"/>
      <c r="C524" s="906"/>
      <c r="D524" s="907"/>
      <c r="F524" s="744"/>
      <c r="G524" s="744"/>
      <c r="H524" s="744"/>
    </row>
    <row r="525" spans="1:8" ht="15.75" customHeight="1">
      <c r="A525" s="744"/>
      <c r="B525" s="744"/>
      <c r="C525" s="906"/>
      <c r="D525" s="907"/>
      <c r="F525" s="744"/>
      <c r="G525" s="744"/>
      <c r="H525" s="744"/>
    </row>
    <row r="526" spans="1:8" ht="15.75" customHeight="1">
      <c r="A526" s="744"/>
      <c r="B526" s="744"/>
      <c r="C526" s="906"/>
      <c r="D526" s="907"/>
      <c r="F526" s="744"/>
      <c r="G526" s="744"/>
      <c r="H526" s="744"/>
    </row>
    <row r="527" spans="1:8" ht="15.75" customHeight="1">
      <c r="A527" s="744"/>
      <c r="B527" s="744"/>
      <c r="C527" s="906"/>
      <c r="D527" s="907"/>
      <c r="F527" s="744"/>
      <c r="G527" s="744"/>
      <c r="H527" s="744"/>
    </row>
    <row r="528" spans="1:8" ht="15.75" customHeight="1">
      <c r="A528" s="744"/>
      <c r="B528" s="744"/>
      <c r="C528" s="906"/>
      <c r="D528" s="907"/>
      <c r="F528" s="744"/>
      <c r="G528" s="744"/>
      <c r="H528" s="744"/>
    </row>
    <row r="529" spans="1:8" ht="15.75" customHeight="1">
      <c r="A529" s="744"/>
      <c r="B529" s="744"/>
      <c r="C529" s="906"/>
      <c r="D529" s="907"/>
      <c r="F529" s="744"/>
      <c r="G529" s="744"/>
      <c r="H529" s="744"/>
    </row>
    <row r="530" spans="1:8" ht="15.75" customHeight="1">
      <c r="A530" s="744"/>
      <c r="B530" s="744"/>
      <c r="C530" s="906"/>
      <c r="D530" s="907"/>
      <c r="F530" s="744"/>
      <c r="G530" s="744"/>
      <c r="H530" s="744"/>
    </row>
    <row r="531" spans="1:8" ht="15.75" customHeight="1">
      <c r="A531" s="744"/>
      <c r="B531" s="744"/>
      <c r="C531" s="906"/>
      <c r="D531" s="907"/>
      <c r="F531" s="744"/>
      <c r="G531" s="744"/>
      <c r="H531" s="744"/>
    </row>
    <row r="532" spans="1:8" ht="15.75" customHeight="1">
      <c r="A532" s="744"/>
      <c r="B532" s="744"/>
      <c r="C532" s="906"/>
      <c r="D532" s="907"/>
      <c r="F532" s="744"/>
      <c r="G532" s="744"/>
      <c r="H532" s="744"/>
    </row>
    <row r="533" spans="1:8" ht="15.75" customHeight="1">
      <c r="A533" s="744"/>
      <c r="B533" s="744"/>
      <c r="C533" s="906"/>
      <c r="D533" s="907"/>
      <c r="F533" s="744"/>
      <c r="G533" s="744"/>
      <c r="H533" s="744"/>
    </row>
    <row r="534" spans="1:8" ht="15.75" customHeight="1">
      <c r="A534" s="744"/>
      <c r="B534" s="744"/>
      <c r="C534" s="906"/>
      <c r="D534" s="907"/>
      <c r="F534" s="744"/>
      <c r="G534" s="744"/>
    </row>
    <row r="535" spans="1:8" ht="15.75" customHeight="1">
      <c r="A535" s="744"/>
      <c r="B535" s="744"/>
      <c r="C535" s="906"/>
      <c r="D535" s="907"/>
      <c r="F535" s="744"/>
      <c r="G535" s="744"/>
    </row>
    <row r="536" spans="1:8" ht="15.75" customHeight="1">
      <c r="A536" s="744"/>
      <c r="B536" s="744"/>
      <c r="C536" s="906"/>
      <c r="D536" s="907"/>
      <c r="F536" s="744"/>
      <c r="G536" s="744"/>
    </row>
    <row r="537" spans="1:8" ht="15.75" customHeight="1">
      <c r="A537" s="744"/>
      <c r="B537" s="744"/>
      <c r="C537" s="906"/>
      <c r="D537" s="907"/>
      <c r="F537" s="744"/>
      <c r="G537" s="744"/>
    </row>
    <row r="538" spans="1:8" ht="15.75" customHeight="1">
      <c r="A538" s="744"/>
      <c r="B538" s="744"/>
      <c r="C538" s="906"/>
      <c r="D538" s="907"/>
      <c r="F538" s="744"/>
      <c r="G538" s="744"/>
    </row>
    <row r="539" spans="1:8" ht="15.75" customHeight="1">
      <c r="A539" s="744"/>
      <c r="B539" s="744"/>
      <c r="C539" s="906"/>
      <c r="D539" s="907"/>
      <c r="F539" s="744"/>
      <c r="G539" s="744"/>
    </row>
  </sheetData>
  <mergeCells count="19">
    <mergeCell ref="B383:D383"/>
    <mergeCell ref="A310:F310"/>
    <mergeCell ref="A317:G317"/>
    <mergeCell ref="B338:D338"/>
    <mergeCell ref="B348:D348"/>
    <mergeCell ref="B355:D355"/>
    <mergeCell ref="B376:D376"/>
    <mergeCell ref="A285:F285"/>
    <mergeCell ref="A1:H1"/>
    <mergeCell ref="B87:D87"/>
    <mergeCell ref="B105:D105"/>
    <mergeCell ref="B109:D109"/>
    <mergeCell ref="B111:D111"/>
    <mergeCell ref="E135:E136"/>
    <mergeCell ref="B171:D171"/>
    <mergeCell ref="B254:D254"/>
    <mergeCell ref="A255:F255"/>
    <mergeCell ref="A269:F269"/>
    <mergeCell ref="A275:F275"/>
  </mergeCells>
  <pageMargins left="0.26" right="0.19685039370078741" top="0.47244094488188981" bottom="0.23622047244094491" header="0.31496062992125984" footer="0.15748031496062992"/>
  <pageSetup paperSize="9" scale="84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AG675"/>
  <sheetViews>
    <sheetView zoomScaleSheetLayoutView="120" workbookViewId="0">
      <selection activeCell="D18" sqref="D18"/>
    </sheetView>
  </sheetViews>
  <sheetFormatPr defaultColWidth="11" defaultRowHeight="21"/>
  <cols>
    <col min="1" max="1" width="7.140625" style="184" customWidth="1"/>
    <col min="2" max="2" width="119.5703125" style="185" customWidth="1"/>
    <col min="3" max="3" width="8.42578125" style="185" customWidth="1"/>
    <col min="4" max="4" width="17.28515625" style="186" customWidth="1"/>
    <col min="5" max="5" width="17" style="186" customWidth="1"/>
    <col min="6" max="6" width="16.7109375" style="185" hidden="1" customWidth="1"/>
    <col min="7" max="7" width="8.42578125" style="185" hidden="1" customWidth="1"/>
    <col min="8" max="8" width="10.28515625" style="185" hidden="1" customWidth="1"/>
    <col min="9" max="9" width="10.42578125" style="185" hidden="1" customWidth="1"/>
    <col min="10" max="10" width="9.5703125" style="185" hidden="1" customWidth="1"/>
    <col min="11" max="11" width="14.28515625" style="185" hidden="1" customWidth="1"/>
    <col min="12" max="12" width="13.7109375" style="185" hidden="1" customWidth="1"/>
    <col min="13" max="13" width="9.140625" style="185" hidden="1" customWidth="1"/>
    <col min="14" max="14" width="11.42578125" style="185" hidden="1" customWidth="1"/>
    <col min="15" max="15" width="13.42578125" style="185" hidden="1" customWidth="1"/>
    <col min="16" max="16" width="20" style="185" hidden="1" customWidth="1"/>
    <col min="17" max="17" width="10.5703125" style="185" hidden="1" customWidth="1"/>
    <col min="18" max="18" width="11.7109375" style="185" hidden="1" customWidth="1"/>
    <col min="19" max="19" width="10.5703125" style="185" hidden="1" customWidth="1"/>
    <col min="20" max="20" width="10.28515625" style="185" hidden="1" customWidth="1"/>
    <col min="21" max="21" width="12.7109375" style="185" hidden="1" customWidth="1"/>
    <col min="22" max="22" width="11.42578125" style="185" hidden="1" customWidth="1"/>
    <col min="23" max="23" width="11.5703125" style="185" hidden="1" customWidth="1"/>
    <col min="24" max="24" width="10.28515625" style="185" hidden="1" customWidth="1"/>
    <col min="25" max="25" width="11.140625" style="185" hidden="1" customWidth="1"/>
    <col min="26" max="26" width="11.85546875" style="185" hidden="1" customWidth="1"/>
    <col min="27" max="27" width="2.42578125" style="185" hidden="1" customWidth="1"/>
    <col min="28" max="28" width="32.5703125" style="189" customWidth="1"/>
    <col min="29" max="29" width="60.42578125" style="185" customWidth="1"/>
    <col min="30" max="16384" width="11" style="185"/>
  </cols>
  <sheetData>
    <row r="1" spans="1:32" ht="21.95" customHeight="1">
      <c r="A1" s="2843" t="s">
        <v>1183</v>
      </c>
      <c r="B1" s="2843"/>
      <c r="C1" s="2843"/>
      <c r="D1" s="2843"/>
      <c r="E1" s="2843"/>
      <c r="F1" s="2843"/>
      <c r="G1" s="2843"/>
      <c r="H1" s="2843"/>
      <c r="I1" s="2843"/>
      <c r="J1" s="2843"/>
      <c r="K1" s="2843"/>
      <c r="L1" s="2843"/>
      <c r="M1" s="2843"/>
      <c r="N1" s="2843"/>
      <c r="O1" s="2843"/>
      <c r="P1" s="2843"/>
      <c r="Q1" s="2843"/>
      <c r="R1" s="2843"/>
      <c r="S1" s="2843"/>
      <c r="T1" s="2843"/>
      <c r="U1" s="2843"/>
      <c r="V1" s="2843"/>
      <c r="W1" s="2843"/>
      <c r="X1" s="2843"/>
      <c r="Y1" s="2843"/>
      <c r="Z1" s="2843"/>
      <c r="AA1" s="2843"/>
      <c r="AB1" s="2843"/>
      <c r="AC1" s="181"/>
      <c r="AD1" s="181"/>
      <c r="AE1" s="181"/>
      <c r="AF1" s="181"/>
    </row>
    <row r="2" spans="1:32" ht="9.75" customHeight="1">
      <c r="B2" s="180"/>
      <c r="C2" s="184"/>
      <c r="D2" s="187"/>
      <c r="E2" s="187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0"/>
      <c r="AC2" s="181"/>
      <c r="AD2" s="181"/>
      <c r="AE2" s="181"/>
      <c r="AF2" s="181"/>
    </row>
    <row r="3" spans="1:32" ht="48.75" customHeight="1">
      <c r="A3" s="639" t="s">
        <v>2</v>
      </c>
      <c r="B3" s="639" t="s">
        <v>3</v>
      </c>
      <c r="C3" s="639" t="s">
        <v>385</v>
      </c>
      <c r="D3" s="639" t="s">
        <v>386</v>
      </c>
      <c r="E3" s="639" t="s">
        <v>387</v>
      </c>
      <c r="F3" s="639" t="s">
        <v>389</v>
      </c>
      <c r="G3" s="639" t="s">
        <v>390</v>
      </c>
      <c r="H3" s="639" t="s">
        <v>391</v>
      </c>
      <c r="I3" s="639" t="s">
        <v>392</v>
      </c>
      <c r="J3" s="639" t="s">
        <v>393</v>
      </c>
      <c r="K3" s="639" t="s">
        <v>394</v>
      </c>
      <c r="L3" s="639" t="s">
        <v>395</v>
      </c>
      <c r="M3" s="639" t="s">
        <v>396</v>
      </c>
      <c r="N3" s="639" t="s">
        <v>397</v>
      </c>
      <c r="O3" s="639" t="s">
        <v>398</v>
      </c>
      <c r="P3" s="639" t="s">
        <v>399</v>
      </c>
      <c r="Q3" s="639" t="s">
        <v>400</v>
      </c>
      <c r="R3" s="639" t="s">
        <v>401</v>
      </c>
      <c r="S3" s="639" t="s">
        <v>402</v>
      </c>
      <c r="T3" s="639" t="s">
        <v>403</v>
      </c>
      <c r="U3" s="639" t="s">
        <v>404</v>
      </c>
      <c r="V3" s="639" t="s">
        <v>405</v>
      </c>
      <c r="W3" s="639" t="s">
        <v>406</v>
      </c>
      <c r="X3" s="639" t="s">
        <v>407</v>
      </c>
      <c r="Y3" s="639" t="s">
        <v>408</v>
      </c>
      <c r="Z3" s="639" t="s">
        <v>409</v>
      </c>
      <c r="AA3" s="639" t="s">
        <v>410</v>
      </c>
      <c r="AB3" s="639" t="s">
        <v>221</v>
      </c>
      <c r="AC3" s="181"/>
      <c r="AD3" s="181"/>
      <c r="AE3" s="181"/>
      <c r="AF3" s="181"/>
    </row>
    <row r="4" spans="1:32" ht="24" customHeight="1">
      <c r="A4" s="220">
        <v>1</v>
      </c>
      <c r="B4" s="226" t="s">
        <v>491</v>
      </c>
      <c r="C4" s="227">
        <v>1</v>
      </c>
      <c r="D4" s="229">
        <v>356900</v>
      </c>
      <c r="E4" s="261">
        <f t="shared" ref="E4:E5" si="0">D4</f>
        <v>356900</v>
      </c>
      <c r="F4" s="232"/>
      <c r="G4" s="232"/>
      <c r="H4" s="232"/>
      <c r="I4" s="232"/>
      <c r="J4" s="232"/>
      <c r="K4" s="232"/>
      <c r="L4" s="232"/>
      <c r="M4" s="232"/>
      <c r="N4" s="262"/>
      <c r="O4" s="262" t="s">
        <v>492</v>
      </c>
      <c r="P4" s="262" t="s">
        <v>454</v>
      </c>
      <c r="Q4" s="262" t="s">
        <v>454</v>
      </c>
      <c r="R4" s="262"/>
      <c r="S4" s="262"/>
      <c r="T4" s="262"/>
      <c r="U4" s="262" t="s">
        <v>420</v>
      </c>
      <c r="V4" s="262" t="s">
        <v>449</v>
      </c>
      <c r="W4" s="262"/>
      <c r="X4" s="262"/>
      <c r="Y4" s="262"/>
      <c r="Z4" s="262"/>
      <c r="AA4" s="262"/>
      <c r="AB4" s="482" t="s">
        <v>1064</v>
      </c>
      <c r="AC4" s="181"/>
      <c r="AD4" s="181"/>
      <c r="AE4" s="181"/>
      <c r="AF4" s="181"/>
    </row>
    <row r="5" spans="1:32" ht="24" customHeight="1">
      <c r="A5" s="220">
        <v>2</v>
      </c>
      <c r="B5" s="226" t="s">
        <v>629</v>
      </c>
      <c r="C5" s="227">
        <v>1</v>
      </c>
      <c r="D5" s="229">
        <v>400000</v>
      </c>
      <c r="E5" s="261">
        <f t="shared" si="0"/>
        <v>400000</v>
      </c>
      <c r="F5" s="232"/>
      <c r="G5" s="232"/>
      <c r="H5" s="232"/>
      <c r="I5" s="232"/>
      <c r="J5" s="232"/>
      <c r="K5" s="232"/>
      <c r="L5" s="232"/>
      <c r="M5" s="23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482" t="s">
        <v>1064</v>
      </c>
      <c r="AC5" s="181"/>
      <c r="AD5" s="181"/>
      <c r="AE5" s="181"/>
      <c r="AF5" s="181"/>
    </row>
    <row r="6" spans="1:32" s="244" customFormat="1" ht="24" customHeight="1">
      <c r="A6" s="220">
        <v>3</v>
      </c>
      <c r="B6" s="226" t="s">
        <v>515</v>
      </c>
      <c r="C6" s="227">
        <v>1</v>
      </c>
      <c r="D6" s="261">
        <v>9057868</v>
      </c>
      <c r="E6" s="261">
        <f>+C6*D6</f>
        <v>9057868</v>
      </c>
      <c r="F6" s="232"/>
      <c r="G6" s="232"/>
      <c r="H6" s="232"/>
      <c r="I6" s="232"/>
      <c r="J6" s="232"/>
      <c r="K6" s="232"/>
      <c r="L6" s="232"/>
      <c r="M6" s="23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  <c r="Y6" s="262"/>
      <c r="Z6" s="262"/>
      <c r="AA6" s="262"/>
      <c r="AB6" s="482" t="s">
        <v>490</v>
      </c>
    </row>
    <row r="7" spans="1:32" ht="24" customHeight="1">
      <c r="A7" s="220">
        <v>4</v>
      </c>
      <c r="B7" s="226" t="s">
        <v>681</v>
      </c>
      <c r="C7" s="227">
        <v>1</v>
      </c>
      <c r="D7" s="229">
        <v>500000</v>
      </c>
      <c r="E7" s="229">
        <f>+D7</f>
        <v>500000</v>
      </c>
      <c r="F7" s="232"/>
      <c r="G7" s="232"/>
      <c r="H7" s="232"/>
      <c r="I7" s="232"/>
      <c r="J7" s="232"/>
      <c r="K7" s="232"/>
      <c r="L7" s="232"/>
      <c r="M7" s="23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482" t="s">
        <v>490</v>
      </c>
      <c r="AC7" s="181"/>
      <c r="AD7" s="181"/>
      <c r="AE7" s="181"/>
      <c r="AF7" s="181"/>
    </row>
    <row r="8" spans="1:32" s="244" customFormat="1" ht="24" customHeight="1">
      <c r="A8" s="220">
        <v>5</v>
      </c>
      <c r="B8" s="226" t="s">
        <v>516</v>
      </c>
      <c r="C8" s="227">
        <v>1</v>
      </c>
      <c r="D8" s="261">
        <v>8535743.1400000006</v>
      </c>
      <c r="E8" s="261">
        <f>+C8*D8</f>
        <v>8535743.1400000006</v>
      </c>
      <c r="F8" s="232"/>
      <c r="G8" s="232"/>
      <c r="H8" s="232"/>
      <c r="I8" s="232"/>
      <c r="J8" s="232"/>
      <c r="K8" s="232"/>
      <c r="L8" s="232"/>
      <c r="M8" s="23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482"/>
    </row>
    <row r="9" spans="1:32" ht="24" customHeight="1">
      <c r="A9" s="220">
        <v>6</v>
      </c>
      <c r="B9" s="226" t="s">
        <v>519</v>
      </c>
      <c r="C9" s="227">
        <v>1</v>
      </c>
      <c r="D9" s="229">
        <v>9500000</v>
      </c>
      <c r="E9" s="328">
        <f>+C9*D9</f>
        <v>9500000</v>
      </c>
      <c r="F9" s="229"/>
      <c r="G9" s="229"/>
      <c r="H9" s="229"/>
      <c r="I9" s="229"/>
      <c r="J9" s="229"/>
      <c r="K9" s="229"/>
      <c r="L9" s="229"/>
      <c r="M9" s="229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482" t="s">
        <v>490</v>
      </c>
      <c r="AC9" s="181"/>
      <c r="AD9" s="181"/>
      <c r="AE9" s="181"/>
      <c r="AF9" s="181"/>
    </row>
    <row r="10" spans="1:32" ht="24" customHeight="1">
      <c r="A10" s="655"/>
      <c r="B10" s="2845" t="s">
        <v>1069</v>
      </c>
      <c r="C10" s="2845"/>
      <c r="D10" s="2845"/>
      <c r="E10" s="664">
        <f>SUM(E4:E9)</f>
        <v>28350511.140000001</v>
      </c>
      <c r="F10" s="667"/>
      <c r="G10" s="667"/>
      <c r="H10" s="667"/>
      <c r="I10" s="667"/>
      <c r="J10" s="667"/>
      <c r="K10" s="667"/>
      <c r="L10" s="667"/>
      <c r="M10" s="667"/>
      <c r="N10" s="668"/>
      <c r="O10" s="668"/>
      <c r="P10" s="668"/>
      <c r="Q10" s="668"/>
      <c r="R10" s="668"/>
      <c r="S10" s="668"/>
      <c r="T10" s="668"/>
      <c r="U10" s="668"/>
      <c r="V10" s="668"/>
      <c r="W10" s="668"/>
      <c r="X10" s="668"/>
      <c r="Y10" s="668"/>
      <c r="Z10" s="668"/>
      <c r="AA10" s="668"/>
      <c r="AB10" s="669"/>
      <c r="AC10" s="181"/>
      <c r="AD10" s="181"/>
      <c r="AE10" s="181"/>
      <c r="AF10" s="181"/>
    </row>
    <row r="11" spans="1:32" ht="24" customHeight="1">
      <c r="A11" s="2844" t="s">
        <v>1068</v>
      </c>
      <c r="B11" s="2844"/>
      <c r="C11" s="2844"/>
      <c r="D11" s="2844"/>
      <c r="E11" s="2844"/>
      <c r="F11" s="2844"/>
      <c r="G11" s="2844"/>
      <c r="H11" s="2844"/>
      <c r="I11" s="2844"/>
      <c r="J11" s="2844"/>
      <c r="K11" s="2844"/>
      <c r="L11" s="2844"/>
      <c r="M11" s="2844"/>
      <c r="N11" s="2844"/>
      <c r="O11" s="2844"/>
      <c r="P11" s="2844"/>
      <c r="Q11" s="2844"/>
      <c r="R11" s="2844"/>
      <c r="S11" s="2844"/>
      <c r="T11" s="2844"/>
      <c r="U11" s="2844"/>
      <c r="V11" s="2844"/>
      <c r="W11" s="2844"/>
      <c r="X11" s="2844"/>
      <c r="Y11" s="2844"/>
      <c r="Z11" s="2844"/>
      <c r="AA11" s="2844"/>
      <c r="AB11" s="2844"/>
      <c r="AC11" s="181"/>
      <c r="AD11" s="181"/>
      <c r="AE11" s="181"/>
      <c r="AF11" s="181"/>
    </row>
    <row r="12" spans="1:32" s="181" customFormat="1" ht="24" customHeight="1">
      <c r="A12" s="220">
        <v>1</v>
      </c>
      <c r="B12" s="230" t="s">
        <v>716</v>
      </c>
      <c r="C12" s="220">
        <v>1</v>
      </c>
      <c r="D12" s="408">
        <v>8000000</v>
      </c>
      <c r="E12" s="642">
        <f>+D12*C12</f>
        <v>8000000</v>
      </c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641"/>
    </row>
    <row r="13" spans="1:32" s="181" customFormat="1" ht="24" customHeight="1">
      <c r="A13" s="220">
        <v>2</v>
      </c>
      <c r="B13" s="232" t="s">
        <v>999</v>
      </c>
      <c r="C13" s="227">
        <v>2</v>
      </c>
      <c r="D13" s="328">
        <v>3000000</v>
      </c>
      <c r="E13" s="261">
        <f>+C13*D13</f>
        <v>6000000</v>
      </c>
      <c r="F13" s="230"/>
      <c r="G13" s="230"/>
      <c r="H13" s="230"/>
      <c r="I13" s="230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641"/>
    </row>
    <row r="14" spans="1:32" s="181" customFormat="1" ht="24" customHeight="1">
      <c r="A14" s="220">
        <v>3</v>
      </c>
      <c r="B14" s="232" t="s">
        <v>985</v>
      </c>
      <c r="C14" s="227">
        <v>1</v>
      </c>
      <c r="D14" s="328">
        <v>490000</v>
      </c>
      <c r="E14" s="261">
        <f>+C14*D14</f>
        <v>490000</v>
      </c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641"/>
    </row>
    <row r="15" spans="1:32" ht="24" customHeight="1">
      <c r="A15" s="220">
        <v>4</v>
      </c>
      <c r="B15" s="226" t="s">
        <v>503</v>
      </c>
      <c r="C15" s="227">
        <v>1</v>
      </c>
      <c r="D15" s="261">
        <v>57000000</v>
      </c>
      <c r="E15" s="261">
        <f t="shared" ref="E15:E16" si="1">+C15*D15</f>
        <v>57000000</v>
      </c>
      <c r="F15" s="232"/>
      <c r="G15" s="232"/>
      <c r="H15" s="232"/>
      <c r="I15" s="232"/>
      <c r="J15" s="232"/>
      <c r="K15" s="232"/>
      <c r="L15" s="232"/>
      <c r="M15" s="23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640"/>
      <c r="AC15" s="181"/>
      <c r="AD15" s="181"/>
      <c r="AE15" s="181"/>
      <c r="AF15" s="181"/>
    </row>
    <row r="16" spans="1:32" ht="24" customHeight="1">
      <c r="A16" s="220">
        <v>5</v>
      </c>
      <c r="B16" s="226" t="s">
        <v>682</v>
      </c>
      <c r="C16" s="227">
        <v>1</v>
      </c>
      <c r="D16" s="229">
        <v>8000000</v>
      </c>
      <c r="E16" s="229">
        <f t="shared" si="1"/>
        <v>8000000</v>
      </c>
      <c r="F16" s="232"/>
      <c r="G16" s="232"/>
      <c r="H16" s="232"/>
      <c r="I16" s="232"/>
      <c r="J16" s="232"/>
      <c r="K16" s="232"/>
      <c r="L16" s="232"/>
      <c r="M16" s="23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641"/>
      <c r="AC16" s="181"/>
      <c r="AD16" s="181"/>
      <c r="AE16" s="181"/>
      <c r="AF16" s="181"/>
    </row>
    <row r="17" spans="1:33" ht="24" customHeight="1">
      <c r="A17" s="220">
        <v>6</v>
      </c>
      <c r="B17" s="226" t="s">
        <v>1058</v>
      </c>
      <c r="C17" s="227">
        <v>1</v>
      </c>
      <c r="D17" s="229">
        <v>2000000</v>
      </c>
      <c r="E17" s="229">
        <f>+D17</f>
        <v>2000000</v>
      </c>
      <c r="F17" s="232"/>
      <c r="G17" s="232"/>
      <c r="H17" s="232"/>
      <c r="I17" s="232"/>
      <c r="J17" s="232"/>
      <c r="K17" s="232"/>
      <c r="L17" s="232"/>
      <c r="M17" s="23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641"/>
      <c r="AC17" s="181"/>
      <c r="AD17" s="181"/>
      <c r="AE17" s="181"/>
      <c r="AF17" s="181"/>
    </row>
    <row r="18" spans="1:33" ht="24" customHeight="1">
      <c r="A18" s="220">
        <v>7</v>
      </c>
      <c r="B18" s="226" t="s">
        <v>717</v>
      </c>
      <c r="C18" s="227">
        <v>1</v>
      </c>
      <c r="D18" s="229">
        <v>15000000</v>
      </c>
      <c r="E18" s="328">
        <f t="shared" ref="E18:E39" si="2">+C18*D18</f>
        <v>15000000</v>
      </c>
      <c r="F18" s="232"/>
      <c r="G18" s="232"/>
      <c r="H18" s="232"/>
      <c r="I18" s="232"/>
      <c r="J18" s="232"/>
      <c r="K18" s="232"/>
      <c r="L18" s="232"/>
      <c r="M18" s="232"/>
      <c r="N18" s="261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641"/>
      <c r="AC18" s="180"/>
      <c r="AD18" s="181"/>
      <c r="AE18" s="181"/>
      <c r="AF18" s="181"/>
      <c r="AG18" s="181"/>
    </row>
    <row r="19" spans="1:33" ht="66.75" customHeight="1">
      <c r="A19" s="220">
        <v>8</v>
      </c>
      <c r="B19" s="226" t="s">
        <v>1046</v>
      </c>
      <c r="C19" s="227">
        <v>1</v>
      </c>
      <c r="D19" s="229">
        <v>10000000</v>
      </c>
      <c r="E19" s="328">
        <f t="shared" si="2"/>
        <v>10000000</v>
      </c>
      <c r="F19" s="232"/>
      <c r="G19" s="232"/>
      <c r="H19" s="232"/>
      <c r="I19" s="232"/>
      <c r="J19" s="232"/>
      <c r="K19" s="232"/>
      <c r="L19" s="232"/>
      <c r="M19" s="232"/>
      <c r="N19" s="261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641"/>
      <c r="AC19" s="180"/>
      <c r="AD19" s="181"/>
      <c r="AE19" s="181"/>
      <c r="AF19" s="181"/>
      <c r="AG19" s="181"/>
    </row>
    <row r="20" spans="1:33" ht="24" customHeight="1">
      <c r="A20" s="220">
        <v>9</v>
      </c>
      <c r="B20" s="232" t="s">
        <v>1059</v>
      </c>
      <c r="C20" s="227">
        <v>1</v>
      </c>
      <c r="D20" s="328">
        <v>18522237.399999999</v>
      </c>
      <c r="E20" s="328">
        <f t="shared" si="2"/>
        <v>18522237.399999999</v>
      </c>
      <c r="F20" s="232"/>
      <c r="G20" s="232"/>
      <c r="H20" s="232"/>
      <c r="I20" s="232"/>
      <c r="J20" s="232"/>
      <c r="K20" s="232"/>
      <c r="L20" s="232"/>
      <c r="M20" s="232"/>
      <c r="N20" s="261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681" t="s">
        <v>1217</v>
      </c>
      <c r="AC20" s="180"/>
      <c r="AD20" s="181"/>
      <c r="AE20" s="181"/>
      <c r="AF20" s="181"/>
      <c r="AG20" s="181"/>
    </row>
    <row r="21" spans="1:33" ht="24" customHeight="1">
      <c r="A21" s="220">
        <v>10</v>
      </c>
      <c r="B21" s="226" t="s">
        <v>624</v>
      </c>
      <c r="C21" s="227">
        <v>10</v>
      </c>
      <c r="D21" s="229">
        <v>1000000</v>
      </c>
      <c r="E21" s="328">
        <f>+C21*D21</f>
        <v>10000000</v>
      </c>
      <c r="F21" s="229"/>
      <c r="G21" s="229"/>
      <c r="H21" s="229"/>
      <c r="I21" s="229"/>
      <c r="J21" s="229"/>
      <c r="K21" s="229"/>
      <c r="L21" s="229"/>
      <c r="M21" s="229"/>
      <c r="N21" s="262"/>
      <c r="O21" s="262"/>
      <c r="P21" s="262"/>
      <c r="Q21" s="262"/>
      <c r="R21" s="262"/>
      <c r="S21" s="262"/>
      <c r="T21" s="262"/>
      <c r="U21" s="262"/>
      <c r="V21" s="262"/>
      <c r="W21" s="262"/>
      <c r="X21" s="262"/>
      <c r="Y21" s="262"/>
      <c r="Z21" s="262"/>
      <c r="AA21" s="262"/>
      <c r="AB21" s="641"/>
      <c r="AC21" s="181"/>
      <c r="AD21" s="181"/>
      <c r="AE21" s="181"/>
      <c r="AF21" s="181"/>
    </row>
    <row r="22" spans="1:33" ht="24" customHeight="1">
      <c r="A22" s="220">
        <v>11</v>
      </c>
      <c r="B22" s="226" t="s">
        <v>625</v>
      </c>
      <c r="C22" s="227">
        <v>4</v>
      </c>
      <c r="D22" s="229">
        <v>1200000</v>
      </c>
      <c r="E22" s="328">
        <f>+C22*D22</f>
        <v>4800000</v>
      </c>
      <c r="F22" s="229"/>
      <c r="G22" s="229"/>
      <c r="H22" s="229"/>
      <c r="I22" s="229"/>
      <c r="J22" s="229"/>
      <c r="K22" s="229"/>
      <c r="L22" s="229"/>
      <c r="M22" s="229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641"/>
      <c r="AC22" s="180"/>
      <c r="AD22" s="181"/>
      <c r="AE22" s="181"/>
      <c r="AF22" s="181"/>
      <c r="AG22" s="181"/>
    </row>
    <row r="23" spans="1:33" ht="24" customHeight="1">
      <c r="A23" s="220">
        <v>12</v>
      </c>
      <c r="B23" s="498" t="s">
        <v>1067</v>
      </c>
      <c r="C23" s="495">
        <v>15</v>
      </c>
      <c r="D23" s="486">
        <v>500000</v>
      </c>
      <c r="E23" s="328">
        <f>+C23*D23</f>
        <v>7500000</v>
      </c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2"/>
      <c r="S23" s="242"/>
      <c r="T23" s="242"/>
      <c r="U23" s="242"/>
      <c r="V23" s="242"/>
      <c r="W23" s="242"/>
      <c r="X23" s="242"/>
      <c r="Y23" s="242"/>
      <c r="Z23" s="242"/>
      <c r="AA23" s="242"/>
      <c r="AB23" s="372"/>
    </row>
    <row r="24" spans="1:33" ht="26.1" customHeight="1">
      <c r="A24" s="2846" t="str">
        <f>+B10</f>
        <v>รวมทั้งสิ้น</v>
      </c>
      <c r="B24" s="2846"/>
      <c r="C24" s="2846"/>
      <c r="D24" s="2846"/>
      <c r="E24" s="664">
        <f>SUM(E12:E23)</f>
        <v>147312237.40000001</v>
      </c>
      <c r="F24" s="665"/>
      <c r="G24" s="665"/>
      <c r="H24" s="665"/>
      <c r="I24" s="665"/>
      <c r="J24" s="665"/>
      <c r="K24" s="665"/>
      <c r="L24" s="665"/>
      <c r="M24" s="665"/>
      <c r="N24" s="665"/>
      <c r="O24" s="665"/>
      <c r="P24" s="665"/>
      <c r="Q24" s="665"/>
      <c r="R24" s="665"/>
      <c r="S24" s="665"/>
      <c r="T24" s="665"/>
      <c r="U24" s="665"/>
      <c r="V24" s="665"/>
      <c r="W24" s="665"/>
      <c r="X24" s="665"/>
      <c r="Y24" s="665"/>
      <c r="Z24" s="665"/>
      <c r="AA24" s="665"/>
      <c r="AB24" s="666"/>
    </row>
    <row r="25" spans="1:33" ht="46.5">
      <c r="A25" s="735"/>
      <c r="B25" s="736" t="s">
        <v>1218</v>
      </c>
      <c r="C25" s="737">
        <v>1</v>
      </c>
      <c r="D25" s="738">
        <v>15000000</v>
      </c>
      <c r="E25" s="459"/>
      <c r="F25" s="244"/>
      <c r="G25" s="244"/>
      <c r="H25" s="244"/>
      <c r="I25" s="244"/>
      <c r="J25" s="244"/>
      <c r="K25" s="244"/>
      <c r="L25" s="244"/>
      <c r="M25" s="244"/>
      <c r="N25" s="244"/>
      <c r="O25" s="244"/>
      <c r="P25" s="244"/>
      <c r="Q25" s="244"/>
      <c r="R25" s="244"/>
      <c r="S25" s="244"/>
      <c r="T25" s="244"/>
      <c r="U25" s="244"/>
      <c r="V25" s="244"/>
      <c r="W25" s="244"/>
      <c r="X25" s="244"/>
      <c r="Y25" s="244"/>
      <c r="Z25" s="244"/>
      <c r="AA25" s="244"/>
      <c r="AB25" s="491"/>
    </row>
    <row r="26" spans="1:33" ht="26.1" customHeight="1">
      <c r="A26" s="735"/>
      <c r="B26" s="491" t="s">
        <v>1219</v>
      </c>
      <c r="C26" s="926">
        <v>1</v>
      </c>
      <c r="D26" s="927">
        <v>99450</v>
      </c>
      <c r="E26" s="459"/>
      <c r="F26" s="244"/>
      <c r="G26" s="244"/>
      <c r="H26" s="244"/>
      <c r="I26" s="244"/>
      <c r="J26" s="244"/>
      <c r="K26" s="244"/>
      <c r="L26" s="244"/>
      <c r="M26" s="244"/>
      <c r="N26" s="244"/>
      <c r="O26" s="244"/>
      <c r="P26" s="244"/>
      <c r="Q26" s="244"/>
      <c r="R26" s="244"/>
      <c r="S26" s="244"/>
      <c r="T26" s="244"/>
      <c r="U26" s="244"/>
      <c r="V26" s="244"/>
      <c r="W26" s="244"/>
      <c r="X26" s="244"/>
      <c r="Y26" s="244"/>
      <c r="Z26" s="244"/>
      <c r="AA26" s="244"/>
      <c r="AB26" s="491"/>
    </row>
    <row r="27" spans="1:33" ht="26.1" customHeight="1">
      <c r="A27" s="735"/>
      <c r="B27" s="735"/>
      <c r="C27" s="735"/>
      <c r="D27" s="735"/>
      <c r="E27" s="459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491"/>
    </row>
    <row r="28" spans="1:33" ht="26.1" customHeight="1">
      <c r="A28" s="735"/>
      <c r="B28" s="735"/>
      <c r="C28" s="735"/>
      <c r="D28" s="735"/>
      <c r="E28" s="459"/>
      <c r="F28" s="244"/>
      <c r="G28" s="244"/>
      <c r="H28" s="244"/>
      <c r="I28" s="244"/>
      <c r="J28" s="244"/>
      <c r="K28" s="244"/>
      <c r="L28" s="244"/>
      <c r="M28" s="244"/>
      <c r="N28" s="244"/>
      <c r="O28" s="244"/>
      <c r="P28" s="244"/>
      <c r="Q28" s="244"/>
      <c r="R28" s="244"/>
      <c r="S28" s="244"/>
      <c r="T28" s="244"/>
      <c r="U28" s="244"/>
      <c r="V28" s="244"/>
      <c r="W28" s="244"/>
      <c r="X28" s="244"/>
      <c r="Y28" s="244"/>
      <c r="Z28" s="244"/>
      <c r="AA28" s="244"/>
      <c r="AB28" s="491"/>
    </row>
    <row r="29" spans="1:33" ht="24.75" customHeight="1">
      <c r="A29" s="2843" t="s">
        <v>653</v>
      </c>
      <c r="B29" s="2843"/>
      <c r="C29" s="2843"/>
      <c r="D29" s="2843"/>
      <c r="E29" s="2843"/>
      <c r="F29" s="2843"/>
      <c r="G29" s="2843"/>
      <c r="H29" s="2843"/>
      <c r="I29" s="2843"/>
      <c r="J29" s="2843"/>
      <c r="K29" s="2843"/>
      <c r="L29" s="2843"/>
      <c r="M29" s="2843"/>
      <c r="N29" s="2843"/>
      <c r="O29" s="2843"/>
      <c r="P29" s="2843"/>
      <c r="Q29" s="2843"/>
      <c r="R29" s="2843"/>
      <c r="S29" s="2843"/>
      <c r="T29" s="2843"/>
      <c r="U29" s="2843"/>
      <c r="V29" s="2843"/>
      <c r="W29" s="2843"/>
      <c r="X29" s="2843"/>
      <c r="Y29" s="2843"/>
      <c r="Z29" s="2843"/>
      <c r="AA29" s="2843"/>
      <c r="AB29" s="2843"/>
    </row>
    <row r="30" spans="1:33" ht="41.25" customHeight="1">
      <c r="A30" s="178" t="s">
        <v>2</v>
      </c>
      <c r="B30" s="178" t="s">
        <v>3</v>
      </c>
      <c r="C30" s="178" t="s">
        <v>385</v>
      </c>
      <c r="D30" s="178" t="s">
        <v>386</v>
      </c>
      <c r="E30" s="178" t="s">
        <v>387</v>
      </c>
      <c r="F30" s="178" t="s">
        <v>389</v>
      </c>
      <c r="G30" s="178" t="s">
        <v>390</v>
      </c>
      <c r="H30" s="178" t="s">
        <v>391</v>
      </c>
      <c r="I30" s="178" t="s">
        <v>392</v>
      </c>
      <c r="J30" s="178" t="s">
        <v>393</v>
      </c>
      <c r="K30" s="178" t="s">
        <v>394</v>
      </c>
      <c r="L30" s="178" t="s">
        <v>395</v>
      </c>
      <c r="M30" s="178" t="s">
        <v>396</v>
      </c>
      <c r="N30" s="178" t="s">
        <v>397</v>
      </c>
      <c r="O30" s="178" t="s">
        <v>398</v>
      </c>
      <c r="P30" s="178" t="s">
        <v>399</v>
      </c>
      <c r="Q30" s="178" t="s">
        <v>400</v>
      </c>
      <c r="R30" s="178" t="s">
        <v>401</v>
      </c>
      <c r="S30" s="178" t="s">
        <v>402</v>
      </c>
      <c r="T30" s="178" t="s">
        <v>403</v>
      </c>
      <c r="U30" s="178" t="s">
        <v>404</v>
      </c>
      <c r="V30" s="178" t="s">
        <v>405</v>
      </c>
      <c r="W30" s="178" t="s">
        <v>406</v>
      </c>
      <c r="X30" s="178" t="s">
        <v>407</v>
      </c>
      <c r="Y30" s="178" t="s">
        <v>408</v>
      </c>
      <c r="Z30" s="178" t="s">
        <v>409</v>
      </c>
      <c r="AA30" s="178" t="s">
        <v>410</v>
      </c>
      <c r="AB30" s="178" t="s">
        <v>221</v>
      </c>
      <c r="AC30" s="181"/>
      <c r="AD30" s="181"/>
      <c r="AE30" s="181"/>
      <c r="AF30" s="181"/>
    </row>
    <row r="31" spans="1:33">
      <c r="A31" s="220">
        <v>1</v>
      </c>
      <c r="B31" s="230" t="s">
        <v>1062</v>
      </c>
      <c r="C31" s="220">
        <v>1</v>
      </c>
      <c r="D31" s="257">
        <v>12465000</v>
      </c>
      <c r="E31" s="321">
        <f t="shared" ref="E31:E32" si="3">+C31*D31</f>
        <v>12465000</v>
      </c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18" t="s">
        <v>1071</v>
      </c>
      <c r="AC31" s="181"/>
      <c r="AD31" s="181"/>
      <c r="AE31" s="181"/>
      <c r="AF31" s="181"/>
    </row>
    <row r="32" spans="1:33">
      <c r="A32" s="220">
        <v>2</v>
      </c>
      <c r="B32" s="230" t="s">
        <v>1063</v>
      </c>
      <c r="C32" s="220">
        <v>1</v>
      </c>
      <c r="D32" s="257">
        <v>2000000</v>
      </c>
      <c r="E32" s="321">
        <f t="shared" si="3"/>
        <v>2000000</v>
      </c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18" t="s">
        <v>1071</v>
      </c>
      <c r="AC32" s="181"/>
      <c r="AD32" s="181"/>
      <c r="AE32" s="181"/>
      <c r="AF32" s="181"/>
    </row>
    <row r="33" spans="1:32">
      <c r="A33" s="655"/>
      <c r="B33" s="656"/>
      <c r="C33" s="655"/>
      <c r="D33" s="663" t="str">
        <f>+A24</f>
        <v>รวมทั้งสิ้น</v>
      </c>
      <c r="E33" s="657">
        <f>SUM(E31:E32)</f>
        <v>14465000</v>
      </c>
      <c r="F33" s="656"/>
      <c r="G33" s="656"/>
      <c r="H33" s="656"/>
      <c r="I33" s="656"/>
      <c r="J33" s="656"/>
      <c r="K33" s="656"/>
      <c r="L33" s="656"/>
      <c r="M33" s="656"/>
      <c r="N33" s="656"/>
      <c r="O33" s="656"/>
      <c r="P33" s="656"/>
      <c r="Q33" s="656"/>
      <c r="R33" s="656"/>
      <c r="S33" s="656"/>
      <c r="T33" s="656"/>
      <c r="U33" s="656"/>
      <c r="V33" s="656"/>
      <c r="W33" s="656"/>
      <c r="X33" s="656"/>
      <c r="Y33" s="656"/>
      <c r="Z33" s="656"/>
      <c r="AA33" s="656"/>
      <c r="AB33" s="658"/>
      <c r="AC33" s="181"/>
      <c r="AD33" s="181"/>
      <c r="AE33" s="181"/>
      <c r="AF33" s="181"/>
    </row>
    <row r="34" spans="1:32">
      <c r="B34" s="181"/>
      <c r="C34" s="184"/>
      <c r="D34" s="691"/>
      <c r="E34" s="692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0"/>
      <c r="AC34" s="181"/>
      <c r="AD34" s="181"/>
      <c r="AE34" s="181"/>
      <c r="AF34" s="181"/>
    </row>
    <row r="35" spans="1:32" ht="24.75" customHeight="1">
      <c r="A35" s="2843" t="s">
        <v>1192</v>
      </c>
      <c r="B35" s="2843"/>
      <c r="C35" s="2843"/>
      <c r="D35" s="2843"/>
      <c r="E35" s="2843"/>
      <c r="F35" s="2843"/>
      <c r="G35" s="2843"/>
      <c r="H35" s="2843"/>
      <c r="I35" s="2843"/>
      <c r="J35" s="2843"/>
      <c r="K35" s="2843"/>
      <c r="L35" s="2843"/>
      <c r="M35" s="2843"/>
      <c r="N35" s="2843"/>
      <c r="O35" s="2843"/>
      <c r="P35" s="2843"/>
      <c r="Q35" s="2843"/>
      <c r="R35" s="2843"/>
      <c r="S35" s="2843"/>
      <c r="T35" s="2843"/>
      <c r="U35" s="2843"/>
      <c r="V35" s="2843"/>
      <c r="W35" s="2843"/>
      <c r="X35" s="2843"/>
      <c r="Y35" s="2843"/>
      <c r="Z35" s="2843"/>
      <c r="AA35" s="2843"/>
      <c r="AB35" s="2843"/>
    </row>
    <row r="36" spans="1:32" ht="41.25" customHeight="1">
      <c r="A36" s="178" t="s">
        <v>2</v>
      </c>
      <c r="B36" s="178" t="s">
        <v>3</v>
      </c>
      <c r="C36" s="178" t="s">
        <v>385</v>
      </c>
      <c r="D36" s="178" t="s">
        <v>386</v>
      </c>
      <c r="E36" s="178" t="s">
        <v>387</v>
      </c>
      <c r="F36" s="178" t="s">
        <v>389</v>
      </c>
      <c r="G36" s="178" t="s">
        <v>390</v>
      </c>
      <c r="H36" s="178" t="s">
        <v>391</v>
      </c>
      <c r="I36" s="178" t="s">
        <v>392</v>
      </c>
      <c r="J36" s="178" t="s">
        <v>393</v>
      </c>
      <c r="K36" s="178" t="s">
        <v>394</v>
      </c>
      <c r="L36" s="178" t="s">
        <v>395</v>
      </c>
      <c r="M36" s="178" t="s">
        <v>396</v>
      </c>
      <c r="N36" s="178" t="s">
        <v>397</v>
      </c>
      <c r="O36" s="178" t="s">
        <v>398</v>
      </c>
      <c r="P36" s="178" t="s">
        <v>399</v>
      </c>
      <c r="Q36" s="178" t="s">
        <v>400</v>
      </c>
      <c r="R36" s="178" t="s">
        <v>401</v>
      </c>
      <c r="S36" s="178" t="s">
        <v>402</v>
      </c>
      <c r="T36" s="178" t="s">
        <v>403</v>
      </c>
      <c r="U36" s="178" t="s">
        <v>404</v>
      </c>
      <c r="V36" s="178" t="s">
        <v>405</v>
      </c>
      <c r="W36" s="178" t="s">
        <v>406</v>
      </c>
      <c r="X36" s="178" t="s">
        <v>407</v>
      </c>
      <c r="Y36" s="178" t="s">
        <v>408</v>
      </c>
      <c r="Z36" s="178" t="s">
        <v>409</v>
      </c>
      <c r="AA36" s="178" t="s">
        <v>410</v>
      </c>
      <c r="AB36" s="178" t="s">
        <v>221</v>
      </c>
      <c r="AC36" s="181"/>
      <c r="AD36" s="181"/>
      <c r="AE36" s="181"/>
      <c r="AF36" s="181"/>
    </row>
    <row r="37" spans="1:32">
      <c r="A37" s="220">
        <v>1</v>
      </c>
      <c r="B37" s="231" t="s">
        <v>1061</v>
      </c>
      <c r="C37" s="220">
        <v>1</v>
      </c>
      <c r="D37" s="257">
        <v>200000000</v>
      </c>
      <c r="E37" s="321">
        <f>+C37*D37</f>
        <v>200000000</v>
      </c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18" t="s">
        <v>1070</v>
      </c>
      <c r="AC37" s="181"/>
      <c r="AD37" s="181"/>
      <c r="AE37" s="181"/>
      <c r="AF37" s="181"/>
    </row>
    <row r="38" spans="1:32" ht="26.1" customHeight="1">
      <c r="A38" s="659"/>
      <c r="B38" s="659"/>
      <c r="C38" s="659"/>
      <c r="D38" s="659"/>
      <c r="E38" s="660"/>
      <c r="F38" s="661"/>
      <c r="G38" s="661"/>
      <c r="H38" s="661"/>
      <c r="I38" s="661"/>
      <c r="J38" s="661"/>
      <c r="K38" s="661"/>
      <c r="L38" s="661"/>
      <c r="M38" s="661"/>
      <c r="N38" s="661"/>
      <c r="O38" s="661"/>
      <c r="P38" s="661"/>
      <c r="Q38" s="661"/>
      <c r="R38" s="661"/>
      <c r="S38" s="661"/>
      <c r="T38" s="661"/>
      <c r="U38" s="661"/>
      <c r="V38" s="661"/>
      <c r="W38" s="661"/>
      <c r="X38" s="661"/>
      <c r="Y38" s="661"/>
      <c r="Z38" s="661"/>
      <c r="AA38" s="661"/>
      <c r="AB38" s="662"/>
    </row>
    <row r="39" spans="1:32" s="618" customFormat="1" ht="23.25" customHeight="1">
      <c r="A39" s="620">
        <v>1</v>
      </c>
      <c r="B39" s="624" t="s">
        <v>521</v>
      </c>
      <c r="C39" s="615">
        <v>1</v>
      </c>
      <c r="D39" s="625">
        <v>2200000</v>
      </c>
      <c r="E39" s="625">
        <f t="shared" si="2"/>
        <v>2200000</v>
      </c>
      <c r="F39" s="624"/>
      <c r="G39" s="624"/>
      <c r="H39" s="624"/>
      <c r="I39" s="624"/>
      <c r="J39" s="624"/>
      <c r="K39" s="624"/>
      <c r="L39" s="624"/>
      <c r="M39" s="624"/>
      <c r="N39" s="626"/>
      <c r="O39" s="624"/>
      <c r="P39" s="624"/>
      <c r="Q39" s="624"/>
      <c r="R39" s="624"/>
      <c r="S39" s="624"/>
      <c r="T39" s="624"/>
      <c r="U39" s="624"/>
      <c r="V39" s="624"/>
      <c r="W39" s="624"/>
      <c r="X39" s="624"/>
      <c r="Y39" s="624"/>
      <c r="Z39" s="624"/>
      <c r="AA39" s="624"/>
      <c r="AB39" s="643"/>
      <c r="AC39" s="622"/>
      <c r="AD39" s="622"/>
      <c r="AE39" s="622"/>
      <c r="AF39" s="622"/>
    </row>
    <row r="40" spans="1:32" s="613" customFormat="1" ht="25.9" customHeight="1">
      <c r="A40" s="644">
        <v>2</v>
      </c>
      <c r="B40" s="607" t="s">
        <v>715</v>
      </c>
      <c r="C40" s="608">
        <v>1</v>
      </c>
      <c r="D40" s="609">
        <v>4000000</v>
      </c>
      <c r="E40" s="610">
        <f>+C40*D40</f>
        <v>4000000</v>
      </c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11"/>
      <c r="AB40" s="645"/>
      <c r="AC40" s="612"/>
      <c r="AD40" s="612"/>
      <c r="AE40" s="612"/>
      <c r="AF40" s="612"/>
    </row>
    <row r="41" spans="1:32" s="618" customFormat="1" ht="27.6" customHeight="1">
      <c r="A41" s="620">
        <v>3</v>
      </c>
      <c r="B41" s="614" t="s">
        <v>1060</v>
      </c>
      <c r="C41" s="615">
        <v>1</v>
      </c>
      <c r="D41" s="616">
        <v>5000000</v>
      </c>
      <c r="E41" s="616">
        <f>+D41*C41</f>
        <v>5000000</v>
      </c>
      <c r="F41" s="616"/>
      <c r="G41" s="616"/>
      <c r="H41" s="616"/>
      <c r="I41" s="616"/>
      <c r="J41" s="616"/>
      <c r="K41" s="616"/>
      <c r="L41" s="616"/>
      <c r="M41" s="616"/>
      <c r="N41" s="617"/>
      <c r="O41" s="617"/>
      <c r="P41" s="617"/>
      <c r="Q41" s="617"/>
      <c r="R41" s="617"/>
      <c r="S41" s="617"/>
      <c r="T41" s="617"/>
      <c r="U41" s="617"/>
      <c r="V41" s="617"/>
      <c r="W41" s="617"/>
      <c r="X41" s="617"/>
      <c r="Y41" s="617"/>
      <c r="Z41" s="617"/>
      <c r="AA41" s="617"/>
      <c r="AB41" s="643"/>
    </row>
    <row r="42" spans="1:32" s="622" customFormat="1" ht="26.1" customHeight="1">
      <c r="A42" s="620">
        <v>4</v>
      </c>
      <c r="B42" s="619" t="s">
        <v>691</v>
      </c>
      <c r="C42" s="620">
        <v>1</v>
      </c>
      <c r="D42" s="621">
        <v>2300000</v>
      </c>
      <c r="E42" s="616">
        <f t="shared" ref="E42:E43" si="4">+D42*C42</f>
        <v>2300000</v>
      </c>
      <c r="F42" s="619"/>
      <c r="G42" s="619"/>
      <c r="H42" s="619"/>
      <c r="I42" s="619"/>
      <c r="J42" s="619"/>
      <c r="K42" s="619"/>
      <c r="L42" s="619"/>
      <c r="M42" s="619"/>
      <c r="N42" s="619"/>
      <c r="O42" s="619"/>
      <c r="P42" s="619"/>
      <c r="Q42" s="619"/>
      <c r="R42" s="619"/>
      <c r="S42" s="619"/>
      <c r="T42" s="619"/>
      <c r="U42" s="619"/>
      <c r="V42" s="619"/>
      <c r="W42" s="619"/>
      <c r="X42" s="619"/>
      <c r="Y42" s="619"/>
      <c r="Z42" s="619"/>
      <c r="AA42" s="619"/>
      <c r="AB42" s="643"/>
    </row>
    <row r="43" spans="1:32" s="622" customFormat="1" ht="26.1" customHeight="1">
      <c r="A43" s="644">
        <v>5</v>
      </c>
      <c r="B43" s="619" t="s">
        <v>714</v>
      </c>
      <c r="C43" s="620">
        <v>1</v>
      </c>
      <c r="D43" s="621">
        <v>500000</v>
      </c>
      <c r="E43" s="623">
        <f t="shared" si="4"/>
        <v>500000</v>
      </c>
      <c r="F43" s="619"/>
      <c r="G43" s="619"/>
      <c r="H43" s="619"/>
      <c r="I43" s="619"/>
      <c r="J43" s="619"/>
      <c r="K43" s="619"/>
      <c r="L43" s="619"/>
      <c r="M43" s="619"/>
      <c r="N43" s="619"/>
      <c r="O43" s="619"/>
      <c r="P43" s="619"/>
      <c r="Q43" s="619"/>
      <c r="R43" s="619"/>
      <c r="S43" s="619"/>
      <c r="T43" s="619"/>
      <c r="U43" s="619"/>
      <c r="V43" s="619"/>
      <c r="W43" s="619"/>
      <c r="X43" s="619"/>
      <c r="Y43" s="619"/>
      <c r="Z43" s="619"/>
      <c r="AA43" s="619"/>
      <c r="AB43" s="643"/>
    </row>
    <row r="44" spans="1:32" s="618" customFormat="1" ht="26.1" customHeight="1">
      <c r="A44" s="620">
        <v>6</v>
      </c>
      <c r="B44" s="624" t="s">
        <v>994</v>
      </c>
      <c r="C44" s="615">
        <v>3</v>
      </c>
      <c r="D44" s="625">
        <v>1400000</v>
      </c>
      <c r="E44" s="625">
        <f>+C44*D44</f>
        <v>4200000</v>
      </c>
      <c r="F44" s="627"/>
      <c r="G44" s="627"/>
      <c r="H44" s="627"/>
      <c r="I44" s="627"/>
      <c r="J44" s="627"/>
      <c r="K44" s="627"/>
      <c r="L44" s="627"/>
      <c r="M44" s="627"/>
      <c r="N44" s="627"/>
      <c r="O44" s="627"/>
      <c r="P44" s="627"/>
      <c r="Q44" s="627"/>
      <c r="R44" s="627"/>
      <c r="S44" s="627"/>
      <c r="T44" s="627"/>
      <c r="U44" s="627"/>
      <c r="V44" s="627"/>
      <c r="W44" s="627"/>
      <c r="X44" s="627"/>
      <c r="Y44" s="627"/>
      <c r="Z44" s="627"/>
      <c r="AA44" s="627"/>
      <c r="AB44" s="628"/>
    </row>
    <row r="45" spans="1:32" s="618" customFormat="1" ht="26.1" customHeight="1">
      <c r="A45" s="620">
        <v>7</v>
      </c>
      <c r="B45" s="629" t="s">
        <v>995</v>
      </c>
      <c r="C45" s="630">
        <v>1</v>
      </c>
      <c r="D45" s="631">
        <v>786400</v>
      </c>
      <c r="E45" s="625">
        <f t="shared" ref="E45:E47" si="5">+C45*D45</f>
        <v>786400</v>
      </c>
      <c r="F45" s="627"/>
      <c r="G45" s="627"/>
      <c r="H45" s="627"/>
      <c r="I45" s="627"/>
      <c r="J45" s="627"/>
      <c r="K45" s="627"/>
      <c r="L45" s="627"/>
      <c r="M45" s="627"/>
      <c r="N45" s="627"/>
      <c r="O45" s="627"/>
      <c r="P45" s="627"/>
      <c r="Q45" s="627"/>
      <c r="R45" s="627"/>
      <c r="S45" s="627"/>
      <c r="T45" s="627"/>
      <c r="U45" s="627"/>
      <c r="V45" s="627"/>
      <c r="W45" s="627"/>
      <c r="X45" s="627"/>
      <c r="Y45" s="627"/>
      <c r="Z45" s="627"/>
      <c r="AA45" s="627"/>
      <c r="AB45" s="628"/>
    </row>
    <row r="46" spans="1:32" s="618" customFormat="1" ht="26.1" customHeight="1">
      <c r="A46" s="644">
        <v>8</v>
      </c>
      <c r="B46" s="629" t="s">
        <v>517</v>
      </c>
      <c r="C46" s="630">
        <v>8</v>
      </c>
      <c r="D46" s="631">
        <v>700000</v>
      </c>
      <c r="E46" s="625">
        <f t="shared" si="5"/>
        <v>5600000</v>
      </c>
      <c r="F46" s="627"/>
      <c r="G46" s="627"/>
      <c r="H46" s="627"/>
      <c r="I46" s="627"/>
      <c r="J46" s="627"/>
      <c r="K46" s="627"/>
      <c r="L46" s="627"/>
      <c r="M46" s="627"/>
      <c r="N46" s="627"/>
      <c r="O46" s="627"/>
      <c r="P46" s="627"/>
      <c r="Q46" s="627"/>
      <c r="R46" s="627"/>
      <c r="S46" s="627"/>
      <c r="T46" s="627"/>
      <c r="U46" s="627"/>
      <c r="V46" s="627"/>
      <c r="W46" s="627"/>
      <c r="X46" s="627"/>
      <c r="Y46" s="627"/>
      <c r="Z46" s="627"/>
      <c r="AA46" s="627"/>
      <c r="AB46" s="628"/>
    </row>
    <row r="47" spans="1:32" s="618" customFormat="1" ht="108.6" customHeight="1">
      <c r="A47" s="620">
        <v>9</v>
      </c>
      <c r="B47" s="629" t="s">
        <v>505</v>
      </c>
      <c r="C47" s="630">
        <v>1</v>
      </c>
      <c r="D47" s="631">
        <v>20092000</v>
      </c>
      <c r="E47" s="625">
        <f t="shared" si="5"/>
        <v>20092000</v>
      </c>
      <c r="F47" s="632" t="s">
        <v>992</v>
      </c>
      <c r="G47" s="627"/>
      <c r="H47" s="627"/>
      <c r="I47" s="627"/>
      <c r="J47" s="627"/>
      <c r="K47" s="627"/>
      <c r="L47" s="627"/>
      <c r="M47" s="627"/>
      <c r="N47" s="627"/>
      <c r="O47" s="627"/>
      <c r="P47" s="627"/>
      <c r="Q47" s="627"/>
      <c r="R47" s="627"/>
      <c r="S47" s="627"/>
      <c r="T47" s="627"/>
      <c r="U47" s="627"/>
      <c r="V47" s="627"/>
      <c r="W47" s="627"/>
      <c r="X47" s="627"/>
      <c r="Y47" s="627"/>
      <c r="Z47" s="627"/>
      <c r="AA47" s="627"/>
      <c r="AB47" s="632" t="s">
        <v>1045</v>
      </c>
    </row>
    <row r="48" spans="1:32" s="618" customFormat="1" ht="26.1" customHeight="1">
      <c r="A48" s="620">
        <v>10</v>
      </c>
      <c r="B48" s="633" t="s">
        <v>996</v>
      </c>
      <c r="C48" s="634">
        <v>2</v>
      </c>
      <c r="D48" s="635">
        <f>+D44</f>
        <v>1400000</v>
      </c>
      <c r="E48" s="635">
        <f>+C48*D48</f>
        <v>2800000</v>
      </c>
      <c r="F48" s="627"/>
      <c r="G48" s="627"/>
      <c r="H48" s="627"/>
      <c r="I48" s="627"/>
      <c r="J48" s="627"/>
      <c r="K48" s="627"/>
      <c r="L48" s="627"/>
      <c r="M48" s="627"/>
      <c r="N48" s="627"/>
      <c r="O48" s="627"/>
      <c r="P48" s="627"/>
      <c r="Q48" s="627"/>
      <c r="R48" s="627"/>
      <c r="S48" s="627"/>
      <c r="T48" s="627"/>
      <c r="U48" s="627"/>
      <c r="V48" s="627"/>
      <c r="W48" s="627"/>
      <c r="X48" s="627"/>
      <c r="Y48" s="627"/>
      <c r="Z48" s="627"/>
      <c r="AA48" s="627"/>
      <c r="AB48" s="628"/>
    </row>
    <row r="49" spans="1:32" s="618" customFormat="1">
      <c r="A49" s="644">
        <v>11</v>
      </c>
      <c r="B49" s="619" t="s">
        <v>1051</v>
      </c>
      <c r="C49" s="620">
        <v>1</v>
      </c>
      <c r="D49" s="621">
        <v>4681768.3099999996</v>
      </c>
      <c r="E49" s="635">
        <f>+C49*D49</f>
        <v>4681768.3099999996</v>
      </c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19"/>
      <c r="AB49" s="646"/>
      <c r="AC49" s="622"/>
      <c r="AD49" s="622"/>
      <c r="AE49" s="622"/>
      <c r="AF49" s="622"/>
    </row>
    <row r="50" spans="1:32" ht="26.1" customHeight="1">
      <c r="D50" s="185"/>
      <c r="E50" s="553">
        <f>SUM(E44:E48)</f>
        <v>33478400</v>
      </c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244"/>
      <c r="Y50" s="244"/>
      <c r="Z50" s="244"/>
      <c r="AA50" s="244"/>
      <c r="AB50" s="491"/>
    </row>
    <row r="51" spans="1:32" s="654" customFormat="1" ht="26.1" customHeight="1">
      <c r="A51" s="647">
        <v>5</v>
      </c>
      <c r="B51" s="648" t="s">
        <v>628</v>
      </c>
      <c r="C51" s="649">
        <v>1</v>
      </c>
      <c r="D51" s="650">
        <v>7500000</v>
      </c>
      <c r="E51" s="651">
        <f>+C51*D51</f>
        <v>7500000</v>
      </c>
      <c r="F51" s="652"/>
      <c r="G51" s="652"/>
      <c r="H51" s="652"/>
      <c r="I51" s="652"/>
      <c r="J51" s="652"/>
      <c r="K51" s="652"/>
      <c r="L51" s="652"/>
      <c r="M51" s="652"/>
      <c r="N51" s="652"/>
      <c r="O51" s="652"/>
      <c r="P51" s="652"/>
      <c r="Q51" s="652"/>
      <c r="R51" s="652"/>
      <c r="S51" s="652"/>
      <c r="T51" s="652"/>
      <c r="U51" s="652"/>
      <c r="V51" s="652"/>
      <c r="W51" s="652"/>
      <c r="X51" s="652"/>
      <c r="Y51" s="652"/>
      <c r="Z51" s="652"/>
      <c r="AA51" s="652"/>
      <c r="AB51" s="653"/>
    </row>
    <row r="52" spans="1:32" ht="26.1" customHeight="1">
      <c r="E52" s="246"/>
    </row>
    <row r="53" spans="1:32">
      <c r="B53" s="181"/>
      <c r="C53" s="184"/>
      <c r="D53" s="637"/>
      <c r="E53" s="188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0"/>
      <c r="AC53" s="181"/>
      <c r="AD53" s="181"/>
      <c r="AE53" s="181"/>
      <c r="AF53" s="181"/>
    </row>
    <row r="54" spans="1:32">
      <c r="B54" s="181"/>
      <c r="C54" s="184"/>
      <c r="D54" s="188"/>
      <c r="E54" s="188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0"/>
      <c r="AC54" s="181"/>
      <c r="AD54" s="181"/>
      <c r="AE54" s="181"/>
      <c r="AF54" s="181"/>
    </row>
    <row r="55" spans="1:32">
      <c r="B55" s="181"/>
      <c r="C55" s="184"/>
      <c r="D55" s="188"/>
      <c r="E55" s="188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0"/>
      <c r="AC55" s="181"/>
      <c r="AD55" s="181"/>
      <c r="AE55" s="181"/>
      <c r="AF55" s="181"/>
    </row>
    <row r="56" spans="1:32">
      <c r="B56" s="181"/>
      <c r="C56" s="184"/>
      <c r="D56" s="188"/>
      <c r="E56" s="188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0"/>
      <c r="AC56" s="181"/>
      <c r="AD56" s="181"/>
      <c r="AE56" s="181"/>
      <c r="AF56" s="181"/>
    </row>
    <row r="57" spans="1:32">
      <c r="B57" s="181"/>
      <c r="C57" s="184"/>
      <c r="D57" s="188"/>
      <c r="E57" s="188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0"/>
      <c r="AC57" s="181"/>
      <c r="AD57" s="181"/>
      <c r="AE57" s="181"/>
      <c r="AF57" s="181"/>
    </row>
    <row r="58" spans="1:32">
      <c r="B58" s="181"/>
      <c r="C58" s="184"/>
      <c r="D58" s="188"/>
      <c r="E58" s="188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0"/>
      <c r="AC58" s="181"/>
      <c r="AD58" s="181"/>
      <c r="AE58" s="181"/>
      <c r="AF58" s="181"/>
    </row>
    <row r="59" spans="1:32">
      <c r="B59" s="181"/>
      <c r="C59" s="184"/>
      <c r="D59" s="188"/>
      <c r="E59" s="188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0"/>
      <c r="AC59" s="181"/>
      <c r="AD59" s="181"/>
      <c r="AE59" s="181"/>
      <c r="AF59" s="181"/>
    </row>
    <row r="60" spans="1:32">
      <c r="B60" s="181"/>
      <c r="C60" s="184"/>
      <c r="D60" s="188"/>
      <c r="E60" s="188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0"/>
      <c r="AC60" s="181"/>
      <c r="AD60" s="181"/>
      <c r="AE60" s="181"/>
      <c r="AF60" s="181"/>
    </row>
    <row r="61" spans="1:32">
      <c r="B61" s="181"/>
      <c r="C61" s="184"/>
      <c r="D61" s="188"/>
      <c r="E61" s="188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0"/>
      <c r="AC61" s="181"/>
      <c r="AD61" s="181"/>
      <c r="AE61" s="181"/>
      <c r="AF61" s="181"/>
    </row>
    <row r="62" spans="1:32">
      <c r="B62" s="181"/>
      <c r="C62" s="184"/>
      <c r="D62" s="188"/>
      <c r="E62" s="188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0"/>
      <c r="AC62" s="181"/>
      <c r="AD62" s="181"/>
      <c r="AE62" s="181"/>
      <c r="AF62" s="181"/>
    </row>
    <row r="63" spans="1:32">
      <c r="B63" s="181"/>
      <c r="C63" s="184"/>
      <c r="D63" s="188"/>
      <c r="E63" s="188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0"/>
      <c r="AC63" s="181"/>
      <c r="AD63" s="181"/>
      <c r="AE63" s="181"/>
      <c r="AF63" s="181"/>
    </row>
    <row r="64" spans="1:32">
      <c r="B64" s="181"/>
      <c r="C64" s="184"/>
      <c r="D64" s="188"/>
      <c r="E64" s="188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0"/>
      <c r="AC64" s="181"/>
      <c r="AD64" s="181"/>
      <c r="AE64" s="181"/>
      <c r="AF64" s="181"/>
    </row>
    <row r="65" spans="2:32">
      <c r="B65" s="181"/>
      <c r="C65" s="184"/>
      <c r="D65" s="188"/>
      <c r="E65" s="188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0"/>
      <c r="AC65" s="181"/>
      <c r="AD65" s="181"/>
      <c r="AE65" s="181"/>
      <c r="AF65" s="181"/>
    </row>
    <row r="66" spans="2:32">
      <c r="B66" s="181"/>
      <c r="C66" s="184"/>
      <c r="D66" s="188"/>
      <c r="E66" s="188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0"/>
      <c r="AC66" s="181"/>
      <c r="AD66" s="181"/>
      <c r="AE66" s="181"/>
      <c r="AF66" s="181"/>
    </row>
    <row r="67" spans="2:32">
      <c r="B67" s="181"/>
      <c r="C67" s="184"/>
      <c r="D67" s="188"/>
      <c r="E67" s="188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0"/>
      <c r="AC67" s="181"/>
      <c r="AD67" s="181"/>
      <c r="AE67" s="181"/>
      <c r="AF67" s="181"/>
    </row>
    <row r="68" spans="2:32">
      <c r="B68" s="181"/>
      <c r="C68" s="184"/>
      <c r="D68" s="188"/>
      <c r="E68" s="188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0"/>
      <c r="AC68" s="181"/>
      <c r="AD68" s="181"/>
      <c r="AE68" s="181"/>
      <c r="AF68" s="181"/>
    </row>
    <row r="69" spans="2:32">
      <c r="B69" s="181"/>
      <c r="C69" s="184"/>
      <c r="D69" s="188"/>
      <c r="E69" s="188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0"/>
      <c r="AC69" s="181"/>
      <c r="AD69" s="181"/>
      <c r="AE69" s="181"/>
      <c r="AF69" s="181"/>
    </row>
    <row r="70" spans="2:32">
      <c r="B70" s="181"/>
      <c r="C70" s="184"/>
      <c r="D70" s="188"/>
      <c r="E70" s="188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0"/>
      <c r="AC70" s="181"/>
      <c r="AD70" s="181"/>
      <c r="AE70" s="181"/>
      <c r="AF70" s="181"/>
    </row>
    <row r="71" spans="2:32">
      <c r="B71" s="181"/>
      <c r="C71" s="184"/>
      <c r="D71" s="188"/>
      <c r="E71" s="188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0"/>
      <c r="AC71" s="181"/>
      <c r="AD71" s="181"/>
      <c r="AE71" s="181"/>
      <c r="AF71" s="181"/>
    </row>
    <row r="72" spans="2:32">
      <c r="B72" s="181"/>
      <c r="C72" s="184"/>
      <c r="D72" s="188"/>
      <c r="E72" s="188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0"/>
      <c r="AC72" s="181"/>
      <c r="AD72" s="181"/>
      <c r="AE72" s="181"/>
      <c r="AF72" s="181"/>
    </row>
    <row r="73" spans="2:32">
      <c r="B73" s="181"/>
      <c r="C73" s="184"/>
      <c r="D73" s="188"/>
      <c r="E73" s="188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0"/>
      <c r="AC73" s="181"/>
      <c r="AD73" s="181"/>
      <c r="AE73" s="181"/>
      <c r="AF73" s="181"/>
    </row>
    <row r="74" spans="2:32">
      <c r="B74" s="181"/>
      <c r="C74" s="184"/>
      <c r="D74" s="188"/>
      <c r="E74" s="188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0"/>
      <c r="AC74" s="181"/>
      <c r="AD74" s="181"/>
      <c r="AE74" s="181"/>
      <c r="AF74" s="181"/>
    </row>
    <row r="75" spans="2:32">
      <c r="B75" s="181"/>
      <c r="C75" s="184"/>
      <c r="D75" s="188"/>
      <c r="E75" s="188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0"/>
      <c r="AC75" s="181"/>
      <c r="AD75" s="181"/>
      <c r="AE75" s="181"/>
      <c r="AF75" s="181"/>
    </row>
    <row r="76" spans="2:32">
      <c r="B76" s="181"/>
      <c r="C76" s="184"/>
      <c r="D76" s="188"/>
      <c r="E76" s="188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0"/>
      <c r="AC76" s="181"/>
      <c r="AD76" s="181"/>
      <c r="AE76" s="181"/>
      <c r="AF76" s="181"/>
    </row>
    <row r="77" spans="2:32">
      <c r="B77" s="181"/>
      <c r="C77" s="184"/>
      <c r="D77" s="188"/>
      <c r="E77" s="188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0"/>
      <c r="AC77" s="181"/>
      <c r="AD77" s="181"/>
      <c r="AE77" s="181"/>
      <c r="AF77" s="181"/>
    </row>
    <row r="78" spans="2:32">
      <c r="B78" s="181"/>
      <c r="C78" s="184"/>
      <c r="D78" s="188"/>
      <c r="E78" s="188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0"/>
      <c r="AC78" s="181"/>
      <c r="AD78" s="181"/>
      <c r="AE78" s="181"/>
      <c r="AF78" s="181"/>
    </row>
    <row r="79" spans="2:32">
      <c r="B79" s="181"/>
      <c r="C79" s="184"/>
      <c r="D79" s="188"/>
      <c r="E79" s="188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0"/>
      <c r="AC79" s="181"/>
      <c r="AD79" s="181"/>
      <c r="AE79" s="181"/>
      <c r="AF79" s="181"/>
    </row>
    <row r="80" spans="2:32">
      <c r="B80" s="181"/>
      <c r="C80" s="184"/>
      <c r="D80" s="188"/>
      <c r="E80" s="188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0"/>
      <c r="AC80" s="181"/>
      <c r="AD80" s="181"/>
      <c r="AE80" s="181"/>
      <c r="AF80" s="181"/>
    </row>
    <row r="81" spans="2:32">
      <c r="B81" s="181"/>
      <c r="C81" s="184"/>
      <c r="D81" s="188"/>
      <c r="E81" s="188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0"/>
      <c r="AC81" s="181"/>
      <c r="AD81" s="181"/>
      <c r="AE81" s="181"/>
      <c r="AF81" s="181"/>
    </row>
    <row r="82" spans="2:32">
      <c r="B82" s="181"/>
      <c r="C82" s="184"/>
      <c r="D82" s="188"/>
      <c r="E82" s="188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0"/>
      <c r="AC82" s="181"/>
      <c r="AD82" s="181"/>
      <c r="AE82" s="181"/>
      <c r="AF82" s="181"/>
    </row>
    <row r="83" spans="2:32">
      <c r="B83" s="181"/>
      <c r="C83" s="184"/>
      <c r="D83" s="188"/>
      <c r="E83" s="188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0"/>
      <c r="AC83" s="181"/>
      <c r="AD83" s="181"/>
      <c r="AE83" s="181"/>
      <c r="AF83" s="181"/>
    </row>
    <row r="84" spans="2:32">
      <c r="B84" s="181"/>
      <c r="C84" s="184"/>
      <c r="D84" s="188"/>
      <c r="E84" s="188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0"/>
      <c r="AC84" s="181"/>
      <c r="AD84" s="181"/>
      <c r="AE84" s="181"/>
      <c r="AF84" s="181"/>
    </row>
    <row r="85" spans="2:32">
      <c r="B85" s="181"/>
      <c r="C85" s="184"/>
      <c r="D85" s="188"/>
      <c r="E85" s="188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0"/>
      <c r="AC85" s="181"/>
      <c r="AD85" s="181"/>
      <c r="AE85" s="181"/>
      <c r="AF85" s="181"/>
    </row>
    <row r="86" spans="2:32">
      <c r="B86" s="181"/>
      <c r="C86" s="184"/>
      <c r="D86" s="188"/>
      <c r="E86" s="188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0"/>
      <c r="AC86" s="181"/>
      <c r="AD86" s="181"/>
      <c r="AE86" s="181"/>
      <c r="AF86" s="181"/>
    </row>
    <row r="87" spans="2:32">
      <c r="B87" s="181"/>
      <c r="C87" s="184"/>
      <c r="D87" s="188"/>
      <c r="E87" s="188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0"/>
      <c r="AC87" s="181"/>
      <c r="AD87" s="181"/>
      <c r="AE87" s="181"/>
      <c r="AF87" s="181"/>
    </row>
    <row r="88" spans="2:32">
      <c r="B88" s="181"/>
      <c r="C88" s="184"/>
      <c r="D88" s="188"/>
      <c r="E88" s="188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0"/>
      <c r="AC88" s="181"/>
      <c r="AD88" s="181"/>
      <c r="AE88" s="181"/>
      <c r="AF88" s="181"/>
    </row>
    <row r="89" spans="2:32">
      <c r="B89" s="181"/>
      <c r="C89" s="184"/>
      <c r="D89" s="188"/>
      <c r="E89" s="188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0"/>
      <c r="AC89" s="181"/>
      <c r="AD89" s="181"/>
      <c r="AE89" s="181"/>
      <c r="AF89" s="181"/>
    </row>
    <row r="90" spans="2:32">
      <c r="B90" s="181"/>
      <c r="C90" s="184"/>
      <c r="D90" s="188"/>
      <c r="E90" s="188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0"/>
      <c r="AC90" s="181"/>
      <c r="AD90" s="181"/>
      <c r="AE90" s="181"/>
      <c r="AF90" s="181"/>
    </row>
    <row r="91" spans="2:32">
      <c r="B91" s="181"/>
      <c r="C91" s="184"/>
      <c r="D91" s="188"/>
      <c r="E91" s="188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0"/>
      <c r="AC91" s="181"/>
      <c r="AD91" s="181"/>
      <c r="AE91" s="181"/>
      <c r="AF91" s="181"/>
    </row>
    <row r="92" spans="2:32">
      <c r="B92" s="181"/>
      <c r="C92" s="184"/>
      <c r="D92" s="188"/>
      <c r="E92" s="188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0"/>
      <c r="AC92" s="181"/>
      <c r="AD92" s="181"/>
      <c r="AE92" s="181"/>
      <c r="AF92" s="181"/>
    </row>
    <row r="93" spans="2:32">
      <c r="B93" s="181"/>
      <c r="C93" s="184"/>
      <c r="D93" s="188"/>
      <c r="E93" s="188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0"/>
      <c r="AC93" s="181"/>
      <c r="AD93" s="181"/>
      <c r="AE93" s="181"/>
      <c r="AF93" s="181"/>
    </row>
    <row r="94" spans="2:32">
      <c r="B94" s="181"/>
      <c r="C94" s="184"/>
      <c r="D94" s="188"/>
      <c r="E94" s="188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0"/>
      <c r="AC94" s="181"/>
      <c r="AD94" s="181"/>
      <c r="AE94" s="181"/>
      <c r="AF94" s="181"/>
    </row>
    <row r="95" spans="2:32">
      <c r="B95" s="181"/>
      <c r="C95" s="184"/>
      <c r="D95" s="188"/>
      <c r="E95" s="188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0"/>
      <c r="AC95" s="181"/>
      <c r="AD95" s="181"/>
      <c r="AE95" s="181"/>
      <c r="AF95" s="181"/>
    </row>
    <row r="96" spans="2:32">
      <c r="B96" s="181"/>
      <c r="C96" s="184"/>
      <c r="D96" s="188"/>
      <c r="E96" s="188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0"/>
      <c r="AC96" s="181"/>
      <c r="AD96" s="181"/>
      <c r="AE96" s="181"/>
      <c r="AF96" s="181"/>
    </row>
    <row r="97" spans="2:32">
      <c r="B97" s="181"/>
      <c r="C97" s="184"/>
      <c r="D97" s="188"/>
      <c r="E97" s="188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0"/>
      <c r="AC97" s="181"/>
      <c r="AD97" s="181"/>
      <c r="AE97" s="181"/>
      <c r="AF97" s="181"/>
    </row>
    <row r="98" spans="2:32">
      <c r="B98" s="181"/>
      <c r="C98" s="184"/>
      <c r="D98" s="188"/>
      <c r="E98" s="188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0"/>
      <c r="AC98" s="181"/>
      <c r="AD98" s="181"/>
      <c r="AE98" s="181"/>
      <c r="AF98" s="181"/>
    </row>
    <row r="99" spans="2:32">
      <c r="B99" s="181"/>
      <c r="C99" s="184"/>
      <c r="D99" s="188"/>
      <c r="E99" s="188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0"/>
      <c r="AC99" s="181"/>
      <c r="AD99" s="181"/>
      <c r="AE99" s="181"/>
      <c r="AF99" s="181"/>
    </row>
    <row r="100" spans="2:32">
      <c r="B100" s="181"/>
      <c r="C100" s="184"/>
      <c r="D100" s="188"/>
      <c r="E100" s="188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0"/>
      <c r="AC100" s="181"/>
      <c r="AD100" s="181"/>
      <c r="AE100" s="181"/>
      <c r="AF100" s="181"/>
    </row>
    <row r="101" spans="2:32">
      <c r="B101" s="181"/>
      <c r="C101" s="184"/>
      <c r="D101" s="188"/>
      <c r="E101" s="188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0"/>
      <c r="AC101" s="181"/>
      <c r="AD101" s="181"/>
      <c r="AE101" s="181"/>
      <c r="AF101" s="181"/>
    </row>
    <row r="102" spans="2:32">
      <c r="B102" s="181"/>
      <c r="C102" s="184"/>
      <c r="D102" s="188"/>
      <c r="E102" s="188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0"/>
      <c r="AC102" s="181"/>
      <c r="AD102" s="181"/>
      <c r="AE102" s="181"/>
      <c r="AF102" s="181"/>
    </row>
    <row r="103" spans="2:32">
      <c r="B103" s="181"/>
      <c r="C103" s="184"/>
      <c r="D103" s="188"/>
      <c r="E103" s="188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0"/>
      <c r="AC103" s="181"/>
      <c r="AD103" s="181"/>
      <c r="AE103" s="181"/>
      <c r="AF103" s="181"/>
    </row>
    <row r="104" spans="2:32">
      <c r="B104" s="181"/>
      <c r="C104" s="184"/>
      <c r="D104" s="188"/>
      <c r="E104" s="188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0"/>
      <c r="AC104" s="181"/>
      <c r="AD104" s="181"/>
      <c r="AE104" s="181"/>
      <c r="AF104" s="181"/>
    </row>
    <row r="105" spans="2:32">
      <c r="B105" s="181"/>
      <c r="C105" s="184"/>
      <c r="D105" s="188"/>
      <c r="E105" s="188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0"/>
      <c r="AC105" s="181"/>
      <c r="AD105" s="181"/>
      <c r="AE105" s="181"/>
      <c r="AF105" s="181"/>
    </row>
    <row r="106" spans="2:32">
      <c r="B106" s="181"/>
      <c r="C106" s="184"/>
      <c r="D106" s="188"/>
      <c r="E106" s="188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0"/>
      <c r="AC106" s="181"/>
      <c r="AD106" s="181"/>
      <c r="AE106" s="181"/>
      <c r="AF106" s="181"/>
    </row>
    <row r="107" spans="2:32">
      <c r="B107" s="181"/>
      <c r="C107" s="184"/>
      <c r="D107" s="188"/>
      <c r="E107" s="188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0"/>
      <c r="AC107" s="181"/>
      <c r="AD107" s="181"/>
      <c r="AE107" s="181"/>
      <c r="AF107" s="181"/>
    </row>
    <row r="108" spans="2:32">
      <c r="B108" s="181"/>
      <c r="C108" s="184"/>
      <c r="D108" s="188"/>
      <c r="E108" s="188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0"/>
      <c r="AC108" s="181"/>
      <c r="AD108" s="181"/>
      <c r="AE108" s="181"/>
      <c r="AF108" s="181"/>
    </row>
    <row r="109" spans="2:32">
      <c r="B109" s="181"/>
      <c r="C109" s="184"/>
      <c r="D109" s="188"/>
      <c r="E109" s="188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0"/>
      <c r="AC109" s="181"/>
      <c r="AD109" s="181"/>
      <c r="AE109" s="181"/>
      <c r="AF109" s="181"/>
    </row>
    <row r="110" spans="2:32">
      <c r="B110" s="181"/>
      <c r="C110" s="184"/>
      <c r="D110" s="188"/>
      <c r="E110" s="188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0"/>
      <c r="AC110" s="181"/>
      <c r="AD110" s="181"/>
      <c r="AE110" s="181"/>
      <c r="AF110" s="181"/>
    </row>
    <row r="111" spans="2:32">
      <c r="B111" s="181"/>
      <c r="C111" s="184"/>
      <c r="D111" s="188"/>
      <c r="E111" s="188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0"/>
      <c r="AC111" s="181"/>
      <c r="AD111" s="181"/>
      <c r="AE111" s="181"/>
      <c r="AF111" s="181"/>
    </row>
    <row r="112" spans="2:32">
      <c r="B112" s="181"/>
      <c r="C112" s="184"/>
      <c r="D112" s="188"/>
      <c r="E112" s="188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0"/>
      <c r="AC112" s="181"/>
      <c r="AD112" s="181"/>
      <c r="AE112" s="181"/>
      <c r="AF112" s="181"/>
    </row>
    <row r="113" spans="2:32">
      <c r="B113" s="181"/>
      <c r="C113" s="184"/>
      <c r="D113" s="188"/>
      <c r="E113" s="188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0"/>
      <c r="AC113" s="181"/>
      <c r="AD113" s="181"/>
      <c r="AE113" s="181"/>
      <c r="AF113" s="181"/>
    </row>
    <row r="114" spans="2:32">
      <c r="B114" s="181"/>
      <c r="C114" s="184"/>
      <c r="D114" s="188"/>
      <c r="E114" s="188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0"/>
      <c r="AC114" s="181"/>
      <c r="AD114" s="181"/>
      <c r="AE114" s="181"/>
      <c r="AF114" s="181"/>
    </row>
    <row r="115" spans="2:32">
      <c r="B115" s="181"/>
      <c r="C115" s="184"/>
      <c r="D115" s="188"/>
      <c r="E115" s="188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0"/>
      <c r="AC115" s="181"/>
      <c r="AD115" s="181"/>
      <c r="AE115" s="181"/>
      <c r="AF115" s="181"/>
    </row>
    <row r="116" spans="2:32">
      <c r="B116" s="181"/>
      <c r="C116" s="184"/>
      <c r="D116" s="188"/>
      <c r="E116" s="188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0"/>
      <c r="AC116" s="181"/>
      <c r="AD116" s="181"/>
      <c r="AE116" s="181"/>
      <c r="AF116" s="181"/>
    </row>
    <row r="117" spans="2:32">
      <c r="B117" s="181"/>
      <c r="C117" s="184"/>
      <c r="D117" s="188"/>
      <c r="E117" s="188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0"/>
      <c r="AC117" s="181"/>
      <c r="AD117" s="181"/>
      <c r="AE117" s="181"/>
      <c r="AF117" s="181"/>
    </row>
    <row r="118" spans="2:32">
      <c r="B118" s="181"/>
      <c r="C118" s="184"/>
      <c r="D118" s="188"/>
      <c r="E118" s="188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0"/>
      <c r="AC118" s="181"/>
      <c r="AD118" s="181"/>
      <c r="AE118" s="181"/>
      <c r="AF118" s="181"/>
    </row>
    <row r="119" spans="2:32">
      <c r="B119" s="181"/>
      <c r="C119" s="184"/>
      <c r="D119" s="188"/>
      <c r="E119" s="188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0"/>
      <c r="AC119" s="181"/>
      <c r="AD119" s="181"/>
      <c r="AE119" s="181"/>
      <c r="AF119" s="181"/>
    </row>
    <row r="120" spans="2:32">
      <c r="B120" s="181"/>
      <c r="C120" s="184"/>
      <c r="D120" s="188"/>
      <c r="E120" s="188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0"/>
      <c r="AC120" s="181"/>
      <c r="AD120" s="181"/>
      <c r="AE120" s="181"/>
      <c r="AF120" s="181"/>
    </row>
    <row r="121" spans="2:32">
      <c r="B121" s="181"/>
      <c r="C121" s="184"/>
      <c r="D121" s="188"/>
      <c r="E121" s="188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0"/>
      <c r="AC121" s="181"/>
      <c r="AD121" s="181"/>
      <c r="AE121" s="181"/>
      <c r="AF121" s="181"/>
    </row>
    <row r="122" spans="2:32">
      <c r="B122" s="181"/>
      <c r="C122" s="184"/>
      <c r="D122" s="188"/>
      <c r="E122" s="188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0"/>
      <c r="AC122" s="181"/>
      <c r="AD122" s="181"/>
      <c r="AE122" s="181"/>
      <c r="AF122" s="181"/>
    </row>
    <row r="123" spans="2:32">
      <c r="B123" s="181"/>
      <c r="C123" s="184"/>
      <c r="D123" s="188"/>
      <c r="E123" s="188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0"/>
      <c r="AC123" s="181"/>
      <c r="AD123" s="181"/>
      <c r="AE123" s="181"/>
      <c r="AF123" s="181"/>
    </row>
    <row r="124" spans="2:32">
      <c r="B124" s="181"/>
      <c r="C124" s="184"/>
      <c r="D124" s="188"/>
      <c r="E124" s="188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0"/>
      <c r="AC124" s="181"/>
      <c r="AD124" s="181"/>
      <c r="AE124" s="181"/>
      <c r="AF124" s="181"/>
    </row>
    <row r="125" spans="2:32">
      <c r="B125" s="181"/>
      <c r="C125" s="184"/>
      <c r="D125" s="188"/>
      <c r="E125" s="188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0"/>
      <c r="AC125" s="181"/>
      <c r="AD125" s="181"/>
      <c r="AE125" s="181"/>
      <c r="AF125" s="181"/>
    </row>
    <row r="126" spans="2:32">
      <c r="B126" s="181"/>
      <c r="C126" s="184"/>
      <c r="D126" s="188"/>
      <c r="E126" s="188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0"/>
      <c r="AC126" s="181"/>
      <c r="AD126" s="181"/>
      <c r="AE126" s="181"/>
      <c r="AF126" s="181"/>
    </row>
    <row r="127" spans="2:32">
      <c r="B127" s="181"/>
      <c r="C127" s="184"/>
      <c r="D127" s="188"/>
      <c r="E127" s="188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0"/>
      <c r="AC127" s="181"/>
      <c r="AD127" s="181"/>
      <c r="AE127" s="181"/>
      <c r="AF127" s="181"/>
    </row>
    <row r="128" spans="2:32">
      <c r="B128" s="181"/>
      <c r="C128" s="184"/>
      <c r="D128" s="188"/>
      <c r="E128" s="188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0"/>
      <c r="AC128" s="181"/>
      <c r="AD128" s="181"/>
      <c r="AE128" s="181"/>
      <c r="AF128" s="181"/>
    </row>
    <row r="129" spans="2:32">
      <c r="B129" s="181"/>
      <c r="C129" s="184"/>
      <c r="D129" s="188"/>
      <c r="E129" s="188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0"/>
      <c r="AC129" s="181"/>
      <c r="AD129" s="181"/>
      <c r="AE129" s="181"/>
      <c r="AF129" s="181"/>
    </row>
    <row r="130" spans="2:32">
      <c r="B130" s="181"/>
      <c r="C130" s="184"/>
      <c r="D130" s="188"/>
      <c r="E130" s="188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0"/>
      <c r="AC130" s="181"/>
      <c r="AD130" s="181"/>
      <c r="AE130" s="181"/>
      <c r="AF130" s="181"/>
    </row>
    <row r="131" spans="2:32">
      <c r="B131" s="181"/>
      <c r="C131" s="184"/>
      <c r="D131" s="188"/>
      <c r="E131" s="188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0"/>
      <c r="AC131" s="181"/>
      <c r="AD131" s="181"/>
      <c r="AE131" s="181"/>
      <c r="AF131" s="181"/>
    </row>
    <row r="132" spans="2:32">
      <c r="B132" s="181"/>
      <c r="C132" s="184"/>
      <c r="D132" s="188"/>
      <c r="E132" s="188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0"/>
      <c r="AC132" s="181"/>
      <c r="AD132" s="181"/>
      <c r="AE132" s="181"/>
      <c r="AF132" s="181"/>
    </row>
    <row r="133" spans="2:32">
      <c r="B133" s="181"/>
      <c r="C133" s="184"/>
      <c r="D133" s="188"/>
      <c r="E133" s="188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0"/>
      <c r="AC133" s="181"/>
      <c r="AD133" s="181"/>
      <c r="AE133" s="181"/>
      <c r="AF133" s="181"/>
    </row>
    <row r="134" spans="2:32">
      <c r="B134" s="181"/>
      <c r="C134" s="184"/>
      <c r="D134" s="188"/>
      <c r="E134" s="188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0"/>
      <c r="AC134" s="181"/>
      <c r="AD134" s="181"/>
      <c r="AE134" s="181"/>
      <c r="AF134" s="181"/>
    </row>
    <row r="135" spans="2:32">
      <c r="B135" s="181"/>
      <c r="C135" s="184"/>
      <c r="D135" s="188"/>
      <c r="E135" s="188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0"/>
      <c r="AC135" s="181"/>
      <c r="AD135" s="181"/>
      <c r="AE135" s="181"/>
      <c r="AF135" s="181"/>
    </row>
    <row r="136" spans="2:32">
      <c r="B136" s="181"/>
      <c r="C136" s="184"/>
      <c r="D136" s="188"/>
      <c r="E136" s="188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0"/>
      <c r="AC136" s="181"/>
      <c r="AD136" s="181"/>
      <c r="AE136" s="181"/>
      <c r="AF136" s="181"/>
    </row>
    <row r="137" spans="2:32">
      <c r="B137" s="181"/>
      <c r="C137" s="184"/>
      <c r="D137" s="188"/>
      <c r="E137" s="188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0"/>
      <c r="AC137" s="181"/>
      <c r="AD137" s="181"/>
      <c r="AE137" s="181"/>
      <c r="AF137" s="181"/>
    </row>
    <row r="138" spans="2:32">
      <c r="B138" s="181"/>
      <c r="C138" s="184"/>
      <c r="D138" s="188"/>
      <c r="E138" s="188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0"/>
      <c r="AC138" s="181"/>
      <c r="AD138" s="181"/>
      <c r="AE138" s="181"/>
      <c r="AF138" s="181"/>
    </row>
    <row r="139" spans="2:32">
      <c r="B139" s="181"/>
      <c r="C139" s="184"/>
      <c r="D139" s="188"/>
      <c r="E139" s="188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0"/>
      <c r="AC139" s="181"/>
      <c r="AD139" s="181"/>
      <c r="AE139" s="181"/>
      <c r="AF139" s="181"/>
    </row>
    <row r="140" spans="2:32">
      <c r="B140" s="181"/>
      <c r="C140" s="184"/>
      <c r="D140" s="188"/>
      <c r="E140" s="188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0"/>
      <c r="AC140" s="181"/>
      <c r="AD140" s="181"/>
      <c r="AE140" s="181"/>
      <c r="AF140" s="181"/>
    </row>
    <row r="141" spans="2:32">
      <c r="B141" s="181"/>
      <c r="C141" s="184"/>
      <c r="D141" s="188"/>
      <c r="E141" s="188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0"/>
      <c r="AC141" s="181"/>
      <c r="AD141" s="181"/>
      <c r="AE141" s="181"/>
      <c r="AF141" s="181"/>
    </row>
    <row r="142" spans="2:32">
      <c r="B142" s="181"/>
      <c r="C142" s="184"/>
      <c r="D142" s="188"/>
      <c r="E142" s="188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0"/>
      <c r="AC142" s="181"/>
      <c r="AD142" s="181"/>
      <c r="AE142" s="181"/>
      <c r="AF142" s="181"/>
    </row>
    <row r="143" spans="2:32">
      <c r="B143" s="181"/>
      <c r="C143" s="184"/>
      <c r="D143" s="188"/>
      <c r="E143" s="188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0"/>
      <c r="AC143" s="181"/>
      <c r="AD143" s="181"/>
      <c r="AE143" s="181"/>
      <c r="AF143" s="181"/>
    </row>
    <row r="144" spans="2:32">
      <c r="B144" s="181"/>
      <c r="C144" s="184"/>
      <c r="D144" s="188"/>
      <c r="E144" s="188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0"/>
      <c r="AC144" s="181"/>
      <c r="AD144" s="181"/>
      <c r="AE144" s="181"/>
      <c r="AF144" s="181"/>
    </row>
    <row r="145" spans="2:32">
      <c r="B145" s="181"/>
      <c r="C145" s="184"/>
      <c r="D145" s="188"/>
      <c r="E145" s="188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0"/>
      <c r="AC145" s="181"/>
      <c r="AD145" s="181"/>
      <c r="AE145" s="181"/>
      <c r="AF145" s="181"/>
    </row>
    <row r="146" spans="2:32">
      <c r="B146" s="181"/>
      <c r="C146" s="184"/>
      <c r="D146" s="188"/>
      <c r="E146" s="188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0"/>
      <c r="AC146" s="181"/>
      <c r="AD146" s="181"/>
      <c r="AE146" s="181"/>
      <c r="AF146" s="181"/>
    </row>
    <row r="147" spans="2:32">
      <c r="B147" s="181"/>
      <c r="C147" s="184"/>
      <c r="D147" s="188"/>
      <c r="E147" s="188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0"/>
      <c r="AC147" s="181"/>
      <c r="AD147" s="181"/>
      <c r="AE147" s="181"/>
      <c r="AF147" s="181"/>
    </row>
    <row r="148" spans="2:32">
      <c r="B148" s="181"/>
      <c r="C148" s="184"/>
      <c r="D148" s="188"/>
      <c r="E148" s="188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0"/>
      <c r="AC148" s="181"/>
      <c r="AD148" s="181"/>
      <c r="AE148" s="181"/>
      <c r="AF148" s="181"/>
    </row>
    <row r="149" spans="2:32">
      <c r="B149" s="181"/>
      <c r="C149" s="184"/>
      <c r="D149" s="188"/>
      <c r="E149" s="188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0"/>
      <c r="AC149" s="181"/>
      <c r="AD149" s="181"/>
      <c r="AE149" s="181"/>
      <c r="AF149" s="181"/>
    </row>
    <row r="150" spans="2:32">
      <c r="B150" s="181"/>
      <c r="C150" s="184"/>
      <c r="D150" s="188"/>
      <c r="E150" s="188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0"/>
      <c r="AC150" s="181"/>
      <c r="AD150" s="181"/>
      <c r="AE150" s="181"/>
      <c r="AF150" s="181"/>
    </row>
    <row r="151" spans="2:32">
      <c r="B151" s="181"/>
      <c r="C151" s="184"/>
      <c r="D151" s="188"/>
      <c r="E151" s="188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0"/>
      <c r="AC151" s="181"/>
      <c r="AD151" s="181"/>
      <c r="AE151" s="181"/>
      <c r="AF151" s="181"/>
    </row>
    <row r="152" spans="2:32">
      <c r="B152" s="181"/>
      <c r="C152" s="184"/>
      <c r="D152" s="188"/>
      <c r="E152" s="188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0"/>
      <c r="AC152" s="181"/>
      <c r="AD152" s="181"/>
      <c r="AE152" s="181"/>
      <c r="AF152" s="181"/>
    </row>
    <row r="153" spans="2:32">
      <c r="B153" s="181"/>
      <c r="C153" s="184"/>
      <c r="D153" s="188"/>
      <c r="E153" s="188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0"/>
      <c r="AC153" s="181"/>
      <c r="AD153" s="181"/>
      <c r="AE153" s="181"/>
      <c r="AF153" s="181"/>
    </row>
    <row r="154" spans="2:32">
      <c r="B154" s="181"/>
      <c r="C154" s="184"/>
      <c r="D154" s="188"/>
      <c r="E154" s="188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0"/>
      <c r="AC154" s="181"/>
      <c r="AD154" s="181"/>
      <c r="AE154" s="181"/>
      <c r="AF154" s="181"/>
    </row>
    <row r="155" spans="2:32">
      <c r="B155" s="181"/>
      <c r="C155" s="184"/>
      <c r="D155" s="188"/>
      <c r="E155" s="188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0"/>
      <c r="AC155" s="181"/>
      <c r="AD155" s="181"/>
      <c r="AE155" s="181"/>
      <c r="AF155" s="181"/>
    </row>
    <row r="156" spans="2:32">
      <c r="B156" s="181"/>
      <c r="C156" s="184"/>
      <c r="D156" s="188"/>
      <c r="E156" s="188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0"/>
      <c r="AC156" s="181"/>
      <c r="AD156" s="181"/>
      <c r="AE156" s="181"/>
      <c r="AF156" s="181"/>
    </row>
    <row r="157" spans="2:32">
      <c r="B157" s="181"/>
      <c r="C157" s="184"/>
      <c r="D157" s="188"/>
      <c r="E157" s="188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0"/>
      <c r="AC157" s="181"/>
      <c r="AD157" s="181"/>
      <c r="AE157" s="181"/>
      <c r="AF157" s="181"/>
    </row>
    <row r="158" spans="2:32">
      <c r="B158" s="181"/>
      <c r="C158" s="184"/>
      <c r="D158" s="188"/>
      <c r="E158" s="188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0"/>
      <c r="AC158" s="181"/>
      <c r="AD158" s="181"/>
      <c r="AE158" s="181"/>
      <c r="AF158" s="181"/>
    </row>
    <row r="159" spans="2:32">
      <c r="B159" s="181"/>
      <c r="C159" s="184"/>
      <c r="D159" s="188"/>
      <c r="E159" s="188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0"/>
      <c r="AC159" s="181"/>
      <c r="AD159" s="181"/>
      <c r="AE159" s="181"/>
      <c r="AF159" s="181"/>
    </row>
    <row r="160" spans="2:32">
      <c r="B160" s="181"/>
      <c r="C160" s="184"/>
      <c r="D160" s="188"/>
      <c r="E160" s="188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0"/>
      <c r="AC160" s="181"/>
      <c r="AD160" s="181"/>
      <c r="AE160" s="181"/>
      <c r="AF160" s="181"/>
    </row>
    <row r="161" spans="2:32">
      <c r="B161" s="181"/>
      <c r="C161" s="184"/>
      <c r="D161" s="188"/>
      <c r="E161" s="188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0"/>
      <c r="AC161" s="181"/>
      <c r="AD161" s="181"/>
      <c r="AE161" s="181"/>
      <c r="AF161" s="181"/>
    </row>
    <row r="162" spans="2:32">
      <c r="B162" s="181"/>
      <c r="C162" s="184"/>
      <c r="D162" s="188"/>
      <c r="E162" s="188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0"/>
      <c r="AC162" s="181"/>
      <c r="AD162" s="181"/>
      <c r="AE162" s="181"/>
      <c r="AF162" s="181"/>
    </row>
    <row r="163" spans="2:32">
      <c r="B163" s="181"/>
      <c r="C163" s="184"/>
      <c r="D163" s="188"/>
      <c r="E163" s="188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0"/>
      <c r="AC163" s="181"/>
      <c r="AD163" s="181"/>
      <c r="AE163" s="181"/>
      <c r="AF163" s="181"/>
    </row>
    <row r="164" spans="2:32">
      <c r="B164" s="181"/>
      <c r="C164" s="184"/>
      <c r="D164" s="188"/>
      <c r="E164" s="188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0"/>
      <c r="AC164" s="181"/>
      <c r="AD164" s="181"/>
      <c r="AE164" s="181"/>
      <c r="AF164" s="181"/>
    </row>
    <row r="165" spans="2:32">
      <c r="B165" s="181"/>
      <c r="C165" s="184"/>
      <c r="D165" s="188"/>
      <c r="E165" s="188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0"/>
      <c r="AC165" s="181"/>
      <c r="AD165" s="181"/>
      <c r="AE165" s="181"/>
      <c r="AF165" s="181"/>
    </row>
    <row r="166" spans="2:32">
      <c r="B166" s="181"/>
      <c r="C166" s="184"/>
      <c r="D166" s="188"/>
      <c r="E166" s="188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0"/>
      <c r="AC166" s="181"/>
      <c r="AD166" s="181"/>
      <c r="AE166" s="181"/>
      <c r="AF166" s="181"/>
    </row>
    <row r="167" spans="2:32">
      <c r="B167" s="181"/>
      <c r="C167" s="184"/>
      <c r="D167" s="188"/>
      <c r="E167" s="188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0"/>
      <c r="AC167" s="181"/>
      <c r="AD167" s="181"/>
      <c r="AE167" s="181"/>
      <c r="AF167" s="181"/>
    </row>
    <row r="168" spans="2:32">
      <c r="B168" s="181"/>
      <c r="C168" s="184"/>
      <c r="D168" s="188"/>
      <c r="E168" s="188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0"/>
      <c r="AC168" s="181"/>
      <c r="AD168" s="181"/>
      <c r="AE168" s="181"/>
      <c r="AF168" s="181"/>
    </row>
    <row r="169" spans="2:32">
      <c r="B169" s="181"/>
      <c r="C169" s="184"/>
      <c r="D169" s="188"/>
      <c r="E169" s="188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0"/>
      <c r="AC169" s="181"/>
      <c r="AD169" s="181"/>
      <c r="AE169" s="181"/>
      <c r="AF169" s="181"/>
    </row>
    <row r="170" spans="2:32">
      <c r="B170" s="181"/>
      <c r="C170" s="184"/>
      <c r="D170" s="188"/>
      <c r="E170" s="188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0"/>
      <c r="AC170" s="181"/>
      <c r="AD170" s="181"/>
      <c r="AE170" s="181"/>
      <c r="AF170" s="181"/>
    </row>
    <row r="171" spans="2:32">
      <c r="B171" s="181"/>
      <c r="C171" s="184"/>
      <c r="D171" s="188"/>
      <c r="E171" s="188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0"/>
      <c r="AC171" s="181"/>
      <c r="AD171" s="181"/>
      <c r="AE171" s="181"/>
      <c r="AF171" s="181"/>
    </row>
    <row r="172" spans="2:32">
      <c r="B172" s="181"/>
      <c r="C172" s="184"/>
      <c r="D172" s="188"/>
      <c r="E172" s="188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0"/>
      <c r="AC172" s="181"/>
      <c r="AD172" s="181"/>
      <c r="AE172" s="181"/>
      <c r="AF172" s="181"/>
    </row>
    <row r="173" spans="2:32">
      <c r="B173" s="181"/>
      <c r="C173" s="184"/>
      <c r="D173" s="188"/>
      <c r="E173" s="188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0"/>
      <c r="AC173" s="181"/>
      <c r="AD173" s="181"/>
      <c r="AE173" s="181"/>
      <c r="AF173" s="181"/>
    </row>
    <row r="174" spans="2:32">
      <c r="B174" s="181"/>
      <c r="C174" s="184"/>
      <c r="D174" s="188"/>
      <c r="E174" s="188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0"/>
      <c r="AC174" s="181"/>
      <c r="AD174" s="181"/>
      <c r="AE174" s="181"/>
      <c r="AF174" s="181"/>
    </row>
    <row r="175" spans="2:32">
      <c r="B175" s="181"/>
      <c r="C175" s="184"/>
      <c r="D175" s="188"/>
      <c r="E175" s="188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0"/>
      <c r="AC175" s="181"/>
      <c r="AD175" s="181"/>
      <c r="AE175" s="181"/>
      <c r="AF175" s="181"/>
    </row>
    <row r="176" spans="2:32">
      <c r="B176" s="181"/>
      <c r="C176" s="184"/>
      <c r="D176" s="188"/>
      <c r="E176" s="188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0"/>
      <c r="AC176" s="181"/>
      <c r="AD176" s="181"/>
      <c r="AE176" s="181"/>
      <c r="AF176" s="181"/>
    </row>
    <row r="177" spans="2:32">
      <c r="B177" s="181"/>
      <c r="C177" s="184"/>
      <c r="D177" s="188"/>
      <c r="E177" s="188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0"/>
      <c r="AC177" s="181"/>
      <c r="AD177" s="181"/>
      <c r="AE177" s="181"/>
      <c r="AF177" s="181"/>
    </row>
    <row r="178" spans="2:32">
      <c r="B178" s="181"/>
      <c r="C178" s="184"/>
      <c r="D178" s="188"/>
      <c r="E178" s="188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0"/>
      <c r="AC178" s="181"/>
      <c r="AD178" s="181"/>
      <c r="AE178" s="181"/>
      <c r="AF178" s="181"/>
    </row>
    <row r="179" spans="2:32">
      <c r="B179" s="181"/>
      <c r="C179" s="184"/>
      <c r="D179" s="188"/>
      <c r="E179" s="188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0"/>
      <c r="AC179" s="181"/>
      <c r="AD179" s="181"/>
      <c r="AE179" s="181"/>
      <c r="AF179" s="181"/>
    </row>
    <row r="180" spans="2:32">
      <c r="B180" s="181"/>
      <c r="C180" s="184"/>
      <c r="D180" s="188"/>
      <c r="E180" s="188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0"/>
      <c r="AC180" s="181"/>
      <c r="AD180" s="181"/>
      <c r="AE180" s="181"/>
      <c r="AF180" s="181"/>
    </row>
    <row r="181" spans="2:32">
      <c r="B181" s="181"/>
      <c r="C181" s="184"/>
      <c r="D181" s="188"/>
      <c r="E181" s="188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0"/>
      <c r="AC181" s="181"/>
      <c r="AD181" s="181"/>
      <c r="AE181" s="181"/>
      <c r="AF181" s="181"/>
    </row>
    <row r="182" spans="2:32">
      <c r="B182" s="181"/>
      <c r="C182" s="184"/>
      <c r="D182" s="188"/>
      <c r="E182" s="188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0"/>
      <c r="AC182" s="181"/>
      <c r="AD182" s="181"/>
      <c r="AE182" s="181"/>
      <c r="AF182" s="181"/>
    </row>
    <row r="183" spans="2:32">
      <c r="B183" s="181"/>
      <c r="C183" s="184"/>
      <c r="D183" s="188"/>
      <c r="E183" s="188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0"/>
      <c r="AC183" s="181"/>
      <c r="AD183" s="181"/>
      <c r="AE183" s="181"/>
      <c r="AF183" s="181"/>
    </row>
    <row r="184" spans="2:32">
      <c r="B184" s="181"/>
      <c r="C184" s="184"/>
      <c r="D184" s="188"/>
      <c r="E184" s="188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0"/>
      <c r="AC184" s="181"/>
      <c r="AD184" s="181"/>
      <c r="AE184" s="181"/>
      <c r="AF184" s="181"/>
    </row>
    <row r="185" spans="2:32">
      <c r="B185" s="181"/>
      <c r="C185" s="184"/>
      <c r="D185" s="188"/>
      <c r="E185" s="188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0"/>
      <c r="AC185" s="181"/>
      <c r="AD185" s="181"/>
      <c r="AE185" s="181"/>
      <c r="AF185" s="181"/>
    </row>
    <row r="186" spans="2:32">
      <c r="B186" s="181"/>
      <c r="C186" s="184"/>
      <c r="D186" s="188"/>
      <c r="E186" s="188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0"/>
      <c r="AC186" s="181"/>
      <c r="AD186" s="181"/>
      <c r="AE186" s="181"/>
      <c r="AF186" s="181"/>
    </row>
    <row r="187" spans="2:32">
      <c r="B187" s="181"/>
      <c r="C187" s="184"/>
      <c r="D187" s="188"/>
      <c r="E187" s="188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0"/>
      <c r="AC187" s="181"/>
      <c r="AD187" s="181"/>
      <c r="AE187" s="181"/>
      <c r="AF187" s="181"/>
    </row>
    <row r="188" spans="2:32">
      <c r="B188" s="181"/>
      <c r="C188" s="184"/>
      <c r="D188" s="188"/>
      <c r="E188" s="188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0"/>
      <c r="AC188" s="181"/>
      <c r="AD188" s="181"/>
      <c r="AE188" s="181"/>
      <c r="AF188" s="181"/>
    </row>
    <row r="189" spans="2:32">
      <c r="B189" s="181"/>
      <c r="C189" s="184"/>
      <c r="D189" s="188"/>
      <c r="E189" s="188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0"/>
      <c r="AC189" s="181"/>
      <c r="AD189" s="181"/>
      <c r="AE189" s="181"/>
      <c r="AF189" s="181"/>
    </row>
    <row r="190" spans="2:32">
      <c r="B190" s="181"/>
      <c r="C190" s="184"/>
      <c r="D190" s="188"/>
      <c r="E190" s="188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0"/>
      <c r="AC190" s="181"/>
      <c r="AD190" s="181"/>
      <c r="AE190" s="181"/>
      <c r="AF190" s="181"/>
    </row>
    <row r="191" spans="2:32">
      <c r="B191" s="181"/>
      <c r="C191" s="184"/>
      <c r="D191" s="188"/>
      <c r="E191" s="188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0"/>
      <c r="AC191" s="181"/>
      <c r="AD191" s="181"/>
      <c r="AE191" s="181"/>
      <c r="AF191" s="181"/>
    </row>
    <row r="192" spans="2:32">
      <c r="B192" s="181"/>
      <c r="C192" s="184"/>
      <c r="D192" s="188"/>
      <c r="E192" s="188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0"/>
      <c r="AC192" s="181"/>
      <c r="AD192" s="181"/>
      <c r="AE192" s="181"/>
      <c r="AF192" s="181"/>
    </row>
    <row r="193" spans="2:32">
      <c r="B193" s="181"/>
      <c r="C193" s="184"/>
      <c r="D193" s="188"/>
      <c r="E193" s="188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0"/>
      <c r="AC193" s="181"/>
      <c r="AD193" s="181"/>
      <c r="AE193" s="181"/>
      <c r="AF193" s="181"/>
    </row>
    <row r="194" spans="2:32">
      <c r="B194" s="181"/>
      <c r="C194" s="184"/>
      <c r="D194" s="188"/>
      <c r="E194" s="188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0"/>
      <c r="AC194" s="181"/>
      <c r="AD194" s="181"/>
      <c r="AE194" s="181"/>
      <c r="AF194" s="181"/>
    </row>
    <row r="195" spans="2:32">
      <c r="B195" s="181"/>
      <c r="C195" s="184"/>
      <c r="D195" s="188"/>
      <c r="E195" s="188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0"/>
      <c r="AC195" s="181"/>
      <c r="AD195" s="181"/>
      <c r="AE195" s="181"/>
      <c r="AF195" s="181"/>
    </row>
    <row r="196" spans="2:32">
      <c r="B196" s="181"/>
      <c r="C196" s="184"/>
      <c r="D196" s="188"/>
      <c r="E196" s="188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0"/>
      <c r="AC196" s="181"/>
      <c r="AD196" s="181"/>
      <c r="AE196" s="181"/>
      <c r="AF196" s="181"/>
    </row>
    <row r="197" spans="2:32">
      <c r="B197" s="181"/>
      <c r="C197" s="184"/>
      <c r="D197" s="188"/>
      <c r="E197" s="188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0"/>
      <c r="AC197" s="181"/>
      <c r="AD197" s="181"/>
      <c r="AE197" s="181"/>
      <c r="AF197" s="181"/>
    </row>
    <row r="198" spans="2:32">
      <c r="B198" s="181"/>
      <c r="C198" s="184"/>
      <c r="D198" s="188"/>
      <c r="E198" s="188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0"/>
      <c r="AC198" s="181"/>
      <c r="AD198" s="181"/>
      <c r="AE198" s="181"/>
      <c r="AF198" s="181"/>
    </row>
    <row r="199" spans="2:32">
      <c r="B199" s="181"/>
      <c r="C199" s="184"/>
      <c r="D199" s="188"/>
      <c r="E199" s="188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0"/>
      <c r="AC199" s="181"/>
      <c r="AD199" s="181"/>
      <c r="AE199" s="181"/>
      <c r="AF199" s="181"/>
    </row>
    <row r="200" spans="2:32">
      <c r="B200" s="181"/>
      <c r="C200" s="184"/>
      <c r="D200" s="188"/>
      <c r="E200" s="188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0"/>
      <c r="AC200" s="181"/>
      <c r="AD200" s="181"/>
      <c r="AE200" s="181"/>
      <c r="AF200" s="181"/>
    </row>
    <row r="201" spans="2:32">
      <c r="B201" s="181"/>
      <c r="C201" s="184"/>
      <c r="D201" s="188"/>
      <c r="E201" s="188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0"/>
      <c r="AC201" s="181"/>
      <c r="AD201" s="181"/>
      <c r="AE201" s="181"/>
      <c r="AF201" s="181"/>
    </row>
    <row r="202" spans="2:32">
      <c r="B202" s="181"/>
      <c r="C202" s="184"/>
      <c r="D202" s="188"/>
      <c r="E202" s="188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0"/>
      <c r="AC202" s="181"/>
      <c r="AD202" s="181"/>
      <c r="AE202" s="181"/>
      <c r="AF202" s="181"/>
    </row>
    <row r="203" spans="2:32">
      <c r="B203" s="181"/>
      <c r="C203" s="184"/>
      <c r="D203" s="188"/>
      <c r="E203" s="188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0"/>
      <c r="AC203" s="181"/>
      <c r="AD203" s="181"/>
      <c r="AE203" s="181"/>
      <c r="AF203" s="181"/>
    </row>
    <row r="204" spans="2:32">
      <c r="B204" s="181"/>
      <c r="C204" s="184"/>
      <c r="D204" s="188"/>
      <c r="E204" s="188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0"/>
      <c r="AC204" s="181"/>
      <c r="AD204" s="181"/>
      <c r="AE204" s="181"/>
      <c r="AF204" s="181"/>
    </row>
    <row r="205" spans="2:32">
      <c r="B205" s="181"/>
      <c r="C205" s="184"/>
      <c r="D205" s="188"/>
      <c r="E205" s="188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0"/>
      <c r="AC205" s="181"/>
      <c r="AD205" s="181"/>
      <c r="AE205" s="181"/>
      <c r="AF205" s="181"/>
    </row>
    <row r="206" spans="2:32">
      <c r="B206" s="181"/>
      <c r="C206" s="184"/>
      <c r="D206" s="188"/>
      <c r="E206" s="188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0"/>
      <c r="AC206" s="181"/>
      <c r="AD206" s="181"/>
      <c r="AE206" s="181"/>
      <c r="AF206" s="181"/>
    </row>
    <row r="207" spans="2:32">
      <c r="B207" s="181"/>
      <c r="C207" s="184"/>
      <c r="D207" s="188"/>
      <c r="E207" s="188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0"/>
      <c r="AC207" s="181"/>
      <c r="AD207" s="181"/>
      <c r="AE207" s="181"/>
      <c r="AF207" s="181"/>
    </row>
    <row r="208" spans="2:32">
      <c r="B208" s="181"/>
      <c r="C208" s="184"/>
      <c r="D208" s="188"/>
      <c r="E208" s="188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0"/>
      <c r="AC208" s="181"/>
      <c r="AD208" s="181"/>
      <c r="AE208" s="181"/>
      <c r="AF208" s="181"/>
    </row>
    <row r="209" spans="2:32">
      <c r="B209" s="181"/>
      <c r="C209" s="184"/>
      <c r="D209" s="188"/>
      <c r="E209" s="188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0"/>
      <c r="AC209" s="181"/>
      <c r="AD209" s="181"/>
      <c r="AE209" s="181"/>
      <c r="AF209" s="181"/>
    </row>
    <row r="210" spans="2:32">
      <c r="B210" s="181"/>
      <c r="C210" s="184"/>
      <c r="D210" s="188"/>
      <c r="E210" s="188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0"/>
      <c r="AC210" s="181"/>
      <c r="AD210" s="181"/>
      <c r="AE210" s="181"/>
      <c r="AF210" s="181"/>
    </row>
    <row r="211" spans="2:32">
      <c r="B211" s="181"/>
      <c r="C211" s="184"/>
      <c r="D211" s="188"/>
      <c r="E211" s="188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0"/>
      <c r="AC211" s="181"/>
      <c r="AD211" s="181"/>
      <c r="AE211" s="181"/>
      <c r="AF211" s="181"/>
    </row>
    <row r="212" spans="2:32">
      <c r="B212" s="181"/>
      <c r="C212" s="184"/>
      <c r="D212" s="188"/>
      <c r="E212" s="188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0"/>
      <c r="AC212" s="181"/>
      <c r="AD212" s="181"/>
      <c r="AE212" s="181"/>
      <c r="AF212" s="181"/>
    </row>
    <row r="213" spans="2:32">
      <c r="B213" s="181"/>
      <c r="C213" s="184"/>
      <c r="D213" s="188"/>
      <c r="E213" s="188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0"/>
      <c r="AC213" s="181"/>
      <c r="AD213" s="181"/>
      <c r="AE213" s="181"/>
      <c r="AF213" s="181"/>
    </row>
    <row r="214" spans="2:32">
      <c r="B214" s="181"/>
      <c r="C214" s="184"/>
      <c r="D214" s="188"/>
      <c r="E214" s="188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0"/>
      <c r="AC214" s="181"/>
      <c r="AD214" s="181"/>
      <c r="AE214" s="181"/>
      <c r="AF214" s="181"/>
    </row>
    <row r="215" spans="2:32">
      <c r="B215" s="181"/>
      <c r="C215" s="184"/>
      <c r="D215" s="188"/>
      <c r="E215" s="188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0"/>
      <c r="AC215" s="181"/>
      <c r="AD215" s="181"/>
      <c r="AE215" s="181"/>
      <c r="AF215" s="181"/>
    </row>
    <row r="216" spans="2:32">
      <c r="B216" s="181"/>
      <c r="C216" s="184"/>
      <c r="D216" s="188"/>
      <c r="E216" s="188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0"/>
      <c r="AC216" s="181"/>
      <c r="AD216" s="181"/>
      <c r="AE216" s="181"/>
      <c r="AF216" s="181"/>
    </row>
    <row r="217" spans="2:32">
      <c r="B217" s="181"/>
      <c r="C217" s="184"/>
      <c r="D217" s="188"/>
      <c r="E217" s="188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0"/>
      <c r="AC217" s="181"/>
      <c r="AD217" s="181"/>
      <c r="AE217" s="181"/>
      <c r="AF217" s="181"/>
    </row>
    <row r="218" spans="2:32">
      <c r="B218" s="181"/>
      <c r="C218" s="184"/>
      <c r="D218" s="188"/>
      <c r="E218" s="188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0"/>
      <c r="AC218" s="181"/>
      <c r="AD218" s="181"/>
      <c r="AE218" s="181"/>
      <c r="AF218" s="181"/>
    </row>
    <row r="219" spans="2:32">
      <c r="B219" s="181"/>
      <c r="C219" s="184"/>
      <c r="D219" s="188"/>
      <c r="E219" s="188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0"/>
      <c r="AC219" s="181"/>
      <c r="AD219" s="181"/>
      <c r="AE219" s="181"/>
      <c r="AF219" s="181"/>
    </row>
    <row r="220" spans="2:32">
      <c r="B220" s="181"/>
      <c r="C220" s="184"/>
      <c r="D220" s="188"/>
      <c r="E220" s="188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0"/>
      <c r="AC220" s="181"/>
      <c r="AD220" s="181"/>
      <c r="AE220" s="181"/>
      <c r="AF220" s="181"/>
    </row>
    <row r="221" spans="2:32">
      <c r="B221" s="181"/>
      <c r="C221" s="184"/>
      <c r="D221" s="188"/>
      <c r="E221" s="188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0"/>
      <c r="AC221" s="181"/>
      <c r="AD221" s="181"/>
      <c r="AE221" s="181"/>
      <c r="AF221" s="181"/>
    </row>
    <row r="222" spans="2:32">
      <c r="B222" s="181"/>
      <c r="C222" s="184"/>
      <c r="D222" s="188"/>
      <c r="E222" s="188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0"/>
      <c r="AC222" s="181"/>
      <c r="AD222" s="181"/>
      <c r="AE222" s="181"/>
      <c r="AF222" s="181"/>
    </row>
    <row r="223" spans="2:32">
      <c r="B223" s="181"/>
      <c r="C223" s="184"/>
      <c r="D223" s="188"/>
      <c r="E223" s="188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0"/>
      <c r="AC223" s="181"/>
      <c r="AD223" s="181"/>
      <c r="AE223" s="181"/>
      <c r="AF223" s="181"/>
    </row>
    <row r="224" spans="2:32">
      <c r="B224" s="181"/>
      <c r="C224" s="184"/>
      <c r="D224" s="188"/>
      <c r="E224" s="188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0"/>
      <c r="AC224" s="181"/>
      <c r="AD224" s="181"/>
      <c r="AE224" s="181"/>
      <c r="AF224" s="181"/>
    </row>
    <row r="225" spans="2:32">
      <c r="B225" s="181"/>
      <c r="C225" s="184"/>
      <c r="D225" s="188"/>
      <c r="E225" s="188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0"/>
      <c r="AC225" s="181"/>
      <c r="AD225" s="181"/>
      <c r="AE225" s="181"/>
      <c r="AF225" s="181"/>
    </row>
    <row r="226" spans="2:32">
      <c r="B226" s="181"/>
      <c r="C226" s="184"/>
      <c r="D226" s="188"/>
      <c r="E226" s="188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0"/>
      <c r="AC226" s="181"/>
      <c r="AD226" s="181"/>
      <c r="AE226" s="181"/>
      <c r="AF226" s="181"/>
    </row>
    <row r="227" spans="2:32">
      <c r="B227" s="181"/>
      <c r="C227" s="184"/>
      <c r="D227" s="188"/>
      <c r="E227" s="188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0"/>
      <c r="AC227" s="181"/>
      <c r="AD227" s="181"/>
      <c r="AE227" s="181"/>
      <c r="AF227" s="181"/>
    </row>
    <row r="228" spans="2:32">
      <c r="B228" s="181"/>
      <c r="C228" s="184"/>
      <c r="D228" s="188"/>
      <c r="E228" s="188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0"/>
      <c r="AC228" s="181"/>
      <c r="AD228" s="181"/>
      <c r="AE228" s="181"/>
      <c r="AF228" s="181"/>
    </row>
    <row r="229" spans="2:32">
      <c r="B229" s="181"/>
      <c r="C229" s="184"/>
      <c r="D229" s="188"/>
      <c r="E229" s="188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0"/>
      <c r="AC229" s="181"/>
      <c r="AD229" s="181"/>
      <c r="AE229" s="181"/>
      <c r="AF229" s="181"/>
    </row>
    <row r="230" spans="2:32">
      <c r="B230" s="181"/>
      <c r="C230" s="184"/>
      <c r="D230" s="188"/>
      <c r="E230" s="188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0"/>
      <c r="AC230" s="181"/>
      <c r="AD230" s="181"/>
      <c r="AE230" s="181"/>
      <c r="AF230" s="181"/>
    </row>
    <row r="231" spans="2:32">
      <c r="B231" s="181"/>
      <c r="C231" s="184"/>
      <c r="D231" s="188"/>
      <c r="E231" s="188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0"/>
      <c r="AC231" s="181"/>
      <c r="AD231" s="181"/>
      <c r="AE231" s="181"/>
      <c r="AF231" s="181"/>
    </row>
    <row r="232" spans="2:32">
      <c r="B232" s="181"/>
      <c r="C232" s="184"/>
      <c r="D232" s="188"/>
      <c r="E232" s="188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0"/>
      <c r="AC232" s="181"/>
      <c r="AD232" s="181"/>
      <c r="AE232" s="181"/>
      <c r="AF232" s="181"/>
    </row>
    <row r="233" spans="2:32">
      <c r="B233" s="181"/>
      <c r="C233" s="184"/>
      <c r="D233" s="188"/>
      <c r="E233" s="188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0"/>
      <c r="AC233" s="181"/>
      <c r="AD233" s="181"/>
      <c r="AE233" s="181"/>
      <c r="AF233" s="181"/>
    </row>
    <row r="234" spans="2:32">
      <c r="B234" s="181"/>
      <c r="C234" s="184"/>
      <c r="D234" s="188"/>
      <c r="E234" s="188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0"/>
      <c r="AC234" s="181"/>
      <c r="AD234" s="181"/>
      <c r="AE234" s="181"/>
      <c r="AF234" s="181"/>
    </row>
    <row r="235" spans="2:32">
      <c r="B235" s="181"/>
      <c r="C235" s="184"/>
      <c r="D235" s="188"/>
      <c r="E235" s="188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0"/>
      <c r="AC235" s="181"/>
      <c r="AD235" s="181"/>
      <c r="AE235" s="181"/>
      <c r="AF235" s="181"/>
    </row>
    <row r="236" spans="2:32">
      <c r="B236" s="181"/>
      <c r="C236" s="184"/>
      <c r="D236" s="188"/>
      <c r="E236" s="188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0"/>
      <c r="AC236" s="181"/>
      <c r="AD236" s="181"/>
      <c r="AE236" s="181"/>
      <c r="AF236" s="181"/>
    </row>
    <row r="237" spans="2:32">
      <c r="B237" s="181"/>
      <c r="C237" s="184"/>
      <c r="D237" s="188"/>
      <c r="E237" s="188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0"/>
      <c r="AC237" s="181"/>
      <c r="AD237" s="181"/>
      <c r="AE237" s="181"/>
      <c r="AF237" s="181"/>
    </row>
    <row r="238" spans="2:32">
      <c r="B238" s="181"/>
      <c r="C238" s="184"/>
      <c r="D238" s="188"/>
      <c r="E238" s="188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0"/>
      <c r="AC238" s="181"/>
      <c r="AD238" s="181"/>
      <c r="AE238" s="181"/>
      <c r="AF238" s="181"/>
    </row>
    <row r="239" spans="2:32">
      <c r="B239" s="181"/>
      <c r="C239" s="184"/>
      <c r="D239" s="188"/>
      <c r="E239" s="188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0"/>
      <c r="AC239" s="181"/>
      <c r="AD239" s="181"/>
      <c r="AE239" s="181"/>
      <c r="AF239" s="181"/>
    </row>
    <row r="240" spans="2:32">
      <c r="B240" s="181"/>
      <c r="C240" s="184"/>
      <c r="D240" s="188"/>
      <c r="E240" s="188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0"/>
      <c r="AC240" s="181"/>
      <c r="AD240" s="181"/>
      <c r="AE240" s="181"/>
      <c r="AF240" s="181"/>
    </row>
    <row r="241" spans="2:32">
      <c r="B241" s="181"/>
      <c r="C241" s="184"/>
      <c r="D241" s="188"/>
      <c r="E241" s="188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0"/>
      <c r="AC241" s="181"/>
      <c r="AD241" s="181"/>
      <c r="AE241" s="181"/>
      <c r="AF241" s="181"/>
    </row>
    <row r="242" spans="2:32">
      <c r="B242" s="181"/>
      <c r="C242" s="184"/>
      <c r="D242" s="188"/>
      <c r="E242" s="188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0"/>
      <c r="AC242" s="181"/>
      <c r="AD242" s="181"/>
      <c r="AE242" s="181"/>
      <c r="AF242" s="181"/>
    </row>
    <row r="243" spans="2:32">
      <c r="B243" s="181"/>
      <c r="C243" s="184"/>
      <c r="D243" s="188"/>
      <c r="E243" s="188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0"/>
      <c r="AC243" s="181"/>
      <c r="AD243" s="181"/>
      <c r="AE243" s="181"/>
      <c r="AF243" s="181"/>
    </row>
    <row r="244" spans="2:32">
      <c r="B244" s="181"/>
      <c r="C244" s="184"/>
      <c r="D244" s="188"/>
      <c r="E244" s="188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0"/>
      <c r="AC244" s="181"/>
      <c r="AD244" s="181"/>
      <c r="AE244" s="181"/>
      <c r="AF244" s="181"/>
    </row>
    <row r="245" spans="2:32">
      <c r="B245" s="181"/>
      <c r="C245" s="184"/>
      <c r="D245" s="188"/>
      <c r="E245" s="188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0"/>
      <c r="AC245" s="181"/>
      <c r="AD245" s="181"/>
      <c r="AE245" s="181"/>
      <c r="AF245" s="181"/>
    </row>
    <row r="246" spans="2:32">
      <c r="B246" s="181"/>
      <c r="C246" s="184"/>
      <c r="D246" s="188"/>
      <c r="E246" s="188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0"/>
      <c r="AC246" s="181"/>
      <c r="AD246" s="181"/>
      <c r="AE246" s="181"/>
      <c r="AF246" s="181"/>
    </row>
    <row r="247" spans="2:32">
      <c r="B247" s="181"/>
      <c r="C247" s="184"/>
      <c r="D247" s="188"/>
      <c r="E247" s="188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0"/>
      <c r="AC247" s="181"/>
      <c r="AD247" s="181"/>
      <c r="AE247" s="181"/>
      <c r="AF247" s="181"/>
    </row>
    <row r="248" spans="2:32">
      <c r="B248" s="181"/>
      <c r="C248" s="184"/>
      <c r="D248" s="188"/>
      <c r="E248" s="188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0"/>
      <c r="AC248" s="181"/>
      <c r="AD248" s="181"/>
      <c r="AE248" s="181"/>
      <c r="AF248" s="181"/>
    </row>
    <row r="249" spans="2:32">
      <c r="B249" s="181"/>
      <c r="C249" s="184"/>
      <c r="D249" s="188"/>
      <c r="E249" s="188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0"/>
      <c r="AC249" s="181"/>
      <c r="AD249" s="181"/>
      <c r="AE249" s="181"/>
      <c r="AF249" s="181"/>
    </row>
    <row r="250" spans="2:32">
      <c r="B250" s="181"/>
      <c r="C250" s="184"/>
      <c r="D250" s="188"/>
      <c r="E250" s="188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0"/>
      <c r="AC250" s="181"/>
      <c r="AD250" s="181"/>
      <c r="AE250" s="181"/>
      <c r="AF250" s="181"/>
    </row>
    <row r="251" spans="2:32">
      <c r="B251" s="181"/>
      <c r="C251" s="184"/>
      <c r="D251" s="188"/>
      <c r="E251" s="188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0"/>
      <c r="AC251" s="181"/>
      <c r="AD251" s="181"/>
      <c r="AE251" s="181"/>
      <c r="AF251" s="181"/>
    </row>
    <row r="252" spans="2:32">
      <c r="B252" s="181"/>
      <c r="C252" s="184"/>
      <c r="D252" s="188"/>
      <c r="E252" s="188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0"/>
      <c r="AC252" s="181"/>
      <c r="AD252" s="181"/>
      <c r="AE252" s="181"/>
      <c r="AF252" s="181"/>
    </row>
    <row r="253" spans="2:32">
      <c r="B253" s="181"/>
      <c r="C253" s="184"/>
      <c r="D253" s="188"/>
      <c r="E253" s="188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0"/>
      <c r="AC253" s="181"/>
      <c r="AD253" s="181"/>
      <c r="AE253" s="181"/>
      <c r="AF253" s="181"/>
    </row>
    <row r="254" spans="2:32">
      <c r="B254" s="181"/>
      <c r="C254" s="184"/>
      <c r="D254" s="188"/>
      <c r="E254" s="188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0"/>
      <c r="AC254" s="181"/>
      <c r="AD254" s="181"/>
      <c r="AE254" s="181"/>
      <c r="AF254" s="181"/>
    </row>
    <row r="255" spans="2:32">
      <c r="B255" s="181"/>
      <c r="C255" s="184"/>
      <c r="D255" s="188"/>
      <c r="E255" s="188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0"/>
      <c r="AC255" s="181"/>
      <c r="AD255" s="181"/>
      <c r="AE255" s="181"/>
      <c r="AF255" s="181"/>
    </row>
    <row r="256" spans="2:32">
      <c r="B256" s="181"/>
      <c r="C256" s="184"/>
      <c r="D256" s="188"/>
      <c r="E256" s="188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0"/>
      <c r="AC256" s="181"/>
      <c r="AD256" s="181"/>
      <c r="AE256" s="181"/>
      <c r="AF256" s="181"/>
    </row>
    <row r="257" spans="2:32">
      <c r="B257" s="181"/>
      <c r="C257" s="184"/>
      <c r="D257" s="188"/>
      <c r="E257" s="188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0"/>
      <c r="AC257" s="181"/>
      <c r="AD257" s="181"/>
      <c r="AE257" s="181"/>
      <c r="AF257" s="181"/>
    </row>
    <row r="258" spans="2:32">
      <c r="B258" s="181"/>
      <c r="C258" s="184"/>
      <c r="D258" s="188"/>
      <c r="E258" s="188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0"/>
      <c r="AC258" s="181"/>
      <c r="AD258" s="181"/>
      <c r="AE258" s="181"/>
      <c r="AF258" s="181"/>
    </row>
    <row r="259" spans="2:32">
      <c r="B259" s="181"/>
      <c r="C259" s="184"/>
      <c r="D259" s="188"/>
      <c r="E259" s="188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0"/>
      <c r="AC259" s="181"/>
      <c r="AD259" s="181"/>
      <c r="AE259" s="181"/>
      <c r="AF259" s="181"/>
    </row>
    <row r="260" spans="2:32">
      <c r="B260" s="181"/>
      <c r="C260" s="184"/>
      <c r="D260" s="188"/>
      <c r="E260" s="188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0"/>
      <c r="AC260" s="181"/>
      <c r="AD260" s="181"/>
      <c r="AE260" s="181"/>
      <c r="AF260" s="181"/>
    </row>
    <row r="261" spans="2:32">
      <c r="B261" s="181"/>
      <c r="C261" s="184"/>
      <c r="D261" s="188"/>
      <c r="E261" s="188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0"/>
      <c r="AC261" s="181"/>
      <c r="AD261" s="181"/>
      <c r="AE261" s="181"/>
      <c r="AF261" s="181"/>
    </row>
    <row r="262" spans="2:32">
      <c r="B262" s="181"/>
      <c r="C262" s="184"/>
      <c r="D262" s="188"/>
      <c r="E262" s="188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0"/>
      <c r="AC262" s="181"/>
      <c r="AD262" s="181"/>
      <c r="AE262" s="181"/>
      <c r="AF262" s="181"/>
    </row>
    <row r="263" spans="2:32">
      <c r="B263" s="181"/>
      <c r="C263" s="184"/>
      <c r="D263" s="188"/>
      <c r="E263" s="188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0"/>
      <c r="AC263" s="181"/>
      <c r="AD263" s="181"/>
      <c r="AE263" s="181"/>
      <c r="AF263" s="181"/>
    </row>
    <row r="264" spans="2:32">
      <c r="B264" s="181"/>
      <c r="C264" s="184"/>
      <c r="D264" s="188"/>
      <c r="E264" s="188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0"/>
      <c r="AC264" s="181"/>
      <c r="AD264" s="181"/>
      <c r="AE264" s="181"/>
      <c r="AF264" s="181"/>
    </row>
    <row r="265" spans="2:32">
      <c r="B265" s="181"/>
      <c r="C265" s="184"/>
      <c r="D265" s="188"/>
      <c r="E265" s="188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0"/>
      <c r="AC265" s="181"/>
      <c r="AD265" s="181"/>
      <c r="AE265" s="181"/>
      <c r="AF265" s="181"/>
    </row>
    <row r="266" spans="2:32">
      <c r="B266" s="181"/>
      <c r="C266" s="184"/>
      <c r="D266" s="188"/>
      <c r="E266" s="188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0"/>
      <c r="AC266" s="181"/>
      <c r="AD266" s="181"/>
      <c r="AE266" s="181"/>
      <c r="AF266" s="181"/>
    </row>
    <row r="267" spans="2:32">
      <c r="B267" s="181"/>
      <c r="C267" s="184"/>
      <c r="D267" s="188"/>
      <c r="E267" s="188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0"/>
      <c r="AC267" s="181"/>
      <c r="AD267" s="181"/>
      <c r="AE267" s="181"/>
      <c r="AF267" s="181"/>
    </row>
    <row r="268" spans="2:32">
      <c r="B268" s="181"/>
      <c r="C268" s="184"/>
      <c r="D268" s="188"/>
      <c r="E268" s="188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0"/>
      <c r="AC268" s="181"/>
      <c r="AD268" s="181"/>
      <c r="AE268" s="181"/>
      <c r="AF268" s="181"/>
    </row>
    <row r="269" spans="2:32">
      <c r="B269" s="181"/>
      <c r="C269" s="184"/>
      <c r="D269" s="188"/>
      <c r="E269" s="188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0"/>
      <c r="AC269" s="181"/>
      <c r="AD269" s="181"/>
      <c r="AE269" s="181"/>
      <c r="AF269" s="181"/>
    </row>
    <row r="270" spans="2:32">
      <c r="B270" s="181"/>
      <c r="C270" s="184"/>
      <c r="D270" s="188"/>
      <c r="E270" s="188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0"/>
      <c r="AC270" s="181"/>
      <c r="AD270" s="181"/>
      <c r="AE270" s="181"/>
      <c r="AF270" s="181"/>
    </row>
    <row r="271" spans="2:32">
      <c r="B271" s="181"/>
      <c r="C271" s="184"/>
      <c r="D271" s="188"/>
      <c r="E271" s="188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0"/>
      <c r="AC271" s="181"/>
      <c r="AD271" s="181"/>
      <c r="AE271" s="181"/>
      <c r="AF271" s="181"/>
    </row>
    <row r="272" spans="2:32">
      <c r="B272" s="181"/>
      <c r="C272" s="184"/>
      <c r="D272" s="188"/>
      <c r="E272" s="188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0"/>
      <c r="AC272" s="181"/>
      <c r="AD272" s="181"/>
      <c r="AE272" s="181"/>
      <c r="AF272" s="181"/>
    </row>
    <row r="273" spans="2:32">
      <c r="B273" s="181"/>
      <c r="C273" s="184"/>
      <c r="D273" s="188"/>
      <c r="E273" s="188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0"/>
      <c r="AC273" s="181"/>
      <c r="AD273" s="181"/>
      <c r="AE273" s="181"/>
      <c r="AF273" s="181"/>
    </row>
    <row r="274" spans="2:32">
      <c r="B274" s="181"/>
      <c r="C274" s="184"/>
      <c r="D274" s="188"/>
      <c r="E274" s="188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0"/>
      <c r="AC274" s="181"/>
      <c r="AD274" s="181"/>
      <c r="AE274" s="181"/>
      <c r="AF274" s="181"/>
    </row>
    <row r="275" spans="2:32">
      <c r="B275" s="181"/>
      <c r="C275" s="184"/>
      <c r="D275" s="188"/>
      <c r="E275" s="188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0"/>
      <c r="AC275" s="181"/>
      <c r="AD275" s="181"/>
      <c r="AE275" s="181"/>
      <c r="AF275" s="181"/>
    </row>
    <row r="276" spans="2:32">
      <c r="B276" s="181"/>
      <c r="C276" s="184"/>
      <c r="D276" s="188"/>
      <c r="E276" s="188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0"/>
      <c r="AC276" s="181"/>
      <c r="AD276" s="181"/>
      <c r="AE276" s="181"/>
      <c r="AF276" s="181"/>
    </row>
    <row r="277" spans="2:32">
      <c r="B277" s="181"/>
      <c r="C277" s="184"/>
      <c r="D277" s="188"/>
      <c r="E277" s="188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0"/>
      <c r="AC277" s="181"/>
      <c r="AD277" s="181"/>
      <c r="AE277" s="181"/>
      <c r="AF277" s="181"/>
    </row>
    <row r="278" spans="2:32">
      <c r="B278" s="181"/>
      <c r="C278" s="184"/>
      <c r="D278" s="188"/>
      <c r="E278" s="188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0"/>
      <c r="AC278" s="181"/>
      <c r="AD278" s="181"/>
      <c r="AE278" s="181"/>
      <c r="AF278" s="181"/>
    </row>
    <row r="279" spans="2:32">
      <c r="B279" s="181"/>
      <c r="C279" s="184"/>
      <c r="D279" s="188"/>
      <c r="E279" s="188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0"/>
      <c r="AC279" s="181"/>
      <c r="AD279" s="181"/>
      <c r="AE279" s="181"/>
      <c r="AF279" s="181"/>
    </row>
    <row r="280" spans="2:32">
      <c r="B280" s="181"/>
      <c r="C280" s="184"/>
      <c r="D280" s="188"/>
      <c r="E280" s="188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0"/>
      <c r="AC280" s="181"/>
      <c r="AD280" s="181"/>
      <c r="AE280" s="181"/>
      <c r="AF280" s="181"/>
    </row>
    <row r="281" spans="2:32">
      <c r="B281" s="181"/>
      <c r="C281" s="184"/>
      <c r="D281" s="188"/>
      <c r="E281" s="188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0"/>
      <c r="AC281" s="181"/>
      <c r="AD281" s="181"/>
      <c r="AE281" s="181"/>
      <c r="AF281" s="181"/>
    </row>
    <row r="282" spans="2:32">
      <c r="B282" s="181"/>
      <c r="C282" s="184"/>
      <c r="D282" s="188"/>
      <c r="E282" s="188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0"/>
      <c r="AC282" s="181"/>
      <c r="AD282" s="181"/>
      <c r="AE282" s="181"/>
      <c r="AF282" s="181"/>
    </row>
    <row r="283" spans="2:32">
      <c r="B283" s="181"/>
      <c r="C283" s="184"/>
      <c r="D283" s="188"/>
      <c r="E283" s="188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0"/>
      <c r="AC283" s="181"/>
      <c r="AD283" s="181"/>
      <c r="AE283" s="181"/>
      <c r="AF283" s="181"/>
    </row>
    <row r="284" spans="2:32">
      <c r="B284" s="181"/>
      <c r="C284" s="184"/>
      <c r="D284" s="188"/>
      <c r="E284" s="188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0"/>
      <c r="AC284" s="181"/>
      <c r="AD284" s="181"/>
      <c r="AE284" s="181"/>
      <c r="AF284" s="181"/>
    </row>
    <row r="285" spans="2:32">
      <c r="B285" s="181"/>
      <c r="C285" s="184"/>
      <c r="D285" s="188"/>
      <c r="E285" s="188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0"/>
      <c r="AC285" s="181"/>
      <c r="AD285" s="181"/>
      <c r="AE285" s="181"/>
      <c r="AF285" s="181"/>
    </row>
    <row r="286" spans="2:32">
      <c r="B286" s="181"/>
      <c r="C286" s="184"/>
      <c r="D286" s="188"/>
      <c r="E286" s="188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0"/>
      <c r="AC286" s="181"/>
      <c r="AD286" s="181"/>
      <c r="AE286" s="181"/>
      <c r="AF286" s="181"/>
    </row>
    <row r="287" spans="2:32">
      <c r="B287" s="181"/>
      <c r="C287" s="184"/>
      <c r="D287" s="188"/>
      <c r="E287" s="188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0"/>
      <c r="AC287" s="181"/>
      <c r="AD287" s="181"/>
      <c r="AE287" s="181"/>
      <c r="AF287" s="181"/>
    </row>
    <row r="288" spans="2:32">
      <c r="B288" s="181"/>
      <c r="C288" s="184"/>
      <c r="D288" s="188"/>
      <c r="E288" s="188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0"/>
      <c r="AC288" s="181"/>
      <c r="AD288" s="181"/>
      <c r="AE288" s="181"/>
      <c r="AF288" s="181"/>
    </row>
    <row r="289" spans="2:32">
      <c r="B289" s="181"/>
      <c r="C289" s="184"/>
      <c r="D289" s="188"/>
      <c r="E289" s="188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0"/>
      <c r="AC289" s="181"/>
      <c r="AD289" s="181"/>
      <c r="AE289" s="181"/>
      <c r="AF289" s="181"/>
    </row>
    <row r="290" spans="2:32">
      <c r="B290" s="181"/>
      <c r="C290" s="184"/>
      <c r="D290" s="188"/>
      <c r="E290" s="188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0"/>
      <c r="AC290" s="181"/>
      <c r="AD290" s="181"/>
      <c r="AE290" s="181"/>
      <c r="AF290" s="181"/>
    </row>
    <row r="291" spans="2:32">
      <c r="B291" s="181"/>
      <c r="C291" s="184"/>
      <c r="D291" s="188"/>
      <c r="E291" s="188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0"/>
      <c r="AC291" s="181"/>
      <c r="AD291" s="181"/>
      <c r="AE291" s="181"/>
      <c r="AF291" s="181"/>
    </row>
    <row r="292" spans="2:32">
      <c r="B292" s="181"/>
      <c r="C292" s="184"/>
      <c r="D292" s="188"/>
      <c r="E292" s="188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0"/>
      <c r="AC292" s="181"/>
      <c r="AD292" s="181"/>
      <c r="AE292" s="181"/>
      <c r="AF292" s="181"/>
    </row>
    <row r="293" spans="2:32">
      <c r="B293" s="181"/>
      <c r="C293" s="184"/>
      <c r="D293" s="188"/>
      <c r="E293" s="188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0"/>
      <c r="AC293" s="181"/>
      <c r="AD293" s="181"/>
      <c r="AE293" s="181"/>
      <c r="AF293" s="181"/>
    </row>
    <row r="294" spans="2:32">
      <c r="B294" s="181"/>
      <c r="C294" s="184"/>
      <c r="D294" s="188"/>
      <c r="E294" s="188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0"/>
      <c r="AC294" s="181"/>
      <c r="AD294" s="181"/>
      <c r="AE294" s="181"/>
      <c r="AF294" s="181"/>
    </row>
    <row r="295" spans="2:32">
      <c r="B295" s="181"/>
      <c r="C295" s="184"/>
      <c r="D295" s="188"/>
      <c r="E295" s="188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0"/>
      <c r="AC295" s="181"/>
      <c r="AD295" s="181"/>
      <c r="AE295" s="181"/>
      <c r="AF295" s="181"/>
    </row>
    <row r="296" spans="2:32">
      <c r="B296" s="181"/>
      <c r="C296" s="184"/>
      <c r="D296" s="188"/>
      <c r="E296" s="188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0"/>
      <c r="AC296" s="181"/>
      <c r="AD296" s="181"/>
      <c r="AE296" s="181"/>
      <c r="AF296" s="181"/>
    </row>
    <row r="297" spans="2:32">
      <c r="B297" s="181"/>
      <c r="C297" s="184"/>
      <c r="D297" s="188"/>
      <c r="E297" s="188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0"/>
      <c r="AC297" s="181"/>
      <c r="AD297" s="181"/>
      <c r="AE297" s="181"/>
      <c r="AF297" s="181"/>
    </row>
    <row r="298" spans="2:32">
      <c r="B298" s="181"/>
      <c r="C298" s="184"/>
      <c r="D298" s="188"/>
      <c r="E298" s="188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0"/>
      <c r="AC298" s="181"/>
      <c r="AD298" s="181"/>
      <c r="AE298" s="181"/>
      <c r="AF298" s="181"/>
    </row>
    <row r="299" spans="2:32">
      <c r="B299" s="181"/>
      <c r="C299" s="184"/>
      <c r="D299" s="188"/>
      <c r="E299" s="188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0"/>
      <c r="AC299" s="181"/>
      <c r="AD299" s="181"/>
      <c r="AE299" s="181"/>
      <c r="AF299" s="181"/>
    </row>
    <row r="300" spans="2:32">
      <c r="B300" s="181"/>
      <c r="C300" s="184"/>
      <c r="D300" s="188"/>
      <c r="E300" s="188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0"/>
      <c r="AC300" s="181"/>
      <c r="AD300" s="181"/>
      <c r="AE300" s="181"/>
      <c r="AF300" s="181"/>
    </row>
    <row r="301" spans="2:32">
      <c r="B301" s="181"/>
      <c r="C301" s="184"/>
      <c r="D301" s="188"/>
      <c r="E301" s="188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0"/>
      <c r="AC301" s="181"/>
      <c r="AD301" s="181"/>
      <c r="AE301" s="181"/>
      <c r="AF301" s="181"/>
    </row>
    <row r="302" spans="2:32">
      <c r="B302" s="181"/>
      <c r="C302" s="184"/>
      <c r="D302" s="188"/>
      <c r="E302" s="188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0"/>
      <c r="AC302" s="181"/>
      <c r="AD302" s="181"/>
      <c r="AE302" s="181"/>
      <c r="AF302" s="181"/>
    </row>
    <row r="303" spans="2:32">
      <c r="B303" s="181"/>
      <c r="C303" s="184"/>
      <c r="D303" s="188"/>
      <c r="E303" s="188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0"/>
      <c r="AC303" s="181"/>
      <c r="AD303" s="181"/>
      <c r="AE303" s="181"/>
      <c r="AF303" s="181"/>
    </row>
    <row r="304" spans="2:32">
      <c r="B304" s="181"/>
      <c r="C304" s="184"/>
      <c r="D304" s="188"/>
      <c r="E304" s="188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0"/>
      <c r="AC304" s="181"/>
      <c r="AD304" s="181"/>
      <c r="AE304" s="181"/>
      <c r="AF304" s="181"/>
    </row>
    <row r="305" spans="2:32">
      <c r="B305" s="181"/>
      <c r="C305" s="184"/>
      <c r="D305" s="188"/>
      <c r="E305" s="188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0"/>
      <c r="AC305" s="181"/>
      <c r="AD305" s="181"/>
      <c r="AE305" s="181"/>
      <c r="AF305" s="181"/>
    </row>
    <row r="306" spans="2:32">
      <c r="B306" s="181"/>
      <c r="C306" s="184"/>
      <c r="D306" s="188"/>
      <c r="E306" s="188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0"/>
      <c r="AC306" s="181"/>
      <c r="AD306" s="181"/>
      <c r="AE306" s="181"/>
      <c r="AF306" s="181"/>
    </row>
    <row r="307" spans="2:32">
      <c r="B307" s="181"/>
      <c r="C307" s="184"/>
      <c r="D307" s="188"/>
      <c r="E307" s="188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0"/>
      <c r="AC307" s="181"/>
      <c r="AD307" s="181"/>
      <c r="AE307" s="181"/>
      <c r="AF307" s="181"/>
    </row>
    <row r="308" spans="2:32">
      <c r="B308" s="181"/>
      <c r="C308" s="184"/>
      <c r="D308" s="188"/>
      <c r="E308" s="188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0"/>
      <c r="AC308" s="181"/>
      <c r="AD308" s="181"/>
      <c r="AE308" s="181"/>
      <c r="AF308" s="181"/>
    </row>
    <row r="309" spans="2:32">
      <c r="B309" s="181"/>
      <c r="C309" s="184"/>
      <c r="D309" s="188"/>
      <c r="E309" s="188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0"/>
      <c r="AC309" s="181"/>
      <c r="AD309" s="181"/>
      <c r="AE309" s="181"/>
      <c r="AF309" s="181"/>
    </row>
    <row r="310" spans="2:32">
      <c r="B310" s="181"/>
      <c r="C310" s="184"/>
      <c r="D310" s="188"/>
      <c r="E310" s="188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0"/>
      <c r="AC310" s="181"/>
      <c r="AD310" s="181"/>
      <c r="AE310" s="181"/>
      <c r="AF310" s="181"/>
    </row>
    <row r="311" spans="2:32">
      <c r="B311" s="181"/>
      <c r="C311" s="184"/>
      <c r="D311" s="188"/>
      <c r="E311" s="188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0"/>
      <c r="AC311" s="181"/>
      <c r="AD311" s="181"/>
      <c r="AE311" s="181"/>
      <c r="AF311" s="181"/>
    </row>
    <row r="312" spans="2:32">
      <c r="B312" s="181"/>
      <c r="C312" s="184"/>
      <c r="D312" s="188"/>
      <c r="E312" s="188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0"/>
      <c r="AC312" s="181"/>
      <c r="AD312" s="181"/>
      <c r="AE312" s="181"/>
      <c r="AF312" s="181"/>
    </row>
    <row r="313" spans="2:32">
      <c r="B313" s="181"/>
      <c r="C313" s="184"/>
      <c r="D313" s="188"/>
      <c r="E313" s="188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0"/>
      <c r="AC313" s="181"/>
      <c r="AD313" s="181"/>
      <c r="AE313" s="181"/>
      <c r="AF313" s="181"/>
    </row>
    <row r="314" spans="2:32">
      <c r="B314" s="181"/>
      <c r="C314" s="184"/>
      <c r="D314" s="188"/>
      <c r="E314" s="188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0"/>
      <c r="AC314" s="181"/>
      <c r="AD314" s="181"/>
      <c r="AE314" s="181"/>
      <c r="AF314" s="181"/>
    </row>
    <row r="315" spans="2:32">
      <c r="B315" s="181"/>
      <c r="C315" s="184"/>
      <c r="D315" s="188"/>
      <c r="E315" s="188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0"/>
      <c r="AC315" s="181"/>
      <c r="AD315" s="181"/>
      <c r="AE315" s="181"/>
      <c r="AF315" s="181"/>
    </row>
    <row r="316" spans="2:32">
      <c r="B316" s="181"/>
      <c r="C316" s="184"/>
      <c r="D316" s="188"/>
      <c r="E316" s="188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0"/>
      <c r="AC316" s="181"/>
      <c r="AD316" s="181"/>
      <c r="AE316" s="181"/>
      <c r="AF316" s="181"/>
    </row>
    <row r="317" spans="2:32">
      <c r="B317" s="181"/>
      <c r="C317" s="184"/>
      <c r="D317" s="188"/>
      <c r="E317" s="188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0"/>
      <c r="AC317" s="181"/>
      <c r="AD317" s="181"/>
      <c r="AE317" s="181"/>
      <c r="AF317" s="181"/>
    </row>
    <row r="318" spans="2:32">
      <c r="B318" s="181"/>
      <c r="C318" s="184"/>
      <c r="D318" s="188"/>
      <c r="E318" s="188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0"/>
      <c r="AC318" s="181"/>
      <c r="AD318" s="181"/>
      <c r="AE318" s="181"/>
      <c r="AF318" s="181"/>
    </row>
    <row r="319" spans="2:32">
      <c r="B319" s="181"/>
      <c r="C319" s="184"/>
      <c r="D319" s="188"/>
      <c r="E319" s="188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0"/>
      <c r="AC319" s="181"/>
      <c r="AD319" s="181"/>
      <c r="AE319" s="181"/>
      <c r="AF319" s="181"/>
    </row>
    <row r="320" spans="2:32">
      <c r="B320" s="181"/>
      <c r="C320" s="184"/>
      <c r="D320" s="188"/>
      <c r="E320" s="188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0"/>
      <c r="AC320" s="181"/>
      <c r="AD320" s="181"/>
      <c r="AE320" s="181"/>
      <c r="AF320" s="181"/>
    </row>
    <row r="321" spans="2:32">
      <c r="B321" s="181"/>
      <c r="C321" s="184"/>
      <c r="D321" s="188"/>
      <c r="E321" s="188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0"/>
      <c r="AC321" s="181"/>
      <c r="AD321" s="181"/>
      <c r="AE321" s="181"/>
      <c r="AF321" s="181"/>
    </row>
    <row r="322" spans="2:32">
      <c r="B322" s="181"/>
      <c r="C322" s="184"/>
      <c r="D322" s="188"/>
      <c r="E322" s="188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0"/>
      <c r="AC322" s="181"/>
      <c r="AD322" s="181"/>
      <c r="AE322" s="181"/>
      <c r="AF322" s="181"/>
    </row>
    <row r="323" spans="2:32">
      <c r="B323" s="181"/>
      <c r="C323" s="184"/>
      <c r="D323" s="188"/>
      <c r="E323" s="188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0"/>
      <c r="AC323" s="181"/>
      <c r="AD323" s="181"/>
      <c r="AE323" s="181"/>
      <c r="AF323" s="181"/>
    </row>
    <row r="324" spans="2:32">
      <c r="B324" s="181"/>
      <c r="C324" s="184"/>
      <c r="D324" s="188"/>
      <c r="E324" s="188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0"/>
      <c r="AC324" s="181"/>
      <c r="AD324" s="181"/>
      <c r="AE324" s="181"/>
      <c r="AF324" s="181"/>
    </row>
    <row r="325" spans="2:32">
      <c r="B325" s="181"/>
      <c r="C325" s="184"/>
      <c r="D325" s="188"/>
      <c r="E325" s="188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0"/>
      <c r="AC325" s="181"/>
      <c r="AD325" s="181"/>
      <c r="AE325" s="181"/>
      <c r="AF325" s="181"/>
    </row>
    <row r="326" spans="2:32">
      <c r="B326" s="181"/>
      <c r="C326" s="184"/>
      <c r="D326" s="188"/>
      <c r="E326" s="188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0"/>
      <c r="AC326" s="181"/>
      <c r="AD326" s="181"/>
      <c r="AE326" s="181"/>
      <c r="AF326" s="181"/>
    </row>
    <row r="327" spans="2:32">
      <c r="B327" s="181"/>
      <c r="C327" s="184"/>
      <c r="D327" s="188"/>
      <c r="E327" s="188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0"/>
      <c r="AC327" s="181"/>
      <c r="AD327" s="181"/>
      <c r="AE327" s="181"/>
      <c r="AF327" s="181"/>
    </row>
    <row r="328" spans="2:32">
      <c r="B328" s="181"/>
      <c r="C328" s="184"/>
      <c r="D328" s="188"/>
      <c r="E328" s="188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0"/>
      <c r="AC328" s="181"/>
      <c r="AD328" s="181"/>
      <c r="AE328" s="181"/>
      <c r="AF328" s="181"/>
    </row>
    <row r="329" spans="2:32">
      <c r="B329" s="181"/>
      <c r="C329" s="184"/>
      <c r="D329" s="188"/>
      <c r="E329" s="188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0"/>
      <c r="AC329" s="181"/>
      <c r="AD329" s="181"/>
      <c r="AE329" s="181"/>
      <c r="AF329" s="181"/>
    </row>
    <row r="330" spans="2:32">
      <c r="B330" s="181"/>
      <c r="C330" s="184"/>
      <c r="D330" s="188"/>
      <c r="E330" s="188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0"/>
      <c r="AC330" s="181"/>
      <c r="AD330" s="181"/>
      <c r="AE330" s="181"/>
      <c r="AF330" s="181"/>
    </row>
    <row r="331" spans="2:32">
      <c r="B331" s="181"/>
      <c r="C331" s="184"/>
      <c r="D331" s="188"/>
      <c r="E331" s="188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0"/>
      <c r="AC331" s="181"/>
      <c r="AD331" s="181"/>
      <c r="AE331" s="181"/>
      <c r="AF331" s="181"/>
    </row>
    <row r="332" spans="2:32">
      <c r="B332" s="181"/>
      <c r="C332" s="184"/>
      <c r="D332" s="188"/>
      <c r="E332" s="188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0"/>
      <c r="AC332" s="181"/>
      <c r="AD332" s="181"/>
      <c r="AE332" s="181"/>
      <c r="AF332" s="181"/>
    </row>
    <row r="333" spans="2:32">
      <c r="B333" s="181"/>
      <c r="C333" s="184"/>
      <c r="D333" s="188"/>
      <c r="E333" s="188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0"/>
      <c r="AC333" s="181"/>
      <c r="AD333" s="181"/>
      <c r="AE333" s="181"/>
      <c r="AF333" s="181"/>
    </row>
    <row r="334" spans="2:32">
      <c r="B334" s="181"/>
      <c r="C334" s="184"/>
      <c r="D334" s="188"/>
      <c r="E334" s="188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0"/>
      <c r="AC334" s="181"/>
      <c r="AD334" s="181"/>
      <c r="AE334" s="181"/>
      <c r="AF334" s="181"/>
    </row>
    <row r="335" spans="2:32">
      <c r="B335" s="181"/>
      <c r="C335" s="184"/>
      <c r="D335" s="188"/>
      <c r="E335" s="188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0"/>
      <c r="AC335" s="181"/>
      <c r="AD335" s="181"/>
      <c r="AE335" s="181"/>
      <c r="AF335" s="181"/>
    </row>
    <row r="336" spans="2:32">
      <c r="B336" s="181"/>
      <c r="C336" s="184"/>
      <c r="D336" s="188"/>
      <c r="E336" s="188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0"/>
      <c r="AC336" s="181"/>
      <c r="AD336" s="181"/>
      <c r="AE336" s="181"/>
      <c r="AF336" s="181"/>
    </row>
    <row r="337" spans="2:32">
      <c r="B337" s="181"/>
      <c r="C337" s="184"/>
      <c r="D337" s="188"/>
      <c r="E337" s="188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0"/>
      <c r="AC337" s="181"/>
      <c r="AD337" s="181"/>
      <c r="AE337" s="181"/>
      <c r="AF337" s="181"/>
    </row>
    <row r="338" spans="2:32">
      <c r="B338" s="181"/>
      <c r="C338" s="184"/>
      <c r="D338" s="188"/>
      <c r="E338" s="188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0"/>
      <c r="AC338" s="181"/>
      <c r="AD338" s="181"/>
      <c r="AE338" s="181"/>
      <c r="AF338" s="181"/>
    </row>
    <row r="339" spans="2:32">
      <c r="B339" s="181"/>
      <c r="C339" s="184"/>
      <c r="D339" s="188"/>
      <c r="E339" s="188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0"/>
      <c r="AC339" s="181"/>
      <c r="AD339" s="181"/>
      <c r="AE339" s="181"/>
      <c r="AF339" s="181"/>
    </row>
    <row r="340" spans="2:32">
      <c r="B340" s="181"/>
      <c r="C340" s="184"/>
      <c r="D340" s="188"/>
      <c r="E340" s="188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0"/>
      <c r="AC340" s="181"/>
      <c r="AD340" s="181"/>
      <c r="AE340" s="181"/>
      <c r="AF340" s="181"/>
    </row>
    <row r="341" spans="2:32">
      <c r="B341" s="181"/>
      <c r="C341" s="184"/>
      <c r="D341" s="188"/>
      <c r="E341" s="188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0"/>
      <c r="AC341" s="181"/>
      <c r="AD341" s="181"/>
      <c r="AE341" s="181"/>
      <c r="AF341" s="181"/>
    </row>
    <row r="342" spans="2:32">
      <c r="B342" s="181"/>
      <c r="C342" s="184"/>
      <c r="D342" s="188"/>
      <c r="E342" s="188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0"/>
      <c r="AC342" s="181"/>
      <c r="AD342" s="181"/>
      <c r="AE342" s="181"/>
      <c r="AF342" s="181"/>
    </row>
    <row r="343" spans="2:32">
      <c r="B343" s="181"/>
      <c r="C343" s="184"/>
      <c r="D343" s="188"/>
      <c r="E343" s="188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0"/>
      <c r="AC343" s="181"/>
      <c r="AD343" s="181"/>
      <c r="AE343" s="181"/>
      <c r="AF343" s="181"/>
    </row>
    <row r="344" spans="2:32">
      <c r="B344" s="181"/>
      <c r="C344" s="184"/>
      <c r="D344" s="188"/>
      <c r="E344" s="188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0"/>
      <c r="AC344" s="181"/>
      <c r="AD344" s="181"/>
      <c r="AE344" s="181"/>
      <c r="AF344" s="181"/>
    </row>
    <row r="345" spans="2:32">
      <c r="B345" s="181"/>
      <c r="C345" s="184"/>
      <c r="D345" s="188"/>
      <c r="E345" s="188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0"/>
      <c r="AC345" s="181"/>
      <c r="AD345" s="181"/>
      <c r="AE345" s="181"/>
      <c r="AF345" s="181"/>
    </row>
    <row r="346" spans="2:32">
      <c r="B346" s="181"/>
      <c r="C346" s="184"/>
      <c r="D346" s="188"/>
      <c r="E346" s="188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0"/>
      <c r="AC346" s="181"/>
      <c r="AD346" s="181"/>
      <c r="AE346" s="181"/>
      <c r="AF346" s="181"/>
    </row>
    <row r="347" spans="2:32">
      <c r="B347" s="181"/>
      <c r="C347" s="184"/>
      <c r="D347" s="188"/>
      <c r="E347" s="188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0"/>
      <c r="AC347" s="181"/>
      <c r="AD347" s="181"/>
      <c r="AE347" s="181"/>
      <c r="AF347" s="181"/>
    </row>
    <row r="348" spans="2:32">
      <c r="B348" s="181"/>
      <c r="C348" s="184"/>
      <c r="D348" s="188"/>
      <c r="E348" s="188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0"/>
      <c r="AC348" s="181"/>
      <c r="AD348" s="181"/>
      <c r="AE348" s="181"/>
      <c r="AF348" s="181"/>
    </row>
    <row r="349" spans="2:32">
      <c r="B349" s="181"/>
      <c r="C349" s="184"/>
      <c r="D349" s="188"/>
      <c r="E349" s="188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0"/>
      <c r="AC349" s="181"/>
      <c r="AD349" s="181"/>
      <c r="AE349" s="181"/>
      <c r="AF349" s="181"/>
    </row>
    <row r="350" spans="2:32">
      <c r="B350" s="181"/>
      <c r="C350" s="184"/>
      <c r="D350" s="188"/>
      <c r="E350" s="188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0"/>
      <c r="AC350" s="181"/>
      <c r="AD350" s="181"/>
      <c r="AE350" s="181"/>
      <c r="AF350" s="181"/>
    </row>
    <row r="351" spans="2:32">
      <c r="B351" s="181"/>
      <c r="C351" s="184"/>
      <c r="D351" s="188"/>
      <c r="E351" s="188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0"/>
      <c r="AC351" s="181"/>
      <c r="AD351" s="181"/>
      <c r="AE351" s="181"/>
      <c r="AF351" s="181"/>
    </row>
    <row r="352" spans="2:32">
      <c r="B352" s="181"/>
      <c r="C352" s="184"/>
      <c r="D352" s="188"/>
      <c r="E352" s="188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0"/>
      <c r="AC352" s="181"/>
      <c r="AD352" s="181"/>
      <c r="AE352" s="181"/>
      <c r="AF352" s="181"/>
    </row>
    <row r="353" spans="2:32">
      <c r="B353" s="181"/>
      <c r="C353" s="184"/>
      <c r="D353" s="188"/>
      <c r="E353" s="188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0"/>
      <c r="AC353" s="181"/>
      <c r="AD353" s="181"/>
      <c r="AE353" s="181"/>
      <c r="AF353" s="181"/>
    </row>
    <row r="354" spans="2:32">
      <c r="B354" s="181"/>
      <c r="C354" s="184"/>
      <c r="D354" s="188"/>
      <c r="E354" s="188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0"/>
      <c r="AC354" s="181"/>
      <c r="AD354" s="181"/>
      <c r="AE354" s="181"/>
      <c r="AF354" s="181"/>
    </row>
    <row r="355" spans="2:32">
      <c r="B355" s="181"/>
      <c r="C355" s="184"/>
      <c r="D355" s="188"/>
      <c r="E355" s="188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0"/>
      <c r="AC355" s="181"/>
      <c r="AD355" s="181"/>
      <c r="AE355" s="181"/>
      <c r="AF355" s="181"/>
    </row>
    <row r="356" spans="2:32">
      <c r="B356" s="181"/>
      <c r="C356" s="184"/>
      <c r="D356" s="188"/>
      <c r="E356" s="188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0"/>
      <c r="AC356" s="181"/>
      <c r="AD356" s="181"/>
      <c r="AE356" s="181"/>
      <c r="AF356" s="181"/>
    </row>
    <row r="357" spans="2:32">
      <c r="B357" s="181"/>
      <c r="C357" s="184"/>
      <c r="D357" s="188"/>
      <c r="E357" s="188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0"/>
      <c r="AC357" s="181"/>
      <c r="AD357" s="181"/>
      <c r="AE357" s="181"/>
      <c r="AF357" s="181"/>
    </row>
    <row r="358" spans="2:32">
      <c r="B358" s="181"/>
      <c r="C358" s="184"/>
      <c r="D358" s="188"/>
      <c r="E358" s="188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0"/>
      <c r="AC358" s="181"/>
      <c r="AD358" s="181"/>
      <c r="AE358" s="181"/>
      <c r="AF358" s="181"/>
    </row>
    <row r="359" spans="2:32">
      <c r="B359" s="181"/>
      <c r="C359" s="184"/>
      <c r="D359" s="188"/>
      <c r="E359" s="188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0"/>
      <c r="AC359" s="181"/>
      <c r="AD359" s="181"/>
      <c r="AE359" s="181"/>
      <c r="AF359" s="181"/>
    </row>
    <row r="360" spans="2:32">
      <c r="B360" s="181"/>
      <c r="C360" s="184"/>
      <c r="D360" s="188"/>
      <c r="E360" s="188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0"/>
      <c r="AC360" s="181"/>
      <c r="AD360" s="181"/>
      <c r="AE360" s="181"/>
      <c r="AF360" s="181"/>
    </row>
    <row r="361" spans="2:32">
      <c r="B361" s="181"/>
      <c r="C361" s="184"/>
      <c r="D361" s="188"/>
      <c r="E361" s="188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0"/>
      <c r="AC361" s="181"/>
      <c r="AD361" s="181"/>
      <c r="AE361" s="181"/>
      <c r="AF361" s="181"/>
    </row>
    <row r="362" spans="2:32">
      <c r="B362" s="181"/>
      <c r="C362" s="184"/>
      <c r="D362" s="188"/>
      <c r="E362" s="188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0"/>
      <c r="AC362" s="181"/>
      <c r="AD362" s="181"/>
      <c r="AE362" s="181"/>
      <c r="AF362" s="181"/>
    </row>
    <row r="363" spans="2:32">
      <c r="B363" s="181"/>
      <c r="C363" s="184"/>
      <c r="D363" s="188"/>
      <c r="E363" s="188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0"/>
      <c r="AC363" s="181"/>
      <c r="AD363" s="181"/>
      <c r="AE363" s="181"/>
      <c r="AF363" s="181"/>
    </row>
    <row r="364" spans="2:32">
      <c r="B364" s="181"/>
      <c r="C364" s="184"/>
      <c r="D364" s="188"/>
      <c r="E364" s="188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0"/>
      <c r="AC364" s="181"/>
      <c r="AD364" s="181"/>
      <c r="AE364" s="181"/>
      <c r="AF364" s="181"/>
    </row>
    <row r="365" spans="2:32">
      <c r="B365" s="181"/>
      <c r="C365" s="184"/>
      <c r="D365" s="188"/>
      <c r="E365" s="188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0"/>
      <c r="AC365" s="181"/>
      <c r="AD365" s="181"/>
      <c r="AE365" s="181"/>
      <c r="AF365" s="181"/>
    </row>
    <row r="366" spans="2:32">
      <c r="B366" s="181"/>
      <c r="C366" s="184"/>
      <c r="D366" s="188"/>
      <c r="E366" s="188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0"/>
      <c r="AC366" s="181"/>
      <c r="AD366" s="181"/>
      <c r="AE366" s="181"/>
      <c r="AF366" s="181"/>
    </row>
    <row r="367" spans="2:32">
      <c r="B367" s="181"/>
      <c r="C367" s="184"/>
      <c r="D367" s="188"/>
      <c r="E367" s="188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0"/>
      <c r="AC367" s="181"/>
      <c r="AD367" s="181"/>
      <c r="AE367" s="181"/>
      <c r="AF367" s="181"/>
    </row>
    <row r="368" spans="2:32">
      <c r="B368" s="181"/>
      <c r="C368" s="184"/>
      <c r="D368" s="188"/>
      <c r="E368" s="188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0"/>
      <c r="AC368" s="181"/>
      <c r="AD368" s="181"/>
      <c r="AE368" s="181"/>
      <c r="AF368" s="181"/>
    </row>
    <row r="369" spans="2:32">
      <c r="B369" s="181"/>
      <c r="C369" s="184"/>
      <c r="D369" s="188"/>
      <c r="E369" s="188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0"/>
      <c r="AC369" s="181"/>
      <c r="AD369" s="181"/>
      <c r="AE369" s="181"/>
      <c r="AF369" s="181"/>
    </row>
    <row r="370" spans="2:32">
      <c r="B370" s="181"/>
      <c r="C370" s="184"/>
      <c r="D370" s="188"/>
      <c r="E370" s="188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0"/>
      <c r="AC370" s="181"/>
      <c r="AD370" s="181"/>
      <c r="AE370" s="181"/>
      <c r="AF370" s="181"/>
    </row>
    <row r="371" spans="2:32">
      <c r="B371" s="181"/>
      <c r="C371" s="184"/>
      <c r="D371" s="188"/>
      <c r="E371" s="188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0"/>
      <c r="AC371" s="181"/>
      <c r="AD371" s="181"/>
      <c r="AE371" s="181"/>
      <c r="AF371" s="181"/>
    </row>
    <row r="372" spans="2:32">
      <c r="B372" s="181"/>
      <c r="C372" s="184"/>
      <c r="D372" s="188"/>
      <c r="E372" s="188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0"/>
      <c r="AC372" s="181"/>
      <c r="AD372" s="181"/>
      <c r="AE372" s="181"/>
      <c r="AF372" s="181"/>
    </row>
    <row r="373" spans="2:32">
      <c r="B373" s="181"/>
      <c r="C373" s="184"/>
      <c r="D373" s="188"/>
      <c r="E373" s="188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0"/>
      <c r="AC373" s="181"/>
      <c r="AD373" s="181"/>
      <c r="AE373" s="181"/>
      <c r="AF373" s="181"/>
    </row>
    <row r="374" spans="2:32">
      <c r="B374" s="181"/>
      <c r="C374" s="184"/>
      <c r="D374" s="188"/>
      <c r="E374" s="188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0"/>
      <c r="AC374" s="181"/>
      <c r="AD374" s="181"/>
      <c r="AE374" s="181"/>
      <c r="AF374" s="181"/>
    </row>
    <row r="375" spans="2:32">
      <c r="B375" s="181"/>
      <c r="C375" s="184"/>
      <c r="D375" s="188"/>
      <c r="E375" s="188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0"/>
      <c r="AC375" s="181"/>
      <c r="AD375" s="181"/>
      <c r="AE375" s="181"/>
      <c r="AF375" s="181"/>
    </row>
    <row r="376" spans="2:32">
      <c r="B376" s="181"/>
      <c r="C376" s="184"/>
      <c r="D376" s="188"/>
      <c r="E376" s="188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0"/>
      <c r="AC376" s="181"/>
      <c r="AD376" s="181"/>
      <c r="AE376" s="181"/>
      <c r="AF376" s="181"/>
    </row>
    <row r="377" spans="2:32">
      <c r="B377" s="181"/>
      <c r="C377" s="184"/>
      <c r="D377" s="188"/>
      <c r="E377" s="188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0"/>
      <c r="AC377" s="181"/>
      <c r="AD377" s="181"/>
      <c r="AE377" s="181"/>
      <c r="AF377" s="181"/>
    </row>
    <row r="378" spans="2:32">
      <c r="B378" s="181"/>
      <c r="C378" s="184"/>
      <c r="D378" s="188"/>
      <c r="E378" s="188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0"/>
      <c r="AC378" s="181"/>
      <c r="AD378" s="181"/>
      <c r="AE378" s="181"/>
      <c r="AF378" s="181"/>
    </row>
    <row r="379" spans="2:32">
      <c r="B379" s="181"/>
      <c r="C379" s="184"/>
      <c r="D379" s="188"/>
      <c r="E379" s="188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0"/>
      <c r="AC379" s="181"/>
      <c r="AD379" s="181"/>
      <c r="AE379" s="181"/>
      <c r="AF379" s="181"/>
    </row>
    <row r="380" spans="2:32">
      <c r="B380" s="181"/>
      <c r="C380" s="184"/>
      <c r="D380" s="188"/>
      <c r="E380" s="188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0"/>
      <c r="AC380" s="181"/>
      <c r="AD380" s="181"/>
      <c r="AE380" s="181"/>
      <c r="AF380" s="181"/>
    </row>
    <row r="381" spans="2:32">
      <c r="B381" s="181"/>
      <c r="C381" s="184"/>
      <c r="D381" s="188"/>
      <c r="E381" s="188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0"/>
      <c r="AC381" s="181"/>
      <c r="AD381" s="181"/>
      <c r="AE381" s="181"/>
      <c r="AF381" s="181"/>
    </row>
    <row r="382" spans="2:32">
      <c r="B382" s="181"/>
      <c r="C382" s="184"/>
      <c r="D382" s="188"/>
      <c r="E382" s="188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0"/>
      <c r="AC382" s="181"/>
      <c r="AD382" s="181"/>
      <c r="AE382" s="181"/>
      <c r="AF382" s="181"/>
    </row>
    <row r="383" spans="2:32">
      <c r="B383" s="181"/>
      <c r="C383" s="184"/>
      <c r="D383" s="188"/>
      <c r="E383" s="188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0"/>
      <c r="AC383" s="181"/>
      <c r="AD383" s="181"/>
      <c r="AE383" s="181"/>
      <c r="AF383" s="181"/>
    </row>
    <row r="384" spans="2:32">
      <c r="B384" s="181"/>
      <c r="C384" s="184"/>
      <c r="D384" s="188"/>
      <c r="E384" s="188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0"/>
      <c r="AC384" s="181"/>
      <c r="AD384" s="181"/>
      <c r="AE384" s="181"/>
      <c r="AF384" s="181"/>
    </row>
    <row r="385" spans="2:32">
      <c r="B385" s="181"/>
      <c r="C385" s="184"/>
      <c r="D385" s="188"/>
      <c r="E385" s="188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0"/>
      <c r="AC385" s="181"/>
      <c r="AD385" s="181"/>
      <c r="AE385" s="181"/>
      <c r="AF385" s="181"/>
    </row>
    <row r="386" spans="2:32">
      <c r="B386" s="181"/>
      <c r="C386" s="184"/>
      <c r="D386" s="188"/>
      <c r="E386" s="188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0"/>
      <c r="AC386" s="181"/>
      <c r="AD386" s="181"/>
      <c r="AE386" s="181"/>
      <c r="AF386" s="181"/>
    </row>
    <row r="387" spans="2:32">
      <c r="B387" s="181"/>
      <c r="C387" s="184"/>
      <c r="D387" s="188"/>
      <c r="E387" s="188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0"/>
      <c r="AC387" s="181"/>
      <c r="AD387" s="181"/>
      <c r="AE387" s="181"/>
      <c r="AF387" s="181"/>
    </row>
    <row r="388" spans="2:32">
      <c r="B388" s="181"/>
      <c r="C388" s="184"/>
      <c r="D388" s="188"/>
      <c r="E388" s="188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0"/>
      <c r="AC388" s="181"/>
      <c r="AD388" s="181"/>
      <c r="AE388" s="181"/>
      <c r="AF388" s="181"/>
    </row>
    <row r="389" spans="2:32">
      <c r="B389" s="181"/>
      <c r="C389" s="184"/>
      <c r="D389" s="188"/>
      <c r="E389" s="188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0"/>
      <c r="AC389" s="181"/>
      <c r="AD389" s="181"/>
      <c r="AE389" s="181"/>
      <c r="AF389" s="181"/>
    </row>
    <row r="390" spans="2:32">
      <c r="B390" s="181"/>
      <c r="C390" s="184"/>
      <c r="D390" s="188"/>
      <c r="E390" s="188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0"/>
      <c r="AC390" s="181"/>
      <c r="AD390" s="181"/>
      <c r="AE390" s="181"/>
      <c r="AF390" s="181"/>
    </row>
    <row r="391" spans="2:32">
      <c r="B391" s="181"/>
      <c r="C391" s="184"/>
      <c r="D391" s="188"/>
      <c r="E391" s="188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0"/>
      <c r="AC391" s="181"/>
      <c r="AD391" s="181"/>
      <c r="AE391" s="181"/>
      <c r="AF391" s="181"/>
    </row>
    <row r="392" spans="2:32">
      <c r="B392" s="181"/>
      <c r="C392" s="184"/>
      <c r="D392" s="188"/>
      <c r="E392" s="188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0"/>
      <c r="AC392" s="181"/>
      <c r="AD392" s="181"/>
      <c r="AE392" s="181"/>
      <c r="AF392" s="181"/>
    </row>
    <row r="393" spans="2:32">
      <c r="B393" s="181"/>
      <c r="C393" s="184"/>
      <c r="D393" s="188"/>
      <c r="E393" s="188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0"/>
      <c r="AC393" s="181"/>
      <c r="AD393" s="181"/>
      <c r="AE393" s="181"/>
      <c r="AF393" s="181"/>
    </row>
    <row r="394" spans="2:32">
      <c r="B394" s="181"/>
      <c r="C394" s="184"/>
      <c r="D394" s="188"/>
      <c r="E394" s="188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0"/>
      <c r="AC394" s="181"/>
      <c r="AD394" s="181"/>
      <c r="AE394" s="181"/>
      <c r="AF394" s="181"/>
    </row>
    <row r="395" spans="2:32">
      <c r="B395" s="181"/>
      <c r="C395" s="184"/>
      <c r="D395" s="188"/>
      <c r="E395" s="188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0"/>
      <c r="AC395" s="181"/>
      <c r="AD395" s="181"/>
      <c r="AE395" s="181"/>
      <c r="AF395" s="181"/>
    </row>
    <row r="396" spans="2:32">
      <c r="B396" s="181"/>
      <c r="C396" s="184"/>
      <c r="D396" s="188"/>
      <c r="E396" s="188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0"/>
      <c r="AC396" s="181"/>
      <c r="AD396" s="181"/>
      <c r="AE396" s="181"/>
      <c r="AF396" s="181"/>
    </row>
    <row r="397" spans="2:32">
      <c r="B397" s="181"/>
      <c r="C397" s="184"/>
      <c r="D397" s="188"/>
      <c r="E397" s="188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0"/>
      <c r="AC397" s="181"/>
      <c r="AD397" s="181"/>
      <c r="AE397" s="181"/>
      <c r="AF397" s="181"/>
    </row>
    <row r="398" spans="2:32">
      <c r="B398" s="181"/>
      <c r="C398" s="184"/>
      <c r="D398" s="188"/>
      <c r="E398" s="188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0"/>
      <c r="AC398" s="181"/>
      <c r="AD398" s="181"/>
      <c r="AE398" s="181"/>
      <c r="AF398" s="181"/>
    </row>
    <row r="399" spans="2:32">
      <c r="B399" s="181"/>
      <c r="C399" s="184"/>
      <c r="D399" s="188"/>
      <c r="E399" s="188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0"/>
      <c r="AC399" s="181"/>
      <c r="AD399" s="181"/>
      <c r="AE399" s="181"/>
      <c r="AF399" s="181"/>
    </row>
    <row r="400" spans="2:32">
      <c r="B400" s="181"/>
      <c r="C400" s="184"/>
      <c r="D400" s="188"/>
      <c r="E400" s="188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0"/>
      <c r="AC400" s="181"/>
      <c r="AD400" s="181"/>
      <c r="AE400" s="181"/>
      <c r="AF400" s="181"/>
    </row>
    <row r="401" spans="2:32">
      <c r="B401" s="181"/>
      <c r="C401" s="184"/>
      <c r="D401" s="188"/>
      <c r="E401" s="188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0"/>
      <c r="AC401" s="181"/>
      <c r="AD401" s="181"/>
      <c r="AE401" s="181"/>
      <c r="AF401" s="181"/>
    </row>
    <row r="402" spans="2:32">
      <c r="B402" s="181"/>
      <c r="C402" s="184"/>
      <c r="D402" s="188"/>
      <c r="E402" s="188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0"/>
      <c r="AC402" s="181"/>
      <c r="AD402" s="181"/>
      <c r="AE402" s="181"/>
      <c r="AF402" s="181"/>
    </row>
    <row r="403" spans="2:32">
      <c r="B403" s="181"/>
      <c r="C403" s="184"/>
      <c r="D403" s="188"/>
      <c r="E403" s="188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0"/>
      <c r="AC403" s="181"/>
      <c r="AD403" s="181"/>
      <c r="AE403" s="181"/>
      <c r="AF403" s="181"/>
    </row>
    <row r="404" spans="2:32">
      <c r="B404" s="181"/>
      <c r="C404" s="184"/>
      <c r="D404" s="188"/>
      <c r="E404" s="188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0"/>
      <c r="AC404" s="181"/>
      <c r="AD404" s="181"/>
      <c r="AE404" s="181"/>
      <c r="AF404" s="181"/>
    </row>
    <row r="405" spans="2:32">
      <c r="B405" s="181"/>
      <c r="C405" s="184"/>
      <c r="D405" s="188"/>
      <c r="E405" s="188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0"/>
      <c r="AC405" s="181"/>
      <c r="AD405" s="181"/>
      <c r="AE405" s="181"/>
      <c r="AF405" s="181"/>
    </row>
    <row r="406" spans="2:32">
      <c r="B406" s="181"/>
      <c r="C406" s="184"/>
      <c r="D406" s="188"/>
      <c r="E406" s="188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0"/>
      <c r="AC406" s="181"/>
      <c r="AD406" s="181"/>
      <c r="AE406" s="181"/>
      <c r="AF406" s="181"/>
    </row>
    <row r="407" spans="2:32">
      <c r="B407" s="181"/>
      <c r="C407" s="184"/>
      <c r="D407" s="188"/>
      <c r="E407" s="188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0"/>
      <c r="AC407" s="181"/>
      <c r="AD407" s="181"/>
      <c r="AE407" s="181"/>
      <c r="AF407" s="181"/>
    </row>
    <row r="408" spans="2:32">
      <c r="B408" s="181"/>
      <c r="C408" s="184"/>
      <c r="D408" s="188"/>
      <c r="E408" s="188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0"/>
      <c r="AC408" s="181"/>
      <c r="AD408" s="181"/>
      <c r="AE408" s="181"/>
      <c r="AF408" s="181"/>
    </row>
    <row r="409" spans="2:32">
      <c r="B409" s="181"/>
      <c r="C409" s="184"/>
      <c r="D409" s="188"/>
      <c r="E409" s="188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0"/>
      <c r="AC409" s="181"/>
      <c r="AD409" s="181"/>
      <c r="AE409" s="181"/>
      <c r="AF409" s="181"/>
    </row>
    <row r="410" spans="2:32">
      <c r="B410" s="181"/>
      <c r="C410" s="184"/>
      <c r="D410" s="188"/>
      <c r="E410" s="188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0"/>
      <c r="AC410" s="181"/>
      <c r="AD410" s="181"/>
      <c r="AE410" s="181"/>
      <c r="AF410" s="181"/>
    </row>
    <row r="411" spans="2:32">
      <c r="B411" s="181"/>
      <c r="C411" s="184"/>
      <c r="D411" s="188"/>
      <c r="E411" s="188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0"/>
      <c r="AC411" s="181"/>
      <c r="AD411" s="181"/>
      <c r="AE411" s="181"/>
      <c r="AF411" s="181"/>
    </row>
    <row r="412" spans="2:32">
      <c r="B412" s="181"/>
      <c r="C412" s="184"/>
      <c r="D412" s="188"/>
      <c r="E412" s="188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0"/>
      <c r="AC412" s="181"/>
      <c r="AD412" s="181"/>
      <c r="AE412" s="181"/>
      <c r="AF412" s="181"/>
    </row>
    <row r="413" spans="2:32">
      <c r="B413" s="181"/>
      <c r="C413" s="184"/>
      <c r="D413" s="188"/>
      <c r="E413" s="188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0"/>
      <c r="AC413" s="181"/>
      <c r="AD413" s="181"/>
      <c r="AE413" s="181"/>
      <c r="AF413" s="181"/>
    </row>
    <row r="414" spans="2:32">
      <c r="B414" s="181"/>
      <c r="C414" s="184"/>
      <c r="D414" s="188"/>
      <c r="E414" s="188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0"/>
      <c r="AC414" s="181"/>
      <c r="AD414" s="181"/>
      <c r="AE414" s="181"/>
      <c r="AF414" s="181"/>
    </row>
    <row r="415" spans="2:32">
      <c r="B415" s="181"/>
      <c r="C415" s="184"/>
      <c r="D415" s="188"/>
      <c r="E415" s="188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0"/>
      <c r="AC415" s="181"/>
      <c r="AD415" s="181"/>
      <c r="AE415" s="181"/>
      <c r="AF415" s="181"/>
    </row>
    <row r="416" spans="2:32">
      <c r="B416" s="181"/>
      <c r="C416" s="184"/>
      <c r="D416" s="188"/>
      <c r="E416" s="188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0"/>
      <c r="AC416" s="181"/>
      <c r="AD416" s="181"/>
      <c r="AE416" s="181"/>
      <c r="AF416" s="181"/>
    </row>
    <row r="417" spans="2:32">
      <c r="B417" s="181"/>
      <c r="C417" s="184"/>
      <c r="D417" s="188"/>
      <c r="E417" s="188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0"/>
      <c r="AC417" s="181"/>
      <c r="AD417" s="181"/>
      <c r="AE417" s="181"/>
      <c r="AF417" s="181"/>
    </row>
    <row r="418" spans="2:32">
      <c r="B418" s="181"/>
      <c r="C418" s="184"/>
      <c r="D418" s="188"/>
      <c r="E418" s="188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0"/>
      <c r="AC418" s="181"/>
      <c r="AD418" s="181"/>
      <c r="AE418" s="181"/>
      <c r="AF418" s="181"/>
    </row>
    <row r="419" spans="2:32">
      <c r="B419" s="181"/>
      <c r="C419" s="184"/>
      <c r="D419" s="188"/>
      <c r="E419" s="188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0"/>
      <c r="AC419" s="181"/>
      <c r="AD419" s="181"/>
      <c r="AE419" s="181"/>
      <c r="AF419" s="181"/>
    </row>
    <row r="420" spans="2:32">
      <c r="B420" s="181"/>
      <c r="C420" s="184"/>
      <c r="D420" s="188"/>
      <c r="E420" s="188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0"/>
      <c r="AC420" s="181"/>
      <c r="AD420" s="181"/>
      <c r="AE420" s="181"/>
      <c r="AF420" s="181"/>
    </row>
    <row r="421" spans="2:32">
      <c r="B421" s="181"/>
      <c r="C421" s="184"/>
      <c r="D421" s="188"/>
      <c r="E421" s="188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0"/>
      <c r="AC421" s="181"/>
      <c r="AD421" s="181"/>
      <c r="AE421" s="181"/>
      <c r="AF421" s="181"/>
    </row>
    <row r="422" spans="2:32">
      <c r="B422" s="181"/>
      <c r="C422" s="184"/>
      <c r="D422" s="188"/>
      <c r="E422" s="188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0"/>
      <c r="AC422" s="181"/>
      <c r="AD422" s="181"/>
      <c r="AE422" s="181"/>
      <c r="AF422" s="181"/>
    </row>
    <row r="423" spans="2:32">
      <c r="B423" s="181"/>
      <c r="C423" s="184"/>
      <c r="D423" s="188"/>
      <c r="E423" s="188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0"/>
      <c r="AC423" s="181"/>
      <c r="AD423" s="181"/>
      <c r="AE423" s="181"/>
      <c r="AF423" s="181"/>
    </row>
    <row r="424" spans="2:32">
      <c r="B424" s="181"/>
      <c r="C424" s="184"/>
      <c r="D424" s="188"/>
      <c r="E424" s="188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0"/>
      <c r="AC424" s="181"/>
      <c r="AD424" s="181"/>
      <c r="AE424" s="181"/>
      <c r="AF424" s="181"/>
    </row>
    <row r="425" spans="2:32">
      <c r="B425" s="181"/>
      <c r="C425" s="184"/>
      <c r="D425" s="188"/>
      <c r="E425" s="188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0"/>
      <c r="AC425" s="181"/>
      <c r="AD425" s="181"/>
      <c r="AE425" s="181"/>
      <c r="AF425" s="181"/>
    </row>
    <row r="426" spans="2:32">
      <c r="B426" s="181"/>
      <c r="C426" s="184"/>
      <c r="D426" s="188"/>
      <c r="E426" s="188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0"/>
      <c r="AC426" s="181"/>
      <c r="AD426" s="181"/>
      <c r="AE426" s="181"/>
      <c r="AF426" s="181"/>
    </row>
    <row r="427" spans="2:32">
      <c r="B427" s="181"/>
      <c r="C427" s="184"/>
      <c r="D427" s="188"/>
      <c r="E427" s="188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0"/>
      <c r="AC427" s="181"/>
      <c r="AD427" s="181"/>
      <c r="AE427" s="181"/>
      <c r="AF427" s="181"/>
    </row>
    <row r="428" spans="2:32">
      <c r="B428" s="181"/>
      <c r="C428" s="184"/>
      <c r="D428" s="188"/>
      <c r="E428" s="188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0"/>
      <c r="AC428" s="181"/>
      <c r="AD428" s="181"/>
      <c r="AE428" s="181"/>
      <c r="AF428" s="181"/>
    </row>
    <row r="429" spans="2:32">
      <c r="B429" s="181"/>
      <c r="C429" s="184"/>
      <c r="D429" s="188"/>
      <c r="E429" s="188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0"/>
      <c r="AC429" s="181"/>
      <c r="AD429" s="181"/>
      <c r="AE429" s="181"/>
      <c r="AF429" s="181"/>
    </row>
    <row r="430" spans="2:32">
      <c r="B430" s="181"/>
      <c r="C430" s="184"/>
      <c r="D430" s="188"/>
      <c r="E430" s="188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0"/>
      <c r="AC430" s="181"/>
      <c r="AD430" s="181"/>
      <c r="AE430" s="181"/>
      <c r="AF430" s="181"/>
    </row>
    <row r="431" spans="2:32">
      <c r="B431" s="181"/>
      <c r="C431" s="184"/>
      <c r="D431" s="188"/>
      <c r="E431" s="188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0"/>
      <c r="AC431" s="181"/>
      <c r="AD431" s="181"/>
      <c r="AE431" s="181"/>
      <c r="AF431" s="181"/>
    </row>
    <row r="432" spans="2:32">
      <c r="B432" s="181"/>
      <c r="C432" s="184"/>
      <c r="D432" s="188"/>
      <c r="E432" s="188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0"/>
      <c r="AC432" s="181"/>
      <c r="AD432" s="181"/>
      <c r="AE432" s="181"/>
      <c r="AF432" s="181"/>
    </row>
    <row r="433" spans="2:32">
      <c r="B433" s="181"/>
      <c r="C433" s="184"/>
      <c r="D433" s="188"/>
      <c r="E433" s="188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0"/>
      <c r="AC433" s="181"/>
      <c r="AD433" s="181"/>
      <c r="AE433" s="181"/>
      <c r="AF433" s="181"/>
    </row>
    <row r="434" spans="2:32">
      <c r="B434" s="181"/>
      <c r="C434" s="184"/>
      <c r="D434" s="188"/>
      <c r="E434" s="188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0"/>
      <c r="AC434" s="181"/>
      <c r="AD434" s="181"/>
      <c r="AE434" s="181"/>
      <c r="AF434" s="181"/>
    </row>
    <row r="435" spans="2:32">
      <c r="B435" s="181"/>
      <c r="C435" s="184"/>
      <c r="D435" s="188"/>
      <c r="E435" s="188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0"/>
      <c r="AC435" s="181"/>
      <c r="AD435" s="181"/>
      <c r="AE435" s="181"/>
      <c r="AF435" s="181"/>
    </row>
    <row r="436" spans="2:32">
      <c r="B436" s="181"/>
      <c r="C436" s="184"/>
      <c r="D436" s="188"/>
      <c r="E436" s="188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0"/>
      <c r="AC436" s="181"/>
      <c r="AD436" s="181"/>
      <c r="AE436" s="181"/>
      <c r="AF436" s="181"/>
    </row>
    <row r="437" spans="2:32">
      <c r="B437" s="181"/>
      <c r="C437" s="184"/>
      <c r="D437" s="188"/>
      <c r="E437" s="188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0"/>
      <c r="AC437" s="181"/>
      <c r="AD437" s="181"/>
      <c r="AE437" s="181"/>
      <c r="AF437" s="181"/>
    </row>
    <row r="438" spans="2:32">
      <c r="B438" s="181"/>
      <c r="C438" s="184"/>
      <c r="D438" s="188"/>
      <c r="E438" s="188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0"/>
      <c r="AC438" s="181"/>
      <c r="AD438" s="181"/>
      <c r="AE438" s="181"/>
      <c r="AF438" s="181"/>
    </row>
    <row r="439" spans="2:32">
      <c r="B439" s="181"/>
      <c r="C439" s="184"/>
      <c r="D439" s="188"/>
      <c r="E439" s="188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0"/>
      <c r="AC439" s="181"/>
      <c r="AD439" s="181"/>
      <c r="AE439" s="181"/>
      <c r="AF439" s="181"/>
    </row>
    <row r="440" spans="2:32">
      <c r="B440" s="181"/>
      <c r="C440" s="184"/>
      <c r="D440" s="188"/>
      <c r="E440" s="188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0"/>
      <c r="AC440" s="181"/>
      <c r="AD440" s="181"/>
      <c r="AE440" s="181"/>
      <c r="AF440" s="181"/>
    </row>
    <row r="441" spans="2:32">
      <c r="B441" s="181"/>
      <c r="C441" s="184"/>
      <c r="D441" s="188"/>
      <c r="E441" s="188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0"/>
      <c r="AC441" s="181"/>
      <c r="AD441" s="181"/>
      <c r="AE441" s="181"/>
      <c r="AF441" s="181"/>
    </row>
    <row r="442" spans="2:32">
      <c r="B442" s="181"/>
      <c r="C442" s="184"/>
      <c r="D442" s="188"/>
      <c r="E442" s="188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0"/>
      <c r="AC442" s="181"/>
      <c r="AD442" s="181"/>
      <c r="AE442" s="181"/>
      <c r="AF442" s="181"/>
    </row>
    <row r="443" spans="2:32">
      <c r="B443" s="181"/>
      <c r="C443" s="184"/>
      <c r="D443" s="188"/>
      <c r="E443" s="188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0"/>
      <c r="AC443" s="181"/>
      <c r="AD443" s="181"/>
      <c r="AE443" s="181"/>
      <c r="AF443" s="181"/>
    </row>
    <row r="444" spans="2:32">
      <c r="B444" s="181"/>
      <c r="C444" s="184"/>
      <c r="D444" s="188"/>
      <c r="E444" s="188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0"/>
      <c r="AC444" s="181"/>
      <c r="AD444" s="181"/>
      <c r="AE444" s="181"/>
      <c r="AF444" s="181"/>
    </row>
    <row r="445" spans="2:32">
      <c r="B445" s="181"/>
      <c r="C445" s="184"/>
      <c r="D445" s="188"/>
      <c r="E445" s="188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0"/>
      <c r="AC445" s="181"/>
      <c r="AD445" s="181"/>
      <c r="AE445" s="181"/>
      <c r="AF445" s="181"/>
    </row>
    <row r="446" spans="2:32">
      <c r="B446" s="181"/>
      <c r="C446" s="184"/>
      <c r="D446" s="188"/>
      <c r="E446" s="188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0"/>
      <c r="AC446" s="181"/>
      <c r="AD446" s="181"/>
      <c r="AE446" s="181"/>
      <c r="AF446" s="181"/>
    </row>
    <row r="447" spans="2:32">
      <c r="B447" s="181"/>
      <c r="C447" s="184"/>
      <c r="D447" s="188"/>
      <c r="E447" s="188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0"/>
      <c r="AC447" s="181"/>
      <c r="AD447" s="181"/>
      <c r="AE447" s="181"/>
      <c r="AF447" s="181"/>
    </row>
    <row r="448" spans="2:32">
      <c r="B448" s="181"/>
      <c r="C448" s="184"/>
      <c r="D448" s="188"/>
      <c r="E448" s="188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0"/>
      <c r="AC448" s="181"/>
      <c r="AD448" s="181"/>
      <c r="AE448" s="181"/>
      <c r="AF448" s="181"/>
    </row>
    <row r="449" spans="2:32">
      <c r="B449" s="181"/>
      <c r="C449" s="184"/>
      <c r="D449" s="188"/>
      <c r="E449" s="188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0"/>
      <c r="AC449" s="181"/>
      <c r="AD449" s="181"/>
      <c r="AE449" s="181"/>
      <c r="AF449" s="181"/>
    </row>
    <row r="450" spans="2:32">
      <c r="B450" s="181"/>
      <c r="C450" s="184"/>
      <c r="D450" s="188"/>
      <c r="E450" s="188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0"/>
      <c r="AC450" s="181"/>
      <c r="AD450" s="181"/>
      <c r="AE450" s="181"/>
      <c r="AF450" s="181"/>
    </row>
    <row r="451" spans="2:32">
      <c r="B451" s="181"/>
      <c r="C451" s="184"/>
      <c r="D451" s="188"/>
      <c r="E451" s="188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0"/>
      <c r="AC451" s="181"/>
      <c r="AD451" s="181"/>
      <c r="AE451" s="181"/>
      <c r="AF451" s="181"/>
    </row>
    <row r="452" spans="2:32">
      <c r="B452" s="181"/>
      <c r="C452" s="184"/>
      <c r="D452" s="188"/>
      <c r="E452" s="188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0"/>
      <c r="AC452" s="181"/>
      <c r="AD452" s="181"/>
      <c r="AE452" s="181"/>
      <c r="AF452" s="181"/>
    </row>
    <row r="453" spans="2:32">
      <c r="B453" s="181"/>
      <c r="C453" s="184"/>
      <c r="D453" s="188"/>
      <c r="E453" s="188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0"/>
      <c r="AC453" s="181"/>
      <c r="AD453" s="181"/>
      <c r="AE453" s="181"/>
      <c r="AF453" s="181"/>
    </row>
    <row r="454" spans="2:32">
      <c r="B454" s="181"/>
      <c r="C454" s="184"/>
      <c r="D454" s="188"/>
      <c r="E454" s="188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0"/>
      <c r="AC454" s="181"/>
      <c r="AD454" s="181"/>
      <c r="AE454" s="181"/>
      <c r="AF454" s="181"/>
    </row>
    <row r="455" spans="2:32">
      <c r="B455" s="181"/>
      <c r="C455" s="184"/>
      <c r="D455" s="188"/>
      <c r="E455" s="188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0"/>
      <c r="AC455" s="181"/>
      <c r="AD455" s="181"/>
      <c r="AE455" s="181"/>
      <c r="AF455" s="181"/>
    </row>
    <row r="456" spans="2:32">
      <c r="B456" s="181"/>
      <c r="C456" s="184"/>
      <c r="D456" s="188"/>
      <c r="E456" s="188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0"/>
      <c r="AC456" s="181"/>
      <c r="AD456" s="181"/>
      <c r="AE456" s="181"/>
      <c r="AF456" s="181"/>
    </row>
    <row r="457" spans="2:32">
      <c r="B457" s="181"/>
      <c r="C457" s="184"/>
      <c r="D457" s="188"/>
      <c r="E457" s="188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0"/>
      <c r="AC457" s="181"/>
      <c r="AD457" s="181"/>
      <c r="AE457" s="181"/>
      <c r="AF457" s="181"/>
    </row>
    <row r="458" spans="2:32">
      <c r="B458" s="181"/>
      <c r="C458" s="184"/>
      <c r="D458" s="188"/>
      <c r="E458" s="188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0"/>
      <c r="AC458" s="181"/>
      <c r="AD458" s="181"/>
      <c r="AE458" s="181"/>
      <c r="AF458" s="181"/>
    </row>
    <row r="459" spans="2:32">
      <c r="B459" s="181"/>
      <c r="C459" s="184"/>
      <c r="D459" s="188"/>
      <c r="E459" s="188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0"/>
      <c r="AC459" s="181"/>
      <c r="AD459" s="181"/>
      <c r="AE459" s="181"/>
      <c r="AF459" s="181"/>
    </row>
    <row r="460" spans="2:32">
      <c r="B460" s="181"/>
      <c r="C460" s="184"/>
      <c r="D460" s="188"/>
      <c r="E460" s="188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0"/>
      <c r="AC460" s="181"/>
      <c r="AD460" s="181"/>
      <c r="AE460" s="181"/>
      <c r="AF460" s="181"/>
    </row>
    <row r="461" spans="2:32">
      <c r="B461" s="181"/>
      <c r="C461" s="184"/>
      <c r="D461" s="188"/>
      <c r="E461" s="188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0"/>
      <c r="AC461" s="181"/>
      <c r="AD461" s="181"/>
      <c r="AE461" s="181"/>
      <c r="AF461" s="181"/>
    </row>
    <row r="462" spans="2:32">
      <c r="B462" s="181"/>
      <c r="C462" s="184"/>
      <c r="D462" s="188"/>
      <c r="E462" s="188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0"/>
      <c r="AC462" s="181"/>
      <c r="AD462" s="181"/>
      <c r="AE462" s="181"/>
      <c r="AF462" s="181"/>
    </row>
    <row r="463" spans="2:32">
      <c r="B463" s="181"/>
      <c r="C463" s="184"/>
      <c r="D463" s="188"/>
      <c r="E463" s="188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0"/>
      <c r="AC463" s="181"/>
      <c r="AD463" s="181"/>
      <c r="AE463" s="181"/>
      <c r="AF463" s="181"/>
    </row>
    <row r="464" spans="2:32">
      <c r="B464" s="181"/>
      <c r="C464" s="184"/>
      <c r="D464" s="188"/>
      <c r="E464" s="188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0"/>
      <c r="AC464" s="181"/>
      <c r="AD464" s="181"/>
      <c r="AE464" s="181"/>
      <c r="AF464" s="181"/>
    </row>
    <row r="465" spans="2:32">
      <c r="B465" s="181"/>
      <c r="C465" s="184"/>
      <c r="D465" s="188"/>
      <c r="E465" s="188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0"/>
      <c r="AC465" s="181"/>
      <c r="AD465" s="181"/>
      <c r="AE465" s="181"/>
      <c r="AF465" s="181"/>
    </row>
    <row r="466" spans="2:32">
      <c r="B466" s="181"/>
      <c r="C466" s="184"/>
      <c r="D466" s="188"/>
      <c r="E466" s="188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0"/>
      <c r="AC466" s="181"/>
      <c r="AD466" s="181"/>
      <c r="AE466" s="181"/>
      <c r="AF466" s="181"/>
    </row>
    <row r="467" spans="2:32">
      <c r="B467" s="181"/>
      <c r="C467" s="184"/>
      <c r="D467" s="188"/>
      <c r="E467" s="188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0"/>
      <c r="AC467" s="181"/>
      <c r="AD467" s="181"/>
      <c r="AE467" s="181"/>
      <c r="AF467" s="181"/>
    </row>
    <row r="468" spans="2:32">
      <c r="B468" s="181"/>
      <c r="C468" s="184"/>
      <c r="D468" s="188"/>
      <c r="E468" s="188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0"/>
      <c r="AC468" s="181"/>
      <c r="AD468" s="181"/>
      <c r="AE468" s="181"/>
      <c r="AF468" s="181"/>
    </row>
    <row r="469" spans="2:32">
      <c r="B469" s="181"/>
      <c r="C469" s="184"/>
      <c r="D469" s="188"/>
      <c r="E469" s="188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0"/>
      <c r="AC469" s="181"/>
      <c r="AD469" s="181"/>
      <c r="AE469" s="181"/>
      <c r="AF469" s="181"/>
    </row>
    <row r="470" spans="2:32">
      <c r="B470" s="181"/>
      <c r="C470" s="184"/>
      <c r="D470" s="188"/>
      <c r="E470" s="188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0"/>
      <c r="AC470" s="181"/>
      <c r="AD470" s="181"/>
      <c r="AE470" s="181"/>
      <c r="AF470" s="181"/>
    </row>
    <row r="471" spans="2:32">
      <c r="B471" s="181"/>
      <c r="C471" s="184"/>
      <c r="D471" s="188"/>
      <c r="E471" s="188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0"/>
      <c r="AC471" s="181"/>
      <c r="AD471" s="181"/>
      <c r="AE471" s="181"/>
      <c r="AF471" s="181"/>
    </row>
    <row r="472" spans="2:32">
      <c r="B472" s="181"/>
      <c r="C472" s="184"/>
      <c r="D472" s="188"/>
      <c r="E472" s="188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0"/>
      <c r="AC472" s="181"/>
      <c r="AD472" s="181"/>
      <c r="AE472" s="181"/>
      <c r="AF472" s="181"/>
    </row>
    <row r="473" spans="2:32">
      <c r="B473" s="181"/>
      <c r="C473" s="184"/>
      <c r="D473" s="188"/>
      <c r="E473" s="188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0"/>
      <c r="AC473" s="181"/>
      <c r="AD473" s="181"/>
      <c r="AE473" s="181"/>
      <c r="AF473" s="181"/>
    </row>
    <row r="474" spans="2:32">
      <c r="B474" s="181"/>
      <c r="C474" s="184"/>
      <c r="D474" s="188"/>
      <c r="E474" s="188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0"/>
      <c r="AC474" s="181"/>
      <c r="AD474" s="181"/>
      <c r="AE474" s="181"/>
      <c r="AF474" s="181"/>
    </row>
    <row r="475" spans="2:32">
      <c r="B475" s="181"/>
      <c r="C475" s="184"/>
      <c r="D475" s="188"/>
      <c r="E475" s="188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0"/>
      <c r="AC475" s="181"/>
      <c r="AD475" s="181"/>
      <c r="AE475" s="181"/>
      <c r="AF475" s="181"/>
    </row>
    <row r="476" spans="2:32">
      <c r="B476" s="181"/>
      <c r="C476" s="184"/>
      <c r="D476" s="188"/>
      <c r="E476" s="188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0"/>
      <c r="AC476" s="181"/>
      <c r="AD476" s="181"/>
      <c r="AE476" s="181"/>
      <c r="AF476" s="181"/>
    </row>
    <row r="477" spans="2:32">
      <c r="B477" s="181"/>
      <c r="C477" s="184"/>
      <c r="D477" s="188"/>
      <c r="E477" s="188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0"/>
      <c r="AC477" s="181"/>
      <c r="AD477" s="181"/>
      <c r="AE477" s="181"/>
      <c r="AF477" s="181"/>
    </row>
    <row r="478" spans="2:32">
      <c r="B478" s="181"/>
      <c r="C478" s="184"/>
      <c r="D478" s="188"/>
      <c r="E478" s="188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0"/>
      <c r="AC478" s="181"/>
      <c r="AD478" s="181"/>
      <c r="AE478" s="181"/>
      <c r="AF478" s="181"/>
    </row>
    <row r="479" spans="2:32">
      <c r="B479" s="181"/>
      <c r="C479" s="184"/>
      <c r="D479" s="188"/>
      <c r="E479" s="188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0"/>
      <c r="AC479" s="181"/>
      <c r="AD479" s="181"/>
      <c r="AE479" s="181"/>
      <c r="AF479" s="181"/>
    </row>
    <row r="480" spans="2:32">
      <c r="B480" s="181"/>
      <c r="C480" s="184"/>
      <c r="D480" s="188"/>
      <c r="E480" s="188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0"/>
      <c r="AC480" s="181"/>
      <c r="AD480" s="181"/>
      <c r="AE480" s="181"/>
      <c r="AF480" s="181"/>
    </row>
    <row r="481" spans="2:32">
      <c r="B481" s="181"/>
      <c r="C481" s="184"/>
      <c r="D481" s="188"/>
      <c r="E481" s="188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0"/>
      <c r="AC481" s="181"/>
      <c r="AD481" s="181"/>
      <c r="AE481" s="181"/>
      <c r="AF481" s="181"/>
    </row>
    <row r="482" spans="2:32">
      <c r="B482" s="181"/>
      <c r="C482" s="184"/>
      <c r="D482" s="188"/>
      <c r="E482" s="188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0"/>
      <c r="AC482" s="181"/>
      <c r="AD482" s="181"/>
      <c r="AE482" s="181"/>
      <c r="AF482" s="181"/>
    </row>
    <row r="483" spans="2:32">
      <c r="B483" s="181"/>
      <c r="C483" s="184"/>
      <c r="D483" s="188"/>
      <c r="E483" s="188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0"/>
      <c r="AC483" s="181"/>
      <c r="AD483" s="181"/>
      <c r="AE483" s="181"/>
      <c r="AF483" s="181"/>
    </row>
    <row r="484" spans="2:32">
      <c r="B484" s="181"/>
      <c r="C484" s="184"/>
      <c r="D484" s="188"/>
      <c r="E484" s="188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0"/>
      <c r="AC484" s="181"/>
      <c r="AD484" s="181"/>
      <c r="AE484" s="181"/>
      <c r="AF484" s="181"/>
    </row>
    <row r="485" spans="2:32">
      <c r="B485" s="181"/>
      <c r="C485" s="184"/>
      <c r="D485" s="188"/>
      <c r="E485" s="188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0"/>
      <c r="AC485" s="181"/>
      <c r="AD485" s="181"/>
      <c r="AE485" s="181"/>
      <c r="AF485" s="181"/>
    </row>
    <row r="486" spans="2:32">
      <c r="B486" s="181"/>
      <c r="C486" s="184"/>
      <c r="D486" s="188"/>
      <c r="E486" s="188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0"/>
      <c r="AC486" s="181"/>
      <c r="AD486" s="181"/>
      <c r="AE486" s="181"/>
      <c r="AF486" s="181"/>
    </row>
    <row r="487" spans="2:32">
      <c r="B487" s="181"/>
      <c r="C487" s="184"/>
      <c r="D487" s="188"/>
      <c r="E487" s="188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0"/>
      <c r="AC487" s="181"/>
      <c r="AD487" s="181"/>
      <c r="AE487" s="181"/>
      <c r="AF487" s="181"/>
    </row>
    <row r="488" spans="2:32">
      <c r="B488" s="181"/>
      <c r="C488" s="184"/>
      <c r="D488" s="188"/>
      <c r="E488" s="188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0"/>
      <c r="AC488" s="181"/>
      <c r="AD488" s="181"/>
      <c r="AE488" s="181"/>
      <c r="AF488" s="181"/>
    </row>
    <row r="489" spans="2:32">
      <c r="B489" s="181"/>
      <c r="C489" s="184"/>
      <c r="D489" s="188"/>
      <c r="E489" s="188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0"/>
      <c r="AC489" s="181"/>
      <c r="AD489" s="181"/>
      <c r="AE489" s="181"/>
      <c r="AF489" s="181"/>
    </row>
    <row r="490" spans="2:32">
      <c r="B490" s="181"/>
      <c r="C490" s="184"/>
      <c r="D490" s="188"/>
      <c r="E490" s="188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0"/>
      <c r="AC490" s="181"/>
      <c r="AD490" s="181"/>
      <c r="AE490" s="181"/>
      <c r="AF490" s="181"/>
    </row>
    <row r="491" spans="2:32">
      <c r="B491" s="181"/>
      <c r="C491" s="184"/>
      <c r="D491" s="188"/>
      <c r="E491" s="188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0"/>
      <c r="AC491" s="181"/>
      <c r="AD491" s="181"/>
      <c r="AE491" s="181"/>
      <c r="AF491" s="181"/>
    </row>
    <row r="492" spans="2:32">
      <c r="B492" s="181"/>
      <c r="C492" s="184"/>
      <c r="D492" s="188"/>
      <c r="E492" s="188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0"/>
      <c r="AC492" s="181"/>
      <c r="AD492" s="181"/>
      <c r="AE492" s="181"/>
      <c r="AF492" s="181"/>
    </row>
    <row r="493" spans="2:32">
      <c r="B493" s="181"/>
      <c r="C493" s="184"/>
      <c r="D493" s="188"/>
      <c r="E493" s="188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0"/>
      <c r="AC493" s="181"/>
      <c r="AD493" s="181"/>
      <c r="AE493" s="181"/>
      <c r="AF493" s="181"/>
    </row>
    <row r="494" spans="2:32">
      <c r="B494" s="181"/>
      <c r="C494" s="184"/>
      <c r="D494" s="188"/>
      <c r="E494" s="188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0"/>
      <c r="AC494" s="181"/>
      <c r="AD494" s="181"/>
      <c r="AE494" s="181"/>
      <c r="AF494" s="181"/>
    </row>
    <row r="495" spans="2:32">
      <c r="B495" s="181"/>
      <c r="C495" s="184"/>
      <c r="D495" s="188"/>
      <c r="E495" s="188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0"/>
      <c r="AC495" s="181"/>
      <c r="AD495" s="181"/>
      <c r="AE495" s="181"/>
      <c r="AF495" s="181"/>
    </row>
    <row r="496" spans="2:32">
      <c r="B496" s="181"/>
      <c r="C496" s="184"/>
      <c r="D496" s="188"/>
      <c r="E496" s="188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0"/>
      <c r="AC496" s="181"/>
      <c r="AD496" s="181"/>
      <c r="AE496" s="181"/>
      <c r="AF496" s="181"/>
    </row>
    <row r="497" spans="2:32">
      <c r="B497" s="181"/>
      <c r="C497" s="184"/>
      <c r="D497" s="188"/>
      <c r="E497" s="188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0"/>
      <c r="AC497" s="181"/>
      <c r="AD497" s="181"/>
      <c r="AE497" s="181"/>
      <c r="AF497" s="181"/>
    </row>
    <row r="498" spans="2:32">
      <c r="B498" s="181"/>
      <c r="C498" s="184"/>
      <c r="D498" s="188"/>
      <c r="E498" s="188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0"/>
      <c r="AC498" s="181"/>
      <c r="AD498" s="181"/>
      <c r="AE498" s="181"/>
      <c r="AF498" s="181"/>
    </row>
    <row r="499" spans="2:32">
      <c r="B499" s="181"/>
      <c r="C499" s="184"/>
      <c r="D499" s="188"/>
      <c r="E499" s="188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0"/>
      <c r="AC499" s="181"/>
      <c r="AD499" s="181"/>
      <c r="AE499" s="181"/>
      <c r="AF499" s="181"/>
    </row>
    <row r="500" spans="2:32">
      <c r="B500" s="181"/>
      <c r="C500" s="184"/>
      <c r="D500" s="188"/>
      <c r="E500" s="188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0"/>
      <c r="AC500" s="181"/>
      <c r="AD500" s="181"/>
      <c r="AE500" s="181"/>
      <c r="AF500" s="181"/>
    </row>
    <row r="501" spans="2:32">
      <c r="B501" s="181"/>
      <c r="C501" s="184"/>
      <c r="D501" s="188"/>
      <c r="E501" s="188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0"/>
      <c r="AC501" s="181"/>
      <c r="AD501" s="181"/>
      <c r="AE501" s="181"/>
      <c r="AF501" s="181"/>
    </row>
    <row r="502" spans="2:32">
      <c r="B502" s="181"/>
      <c r="C502" s="184"/>
      <c r="D502" s="188"/>
      <c r="E502" s="188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0"/>
      <c r="AC502" s="181"/>
      <c r="AD502" s="181"/>
      <c r="AE502" s="181"/>
      <c r="AF502" s="181"/>
    </row>
    <row r="503" spans="2:32">
      <c r="B503" s="181"/>
      <c r="C503" s="184"/>
      <c r="D503" s="188"/>
      <c r="E503" s="188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0"/>
      <c r="AC503" s="181"/>
      <c r="AD503" s="181"/>
      <c r="AE503" s="181"/>
      <c r="AF503" s="181"/>
    </row>
    <row r="504" spans="2:32">
      <c r="B504" s="181"/>
      <c r="C504" s="184"/>
      <c r="D504" s="188"/>
      <c r="E504" s="188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0"/>
      <c r="AC504" s="181"/>
      <c r="AD504" s="181"/>
      <c r="AE504" s="181"/>
      <c r="AF504" s="181"/>
    </row>
    <row r="505" spans="2:32">
      <c r="B505" s="181"/>
      <c r="C505" s="184"/>
      <c r="D505" s="188"/>
      <c r="E505" s="188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0"/>
      <c r="AC505" s="181"/>
      <c r="AD505" s="181"/>
      <c r="AE505" s="181"/>
      <c r="AF505" s="181"/>
    </row>
    <row r="506" spans="2:32">
      <c r="B506" s="181"/>
      <c r="C506" s="184"/>
      <c r="D506" s="188"/>
      <c r="E506" s="188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0"/>
      <c r="AC506" s="181"/>
      <c r="AD506" s="181"/>
      <c r="AE506" s="181"/>
      <c r="AF506" s="181"/>
    </row>
    <row r="507" spans="2:32">
      <c r="B507" s="181"/>
      <c r="C507" s="184"/>
      <c r="D507" s="188"/>
      <c r="E507" s="188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0"/>
      <c r="AC507" s="181"/>
      <c r="AD507" s="181"/>
      <c r="AE507" s="181"/>
      <c r="AF507" s="181"/>
    </row>
    <row r="508" spans="2:32">
      <c r="B508" s="181"/>
      <c r="C508" s="184"/>
      <c r="D508" s="188"/>
      <c r="E508" s="188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0"/>
      <c r="AC508" s="181"/>
      <c r="AD508" s="181"/>
      <c r="AE508" s="181"/>
      <c r="AF508" s="181"/>
    </row>
    <row r="509" spans="2:32">
      <c r="B509" s="181"/>
      <c r="C509" s="184"/>
      <c r="D509" s="188"/>
      <c r="E509" s="188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0"/>
      <c r="AC509" s="181"/>
      <c r="AD509" s="181"/>
      <c r="AE509" s="181"/>
      <c r="AF509" s="181"/>
    </row>
    <row r="510" spans="2:32">
      <c r="B510" s="181"/>
      <c r="C510" s="184"/>
      <c r="D510" s="188"/>
      <c r="E510" s="188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0"/>
      <c r="AC510" s="181"/>
      <c r="AD510" s="181"/>
      <c r="AE510" s="181"/>
      <c r="AF510" s="181"/>
    </row>
    <row r="511" spans="2:32">
      <c r="B511" s="181"/>
      <c r="C511" s="184"/>
      <c r="D511" s="188"/>
      <c r="E511" s="188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0"/>
      <c r="AC511" s="181"/>
      <c r="AD511" s="181"/>
      <c r="AE511" s="181"/>
      <c r="AF511" s="181"/>
    </row>
    <row r="512" spans="2:32">
      <c r="B512" s="181"/>
      <c r="C512" s="184"/>
      <c r="D512" s="188"/>
      <c r="E512" s="188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0"/>
      <c r="AC512" s="181"/>
      <c r="AD512" s="181"/>
      <c r="AE512" s="181"/>
      <c r="AF512" s="181"/>
    </row>
    <row r="513" spans="2:32">
      <c r="B513" s="181"/>
      <c r="C513" s="184"/>
      <c r="D513" s="188"/>
      <c r="E513" s="188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0"/>
      <c r="AC513" s="181"/>
      <c r="AD513" s="181"/>
      <c r="AE513" s="181"/>
      <c r="AF513" s="181"/>
    </row>
    <row r="514" spans="2:32">
      <c r="B514" s="181"/>
      <c r="C514" s="184"/>
      <c r="D514" s="188"/>
      <c r="E514" s="188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0"/>
      <c r="AC514" s="181"/>
      <c r="AD514" s="181"/>
      <c r="AE514" s="181"/>
      <c r="AF514" s="181"/>
    </row>
    <row r="515" spans="2:32">
      <c r="B515" s="181"/>
      <c r="C515" s="184"/>
      <c r="D515" s="188"/>
      <c r="E515" s="188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0"/>
      <c r="AC515" s="181"/>
      <c r="AD515" s="181"/>
      <c r="AE515" s="181"/>
      <c r="AF515" s="181"/>
    </row>
    <row r="516" spans="2:32">
      <c r="B516" s="181"/>
      <c r="C516" s="184"/>
      <c r="D516" s="188"/>
      <c r="E516" s="188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0"/>
      <c r="AC516" s="181"/>
      <c r="AD516" s="181"/>
      <c r="AE516" s="181"/>
      <c r="AF516" s="181"/>
    </row>
    <row r="517" spans="2:32">
      <c r="B517" s="181"/>
      <c r="C517" s="184"/>
      <c r="D517" s="188"/>
      <c r="E517" s="188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0"/>
      <c r="AC517" s="181"/>
      <c r="AD517" s="181"/>
      <c r="AE517" s="181"/>
      <c r="AF517" s="181"/>
    </row>
    <row r="518" spans="2:32">
      <c r="B518" s="181"/>
      <c r="C518" s="184"/>
      <c r="D518" s="188"/>
      <c r="E518" s="188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0"/>
      <c r="AC518" s="181"/>
      <c r="AD518" s="181"/>
      <c r="AE518" s="181"/>
      <c r="AF518" s="181"/>
    </row>
    <row r="519" spans="2:32">
      <c r="B519" s="181"/>
      <c r="C519" s="184"/>
      <c r="D519" s="188"/>
      <c r="E519" s="188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0"/>
      <c r="AC519" s="181"/>
      <c r="AD519" s="181"/>
      <c r="AE519" s="181"/>
      <c r="AF519" s="181"/>
    </row>
    <row r="520" spans="2:32">
      <c r="B520" s="181"/>
      <c r="C520" s="184"/>
      <c r="D520" s="188"/>
      <c r="E520" s="188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0"/>
      <c r="AC520" s="181"/>
      <c r="AD520" s="181"/>
      <c r="AE520" s="181"/>
      <c r="AF520" s="181"/>
    </row>
    <row r="521" spans="2:32">
      <c r="B521" s="181"/>
      <c r="C521" s="184"/>
      <c r="D521" s="188"/>
      <c r="E521" s="188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0"/>
      <c r="AC521" s="181"/>
      <c r="AD521" s="181"/>
      <c r="AE521" s="181"/>
      <c r="AF521" s="181"/>
    </row>
    <row r="522" spans="2:32">
      <c r="B522" s="181"/>
      <c r="C522" s="184"/>
      <c r="D522" s="188"/>
      <c r="E522" s="188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0"/>
      <c r="AC522" s="181"/>
      <c r="AD522" s="181"/>
      <c r="AE522" s="181"/>
      <c r="AF522" s="181"/>
    </row>
    <row r="523" spans="2:32">
      <c r="B523" s="181"/>
      <c r="C523" s="184"/>
      <c r="D523" s="188"/>
      <c r="E523" s="188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0"/>
      <c r="AC523" s="181"/>
      <c r="AD523" s="181"/>
      <c r="AE523" s="181"/>
      <c r="AF523" s="181"/>
    </row>
    <row r="524" spans="2:32">
      <c r="B524" s="181"/>
      <c r="C524" s="184"/>
      <c r="D524" s="188"/>
      <c r="E524" s="188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0"/>
      <c r="AC524" s="181"/>
      <c r="AD524" s="181"/>
      <c r="AE524" s="181"/>
      <c r="AF524" s="181"/>
    </row>
    <row r="525" spans="2:32">
      <c r="B525" s="181"/>
      <c r="C525" s="184"/>
      <c r="D525" s="188"/>
      <c r="E525" s="188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0"/>
      <c r="AC525" s="181"/>
      <c r="AD525" s="181"/>
      <c r="AE525" s="181"/>
      <c r="AF525" s="181"/>
    </row>
    <row r="526" spans="2:32">
      <c r="B526" s="181"/>
      <c r="C526" s="184"/>
      <c r="D526" s="188"/>
      <c r="E526" s="188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0"/>
      <c r="AC526" s="181"/>
      <c r="AD526" s="181"/>
      <c r="AE526" s="181"/>
      <c r="AF526" s="181"/>
    </row>
    <row r="527" spans="2:32">
      <c r="B527" s="181"/>
      <c r="C527" s="184"/>
      <c r="D527" s="188"/>
      <c r="E527" s="188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0"/>
      <c r="AC527" s="181"/>
      <c r="AD527" s="181"/>
      <c r="AE527" s="181"/>
      <c r="AF527" s="181"/>
    </row>
    <row r="528" spans="2:32">
      <c r="B528" s="181"/>
      <c r="C528" s="184"/>
      <c r="D528" s="188"/>
      <c r="E528" s="188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0"/>
      <c r="AC528" s="181"/>
      <c r="AD528" s="181"/>
      <c r="AE528" s="181"/>
      <c r="AF528" s="181"/>
    </row>
    <row r="529" spans="2:32">
      <c r="B529" s="181"/>
      <c r="C529" s="184"/>
      <c r="D529" s="188"/>
      <c r="E529" s="188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0"/>
      <c r="AC529" s="181"/>
      <c r="AD529" s="181"/>
      <c r="AE529" s="181"/>
      <c r="AF529" s="181"/>
    </row>
    <row r="530" spans="2:32">
      <c r="B530" s="181"/>
      <c r="C530" s="184"/>
      <c r="D530" s="188"/>
      <c r="E530" s="188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0"/>
      <c r="AC530" s="181"/>
      <c r="AD530" s="181"/>
      <c r="AE530" s="181"/>
      <c r="AF530" s="181"/>
    </row>
    <row r="531" spans="2:32">
      <c r="B531" s="181"/>
      <c r="C531" s="184"/>
      <c r="D531" s="188"/>
      <c r="E531" s="188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0"/>
      <c r="AC531" s="181"/>
      <c r="AD531" s="181"/>
      <c r="AE531" s="181"/>
      <c r="AF531" s="181"/>
    </row>
    <row r="532" spans="2:32">
      <c r="B532" s="181"/>
      <c r="C532" s="184"/>
      <c r="D532" s="188"/>
      <c r="E532" s="188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0"/>
      <c r="AC532" s="181"/>
      <c r="AD532" s="181"/>
      <c r="AE532" s="181"/>
      <c r="AF532" s="181"/>
    </row>
    <row r="533" spans="2:32">
      <c r="B533" s="181"/>
      <c r="C533" s="184"/>
      <c r="D533" s="188"/>
      <c r="E533" s="188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0"/>
      <c r="AC533" s="181"/>
      <c r="AD533" s="181"/>
      <c r="AE533" s="181"/>
      <c r="AF533" s="181"/>
    </row>
    <row r="534" spans="2:32">
      <c r="B534" s="181"/>
      <c r="C534" s="184"/>
      <c r="D534" s="188"/>
      <c r="E534" s="188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0"/>
      <c r="AC534" s="181"/>
      <c r="AD534" s="181"/>
      <c r="AE534" s="181"/>
      <c r="AF534" s="181"/>
    </row>
    <row r="535" spans="2:32">
      <c r="B535" s="181"/>
      <c r="C535" s="184"/>
      <c r="D535" s="188"/>
      <c r="E535" s="188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0"/>
      <c r="AC535" s="181"/>
      <c r="AD535" s="181"/>
      <c r="AE535" s="181"/>
      <c r="AF535" s="181"/>
    </row>
    <row r="536" spans="2:32">
      <c r="B536" s="181"/>
      <c r="C536" s="184"/>
      <c r="D536" s="188"/>
      <c r="E536" s="188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0"/>
      <c r="AC536" s="181"/>
      <c r="AD536" s="181"/>
      <c r="AE536" s="181"/>
      <c r="AF536" s="181"/>
    </row>
    <row r="537" spans="2:32">
      <c r="B537" s="181"/>
      <c r="C537" s="184"/>
      <c r="D537" s="188"/>
      <c r="E537" s="188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0"/>
      <c r="AC537" s="181"/>
      <c r="AD537" s="181"/>
      <c r="AE537" s="181"/>
      <c r="AF537" s="181"/>
    </row>
    <row r="538" spans="2:32">
      <c r="B538" s="181"/>
      <c r="C538" s="184"/>
      <c r="D538" s="188"/>
      <c r="E538" s="188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0"/>
      <c r="AC538" s="181"/>
      <c r="AD538" s="181"/>
      <c r="AE538" s="181"/>
      <c r="AF538" s="181"/>
    </row>
    <row r="539" spans="2:32">
      <c r="B539" s="181"/>
      <c r="C539" s="184"/>
      <c r="D539" s="188"/>
      <c r="E539" s="188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0"/>
      <c r="AC539" s="181"/>
      <c r="AD539" s="181"/>
      <c r="AE539" s="181"/>
      <c r="AF539" s="181"/>
    </row>
    <row r="540" spans="2:32">
      <c r="B540" s="181"/>
      <c r="C540" s="184"/>
      <c r="D540" s="188"/>
      <c r="E540" s="188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0"/>
      <c r="AC540" s="181"/>
      <c r="AD540" s="181"/>
      <c r="AE540" s="181"/>
      <c r="AF540" s="181"/>
    </row>
    <row r="541" spans="2:32">
      <c r="B541" s="181"/>
      <c r="C541" s="184"/>
      <c r="D541" s="188"/>
      <c r="E541" s="188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0"/>
      <c r="AC541" s="181"/>
      <c r="AD541" s="181"/>
      <c r="AE541" s="181"/>
      <c r="AF541" s="181"/>
    </row>
    <row r="542" spans="2:32">
      <c r="B542" s="181"/>
      <c r="C542" s="184"/>
      <c r="D542" s="188"/>
      <c r="E542" s="188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0"/>
      <c r="AC542" s="181"/>
      <c r="AD542" s="181"/>
      <c r="AE542" s="181"/>
      <c r="AF542" s="181"/>
    </row>
    <row r="543" spans="2:32">
      <c r="B543" s="181"/>
      <c r="C543" s="184"/>
      <c r="D543" s="188"/>
      <c r="E543" s="188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0"/>
      <c r="AC543" s="181"/>
      <c r="AD543" s="181"/>
      <c r="AE543" s="181"/>
      <c r="AF543" s="181"/>
    </row>
    <row r="544" spans="2:32">
      <c r="B544" s="181"/>
      <c r="C544" s="184"/>
      <c r="D544" s="188"/>
      <c r="E544" s="188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0"/>
      <c r="AC544" s="181"/>
      <c r="AD544" s="181"/>
      <c r="AE544" s="181"/>
      <c r="AF544" s="181"/>
    </row>
    <row r="545" spans="2:32">
      <c r="B545" s="181"/>
      <c r="C545" s="184"/>
      <c r="D545" s="188"/>
      <c r="E545" s="188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0"/>
      <c r="AC545" s="181"/>
      <c r="AD545" s="181"/>
      <c r="AE545" s="181"/>
      <c r="AF545" s="181"/>
    </row>
    <row r="546" spans="2:32">
      <c r="B546" s="181"/>
      <c r="C546" s="184"/>
      <c r="D546" s="188"/>
      <c r="E546" s="188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0"/>
      <c r="AC546" s="181"/>
      <c r="AD546" s="181"/>
      <c r="AE546" s="181"/>
      <c r="AF546" s="181"/>
    </row>
    <row r="547" spans="2:32">
      <c r="B547" s="181"/>
      <c r="C547" s="184"/>
      <c r="D547" s="188"/>
      <c r="E547" s="188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0"/>
      <c r="AC547" s="181"/>
      <c r="AD547" s="181"/>
      <c r="AE547" s="181"/>
      <c r="AF547" s="181"/>
    </row>
    <row r="548" spans="2:32">
      <c r="B548" s="181"/>
      <c r="C548" s="184"/>
      <c r="D548" s="188"/>
      <c r="E548" s="188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0"/>
      <c r="AC548" s="181"/>
      <c r="AD548" s="181"/>
      <c r="AE548" s="181"/>
      <c r="AF548" s="181"/>
    </row>
    <row r="549" spans="2:32">
      <c r="B549" s="181"/>
      <c r="C549" s="184"/>
      <c r="D549" s="188"/>
      <c r="E549" s="188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0"/>
      <c r="AC549" s="181"/>
      <c r="AD549" s="181"/>
      <c r="AE549" s="181"/>
      <c r="AF549" s="181"/>
    </row>
    <row r="550" spans="2:32">
      <c r="B550" s="181"/>
      <c r="C550" s="184"/>
      <c r="D550" s="188"/>
      <c r="E550" s="188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0"/>
      <c r="AC550" s="181"/>
      <c r="AD550" s="181"/>
      <c r="AE550" s="181"/>
      <c r="AF550" s="181"/>
    </row>
    <row r="551" spans="2:32">
      <c r="B551" s="181"/>
      <c r="C551" s="184"/>
      <c r="D551" s="188"/>
      <c r="E551" s="188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0"/>
      <c r="AC551" s="181"/>
      <c r="AD551" s="181"/>
      <c r="AE551" s="181"/>
      <c r="AF551" s="181"/>
    </row>
    <row r="552" spans="2:32">
      <c r="B552" s="181"/>
      <c r="C552" s="184"/>
      <c r="D552" s="188"/>
      <c r="E552" s="188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0"/>
      <c r="AC552" s="181"/>
      <c r="AD552" s="181"/>
      <c r="AE552" s="181"/>
      <c r="AF552" s="181"/>
    </row>
    <row r="553" spans="2:32">
      <c r="B553" s="181"/>
      <c r="C553" s="184"/>
      <c r="D553" s="188"/>
      <c r="E553" s="188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0"/>
      <c r="AC553" s="181"/>
      <c r="AD553" s="181"/>
      <c r="AE553" s="181"/>
      <c r="AF553" s="181"/>
    </row>
    <row r="554" spans="2:32">
      <c r="B554" s="181"/>
      <c r="C554" s="184"/>
      <c r="D554" s="188"/>
      <c r="E554" s="188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0"/>
      <c r="AC554" s="181"/>
      <c r="AD554" s="181"/>
      <c r="AE554" s="181"/>
      <c r="AF554" s="181"/>
    </row>
    <row r="555" spans="2:32">
      <c r="B555" s="181"/>
      <c r="C555" s="184"/>
      <c r="D555" s="188"/>
      <c r="E555" s="188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0"/>
      <c r="AC555" s="181"/>
      <c r="AD555" s="181"/>
      <c r="AE555" s="181"/>
      <c r="AF555" s="181"/>
    </row>
    <row r="556" spans="2:32">
      <c r="B556" s="181"/>
      <c r="C556" s="184"/>
      <c r="D556" s="188"/>
      <c r="E556" s="188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0"/>
      <c r="AC556" s="181"/>
      <c r="AD556" s="181"/>
      <c r="AE556" s="181"/>
      <c r="AF556" s="181"/>
    </row>
    <row r="557" spans="2:32">
      <c r="B557" s="181"/>
      <c r="C557" s="184"/>
      <c r="D557" s="188"/>
      <c r="E557" s="188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0"/>
      <c r="AC557" s="181"/>
      <c r="AD557" s="181"/>
      <c r="AE557" s="181"/>
      <c r="AF557" s="181"/>
    </row>
    <row r="558" spans="2:32">
      <c r="B558" s="181"/>
      <c r="C558" s="184"/>
      <c r="D558" s="188"/>
      <c r="E558" s="188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0"/>
      <c r="AC558" s="181"/>
      <c r="AD558" s="181"/>
      <c r="AE558" s="181"/>
      <c r="AF558" s="181"/>
    </row>
    <row r="559" spans="2:32">
      <c r="B559" s="181"/>
      <c r="C559" s="184"/>
      <c r="D559" s="188"/>
      <c r="E559" s="188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0"/>
      <c r="AC559" s="181"/>
      <c r="AD559" s="181"/>
      <c r="AE559" s="181"/>
      <c r="AF559" s="181"/>
    </row>
    <row r="560" spans="2:32">
      <c r="B560" s="181"/>
      <c r="C560" s="184"/>
      <c r="D560" s="188"/>
      <c r="E560" s="188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0"/>
      <c r="AC560" s="181"/>
      <c r="AD560" s="181"/>
      <c r="AE560" s="181"/>
      <c r="AF560" s="181"/>
    </row>
    <row r="561" spans="2:32">
      <c r="B561" s="181"/>
      <c r="C561" s="184"/>
      <c r="D561" s="188"/>
      <c r="E561" s="188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0"/>
      <c r="AC561" s="181"/>
      <c r="AD561" s="181"/>
      <c r="AE561" s="181"/>
      <c r="AF561" s="181"/>
    </row>
    <row r="562" spans="2:32">
      <c r="B562" s="181"/>
      <c r="C562" s="184"/>
      <c r="D562" s="188"/>
      <c r="E562" s="188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0"/>
      <c r="AC562" s="181"/>
      <c r="AD562" s="181"/>
      <c r="AE562" s="181"/>
      <c r="AF562" s="181"/>
    </row>
    <row r="563" spans="2:32">
      <c r="B563" s="181"/>
      <c r="C563" s="184"/>
      <c r="D563" s="188"/>
      <c r="E563" s="188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0"/>
      <c r="AC563" s="181"/>
      <c r="AD563" s="181"/>
      <c r="AE563" s="181"/>
      <c r="AF563" s="181"/>
    </row>
    <row r="564" spans="2:32">
      <c r="B564" s="181"/>
      <c r="C564" s="184"/>
      <c r="D564" s="188"/>
      <c r="E564" s="188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0"/>
      <c r="AC564" s="181"/>
      <c r="AD564" s="181"/>
      <c r="AE564" s="181"/>
      <c r="AF564" s="181"/>
    </row>
    <row r="565" spans="2:32">
      <c r="B565" s="181"/>
      <c r="C565" s="184"/>
      <c r="D565" s="188"/>
      <c r="E565" s="188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0"/>
      <c r="AC565" s="181"/>
      <c r="AD565" s="181"/>
      <c r="AE565" s="181"/>
      <c r="AF565" s="181"/>
    </row>
    <row r="566" spans="2:32">
      <c r="B566" s="181"/>
      <c r="C566" s="184"/>
      <c r="D566" s="188"/>
      <c r="E566" s="188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0"/>
      <c r="AC566" s="181"/>
      <c r="AD566" s="181"/>
      <c r="AE566" s="181"/>
      <c r="AF566" s="181"/>
    </row>
    <row r="567" spans="2:32">
      <c r="B567" s="181"/>
      <c r="C567" s="184"/>
      <c r="D567" s="188"/>
      <c r="E567" s="188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0"/>
      <c r="AC567" s="181"/>
      <c r="AD567" s="181"/>
      <c r="AE567" s="181"/>
      <c r="AF567" s="181"/>
    </row>
    <row r="568" spans="2:32">
      <c r="B568" s="181"/>
      <c r="C568" s="184"/>
      <c r="D568" s="188"/>
      <c r="E568" s="188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0"/>
      <c r="AC568" s="181"/>
      <c r="AD568" s="181"/>
      <c r="AE568" s="181"/>
      <c r="AF568" s="181"/>
    </row>
    <row r="569" spans="2:32">
      <c r="B569" s="181"/>
      <c r="C569" s="184"/>
      <c r="D569" s="188"/>
      <c r="E569" s="188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0"/>
      <c r="AC569" s="181"/>
      <c r="AD569" s="181"/>
      <c r="AE569" s="181"/>
      <c r="AF569" s="181"/>
    </row>
    <row r="570" spans="2:32">
      <c r="B570" s="181"/>
      <c r="C570" s="184"/>
      <c r="D570" s="188"/>
      <c r="E570" s="188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0"/>
      <c r="AC570" s="181"/>
      <c r="AD570" s="181"/>
      <c r="AE570" s="181"/>
      <c r="AF570" s="181"/>
    </row>
    <row r="571" spans="2:32">
      <c r="B571" s="181"/>
      <c r="C571" s="184"/>
      <c r="D571" s="188"/>
      <c r="E571" s="188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0"/>
      <c r="AC571" s="181"/>
      <c r="AD571" s="181"/>
      <c r="AE571" s="181"/>
      <c r="AF571" s="181"/>
    </row>
    <row r="572" spans="2:32">
      <c r="B572" s="181"/>
      <c r="C572" s="184"/>
      <c r="D572" s="188"/>
      <c r="E572" s="188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0"/>
      <c r="AC572" s="181"/>
      <c r="AD572" s="181"/>
      <c r="AE572" s="181"/>
      <c r="AF572" s="181"/>
    </row>
    <row r="573" spans="2:32">
      <c r="B573" s="181"/>
      <c r="C573" s="184"/>
      <c r="D573" s="188"/>
      <c r="E573" s="188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0"/>
      <c r="AC573" s="181"/>
      <c r="AD573" s="181"/>
      <c r="AE573" s="181"/>
      <c r="AF573" s="181"/>
    </row>
    <row r="574" spans="2:32">
      <c r="B574" s="181"/>
      <c r="C574" s="184"/>
      <c r="D574" s="188"/>
      <c r="E574" s="188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0"/>
      <c r="AC574" s="181"/>
      <c r="AD574" s="181"/>
      <c r="AE574" s="181"/>
      <c r="AF574" s="181"/>
    </row>
    <row r="575" spans="2:32">
      <c r="B575" s="181"/>
      <c r="C575" s="184"/>
      <c r="D575" s="188"/>
      <c r="E575" s="188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0"/>
      <c r="AC575" s="181"/>
      <c r="AD575" s="181"/>
      <c r="AE575" s="181"/>
      <c r="AF575" s="181"/>
    </row>
    <row r="576" spans="2:32">
      <c r="B576" s="181"/>
      <c r="C576" s="184"/>
      <c r="D576" s="188"/>
      <c r="E576" s="188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0"/>
      <c r="AC576" s="181"/>
      <c r="AD576" s="181"/>
      <c r="AE576" s="181"/>
      <c r="AF576" s="181"/>
    </row>
    <row r="577" spans="2:32">
      <c r="B577" s="181"/>
      <c r="C577" s="184"/>
      <c r="D577" s="188"/>
      <c r="E577" s="188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0"/>
      <c r="AC577" s="181"/>
      <c r="AD577" s="181"/>
      <c r="AE577" s="181"/>
      <c r="AF577" s="181"/>
    </row>
    <row r="578" spans="2:32">
      <c r="B578" s="181"/>
      <c r="C578" s="184"/>
      <c r="D578" s="188"/>
      <c r="E578" s="188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0"/>
      <c r="AC578" s="181"/>
      <c r="AD578" s="181"/>
      <c r="AE578" s="181"/>
      <c r="AF578" s="181"/>
    </row>
    <row r="579" spans="2:32">
      <c r="B579" s="181"/>
      <c r="C579" s="184"/>
      <c r="D579" s="188"/>
      <c r="E579" s="188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0"/>
      <c r="AC579" s="181"/>
      <c r="AD579" s="181"/>
      <c r="AE579" s="181"/>
      <c r="AF579" s="181"/>
    </row>
    <row r="580" spans="2:32">
      <c r="B580" s="181"/>
      <c r="C580" s="184"/>
      <c r="D580" s="188"/>
      <c r="E580" s="188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0"/>
      <c r="AC580" s="181"/>
      <c r="AD580" s="181"/>
      <c r="AE580" s="181"/>
      <c r="AF580" s="181"/>
    </row>
    <row r="581" spans="2:32">
      <c r="B581" s="181"/>
      <c r="C581" s="184"/>
      <c r="D581" s="188"/>
      <c r="E581" s="188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0"/>
      <c r="AC581" s="181"/>
      <c r="AD581" s="181"/>
      <c r="AE581" s="181"/>
      <c r="AF581" s="181"/>
    </row>
    <row r="582" spans="2:32">
      <c r="B582" s="181"/>
      <c r="C582" s="184"/>
      <c r="D582" s="188"/>
      <c r="E582" s="188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0"/>
      <c r="AC582" s="181"/>
      <c r="AD582" s="181"/>
      <c r="AE582" s="181"/>
      <c r="AF582" s="181"/>
    </row>
    <row r="583" spans="2:32">
      <c r="B583" s="181"/>
      <c r="C583" s="184"/>
      <c r="D583" s="188"/>
      <c r="E583" s="188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0"/>
      <c r="AC583" s="181"/>
      <c r="AD583" s="181"/>
      <c r="AE583" s="181"/>
      <c r="AF583" s="181"/>
    </row>
    <row r="584" spans="2:32">
      <c r="B584" s="181"/>
      <c r="C584" s="184"/>
      <c r="D584" s="188"/>
      <c r="E584" s="188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0"/>
      <c r="AC584" s="181"/>
      <c r="AD584" s="181"/>
      <c r="AE584" s="181"/>
      <c r="AF584" s="181"/>
    </row>
    <row r="585" spans="2:32">
      <c r="B585" s="181"/>
      <c r="C585" s="184"/>
      <c r="D585" s="188"/>
      <c r="E585" s="188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0"/>
      <c r="AC585" s="181"/>
      <c r="AD585" s="181"/>
      <c r="AE585" s="181"/>
      <c r="AF585" s="181"/>
    </row>
    <row r="586" spans="2:32">
      <c r="B586" s="181"/>
      <c r="C586" s="184"/>
      <c r="D586" s="188"/>
      <c r="E586" s="188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0"/>
      <c r="AC586" s="181"/>
      <c r="AD586" s="181"/>
      <c r="AE586" s="181"/>
      <c r="AF586" s="181"/>
    </row>
    <row r="587" spans="2:32">
      <c r="B587" s="181"/>
      <c r="C587" s="184"/>
      <c r="D587" s="188"/>
      <c r="E587" s="188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0"/>
      <c r="AC587" s="181"/>
      <c r="AD587" s="181"/>
      <c r="AE587" s="181"/>
      <c r="AF587" s="181"/>
    </row>
    <row r="588" spans="2:32">
      <c r="B588" s="181"/>
      <c r="C588" s="184"/>
      <c r="D588" s="188"/>
      <c r="E588" s="188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0"/>
      <c r="AC588" s="181"/>
      <c r="AD588" s="181"/>
      <c r="AE588" s="181"/>
      <c r="AF588" s="181"/>
    </row>
    <row r="589" spans="2:32">
      <c r="B589" s="181"/>
      <c r="C589" s="184"/>
      <c r="D589" s="188"/>
      <c r="E589" s="188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0"/>
      <c r="AC589" s="181"/>
      <c r="AD589" s="181"/>
      <c r="AE589" s="181"/>
      <c r="AF589" s="181"/>
    </row>
    <row r="590" spans="2:32">
      <c r="B590" s="181"/>
      <c r="C590" s="184"/>
      <c r="D590" s="188"/>
      <c r="E590" s="188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0"/>
      <c r="AC590" s="181"/>
      <c r="AD590" s="181"/>
      <c r="AE590" s="181"/>
      <c r="AF590" s="181"/>
    </row>
    <row r="591" spans="2:32">
      <c r="B591" s="181"/>
      <c r="C591" s="184"/>
      <c r="D591" s="188"/>
      <c r="E591" s="188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0"/>
      <c r="AC591" s="181"/>
      <c r="AD591" s="181"/>
      <c r="AE591" s="181"/>
      <c r="AF591" s="181"/>
    </row>
    <row r="592" spans="2:32">
      <c r="B592" s="181"/>
      <c r="C592" s="184"/>
      <c r="D592" s="188"/>
      <c r="E592" s="188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0"/>
      <c r="AC592" s="181"/>
      <c r="AD592" s="181"/>
      <c r="AE592" s="181"/>
      <c r="AF592" s="181"/>
    </row>
    <row r="593" spans="2:32">
      <c r="B593" s="181"/>
      <c r="C593" s="184"/>
      <c r="D593" s="188"/>
      <c r="E593" s="188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0"/>
      <c r="AC593" s="181"/>
      <c r="AD593" s="181"/>
      <c r="AE593" s="181"/>
      <c r="AF593" s="181"/>
    </row>
    <row r="594" spans="2:32">
      <c r="B594" s="181"/>
      <c r="C594" s="184"/>
      <c r="D594" s="188"/>
      <c r="E594" s="188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0"/>
      <c r="AC594" s="181"/>
      <c r="AD594" s="181"/>
      <c r="AE594" s="181"/>
      <c r="AF594" s="181"/>
    </row>
    <row r="595" spans="2:32">
      <c r="B595" s="181"/>
      <c r="C595" s="184"/>
      <c r="D595" s="188"/>
      <c r="E595" s="188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0"/>
      <c r="AC595" s="181"/>
      <c r="AD595" s="181"/>
      <c r="AE595" s="181"/>
      <c r="AF595" s="181"/>
    </row>
    <row r="596" spans="2:32">
      <c r="B596" s="181"/>
      <c r="C596" s="184"/>
      <c r="D596" s="188"/>
      <c r="E596" s="188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0"/>
      <c r="AC596" s="181"/>
      <c r="AD596" s="181"/>
      <c r="AE596" s="181"/>
      <c r="AF596" s="181"/>
    </row>
    <row r="597" spans="2:32">
      <c r="B597" s="181"/>
      <c r="C597" s="184"/>
      <c r="D597" s="188"/>
      <c r="E597" s="188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0"/>
      <c r="AC597" s="181"/>
      <c r="AD597" s="181"/>
      <c r="AE597" s="181"/>
      <c r="AF597" s="181"/>
    </row>
    <row r="598" spans="2:32">
      <c r="B598" s="181"/>
      <c r="C598" s="184"/>
      <c r="D598" s="188"/>
      <c r="E598" s="188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0"/>
      <c r="AC598" s="181"/>
      <c r="AD598" s="181"/>
      <c r="AE598" s="181"/>
      <c r="AF598" s="181"/>
    </row>
    <row r="599" spans="2:32">
      <c r="B599" s="181"/>
      <c r="C599" s="184"/>
      <c r="D599" s="188"/>
      <c r="E599" s="188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0"/>
      <c r="AC599" s="181"/>
      <c r="AD599" s="181"/>
      <c r="AE599" s="181"/>
      <c r="AF599" s="181"/>
    </row>
    <row r="600" spans="2:32">
      <c r="B600" s="181"/>
      <c r="C600" s="184"/>
      <c r="D600" s="188"/>
      <c r="E600" s="188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0"/>
      <c r="AC600" s="181"/>
      <c r="AD600" s="181"/>
      <c r="AE600" s="181"/>
      <c r="AF600" s="181"/>
    </row>
    <row r="601" spans="2:32">
      <c r="B601" s="181"/>
      <c r="C601" s="184"/>
      <c r="D601" s="188"/>
      <c r="E601" s="188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0"/>
      <c r="AC601" s="181"/>
      <c r="AD601" s="181"/>
      <c r="AE601" s="181"/>
      <c r="AF601" s="181"/>
    </row>
    <row r="602" spans="2:32">
      <c r="B602" s="181"/>
      <c r="C602" s="184"/>
      <c r="D602" s="188"/>
      <c r="E602" s="188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0"/>
      <c r="AC602" s="181"/>
      <c r="AD602" s="181"/>
      <c r="AE602" s="181"/>
      <c r="AF602" s="181"/>
    </row>
    <row r="603" spans="2:32">
      <c r="B603" s="181"/>
      <c r="C603" s="184"/>
      <c r="D603" s="188"/>
      <c r="E603" s="188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0"/>
      <c r="AC603" s="181"/>
      <c r="AD603" s="181"/>
      <c r="AE603" s="181"/>
      <c r="AF603" s="181"/>
    </row>
    <row r="604" spans="2:32">
      <c r="B604" s="181"/>
      <c r="C604" s="184"/>
      <c r="D604" s="188"/>
      <c r="E604" s="188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0"/>
      <c r="AC604" s="181"/>
      <c r="AD604" s="181"/>
      <c r="AE604" s="181"/>
      <c r="AF604" s="181"/>
    </row>
    <row r="605" spans="2:32">
      <c r="B605" s="181"/>
      <c r="C605" s="184"/>
      <c r="D605" s="188"/>
      <c r="E605" s="188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0"/>
      <c r="AC605" s="181"/>
      <c r="AD605" s="181"/>
      <c r="AE605" s="181"/>
      <c r="AF605" s="181"/>
    </row>
    <row r="606" spans="2:32">
      <c r="B606" s="181"/>
      <c r="C606" s="184"/>
      <c r="D606" s="188"/>
      <c r="E606" s="188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0"/>
      <c r="AC606" s="181"/>
      <c r="AD606" s="181"/>
      <c r="AE606" s="181"/>
      <c r="AF606" s="181"/>
    </row>
    <row r="607" spans="2:32">
      <c r="B607" s="181"/>
      <c r="C607" s="184"/>
      <c r="D607" s="188"/>
      <c r="E607" s="188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0"/>
      <c r="AC607" s="181"/>
      <c r="AD607" s="181"/>
      <c r="AE607" s="181"/>
      <c r="AF607" s="181"/>
    </row>
    <row r="608" spans="2:32">
      <c r="B608" s="181"/>
      <c r="C608" s="184"/>
      <c r="D608" s="188"/>
      <c r="E608" s="188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0"/>
      <c r="AC608" s="181"/>
      <c r="AD608" s="181"/>
      <c r="AE608" s="181"/>
      <c r="AF608" s="181"/>
    </row>
    <row r="609" spans="2:32">
      <c r="B609" s="181"/>
      <c r="C609" s="184"/>
      <c r="D609" s="188"/>
      <c r="E609" s="188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0"/>
      <c r="AC609" s="181"/>
      <c r="AD609" s="181"/>
      <c r="AE609" s="181"/>
      <c r="AF609" s="181"/>
    </row>
    <row r="610" spans="2:32">
      <c r="B610" s="181"/>
      <c r="C610" s="184"/>
      <c r="D610" s="188"/>
      <c r="E610" s="188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0"/>
      <c r="AC610" s="181"/>
      <c r="AD610" s="181"/>
      <c r="AE610" s="181"/>
      <c r="AF610" s="181"/>
    </row>
    <row r="611" spans="2:32">
      <c r="B611" s="181"/>
      <c r="C611" s="184"/>
      <c r="D611" s="188"/>
      <c r="E611" s="188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0"/>
      <c r="AC611" s="181"/>
      <c r="AD611" s="181"/>
      <c r="AE611" s="181"/>
      <c r="AF611" s="181"/>
    </row>
    <row r="612" spans="2:32">
      <c r="B612" s="181"/>
      <c r="C612" s="184"/>
      <c r="D612" s="188"/>
      <c r="E612" s="188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0"/>
      <c r="AC612" s="181"/>
      <c r="AD612" s="181"/>
      <c r="AE612" s="181"/>
      <c r="AF612" s="181"/>
    </row>
    <row r="613" spans="2:32">
      <c r="B613" s="181"/>
      <c r="C613" s="184"/>
      <c r="D613" s="188"/>
      <c r="E613" s="188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0"/>
      <c r="AC613" s="181"/>
      <c r="AD613" s="181"/>
      <c r="AE613" s="181"/>
      <c r="AF613" s="181"/>
    </row>
    <row r="614" spans="2:32">
      <c r="B614" s="181"/>
      <c r="C614" s="184"/>
      <c r="D614" s="188"/>
      <c r="E614" s="188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0"/>
      <c r="AC614" s="181"/>
      <c r="AD614" s="181"/>
      <c r="AE614" s="181"/>
      <c r="AF614" s="181"/>
    </row>
    <row r="615" spans="2:32">
      <c r="B615" s="181"/>
      <c r="C615" s="184"/>
      <c r="D615" s="188"/>
      <c r="E615" s="188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0"/>
      <c r="AC615" s="181"/>
      <c r="AD615" s="181"/>
      <c r="AE615" s="181"/>
      <c r="AF615" s="181"/>
    </row>
    <row r="616" spans="2:32">
      <c r="B616" s="181"/>
      <c r="C616" s="184"/>
      <c r="D616" s="188"/>
      <c r="E616" s="188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0"/>
      <c r="AC616" s="181"/>
      <c r="AD616" s="181"/>
      <c r="AE616" s="181"/>
      <c r="AF616" s="181"/>
    </row>
    <row r="617" spans="2:32">
      <c r="B617" s="181"/>
      <c r="C617" s="184"/>
      <c r="D617" s="188"/>
      <c r="E617" s="188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0"/>
      <c r="AC617" s="181"/>
      <c r="AD617" s="181"/>
      <c r="AE617" s="181"/>
      <c r="AF617" s="181"/>
    </row>
    <row r="618" spans="2:32">
      <c r="B618" s="181"/>
      <c r="C618" s="184"/>
      <c r="D618" s="188"/>
      <c r="E618" s="188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0"/>
      <c r="AC618" s="181"/>
      <c r="AD618" s="181"/>
      <c r="AE618" s="181"/>
      <c r="AF618" s="181"/>
    </row>
    <row r="619" spans="2:32">
      <c r="B619" s="181"/>
      <c r="C619" s="184"/>
      <c r="D619" s="188"/>
      <c r="E619" s="188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0"/>
      <c r="AC619" s="181"/>
      <c r="AD619" s="181"/>
      <c r="AE619" s="181"/>
      <c r="AF619" s="181"/>
    </row>
    <row r="620" spans="2:32">
      <c r="B620" s="181"/>
      <c r="C620" s="184"/>
      <c r="D620" s="188"/>
      <c r="E620" s="188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0"/>
      <c r="AC620" s="181"/>
      <c r="AD620" s="181"/>
      <c r="AE620" s="181"/>
      <c r="AF620" s="181"/>
    </row>
    <row r="621" spans="2:32">
      <c r="B621" s="181"/>
      <c r="C621" s="184"/>
      <c r="D621" s="188"/>
      <c r="E621" s="188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0"/>
      <c r="AC621" s="181"/>
      <c r="AD621" s="181"/>
      <c r="AE621" s="181"/>
      <c r="AF621" s="181"/>
    </row>
    <row r="622" spans="2:32">
      <c r="B622" s="181"/>
      <c r="C622" s="184"/>
      <c r="D622" s="188"/>
      <c r="E622" s="188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0"/>
      <c r="AC622" s="181"/>
      <c r="AD622" s="181"/>
      <c r="AE622" s="181"/>
      <c r="AF622" s="181"/>
    </row>
    <row r="623" spans="2:32">
      <c r="B623" s="181"/>
      <c r="C623" s="184"/>
      <c r="D623" s="188"/>
      <c r="E623" s="188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0"/>
      <c r="AC623" s="181"/>
      <c r="AD623" s="181"/>
      <c r="AE623" s="181"/>
      <c r="AF623" s="181"/>
    </row>
    <row r="624" spans="2:32">
      <c r="B624" s="181"/>
      <c r="C624" s="184"/>
      <c r="D624" s="188"/>
      <c r="E624" s="188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0"/>
      <c r="AC624" s="181"/>
      <c r="AD624" s="181"/>
      <c r="AE624" s="181"/>
      <c r="AF624" s="181"/>
    </row>
    <row r="625" spans="2:32">
      <c r="B625" s="181"/>
      <c r="C625" s="184"/>
      <c r="D625" s="188"/>
      <c r="E625" s="188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0"/>
      <c r="AC625" s="181"/>
      <c r="AD625" s="181"/>
      <c r="AE625" s="181"/>
      <c r="AF625" s="181"/>
    </row>
    <row r="626" spans="2:32">
      <c r="B626" s="181"/>
      <c r="C626" s="184"/>
      <c r="D626" s="188"/>
      <c r="E626" s="188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0"/>
      <c r="AC626" s="181"/>
      <c r="AD626" s="181"/>
      <c r="AE626" s="181"/>
      <c r="AF626" s="181"/>
    </row>
    <row r="627" spans="2:32">
      <c r="B627" s="181"/>
      <c r="C627" s="184"/>
      <c r="D627" s="188"/>
      <c r="E627" s="188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0"/>
      <c r="AC627" s="181"/>
      <c r="AD627" s="181"/>
      <c r="AE627" s="181"/>
      <c r="AF627" s="181"/>
    </row>
    <row r="628" spans="2:32">
      <c r="B628" s="181"/>
      <c r="C628" s="184"/>
      <c r="D628" s="188"/>
      <c r="E628" s="188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0"/>
      <c r="AC628" s="181"/>
      <c r="AD628" s="181"/>
      <c r="AE628" s="181"/>
      <c r="AF628" s="181"/>
    </row>
    <row r="629" spans="2:32">
      <c r="B629" s="181"/>
      <c r="C629" s="184"/>
      <c r="D629" s="188"/>
      <c r="E629" s="188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0"/>
      <c r="AC629" s="181"/>
      <c r="AD629" s="181"/>
      <c r="AE629" s="181"/>
      <c r="AF629" s="181"/>
    </row>
    <row r="630" spans="2:32">
      <c r="B630" s="181"/>
      <c r="C630" s="184"/>
      <c r="D630" s="188"/>
      <c r="E630" s="188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0"/>
      <c r="AC630" s="181"/>
      <c r="AD630" s="181"/>
      <c r="AE630" s="181"/>
      <c r="AF630" s="181"/>
    </row>
    <row r="631" spans="2:32">
      <c r="B631" s="181"/>
      <c r="C631" s="184"/>
      <c r="D631" s="188"/>
      <c r="E631" s="188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0"/>
      <c r="AC631" s="181"/>
      <c r="AD631" s="181"/>
      <c r="AE631" s="181"/>
      <c r="AF631" s="181"/>
    </row>
    <row r="632" spans="2:32">
      <c r="B632" s="181"/>
      <c r="C632" s="184"/>
      <c r="D632" s="188"/>
      <c r="E632" s="188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0"/>
      <c r="AC632" s="181"/>
      <c r="AD632" s="181"/>
      <c r="AE632" s="181"/>
      <c r="AF632" s="181"/>
    </row>
    <row r="633" spans="2:32">
      <c r="B633" s="181"/>
      <c r="C633" s="184"/>
      <c r="D633" s="188"/>
      <c r="E633" s="188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0"/>
      <c r="AC633" s="181"/>
      <c r="AD633" s="181"/>
      <c r="AE633" s="181"/>
      <c r="AF633" s="181"/>
    </row>
    <row r="634" spans="2:32">
      <c r="B634" s="181"/>
      <c r="C634" s="184"/>
      <c r="D634" s="188"/>
      <c r="E634" s="188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0"/>
      <c r="AC634" s="181"/>
      <c r="AD634" s="181"/>
      <c r="AE634" s="181"/>
      <c r="AF634" s="181"/>
    </row>
    <row r="635" spans="2:32">
      <c r="B635" s="181"/>
      <c r="C635" s="184"/>
      <c r="D635" s="188"/>
      <c r="E635" s="188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0"/>
      <c r="AC635" s="181"/>
      <c r="AD635" s="181"/>
      <c r="AE635" s="181"/>
      <c r="AF635" s="181"/>
    </row>
    <row r="636" spans="2:32">
      <c r="B636" s="181"/>
      <c r="C636" s="184"/>
      <c r="D636" s="188"/>
      <c r="E636" s="188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0"/>
      <c r="AC636" s="181"/>
      <c r="AD636" s="181"/>
      <c r="AE636" s="181"/>
      <c r="AF636" s="181"/>
    </row>
    <row r="637" spans="2:32">
      <c r="B637" s="181"/>
      <c r="C637" s="184"/>
      <c r="D637" s="188"/>
      <c r="E637" s="188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0"/>
      <c r="AC637" s="181"/>
      <c r="AD637" s="181"/>
      <c r="AE637" s="181"/>
      <c r="AF637" s="181"/>
    </row>
    <row r="638" spans="2:32">
      <c r="B638" s="181"/>
      <c r="C638" s="184"/>
      <c r="D638" s="188"/>
      <c r="E638" s="188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0"/>
      <c r="AC638" s="181"/>
      <c r="AD638" s="181"/>
      <c r="AE638" s="181"/>
      <c r="AF638" s="181"/>
    </row>
    <row r="639" spans="2:32">
      <c r="B639" s="181"/>
      <c r="C639" s="184"/>
      <c r="D639" s="188"/>
      <c r="E639" s="188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0"/>
      <c r="AC639" s="181"/>
      <c r="AD639" s="181"/>
      <c r="AE639" s="181"/>
      <c r="AF639" s="181"/>
    </row>
    <row r="640" spans="2:32">
      <c r="B640" s="181"/>
      <c r="C640" s="184"/>
      <c r="D640" s="188"/>
      <c r="E640" s="188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0"/>
      <c r="AC640" s="181"/>
      <c r="AD640" s="181"/>
      <c r="AE640" s="181"/>
      <c r="AF640" s="181"/>
    </row>
    <row r="641" spans="2:32">
      <c r="B641" s="181"/>
      <c r="C641" s="184"/>
      <c r="D641" s="188"/>
      <c r="E641" s="188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0"/>
      <c r="AC641" s="181"/>
      <c r="AD641" s="181"/>
      <c r="AE641" s="181"/>
      <c r="AF641" s="181"/>
    </row>
    <row r="642" spans="2:32">
      <c r="B642" s="181"/>
      <c r="C642" s="184"/>
      <c r="D642" s="188"/>
      <c r="E642" s="188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0"/>
      <c r="AC642" s="181"/>
      <c r="AD642" s="181"/>
      <c r="AE642" s="181"/>
      <c r="AF642" s="181"/>
    </row>
    <row r="643" spans="2:32">
      <c r="B643" s="181"/>
      <c r="C643" s="184"/>
      <c r="D643" s="188"/>
      <c r="E643" s="188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0"/>
      <c r="AC643" s="181"/>
      <c r="AD643" s="181"/>
      <c r="AE643" s="181"/>
      <c r="AF643" s="181"/>
    </row>
    <row r="644" spans="2:32">
      <c r="B644" s="181"/>
      <c r="C644" s="184"/>
      <c r="D644" s="188"/>
      <c r="E644" s="188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0"/>
      <c r="AC644" s="181"/>
      <c r="AD644" s="181"/>
      <c r="AE644" s="181"/>
      <c r="AF644" s="181"/>
    </row>
    <row r="645" spans="2:32">
      <c r="B645" s="181"/>
      <c r="C645" s="184"/>
      <c r="D645" s="188"/>
      <c r="E645" s="188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0"/>
      <c r="AC645" s="181"/>
      <c r="AD645" s="181"/>
      <c r="AE645" s="181"/>
      <c r="AF645" s="181"/>
    </row>
    <row r="646" spans="2:32">
      <c r="B646" s="181"/>
      <c r="C646" s="184"/>
      <c r="D646" s="188"/>
      <c r="E646" s="188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0"/>
      <c r="AC646" s="181"/>
      <c r="AD646" s="181"/>
      <c r="AE646" s="181"/>
      <c r="AF646" s="181"/>
    </row>
    <row r="647" spans="2:32">
      <c r="B647" s="181"/>
      <c r="C647" s="184"/>
      <c r="D647" s="188"/>
      <c r="E647" s="188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0"/>
      <c r="AC647" s="181"/>
      <c r="AD647" s="181"/>
      <c r="AE647" s="181"/>
      <c r="AF647" s="181"/>
    </row>
    <row r="648" spans="2:32">
      <c r="B648" s="181"/>
      <c r="C648" s="184"/>
      <c r="D648" s="188"/>
      <c r="E648" s="188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0"/>
      <c r="AC648" s="181"/>
      <c r="AD648" s="181"/>
      <c r="AE648" s="181"/>
      <c r="AF648" s="181"/>
    </row>
    <row r="649" spans="2:32">
      <c r="B649" s="181"/>
      <c r="C649" s="184"/>
      <c r="D649" s="188"/>
      <c r="E649" s="188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0"/>
      <c r="AC649" s="181"/>
      <c r="AD649" s="181"/>
      <c r="AE649" s="181"/>
      <c r="AF649" s="181"/>
    </row>
    <row r="650" spans="2:32">
      <c r="B650" s="181"/>
      <c r="C650" s="184"/>
      <c r="D650" s="188"/>
      <c r="E650" s="188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0"/>
      <c r="AC650" s="181"/>
      <c r="AD650" s="181"/>
      <c r="AE650" s="181"/>
      <c r="AF650" s="181"/>
    </row>
    <row r="651" spans="2:32">
      <c r="B651" s="181"/>
      <c r="C651" s="184"/>
      <c r="D651" s="188"/>
      <c r="E651" s="188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0"/>
      <c r="AC651" s="181"/>
      <c r="AD651" s="181"/>
      <c r="AE651" s="181"/>
      <c r="AF651" s="181"/>
    </row>
    <row r="652" spans="2:32">
      <c r="B652" s="181"/>
      <c r="C652" s="184"/>
      <c r="D652" s="188"/>
      <c r="E652" s="188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0"/>
      <c r="AC652" s="181"/>
      <c r="AD652" s="181"/>
      <c r="AE652" s="181"/>
      <c r="AF652" s="181"/>
    </row>
    <row r="653" spans="2:32">
      <c r="B653" s="181"/>
      <c r="C653" s="184"/>
      <c r="D653" s="188"/>
      <c r="E653" s="188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0"/>
      <c r="AC653" s="181"/>
      <c r="AD653" s="181"/>
      <c r="AE653" s="181"/>
      <c r="AF653" s="181"/>
    </row>
    <row r="654" spans="2:32">
      <c r="B654" s="181"/>
      <c r="C654" s="184"/>
      <c r="D654" s="188"/>
      <c r="E654" s="188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0"/>
      <c r="AC654" s="181"/>
      <c r="AD654" s="181"/>
      <c r="AE654" s="181"/>
      <c r="AF654" s="181"/>
    </row>
    <row r="655" spans="2:32">
      <c r="B655" s="181"/>
      <c r="C655" s="184"/>
      <c r="D655" s="188"/>
      <c r="E655" s="188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0"/>
      <c r="AC655" s="181"/>
      <c r="AD655" s="181"/>
      <c r="AE655" s="181"/>
      <c r="AF655" s="181"/>
    </row>
    <row r="656" spans="2:32">
      <c r="B656" s="181"/>
      <c r="C656" s="184"/>
      <c r="D656" s="188"/>
      <c r="E656" s="188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0"/>
      <c r="AC656" s="181"/>
      <c r="AD656" s="181"/>
      <c r="AE656" s="181"/>
      <c r="AF656" s="181"/>
    </row>
    <row r="657" spans="2:32">
      <c r="B657" s="181"/>
      <c r="C657" s="184"/>
      <c r="D657" s="188"/>
      <c r="E657" s="188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0"/>
      <c r="AC657" s="181"/>
      <c r="AD657" s="181"/>
      <c r="AE657" s="181"/>
      <c r="AF657" s="181"/>
    </row>
    <row r="658" spans="2:32">
      <c r="B658" s="181"/>
      <c r="C658" s="184"/>
      <c r="D658" s="188"/>
      <c r="E658" s="188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0"/>
      <c r="AC658" s="181"/>
      <c r="AD658" s="181"/>
      <c r="AE658" s="181"/>
      <c r="AF658" s="181"/>
    </row>
    <row r="659" spans="2:32">
      <c r="B659" s="181"/>
      <c r="C659" s="184"/>
      <c r="D659" s="188"/>
      <c r="E659" s="188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0"/>
      <c r="AC659" s="181"/>
      <c r="AD659" s="181"/>
      <c r="AE659" s="181"/>
      <c r="AF659" s="181"/>
    </row>
    <row r="660" spans="2:32">
      <c r="B660" s="181"/>
      <c r="C660" s="184"/>
      <c r="D660" s="188"/>
      <c r="E660" s="188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0"/>
      <c r="AC660" s="181"/>
      <c r="AD660" s="181"/>
      <c r="AE660" s="181"/>
      <c r="AF660" s="181"/>
    </row>
    <row r="661" spans="2:32">
      <c r="B661" s="181"/>
      <c r="C661" s="184"/>
      <c r="D661" s="188"/>
      <c r="E661" s="188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0"/>
      <c r="AC661" s="181"/>
      <c r="AD661" s="181"/>
      <c r="AE661" s="181"/>
      <c r="AF661" s="181"/>
    </row>
    <row r="662" spans="2:32">
      <c r="B662" s="181"/>
      <c r="C662" s="184"/>
      <c r="D662" s="188"/>
      <c r="E662" s="188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0"/>
      <c r="AC662" s="181"/>
      <c r="AD662" s="181"/>
      <c r="AE662" s="181"/>
      <c r="AF662" s="181"/>
    </row>
    <row r="663" spans="2:32">
      <c r="B663" s="181"/>
      <c r="C663" s="184"/>
      <c r="D663" s="188"/>
      <c r="E663" s="188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0"/>
      <c r="AC663" s="181"/>
      <c r="AD663" s="181"/>
      <c r="AE663" s="181"/>
      <c r="AF663" s="181"/>
    </row>
    <row r="664" spans="2:32">
      <c r="B664" s="181"/>
      <c r="C664" s="184"/>
      <c r="D664" s="188"/>
      <c r="E664" s="188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0"/>
      <c r="AC664" s="181"/>
      <c r="AD664" s="181"/>
      <c r="AE664" s="181"/>
      <c r="AF664" s="181"/>
    </row>
    <row r="665" spans="2:32">
      <c r="B665" s="181"/>
      <c r="C665" s="184"/>
      <c r="D665" s="188"/>
      <c r="E665" s="188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0"/>
      <c r="AC665" s="181"/>
      <c r="AD665" s="181"/>
      <c r="AE665" s="181"/>
      <c r="AF665" s="181"/>
    </row>
    <row r="666" spans="2:32">
      <c r="B666" s="181"/>
      <c r="C666" s="184"/>
      <c r="D666" s="188"/>
      <c r="E666" s="188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0"/>
      <c r="AC666" s="181"/>
      <c r="AD666" s="181"/>
      <c r="AE666" s="181"/>
      <c r="AF666" s="181"/>
    </row>
    <row r="667" spans="2:32">
      <c r="B667" s="181"/>
      <c r="C667" s="184"/>
      <c r="D667" s="188"/>
      <c r="E667" s="188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0"/>
      <c r="AC667" s="181"/>
      <c r="AD667" s="181"/>
      <c r="AE667" s="181"/>
      <c r="AF667" s="181"/>
    </row>
    <row r="668" spans="2:32">
      <c r="B668" s="181"/>
      <c r="C668" s="184"/>
      <c r="D668" s="188"/>
      <c r="E668" s="188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0"/>
      <c r="AC668" s="181"/>
      <c r="AD668" s="181"/>
      <c r="AE668" s="181"/>
      <c r="AF668" s="181"/>
    </row>
    <row r="669" spans="2:32">
      <c r="B669" s="181"/>
      <c r="C669" s="184"/>
      <c r="D669" s="188"/>
      <c r="E669" s="188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  <c r="X669" s="181"/>
      <c r="Y669" s="181"/>
      <c r="Z669" s="181"/>
      <c r="AA669" s="181"/>
      <c r="AB669" s="180"/>
      <c r="AC669" s="181"/>
      <c r="AD669" s="181"/>
      <c r="AE669" s="181"/>
      <c r="AF669" s="181"/>
    </row>
    <row r="670" spans="2:32">
      <c r="B670" s="181"/>
      <c r="C670" s="184"/>
      <c r="D670" s="188"/>
      <c r="E670" s="188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  <c r="X670" s="181"/>
      <c r="Y670" s="181"/>
      <c r="Z670" s="181"/>
      <c r="AA670" s="181"/>
      <c r="AB670" s="180"/>
      <c r="AC670" s="181"/>
      <c r="AD670" s="181"/>
      <c r="AE670" s="181"/>
      <c r="AF670" s="181"/>
    </row>
    <row r="671" spans="2:32">
      <c r="B671" s="181"/>
      <c r="C671" s="184"/>
      <c r="D671" s="188"/>
      <c r="E671" s="188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  <c r="X671" s="181"/>
      <c r="Y671" s="181"/>
      <c r="Z671" s="181"/>
      <c r="AA671" s="181"/>
      <c r="AB671" s="180"/>
      <c r="AC671" s="181"/>
      <c r="AD671" s="181"/>
      <c r="AE671" s="181"/>
      <c r="AF671" s="181"/>
    </row>
    <row r="672" spans="2:32">
      <c r="B672" s="181"/>
      <c r="C672" s="184"/>
      <c r="D672" s="188"/>
      <c r="E672" s="188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  <c r="X672" s="181"/>
      <c r="Y672" s="181"/>
      <c r="Z672" s="181"/>
      <c r="AA672" s="181"/>
      <c r="AB672" s="180"/>
      <c r="AC672" s="181"/>
      <c r="AD672" s="181"/>
      <c r="AE672" s="181"/>
      <c r="AF672" s="181"/>
    </row>
    <row r="673" spans="2:32">
      <c r="B673" s="181"/>
      <c r="C673" s="184"/>
      <c r="D673" s="188"/>
      <c r="E673" s="188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  <c r="X673" s="181"/>
      <c r="Y673" s="181"/>
      <c r="Z673" s="181"/>
      <c r="AA673" s="181"/>
      <c r="AB673" s="180"/>
      <c r="AC673" s="181"/>
      <c r="AD673" s="181"/>
      <c r="AE673" s="181"/>
      <c r="AF673" s="181"/>
    </row>
    <row r="674" spans="2:32">
      <c r="B674" s="181"/>
      <c r="C674" s="184"/>
      <c r="D674" s="188"/>
      <c r="E674" s="188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  <c r="X674" s="181"/>
      <c r="Y674" s="181"/>
      <c r="Z674" s="181"/>
      <c r="AA674" s="181"/>
      <c r="AB674" s="180"/>
      <c r="AC674" s="181"/>
      <c r="AD674" s="181"/>
      <c r="AE674" s="181"/>
      <c r="AF674" s="181"/>
    </row>
    <row r="675" spans="2:32">
      <c r="B675" s="181"/>
      <c r="C675" s="184"/>
      <c r="D675" s="188"/>
      <c r="E675" s="188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  <c r="X675" s="181"/>
      <c r="Y675" s="181"/>
      <c r="Z675" s="181"/>
      <c r="AA675" s="181"/>
      <c r="AB675" s="180"/>
    </row>
  </sheetData>
  <mergeCells count="6">
    <mergeCell ref="A35:AB35"/>
    <mergeCell ref="A1:AB1"/>
    <mergeCell ref="A29:AB29"/>
    <mergeCell ref="A11:AB11"/>
    <mergeCell ref="B10:D10"/>
    <mergeCell ref="A24:D24"/>
  </mergeCells>
  <printOptions horizontalCentered="1"/>
  <pageMargins left="0.23622047244094491" right="0.19685039370078741" top="0.62992125984251968" bottom="0.27559055118110237" header="0.43307086614173229" footer="0.11811023622047245"/>
  <pageSetup paperSize="9" scale="70" firstPageNumber="39" orientation="landscape" useFirstPageNumber="1" horizontalDpi="4294967293" verticalDpi="1200" r:id="rId1"/>
  <headerFooter>
    <oddHeader>&amp;Rเอกสารแนบ 1</oddHead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AW235"/>
  <sheetViews>
    <sheetView view="pageBreakPreview" zoomScale="130" zoomScaleNormal="130" zoomScaleSheetLayoutView="130" workbookViewId="0">
      <pane ySplit="4" topLeftCell="A200" activePane="bottomLeft" state="frozen"/>
      <selection activeCell="B1" sqref="B1"/>
      <selection pane="bottomLeft" activeCell="AV56" sqref="AV56"/>
    </sheetView>
  </sheetViews>
  <sheetFormatPr defaultColWidth="8" defaultRowHeight="21.75"/>
  <cols>
    <col min="1" max="1" width="2.85546875" style="1355" customWidth="1"/>
    <col min="2" max="2" width="8.140625" style="2933" customWidth="1"/>
    <col min="3" max="3" width="53.42578125" style="1031" customWidth="1"/>
    <col min="4" max="4" width="6.42578125" style="1352" hidden="1" customWidth="1"/>
    <col min="5" max="6" width="14.5703125" style="1031" hidden="1" customWidth="1"/>
    <col min="7" max="7" width="14.7109375" style="1031" hidden="1" customWidth="1"/>
    <col min="8" max="9" width="14.42578125" style="1031" hidden="1" customWidth="1"/>
    <col min="10" max="10" width="13.42578125" style="1031" hidden="1" customWidth="1"/>
    <col min="11" max="12" width="14.42578125" style="1031" hidden="1" customWidth="1"/>
    <col min="13" max="13" width="13.28515625" style="1031" hidden="1" customWidth="1"/>
    <col min="14" max="14" width="13.42578125" style="1031" hidden="1" customWidth="1"/>
    <col min="15" max="15" width="12.42578125" style="1031" hidden="1" customWidth="1"/>
    <col min="16" max="16" width="13.140625" style="1031" hidden="1" customWidth="1"/>
    <col min="17" max="17" width="15.42578125" style="1031" hidden="1" customWidth="1"/>
    <col min="18" max="18" width="14.42578125" style="1031" hidden="1" customWidth="1"/>
    <col min="19" max="19" width="16.7109375" style="1031" hidden="1" customWidth="1"/>
    <col min="20" max="21" width="13.140625" style="1031" hidden="1" customWidth="1"/>
    <col min="22" max="22" width="13.42578125" style="1031" hidden="1" customWidth="1"/>
    <col min="23" max="23" width="12.140625" style="1031" hidden="1" customWidth="1"/>
    <col min="24" max="24" width="11.85546875" style="1031" hidden="1" customWidth="1"/>
    <col min="25" max="25" width="14.42578125" style="1031" hidden="1" customWidth="1"/>
    <col min="26" max="26" width="13.42578125" style="1031" hidden="1" customWidth="1"/>
    <col min="27" max="27" width="17.7109375" style="1031" hidden="1" customWidth="1"/>
    <col min="28" max="28" width="8.42578125" style="1031" hidden="1" customWidth="1"/>
    <col min="29" max="29" width="6.85546875" style="1361" hidden="1" customWidth="1"/>
    <col min="30" max="30" width="17.85546875" style="1031" hidden="1" customWidth="1"/>
    <col min="31" max="31" width="6.85546875" style="1031" hidden="1" customWidth="1"/>
    <col min="32" max="32" width="16.42578125" style="1031" hidden="1" customWidth="1"/>
    <col min="33" max="33" width="14.42578125" style="1031" hidden="1" customWidth="1"/>
    <col min="34" max="34" width="6.85546875" style="1031" hidden="1" customWidth="1"/>
    <col min="35" max="35" width="13.140625" style="1031" hidden="1" customWidth="1"/>
    <col min="36" max="36" width="15.42578125" style="1031" hidden="1" customWidth="1"/>
    <col min="37" max="37" width="14.85546875" style="1031" hidden="1" customWidth="1"/>
    <col min="38" max="38" width="7" style="1031" hidden="1" customWidth="1"/>
    <col min="39" max="39" width="2" style="1031" hidden="1" customWidth="1"/>
    <col min="40" max="40" width="17.140625" style="1031" customWidth="1"/>
    <col min="41" max="41" width="15.85546875" style="1031" hidden="1" customWidth="1"/>
    <col min="42" max="42" width="8.28515625" style="1031" hidden="1" customWidth="1"/>
    <col min="43" max="43" width="16.5703125" style="1031" hidden="1" customWidth="1"/>
    <col min="44" max="44" width="17.42578125" style="1031" customWidth="1"/>
    <col min="45" max="45" width="8.85546875" style="1031" customWidth="1"/>
    <col min="46" max="46" width="16.28515625" style="1031" customWidth="1"/>
    <col min="47" max="47" width="22" style="1031" customWidth="1"/>
    <col min="48" max="48" width="53.5703125" style="1031" customWidth="1"/>
    <col min="49" max="49" width="27.7109375" style="1031" customWidth="1"/>
    <col min="50" max="16384" width="8" style="1031"/>
  </cols>
  <sheetData>
    <row r="1" spans="1:49" ht="26.25" customHeight="1">
      <c r="A1" s="2857" t="s">
        <v>1518</v>
      </c>
      <c r="B1" s="2857"/>
      <c r="C1" s="2857"/>
      <c r="D1" s="2857"/>
      <c r="E1" s="2857"/>
      <c r="F1" s="2857"/>
      <c r="G1" s="2857"/>
      <c r="H1" s="2857"/>
      <c r="I1" s="2857"/>
      <c r="J1" s="2857"/>
      <c r="K1" s="2857"/>
      <c r="L1" s="2857"/>
      <c r="M1" s="2857"/>
      <c r="N1" s="2857"/>
      <c r="O1" s="2857"/>
      <c r="P1" s="2857"/>
      <c r="Q1" s="2857"/>
      <c r="R1" s="2857"/>
      <c r="S1" s="2857"/>
      <c r="T1" s="2857"/>
      <c r="U1" s="2857"/>
      <c r="V1" s="2857"/>
      <c r="W1" s="2857"/>
      <c r="X1" s="2857"/>
      <c r="Y1" s="2857"/>
      <c r="Z1" s="2857"/>
      <c r="AA1" s="2857"/>
      <c r="AB1" s="2857"/>
      <c r="AC1" s="2857"/>
      <c r="AD1" s="2857"/>
      <c r="AE1" s="2857"/>
      <c r="AF1" s="2857"/>
      <c r="AG1" s="2857"/>
      <c r="AH1" s="2857"/>
      <c r="AI1" s="2857"/>
      <c r="AJ1" s="2857"/>
      <c r="AK1" s="2857"/>
      <c r="AL1" s="2857"/>
      <c r="AM1" s="2857"/>
      <c r="AN1" s="2857"/>
      <c r="AO1" s="2857"/>
      <c r="AP1" s="2857"/>
      <c r="AQ1" s="2857"/>
      <c r="AR1" s="2857"/>
      <c r="AS1" s="2857"/>
      <c r="AT1" s="2857"/>
      <c r="AU1" s="2857"/>
      <c r="AV1" s="1041"/>
    </row>
    <row r="2" spans="1:49" ht="10.5" customHeight="1">
      <c r="A2" s="2862"/>
      <c r="B2" s="2862"/>
      <c r="C2" s="2862"/>
      <c r="D2" s="2862"/>
      <c r="E2" s="2862"/>
      <c r="F2" s="2862"/>
      <c r="G2" s="2862"/>
      <c r="H2" s="2862"/>
      <c r="I2" s="2862"/>
      <c r="J2" s="2862"/>
      <c r="K2" s="2862"/>
      <c r="L2" s="2862"/>
      <c r="M2" s="2862"/>
      <c r="N2" s="2862"/>
      <c r="O2" s="2862"/>
      <c r="P2" s="2862"/>
      <c r="Q2" s="2862"/>
      <c r="R2" s="2862"/>
      <c r="S2" s="2862"/>
      <c r="T2" s="2862"/>
      <c r="U2" s="2862"/>
      <c r="V2" s="2862"/>
      <c r="W2" s="2862"/>
      <c r="X2" s="2862"/>
      <c r="Y2" s="2862"/>
      <c r="Z2" s="2862"/>
      <c r="AA2" s="1030"/>
      <c r="AB2" s="1030"/>
      <c r="AC2" s="1032"/>
      <c r="AD2" s="1030"/>
      <c r="AE2" s="1030"/>
      <c r="AF2" s="1030"/>
      <c r="AG2" s="1030"/>
      <c r="AH2" s="1030"/>
      <c r="AI2" s="1030"/>
      <c r="AJ2" s="1030"/>
      <c r="AK2" s="1030"/>
      <c r="AL2" s="1030"/>
      <c r="AM2" s="1030"/>
      <c r="AN2" s="1030"/>
      <c r="AO2" s="1030"/>
      <c r="AP2" s="1030"/>
      <c r="AQ2" s="1352"/>
      <c r="AR2" s="1030"/>
      <c r="AS2" s="1030"/>
      <c r="AT2" s="1030"/>
      <c r="AU2" s="1030"/>
      <c r="AV2" s="1030"/>
    </row>
    <row r="3" spans="1:49" s="1030" customFormat="1" ht="20.25" customHeight="1">
      <c r="A3" s="1754"/>
      <c r="B3" s="2934" t="s">
        <v>2748</v>
      </c>
      <c r="C3" s="2863" t="s">
        <v>245</v>
      </c>
      <c r="D3" s="1662"/>
      <c r="E3" s="2848" t="s">
        <v>246</v>
      </c>
      <c r="F3" s="2848" t="s">
        <v>247</v>
      </c>
      <c r="G3" s="2848" t="s">
        <v>248</v>
      </c>
      <c r="H3" s="2848" t="s">
        <v>249</v>
      </c>
      <c r="I3" s="2848" t="s">
        <v>250</v>
      </c>
      <c r="J3" s="2848" t="s">
        <v>251</v>
      </c>
      <c r="K3" s="2848" t="s">
        <v>252</v>
      </c>
      <c r="L3" s="2848" t="s">
        <v>632</v>
      </c>
      <c r="M3" s="2848" t="s">
        <v>719</v>
      </c>
      <c r="N3" s="2848" t="s">
        <v>253</v>
      </c>
      <c r="O3" s="2848" t="s">
        <v>254</v>
      </c>
      <c r="P3" s="2848" t="s">
        <v>702</v>
      </c>
      <c r="Q3" s="2848" t="s">
        <v>514</v>
      </c>
      <c r="R3" s="2848" t="s">
        <v>997</v>
      </c>
      <c r="S3" s="2848" t="s">
        <v>255</v>
      </c>
      <c r="T3" s="2848" t="s">
        <v>720</v>
      </c>
      <c r="U3" s="2858" t="s">
        <v>1224</v>
      </c>
      <c r="V3" s="2858"/>
      <c r="W3" s="2858"/>
      <c r="X3" s="2858"/>
      <c r="Y3" s="2848" t="s">
        <v>703</v>
      </c>
      <c r="Z3" s="2848" t="s">
        <v>694</v>
      </c>
      <c r="AA3" s="2848" t="s">
        <v>571</v>
      </c>
      <c r="AB3" s="2848"/>
      <c r="AC3" s="1663"/>
      <c r="AD3" s="2848" t="s">
        <v>571</v>
      </c>
      <c r="AE3" s="2848"/>
      <c r="AF3" s="2848" t="s">
        <v>704</v>
      </c>
      <c r="AG3" s="2848" t="s">
        <v>571</v>
      </c>
      <c r="AH3" s="2848"/>
      <c r="AI3" s="2848" t="s">
        <v>1056</v>
      </c>
      <c r="AJ3" s="2848" t="s">
        <v>1443</v>
      </c>
      <c r="AK3" s="2850" t="s">
        <v>1482</v>
      </c>
      <c r="AL3" s="2850"/>
      <c r="AM3" s="2848" t="s">
        <v>1446</v>
      </c>
      <c r="AN3" s="2848" t="s">
        <v>1194</v>
      </c>
      <c r="AO3" s="2848" t="s">
        <v>571</v>
      </c>
      <c r="AP3" s="2848"/>
      <c r="AQ3" s="2849" t="s">
        <v>1483</v>
      </c>
      <c r="AR3" s="2848" t="s">
        <v>571</v>
      </c>
      <c r="AS3" s="2848"/>
      <c r="AT3" s="2936" t="s">
        <v>1504</v>
      </c>
      <c r="AU3" s="2848" t="s">
        <v>1716</v>
      </c>
      <c r="AV3" s="2847" t="s">
        <v>221</v>
      </c>
    </row>
    <row r="4" spans="1:49" s="1030" customFormat="1" ht="18" customHeight="1">
      <c r="A4" s="1755"/>
      <c r="B4" s="2935"/>
      <c r="C4" s="2863"/>
      <c r="D4" s="1662"/>
      <c r="E4" s="2852"/>
      <c r="F4" s="2848"/>
      <c r="G4" s="2848"/>
      <c r="H4" s="2848"/>
      <c r="I4" s="2852"/>
      <c r="J4" s="2852"/>
      <c r="K4" s="2848"/>
      <c r="L4" s="2848"/>
      <c r="M4" s="2848"/>
      <c r="N4" s="2848"/>
      <c r="O4" s="2848"/>
      <c r="P4" s="2848"/>
      <c r="Q4" s="2848"/>
      <c r="R4" s="2848"/>
      <c r="S4" s="2848"/>
      <c r="T4" s="2848"/>
      <c r="U4" s="1033" t="s">
        <v>490</v>
      </c>
      <c r="V4" s="1033" t="s">
        <v>510</v>
      </c>
      <c r="W4" s="2856" t="s">
        <v>513</v>
      </c>
      <c r="X4" s="2856"/>
      <c r="Y4" s="2848"/>
      <c r="Z4" s="2848"/>
      <c r="AA4" s="1650" t="s">
        <v>686</v>
      </c>
      <c r="AB4" s="1665" t="s">
        <v>255</v>
      </c>
      <c r="AC4" s="1663"/>
      <c r="AD4" s="1664" t="s">
        <v>693</v>
      </c>
      <c r="AE4" s="1665" t="s">
        <v>255</v>
      </c>
      <c r="AF4" s="2848"/>
      <c r="AG4" s="1651" t="str">
        <f>+ประมาณการรายรับ!V4</f>
        <v>ไตรมาส 1-3
(ต.ค.67- มิ.ย.68)
ณ 30 มิ.ย. 68</v>
      </c>
      <c r="AH4" s="1652" t="str">
        <f>+AE4</f>
        <v>คิดเป็นร้อยละของแผน</v>
      </c>
      <c r="AI4" s="2848"/>
      <c r="AJ4" s="2848"/>
      <c r="AK4" s="1650" t="s">
        <v>171</v>
      </c>
      <c r="AL4" s="1652" t="s">
        <v>1053</v>
      </c>
      <c r="AM4" s="2848"/>
      <c r="AN4" s="2848"/>
      <c r="AO4" s="1650" t="s">
        <v>1503</v>
      </c>
      <c r="AP4" s="1652" t="s">
        <v>1053</v>
      </c>
      <c r="AQ4" s="2849"/>
      <c r="AR4" s="1650" t="s">
        <v>1505</v>
      </c>
      <c r="AS4" s="1652" t="s">
        <v>1053</v>
      </c>
      <c r="AT4" s="2937"/>
      <c r="AU4" s="2848"/>
      <c r="AV4" s="2847"/>
    </row>
    <row r="5" spans="1:49" s="1041" customFormat="1">
      <c r="A5" s="1375" t="s">
        <v>256</v>
      </c>
      <c r="B5" s="2909"/>
      <c r="C5" s="1425" t="s">
        <v>257</v>
      </c>
      <c r="D5" s="1095" t="s">
        <v>258</v>
      </c>
      <c r="E5" s="1379">
        <v>225760041.13</v>
      </c>
      <c r="F5" s="1379">
        <v>231433774.66999999</v>
      </c>
      <c r="G5" s="1655">
        <v>180533834.22999996</v>
      </c>
      <c r="H5" s="1656">
        <v>192030320</v>
      </c>
      <c r="I5" s="1655">
        <v>188204023.53</v>
      </c>
      <c r="J5" s="1379">
        <v>0</v>
      </c>
      <c r="K5" s="1657">
        <v>207980000</v>
      </c>
      <c r="L5" s="1388">
        <v>188464884.25</v>
      </c>
      <c r="M5" s="1388">
        <v>0</v>
      </c>
      <c r="N5" s="1388"/>
      <c r="O5" s="1388"/>
      <c r="P5" s="1388"/>
      <c r="Q5" s="1388">
        <v>195000000</v>
      </c>
      <c r="R5" s="1388">
        <v>191760801.52000001</v>
      </c>
      <c r="S5" s="1388">
        <f>+(R5/Q5)*100</f>
        <v>98.338872574358987</v>
      </c>
      <c r="T5" s="1658"/>
      <c r="U5" s="1659"/>
      <c r="V5" s="1659"/>
      <c r="W5" s="1659"/>
      <c r="X5" s="1659"/>
      <c r="Y5" s="1388">
        <v>205000000</v>
      </c>
      <c r="Z5" s="1658"/>
      <c r="AA5" s="1388">
        <v>50880935.869999997</v>
      </c>
      <c r="AB5" s="1388">
        <f>+AA5/Y5*100</f>
        <v>24.819968717073166</v>
      </c>
      <c r="AC5" s="1038">
        <f t="shared" ref="AC5:AC38" si="0">+(Y5-R5)/R5*100</f>
        <v>6.9040170749490661</v>
      </c>
      <c r="AD5" s="1388">
        <v>100870203.28</v>
      </c>
      <c r="AE5" s="1388">
        <f>+AD5/Y5*100</f>
        <v>49.204977209756095</v>
      </c>
      <c r="AF5" s="1388">
        <f>+Y5</f>
        <v>205000000</v>
      </c>
      <c r="AG5" s="1388">
        <v>151325858.96000001</v>
      </c>
      <c r="AH5" s="1388">
        <f>+AG5/AF5*100</f>
        <v>73.817492175609758</v>
      </c>
      <c r="AI5" s="1388"/>
      <c r="AJ5" s="1660">
        <f>+AF5</f>
        <v>205000000</v>
      </c>
      <c r="AK5" s="1660">
        <v>206401625.15000001</v>
      </c>
      <c r="AL5" s="1660">
        <f>+AK5/AJ5*100</f>
        <v>100.68371958536586</v>
      </c>
      <c r="AM5" s="1660"/>
      <c r="AN5" s="1660">
        <v>212000000</v>
      </c>
      <c r="AO5" s="1660">
        <v>57104861.780000001</v>
      </c>
      <c r="AP5" s="1660">
        <f>+AO5/AN5*100</f>
        <v>26.936255556603772</v>
      </c>
      <c r="AQ5" s="1661"/>
      <c r="AR5" s="1660">
        <v>113307087.90000001</v>
      </c>
      <c r="AS5" s="1660">
        <f>+AR5/AN5*100</f>
        <v>53.446739575471703</v>
      </c>
      <c r="AT5" s="1660"/>
      <c r="AU5" s="1660">
        <v>212000000</v>
      </c>
      <c r="AV5" s="1661"/>
      <c r="AW5" s="1040"/>
    </row>
    <row r="6" spans="1:49" s="1041" customFormat="1">
      <c r="A6" s="1034" t="s">
        <v>259</v>
      </c>
      <c r="B6" s="2910"/>
      <c r="C6" s="1042" t="s">
        <v>239</v>
      </c>
      <c r="D6" s="1043" t="s">
        <v>260</v>
      </c>
      <c r="E6" s="1035">
        <f>SUM(E7:E14)</f>
        <v>357935423.25999999</v>
      </c>
      <c r="F6" s="1035">
        <f>SUM(F7:F14)</f>
        <v>330665387.89999998</v>
      </c>
      <c r="G6" s="1035">
        <f>SUM(G7:G14)</f>
        <v>321953186.18000001</v>
      </c>
      <c r="H6" s="1035">
        <v>342049500</v>
      </c>
      <c r="I6" s="1035">
        <f>SUM(I7:I14)</f>
        <v>358064945.39999998</v>
      </c>
      <c r="J6" s="1035">
        <v>0</v>
      </c>
      <c r="K6" s="1044">
        <v>411928000</v>
      </c>
      <c r="L6" s="1035">
        <f>SUM(L7:L16)</f>
        <v>378597766.77000004</v>
      </c>
      <c r="M6" s="1035">
        <v>0</v>
      </c>
      <c r="N6" s="1035"/>
      <c r="O6" s="1035"/>
      <c r="P6" s="1035"/>
      <c r="Q6" s="1035">
        <f>SUM(Q7:Q16)</f>
        <v>476200000</v>
      </c>
      <c r="R6" s="1035">
        <f>SUM(R7:R16)</f>
        <v>475811669.74000001</v>
      </c>
      <c r="S6" s="1036">
        <f>+(R6/Q6)*100</f>
        <v>99.918452276354472</v>
      </c>
      <c r="T6" s="1045"/>
      <c r="U6" s="1046"/>
      <c r="V6" s="1046"/>
      <c r="W6" s="1047"/>
      <c r="X6" s="1047"/>
      <c r="Y6" s="1035">
        <f>SUM(Y7:Y16)</f>
        <v>476200000</v>
      </c>
      <c r="Z6" s="1045"/>
      <c r="AA6" s="1048">
        <f>SUM(AA7:AA16)</f>
        <v>117826267.93000001</v>
      </c>
      <c r="AB6" s="1048">
        <f>+AA6/Y6*100</f>
        <v>24.743021404871904</v>
      </c>
      <c r="AC6" s="1038">
        <f t="shared" si="0"/>
        <v>8.1614278231592674E-2</v>
      </c>
      <c r="AD6" s="1048">
        <f>SUM(AD7:AD16)</f>
        <v>237819467.22999999</v>
      </c>
      <c r="AE6" s="1037">
        <f>+AD6/Y6*100</f>
        <v>49.941089296514072</v>
      </c>
      <c r="AF6" s="1037">
        <f>+Y6</f>
        <v>476200000</v>
      </c>
      <c r="AG6" s="1037">
        <f>SUM(AG7:AG16)</f>
        <v>361229988.62</v>
      </c>
      <c r="AH6" s="1037">
        <f>+AG6/AF6*100</f>
        <v>75.856780474590508</v>
      </c>
      <c r="AI6" s="1037"/>
      <c r="AJ6" s="1039">
        <f>SUM(AJ7:AJ16)</f>
        <v>476200000</v>
      </c>
      <c r="AK6" s="1039">
        <f>SUM(AK7:AK16)</f>
        <v>491678972.99000001</v>
      </c>
      <c r="AL6" s="1039">
        <f>+AK6/AJ6*100</f>
        <v>103.25051931751365</v>
      </c>
      <c r="AM6" s="1039"/>
      <c r="AN6" s="1039">
        <f>SUM(AN7:AN16)</f>
        <v>487600000</v>
      </c>
      <c r="AO6" s="1039">
        <f>SUM(AO7:AO16)</f>
        <v>116171363.75</v>
      </c>
      <c r="AP6" s="1660">
        <f>+AO6/AN6*100</f>
        <v>23.825136125922889</v>
      </c>
      <c r="AQ6" s="1741"/>
      <c r="AR6" s="1039">
        <f>SUM(AR7:AR16)</f>
        <v>245919510.83000001</v>
      </c>
      <c r="AS6" s="1660">
        <f>+AR6/AN6*100</f>
        <v>50.434682286710419</v>
      </c>
      <c r="AT6" s="1039"/>
      <c r="AU6" s="1039">
        <f>SUM(AU7:AU16)</f>
        <v>487600000</v>
      </c>
      <c r="AV6" s="1049"/>
    </row>
    <row r="7" spans="1:49">
      <c r="A7" s="1050"/>
      <c r="B7" s="2911"/>
      <c r="C7" s="1051" t="s">
        <v>261</v>
      </c>
      <c r="D7" s="1052" t="s">
        <v>260</v>
      </c>
      <c r="E7" s="1053">
        <v>297042587</v>
      </c>
      <c r="F7" s="1053">
        <v>311855606.89999998</v>
      </c>
      <c r="G7" s="1053">
        <v>309794110.18000001</v>
      </c>
      <c r="H7" s="1053">
        <v>320000000</v>
      </c>
      <c r="I7" s="1053">
        <v>340999774.39999998</v>
      </c>
      <c r="J7" s="1053">
        <v>0</v>
      </c>
      <c r="K7" s="1054">
        <v>365000000</v>
      </c>
      <c r="L7" s="1055">
        <v>367202135.79000002</v>
      </c>
      <c r="M7" s="1055">
        <v>0</v>
      </c>
      <c r="N7" s="1056"/>
      <c r="O7" s="1056"/>
      <c r="P7" s="1056"/>
      <c r="Q7" s="1055">
        <v>432000000</v>
      </c>
      <c r="R7" s="1055">
        <v>431946995.07999998</v>
      </c>
      <c r="S7" s="1057">
        <f>+(R7/Q7)*100</f>
        <v>99.987730342592585</v>
      </c>
      <c r="T7" s="1055"/>
      <c r="U7" s="1058"/>
      <c r="V7" s="1058"/>
      <c r="W7" s="1058"/>
      <c r="X7" s="1058"/>
      <c r="Y7" s="1055">
        <v>432000000</v>
      </c>
      <c r="Z7" s="1055"/>
      <c r="AA7" s="1055">
        <v>108499522.93000001</v>
      </c>
      <c r="AB7" s="1056"/>
      <c r="AC7" s="1038">
        <f t="shared" si="0"/>
        <v>1.2271163037075823E-2</v>
      </c>
      <c r="AD7" s="1055">
        <v>222765508.22999999</v>
      </c>
      <c r="AE7" s="1056"/>
      <c r="AF7" s="1055">
        <f>+Y7</f>
        <v>432000000</v>
      </c>
      <c r="AG7" s="1055">
        <v>343738838.62</v>
      </c>
      <c r="AH7" s="1055"/>
      <c r="AI7" s="1055"/>
      <c r="AJ7" s="1055">
        <f>+AF7</f>
        <v>432000000</v>
      </c>
      <c r="AK7" s="1059">
        <v>463049491.99000001</v>
      </c>
      <c r="AL7" s="1060"/>
      <c r="AM7" s="1060"/>
      <c r="AN7" s="1055">
        <f>+AJ7</f>
        <v>432000000</v>
      </c>
      <c r="AO7" s="1237">
        <v>112947446.75</v>
      </c>
      <c r="AP7" s="1060"/>
      <c r="AQ7" s="1060"/>
      <c r="AR7" s="1060">
        <v>234119589.83000001</v>
      </c>
      <c r="AS7" s="1060"/>
      <c r="AT7" s="1060"/>
      <c r="AU7" s="1055">
        <v>432000000</v>
      </c>
      <c r="AV7" s="1061"/>
    </row>
    <row r="8" spans="1:49">
      <c r="A8" s="1062"/>
      <c r="B8" s="2912"/>
      <c r="C8" s="1063" t="s">
        <v>262</v>
      </c>
      <c r="D8" s="1064" t="s">
        <v>260</v>
      </c>
      <c r="E8" s="1065">
        <v>582100</v>
      </c>
      <c r="F8" s="1065">
        <v>598456</v>
      </c>
      <c r="G8" s="1065">
        <v>1167600</v>
      </c>
      <c r="H8" s="1065">
        <v>300000</v>
      </c>
      <c r="I8" s="1065">
        <v>868400</v>
      </c>
      <c r="J8" s="1065">
        <v>0</v>
      </c>
      <c r="K8" s="1066">
        <v>580000</v>
      </c>
      <c r="L8" s="1065">
        <v>555000</v>
      </c>
      <c r="M8" s="1065">
        <v>0</v>
      </c>
      <c r="N8" s="1067"/>
      <c r="O8" s="1067"/>
      <c r="P8" s="1067"/>
      <c r="Q8" s="1065">
        <v>550000</v>
      </c>
      <c r="R8" s="1065">
        <v>470000</v>
      </c>
      <c r="S8" s="1068">
        <f t="shared" ref="S8:S16" si="1">+(R8/Q8)*100</f>
        <v>85.454545454545453</v>
      </c>
      <c r="T8" s="1065"/>
      <c r="U8" s="1069"/>
      <c r="V8" s="1069"/>
      <c r="W8" s="1069"/>
      <c r="X8" s="1069"/>
      <c r="Y8" s="1065">
        <v>550000</v>
      </c>
      <c r="Z8" s="1065"/>
      <c r="AA8" s="1065">
        <v>140000</v>
      </c>
      <c r="AB8" s="1067"/>
      <c r="AC8" s="1038">
        <f t="shared" si="0"/>
        <v>17.021276595744681</v>
      </c>
      <c r="AD8" s="1065">
        <v>290000</v>
      </c>
      <c r="AE8" s="1067"/>
      <c r="AF8" s="1065">
        <f t="shared" ref="AF8:AF16" si="2">+Y8</f>
        <v>550000</v>
      </c>
      <c r="AG8" s="1065">
        <v>440000</v>
      </c>
      <c r="AH8" s="1065"/>
      <c r="AI8" s="1065"/>
      <c r="AJ8" s="1065">
        <f t="shared" ref="AJ8:AJ16" si="3">+AF8</f>
        <v>550000</v>
      </c>
      <c r="AK8" s="1070">
        <v>590000</v>
      </c>
      <c r="AL8" s="1071"/>
      <c r="AM8" s="1071"/>
      <c r="AN8" s="1065">
        <f t="shared" ref="AN8:AN16" si="4">+AJ8</f>
        <v>550000</v>
      </c>
      <c r="AO8" s="1222">
        <v>150000</v>
      </c>
      <c r="AP8" s="1071"/>
      <c r="AQ8" s="1071"/>
      <c r="AR8" s="1071">
        <v>315000</v>
      </c>
      <c r="AS8" s="1071"/>
      <c r="AT8" s="1071"/>
      <c r="AU8" s="1065">
        <v>550000</v>
      </c>
      <c r="AV8" s="1072"/>
    </row>
    <row r="9" spans="1:49">
      <c r="A9" s="1062"/>
      <c r="B9" s="2912"/>
      <c r="C9" s="1063" t="s">
        <v>263</v>
      </c>
      <c r="D9" s="1064" t="s">
        <v>260</v>
      </c>
      <c r="E9" s="1065">
        <v>180000</v>
      </c>
      <c r="F9" s="1065">
        <v>115500</v>
      </c>
      <c r="G9" s="1065">
        <v>88500</v>
      </c>
      <c r="H9" s="1065">
        <v>200000</v>
      </c>
      <c r="I9" s="1065">
        <v>223200</v>
      </c>
      <c r="J9" s="1065">
        <v>0</v>
      </c>
      <c r="K9" s="1066">
        <v>216000</v>
      </c>
      <c r="L9" s="1065">
        <f>155400+33600</f>
        <v>189000</v>
      </c>
      <c r="M9" s="1065">
        <v>0</v>
      </c>
      <c r="N9" s="1067"/>
      <c r="O9" s="1067"/>
      <c r="P9" s="1067"/>
      <c r="Q9" s="1065">
        <v>200000</v>
      </c>
      <c r="R9" s="1065">
        <v>147300</v>
      </c>
      <c r="S9" s="1068">
        <f t="shared" si="1"/>
        <v>73.650000000000006</v>
      </c>
      <c r="T9" s="1065"/>
      <c r="U9" s="1069"/>
      <c r="V9" s="1069"/>
      <c r="W9" s="1069"/>
      <c r="X9" s="1069"/>
      <c r="Y9" s="1065">
        <v>200000</v>
      </c>
      <c r="Z9" s="1065"/>
      <c r="AA9" s="1065">
        <v>51000</v>
      </c>
      <c r="AB9" s="1067"/>
      <c r="AC9" s="1038">
        <f t="shared" si="0"/>
        <v>35.777325186693822</v>
      </c>
      <c r="AD9" s="1065">
        <v>51000</v>
      </c>
      <c r="AE9" s="1067"/>
      <c r="AF9" s="1065">
        <f t="shared" si="2"/>
        <v>200000</v>
      </c>
      <c r="AG9" s="1065">
        <v>118192</v>
      </c>
      <c r="AH9" s="1065"/>
      <c r="AI9" s="1065"/>
      <c r="AJ9" s="1065">
        <f t="shared" si="3"/>
        <v>200000</v>
      </c>
      <c r="AK9" s="1070">
        <v>178492</v>
      </c>
      <c r="AL9" s="1071"/>
      <c r="AM9" s="1071"/>
      <c r="AN9" s="1065">
        <f t="shared" si="4"/>
        <v>200000</v>
      </c>
      <c r="AO9" s="1222">
        <v>86700</v>
      </c>
      <c r="AP9" s="1071"/>
      <c r="AQ9" s="1071"/>
      <c r="AR9" s="1071">
        <v>164400</v>
      </c>
      <c r="AS9" s="1071"/>
      <c r="AT9" s="1071"/>
      <c r="AU9" s="1065">
        <v>200000</v>
      </c>
      <c r="AV9" s="1072"/>
      <c r="AW9" s="1073"/>
    </row>
    <row r="10" spans="1:49" s="1155" customFormat="1" ht="23.25" customHeight="1">
      <c r="A10" s="1151"/>
      <c r="B10" s="2913"/>
      <c r="C10" s="1157" t="s">
        <v>264</v>
      </c>
      <c r="D10" s="1139" t="s">
        <v>260</v>
      </c>
      <c r="E10" s="1116">
        <v>58010499.259999998</v>
      </c>
      <c r="F10" s="1116">
        <v>17069627</v>
      </c>
      <c r="G10" s="1116">
        <v>10193251</v>
      </c>
      <c r="H10" s="1116">
        <v>9000000</v>
      </c>
      <c r="I10" s="1116">
        <v>5202971</v>
      </c>
      <c r="J10" s="1116">
        <v>0</v>
      </c>
      <c r="K10" s="1115">
        <v>43900000</v>
      </c>
      <c r="L10" s="1116">
        <v>8605550.9800000004</v>
      </c>
      <c r="M10" s="1116">
        <v>0</v>
      </c>
      <c r="N10" s="1598"/>
      <c r="O10" s="1598"/>
      <c r="P10" s="1598"/>
      <c r="Q10" s="1116">
        <f>31200000+10000000</f>
        <v>41200000</v>
      </c>
      <c r="R10" s="1116">
        <v>41374949.659999996</v>
      </c>
      <c r="S10" s="1599">
        <f t="shared" si="1"/>
        <v>100.42463509708736</v>
      </c>
      <c r="T10" s="1116"/>
      <c r="U10" s="1117"/>
      <c r="V10" s="1117"/>
      <c r="W10" s="1117"/>
      <c r="X10" s="1117"/>
      <c r="Y10" s="1116">
        <v>41200000</v>
      </c>
      <c r="Z10" s="1116"/>
      <c r="AA10" s="1116">
        <v>8839345</v>
      </c>
      <c r="AB10" s="1598"/>
      <c r="AC10" s="1164">
        <f t="shared" si="0"/>
        <v>-0.42283957186087473</v>
      </c>
      <c r="AD10" s="1116">
        <v>13805834</v>
      </c>
      <c r="AE10" s="1598"/>
      <c r="AF10" s="1116">
        <f t="shared" si="2"/>
        <v>41200000</v>
      </c>
      <c r="AG10" s="1116">
        <v>15644233</v>
      </c>
      <c r="AH10" s="1116"/>
      <c r="AI10" s="1116"/>
      <c r="AJ10" s="1116">
        <f t="shared" si="3"/>
        <v>41200000</v>
      </c>
      <c r="AK10" s="1193">
        <v>25896114</v>
      </c>
      <c r="AL10" s="1118"/>
      <c r="AM10" s="1118"/>
      <c r="AN10" s="1116">
        <v>52600000</v>
      </c>
      <c r="AO10" s="1666">
        <v>2346817</v>
      </c>
      <c r="AP10" s="1118"/>
      <c r="AQ10" s="1118"/>
      <c r="AR10" s="1118">
        <v>10163706</v>
      </c>
      <c r="AS10" s="1118"/>
      <c r="AT10" s="1118"/>
      <c r="AU10" s="1116">
        <v>52600000</v>
      </c>
      <c r="AV10" s="1600" t="s">
        <v>1484</v>
      </c>
    </row>
    <row r="11" spans="1:49" s="1155" customFormat="1">
      <c r="A11" s="1151"/>
      <c r="B11" s="2913"/>
      <c r="C11" s="1767" t="s">
        <v>496</v>
      </c>
      <c r="D11" s="1139" t="s">
        <v>260</v>
      </c>
      <c r="E11" s="1116">
        <v>19300</v>
      </c>
      <c r="F11" s="1116">
        <v>69342</v>
      </c>
      <c r="G11" s="1116">
        <v>132600</v>
      </c>
      <c r="H11" s="1116">
        <v>220000</v>
      </c>
      <c r="I11" s="1116">
        <v>299500</v>
      </c>
      <c r="J11" s="1116">
        <v>0</v>
      </c>
      <c r="K11" s="1115">
        <v>340000</v>
      </c>
      <c r="L11" s="1116">
        <f>103500+126000+55680+10200</f>
        <v>295380</v>
      </c>
      <c r="M11" s="1116">
        <v>0</v>
      </c>
      <c r="N11" s="1598"/>
      <c r="O11" s="1598"/>
      <c r="P11" s="1598"/>
      <c r="Q11" s="1116">
        <v>300000</v>
      </c>
      <c r="R11" s="1116">
        <f>2000+150300</f>
        <v>152300</v>
      </c>
      <c r="S11" s="1599">
        <f t="shared" si="1"/>
        <v>50.766666666666673</v>
      </c>
      <c r="T11" s="1116"/>
      <c r="U11" s="1117"/>
      <c r="V11" s="1117"/>
      <c r="W11" s="1117"/>
      <c r="X11" s="1117"/>
      <c r="Y11" s="1116">
        <v>300000</v>
      </c>
      <c r="Z11" s="1116"/>
      <c r="AA11" s="1116">
        <v>26700</v>
      </c>
      <c r="AB11" s="1598"/>
      <c r="AC11" s="1164">
        <f t="shared" si="0"/>
        <v>96.979645436638222</v>
      </c>
      <c r="AD11" s="1116">
        <v>90000</v>
      </c>
      <c r="AE11" s="1598"/>
      <c r="AF11" s="1116">
        <f t="shared" si="2"/>
        <v>300000</v>
      </c>
      <c r="AG11" s="1116">
        <v>153000</v>
      </c>
      <c r="AH11" s="1116"/>
      <c r="AI11" s="1116"/>
      <c r="AJ11" s="1116">
        <f t="shared" si="3"/>
        <v>300000</v>
      </c>
      <c r="AK11" s="1193">
        <v>194400</v>
      </c>
      <c r="AL11" s="1118"/>
      <c r="AM11" s="1118"/>
      <c r="AN11" s="1116">
        <f t="shared" si="4"/>
        <v>300000</v>
      </c>
      <c r="AO11" s="1666">
        <v>98100</v>
      </c>
      <c r="AP11" s="1118"/>
      <c r="AQ11" s="1118"/>
      <c r="AR11" s="1118">
        <v>226590</v>
      </c>
      <c r="AS11" s="1118"/>
      <c r="AT11" s="1118"/>
      <c r="AU11" s="1116">
        <v>300000</v>
      </c>
      <c r="AV11" s="1768"/>
    </row>
    <row r="12" spans="1:49">
      <c r="A12" s="1062"/>
      <c r="B12" s="2912"/>
      <c r="C12" s="1063" t="s">
        <v>265</v>
      </c>
      <c r="D12" s="1064" t="s">
        <v>260</v>
      </c>
      <c r="E12" s="1065">
        <v>220600</v>
      </c>
      <c r="F12" s="1065">
        <v>231450</v>
      </c>
      <c r="G12" s="1065">
        <v>577125</v>
      </c>
      <c r="H12" s="1065">
        <v>550000</v>
      </c>
      <c r="I12" s="1065">
        <v>618600</v>
      </c>
      <c r="J12" s="1065">
        <v>0</v>
      </c>
      <c r="K12" s="1066">
        <v>750000</v>
      </c>
      <c r="L12" s="1065">
        <v>1278500</v>
      </c>
      <c r="M12" s="1065">
        <v>0</v>
      </c>
      <c r="N12" s="1067"/>
      <c r="O12" s="1067"/>
      <c r="P12" s="1067"/>
      <c r="Q12" s="1065">
        <f>1000000+250000</f>
        <v>1250000</v>
      </c>
      <c r="R12" s="1065">
        <v>1720125</v>
      </c>
      <c r="S12" s="1068">
        <f t="shared" si="1"/>
        <v>137.61000000000001</v>
      </c>
      <c r="T12" s="1065"/>
      <c r="U12" s="1069"/>
      <c r="V12" s="1069"/>
      <c r="W12" s="1069"/>
      <c r="X12" s="1069"/>
      <c r="Y12" s="1065">
        <v>1250000</v>
      </c>
      <c r="Z12" s="1065"/>
      <c r="AA12" s="1065">
        <v>267300</v>
      </c>
      <c r="AB12" s="1067"/>
      <c r="AC12" s="1038">
        <f t="shared" si="0"/>
        <v>-27.33086258266114</v>
      </c>
      <c r="AD12" s="1065">
        <v>814725</v>
      </c>
      <c r="AE12" s="1067"/>
      <c r="AF12" s="1065">
        <f>+Y12</f>
        <v>1250000</v>
      </c>
      <c r="AG12" s="1065">
        <v>1133325</v>
      </c>
      <c r="AH12" s="1065"/>
      <c r="AI12" s="1065"/>
      <c r="AJ12" s="1065">
        <f t="shared" si="3"/>
        <v>1250000</v>
      </c>
      <c r="AK12" s="1070">
        <v>1698075</v>
      </c>
      <c r="AL12" s="1071"/>
      <c r="AM12" s="1071"/>
      <c r="AN12" s="1065">
        <f t="shared" si="4"/>
        <v>1250000</v>
      </c>
      <c r="AO12" s="1222">
        <v>402300</v>
      </c>
      <c r="AP12" s="1071"/>
      <c r="AQ12" s="1071"/>
      <c r="AR12" s="1071">
        <v>720225</v>
      </c>
      <c r="AS12" s="1071"/>
      <c r="AT12" s="1071"/>
      <c r="AU12" s="1065">
        <v>1250000</v>
      </c>
      <c r="AV12" s="1072"/>
    </row>
    <row r="13" spans="1:49">
      <c r="A13" s="1062"/>
      <c r="B13" s="2912"/>
      <c r="C13" s="1063" t="s">
        <v>266</v>
      </c>
      <c r="D13" s="1064" t="s">
        <v>260</v>
      </c>
      <c r="E13" s="1065">
        <v>1880337</v>
      </c>
      <c r="F13" s="1065">
        <v>725406</v>
      </c>
      <c r="G13" s="1065">
        <v>0</v>
      </c>
      <c r="H13" s="1065">
        <v>1500000</v>
      </c>
      <c r="I13" s="1065">
        <v>0</v>
      </c>
      <c r="J13" s="1065">
        <v>0</v>
      </c>
      <c r="K13" s="1066">
        <v>642000</v>
      </c>
      <c r="L13" s="1065">
        <v>225000</v>
      </c>
      <c r="M13" s="1065">
        <v>0</v>
      </c>
      <c r="N13" s="1067"/>
      <c r="O13" s="1067"/>
      <c r="P13" s="1067"/>
      <c r="Q13" s="1065">
        <v>300000</v>
      </c>
      <c r="R13" s="1065">
        <v>0</v>
      </c>
      <c r="S13" s="1068">
        <f t="shared" si="1"/>
        <v>0</v>
      </c>
      <c r="T13" s="1065"/>
      <c r="U13" s="1069"/>
      <c r="V13" s="1069"/>
      <c r="W13" s="1069"/>
      <c r="X13" s="1069"/>
      <c r="Y13" s="1065">
        <v>300000</v>
      </c>
      <c r="Z13" s="1065"/>
      <c r="AA13" s="1075">
        <v>0</v>
      </c>
      <c r="AB13" s="1067"/>
      <c r="AC13" s="1038" t="e">
        <f t="shared" si="0"/>
        <v>#DIV/0!</v>
      </c>
      <c r="AD13" s="1075"/>
      <c r="AE13" s="1067"/>
      <c r="AF13" s="1065">
        <f t="shared" si="2"/>
        <v>300000</v>
      </c>
      <c r="AG13" s="1075">
        <v>0</v>
      </c>
      <c r="AH13" s="1075"/>
      <c r="AI13" s="1075"/>
      <c r="AJ13" s="1065">
        <f t="shared" si="3"/>
        <v>300000</v>
      </c>
      <c r="AK13" s="1070">
        <v>70000</v>
      </c>
      <c r="AL13" s="1071"/>
      <c r="AM13" s="1071"/>
      <c r="AN13" s="1065">
        <f t="shared" si="4"/>
        <v>300000</v>
      </c>
      <c r="AO13" s="1222">
        <v>140000</v>
      </c>
      <c r="AP13" s="1071"/>
      <c r="AQ13" s="1071"/>
      <c r="AR13" s="1071">
        <v>210000</v>
      </c>
      <c r="AS13" s="1071"/>
      <c r="AT13" s="1071"/>
      <c r="AU13" s="1065">
        <v>300000</v>
      </c>
      <c r="AV13" s="1076"/>
    </row>
    <row r="14" spans="1:49" hidden="1">
      <c r="A14" s="1062"/>
      <c r="B14" s="2912"/>
      <c r="C14" s="1063" t="s">
        <v>267</v>
      </c>
      <c r="D14" s="1064" t="s">
        <v>268</v>
      </c>
      <c r="E14" s="1065">
        <v>0</v>
      </c>
      <c r="F14" s="1065">
        <v>0</v>
      </c>
      <c r="G14" s="1077">
        <v>0</v>
      </c>
      <c r="H14" s="1065">
        <v>9879500</v>
      </c>
      <c r="I14" s="1077">
        <v>9852500</v>
      </c>
      <c r="J14" s="1065">
        <v>0</v>
      </c>
      <c r="K14" s="1066">
        <v>0</v>
      </c>
      <c r="L14" s="1065">
        <v>0</v>
      </c>
      <c r="M14" s="1065">
        <v>0</v>
      </c>
      <c r="N14" s="1067"/>
      <c r="O14" s="1067"/>
      <c r="P14" s="1067"/>
      <c r="Q14" s="1065">
        <v>0</v>
      </c>
      <c r="R14" s="1065">
        <v>0</v>
      </c>
      <c r="S14" s="1068">
        <v>0</v>
      </c>
      <c r="T14" s="1065"/>
      <c r="U14" s="1069"/>
      <c r="V14" s="1069"/>
      <c r="W14" s="1069"/>
      <c r="X14" s="1069"/>
      <c r="Y14" s="1065">
        <v>0</v>
      </c>
      <c r="Z14" s="1065"/>
      <c r="AA14" s="1075">
        <v>0</v>
      </c>
      <c r="AB14" s="1067"/>
      <c r="AC14" s="1038" t="e">
        <f t="shared" si="0"/>
        <v>#DIV/0!</v>
      </c>
      <c r="AD14" s="1075"/>
      <c r="AE14" s="1067"/>
      <c r="AF14" s="1065">
        <f t="shared" si="2"/>
        <v>0</v>
      </c>
      <c r="AG14" s="1075">
        <v>0</v>
      </c>
      <c r="AH14" s="1075"/>
      <c r="AI14" s="1075"/>
      <c r="AJ14" s="1078">
        <f t="shared" si="3"/>
        <v>0</v>
      </c>
      <c r="AK14" s="1070">
        <v>0</v>
      </c>
      <c r="AL14" s="1071"/>
      <c r="AM14" s="1071"/>
      <c r="AN14" s="1078">
        <f t="shared" si="4"/>
        <v>0</v>
      </c>
      <c r="AO14" s="1070"/>
      <c r="AP14" s="1653"/>
      <c r="AQ14" s="1653"/>
      <c r="AR14" s="1653"/>
      <c r="AS14" s="1653"/>
      <c r="AT14" s="1653"/>
      <c r="AU14" s="1078">
        <f t="shared" ref="AU14" si="5">+AQ14</f>
        <v>0</v>
      </c>
      <c r="AV14" s="1072"/>
    </row>
    <row r="15" spans="1:49">
      <c r="A15" s="1079"/>
      <c r="B15" s="2914"/>
      <c r="C15" s="1063" t="s">
        <v>269</v>
      </c>
      <c r="D15" s="1064"/>
      <c r="E15" s="1065"/>
      <c r="F15" s="1065"/>
      <c r="G15" s="1077"/>
      <c r="H15" s="1065">
        <v>0</v>
      </c>
      <c r="I15" s="1077">
        <v>0</v>
      </c>
      <c r="J15" s="1065">
        <v>0</v>
      </c>
      <c r="K15" s="1066">
        <v>100000</v>
      </c>
      <c r="L15" s="1065">
        <v>0</v>
      </c>
      <c r="M15" s="1065">
        <v>0</v>
      </c>
      <c r="N15" s="1067"/>
      <c r="O15" s="1067"/>
      <c r="P15" s="1067"/>
      <c r="Q15" s="1065">
        <v>100000</v>
      </c>
      <c r="R15" s="1065">
        <v>0</v>
      </c>
      <c r="S15" s="1068">
        <f t="shared" si="1"/>
        <v>0</v>
      </c>
      <c r="T15" s="1065"/>
      <c r="U15" s="1069"/>
      <c r="V15" s="1069"/>
      <c r="W15" s="1069"/>
      <c r="X15" s="1069"/>
      <c r="Y15" s="1065">
        <v>100000</v>
      </c>
      <c r="Z15" s="1065"/>
      <c r="AA15" s="1075">
        <v>0</v>
      </c>
      <c r="AB15" s="1067"/>
      <c r="AC15" s="1038" t="e">
        <f t="shared" si="0"/>
        <v>#DIV/0!</v>
      </c>
      <c r="AD15" s="1075"/>
      <c r="AE15" s="1067"/>
      <c r="AF15" s="1065">
        <f t="shared" si="2"/>
        <v>100000</v>
      </c>
      <c r="AG15" s="1075">
        <v>0</v>
      </c>
      <c r="AH15" s="1075"/>
      <c r="AI15" s="1075"/>
      <c r="AJ15" s="1065">
        <f t="shared" si="3"/>
        <v>100000</v>
      </c>
      <c r="AK15" s="1070">
        <v>0</v>
      </c>
      <c r="AL15" s="1071"/>
      <c r="AM15" s="1071"/>
      <c r="AN15" s="1065">
        <f t="shared" si="4"/>
        <v>100000</v>
      </c>
      <c r="AO15" s="1070">
        <v>0</v>
      </c>
      <c r="AP15" s="1071"/>
      <c r="AQ15" s="1071"/>
      <c r="AR15" s="1070">
        <v>0</v>
      </c>
      <c r="AS15" s="1071"/>
      <c r="AT15" s="1071"/>
      <c r="AU15" s="1065">
        <v>100000</v>
      </c>
      <c r="AV15" s="1072"/>
    </row>
    <row r="16" spans="1:49">
      <c r="A16" s="1079"/>
      <c r="B16" s="2914"/>
      <c r="C16" s="1080" t="s">
        <v>270</v>
      </c>
      <c r="D16" s="1081"/>
      <c r="E16" s="1082"/>
      <c r="F16" s="1082"/>
      <c r="G16" s="1083"/>
      <c r="H16" s="1082">
        <v>0</v>
      </c>
      <c r="I16" s="1083">
        <v>0</v>
      </c>
      <c r="J16" s="1082">
        <v>0</v>
      </c>
      <c r="K16" s="1084">
        <v>400000</v>
      </c>
      <c r="L16" s="1082">
        <f>208800+38400</f>
        <v>247200</v>
      </c>
      <c r="M16" s="1082">
        <v>0</v>
      </c>
      <c r="N16" s="1085"/>
      <c r="O16" s="1085"/>
      <c r="P16" s="1085"/>
      <c r="Q16" s="1082">
        <v>300000</v>
      </c>
      <c r="R16" s="1082">
        <v>0</v>
      </c>
      <c r="S16" s="1086">
        <f t="shared" si="1"/>
        <v>0</v>
      </c>
      <c r="T16" s="1082"/>
      <c r="U16" s="1087"/>
      <c r="V16" s="1087"/>
      <c r="W16" s="1087"/>
      <c r="X16" s="1087"/>
      <c r="Y16" s="1082">
        <v>300000</v>
      </c>
      <c r="Z16" s="1082"/>
      <c r="AA16" s="1082">
        <v>2400</v>
      </c>
      <c r="AB16" s="1085"/>
      <c r="AC16" s="1038" t="e">
        <f t="shared" si="0"/>
        <v>#DIV/0!</v>
      </c>
      <c r="AD16" s="1082">
        <v>2400</v>
      </c>
      <c r="AE16" s="1085"/>
      <c r="AF16" s="1082">
        <f t="shared" si="2"/>
        <v>300000</v>
      </c>
      <c r="AG16" s="1082">
        <v>2400</v>
      </c>
      <c r="AH16" s="1082"/>
      <c r="AI16" s="1082"/>
      <c r="AJ16" s="1082">
        <f t="shared" si="3"/>
        <v>300000</v>
      </c>
      <c r="AK16" s="1088">
        <v>2400</v>
      </c>
      <c r="AL16" s="1089"/>
      <c r="AM16" s="1089"/>
      <c r="AN16" s="1082">
        <f t="shared" si="4"/>
        <v>300000</v>
      </c>
      <c r="AO16" s="1667">
        <v>0</v>
      </c>
      <c r="AP16" s="1089"/>
      <c r="AQ16" s="1089"/>
      <c r="AR16" s="1070">
        <v>0</v>
      </c>
      <c r="AS16" s="1089"/>
      <c r="AT16" s="1089"/>
      <c r="AU16" s="1082">
        <v>300000</v>
      </c>
      <c r="AV16" s="1090"/>
    </row>
    <row r="17" spans="1:49" s="1041" customFormat="1" ht="21.75" customHeight="1">
      <c r="A17" s="1034" t="s">
        <v>271</v>
      </c>
      <c r="B17" s="2910"/>
      <c r="C17" s="1042" t="s">
        <v>52</v>
      </c>
      <c r="D17" s="1043"/>
      <c r="E17" s="1035">
        <f>SUM(E18:E58)</f>
        <v>112735577.66999999</v>
      </c>
      <c r="F17" s="1035">
        <f>SUM(F18:F58)</f>
        <v>105283582.23</v>
      </c>
      <c r="G17" s="1035">
        <f>SUM(G18:G58)</f>
        <v>140421569.49000004</v>
      </c>
      <c r="H17" s="1035">
        <v>270000000</v>
      </c>
      <c r="I17" s="1035">
        <f>+I18+I19+I20+I27+I33+I34+I35+I36+I37+I38+I39+I40+I41+I42+I49+I43+I44+I45+I50+I51+I52+I53+I54+I58+I59</f>
        <v>193716698.40000001</v>
      </c>
      <c r="J17" s="1035">
        <f>SUM(J18:J60)+317940.91</f>
        <v>34083972.68</v>
      </c>
      <c r="K17" s="1044">
        <v>184177860</v>
      </c>
      <c r="L17" s="1035">
        <f>+L18+L19+L20+L27+L33+L34+L35+L36+L37+L38+L39+L40+L41+L42+L49+L43+L44+L45+L50+L51+L52+L53+L54+L58+L59</f>
        <v>170224752.50999999</v>
      </c>
      <c r="M17" s="1035"/>
      <c r="N17" s="1035">
        <f>SUM(N18:N87)</f>
        <v>0</v>
      </c>
      <c r="O17" s="1035">
        <f>SUM(O18:O87)</f>
        <v>0</v>
      </c>
      <c r="P17" s="1035"/>
      <c r="Q17" s="1035">
        <f>SUM(Q18:Q90)-Q20-Q27</f>
        <v>191000000</v>
      </c>
      <c r="R17" s="1035">
        <f>SUM(R18:R90)-R20-R27</f>
        <v>219379411.42000005</v>
      </c>
      <c r="S17" s="1035">
        <f>+R17/Q17*100</f>
        <v>114.85833058638745</v>
      </c>
      <c r="T17" s="1035">
        <f>SUM(T18:T87)</f>
        <v>11958264.689999999</v>
      </c>
      <c r="U17" s="1046"/>
      <c r="V17" s="1046"/>
      <c r="W17" s="1047"/>
      <c r="X17" s="1047"/>
      <c r="Y17" s="1091">
        <f>SUM(Y18:Y113)-Y20-Y27</f>
        <v>209321600</v>
      </c>
      <c r="Z17" s="1035">
        <f>SUM(Z18:Z87)</f>
        <v>10568878.5</v>
      </c>
      <c r="AA17" s="1048">
        <f>SUM(AA18:AA113)-AA20-AA27</f>
        <v>53560336.310000017</v>
      </c>
      <c r="AB17" s="1048">
        <f>+AA17/Y17*100</f>
        <v>25.58758212721478</v>
      </c>
      <c r="AC17" s="1038">
        <f t="shared" si="0"/>
        <v>-4.5846651492488739</v>
      </c>
      <c r="AD17" s="1048">
        <f>SUM(AD18:AD113)-AD20-AD27</f>
        <v>92750469.38000001</v>
      </c>
      <c r="AE17" s="1037">
        <f>+AD17/Y17*100</f>
        <v>44.31003268654549</v>
      </c>
      <c r="AF17" s="1037">
        <f>SUM(AF18:AF94)</f>
        <v>202234000</v>
      </c>
      <c r="AG17" s="1037">
        <f>SUM(AG18:AG94)-AG20-AG27</f>
        <v>144211898.39000002</v>
      </c>
      <c r="AH17" s="1037">
        <f>+AG17/AF17*100</f>
        <v>71.309422940751816</v>
      </c>
      <c r="AI17" s="1037"/>
      <c r="AJ17" s="1039">
        <f>SUM(AJ18:AJ94)</f>
        <v>202234000</v>
      </c>
      <c r="AK17" s="1039">
        <f>SUM(AK18:AK124)-AK20-AK27</f>
        <v>200092441.31999996</v>
      </c>
      <c r="AL17" s="1039">
        <f>+AK17/AJ17*100</f>
        <v>98.941049141093956</v>
      </c>
      <c r="AM17" s="1039"/>
      <c r="AN17" s="1039">
        <f>SUM(AN18:AN124)-AN20-AN27</f>
        <v>235917690</v>
      </c>
      <c r="AO17" s="1039">
        <f>SUM(AO18:AO124)-AO20-AO27</f>
        <v>49662103.449999996</v>
      </c>
      <c r="AP17" s="1660">
        <f>+AO17/AN17*100</f>
        <v>21.050606018565201</v>
      </c>
      <c r="AQ17" s="1039">
        <f>SUM(AQ20,AQ27,AQ41:AQ124)</f>
        <v>7628073.2799999993</v>
      </c>
      <c r="AR17" s="1039">
        <f>SUM(AR18:AR124)-AR20-AR27</f>
        <v>107529647.7</v>
      </c>
      <c r="AS17" s="1039">
        <f>+AR17/AN17*100</f>
        <v>45.57930679127962</v>
      </c>
      <c r="AT17" s="1039"/>
      <c r="AU17" s="1039">
        <f>SUM(AU18:AU123)-AU20-AU27</f>
        <v>267227840</v>
      </c>
      <c r="AV17" s="1092"/>
      <c r="AW17" s="1250"/>
    </row>
    <row r="18" spans="1:49" s="1041" customFormat="1" ht="21.75" customHeight="1">
      <c r="A18" s="1093"/>
      <c r="B18" s="2915" t="s">
        <v>2709</v>
      </c>
      <c r="C18" s="1094" t="s">
        <v>272</v>
      </c>
      <c r="D18" s="1095" t="s">
        <v>273</v>
      </c>
      <c r="E18" s="1053">
        <v>1925877.8</v>
      </c>
      <c r="F18" s="1053">
        <v>1813011.2</v>
      </c>
      <c r="G18" s="1053">
        <v>2678763.2000000002</v>
      </c>
      <c r="H18" s="1053">
        <v>4000000</v>
      </c>
      <c r="I18" s="1053">
        <v>4466088.4000000004</v>
      </c>
      <c r="J18" s="1096">
        <v>0</v>
      </c>
      <c r="K18" s="1054">
        <v>4000000</v>
      </c>
      <c r="L18" s="1055">
        <v>4053044.4</v>
      </c>
      <c r="M18" s="1055">
        <v>0</v>
      </c>
      <c r="N18" s="1055"/>
      <c r="O18" s="1055"/>
      <c r="P18" s="1055"/>
      <c r="Q18" s="1055">
        <v>3000000</v>
      </c>
      <c r="R18" s="1055">
        <v>5097977.2</v>
      </c>
      <c r="S18" s="1055">
        <f>+R18/Q18*100</f>
        <v>169.93257333333332</v>
      </c>
      <c r="T18" s="1055"/>
      <c r="U18" s="1058"/>
      <c r="V18" s="1058"/>
      <c r="W18" s="1058"/>
      <c r="X18" s="1058"/>
      <c r="Y18" s="1055">
        <v>4600000</v>
      </c>
      <c r="Z18" s="1055"/>
      <c r="AA18" s="1055">
        <v>1737674</v>
      </c>
      <c r="AB18" s="1055"/>
      <c r="AC18" s="1038">
        <f t="shared" si="0"/>
        <v>-9.7681331332749028</v>
      </c>
      <c r="AD18" s="1055">
        <v>2825471.2</v>
      </c>
      <c r="AE18" s="1055"/>
      <c r="AF18" s="1055">
        <f>+Y18</f>
        <v>4600000</v>
      </c>
      <c r="AG18" s="1055">
        <v>4351351.2</v>
      </c>
      <c r="AH18" s="1055"/>
      <c r="AI18" s="1055"/>
      <c r="AJ18" s="1060">
        <f>+AF18</f>
        <v>4600000</v>
      </c>
      <c r="AK18" s="1060">
        <v>6564191.2000000002</v>
      </c>
      <c r="AL18" s="1060"/>
      <c r="AM18" s="1060"/>
      <c r="AN18" s="1472">
        <v>5000000</v>
      </c>
      <c r="AO18" s="1472">
        <v>599800</v>
      </c>
      <c r="AP18" s="1472"/>
      <c r="AQ18" s="1472"/>
      <c r="AR18" s="1472">
        <v>2207020</v>
      </c>
      <c r="AS18" s="1472"/>
      <c r="AT18" s="1472"/>
      <c r="AU18" s="1472">
        <v>5000000</v>
      </c>
      <c r="AV18" s="1097"/>
      <c r="AW18" s="1452"/>
    </row>
    <row r="19" spans="1:49" s="1041" customFormat="1" ht="21.75" customHeight="1">
      <c r="A19" s="1093"/>
      <c r="B19" s="2915" t="s">
        <v>2710</v>
      </c>
      <c r="C19" s="1098" t="s">
        <v>274</v>
      </c>
      <c r="D19" s="1099" t="s">
        <v>273</v>
      </c>
      <c r="E19" s="1053">
        <v>701942.75</v>
      </c>
      <c r="F19" s="1053">
        <v>641269.55000000005</v>
      </c>
      <c r="G19" s="1053">
        <v>601626.51</v>
      </c>
      <c r="H19" s="1053">
        <v>750000</v>
      </c>
      <c r="I19" s="1053">
        <v>690202.45</v>
      </c>
      <c r="J19" s="1096">
        <v>0</v>
      </c>
      <c r="K19" s="1066">
        <v>1000000</v>
      </c>
      <c r="L19" s="1065">
        <v>934349.01</v>
      </c>
      <c r="M19" s="1065">
        <v>0</v>
      </c>
      <c r="N19" s="1065"/>
      <c r="O19" s="1065"/>
      <c r="P19" s="1065"/>
      <c r="Q19" s="1065">
        <v>600000</v>
      </c>
      <c r="R19" s="1065">
        <v>467149.67</v>
      </c>
      <c r="S19" s="1065">
        <f>+R19/Q19*100</f>
        <v>77.858278333333331</v>
      </c>
      <c r="T19" s="1065"/>
      <c r="U19" s="1069"/>
      <c r="V19" s="1069"/>
      <c r="W19" s="1069"/>
      <c r="X19" s="1069"/>
      <c r="Y19" s="1065">
        <v>400000</v>
      </c>
      <c r="Z19" s="1065"/>
      <c r="AA19" s="1065">
        <v>130614.96</v>
      </c>
      <c r="AB19" s="1065"/>
      <c r="AC19" s="1038">
        <f t="shared" si="0"/>
        <v>-14.374337458057068</v>
      </c>
      <c r="AD19" s="1065">
        <v>323589.03999999998</v>
      </c>
      <c r="AE19" s="1065"/>
      <c r="AF19" s="1065">
        <f>+Y19</f>
        <v>400000</v>
      </c>
      <c r="AG19" s="1065">
        <v>430380.09</v>
      </c>
      <c r="AH19" s="1065"/>
      <c r="AI19" s="1065"/>
      <c r="AJ19" s="1071">
        <f>+AF19</f>
        <v>400000</v>
      </c>
      <c r="AK19" s="1071">
        <v>593583.71</v>
      </c>
      <c r="AL19" s="1071"/>
      <c r="AM19" s="1071"/>
      <c r="AN19" s="1459">
        <v>500000</v>
      </c>
      <c r="AO19" s="1459">
        <v>138538.59</v>
      </c>
      <c r="AP19" s="1459"/>
      <c r="AQ19" s="1459"/>
      <c r="AR19" s="1459">
        <v>394077.4</v>
      </c>
      <c r="AS19" s="1459"/>
      <c r="AT19" s="1459"/>
      <c r="AU19" s="1459">
        <v>500000</v>
      </c>
      <c r="AV19" s="1100"/>
      <c r="AW19" s="1453"/>
    </row>
    <row r="20" spans="1:49" s="1041" customFormat="1" ht="21.75" customHeight="1">
      <c r="A20" s="1101"/>
      <c r="B20" s="2915" t="s">
        <v>2711</v>
      </c>
      <c r="C20" s="1102" t="s">
        <v>275</v>
      </c>
      <c r="D20" s="1103" t="s">
        <v>273</v>
      </c>
      <c r="E20" s="1104">
        <v>5938577.4400000004</v>
      </c>
      <c r="F20" s="1104">
        <v>9023205.5999999996</v>
      </c>
      <c r="G20" s="1104">
        <v>10892591.34</v>
      </c>
      <c r="H20" s="1104">
        <v>24500000</v>
      </c>
      <c r="I20" s="1104">
        <v>17040292.82</v>
      </c>
      <c r="J20" s="1104">
        <v>3115714.09</v>
      </c>
      <c r="K20" s="1105">
        <v>27500000</v>
      </c>
      <c r="L20" s="1106">
        <f>SUM(L21:L25)</f>
        <v>17045701.68</v>
      </c>
      <c r="M20" s="1107">
        <v>0</v>
      </c>
      <c r="N20" s="1106"/>
      <c r="O20" s="1106"/>
      <c r="P20" s="1106"/>
      <c r="Q20" s="1106">
        <f>SUM(Q21:Q25)</f>
        <v>33700000</v>
      </c>
      <c r="R20" s="1106">
        <f>SUM(R21:R25)</f>
        <v>36441615.68</v>
      </c>
      <c r="S20" s="1106"/>
      <c r="T20" s="1107"/>
      <c r="U20" s="1106"/>
      <c r="V20" s="1106"/>
      <c r="W20" s="1106"/>
      <c r="X20" s="1106"/>
      <c r="Y20" s="1106">
        <f>SUM(Y21:Y25)</f>
        <v>22200000</v>
      </c>
      <c r="Z20" s="1107"/>
      <c r="AA20" s="1106">
        <f>SUM(AA21:AA25)</f>
        <v>11193838.58</v>
      </c>
      <c r="AB20" s="1106"/>
      <c r="AC20" s="1108">
        <f t="shared" si="0"/>
        <v>-39.080637381882404</v>
      </c>
      <c r="AD20" s="1106">
        <f>SUM(AD21:AD25)</f>
        <v>18561733.459999997</v>
      </c>
      <c r="AE20" s="1106"/>
      <c r="AF20" s="1106"/>
      <c r="AG20" s="1106">
        <f>SUM(AG21:AG25)</f>
        <v>22959561.489999998</v>
      </c>
      <c r="AH20" s="1106"/>
      <c r="AI20" s="1106"/>
      <c r="AJ20" s="1109"/>
      <c r="AK20" s="1109">
        <f>SUM(AK21:AK25)</f>
        <v>27331573.720000003</v>
      </c>
      <c r="AL20" s="1109"/>
      <c r="AM20" s="1109">
        <f>SUM(AM21:AM25)</f>
        <v>1991587.5</v>
      </c>
      <c r="AN20" s="1109">
        <f>SUM(AN21:AN25)</f>
        <v>26200000</v>
      </c>
      <c r="AO20" s="1109">
        <f>SUM(AO21:AO25)</f>
        <v>4386452.2700000005</v>
      </c>
      <c r="AP20" s="1109"/>
      <c r="AQ20" s="1109">
        <f>SUM(AQ21:AQ25)</f>
        <v>2992362.19</v>
      </c>
      <c r="AR20" s="1109">
        <f>SUM(AR21:AR25)</f>
        <v>8682649.4900000002</v>
      </c>
      <c r="AS20" s="1109"/>
      <c r="AT20" s="1109">
        <f>SUM(AT21:AT25)</f>
        <v>2748045.73</v>
      </c>
      <c r="AU20" s="1109">
        <f>SUM(AU21:AU25)</f>
        <v>26200000</v>
      </c>
      <c r="AV20" s="1110"/>
      <c r="AW20" s="1109"/>
    </row>
    <row r="21" spans="1:49" s="1120" customFormat="1" ht="21.75" customHeight="1">
      <c r="A21" s="1111"/>
      <c r="B21" s="2916" t="s">
        <v>2606</v>
      </c>
      <c r="C21" s="1112" t="s">
        <v>276</v>
      </c>
      <c r="D21" s="1113"/>
      <c r="E21" s="1114">
        <v>0</v>
      </c>
      <c r="F21" s="1114">
        <v>0</v>
      </c>
      <c r="G21" s="1114">
        <v>0</v>
      </c>
      <c r="H21" s="1114">
        <v>0</v>
      </c>
      <c r="I21" s="1114">
        <v>0</v>
      </c>
      <c r="J21" s="1114">
        <v>0</v>
      </c>
      <c r="K21" s="1115">
        <v>7000000</v>
      </c>
      <c r="L21" s="1116">
        <v>3030895</v>
      </c>
      <c r="M21" s="1065">
        <v>0</v>
      </c>
      <c r="N21" s="1116"/>
      <c r="O21" s="1116"/>
      <c r="P21" s="1116"/>
      <c r="Q21" s="1116">
        <v>5000000</v>
      </c>
      <c r="R21" s="1116">
        <v>6531583.75</v>
      </c>
      <c r="S21" s="1065">
        <f>+R21/Q21*100</f>
        <v>130.631675</v>
      </c>
      <c r="T21" s="1116"/>
      <c r="U21" s="1117"/>
      <c r="V21" s="1117"/>
      <c r="W21" s="1117"/>
      <c r="X21" s="1117"/>
      <c r="Y21" s="1116">
        <v>5000000</v>
      </c>
      <c r="Z21" s="1116"/>
      <c r="AA21" s="1116">
        <v>5716412.4100000001</v>
      </c>
      <c r="AB21" s="1116"/>
      <c r="AC21" s="1038">
        <f t="shared" si="0"/>
        <v>-23.448887875011938</v>
      </c>
      <c r="AD21" s="1116">
        <v>7013963.9699999997</v>
      </c>
      <c r="AE21" s="1116"/>
      <c r="AF21" s="1116">
        <f>+Y21</f>
        <v>5000000</v>
      </c>
      <c r="AG21" s="1116">
        <v>7939963.9699999997</v>
      </c>
      <c r="AH21" s="1116"/>
      <c r="AI21" s="1116"/>
      <c r="AJ21" s="1118">
        <f>+AF21</f>
        <v>5000000</v>
      </c>
      <c r="AK21" s="1118">
        <v>8087963.9699999997</v>
      </c>
      <c r="AL21" s="1118"/>
      <c r="AM21" s="1118"/>
      <c r="AN21" s="1458">
        <v>10000000</v>
      </c>
      <c r="AO21" s="1467">
        <v>0</v>
      </c>
      <c r="AP21" s="1458"/>
      <c r="AQ21" s="1458"/>
      <c r="AR21" s="1458">
        <v>165400</v>
      </c>
      <c r="AS21" s="1458"/>
      <c r="AT21" s="1458"/>
      <c r="AU21" s="1458">
        <v>10000000</v>
      </c>
      <c r="AV21" s="1119"/>
      <c r="AW21" s="1454"/>
    </row>
    <row r="22" spans="1:49" s="1120" customFormat="1" ht="21.75" customHeight="1">
      <c r="A22" s="1111"/>
      <c r="B22" s="2916" t="s">
        <v>2607</v>
      </c>
      <c r="C22" s="1112" t="s">
        <v>277</v>
      </c>
      <c r="D22" s="1113"/>
      <c r="E22" s="1114">
        <v>0</v>
      </c>
      <c r="F22" s="1114">
        <v>0</v>
      </c>
      <c r="G22" s="1114">
        <v>0</v>
      </c>
      <c r="H22" s="1114">
        <v>0</v>
      </c>
      <c r="I22" s="1114">
        <v>0</v>
      </c>
      <c r="J22" s="1114">
        <v>0</v>
      </c>
      <c r="K22" s="1115">
        <v>1500000</v>
      </c>
      <c r="L22" s="1116">
        <f>1156778.51+46547.1+9683.5</f>
        <v>1213009.1100000001</v>
      </c>
      <c r="M22" s="1065">
        <v>0</v>
      </c>
      <c r="N22" s="1116"/>
      <c r="O22" s="1116"/>
      <c r="P22" s="1116"/>
      <c r="Q22" s="1116">
        <v>1200000</v>
      </c>
      <c r="R22" s="1116">
        <v>1409077.46</v>
      </c>
      <c r="S22" s="1065">
        <f>+R22/Q22*100</f>
        <v>117.42312166666666</v>
      </c>
      <c r="T22" s="1116">
        <v>200600.14</v>
      </c>
      <c r="U22" s="1117"/>
      <c r="V22" s="1117"/>
      <c r="W22" s="1117"/>
      <c r="X22" s="1117"/>
      <c r="Y22" s="1116">
        <v>1200000</v>
      </c>
      <c r="Z22" s="1116">
        <v>320369.53000000003</v>
      </c>
      <c r="AA22" s="1116">
        <v>350315.72</v>
      </c>
      <c r="AB22" s="1116"/>
      <c r="AC22" s="1038">
        <f t="shared" si="0"/>
        <v>-14.837896846352219</v>
      </c>
      <c r="AD22" s="1116">
        <v>514094.08000000002</v>
      </c>
      <c r="AE22" s="1116"/>
      <c r="AF22" s="1116">
        <f t="shared" ref="AF22:AF25" si="6">+Y22</f>
        <v>1200000</v>
      </c>
      <c r="AG22" s="1116">
        <v>949146.43</v>
      </c>
      <c r="AH22" s="1116"/>
      <c r="AI22" s="1116"/>
      <c r="AJ22" s="1118">
        <f t="shared" ref="AJ22:AJ25" si="7">+AF22</f>
        <v>1200000</v>
      </c>
      <c r="AK22" s="1118">
        <v>1267387.6200000001</v>
      </c>
      <c r="AL22" s="1118"/>
      <c r="AM22" s="1118">
        <v>403588.1</v>
      </c>
      <c r="AN22" s="1458">
        <v>1200000</v>
      </c>
      <c r="AO22" s="1467">
        <v>694083.68</v>
      </c>
      <c r="AP22" s="1458"/>
      <c r="AQ22" s="1738">
        <v>55267.5</v>
      </c>
      <c r="AR22" s="1738">
        <v>1025402.88</v>
      </c>
      <c r="AS22" s="2938"/>
      <c r="AT22" s="1738">
        <v>161432.15</v>
      </c>
      <c r="AU22" s="1458">
        <v>1200000</v>
      </c>
      <c r="AV22" s="1119"/>
      <c r="AW22" s="1454"/>
    </row>
    <row r="23" spans="1:49" s="1120" customFormat="1" ht="21.75" customHeight="1">
      <c r="A23" s="1111"/>
      <c r="B23" s="2916" t="s">
        <v>2608</v>
      </c>
      <c r="C23" s="1112" t="s">
        <v>278</v>
      </c>
      <c r="D23" s="1113"/>
      <c r="E23" s="1114">
        <v>0</v>
      </c>
      <c r="F23" s="1114">
        <v>0</v>
      </c>
      <c r="G23" s="1114">
        <v>0</v>
      </c>
      <c r="H23" s="1114">
        <v>0</v>
      </c>
      <c r="I23" s="1114">
        <v>0</v>
      </c>
      <c r="J23" s="1114">
        <v>0</v>
      </c>
      <c r="K23" s="1115">
        <v>5000000</v>
      </c>
      <c r="L23" s="1116">
        <f>2109553.17+43435.44+220960.18</f>
        <v>2373948.79</v>
      </c>
      <c r="M23" s="1065">
        <v>0</v>
      </c>
      <c r="N23" s="1116"/>
      <c r="O23" s="1116"/>
      <c r="P23" s="1116"/>
      <c r="Q23" s="1116">
        <v>3500000</v>
      </c>
      <c r="R23" s="1116">
        <v>3582671.63</v>
      </c>
      <c r="S23" s="1065">
        <f>+R23/Q23*100</f>
        <v>102.36204657142858</v>
      </c>
      <c r="T23" s="1116">
        <v>2054002.7</v>
      </c>
      <c r="U23" s="1117"/>
      <c r="V23" s="1117"/>
      <c r="W23" s="1117"/>
      <c r="X23" s="1117"/>
      <c r="Y23" s="1116">
        <v>3000000</v>
      </c>
      <c r="Z23" s="1116">
        <v>114984.9</v>
      </c>
      <c r="AA23" s="1116">
        <v>2216544.2000000002</v>
      </c>
      <c r="AB23" s="1116"/>
      <c r="AC23" s="1038">
        <f t="shared" si="0"/>
        <v>-16.263606888248365</v>
      </c>
      <c r="AD23" s="1116">
        <v>2816301.07</v>
      </c>
      <c r="AE23" s="1116"/>
      <c r="AF23" s="1116">
        <f t="shared" si="6"/>
        <v>3000000</v>
      </c>
      <c r="AG23" s="1116">
        <v>2935112.47</v>
      </c>
      <c r="AH23" s="1116"/>
      <c r="AI23" s="1116"/>
      <c r="AJ23" s="1118">
        <f t="shared" si="7"/>
        <v>3000000</v>
      </c>
      <c r="AK23" s="1118">
        <v>3565991.7</v>
      </c>
      <c r="AL23" s="1118"/>
      <c r="AM23" s="1118">
        <v>296401.5</v>
      </c>
      <c r="AN23" s="1458">
        <v>3000000</v>
      </c>
      <c r="AO23" s="1467">
        <v>336142</v>
      </c>
      <c r="AP23" s="1458"/>
      <c r="AQ23" s="1738">
        <v>130815</v>
      </c>
      <c r="AR23" s="1738">
        <v>607201.19999999995</v>
      </c>
      <c r="AS23" s="2938"/>
      <c r="AT23" s="1738">
        <v>111748.4</v>
      </c>
      <c r="AU23" s="1458">
        <v>3000000</v>
      </c>
      <c r="AV23" s="1119"/>
      <c r="AW23" s="1454"/>
    </row>
    <row r="24" spans="1:49" s="1120" customFormat="1" ht="21.75" customHeight="1">
      <c r="A24" s="1121"/>
      <c r="B24" s="2916" t="s">
        <v>2609</v>
      </c>
      <c r="C24" s="1112" t="s">
        <v>279</v>
      </c>
      <c r="D24" s="1122"/>
      <c r="E24" s="1114">
        <v>0</v>
      </c>
      <c r="F24" s="1114">
        <v>0</v>
      </c>
      <c r="G24" s="1114">
        <v>0</v>
      </c>
      <c r="H24" s="1114">
        <v>0</v>
      </c>
      <c r="I24" s="1114">
        <v>0</v>
      </c>
      <c r="J24" s="1114">
        <v>0</v>
      </c>
      <c r="K24" s="1115">
        <v>7500000</v>
      </c>
      <c r="L24" s="1116">
        <f>7725545.35+947251.94+821984.49</f>
        <v>9494781.7799999993</v>
      </c>
      <c r="M24" s="1116">
        <v>4204302.2300000004</v>
      </c>
      <c r="N24" s="1116"/>
      <c r="O24" s="1116"/>
      <c r="P24" s="1116"/>
      <c r="Q24" s="1116">
        <v>21000000</v>
      </c>
      <c r="R24" s="1116">
        <v>21743663.469999999</v>
      </c>
      <c r="S24" s="1065">
        <f>+R24/Q24*100</f>
        <v>103.54125461904762</v>
      </c>
      <c r="T24" s="1116">
        <v>1543543.89</v>
      </c>
      <c r="U24" s="1117"/>
      <c r="V24" s="1117"/>
      <c r="W24" s="1117"/>
      <c r="X24" s="1117"/>
      <c r="Y24" s="1116">
        <v>10000000</v>
      </c>
      <c r="Z24" s="1116">
        <v>1512560.54</v>
      </c>
      <c r="AA24" s="1116">
        <v>2828866.25</v>
      </c>
      <c r="AB24" s="1116"/>
      <c r="AC24" s="1038">
        <f t="shared" si="0"/>
        <v>-54.009589902837106</v>
      </c>
      <c r="AD24" s="1116">
        <v>6989634.3899999997</v>
      </c>
      <c r="AE24" s="1116"/>
      <c r="AF24" s="1116">
        <f t="shared" si="6"/>
        <v>10000000</v>
      </c>
      <c r="AG24" s="1116">
        <v>9644812.1699999999</v>
      </c>
      <c r="AH24" s="1116"/>
      <c r="AI24" s="1116"/>
      <c r="AJ24" s="1118">
        <f t="shared" si="7"/>
        <v>10000000</v>
      </c>
      <c r="AK24" s="1118">
        <v>12572781.380000001</v>
      </c>
      <c r="AL24" s="1118"/>
      <c r="AM24" s="1118">
        <v>1291597.8999999999</v>
      </c>
      <c r="AN24" s="1458">
        <v>10000000</v>
      </c>
      <c r="AO24" s="1467">
        <v>2167833</v>
      </c>
      <c r="AP24" s="1458"/>
      <c r="AQ24" s="1738">
        <v>2806279.69</v>
      </c>
      <c r="AR24" s="1738">
        <v>5125459.32</v>
      </c>
      <c r="AS24" s="2938"/>
      <c r="AT24" s="1738">
        <v>2474865.1800000002</v>
      </c>
      <c r="AU24" s="1458">
        <v>10000000</v>
      </c>
      <c r="AV24" s="1119"/>
      <c r="AW24" s="1454"/>
    </row>
    <row r="25" spans="1:49" s="1120" customFormat="1" ht="21.75" customHeight="1">
      <c r="A25" s="2557"/>
      <c r="B25" s="2917" t="s">
        <v>2610</v>
      </c>
      <c r="C25" s="2558" t="s">
        <v>280</v>
      </c>
      <c r="D25" s="1113"/>
      <c r="E25" s="1114">
        <v>0</v>
      </c>
      <c r="F25" s="1114">
        <v>0</v>
      </c>
      <c r="G25" s="1114">
        <v>0</v>
      </c>
      <c r="H25" s="1114">
        <v>0</v>
      </c>
      <c r="I25" s="1114">
        <v>0</v>
      </c>
      <c r="J25" s="1114">
        <v>0</v>
      </c>
      <c r="K25" s="2559">
        <v>6500000</v>
      </c>
      <c r="L25" s="1241">
        <f>123175.85+731383.05+78508.1</f>
        <v>933067</v>
      </c>
      <c r="M25" s="1241">
        <v>0</v>
      </c>
      <c r="N25" s="1241"/>
      <c r="O25" s="1241"/>
      <c r="P25" s="1241"/>
      <c r="Q25" s="1241">
        <v>3000000</v>
      </c>
      <c r="R25" s="1241">
        <v>3174619.37</v>
      </c>
      <c r="S25" s="1114">
        <f>+R25/Q25*100</f>
        <v>105.82064566666666</v>
      </c>
      <c r="T25" s="1241"/>
      <c r="U25" s="2560"/>
      <c r="V25" s="2560"/>
      <c r="W25" s="2560"/>
      <c r="X25" s="2560"/>
      <c r="Y25" s="1241">
        <v>3000000</v>
      </c>
      <c r="Z25" s="1241"/>
      <c r="AA25" s="1241">
        <v>81700</v>
      </c>
      <c r="AB25" s="1241"/>
      <c r="AC25" s="1038">
        <f t="shared" si="0"/>
        <v>-5.5004820940155765</v>
      </c>
      <c r="AD25" s="1241">
        <v>1227739.95</v>
      </c>
      <c r="AE25" s="1241"/>
      <c r="AF25" s="1241">
        <f t="shared" si="6"/>
        <v>3000000</v>
      </c>
      <c r="AG25" s="1241">
        <v>1490526.45</v>
      </c>
      <c r="AH25" s="1241"/>
      <c r="AI25" s="1241"/>
      <c r="AJ25" s="2561">
        <f t="shared" si="7"/>
        <v>3000000</v>
      </c>
      <c r="AK25" s="2561">
        <v>1837449.05</v>
      </c>
      <c r="AL25" s="2561"/>
      <c r="AM25" s="2561"/>
      <c r="AN25" s="2562">
        <v>2000000</v>
      </c>
      <c r="AO25" s="2563">
        <v>1188393.5900000001</v>
      </c>
      <c r="AP25" s="2562"/>
      <c r="AQ25" s="2562"/>
      <c r="AR25" s="2562">
        <v>1759186.09</v>
      </c>
      <c r="AS25" s="2562"/>
      <c r="AT25" s="2562"/>
      <c r="AU25" s="2562">
        <v>2000000</v>
      </c>
      <c r="AV25" s="1119"/>
      <c r="AW25" s="1454"/>
    </row>
    <row r="26" spans="1:49" s="2033" customFormat="1" ht="21.75" customHeight="1">
      <c r="A26" s="1325"/>
      <c r="B26" s="2928" t="s">
        <v>2611</v>
      </c>
      <c r="C26" s="2973" t="s">
        <v>1955</v>
      </c>
      <c r="D26" s="2974"/>
      <c r="E26" s="1082"/>
      <c r="F26" s="1082"/>
      <c r="G26" s="1082"/>
      <c r="H26" s="1082"/>
      <c r="I26" s="1082"/>
      <c r="J26" s="1082"/>
      <c r="K26" s="2534"/>
      <c r="L26" s="1226"/>
      <c r="M26" s="1226"/>
      <c r="N26" s="1226"/>
      <c r="O26" s="1226"/>
      <c r="P26" s="1226"/>
      <c r="Q26" s="1226"/>
      <c r="R26" s="1226"/>
      <c r="S26" s="1082"/>
      <c r="T26" s="1226"/>
      <c r="U26" s="2535"/>
      <c r="V26" s="2535"/>
      <c r="W26" s="2535"/>
      <c r="X26" s="2535"/>
      <c r="Y26" s="1226"/>
      <c r="Z26" s="1226"/>
      <c r="AA26" s="1226"/>
      <c r="AB26" s="1226"/>
      <c r="AC26" s="1197"/>
      <c r="AD26" s="1226"/>
      <c r="AE26" s="1226"/>
      <c r="AF26" s="1226"/>
      <c r="AG26" s="1226"/>
      <c r="AH26" s="1226"/>
      <c r="AI26" s="1226"/>
      <c r="AJ26" s="1226"/>
      <c r="AK26" s="1226"/>
      <c r="AL26" s="1226"/>
      <c r="AM26" s="1226"/>
      <c r="AN26" s="2975"/>
      <c r="AO26" s="2976"/>
      <c r="AP26" s="2975"/>
      <c r="AQ26" s="2975"/>
      <c r="AR26" s="2975"/>
      <c r="AS26" s="2975"/>
      <c r="AT26" s="2975"/>
      <c r="AU26" s="2975"/>
      <c r="AV26" s="1119"/>
      <c r="AW26" s="1454"/>
    </row>
    <row r="27" spans="1:49" s="1041" customFormat="1" ht="21.75" customHeight="1">
      <c r="A27" s="2964"/>
      <c r="B27" s="2964" t="s">
        <v>2612</v>
      </c>
      <c r="C27" s="2965" t="s">
        <v>281</v>
      </c>
      <c r="D27" s="2966" t="s">
        <v>273</v>
      </c>
      <c r="E27" s="2967">
        <v>22969803.850000001</v>
      </c>
      <c r="F27" s="2967">
        <v>16755707.59</v>
      </c>
      <c r="G27" s="2967">
        <v>13522083.609999999</v>
      </c>
      <c r="H27" s="2967">
        <v>15450000</v>
      </c>
      <c r="I27" s="2967">
        <v>13341107.039999999</v>
      </c>
      <c r="J27" s="2967">
        <v>3111578.16</v>
      </c>
      <c r="K27" s="2968">
        <v>18000000</v>
      </c>
      <c r="L27" s="2967">
        <f>SUM(L28:L31)</f>
        <v>20141604.240000002</v>
      </c>
      <c r="M27" s="2967">
        <v>2941584.3</v>
      </c>
      <c r="N27" s="2967"/>
      <c r="O27" s="2967"/>
      <c r="P27" s="2967"/>
      <c r="Q27" s="2967">
        <f>SUM(Q28:Q31)</f>
        <v>16044000</v>
      </c>
      <c r="R27" s="2967">
        <f>SUM(R28:R31)</f>
        <v>34859193.210000001</v>
      </c>
      <c r="S27" s="2967"/>
      <c r="T27" s="2969">
        <v>3023034.03</v>
      </c>
      <c r="U27" s="2967"/>
      <c r="V27" s="2967"/>
      <c r="W27" s="2967"/>
      <c r="X27" s="2967"/>
      <c r="Y27" s="2967">
        <f>SUM(Y28:Y31)</f>
        <v>19550000</v>
      </c>
      <c r="Z27" s="2969">
        <v>2616734.2000000002</v>
      </c>
      <c r="AA27" s="2967">
        <f>SUM(AA28:AA31)</f>
        <v>8121691.0499999998</v>
      </c>
      <c r="AB27" s="2967"/>
      <c r="AC27" s="2970">
        <f t="shared" si="0"/>
        <v>-43.917233304207045</v>
      </c>
      <c r="AD27" s="2967">
        <f>SUM(AD28:AD31)</f>
        <v>13225585.469999999</v>
      </c>
      <c r="AE27" s="2967"/>
      <c r="AF27" s="2967"/>
      <c r="AG27" s="2967">
        <f>SUM(AG28:AG31)</f>
        <v>18688712.619999997</v>
      </c>
      <c r="AH27" s="2967"/>
      <c r="AI27" s="2967">
        <v>1837911.2</v>
      </c>
      <c r="AJ27" s="2967"/>
      <c r="AK27" s="2967">
        <f>SUM(AK28:AK31)</f>
        <v>27275584.659999996</v>
      </c>
      <c r="AL27" s="2967"/>
      <c r="AM27" s="2967">
        <v>2271761.98</v>
      </c>
      <c r="AN27" s="2967">
        <f>SUM(AN28:AN31)</f>
        <v>24299690</v>
      </c>
      <c r="AO27" s="2967">
        <f>SUM(AO28:AO31)</f>
        <v>9872102.4600000009</v>
      </c>
      <c r="AP27" s="2967"/>
      <c r="AQ27" s="2971">
        <v>1824544.4</v>
      </c>
      <c r="AR27" s="2971">
        <f>SUM(AR28:AR31)</f>
        <v>17792245.030000001</v>
      </c>
      <c r="AS27" s="2972"/>
      <c r="AT27" s="2971">
        <v>6087072.0899999999</v>
      </c>
      <c r="AU27" s="2971">
        <f>SUM(AU28:AU31)</f>
        <v>24299690</v>
      </c>
      <c r="AV27" s="2032"/>
      <c r="AW27" s="2031"/>
    </row>
    <row r="28" spans="1:49" s="1041" customFormat="1">
      <c r="A28" s="1210"/>
      <c r="B28" s="2910" t="s">
        <v>2613</v>
      </c>
      <c r="C28" s="2978" t="s">
        <v>282</v>
      </c>
      <c r="D28" s="1212"/>
      <c r="E28" s="2979">
        <v>0</v>
      </c>
      <c r="F28" s="2979">
        <v>0</v>
      </c>
      <c r="G28" s="2979">
        <v>0</v>
      </c>
      <c r="H28" s="2979">
        <v>0</v>
      </c>
      <c r="I28" s="1216">
        <v>0</v>
      </c>
      <c r="J28" s="1216">
        <v>0</v>
      </c>
      <c r="K28" s="2980">
        <v>1000000</v>
      </c>
      <c r="L28" s="2981">
        <f>1584367.77+133641+119276</f>
        <v>1837284.77</v>
      </c>
      <c r="M28" s="2982">
        <v>0</v>
      </c>
      <c r="N28" s="2981"/>
      <c r="O28" s="2981"/>
      <c r="P28" s="2981"/>
      <c r="Q28" s="2981">
        <v>700000</v>
      </c>
      <c r="R28" s="2981">
        <v>1222176.48</v>
      </c>
      <c r="S28" s="2979">
        <f t="shared" ref="S28:S45" si="8">+R28/Q28*100</f>
        <v>174.59663999999998</v>
      </c>
      <c r="T28" s="2983">
        <v>0</v>
      </c>
      <c r="U28" s="2984"/>
      <c r="V28" s="2984"/>
      <c r="W28" s="2984"/>
      <c r="X28" s="2984"/>
      <c r="Y28" s="2981">
        <v>700000</v>
      </c>
      <c r="Z28" s="2981"/>
      <c r="AA28" s="2981">
        <v>490076.51</v>
      </c>
      <c r="AB28" s="2981"/>
      <c r="AC28" s="2985">
        <f t="shared" si="0"/>
        <v>-42.725129189198604</v>
      </c>
      <c r="AD28" s="2981">
        <v>590311.68999999994</v>
      </c>
      <c r="AE28" s="2981"/>
      <c r="AF28" s="2981">
        <f>+Y28</f>
        <v>700000</v>
      </c>
      <c r="AG28" s="2981">
        <v>840348.34</v>
      </c>
      <c r="AH28" s="2981"/>
      <c r="AI28" s="2981"/>
      <c r="AJ28" s="2986">
        <f>+AF28</f>
        <v>700000</v>
      </c>
      <c r="AK28" s="2986">
        <v>1080036.8500000001</v>
      </c>
      <c r="AL28" s="2986"/>
      <c r="AM28" s="2986"/>
      <c r="AN28" s="2987">
        <v>799690</v>
      </c>
      <c r="AO28" s="2988">
        <v>171129.5</v>
      </c>
      <c r="AP28" s="2987"/>
      <c r="AQ28" s="2987"/>
      <c r="AR28" s="2987">
        <v>361946.5</v>
      </c>
      <c r="AS28" s="2987"/>
      <c r="AT28" s="2987"/>
      <c r="AU28" s="2987">
        <v>799690</v>
      </c>
      <c r="AV28" s="1100"/>
      <c r="AW28" s="1453"/>
    </row>
    <row r="29" spans="1:49" s="1041" customFormat="1">
      <c r="A29" s="1093"/>
      <c r="B29" s="2915" t="s">
        <v>2614</v>
      </c>
      <c r="C29" s="2977" t="s">
        <v>633</v>
      </c>
      <c r="D29" s="1135"/>
      <c r="E29" s="1053">
        <v>0</v>
      </c>
      <c r="F29" s="1053">
        <v>0</v>
      </c>
      <c r="G29" s="1053">
        <v>0</v>
      </c>
      <c r="H29" s="1053">
        <v>0</v>
      </c>
      <c r="I29" s="1136">
        <v>0</v>
      </c>
      <c r="J29" s="1136">
        <v>0</v>
      </c>
      <c r="K29" s="2580">
        <v>11000000</v>
      </c>
      <c r="L29" s="1053">
        <f>4222419.23+796875+1579346</f>
        <v>6598640.2300000004</v>
      </c>
      <c r="M29" s="1136">
        <v>0</v>
      </c>
      <c r="N29" s="1053"/>
      <c r="O29" s="1053"/>
      <c r="P29" s="1053"/>
      <c r="Q29" s="1053">
        <v>6844000</v>
      </c>
      <c r="R29" s="1053">
        <v>13031869.74</v>
      </c>
      <c r="S29" s="1053">
        <f t="shared" si="8"/>
        <v>190.41305873758037</v>
      </c>
      <c r="T29" s="2564">
        <v>0</v>
      </c>
      <c r="U29" s="2581"/>
      <c r="V29" s="2581"/>
      <c r="W29" s="2581"/>
      <c r="X29" s="2581"/>
      <c r="Y29" s="1053">
        <v>15000000</v>
      </c>
      <c r="Z29" s="1053"/>
      <c r="AA29" s="1053">
        <v>4507104.54</v>
      </c>
      <c r="AB29" s="1053"/>
      <c r="AC29" s="1038">
        <f t="shared" si="0"/>
        <v>15.102439628897024</v>
      </c>
      <c r="AD29" s="1053">
        <v>7227963.54</v>
      </c>
      <c r="AE29" s="1053"/>
      <c r="AF29" s="2536">
        <f t="shared" ref="AF29:AF41" si="9">+Y29</f>
        <v>15000000</v>
      </c>
      <c r="AG29" s="2536">
        <v>10078549.539999999</v>
      </c>
      <c r="AH29" s="2536"/>
      <c r="AI29" s="2536"/>
      <c r="AJ29" s="2565">
        <f t="shared" ref="AJ29:AJ114" si="10">+AF29</f>
        <v>15000000</v>
      </c>
      <c r="AK29" s="2565">
        <v>13545718.539999999</v>
      </c>
      <c r="AL29" s="2565"/>
      <c r="AM29" s="2565"/>
      <c r="AN29" s="2566">
        <v>12000000</v>
      </c>
      <c r="AO29" s="2567">
        <v>4065960</v>
      </c>
      <c r="AP29" s="2566"/>
      <c r="AQ29" s="2566"/>
      <c r="AR29" s="2566">
        <v>7691709.75</v>
      </c>
      <c r="AS29" s="2566"/>
      <c r="AT29" s="2566"/>
      <c r="AU29" s="2566">
        <v>12000000</v>
      </c>
      <c r="AV29" s="1100"/>
      <c r="AW29" s="1453"/>
    </row>
    <row r="30" spans="1:49" s="1041" customFormat="1">
      <c r="A30" s="1124"/>
      <c r="B30" s="2919" t="s">
        <v>2615</v>
      </c>
      <c r="C30" s="1098" t="s">
        <v>283</v>
      </c>
      <c r="D30" s="1064"/>
      <c r="E30" s="1065">
        <v>0</v>
      </c>
      <c r="F30" s="1065">
        <v>0</v>
      </c>
      <c r="G30" s="1065">
        <v>0</v>
      </c>
      <c r="H30" s="1065">
        <v>0</v>
      </c>
      <c r="I30" s="1078">
        <v>0</v>
      </c>
      <c r="J30" s="1078">
        <v>0</v>
      </c>
      <c r="K30" s="1066">
        <v>2000000</v>
      </c>
      <c r="L30" s="1065">
        <f>2154789.9+96305+126904</f>
        <v>2377998.9</v>
      </c>
      <c r="M30" s="1078">
        <v>0</v>
      </c>
      <c r="N30" s="1065"/>
      <c r="O30" s="1065"/>
      <c r="P30" s="1065"/>
      <c r="Q30" s="1065">
        <v>2500000</v>
      </c>
      <c r="R30" s="1065">
        <v>1374610.06</v>
      </c>
      <c r="S30" s="1065">
        <f t="shared" si="8"/>
        <v>54.9844024</v>
      </c>
      <c r="T30" s="1126">
        <v>0</v>
      </c>
      <c r="U30" s="1069"/>
      <c r="V30" s="1069"/>
      <c r="W30" s="1069"/>
      <c r="X30" s="1069"/>
      <c r="Y30" s="1065">
        <v>2500000</v>
      </c>
      <c r="Z30" s="1065"/>
      <c r="AA30" s="1065">
        <v>439352.45</v>
      </c>
      <c r="AB30" s="1065"/>
      <c r="AC30" s="1199">
        <f t="shared" si="0"/>
        <v>81.869758759076731</v>
      </c>
      <c r="AD30" s="1065">
        <v>615554.69999999995</v>
      </c>
      <c r="AE30" s="1065"/>
      <c r="AF30" s="1125">
        <f t="shared" si="9"/>
        <v>2500000</v>
      </c>
      <c r="AG30" s="1125">
        <v>1209939.7</v>
      </c>
      <c r="AH30" s="1125"/>
      <c r="AI30" s="1125"/>
      <c r="AJ30" s="1125">
        <f t="shared" si="10"/>
        <v>2500000</v>
      </c>
      <c r="AK30" s="1125">
        <v>1317046.7</v>
      </c>
      <c r="AL30" s="1125"/>
      <c r="AM30" s="1125"/>
      <c r="AN30" s="1168">
        <v>1500000</v>
      </c>
      <c r="AO30" s="1143">
        <v>720718</v>
      </c>
      <c r="AP30" s="1168"/>
      <c r="AQ30" s="1168"/>
      <c r="AR30" s="1168">
        <v>1003348.5</v>
      </c>
      <c r="AS30" s="1168"/>
      <c r="AT30" s="1168"/>
      <c r="AU30" s="1168">
        <v>1500000</v>
      </c>
      <c r="AV30" s="1100"/>
      <c r="AW30" s="1453"/>
    </row>
    <row r="31" spans="1:49" s="1120" customFormat="1" ht="43.5">
      <c r="A31" s="1121"/>
      <c r="B31" s="2918" t="s">
        <v>2616</v>
      </c>
      <c r="C31" s="1112" t="s">
        <v>1956</v>
      </c>
      <c r="D31" s="1139"/>
      <c r="E31" s="1116">
        <v>0</v>
      </c>
      <c r="F31" s="1116">
        <v>0</v>
      </c>
      <c r="G31" s="1116">
        <v>0</v>
      </c>
      <c r="H31" s="1116">
        <v>0</v>
      </c>
      <c r="I31" s="1141">
        <v>0</v>
      </c>
      <c r="J31" s="1141">
        <v>0</v>
      </c>
      <c r="K31" s="1115">
        <v>3000000</v>
      </c>
      <c r="L31" s="1116">
        <f>7753459.52+1125328.32+448892.5</f>
        <v>9327680.3399999999</v>
      </c>
      <c r="M31" s="1141">
        <v>0</v>
      </c>
      <c r="N31" s="1116"/>
      <c r="O31" s="1116"/>
      <c r="P31" s="1116"/>
      <c r="Q31" s="1116">
        <v>6000000</v>
      </c>
      <c r="R31" s="1143">
        <v>19230536.93</v>
      </c>
      <c r="S31" s="1116">
        <f t="shared" si="8"/>
        <v>320.50894883333336</v>
      </c>
      <c r="T31" s="2029">
        <v>0</v>
      </c>
      <c r="U31" s="1117"/>
      <c r="V31" s="1117"/>
      <c r="W31" s="1117"/>
      <c r="X31" s="1117"/>
      <c r="Y31" s="1116">
        <v>1350000</v>
      </c>
      <c r="Z31" s="1116"/>
      <c r="AA31" s="1116">
        <v>2685157.55</v>
      </c>
      <c r="AB31" s="1116"/>
      <c r="AC31" s="1196">
        <f t="shared" si="0"/>
        <v>-92.979915199902834</v>
      </c>
      <c r="AD31" s="1116">
        <v>4791755.54</v>
      </c>
      <c r="AE31" s="1116"/>
      <c r="AF31" s="1152">
        <f t="shared" si="9"/>
        <v>1350000</v>
      </c>
      <c r="AG31" s="1152">
        <v>6559875.04</v>
      </c>
      <c r="AH31" s="1152"/>
      <c r="AI31" s="1152"/>
      <c r="AJ31" s="1152">
        <f t="shared" si="10"/>
        <v>1350000</v>
      </c>
      <c r="AK31" s="1152">
        <v>11332782.57</v>
      </c>
      <c r="AL31" s="1152"/>
      <c r="AM31" s="1152"/>
      <c r="AN31" s="1165">
        <v>10000000</v>
      </c>
      <c r="AO31" s="1143">
        <v>4914294.96</v>
      </c>
      <c r="AP31" s="1165"/>
      <c r="AQ31" s="1165"/>
      <c r="AR31" s="1165">
        <v>8735240.2799999993</v>
      </c>
      <c r="AS31" s="1165"/>
      <c r="AT31" s="1165"/>
      <c r="AU31" s="1165">
        <v>10000000</v>
      </c>
      <c r="AV31" s="1119"/>
      <c r="AW31" s="2030"/>
    </row>
    <row r="32" spans="1:49" s="1155" customFormat="1" ht="44.25" customHeight="1">
      <c r="A32" s="1172"/>
      <c r="B32" s="2918" t="s">
        <v>2617</v>
      </c>
      <c r="C32" s="1178" t="s">
        <v>2581</v>
      </c>
      <c r="D32" s="1173"/>
      <c r="E32" s="1116"/>
      <c r="F32" s="1116"/>
      <c r="G32" s="1116"/>
      <c r="H32" s="1116"/>
      <c r="I32" s="1116"/>
      <c r="J32" s="1116"/>
      <c r="K32" s="1115"/>
      <c r="L32" s="1116"/>
      <c r="M32" s="1116"/>
      <c r="N32" s="1116"/>
      <c r="O32" s="1116"/>
      <c r="P32" s="1116"/>
      <c r="Q32" s="1116"/>
      <c r="R32" s="1116"/>
      <c r="S32" s="1116"/>
      <c r="T32" s="1116"/>
      <c r="U32" s="1116"/>
      <c r="V32" s="1116"/>
      <c r="W32" s="1116"/>
      <c r="X32" s="1116"/>
      <c r="Y32" s="1116">
        <v>500000</v>
      </c>
      <c r="Z32" s="1116"/>
      <c r="AA32" s="1163">
        <v>0</v>
      </c>
      <c r="AB32" s="1116"/>
      <c r="AC32" s="1196" t="e">
        <f>+(Y32-R32)/R32*100</f>
        <v>#DIV/0!</v>
      </c>
      <c r="AD32" s="1163"/>
      <c r="AE32" s="1116"/>
      <c r="AF32" s="1116">
        <f>+Y32</f>
        <v>500000</v>
      </c>
      <c r="AG32" s="1163">
        <v>0</v>
      </c>
      <c r="AH32" s="1163"/>
      <c r="AI32" s="1163"/>
      <c r="AJ32" s="1152">
        <f>+AF32</f>
        <v>500000</v>
      </c>
      <c r="AK32" s="1404">
        <v>0</v>
      </c>
      <c r="AL32" s="1152"/>
      <c r="AM32" s="1152"/>
      <c r="AN32" s="1116">
        <v>500000</v>
      </c>
      <c r="AO32" s="2517">
        <v>0</v>
      </c>
      <c r="AP32" s="1116"/>
      <c r="AQ32" s="1116"/>
      <c r="AR32" s="1467">
        <v>0</v>
      </c>
      <c r="AS32" s="1118"/>
      <c r="AT32" s="1118"/>
      <c r="AU32" s="1118">
        <v>500000</v>
      </c>
      <c r="AV32" s="1118"/>
      <c r="AW32" s="1118"/>
    </row>
    <row r="33" spans="1:49" s="1041" customFormat="1" ht="23.25" customHeight="1">
      <c r="A33" s="1124"/>
      <c r="B33" s="2919" t="s">
        <v>2618</v>
      </c>
      <c r="C33" s="1098" t="s">
        <v>284</v>
      </c>
      <c r="D33" s="1099" t="s">
        <v>285</v>
      </c>
      <c r="E33" s="1065">
        <v>5889128.96</v>
      </c>
      <c r="F33" s="1065">
        <v>5465724.7699999996</v>
      </c>
      <c r="G33" s="1065">
        <v>13956014.68</v>
      </c>
      <c r="H33" s="1065">
        <v>4500000</v>
      </c>
      <c r="I33" s="1065">
        <f>1732840.98+132400</f>
        <v>1865240.98</v>
      </c>
      <c r="J33" s="1078">
        <v>0</v>
      </c>
      <c r="K33" s="1066">
        <v>5000000</v>
      </c>
      <c r="L33" s="1065">
        <f>3393075.1+59592</f>
        <v>3452667.1</v>
      </c>
      <c r="M33" s="1078">
        <v>0</v>
      </c>
      <c r="N33" s="1065"/>
      <c r="O33" s="1065"/>
      <c r="P33" s="1065"/>
      <c r="Q33" s="1065">
        <v>5000000</v>
      </c>
      <c r="R33" s="1065">
        <f>7365987.08+24000</f>
        <v>7389987.0800000001</v>
      </c>
      <c r="S33" s="1065">
        <f t="shared" si="8"/>
        <v>147.7997416</v>
      </c>
      <c r="T33" s="1126">
        <v>0</v>
      </c>
      <c r="U33" s="1069"/>
      <c r="V33" s="1069"/>
      <c r="W33" s="1069"/>
      <c r="X33" s="1069"/>
      <c r="Y33" s="1065">
        <v>5000000</v>
      </c>
      <c r="Z33" s="1065"/>
      <c r="AA33" s="1065">
        <v>3831219</v>
      </c>
      <c r="AB33" s="1065"/>
      <c r="AC33" s="1207">
        <f t="shared" si="0"/>
        <v>-32.340883064169041</v>
      </c>
      <c r="AD33" s="1065">
        <v>5446485.6200000001</v>
      </c>
      <c r="AE33" s="1065"/>
      <c r="AF33" s="1125">
        <f t="shared" si="9"/>
        <v>5000000</v>
      </c>
      <c r="AG33" s="1125">
        <v>6255992.6299999999</v>
      </c>
      <c r="AH33" s="1125"/>
      <c r="AI33" s="1125"/>
      <c r="AJ33" s="1125">
        <f t="shared" si="10"/>
        <v>5000000</v>
      </c>
      <c r="AK33" s="1125">
        <v>8156027.4299999997</v>
      </c>
      <c r="AL33" s="1125"/>
      <c r="AM33" s="1125"/>
      <c r="AN33" s="1168">
        <v>5000000</v>
      </c>
      <c r="AO33" s="1168">
        <f>1604560.4+35660</f>
        <v>1640220.4</v>
      </c>
      <c r="AP33" s="1168"/>
      <c r="AQ33" s="1168"/>
      <c r="AR33" s="1459">
        <v>3465423.1</v>
      </c>
      <c r="AS33" s="1459"/>
      <c r="AT33" s="1459"/>
      <c r="AU33" s="1459">
        <v>10000000</v>
      </c>
      <c r="AV33" s="1100"/>
      <c r="AW33" s="1455"/>
    </row>
    <row r="34" spans="1:49" s="1041" customFormat="1" ht="23.25" customHeight="1">
      <c r="A34" s="1124"/>
      <c r="B34" s="2919" t="s">
        <v>2619</v>
      </c>
      <c r="C34" s="1098" t="s">
        <v>286</v>
      </c>
      <c r="D34" s="1064" t="s">
        <v>287</v>
      </c>
      <c r="E34" s="1065">
        <v>6253665.25</v>
      </c>
      <c r="F34" s="1065">
        <v>3543262.04</v>
      </c>
      <c r="G34" s="1065">
        <v>2016754.17</v>
      </c>
      <c r="H34" s="1065">
        <v>5000000</v>
      </c>
      <c r="I34" s="1065">
        <f>1341108.9+1700788</f>
        <v>3041896.9</v>
      </c>
      <c r="J34" s="1078">
        <v>0</v>
      </c>
      <c r="K34" s="2853">
        <v>5000000</v>
      </c>
      <c r="L34" s="1065">
        <f>2565341.51+2880550</f>
        <v>5445891.5099999998</v>
      </c>
      <c r="M34" s="1078">
        <v>0</v>
      </c>
      <c r="N34" s="1065"/>
      <c r="O34" s="1065"/>
      <c r="P34" s="1065"/>
      <c r="Q34" s="1129">
        <v>5000000</v>
      </c>
      <c r="R34" s="1129">
        <f>4111517.56+3721670</f>
        <v>7833187.5600000005</v>
      </c>
      <c r="S34" s="1065">
        <f t="shared" si="8"/>
        <v>156.66375120000001</v>
      </c>
      <c r="T34" s="1126">
        <v>0</v>
      </c>
      <c r="U34" s="1130"/>
      <c r="V34" s="1130"/>
      <c r="W34" s="1130"/>
      <c r="X34" s="1130"/>
      <c r="Y34" s="1065">
        <v>5000000</v>
      </c>
      <c r="Z34" s="1129"/>
      <c r="AA34" s="1065">
        <v>1453545</v>
      </c>
      <c r="AB34" s="1065"/>
      <c r="AC34" s="1199">
        <f t="shared" si="0"/>
        <v>-36.169024912254244</v>
      </c>
      <c r="AD34" s="1065">
        <v>3466626</v>
      </c>
      <c r="AE34" s="1065"/>
      <c r="AF34" s="1125">
        <f t="shared" si="9"/>
        <v>5000000</v>
      </c>
      <c r="AG34" s="1125">
        <v>5003709.5</v>
      </c>
      <c r="AH34" s="1125"/>
      <c r="AI34" s="1125"/>
      <c r="AJ34" s="1125">
        <f t="shared" si="10"/>
        <v>5000000</v>
      </c>
      <c r="AK34" s="1125">
        <v>7179964.5</v>
      </c>
      <c r="AL34" s="1125"/>
      <c r="AM34" s="1125"/>
      <c r="AN34" s="1168">
        <v>5000000</v>
      </c>
      <c r="AO34" s="1168">
        <f>1478718.52+1214120</f>
        <v>2692838.52</v>
      </c>
      <c r="AP34" s="1168"/>
      <c r="AQ34" s="1168"/>
      <c r="AR34" s="1459">
        <v>4660407.5199999996</v>
      </c>
      <c r="AS34" s="1459"/>
      <c r="AT34" s="1459"/>
      <c r="AU34" s="1459">
        <v>7000000</v>
      </c>
      <c r="AV34" s="1100"/>
      <c r="AW34" s="1456"/>
    </row>
    <row r="35" spans="1:49" s="1041" customFormat="1" ht="23.25" customHeight="1">
      <c r="A35" s="1124"/>
      <c r="B35" s="2919" t="s">
        <v>2620</v>
      </c>
      <c r="C35" s="1098" t="s">
        <v>288</v>
      </c>
      <c r="D35" s="1099" t="s">
        <v>273</v>
      </c>
      <c r="E35" s="1065">
        <v>4484263.3600000003</v>
      </c>
      <c r="F35" s="1065">
        <v>2090256.76</v>
      </c>
      <c r="G35" s="1065">
        <v>1333386.4099999999</v>
      </c>
      <c r="H35" s="1065">
        <v>0</v>
      </c>
      <c r="I35" s="1065">
        <f>691574+1416089.28</f>
        <v>2107663.2800000003</v>
      </c>
      <c r="J35" s="1078">
        <v>0</v>
      </c>
      <c r="K35" s="2853"/>
      <c r="L35" s="1065">
        <f>1508694.98+2397260.83</f>
        <v>3905955.81</v>
      </c>
      <c r="M35" s="1078">
        <v>0</v>
      </c>
      <c r="N35" s="1065"/>
      <c r="O35" s="1065"/>
      <c r="P35" s="1065"/>
      <c r="Q35" s="1129">
        <v>4000000</v>
      </c>
      <c r="R35" s="1129">
        <f>1665614+3043021</f>
        <v>4708635</v>
      </c>
      <c r="S35" s="1065">
        <f t="shared" si="8"/>
        <v>117.715875</v>
      </c>
      <c r="T35" s="1126">
        <v>0</v>
      </c>
      <c r="U35" s="1130"/>
      <c r="V35" s="1130"/>
      <c r="W35" s="1130"/>
      <c r="X35" s="1130"/>
      <c r="Y35" s="1065">
        <v>4000000</v>
      </c>
      <c r="Z35" s="1129"/>
      <c r="AA35" s="1065">
        <v>1711204</v>
      </c>
      <c r="AB35" s="1065"/>
      <c r="AC35" s="1145">
        <f t="shared" si="0"/>
        <v>-15.049690621592033</v>
      </c>
      <c r="AD35" s="1065">
        <v>2678115</v>
      </c>
      <c r="AE35" s="1065"/>
      <c r="AF35" s="1125">
        <f t="shared" si="9"/>
        <v>4000000</v>
      </c>
      <c r="AG35" s="1125">
        <v>3593371</v>
      </c>
      <c r="AH35" s="1125"/>
      <c r="AI35" s="1125"/>
      <c r="AJ35" s="1125">
        <f t="shared" si="10"/>
        <v>4000000</v>
      </c>
      <c r="AK35" s="1125">
        <v>5016789</v>
      </c>
      <c r="AL35" s="1125"/>
      <c r="AM35" s="1125"/>
      <c r="AN35" s="1168">
        <v>4300000</v>
      </c>
      <c r="AO35" s="1168">
        <f>758306+1167982</f>
        <v>1926288</v>
      </c>
      <c r="AP35" s="1168"/>
      <c r="AQ35" s="1168"/>
      <c r="AR35" s="1459">
        <v>2828062</v>
      </c>
      <c r="AS35" s="1459"/>
      <c r="AT35" s="1459"/>
      <c r="AU35" s="1459">
        <v>4300000</v>
      </c>
      <c r="AV35" s="1100"/>
      <c r="AW35" s="1456"/>
    </row>
    <row r="36" spans="1:49" s="1138" customFormat="1" ht="23.25" customHeight="1">
      <c r="A36" s="1124"/>
      <c r="B36" s="2919" t="s">
        <v>2621</v>
      </c>
      <c r="C36" s="1098" t="s">
        <v>511</v>
      </c>
      <c r="D36" s="1064" t="s">
        <v>273</v>
      </c>
      <c r="E36" s="1065">
        <v>30320</v>
      </c>
      <c r="F36" s="1065">
        <v>0</v>
      </c>
      <c r="G36" s="1065">
        <v>366663</v>
      </c>
      <c r="H36" s="1065">
        <v>200000</v>
      </c>
      <c r="I36" s="1065">
        <v>286665</v>
      </c>
      <c r="J36" s="1078">
        <v>0</v>
      </c>
      <c r="K36" s="1066">
        <v>400000</v>
      </c>
      <c r="L36" s="1065">
        <v>321672</v>
      </c>
      <c r="M36" s="1078">
        <v>0</v>
      </c>
      <c r="N36" s="1065"/>
      <c r="O36" s="1065"/>
      <c r="P36" s="1065"/>
      <c r="Q36" s="1065">
        <v>300000</v>
      </c>
      <c r="R36" s="1065">
        <v>455000</v>
      </c>
      <c r="S36" s="1065">
        <f t="shared" si="8"/>
        <v>151.66666666666666</v>
      </c>
      <c r="T36" s="1126">
        <v>0</v>
      </c>
      <c r="U36" s="1069"/>
      <c r="V36" s="1069"/>
      <c r="W36" s="1069"/>
      <c r="X36" s="1069"/>
      <c r="Y36" s="1065">
        <v>390000</v>
      </c>
      <c r="Z36" s="1065"/>
      <c r="AA36" s="1065">
        <v>65000</v>
      </c>
      <c r="AB36" s="1065"/>
      <c r="AC36" s="1145">
        <f t="shared" si="0"/>
        <v>-14.285714285714285</v>
      </c>
      <c r="AD36" s="1065">
        <v>97500</v>
      </c>
      <c r="AE36" s="1065"/>
      <c r="AF36" s="1125">
        <f t="shared" si="9"/>
        <v>390000</v>
      </c>
      <c r="AG36" s="1125">
        <v>130000</v>
      </c>
      <c r="AH36" s="1125"/>
      <c r="AI36" s="1125"/>
      <c r="AJ36" s="1125">
        <f t="shared" si="10"/>
        <v>390000</v>
      </c>
      <c r="AK36" s="1125">
        <v>281940</v>
      </c>
      <c r="AL36" s="1125"/>
      <c r="AM36" s="1125"/>
      <c r="AN36" s="1168">
        <v>250000</v>
      </c>
      <c r="AO36" s="1168">
        <v>150870</v>
      </c>
      <c r="AP36" s="1168"/>
      <c r="AQ36" s="1168"/>
      <c r="AR36" s="1168">
        <v>377710</v>
      </c>
      <c r="AS36" s="1168"/>
      <c r="AT36" s="1735"/>
      <c r="AU36" s="1735">
        <v>250000</v>
      </c>
      <c r="AV36" s="1100"/>
      <c r="AW36" s="1456"/>
    </row>
    <row r="37" spans="1:49" s="1140" customFormat="1" ht="23.25" customHeight="1">
      <c r="A37" s="1121"/>
      <c r="B37" s="2919" t="s">
        <v>2622</v>
      </c>
      <c r="C37" s="1112" t="s">
        <v>636</v>
      </c>
      <c r="D37" s="1139" t="s">
        <v>273</v>
      </c>
      <c r="E37" s="1116">
        <v>4954264</v>
      </c>
      <c r="F37" s="1116">
        <v>3059112.85</v>
      </c>
      <c r="G37" s="1116">
        <v>12777582.48</v>
      </c>
      <c r="H37" s="1116">
        <v>4500000</v>
      </c>
      <c r="I37" s="1116">
        <f>277015+2086720</f>
        <v>2363735</v>
      </c>
      <c r="J37" s="1116">
        <v>504675</v>
      </c>
      <c r="K37" s="1115">
        <v>3800000</v>
      </c>
      <c r="L37" s="1116">
        <f>1210750+3127057.75</f>
        <v>4337807.75</v>
      </c>
      <c r="M37" s="1078">
        <v>0</v>
      </c>
      <c r="N37" s="1116"/>
      <c r="O37" s="1116"/>
      <c r="P37" s="1116"/>
      <c r="Q37" s="1116">
        <v>4500000</v>
      </c>
      <c r="R37" s="1116">
        <f>386885+4959402.4</f>
        <v>5346287.4000000004</v>
      </c>
      <c r="S37" s="1116">
        <f t="shared" si="8"/>
        <v>118.80638666666667</v>
      </c>
      <c r="T37" s="1126">
        <v>0</v>
      </c>
      <c r="U37" s="1117"/>
      <c r="V37" s="1117"/>
      <c r="W37" s="1117"/>
      <c r="X37" s="1117"/>
      <c r="Y37" s="1116">
        <v>5000000</v>
      </c>
      <c r="Z37" s="1116"/>
      <c r="AA37" s="1116">
        <v>2851989.56</v>
      </c>
      <c r="AB37" s="1116"/>
      <c r="AC37" s="1145">
        <f t="shared" si="0"/>
        <v>-6.4771564656251055</v>
      </c>
      <c r="AD37" s="1116">
        <f>211855+3511889.56</f>
        <v>3723744.56</v>
      </c>
      <c r="AE37" s="1116"/>
      <c r="AF37" s="1125">
        <f t="shared" si="9"/>
        <v>5000000</v>
      </c>
      <c r="AG37" s="1125">
        <v>5395404.0999999996</v>
      </c>
      <c r="AH37" s="1125"/>
      <c r="AI37" s="1125"/>
      <c r="AJ37" s="1125">
        <f t="shared" si="10"/>
        <v>5000000</v>
      </c>
      <c r="AK37" s="1125">
        <v>7197989.0999999996</v>
      </c>
      <c r="AL37" s="1125"/>
      <c r="AM37" s="1125"/>
      <c r="AN37" s="1165">
        <v>6000000</v>
      </c>
      <c r="AO37" s="1165">
        <f>116089+1742021.23</f>
        <v>1858110.23</v>
      </c>
      <c r="AP37" s="1165"/>
      <c r="AQ37" s="1165"/>
      <c r="AR37" s="1165">
        <v>3323757.23</v>
      </c>
      <c r="AS37" s="1165"/>
      <c r="AT37" s="1462"/>
      <c r="AU37" s="1462">
        <v>6000000</v>
      </c>
      <c r="AV37" s="1119"/>
      <c r="AW37" s="1454"/>
    </row>
    <row r="38" spans="1:49" s="1140" customFormat="1" ht="23.25" customHeight="1">
      <c r="A38" s="1121"/>
      <c r="B38" s="2919" t="s">
        <v>2623</v>
      </c>
      <c r="C38" s="1112" t="s">
        <v>637</v>
      </c>
      <c r="D38" s="1139" t="s">
        <v>273</v>
      </c>
      <c r="E38" s="1116">
        <v>4900365</v>
      </c>
      <c r="F38" s="1116">
        <v>5619625</v>
      </c>
      <c r="G38" s="1116">
        <v>6636524</v>
      </c>
      <c r="H38" s="2854">
        <v>8000000</v>
      </c>
      <c r="I38" s="1116">
        <v>8849600</v>
      </c>
      <c r="J38" s="1141">
        <v>0</v>
      </c>
      <c r="K38" s="1142">
        <v>6800000</v>
      </c>
      <c r="L38" s="1116">
        <v>10042250</v>
      </c>
      <c r="M38" s="1116">
        <v>1921540</v>
      </c>
      <c r="N38" s="1116"/>
      <c r="O38" s="1116"/>
      <c r="P38" s="1116"/>
      <c r="Q38" s="1143">
        <v>11000000</v>
      </c>
      <c r="R38" s="1143">
        <v>11773017</v>
      </c>
      <c r="S38" s="1116">
        <f t="shared" si="8"/>
        <v>107.02742727272727</v>
      </c>
      <c r="T38" s="1126">
        <v>0</v>
      </c>
      <c r="U38" s="1144"/>
      <c r="V38" s="1144"/>
      <c r="W38" s="1144"/>
      <c r="X38" s="1144"/>
      <c r="Y38" s="1116">
        <v>11600000</v>
      </c>
      <c r="Z38" s="1143"/>
      <c r="AA38" s="1116">
        <v>2307630</v>
      </c>
      <c r="AB38" s="1116"/>
      <c r="AC38" s="1145">
        <f t="shared" si="0"/>
        <v>-1.4696063039745886</v>
      </c>
      <c r="AD38" s="1116">
        <v>3399085</v>
      </c>
      <c r="AE38" s="1116"/>
      <c r="AF38" s="1125">
        <f t="shared" si="9"/>
        <v>11600000</v>
      </c>
      <c r="AG38" s="1125">
        <v>9241622</v>
      </c>
      <c r="AH38" s="1125"/>
      <c r="AI38" s="1125"/>
      <c r="AJ38" s="1125">
        <f t="shared" si="10"/>
        <v>11600000</v>
      </c>
      <c r="AK38" s="1125">
        <v>11550934</v>
      </c>
      <c r="AL38" s="1125"/>
      <c r="AM38" s="1125"/>
      <c r="AN38" s="1165">
        <f>11200000+450000</f>
        <v>11650000</v>
      </c>
      <c r="AO38" s="1165">
        <v>4498529</v>
      </c>
      <c r="AP38" s="1165"/>
      <c r="AQ38" s="1165"/>
      <c r="AR38" s="1458">
        <v>7908779</v>
      </c>
      <c r="AS38" s="1458"/>
      <c r="AT38" s="1458"/>
      <c r="AU38" s="1458">
        <v>11650000</v>
      </c>
      <c r="AV38" s="1119"/>
      <c r="AW38" s="1457"/>
    </row>
    <row r="39" spans="1:49" s="1140" customFormat="1" ht="23.25" customHeight="1">
      <c r="A39" s="1121"/>
      <c r="B39" s="2919" t="s">
        <v>2624</v>
      </c>
      <c r="C39" s="1112" t="s">
        <v>638</v>
      </c>
      <c r="D39" s="1139" t="s">
        <v>273</v>
      </c>
      <c r="E39" s="1116">
        <v>0</v>
      </c>
      <c r="F39" s="1116">
        <v>0</v>
      </c>
      <c r="G39" s="1116">
        <v>564845.6</v>
      </c>
      <c r="H39" s="2854"/>
      <c r="I39" s="1116">
        <v>688270</v>
      </c>
      <c r="J39" s="1141">
        <v>0</v>
      </c>
      <c r="K39" s="1142">
        <v>400000</v>
      </c>
      <c r="L39" s="1116">
        <v>335675</v>
      </c>
      <c r="M39" s="1141">
        <v>0</v>
      </c>
      <c r="N39" s="1116"/>
      <c r="O39" s="1116"/>
      <c r="P39" s="1116"/>
      <c r="Q39" s="1143">
        <v>400000</v>
      </c>
      <c r="R39" s="1143">
        <v>473400</v>
      </c>
      <c r="S39" s="1116">
        <f t="shared" si="8"/>
        <v>118.35</v>
      </c>
      <c r="T39" s="1126">
        <v>0</v>
      </c>
      <c r="U39" s="1144"/>
      <c r="V39" s="1144"/>
      <c r="W39" s="1144"/>
      <c r="X39" s="1144"/>
      <c r="Y39" s="1116">
        <v>400000</v>
      </c>
      <c r="Z39" s="1143"/>
      <c r="AA39" s="1116">
        <v>75200</v>
      </c>
      <c r="AB39" s="1116"/>
      <c r="AC39" s="1145">
        <f t="shared" ref="AC39:AC112" si="11">+(Y39-R39)/R39*100</f>
        <v>-15.504858470637938</v>
      </c>
      <c r="AD39" s="1116">
        <v>175100</v>
      </c>
      <c r="AE39" s="1116"/>
      <c r="AF39" s="1125">
        <f t="shared" si="9"/>
        <v>400000</v>
      </c>
      <c r="AG39" s="1125">
        <v>229000</v>
      </c>
      <c r="AH39" s="1125"/>
      <c r="AI39" s="1125"/>
      <c r="AJ39" s="1125">
        <f t="shared" si="10"/>
        <v>400000</v>
      </c>
      <c r="AK39" s="1125">
        <v>245100</v>
      </c>
      <c r="AL39" s="1125"/>
      <c r="AM39" s="1125"/>
      <c r="AN39" s="1165">
        <v>250000</v>
      </c>
      <c r="AO39" s="1165">
        <v>18400</v>
      </c>
      <c r="AP39" s="1165"/>
      <c r="AQ39" s="1165"/>
      <c r="AR39" s="1458">
        <v>34990</v>
      </c>
      <c r="AS39" s="1458"/>
      <c r="AT39" s="1458"/>
      <c r="AU39" s="1458">
        <v>250000</v>
      </c>
      <c r="AV39" s="1119"/>
      <c r="AW39" s="1457"/>
    </row>
    <row r="40" spans="1:49" s="1147" customFormat="1" ht="23.25" customHeight="1">
      <c r="A40" s="1124"/>
      <c r="B40" s="2919" t="s">
        <v>2625</v>
      </c>
      <c r="C40" s="1098" t="s">
        <v>289</v>
      </c>
      <c r="D40" s="1064" t="s">
        <v>273</v>
      </c>
      <c r="E40" s="1065">
        <v>2415550</v>
      </c>
      <c r="F40" s="1065">
        <v>1345950</v>
      </c>
      <c r="G40" s="1065">
        <v>1649340</v>
      </c>
      <c r="H40" s="1065">
        <v>2150000</v>
      </c>
      <c r="I40" s="1065">
        <v>1346500</v>
      </c>
      <c r="J40" s="1141">
        <v>0</v>
      </c>
      <c r="K40" s="1066">
        <v>2100000</v>
      </c>
      <c r="L40" s="1065">
        <v>2143900</v>
      </c>
      <c r="M40" s="1078">
        <v>0</v>
      </c>
      <c r="N40" s="1065"/>
      <c r="O40" s="1065"/>
      <c r="P40" s="1065"/>
      <c r="Q40" s="1065">
        <v>1500000</v>
      </c>
      <c r="R40" s="1065">
        <v>1234705</v>
      </c>
      <c r="S40" s="1065">
        <f t="shared" si="8"/>
        <v>82.313666666666663</v>
      </c>
      <c r="T40" s="1126">
        <v>0</v>
      </c>
      <c r="U40" s="1069"/>
      <c r="V40" s="1069"/>
      <c r="W40" s="1069"/>
      <c r="X40" s="1069"/>
      <c r="Y40" s="1065">
        <v>1500000</v>
      </c>
      <c r="Z40" s="1065"/>
      <c r="AA40" s="1075">
        <v>0</v>
      </c>
      <c r="AB40" s="1065"/>
      <c r="AC40" s="1145">
        <f t="shared" si="11"/>
        <v>21.486508923184079</v>
      </c>
      <c r="AD40" s="1075">
        <v>760330</v>
      </c>
      <c r="AE40" s="1065"/>
      <c r="AF40" s="1125">
        <f t="shared" si="9"/>
        <v>1500000</v>
      </c>
      <c r="AG40" s="1125">
        <v>760330</v>
      </c>
      <c r="AH40" s="1125"/>
      <c r="AI40" s="1125"/>
      <c r="AJ40" s="1125">
        <f t="shared" si="10"/>
        <v>1500000</v>
      </c>
      <c r="AK40" s="1125">
        <v>1460575</v>
      </c>
      <c r="AL40" s="1125"/>
      <c r="AM40" s="1125"/>
      <c r="AN40" s="1168">
        <v>1500000</v>
      </c>
      <c r="AO40" s="1168">
        <v>394875</v>
      </c>
      <c r="AP40" s="1168"/>
      <c r="AQ40" s="1168"/>
      <c r="AR40" s="1459">
        <v>1021410</v>
      </c>
      <c r="AS40" s="1459"/>
      <c r="AT40" s="1459"/>
      <c r="AU40" s="1459">
        <v>1500000</v>
      </c>
      <c r="AV40" s="1100"/>
      <c r="AW40" s="1456"/>
    </row>
    <row r="41" spans="1:49" s="1149" customFormat="1" ht="23.25" customHeight="1">
      <c r="A41" s="1124"/>
      <c r="B41" s="2919" t="s">
        <v>2626</v>
      </c>
      <c r="C41" s="1098" t="s">
        <v>290</v>
      </c>
      <c r="D41" s="1064" t="s">
        <v>273</v>
      </c>
      <c r="E41" s="1065">
        <v>10165474</v>
      </c>
      <c r="F41" s="1065">
        <v>9670725.4199999999</v>
      </c>
      <c r="G41" s="1065">
        <v>8521675.3699999992</v>
      </c>
      <c r="H41" s="1065">
        <v>7000000</v>
      </c>
      <c r="I41" s="1065">
        <v>6961139.6799999997</v>
      </c>
      <c r="J41" s="1065">
        <v>1272130.1599999999</v>
      </c>
      <c r="K41" s="1066">
        <v>8000000</v>
      </c>
      <c r="L41" s="1065">
        <v>8229700.8200000003</v>
      </c>
      <c r="M41" s="1065">
        <v>1387234.3</v>
      </c>
      <c r="N41" s="1065"/>
      <c r="O41" s="1065"/>
      <c r="P41" s="1065"/>
      <c r="Q41" s="1065">
        <v>9000000</v>
      </c>
      <c r="R41" s="1065">
        <v>10724232</v>
      </c>
      <c r="S41" s="1065">
        <f t="shared" si="8"/>
        <v>119.15813333333334</v>
      </c>
      <c r="T41" s="1065">
        <v>704117.3</v>
      </c>
      <c r="U41" s="1069"/>
      <c r="V41" s="1069"/>
      <c r="W41" s="1069"/>
      <c r="X41" s="1069"/>
      <c r="Y41" s="1065">
        <v>10000000</v>
      </c>
      <c r="Z41" s="1065">
        <v>636065.30000000005</v>
      </c>
      <c r="AA41" s="1065">
        <v>1603440</v>
      </c>
      <c r="AB41" s="1065"/>
      <c r="AC41" s="1148">
        <f t="shared" si="11"/>
        <v>-6.7532295086491976</v>
      </c>
      <c r="AD41" s="1065">
        <v>5312032</v>
      </c>
      <c r="AE41" s="1065"/>
      <c r="AF41" s="1125">
        <f t="shared" si="9"/>
        <v>10000000</v>
      </c>
      <c r="AG41" s="1125">
        <v>6882808</v>
      </c>
      <c r="AH41" s="1125"/>
      <c r="AI41" s="1125">
        <v>1421453.3</v>
      </c>
      <c r="AJ41" s="1127">
        <f t="shared" si="10"/>
        <v>10000000</v>
      </c>
      <c r="AK41" s="1127">
        <v>9238972</v>
      </c>
      <c r="AL41" s="1127"/>
      <c r="AM41" s="1127">
        <v>671453.3</v>
      </c>
      <c r="AN41" s="1459">
        <v>10000000</v>
      </c>
      <c r="AO41" s="1459">
        <v>856164.01</v>
      </c>
      <c r="AP41" s="1459"/>
      <c r="AQ41" s="1736">
        <v>31800</v>
      </c>
      <c r="AR41" s="2939">
        <v>4175710.96</v>
      </c>
      <c r="AS41" s="2940"/>
      <c r="AT41" s="2939">
        <v>31800</v>
      </c>
      <c r="AU41" s="2939">
        <v>10000000</v>
      </c>
      <c r="AV41" s="1100"/>
      <c r="AW41" s="1453"/>
    </row>
    <row r="42" spans="1:49" ht="23.25" customHeight="1">
      <c r="A42" s="1062"/>
      <c r="B42" s="2919" t="s">
        <v>2627</v>
      </c>
      <c r="C42" s="1098" t="s">
        <v>291</v>
      </c>
      <c r="D42" s="1064" t="s">
        <v>273</v>
      </c>
      <c r="E42" s="1065">
        <v>3012400</v>
      </c>
      <c r="F42" s="1065">
        <v>1106968.5</v>
      </c>
      <c r="G42" s="1065">
        <v>1955443.2</v>
      </c>
      <c r="H42" s="1065">
        <v>2000000</v>
      </c>
      <c r="I42" s="1065">
        <v>814156.76</v>
      </c>
      <c r="J42" s="1078">
        <v>0</v>
      </c>
      <c r="K42" s="1066">
        <v>1800000</v>
      </c>
      <c r="L42" s="1065">
        <v>1502150</v>
      </c>
      <c r="M42" s="1078">
        <v>0</v>
      </c>
      <c r="N42" s="1065"/>
      <c r="O42" s="1065"/>
      <c r="P42" s="1065"/>
      <c r="Q42" s="1065">
        <v>0</v>
      </c>
      <c r="R42" s="1150">
        <v>1086760</v>
      </c>
      <c r="S42" s="1065">
        <v>0</v>
      </c>
      <c r="T42" s="1078">
        <v>0</v>
      </c>
      <c r="U42" s="1069">
        <v>0</v>
      </c>
      <c r="V42" s="1069">
        <v>0</v>
      </c>
      <c r="W42" s="1069"/>
      <c r="X42" s="1069"/>
      <c r="Y42" s="1078">
        <v>0</v>
      </c>
      <c r="Z42" s="1078">
        <v>0</v>
      </c>
      <c r="AA42" s="1075">
        <v>0</v>
      </c>
      <c r="AB42" s="1065"/>
      <c r="AC42" s="1038">
        <f t="shared" si="11"/>
        <v>-100</v>
      </c>
      <c r="AD42" s="1075">
        <v>0</v>
      </c>
      <c r="AE42" s="1065"/>
      <c r="AF42" s="1065"/>
      <c r="AG42" s="1065"/>
      <c r="AH42" s="1065"/>
      <c r="AI42" s="1065"/>
      <c r="AJ42" s="1127">
        <f t="shared" si="10"/>
        <v>0</v>
      </c>
      <c r="AK42" s="1127"/>
      <c r="AL42" s="1127"/>
      <c r="AM42" s="1127"/>
      <c r="AN42" s="1071"/>
      <c r="AO42" s="1071"/>
      <c r="AP42" s="1071"/>
      <c r="AQ42" s="1065"/>
      <c r="AR42" s="1071"/>
      <c r="AS42" s="1071"/>
      <c r="AT42" s="1071"/>
      <c r="AU42" s="1071"/>
      <c r="AV42" s="1071"/>
      <c r="AW42" s="1071"/>
    </row>
    <row r="43" spans="1:49" s="1155" customFormat="1" ht="23.25" customHeight="1">
      <c r="A43" s="1151" t="s">
        <v>292</v>
      </c>
      <c r="B43" s="2919" t="s">
        <v>2628</v>
      </c>
      <c r="C43" s="1156" t="s">
        <v>634</v>
      </c>
      <c r="D43" s="1139" t="s">
        <v>285</v>
      </c>
      <c r="E43" s="1116">
        <v>380985.3</v>
      </c>
      <c r="F43" s="1116">
        <v>406041.74</v>
      </c>
      <c r="G43" s="1116">
        <v>2707875.83</v>
      </c>
      <c r="H43" s="1116">
        <v>3000000</v>
      </c>
      <c r="I43" s="1116">
        <f>119100+3839741.33</f>
        <v>3958841.33</v>
      </c>
      <c r="J43" s="1141">
        <v>0</v>
      </c>
      <c r="K43" s="1115">
        <v>700000</v>
      </c>
      <c r="L43" s="1116">
        <f>53700+3701543.44</f>
        <v>3755243.44</v>
      </c>
      <c r="M43" s="1116">
        <v>229794.08</v>
      </c>
      <c r="N43" s="1116"/>
      <c r="O43" s="1116"/>
      <c r="P43" s="1116"/>
      <c r="Q43" s="1116">
        <v>3000000</v>
      </c>
      <c r="R43" s="1116">
        <f>179700+5719299.24</f>
        <v>5898999.2400000002</v>
      </c>
      <c r="S43" s="1116">
        <f t="shared" si="8"/>
        <v>196.633308</v>
      </c>
      <c r="T43" s="1078">
        <v>0</v>
      </c>
      <c r="U43" s="1117"/>
      <c r="V43" s="1117"/>
      <c r="W43" s="1117"/>
      <c r="X43" s="1117"/>
      <c r="Y43" s="1116">
        <v>3000000</v>
      </c>
      <c r="Z43" s="1078">
        <v>0</v>
      </c>
      <c r="AA43" s="1116">
        <v>958963.37</v>
      </c>
      <c r="AB43" s="1116"/>
      <c r="AC43" s="1137">
        <f t="shared" si="11"/>
        <v>-49.143916146698814</v>
      </c>
      <c r="AD43" s="1116">
        <v>4853650.24</v>
      </c>
      <c r="AE43" s="1116"/>
      <c r="AF43" s="1116">
        <f>+Y43</f>
        <v>3000000</v>
      </c>
      <c r="AG43" s="1116">
        <v>6886638.29</v>
      </c>
      <c r="AH43" s="1116"/>
      <c r="AI43" s="1116"/>
      <c r="AJ43" s="1127">
        <f t="shared" si="10"/>
        <v>3000000</v>
      </c>
      <c r="AK43" s="1165">
        <v>12598865.73</v>
      </c>
      <c r="AL43" s="1157"/>
      <c r="AM43" s="1125">
        <f>1819+599249.05</f>
        <v>601068.05000000005</v>
      </c>
      <c r="AN43" s="1458">
        <v>5000000</v>
      </c>
      <c r="AO43" s="1458">
        <v>626652.42000000004</v>
      </c>
      <c r="AP43" s="1458"/>
      <c r="AQ43" s="1737">
        <f>1819+251797.1</f>
        <v>253616.1</v>
      </c>
      <c r="AR43" s="1738">
        <v>4477647.9800000004</v>
      </c>
      <c r="AS43" s="2941"/>
      <c r="AT43" s="1243">
        <f>1819+228051.85</f>
        <v>229870.85</v>
      </c>
      <c r="AU43" s="1738">
        <v>5000000</v>
      </c>
      <c r="AV43" s="1158"/>
      <c r="AW43" s="1458"/>
    </row>
    <row r="44" spans="1:49" ht="23.25" customHeight="1">
      <c r="A44" s="1062" t="s">
        <v>292</v>
      </c>
      <c r="B44" s="2919" t="s">
        <v>2629</v>
      </c>
      <c r="C44" s="1098" t="s">
        <v>293</v>
      </c>
      <c r="D44" s="1064" t="s">
        <v>273</v>
      </c>
      <c r="E44" s="1065">
        <v>19818370</v>
      </c>
      <c r="F44" s="1065">
        <v>26295360</v>
      </c>
      <c r="G44" s="1065">
        <v>35782420</v>
      </c>
      <c r="H44" s="1065">
        <v>39000000</v>
      </c>
      <c r="I44" s="1065">
        <v>33076650</v>
      </c>
      <c r="J44" s="1065">
        <v>15153560</v>
      </c>
      <c r="K44" s="1066">
        <v>42000000</v>
      </c>
      <c r="L44" s="1065">
        <v>41379460</v>
      </c>
      <c r="M44" s="1159">
        <v>0</v>
      </c>
      <c r="N44" s="1065"/>
      <c r="O44" s="1065"/>
      <c r="P44" s="1065"/>
      <c r="Q44" s="1065">
        <v>40000000</v>
      </c>
      <c r="R44" s="1065">
        <v>45458470</v>
      </c>
      <c r="S44" s="1065">
        <f t="shared" si="8"/>
        <v>113.646175</v>
      </c>
      <c r="T44" s="1078">
        <v>0</v>
      </c>
      <c r="U44" s="1069"/>
      <c r="V44" s="1069"/>
      <c r="W44" s="1069"/>
      <c r="X44" s="1069"/>
      <c r="Y44" s="1065">
        <v>40000000</v>
      </c>
      <c r="Z44" s="1078">
        <v>0</v>
      </c>
      <c r="AA44" s="1065">
        <v>7588920</v>
      </c>
      <c r="AB44" s="1065"/>
      <c r="AC44" s="1148">
        <f t="shared" si="11"/>
        <v>-12.007597264052222</v>
      </c>
      <c r="AD44" s="1065">
        <v>11354460</v>
      </c>
      <c r="AE44" s="1065"/>
      <c r="AF44" s="1116">
        <f t="shared" ref="AF44:AF61" si="12">+Y44</f>
        <v>40000000</v>
      </c>
      <c r="AG44" s="1116">
        <v>28319540</v>
      </c>
      <c r="AH44" s="1116"/>
      <c r="AI44" s="1116"/>
      <c r="AJ44" s="1127">
        <f t="shared" si="10"/>
        <v>40000000</v>
      </c>
      <c r="AK44" s="1127">
        <v>44711240</v>
      </c>
      <c r="AL44" s="1127"/>
      <c r="AM44" s="1127"/>
      <c r="AN44" s="1459">
        <v>40000000</v>
      </c>
      <c r="AO44" s="1459">
        <v>8738320</v>
      </c>
      <c r="AP44" s="1459"/>
      <c r="AQ44" s="1168"/>
      <c r="AR44" s="1459">
        <v>17909980</v>
      </c>
      <c r="AS44" s="1459"/>
      <c r="AT44" s="1459"/>
      <c r="AU44" s="1459">
        <v>40000000</v>
      </c>
      <c r="AV44" s="1160"/>
      <c r="AW44" s="1459"/>
    </row>
    <row r="45" spans="1:49" ht="23.25" customHeight="1">
      <c r="A45" s="1062" t="s">
        <v>292</v>
      </c>
      <c r="B45" s="2919" t="s">
        <v>2630</v>
      </c>
      <c r="C45" s="1098" t="s">
        <v>294</v>
      </c>
      <c r="D45" s="1064" t="s">
        <v>273</v>
      </c>
      <c r="E45" s="1065">
        <v>12936825.199999999</v>
      </c>
      <c r="F45" s="1065">
        <v>12397153</v>
      </c>
      <c r="G45" s="1065">
        <v>13275065</v>
      </c>
      <c r="H45" s="1065">
        <v>20000000</v>
      </c>
      <c r="I45" s="1065">
        <v>15287275</v>
      </c>
      <c r="J45" s="1065">
        <v>9605650</v>
      </c>
      <c r="K45" s="1066">
        <v>30000000</v>
      </c>
      <c r="L45" s="1065">
        <v>23475800</v>
      </c>
      <c r="M45" s="1159">
        <v>0</v>
      </c>
      <c r="N45" s="1065"/>
      <c r="O45" s="1065"/>
      <c r="P45" s="1065"/>
      <c r="Q45" s="1065">
        <v>37000000</v>
      </c>
      <c r="R45" s="1065">
        <v>28917250</v>
      </c>
      <c r="S45" s="1065">
        <f t="shared" si="8"/>
        <v>78.154729729729738</v>
      </c>
      <c r="T45" s="1078">
        <v>0</v>
      </c>
      <c r="U45" s="1069"/>
      <c r="V45" s="1069"/>
      <c r="W45" s="1069"/>
      <c r="X45" s="1069"/>
      <c r="Y45" s="1065">
        <v>30000000</v>
      </c>
      <c r="Z45" s="1078">
        <v>0</v>
      </c>
      <c r="AA45" s="1065">
        <v>7286900</v>
      </c>
      <c r="AB45" s="1065"/>
      <c r="AC45" s="1038">
        <f t="shared" si="11"/>
        <v>3.7443048699305779</v>
      </c>
      <c r="AD45" s="1065">
        <v>10783050</v>
      </c>
      <c r="AE45" s="1065"/>
      <c r="AF45" s="1116">
        <f t="shared" si="12"/>
        <v>30000000</v>
      </c>
      <c r="AG45" s="1116">
        <v>16425300</v>
      </c>
      <c r="AH45" s="1116"/>
      <c r="AI45" s="1116"/>
      <c r="AJ45" s="1127">
        <f t="shared" si="10"/>
        <v>30000000</v>
      </c>
      <c r="AK45" s="1127">
        <v>18630900</v>
      </c>
      <c r="AL45" s="1127"/>
      <c r="AM45" s="1127"/>
      <c r="AN45" s="1459">
        <v>25000000</v>
      </c>
      <c r="AO45" s="1459">
        <v>6983550</v>
      </c>
      <c r="AP45" s="1459"/>
      <c r="AQ45" s="1168"/>
      <c r="AR45" s="1459">
        <v>11647050</v>
      </c>
      <c r="AS45" s="1459"/>
      <c r="AT45" s="1459"/>
      <c r="AU45" s="1459">
        <v>25000000</v>
      </c>
      <c r="AV45" s="1160"/>
      <c r="AW45" s="1459"/>
    </row>
    <row r="46" spans="1:49" ht="23.25" customHeight="1">
      <c r="A46" s="1062"/>
      <c r="B46" s="2919" t="s">
        <v>2631</v>
      </c>
      <c r="C46" s="1098" t="s">
        <v>295</v>
      </c>
      <c r="D46" s="1064"/>
      <c r="E46" s="1065">
        <v>0</v>
      </c>
      <c r="F46" s="1065">
        <v>0</v>
      </c>
      <c r="G46" s="1065">
        <v>0</v>
      </c>
      <c r="H46" s="1065">
        <v>0</v>
      </c>
      <c r="I46" s="1078">
        <v>0</v>
      </c>
      <c r="J46" s="1078">
        <v>0</v>
      </c>
      <c r="K46" s="1161">
        <v>500000</v>
      </c>
      <c r="L46" s="1078">
        <v>0</v>
      </c>
      <c r="M46" s="1159">
        <v>0</v>
      </c>
      <c r="N46" s="1078"/>
      <c r="O46" s="1078"/>
      <c r="P46" s="1078"/>
      <c r="Q46" s="1078">
        <v>1000000</v>
      </c>
      <c r="R46" s="1078">
        <v>0</v>
      </c>
      <c r="S46" s="1078">
        <v>0</v>
      </c>
      <c r="T46" s="1078">
        <v>0</v>
      </c>
      <c r="U46" s="1069"/>
      <c r="V46" s="1069"/>
      <c r="W46" s="1069"/>
      <c r="X46" s="1069"/>
      <c r="Y46" s="1065">
        <v>1000000</v>
      </c>
      <c r="Z46" s="1078">
        <v>0</v>
      </c>
      <c r="AA46" s="1065">
        <v>517500</v>
      </c>
      <c r="AB46" s="1065"/>
      <c r="AC46" s="1038" t="e">
        <f t="shared" si="11"/>
        <v>#DIV/0!</v>
      </c>
      <c r="AD46" s="1065">
        <v>517500</v>
      </c>
      <c r="AE46" s="1065"/>
      <c r="AF46" s="1116">
        <f t="shared" si="12"/>
        <v>1000000</v>
      </c>
      <c r="AG46" s="1116">
        <v>517500</v>
      </c>
      <c r="AH46" s="1116"/>
      <c r="AI46" s="1116"/>
      <c r="AJ46" s="1127">
        <f t="shared" si="10"/>
        <v>1000000</v>
      </c>
      <c r="AK46" s="1127">
        <v>773750</v>
      </c>
      <c r="AL46" s="1127"/>
      <c r="AM46" s="1127"/>
      <c r="AN46" s="1459">
        <v>1000000</v>
      </c>
      <c r="AO46" s="1459">
        <v>177500</v>
      </c>
      <c r="AP46" s="1459"/>
      <c r="AQ46" s="1168"/>
      <c r="AR46" s="1459">
        <v>435000</v>
      </c>
      <c r="AS46" s="1459"/>
      <c r="AT46" s="1459"/>
      <c r="AU46" s="1459">
        <v>1000000</v>
      </c>
      <c r="AV46" s="1160"/>
      <c r="AW46" s="1459"/>
    </row>
    <row r="47" spans="1:49" ht="23.25" hidden="1" customHeight="1">
      <c r="A47" s="2989"/>
      <c r="B47" s="2990" t="s">
        <v>2632</v>
      </c>
      <c r="C47" s="2991" t="s">
        <v>296</v>
      </c>
      <c r="D47" s="1238" t="s">
        <v>273</v>
      </c>
      <c r="E47" s="1114">
        <v>1600000</v>
      </c>
      <c r="F47" s="1114">
        <v>20900</v>
      </c>
      <c r="G47" s="1114">
        <v>0</v>
      </c>
      <c r="H47" s="1114">
        <v>0</v>
      </c>
      <c r="I47" s="1114">
        <v>0</v>
      </c>
      <c r="J47" s="1128">
        <v>0</v>
      </c>
      <c r="K47" s="2992">
        <v>490000</v>
      </c>
      <c r="L47" s="1114">
        <v>0</v>
      </c>
      <c r="M47" s="1378">
        <v>0</v>
      </c>
      <c r="N47" s="1114"/>
      <c r="O47" s="1114"/>
      <c r="P47" s="1114"/>
      <c r="Q47" s="1241">
        <v>0</v>
      </c>
      <c r="R47" s="1241">
        <v>0</v>
      </c>
      <c r="S47" s="1241"/>
      <c r="T47" s="1128">
        <v>0</v>
      </c>
      <c r="U47" s="2560"/>
      <c r="V47" s="2560"/>
      <c r="W47" s="2560"/>
      <c r="X47" s="2560"/>
      <c r="Y47" s="1114"/>
      <c r="Z47" s="1128">
        <v>0</v>
      </c>
      <c r="AA47" s="1114"/>
      <c r="AB47" s="1114"/>
      <c r="AC47" s="1038" t="e">
        <f t="shared" si="11"/>
        <v>#DIV/0!</v>
      </c>
      <c r="AD47" s="1114"/>
      <c r="AE47" s="1114"/>
      <c r="AF47" s="1241">
        <f t="shared" si="12"/>
        <v>0</v>
      </c>
      <c r="AG47" s="1241"/>
      <c r="AH47" s="1241"/>
      <c r="AI47" s="1241"/>
      <c r="AJ47" s="2993">
        <f t="shared" si="10"/>
        <v>0</v>
      </c>
      <c r="AK47" s="2993"/>
      <c r="AL47" s="2993"/>
      <c r="AM47" s="2993"/>
      <c r="AN47" s="1735"/>
      <c r="AO47" s="1735"/>
      <c r="AP47" s="1735"/>
      <c r="AQ47" s="1735"/>
      <c r="AR47" s="1735"/>
      <c r="AS47" s="1735"/>
      <c r="AT47" s="1735"/>
      <c r="AU47" s="1735"/>
      <c r="AV47" s="1160"/>
      <c r="AW47" s="1459"/>
    </row>
    <row r="48" spans="1:49" ht="20.25" customHeight="1">
      <c r="A48" s="2619"/>
      <c r="B48" s="2619" t="s">
        <v>2633</v>
      </c>
      <c r="C48" s="2994" t="s">
        <v>2569</v>
      </c>
      <c r="D48" s="2995"/>
      <c r="E48" s="2622"/>
      <c r="F48" s="2622"/>
      <c r="G48" s="2622"/>
      <c r="H48" s="2622"/>
      <c r="I48" s="2622"/>
      <c r="J48" s="2996"/>
      <c r="K48" s="2623"/>
      <c r="L48" s="2622"/>
      <c r="M48" s="2997"/>
      <c r="N48" s="2622"/>
      <c r="O48" s="2622"/>
      <c r="P48" s="2622"/>
      <c r="Q48" s="2998"/>
      <c r="R48" s="2998"/>
      <c r="S48" s="2998"/>
      <c r="T48" s="2996"/>
      <c r="U48" s="2998"/>
      <c r="V48" s="2998"/>
      <c r="W48" s="2998"/>
      <c r="X48" s="2998"/>
      <c r="Y48" s="2622"/>
      <c r="Z48" s="2996"/>
      <c r="AA48" s="2622"/>
      <c r="AB48" s="2622"/>
      <c r="AC48" s="2999"/>
      <c r="AD48" s="2622"/>
      <c r="AE48" s="2622"/>
      <c r="AF48" s="2998"/>
      <c r="AG48" s="2998"/>
      <c r="AH48" s="2998"/>
      <c r="AI48" s="2998"/>
      <c r="AJ48" s="3000"/>
      <c r="AK48" s="3000"/>
      <c r="AL48" s="3000"/>
      <c r="AM48" s="3000"/>
      <c r="AN48" s="3001"/>
      <c r="AO48" s="3001"/>
      <c r="AP48" s="3001"/>
      <c r="AQ48" s="3001"/>
      <c r="AR48" s="3001"/>
      <c r="AS48" s="3001"/>
      <c r="AT48" s="3001"/>
      <c r="AU48" s="3001"/>
      <c r="AV48" s="1110"/>
      <c r="AW48" s="1459"/>
    </row>
    <row r="49" spans="1:49" s="1155" customFormat="1" ht="43.5">
      <c r="A49" s="3107"/>
      <c r="B49" s="3108" t="s">
        <v>2634</v>
      </c>
      <c r="C49" s="3109" t="s">
        <v>2570</v>
      </c>
      <c r="D49" s="3110" t="s">
        <v>273</v>
      </c>
      <c r="E49" s="1174">
        <v>1119578.3</v>
      </c>
      <c r="F49" s="1174">
        <v>1267769.98</v>
      </c>
      <c r="G49" s="1174">
        <v>2435370.52</v>
      </c>
      <c r="H49" s="1174">
        <v>2330000</v>
      </c>
      <c r="I49" s="1174">
        <v>2062304</v>
      </c>
      <c r="J49" s="3111">
        <v>0</v>
      </c>
      <c r="K49" s="3112">
        <v>2300000</v>
      </c>
      <c r="L49" s="1174">
        <v>2579759</v>
      </c>
      <c r="M49" s="3111">
        <v>0</v>
      </c>
      <c r="N49" s="1174"/>
      <c r="O49" s="1174"/>
      <c r="P49" s="1174"/>
      <c r="Q49" s="1174">
        <v>2600000</v>
      </c>
      <c r="R49" s="1174">
        <v>2610384.5</v>
      </c>
      <c r="S49" s="1174">
        <f>+R49/Q49*100</f>
        <v>100.39940384615385</v>
      </c>
      <c r="T49" s="3111">
        <v>0</v>
      </c>
      <c r="U49" s="1174"/>
      <c r="V49" s="1174"/>
      <c r="W49" s="1174"/>
      <c r="X49" s="1174"/>
      <c r="Y49" s="3113">
        <v>2800000</v>
      </c>
      <c r="Z49" s="3111">
        <v>0</v>
      </c>
      <c r="AA49" s="3113">
        <v>696030</v>
      </c>
      <c r="AB49" s="3114"/>
      <c r="AC49" s="1366">
        <f>+(Y49-R49)/R49*100</f>
        <v>7.2638915837877533</v>
      </c>
      <c r="AD49" s="3113">
        <v>1416670</v>
      </c>
      <c r="AE49" s="3114"/>
      <c r="AF49" s="3113">
        <f>+Y49</f>
        <v>2800000</v>
      </c>
      <c r="AG49" s="3113">
        <v>2088090</v>
      </c>
      <c r="AH49" s="3113"/>
      <c r="AI49" s="3113"/>
      <c r="AJ49" s="3115">
        <f>+AF49</f>
        <v>2800000</v>
      </c>
      <c r="AK49" s="3115">
        <v>2799920</v>
      </c>
      <c r="AL49" s="3115"/>
      <c r="AM49" s="3115"/>
      <c r="AN49" s="3113">
        <v>2800000</v>
      </c>
      <c r="AO49" s="3113">
        <v>743430</v>
      </c>
      <c r="AP49" s="3113"/>
      <c r="AQ49" s="3113"/>
      <c r="AR49" s="3113">
        <v>1486860</v>
      </c>
      <c r="AS49" s="3113"/>
      <c r="AT49" s="3113"/>
      <c r="AU49" s="3113">
        <v>2800000</v>
      </c>
      <c r="AV49" s="1154"/>
      <c r="AW49" s="1466"/>
    </row>
    <row r="50" spans="1:49" ht="23.25" customHeight="1">
      <c r="A50" s="1223"/>
      <c r="B50" s="2920" t="s">
        <v>2635</v>
      </c>
      <c r="C50" s="3116" t="s">
        <v>2571</v>
      </c>
      <c r="D50" s="1081" t="s">
        <v>273</v>
      </c>
      <c r="E50" s="1082">
        <v>1061000</v>
      </c>
      <c r="F50" s="1082">
        <v>1076000</v>
      </c>
      <c r="G50" s="1082">
        <v>825000</v>
      </c>
      <c r="H50" s="1082">
        <v>900000</v>
      </c>
      <c r="I50" s="1082">
        <v>1150000</v>
      </c>
      <c r="J50" s="1132">
        <v>0</v>
      </c>
      <c r="K50" s="1084">
        <v>930000</v>
      </c>
      <c r="L50" s="1082">
        <v>825000</v>
      </c>
      <c r="M50" s="1312">
        <v>0</v>
      </c>
      <c r="N50" s="1082"/>
      <c r="O50" s="1082"/>
      <c r="P50" s="1082"/>
      <c r="Q50" s="1082">
        <v>900000</v>
      </c>
      <c r="R50" s="1082">
        <v>1050000</v>
      </c>
      <c r="S50" s="1082">
        <f t="shared" ref="S50:S58" si="13">+R50/Q50*100</f>
        <v>116.66666666666667</v>
      </c>
      <c r="T50" s="1132">
        <v>0</v>
      </c>
      <c r="U50" s="1087"/>
      <c r="V50" s="1087"/>
      <c r="W50" s="1087"/>
      <c r="X50" s="1087"/>
      <c r="Y50" s="1082">
        <v>925000</v>
      </c>
      <c r="Z50" s="1132">
        <v>0</v>
      </c>
      <c r="AA50" s="1082">
        <v>75000</v>
      </c>
      <c r="AB50" s="1082"/>
      <c r="AC50" s="1197">
        <f t="shared" si="11"/>
        <v>-11.904761904761903</v>
      </c>
      <c r="AD50" s="1082">
        <v>337500</v>
      </c>
      <c r="AE50" s="1082"/>
      <c r="AF50" s="1226">
        <f t="shared" si="12"/>
        <v>925000</v>
      </c>
      <c r="AG50" s="1226">
        <v>626250</v>
      </c>
      <c r="AH50" s="1226"/>
      <c r="AI50" s="1226"/>
      <c r="AJ50" s="3117">
        <f t="shared" si="10"/>
        <v>925000</v>
      </c>
      <c r="AK50" s="3117">
        <v>862500</v>
      </c>
      <c r="AL50" s="3117"/>
      <c r="AM50" s="3117"/>
      <c r="AN50" s="2628">
        <v>925000</v>
      </c>
      <c r="AO50" s="2628">
        <v>236250</v>
      </c>
      <c r="AP50" s="2628"/>
      <c r="AQ50" s="2628"/>
      <c r="AR50" s="2628">
        <v>472500</v>
      </c>
      <c r="AS50" s="2628"/>
      <c r="AT50" s="2628"/>
      <c r="AU50" s="2628">
        <v>925000</v>
      </c>
      <c r="AV50" s="1160"/>
      <c r="AW50" s="1459"/>
    </row>
    <row r="51" spans="1:49" ht="23.25" customHeight="1">
      <c r="A51" s="1050"/>
      <c r="B51" s="2921" t="s">
        <v>2636</v>
      </c>
      <c r="C51" s="3106" t="s">
        <v>2572</v>
      </c>
      <c r="D51" s="1135" t="s">
        <v>273</v>
      </c>
      <c r="E51" s="1053">
        <v>0</v>
      </c>
      <c r="F51" s="1053">
        <v>22500</v>
      </c>
      <c r="G51" s="1053">
        <v>48500</v>
      </c>
      <c r="H51" s="1053">
        <v>456000</v>
      </c>
      <c r="I51" s="1053">
        <v>418000</v>
      </c>
      <c r="J51" s="1136">
        <v>0</v>
      </c>
      <c r="K51" s="2580">
        <v>456000</v>
      </c>
      <c r="L51" s="1053">
        <v>456000</v>
      </c>
      <c r="M51" s="1311">
        <v>0</v>
      </c>
      <c r="N51" s="1053"/>
      <c r="O51" s="1053"/>
      <c r="P51" s="1053"/>
      <c r="Q51" s="1053">
        <v>456000</v>
      </c>
      <c r="R51" s="1053">
        <v>494000</v>
      </c>
      <c r="S51" s="1053">
        <f t="shared" si="13"/>
        <v>108.33333333333333</v>
      </c>
      <c r="T51" s="1136">
        <v>0</v>
      </c>
      <c r="U51" s="2581"/>
      <c r="V51" s="2581"/>
      <c r="W51" s="2581"/>
      <c r="X51" s="2581"/>
      <c r="Y51" s="1053">
        <v>456000</v>
      </c>
      <c r="Z51" s="1136">
        <v>0</v>
      </c>
      <c r="AA51" s="1053">
        <v>114000</v>
      </c>
      <c r="AB51" s="1053"/>
      <c r="AC51" s="1038">
        <f t="shared" si="11"/>
        <v>-7.6923076923076925</v>
      </c>
      <c r="AD51" s="1053">
        <v>266000</v>
      </c>
      <c r="AE51" s="1053"/>
      <c r="AF51" s="1218">
        <f t="shared" si="12"/>
        <v>456000</v>
      </c>
      <c r="AG51" s="1218">
        <v>342000</v>
      </c>
      <c r="AH51" s="1218"/>
      <c r="AI51" s="1218"/>
      <c r="AJ51" s="2565">
        <f t="shared" si="10"/>
        <v>456000</v>
      </c>
      <c r="AK51" s="2565">
        <v>456000</v>
      </c>
      <c r="AL51" s="2565"/>
      <c r="AM51" s="2565"/>
      <c r="AN51" s="2566">
        <v>456000</v>
      </c>
      <c r="AO51" s="2566">
        <v>38000</v>
      </c>
      <c r="AP51" s="2566"/>
      <c r="AQ51" s="2566"/>
      <c r="AR51" s="2566">
        <v>38000</v>
      </c>
      <c r="AS51" s="2566"/>
      <c r="AT51" s="2566"/>
      <c r="AU51" s="2566">
        <v>456000</v>
      </c>
      <c r="AV51" s="1160"/>
      <c r="AW51" s="1459"/>
    </row>
    <row r="52" spans="1:49" hidden="1">
      <c r="A52" s="1062"/>
      <c r="B52" s="2913" t="s">
        <v>2637</v>
      </c>
      <c r="C52" s="1162" t="s">
        <v>297</v>
      </c>
      <c r="D52" s="1064"/>
      <c r="E52" s="1065"/>
      <c r="F52" s="1065"/>
      <c r="G52" s="1065"/>
      <c r="H52" s="1065"/>
      <c r="I52" s="1065">
        <v>25680</v>
      </c>
      <c r="J52" s="1078">
        <v>0</v>
      </c>
      <c r="K52" s="1066">
        <v>0</v>
      </c>
      <c r="L52" s="1065">
        <v>6420</v>
      </c>
      <c r="M52" s="1159">
        <v>0</v>
      </c>
      <c r="N52" s="1159">
        <v>0</v>
      </c>
      <c r="O52" s="1159">
        <v>0</v>
      </c>
      <c r="P52" s="1159">
        <v>0</v>
      </c>
      <c r="Q52" s="1159">
        <v>0</v>
      </c>
      <c r="R52" s="1159">
        <v>0</v>
      </c>
      <c r="S52" s="1065"/>
      <c r="T52" s="1078">
        <v>0</v>
      </c>
      <c r="U52" s="1069"/>
      <c r="V52" s="1069"/>
      <c r="W52" s="1069"/>
      <c r="X52" s="1069"/>
      <c r="Y52" s="1078">
        <v>0</v>
      </c>
      <c r="Z52" s="1078">
        <v>0</v>
      </c>
      <c r="AA52" s="1075">
        <v>0</v>
      </c>
      <c r="AB52" s="1065"/>
      <c r="AC52" s="1038" t="e">
        <f t="shared" si="11"/>
        <v>#DIV/0!</v>
      </c>
      <c r="AD52" s="1075">
        <v>0</v>
      </c>
      <c r="AE52" s="1065"/>
      <c r="AF52" s="1116">
        <f t="shared" si="12"/>
        <v>0</v>
      </c>
      <c r="AG52" s="1116"/>
      <c r="AH52" s="1116"/>
      <c r="AI52" s="1116"/>
      <c r="AJ52" s="1127">
        <f t="shared" si="10"/>
        <v>0</v>
      </c>
      <c r="AK52" s="1127"/>
      <c r="AL52" s="1127"/>
      <c r="AM52" s="1127"/>
      <c r="AN52" s="1459"/>
      <c r="AO52" s="1459"/>
      <c r="AP52" s="1459"/>
      <c r="AQ52" s="1459"/>
      <c r="AR52" s="1459"/>
      <c r="AS52" s="1459"/>
      <c r="AT52" s="1459"/>
      <c r="AU52" s="1459"/>
      <c r="AV52" s="1160"/>
      <c r="AW52" s="1459"/>
    </row>
    <row r="53" spans="1:49" s="1155" customFormat="1" ht="43.5">
      <c r="A53" s="1151"/>
      <c r="B53" s="2913" t="s">
        <v>2638</v>
      </c>
      <c r="C53" s="1156" t="s">
        <v>2573</v>
      </c>
      <c r="D53" s="1139" t="s">
        <v>273</v>
      </c>
      <c r="E53" s="1116">
        <v>1960000</v>
      </c>
      <c r="F53" s="1116">
        <v>3430000</v>
      </c>
      <c r="G53" s="1116">
        <v>7350000</v>
      </c>
      <c r="H53" s="1116">
        <v>5880000</v>
      </c>
      <c r="I53" s="1116">
        <v>5390000</v>
      </c>
      <c r="J53" s="1078">
        <v>0</v>
      </c>
      <c r="K53" s="1115">
        <v>5880000</v>
      </c>
      <c r="L53" s="1116">
        <v>7333500</v>
      </c>
      <c r="M53" s="1159">
        <v>0</v>
      </c>
      <c r="N53" s="1116"/>
      <c r="O53" s="1116"/>
      <c r="P53" s="1116"/>
      <c r="Q53" s="1116">
        <v>3600000</v>
      </c>
      <c r="R53" s="1116">
        <v>3619500</v>
      </c>
      <c r="S53" s="1116">
        <f t="shared" si="13"/>
        <v>100.54166666666666</v>
      </c>
      <c r="T53" s="1078">
        <v>0</v>
      </c>
      <c r="U53" s="1117"/>
      <c r="V53" s="1117"/>
      <c r="W53" s="1117"/>
      <c r="X53" s="1117"/>
      <c r="Y53" s="1116">
        <v>3600000</v>
      </c>
      <c r="Z53" s="1078">
        <v>0</v>
      </c>
      <c r="AA53" s="1163">
        <v>0</v>
      </c>
      <c r="AB53" s="1116"/>
      <c r="AC53" s="1164">
        <f t="shared" si="11"/>
        <v>-0.53874844591794446</v>
      </c>
      <c r="AD53" s="1163">
        <v>719958</v>
      </c>
      <c r="AE53" s="1116"/>
      <c r="AF53" s="1116">
        <f t="shared" si="12"/>
        <v>3600000</v>
      </c>
      <c r="AG53" s="1116">
        <v>1439916</v>
      </c>
      <c r="AH53" s="1116"/>
      <c r="AI53" s="1116"/>
      <c r="AJ53" s="1127">
        <f t="shared" si="10"/>
        <v>3600000</v>
      </c>
      <c r="AK53" s="1127">
        <v>2159874</v>
      </c>
      <c r="AL53" s="1127"/>
      <c r="AM53" s="1127"/>
      <c r="AN53" s="1458">
        <v>2000000</v>
      </c>
      <c r="AO53" s="1458">
        <v>719958</v>
      </c>
      <c r="AP53" s="1458"/>
      <c r="AQ53" s="1458"/>
      <c r="AR53" s="1458">
        <v>1199930</v>
      </c>
      <c r="AS53" s="1458"/>
      <c r="AT53" s="1458"/>
      <c r="AU53" s="1458">
        <v>2000000</v>
      </c>
      <c r="AV53" s="1158"/>
      <c r="AW53" s="1458"/>
    </row>
    <row r="54" spans="1:49" ht="24" customHeight="1">
      <c r="A54" s="1062"/>
      <c r="B54" s="2913" t="s">
        <v>2639</v>
      </c>
      <c r="C54" s="1162" t="s">
        <v>2574</v>
      </c>
      <c r="D54" s="1064" t="s">
        <v>273</v>
      </c>
      <c r="E54" s="1065">
        <v>0</v>
      </c>
      <c r="F54" s="1065">
        <v>0</v>
      </c>
      <c r="G54" s="1065">
        <v>133803.79999999999</v>
      </c>
      <c r="H54" s="1065">
        <v>2000000</v>
      </c>
      <c r="I54" s="1065">
        <v>1757720.22</v>
      </c>
      <c r="J54" s="1078">
        <v>0</v>
      </c>
      <c r="K54" s="1066">
        <v>2600000</v>
      </c>
      <c r="L54" s="1065">
        <v>2371868.7999999998</v>
      </c>
      <c r="M54" s="1159">
        <v>0</v>
      </c>
      <c r="N54" s="1065"/>
      <c r="O54" s="1065"/>
      <c r="P54" s="1065"/>
      <c r="Q54" s="1065">
        <v>2300000</v>
      </c>
      <c r="R54" s="1065">
        <v>3050239.73</v>
      </c>
      <c r="S54" s="1116">
        <f t="shared" si="13"/>
        <v>132.61911869565216</v>
      </c>
      <c r="T54" s="1078">
        <v>0</v>
      </c>
      <c r="U54" s="1069"/>
      <c r="V54" s="1069"/>
      <c r="W54" s="1069"/>
      <c r="X54" s="1069"/>
      <c r="Y54" s="1065">
        <v>5000000</v>
      </c>
      <c r="Z54" s="1078">
        <v>0</v>
      </c>
      <c r="AA54" s="1065">
        <v>967166.79</v>
      </c>
      <c r="AB54" s="1065"/>
      <c r="AC54" s="1199">
        <f t="shared" si="11"/>
        <v>63.921541996307283</v>
      </c>
      <c r="AD54" s="1065">
        <v>1713106.92</v>
      </c>
      <c r="AE54" s="1065"/>
      <c r="AF54" s="1116">
        <f t="shared" si="12"/>
        <v>5000000</v>
      </c>
      <c r="AG54" s="1116">
        <v>2405650.62</v>
      </c>
      <c r="AH54" s="1116"/>
      <c r="AI54" s="1116"/>
      <c r="AJ54" s="1125">
        <f t="shared" si="10"/>
        <v>5000000</v>
      </c>
      <c r="AK54" s="1125">
        <v>2892246.42</v>
      </c>
      <c r="AL54" s="1125"/>
      <c r="AM54" s="1125"/>
      <c r="AN54" s="1168">
        <v>3000000</v>
      </c>
      <c r="AO54" s="1168">
        <v>708798.42</v>
      </c>
      <c r="AP54" s="1168"/>
      <c r="AQ54" s="1168"/>
      <c r="AR54" s="1168">
        <v>1457441.82</v>
      </c>
      <c r="AS54" s="1168"/>
      <c r="AT54" s="1168"/>
      <c r="AU54" s="1168">
        <v>3000000</v>
      </c>
      <c r="AV54" s="1160"/>
      <c r="AW54" s="1459"/>
    </row>
    <row r="55" spans="1:49" s="1177" customFormat="1" ht="65.25">
      <c r="A55" s="1396"/>
      <c r="B55" s="2913" t="s">
        <v>2640</v>
      </c>
      <c r="C55" s="1397" t="s">
        <v>2575</v>
      </c>
      <c r="D55" s="1398"/>
      <c r="E55" s="1399"/>
      <c r="F55" s="1399"/>
      <c r="G55" s="1399"/>
      <c r="H55" s="1399"/>
      <c r="I55" s="1399"/>
      <c r="J55" s="1399"/>
      <c r="K55" s="1400"/>
      <c r="L55" s="1399"/>
      <c r="M55" s="1399"/>
      <c r="N55" s="1399"/>
      <c r="O55" s="1399"/>
      <c r="P55" s="1399"/>
      <c r="Q55" s="1399"/>
      <c r="R55" s="1399"/>
      <c r="S55" s="1399"/>
      <c r="T55" s="1399"/>
      <c r="U55" s="1399"/>
      <c r="V55" s="1399"/>
      <c r="W55" s="1399"/>
      <c r="X55" s="1399"/>
      <c r="Y55" s="1399">
        <v>4920000</v>
      </c>
      <c r="Z55" s="1401"/>
      <c r="AA55" s="1208">
        <v>0</v>
      </c>
      <c r="AB55" s="1402"/>
      <c r="AC55" s="1209" t="e">
        <f>+(Y55-R55)/R55*100</f>
        <v>#DIV/0!</v>
      </c>
      <c r="AD55" s="1208"/>
      <c r="AE55" s="1402"/>
      <c r="AF55" s="1403">
        <v>4968000</v>
      </c>
      <c r="AG55" s="1163">
        <v>0</v>
      </c>
      <c r="AH55" s="1163"/>
      <c r="AI55" s="1163"/>
      <c r="AJ55" s="1152">
        <f>+AF55</f>
        <v>4968000</v>
      </c>
      <c r="AK55" s="1404">
        <v>0</v>
      </c>
      <c r="AL55" s="1152"/>
      <c r="AM55" s="1152"/>
      <c r="AN55" s="1152">
        <v>4968000</v>
      </c>
      <c r="AO55" s="1675">
        <v>0</v>
      </c>
      <c r="AP55" s="1152"/>
      <c r="AQ55" s="1152"/>
      <c r="AR55" s="1675">
        <v>0</v>
      </c>
      <c r="AS55" s="1152"/>
      <c r="AT55" s="1152"/>
      <c r="AU55" s="1152">
        <v>1555200</v>
      </c>
      <c r="AV55" s="1154"/>
      <c r="AW55" s="1153"/>
    </row>
    <row r="56" spans="1:49" s="2533" customFormat="1">
      <c r="A56" s="2524"/>
      <c r="B56" s="2913" t="s">
        <v>2641</v>
      </c>
      <c r="C56" s="1397" t="s">
        <v>2576</v>
      </c>
      <c r="D56" s="1398"/>
      <c r="E56" s="1399"/>
      <c r="F56" s="1399"/>
      <c r="G56" s="1399"/>
      <c r="H56" s="1399"/>
      <c r="I56" s="1399"/>
      <c r="J56" s="1399"/>
      <c r="K56" s="1400"/>
      <c r="L56" s="1399"/>
      <c r="M56" s="1399"/>
      <c r="N56" s="1399"/>
      <c r="O56" s="1399"/>
      <c r="P56" s="1399"/>
      <c r="Q56" s="1399"/>
      <c r="R56" s="1399"/>
      <c r="S56" s="1399"/>
      <c r="T56" s="1399"/>
      <c r="U56" s="1399"/>
      <c r="V56" s="1399"/>
      <c r="W56" s="1399"/>
      <c r="X56" s="1399"/>
      <c r="Y56" s="1399"/>
      <c r="Z56" s="1399"/>
      <c r="AA56" s="1188"/>
      <c r="AB56" s="2525"/>
      <c r="AC56" s="1189"/>
      <c r="AD56" s="1188"/>
      <c r="AE56" s="2525"/>
      <c r="AF56" s="2526"/>
      <c r="AG56" s="1422"/>
      <c r="AH56" s="1422"/>
      <c r="AI56" s="1422"/>
      <c r="AJ56" s="2527"/>
      <c r="AK56" s="2528"/>
      <c r="AL56" s="2527"/>
      <c r="AM56" s="2527"/>
      <c r="AN56" s="2527"/>
      <c r="AO56" s="2529"/>
      <c r="AP56" s="2527"/>
      <c r="AQ56" s="2527"/>
      <c r="AR56" s="2530"/>
      <c r="AS56" s="2527"/>
      <c r="AT56" s="2527"/>
      <c r="AU56" s="2531">
        <v>400000</v>
      </c>
      <c r="AV56" s="2532"/>
      <c r="AW56" s="2532"/>
    </row>
    <row r="57" spans="1:49" ht="24" customHeight="1">
      <c r="A57" s="2013"/>
      <c r="B57" s="2913" t="s">
        <v>2642</v>
      </c>
      <c r="C57" s="1913" t="s">
        <v>2577</v>
      </c>
      <c r="D57" s="1202"/>
      <c r="E57" s="1203"/>
      <c r="F57" s="1203"/>
      <c r="G57" s="1203"/>
      <c r="H57" s="1203"/>
      <c r="I57" s="1203"/>
      <c r="J57" s="1203"/>
      <c r="K57" s="1204"/>
      <c r="L57" s="1203"/>
      <c r="M57" s="1203"/>
      <c r="N57" s="1203"/>
      <c r="O57" s="1203"/>
      <c r="P57" s="1203"/>
      <c r="Q57" s="1203"/>
      <c r="R57" s="1203"/>
      <c r="S57" s="1203"/>
      <c r="T57" s="1203"/>
      <c r="U57" s="1205"/>
      <c r="V57" s="1205"/>
      <c r="W57" s="1205"/>
      <c r="X57" s="1205"/>
      <c r="Y57" s="1063"/>
      <c r="Z57" s="1203"/>
      <c r="AA57" s="1075"/>
      <c r="AB57" s="1065"/>
      <c r="AC57" s="1145"/>
      <c r="AD57" s="1075"/>
      <c r="AE57" s="1065"/>
      <c r="AF57" s="1195"/>
      <c r="AG57" s="1163"/>
      <c r="AH57" s="1163"/>
      <c r="AI57" s="1163"/>
      <c r="AJ57" s="1193"/>
      <c r="AK57" s="1193"/>
      <c r="AL57" s="1193"/>
      <c r="AM57" s="1193"/>
      <c r="AN57" s="1193"/>
      <c r="AO57" s="1678"/>
      <c r="AP57" s="1163"/>
      <c r="AQ57" s="1750"/>
      <c r="AR57" s="1678"/>
      <c r="AS57" s="1750"/>
      <c r="AT57" s="1750"/>
      <c r="AU57" s="1750">
        <v>1000000</v>
      </c>
      <c r="AV57" s="2026" t="s">
        <v>1961</v>
      </c>
      <c r="AW57" s="2027"/>
    </row>
    <row r="58" spans="1:49" ht="24" customHeight="1">
      <c r="A58" s="1062"/>
      <c r="B58" s="2913" t="s">
        <v>2643</v>
      </c>
      <c r="C58" s="1162" t="s">
        <v>298</v>
      </c>
      <c r="D58" s="1064" t="s">
        <v>273</v>
      </c>
      <c r="E58" s="1065">
        <v>217186.46</v>
      </c>
      <c r="F58" s="1065">
        <v>233038.23</v>
      </c>
      <c r="G58" s="1065">
        <v>390240.77</v>
      </c>
      <c r="H58" s="1065">
        <v>200000</v>
      </c>
      <c r="I58" s="1065">
        <v>263029.53999999998</v>
      </c>
      <c r="J58" s="1078">
        <v>0</v>
      </c>
      <c r="K58" s="1066">
        <v>250000</v>
      </c>
      <c r="L58" s="1065">
        <v>392031.95</v>
      </c>
      <c r="M58" s="1159">
        <v>0</v>
      </c>
      <c r="N58" s="1065"/>
      <c r="O58" s="1065"/>
      <c r="P58" s="1065"/>
      <c r="Q58" s="1065">
        <v>400000</v>
      </c>
      <c r="R58" s="1065">
        <v>389421.15</v>
      </c>
      <c r="S58" s="1116">
        <f t="shared" si="13"/>
        <v>97.355287500000003</v>
      </c>
      <c r="T58" s="1078">
        <v>0</v>
      </c>
      <c r="U58" s="1069"/>
      <c r="V58" s="1069"/>
      <c r="W58" s="1069"/>
      <c r="X58" s="1069"/>
      <c r="Y58" s="1065">
        <v>400000</v>
      </c>
      <c r="Z58" s="1078">
        <v>0</v>
      </c>
      <c r="AA58" s="1075">
        <v>0</v>
      </c>
      <c r="AB58" s="1065"/>
      <c r="AC58" s="1038">
        <f t="shared" si="11"/>
        <v>2.7165576394605111</v>
      </c>
      <c r="AD58" s="1075">
        <v>102656.87</v>
      </c>
      <c r="AE58" s="1065"/>
      <c r="AF58" s="1116">
        <f t="shared" si="12"/>
        <v>400000</v>
      </c>
      <c r="AG58" s="1116">
        <v>619160.85</v>
      </c>
      <c r="AH58" s="1116"/>
      <c r="AI58" s="1116"/>
      <c r="AJ58" s="1127">
        <f t="shared" si="10"/>
        <v>400000</v>
      </c>
      <c r="AK58" s="1127">
        <v>619160.85</v>
      </c>
      <c r="AL58" s="1127"/>
      <c r="AM58" s="1127"/>
      <c r="AN58" s="1459">
        <v>600000</v>
      </c>
      <c r="AO58" s="1459">
        <v>92088.48</v>
      </c>
      <c r="AP58" s="1459"/>
      <c r="AQ58" s="1459"/>
      <c r="AR58" s="1459">
        <v>309715.78000000003</v>
      </c>
      <c r="AS58" s="1459"/>
      <c r="AT58" s="1459"/>
      <c r="AU58" s="1459">
        <v>600000</v>
      </c>
      <c r="AV58" s="1160"/>
      <c r="AW58" s="1459"/>
    </row>
    <row r="59" spans="1:49" hidden="1">
      <c r="A59" s="1062"/>
      <c r="B59" s="2913" t="s">
        <v>2644</v>
      </c>
      <c r="C59" s="1162" t="s">
        <v>299</v>
      </c>
      <c r="D59" s="1064"/>
      <c r="E59" s="1065"/>
      <c r="F59" s="1065"/>
      <c r="G59" s="1065">
        <v>2069890</v>
      </c>
      <c r="H59" s="1065">
        <v>59000000</v>
      </c>
      <c r="I59" s="1065">
        <v>66464640</v>
      </c>
      <c r="J59" s="1065">
        <v>1002724.36</v>
      </c>
      <c r="K59" s="1066">
        <v>0</v>
      </c>
      <c r="L59" s="1065">
        <v>5757300</v>
      </c>
      <c r="M59" s="1159">
        <v>0</v>
      </c>
      <c r="N59" s="1065"/>
      <c r="O59" s="1065"/>
      <c r="P59" s="1065"/>
      <c r="Q59" s="1065">
        <v>0</v>
      </c>
      <c r="R59" s="1065"/>
      <c r="S59" s="1065">
        <v>0</v>
      </c>
      <c r="T59" s="1078">
        <v>0</v>
      </c>
      <c r="U59" s="1069">
        <v>0</v>
      </c>
      <c r="V59" s="1069">
        <v>0</v>
      </c>
      <c r="W59" s="1069"/>
      <c r="X59" s="1069"/>
      <c r="Y59" s="1128">
        <v>0</v>
      </c>
      <c r="Z59" s="1078">
        <v>0</v>
      </c>
      <c r="AA59" s="1075">
        <v>0</v>
      </c>
      <c r="AB59" s="1065"/>
      <c r="AC59" s="1038" t="e">
        <f t="shared" si="11"/>
        <v>#DIV/0!</v>
      </c>
      <c r="AD59" s="1075">
        <v>0</v>
      </c>
      <c r="AE59" s="1065"/>
      <c r="AF59" s="1116">
        <f t="shared" si="12"/>
        <v>0</v>
      </c>
      <c r="AG59" s="1116"/>
      <c r="AH59" s="1116"/>
      <c r="AI59" s="1116"/>
      <c r="AJ59" s="1127">
        <f t="shared" si="10"/>
        <v>0</v>
      </c>
      <c r="AK59" s="1127"/>
      <c r="AL59" s="1127"/>
      <c r="AM59" s="1127"/>
      <c r="AN59" s="1459"/>
      <c r="AO59" s="1459"/>
      <c r="AP59" s="1459"/>
      <c r="AQ59" s="1459"/>
      <c r="AR59" s="1459"/>
      <c r="AS59" s="1459"/>
      <c r="AT59" s="1459"/>
      <c r="AU59" s="1459"/>
      <c r="AV59" s="1160"/>
      <c r="AW59" s="1459"/>
    </row>
    <row r="60" spans="1:49" s="1167" customFormat="1" ht="23.25" hidden="1" customHeight="1">
      <c r="A60" s="1151"/>
      <c r="B60" s="2913" t="s">
        <v>2645</v>
      </c>
      <c r="C60" s="1156" t="s">
        <v>635</v>
      </c>
      <c r="D60" s="1139"/>
      <c r="E60" s="1116">
        <v>0</v>
      </c>
      <c r="F60" s="1116">
        <v>0</v>
      </c>
      <c r="G60" s="1116">
        <v>0</v>
      </c>
      <c r="H60" s="1116">
        <v>0</v>
      </c>
      <c r="I60" s="1116">
        <v>0</v>
      </c>
      <c r="J60" s="1116">
        <v>0</v>
      </c>
      <c r="K60" s="1115">
        <v>0</v>
      </c>
      <c r="L60" s="1116">
        <v>0</v>
      </c>
      <c r="M60" s="1159">
        <v>0</v>
      </c>
      <c r="N60" s="1116"/>
      <c r="O60" s="1116"/>
      <c r="P60" s="1116"/>
      <c r="Q60" s="1116">
        <v>170000</v>
      </c>
      <c r="R60" s="1116"/>
      <c r="S60" s="1116"/>
      <c r="T60" s="1078">
        <v>0</v>
      </c>
      <c r="U60" s="1117"/>
      <c r="V60" s="1117"/>
      <c r="W60" s="1117"/>
      <c r="X60" s="1117"/>
      <c r="Y60" s="1165">
        <v>170000</v>
      </c>
      <c r="Z60" s="1078">
        <v>0</v>
      </c>
      <c r="AA60" s="1075">
        <v>0</v>
      </c>
      <c r="AB60" s="1157"/>
      <c r="AC60" s="1038" t="e">
        <f t="shared" si="11"/>
        <v>#DIV/0!</v>
      </c>
      <c r="AD60" s="1075">
        <v>0</v>
      </c>
      <c r="AE60" s="1157"/>
      <c r="AF60" s="1116">
        <f t="shared" si="12"/>
        <v>170000</v>
      </c>
      <c r="AG60" s="1163">
        <v>0</v>
      </c>
      <c r="AH60" s="1163"/>
      <c r="AI60" s="1163"/>
      <c r="AJ60" s="1127">
        <f t="shared" si="10"/>
        <v>170000</v>
      </c>
      <c r="AK60" s="1166">
        <v>0</v>
      </c>
      <c r="AL60" s="1127"/>
      <c r="AM60" s="1127"/>
      <c r="AN60" s="1467">
        <v>0</v>
      </c>
      <c r="AO60" s="1467">
        <v>0</v>
      </c>
      <c r="AP60" s="1467"/>
      <c r="AQ60" s="1467"/>
      <c r="AR60" s="1467"/>
      <c r="AS60" s="1467"/>
      <c r="AT60" s="1467"/>
      <c r="AU60" s="1467"/>
      <c r="AV60" s="1158"/>
      <c r="AW60" s="1460"/>
    </row>
    <row r="61" spans="1:49" s="1169" customFormat="1" ht="23.25" customHeight="1">
      <c r="A61" s="2989"/>
      <c r="B61" s="3002" t="s">
        <v>2646</v>
      </c>
      <c r="C61" s="2991" t="s">
        <v>300</v>
      </c>
      <c r="D61" s="1238"/>
      <c r="E61" s="1114"/>
      <c r="F61" s="1114"/>
      <c r="G61" s="1114"/>
      <c r="H61" s="1114">
        <v>0</v>
      </c>
      <c r="I61" s="1114">
        <v>0</v>
      </c>
      <c r="J61" s="1114">
        <v>0</v>
      </c>
      <c r="K61" s="2992">
        <v>6000000</v>
      </c>
      <c r="L61" s="1114">
        <v>0</v>
      </c>
      <c r="M61" s="1114">
        <v>1664888.12</v>
      </c>
      <c r="N61" s="1114"/>
      <c r="O61" s="1114"/>
      <c r="P61" s="1114"/>
      <c r="Q61" s="1114">
        <v>3000000</v>
      </c>
      <c r="R61" s="1114"/>
      <c r="S61" s="1114"/>
      <c r="T61" s="1114">
        <f>367930+4065036.63</f>
        <v>4432966.63</v>
      </c>
      <c r="U61" s="3003"/>
      <c r="V61" s="3003"/>
      <c r="W61" s="3003"/>
      <c r="X61" s="3003"/>
      <c r="Y61" s="3004">
        <v>5000000</v>
      </c>
      <c r="Z61" s="1114">
        <f>59920+5308244.03</f>
        <v>5368164.03</v>
      </c>
      <c r="AA61" s="3005">
        <v>0</v>
      </c>
      <c r="AB61" s="1206"/>
      <c r="AC61" s="2020" t="e">
        <f t="shared" si="11"/>
        <v>#DIV/0!</v>
      </c>
      <c r="AD61" s="3005"/>
      <c r="AE61" s="1206"/>
      <c r="AF61" s="1241">
        <f t="shared" si="12"/>
        <v>5000000</v>
      </c>
      <c r="AG61" s="1701">
        <v>0</v>
      </c>
      <c r="AH61" s="1701"/>
      <c r="AI61" s="1701">
        <v>4276537.55</v>
      </c>
      <c r="AJ61" s="3006">
        <f t="shared" si="10"/>
        <v>5000000</v>
      </c>
      <c r="AK61" s="3007">
        <v>0</v>
      </c>
      <c r="AL61" s="3006"/>
      <c r="AM61" s="3006">
        <f>290610+5428480.29</f>
        <v>5719090.29</v>
      </c>
      <c r="AN61" s="3004">
        <v>5000000</v>
      </c>
      <c r="AO61" s="3004">
        <v>843634.33</v>
      </c>
      <c r="AP61" s="3004"/>
      <c r="AQ61" s="1738">
        <f>21400+2504350.59</f>
        <v>2525750.59</v>
      </c>
      <c r="AR61" s="1736">
        <v>3144480.41</v>
      </c>
      <c r="AS61" s="2940"/>
      <c r="AT61" s="2939">
        <v>1159229.48</v>
      </c>
      <c r="AU61" s="2939">
        <v>5000000</v>
      </c>
      <c r="AV61" s="1160"/>
      <c r="AW61" s="1459"/>
    </row>
    <row r="62" spans="1:49" s="1169" customFormat="1" ht="23.25" customHeight="1">
      <c r="A62" s="2619"/>
      <c r="B62" s="2619" t="s">
        <v>2647</v>
      </c>
      <c r="C62" s="2994" t="s">
        <v>2514</v>
      </c>
      <c r="D62" s="2995"/>
      <c r="E62" s="2622"/>
      <c r="F62" s="2622"/>
      <c r="G62" s="2622"/>
      <c r="H62" s="2622"/>
      <c r="I62" s="2622"/>
      <c r="J62" s="2622"/>
      <c r="K62" s="2623"/>
      <c r="L62" s="2622"/>
      <c r="M62" s="2622"/>
      <c r="N62" s="2622"/>
      <c r="O62" s="2622"/>
      <c r="P62" s="2622"/>
      <c r="Q62" s="2622"/>
      <c r="R62" s="2622"/>
      <c r="S62" s="2622"/>
      <c r="T62" s="2622"/>
      <c r="U62" s="2622"/>
      <c r="V62" s="2622"/>
      <c r="W62" s="2622"/>
      <c r="X62" s="2622"/>
      <c r="Y62" s="3001"/>
      <c r="Z62" s="2622"/>
      <c r="AA62" s="3013"/>
      <c r="AB62" s="3014"/>
      <c r="AC62" s="2999"/>
      <c r="AD62" s="3013"/>
      <c r="AE62" s="3014"/>
      <c r="AF62" s="2998"/>
      <c r="AG62" s="3015"/>
      <c r="AH62" s="3015"/>
      <c r="AI62" s="3015"/>
      <c r="AJ62" s="3000"/>
      <c r="AK62" s="3016"/>
      <c r="AL62" s="3000"/>
      <c r="AM62" s="3000"/>
      <c r="AN62" s="3001"/>
      <c r="AO62" s="3001"/>
      <c r="AP62" s="3001"/>
      <c r="AQ62" s="3017"/>
      <c r="AR62" s="3017"/>
      <c r="AS62" s="3018"/>
      <c r="AT62" s="3017"/>
      <c r="AU62" s="3017"/>
      <c r="AV62" s="1110"/>
      <c r="AW62" s="1459"/>
    </row>
    <row r="63" spans="1:49">
      <c r="A63" s="3008"/>
      <c r="B63" s="2921" t="s">
        <v>2648</v>
      </c>
      <c r="C63" s="3009" t="s">
        <v>2515</v>
      </c>
      <c r="D63" s="3010"/>
      <c r="E63" s="1053"/>
      <c r="F63" s="1053"/>
      <c r="G63" s="1053"/>
      <c r="H63" s="1053"/>
      <c r="I63" s="1053"/>
      <c r="J63" s="1053"/>
      <c r="K63" s="2580"/>
      <c r="L63" s="1053"/>
      <c r="M63" s="1053"/>
      <c r="N63" s="1053"/>
      <c r="O63" s="1053"/>
      <c r="P63" s="1053"/>
      <c r="Q63" s="1053">
        <v>1000000</v>
      </c>
      <c r="R63" s="1053"/>
      <c r="S63" s="1053"/>
      <c r="T63" s="1053"/>
      <c r="U63" s="2581"/>
      <c r="V63" s="2581"/>
      <c r="W63" s="2581"/>
      <c r="X63" s="2581"/>
      <c r="Y63" s="1136">
        <v>1000000</v>
      </c>
      <c r="Z63" s="1053"/>
      <c r="AA63" s="2039">
        <v>0</v>
      </c>
      <c r="AB63" s="1053"/>
      <c r="AC63" s="1199" t="e">
        <f>+(Y63-R63)/R63*100</f>
        <v>#DIV/0!</v>
      </c>
      <c r="AD63" s="2039"/>
      <c r="AE63" s="1053"/>
      <c r="AF63" s="1218">
        <f>+Y63</f>
        <v>1000000</v>
      </c>
      <c r="AG63" s="2041">
        <v>0</v>
      </c>
      <c r="AH63" s="2041"/>
      <c r="AI63" s="2041"/>
      <c r="AJ63" s="2536">
        <f t="shared" ref="AJ63:AJ73" si="14">+AF63</f>
        <v>1000000</v>
      </c>
      <c r="AK63" s="3011">
        <v>0</v>
      </c>
      <c r="AL63" s="2536"/>
      <c r="AM63" s="2536"/>
      <c r="AN63" s="3012">
        <v>1000000</v>
      </c>
      <c r="AO63" s="1674">
        <v>0</v>
      </c>
      <c r="AP63" s="3012"/>
      <c r="AQ63" s="3012"/>
      <c r="AR63" s="2242">
        <v>0</v>
      </c>
      <c r="AS63" s="2566"/>
      <c r="AT63" s="2566"/>
      <c r="AU63" s="2566">
        <v>0</v>
      </c>
      <c r="AV63" s="1160" t="s">
        <v>1954</v>
      </c>
      <c r="AW63" s="1461"/>
    </row>
    <row r="64" spans="1:49" s="1155" customFormat="1" ht="23.25" customHeight="1">
      <c r="A64" s="1172"/>
      <c r="B64" s="2913" t="s">
        <v>2649</v>
      </c>
      <c r="C64" s="1180" t="s">
        <v>2516</v>
      </c>
      <c r="D64" s="1173"/>
      <c r="E64" s="1116"/>
      <c r="F64" s="1116"/>
      <c r="G64" s="1116"/>
      <c r="H64" s="1116"/>
      <c r="I64" s="1116"/>
      <c r="J64" s="1116"/>
      <c r="K64" s="1115"/>
      <c r="L64" s="1116"/>
      <c r="M64" s="1116"/>
      <c r="N64" s="1116"/>
      <c r="O64" s="1116"/>
      <c r="P64" s="1116"/>
      <c r="Q64" s="1116"/>
      <c r="R64" s="1116"/>
      <c r="S64" s="1116"/>
      <c r="T64" s="1116"/>
      <c r="U64" s="1116"/>
      <c r="V64" s="1116"/>
      <c r="W64" s="1116"/>
      <c r="X64" s="1116"/>
      <c r="Y64" s="1116">
        <v>300000</v>
      </c>
      <c r="Z64" s="1116"/>
      <c r="AA64" s="1075">
        <v>0</v>
      </c>
      <c r="AB64" s="1116"/>
      <c r="AC64" s="1145" t="e">
        <f>+(Y64-R64)/R64*100</f>
        <v>#DIV/0!</v>
      </c>
      <c r="AD64" s="1075"/>
      <c r="AE64" s="1116"/>
      <c r="AF64" s="1116">
        <f>+Y64</f>
        <v>300000</v>
      </c>
      <c r="AG64" s="1163">
        <v>0</v>
      </c>
      <c r="AH64" s="1163"/>
      <c r="AI64" s="1163"/>
      <c r="AJ64" s="1125">
        <f t="shared" si="14"/>
        <v>300000</v>
      </c>
      <c r="AK64" s="1181">
        <v>0</v>
      </c>
      <c r="AL64" s="1125"/>
      <c r="AM64" s="1125"/>
      <c r="AN64" s="1065">
        <v>300000</v>
      </c>
      <c r="AO64" s="1674">
        <v>0</v>
      </c>
      <c r="AP64" s="1065"/>
      <c r="AQ64" s="1065"/>
      <c r="AR64" s="1678">
        <v>0</v>
      </c>
      <c r="AS64" s="1071"/>
      <c r="AT64" s="1071"/>
      <c r="AU64" s="1071">
        <v>300000</v>
      </c>
      <c r="AV64" s="1071"/>
      <c r="AW64" s="1065"/>
    </row>
    <row r="65" spans="1:49" s="1155" customFormat="1" ht="23.25" customHeight="1">
      <c r="A65" s="1172"/>
      <c r="B65" s="2913" t="s">
        <v>2650</v>
      </c>
      <c r="C65" s="1180" t="s">
        <v>2517</v>
      </c>
      <c r="D65" s="1173"/>
      <c r="E65" s="1116"/>
      <c r="F65" s="1116"/>
      <c r="G65" s="1116"/>
      <c r="H65" s="1116"/>
      <c r="I65" s="1116"/>
      <c r="J65" s="1116"/>
      <c r="K65" s="1115"/>
      <c r="L65" s="1116"/>
      <c r="M65" s="1116"/>
      <c r="N65" s="1116"/>
      <c r="O65" s="1116"/>
      <c r="P65" s="1116"/>
      <c r="Q65" s="1116"/>
      <c r="R65" s="1116"/>
      <c r="S65" s="1116"/>
      <c r="T65" s="1116"/>
      <c r="U65" s="1116"/>
      <c r="V65" s="1116"/>
      <c r="W65" s="1116"/>
      <c r="X65" s="1116"/>
      <c r="Y65" s="1116">
        <v>600000</v>
      </c>
      <c r="Z65" s="1116"/>
      <c r="AA65" s="1075">
        <v>0</v>
      </c>
      <c r="AB65" s="1116"/>
      <c r="AC65" s="1145" t="e">
        <f>+(Y65-R65)/R65*100</f>
        <v>#DIV/0!</v>
      </c>
      <c r="AD65" s="1075"/>
      <c r="AE65" s="1116"/>
      <c r="AF65" s="1116">
        <f>+Y65</f>
        <v>600000</v>
      </c>
      <c r="AG65" s="1163">
        <v>0</v>
      </c>
      <c r="AH65" s="1163"/>
      <c r="AI65" s="1163"/>
      <c r="AJ65" s="1125">
        <f t="shared" si="14"/>
        <v>600000</v>
      </c>
      <c r="AK65" s="1181">
        <v>0</v>
      </c>
      <c r="AL65" s="1125"/>
      <c r="AM65" s="1125"/>
      <c r="AN65" s="1065">
        <v>600000</v>
      </c>
      <c r="AO65" s="1674">
        <v>0</v>
      </c>
      <c r="AP65" s="1065"/>
      <c r="AQ65" s="1065"/>
      <c r="AR65" s="1678">
        <v>0</v>
      </c>
      <c r="AS65" s="1071"/>
      <c r="AT65" s="1071"/>
      <c r="AU65" s="1071">
        <v>600000</v>
      </c>
      <c r="AV65" s="1071"/>
      <c r="AW65" s="1065"/>
    </row>
    <row r="66" spans="1:49" s="1191" customFormat="1" ht="23.25" customHeight="1">
      <c r="A66" s="1182"/>
      <c r="B66" s="2913" t="s">
        <v>2651</v>
      </c>
      <c r="C66" s="1183" t="s">
        <v>2518</v>
      </c>
      <c r="D66" s="1184"/>
      <c r="E66" s="1185"/>
      <c r="F66" s="1185"/>
      <c r="G66" s="1185"/>
      <c r="H66" s="1185"/>
      <c r="I66" s="1185"/>
      <c r="J66" s="1185"/>
      <c r="K66" s="1186"/>
      <c r="L66" s="1185"/>
      <c r="M66" s="1185"/>
      <c r="N66" s="1185"/>
      <c r="O66" s="1185"/>
      <c r="P66" s="1185"/>
      <c r="Q66" s="1185"/>
      <c r="R66" s="1185"/>
      <c r="S66" s="1185"/>
      <c r="T66" s="1185"/>
      <c r="U66" s="1192"/>
      <c r="V66" s="1192"/>
      <c r="W66" s="1192"/>
      <c r="X66" s="1192"/>
      <c r="Y66" s="1187"/>
      <c r="Z66" s="1185"/>
      <c r="AA66" s="1188"/>
      <c r="AB66" s="1185"/>
      <c r="AC66" s="1189" t="e">
        <f>+(AF66-R66)/R66*100</f>
        <v>#DIV/0!</v>
      </c>
      <c r="AD66" s="1188"/>
      <c r="AE66" s="1185"/>
      <c r="AF66" s="1065">
        <v>450000</v>
      </c>
      <c r="AG66" s="1163">
        <v>0</v>
      </c>
      <c r="AH66" s="1163"/>
      <c r="AI66" s="1163"/>
      <c r="AJ66" s="1127">
        <f t="shared" si="14"/>
        <v>450000</v>
      </c>
      <c r="AK66" s="1166">
        <v>0</v>
      </c>
      <c r="AL66" s="1127"/>
      <c r="AM66" s="1127"/>
      <c r="AN66" s="1071">
        <v>450000</v>
      </c>
      <c r="AO66" s="1674">
        <v>0</v>
      </c>
      <c r="AP66" s="1071"/>
      <c r="AQ66" s="1071"/>
      <c r="AR66" s="1678">
        <v>0</v>
      </c>
      <c r="AS66" s="1071"/>
      <c r="AT66" s="1071"/>
      <c r="AU66" s="1071">
        <v>450000</v>
      </c>
      <c r="AV66" s="1190"/>
      <c r="AW66" s="1190"/>
    </row>
    <row r="67" spans="1:49" s="1191" customFormat="1" ht="23.25" customHeight="1">
      <c r="A67" s="1182"/>
      <c r="B67" s="2913" t="s">
        <v>2652</v>
      </c>
      <c r="C67" s="1183" t="s">
        <v>2519</v>
      </c>
      <c r="D67" s="1184"/>
      <c r="E67" s="1185"/>
      <c r="F67" s="1185"/>
      <c r="G67" s="1185"/>
      <c r="H67" s="1185"/>
      <c r="I67" s="1185"/>
      <c r="J67" s="1185"/>
      <c r="K67" s="1186"/>
      <c r="L67" s="1185"/>
      <c r="M67" s="1185"/>
      <c r="N67" s="1185"/>
      <c r="O67" s="1185"/>
      <c r="P67" s="1185"/>
      <c r="Q67" s="1185"/>
      <c r="R67" s="1185"/>
      <c r="S67" s="1185"/>
      <c r="T67" s="1185"/>
      <c r="U67" s="1192"/>
      <c r="V67" s="1192"/>
      <c r="W67" s="1192"/>
      <c r="X67" s="1192"/>
      <c r="Y67" s="1187"/>
      <c r="Z67" s="1185"/>
      <c r="AA67" s="1188"/>
      <c r="AB67" s="1185"/>
      <c r="AC67" s="1189"/>
      <c r="AD67" s="1188"/>
      <c r="AE67" s="1185"/>
      <c r="AF67" s="1065">
        <v>490000</v>
      </c>
      <c r="AG67" s="1163">
        <v>0</v>
      </c>
      <c r="AH67" s="1163"/>
      <c r="AI67" s="1163"/>
      <c r="AJ67" s="1127">
        <f t="shared" si="14"/>
        <v>490000</v>
      </c>
      <c r="AK67" s="1166">
        <v>0</v>
      </c>
      <c r="AL67" s="1127"/>
      <c r="AM67" s="1127"/>
      <c r="AN67" s="1071">
        <v>490000</v>
      </c>
      <c r="AO67" s="1674">
        <v>0</v>
      </c>
      <c r="AP67" s="1071"/>
      <c r="AQ67" s="1071"/>
      <c r="AR67" s="1678">
        <v>0</v>
      </c>
      <c r="AS67" s="1071"/>
      <c r="AT67" s="1071"/>
      <c r="AU67" s="1071">
        <v>490000</v>
      </c>
      <c r="AV67" s="1190"/>
      <c r="AW67" s="1190"/>
    </row>
    <row r="68" spans="1:49" s="1191" customFormat="1" ht="23.25" customHeight="1">
      <c r="A68" s="1182"/>
      <c r="B68" s="2913" t="s">
        <v>2653</v>
      </c>
      <c r="C68" s="1183" t="s">
        <v>2520</v>
      </c>
      <c r="D68" s="1184"/>
      <c r="E68" s="1185"/>
      <c r="F68" s="1185"/>
      <c r="G68" s="1185"/>
      <c r="H68" s="1185"/>
      <c r="I68" s="1185"/>
      <c r="J68" s="1185"/>
      <c r="K68" s="1186"/>
      <c r="L68" s="1185"/>
      <c r="M68" s="1185"/>
      <c r="N68" s="1185"/>
      <c r="O68" s="1185"/>
      <c r="P68" s="1185"/>
      <c r="Q68" s="1185"/>
      <c r="R68" s="1185"/>
      <c r="S68" s="1185"/>
      <c r="T68" s="1185"/>
      <c r="U68" s="1192"/>
      <c r="V68" s="1192"/>
      <c r="W68" s="1192"/>
      <c r="X68" s="1192"/>
      <c r="Y68" s="1187"/>
      <c r="Z68" s="1185"/>
      <c r="AA68" s="1188"/>
      <c r="AB68" s="1185"/>
      <c r="AC68" s="1189"/>
      <c r="AD68" s="1188"/>
      <c r="AE68" s="1185"/>
      <c r="AF68" s="1065">
        <v>100000</v>
      </c>
      <c r="AG68" s="1163">
        <v>0</v>
      </c>
      <c r="AH68" s="1163"/>
      <c r="AI68" s="1163"/>
      <c r="AJ68" s="1125">
        <f t="shared" si="14"/>
        <v>100000</v>
      </c>
      <c r="AK68" s="1181">
        <v>0</v>
      </c>
      <c r="AL68" s="1125"/>
      <c r="AM68" s="1125"/>
      <c r="AN68" s="1065">
        <v>100000</v>
      </c>
      <c r="AO68" s="1676">
        <v>0</v>
      </c>
      <c r="AP68" s="1065"/>
      <c r="AQ68" s="1065"/>
      <c r="AR68" s="1676">
        <v>0</v>
      </c>
      <c r="AS68" s="1065"/>
      <c r="AT68" s="1065"/>
      <c r="AU68" s="1065">
        <v>100000</v>
      </c>
      <c r="AV68" s="1190"/>
      <c r="AW68" s="1190"/>
    </row>
    <row r="69" spans="1:49" s="1191" customFormat="1" ht="23.25" customHeight="1">
      <c r="A69" s="1182"/>
      <c r="B69" s="2913" t="s">
        <v>2654</v>
      </c>
      <c r="C69" s="1183" t="s">
        <v>2521</v>
      </c>
      <c r="D69" s="1184"/>
      <c r="E69" s="1185"/>
      <c r="F69" s="1185"/>
      <c r="G69" s="1185"/>
      <c r="H69" s="1185"/>
      <c r="I69" s="1185"/>
      <c r="J69" s="1185"/>
      <c r="K69" s="1186"/>
      <c r="L69" s="1185"/>
      <c r="M69" s="1185"/>
      <c r="N69" s="1185"/>
      <c r="O69" s="1185"/>
      <c r="P69" s="1185"/>
      <c r="Q69" s="1185"/>
      <c r="R69" s="1185"/>
      <c r="S69" s="1185"/>
      <c r="T69" s="1185"/>
      <c r="U69" s="1192"/>
      <c r="V69" s="1192"/>
      <c r="W69" s="1192"/>
      <c r="X69" s="1192"/>
      <c r="Y69" s="1187"/>
      <c r="Z69" s="1185"/>
      <c r="AA69" s="1188"/>
      <c r="AB69" s="1185"/>
      <c r="AC69" s="1189"/>
      <c r="AD69" s="1188"/>
      <c r="AE69" s="1185"/>
      <c r="AF69" s="1065">
        <v>140000</v>
      </c>
      <c r="AG69" s="1163">
        <v>0</v>
      </c>
      <c r="AH69" s="1163"/>
      <c r="AI69" s="1163"/>
      <c r="AJ69" s="1125">
        <f t="shared" si="14"/>
        <v>140000</v>
      </c>
      <c r="AK69" s="1181">
        <v>0</v>
      </c>
      <c r="AL69" s="1125"/>
      <c r="AM69" s="1125"/>
      <c r="AN69" s="1065">
        <v>140000</v>
      </c>
      <c r="AO69" s="1676">
        <v>0</v>
      </c>
      <c r="AP69" s="1065"/>
      <c r="AQ69" s="1065"/>
      <c r="AR69" s="1676">
        <v>0</v>
      </c>
      <c r="AS69" s="1065"/>
      <c r="AT69" s="1065"/>
      <c r="AU69" s="1065">
        <v>140000</v>
      </c>
      <c r="AV69" s="1190"/>
      <c r="AW69" s="1190"/>
    </row>
    <row r="70" spans="1:49" s="1191" customFormat="1" ht="43.5">
      <c r="A70" s="1182"/>
      <c r="B70" s="2913" t="s">
        <v>2655</v>
      </c>
      <c r="C70" s="1183" t="s">
        <v>2534</v>
      </c>
      <c r="D70" s="1184"/>
      <c r="E70" s="1185"/>
      <c r="F70" s="1185"/>
      <c r="G70" s="1185"/>
      <c r="H70" s="1185"/>
      <c r="I70" s="1185"/>
      <c r="J70" s="1185"/>
      <c r="K70" s="1186"/>
      <c r="L70" s="1185"/>
      <c r="M70" s="1185"/>
      <c r="N70" s="1185"/>
      <c r="O70" s="1185"/>
      <c r="P70" s="1185"/>
      <c r="Q70" s="1185"/>
      <c r="R70" s="1185"/>
      <c r="S70" s="1185"/>
      <c r="T70" s="1185"/>
      <c r="U70" s="1192"/>
      <c r="V70" s="1192"/>
      <c r="W70" s="1192"/>
      <c r="X70" s="1192"/>
      <c r="Y70" s="1187"/>
      <c r="Z70" s="1185"/>
      <c r="AA70" s="1188"/>
      <c r="AB70" s="1185"/>
      <c r="AC70" s="1189"/>
      <c r="AD70" s="1188"/>
      <c r="AE70" s="1185"/>
      <c r="AF70" s="1065" t="s">
        <v>986</v>
      </c>
      <c r="AG70" s="1163">
        <v>0</v>
      </c>
      <c r="AH70" s="1163"/>
      <c r="AI70" s="1163"/>
      <c r="AJ70" s="1163" t="str">
        <f t="shared" si="14"/>
        <v>รวมในงบ 25 ล้านบาท</v>
      </c>
      <c r="AK70" s="1405">
        <v>0</v>
      </c>
      <c r="AL70" s="1163"/>
      <c r="AM70" s="1163"/>
      <c r="AN70" s="1157"/>
      <c r="AO70" s="1685">
        <v>0</v>
      </c>
      <c r="AP70" s="1157"/>
      <c r="AQ70" s="1157"/>
      <c r="AR70" s="1912">
        <v>0</v>
      </c>
      <c r="AS70" s="1158"/>
      <c r="AT70" s="1158"/>
      <c r="AU70" s="1157"/>
      <c r="AV70" s="1766" t="s">
        <v>1256</v>
      </c>
      <c r="AW70" s="1415"/>
    </row>
    <row r="71" spans="1:49" s="1155" customFormat="1" ht="22.5" customHeight="1">
      <c r="A71" s="1679"/>
      <c r="B71" s="2913" t="s">
        <v>2656</v>
      </c>
      <c r="C71" s="1575" t="s">
        <v>2522</v>
      </c>
      <c r="D71" s="1680"/>
      <c r="E71" s="1681"/>
      <c r="F71" s="1681"/>
      <c r="G71" s="1681"/>
      <c r="H71" s="1681"/>
      <c r="I71" s="1681"/>
      <c r="J71" s="1681"/>
      <c r="K71" s="1682"/>
      <c r="L71" s="1681"/>
      <c r="M71" s="1681"/>
      <c r="N71" s="1681"/>
      <c r="O71" s="1681"/>
      <c r="P71" s="1681"/>
      <c r="Q71" s="1681"/>
      <c r="R71" s="1681"/>
      <c r="S71" s="1681"/>
      <c r="T71" s="1681"/>
      <c r="U71" s="1683"/>
      <c r="V71" s="1683"/>
      <c r="W71" s="1683"/>
      <c r="X71" s="1683"/>
      <c r="Y71" s="1684"/>
      <c r="Z71" s="1681"/>
      <c r="AA71" s="1576"/>
      <c r="AB71" s="1681"/>
      <c r="AC71" s="1196"/>
      <c r="AD71" s="1576"/>
      <c r="AE71" s="1681"/>
      <c r="AF71" s="1681">
        <v>150000</v>
      </c>
      <c r="AG71" s="1576">
        <v>0</v>
      </c>
      <c r="AH71" s="1576"/>
      <c r="AI71" s="1576"/>
      <c r="AJ71" s="1576">
        <f t="shared" si="14"/>
        <v>150000</v>
      </c>
      <c r="AK71" s="1577">
        <v>0</v>
      </c>
      <c r="AL71" s="1576"/>
      <c r="AM71" s="1576"/>
      <c r="AN71" s="1681">
        <v>150000</v>
      </c>
      <c r="AO71" s="1676">
        <v>0</v>
      </c>
      <c r="AP71" s="1681"/>
      <c r="AQ71" s="1681"/>
      <c r="AR71" s="1678">
        <v>0</v>
      </c>
      <c r="AS71" s="1704"/>
      <c r="AT71" s="1704"/>
      <c r="AU71" s="1681">
        <v>150000</v>
      </c>
      <c r="AV71" s="1704"/>
      <c r="AW71" s="1118"/>
    </row>
    <row r="72" spans="1:49" s="1191" customFormat="1" ht="22.5" customHeight="1">
      <c r="A72" s="1182"/>
      <c r="B72" s="2913" t="s">
        <v>2657</v>
      </c>
      <c r="C72" s="1183" t="s">
        <v>2523</v>
      </c>
      <c r="D72" s="1184"/>
      <c r="E72" s="1185"/>
      <c r="F72" s="1185"/>
      <c r="G72" s="1185"/>
      <c r="H72" s="1185"/>
      <c r="I72" s="1185"/>
      <c r="J72" s="1185"/>
      <c r="K72" s="1186"/>
      <c r="L72" s="1185"/>
      <c r="M72" s="1185"/>
      <c r="N72" s="1185"/>
      <c r="O72" s="1185"/>
      <c r="P72" s="1185"/>
      <c r="Q72" s="1185"/>
      <c r="R72" s="1185"/>
      <c r="S72" s="1185"/>
      <c r="T72" s="1185"/>
      <c r="U72" s="1192"/>
      <c r="V72" s="1192"/>
      <c r="W72" s="1192"/>
      <c r="X72" s="1192"/>
      <c r="Y72" s="1187"/>
      <c r="Z72" s="1185"/>
      <c r="AA72" s="1188"/>
      <c r="AB72" s="1185"/>
      <c r="AC72" s="1189"/>
      <c r="AD72" s="1188"/>
      <c r="AE72" s="1185"/>
      <c r="AF72" s="1065">
        <v>445000</v>
      </c>
      <c r="AG72" s="1163">
        <v>0</v>
      </c>
      <c r="AH72" s="1163"/>
      <c r="AI72" s="1163"/>
      <c r="AJ72" s="1163">
        <f t="shared" si="14"/>
        <v>445000</v>
      </c>
      <c r="AK72" s="1405">
        <v>0</v>
      </c>
      <c r="AL72" s="1163"/>
      <c r="AM72" s="1163"/>
      <c r="AN72" s="1260">
        <v>445000</v>
      </c>
      <c r="AO72" s="1260">
        <v>445000</v>
      </c>
      <c r="AP72" s="1260"/>
      <c r="AQ72" s="1260"/>
      <c r="AR72" s="1260">
        <v>445000</v>
      </c>
      <c r="AS72" s="1260"/>
      <c r="AT72" s="1260"/>
      <c r="AU72" s="1260">
        <v>445000</v>
      </c>
      <c r="AV72" s="1702"/>
      <c r="AW72" s="1415"/>
    </row>
    <row r="73" spans="1:49" ht="22.5" customHeight="1">
      <c r="A73" s="3030"/>
      <c r="B73" s="2920" t="s">
        <v>2658</v>
      </c>
      <c r="C73" s="3031" t="s">
        <v>2524</v>
      </c>
      <c r="D73" s="3032"/>
      <c r="E73" s="3033"/>
      <c r="F73" s="3033"/>
      <c r="G73" s="3033"/>
      <c r="H73" s="3033"/>
      <c r="I73" s="3033"/>
      <c r="J73" s="3033"/>
      <c r="K73" s="3034"/>
      <c r="L73" s="3033"/>
      <c r="M73" s="3033"/>
      <c r="N73" s="3033"/>
      <c r="O73" s="3033"/>
      <c r="P73" s="3033"/>
      <c r="Q73" s="3033"/>
      <c r="R73" s="3033"/>
      <c r="S73" s="3033"/>
      <c r="T73" s="3033"/>
      <c r="U73" s="3035"/>
      <c r="V73" s="3035"/>
      <c r="W73" s="3035"/>
      <c r="X73" s="3035"/>
      <c r="Y73" s="3036"/>
      <c r="Z73" s="3033"/>
      <c r="AA73" s="3037"/>
      <c r="AB73" s="3033"/>
      <c r="AC73" s="1197"/>
      <c r="AD73" s="3037"/>
      <c r="AE73" s="3033"/>
      <c r="AF73" s="2598">
        <v>200000</v>
      </c>
      <c r="AG73" s="3038">
        <v>0</v>
      </c>
      <c r="AH73" s="3038"/>
      <c r="AI73" s="3038"/>
      <c r="AJ73" s="3038">
        <f t="shared" si="14"/>
        <v>200000</v>
      </c>
      <c r="AK73" s="3039">
        <v>0</v>
      </c>
      <c r="AL73" s="3038"/>
      <c r="AM73" s="3038"/>
      <c r="AN73" s="3033">
        <v>200000</v>
      </c>
      <c r="AO73" s="3040">
        <v>0</v>
      </c>
      <c r="AP73" s="3033"/>
      <c r="AQ73" s="3033"/>
      <c r="AR73" s="3040">
        <v>0</v>
      </c>
      <c r="AS73" s="3033"/>
      <c r="AT73" s="3033"/>
      <c r="AU73" s="3033">
        <v>200000</v>
      </c>
      <c r="AV73" s="1703"/>
      <c r="AW73" s="1082"/>
    </row>
    <row r="74" spans="1:49" ht="24" customHeight="1">
      <c r="A74" s="3008"/>
      <c r="B74" s="2921" t="s">
        <v>2659</v>
      </c>
      <c r="C74" s="3019" t="s">
        <v>2525</v>
      </c>
      <c r="D74" s="3020"/>
      <c r="E74" s="3021"/>
      <c r="F74" s="3021"/>
      <c r="G74" s="3021"/>
      <c r="H74" s="3021"/>
      <c r="I74" s="3021"/>
      <c r="J74" s="3021"/>
      <c r="K74" s="3022"/>
      <c r="L74" s="3021"/>
      <c r="M74" s="3021"/>
      <c r="N74" s="3021"/>
      <c r="O74" s="3021"/>
      <c r="P74" s="3021"/>
      <c r="Q74" s="3021"/>
      <c r="R74" s="3021"/>
      <c r="S74" s="3021"/>
      <c r="T74" s="3021"/>
      <c r="U74" s="3023"/>
      <c r="V74" s="3023"/>
      <c r="W74" s="3023"/>
      <c r="X74" s="3023"/>
      <c r="Y74" s="3024"/>
      <c r="Z74" s="3021"/>
      <c r="AA74" s="3025"/>
      <c r="AB74" s="3021"/>
      <c r="AC74" s="3026"/>
      <c r="AD74" s="3025"/>
      <c r="AE74" s="3021"/>
      <c r="AF74" s="2591"/>
      <c r="AG74" s="2589"/>
      <c r="AH74" s="2589"/>
      <c r="AI74" s="2589"/>
      <c r="AJ74" s="3024"/>
      <c r="AK74" s="3027"/>
      <c r="AL74" s="3027"/>
      <c r="AM74" s="3027"/>
      <c r="AN74" s="3028">
        <v>650000</v>
      </c>
      <c r="AO74" s="1674">
        <v>0</v>
      </c>
      <c r="AP74" s="3028"/>
      <c r="AQ74" s="3028"/>
      <c r="AR74" s="2242">
        <v>0</v>
      </c>
      <c r="AS74" s="3029"/>
      <c r="AT74" s="3029"/>
      <c r="AU74" s="3028">
        <v>650000</v>
      </c>
      <c r="AV74" s="1707"/>
      <c r="AW74" s="1470"/>
    </row>
    <row r="75" spans="1:49" ht="23.25" customHeight="1">
      <c r="A75" s="1170"/>
      <c r="B75" s="2913" t="s">
        <v>2660</v>
      </c>
      <c r="C75" s="1201" t="s">
        <v>2526</v>
      </c>
      <c r="D75" s="1202"/>
      <c r="E75" s="1203"/>
      <c r="F75" s="1203"/>
      <c r="G75" s="1203"/>
      <c r="H75" s="1203"/>
      <c r="I75" s="1203"/>
      <c r="J75" s="1203"/>
      <c r="K75" s="1204"/>
      <c r="L75" s="1203"/>
      <c r="M75" s="1203"/>
      <c r="N75" s="1203"/>
      <c r="O75" s="1203"/>
      <c r="P75" s="1203"/>
      <c r="Q75" s="1203"/>
      <c r="R75" s="1203"/>
      <c r="S75" s="1203"/>
      <c r="T75" s="1203"/>
      <c r="U75" s="1203"/>
      <c r="V75" s="1203"/>
      <c r="W75" s="1203"/>
      <c r="X75" s="1203"/>
      <c r="Y75" s="1063"/>
      <c r="Z75" s="1203"/>
      <c r="AA75" s="1075"/>
      <c r="AB75" s="1065"/>
      <c r="AC75" s="1145"/>
      <c r="AD75" s="1075"/>
      <c r="AE75" s="1065"/>
      <c r="AF75" s="1195"/>
      <c r="AG75" s="1163"/>
      <c r="AH75" s="1163"/>
      <c r="AI75" s="1163"/>
      <c r="AJ75" s="1163"/>
      <c r="AK75" s="1163"/>
      <c r="AL75" s="1163"/>
      <c r="AM75" s="1163"/>
      <c r="AN75" s="1422">
        <v>1284000</v>
      </c>
      <c r="AO75" s="1311">
        <v>0</v>
      </c>
      <c r="AP75" s="1163"/>
      <c r="AQ75" s="1063"/>
      <c r="AR75" s="1318">
        <v>0</v>
      </c>
      <c r="AS75" s="1750"/>
      <c r="AT75" s="1750"/>
      <c r="AU75" s="1751">
        <v>1861800</v>
      </c>
      <c r="AV75" s="1708"/>
      <c r="AW75" s="1578"/>
    </row>
    <row r="76" spans="1:49" ht="24" customHeight="1">
      <c r="A76" s="1170"/>
      <c r="B76" s="2913" t="s">
        <v>2661</v>
      </c>
      <c r="C76" s="1201" t="s">
        <v>2527</v>
      </c>
      <c r="D76" s="1202"/>
      <c r="E76" s="1203"/>
      <c r="F76" s="1203"/>
      <c r="G76" s="1203"/>
      <c r="H76" s="1203"/>
      <c r="I76" s="1203"/>
      <c r="J76" s="1203"/>
      <c r="K76" s="1204"/>
      <c r="L76" s="1203"/>
      <c r="M76" s="1203"/>
      <c r="N76" s="1203"/>
      <c r="O76" s="1203"/>
      <c r="P76" s="1203"/>
      <c r="Q76" s="1203"/>
      <c r="R76" s="1203"/>
      <c r="S76" s="1203"/>
      <c r="T76" s="1203"/>
      <c r="U76" s="1205"/>
      <c r="V76" s="1205"/>
      <c r="W76" s="1205"/>
      <c r="X76" s="1205"/>
      <c r="Y76" s="1063"/>
      <c r="Z76" s="1203"/>
      <c r="AA76" s="1075"/>
      <c r="AB76" s="1065"/>
      <c r="AC76" s="1145"/>
      <c r="AD76" s="1075"/>
      <c r="AE76" s="1065"/>
      <c r="AF76" s="1195"/>
      <c r="AG76" s="1163"/>
      <c r="AH76" s="1163"/>
      <c r="AI76" s="1163"/>
      <c r="AJ76" s="1163"/>
      <c r="AK76" s="1163"/>
      <c r="AL76" s="1163"/>
      <c r="AM76" s="1163"/>
      <c r="AN76" s="1163">
        <v>480000</v>
      </c>
      <c r="AO76" s="1674">
        <v>0</v>
      </c>
      <c r="AP76" s="1163"/>
      <c r="AQ76" s="1163"/>
      <c r="AR76" s="1678">
        <v>0</v>
      </c>
      <c r="AS76" s="1193"/>
      <c r="AT76" s="1193"/>
      <c r="AU76" s="1163">
        <v>480000</v>
      </c>
      <c r="AV76" s="1708"/>
      <c r="AW76" s="1471"/>
    </row>
    <row r="77" spans="1:49" s="2006" customFormat="1" ht="24" hidden="1" customHeight="1">
      <c r="A77" s="1990"/>
      <c r="B77" s="2913" t="s">
        <v>2662</v>
      </c>
      <c r="C77" s="2000" t="s">
        <v>1435</v>
      </c>
      <c r="D77" s="1991"/>
      <c r="E77" s="1992"/>
      <c r="F77" s="1992"/>
      <c r="G77" s="1992"/>
      <c r="H77" s="1992"/>
      <c r="I77" s="1992"/>
      <c r="J77" s="1992"/>
      <c r="K77" s="1993"/>
      <c r="L77" s="1992"/>
      <c r="M77" s="1992"/>
      <c r="N77" s="1992"/>
      <c r="O77" s="1992"/>
      <c r="P77" s="1992"/>
      <c r="Q77" s="1992"/>
      <c r="R77" s="1992"/>
      <c r="S77" s="1992"/>
      <c r="T77" s="1992"/>
      <c r="U77" s="1992"/>
      <c r="V77" s="1992"/>
      <c r="W77" s="1992"/>
      <c r="X77" s="1992"/>
      <c r="Y77" s="1994"/>
      <c r="Z77" s="1992"/>
      <c r="AA77" s="1995"/>
      <c r="AB77" s="1265"/>
      <c r="AC77" s="1996"/>
      <c r="AD77" s="1995"/>
      <c r="AE77" s="1265"/>
      <c r="AF77" s="1997"/>
      <c r="AG77" s="1998"/>
      <c r="AH77" s="1998"/>
      <c r="AI77" s="1998"/>
      <c r="AJ77" s="1998"/>
      <c r="AK77" s="1998"/>
      <c r="AL77" s="1998"/>
      <c r="AM77" s="1998"/>
      <c r="AN77" s="1998"/>
      <c r="AO77" s="2001">
        <v>0</v>
      </c>
      <c r="AP77" s="1998"/>
      <c r="AQ77" s="1999"/>
      <c r="AR77" s="2002">
        <v>0</v>
      </c>
      <c r="AS77" s="2003"/>
      <c r="AT77" s="2003"/>
      <c r="AU77" s="2003"/>
      <c r="AV77" s="2004"/>
      <c r="AW77" s="2005"/>
    </row>
    <row r="78" spans="1:49" s="1270" customFormat="1" ht="24" customHeight="1">
      <c r="A78" s="1170"/>
      <c r="B78" s="2913" t="s">
        <v>2663</v>
      </c>
      <c r="C78" s="1201" t="s">
        <v>2528</v>
      </c>
      <c r="D78" s="1202"/>
      <c r="E78" s="1203"/>
      <c r="F78" s="1203"/>
      <c r="G78" s="1203"/>
      <c r="H78" s="1203"/>
      <c r="I78" s="1203"/>
      <c r="J78" s="1203"/>
      <c r="K78" s="1204"/>
      <c r="L78" s="1203"/>
      <c r="M78" s="1203"/>
      <c r="N78" s="1203"/>
      <c r="O78" s="1203"/>
      <c r="P78" s="1203"/>
      <c r="Q78" s="1203"/>
      <c r="R78" s="1203"/>
      <c r="S78" s="1203"/>
      <c r="T78" s="1203"/>
      <c r="U78" s="1203"/>
      <c r="V78" s="1203"/>
      <c r="W78" s="1203"/>
      <c r="X78" s="1203"/>
      <c r="Y78" s="1063"/>
      <c r="Z78" s="1203"/>
      <c r="AA78" s="1075"/>
      <c r="AB78" s="1065"/>
      <c r="AC78" s="1145"/>
      <c r="AD78" s="1075"/>
      <c r="AE78" s="1065"/>
      <c r="AF78" s="1195"/>
      <c r="AG78" s="1163"/>
      <c r="AH78" s="1163"/>
      <c r="AI78" s="1163"/>
      <c r="AJ78" s="1163"/>
      <c r="AK78" s="1163"/>
      <c r="AL78" s="1163"/>
      <c r="AM78" s="1163"/>
      <c r="AN78" s="1163">
        <v>450000</v>
      </c>
      <c r="AO78" s="1674">
        <v>0</v>
      </c>
      <c r="AP78" s="1163"/>
      <c r="AQ78" s="1163"/>
      <c r="AR78" s="1678">
        <v>0</v>
      </c>
      <c r="AS78" s="1193"/>
      <c r="AT78" s="1193"/>
      <c r="AU78" s="1163">
        <v>450000</v>
      </c>
      <c r="AV78" s="1708"/>
      <c r="AW78" s="1578"/>
    </row>
    <row r="79" spans="1:49" s="1063" customFormat="1">
      <c r="A79" s="1170"/>
      <c r="B79" s="2913" t="s">
        <v>2664</v>
      </c>
      <c r="C79" s="1201" t="s">
        <v>2529</v>
      </c>
      <c r="D79" s="1202"/>
      <c r="E79" s="1203"/>
      <c r="F79" s="1203"/>
      <c r="G79" s="1203"/>
      <c r="H79" s="1203"/>
      <c r="I79" s="1203"/>
      <c r="J79" s="1203"/>
      <c r="K79" s="1204"/>
      <c r="L79" s="1203"/>
      <c r="M79" s="1203"/>
      <c r="N79" s="1203"/>
      <c r="O79" s="1203"/>
      <c r="P79" s="1203"/>
      <c r="Q79" s="1203"/>
      <c r="R79" s="1203"/>
      <c r="S79" s="1203"/>
      <c r="T79" s="1203"/>
      <c r="U79" s="1203"/>
      <c r="V79" s="1203"/>
      <c r="W79" s="1203"/>
      <c r="X79" s="1203"/>
      <c r="Z79" s="1203"/>
      <c r="AA79" s="1075"/>
      <c r="AB79" s="1065"/>
      <c r="AC79" s="1145"/>
      <c r="AD79" s="1075"/>
      <c r="AE79" s="1065"/>
      <c r="AF79" s="1195"/>
      <c r="AG79" s="1163"/>
      <c r="AH79" s="1163"/>
      <c r="AI79" s="1163"/>
      <c r="AJ79" s="1163"/>
      <c r="AK79" s="1163"/>
      <c r="AL79" s="1163"/>
      <c r="AM79" s="1163"/>
      <c r="AN79" s="1163"/>
      <c r="AO79" s="1159"/>
      <c r="AP79" s="1163"/>
      <c r="AQ79" s="1749"/>
      <c r="AR79" s="1159"/>
      <c r="AS79" s="1749"/>
      <c r="AT79" s="1749"/>
      <c r="AU79" s="2942">
        <v>1000000</v>
      </c>
      <c r="AV79" s="1756"/>
      <c r="AW79" s="2008"/>
    </row>
    <row r="80" spans="1:49" s="1063" customFormat="1" ht="24" customHeight="1">
      <c r="A80" s="1170"/>
      <c r="B80" s="2913" t="s">
        <v>2665</v>
      </c>
      <c r="C80" s="1913" t="s">
        <v>2530</v>
      </c>
      <c r="D80" s="1202"/>
      <c r="E80" s="1203"/>
      <c r="F80" s="1203"/>
      <c r="G80" s="1203"/>
      <c r="H80" s="1203"/>
      <c r="I80" s="1203"/>
      <c r="J80" s="1203"/>
      <c r="K80" s="1204"/>
      <c r="L80" s="1203"/>
      <c r="M80" s="1203"/>
      <c r="N80" s="1203"/>
      <c r="O80" s="1203"/>
      <c r="P80" s="1203"/>
      <c r="Q80" s="1203"/>
      <c r="R80" s="1203"/>
      <c r="S80" s="1203"/>
      <c r="T80" s="1203"/>
      <c r="U80" s="1203"/>
      <c r="V80" s="1203"/>
      <c r="W80" s="1203"/>
      <c r="X80" s="1203"/>
      <c r="Z80" s="1203"/>
      <c r="AA80" s="1075"/>
      <c r="AB80" s="1065"/>
      <c r="AC80" s="1145"/>
      <c r="AD80" s="1075"/>
      <c r="AE80" s="1065"/>
      <c r="AF80" s="1195"/>
      <c r="AG80" s="1163"/>
      <c r="AH80" s="1163"/>
      <c r="AI80" s="1163"/>
      <c r="AJ80" s="1163"/>
      <c r="AK80" s="1163"/>
      <c r="AL80" s="1163"/>
      <c r="AM80" s="1163"/>
      <c r="AN80" s="1163"/>
      <c r="AO80" s="1159"/>
      <c r="AP80" s="1163"/>
      <c r="AQ80" s="1749"/>
      <c r="AR80" s="1159"/>
      <c r="AS80" s="1749"/>
      <c r="AT80" s="1749"/>
      <c r="AU80" s="1914">
        <v>2500000</v>
      </c>
      <c r="AV80" s="1756"/>
      <c r="AW80" s="2008"/>
    </row>
    <row r="81" spans="1:49" s="1063" customFormat="1" ht="24" customHeight="1">
      <c r="A81" s="1170"/>
      <c r="B81" s="2913" t="s">
        <v>2666</v>
      </c>
      <c r="C81" s="1913" t="s">
        <v>2531</v>
      </c>
      <c r="D81" s="1202"/>
      <c r="E81" s="1203"/>
      <c r="F81" s="1203"/>
      <c r="G81" s="1203"/>
      <c r="H81" s="1203"/>
      <c r="I81" s="1203"/>
      <c r="J81" s="1203"/>
      <c r="K81" s="1204"/>
      <c r="L81" s="1203"/>
      <c r="M81" s="1203"/>
      <c r="N81" s="1203"/>
      <c r="O81" s="1203"/>
      <c r="P81" s="1203"/>
      <c r="Q81" s="1203"/>
      <c r="R81" s="1203"/>
      <c r="S81" s="1203"/>
      <c r="T81" s="1203"/>
      <c r="U81" s="1205"/>
      <c r="V81" s="1205"/>
      <c r="W81" s="1205"/>
      <c r="X81" s="1205"/>
      <c r="Z81" s="1203"/>
      <c r="AA81" s="1075"/>
      <c r="AB81" s="1065"/>
      <c r="AC81" s="1145"/>
      <c r="AD81" s="1075"/>
      <c r="AE81" s="1065"/>
      <c r="AF81" s="1195"/>
      <c r="AG81" s="1163"/>
      <c r="AH81" s="1163"/>
      <c r="AI81" s="1163"/>
      <c r="AJ81" s="1163"/>
      <c r="AK81" s="1163"/>
      <c r="AL81" s="1163"/>
      <c r="AM81" s="1163"/>
      <c r="AN81" s="1163"/>
      <c r="AO81" s="1676"/>
      <c r="AP81" s="1163"/>
      <c r="AQ81" s="1749"/>
      <c r="AR81" s="1676"/>
      <c r="AS81" s="1749"/>
      <c r="AT81" s="1749"/>
      <c r="AU81" s="1915">
        <v>350000</v>
      </c>
      <c r="AV81" s="1756"/>
      <c r="AW81" s="1757"/>
    </row>
    <row r="82" spans="1:49" ht="24" customHeight="1">
      <c r="A82" s="2537"/>
      <c r="B82" s="2913" t="s">
        <v>2667</v>
      </c>
      <c r="C82" s="2509" t="s">
        <v>2532</v>
      </c>
      <c r="D82" s="1202"/>
      <c r="E82" s="1203"/>
      <c r="F82" s="1203"/>
      <c r="G82" s="1203"/>
      <c r="H82" s="1203"/>
      <c r="I82" s="1203"/>
      <c r="J82" s="1203"/>
      <c r="K82" s="1204"/>
      <c r="L82" s="1203"/>
      <c r="M82" s="1203"/>
      <c r="N82" s="1203"/>
      <c r="O82" s="1203"/>
      <c r="P82" s="1203"/>
      <c r="Q82" s="1203"/>
      <c r="R82" s="1203"/>
      <c r="S82" s="1203"/>
      <c r="T82" s="1203"/>
      <c r="U82" s="1205"/>
      <c r="V82" s="1205"/>
      <c r="W82" s="1205"/>
      <c r="X82" s="1205"/>
      <c r="Y82" s="1063"/>
      <c r="Z82" s="1203"/>
      <c r="AA82" s="1075"/>
      <c r="AB82" s="1065"/>
      <c r="AC82" s="1145"/>
      <c r="AD82" s="1075"/>
      <c r="AE82" s="1065"/>
      <c r="AF82" s="1195"/>
      <c r="AG82" s="1163"/>
      <c r="AH82" s="1163"/>
      <c r="AI82" s="1163"/>
      <c r="AJ82" s="1163"/>
      <c r="AK82" s="1163"/>
      <c r="AL82" s="1163"/>
      <c r="AM82" s="1163"/>
      <c r="AN82" s="1163"/>
      <c r="AO82" s="1676"/>
      <c r="AP82" s="1163"/>
      <c r="AQ82" s="1749"/>
      <c r="AR82" s="1676"/>
      <c r="AS82" s="1749"/>
      <c r="AT82" s="1749"/>
      <c r="AU82" s="1749">
        <v>466000</v>
      </c>
      <c r="AV82" s="2026"/>
      <c r="AW82" s="2027"/>
    </row>
    <row r="83" spans="1:49" ht="43.5">
      <c r="A83" s="2013"/>
      <c r="B83" s="2913" t="s">
        <v>2668</v>
      </c>
      <c r="C83" s="2510" t="s">
        <v>2533</v>
      </c>
      <c r="D83" s="1202"/>
      <c r="E83" s="1203"/>
      <c r="F83" s="1203"/>
      <c r="G83" s="1203"/>
      <c r="H83" s="1203"/>
      <c r="I83" s="1203"/>
      <c r="J83" s="1203"/>
      <c r="K83" s="1204"/>
      <c r="L83" s="1203"/>
      <c r="M83" s="1203"/>
      <c r="N83" s="1203"/>
      <c r="O83" s="1203"/>
      <c r="P83" s="1203"/>
      <c r="Q83" s="1203"/>
      <c r="R83" s="1203"/>
      <c r="S83" s="1203"/>
      <c r="T83" s="1203"/>
      <c r="U83" s="1205"/>
      <c r="V83" s="1205"/>
      <c r="W83" s="1205"/>
      <c r="X83" s="1205"/>
      <c r="Y83" s="1063"/>
      <c r="Z83" s="1203"/>
      <c r="AA83" s="1075"/>
      <c r="AB83" s="1065"/>
      <c r="AC83" s="1145"/>
      <c r="AD83" s="1075"/>
      <c r="AE83" s="1065"/>
      <c r="AF83" s="1195"/>
      <c r="AG83" s="1163"/>
      <c r="AH83" s="1163"/>
      <c r="AI83" s="1163"/>
      <c r="AJ83" s="1163"/>
      <c r="AK83" s="1163"/>
      <c r="AL83" s="1163"/>
      <c r="AM83" s="1163"/>
      <c r="AN83" s="1163"/>
      <c r="AO83" s="1676"/>
      <c r="AP83" s="1163"/>
      <c r="AQ83" s="1749"/>
      <c r="AR83" s="1676"/>
      <c r="AS83" s="1749"/>
      <c r="AT83" s="1749"/>
      <c r="AU83" s="1749">
        <v>390000</v>
      </c>
      <c r="AV83" s="2026"/>
      <c r="AW83" s="2027"/>
    </row>
    <row r="84" spans="1:49" s="1270" customFormat="1" ht="20.25" customHeight="1">
      <c r="A84" s="1170"/>
      <c r="B84" s="2913" t="s">
        <v>2669</v>
      </c>
      <c r="C84" s="1201" t="s">
        <v>2552</v>
      </c>
      <c r="D84" s="1202"/>
      <c r="E84" s="1203"/>
      <c r="F84" s="1203"/>
      <c r="G84" s="1203"/>
      <c r="H84" s="1203"/>
      <c r="I84" s="1203"/>
      <c r="J84" s="1203"/>
      <c r="K84" s="1204"/>
      <c r="L84" s="1203"/>
      <c r="M84" s="1203"/>
      <c r="N84" s="1203"/>
      <c r="O84" s="1203"/>
      <c r="P84" s="1203"/>
      <c r="Q84" s="1203"/>
      <c r="R84" s="1203"/>
      <c r="S84" s="1203"/>
      <c r="T84" s="1203"/>
      <c r="U84" s="1205"/>
      <c r="V84" s="1205"/>
      <c r="W84" s="1205"/>
      <c r="X84" s="1205"/>
      <c r="Y84" s="1063"/>
      <c r="Z84" s="1203"/>
      <c r="AA84" s="1075"/>
      <c r="AB84" s="1065"/>
      <c r="AC84" s="1145"/>
      <c r="AD84" s="1075"/>
      <c r="AE84" s="1065"/>
      <c r="AF84" s="1195"/>
      <c r="AG84" s="1163"/>
      <c r="AH84" s="1163"/>
      <c r="AI84" s="1163"/>
      <c r="AJ84" s="1163"/>
      <c r="AK84" s="1163"/>
      <c r="AL84" s="1163"/>
      <c r="AM84" s="1163"/>
      <c r="AN84" s="1163">
        <v>100000</v>
      </c>
      <c r="AO84" s="1674">
        <v>0</v>
      </c>
      <c r="AP84" s="1163"/>
      <c r="AQ84" s="1163"/>
      <c r="AR84" s="1678">
        <v>0</v>
      </c>
      <c r="AS84" s="1193"/>
      <c r="AT84" s="1193"/>
      <c r="AU84" s="1163">
        <v>100000</v>
      </c>
      <c r="AV84" s="1708"/>
      <c r="AW84" s="1465"/>
    </row>
    <row r="85" spans="1:49" ht="20.25" customHeight="1">
      <c r="A85" s="2013"/>
      <c r="B85" s="3002" t="s">
        <v>2670</v>
      </c>
      <c r="C85" s="3041" t="s">
        <v>2599</v>
      </c>
      <c r="D85" s="3042"/>
      <c r="E85" s="3043"/>
      <c r="F85" s="3043"/>
      <c r="G85" s="3043"/>
      <c r="H85" s="3043"/>
      <c r="I85" s="3043"/>
      <c r="J85" s="3043"/>
      <c r="K85" s="3044"/>
      <c r="L85" s="3043"/>
      <c r="M85" s="3043"/>
      <c r="N85" s="3043"/>
      <c r="O85" s="3043"/>
      <c r="P85" s="3043"/>
      <c r="Q85" s="3043"/>
      <c r="R85" s="3043"/>
      <c r="S85" s="3043"/>
      <c r="T85" s="3043"/>
      <c r="U85" s="3045"/>
      <c r="V85" s="3045"/>
      <c r="W85" s="3045"/>
      <c r="X85" s="3045"/>
      <c r="Y85" s="1206"/>
      <c r="Z85" s="3043"/>
      <c r="AA85" s="3005"/>
      <c r="AB85" s="1114"/>
      <c r="AC85" s="1207"/>
      <c r="AD85" s="3005"/>
      <c r="AE85" s="1114"/>
      <c r="AF85" s="3046"/>
      <c r="AG85" s="1701"/>
      <c r="AH85" s="1701"/>
      <c r="AI85" s="1701"/>
      <c r="AJ85" s="1701"/>
      <c r="AK85" s="1701"/>
      <c r="AL85" s="1701"/>
      <c r="AM85" s="1701"/>
      <c r="AN85" s="1701"/>
      <c r="AO85" s="3047"/>
      <c r="AP85" s="1701"/>
      <c r="AQ85" s="1701"/>
      <c r="AR85" s="3048"/>
      <c r="AS85" s="3049"/>
      <c r="AT85" s="3049"/>
      <c r="AU85" s="1701">
        <v>3600000</v>
      </c>
      <c r="AV85" s="1708"/>
      <c r="AW85" s="2027"/>
    </row>
    <row r="86" spans="1:49" ht="20.25" customHeight="1">
      <c r="A86" s="3052"/>
      <c r="B86" s="3053" t="s">
        <v>2671</v>
      </c>
      <c r="C86" s="3054" t="s">
        <v>2535</v>
      </c>
      <c r="D86" s="3055"/>
      <c r="E86" s="3056"/>
      <c r="F86" s="3056"/>
      <c r="G86" s="3056"/>
      <c r="H86" s="3056"/>
      <c r="I86" s="3056"/>
      <c r="J86" s="3056"/>
      <c r="K86" s="3057"/>
      <c r="L86" s="3056"/>
      <c r="M86" s="3056"/>
      <c r="N86" s="3056"/>
      <c r="O86" s="3056"/>
      <c r="P86" s="3056"/>
      <c r="Q86" s="3056"/>
      <c r="R86" s="3056"/>
      <c r="S86" s="3056"/>
      <c r="T86" s="3056"/>
      <c r="U86" s="3056"/>
      <c r="V86" s="3056"/>
      <c r="W86" s="3056"/>
      <c r="X86" s="3056"/>
      <c r="Y86" s="3014"/>
      <c r="Z86" s="3056"/>
      <c r="AA86" s="3013"/>
      <c r="AB86" s="2622"/>
      <c r="AC86" s="2999"/>
      <c r="AD86" s="3013"/>
      <c r="AE86" s="2622"/>
      <c r="AF86" s="3058"/>
      <c r="AG86" s="3015"/>
      <c r="AH86" s="3015"/>
      <c r="AI86" s="3015"/>
      <c r="AJ86" s="3015"/>
      <c r="AK86" s="3015"/>
      <c r="AL86" s="3015"/>
      <c r="AM86" s="3015"/>
      <c r="AN86" s="3015"/>
      <c r="AO86" s="2997"/>
      <c r="AP86" s="3015"/>
      <c r="AQ86" s="3059"/>
      <c r="AR86" s="2997"/>
      <c r="AS86" s="3059"/>
      <c r="AT86" s="3059"/>
      <c r="AU86" s="3059"/>
      <c r="AV86" s="2511"/>
      <c r="AW86" s="2027"/>
    </row>
    <row r="87" spans="1:49" ht="20.25" customHeight="1">
      <c r="A87" s="1050"/>
      <c r="B87" s="2911" t="s">
        <v>2672</v>
      </c>
      <c r="C87" s="3050" t="s">
        <v>2536</v>
      </c>
      <c r="D87" s="1135"/>
      <c r="E87" s="1053"/>
      <c r="F87" s="1053"/>
      <c r="G87" s="1053"/>
      <c r="H87" s="1053">
        <v>0</v>
      </c>
      <c r="I87" s="1053">
        <v>0</v>
      </c>
      <c r="J87" s="1053">
        <v>0</v>
      </c>
      <c r="K87" s="2580">
        <v>560000</v>
      </c>
      <c r="L87" s="1053">
        <v>0</v>
      </c>
      <c r="M87" s="1053">
        <v>0</v>
      </c>
      <c r="N87" s="1053">
        <v>0</v>
      </c>
      <c r="O87" s="1053">
        <v>0</v>
      </c>
      <c r="P87" s="1053"/>
      <c r="Q87" s="1053">
        <v>530000</v>
      </c>
      <c r="R87" s="1053"/>
      <c r="S87" s="1218" t="e">
        <f>+#REF!/Q87*100</f>
        <v>#REF!</v>
      </c>
      <c r="T87" s="1053"/>
      <c r="U87" s="1053"/>
      <c r="V87" s="1053"/>
      <c r="W87" s="1053"/>
      <c r="X87" s="1053"/>
      <c r="Y87" s="1053">
        <v>900000</v>
      </c>
      <c r="Z87" s="1053"/>
      <c r="AA87" s="1053">
        <v>272810</v>
      </c>
      <c r="AB87" s="1053"/>
      <c r="AC87" s="1199" t="e">
        <f>+(Y87-R87)/R87*100</f>
        <v>#DIV/0!</v>
      </c>
      <c r="AD87" s="1053">
        <v>570680</v>
      </c>
      <c r="AE87" s="1053"/>
      <c r="AF87" s="1218">
        <f>+Y87</f>
        <v>900000</v>
      </c>
      <c r="AG87" s="1218">
        <v>619610</v>
      </c>
      <c r="AH87" s="1218"/>
      <c r="AI87" s="1218"/>
      <c r="AJ87" s="2536">
        <f>+AF87</f>
        <v>900000</v>
      </c>
      <c r="AK87" s="2536">
        <v>1095550</v>
      </c>
      <c r="AL87" s="2536"/>
      <c r="AM87" s="2536"/>
      <c r="AN87" s="3051">
        <v>900000</v>
      </c>
      <c r="AO87" s="3051">
        <v>36400</v>
      </c>
      <c r="AP87" s="3051"/>
      <c r="AQ87" s="3051"/>
      <c r="AR87" s="3051">
        <v>196400</v>
      </c>
      <c r="AS87" s="3051"/>
      <c r="AT87" s="3051"/>
      <c r="AU87" s="3051">
        <v>900000</v>
      </c>
      <c r="AV87" s="1160"/>
      <c r="AW87" s="1673"/>
    </row>
    <row r="88" spans="1:49" ht="20.25" customHeight="1">
      <c r="A88" s="1170"/>
      <c r="B88" s="2912" t="s">
        <v>2673</v>
      </c>
      <c r="C88" s="1739" t="s">
        <v>2568</v>
      </c>
      <c r="D88" s="1171"/>
      <c r="E88" s="1065"/>
      <c r="F88" s="1065"/>
      <c r="G88" s="1065"/>
      <c r="H88" s="1065"/>
      <c r="I88" s="1065"/>
      <c r="J88" s="1065"/>
      <c r="K88" s="1066"/>
      <c r="L88" s="1065"/>
      <c r="M88" s="1065"/>
      <c r="N88" s="1065"/>
      <c r="O88" s="1065"/>
      <c r="P88" s="1065"/>
      <c r="Q88" s="1065"/>
      <c r="R88" s="1065"/>
      <c r="S88" s="1065"/>
      <c r="T88" s="1065"/>
      <c r="U88" s="1069"/>
      <c r="V88" s="1069"/>
      <c r="W88" s="1069"/>
      <c r="X88" s="1069"/>
      <c r="Y88" s="1063"/>
      <c r="Z88" s="1065"/>
      <c r="AA88" s="1075"/>
      <c r="AB88" s="1065"/>
      <c r="AC88" s="1145"/>
      <c r="AD88" s="1075"/>
      <c r="AE88" s="1065"/>
      <c r="AF88" s="1195"/>
      <c r="AG88" s="1163"/>
      <c r="AH88" s="1163"/>
      <c r="AI88" s="1163"/>
      <c r="AJ88" s="1163"/>
      <c r="AK88" s="1163"/>
      <c r="AL88" s="1163"/>
      <c r="AM88" s="1163"/>
      <c r="AN88" s="1163">
        <v>200000</v>
      </c>
      <c r="AO88" s="1675">
        <v>0</v>
      </c>
      <c r="AP88" s="1163"/>
      <c r="AQ88" s="1163"/>
      <c r="AR88" s="1678">
        <v>0</v>
      </c>
      <c r="AS88" s="1163"/>
      <c r="AT88" s="1163"/>
      <c r="AU88" s="1163">
        <v>200000</v>
      </c>
      <c r="AV88" s="1705"/>
      <c r="AW88" s="1468"/>
    </row>
    <row r="89" spans="1:49" ht="20.25" customHeight="1">
      <c r="A89" s="1170"/>
      <c r="B89" s="2912" t="s">
        <v>2674</v>
      </c>
      <c r="C89" s="1677" t="s">
        <v>2537</v>
      </c>
      <c r="D89" s="1171"/>
      <c r="E89" s="1065"/>
      <c r="F89" s="1065"/>
      <c r="G89" s="1065"/>
      <c r="H89" s="1065"/>
      <c r="I89" s="1065"/>
      <c r="J89" s="1065"/>
      <c r="K89" s="1066"/>
      <c r="L89" s="1065"/>
      <c r="M89" s="1065"/>
      <c r="N89" s="1065"/>
      <c r="O89" s="1065"/>
      <c r="P89" s="1065"/>
      <c r="Q89" s="1065">
        <v>1000000</v>
      </c>
      <c r="R89" s="1065"/>
      <c r="S89" s="1065"/>
      <c r="T89" s="1065"/>
      <c r="U89" s="1069"/>
      <c r="V89" s="1069"/>
      <c r="W89" s="1069"/>
      <c r="X89" s="1069"/>
      <c r="Y89" s="1065">
        <v>1000000</v>
      </c>
      <c r="Z89" s="1065"/>
      <c r="AA89" s="1075">
        <v>0</v>
      </c>
      <c r="AB89" s="1065"/>
      <c r="AC89" s="1145" t="e">
        <f t="shared" si="11"/>
        <v>#DIV/0!</v>
      </c>
      <c r="AD89" s="1075"/>
      <c r="AE89" s="1065"/>
      <c r="AF89" s="1116">
        <f>+Y89</f>
        <v>1000000</v>
      </c>
      <c r="AG89" s="1163">
        <v>0</v>
      </c>
      <c r="AH89" s="1163"/>
      <c r="AI89" s="1163"/>
      <c r="AJ89" s="1125">
        <f t="shared" si="10"/>
        <v>1000000</v>
      </c>
      <c r="AK89" s="1181">
        <v>0</v>
      </c>
      <c r="AL89" s="1125"/>
      <c r="AM89" s="1125"/>
      <c r="AN89" s="1168">
        <v>1000000</v>
      </c>
      <c r="AO89" s="1676">
        <v>0</v>
      </c>
      <c r="AP89" s="1168"/>
      <c r="AQ89" s="1168"/>
      <c r="AR89" s="1676">
        <v>0</v>
      </c>
      <c r="AS89" s="1168"/>
      <c r="AT89" s="1168"/>
      <c r="AU89" s="1168">
        <v>1000000</v>
      </c>
      <c r="AV89" s="1160"/>
      <c r="AW89" s="1459"/>
    </row>
    <row r="90" spans="1:49" ht="20.25" customHeight="1">
      <c r="A90" s="1170"/>
      <c r="B90" s="2912" t="s">
        <v>2675</v>
      </c>
      <c r="C90" s="1677" t="s">
        <v>2538</v>
      </c>
      <c r="D90" s="1171"/>
      <c r="E90" s="1065"/>
      <c r="F90" s="1065"/>
      <c r="G90" s="1065"/>
      <c r="H90" s="1065"/>
      <c r="I90" s="1065"/>
      <c r="J90" s="1065"/>
      <c r="K90" s="1066"/>
      <c r="L90" s="1065"/>
      <c r="M90" s="1065"/>
      <c r="N90" s="1065"/>
      <c r="O90" s="1065"/>
      <c r="P90" s="1065"/>
      <c r="Q90" s="1065"/>
      <c r="R90" s="1065"/>
      <c r="S90" s="1065"/>
      <c r="T90" s="1065"/>
      <c r="U90" s="1069"/>
      <c r="V90" s="1069"/>
      <c r="W90" s="1069"/>
      <c r="X90" s="1069"/>
      <c r="Y90" s="1065"/>
      <c r="Z90" s="1065"/>
      <c r="AA90" s="1075"/>
      <c r="AB90" s="1065"/>
      <c r="AC90" s="1145"/>
      <c r="AD90" s="1075"/>
      <c r="AE90" s="1065"/>
      <c r="AF90" s="1116"/>
      <c r="AG90" s="1163"/>
      <c r="AH90" s="1163"/>
      <c r="AI90" s="1163"/>
      <c r="AJ90" s="1125"/>
      <c r="AK90" s="1181"/>
      <c r="AL90" s="1125"/>
      <c r="AM90" s="1125"/>
      <c r="AN90" s="1168"/>
      <c r="AO90" s="1676"/>
      <c r="AP90" s="1168"/>
      <c r="AQ90" s="1168"/>
      <c r="AR90" s="1676"/>
      <c r="AS90" s="1168"/>
      <c r="AT90" s="1168"/>
      <c r="AU90" s="1168">
        <v>1500000</v>
      </c>
      <c r="AV90" s="1160"/>
      <c r="AW90" s="1735"/>
    </row>
    <row r="91" spans="1:49" ht="19.5" customHeight="1">
      <c r="A91" s="1170"/>
      <c r="B91" s="2912" t="s">
        <v>2676</v>
      </c>
      <c r="C91" s="1178" t="s">
        <v>2539</v>
      </c>
      <c r="D91" s="1171"/>
      <c r="E91" s="1065"/>
      <c r="F91" s="1065"/>
      <c r="G91" s="1065"/>
      <c r="H91" s="1065"/>
      <c r="I91" s="1065"/>
      <c r="J91" s="1065"/>
      <c r="K91" s="1066"/>
      <c r="L91" s="1065"/>
      <c r="M91" s="1065"/>
      <c r="N91" s="1065"/>
      <c r="O91" s="1065"/>
      <c r="P91" s="1065"/>
      <c r="Q91" s="1065"/>
      <c r="R91" s="1065"/>
      <c r="S91" s="1065"/>
      <c r="T91" s="1065"/>
      <c r="U91" s="1065"/>
      <c r="V91" s="1065"/>
      <c r="W91" s="1065"/>
      <c r="X91" s="1065"/>
      <c r="Y91" s="1065">
        <v>8500000</v>
      </c>
      <c r="Z91" s="1065"/>
      <c r="AA91" s="1075">
        <v>0</v>
      </c>
      <c r="AB91" s="1065"/>
      <c r="AC91" s="1145" t="e">
        <f>+(Y91-R91)/R91*100</f>
        <v>#DIV/0!</v>
      </c>
      <c r="AD91" s="1075"/>
      <c r="AE91" s="1065"/>
      <c r="AF91" s="1065">
        <f>+Y91</f>
        <v>8500000</v>
      </c>
      <c r="AG91" s="1163">
        <v>0</v>
      </c>
      <c r="AH91" s="1163"/>
      <c r="AI91" s="1163"/>
      <c r="AJ91" s="1125">
        <f>+AF91</f>
        <v>8500000</v>
      </c>
      <c r="AK91" s="1181">
        <v>0</v>
      </c>
      <c r="AL91" s="1125"/>
      <c r="AM91" s="1125"/>
      <c r="AN91" s="1129">
        <v>8500000</v>
      </c>
      <c r="AO91" s="1159">
        <v>0</v>
      </c>
      <c r="AP91" s="1129"/>
      <c r="AQ91" s="1129"/>
      <c r="AR91" s="1318">
        <v>7078400</v>
      </c>
      <c r="AS91" s="1673"/>
      <c r="AT91" s="1673"/>
      <c r="AU91" s="1159">
        <f>+AR91</f>
        <v>7078400</v>
      </c>
      <c r="AV91" s="1160"/>
      <c r="AW91" s="1129"/>
    </row>
    <row r="92" spans="1:49" s="2513" customFormat="1" ht="19.5" customHeight="1">
      <c r="A92" s="1172"/>
      <c r="B92" s="2912" t="s">
        <v>2677</v>
      </c>
      <c r="C92" s="2516" t="s">
        <v>2542</v>
      </c>
      <c r="D92" s="1173"/>
      <c r="E92" s="1116"/>
      <c r="F92" s="1116"/>
      <c r="G92" s="1116"/>
      <c r="H92" s="1116"/>
      <c r="I92" s="1116"/>
      <c r="J92" s="1116"/>
      <c r="K92" s="1115"/>
      <c r="L92" s="1116"/>
      <c r="M92" s="1116"/>
      <c r="N92" s="1116"/>
      <c r="O92" s="1116"/>
      <c r="P92" s="1116"/>
      <c r="Q92" s="1116"/>
      <c r="R92" s="1116"/>
      <c r="S92" s="1116"/>
      <c r="T92" s="1116"/>
      <c r="U92" s="1116"/>
      <c r="V92" s="1116"/>
      <c r="W92" s="1116"/>
      <c r="X92" s="1116"/>
      <c r="Y92" s="1116">
        <v>300000</v>
      </c>
      <c r="Z92" s="1116"/>
      <c r="AA92" s="1075">
        <v>0</v>
      </c>
      <c r="AB92" s="1116"/>
      <c r="AC92" s="1145" t="e">
        <f>+(Y92-R92)/R92*100</f>
        <v>#DIV/0!</v>
      </c>
      <c r="AD92" s="1075"/>
      <c r="AE92" s="1116"/>
      <c r="AF92" s="1116">
        <f>+Y92</f>
        <v>300000</v>
      </c>
      <c r="AG92" s="1163">
        <v>0</v>
      </c>
      <c r="AH92" s="1163"/>
      <c r="AI92" s="1163"/>
      <c r="AJ92" s="1125">
        <f>+AF92</f>
        <v>300000</v>
      </c>
      <c r="AK92" s="1181">
        <v>0</v>
      </c>
      <c r="AL92" s="1125"/>
      <c r="AM92" s="1125"/>
      <c r="AN92" s="1065">
        <v>300000</v>
      </c>
      <c r="AO92" s="1159">
        <v>0</v>
      </c>
      <c r="AP92" s="1065"/>
      <c r="AQ92" s="1065"/>
      <c r="AR92" s="1318">
        <v>0</v>
      </c>
      <c r="AS92" s="2508"/>
      <c r="AT92" s="2508"/>
      <c r="AU92" s="2508">
        <v>300000</v>
      </c>
      <c r="AV92" s="1071"/>
      <c r="AW92" s="1071"/>
    </row>
    <row r="93" spans="1:49" s="2515" customFormat="1" ht="19.5" customHeight="1">
      <c r="A93" s="1172"/>
      <c r="B93" s="2912" t="s">
        <v>2678</v>
      </c>
      <c r="C93" s="2516" t="s">
        <v>2543</v>
      </c>
      <c r="D93" s="1173"/>
      <c r="E93" s="1116"/>
      <c r="F93" s="1116"/>
      <c r="G93" s="1116"/>
      <c r="H93" s="1116"/>
      <c r="I93" s="1116"/>
      <c r="J93" s="1116"/>
      <c r="K93" s="1115"/>
      <c r="L93" s="1116"/>
      <c r="M93" s="1116"/>
      <c r="N93" s="1116"/>
      <c r="O93" s="1116"/>
      <c r="P93" s="1116"/>
      <c r="Q93" s="1116"/>
      <c r="R93" s="1116"/>
      <c r="S93" s="1116"/>
      <c r="T93" s="1116"/>
      <c r="U93" s="1116"/>
      <c r="V93" s="1116"/>
      <c r="W93" s="1116"/>
      <c r="X93" s="1116"/>
      <c r="Y93" s="1116">
        <v>200000</v>
      </c>
      <c r="Z93" s="1116"/>
      <c r="AA93" s="1075">
        <v>0</v>
      </c>
      <c r="AB93" s="1116"/>
      <c r="AC93" s="1145" t="e">
        <f>+(Y93-R93)/R93*100</f>
        <v>#DIV/0!</v>
      </c>
      <c r="AD93" s="1075"/>
      <c r="AE93" s="1116"/>
      <c r="AF93" s="1116">
        <f>+Y93</f>
        <v>200000</v>
      </c>
      <c r="AG93" s="1163">
        <v>0</v>
      </c>
      <c r="AH93" s="1163"/>
      <c r="AI93" s="1163"/>
      <c r="AJ93" s="1125">
        <f>+AF93</f>
        <v>200000</v>
      </c>
      <c r="AK93" s="1181">
        <v>0</v>
      </c>
      <c r="AL93" s="1125"/>
      <c r="AM93" s="1125"/>
      <c r="AN93" s="1065">
        <v>500000</v>
      </c>
      <c r="AO93" s="1159">
        <v>0</v>
      </c>
      <c r="AP93" s="1065"/>
      <c r="AQ93" s="1065"/>
      <c r="AR93" s="1318">
        <v>0</v>
      </c>
      <c r="AS93" s="1200"/>
      <c r="AT93" s="1200"/>
      <c r="AU93" s="2514">
        <v>0</v>
      </c>
      <c r="AV93" s="1071" t="s">
        <v>490</v>
      </c>
      <c r="AW93" s="1071"/>
    </row>
    <row r="94" spans="1:49" s="1155" customFormat="1" ht="43.5">
      <c r="A94" s="1172"/>
      <c r="B94" s="2913" t="s">
        <v>2679</v>
      </c>
      <c r="C94" s="1201" t="s">
        <v>2549</v>
      </c>
      <c r="D94" s="2518"/>
      <c r="E94" s="1401"/>
      <c r="F94" s="1401"/>
      <c r="G94" s="1401"/>
      <c r="H94" s="1401"/>
      <c r="I94" s="1401"/>
      <c r="J94" s="1401"/>
      <c r="K94" s="2519"/>
      <c r="L94" s="1401"/>
      <c r="M94" s="1401"/>
      <c r="N94" s="1401"/>
      <c r="O94" s="1401"/>
      <c r="P94" s="1401"/>
      <c r="Q94" s="1401"/>
      <c r="R94" s="1401"/>
      <c r="S94" s="1401"/>
      <c r="T94" s="1401"/>
      <c r="U94" s="1401"/>
      <c r="V94" s="1401"/>
      <c r="W94" s="1401"/>
      <c r="X94" s="1401"/>
      <c r="Y94" s="1157"/>
      <c r="Z94" s="1401"/>
      <c r="AA94" s="1163"/>
      <c r="AB94" s="1116"/>
      <c r="AC94" s="1196"/>
      <c r="AD94" s="1163"/>
      <c r="AE94" s="1116"/>
      <c r="AF94" s="1195"/>
      <c r="AG94" s="1163"/>
      <c r="AH94" s="1163"/>
      <c r="AI94" s="1163"/>
      <c r="AJ94" s="1163">
        <v>0</v>
      </c>
      <c r="AK94" s="1163"/>
      <c r="AL94" s="1163"/>
      <c r="AM94" s="1163"/>
      <c r="AN94" s="1163">
        <v>60000</v>
      </c>
      <c r="AO94" s="1675">
        <v>0</v>
      </c>
      <c r="AP94" s="1163"/>
      <c r="AQ94" s="1163"/>
      <c r="AR94" s="1912">
        <v>0</v>
      </c>
      <c r="AS94" s="1163"/>
      <c r="AT94" s="1163"/>
      <c r="AU94" s="1163">
        <v>60000</v>
      </c>
      <c r="AW94" s="2520"/>
    </row>
    <row r="95" spans="1:49" s="1155" customFormat="1" ht="23.25" customHeight="1">
      <c r="A95" s="1172"/>
      <c r="B95" s="2913" t="s">
        <v>2680</v>
      </c>
      <c r="C95" s="1739" t="s">
        <v>2550</v>
      </c>
      <c r="D95" s="1173"/>
      <c r="E95" s="1116"/>
      <c r="F95" s="1116"/>
      <c r="G95" s="1116"/>
      <c r="H95" s="1116"/>
      <c r="I95" s="1116"/>
      <c r="J95" s="1116"/>
      <c r="K95" s="1115"/>
      <c r="L95" s="1116"/>
      <c r="M95" s="1116"/>
      <c r="N95" s="1116"/>
      <c r="O95" s="1116"/>
      <c r="P95" s="1116"/>
      <c r="Q95" s="1116"/>
      <c r="R95" s="1116"/>
      <c r="S95" s="1116"/>
      <c r="T95" s="1116"/>
      <c r="U95" s="1117"/>
      <c r="V95" s="1117"/>
      <c r="W95" s="1117"/>
      <c r="X95" s="1117"/>
      <c r="Y95" s="1157"/>
      <c r="Z95" s="1116"/>
      <c r="AA95" s="1163"/>
      <c r="AB95" s="1116"/>
      <c r="AC95" s="1196"/>
      <c r="AD95" s="1163"/>
      <c r="AE95" s="1116"/>
      <c r="AF95" s="1195"/>
      <c r="AG95" s="1163"/>
      <c r="AH95" s="1163"/>
      <c r="AI95" s="1163"/>
      <c r="AJ95" s="1163"/>
      <c r="AK95" s="1163"/>
      <c r="AL95" s="1163"/>
      <c r="AM95" s="1163"/>
      <c r="AN95" s="1740">
        <v>2500000</v>
      </c>
      <c r="AO95" s="1675">
        <v>0</v>
      </c>
      <c r="AP95" s="1740"/>
      <c r="AQ95" s="1740"/>
      <c r="AR95" s="1912">
        <v>0</v>
      </c>
      <c r="AS95" s="1740"/>
      <c r="AT95" s="1740"/>
      <c r="AU95" s="1740">
        <v>2500000</v>
      </c>
      <c r="AV95" s="1705"/>
      <c r="AW95" s="1468"/>
    </row>
    <row r="96" spans="1:49" s="1155" customFormat="1" ht="23.25" customHeight="1">
      <c r="A96" s="2594"/>
      <c r="B96" s="2920" t="s">
        <v>2681</v>
      </c>
      <c r="C96" s="2595" t="s">
        <v>2554</v>
      </c>
      <c r="D96" s="2596"/>
      <c r="E96" s="1226"/>
      <c r="F96" s="1226"/>
      <c r="G96" s="1226"/>
      <c r="H96" s="1226"/>
      <c r="I96" s="1226"/>
      <c r="J96" s="1226"/>
      <c r="K96" s="2534"/>
      <c r="L96" s="1226"/>
      <c r="M96" s="1226"/>
      <c r="N96" s="1226"/>
      <c r="O96" s="1226"/>
      <c r="P96" s="1226"/>
      <c r="Q96" s="1226"/>
      <c r="R96" s="1226"/>
      <c r="S96" s="1226"/>
      <c r="T96" s="1226"/>
      <c r="U96" s="2535"/>
      <c r="V96" s="2535"/>
      <c r="W96" s="2535"/>
      <c r="X96" s="2535"/>
      <c r="Y96" s="1326"/>
      <c r="Z96" s="1226"/>
      <c r="AA96" s="2042"/>
      <c r="AB96" s="1226"/>
      <c r="AC96" s="2597"/>
      <c r="AD96" s="2042"/>
      <c r="AE96" s="1226"/>
      <c r="AF96" s="2598"/>
      <c r="AG96" s="2042"/>
      <c r="AH96" s="2042"/>
      <c r="AI96" s="2042"/>
      <c r="AJ96" s="1326"/>
      <c r="AK96" s="2599"/>
      <c r="AL96" s="2599"/>
      <c r="AM96" s="2599"/>
      <c r="AN96" s="2600">
        <v>10000000</v>
      </c>
      <c r="AO96" s="2601">
        <v>0</v>
      </c>
      <c r="AP96" s="2600"/>
      <c r="AQ96" s="2600"/>
      <c r="AR96" s="2602">
        <v>0</v>
      </c>
      <c r="AS96" s="2603"/>
      <c r="AT96" s="2603"/>
      <c r="AU96" s="2600">
        <v>10000000</v>
      </c>
      <c r="AV96" s="1158"/>
      <c r="AW96" s="1458"/>
    </row>
    <row r="97" spans="1:49" s="2533" customFormat="1" ht="43.5">
      <c r="A97" s="2582"/>
      <c r="B97" s="2921" t="s">
        <v>2682</v>
      </c>
      <c r="C97" s="2583" t="s">
        <v>2553</v>
      </c>
      <c r="D97" s="2584"/>
      <c r="E97" s="2585"/>
      <c r="F97" s="2585"/>
      <c r="G97" s="2585"/>
      <c r="H97" s="2585"/>
      <c r="I97" s="2585"/>
      <c r="J97" s="2585"/>
      <c r="K97" s="2586"/>
      <c r="L97" s="2585"/>
      <c r="M97" s="2585"/>
      <c r="N97" s="2585"/>
      <c r="O97" s="2585"/>
      <c r="P97" s="2585"/>
      <c r="Q97" s="2585"/>
      <c r="R97" s="2585"/>
      <c r="S97" s="2585"/>
      <c r="T97" s="2585"/>
      <c r="U97" s="2587"/>
      <c r="V97" s="2587"/>
      <c r="W97" s="2587"/>
      <c r="X97" s="2587"/>
      <c r="Y97" s="2588"/>
      <c r="Z97" s="2585"/>
      <c r="AA97" s="2589"/>
      <c r="AB97" s="2585"/>
      <c r="AC97" s="2590"/>
      <c r="AD97" s="2589"/>
      <c r="AE97" s="2585"/>
      <c r="AF97" s="2591"/>
      <c r="AG97" s="2589"/>
      <c r="AH97" s="2589"/>
      <c r="AI97" s="2589"/>
      <c r="AJ97" s="2588"/>
      <c r="AK97" s="2589"/>
      <c r="AL97" s="2589"/>
      <c r="AM97" s="2589"/>
      <c r="AN97" s="2041">
        <v>3000000</v>
      </c>
      <c r="AO97" s="1685">
        <v>0</v>
      </c>
      <c r="AP97" s="2041"/>
      <c r="AQ97" s="2041"/>
      <c r="AR97" s="2592">
        <v>0</v>
      </c>
      <c r="AS97" s="2593"/>
      <c r="AT97" s="2593"/>
      <c r="AU97" s="2041">
        <v>3000000</v>
      </c>
      <c r="AV97" s="1706"/>
      <c r="AW97" s="2556"/>
    </row>
    <row r="98" spans="1:49" s="1270" customFormat="1" ht="21" customHeight="1">
      <c r="A98" s="1170"/>
      <c r="B98" s="2912" t="s">
        <v>2683</v>
      </c>
      <c r="C98" s="1201" t="s">
        <v>2555</v>
      </c>
      <c r="D98" s="1202"/>
      <c r="E98" s="1203"/>
      <c r="F98" s="1203"/>
      <c r="G98" s="1203"/>
      <c r="H98" s="1203"/>
      <c r="I98" s="1203"/>
      <c r="J98" s="1203"/>
      <c r="K98" s="1204"/>
      <c r="L98" s="1203"/>
      <c r="M98" s="1203"/>
      <c r="N98" s="1203"/>
      <c r="O98" s="1203"/>
      <c r="P98" s="1203"/>
      <c r="Q98" s="1203"/>
      <c r="R98" s="1203"/>
      <c r="S98" s="1203"/>
      <c r="T98" s="1203"/>
      <c r="U98" s="1203"/>
      <c r="V98" s="1203"/>
      <c r="W98" s="1203"/>
      <c r="X98" s="1203"/>
      <c r="Y98" s="1063"/>
      <c r="Z98" s="1203"/>
      <c r="AA98" s="1075"/>
      <c r="AB98" s="1065"/>
      <c r="AC98" s="1145"/>
      <c r="AD98" s="1075"/>
      <c r="AE98" s="1065"/>
      <c r="AF98" s="1195"/>
      <c r="AG98" s="1163"/>
      <c r="AH98" s="1163"/>
      <c r="AI98" s="1163"/>
      <c r="AJ98" s="1163"/>
      <c r="AK98" s="1163"/>
      <c r="AL98" s="1163"/>
      <c r="AM98" s="1163"/>
      <c r="AN98" s="1163">
        <v>1400000</v>
      </c>
      <c r="AO98" s="1674">
        <v>0</v>
      </c>
      <c r="AP98" s="1163"/>
      <c r="AQ98" s="1163"/>
      <c r="AR98" s="1678">
        <v>0</v>
      </c>
      <c r="AS98" s="1193"/>
      <c r="AT98" s="1193"/>
      <c r="AU98" s="1163">
        <v>1400000</v>
      </c>
      <c r="AV98" s="1708"/>
      <c r="AW98" s="1578"/>
    </row>
    <row r="99" spans="1:49" ht="21" customHeight="1">
      <c r="A99" s="2013"/>
      <c r="B99" s="2912" t="s">
        <v>2684</v>
      </c>
      <c r="C99" s="1913" t="s">
        <v>2562</v>
      </c>
      <c r="D99" s="2014"/>
      <c r="E99" s="2015"/>
      <c r="F99" s="2015"/>
      <c r="G99" s="2015"/>
      <c r="H99" s="2015"/>
      <c r="I99" s="2015"/>
      <c r="J99" s="2015"/>
      <c r="K99" s="2016"/>
      <c r="L99" s="2015"/>
      <c r="M99" s="2015"/>
      <c r="N99" s="2015"/>
      <c r="O99" s="2015"/>
      <c r="P99" s="2015"/>
      <c r="Q99" s="2015"/>
      <c r="R99" s="2015"/>
      <c r="S99" s="2015"/>
      <c r="T99" s="2015"/>
      <c r="U99" s="2017"/>
      <c r="V99" s="2017"/>
      <c r="W99" s="2017"/>
      <c r="X99" s="2017"/>
      <c r="Y99" s="2018"/>
      <c r="Z99" s="2015"/>
      <c r="AA99" s="2019"/>
      <c r="AB99" s="1931"/>
      <c r="AC99" s="2020"/>
      <c r="AD99" s="2019"/>
      <c r="AE99" s="1931"/>
      <c r="AF99" s="2021"/>
      <c r="AG99" s="2022"/>
      <c r="AH99" s="2022"/>
      <c r="AI99" s="2022"/>
      <c r="AJ99" s="2023"/>
      <c r="AK99" s="2023"/>
      <c r="AL99" s="2023"/>
      <c r="AM99" s="2023"/>
      <c r="AN99" s="2023"/>
      <c r="AO99" s="2024"/>
      <c r="AP99" s="2022"/>
      <c r="AQ99" s="2025"/>
      <c r="AR99" s="2024"/>
      <c r="AS99" s="2025"/>
      <c r="AT99" s="2025"/>
      <c r="AU99" s="2025">
        <v>9000000</v>
      </c>
      <c r="AV99" s="2026" t="s">
        <v>1953</v>
      </c>
      <c r="AW99" s="2027"/>
    </row>
    <row r="100" spans="1:49" ht="21" customHeight="1">
      <c r="A100" s="2013"/>
      <c r="B100" s="2912" t="s">
        <v>2685</v>
      </c>
      <c r="C100" s="1913" t="s">
        <v>2563</v>
      </c>
      <c r="D100" s="2035"/>
      <c r="E100" s="2036"/>
      <c r="F100" s="2036"/>
      <c r="G100" s="2036"/>
      <c r="H100" s="2036"/>
      <c r="I100" s="2036"/>
      <c r="J100" s="2036"/>
      <c r="K100" s="2037"/>
      <c r="L100" s="2036"/>
      <c r="M100" s="2036"/>
      <c r="N100" s="2036"/>
      <c r="O100" s="2036"/>
      <c r="P100" s="2036"/>
      <c r="Q100" s="2036"/>
      <c r="R100" s="2036"/>
      <c r="S100" s="2036"/>
      <c r="T100" s="2036"/>
      <c r="U100" s="2038"/>
      <c r="V100" s="2038"/>
      <c r="W100" s="2038"/>
      <c r="X100" s="2038"/>
      <c r="Y100" s="1198"/>
      <c r="Z100" s="2036"/>
      <c r="AA100" s="2039"/>
      <c r="AB100" s="1053"/>
      <c r="AC100" s="1199"/>
      <c r="AD100" s="2039"/>
      <c r="AE100" s="1053"/>
      <c r="AF100" s="2040"/>
      <c r="AG100" s="2041"/>
      <c r="AH100" s="2041"/>
      <c r="AI100" s="2041"/>
      <c r="AJ100" s="2041"/>
      <c r="AK100" s="2041"/>
      <c r="AL100" s="2041"/>
      <c r="AM100" s="2041"/>
      <c r="AN100" s="2041"/>
      <c r="AO100" s="2024"/>
      <c r="AP100" s="2022"/>
      <c r="AQ100" s="2025"/>
      <c r="AR100" s="2024"/>
      <c r="AS100" s="2025"/>
      <c r="AT100" s="2025"/>
      <c r="AU100" s="2025">
        <v>5000000</v>
      </c>
      <c r="AV100" s="2026" t="s">
        <v>1953</v>
      </c>
      <c r="AW100" s="2027"/>
    </row>
    <row r="101" spans="1:49" ht="21" customHeight="1">
      <c r="A101" s="2013"/>
      <c r="B101" s="2926" t="s">
        <v>2686</v>
      </c>
      <c r="C101" s="3060" t="s">
        <v>2567</v>
      </c>
      <c r="D101" s="2014"/>
      <c r="E101" s="2015"/>
      <c r="F101" s="2015"/>
      <c r="G101" s="2015"/>
      <c r="H101" s="2015"/>
      <c r="I101" s="2015"/>
      <c r="J101" s="2015"/>
      <c r="K101" s="2016"/>
      <c r="L101" s="2015"/>
      <c r="M101" s="2015"/>
      <c r="N101" s="2015"/>
      <c r="O101" s="2015"/>
      <c r="P101" s="2015"/>
      <c r="Q101" s="2015"/>
      <c r="R101" s="2015"/>
      <c r="S101" s="2015"/>
      <c r="T101" s="2015"/>
      <c r="U101" s="2017"/>
      <c r="V101" s="2017"/>
      <c r="W101" s="2017"/>
      <c r="X101" s="2017"/>
      <c r="Y101" s="2018"/>
      <c r="Z101" s="2015"/>
      <c r="AA101" s="2019"/>
      <c r="AB101" s="1931"/>
      <c r="AC101" s="2020"/>
      <c r="AD101" s="2019"/>
      <c r="AE101" s="1931"/>
      <c r="AF101" s="2021"/>
      <c r="AG101" s="2022"/>
      <c r="AH101" s="2022"/>
      <c r="AI101" s="2022"/>
      <c r="AJ101" s="2022"/>
      <c r="AK101" s="2022"/>
      <c r="AL101" s="2022"/>
      <c r="AM101" s="2022"/>
      <c r="AN101" s="2022"/>
      <c r="AO101" s="3047"/>
      <c r="AP101" s="2022"/>
      <c r="AQ101" s="3061"/>
      <c r="AR101" s="3047"/>
      <c r="AS101" s="2025"/>
      <c r="AT101" s="2025"/>
      <c r="AU101" s="2025">
        <v>240750</v>
      </c>
      <c r="AV101" s="2026"/>
      <c r="AW101" s="2027"/>
    </row>
    <row r="102" spans="1:49" ht="21" customHeight="1">
      <c r="A102" s="3052"/>
      <c r="B102" s="2619" t="s">
        <v>2687</v>
      </c>
      <c r="C102" s="3066" t="s">
        <v>2547</v>
      </c>
      <c r="D102" s="3067"/>
      <c r="E102" s="2622"/>
      <c r="F102" s="2622"/>
      <c r="G102" s="2622"/>
      <c r="H102" s="2622"/>
      <c r="I102" s="2622"/>
      <c r="J102" s="2622"/>
      <c r="K102" s="2623"/>
      <c r="L102" s="2622"/>
      <c r="M102" s="2622"/>
      <c r="N102" s="2622"/>
      <c r="O102" s="2622"/>
      <c r="P102" s="2622"/>
      <c r="Q102" s="2622"/>
      <c r="R102" s="2622"/>
      <c r="S102" s="2622"/>
      <c r="T102" s="2622"/>
      <c r="U102" s="2622"/>
      <c r="V102" s="2622"/>
      <c r="W102" s="2622"/>
      <c r="X102" s="2622"/>
      <c r="Y102" s="2622"/>
      <c r="Z102" s="2622"/>
      <c r="AA102" s="3013"/>
      <c r="AB102" s="2622"/>
      <c r="AC102" s="2999"/>
      <c r="AD102" s="3013"/>
      <c r="AE102" s="2622"/>
      <c r="AF102" s="2998"/>
      <c r="AG102" s="3015"/>
      <c r="AH102" s="3015"/>
      <c r="AI102" s="3015"/>
      <c r="AJ102" s="3000"/>
      <c r="AK102" s="3016"/>
      <c r="AL102" s="3000"/>
      <c r="AM102" s="3000"/>
      <c r="AN102" s="3001"/>
      <c r="AO102" s="2997"/>
      <c r="AP102" s="3001"/>
      <c r="AQ102" s="3001"/>
      <c r="AR102" s="2997"/>
      <c r="AS102" s="3001"/>
      <c r="AT102" s="3001"/>
      <c r="AU102" s="3001"/>
      <c r="AV102" s="1110"/>
      <c r="AW102" s="1735"/>
    </row>
    <row r="103" spans="1:49" s="1155" customFormat="1" ht="21" customHeight="1">
      <c r="A103" s="2604"/>
      <c r="B103" s="2911" t="s">
        <v>2689</v>
      </c>
      <c r="C103" s="3062" t="s">
        <v>2545</v>
      </c>
      <c r="D103" s="2606"/>
      <c r="E103" s="1218"/>
      <c r="F103" s="1218"/>
      <c r="G103" s="1218"/>
      <c r="H103" s="1218"/>
      <c r="I103" s="1218"/>
      <c r="J103" s="1218"/>
      <c r="K103" s="2607"/>
      <c r="L103" s="1218"/>
      <c r="M103" s="1218"/>
      <c r="N103" s="1218"/>
      <c r="O103" s="1218"/>
      <c r="P103" s="1218"/>
      <c r="Q103" s="1218"/>
      <c r="R103" s="1218"/>
      <c r="S103" s="1218"/>
      <c r="T103" s="1218"/>
      <c r="U103" s="1218"/>
      <c r="V103" s="1218"/>
      <c r="W103" s="1218"/>
      <c r="X103" s="1218"/>
      <c r="Y103" s="1218">
        <v>4230600</v>
      </c>
      <c r="Z103" s="1218"/>
      <c r="AA103" s="2041">
        <v>0</v>
      </c>
      <c r="AB103" s="1218"/>
      <c r="AC103" s="1164" t="e">
        <f t="shared" si="11"/>
        <v>#DIV/0!</v>
      </c>
      <c r="AD103" s="2041"/>
      <c r="AE103" s="1218"/>
      <c r="AF103" s="2041">
        <v>0</v>
      </c>
      <c r="AG103" s="2041">
        <v>0</v>
      </c>
      <c r="AH103" s="2041"/>
      <c r="AI103" s="2041"/>
      <c r="AJ103" s="3063">
        <f t="shared" si="10"/>
        <v>0</v>
      </c>
      <c r="AK103" s="3064">
        <v>0</v>
      </c>
      <c r="AL103" s="3063"/>
      <c r="AM103" s="3063"/>
      <c r="AN103" s="2567">
        <v>4500000</v>
      </c>
      <c r="AO103" s="1685">
        <v>0</v>
      </c>
      <c r="AP103" s="2567"/>
      <c r="AQ103" s="2567"/>
      <c r="AR103" s="2592">
        <v>0</v>
      </c>
      <c r="AS103" s="2567"/>
      <c r="AT103" s="2567"/>
      <c r="AU103" s="3065">
        <v>4230000</v>
      </c>
      <c r="AV103" s="1158"/>
      <c r="AW103" s="1672"/>
    </row>
    <row r="104" spans="1:49" s="1155" customFormat="1" ht="21" customHeight="1">
      <c r="A104" s="1172"/>
      <c r="B104" s="2912" t="s">
        <v>2690</v>
      </c>
      <c r="C104" s="1175" t="s">
        <v>683</v>
      </c>
      <c r="D104" s="1173"/>
      <c r="E104" s="1116"/>
      <c r="F104" s="1116"/>
      <c r="G104" s="1116"/>
      <c r="H104" s="1116"/>
      <c r="I104" s="1116"/>
      <c r="J104" s="1116"/>
      <c r="K104" s="1115"/>
      <c r="L104" s="1116"/>
      <c r="M104" s="1116"/>
      <c r="N104" s="1116"/>
      <c r="O104" s="1116"/>
      <c r="P104" s="1116"/>
      <c r="Q104" s="1116"/>
      <c r="R104" s="1116"/>
      <c r="S104" s="1116"/>
      <c r="T104" s="1116"/>
      <c r="U104" s="1116"/>
      <c r="V104" s="1116"/>
      <c r="W104" s="1116"/>
      <c r="X104" s="1116"/>
      <c r="Y104" s="1116">
        <v>1800000</v>
      </c>
      <c r="Z104" s="1116"/>
      <c r="AA104" s="1075">
        <v>0</v>
      </c>
      <c r="AB104" s="1116"/>
      <c r="AC104" s="1038" t="e">
        <f t="shared" si="11"/>
        <v>#DIV/0!</v>
      </c>
      <c r="AD104" s="1075"/>
      <c r="AE104" s="1116"/>
      <c r="AF104" s="1116">
        <f>+Y104</f>
        <v>1800000</v>
      </c>
      <c r="AG104" s="1163">
        <v>0</v>
      </c>
      <c r="AH104" s="1163"/>
      <c r="AI104" s="1163"/>
      <c r="AJ104" s="1127">
        <f t="shared" si="10"/>
        <v>1800000</v>
      </c>
      <c r="AK104" s="1166">
        <v>0</v>
      </c>
      <c r="AL104" s="1127"/>
      <c r="AM104" s="1127"/>
      <c r="AN104" s="1458"/>
      <c r="AO104" s="1674">
        <v>0</v>
      </c>
      <c r="AP104" s="1458"/>
      <c r="AQ104" s="1458"/>
      <c r="AR104" s="1678">
        <v>0</v>
      </c>
      <c r="AS104" s="1458"/>
      <c r="AT104" s="1458"/>
      <c r="AU104" s="1165"/>
      <c r="AV104" s="1158"/>
      <c r="AW104" s="1458"/>
    </row>
    <row r="105" spans="1:49" s="1155" customFormat="1" ht="21" customHeight="1">
      <c r="A105" s="1172"/>
      <c r="B105" s="2912" t="s">
        <v>2691</v>
      </c>
      <c r="C105" s="2028" t="s">
        <v>2544</v>
      </c>
      <c r="D105" s="1173"/>
      <c r="E105" s="1116"/>
      <c r="F105" s="1116"/>
      <c r="G105" s="1116"/>
      <c r="H105" s="1116"/>
      <c r="I105" s="1116"/>
      <c r="J105" s="1116"/>
      <c r="K105" s="1115"/>
      <c r="L105" s="1116"/>
      <c r="M105" s="1116"/>
      <c r="N105" s="1116"/>
      <c r="O105" s="1116"/>
      <c r="P105" s="1116"/>
      <c r="Q105" s="1116"/>
      <c r="R105" s="1116"/>
      <c r="S105" s="1116"/>
      <c r="T105" s="1116"/>
      <c r="U105" s="1116"/>
      <c r="V105" s="1116"/>
      <c r="W105" s="1116"/>
      <c r="X105" s="1116"/>
      <c r="Y105" s="1116"/>
      <c r="Z105" s="1116"/>
      <c r="AA105" s="1075"/>
      <c r="AB105" s="1116"/>
      <c r="AC105" s="1145"/>
      <c r="AD105" s="1075"/>
      <c r="AE105" s="1116"/>
      <c r="AF105" s="1116"/>
      <c r="AG105" s="1163"/>
      <c r="AH105" s="1163"/>
      <c r="AI105" s="1163"/>
      <c r="AJ105" s="1125"/>
      <c r="AK105" s="1181"/>
      <c r="AL105" s="1125"/>
      <c r="AM105" s="1125"/>
      <c r="AN105" s="1065"/>
      <c r="AO105" s="1159"/>
      <c r="AP105" s="1065"/>
      <c r="AQ105" s="1065"/>
      <c r="AR105" s="1159"/>
      <c r="AS105" s="1065"/>
      <c r="AT105" s="1065"/>
      <c r="AU105" s="1219">
        <v>800000</v>
      </c>
      <c r="AV105" s="1071"/>
      <c r="AW105" s="1071"/>
    </row>
    <row r="106" spans="1:49" ht="21" customHeight="1">
      <c r="A106" s="1170"/>
      <c r="B106" s="2912" t="s">
        <v>2692</v>
      </c>
      <c r="C106" s="1180" t="s">
        <v>2546</v>
      </c>
      <c r="D106" s="1171"/>
      <c r="E106" s="1065"/>
      <c r="F106" s="1065"/>
      <c r="G106" s="1065"/>
      <c r="H106" s="1065"/>
      <c r="I106" s="1065"/>
      <c r="J106" s="1065"/>
      <c r="K106" s="1066"/>
      <c r="L106" s="1065"/>
      <c r="M106" s="1065"/>
      <c r="N106" s="1065"/>
      <c r="O106" s="1065"/>
      <c r="P106" s="1065"/>
      <c r="Q106" s="1065"/>
      <c r="R106" s="1065"/>
      <c r="S106" s="1065"/>
      <c r="T106" s="1065"/>
      <c r="U106" s="1065"/>
      <c r="V106" s="1065"/>
      <c r="W106" s="1065"/>
      <c r="X106" s="1065"/>
      <c r="Y106" s="1065">
        <v>310000</v>
      </c>
      <c r="Z106" s="1065"/>
      <c r="AA106" s="1075">
        <v>0</v>
      </c>
      <c r="AB106" s="1065"/>
      <c r="AC106" s="1145" t="e">
        <f>+(Y106-R106)/R106*100</f>
        <v>#DIV/0!</v>
      </c>
      <c r="AD106" s="1075"/>
      <c r="AE106" s="1065"/>
      <c r="AF106" s="1116">
        <f t="shared" ref="AF106:AF107" si="15">+Y106</f>
        <v>310000</v>
      </c>
      <c r="AG106" s="1163">
        <v>0</v>
      </c>
      <c r="AH106" s="1163"/>
      <c r="AI106" s="1163"/>
      <c r="AJ106" s="1125">
        <f>+AF106</f>
        <v>310000</v>
      </c>
      <c r="AK106" s="1181">
        <v>0</v>
      </c>
      <c r="AL106" s="1125"/>
      <c r="AM106" s="1125"/>
      <c r="AN106" s="1065">
        <v>310000</v>
      </c>
      <c r="AO106" s="1676">
        <v>0</v>
      </c>
      <c r="AP106" s="1065"/>
      <c r="AQ106" s="1065"/>
      <c r="AR106" s="1676">
        <v>0</v>
      </c>
      <c r="AS106" s="1065"/>
      <c r="AT106" s="1065"/>
      <c r="AU106" s="1065">
        <v>310000</v>
      </c>
      <c r="AV106" s="1071"/>
      <c r="AW106" s="1071"/>
    </row>
    <row r="107" spans="1:49" ht="21" customHeight="1">
      <c r="A107" s="1170"/>
      <c r="B107" s="2912" t="s">
        <v>2693</v>
      </c>
      <c r="C107" s="1180" t="s">
        <v>2548</v>
      </c>
      <c r="D107" s="1171"/>
      <c r="E107" s="1065"/>
      <c r="F107" s="1065"/>
      <c r="G107" s="1065"/>
      <c r="H107" s="1065"/>
      <c r="I107" s="1065"/>
      <c r="J107" s="1065"/>
      <c r="K107" s="1066"/>
      <c r="L107" s="1065"/>
      <c r="M107" s="1065"/>
      <c r="N107" s="1065"/>
      <c r="O107" s="1065"/>
      <c r="P107" s="1065"/>
      <c r="Q107" s="1065"/>
      <c r="R107" s="1065"/>
      <c r="S107" s="1065"/>
      <c r="T107" s="1065"/>
      <c r="U107" s="1065"/>
      <c r="V107" s="1065"/>
      <c r="W107" s="1065"/>
      <c r="X107" s="1065"/>
      <c r="Y107" s="1065">
        <v>2000000</v>
      </c>
      <c r="Z107" s="1065"/>
      <c r="AA107" s="1075">
        <v>0</v>
      </c>
      <c r="AB107" s="1065"/>
      <c r="AC107" s="1145" t="e">
        <f>+(Y107-R107)/R107*100</f>
        <v>#DIV/0!</v>
      </c>
      <c r="AD107" s="1075"/>
      <c r="AE107" s="1065"/>
      <c r="AF107" s="1116">
        <f t="shared" si="15"/>
        <v>2000000</v>
      </c>
      <c r="AG107" s="1163">
        <v>0</v>
      </c>
      <c r="AH107" s="1163"/>
      <c r="AI107" s="1163"/>
      <c r="AJ107" s="1125">
        <f>+AF107</f>
        <v>2000000</v>
      </c>
      <c r="AK107" s="1181">
        <v>0</v>
      </c>
      <c r="AL107" s="1125"/>
      <c r="AM107" s="1125"/>
      <c r="AN107" s="1065">
        <v>2000000</v>
      </c>
      <c r="AO107" s="1676">
        <v>0</v>
      </c>
      <c r="AP107" s="1065"/>
      <c r="AQ107" s="1065"/>
      <c r="AR107" s="1676">
        <v>0</v>
      </c>
      <c r="AS107" s="1065"/>
      <c r="AT107" s="1065"/>
      <c r="AU107" s="1065">
        <v>2000000</v>
      </c>
      <c r="AV107" s="1071"/>
      <c r="AW107" s="1071"/>
    </row>
    <row r="108" spans="1:49" s="1191" customFormat="1" ht="21" customHeight="1">
      <c r="A108" s="1182"/>
      <c r="B108" s="2912" t="s">
        <v>2694</v>
      </c>
      <c r="C108" s="2521" t="s">
        <v>2551</v>
      </c>
      <c r="D108" s="1184"/>
      <c r="E108" s="1185"/>
      <c r="F108" s="1185"/>
      <c r="G108" s="1185"/>
      <c r="H108" s="1185"/>
      <c r="I108" s="1185"/>
      <c r="J108" s="1185"/>
      <c r="K108" s="1186"/>
      <c r="L108" s="1185"/>
      <c r="M108" s="1185"/>
      <c r="N108" s="1185"/>
      <c r="O108" s="1185"/>
      <c r="P108" s="1185"/>
      <c r="Q108" s="1185"/>
      <c r="R108" s="1185"/>
      <c r="S108" s="1185"/>
      <c r="T108" s="1185"/>
      <c r="U108" s="1192"/>
      <c r="V108" s="1192"/>
      <c r="W108" s="1192"/>
      <c r="X108" s="1192"/>
      <c r="Y108" s="1187"/>
      <c r="Z108" s="1185"/>
      <c r="AA108" s="1188"/>
      <c r="AB108" s="1185"/>
      <c r="AC108" s="1189"/>
      <c r="AD108" s="1188"/>
      <c r="AE108" s="1185"/>
      <c r="AF108" s="1421"/>
      <c r="AG108" s="1422"/>
      <c r="AH108" s="1422"/>
      <c r="AI108" s="1422"/>
      <c r="AJ108" s="1187"/>
      <c r="AK108" s="1423"/>
      <c r="AL108" s="1423"/>
      <c r="AM108" s="1423"/>
      <c r="AN108" s="1639">
        <v>200000</v>
      </c>
      <c r="AO108" s="1675">
        <v>0</v>
      </c>
      <c r="AP108" s="1686"/>
      <c r="AQ108" s="1686"/>
      <c r="AR108" s="1678">
        <v>0</v>
      </c>
      <c r="AS108" s="1686"/>
      <c r="AT108" s="1686"/>
      <c r="AU108" s="1639">
        <v>200000</v>
      </c>
      <c r="AV108" s="1706"/>
      <c r="AW108" s="1469"/>
    </row>
    <row r="109" spans="1:49" ht="21" customHeight="1">
      <c r="A109" s="2013"/>
      <c r="B109" s="2912" t="s">
        <v>2695</v>
      </c>
      <c r="C109" s="1913" t="s">
        <v>2565</v>
      </c>
      <c r="D109" s="1202"/>
      <c r="E109" s="1203"/>
      <c r="F109" s="1203"/>
      <c r="G109" s="1203"/>
      <c r="H109" s="1203"/>
      <c r="I109" s="1203"/>
      <c r="J109" s="1203"/>
      <c r="K109" s="1204"/>
      <c r="L109" s="1203"/>
      <c r="M109" s="1203"/>
      <c r="N109" s="1203"/>
      <c r="O109" s="1203"/>
      <c r="P109" s="1203"/>
      <c r="Q109" s="1203"/>
      <c r="R109" s="1203"/>
      <c r="S109" s="1203"/>
      <c r="T109" s="1203"/>
      <c r="U109" s="1205"/>
      <c r="V109" s="1205"/>
      <c r="W109" s="1205"/>
      <c r="X109" s="1205"/>
      <c r="Y109" s="1063"/>
      <c r="Z109" s="1203"/>
      <c r="AA109" s="1075"/>
      <c r="AB109" s="1065"/>
      <c r="AC109" s="1145"/>
      <c r="AD109" s="1075"/>
      <c r="AE109" s="1065"/>
      <c r="AF109" s="1195"/>
      <c r="AG109" s="1163"/>
      <c r="AH109" s="1163"/>
      <c r="AI109" s="1163"/>
      <c r="AJ109" s="1163"/>
      <c r="AK109" s="1163"/>
      <c r="AL109" s="1163"/>
      <c r="AM109" s="1163"/>
      <c r="AN109" s="1163"/>
      <c r="AO109" s="2242"/>
      <c r="AP109" s="2041"/>
      <c r="AQ109" s="2243"/>
      <c r="AR109" s="2242"/>
      <c r="AS109" s="2243"/>
      <c r="AT109" s="2243"/>
      <c r="AU109" s="2243">
        <v>1200000</v>
      </c>
      <c r="AV109" s="2026"/>
      <c r="AW109" s="2027"/>
    </row>
    <row r="110" spans="1:49" ht="21" customHeight="1">
      <c r="A110" s="2013"/>
      <c r="B110" s="2926" t="s">
        <v>2696</v>
      </c>
      <c r="C110" s="3068" t="s">
        <v>2566</v>
      </c>
      <c r="D110" s="3042"/>
      <c r="E110" s="3043"/>
      <c r="F110" s="3043"/>
      <c r="G110" s="3043"/>
      <c r="H110" s="3043"/>
      <c r="I110" s="3043"/>
      <c r="J110" s="3043"/>
      <c r="K110" s="3044"/>
      <c r="L110" s="3043"/>
      <c r="M110" s="3043"/>
      <c r="N110" s="3043"/>
      <c r="O110" s="3043"/>
      <c r="P110" s="3043"/>
      <c r="Q110" s="3043"/>
      <c r="R110" s="3043"/>
      <c r="S110" s="3043"/>
      <c r="T110" s="3043"/>
      <c r="U110" s="3045"/>
      <c r="V110" s="3045"/>
      <c r="W110" s="3045"/>
      <c r="X110" s="3045"/>
      <c r="Y110" s="1206"/>
      <c r="Z110" s="3043"/>
      <c r="AA110" s="3005"/>
      <c r="AB110" s="1114"/>
      <c r="AC110" s="1207"/>
      <c r="AD110" s="3005"/>
      <c r="AE110" s="1114"/>
      <c r="AF110" s="3046"/>
      <c r="AG110" s="1701"/>
      <c r="AH110" s="1701"/>
      <c r="AI110" s="1701"/>
      <c r="AJ110" s="1701"/>
      <c r="AK110" s="1701"/>
      <c r="AL110" s="1701"/>
      <c r="AM110" s="1701"/>
      <c r="AN110" s="1701"/>
      <c r="AO110" s="3069"/>
      <c r="AP110" s="1701"/>
      <c r="AQ110" s="3070"/>
      <c r="AR110" s="3069"/>
      <c r="AS110" s="3070"/>
      <c r="AT110" s="3070"/>
      <c r="AU110" s="3070">
        <v>490000</v>
      </c>
      <c r="AV110" s="2026"/>
      <c r="AW110" s="2027"/>
    </row>
    <row r="111" spans="1:49" s="1155" customFormat="1" ht="21" customHeight="1">
      <c r="A111" s="3076"/>
      <c r="B111" s="2619" t="s">
        <v>2688</v>
      </c>
      <c r="C111" s="3072" t="s">
        <v>2540</v>
      </c>
      <c r="D111" s="3073"/>
      <c r="E111" s="2998"/>
      <c r="F111" s="2998"/>
      <c r="G111" s="2998"/>
      <c r="H111" s="2998"/>
      <c r="I111" s="2998"/>
      <c r="J111" s="2998"/>
      <c r="K111" s="3074"/>
      <c r="L111" s="2998"/>
      <c r="M111" s="2998"/>
      <c r="N111" s="2998"/>
      <c r="O111" s="2998"/>
      <c r="P111" s="2998"/>
      <c r="Q111" s="2998"/>
      <c r="R111" s="2998"/>
      <c r="S111" s="2998"/>
      <c r="T111" s="2998"/>
      <c r="U111" s="2998"/>
      <c r="V111" s="2998"/>
      <c r="W111" s="2998"/>
      <c r="X111" s="2998"/>
      <c r="Y111" s="2998"/>
      <c r="Z111" s="2998"/>
      <c r="AA111" s="3013"/>
      <c r="AB111" s="2998"/>
      <c r="AC111" s="2999"/>
      <c r="AD111" s="3013"/>
      <c r="AE111" s="2998"/>
      <c r="AF111" s="2998"/>
      <c r="AG111" s="3015"/>
      <c r="AH111" s="3015"/>
      <c r="AI111" s="3015"/>
      <c r="AJ111" s="3000"/>
      <c r="AK111" s="3016"/>
      <c r="AL111" s="3000"/>
      <c r="AM111" s="3000"/>
      <c r="AN111" s="3075"/>
      <c r="AO111" s="2997"/>
      <c r="AP111" s="3075"/>
      <c r="AQ111" s="3075"/>
      <c r="AR111" s="2997"/>
      <c r="AS111" s="3075"/>
      <c r="AT111" s="3075"/>
      <c r="AU111" s="3075"/>
      <c r="AV111" s="2512"/>
      <c r="AW111" s="1458"/>
    </row>
    <row r="112" spans="1:49" s="1179" customFormat="1" ht="21" customHeight="1">
      <c r="A112" s="3008"/>
      <c r="B112" s="2911" t="s">
        <v>2700</v>
      </c>
      <c r="C112" s="3071" t="s">
        <v>2541</v>
      </c>
      <c r="D112" s="3010"/>
      <c r="E112" s="1053"/>
      <c r="F112" s="1053"/>
      <c r="G112" s="1053"/>
      <c r="H112" s="1053"/>
      <c r="I112" s="1053"/>
      <c r="J112" s="1053"/>
      <c r="K112" s="2580"/>
      <c r="L112" s="1053"/>
      <c r="M112" s="1053"/>
      <c r="N112" s="1053"/>
      <c r="O112" s="1053"/>
      <c r="P112" s="1053"/>
      <c r="Q112" s="1053"/>
      <c r="R112" s="1053"/>
      <c r="S112" s="1053"/>
      <c r="T112" s="1053"/>
      <c r="U112" s="1053"/>
      <c r="V112" s="1053"/>
      <c r="W112" s="1053"/>
      <c r="X112" s="1053"/>
      <c r="Y112" s="1053">
        <v>720000</v>
      </c>
      <c r="Z112" s="1053"/>
      <c r="AA112" s="2039">
        <v>0</v>
      </c>
      <c r="AB112" s="1053"/>
      <c r="AC112" s="1199" t="e">
        <f t="shared" si="11"/>
        <v>#DIV/0!</v>
      </c>
      <c r="AD112" s="2039">
        <v>119840</v>
      </c>
      <c r="AE112" s="1053"/>
      <c r="AF112" s="1053">
        <f t="shared" ref="AF112:AF113" si="16">+Y112</f>
        <v>720000</v>
      </c>
      <c r="AG112" s="1053">
        <v>299600</v>
      </c>
      <c r="AH112" s="1053"/>
      <c r="AI112" s="1053"/>
      <c r="AJ112" s="2536">
        <f t="shared" si="10"/>
        <v>720000</v>
      </c>
      <c r="AK112" s="2536">
        <v>359520</v>
      </c>
      <c r="AL112" s="2536"/>
      <c r="AM112" s="2536"/>
      <c r="AN112" s="1053">
        <v>720000</v>
      </c>
      <c r="AO112" s="1053">
        <v>239333.32</v>
      </c>
      <c r="AP112" s="1053"/>
      <c r="AQ112" s="1053"/>
      <c r="AR112" s="1053">
        <v>358999.98</v>
      </c>
      <c r="AS112" s="1053"/>
      <c r="AT112" s="1053"/>
      <c r="AU112" s="1053">
        <v>720000</v>
      </c>
      <c r="AV112" s="1071"/>
      <c r="AW112" s="1071"/>
    </row>
    <row r="113" spans="1:49" s="1155" customFormat="1" ht="21.75" hidden="1" customHeight="1">
      <c r="A113" s="1172"/>
      <c r="B113" s="2912" t="s">
        <v>2698</v>
      </c>
      <c r="C113" s="1180" t="s">
        <v>1506</v>
      </c>
      <c r="D113" s="1173"/>
      <c r="E113" s="1116"/>
      <c r="F113" s="1116"/>
      <c r="G113" s="1116"/>
      <c r="H113" s="1116"/>
      <c r="I113" s="1116"/>
      <c r="J113" s="1116"/>
      <c r="K113" s="1115"/>
      <c r="L113" s="1116"/>
      <c r="M113" s="1116"/>
      <c r="N113" s="1116"/>
      <c r="O113" s="1116"/>
      <c r="P113" s="1116"/>
      <c r="Q113" s="1116"/>
      <c r="R113" s="1116"/>
      <c r="S113" s="1116"/>
      <c r="T113" s="1116"/>
      <c r="U113" s="1116"/>
      <c r="V113" s="1116"/>
      <c r="W113" s="1116"/>
      <c r="X113" s="1116"/>
      <c r="Y113" s="1116">
        <v>50000</v>
      </c>
      <c r="Z113" s="1116"/>
      <c r="AA113" s="1075">
        <v>0</v>
      </c>
      <c r="AB113" s="1116"/>
      <c r="AC113" s="1145" t="e">
        <f t="shared" ref="AC113" si="17">+(Y113-R113)/R113*100</f>
        <v>#DIV/0!</v>
      </c>
      <c r="AD113" s="1075"/>
      <c r="AE113" s="1116"/>
      <c r="AF113" s="1116">
        <f t="shared" si="16"/>
        <v>50000</v>
      </c>
      <c r="AG113" s="1163">
        <v>0</v>
      </c>
      <c r="AH113" s="1163"/>
      <c r="AI113" s="1163"/>
      <c r="AJ113" s="1125">
        <f t="shared" si="10"/>
        <v>50000</v>
      </c>
      <c r="AK113" s="1404">
        <v>0</v>
      </c>
      <c r="AL113" s="1152"/>
      <c r="AM113" s="1152"/>
      <c r="AN113" s="2029">
        <v>0</v>
      </c>
      <c r="AO113" s="1675">
        <v>0</v>
      </c>
      <c r="AP113" s="2029"/>
      <c r="AQ113" s="2029"/>
      <c r="AR113" s="1676">
        <v>0</v>
      </c>
      <c r="AS113" s="2029"/>
      <c r="AT113" s="2029"/>
      <c r="AU113" s="2029"/>
      <c r="AV113" s="1118"/>
      <c r="AW113" s="1463"/>
    </row>
    <row r="114" spans="1:49" s="1191" customFormat="1" ht="23.25" hidden="1" customHeight="1">
      <c r="A114" s="1182"/>
      <c r="B114" s="2912" t="s">
        <v>2699</v>
      </c>
      <c r="C114" s="1183" t="s">
        <v>692</v>
      </c>
      <c r="D114" s="1184"/>
      <c r="E114" s="1185"/>
      <c r="F114" s="1185"/>
      <c r="G114" s="1185"/>
      <c r="H114" s="1185"/>
      <c r="I114" s="1185"/>
      <c r="J114" s="1185"/>
      <c r="K114" s="1186"/>
      <c r="L114" s="1185"/>
      <c r="M114" s="1185"/>
      <c r="N114" s="1185"/>
      <c r="O114" s="1185"/>
      <c r="P114" s="1185"/>
      <c r="Q114" s="1185"/>
      <c r="R114" s="1185"/>
      <c r="S114" s="1185"/>
      <c r="T114" s="1185"/>
      <c r="U114" s="1185"/>
      <c r="V114" s="1185"/>
      <c r="W114" s="1185"/>
      <c r="X114" s="1185"/>
      <c r="Y114" s="1187"/>
      <c r="Z114" s="1185"/>
      <c r="AA114" s="1188"/>
      <c r="AB114" s="1185"/>
      <c r="AC114" s="1189" t="e">
        <f>+(AF114-R114)/R114*100</f>
        <v>#DIV/0!</v>
      </c>
      <c r="AD114" s="1188"/>
      <c r="AE114" s="1185"/>
      <c r="AF114" s="1065">
        <v>39690</v>
      </c>
      <c r="AG114" s="1163">
        <v>0</v>
      </c>
      <c r="AH114" s="1163"/>
      <c r="AI114" s="1163"/>
      <c r="AJ114" s="1125">
        <f t="shared" si="10"/>
        <v>39690</v>
      </c>
      <c r="AK114" s="1125">
        <v>39690</v>
      </c>
      <c r="AL114" s="1125"/>
      <c r="AM114" s="1125"/>
      <c r="AN114" s="1126">
        <v>0</v>
      </c>
      <c r="AO114" s="1676">
        <v>0</v>
      </c>
      <c r="AP114" s="1126"/>
      <c r="AQ114" s="1126"/>
      <c r="AR114" s="1676">
        <v>0</v>
      </c>
      <c r="AS114" s="1126"/>
      <c r="AT114" s="1126"/>
      <c r="AU114" s="1126">
        <v>0</v>
      </c>
      <c r="AV114" s="1190"/>
      <c r="AW114" s="1464"/>
    </row>
    <row r="115" spans="1:49" s="2533" customFormat="1" ht="43.5">
      <c r="A115" s="3077"/>
      <c r="B115" s="3002" t="s">
        <v>2701</v>
      </c>
      <c r="C115" s="3078" t="s">
        <v>2598</v>
      </c>
      <c r="D115" s="3079"/>
      <c r="E115" s="3080"/>
      <c r="F115" s="3080"/>
      <c r="G115" s="3080"/>
      <c r="H115" s="3080"/>
      <c r="I115" s="3080"/>
      <c r="J115" s="3080"/>
      <c r="K115" s="3081"/>
      <c r="L115" s="3080"/>
      <c r="M115" s="3080"/>
      <c r="N115" s="3080"/>
      <c r="O115" s="3080"/>
      <c r="P115" s="3080"/>
      <c r="Q115" s="3080"/>
      <c r="R115" s="3080"/>
      <c r="S115" s="3080"/>
      <c r="T115" s="3080"/>
      <c r="U115" s="3080"/>
      <c r="V115" s="3080"/>
      <c r="W115" s="3080"/>
      <c r="X115" s="3080"/>
      <c r="Y115" s="3082"/>
      <c r="Z115" s="3080"/>
      <c r="AA115" s="3083"/>
      <c r="AB115" s="3080"/>
      <c r="AC115" s="3084"/>
      <c r="AD115" s="3083"/>
      <c r="AE115" s="3080"/>
      <c r="AF115" s="1241"/>
      <c r="AG115" s="1701"/>
      <c r="AH115" s="1701"/>
      <c r="AI115" s="1701"/>
      <c r="AJ115" s="3085"/>
      <c r="AK115" s="3085"/>
      <c r="AL115" s="3085"/>
      <c r="AM115" s="3085"/>
      <c r="AN115" s="3086"/>
      <c r="AO115" s="3087"/>
      <c r="AP115" s="3086"/>
      <c r="AQ115" s="3086"/>
      <c r="AR115" s="3087"/>
      <c r="AS115" s="3086"/>
      <c r="AT115" s="3086"/>
      <c r="AU115" s="3086">
        <v>2400000</v>
      </c>
      <c r="AV115" s="2549"/>
      <c r="AW115" s="2550"/>
    </row>
    <row r="116" spans="1:49" s="1191" customFormat="1" ht="23.25" customHeight="1">
      <c r="A116" s="3099"/>
      <c r="B116" s="2619" t="s">
        <v>2697</v>
      </c>
      <c r="C116" s="3088" t="s">
        <v>2556</v>
      </c>
      <c r="D116" s="3089"/>
      <c r="E116" s="3090"/>
      <c r="F116" s="3090"/>
      <c r="G116" s="3090"/>
      <c r="H116" s="3090"/>
      <c r="I116" s="3090"/>
      <c r="J116" s="3090"/>
      <c r="K116" s="3091"/>
      <c r="L116" s="3090"/>
      <c r="M116" s="3090"/>
      <c r="N116" s="3090"/>
      <c r="O116" s="3090"/>
      <c r="P116" s="3090"/>
      <c r="Q116" s="3090"/>
      <c r="R116" s="3090"/>
      <c r="S116" s="3090"/>
      <c r="T116" s="3090"/>
      <c r="U116" s="3090"/>
      <c r="V116" s="3090"/>
      <c r="W116" s="3090"/>
      <c r="X116" s="3090"/>
      <c r="Y116" s="3092"/>
      <c r="Z116" s="3090"/>
      <c r="AA116" s="3093"/>
      <c r="AB116" s="3090"/>
      <c r="AC116" s="3094"/>
      <c r="AD116" s="3093"/>
      <c r="AE116" s="3090"/>
      <c r="AF116" s="2625"/>
      <c r="AG116" s="3095"/>
      <c r="AH116" s="3095"/>
      <c r="AI116" s="3095"/>
      <c r="AJ116" s="3096"/>
      <c r="AK116" s="3096"/>
      <c r="AL116" s="3096"/>
      <c r="AM116" s="3096"/>
      <c r="AN116" s="3097"/>
      <c r="AO116" s="3098"/>
      <c r="AP116" s="3097"/>
      <c r="AQ116" s="3097"/>
      <c r="AR116" s="3098"/>
      <c r="AS116" s="3097"/>
      <c r="AT116" s="3097"/>
      <c r="AU116" s="3097"/>
      <c r="AV116" s="2523"/>
      <c r="AW116" s="2522"/>
    </row>
    <row r="117" spans="1:49" ht="20.25" customHeight="1">
      <c r="A117" s="2568"/>
      <c r="B117" s="2911" t="s">
        <v>2702</v>
      </c>
      <c r="C117" s="2569" t="s">
        <v>2557</v>
      </c>
      <c r="D117" s="2570"/>
      <c r="E117" s="2571"/>
      <c r="F117" s="2571"/>
      <c r="G117" s="2571"/>
      <c r="H117" s="2571"/>
      <c r="I117" s="2571"/>
      <c r="J117" s="2571"/>
      <c r="K117" s="2572"/>
      <c r="L117" s="2571"/>
      <c r="M117" s="2571"/>
      <c r="N117" s="2571"/>
      <c r="O117" s="2571"/>
      <c r="P117" s="2571"/>
      <c r="Q117" s="2571"/>
      <c r="R117" s="2571"/>
      <c r="S117" s="2571"/>
      <c r="T117" s="2571"/>
      <c r="U117" s="2573"/>
      <c r="V117" s="2573"/>
      <c r="W117" s="2573"/>
      <c r="X117" s="2573"/>
      <c r="Y117" s="2574"/>
      <c r="Z117" s="2571"/>
      <c r="AA117" s="2575"/>
      <c r="AB117" s="2571"/>
      <c r="AC117" s="1199"/>
      <c r="AD117" s="2575"/>
      <c r="AE117" s="2571"/>
      <c r="AF117" s="2571">
        <v>490000</v>
      </c>
      <c r="AG117" s="2576">
        <v>0</v>
      </c>
      <c r="AH117" s="2576"/>
      <c r="AI117" s="2576"/>
      <c r="AJ117" s="2576">
        <f t="shared" ref="AJ117:AJ121" si="18">+AF117</f>
        <v>490000</v>
      </c>
      <c r="AK117" s="2577">
        <v>0</v>
      </c>
      <c r="AL117" s="2576"/>
      <c r="AM117" s="2576"/>
      <c r="AN117" s="2571">
        <v>490000</v>
      </c>
      <c r="AO117" s="1674">
        <v>0</v>
      </c>
      <c r="AP117" s="2571"/>
      <c r="AQ117" s="2571"/>
      <c r="AR117" s="2242">
        <v>0</v>
      </c>
      <c r="AS117" s="2578"/>
      <c r="AT117" s="2578"/>
      <c r="AU117" s="2571">
        <v>490000</v>
      </c>
      <c r="AV117" s="1703"/>
      <c r="AW117" s="1200"/>
    </row>
    <row r="118" spans="1:49" s="1155" customFormat="1" ht="43.5">
      <c r="A118" s="1172"/>
      <c r="B118" s="2913" t="s">
        <v>2703</v>
      </c>
      <c r="C118" s="1194" t="s">
        <v>2558</v>
      </c>
      <c r="D118" s="1173"/>
      <c r="E118" s="1116"/>
      <c r="F118" s="1116"/>
      <c r="G118" s="1116"/>
      <c r="H118" s="1116"/>
      <c r="I118" s="1116"/>
      <c r="J118" s="1116"/>
      <c r="K118" s="1115"/>
      <c r="L118" s="1116"/>
      <c r="M118" s="1116"/>
      <c r="N118" s="1116"/>
      <c r="O118" s="1116"/>
      <c r="P118" s="1116"/>
      <c r="Q118" s="1116"/>
      <c r="R118" s="1116"/>
      <c r="S118" s="1116"/>
      <c r="T118" s="1116"/>
      <c r="U118" s="1117"/>
      <c r="V118" s="1117"/>
      <c r="W118" s="1117"/>
      <c r="X118" s="1117"/>
      <c r="Y118" s="1157"/>
      <c r="Z118" s="1116"/>
      <c r="AA118" s="1163"/>
      <c r="AB118" s="1116"/>
      <c r="AC118" s="1196"/>
      <c r="AD118" s="1163"/>
      <c r="AE118" s="1116"/>
      <c r="AF118" s="1195">
        <v>500000</v>
      </c>
      <c r="AG118" s="1163">
        <v>0</v>
      </c>
      <c r="AH118" s="1163"/>
      <c r="AI118" s="1163"/>
      <c r="AJ118" s="1163">
        <f t="shared" si="18"/>
        <v>500000</v>
      </c>
      <c r="AK118" s="1405">
        <v>0</v>
      </c>
      <c r="AL118" s="1163"/>
      <c r="AM118" s="1163"/>
      <c r="AN118" s="1116">
        <v>500000</v>
      </c>
      <c r="AO118" s="1675">
        <v>0</v>
      </c>
      <c r="AP118" s="1116"/>
      <c r="AQ118" s="1116"/>
      <c r="AR118" s="1912">
        <v>0</v>
      </c>
      <c r="AS118" s="1118"/>
      <c r="AT118" s="1118"/>
      <c r="AU118" s="1116">
        <v>500000</v>
      </c>
      <c r="AV118" s="1118"/>
      <c r="AW118" s="1118"/>
    </row>
    <row r="119" spans="1:49" s="1155" customFormat="1" ht="43.5">
      <c r="A119" s="2594"/>
      <c r="B119" s="2920" t="s">
        <v>2704</v>
      </c>
      <c r="C119" s="2613" t="s">
        <v>2559</v>
      </c>
      <c r="D119" s="2596"/>
      <c r="E119" s="1226"/>
      <c r="F119" s="1226"/>
      <c r="G119" s="1226"/>
      <c r="H119" s="1226"/>
      <c r="I119" s="1226"/>
      <c r="J119" s="1226"/>
      <c r="K119" s="2534"/>
      <c r="L119" s="1226"/>
      <c r="M119" s="1226"/>
      <c r="N119" s="1226"/>
      <c r="O119" s="1226"/>
      <c r="P119" s="1226"/>
      <c r="Q119" s="1226"/>
      <c r="R119" s="1226"/>
      <c r="S119" s="1226"/>
      <c r="T119" s="1226"/>
      <c r="U119" s="2535"/>
      <c r="V119" s="2535"/>
      <c r="W119" s="2535"/>
      <c r="X119" s="2535"/>
      <c r="Y119" s="1326"/>
      <c r="Z119" s="1226"/>
      <c r="AA119" s="2042"/>
      <c r="AB119" s="1226"/>
      <c r="AC119" s="2597"/>
      <c r="AD119" s="2042"/>
      <c r="AE119" s="1226"/>
      <c r="AF119" s="2598">
        <v>300000</v>
      </c>
      <c r="AG119" s="2042">
        <v>0</v>
      </c>
      <c r="AH119" s="2042"/>
      <c r="AI119" s="2042"/>
      <c r="AJ119" s="2042">
        <f t="shared" si="18"/>
        <v>300000</v>
      </c>
      <c r="AK119" s="2579">
        <v>0</v>
      </c>
      <c r="AL119" s="2042"/>
      <c r="AM119" s="2042"/>
      <c r="AN119" s="1226">
        <v>300000</v>
      </c>
      <c r="AO119" s="2601">
        <v>0</v>
      </c>
      <c r="AP119" s="1226"/>
      <c r="AQ119" s="1226"/>
      <c r="AR119" s="2601">
        <v>0</v>
      </c>
      <c r="AS119" s="1226"/>
      <c r="AT119" s="1226"/>
      <c r="AU119" s="1226">
        <v>300000</v>
      </c>
      <c r="AV119" s="1118"/>
      <c r="AW119" s="1118"/>
    </row>
    <row r="120" spans="1:49" s="1155" customFormat="1" ht="43.5">
      <c r="A120" s="2604"/>
      <c r="B120" s="2921" t="s">
        <v>2705</v>
      </c>
      <c r="C120" s="2605" t="s">
        <v>2560</v>
      </c>
      <c r="D120" s="2606"/>
      <c r="E120" s="1218"/>
      <c r="F120" s="1218"/>
      <c r="G120" s="1218"/>
      <c r="H120" s="1218"/>
      <c r="I120" s="1218"/>
      <c r="J120" s="1218"/>
      <c r="K120" s="2607"/>
      <c r="L120" s="1218"/>
      <c r="M120" s="1218"/>
      <c r="N120" s="1218"/>
      <c r="O120" s="1218"/>
      <c r="P120" s="1218"/>
      <c r="Q120" s="1218"/>
      <c r="R120" s="1218"/>
      <c r="S120" s="1218"/>
      <c r="T120" s="1218"/>
      <c r="U120" s="2608"/>
      <c r="V120" s="2608"/>
      <c r="W120" s="2608"/>
      <c r="X120" s="2608"/>
      <c r="Y120" s="2609"/>
      <c r="Z120" s="1218"/>
      <c r="AA120" s="2041"/>
      <c r="AB120" s="1218"/>
      <c r="AC120" s="2610"/>
      <c r="AD120" s="2041"/>
      <c r="AE120" s="1218"/>
      <c r="AF120" s="2040">
        <v>500000</v>
      </c>
      <c r="AG120" s="2041">
        <v>0</v>
      </c>
      <c r="AH120" s="2041"/>
      <c r="AI120" s="2041"/>
      <c r="AJ120" s="2041">
        <f t="shared" si="18"/>
        <v>500000</v>
      </c>
      <c r="AK120" s="2611">
        <v>0</v>
      </c>
      <c r="AL120" s="2041"/>
      <c r="AM120" s="2041"/>
      <c r="AN120" s="1218">
        <v>500000</v>
      </c>
      <c r="AO120" s="1685">
        <v>0</v>
      </c>
      <c r="AP120" s="1218"/>
      <c r="AQ120" s="1218"/>
      <c r="AR120" s="2592">
        <v>0</v>
      </c>
      <c r="AS120" s="2612"/>
      <c r="AT120" s="2612"/>
      <c r="AU120" s="1218">
        <v>500000</v>
      </c>
      <c r="AV120" s="1118"/>
      <c r="AW120" s="1118"/>
    </row>
    <row r="121" spans="1:49" s="1155" customFormat="1" ht="23.25" hidden="1" customHeight="1">
      <c r="A121" s="1172"/>
      <c r="B121" s="2913" t="s">
        <v>2706</v>
      </c>
      <c r="C121" s="1194" t="s">
        <v>770</v>
      </c>
      <c r="D121" s="1173"/>
      <c r="E121" s="1116"/>
      <c r="F121" s="1116"/>
      <c r="G121" s="1116"/>
      <c r="H121" s="1116"/>
      <c r="I121" s="1116"/>
      <c r="J121" s="1116"/>
      <c r="K121" s="1115"/>
      <c r="L121" s="1116"/>
      <c r="M121" s="1116"/>
      <c r="N121" s="1116"/>
      <c r="O121" s="1116"/>
      <c r="P121" s="1116"/>
      <c r="Q121" s="1116"/>
      <c r="R121" s="1116"/>
      <c r="S121" s="1116"/>
      <c r="T121" s="1116"/>
      <c r="U121" s="1117"/>
      <c r="V121" s="1117"/>
      <c r="W121" s="1117"/>
      <c r="X121" s="1117"/>
      <c r="Y121" s="1157"/>
      <c r="Z121" s="1116"/>
      <c r="AA121" s="1163"/>
      <c r="AB121" s="1116"/>
      <c r="AC121" s="1196"/>
      <c r="AD121" s="1163"/>
      <c r="AE121" s="1116"/>
      <c r="AF121" s="1195">
        <v>950000</v>
      </c>
      <c r="AG121" s="1163">
        <v>0</v>
      </c>
      <c r="AH121" s="1163"/>
      <c r="AI121" s="1163"/>
      <c r="AJ121" s="1163">
        <f t="shared" si="18"/>
        <v>950000</v>
      </c>
      <c r="AK121" s="1405">
        <v>0</v>
      </c>
      <c r="AL121" s="1163"/>
      <c r="AM121" s="1163"/>
      <c r="AN121" s="1163">
        <v>0</v>
      </c>
      <c r="AO121" s="1685">
        <v>0</v>
      </c>
      <c r="AP121" s="1163"/>
      <c r="AQ121" s="1163"/>
      <c r="AR121" s="1912">
        <v>0</v>
      </c>
      <c r="AS121" s="1193"/>
      <c r="AT121" s="1193"/>
      <c r="AU121" s="1163">
        <v>0</v>
      </c>
      <c r="AV121" s="1118"/>
      <c r="AW121" s="2551"/>
    </row>
    <row r="122" spans="1:49" s="1157" customFormat="1" ht="21.75" customHeight="1">
      <c r="A122" s="1172"/>
      <c r="B122" s="2913" t="s">
        <v>2707</v>
      </c>
      <c r="C122" s="2552" t="s">
        <v>2561</v>
      </c>
      <c r="D122" s="2518"/>
      <c r="E122" s="1401"/>
      <c r="F122" s="1401"/>
      <c r="G122" s="1401"/>
      <c r="H122" s="1401"/>
      <c r="I122" s="1401"/>
      <c r="J122" s="1401"/>
      <c r="K122" s="2519"/>
      <c r="L122" s="1401"/>
      <c r="M122" s="1401"/>
      <c r="N122" s="1401"/>
      <c r="O122" s="1401"/>
      <c r="P122" s="1401"/>
      <c r="Q122" s="1401"/>
      <c r="R122" s="1401"/>
      <c r="S122" s="1401"/>
      <c r="T122" s="1401"/>
      <c r="U122" s="2553"/>
      <c r="V122" s="2553"/>
      <c r="W122" s="2553"/>
      <c r="X122" s="2553"/>
      <c r="Z122" s="1401"/>
      <c r="AA122" s="1163"/>
      <c r="AB122" s="1116"/>
      <c r="AC122" s="1196"/>
      <c r="AD122" s="1163"/>
      <c r="AE122" s="1116"/>
      <c r="AF122" s="1195"/>
      <c r="AG122" s="1163"/>
      <c r="AH122" s="1163"/>
      <c r="AI122" s="1163"/>
      <c r="AJ122" s="1163"/>
      <c r="AK122" s="1163"/>
      <c r="AL122" s="1163"/>
      <c r="AM122" s="1163"/>
      <c r="AN122" s="1163"/>
      <c r="AO122" s="1675"/>
      <c r="AP122" s="1163"/>
      <c r="AQ122" s="1749"/>
      <c r="AR122" s="1675"/>
      <c r="AS122" s="1749"/>
      <c r="AT122" s="1749"/>
      <c r="AU122" s="1749"/>
      <c r="AV122" s="1756"/>
      <c r="AW122" s="1757"/>
    </row>
    <row r="123" spans="1:49" s="1155" customFormat="1" ht="21.75" customHeight="1">
      <c r="A123" s="2554"/>
      <c r="B123" s="2913" t="s">
        <v>2708</v>
      </c>
      <c r="C123" s="2552" t="s">
        <v>2564</v>
      </c>
      <c r="D123" s="2518"/>
      <c r="E123" s="1401"/>
      <c r="F123" s="1401"/>
      <c r="G123" s="1401"/>
      <c r="H123" s="1401"/>
      <c r="I123" s="1401"/>
      <c r="J123" s="1401"/>
      <c r="K123" s="2519"/>
      <c r="L123" s="1401"/>
      <c r="M123" s="1401"/>
      <c r="N123" s="1401"/>
      <c r="O123" s="1401"/>
      <c r="P123" s="1401"/>
      <c r="Q123" s="1401"/>
      <c r="R123" s="1401"/>
      <c r="S123" s="1401"/>
      <c r="T123" s="1401"/>
      <c r="U123" s="2553"/>
      <c r="V123" s="2553"/>
      <c r="W123" s="2553"/>
      <c r="X123" s="2553"/>
      <c r="Y123" s="1157"/>
      <c r="Z123" s="1401"/>
      <c r="AA123" s="1163"/>
      <c r="AB123" s="1116"/>
      <c r="AC123" s="1196"/>
      <c r="AD123" s="1163"/>
      <c r="AE123" s="1116"/>
      <c r="AF123" s="1195"/>
      <c r="AG123" s="1163"/>
      <c r="AH123" s="1163"/>
      <c r="AI123" s="1163"/>
      <c r="AJ123" s="1163"/>
      <c r="AK123" s="1163"/>
      <c r="AL123" s="1163"/>
      <c r="AM123" s="1163"/>
      <c r="AN123" s="1163"/>
      <c r="AO123" s="2555"/>
      <c r="AP123" s="2022"/>
      <c r="AQ123" s="2025"/>
      <c r="AR123" s="2555"/>
      <c r="AS123" s="2025"/>
      <c r="AT123" s="2025"/>
      <c r="AU123" s="2025"/>
      <c r="AV123" s="2026" t="s">
        <v>1960</v>
      </c>
      <c r="AW123" s="2027"/>
    </row>
    <row r="124" spans="1:49" s="1270" customFormat="1" ht="24" hidden="1" customHeight="1">
      <c r="A124" s="1170"/>
      <c r="B124" s="2922"/>
      <c r="C124" s="1201" t="s">
        <v>1244</v>
      </c>
      <c r="D124" s="1202"/>
      <c r="E124" s="1203"/>
      <c r="F124" s="1203"/>
      <c r="G124" s="1203"/>
      <c r="H124" s="1203"/>
      <c r="I124" s="1203"/>
      <c r="J124" s="1203"/>
      <c r="K124" s="1204"/>
      <c r="L124" s="1203"/>
      <c r="M124" s="1203"/>
      <c r="N124" s="1203"/>
      <c r="O124" s="1203"/>
      <c r="P124" s="1203"/>
      <c r="Q124" s="1203"/>
      <c r="R124" s="1203"/>
      <c r="S124" s="1203"/>
      <c r="T124" s="1203"/>
      <c r="U124" s="1205"/>
      <c r="V124" s="1205"/>
      <c r="W124" s="1205"/>
      <c r="X124" s="1205"/>
      <c r="Y124" s="1063"/>
      <c r="Z124" s="1203"/>
      <c r="AA124" s="1075"/>
      <c r="AB124" s="1065"/>
      <c r="AC124" s="1145"/>
      <c r="AD124" s="1075"/>
      <c r="AE124" s="1065"/>
      <c r="AF124" s="1195"/>
      <c r="AG124" s="1163"/>
      <c r="AH124" s="1163"/>
      <c r="AI124" s="1163"/>
      <c r="AJ124" s="1163"/>
      <c r="AK124" s="1163"/>
      <c r="AL124" s="1163"/>
      <c r="AM124" s="1163"/>
      <c r="AN124" s="1163"/>
      <c r="AO124" s="1674">
        <v>0</v>
      </c>
      <c r="AP124" s="1701"/>
      <c r="AQ124" s="1163"/>
      <c r="AR124" s="1678">
        <v>0</v>
      </c>
      <c r="AS124" s="1193"/>
      <c r="AT124" s="1193"/>
      <c r="AU124" s="1193"/>
      <c r="AV124" s="1708"/>
      <c r="AW124" s="1465"/>
    </row>
    <row r="125" spans="1:49" s="1041" customFormat="1" ht="21" customHeight="1">
      <c r="A125" s="1210" t="s">
        <v>301</v>
      </c>
      <c r="B125" s="2910"/>
      <c r="C125" s="1211" t="s">
        <v>51</v>
      </c>
      <c r="D125" s="1212" t="s">
        <v>302</v>
      </c>
      <c r="E125" s="1048">
        <f>SUM(E126:E129)</f>
        <v>43921101.859999999</v>
      </c>
      <c r="F125" s="1048">
        <f>SUM(F126:F129)</f>
        <v>37230122.969999999</v>
      </c>
      <c r="G125" s="1048">
        <f>SUM(G126:G129)</f>
        <v>46273598.900000006</v>
      </c>
      <c r="H125" s="1048">
        <v>60000000</v>
      </c>
      <c r="I125" s="1048">
        <f>SUM(I126:I129)</f>
        <v>57251974.939999998</v>
      </c>
      <c r="J125" s="1213">
        <v>0</v>
      </c>
      <c r="K125" s="1214">
        <v>64500000</v>
      </c>
      <c r="L125" s="1048">
        <f>SUM(L126:L129)</f>
        <v>64033302.310000002</v>
      </c>
      <c r="M125" s="1213">
        <f>SUM(M126:M129)</f>
        <v>0</v>
      </c>
      <c r="N125" s="1048"/>
      <c r="O125" s="1048"/>
      <c r="P125" s="1048"/>
      <c r="Q125" s="1048">
        <f>SUM(Q126:Q129)</f>
        <v>63200000</v>
      </c>
      <c r="R125" s="1048">
        <f>SUM(R126:R129)</f>
        <v>59796624.25</v>
      </c>
      <c r="S125" s="1215">
        <f>+R125/Q125*100</f>
        <v>94.614911787974691</v>
      </c>
      <c r="T125" s="1216">
        <v>0</v>
      </c>
      <c r="U125" s="1047"/>
      <c r="V125" s="1047"/>
      <c r="W125" s="1047"/>
      <c r="X125" s="1047"/>
      <c r="Y125" s="1048">
        <v>70000000</v>
      </c>
      <c r="Z125" s="1213">
        <v>0</v>
      </c>
      <c r="AA125" s="1048">
        <f>SUM(AA126:AA129)</f>
        <v>14050028.329999998</v>
      </c>
      <c r="AB125" s="1048">
        <f>+AA125/Y125*100</f>
        <v>20.071469042857139</v>
      </c>
      <c r="AC125" s="1217">
        <f t="shared" ref="AC125:AC157" si="19">+(Y125-R125)/R125*100</f>
        <v>17.063464498165214</v>
      </c>
      <c r="AD125" s="1048">
        <f>SUM(AD126:AD129)</f>
        <v>29100809.289999999</v>
      </c>
      <c r="AE125" s="1037">
        <f>+AD125/Y125*100</f>
        <v>41.5725847</v>
      </c>
      <c r="AF125" s="1037">
        <f>+Y125</f>
        <v>70000000</v>
      </c>
      <c r="AG125" s="1037">
        <f>SUM(AG126:AG129)</f>
        <v>44400793.759999998</v>
      </c>
      <c r="AH125" s="1037">
        <f>+AG125/AF125*100</f>
        <v>63.429705371428568</v>
      </c>
      <c r="AI125" s="1037"/>
      <c r="AJ125" s="1039">
        <f>SUM(AJ126:AJ129)</f>
        <v>70000000</v>
      </c>
      <c r="AK125" s="1039">
        <f>SUM(AK126:AK129)</f>
        <v>59560213.590000004</v>
      </c>
      <c r="AL125" s="1039">
        <f>+AK125/AJ125*100</f>
        <v>85.086019414285715</v>
      </c>
      <c r="AM125" s="1039">
        <f>SUM(AM126:AM129)</f>
        <v>0</v>
      </c>
      <c r="AN125" s="1039">
        <f>SUM(AN126:AN129)</f>
        <v>70000000</v>
      </c>
      <c r="AO125" s="1039">
        <f>SUM(AO126:AO129)</f>
        <v>14386781.509999998</v>
      </c>
      <c r="AP125" s="1037">
        <f>+AO125/AN125*100</f>
        <v>20.552545014285712</v>
      </c>
      <c r="AQ125" s="1741"/>
      <c r="AR125" s="1039">
        <f>SUM(AR126:AR129)</f>
        <v>29037249.710000001</v>
      </c>
      <c r="AS125" s="1039">
        <f>+AR125/AN125*100</f>
        <v>41.481785299999999</v>
      </c>
      <c r="AT125" s="1039"/>
      <c r="AU125" s="1039">
        <f>SUM(AU126:AU129)</f>
        <v>60000000</v>
      </c>
      <c r="AV125" s="1049"/>
    </row>
    <row r="126" spans="1:49" ht="21" customHeight="1">
      <c r="A126" s="1280"/>
      <c r="B126" s="2923"/>
      <c r="C126" s="1051" t="s">
        <v>303</v>
      </c>
      <c r="D126" s="1052" t="s">
        <v>302</v>
      </c>
      <c r="E126" s="1055">
        <v>35405372.43</v>
      </c>
      <c r="F126" s="1055">
        <v>29192677.260000002</v>
      </c>
      <c r="G126" s="1055">
        <v>39764581.07</v>
      </c>
      <c r="H126" s="1055">
        <v>52600000</v>
      </c>
      <c r="I126" s="1055">
        <v>47024196.229999997</v>
      </c>
      <c r="J126" s="1233">
        <v>0</v>
      </c>
      <c r="K126" s="1054">
        <v>56000000</v>
      </c>
      <c r="L126" s="1055">
        <v>56181584.869999997</v>
      </c>
      <c r="M126" s="1233">
        <v>0</v>
      </c>
      <c r="N126" s="1055"/>
      <c r="O126" s="1055"/>
      <c r="P126" s="1055"/>
      <c r="Q126" s="1055">
        <v>56000000</v>
      </c>
      <c r="R126" s="1055">
        <v>51286742.840000004</v>
      </c>
      <c r="S126" s="1174">
        <f t="shared" ref="S126:S141" si="20">+R126/Q126*100</f>
        <v>91.58346935714286</v>
      </c>
      <c r="T126" s="1233">
        <v>0</v>
      </c>
      <c r="U126" s="1058"/>
      <c r="V126" s="1058"/>
      <c r="W126" s="1058"/>
      <c r="X126" s="1058"/>
      <c r="Y126" s="1055">
        <v>60000000</v>
      </c>
      <c r="Z126" s="1233">
        <v>0</v>
      </c>
      <c r="AA126" s="1055">
        <v>12640470.619999999</v>
      </c>
      <c r="AB126" s="1055"/>
      <c r="AC126" s="1366">
        <f t="shared" si="19"/>
        <v>16.98929718969066</v>
      </c>
      <c r="AD126" s="1055">
        <v>25185434.309999999</v>
      </c>
      <c r="AE126" s="1055"/>
      <c r="AF126" s="1055">
        <f>+Y126</f>
        <v>60000000</v>
      </c>
      <c r="AG126" s="1055">
        <v>38514614.799999997</v>
      </c>
      <c r="AH126" s="1055"/>
      <c r="AI126" s="1055"/>
      <c r="AJ126" s="1055">
        <f>+AF126</f>
        <v>60000000</v>
      </c>
      <c r="AK126" s="1055">
        <v>51797540.090000004</v>
      </c>
      <c r="AL126" s="1055"/>
      <c r="AM126" s="1055"/>
      <c r="AN126" s="1055">
        <f>+AJ126</f>
        <v>60000000</v>
      </c>
      <c r="AO126" s="1055">
        <v>12502007.279999999</v>
      </c>
      <c r="AP126" s="1055"/>
      <c r="AQ126" s="1055"/>
      <c r="AR126" s="1060">
        <v>25105827.629999999</v>
      </c>
      <c r="AS126" s="1060"/>
      <c r="AT126" s="1060"/>
      <c r="AU126" s="1055">
        <v>51000000</v>
      </c>
      <c r="AV126" s="1060"/>
    </row>
    <row r="127" spans="1:49" ht="21" customHeight="1">
      <c r="A127" s="1062"/>
      <c r="B127" s="2912"/>
      <c r="C127" s="1063" t="s">
        <v>304</v>
      </c>
      <c r="D127" s="1064" t="s">
        <v>302</v>
      </c>
      <c r="E127" s="1065">
        <v>5203355.8099999996</v>
      </c>
      <c r="F127" s="1065">
        <v>5406173.71</v>
      </c>
      <c r="G127" s="1219">
        <v>4573454.5599999996</v>
      </c>
      <c r="H127" s="1219">
        <v>5000000</v>
      </c>
      <c r="I127" s="1219">
        <v>6131053.9199999999</v>
      </c>
      <c r="J127" s="1078">
        <v>0</v>
      </c>
      <c r="K127" s="1220">
        <v>6600000</v>
      </c>
      <c r="L127" s="1219">
        <v>6178370.0300000003</v>
      </c>
      <c r="M127" s="1078">
        <v>0</v>
      </c>
      <c r="N127" s="1219"/>
      <c r="O127" s="1219"/>
      <c r="P127" s="1219"/>
      <c r="Q127" s="1219">
        <v>6000000</v>
      </c>
      <c r="R127" s="1219">
        <v>6079902.2999999998</v>
      </c>
      <c r="S127" s="1116">
        <f t="shared" si="20"/>
        <v>101.331705</v>
      </c>
      <c r="T127" s="1078">
        <v>0</v>
      </c>
      <c r="U127" s="1221"/>
      <c r="V127" s="1221"/>
      <c r="W127" s="1221"/>
      <c r="X127" s="1221"/>
      <c r="Y127" s="1219">
        <v>7100000</v>
      </c>
      <c r="Z127" s="1078">
        <v>0</v>
      </c>
      <c r="AA127" s="1219">
        <v>781147.42</v>
      </c>
      <c r="AB127" s="1219"/>
      <c r="AC127" s="1145">
        <f t="shared" si="19"/>
        <v>16.778192307465208</v>
      </c>
      <c r="AD127" s="1219">
        <v>2661684.21</v>
      </c>
      <c r="AE127" s="1219"/>
      <c r="AF127" s="1065">
        <f t="shared" ref="AF127:AF129" si="21">+Y127</f>
        <v>7100000</v>
      </c>
      <c r="AG127" s="1065">
        <v>4010852.16</v>
      </c>
      <c r="AH127" s="1065"/>
      <c r="AI127" s="1065"/>
      <c r="AJ127" s="1065">
        <f t="shared" ref="AJ127:AJ129" si="22">+AF127</f>
        <v>7100000</v>
      </c>
      <c r="AK127" s="1065">
        <v>5290631.57</v>
      </c>
      <c r="AL127" s="1065"/>
      <c r="AM127" s="1065"/>
      <c r="AN127" s="1065">
        <f t="shared" ref="AN127:AN129" si="23">+AJ127</f>
        <v>7100000</v>
      </c>
      <c r="AO127" s="1065">
        <v>1188730.44</v>
      </c>
      <c r="AP127" s="1065"/>
      <c r="AQ127" s="1065"/>
      <c r="AR127" s="1071">
        <v>2493140.19</v>
      </c>
      <c r="AS127" s="1071"/>
      <c r="AT127" s="1071"/>
      <c r="AU127" s="1065">
        <v>6100000</v>
      </c>
      <c r="AV127" s="1222"/>
    </row>
    <row r="128" spans="1:49" ht="21" customHeight="1">
      <c r="A128" s="1062"/>
      <c r="B128" s="2912"/>
      <c r="C128" s="1063" t="s">
        <v>305</v>
      </c>
      <c r="D128" s="1064" t="s">
        <v>302</v>
      </c>
      <c r="E128" s="1065">
        <v>2976109.62</v>
      </c>
      <c r="F128" s="1065">
        <v>2071037.4</v>
      </c>
      <c r="G128" s="1219">
        <v>1566756.27</v>
      </c>
      <c r="H128" s="1219">
        <v>1800000</v>
      </c>
      <c r="I128" s="1219">
        <v>3693681.79</v>
      </c>
      <c r="J128" s="1078">
        <v>0</v>
      </c>
      <c r="K128" s="1220">
        <v>1500000</v>
      </c>
      <c r="L128" s="1219">
        <f>831021.41+501664</f>
        <v>1332685.4100000001</v>
      </c>
      <c r="M128" s="1078">
        <v>0</v>
      </c>
      <c r="N128" s="1219"/>
      <c r="O128" s="1219"/>
      <c r="P128" s="1219"/>
      <c r="Q128" s="1219">
        <v>850000</v>
      </c>
      <c r="R128" s="1219">
        <f>960054.61+1159426.5</f>
        <v>2119481.11</v>
      </c>
      <c r="S128" s="1116">
        <f t="shared" si="20"/>
        <v>249.35071882352941</v>
      </c>
      <c r="T128" s="1078">
        <v>0</v>
      </c>
      <c r="U128" s="1221"/>
      <c r="V128" s="1221"/>
      <c r="W128" s="1221"/>
      <c r="X128" s="1221"/>
      <c r="Y128" s="1219">
        <v>2500000</v>
      </c>
      <c r="Z128" s="1078">
        <v>0</v>
      </c>
      <c r="AA128" s="1219">
        <v>551014.29</v>
      </c>
      <c r="AB128" s="1219"/>
      <c r="AC128" s="1145">
        <f t="shared" si="19"/>
        <v>17.95339850893977</v>
      </c>
      <c r="AD128" s="1219">
        <f>362978.27+721782.5</f>
        <v>1084760.77</v>
      </c>
      <c r="AE128" s="1219"/>
      <c r="AF128" s="1065">
        <f t="shared" si="21"/>
        <v>2500000</v>
      </c>
      <c r="AG128" s="1065">
        <v>1625309.24</v>
      </c>
      <c r="AH128" s="1065"/>
      <c r="AI128" s="1065"/>
      <c r="AJ128" s="1065">
        <f t="shared" si="22"/>
        <v>2500000</v>
      </c>
      <c r="AK128" s="1065">
        <v>2167744.37</v>
      </c>
      <c r="AL128" s="1065"/>
      <c r="AM128" s="1065"/>
      <c r="AN128" s="1065">
        <f t="shared" si="23"/>
        <v>2500000</v>
      </c>
      <c r="AO128" s="1065">
        <f>163059.09+454805.7</f>
        <v>617864.79</v>
      </c>
      <c r="AP128" s="1065"/>
      <c r="AQ128" s="1065"/>
      <c r="AR128" s="1071">
        <v>1280051.8899999999</v>
      </c>
      <c r="AS128" s="1071"/>
      <c r="AT128" s="1071"/>
      <c r="AU128" s="1065">
        <f t="shared" ref="AU128:AU129" si="24">+AN128</f>
        <v>2500000</v>
      </c>
      <c r="AV128" s="1222"/>
    </row>
    <row r="129" spans="1:49" ht="21" customHeight="1">
      <c r="A129" s="1223"/>
      <c r="B129" s="2924"/>
      <c r="C129" s="1080" t="s">
        <v>306</v>
      </c>
      <c r="D129" s="1081" t="s">
        <v>302</v>
      </c>
      <c r="E129" s="1082">
        <v>336264</v>
      </c>
      <c r="F129" s="1082">
        <v>560234.6</v>
      </c>
      <c r="G129" s="1224">
        <v>368807</v>
      </c>
      <c r="H129" s="1224">
        <v>600000</v>
      </c>
      <c r="I129" s="1224">
        <v>403043</v>
      </c>
      <c r="J129" s="1132">
        <v>0</v>
      </c>
      <c r="K129" s="1225">
        <v>400000</v>
      </c>
      <c r="L129" s="1224">
        <v>340662</v>
      </c>
      <c r="M129" s="1132">
        <v>0</v>
      </c>
      <c r="N129" s="1224"/>
      <c r="O129" s="1224"/>
      <c r="P129" s="1224"/>
      <c r="Q129" s="1224">
        <v>350000</v>
      </c>
      <c r="R129" s="1224">
        <v>310498</v>
      </c>
      <c r="S129" s="1226">
        <f t="shared" si="20"/>
        <v>88.713714285714289</v>
      </c>
      <c r="T129" s="1132">
        <v>0</v>
      </c>
      <c r="U129" s="1227"/>
      <c r="V129" s="1227"/>
      <c r="W129" s="1227"/>
      <c r="X129" s="1227"/>
      <c r="Y129" s="1224">
        <v>400000</v>
      </c>
      <c r="Z129" s="1132">
        <v>0</v>
      </c>
      <c r="AA129" s="1224">
        <v>77396</v>
      </c>
      <c r="AB129" s="1224"/>
      <c r="AC129" s="1197">
        <f t="shared" si="19"/>
        <v>28.8253064431977</v>
      </c>
      <c r="AD129" s="1224">
        <v>168930</v>
      </c>
      <c r="AE129" s="1224"/>
      <c r="AF129" s="1082">
        <f t="shared" si="21"/>
        <v>400000</v>
      </c>
      <c r="AG129" s="1082">
        <v>250017.56</v>
      </c>
      <c r="AH129" s="1082"/>
      <c r="AI129" s="1082"/>
      <c r="AJ129" s="1082">
        <f t="shared" si="22"/>
        <v>400000</v>
      </c>
      <c r="AK129" s="1082">
        <v>304297.56</v>
      </c>
      <c r="AL129" s="1082"/>
      <c r="AM129" s="1082"/>
      <c r="AN129" s="1082">
        <f t="shared" si="23"/>
        <v>400000</v>
      </c>
      <c r="AO129" s="1082">
        <v>78179</v>
      </c>
      <c r="AP129" s="1082"/>
      <c r="AQ129" s="1082"/>
      <c r="AR129" s="1089">
        <v>158230</v>
      </c>
      <c r="AS129" s="1089"/>
      <c r="AT129" s="1089"/>
      <c r="AU129" s="1082">
        <f t="shared" si="24"/>
        <v>400000</v>
      </c>
      <c r="AV129" s="1088"/>
    </row>
    <row r="130" spans="1:49" s="1041" customFormat="1" ht="21" customHeight="1">
      <c r="A130" s="1375" t="s">
        <v>307</v>
      </c>
      <c r="B130" s="2925"/>
      <c r="C130" s="1380" t="s">
        <v>308</v>
      </c>
      <c r="D130" s="1376"/>
      <c r="E130" s="1379">
        <f>SUM(E131:E134)</f>
        <v>7616280</v>
      </c>
      <c r="F130" s="1379">
        <f>SUM(F131:F134)</f>
        <v>10056450</v>
      </c>
      <c r="G130" s="1379">
        <f>SUM(G131:G134)</f>
        <v>10584700</v>
      </c>
      <c r="H130" s="1379">
        <v>14490000</v>
      </c>
      <c r="I130" s="1379">
        <f>SUM(I131:I134)</f>
        <v>10427900</v>
      </c>
      <c r="J130" s="1384">
        <v>0</v>
      </c>
      <c r="K130" s="1668">
        <v>11990000</v>
      </c>
      <c r="L130" s="1379">
        <f>SUM(L131:L134)</f>
        <v>10495200</v>
      </c>
      <c r="M130" s="1384">
        <f>SUM(M131:M134)</f>
        <v>0</v>
      </c>
      <c r="N130" s="1379"/>
      <c r="O130" s="1379"/>
      <c r="P130" s="1379"/>
      <c r="Q130" s="1379">
        <f>SUM(Q131:Q134)</f>
        <v>11136000</v>
      </c>
      <c r="R130" s="1379">
        <f>SUM(R131:R134)</f>
        <v>10899200</v>
      </c>
      <c r="S130" s="1229">
        <f t="shared" si="20"/>
        <v>97.8735632183908</v>
      </c>
      <c r="T130" s="1669">
        <v>0</v>
      </c>
      <c r="U130" s="1670"/>
      <c r="V130" s="1670"/>
      <c r="W130" s="1670"/>
      <c r="X130" s="1670"/>
      <c r="Y130" s="1379">
        <f>SUM(Y131:Y134)</f>
        <v>11136000</v>
      </c>
      <c r="Z130" s="1379">
        <f>SUM(Z131:Z134)</f>
        <v>322828.02</v>
      </c>
      <c r="AA130" s="1379">
        <f>SUM(AA131:AA134)</f>
        <v>2791400</v>
      </c>
      <c r="AB130" s="1379">
        <f>+AA130/Y130*100</f>
        <v>25.066451149425291</v>
      </c>
      <c r="AC130" s="1038">
        <f t="shared" si="19"/>
        <v>2.1726365237815619</v>
      </c>
      <c r="AD130" s="1379">
        <f>SUM(AD131:AD134)</f>
        <v>5470050</v>
      </c>
      <c r="AE130" s="1388">
        <f>+AD130/Y130*100</f>
        <v>49.12042025862069</v>
      </c>
      <c r="AF130" s="1388">
        <f>+Y130</f>
        <v>11136000</v>
      </c>
      <c r="AG130" s="1388">
        <f>SUM(AG131:AG134)</f>
        <v>8139600</v>
      </c>
      <c r="AH130" s="1388">
        <f>+AG130/AF130*100</f>
        <v>73.092672413793096</v>
      </c>
      <c r="AI130" s="1388"/>
      <c r="AJ130" s="1660">
        <f>SUM(AJ131:AJ134)</f>
        <v>11136000</v>
      </c>
      <c r="AK130" s="1660">
        <f>SUM(AK131:AK134)</f>
        <v>10963600</v>
      </c>
      <c r="AL130" s="1660">
        <f>+AK130/AJ130*100</f>
        <v>98.451867816091948</v>
      </c>
      <c r="AM130" s="1660">
        <f>SUM(AM131:AM134)</f>
        <v>0</v>
      </c>
      <c r="AN130" s="1660">
        <f>SUM(AN131:AN134)</f>
        <v>11136000</v>
      </c>
      <c r="AO130" s="1660">
        <f>SUM(AO131:AO134)</f>
        <v>2644300</v>
      </c>
      <c r="AP130" s="1660">
        <f>+AO130/AN130*100</f>
        <v>23.745510057471265</v>
      </c>
      <c r="AQ130" s="1661"/>
      <c r="AR130" s="1660">
        <f>SUM(AR131:AR134)</f>
        <v>5213200</v>
      </c>
      <c r="AS130" s="1039">
        <f>+AR130/AN130*100</f>
        <v>46.813936781609193</v>
      </c>
      <c r="AT130" s="1660"/>
      <c r="AU130" s="1660">
        <f>SUM(AU131:AU134)</f>
        <v>11136000</v>
      </c>
      <c r="AV130" s="1671"/>
    </row>
    <row r="131" spans="1:49" ht="21" customHeight="1">
      <c r="A131" s="1050"/>
      <c r="B131" s="2911"/>
      <c r="C131" s="1198" t="s">
        <v>309</v>
      </c>
      <c r="D131" s="1135" t="s">
        <v>260</v>
      </c>
      <c r="E131" s="1230">
        <v>7560000</v>
      </c>
      <c r="F131" s="1230">
        <v>9990000</v>
      </c>
      <c r="G131" s="1053">
        <v>10525000</v>
      </c>
      <c r="H131" s="1231">
        <v>10800000</v>
      </c>
      <c r="I131" s="1053">
        <v>8180000</v>
      </c>
      <c r="J131" s="1078">
        <v>0</v>
      </c>
      <c r="K131" s="1232">
        <v>8400000</v>
      </c>
      <c r="L131" s="2859">
        <v>10455000</v>
      </c>
      <c r="M131" s="1233">
        <v>0</v>
      </c>
      <c r="N131" s="1234"/>
      <c r="O131" s="1234"/>
      <c r="P131" s="1234"/>
      <c r="Q131" s="1234">
        <v>8520000</v>
      </c>
      <c r="R131" s="1234">
        <v>8580000</v>
      </c>
      <c r="S131" s="1218">
        <f t="shared" si="20"/>
        <v>100.70422535211267</v>
      </c>
      <c r="T131" s="1233">
        <v>0</v>
      </c>
      <c r="U131" s="1235"/>
      <c r="V131" s="1235"/>
      <c r="W131" s="1235"/>
      <c r="X131" s="1235"/>
      <c r="Y131" s="1234">
        <v>8520000</v>
      </c>
      <c r="Z131" s="1236">
        <v>0</v>
      </c>
      <c r="AA131" s="1234">
        <v>2130000</v>
      </c>
      <c r="AB131" s="1234"/>
      <c r="AC131" s="1038">
        <f t="shared" si="19"/>
        <v>-0.69930069930069927</v>
      </c>
      <c r="AD131" s="1234">
        <v>4140000</v>
      </c>
      <c r="AE131" s="1234"/>
      <c r="AF131" s="1234">
        <f>+Y131</f>
        <v>8520000</v>
      </c>
      <c r="AG131" s="1234">
        <v>6140000</v>
      </c>
      <c r="AH131" s="1234"/>
      <c r="AI131" s="1234"/>
      <c r="AJ131" s="1234">
        <f>+AF131</f>
        <v>8520000</v>
      </c>
      <c r="AK131" s="1237">
        <v>8290000</v>
      </c>
      <c r="AL131" s="1237"/>
      <c r="AM131" s="1237"/>
      <c r="AN131" s="1234">
        <f>+AJ131</f>
        <v>8520000</v>
      </c>
      <c r="AO131" s="1237">
        <v>1990000</v>
      </c>
      <c r="AP131" s="1237"/>
      <c r="AQ131" s="1237"/>
      <c r="AR131" s="1237">
        <v>3900000</v>
      </c>
      <c r="AS131" s="1237"/>
      <c r="AT131" s="1237"/>
      <c r="AU131" s="1234">
        <f>+AN131</f>
        <v>8520000</v>
      </c>
      <c r="AV131" s="1237"/>
    </row>
    <row r="132" spans="1:49" ht="21" customHeight="1">
      <c r="A132" s="1062"/>
      <c r="B132" s="2912"/>
      <c r="C132" s="1063" t="s">
        <v>310</v>
      </c>
      <c r="D132" s="1064" t="s">
        <v>260</v>
      </c>
      <c r="E132" s="1065">
        <v>0</v>
      </c>
      <c r="F132" s="1065">
        <v>0</v>
      </c>
      <c r="G132" s="1065">
        <v>0</v>
      </c>
      <c r="H132" s="1219">
        <v>1440000</v>
      </c>
      <c r="I132" s="1065">
        <v>640000</v>
      </c>
      <c r="J132" s="1078">
        <v>0</v>
      </c>
      <c r="K132" s="1220">
        <v>1440000</v>
      </c>
      <c r="L132" s="2860"/>
      <c r="M132" s="1078">
        <v>0</v>
      </c>
      <c r="N132" s="1219"/>
      <c r="O132" s="1219"/>
      <c r="P132" s="1219"/>
      <c r="Q132" s="1219">
        <v>360000</v>
      </c>
      <c r="R132" s="1219">
        <v>345000</v>
      </c>
      <c r="S132" s="1116">
        <f t="shared" si="20"/>
        <v>95.833333333333343</v>
      </c>
      <c r="T132" s="1078">
        <v>0</v>
      </c>
      <c r="U132" s="1221"/>
      <c r="V132" s="1221"/>
      <c r="W132" s="1221"/>
      <c r="X132" s="1221"/>
      <c r="Y132" s="1219">
        <v>360000</v>
      </c>
      <c r="Z132" s="1075">
        <v>0</v>
      </c>
      <c r="AA132" s="1219">
        <v>90000</v>
      </c>
      <c r="AB132" s="1219"/>
      <c r="AC132" s="1038">
        <f t="shared" si="19"/>
        <v>4.3478260869565215</v>
      </c>
      <c r="AD132" s="1219">
        <v>170000</v>
      </c>
      <c r="AE132" s="1219"/>
      <c r="AF132" s="1219">
        <f t="shared" ref="AF132:AF134" si="25">+Y132</f>
        <v>360000</v>
      </c>
      <c r="AG132" s="1219">
        <v>260000</v>
      </c>
      <c r="AH132" s="1219"/>
      <c r="AI132" s="1219"/>
      <c r="AJ132" s="1219">
        <f t="shared" ref="AJ132:AJ134" si="26">+AF132</f>
        <v>360000</v>
      </c>
      <c r="AK132" s="1222">
        <v>340000</v>
      </c>
      <c r="AL132" s="1222"/>
      <c r="AM132" s="1222"/>
      <c r="AN132" s="1219">
        <f t="shared" ref="AN132:AN134" si="27">+AJ132</f>
        <v>360000</v>
      </c>
      <c r="AO132" s="1222">
        <v>60000</v>
      </c>
      <c r="AP132" s="1222"/>
      <c r="AQ132" s="1222"/>
      <c r="AR132" s="1222">
        <v>120000</v>
      </c>
      <c r="AS132" s="1222"/>
      <c r="AT132" s="1222"/>
      <c r="AU132" s="1219">
        <f t="shared" ref="AU132:AU134" si="28">+AN132</f>
        <v>360000</v>
      </c>
      <c r="AV132" s="1222"/>
    </row>
    <row r="133" spans="1:49" ht="21" customHeight="1">
      <c r="A133" s="1062"/>
      <c r="B133" s="2912"/>
      <c r="C133" s="1063" t="s">
        <v>311</v>
      </c>
      <c r="D133" s="1064" t="s">
        <v>260</v>
      </c>
      <c r="E133" s="1065">
        <v>0</v>
      </c>
      <c r="F133" s="1065">
        <v>0</v>
      </c>
      <c r="G133" s="1065">
        <v>0</v>
      </c>
      <c r="H133" s="1219">
        <v>2100000</v>
      </c>
      <c r="I133" s="1065">
        <v>1565000</v>
      </c>
      <c r="J133" s="1078">
        <v>0</v>
      </c>
      <c r="K133" s="1220">
        <v>2100000</v>
      </c>
      <c r="L133" s="2861"/>
      <c r="M133" s="1078">
        <v>0</v>
      </c>
      <c r="N133" s="1219"/>
      <c r="O133" s="1219"/>
      <c r="P133" s="1219"/>
      <c r="Q133" s="1219">
        <v>2160000</v>
      </c>
      <c r="R133" s="1219">
        <v>1925000</v>
      </c>
      <c r="S133" s="1116">
        <f t="shared" si="20"/>
        <v>89.120370370370367</v>
      </c>
      <c r="T133" s="1078">
        <v>0</v>
      </c>
      <c r="U133" s="1221"/>
      <c r="V133" s="1221"/>
      <c r="W133" s="1221"/>
      <c r="X133" s="1221"/>
      <c r="Y133" s="1219">
        <v>2160000</v>
      </c>
      <c r="Z133" s="1075">
        <v>0</v>
      </c>
      <c r="AA133" s="1219">
        <v>560000</v>
      </c>
      <c r="AB133" s="1219"/>
      <c r="AC133" s="1038">
        <f t="shared" si="19"/>
        <v>12.207792207792208</v>
      </c>
      <c r="AD133" s="1219">
        <v>1135000</v>
      </c>
      <c r="AE133" s="1219"/>
      <c r="AF133" s="1219">
        <f t="shared" si="25"/>
        <v>2160000</v>
      </c>
      <c r="AG133" s="1219">
        <v>1700000</v>
      </c>
      <c r="AH133" s="1219"/>
      <c r="AI133" s="1219"/>
      <c r="AJ133" s="1219">
        <f t="shared" si="26"/>
        <v>2160000</v>
      </c>
      <c r="AK133" s="1222">
        <v>2285000</v>
      </c>
      <c r="AL133" s="1222"/>
      <c r="AM133" s="1222"/>
      <c r="AN133" s="1219">
        <f t="shared" si="27"/>
        <v>2160000</v>
      </c>
      <c r="AO133" s="1222">
        <v>585000</v>
      </c>
      <c r="AP133" s="1222"/>
      <c r="AQ133" s="1222"/>
      <c r="AR133" s="1222">
        <v>1165000</v>
      </c>
      <c r="AS133" s="1222"/>
      <c r="AT133" s="1222"/>
      <c r="AU133" s="1219">
        <f t="shared" si="28"/>
        <v>2160000</v>
      </c>
      <c r="AV133" s="1222"/>
    </row>
    <row r="134" spans="1:49" ht="21" customHeight="1">
      <c r="A134" s="1223"/>
      <c r="B134" s="2926"/>
      <c r="C134" s="1206" t="s">
        <v>312</v>
      </c>
      <c r="D134" s="1238" t="s">
        <v>285</v>
      </c>
      <c r="E134" s="1114">
        <v>56280</v>
      </c>
      <c r="F134" s="1114">
        <v>66450</v>
      </c>
      <c r="G134" s="1114">
        <v>59700</v>
      </c>
      <c r="H134" s="1239">
        <v>150000</v>
      </c>
      <c r="I134" s="1114">
        <v>42900</v>
      </c>
      <c r="J134" s="1128">
        <v>0</v>
      </c>
      <c r="K134" s="1240">
        <v>50000</v>
      </c>
      <c r="L134" s="1239">
        <v>40200</v>
      </c>
      <c r="M134" s="1128">
        <v>0</v>
      </c>
      <c r="N134" s="1239"/>
      <c r="O134" s="1239"/>
      <c r="P134" s="1239"/>
      <c r="Q134" s="1239">
        <v>96000</v>
      </c>
      <c r="R134" s="1239">
        <v>49200</v>
      </c>
      <c r="S134" s="1241">
        <f t="shared" si="20"/>
        <v>51.249999999999993</v>
      </c>
      <c r="T134" s="1128">
        <v>0</v>
      </c>
      <c r="U134" s="1242"/>
      <c r="V134" s="1242"/>
      <c r="W134" s="1242"/>
      <c r="X134" s="1242"/>
      <c r="Y134" s="1239">
        <v>96000</v>
      </c>
      <c r="Z134" s="1239">
        <f>1819+321009.02</f>
        <v>322828.02</v>
      </c>
      <c r="AA134" s="1239">
        <v>11400</v>
      </c>
      <c r="AB134" s="1239"/>
      <c r="AC134" s="1038">
        <f t="shared" si="19"/>
        <v>95.121951219512198</v>
      </c>
      <c r="AD134" s="1239">
        <v>25050</v>
      </c>
      <c r="AE134" s="1239"/>
      <c r="AF134" s="1239">
        <f t="shared" si="25"/>
        <v>96000</v>
      </c>
      <c r="AG134" s="1239">
        <v>39600</v>
      </c>
      <c r="AH134" s="1239"/>
      <c r="AI134" s="1239"/>
      <c r="AJ134" s="1239">
        <f t="shared" si="26"/>
        <v>96000</v>
      </c>
      <c r="AK134" s="1243">
        <v>48600</v>
      </c>
      <c r="AL134" s="1243"/>
      <c r="AM134" s="1243"/>
      <c r="AN134" s="1239">
        <f t="shared" si="27"/>
        <v>96000</v>
      </c>
      <c r="AO134" s="1243">
        <v>9300</v>
      </c>
      <c r="AP134" s="1243"/>
      <c r="AQ134" s="1243"/>
      <c r="AR134" s="1243">
        <v>28200</v>
      </c>
      <c r="AS134" s="1243"/>
      <c r="AU134" s="1224">
        <f t="shared" si="28"/>
        <v>96000</v>
      </c>
      <c r="AV134" s="1088"/>
    </row>
    <row r="135" spans="1:49" s="1041" customFormat="1" ht="21.75" customHeight="1">
      <c r="A135" s="1034" t="s">
        <v>313</v>
      </c>
      <c r="B135" s="2910"/>
      <c r="C135" s="1244" t="s">
        <v>118</v>
      </c>
      <c r="D135" s="1212"/>
      <c r="E135" s="1048">
        <f>SUM(E136+E137+E138+E139+E140+E141+E145+E146+E147+E155+E156+E160+E161+E162+E163+E175+E176+E177)</f>
        <v>789430042.36000001</v>
      </c>
      <c r="F135" s="1048">
        <f>SUM(F136+F137+F138+F139+F140+F141+F145+F146+F147+F155+F156+F160+F161+F162+F163+F175+F176+F177)</f>
        <v>783251837.49000001</v>
      </c>
      <c r="G135" s="1048">
        <f>SUM(G136+G137+G138+G139+G140+G141+G145+G146+G147+G155+G156+G160+G161+G162+G163+G175+G176+G177)</f>
        <v>844334234.51999998</v>
      </c>
      <c r="H135" s="1245">
        <v>836150000</v>
      </c>
      <c r="I135" s="1048">
        <f>SUM(I136+I137+I138+I139+I140+I141+I145+I146+I147+I155+I156+I160+I161+I162+I163+I175+I176+I177)</f>
        <v>912235784.20999992</v>
      </c>
      <c r="J135" s="1048">
        <f>J136+J137+J138+J139+J140+J141+J145+J146+J147+J155+J156+J160+J161+J162+J163+J175+J176+J177</f>
        <v>253577859.16000003</v>
      </c>
      <c r="K135" s="1246">
        <v>847930000</v>
      </c>
      <c r="L135" s="1247">
        <f>SUM(L136:L177)</f>
        <v>904032336.96999991</v>
      </c>
      <c r="M135" s="1247"/>
      <c r="N135" s="1248">
        <f>SUM(N136:N177)</f>
        <v>391409034.93000001</v>
      </c>
      <c r="O135" s="1248">
        <f>SUM(O136:O177)</f>
        <v>46312759.259999998</v>
      </c>
      <c r="P135" s="1248">
        <f>SUM(P136:P177)</f>
        <v>510750000</v>
      </c>
      <c r="Q135" s="1248">
        <f>SUM(Q136:Q177)-Q141-Q147-Q156-Q163</f>
        <v>652120000</v>
      </c>
      <c r="R135" s="1248">
        <f>SUM(R136:R177)</f>
        <v>1112817148.3900001</v>
      </c>
      <c r="S135" s="1215">
        <f t="shared" si="20"/>
        <v>170.64606949487825</v>
      </c>
      <c r="T135" s="1247">
        <f>SUM(T136:T177)</f>
        <v>255043186.53999993</v>
      </c>
      <c r="U135" s="1249">
        <f>+U136+U137+U138+U139+U140+U142+U143+U144+U145+U148+U149+U150+U151+U152+U153+U155+U157+U158+U159+U160+U162+U164+U165+U166+U167+U168+U169+U170+U171+U172+U173+U174+U175+U176+U177</f>
        <v>498700038.86999995</v>
      </c>
      <c r="V135" s="1249">
        <f>+V136+V137+V138+V139+V140+V142+V143+V144+V145+V147+V155+V156+V160+V162+V163+V175+V176+V177</f>
        <v>146169382.32999998</v>
      </c>
      <c r="W135" s="1249"/>
      <c r="X135" s="1249"/>
      <c r="Y135" s="1248">
        <f>+Y136+Y137+Y138+Y139+Y140+Y142+Y143+Y144+Y145+Y147+Y155+Y156+Y160+Y162+Y163+Y175+Y176+Y177</f>
        <v>1049980000</v>
      </c>
      <c r="Z135" s="1247">
        <f>SUM(Z136:Z177)</f>
        <v>246017905.32999995</v>
      </c>
      <c r="AA135" s="1247">
        <f>SUM(AA136:AA177)-AA156-AA163</f>
        <v>270618132.63999999</v>
      </c>
      <c r="AB135" s="1048">
        <f>+AA135/Y135*100</f>
        <v>25.773646416122208</v>
      </c>
      <c r="AC135" s="1217">
        <f t="shared" si="19"/>
        <v>-5.6466732635196664</v>
      </c>
      <c r="AD135" s="1247">
        <f>SUM(AD136:AD141,AD145,AD147,AD155,AD156,AD160,AD162,AD163,AD175,AD176,AD177)</f>
        <v>533003844.96999997</v>
      </c>
      <c r="AE135" s="1037">
        <f>+AD135/Y135*100</f>
        <v>50.763237868340347</v>
      </c>
      <c r="AF135" s="1037">
        <f>SUM(AF136:AF177)-AF141-AF147</f>
        <v>1097740000</v>
      </c>
      <c r="AG135" s="1037">
        <f>SUM(AG136:AG177)-AG163</f>
        <v>811288763.12000012</v>
      </c>
      <c r="AH135" s="1037">
        <f>+AG135/AF135*100</f>
        <v>73.905365853480802</v>
      </c>
      <c r="AI135" s="1037"/>
      <c r="AJ135" s="1037">
        <f>SUM(AJ136:AJ177)-AJ141-AJ147</f>
        <v>1131980000</v>
      </c>
      <c r="AK135" s="1037">
        <f>SUM(AK136:AK177)-AK156-AK163</f>
        <v>1142823121.5400002</v>
      </c>
      <c r="AL135" s="1039">
        <f>+AK135/AJ135*100</f>
        <v>100.95788985141081</v>
      </c>
      <c r="AM135" s="1037">
        <f>SUM(AM136:AM177)-AM156-AM163</f>
        <v>280425750.89999998</v>
      </c>
      <c r="AN135" s="1037">
        <f>SUM(AN136:AN177)-AN141-AN147-AN156-AN163</f>
        <v>1101560000</v>
      </c>
      <c r="AO135" s="1037">
        <f>SUM(AO136:AO177)-AO156-AO163</f>
        <v>296597914.11999995</v>
      </c>
      <c r="AP135" s="1037">
        <f>+AO135/AN135*100</f>
        <v>26.925261821416896</v>
      </c>
      <c r="AQ135" s="1037">
        <f>SUM(AQ136:AQ140,AQ141,AQ147,AQ155,AQ156,AQ160,AQ162,AQ163,AQ176,AQ177)</f>
        <v>245074824.06</v>
      </c>
      <c r="AR135" s="1039">
        <f>SUM(AR136:AR177)-AR156-AR163</f>
        <v>630353778.57000005</v>
      </c>
      <c r="AS135" s="1039">
        <f>+AR135/AN135*100</f>
        <v>57.223735299938269</v>
      </c>
      <c r="AT135" s="1039">
        <f>SUM(AT136:AT140,AT141,AT145,AT147,AT155,AT156,AT160,AT162,AT163,AT175,AT176,AT177)</f>
        <v>231433578.06999999</v>
      </c>
      <c r="AU135" s="1037">
        <f>SUM(AU136:AU177)-AU141-AU147-AU156-AU163</f>
        <v>1145160000</v>
      </c>
      <c r="AV135" s="1709"/>
      <c r="AW135" s="1250"/>
    </row>
    <row r="136" spans="1:49" ht="21.75" customHeight="1">
      <c r="A136" s="1280"/>
      <c r="B136" s="2923"/>
      <c r="C136" s="1051" t="s">
        <v>314</v>
      </c>
      <c r="D136" s="1052" t="s">
        <v>315</v>
      </c>
      <c r="E136" s="1055">
        <v>9987065.3800000008</v>
      </c>
      <c r="F136" s="1055">
        <v>8106802.9100000001</v>
      </c>
      <c r="G136" s="1055">
        <v>7445383.4900000002</v>
      </c>
      <c r="H136" s="1055">
        <v>7000000</v>
      </c>
      <c r="I136" s="1055">
        <v>9121616.75</v>
      </c>
      <c r="J136" s="1055">
        <v>2815961.74</v>
      </c>
      <c r="K136" s="1364">
        <v>9500000</v>
      </c>
      <c r="L136" s="1056">
        <v>8247001.4199999999</v>
      </c>
      <c r="M136" s="1056">
        <v>4524450.6100000003</v>
      </c>
      <c r="N136" s="1056">
        <v>8452293.3499999996</v>
      </c>
      <c r="O136" s="1056">
        <v>0</v>
      </c>
      <c r="P136" s="1056">
        <v>10000000</v>
      </c>
      <c r="Q136" s="1056">
        <v>12000000</v>
      </c>
      <c r="R136" s="1056">
        <v>11003401.390000001</v>
      </c>
      <c r="S136" s="1174">
        <f t="shared" si="20"/>
        <v>91.69501158333334</v>
      </c>
      <c r="T136" s="1055">
        <v>4091771.45</v>
      </c>
      <c r="U136" s="1365">
        <v>7291024.0499999998</v>
      </c>
      <c r="V136" s="1365"/>
      <c r="W136" s="1365">
        <v>1986408.23</v>
      </c>
      <c r="X136" s="1365"/>
      <c r="Y136" s="1056">
        <v>12000000</v>
      </c>
      <c r="Z136" s="1055">
        <v>4086992.5</v>
      </c>
      <c r="AA136" s="1055">
        <v>2830383.55</v>
      </c>
      <c r="AB136" s="1055"/>
      <c r="AC136" s="1366">
        <f t="shared" si="19"/>
        <v>9.0571867250586546</v>
      </c>
      <c r="AD136" s="1055">
        <v>6792013.4500000002</v>
      </c>
      <c r="AE136" s="1055"/>
      <c r="AF136" s="1055">
        <f>+Y136</f>
        <v>12000000</v>
      </c>
      <c r="AG136" s="1055">
        <v>8017181.1200000001</v>
      </c>
      <c r="AH136" s="1055"/>
      <c r="AI136" s="1055">
        <v>6388369.9000000004</v>
      </c>
      <c r="AJ136" s="1055">
        <f>+AF136</f>
        <v>12000000</v>
      </c>
      <c r="AK136" s="1055">
        <v>10880919.02</v>
      </c>
      <c r="AL136" s="1055"/>
      <c r="AM136" s="1055">
        <v>4740004.68</v>
      </c>
      <c r="AN136" s="1055">
        <f>+AJ136</f>
        <v>12000000</v>
      </c>
      <c r="AO136" s="1055">
        <v>3801138.38</v>
      </c>
      <c r="AP136" s="1055"/>
      <c r="AQ136" s="1752">
        <v>2743933.3</v>
      </c>
      <c r="AR136" s="1752">
        <v>7215735.9100000001</v>
      </c>
      <c r="AS136" s="2943"/>
      <c r="AT136" s="1752">
        <v>1199042.7</v>
      </c>
      <c r="AU136" s="1752">
        <v>12000000</v>
      </c>
      <c r="AV136" s="1051"/>
      <c r="AW136" s="2944">
        <v>15000000</v>
      </c>
    </row>
    <row r="137" spans="1:49" ht="21.75" customHeight="1">
      <c r="A137" s="1062"/>
      <c r="B137" s="2912"/>
      <c r="C137" s="1063" t="s">
        <v>316</v>
      </c>
      <c r="D137" s="1064" t="s">
        <v>315</v>
      </c>
      <c r="E137" s="1065">
        <v>5279334.3099999996</v>
      </c>
      <c r="F137" s="1065">
        <v>4333646.88</v>
      </c>
      <c r="G137" s="1065">
        <v>2743563.11</v>
      </c>
      <c r="H137" s="1065">
        <v>2500000</v>
      </c>
      <c r="I137" s="1065">
        <v>2259018.12</v>
      </c>
      <c r="J137" s="1065">
        <v>1246918.6499999999</v>
      </c>
      <c r="K137" s="1251">
        <v>3000000</v>
      </c>
      <c r="L137" s="1067">
        <v>3843530.08</v>
      </c>
      <c r="M137" s="1067">
        <v>1228283.5</v>
      </c>
      <c r="N137" s="1067">
        <v>2890775.99</v>
      </c>
      <c r="O137" s="1067">
        <v>222828.67</v>
      </c>
      <c r="P137" s="1067">
        <v>3500000</v>
      </c>
      <c r="Q137" s="1067">
        <f>+[3]รวม!$L$36</f>
        <v>4500000</v>
      </c>
      <c r="R137" s="1067">
        <v>4994698.74</v>
      </c>
      <c r="S137" s="1116">
        <f t="shared" si="20"/>
        <v>110.99330533333334</v>
      </c>
      <c r="T137" s="1065">
        <v>403846.51</v>
      </c>
      <c r="U137" s="1252">
        <v>3602020.91</v>
      </c>
      <c r="V137" s="1252">
        <v>775582.87</v>
      </c>
      <c r="W137" s="1252">
        <v>93523.6</v>
      </c>
      <c r="X137" s="1252"/>
      <c r="Y137" s="1067">
        <v>4500000</v>
      </c>
      <c r="Z137" s="1065">
        <v>352463.42</v>
      </c>
      <c r="AA137" s="1065">
        <v>723329.07</v>
      </c>
      <c r="AB137" s="1065"/>
      <c r="AC137" s="1145">
        <f t="shared" si="19"/>
        <v>-9.9044760405309304</v>
      </c>
      <c r="AD137" s="1065">
        <v>1713752.11</v>
      </c>
      <c r="AE137" s="1065"/>
      <c r="AF137" s="1065">
        <f>+Y137</f>
        <v>4500000</v>
      </c>
      <c r="AG137" s="1065">
        <v>2368781.46</v>
      </c>
      <c r="AH137" s="1065"/>
      <c r="AI137" s="1065">
        <v>430588.11</v>
      </c>
      <c r="AJ137" s="1065">
        <f t="shared" ref="AJ137:AJ140" si="29">+AF137</f>
        <v>4500000</v>
      </c>
      <c r="AK137" s="1065">
        <v>3092142.69</v>
      </c>
      <c r="AL137" s="1065"/>
      <c r="AM137" s="1065">
        <v>1001761.42</v>
      </c>
      <c r="AN137" s="1065">
        <v>3500000</v>
      </c>
      <c r="AO137" s="1065">
        <v>1113969.79</v>
      </c>
      <c r="AP137" s="1065"/>
      <c r="AQ137" s="1753">
        <v>250393.74</v>
      </c>
      <c r="AR137" s="1753">
        <v>2308721.9700000002</v>
      </c>
      <c r="AS137" s="2945"/>
      <c r="AT137" s="1753">
        <v>420397.41</v>
      </c>
      <c r="AU137" s="1753">
        <v>3500000</v>
      </c>
      <c r="AV137" s="1063"/>
      <c r="AW137" s="2945">
        <v>3500000</v>
      </c>
    </row>
    <row r="138" spans="1:49" ht="21.75" customHeight="1">
      <c r="A138" s="1062"/>
      <c r="B138" s="2912"/>
      <c r="C138" s="1063" t="s">
        <v>317</v>
      </c>
      <c r="D138" s="1064" t="s">
        <v>315</v>
      </c>
      <c r="E138" s="1065">
        <v>8737851.0999999996</v>
      </c>
      <c r="F138" s="1065">
        <v>8939515.6099999994</v>
      </c>
      <c r="G138" s="1065">
        <v>9999428.4499999993</v>
      </c>
      <c r="H138" s="1065">
        <v>8000000</v>
      </c>
      <c r="I138" s="1065">
        <v>10066770.92</v>
      </c>
      <c r="J138" s="1065">
        <v>2366813.77</v>
      </c>
      <c r="K138" s="1251">
        <v>10000000</v>
      </c>
      <c r="L138" s="1067">
        <v>10148764.800000001</v>
      </c>
      <c r="M138" s="1067">
        <v>2504336.92</v>
      </c>
      <c r="N138" s="1067">
        <v>9248027</v>
      </c>
      <c r="O138" s="1067">
        <v>0</v>
      </c>
      <c r="P138" s="1067">
        <v>11000000</v>
      </c>
      <c r="Q138" s="1067">
        <v>12000000</v>
      </c>
      <c r="R138" s="1067">
        <v>10774629.68</v>
      </c>
      <c r="S138" s="1116">
        <f t="shared" si="20"/>
        <v>89.788580666666661</v>
      </c>
      <c r="T138" s="1065">
        <v>3333091.54</v>
      </c>
      <c r="U138" s="1252">
        <v>8174515.6600000001</v>
      </c>
      <c r="V138" s="1252">
        <v>3559972.08</v>
      </c>
      <c r="W138" s="1252">
        <v>1306772.3999999999</v>
      </c>
      <c r="X138" s="1252"/>
      <c r="Y138" s="1067">
        <v>12000000</v>
      </c>
      <c r="Z138" s="1065">
        <v>5028020.42</v>
      </c>
      <c r="AA138" s="1065">
        <v>1559625.4</v>
      </c>
      <c r="AB138" s="1065"/>
      <c r="AC138" s="1145">
        <f t="shared" si="19"/>
        <v>11.372737220607663</v>
      </c>
      <c r="AD138" s="1065">
        <v>5061829.37</v>
      </c>
      <c r="AE138" s="1065"/>
      <c r="AF138" s="1065">
        <f>+Y138</f>
        <v>12000000</v>
      </c>
      <c r="AG138" s="1065">
        <v>7904507.6299999999</v>
      </c>
      <c r="AH138" s="1065"/>
      <c r="AI138" s="1065">
        <v>4829485.03</v>
      </c>
      <c r="AJ138" s="1065">
        <f t="shared" si="29"/>
        <v>12000000</v>
      </c>
      <c r="AK138" s="1065">
        <v>13211952.699999999</v>
      </c>
      <c r="AL138" s="1065"/>
      <c r="AM138" s="1065">
        <v>2198294.63</v>
      </c>
      <c r="AN138" s="1065">
        <v>15000000</v>
      </c>
      <c r="AO138" s="1065">
        <v>4757186.21</v>
      </c>
      <c r="AP138" s="1065"/>
      <c r="AQ138" s="1753">
        <v>2201662.2799999998</v>
      </c>
      <c r="AR138" s="1753">
        <v>8503185.3399999999</v>
      </c>
      <c r="AS138" s="2945"/>
      <c r="AT138" s="1753">
        <v>2554064.59</v>
      </c>
      <c r="AU138" s="1753">
        <v>15000000</v>
      </c>
      <c r="AV138" s="1063"/>
      <c r="AW138" s="2945">
        <v>15000000</v>
      </c>
    </row>
    <row r="139" spans="1:49" ht="20.25" customHeight="1">
      <c r="A139" s="1062"/>
      <c r="B139" s="2912"/>
      <c r="C139" s="1063" t="s">
        <v>318</v>
      </c>
      <c r="D139" s="1064" t="s">
        <v>315</v>
      </c>
      <c r="E139" s="1065">
        <v>3517897.27</v>
      </c>
      <c r="F139" s="1065">
        <v>3890244.4</v>
      </c>
      <c r="G139" s="1065">
        <v>3320666.75</v>
      </c>
      <c r="H139" s="1065">
        <v>3000000</v>
      </c>
      <c r="I139" s="1065">
        <v>3472551.73</v>
      </c>
      <c r="J139" s="1065">
        <v>1336620.3999999999</v>
      </c>
      <c r="K139" s="1251">
        <v>3000000</v>
      </c>
      <c r="L139" s="1067">
        <v>4254730.75</v>
      </c>
      <c r="M139" s="1067">
        <v>1058623.6100000001</v>
      </c>
      <c r="N139" s="1067">
        <v>3686196.85</v>
      </c>
      <c r="O139" s="1067">
        <v>312635.15999999997</v>
      </c>
      <c r="P139" s="1067">
        <v>3500000</v>
      </c>
      <c r="Q139" s="1067">
        <v>5000000</v>
      </c>
      <c r="R139" s="1067">
        <v>4835460.88</v>
      </c>
      <c r="S139" s="1116">
        <f t="shared" si="20"/>
        <v>96.709217600000002</v>
      </c>
      <c r="T139" s="1065">
        <v>577781.89</v>
      </c>
      <c r="U139" s="1252">
        <v>3188196.6</v>
      </c>
      <c r="V139" s="1252">
        <v>1089645.3899999999</v>
      </c>
      <c r="W139" s="1252">
        <v>24273</v>
      </c>
      <c r="X139" s="1252"/>
      <c r="Y139" s="1067">
        <v>5000000</v>
      </c>
      <c r="Z139" s="1065">
        <v>589066.41</v>
      </c>
      <c r="AA139" s="1065">
        <v>740579.07</v>
      </c>
      <c r="AB139" s="1065"/>
      <c r="AC139" s="1145">
        <f t="shared" si="19"/>
        <v>3.4027598213140777</v>
      </c>
      <c r="AD139" s="1065">
        <v>1389064.27</v>
      </c>
      <c r="AE139" s="1065"/>
      <c r="AF139" s="1065">
        <f>+Y139</f>
        <v>5000000</v>
      </c>
      <c r="AG139" s="1065">
        <v>2153418.87</v>
      </c>
      <c r="AH139" s="1065"/>
      <c r="AI139" s="1065">
        <v>508550.74</v>
      </c>
      <c r="AJ139" s="1065">
        <f t="shared" si="29"/>
        <v>5000000</v>
      </c>
      <c r="AK139" s="1065">
        <v>3597100.58</v>
      </c>
      <c r="AL139" s="1065"/>
      <c r="AM139" s="1065">
        <v>1432089.87</v>
      </c>
      <c r="AN139" s="1065">
        <v>3500000</v>
      </c>
      <c r="AO139" s="1065">
        <v>1618314.72</v>
      </c>
      <c r="AP139" s="1065"/>
      <c r="AQ139" s="1065">
        <v>404144.66</v>
      </c>
      <c r="AR139" s="1065">
        <v>2260003</v>
      </c>
      <c r="AS139" s="2614"/>
      <c r="AT139" s="1065">
        <v>745111.62</v>
      </c>
      <c r="AU139" s="1065">
        <v>3500000</v>
      </c>
      <c r="AV139" s="1063"/>
      <c r="AW139" s="2946">
        <v>3500000</v>
      </c>
    </row>
    <row r="140" spans="1:49" ht="20.25" customHeight="1">
      <c r="A140" s="1062"/>
      <c r="B140" s="2912"/>
      <c r="C140" s="1063" t="s">
        <v>619</v>
      </c>
      <c r="D140" s="1064" t="s">
        <v>315</v>
      </c>
      <c r="E140" s="1065">
        <v>444347.29</v>
      </c>
      <c r="F140" s="1065">
        <v>337365.22</v>
      </c>
      <c r="G140" s="1065">
        <v>368998.74</v>
      </c>
      <c r="H140" s="1065">
        <v>250000</v>
      </c>
      <c r="I140" s="1065">
        <v>213663.72</v>
      </c>
      <c r="J140" s="1065">
        <v>179823.02</v>
      </c>
      <c r="K140" s="1251">
        <v>1000000</v>
      </c>
      <c r="L140" s="1067">
        <v>561266.22</v>
      </c>
      <c r="M140" s="1067">
        <v>190032</v>
      </c>
      <c r="N140" s="1067">
        <v>342190.29</v>
      </c>
      <c r="O140" s="1067">
        <v>57673</v>
      </c>
      <c r="P140" s="1067">
        <v>1000000</v>
      </c>
      <c r="Q140" s="1067">
        <f>+[3]รวม!$L$38</f>
        <v>1500000</v>
      </c>
      <c r="R140" s="1067">
        <v>782152</v>
      </c>
      <c r="S140" s="1116">
        <f t="shared" si="20"/>
        <v>52.143466666666669</v>
      </c>
      <c r="T140" s="1065">
        <v>139929</v>
      </c>
      <c r="U140" s="1252">
        <v>611735.28</v>
      </c>
      <c r="V140" s="1252">
        <v>115485</v>
      </c>
      <c r="W140" s="1252">
        <v>89755</v>
      </c>
      <c r="X140" s="1252"/>
      <c r="Y140" s="1067">
        <v>1000000</v>
      </c>
      <c r="Z140" s="1065">
        <v>37095</v>
      </c>
      <c r="AA140" s="1065">
        <v>168177</v>
      </c>
      <c r="AB140" s="1065"/>
      <c r="AC140" s="1207">
        <f t="shared" si="19"/>
        <v>27.852386748355819</v>
      </c>
      <c r="AD140" s="1065">
        <v>224262</v>
      </c>
      <c r="AE140" s="1065"/>
      <c r="AF140" s="1065">
        <f>+Y140</f>
        <v>1000000</v>
      </c>
      <c r="AG140" s="1065">
        <v>297003.59999999998</v>
      </c>
      <c r="AH140" s="1065"/>
      <c r="AI140" s="1065">
        <v>30923</v>
      </c>
      <c r="AJ140" s="1065">
        <f t="shared" si="29"/>
        <v>1000000</v>
      </c>
      <c r="AK140" s="1065">
        <v>458520.04</v>
      </c>
      <c r="AL140" s="1065"/>
      <c r="AM140" s="1065">
        <v>141569</v>
      </c>
      <c r="AN140" s="1065">
        <v>500000</v>
      </c>
      <c r="AO140" s="1065">
        <v>156169</v>
      </c>
      <c r="AP140" s="1065"/>
      <c r="AQ140" s="1736">
        <v>108455</v>
      </c>
      <c r="AR140" s="1736">
        <v>369934</v>
      </c>
      <c r="AS140" s="2947"/>
      <c r="AT140" s="1736">
        <v>59399.06</v>
      </c>
      <c r="AU140" s="1736">
        <v>500000</v>
      </c>
      <c r="AV140" s="1063"/>
      <c r="AW140" s="2947">
        <v>500000</v>
      </c>
    </row>
    <row r="141" spans="1:49" s="1258" customFormat="1" ht="20.25" customHeight="1">
      <c r="A141" s="1253"/>
      <c r="B141" s="1253"/>
      <c r="C141" s="1254" t="s">
        <v>319</v>
      </c>
      <c r="D141" s="1123" t="s">
        <v>315</v>
      </c>
      <c r="E141" s="1106">
        <f>SUM(E142:E144)</f>
        <v>5920245.5300000003</v>
      </c>
      <c r="F141" s="1106">
        <f>SUM(F142:F144)</f>
        <v>6293881.96</v>
      </c>
      <c r="G141" s="1106">
        <f>SUM(G142:G144)</f>
        <v>6509269.4000000004</v>
      </c>
      <c r="H141" s="1106">
        <v>6100000</v>
      </c>
      <c r="I141" s="1106">
        <v>5970757.75</v>
      </c>
      <c r="J141" s="1106">
        <v>1391036.88</v>
      </c>
      <c r="K141" s="1105">
        <v>7100000</v>
      </c>
      <c r="L141" s="1106">
        <v>7450171.7000000002</v>
      </c>
      <c r="M141" s="1106">
        <v>1504551.28</v>
      </c>
      <c r="N141" s="1106"/>
      <c r="O141" s="1106"/>
      <c r="P141" s="1106"/>
      <c r="Q141" s="1106">
        <f>SUM(Q142:Q144)</f>
        <v>0</v>
      </c>
      <c r="R141" s="1106">
        <v>8937429.4700000007</v>
      </c>
      <c r="S141" s="1255" t="e">
        <f t="shared" si="20"/>
        <v>#DIV/0!</v>
      </c>
      <c r="T141" s="1256">
        <v>0</v>
      </c>
      <c r="U141" s="1106">
        <f>SUM(U142:U144)</f>
        <v>6136148.6699999999</v>
      </c>
      <c r="V141" s="1106"/>
      <c r="W141" s="1106"/>
      <c r="X141" s="1106"/>
      <c r="Y141" s="1106">
        <f>SUM(Y142:Y144)</f>
        <v>8550000</v>
      </c>
      <c r="Z141" s="1257">
        <v>0</v>
      </c>
      <c r="AA141" s="1106">
        <v>1553314</v>
      </c>
      <c r="AB141" s="1106"/>
      <c r="AC141" s="1108">
        <f t="shared" si="19"/>
        <v>-4.3349093976122939</v>
      </c>
      <c r="AD141" s="1106">
        <f>SUM(AD142:AD144)</f>
        <v>4706857.0999999996</v>
      </c>
      <c r="AE141" s="1106"/>
      <c r="AF141" s="1106">
        <f>SUM(AF142:AF144)</f>
        <v>8270000</v>
      </c>
      <c r="AG141" s="1106">
        <v>6241096.0999999996</v>
      </c>
      <c r="AH141" s="1106"/>
      <c r="AI141" s="1106">
        <v>1220719.2</v>
      </c>
      <c r="AJ141" s="1106">
        <f>+AF141</f>
        <v>8270000</v>
      </c>
      <c r="AK141" s="1106">
        <v>9126081.1999999993</v>
      </c>
      <c r="AL141" s="1106"/>
      <c r="AM141" s="1106">
        <f>SUM(AM142:AM144)</f>
        <v>1419779.2</v>
      </c>
      <c r="AN141" s="1106">
        <f>SUM(AN142:AN144)</f>
        <v>8270000</v>
      </c>
      <c r="AO141" s="1106">
        <v>1827497.5</v>
      </c>
      <c r="AP141" s="1106"/>
      <c r="AQ141" s="1106">
        <f>SUM(AQ142:AQ144)</f>
        <v>2072279.2</v>
      </c>
      <c r="AR141" s="1109">
        <v>5003489.5</v>
      </c>
      <c r="AS141" s="1109"/>
      <c r="AT141" s="1106">
        <f>SUM(AT142:AT144)</f>
        <v>1382806.23</v>
      </c>
      <c r="AU141" s="1109">
        <f>SUM(AU142:AU144)</f>
        <v>8270000</v>
      </c>
      <c r="AV141" s="1710"/>
      <c r="AW141" s="1109"/>
    </row>
    <row r="142" spans="1:49" ht="20.25" customHeight="1">
      <c r="A142" s="1062"/>
      <c r="B142" s="2912"/>
      <c r="C142" s="1063" t="s">
        <v>320</v>
      </c>
      <c r="D142" s="1064" t="s">
        <v>315</v>
      </c>
      <c r="E142" s="1065">
        <v>1369662.53</v>
      </c>
      <c r="F142" s="1065">
        <v>1156249.96</v>
      </c>
      <c r="G142" s="1065">
        <v>984993.4</v>
      </c>
      <c r="H142" s="1065">
        <v>1400000</v>
      </c>
      <c r="I142" s="1078">
        <v>0</v>
      </c>
      <c r="J142" s="1078">
        <v>0</v>
      </c>
      <c r="K142" s="1078">
        <v>0</v>
      </c>
      <c r="L142" s="1078">
        <v>0</v>
      </c>
      <c r="M142" s="1078">
        <v>0</v>
      </c>
      <c r="N142" s="1078">
        <v>0</v>
      </c>
      <c r="O142" s="1078">
        <v>0</v>
      </c>
      <c r="P142" s="1078">
        <v>0</v>
      </c>
      <c r="Q142" s="1078">
        <v>0</v>
      </c>
      <c r="R142" s="1078">
        <v>0</v>
      </c>
      <c r="S142" s="1065"/>
      <c r="T142" s="1078">
        <v>0</v>
      </c>
      <c r="U142" s="2855">
        <v>6136148.6699999999</v>
      </c>
      <c r="V142" s="2855">
        <v>1672140</v>
      </c>
      <c r="W142" s="1069">
        <v>1140112.1000000001</v>
      </c>
      <c r="X142" s="1069"/>
      <c r="Y142" s="1065">
        <v>1400000</v>
      </c>
      <c r="Z142" s="1065">
        <v>2555.3000000000002</v>
      </c>
      <c r="AA142" s="1065"/>
      <c r="AB142" s="1065"/>
      <c r="AC142" s="1199" t="e">
        <f t="shared" si="19"/>
        <v>#DIV/0!</v>
      </c>
      <c r="AD142" s="1065">
        <f>5200+549093.1</f>
        <v>554293.1</v>
      </c>
      <c r="AE142" s="1065"/>
      <c r="AF142" s="1065">
        <v>1000000</v>
      </c>
      <c r="AG142" s="1065"/>
      <c r="AH142" s="1065"/>
      <c r="AI142" s="1065"/>
      <c r="AJ142" s="1065">
        <f>+AF142</f>
        <v>1000000</v>
      </c>
      <c r="AK142" s="1065"/>
      <c r="AL142" s="1065"/>
      <c r="AM142" s="1065">
        <v>2555.3000000000002</v>
      </c>
      <c r="AN142" s="1065">
        <f>+AJ142</f>
        <v>1000000</v>
      </c>
      <c r="AO142" s="1265"/>
      <c r="AP142" s="1065"/>
      <c r="AQ142" s="1738">
        <v>2555.3000000000002</v>
      </c>
      <c r="AR142" s="2948"/>
      <c r="AS142" s="2938"/>
      <c r="AT142" s="1738">
        <v>8411.9</v>
      </c>
      <c r="AU142" s="1738">
        <v>1000000</v>
      </c>
      <c r="AV142" s="1071"/>
      <c r="AW142" s="2938">
        <v>1000000</v>
      </c>
    </row>
    <row r="143" spans="1:49" s="1259" customFormat="1" ht="20.25" customHeight="1">
      <c r="A143" s="1062"/>
      <c r="B143" s="2912"/>
      <c r="C143" s="1063" t="s">
        <v>321</v>
      </c>
      <c r="D143" s="1064" t="s">
        <v>315</v>
      </c>
      <c r="E143" s="1065">
        <v>184640</v>
      </c>
      <c r="F143" s="1065">
        <v>143952</v>
      </c>
      <c r="G143" s="1065">
        <v>117236</v>
      </c>
      <c r="H143" s="1065">
        <v>200000</v>
      </c>
      <c r="I143" s="1078">
        <v>0</v>
      </c>
      <c r="J143" s="1078">
        <v>0</v>
      </c>
      <c r="K143" s="1078">
        <v>0</v>
      </c>
      <c r="L143" s="1078">
        <v>0</v>
      </c>
      <c r="M143" s="1078">
        <v>0</v>
      </c>
      <c r="N143" s="1078">
        <v>0</v>
      </c>
      <c r="O143" s="1078">
        <v>0</v>
      </c>
      <c r="P143" s="1078">
        <v>0</v>
      </c>
      <c r="Q143" s="1078">
        <v>0</v>
      </c>
      <c r="R143" s="1078">
        <v>0</v>
      </c>
      <c r="S143" s="1065"/>
      <c r="T143" s="1078">
        <v>0</v>
      </c>
      <c r="U143" s="2855"/>
      <c r="V143" s="2855"/>
      <c r="W143" s="1069">
        <v>153264.20000000001</v>
      </c>
      <c r="X143" s="1069"/>
      <c r="Y143" s="1065">
        <v>150000</v>
      </c>
      <c r="Z143" s="1075">
        <v>0</v>
      </c>
      <c r="AA143" s="1065"/>
      <c r="AB143" s="1065"/>
      <c r="AC143" s="1145" t="e">
        <f t="shared" si="19"/>
        <v>#DIV/0!</v>
      </c>
      <c r="AD143" s="1065">
        <v>160464</v>
      </c>
      <c r="AE143" s="1065"/>
      <c r="AF143" s="1065">
        <v>270000</v>
      </c>
      <c r="AG143" s="1065"/>
      <c r="AH143" s="1065"/>
      <c r="AI143" s="1065"/>
      <c r="AJ143" s="1065">
        <f t="shared" ref="AJ143:AJ145" si="30">+AF143</f>
        <v>270000</v>
      </c>
      <c r="AK143" s="1065"/>
      <c r="AL143" s="1065"/>
      <c r="AM143" s="1065">
        <v>0</v>
      </c>
      <c r="AN143" s="1065">
        <f t="shared" ref="AN143:AN144" si="31">+AJ143</f>
        <v>270000</v>
      </c>
      <c r="AO143" s="1265"/>
      <c r="AP143" s="1065"/>
      <c r="AQ143" s="1065"/>
      <c r="AR143" s="1071"/>
      <c r="AS143" s="1071"/>
      <c r="AT143" s="1071"/>
      <c r="AU143" s="1071">
        <v>270000</v>
      </c>
      <c r="AV143" s="1071"/>
      <c r="AW143" s="1071">
        <v>270000</v>
      </c>
    </row>
    <row r="144" spans="1:49" ht="20.25" customHeight="1">
      <c r="A144" s="1062"/>
      <c r="B144" s="2912"/>
      <c r="C144" s="1063" t="s">
        <v>322</v>
      </c>
      <c r="D144" s="1064" t="s">
        <v>315</v>
      </c>
      <c r="E144" s="1065">
        <v>4365943</v>
      </c>
      <c r="F144" s="1065">
        <v>4993680</v>
      </c>
      <c r="G144" s="1065">
        <v>5407040</v>
      </c>
      <c r="H144" s="1065">
        <v>4500000</v>
      </c>
      <c r="I144" s="1078">
        <v>0</v>
      </c>
      <c r="J144" s="1078">
        <v>0</v>
      </c>
      <c r="K144" s="1078">
        <v>0</v>
      </c>
      <c r="L144" s="1078">
        <v>0</v>
      </c>
      <c r="M144" s="1078">
        <v>0</v>
      </c>
      <c r="N144" s="1078">
        <v>0</v>
      </c>
      <c r="O144" s="1078">
        <v>0</v>
      </c>
      <c r="P144" s="1078">
        <v>0</v>
      </c>
      <c r="Q144" s="1078">
        <v>0</v>
      </c>
      <c r="R144" s="1078">
        <v>0</v>
      </c>
      <c r="S144" s="1065"/>
      <c r="T144" s="1065">
        <v>596853.9</v>
      </c>
      <c r="U144" s="2855"/>
      <c r="V144" s="2855"/>
      <c r="W144" s="1069">
        <v>596411.1</v>
      </c>
      <c r="X144" s="1069"/>
      <c r="Y144" s="1065">
        <v>7000000</v>
      </c>
      <c r="Z144" s="1065">
        <v>565883.9</v>
      </c>
      <c r="AA144" s="1065"/>
      <c r="AB144" s="1065"/>
      <c r="AC144" s="1145" t="e">
        <f t="shared" si="19"/>
        <v>#DIV/0!</v>
      </c>
      <c r="AD144" s="1065">
        <v>3992100</v>
      </c>
      <c r="AE144" s="1065"/>
      <c r="AF144" s="1065">
        <f>+Y144</f>
        <v>7000000</v>
      </c>
      <c r="AG144" s="1065"/>
      <c r="AH144" s="1065"/>
      <c r="AI144" s="1065"/>
      <c r="AJ144" s="1065">
        <f t="shared" si="30"/>
        <v>7000000</v>
      </c>
      <c r="AK144" s="1065"/>
      <c r="AL144" s="1065"/>
      <c r="AM144" s="1065">
        <v>1417223.9</v>
      </c>
      <c r="AN144" s="1065">
        <f t="shared" si="31"/>
        <v>7000000</v>
      </c>
      <c r="AO144" s="1265"/>
      <c r="AP144" s="1065"/>
      <c r="AQ144" s="1738">
        <v>2069723.9</v>
      </c>
      <c r="AR144" s="2948"/>
      <c r="AS144" s="2938"/>
      <c r="AT144" s="1738">
        <f>671583.9+702810.43</f>
        <v>1374394.33</v>
      </c>
      <c r="AU144" s="1738">
        <v>7000000</v>
      </c>
      <c r="AV144" s="1071"/>
      <c r="AW144" s="2938">
        <v>7000000</v>
      </c>
    </row>
    <row r="145" spans="1:49" ht="20.25" customHeight="1">
      <c r="A145" s="1062"/>
      <c r="B145" s="2912"/>
      <c r="C145" s="1063" t="s">
        <v>323</v>
      </c>
      <c r="D145" s="1064" t="s">
        <v>315</v>
      </c>
      <c r="E145" s="1065">
        <v>5772142.7699999996</v>
      </c>
      <c r="F145" s="1065">
        <v>1409456.36</v>
      </c>
      <c r="G145" s="1065">
        <v>1169050</v>
      </c>
      <c r="H145" s="1065">
        <v>4000000</v>
      </c>
      <c r="I145" s="1065">
        <v>3380000</v>
      </c>
      <c r="J145" s="1065">
        <v>99400</v>
      </c>
      <c r="K145" s="1251">
        <v>3500000</v>
      </c>
      <c r="L145" s="1067">
        <v>3517700</v>
      </c>
      <c r="M145" s="1067">
        <v>201200</v>
      </c>
      <c r="N145" s="1065">
        <v>0</v>
      </c>
      <c r="O145" s="1065">
        <v>0</v>
      </c>
      <c r="P145" s="1065">
        <v>4500000</v>
      </c>
      <c r="Q145" s="1067">
        <f>+[3]รวม!$L$40</f>
        <v>7000000</v>
      </c>
      <c r="R145" s="1067">
        <v>3049250</v>
      </c>
      <c r="S145" s="1116">
        <f>+R145/Q145*100</f>
        <v>43.560714285714283</v>
      </c>
      <c r="T145" s="1065">
        <v>197600</v>
      </c>
      <c r="U145" s="1252">
        <f>+R145</f>
        <v>3049250</v>
      </c>
      <c r="V145" s="1252">
        <f>+T145</f>
        <v>197600</v>
      </c>
      <c r="W145" s="1252">
        <v>3699000</v>
      </c>
      <c r="X145" s="1252"/>
      <c r="Y145" s="1067">
        <v>7000000</v>
      </c>
      <c r="Z145" s="1065">
        <v>51000</v>
      </c>
      <c r="AA145" s="1065">
        <v>3759600</v>
      </c>
      <c r="AB145" s="1065"/>
      <c r="AC145" s="1145">
        <f t="shared" si="19"/>
        <v>129.56464704435518</v>
      </c>
      <c r="AD145" s="1065">
        <v>3759600</v>
      </c>
      <c r="AE145" s="1065"/>
      <c r="AF145" s="1065">
        <f>+Y145</f>
        <v>7000000</v>
      </c>
      <c r="AG145" s="1065">
        <v>3810600</v>
      </c>
      <c r="AH145" s="1065"/>
      <c r="AI145" s="1065"/>
      <c r="AJ145" s="1065">
        <f t="shared" si="30"/>
        <v>7000000</v>
      </c>
      <c r="AK145" s="1065">
        <v>3829945.6</v>
      </c>
      <c r="AL145" s="1065"/>
      <c r="AM145" s="1065"/>
      <c r="AN145" s="1065">
        <v>6000000</v>
      </c>
      <c r="AO145" s="1065">
        <v>2590000</v>
      </c>
      <c r="AP145" s="1065"/>
      <c r="AQ145" s="1065"/>
      <c r="AR145" s="1071">
        <v>2605921.6</v>
      </c>
      <c r="AS145" s="1071"/>
      <c r="AT145" s="1071">
        <v>93700</v>
      </c>
      <c r="AU145" s="1071">
        <v>6000000</v>
      </c>
      <c r="AV145" s="1071"/>
      <c r="AW145" s="1071">
        <v>6000000</v>
      </c>
    </row>
    <row r="146" spans="1:49" ht="20.25" hidden="1" customHeight="1">
      <c r="A146" s="1223"/>
      <c r="B146" s="2924"/>
      <c r="C146" s="1080" t="s">
        <v>324</v>
      </c>
      <c r="D146" s="1081"/>
      <c r="E146" s="1082">
        <v>0</v>
      </c>
      <c r="F146" s="1082">
        <v>0</v>
      </c>
      <c r="G146" s="1082">
        <v>0</v>
      </c>
      <c r="H146" s="1082">
        <v>100000</v>
      </c>
      <c r="I146" s="1082">
        <v>0</v>
      </c>
      <c r="J146" s="1082">
        <v>0</v>
      </c>
      <c r="K146" s="1084">
        <v>0</v>
      </c>
      <c r="L146" s="2615">
        <v>0</v>
      </c>
      <c r="M146" s="1085">
        <v>0</v>
      </c>
      <c r="N146" s="1082">
        <v>0</v>
      </c>
      <c r="O146" s="1082">
        <v>0</v>
      </c>
      <c r="P146" s="1082">
        <v>100000</v>
      </c>
      <c r="Q146" s="1082"/>
      <c r="R146" s="1082"/>
      <c r="S146" s="1226" t="e">
        <f>+R146/Q146*100</f>
        <v>#DIV/0!</v>
      </c>
      <c r="T146" s="1082"/>
      <c r="U146" s="1087"/>
      <c r="V146" s="1087"/>
      <c r="W146" s="1087"/>
      <c r="X146" s="1087"/>
      <c r="Y146" s="1082"/>
      <c r="Z146" s="1082"/>
      <c r="AA146" s="1085"/>
      <c r="AB146" s="1085"/>
      <c r="AC146" s="2616" t="e">
        <f t="shared" si="19"/>
        <v>#DIV/0!</v>
      </c>
      <c r="AD146" s="1085"/>
      <c r="AE146" s="1085"/>
      <c r="AF146" s="1085"/>
      <c r="AG146" s="1085"/>
      <c r="AH146" s="1085"/>
      <c r="AI146" s="1085"/>
      <c r="AJ146" s="1085"/>
      <c r="AK146" s="1085"/>
      <c r="AL146" s="1085"/>
      <c r="AM146" s="1085"/>
      <c r="AN146" s="1085"/>
      <c r="AO146" s="1085"/>
      <c r="AP146" s="1085"/>
      <c r="AQ146" s="1082"/>
      <c r="AR146" s="1090"/>
      <c r="AS146" s="1090"/>
      <c r="AT146" s="1090"/>
      <c r="AU146" s="1090"/>
      <c r="AV146" s="1072"/>
      <c r="AW146" s="1072"/>
    </row>
    <row r="147" spans="1:49" s="1258" customFormat="1" ht="20.25" customHeight="1">
      <c r="A147" s="2619"/>
      <c r="B147" s="2619"/>
      <c r="C147" s="2620" t="s">
        <v>325</v>
      </c>
      <c r="D147" s="2621" t="s">
        <v>326</v>
      </c>
      <c r="E147" s="2622">
        <v>95672081.310000002</v>
      </c>
      <c r="F147" s="2622">
        <v>90568652.379999995</v>
      </c>
      <c r="G147" s="2622">
        <v>113598032.58</v>
      </c>
      <c r="H147" s="2622">
        <v>141700000</v>
      </c>
      <c r="I147" s="2622">
        <v>173517852.77000001</v>
      </c>
      <c r="J147" s="2622">
        <v>32151667.879999999</v>
      </c>
      <c r="K147" s="2623">
        <v>98200000</v>
      </c>
      <c r="L147" s="2622">
        <v>108302691.62</v>
      </c>
      <c r="M147" s="2622">
        <v>21232000.82</v>
      </c>
      <c r="N147" s="2622"/>
      <c r="O147" s="2622"/>
      <c r="P147" s="2622"/>
      <c r="Q147" s="2622">
        <f>SUM(Q148:Q153)</f>
        <v>0</v>
      </c>
      <c r="R147" s="2622">
        <v>115724946</v>
      </c>
      <c r="S147" s="2624" t="e">
        <f>+R147/Q147*100</f>
        <v>#DIV/0!</v>
      </c>
      <c r="T147" s="2625"/>
      <c r="U147" s="2622">
        <f>SUM(U148:U153)</f>
        <v>69453637.540000007</v>
      </c>
      <c r="V147" s="2622">
        <f>SUM(V148:V153)</f>
        <v>3756804.6799999997</v>
      </c>
      <c r="W147" s="2622"/>
      <c r="X147" s="2622"/>
      <c r="Y147" s="2622">
        <f>SUM(Y148:Y153)</f>
        <v>115000000</v>
      </c>
      <c r="Z147" s="2625"/>
      <c r="AA147" s="2622">
        <v>18202621.969999999</v>
      </c>
      <c r="AB147" s="2622"/>
      <c r="AC147" s="2999">
        <f t="shared" si="19"/>
        <v>-0.62643883195244698</v>
      </c>
      <c r="AD147" s="2622">
        <f>SUM(AD148:AD153)</f>
        <v>45126506.460000001</v>
      </c>
      <c r="AE147" s="2622"/>
      <c r="AF147" s="2622">
        <f>SUM(AF148:AF152)</f>
        <v>114000000</v>
      </c>
      <c r="AG147" s="2622">
        <v>77604034.519999996</v>
      </c>
      <c r="AH147" s="2622"/>
      <c r="AI147" s="2622">
        <v>19438001.329999998</v>
      </c>
      <c r="AJ147" s="2622">
        <f>+AF147</f>
        <v>114000000</v>
      </c>
      <c r="AK147" s="2622">
        <v>121717388.38</v>
      </c>
      <c r="AL147" s="2622"/>
      <c r="AM147" s="2622">
        <f>SUM(AM148:AM153)</f>
        <v>11090125.190000001</v>
      </c>
      <c r="AN147" s="2622">
        <f>SUM(AN148:AN153)</f>
        <v>126500000</v>
      </c>
      <c r="AO147" s="2622">
        <v>17286185.760000002</v>
      </c>
      <c r="AP147" s="2622"/>
      <c r="AQ147" s="2625">
        <f>SUM(AQ148:AQ153)</f>
        <v>4644011.13</v>
      </c>
      <c r="AR147" s="2622">
        <v>31645459.149999999</v>
      </c>
      <c r="AS147" s="2622"/>
      <c r="AT147" s="2622">
        <f>SUM(AT148:AT153)</f>
        <v>23188850.949999996</v>
      </c>
      <c r="AU147" s="2622">
        <f>SUM(AU148:AU153)</f>
        <v>126500000</v>
      </c>
      <c r="AV147" s="1109"/>
      <c r="AW147" s="1109"/>
    </row>
    <row r="148" spans="1:49" s="1198" customFormat="1" ht="20.25" customHeight="1">
      <c r="A148" s="1050"/>
      <c r="B148" s="2911"/>
      <c r="C148" s="1198" t="s">
        <v>327</v>
      </c>
      <c r="D148" s="1135" t="s">
        <v>326</v>
      </c>
      <c r="E148" s="1053">
        <v>2393335.21</v>
      </c>
      <c r="F148" s="1053">
        <v>2607874.63</v>
      </c>
      <c r="G148" s="1053">
        <v>3106594.4</v>
      </c>
      <c r="H148" s="1053">
        <v>3200000</v>
      </c>
      <c r="I148" s="1136">
        <v>0</v>
      </c>
      <c r="J148" s="1136">
        <v>0</v>
      </c>
      <c r="K148" s="2617">
        <v>3200000</v>
      </c>
      <c r="L148" s="1136">
        <v>0</v>
      </c>
      <c r="M148" s="1136">
        <v>0</v>
      </c>
      <c r="N148" s="1136">
        <v>0</v>
      </c>
      <c r="O148" s="1136">
        <v>0</v>
      </c>
      <c r="P148" s="1136">
        <v>0</v>
      </c>
      <c r="Q148" s="1136">
        <v>0</v>
      </c>
      <c r="R148" s="1136">
        <v>0</v>
      </c>
      <c r="S148" s="1053"/>
      <c r="T148" s="1053">
        <v>752315.89</v>
      </c>
      <c r="U148" s="2581"/>
      <c r="V148" s="2581"/>
      <c r="W148" s="2581">
        <v>3341037.52</v>
      </c>
      <c r="X148" s="2581"/>
      <c r="Y148" s="1053">
        <v>5000000</v>
      </c>
      <c r="Z148" s="1053">
        <f>77700+204566.03</f>
        <v>282266.03000000003</v>
      </c>
      <c r="AA148" s="1053"/>
      <c r="AB148" s="1053"/>
      <c r="AC148" s="1199" t="e">
        <f t="shared" si="19"/>
        <v>#DIV/0!</v>
      </c>
      <c r="AD148" s="1053">
        <f>2368872.16+471632.95+577724.86</f>
        <v>3418229.97</v>
      </c>
      <c r="AE148" s="1053"/>
      <c r="AF148" s="1053">
        <f t="shared" ref="AF148:AF153" si="32">+Y148</f>
        <v>5000000</v>
      </c>
      <c r="AG148" s="1053"/>
      <c r="AH148" s="1053"/>
      <c r="AI148" s="1053"/>
      <c r="AJ148" s="1053">
        <f>+AF148</f>
        <v>5000000</v>
      </c>
      <c r="AK148" s="1053"/>
      <c r="AL148" s="1053"/>
      <c r="AM148" s="1053">
        <f>1127625+204566.03</f>
        <v>1332191.03</v>
      </c>
      <c r="AN148" s="1053">
        <v>5000000</v>
      </c>
      <c r="AO148" s="2618"/>
      <c r="AP148" s="1053"/>
      <c r="AQ148" s="1748">
        <f>1754931.9+204566.03</f>
        <v>1959497.93</v>
      </c>
      <c r="AR148" s="2949"/>
      <c r="AS148" s="2950"/>
      <c r="AT148" s="1748">
        <v>565395.6</v>
      </c>
      <c r="AU148" s="1748">
        <v>5000000</v>
      </c>
      <c r="AV148" s="1065"/>
      <c r="AW148" s="2950">
        <v>5000000</v>
      </c>
    </row>
    <row r="149" spans="1:49" s="1063" customFormat="1" ht="20.25" customHeight="1">
      <c r="A149" s="1062"/>
      <c r="B149" s="2912"/>
      <c r="C149" s="1063" t="s">
        <v>328</v>
      </c>
      <c r="D149" s="1064"/>
      <c r="E149" s="1065">
        <v>56122447.439999998</v>
      </c>
      <c r="F149" s="1065">
        <v>61446133.25</v>
      </c>
      <c r="G149" s="1065">
        <v>58342338.149999999</v>
      </c>
      <c r="H149" s="1065">
        <v>60000000</v>
      </c>
      <c r="I149" s="1078">
        <v>0</v>
      </c>
      <c r="J149" s="1078">
        <v>0</v>
      </c>
      <c r="K149" s="1161">
        <v>61000000</v>
      </c>
      <c r="L149" s="1078">
        <v>0</v>
      </c>
      <c r="M149" s="1078">
        <v>0</v>
      </c>
      <c r="N149" s="1078">
        <v>0</v>
      </c>
      <c r="O149" s="1078">
        <v>0</v>
      </c>
      <c r="P149" s="1078">
        <v>0</v>
      </c>
      <c r="Q149" s="1078">
        <v>0</v>
      </c>
      <c r="R149" s="1078">
        <v>0</v>
      </c>
      <c r="S149" s="1065"/>
      <c r="T149" s="1065">
        <v>15527968.5</v>
      </c>
      <c r="U149" s="1069">
        <v>50418175.020000003</v>
      </c>
      <c r="V149" s="1069">
        <v>2147833</v>
      </c>
      <c r="W149" s="1069">
        <v>17435655.399999999</v>
      </c>
      <c r="X149" s="1069"/>
      <c r="Y149" s="1065">
        <v>72000000</v>
      </c>
      <c r="Z149" s="1065">
        <v>15688475.9</v>
      </c>
      <c r="AA149" s="1065"/>
      <c r="AB149" s="1065"/>
      <c r="AC149" s="1145" t="e">
        <f t="shared" si="19"/>
        <v>#DIV/0!</v>
      </c>
      <c r="AD149" s="1065">
        <f>38192365.99+125100</f>
        <v>38317465.990000002</v>
      </c>
      <c r="AE149" s="1065"/>
      <c r="AF149" s="1065">
        <f t="shared" si="32"/>
        <v>72000000</v>
      </c>
      <c r="AG149" s="1065"/>
      <c r="AH149" s="1065"/>
      <c r="AI149" s="1065"/>
      <c r="AJ149" s="1065">
        <f t="shared" ref="AJ149:AJ153" si="33">+AF149</f>
        <v>72000000</v>
      </c>
      <c r="AK149" s="1065"/>
      <c r="AL149" s="1065"/>
      <c r="AM149" s="1065">
        <v>4977482</v>
      </c>
      <c r="AN149" s="1065">
        <v>78000000</v>
      </c>
      <c r="AO149" s="1265"/>
      <c r="AP149" s="1065"/>
      <c r="AQ149" s="1753">
        <v>1213874.2</v>
      </c>
      <c r="AR149" s="2951"/>
      <c r="AS149" s="2945"/>
      <c r="AT149" s="1753">
        <v>13295901.85</v>
      </c>
      <c r="AU149" s="1065">
        <v>78000000</v>
      </c>
      <c r="AV149" s="1065"/>
      <c r="AW149" s="2945"/>
    </row>
    <row r="150" spans="1:49" s="1063" customFormat="1" ht="20.25" customHeight="1">
      <c r="A150" s="1062"/>
      <c r="B150" s="2912"/>
      <c r="C150" s="1063" t="s">
        <v>1225</v>
      </c>
      <c r="D150" s="1064"/>
      <c r="E150" s="1065">
        <v>0</v>
      </c>
      <c r="F150" s="1065">
        <v>0</v>
      </c>
      <c r="G150" s="1065">
        <v>46383890</v>
      </c>
      <c r="H150" s="1065">
        <v>53000000</v>
      </c>
      <c r="I150" s="1065">
        <v>52306587</v>
      </c>
      <c r="J150" s="1078">
        <v>0</v>
      </c>
      <c r="K150" s="1161">
        <v>3000000</v>
      </c>
      <c r="L150" s="1078">
        <v>0</v>
      </c>
      <c r="M150" s="1078">
        <v>0</v>
      </c>
      <c r="N150" s="1078">
        <v>0</v>
      </c>
      <c r="O150" s="1078">
        <v>0</v>
      </c>
      <c r="P150" s="1078">
        <v>0</v>
      </c>
      <c r="Q150" s="1078">
        <v>0</v>
      </c>
      <c r="R150" s="1078">
        <v>0</v>
      </c>
      <c r="S150" s="1078">
        <v>0</v>
      </c>
      <c r="T150" s="1078">
        <v>0</v>
      </c>
      <c r="U150" s="1069">
        <v>2422500</v>
      </c>
      <c r="V150" s="1069">
        <v>96000</v>
      </c>
      <c r="W150" s="1069">
        <v>745700</v>
      </c>
      <c r="X150" s="1069"/>
      <c r="Y150" s="1065">
        <v>4000000</v>
      </c>
      <c r="Z150" s="1065">
        <v>487600</v>
      </c>
      <c r="AA150" s="1260"/>
      <c r="AB150" s="1260"/>
      <c r="AC150" s="1145" t="e">
        <f t="shared" si="19"/>
        <v>#DIV/0!</v>
      </c>
      <c r="AD150" s="1260">
        <v>356000</v>
      </c>
      <c r="AE150" s="1260"/>
      <c r="AF150" s="1260">
        <f t="shared" si="32"/>
        <v>4000000</v>
      </c>
      <c r="AG150" s="1260"/>
      <c r="AH150" s="1260"/>
      <c r="AI150" s="1260"/>
      <c r="AJ150" s="1065">
        <f t="shared" si="33"/>
        <v>4000000</v>
      </c>
      <c r="AK150" s="1065"/>
      <c r="AL150" s="1065"/>
      <c r="AM150" s="1065">
        <v>284000</v>
      </c>
      <c r="AN150" s="1065">
        <v>3000000</v>
      </c>
      <c r="AO150" s="1265"/>
      <c r="AP150" s="1065"/>
      <c r="AQ150" s="1065"/>
      <c r="AR150" s="1065"/>
      <c r="AS150" s="1065"/>
      <c r="AT150" s="1065"/>
      <c r="AU150" s="1065">
        <v>3000000</v>
      </c>
      <c r="AV150" s="1260"/>
      <c r="AW150" s="1065"/>
    </row>
    <row r="151" spans="1:49" s="1063" customFormat="1" ht="20.25" customHeight="1">
      <c r="A151" s="1062"/>
      <c r="B151" s="2912"/>
      <c r="C151" s="1063" t="s">
        <v>329</v>
      </c>
      <c r="D151" s="1064" t="s">
        <v>326</v>
      </c>
      <c r="E151" s="1261">
        <v>659675</v>
      </c>
      <c r="F151" s="1261">
        <v>219560</v>
      </c>
      <c r="G151" s="1261">
        <v>420340</v>
      </c>
      <c r="H151" s="1065">
        <v>4300000</v>
      </c>
      <c r="I151" s="1065">
        <v>585540</v>
      </c>
      <c r="J151" s="1078">
        <v>0</v>
      </c>
      <c r="K151" s="1161">
        <v>2200000</v>
      </c>
      <c r="L151" s="1078">
        <v>0</v>
      </c>
      <c r="M151" s="1078">
        <v>0</v>
      </c>
      <c r="N151" s="1078">
        <v>0</v>
      </c>
      <c r="O151" s="1078">
        <v>0</v>
      </c>
      <c r="P151" s="1078">
        <v>0</v>
      </c>
      <c r="Q151" s="1078">
        <v>0</v>
      </c>
      <c r="R151" s="1078">
        <v>0</v>
      </c>
      <c r="S151" s="1078">
        <v>0</v>
      </c>
      <c r="T151" s="1078">
        <v>0</v>
      </c>
      <c r="U151" s="1069">
        <v>1083880</v>
      </c>
      <c r="V151" s="1069">
        <v>4000</v>
      </c>
      <c r="W151" s="1069">
        <v>1594380</v>
      </c>
      <c r="X151" s="1069"/>
      <c r="Y151" s="1065">
        <v>3000000</v>
      </c>
      <c r="Z151" s="1065">
        <v>52700</v>
      </c>
      <c r="AA151" s="1065"/>
      <c r="AB151" s="1065"/>
      <c r="AC151" s="1145" t="e">
        <f t="shared" si="19"/>
        <v>#DIV/0!</v>
      </c>
      <c r="AD151" s="1065">
        <v>518910</v>
      </c>
      <c r="AE151" s="1065"/>
      <c r="AF151" s="1065">
        <f t="shared" si="32"/>
        <v>3000000</v>
      </c>
      <c r="AG151" s="1065"/>
      <c r="AH151" s="1065"/>
      <c r="AI151" s="1065"/>
      <c r="AJ151" s="1065">
        <f t="shared" si="33"/>
        <v>3000000</v>
      </c>
      <c r="AK151" s="1065"/>
      <c r="AL151" s="1065"/>
      <c r="AM151" s="1065">
        <v>266230</v>
      </c>
      <c r="AN151" s="1065">
        <v>2500000</v>
      </c>
      <c r="AO151" s="1265"/>
      <c r="AP151" s="1065"/>
      <c r="AQ151" s="1753">
        <v>64740</v>
      </c>
      <c r="AR151" s="2951"/>
      <c r="AS151" s="2945"/>
      <c r="AT151" s="1753">
        <v>156680</v>
      </c>
      <c r="AU151" s="1065">
        <v>2500000</v>
      </c>
      <c r="AV151" s="1065"/>
      <c r="AW151" s="2945"/>
    </row>
    <row r="152" spans="1:49" s="1063" customFormat="1" ht="20.25" customHeight="1">
      <c r="A152" s="1062"/>
      <c r="B152" s="2912"/>
      <c r="C152" s="1063" t="s">
        <v>330</v>
      </c>
      <c r="D152" s="1064" t="s">
        <v>326</v>
      </c>
      <c r="E152" s="1065">
        <v>24486285.379999999</v>
      </c>
      <c r="F152" s="1065">
        <v>46047532.960000001</v>
      </c>
      <c r="G152" s="1065">
        <v>19719987.800000001</v>
      </c>
      <c r="H152" s="1065">
        <v>20000000</v>
      </c>
      <c r="I152" s="1078">
        <v>0</v>
      </c>
      <c r="J152" s="1078">
        <v>0</v>
      </c>
      <c r="K152" s="1161">
        <v>27500000</v>
      </c>
      <c r="L152" s="1078">
        <v>0</v>
      </c>
      <c r="M152" s="1078">
        <v>0</v>
      </c>
      <c r="N152" s="1078">
        <v>0</v>
      </c>
      <c r="O152" s="1078">
        <v>0</v>
      </c>
      <c r="P152" s="1078">
        <v>0</v>
      </c>
      <c r="Q152" s="1078">
        <v>0</v>
      </c>
      <c r="R152" s="1078">
        <v>0</v>
      </c>
      <c r="S152" s="1078">
        <v>0</v>
      </c>
      <c r="T152" s="1078">
        <v>0</v>
      </c>
      <c r="U152" s="1069">
        <v>15529082.52</v>
      </c>
      <c r="V152" s="1069">
        <v>1508971.68</v>
      </c>
      <c r="W152" s="1069">
        <v>11245557.16</v>
      </c>
      <c r="X152" s="1069"/>
      <c r="Y152" s="1065">
        <v>30000000</v>
      </c>
      <c r="Z152" s="1065">
        <v>6892191.2599999998</v>
      </c>
      <c r="AA152" s="1065"/>
      <c r="AB152" s="1065"/>
      <c r="AC152" s="1145" t="e">
        <f t="shared" si="19"/>
        <v>#DIV/0!</v>
      </c>
      <c r="AD152" s="1065">
        <v>2240884</v>
      </c>
      <c r="AE152" s="1065"/>
      <c r="AF152" s="1065">
        <f t="shared" si="32"/>
        <v>30000000</v>
      </c>
      <c r="AG152" s="1065"/>
      <c r="AH152" s="1065"/>
      <c r="AI152" s="1065"/>
      <c r="AJ152" s="1065">
        <f t="shared" si="33"/>
        <v>30000000</v>
      </c>
      <c r="AK152" s="1065"/>
      <c r="AL152" s="1065"/>
      <c r="AM152" s="1065">
        <v>4150309.16</v>
      </c>
      <c r="AN152" s="1065">
        <v>37000000</v>
      </c>
      <c r="AO152" s="1265"/>
      <c r="AP152" s="1065"/>
      <c r="AQ152" s="1753">
        <v>1325986</v>
      </c>
      <c r="AR152" s="2951"/>
      <c r="AS152" s="2945"/>
      <c r="AT152" s="1753">
        <v>8784339.0999999996</v>
      </c>
      <c r="AU152" s="1065">
        <v>37000000</v>
      </c>
      <c r="AV152" s="1065"/>
      <c r="AW152" s="2945"/>
    </row>
    <row r="153" spans="1:49" s="1063" customFormat="1" ht="20.25" customHeight="1">
      <c r="A153" s="1062"/>
      <c r="B153" s="2912"/>
      <c r="C153" s="1063" t="s">
        <v>331</v>
      </c>
      <c r="D153" s="1064" t="s">
        <v>326</v>
      </c>
      <c r="E153" s="1065">
        <v>1243359.26</v>
      </c>
      <c r="F153" s="1065">
        <v>1459691.86</v>
      </c>
      <c r="G153" s="1065">
        <v>1108656.47</v>
      </c>
      <c r="H153" s="1065">
        <v>1200000</v>
      </c>
      <c r="I153" s="1078">
        <v>0</v>
      </c>
      <c r="J153" s="1078">
        <v>0</v>
      </c>
      <c r="K153" s="1161">
        <v>1300000</v>
      </c>
      <c r="L153" s="1078">
        <v>0</v>
      </c>
      <c r="M153" s="1078">
        <v>0</v>
      </c>
      <c r="N153" s="1078">
        <v>0</v>
      </c>
      <c r="O153" s="1078">
        <v>0</v>
      </c>
      <c r="P153" s="1078">
        <v>0</v>
      </c>
      <c r="Q153" s="1078">
        <v>0</v>
      </c>
      <c r="R153" s="1078">
        <v>0</v>
      </c>
      <c r="S153" s="1078">
        <v>0</v>
      </c>
      <c r="T153" s="1078">
        <v>0</v>
      </c>
      <c r="U153" s="1069"/>
      <c r="V153" s="1069"/>
      <c r="W153" s="1069">
        <v>618664.51</v>
      </c>
      <c r="X153" s="1069"/>
      <c r="Y153" s="1065">
        <v>1000000</v>
      </c>
      <c r="Z153" s="1065">
        <v>61942.8</v>
      </c>
      <c r="AA153" s="1065"/>
      <c r="AB153" s="1065"/>
      <c r="AC153" s="1145" t="e">
        <f t="shared" si="19"/>
        <v>#DIV/0!</v>
      </c>
      <c r="AD153" s="1065">
        <v>275016.5</v>
      </c>
      <c r="AE153" s="1065"/>
      <c r="AF153" s="1065">
        <f t="shared" si="32"/>
        <v>1000000</v>
      </c>
      <c r="AG153" s="1065"/>
      <c r="AH153" s="1065"/>
      <c r="AI153" s="1065"/>
      <c r="AJ153" s="1065">
        <f t="shared" si="33"/>
        <v>1000000</v>
      </c>
      <c r="AK153" s="1065"/>
      <c r="AL153" s="1065"/>
      <c r="AM153" s="1065">
        <v>79913</v>
      </c>
      <c r="AN153" s="1065">
        <v>1000000</v>
      </c>
      <c r="AO153" s="1265"/>
      <c r="AP153" s="1065"/>
      <c r="AQ153" s="1753">
        <v>79913</v>
      </c>
      <c r="AR153" s="2951"/>
      <c r="AS153" s="2945"/>
      <c r="AT153" s="1753">
        <v>386534.40000000002</v>
      </c>
      <c r="AU153" s="1753">
        <v>1000000</v>
      </c>
      <c r="AV153" s="1065"/>
      <c r="AW153" s="2945">
        <v>1000000</v>
      </c>
    </row>
    <row r="154" spans="1:49" s="1206" customFormat="1" ht="20.25" customHeight="1">
      <c r="A154" s="1062"/>
      <c r="B154" s="2912"/>
      <c r="C154" s="1063" t="s">
        <v>1957</v>
      </c>
      <c r="D154" s="1064"/>
      <c r="E154" s="1065"/>
      <c r="F154" s="1065"/>
      <c r="G154" s="1065"/>
      <c r="H154" s="1065"/>
      <c r="I154" s="1078"/>
      <c r="J154" s="1078"/>
      <c r="K154" s="1161"/>
      <c r="L154" s="1078"/>
      <c r="M154" s="1078"/>
      <c r="N154" s="1078"/>
      <c r="O154" s="1078"/>
      <c r="P154" s="1078"/>
      <c r="Q154" s="1078"/>
      <c r="R154" s="1078"/>
      <c r="S154" s="1078"/>
      <c r="T154" s="1078"/>
      <c r="U154" s="1069"/>
      <c r="V154" s="1069"/>
      <c r="W154" s="1069"/>
      <c r="X154" s="1069"/>
      <c r="Y154" s="1065"/>
      <c r="Z154" s="1065"/>
      <c r="AA154" s="1065"/>
      <c r="AB154" s="1065"/>
      <c r="AC154" s="1145"/>
      <c r="AD154" s="1065"/>
      <c r="AE154" s="1065"/>
      <c r="AF154" s="1065"/>
      <c r="AG154" s="1065"/>
      <c r="AH154" s="1065"/>
      <c r="AI154" s="1065"/>
      <c r="AJ154" s="1065"/>
      <c r="AK154" s="1065"/>
      <c r="AL154" s="1065"/>
      <c r="AM154" s="1065"/>
      <c r="AN154" s="1065"/>
      <c r="AO154" s="1265"/>
      <c r="AP154" s="1065"/>
      <c r="AQ154" s="1736"/>
      <c r="AR154" s="2952"/>
      <c r="AS154" s="2947"/>
      <c r="AT154" s="1736"/>
      <c r="AU154" s="2953">
        <v>600000</v>
      </c>
      <c r="AV154" s="1065"/>
      <c r="AW154" s="2947"/>
    </row>
    <row r="155" spans="1:49" s="1206" customFormat="1" ht="24" customHeight="1">
      <c r="A155" s="2989"/>
      <c r="B155" s="2926"/>
      <c r="C155" s="1206" t="s">
        <v>332</v>
      </c>
      <c r="D155" s="1238" t="s">
        <v>333</v>
      </c>
      <c r="E155" s="1114">
        <v>352763899.93000001</v>
      </c>
      <c r="F155" s="1114">
        <v>352524109.57999998</v>
      </c>
      <c r="G155" s="1114">
        <v>381568335.67000002</v>
      </c>
      <c r="H155" s="1114">
        <v>360000000</v>
      </c>
      <c r="I155" s="3100">
        <v>402783945.05000001</v>
      </c>
      <c r="J155" s="1114">
        <v>89346930.670000002</v>
      </c>
      <c r="K155" s="3101">
        <v>400000000</v>
      </c>
      <c r="L155" s="3102">
        <v>423646772.83999997</v>
      </c>
      <c r="M155" s="3102">
        <v>109527385.2</v>
      </c>
      <c r="N155" s="3102">
        <v>333088729.54000002</v>
      </c>
      <c r="O155" s="3102">
        <v>38459644.259999998</v>
      </c>
      <c r="P155" s="3102">
        <v>425000000</v>
      </c>
      <c r="Q155" s="3102">
        <v>550000000</v>
      </c>
      <c r="R155" s="3102">
        <v>506852465.06</v>
      </c>
      <c r="S155" s="1114">
        <f>+R155/Q155*100</f>
        <v>92.154993647272732</v>
      </c>
      <c r="T155" s="3102">
        <v>103859970.48</v>
      </c>
      <c r="U155" s="3103">
        <v>379347700.48000002</v>
      </c>
      <c r="V155" s="3103">
        <v>111075930.98</v>
      </c>
      <c r="W155" s="3103"/>
      <c r="X155" s="3103"/>
      <c r="Y155" s="3102">
        <v>480000000</v>
      </c>
      <c r="Z155" s="1114">
        <v>120512792.27</v>
      </c>
      <c r="AA155" s="1114">
        <v>121182386.29000001</v>
      </c>
      <c r="AB155" s="1114"/>
      <c r="AC155" s="1207">
        <f t="shared" si="19"/>
        <v>-5.2978858565522158</v>
      </c>
      <c r="AD155" s="1114">
        <v>249860112.15000001</v>
      </c>
      <c r="AE155" s="1114"/>
      <c r="AF155" s="1114">
        <v>500000000</v>
      </c>
      <c r="AG155" s="1114">
        <v>381117846.63</v>
      </c>
      <c r="AH155" s="1114"/>
      <c r="AI155" s="1114">
        <v>125635876.69</v>
      </c>
      <c r="AJ155" s="1114">
        <f>+AF155+30000000</f>
        <v>530000000</v>
      </c>
      <c r="AK155" s="1114">
        <v>543287245.50999999</v>
      </c>
      <c r="AL155" s="1114"/>
      <c r="AM155" s="1114">
        <v>110146910.06</v>
      </c>
      <c r="AN155" s="1114">
        <v>500000000</v>
      </c>
      <c r="AO155" s="1114">
        <v>135593611.21000001</v>
      </c>
      <c r="AP155" s="1114"/>
      <c r="AQ155" s="1736">
        <v>146147662.00999999</v>
      </c>
      <c r="AR155" s="1736">
        <v>329298598.94</v>
      </c>
      <c r="AS155" s="2947"/>
      <c r="AT155" s="1736">
        <v>132042147.27</v>
      </c>
      <c r="AU155" s="1736">
        <v>530000000</v>
      </c>
      <c r="AV155" s="1065"/>
      <c r="AW155" s="2947"/>
    </row>
    <row r="156" spans="1:49" s="1258" customFormat="1" ht="21.75" customHeight="1">
      <c r="A156" s="2619"/>
      <c r="B156" s="2619"/>
      <c r="C156" s="2620" t="s">
        <v>334</v>
      </c>
      <c r="D156" s="2621" t="s">
        <v>335</v>
      </c>
      <c r="E156" s="2622">
        <f>SUM(E157:E158)</f>
        <v>12801269.599999998</v>
      </c>
      <c r="F156" s="2622">
        <f>SUM(F157:F158)</f>
        <v>13439529.259999998</v>
      </c>
      <c r="G156" s="2622">
        <f>SUM(G157:G158)</f>
        <v>13544757.620000001</v>
      </c>
      <c r="H156" s="2622">
        <v>26800000</v>
      </c>
      <c r="I156" s="2622">
        <f>SUM(I157:I159)</f>
        <v>14619733.800000001</v>
      </c>
      <c r="J156" s="2622">
        <v>33500000</v>
      </c>
      <c r="K156" s="2623">
        <v>33500000</v>
      </c>
      <c r="L156" s="2996">
        <v>0</v>
      </c>
      <c r="M156" s="2996">
        <v>0</v>
      </c>
      <c r="N156" s="2996">
        <v>0</v>
      </c>
      <c r="O156" s="2996">
        <v>0</v>
      </c>
      <c r="P156" s="2996">
        <v>0</v>
      </c>
      <c r="Q156" s="2996">
        <v>0</v>
      </c>
      <c r="R156" s="2996">
        <v>0</v>
      </c>
      <c r="S156" s="2996">
        <v>0</v>
      </c>
      <c r="T156" s="2996">
        <v>0</v>
      </c>
      <c r="U156" s="2622">
        <f>+U157+U158+U159</f>
        <v>0</v>
      </c>
      <c r="V156" s="2622">
        <f>+V157+V158+V159</f>
        <v>18313239.449999999</v>
      </c>
      <c r="W156" s="2622"/>
      <c r="X156" s="2622"/>
      <c r="Y156" s="2622">
        <f>SUM(Y157:Y159)</f>
        <v>48000000</v>
      </c>
      <c r="Z156" s="2625"/>
      <c r="AA156" s="2622">
        <f>SUM(AA157:AA159)</f>
        <v>13167203.300000001</v>
      </c>
      <c r="AB156" s="2622"/>
      <c r="AC156" s="2999" t="e">
        <f t="shared" si="19"/>
        <v>#DIV/0!</v>
      </c>
      <c r="AD156" s="2622">
        <f>SUM(AD157:AD159)</f>
        <v>19151982.43</v>
      </c>
      <c r="AE156" s="2622"/>
      <c r="AF156" s="2622"/>
      <c r="AG156" s="2622"/>
      <c r="AH156" s="2622"/>
      <c r="AI156" s="2622"/>
      <c r="AJ156" s="2622"/>
      <c r="AK156" s="2622">
        <f>SUM(AK157:AK159)</f>
        <v>41135924.409999996</v>
      </c>
      <c r="AL156" s="2622"/>
      <c r="AM156" s="2622">
        <f>SUM(AM157:AM159)</f>
        <v>13782583.66</v>
      </c>
      <c r="AN156" s="2622">
        <f>SUM(AN157:AN159)</f>
        <v>48000000</v>
      </c>
      <c r="AO156" s="2622">
        <f>SUM(AO157:AO162)</f>
        <v>17191108.800000001</v>
      </c>
      <c r="AP156" s="2622"/>
      <c r="AQ156" s="2625">
        <f>SUM(AQ157:AQ159)</f>
        <v>8351474.7400000002</v>
      </c>
      <c r="AR156" s="2622">
        <f>SUM(AR157:AR159)</f>
        <v>22362275.060000002</v>
      </c>
      <c r="AS156" s="2622"/>
      <c r="AT156" s="2622">
        <f>SUM(AT157:AT159)</f>
        <v>13237080.09</v>
      </c>
      <c r="AU156" s="2622">
        <f>SUM(AU157:AU159)</f>
        <v>48000000</v>
      </c>
      <c r="AV156" s="1109"/>
      <c r="AW156" s="1109"/>
    </row>
    <row r="157" spans="1:49" ht="21.75" customHeight="1">
      <c r="A157" s="1050"/>
      <c r="B157" s="2911"/>
      <c r="C157" s="1198" t="s">
        <v>336</v>
      </c>
      <c r="D157" s="1135" t="s">
        <v>335</v>
      </c>
      <c r="E157" s="1053">
        <v>4271456.5599999996</v>
      </c>
      <c r="F157" s="1053">
        <v>4373685.1399999997</v>
      </c>
      <c r="G157" s="1053">
        <v>4624692.5599999996</v>
      </c>
      <c r="H157" s="1053">
        <v>4800000</v>
      </c>
      <c r="I157" s="1053">
        <v>5063862.54</v>
      </c>
      <c r="J157" s="1053">
        <v>1857416.66</v>
      </c>
      <c r="K157" s="2580">
        <v>5500000</v>
      </c>
      <c r="L157" s="1053">
        <v>4860582.3600000003</v>
      </c>
      <c r="M157" s="1053">
        <f>278760+2035427.24</f>
        <v>2314187.2400000002</v>
      </c>
      <c r="N157" s="1053">
        <v>3625596.21</v>
      </c>
      <c r="O157" s="1053">
        <v>856162.1</v>
      </c>
      <c r="P157" s="1053">
        <v>5500000</v>
      </c>
      <c r="Q157" s="1053">
        <v>8000000</v>
      </c>
      <c r="R157" s="1053">
        <v>7758767.6799999997</v>
      </c>
      <c r="S157" s="1053"/>
      <c r="T157" s="1053">
        <v>2504675.16</v>
      </c>
      <c r="U157" s="2581"/>
      <c r="V157" s="2581">
        <v>2293332.6800000002</v>
      </c>
      <c r="W157" s="2581">
        <v>5932282.2999999998</v>
      </c>
      <c r="X157" s="2581">
        <v>842231.28</v>
      </c>
      <c r="Y157" s="1053">
        <v>8000000</v>
      </c>
      <c r="Z157" s="1053">
        <v>992414.66</v>
      </c>
      <c r="AA157" s="1053">
        <v>2441519.96</v>
      </c>
      <c r="AB157" s="1053"/>
      <c r="AC157" s="1199">
        <f t="shared" si="19"/>
        <v>3.1091576645841816</v>
      </c>
      <c r="AD157" s="1053">
        <v>3932785.09</v>
      </c>
      <c r="AE157" s="1053"/>
      <c r="AF157" s="1053">
        <f>+Y157</f>
        <v>8000000</v>
      </c>
      <c r="AG157" s="1053">
        <v>4822656.6500000004</v>
      </c>
      <c r="AH157" s="1053"/>
      <c r="AI157" s="1053">
        <v>1185247.1000000001</v>
      </c>
      <c r="AJ157" s="1053">
        <f>+AF157</f>
        <v>8000000</v>
      </c>
      <c r="AK157" s="1053">
        <v>7196561.5499999998</v>
      </c>
      <c r="AL157" s="1053"/>
      <c r="AM157" s="1053">
        <v>1850823.98</v>
      </c>
      <c r="AN157" s="3104">
        <v>8000000</v>
      </c>
      <c r="AO157" s="3104">
        <v>1799603.34</v>
      </c>
      <c r="AP157" s="3104"/>
      <c r="AQ157" s="1748">
        <v>1778708.24</v>
      </c>
      <c r="AR157" s="1748">
        <v>3612236.58</v>
      </c>
      <c r="AS157" s="2950"/>
      <c r="AT157" s="1748">
        <v>2233148.92</v>
      </c>
      <c r="AU157" s="1748">
        <v>8000000</v>
      </c>
      <c r="AV157" s="1065"/>
      <c r="AW157" s="2945">
        <v>8000000</v>
      </c>
    </row>
    <row r="158" spans="1:49" s="1179" customFormat="1" ht="21.75" customHeight="1">
      <c r="A158" s="1062"/>
      <c r="B158" s="2912"/>
      <c r="C158" s="1063" t="s">
        <v>337</v>
      </c>
      <c r="D158" s="1064" t="s">
        <v>338</v>
      </c>
      <c r="E158" s="1065">
        <v>8529813.0399999991</v>
      </c>
      <c r="F158" s="1065">
        <v>9065844.1199999992</v>
      </c>
      <c r="G158" s="1065">
        <v>8920065.0600000005</v>
      </c>
      <c r="H158" s="1065">
        <v>9000000</v>
      </c>
      <c r="I158" s="1065">
        <v>7202711.8600000003</v>
      </c>
      <c r="J158" s="1065">
        <v>4576054.78</v>
      </c>
      <c r="K158" s="1066">
        <v>10000000</v>
      </c>
      <c r="L158" s="1065">
        <v>10163306.949999999</v>
      </c>
      <c r="M158" s="1065">
        <v>4762707.2</v>
      </c>
      <c r="N158" s="1065">
        <v>7177505.1799999997</v>
      </c>
      <c r="O158" s="1065">
        <v>396027.29</v>
      </c>
      <c r="P158" s="1065">
        <v>10000000</v>
      </c>
      <c r="Q158" s="1065">
        <f>+[3]รวม!$L$20</f>
        <v>10000000</v>
      </c>
      <c r="R158" s="1065">
        <v>12136643.4</v>
      </c>
      <c r="S158" s="1065"/>
      <c r="T158" s="1065">
        <v>3401658.89</v>
      </c>
      <c r="U158" s="1069"/>
      <c r="V158" s="1069">
        <v>2790137.17</v>
      </c>
      <c r="W158" s="1069">
        <v>7805296.2999999998</v>
      </c>
      <c r="X158" s="1069">
        <v>1842943.39</v>
      </c>
      <c r="Y158" s="1065">
        <v>10000000</v>
      </c>
      <c r="Z158" s="1065">
        <v>2929046.25</v>
      </c>
      <c r="AA158" s="1065">
        <v>3104363.14</v>
      </c>
      <c r="AB158" s="1065"/>
      <c r="AC158" s="1145">
        <f t="shared" ref="AC158:AC189" si="34">+(Y158-R158)/R158*100</f>
        <v>-17.604895600706207</v>
      </c>
      <c r="AD158" s="1065">
        <v>4292423.54</v>
      </c>
      <c r="AE158" s="1065"/>
      <c r="AF158" s="1065">
        <v>13000000</v>
      </c>
      <c r="AG158" s="1065">
        <v>7656813.04</v>
      </c>
      <c r="AH158" s="1065"/>
      <c r="AI158" s="1065">
        <v>2287465.19</v>
      </c>
      <c r="AJ158" s="1065">
        <f t="shared" ref="AJ158:AJ160" si="35">+AF158</f>
        <v>13000000</v>
      </c>
      <c r="AK158" s="1065">
        <v>10784868.16</v>
      </c>
      <c r="AL158" s="1065"/>
      <c r="AM158" s="1065">
        <v>6058733.5300000003</v>
      </c>
      <c r="AN158" s="1065">
        <v>10000000</v>
      </c>
      <c r="AO158" s="1065">
        <v>4330122.58</v>
      </c>
      <c r="AP158" s="1065"/>
      <c r="AQ158" s="1753">
        <v>1889807.5</v>
      </c>
      <c r="AR158" s="1753">
        <v>6134433.3300000001</v>
      </c>
      <c r="AS158" s="2945"/>
      <c r="AT158" s="1753">
        <v>2518603.0699999998</v>
      </c>
      <c r="AU158" s="1753">
        <v>10000000</v>
      </c>
      <c r="AV158" s="1065"/>
      <c r="AW158" s="2945">
        <v>10000000</v>
      </c>
    </row>
    <row r="159" spans="1:49" ht="21.75" customHeight="1">
      <c r="A159" s="1062"/>
      <c r="B159" s="2912"/>
      <c r="C159" s="1063" t="s">
        <v>339</v>
      </c>
      <c r="D159" s="1064"/>
      <c r="E159" s="1065">
        <v>0</v>
      </c>
      <c r="F159" s="1065">
        <v>0</v>
      </c>
      <c r="G159" s="1078">
        <v>0</v>
      </c>
      <c r="H159" s="1078">
        <v>0</v>
      </c>
      <c r="I159" s="1078">
        <v>2353159.4</v>
      </c>
      <c r="J159" s="1078">
        <v>0</v>
      </c>
      <c r="K159" s="1066">
        <v>8000000</v>
      </c>
      <c r="L159" s="1065">
        <v>4427235.5</v>
      </c>
      <c r="M159" s="1065">
        <v>5739225</v>
      </c>
      <c r="N159" s="1065">
        <v>5248703.5</v>
      </c>
      <c r="O159" s="1065">
        <v>4650914.4000000004</v>
      </c>
      <c r="P159" s="1065">
        <v>14000000</v>
      </c>
      <c r="Q159" s="1065">
        <f>+[3]รวม!$L$19</f>
        <v>20000000</v>
      </c>
      <c r="R159" s="1065">
        <v>22896823.600000001</v>
      </c>
      <c r="S159" s="1065"/>
      <c r="T159" s="1065">
        <v>6441835.2000000002</v>
      </c>
      <c r="U159" s="1069"/>
      <c r="V159" s="1069">
        <v>13229769.6</v>
      </c>
      <c r="W159" s="1069">
        <v>17907860.600000001</v>
      </c>
      <c r="X159" s="1069">
        <v>8350800</v>
      </c>
      <c r="Y159" s="1065">
        <v>30000000</v>
      </c>
      <c r="Z159" s="1065">
        <v>4635880.25</v>
      </c>
      <c r="AA159" s="1065">
        <v>7621320.2000000002</v>
      </c>
      <c r="AB159" s="1065"/>
      <c r="AC159" s="1145">
        <f t="shared" si="34"/>
        <v>31.022540611266265</v>
      </c>
      <c r="AD159" s="1065">
        <v>10926773.800000001</v>
      </c>
      <c r="AE159" s="1065"/>
      <c r="AF159" s="1065">
        <f>+Y159</f>
        <v>30000000</v>
      </c>
      <c r="AG159" s="1065">
        <v>17196706.800000001</v>
      </c>
      <c r="AH159" s="1065"/>
      <c r="AI159" s="1065">
        <v>3680330.85</v>
      </c>
      <c r="AJ159" s="1065">
        <f t="shared" si="35"/>
        <v>30000000</v>
      </c>
      <c r="AK159" s="1065">
        <v>23154494.699999999</v>
      </c>
      <c r="AL159" s="1065"/>
      <c r="AM159" s="1065">
        <v>5873026.1500000004</v>
      </c>
      <c r="AN159" s="1065">
        <v>30000000</v>
      </c>
      <c r="AO159" s="1065">
        <v>4937396.1500000004</v>
      </c>
      <c r="AP159" s="1065"/>
      <c r="AQ159" s="1753">
        <v>4682959</v>
      </c>
      <c r="AR159" s="1753">
        <v>12615605.15</v>
      </c>
      <c r="AS159" s="2945"/>
      <c r="AT159" s="1753">
        <v>8485328.0999999996</v>
      </c>
      <c r="AU159" s="1753">
        <v>30000000</v>
      </c>
      <c r="AV159" s="1065"/>
      <c r="AW159" s="2945">
        <v>30000000</v>
      </c>
    </row>
    <row r="160" spans="1:49" ht="21.75" customHeight="1">
      <c r="A160" s="1062"/>
      <c r="B160" s="2912"/>
      <c r="C160" s="1063" t="s">
        <v>340</v>
      </c>
      <c r="D160" s="1064" t="s">
        <v>315</v>
      </c>
      <c r="E160" s="1065">
        <v>19273470.98</v>
      </c>
      <c r="F160" s="1065">
        <v>20195133.02</v>
      </c>
      <c r="G160" s="1065">
        <v>18613829.82</v>
      </c>
      <c r="H160" s="1065">
        <v>18000000</v>
      </c>
      <c r="I160" s="1065">
        <v>14711088.199999999</v>
      </c>
      <c r="J160" s="1065">
        <v>2729749.99</v>
      </c>
      <c r="K160" s="1251">
        <v>15000000</v>
      </c>
      <c r="L160" s="1067">
        <v>17428712.559999999</v>
      </c>
      <c r="M160" s="1067">
        <v>2061114.36</v>
      </c>
      <c r="N160" s="1067">
        <v>14652920.02</v>
      </c>
      <c r="O160" s="1067">
        <v>468231.38</v>
      </c>
      <c r="P160" s="1067">
        <v>18000000</v>
      </c>
      <c r="Q160" s="1067">
        <f>+[3]รวม!$L$39</f>
        <v>18000000</v>
      </c>
      <c r="R160" s="1067">
        <v>17551422.960000001</v>
      </c>
      <c r="S160" s="1116">
        <f>+R160/Q160*100</f>
        <v>97.507905333333326</v>
      </c>
      <c r="T160" s="1065">
        <v>3490475.23</v>
      </c>
      <c r="U160" s="1252">
        <v>14041459.279999999</v>
      </c>
      <c r="V160" s="1252">
        <v>392534.82</v>
      </c>
      <c r="W160" s="1252">
        <v>2040757.63</v>
      </c>
      <c r="X160" s="1252"/>
      <c r="Y160" s="1067">
        <v>18000000</v>
      </c>
      <c r="Z160" s="1065">
        <v>1769081.5</v>
      </c>
      <c r="AA160" s="1065">
        <v>4546580.41</v>
      </c>
      <c r="AB160" s="1065"/>
      <c r="AC160" s="1145">
        <f t="shared" si="34"/>
        <v>2.5557873058059966</v>
      </c>
      <c r="AD160" s="1065">
        <v>9933135.3100000005</v>
      </c>
      <c r="AE160" s="1065"/>
      <c r="AF160" s="1065">
        <f>+Y160</f>
        <v>18000000</v>
      </c>
      <c r="AG160" s="1065">
        <v>15380356.41</v>
      </c>
      <c r="AH160" s="1065"/>
      <c r="AI160" s="1065">
        <v>1420644.94</v>
      </c>
      <c r="AJ160" s="1065">
        <f t="shared" si="35"/>
        <v>18000000</v>
      </c>
      <c r="AK160" s="1065">
        <v>21136840.68</v>
      </c>
      <c r="AL160" s="1065"/>
      <c r="AM160" s="1065">
        <v>2181906.12</v>
      </c>
      <c r="AN160" s="1065">
        <v>20000000</v>
      </c>
      <c r="AO160" s="1065">
        <v>4732958.7300000004</v>
      </c>
      <c r="AP160" s="1065"/>
      <c r="AQ160" s="1753">
        <v>1222931.2</v>
      </c>
      <c r="AR160" s="1753">
        <v>10873154.710000001</v>
      </c>
      <c r="AS160" s="2945"/>
      <c r="AT160" s="1753">
        <v>1456711.3</v>
      </c>
      <c r="AU160" s="1753">
        <v>20000000</v>
      </c>
      <c r="AV160" s="1065"/>
      <c r="AW160" s="2945">
        <v>20000000</v>
      </c>
    </row>
    <row r="161" spans="1:49" ht="21.75" customHeight="1">
      <c r="A161" s="1062"/>
      <c r="B161" s="2912"/>
      <c r="C161" s="1063" t="s">
        <v>341</v>
      </c>
      <c r="D161" s="1064" t="s">
        <v>315</v>
      </c>
      <c r="E161" s="1065">
        <v>6300</v>
      </c>
      <c r="F161" s="1065">
        <v>0</v>
      </c>
      <c r="G161" s="1065">
        <v>0</v>
      </c>
      <c r="H161" s="1065">
        <v>0</v>
      </c>
      <c r="I161" s="1065">
        <v>0</v>
      </c>
      <c r="J161" s="1065">
        <v>0</v>
      </c>
      <c r="K161" s="1066">
        <v>0</v>
      </c>
      <c r="L161" s="1065">
        <v>0</v>
      </c>
      <c r="M161" s="1065">
        <v>0</v>
      </c>
      <c r="N161" s="1065">
        <v>0</v>
      </c>
      <c r="O161" s="1065">
        <v>0</v>
      </c>
      <c r="P161" s="1065"/>
      <c r="Q161" s="1065"/>
      <c r="R161" s="1065"/>
      <c r="S161" s="1116" t="e">
        <f>+R161/Q161*100</f>
        <v>#DIV/0!</v>
      </c>
      <c r="T161" s="1065"/>
      <c r="U161" s="1069"/>
      <c r="V161" s="1069"/>
      <c r="W161" s="1069"/>
      <c r="X161" s="1069"/>
      <c r="Y161" s="1065"/>
      <c r="Z161" s="1065"/>
      <c r="AA161" s="1065"/>
      <c r="AB161" s="1065"/>
      <c r="AC161" s="1145" t="e">
        <f t="shared" si="34"/>
        <v>#DIV/0!</v>
      </c>
      <c r="AD161" s="1065"/>
      <c r="AE161" s="1065"/>
      <c r="AF161" s="1065"/>
      <c r="AG161" s="1065"/>
      <c r="AH161" s="1065"/>
      <c r="AI161" s="1065"/>
      <c r="AJ161" s="1065"/>
      <c r="AK161" s="1065"/>
      <c r="AL161" s="1065"/>
      <c r="AM161" s="1065"/>
      <c r="AN161" s="1065"/>
      <c r="AO161" s="1065"/>
      <c r="AP161" s="1065"/>
      <c r="AQ161" s="1065"/>
      <c r="AR161" s="1071"/>
      <c r="AS161" s="1071"/>
      <c r="AT161" s="1071"/>
      <c r="AU161" s="1071"/>
      <c r="AV161" s="1071"/>
      <c r="AW161" s="1071"/>
    </row>
    <row r="162" spans="1:49" ht="21.75" customHeight="1">
      <c r="A162" s="2989"/>
      <c r="B162" s="2926"/>
      <c r="C162" s="1206" t="s">
        <v>342</v>
      </c>
      <c r="D162" s="1238" t="s">
        <v>315</v>
      </c>
      <c r="E162" s="1114">
        <v>2590862.9</v>
      </c>
      <c r="F162" s="1114">
        <v>2028787.85</v>
      </c>
      <c r="G162" s="1114">
        <v>1207760.1000000001</v>
      </c>
      <c r="H162" s="1114">
        <v>1000000</v>
      </c>
      <c r="I162" s="1114">
        <v>1243639.5</v>
      </c>
      <c r="J162" s="1114">
        <v>435981</v>
      </c>
      <c r="K162" s="3101">
        <v>1000000</v>
      </c>
      <c r="L162" s="3102">
        <v>1927286.1</v>
      </c>
      <c r="M162" s="3105">
        <v>0</v>
      </c>
      <c r="N162" s="3102">
        <v>1754045</v>
      </c>
      <c r="O162" s="3102">
        <v>402834</v>
      </c>
      <c r="P162" s="3102">
        <v>1500000</v>
      </c>
      <c r="Q162" s="3102">
        <f>+[3]รวม!$L$28</f>
        <v>1900000</v>
      </c>
      <c r="R162" s="3102">
        <v>2579819</v>
      </c>
      <c r="S162" s="1241">
        <f>+R162/Q162*100</f>
        <v>135.77994736842106</v>
      </c>
      <c r="T162" s="1114">
        <v>345848.32000000001</v>
      </c>
      <c r="U162" s="3103">
        <v>1891470.5</v>
      </c>
      <c r="V162" s="3103">
        <v>4865677.0599999996</v>
      </c>
      <c r="W162" s="3103">
        <v>484761</v>
      </c>
      <c r="X162" s="3103"/>
      <c r="Y162" s="3102">
        <v>1900000</v>
      </c>
      <c r="Z162" s="1114">
        <v>938952</v>
      </c>
      <c r="AA162" s="1114">
        <v>260997.32</v>
      </c>
      <c r="AB162" s="1114"/>
      <c r="AC162" s="1207">
        <f t="shared" si="34"/>
        <v>-26.351422328465681</v>
      </c>
      <c r="AD162" s="1114">
        <v>1167237.82</v>
      </c>
      <c r="AE162" s="1114"/>
      <c r="AF162" s="1114">
        <f>+Y162</f>
        <v>1900000</v>
      </c>
      <c r="AG162" s="1114">
        <v>1759287.82</v>
      </c>
      <c r="AH162" s="1114"/>
      <c r="AI162" s="1114"/>
      <c r="AJ162" s="1114">
        <f>+AF162</f>
        <v>1900000</v>
      </c>
      <c r="AK162" s="1114">
        <v>2653788.8199999998</v>
      </c>
      <c r="AL162" s="1114"/>
      <c r="AM162" s="1114">
        <v>1065627</v>
      </c>
      <c r="AN162" s="1114">
        <v>1000000</v>
      </c>
      <c r="AO162" s="1114">
        <v>1391028</v>
      </c>
      <c r="AP162" s="1114"/>
      <c r="AQ162" s="1114">
        <v>311877</v>
      </c>
      <c r="AR162" s="1114">
        <v>1911005</v>
      </c>
      <c r="AS162" s="1114"/>
      <c r="AT162" s="1114">
        <v>270007</v>
      </c>
      <c r="AU162" s="1114">
        <v>2500000</v>
      </c>
      <c r="AV162" s="1071"/>
      <c r="AW162" s="1765">
        <v>2500000</v>
      </c>
    </row>
    <row r="163" spans="1:49" s="1258" customFormat="1" ht="21.75" customHeight="1">
      <c r="A163" s="2619"/>
      <c r="B163" s="2619"/>
      <c r="C163" s="2620" t="s">
        <v>343</v>
      </c>
      <c r="D163" s="2621" t="s">
        <v>335</v>
      </c>
      <c r="E163" s="2622">
        <f>SUM(E164:E174)</f>
        <v>265152568.06</v>
      </c>
      <c r="F163" s="2622">
        <f>SUM(F164:F174)</f>
        <v>269596034.88999999</v>
      </c>
      <c r="G163" s="2622">
        <f>SUM(G164:G174)</f>
        <v>283383304.84999996</v>
      </c>
      <c r="H163" s="2622">
        <v>256600000</v>
      </c>
      <c r="I163" s="2622">
        <f>SUM(I164:I174)</f>
        <v>269171871.07999998</v>
      </c>
      <c r="J163" s="2622">
        <v>85959555.859999999</v>
      </c>
      <c r="K163" s="2623">
        <v>256000000</v>
      </c>
      <c r="L163" s="2622">
        <v>294582710.36000001</v>
      </c>
      <c r="M163" s="2622">
        <v>104568445.34999999</v>
      </c>
      <c r="N163" s="2622"/>
      <c r="O163" s="2622"/>
      <c r="P163" s="2622"/>
      <c r="Q163" s="2622">
        <f>SUM(Q164:Q174)</f>
        <v>0</v>
      </c>
      <c r="R163" s="2622">
        <v>380811985.63</v>
      </c>
      <c r="S163" s="2624" t="e">
        <f>+R163/Q163*100</f>
        <v>#DIV/0!</v>
      </c>
      <c r="T163" s="2625"/>
      <c r="U163" s="2622">
        <f>SUM(U164:U174)</f>
        <v>0</v>
      </c>
      <c r="V163" s="2622">
        <f>SUM(V164:V174)</f>
        <v>0</v>
      </c>
      <c r="W163" s="2622"/>
      <c r="X163" s="2622"/>
      <c r="Y163" s="2622">
        <f>SUM(Y164:Y174)</f>
        <v>332850000</v>
      </c>
      <c r="Z163" s="2625"/>
      <c r="AA163" s="2622">
        <f>SUM(AA164:AA174)</f>
        <v>101783887.25999999</v>
      </c>
      <c r="AB163" s="2622"/>
      <c r="AC163" s="2999">
        <f t="shared" si="34"/>
        <v>-12.594662836216569</v>
      </c>
      <c r="AD163" s="2622">
        <f>SUM(AD164:AD174)</f>
        <v>183826925.05000001</v>
      </c>
      <c r="AE163" s="2622"/>
      <c r="AF163" s="2622"/>
      <c r="AG163" s="2622">
        <f>SUM(AG164:AG174)</f>
        <v>274477791.02000004</v>
      </c>
      <c r="AH163" s="2622"/>
      <c r="AI163" s="2622">
        <v>80864205.670000002</v>
      </c>
      <c r="AJ163" s="2622"/>
      <c r="AK163" s="2622">
        <f>SUM(AK164:AK174)</f>
        <v>367023217.1099999</v>
      </c>
      <c r="AL163" s="2622"/>
      <c r="AM163" s="2622">
        <f>SUM(AM164:AM174)</f>
        <v>118566842.88000001</v>
      </c>
      <c r="AN163" s="2622">
        <f>SUM(AN164:AN174)</f>
        <v>356040000</v>
      </c>
      <c r="AO163" s="2622">
        <f>SUM(AO164:AO174)</f>
        <v>110346108.80000001</v>
      </c>
      <c r="AP163" s="2622"/>
      <c r="AQ163" s="2622">
        <f>SUM(AQ164:AQ174)</f>
        <v>76364470.600000009</v>
      </c>
      <c r="AR163" s="2622">
        <f>SUM(AR164:AR174)</f>
        <v>204725072.93999997</v>
      </c>
      <c r="AS163" s="2622"/>
      <c r="AT163" s="2622">
        <f>SUM(AT164:AT174)</f>
        <v>54509153.840000004</v>
      </c>
      <c r="AU163" s="2622">
        <f>SUM(AU164:AU174)</f>
        <v>366540000</v>
      </c>
      <c r="AV163" s="1109"/>
      <c r="AW163" s="1109"/>
    </row>
    <row r="164" spans="1:49" s="1198" customFormat="1" ht="21.75" customHeight="1">
      <c r="A164" s="1050"/>
      <c r="B164" s="2911"/>
      <c r="C164" s="1198" t="s">
        <v>344</v>
      </c>
      <c r="D164" s="1135" t="s">
        <v>335</v>
      </c>
      <c r="E164" s="1053">
        <v>7743552.2999999998</v>
      </c>
      <c r="F164" s="1053">
        <v>9070618.3000000007</v>
      </c>
      <c r="G164" s="1053">
        <v>10905081.109999999</v>
      </c>
      <c r="H164" s="1053">
        <v>8000000</v>
      </c>
      <c r="I164" s="1053">
        <v>11494282.76</v>
      </c>
      <c r="J164" s="1136">
        <v>0</v>
      </c>
      <c r="K164" s="2617">
        <v>10000000</v>
      </c>
      <c r="L164" s="2626">
        <v>0</v>
      </c>
      <c r="M164" s="1136">
        <v>0</v>
      </c>
      <c r="N164" s="1136">
        <v>0</v>
      </c>
      <c r="O164" s="1136">
        <v>0</v>
      </c>
      <c r="P164" s="1136">
        <v>0</v>
      </c>
      <c r="Q164" s="1136">
        <v>0</v>
      </c>
      <c r="R164" s="1136">
        <v>0</v>
      </c>
      <c r="S164" s="1053"/>
      <c r="T164" s="1053">
        <v>1977638.68</v>
      </c>
      <c r="U164" s="2581"/>
      <c r="V164" s="2581"/>
      <c r="W164" s="2581">
        <v>12341259.57</v>
      </c>
      <c r="X164" s="2581">
        <v>1784078.49</v>
      </c>
      <c r="Y164" s="1053">
        <v>17000000</v>
      </c>
      <c r="Z164" s="1053">
        <v>2113121.1800000002</v>
      </c>
      <c r="AA164" s="1053">
        <v>12288029.5</v>
      </c>
      <c r="AB164" s="1053"/>
      <c r="AC164" s="1199" t="e">
        <f t="shared" si="34"/>
        <v>#DIV/0!</v>
      </c>
      <c r="AD164" s="1053">
        <v>20818407.329999998</v>
      </c>
      <c r="AE164" s="1053"/>
      <c r="AF164" s="1053">
        <v>25000000</v>
      </c>
      <c r="AG164" s="2618">
        <v>24389393.02</v>
      </c>
      <c r="AH164" s="2618"/>
      <c r="AI164" s="1053">
        <v>2357622.8199999998</v>
      </c>
      <c r="AJ164" s="1053">
        <f>+AF164</f>
        <v>25000000</v>
      </c>
      <c r="AK164" s="3021">
        <v>28791029.030000001</v>
      </c>
      <c r="AL164" s="1053"/>
      <c r="AM164" s="1053">
        <v>2424154.63</v>
      </c>
      <c r="AN164" s="1231">
        <v>25000000</v>
      </c>
      <c r="AO164" s="1231">
        <v>4625806.6500000004</v>
      </c>
      <c r="AP164" s="1231"/>
      <c r="AQ164" s="1748">
        <v>2280616.98</v>
      </c>
      <c r="AR164" s="1748">
        <v>14340722.949999999</v>
      </c>
      <c r="AS164" s="2950"/>
      <c r="AT164" s="1748">
        <v>2384785.48</v>
      </c>
      <c r="AU164" s="1748">
        <v>25000000</v>
      </c>
      <c r="AV164" s="1063"/>
      <c r="AW164" s="2950">
        <v>25000000</v>
      </c>
    </row>
    <row r="165" spans="1:49" s="1063" customFormat="1" ht="21.75" customHeight="1">
      <c r="A165" s="1062"/>
      <c r="B165" s="2912"/>
      <c r="C165" s="1063" t="s">
        <v>345</v>
      </c>
      <c r="D165" s="1064" t="s">
        <v>335</v>
      </c>
      <c r="E165" s="1065">
        <v>101870214.15000001</v>
      </c>
      <c r="F165" s="1065">
        <v>123511842.34999999</v>
      </c>
      <c r="G165" s="1065">
        <v>137402831.02000001</v>
      </c>
      <c r="H165" s="1065">
        <v>110000000</v>
      </c>
      <c r="I165" s="1065">
        <f>69278348.71+51049392.11</f>
        <v>120327740.81999999</v>
      </c>
      <c r="J165" s="1078">
        <v>0</v>
      </c>
      <c r="K165" s="1161">
        <v>111000000</v>
      </c>
      <c r="L165" s="1264">
        <v>0</v>
      </c>
      <c r="M165" s="1078">
        <v>0</v>
      </c>
      <c r="N165" s="1078">
        <v>0</v>
      </c>
      <c r="O165" s="1078">
        <v>0</v>
      </c>
      <c r="P165" s="1078">
        <v>0</v>
      </c>
      <c r="Q165" s="1078">
        <v>0</v>
      </c>
      <c r="R165" s="1078">
        <v>0</v>
      </c>
      <c r="S165" s="1065"/>
      <c r="T165" s="1065">
        <f>42147413.8+19874620</f>
        <v>62022033.799999997</v>
      </c>
      <c r="U165" s="1069"/>
      <c r="V165" s="1069"/>
      <c r="W165" s="1069">
        <v>144573284.05000001</v>
      </c>
      <c r="X165" s="1069">
        <v>10338403</v>
      </c>
      <c r="Y165" s="1065">
        <v>150000000</v>
      </c>
      <c r="Z165" s="1065">
        <f>18772943.6+21048281</f>
        <v>39821224.600000001</v>
      </c>
      <c r="AA165" s="1065">
        <v>53236046.060000002</v>
      </c>
      <c r="AB165" s="1065"/>
      <c r="AC165" s="1145" t="e">
        <f t="shared" si="34"/>
        <v>#DIV/0!</v>
      </c>
      <c r="AD165" s="1065">
        <v>96823967.170000002</v>
      </c>
      <c r="AE165" s="1065"/>
      <c r="AF165" s="1065">
        <v>170000000</v>
      </c>
      <c r="AG165" s="1065">
        <v>142607065.97</v>
      </c>
      <c r="AH165" s="1065"/>
      <c r="AI165" s="1065"/>
      <c r="AJ165" s="1065">
        <f>+AF165+รายการครุภัณฑ์ปรับ!E274</f>
        <v>174240000</v>
      </c>
      <c r="AK165" s="1185">
        <v>189409112.44999999</v>
      </c>
      <c r="AL165" s="1065"/>
      <c r="AM165" s="1065">
        <f>29347095.37+28912098</f>
        <v>58259193.370000005</v>
      </c>
      <c r="AN165" s="1219">
        <f>+AJ165</f>
        <v>174240000</v>
      </c>
      <c r="AO165" s="1219">
        <v>58573212.07</v>
      </c>
      <c r="AP165" s="1219"/>
      <c r="AQ165" s="1219">
        <v>36445475.340000004</v>
      </c>
      <c r="AR165" s="1219">
        <v>104132129.06</v>
      </c>
      <c r="AS165" s="1219"/>
      <c r="AT165" s="1219">
        <f>14123400.4+11197428</f>
        <v>25320828.399999999</v>
      </c>
      <c r="AU165" s="1219">
        <v>174240000</v>
      </c>
      <c r="AW165" s="1219">
        <v>174240000</v>
      </c>
    </row>
    <row r="166" spans="1:49" s="1063" customFormat="1" ht="21.75" customHeight="1">
      <c r="A166" s="1062"/>
      <c r="B166" s="2912"/>
      <c r="C166" s="1063" t="s">
        <v>346</v>
      </c>
      <c r="D166" s="1064" t="s">
        <v>335</v>
      </c>
      <c r="E166" s="1065">
        <v>54447476.369999997</v>
      </c>
      <c r="F166" s="1065">
        <v>48498140.590000004</v>
      </c>
      <c r="G166" s="1065">
        <v>43165953.390000001</v>
      </c>
      <c r="H166" s="1065">
        <v>50000000</v>
      </c>
      <c r="I166" s="1065">
        <v>51624199.530000001</v>
      </c>
      <c r="J166" s="1078">
        <v>0</v>
      </c>
      <c r="K166" s="1161">
        <v>50000000</v>
      </c>
      <c r="L166" s="1264">
        <v>0</v>
      </c>
      <c r="M166" s="1078">
        <v>0</v>
      </c>
      <c r="N166" s="1078">
        <v>0</v>
      </c>
      <c r="O166" s="1078">
        <v>0</v>
      </c>
      <c r="P166" s="1078">
        <v>0</v>
      </c>
      <c r="Q166" s="1078">
        <v>0</v>
      </c>
      <c r="R166" s="1078">
        <v>0</v>
      </c>
      <c r="S166" s="1065"/>
      <c r="T166" s="1065">
        <v>45105591.100000001</v>
      </c>
      <c r="U166" s="1069"/>
      <c r="V166" s="1069"/>
      <c r="W166" s="1069">
        <v>41919217.299999997</v>
      </c>
      <c r="X166" s="1069">
        <v>755093.7</v>
      </c>
      <c r="Y166" s="1065">
        <v>50000000</v>
      </c>
      <c r="Z166" s="1065">
        <v>11580810.199999999</v>
      </c>
      <c r="AA166" s="1065">
        <v>10236841.1</v>
      </c>
      <c r="AB166" s="1065"/>
      <c r="AC166" s="1145" t="e">
        <f t="shared" si="34"/>
        <v>#DIV/0!</v>
      </c>
      <c r="AD166" s="1065">
        <v>19919111.5</v>
      </c>
      <c r="AE166" s="1065"/>
      <c r="AF166" s="1065">
        <v>47500000</v>
      </c>
      <c r="AG166" s="1065">
        <v>31776018.300000001</v>
      </c>
      <c r="AH166" s="1065"/>
      <c r="AI166" s="1065"/>
      <c r="AJ166" s="1065">
        <f t="shared" ref="AJ166:AJ177" si="36">+AF166</f>
        <v>47500000</v>
      </c>
      <c r="AK166" s="1185">
        <v>47869762.899999999</v>
      </c>
      <c r="AL166" s="1065"/>
      <c r="AM166" s="1065">
        <v>21464071.899999999</v>
      </c>
      <c r="AN166" s="1219">
        <v>50000000</v>
      </c>
      <c r="AO166" s="1219">
        <v>18384983.899999999</v>
      </c>
      <c r="AP166" s="1219"/>
      <c r="AQ166" s="1753">
        <v>10030009.98</v>
      </c>
      <c r="AR166" s="1753">
        <v>26848362</v>
      </c>
      <c r="AS166" s="2945"/>
      <c r="AT166" s="1168">
        <v>14812475.460000001</v>
      </c>
      <c r="AU166" s="1753">
        <v>55000000</v>
      </c>
      <c r="AW166" s="2954">
        <v>55000000</v>
      </c>
    </row>
    <row r="167" spans="1:49" s="1063" customFormat="1" ht="21.75" customHeight="1">
      <c r="A167" s="1062"/>
      <c r="B167" s="2912"/>
      <c r="C167" s="1063" t="s">
        <v>347</v>
      </c>
      <c r="D167" s="1064" t="s">
        <v>335</v>
      </c>
      <c r="E167" s="1065">
        <v>2606045.34</v>
      </c>
      <c r="F167" s="1065">
        <v>2442365.6</v>
      </c>
      <c r="G167" s="1065">
        <v>2157410.65</v>
      </c>
      <c r="H167" s="1065">
        <v>2000000</v>
      </c>
      <c r="I167" s="1065">
        <f>415450+187093.08+43656+337987.2+58154.64+13800+92555+223881.57+213479.4</f>
        <v>1586056.89</v>
      </c>
      <c r="J167" s="1078">
        <v>0</v>
      </c>
      <c r="K167" s="1161">
        <v>2000000</v>
      </c>
      <c r="L167" s="1264">
        <v>0</v>
      </c>
      <c r="M167" s="1078">
        <v>0</v>
      </c>
      <c r="N167" s="1078">
        <v>0</v>
      </c>
      <c r="O167" s="1078">
        <v>0</v>
      </c>
      <c r="P167" s="1078">
        <v>0</v>
      </c>
      <c r="Q167" s="1078">
        <v>0</v>
      </c>
      <c r="R167" s="1078">
        <v>0</v>
      </c>
      <c r="S167" s="1078">
        <v>0</v>
      </c>
      <c r="T167" s="1078">
        <v>0</v>
      </c>
      <c r="U167" s="1069"/>
      <c r="V167" s="1069"/>
      <c r="W167" s="1069">
        <v>1822319.9</v>
      </c>
      <c r="X167" s="1069">
        <v>5563.2</v>
      </c>
      <c r="Y167" s="1065">
        <v>2000000</v>
      </c>
      <c r="Z167" s="1065">
        <v>600357.88</v>
      </c>
      <c r="AA167" s="1065">
        <v>247140</v>
      </c>
      <c r="AB167" s="1065"/>
      <c r="AC167" s="1145" t="e">
        <f t="shared" si="34"/>
        <v>#DIV/0!</v>
      </c>
      <c r="AD167" s="1065">
        <v>1518160.65</v>
      </c>
      <c r="AE167" s="1065"/>
      <c r="AF167" s="1065">
        <v>2000000</v>
      </c>
      <c r="AG167" s="1265">
        <v>2201018.5299999998</v>
      </c>
      <c r="AH167" s="1265"/>
      <c r="AI167" s="1065"/>
      <c r="AJ167" s="1065">
        <f t="shared" si="36"/>
        <v>2000000</v>
      </c>
      <c r="AK167" s="1185">
        <v>2270618.5299999998</v>
      </c>
      <c r="AL167" s="1065"/>
      <c r="AM167" s="1065">
        <v>767006.9</v>
      </c>
      <c r="AN167" s="1262">
        <v>2000000</v>
      </c>
      <c r="AO167" s="1262">
        <v>625506.9</v>
      </c>
      <c r="AP167" s="1262"/>
      <c r="AQ167" s="1753">
        <v>710417.6</v>
      </c>
      <c r="AR167" s="1753">
        <v>1593328.95</v>
      </c>
      <c r="AS167" s="2945"/>
      <c r="AT167" s="1753">
        <v>276100</v>
      </c>
      <c r="AU167" s="1168">
        <v>2500000</v>
      </c>
      <c r="AW167" s="2954">
        <v>2500000</v>
      </c>
    </row>
    <row r="168" spans="1:49" s="1063" customFormat="1" ht="21.75" customHeight="1">
      <c r="A168" s="1062"/>
      <c r="B168" s="2912"/>
      <c r="C168" s="1063" t="s">
        <v>348</v>
      </c>
      <c r="D168" s="1064" t="s">
        <v>335</v>
      </c>
      <c r="E168" s="1065">
        <v>1345634.6</v>
      </c>
      <c r="F168" s="1065">
        <v>1372151.75</v>
      </c>
      <c r="G168" s="1065">
        <v>2017099.78</v>
      </c>
      <c r="H168" s="1065">
        <v>1500000</v>
      </c>
      <c r="I168" s="1065">
        <v>1521100.27</v>
      </c>
      <c r="J168" s="1078">
        <v>0</v>
      </c>
      <c r="K168" s="1161">
        <v>2500000</v>
      </c>
      <c r="L168" s="1264">
        <v>0</v>
      </c>
      <c r="M168" s="1078">
        <v>0</v>
      </c>
      <c r="N168" s="1078">
        <v>0</v>
      </c>
      <c r="O168" s="1078">
        <v>0</v>
      </c>
      <c r="P168" s="1078">
        <v>0</v>
      </c>
      <c r="Q168" s="1078">
        <v>0</v>
      </c>
      <c r="R168" s="1078">
        <v>0</v>
      </c>
      <c r="S168" s="1078">
        <v>0</v>
      </c>
      <c r="T168" s="1078">
        <v>0</v>
      </c>
      <c r="U168" s="1069"/>
      <c r="V168" s="1069"/>
      <c r="W168" s="1069">
        <v>1804301</v>
      </c>
      <c r="X168" s="1069">
        <v>458353</v>
      </c>
      <c r="Y168" s="1065">
        <v>2500000</v>
      </c>
      <c r="Z168" s="1065">
        <v>796350</v>
      </c>
      <c r="AA168" s="1065">
        <v>104800</v>
      </c>
      <c r="AB168" s="1065"/>
      <c r="AC168" s="1145" t="e">
        <f t="shared" si="34"/>
        <v>#DIV/0!</v>
      </c>
      <c r="AD168" s="1065">
        <v>697275</v>
      </c>
      <c r="AE168" s="1065"/>
      <c r="AF168" s="1065">
        <v>2000000</v>
      </c>
      <c r="AG168" s="1065">
        <v>1686445</v>
      </c>
      <c r="AH168" s="1065"/>
      <c r="AI168" s="1065"/>
      <c r="AJ168" s="1065">
        <f t="shared" si="36"/>
        <v>2000000</v>
      </c>
      <c r="AK168" s="1185">
        <v>2252165</v>
      </c>
      <c r="AL168" s="1065"/>
      <c r="AM168" s="1065">
        <v>1194930.72</v>
      </c>
      <c r="AN168" s="1747">
        <v>2000000</v>
      </c>
      <c r="AO168" s="1747">
        <v>267991.71999999997</v>
      </c>
      <c r="AP168" s="1747"/>
      <c r="AQ168" s="1753">
        <v>951939</v>
      </c>
      <c r="AR168" s="1753">
        <v>1320930.72</v>
      </c>
      <c r="AS168" s="2945"/>
      <c r="AT168" s="2955">
        <v>1127891</v>
      </c>
      <c r="AU168" s="2956">
        <v>3000000</v>
      </c>
      <c r="AW168" s="2954">
        <v>3000000</v>
      </c>
    </row>
    <row r="169" spans="1:49" s="1063" customFormat="1" ht="21.75" customHeight="1">
      <c r="A169" s="1062"/>
      <c r="B169" s="2912"/>
      <c r="C169" s="1063" t="s">
        <v>349</v>
      </c>
      <c r="D169" s="1064" t="s">
        <v>335</v>
      </c>
      <c r="E169" s="1065">
        <v>7603973.4000000004</v>
      </c>
      <c r="F169" s="1065">
        <v>7421043.7999999998</v>
      </c>
      <c r="G169" s="1065">
        <v>6484538.2000000002</v>
      </c>
      <c r="H169" s="1065">
        <v>5500000</v>
      </c>
      <c r="I169" s="1065">
        <f>258590+747128.4+79200+117480+257888.4+678060+712468.4+453300+1734103.5+1060640.4+685680+618080</f>
        <v>7402619.0999999996</v>
      </c>
      <c r="J169" s="1078">
        <v>0</v>
      </c>
      <c r="K169" s="1161">
        <v>6000000</v>
      </c>
      <c r="L169" s="1264">
        <v>0</v>
      </c>
      <c r="M169" s="1078">
        <v>0</v>
      </c>
      <c r="N169" s="1078">
        <v>0</v>
      </c>
      <c r="O169" s="1078">
        <v>0</v>
      </c>
      <c r="P169" s="1078">
        <v>0</v>
      </c>
      <c r="Q169" s="1078">
        <v>0</v>
      </c>
      <c r="R169" s="1078">
        <v>0</v>
      </c>
      <c r="S169" s="1078">
        <v>0</v>
      </c>
      <c r="T169" s="1078">
        <v>0</v>
      </c>
      <c r="U169" s="1065"/>
      <c r="V169" s="1065"/>
      <c r="W169" s="1065">
        <v>4456572.8</v>
      </c>
      <c r="X169" s="1065">
        <v>1174257.3999999999</v>
      </c>
      <c r="Y169" s="1065">
        <v>6800000</v>
      </c>
      <c r="Z169" s="1065">
        <v>3250242.6</v>
      </c>
      <c r="AA169" s="1065">
        <v>1612806.8</v>
      </c>
      <c r="AB169" s="1065"/>
      <c r="AC169" s="1145" t="e">
        <f t="shared" si="34"/>
        <v>#DIV/0!</v>
      </c>
      <c r="AD169" s="1065">
        <v>2731396.8</v>
      </c>
      <c r="AE169" s="1065"/>
      <c r="AF169" s="1065">
        <f t="shared" ref="AF169:AF176" si="37">+Y169</f>
        <v>6800000</v>
      </c>
      <c r="AG169" s="1265">
        <v>6725515.4000000004</v>
      </c>
      <c r="AH169" s="1265"/>
      <c r="AI169" s="1065"/>
      <c r="AJ169" s="1065">
        <f t="shared" si="36"/>
        <v>6800000</v>
      </c>
      <c r="AK169" s="1185">
        <v>8719945.4000000004</v>
      </c>
      <c r="AL169" s="1065"/>
      <c r="AM169" s="1065">
        <v>1792806.16</v>
      </c>
      <c r="AN169" s="1262">
        <v>8000000</v>
      </c>
      <c r="AO169" s="1262">
        <v>1569046.16</v>
      </c>
      <c r="AP169" s="1262"/>
      <c r="AQ169" s="1753">
        <v>919090</v>
      </c>
      <c r="AR169" s="1753">
        <v>2829346.16</v>
      </c>
      <c r="AS169" s="2945"/>
      <c r="AT169" s="1753">
        <v>1029710</v>
      </c>
      <c r="AU169" s="2956">
        <v>6000000</v>
      </c>
      <c r="AW169" s="2954">
        <v>6000000</v>
      </c>
    </row>
    <row r="170" spans="1:49" s="1063" customFormat="1" ht="21.75" customHeight="1">
      <c r="A170" s="1062"/>
      <c r="B170" s="2912"/>
      <c r="C170" s="1063" t="s">
        <v>350</v>
      </c>
      <c r="D170" s="1064" t="s">
        <v>335</v>
      </c>
      <c r="E170" s="1065">
        <v>1030000</v>
      </c>
      <c r="F170" s="1065">
        <v>803000</v>
      </c>
      <c r="G170" s="1065">
        <v>1070000</v>
      </c>
      <c r="H170" s="1065">
        <v>1000000</v>
      </c>
      <c r="I170" s="1065">
        <f>308000+152500+139000+307000</f>
        <v>906500</v>
      </c>
      <c r="J170" s="1078">
        <v>0</v>
      </c>
      <c r="K170" s="1161">
        <v>1500000</v>
      </c>
      <c r="L170" s="1264">
        <v>0</v>
      </c>
      <c r="M170" s="1078">
        <v>0</v>
      </c>
      <c r="N170" s="1078">
        <v>0</v>
      </c>
      <c r="O170" s="1078">
        <v>0</v>
      </c>
      <c r="P170" s="1078">
        <v>0</v>
      </c>
      <c r="Q170" s="1078">
        <v>0</v>
      </c>
      <c r="R170" s="1078">
        <v>0</v>
      </c>
      <c r="S170" s="1078">
        <v>0</v>
      </c>
      <c r="T170" s="1078">
        <v>0</v>
      </c>
      <c r="U170" s="1069"/>
      <c r="V170" s="1069"/>
      <c r="W170" s="1069">
        <v>1461000</v>
      </c>
      <c r="X170" s="1069"/>
      <c r="Y170" s="1065">
        <v>1800000</v>
      </c>
      <c r="Z170" s="1065">
        <v>706700</v>
      </c>
      <c r="AA170" s="1065">
        <v>659500</v>
      </c>
      <c r="AB170" s="1065"/>
      <c r="AC170" s="1145" t="e">
        <f t="shared" si="34"/>
        <v>#DIV/0!</v>
      </c>
      <c r="AD170" s="1065">
        <v>1052500</v>
      </c>
      <c r="AE170" s="1065"/>
      <c r="AF170" s="1065">
        <f t="shared" si="37"/>
        <v>1800000</v>
      </c>
      <c r="AG170" s="1065">
        <v>1685700</v>
      </c>
      <c r="AH170" s="1065"/>
      <c r="AI170" s="1065"/>
      <c r="AJ170" s="1065">
        <f t="shared" si="36"/>
        <v>1800000</v>
      </c>
      <c r="AK170" s="1065">
        <v>2088900</v>
      </c>
      <c r="AL170" s="1065"/>
      <c r="AM170" s="1065">
        <v>306750</v>
      </c>
      <c r="AN170" s="1262">
        <v>1800000</v>
      </c>
      <c r="AO170" s="1262">
        <v>302500</v>
      </c>
      <c r="AP170" s="1262"/>
      <c r="AQ170" s="1753">
        <v>4250</v>
      </c>
      <c r="AR170" s="1753">
        <v>545350</v>
      </c>
      <c r="AS170" s="2945"/>
      <c r="AT170" s="1753">
        <v>278320</v>
      </c>
      <c r="AU170" s="2956">
        <v>1800000</v>
      </c>
      <c r="AW170" s="2945">
        <v>1800000</v>
      </c>
    </row>
    <row r="171" spans="1:49" s="1063" customFormat="1" ht="21.75" customHeight="1">
      <c r="A171" s="1062"/>
      <c r="B171" s="2912"/>
      <c r="C171" s="1063" t="s">
        <v>351</v>
      </c>
      <c r="D171" s="1064" t="s">
        <v>335</v>
      </c>
      <c r="E171" s="1065">
        <v>8960940</v>
      </c>
      <c r="F171" s="1065">
        <v>6265160</v>
      </c>
      <c r="G171" s="1065">
        <v>3928760</v>
      </c>
      <c r="H171" s="1065">
        <v>2000000</v>
      </c>
      <c r="I171" s="1065">
        <f>3500+56000+56000+596500+111900+965000+53500+158950+692500</f>
        <v>2693850</v>
      </c>
      <c r="J171" s="1078">
        <v>0</v>
      </c>
      <c r="K171" s="1161">
        <v>4000000</v>
      </c>
      <c r="L171" s="1264">
        <v>0</v>
      </c>
      <c r="M171" s="1078">
        <v>0</v>
      </c>
      <c r="N171" s="1078">
        <v>0</v>
      </c>
      <c r="O171" s="1078">
        <v>0</v>
      </c>
      <c r="P171" s="1078">
        <v>0</v>
      </c>
      <c r="Q171" s="1078">
        <v>0</v>
      </c>
      <c r="R171" s="1078">
        <v>0</v>
      </c>
      <c r="S171" s="1078">
        <v>0</v>
      </c>
      <c r="T171" s="1078">
        <v>0</v>
      </c>
      <c r="U171" s="1069"/>
      <c r="V171" s="1069"/>
      <c r="W171" s="1069">
        <v>3517440</v>
      </c>
      <c r="X171" s="1069">
        <v>1112620</v>
      </c>
      <c r="Y171" s="1065">
        <v>5000000</v>
      </c>
      <c r="Z171" s="1065">
        <v>1124700</v>
      </c>
      <c r="AA171" s="1125">
        <v>1444000</v>
      </c>
      <c r="AB171" s="1266"/>
      <c r="AC171" s="1145" t="e">
        <f t="shared" si="34"/>
        <v>#DIV/0!</v>
      </c>
      <c r="AD171" s="1125">
        <v>2260200</v>
      </c>
      <c r="AE171" s="1266"/>
      <c r="AF171" s="1065">
        <f t="shared" si="37"/>
        <v>5000000</v>
      </c>
      <c r="AG171" s="1065">
        <v>3011900</v>
      </c>
      <c r="AH171" s="1065"/>
      <c r="AI171" s="1065"/>
      <c r="AJ171" s="1065">
        <f t="shared" si="36"/>
        <v>5000000</v>
      </c>
      <c r="AK171" s="1065">
        <v>4143900</v>
      </c>
      <c r="AL171" s="1065"/>
      <c r="AM171" s="1065">
        <v>2337860</v>
      </c>
      <c r="AN171" s="1262">
        <v>5000000</v>
      </c>
      <c r="AO171" s="1262">
        <v>2319860</v>
      </c>
      <c r="AP171" s="1262"/>
      <c r="AQ171" s="1753">
        <v>1494900</v>
      </c>
      <c r="AR171" s="1753">
        <v>3814760</v>
      </c>
      <c r="AS171" s="2945"/>
      <c r="AT171" s="1753">
        <v>784105.1</v>
      </c>
      <c r="AU171" s="2956">
        <v>6000000</v>
      </c>
      <c r="AW171" s="2954">
        <v>8000000</v>
      </c>
    </row>
    <row r="172" spans="1:49" s="1168" customFormat="1" ht="21.75" customHeight="1">
      <c r="A172" s="2627"/>
      <c r="B172" s="1224"/>
      <c r="C172" s="2628" t="s">
        <v>352</v>
      </c>
      <c r="D172" s="2629" t="s">
        <v>335</v>
      </c>
      <c r="E172" s="1082">
        <v>44595200</v>
      </c>
      <c r="F172" s="1082">
        <v>34757669</v>
      </c>
      <c r="G172" s="1082">
        <v>43505314</v>
      </c>
      <c r="H172" s="1082">
        <v>45000000</v>
      </c>
      <c r="I172" s="1082">
        <v>40702093.899999999</v>
      </c>
      <c r="J172" s="1082">
        <v>0</v>
      </c>
      <c r="K172" s="1082">
        <v>40000000</v>
      </c>
      <c r="L172" s="2630">
        <v>0</v>
      </c>
      <c r="M172" s="1082">
        <v>0</v>
      </c>
      <c r="N172" s="1082">
        <v>0</v>
      </c>
      <c r="O172" s="1082">
        <v>0</v>
      </c>
      <c r="P172" s="1082">
        <v>0</v>
      </c>
      <c r="Q172" s="1082">
        <v>0</v>
      </c>
      <c r="R172" s="1082">
        <v>0</v>
      </c>
      <c r="S172" s="1082">
        <v>0</v>
      </c>
      <c r="T172" s="1082">
        <v>0</v>
      </c>
      <c r="U172" s="1087"/>
      <c r="V172" s="1087"/>
      <c r="W172" s="1087">
        <v>51401071.969999999</v>
      </c>
      <c r="X172" s="1087">
        <v>11508251</v>
      </c>
      <c r="Y172" s="1082">
        <v>60000000</v>
      </c>
      <c r="Z172" s="1082">
        <v>14013556</v>
      </c>
      <c r="AA172" s="1082">
        <v>11792835</v>
      </c>
      <c r="AB172" s="1082"/>
      <c r="AC172" s="1197" t="e">
        <f t="shared" si="34"/>
        <v>#DIV/0!</v>
      </c>
      <c r="AD172" s="1082">
        <v>16228440</v>
      </c>
      <c r="AE172" s="1082"/>
      <c r="AF172" s="1082">
        <f t="shared" si="37"/>
        <v>60000000</v>
      </c>
      <c r="AG172" s="1082">
        <v>30908446</v>
      </c>
      <c r="AH172" s="1082"/>
      <c r="AI172" s="1082"/>
      <c r="AJ172" s="1082">
        <f t="shared" si="36"/>
        <v>60000000</v>
      </c>
      <c r="AK172" s="1082">
        <v>39544366</v>
      </c>
      <c r="AL172" s="1082"/>
      <c r="AM172" s="1082">
        <v>15233175</v>
      </c>
      <c r="AN172" s="2631">
        <v>50000000</v>
      </c>
      <c r="AO172" s="2631">
        <v>9535321</v>
      </c>
      <c r="AP172" s="2631"/>
      <c r="AQ172" s="2538">
        <v>14782675</v>
      </c>
      <c r="AR172" s="2538">
        <v>23394446</v>
      </c>
      <c r="AS172" s="2957"/>
      <c r="AT172" s="2538">
        <v>1771200</v>
      </c>
      <c r="AU172" s="2958">
        <v>50000000</v>
      </c>
      <c r="AW172" s="2945">
        <v>50000000</v>
      </c>
    </row>
    <row r="173" spans="1:49" s="1063" customFormat="1" ht="21.75" customHeight="1">
      <c r="A173" s="1050"/>
      <c r="B173" s="2911"/>
      <c r="C173" s="1198" t="s">
        <v>353</v>
      </c>
      <c r="D173" s="1135" t="s">
        <v>335</v>
      </c>
      <c r="E173" s="1053">
        <v>32524056.300000001</v>
      </c>
      <c r="F173" s="1053">
        <v>33294443</v>
      </c>
      <c r="G173" s="1053">
        <v>31031086</v>
      </c>
      <c r="H173" s="1053">
        <v>30000000</v>
      </c>
      <c r="I173" s="1053">
        <f>3105290.6+1606630+1575634.84+2037343.6+2089430+4180487.5+2528405+1459362+2223447+1244168.39+3251304+4358727.68</f>
        <v>29660230.609999999</v>
      </c>
      <c r="J173" s="1136">
        <v>0</v>
      </c>
      <c r="K173" s="2617">
        <v>27000000</v>
      </c>
      <c r="L173" s="2626">
        <v>0</v>
      </c>
      <c r="M173" s="1136">
        <v>0</v>
      </c>
      <c r="N173" s="1136">
        <v>0</v>
      </c>
      <c r="O173" s="1136">
        <v>0</v>
      </c>
      <c r="P173" s="1136">
        <v>0</v>
      </c>
      <c r="Q173" s="1136">
        <v>0</v>
      </c>
      <c r="R173" s="1136">
        <v>0</v>
      </c>
      <c r="S173" s="1136">
        <v>0</v>
      </c>
      <c r="T173" s="1136">
        <v>0</v>
      </c>
      <c r="U173" s="2581"/>
      <c r="V173" s="2581"/>
      <c r="W173" s="2581">
        <v>29571688.399999999</v>
      </c>
      <c r="X173" s="2581">
        <v>3603841</v>
      </c>
      <c r="Y173" s="1053">
        <v>35000000</v>
      </c>
      <c r="Z173" s="1053">
        <v>5524599</v>
      </c>
      <c r="AA173" s="1053">
        <v>9509528.8000000007</v>
      </c>
      <c r="AB173" s="1053"/>
      <c r="AC173" s="1199" t="e">
        <f t="shared" si="34"/>
        <v>#DIV/0!</v>
      </c>
      <c r="AD173" s="1053">
        <v>20335147.600000001</v>
      </c>
      <c r="AE173" s="1053"/>
      <c r="AF173" s="1053">
        <f t="shared" si="37"/>
        <v>35000000</v>
      </c>
      <c r="AG173" s="1053">
        <v>27805029.800000001</v>
      </c>
      <c r="AH173" s="1053"/>
      <c r="AI173" s="1053"/>
      <c r="AJ173" s="1053">
        <f t="shared" si="36"/>
        <v>35000000</v>
      </c>
      <c r="AK173" s="1053">
        <v>39220535.899999999</v>
      </c>
      <c r="AL173" s="1053"/>
      <c r="AM173" s="1053">
        <v>14051868.199999999</v>
      </c>
      <c r="AN173" s="1231">
        <v>35000000</v>
      </c>
      <c r="AO173" s="1231">
        <v>13501109.4</v>
      </c>
      <c r="AP173" s="1231"/>
      <c r="AQ173" s="1748">
        <v>8285115.7999999998</v>
      </c>
      <c r="AR173" s="1748">
        <v>24589718</v>
      </c>
      <c r="AS173" s="2950"/>
      <c r="AT173" s="1748">
        <v>6686238.4000000004</v>
      </c>
      <c r="AU173" s="2959">
        <v>40000000</v>
      </c>
      <c r="AW173" s="2954">
        <v>45000000</v>
      </c>
    </row>
    <row r="174" spans="1:49" s="1206" customFormat="1" ht="21.75" customHeight="1">
      <c r="A174" s="1062"/>
      <c r="B174" s="2912"/>
      <c r="C174" s="1063" t="s">
        <v>354</v>
      </c>
      <c r="D174" s="1064" t="s">
        <v>335</v>
      </c>
      <c r="E174" s="1640">
        <v>2425475.6</v>
      </c>
      <c r="F174" s="1640">
        <v>2159600.5</v>
      </c>
      <c r="G174" s="1640">
        <v>1715230.7</v>
      </c>
      <c r="H174" s="1065">
        <v>1600000</v>
      </c>
      <c r="I174" s="1065">
        <f>137178.5+137965+62595+207713+4000+86702.1+292222.8+122030+159990.8+42800</f>
        <v>1253197.2</v>
      </c>
      <c r="J174" s="1078">
        <v>0</v>
      </c>
      <c r="K174" s="1161">
        <v>2000000</v>
      </c>
      <c r="L174" s="1264">
        <v>0</v>
      </c>
      <c r="M174" s="1078">
        <v>0</v>
      </c>
      <c r="N174" s="1078">
        <v>0</v>
      </c>
      <c r="O174" s="1078">
        <v>0</v>
      </c>
      <c r="P174" s="1078">
        <v>0</v>
      </c>
      <c r="Q174" s="1078">
        <v>0</v>
      </c>
      <c r="R174" s="1078">
        <v>0</v>
      </c>
      <c r="S174" s="1078">
        <v>0</v>
      </c>
      <c r="T174" s="1078">
        <v>0</v>
      </c>
      <c r="U174" s="1069"/>
      <c r="V174" s="1069"/>
      <c r="W174" s="1069">
        <v>1964796.2</v>
      </c>
      <c r="X174" s="1069">
        <v>472386.5</v>
      </c>
      <c r="Y174" s="1065">
        <v>2750000</v>
      </c>
      <c r="Z174" s="1065">
        <v>238940</v>
      </c>
      <c r="AA174" s="1065">
        <v>652360</v>
      </c>
      <c r="AB174" s="1065"/>
      <c r="AC174" s="1145" t="e">
        <f t="shared" si="34"/>
        <v>#DIV/0!</v>
      </c>
      <c r="AD174" s="1065">
        <v>1442319</v>
      </c>
      <c r="AE174" s="1065"/>
      <c r="AF174" s="1065">
        <f t="shared" si="37"/>
        <v>2750000</v>
      </c>
      <c r="AG174" s="1065">
        <v>1681259</v>
      </c>
      <c r="AH174" s="1065"/>
      <c r="AI174" s="1065"/>
      <c r="AJ174" s="1065">
        <f t="shared" si="36"/>
        <v>2750000</v>
      </c>
      <c r="AK174" s="1065">
        <v>2712881.9</v>
      </c>
      <c r="AL174" s="1065"/>
      <c r="AM174" s="1065">
        <v>735026</v>
      </c>
      <c r="AN174" s="1219">
        <v>3000000</v>
      </c>
      <c r="AO174" s="1219">
        <v>640771</v>
      </c>
      <c r="AP174" s="1219"/>
      <c r="AQ174" s="1736">
        <v>459980.9</v>
      </c>
      <c r="AR174" s="1736">
        <v>1315979.1000000001</v>
      </c>
      <c r="AS174" s="2947"/>
      <c r="AT174" s="1736">
        <v>37500</v>
      </c>
      <c r="AU174" s="2960">
        <v>3000000</v>
      </c>
      <c r="AV174" s="1063"/>
      <c r="AW174" s="2947">
        <v>3000000</v>
      </c>
    </row>
    <row r="175" spans="1:49" s="1179" customFormat="1" ht="21.75" customHeight="1">
      <c r="A175" s="1062"/>
      <c r="B175" s="2912"/>
      <c r="C175" s="1063" t="s">
        <v>355</v>
      </c>
      <c r="D175" s="1064" t="s">
        <v>315</v>
      </c>
      <c r="E175" s="1065">
        <v>511004.1</v>
      </c>
      <c r="F175" s="1065">
        <v>108200</v>
      </c>
      <c r="G175" s="1065">
        <v>18179</v>
      </c>
      <c r="H175" s="1065">
        <v>100000</v>
      </c>
      <c r="I175" s="1065">
        <v>15812.5</v>
      </c>
      <c r="J175" s="1078">
        <v>0</v>
      </c>
      <c r="K175" s="1641">
        <v>150000</v>
      </c>
      <c r="L175" s="1129">
        <v>5900</v>
      </c>
      <c r="M175" s="1129">
        <v>16818.5</v>
      </c>
      <c r="N175" s="1129">
        <v>33394</v>
      </c>
      <c r="O175" s="1129">
        <v>27494</v>
      </c>
      <c r="P175" s="1129">
        <v>150000</v>
      </c>
      <c r="Q175" s="1267">
        <f>+[3]รวม!$L$29</f>
        <v>100000</v>
      </c>
      <c r="R175" s="1129">
        <v>33346.5</v>
      </c>
      <c r="S175" s="1116">
        <f t="shared" ref="S175:S190" si="38">+R175/Q175*100</f>
        <v>33.346499999999999</v>
      </c>
      <c r="T175" s="1129">
        <f>5500+1819</f>
        <v>7319</v>
      </c>
      <c r="U175" s="1268">
        <v>30778.5</v>
      </c>
      <c r="V175" s="1130">
        <v>5500</v>
      </c>
      <c r="W175" s="1130">
        <v>8068</v>
      </c>
      <c r="X175" s="1130"/>
      <c r="Y175" s="1267">
        <v>100000</v>
      </c>
      <c r="Z175" s="1129">
        <v>31800</v>
      </c>
      <c r="AA175" s="1159">
        <v>0</v>
      </c>
      <c r="AB175" s="1267"/>
      <c r="AC175" s="1145">
        <f t="shared" si="34"/>
        <v>199.88154678901833</v>
      </c>
      <c r="AD175" s="1159">
        <v>13795.45</v>
      </c>
      <c r="AE175" s="1267"/>
      <c r="AF175" s="1129">
        <f t="shared" si="37"/>
        <v>100000</v>
      </c>
      <c r="AG175" s="1129">
        <v>45595.45</v>
      </c>
      <c r="AH175" s="1129"/>
      <c r="AI175" s="1129"/>
      <c r="AJ175" s="1065">
        <f t="shared" si="36"/>
        <v>100000</v>
      </c>
      <c r="AK175" s="1065">
        <v>45595.45</v>
      </c>
      <c r="AL175" s="1065"/>
      <c r="AM175" s="1078">
        <v>0</v>
      </c>
      <c r="AN175" s="1075">
        <v>100000</v>
      </c>
      <c r="AO175" s="1075">
        <v>0</v>
      </c>
      <c r="AP175" s="1219"/>
      <c r="AQ175" s="1219"/>
      <c r="AR175" s="1070">
        <v>0</v>
      </c>
      <c r="AS175" s="1222"/>
      <c r="AT175" s="1222">
        <v>11060</v>
      </c>
      <c r="AU175" s="1222">
        <v>100000</v>
      </c>
      <c r="AV175" s="1673"/>
      <c r="AW175" s="1222">
        <v>100000</v>
      </c>
    </row>
    <row r="176" spans="1:49" s="1270" customFormat="1" ht="21.75" customHeight="1">
      <c r="A176" s="1062"/>
      <c r="B176" s="2912"/>
      <c r="C176" s="1063" t="s">
        <v>356</v>
      </c>
      <c r="D176" s="1064" t="s">
        <v>315</v>
      </c>
      <c r="E176" s="1065">
        <v>60956.41</v>
      </c>
      <c r="F176" s="1065">
        <v>95486.98</v>
      </c>
      <c r="G176" s="1065">
        <v>110708.94</v>
      </c>
      <c r="H176" s="1065">
        <v>0</v>
      </c>
      <c r="I176" s="1065">
        <v>74795.570000000007</v>
      </c>
      <c r="J176" s="1078">
        <v>0</v>
      </c>
      <c r="K176" s="1269">
        <v>0</v>
      </c>
      <c r="L176" s="1129">
        <v>32616.560000000001</v>
      </c>
      <c r="M176" s="1129">
        <v>92940.4</v>
      </c>
      <c r="N176" s="1129">
        <v>0</v>
      </c>
      <c r="O176" s="1129">
        <v>0</v>
      </c>
      <c r="P176" s="1129"/>
      <c r="Q176" s="1267">
        <v>120000</v>
      </c>
      <c r="R176" s="1129">
        <v>81491.399999999994</v>
      </c>
      <c r="S176" s="1116">
        <f t="shared" si="38"/>
        <v>67.909499999999994</v>
      </c>
      <c r="T176" s="1129">
        <v>90119</v>
      </c>
      <c r="U176" s="1268">
        <v>59106.400000000001</v>
      </c>
      <c r="V176" s="1268">
        <v>70428</v>
      </c>
      <c r="W176" s="1268">
        <v>19454</v>
      </c>
      <c r="X176" s="1130"/>
      <c r="Y176" s="1267">
        <v>120000</v>
      </c>
      <c r="Z176" s="1129">
        <v>65144</v>
      </c>
      <c r="AA176" s="1129">
        <v>24975</v>
      </c>
      <c r="AB176" s="1129"/>
      <c r="AC176" s="1145">
        <f t="shared" si="34"/>
        <v>47.254802347241558</v>
      </c>
      <c r="AD176" s="1129">
        <v>45519</v>
      </c>
      <c r="AE176" s="1129"/>
      <c r="AF176" s="1129">
        <f t="shared" si="37"/>
        <v>120000</v>
      </c>
      <c r="AG176" s="1129">
        <v>74343</v>
      </c>
      <c r="AH176" s="1129"/>
      <c r="AI176" s="1129">
        <v>148510</v>
      </c>
      <c r="AJ176" s="1065">
        <f>+AF176</f>
        <v>120000</v>
      </c>
      <c r="AK176" s="1065">
        <v>204882.35</v>
      </c>
      <c r="AL176" s="1065"/>
      <c r="AM176" s="1065">
        <v>83302.8</v>
      </c>
      <c r="AN176" s="1219">
        <v>150000</v>
      </c>
      <c r="AO176" s="1219">
        <v>100403.45</v>
      </c>
      <c r="AP176" s="1219"/>
      <c r="AQ176" s="1738">
        <v>67712</v>
      </c>
      <c r="AR176" s="1738">
        <v>145346.45000000001</v>
      </c>
      <c r="AS176" s="2938"/>
      <c r="AT176" s="1738">
        <v>141668.01</v>
      </c>
      <c r="AU176" s="2961">
        <v>150000</v>
      </c>
      <c r="AV176" s="1673"/>
      <c r="AW176" s="2962">
        <v>200000</v>
      </c>
    </row>
    <row r="177" spans="1:49" ht="21.75" customHeight="1">
      <c r="A177" s="1223"/>
      <c r="B177" s="2924"/>
      <c r="C177" s="1080" t="s">
        <v>357</v>
      </c>
      <c r="D177" s="1081" t="s">
        <v>315</v>
      </c>
      <c r="E177" s="1082">
        <v>938745.42</v>
      </c>
      <c r="F177" s="1082">
        <v>1384990.19</v>
      </c>
      <c r="G177" s="1082">
        <v>732966</v>
      </c>
      <c r="H177" s="1082">
        <v>100000</v>
      </c>
      <c r="I177" s="1082">
        <v>1612666.75</v>
      </c>
      <c r="J177" s="1082">
        <v>17399.3</v>
      </c>
      <c r="K177" s="1271">
        <v>6980000</v>
      </c>
      <c r="L177" s="1085">
        <v>631357.15</v>
      </c>
      <c r="M177" s="1085">
        <v>526685</v>
      </c>
      <c r="N177" s="1085">
        <v>1208658</v>
      </c>
      <c r="O177" s="1085">
        <v>458315</v>
      </c>
      <c r="P177" s="1085">
        <v>3000000</v>
      </c>
      <c r="Q177" s="1085">
        <f>+[3]รวม!$L$30</f>
        <v>2000000</v>
      </c>
      <c r="R177" s="1085">
        <v>2012415</v>
      </c>
      <c r="S177" s="1226">
        <f t="shared" si="38"/>
        <v>100.62074999999999</v>
      </c>
      <c r="T177" s="1082">
        <v>174863</v>
      </c>
      <c r="U177" s="1272">
        <v>1822995</v>
      </c>
      <c r="V177" s="1272">
        <v>278842</v>
      </c>
      <c r="W177" s="1272">
        <v>212993</v>
      </c>
      <c r="X177" s="1272"/>
      <c r="Y177" s="1085">
        <v>3960000</v>
      </c>
      <c r="Z177" s="1082">
        <v>193940</v>
      </c>
      <c r="AA177" s="1273">
        <v>114473</v>
      </c>
      <c r="AB177" s="1273"/>
      <c r="AC177" s="1207">
        <f t="shared" si="34"/>
        <v>96.778497476912079</v>
      </c>
      <c r="AD177" s="1273">
        <v>231253</v>
      </c>
      <c r="AE177" s="1273"/>
      <c r="AF177" s="1273">
        <v>4000000</v>
      </c>
      <c r="AG177" s="1273">
        <v>360743</v>
      </c>
      <c r="AH177" s="1273"/>
      <c r="AI177" s="1273">
        <v>374580</v>
      </c>
      <c r="AJ177" s="1065">
        <f t="shared" si="36"/>
        <v>4000000</v>
      </c>
      <c r="AK177" s="1114">
        <v>1421577</v>
      </c>
      <c r="AL177" s="1114"/>
      <c r="AM177" s="1114">
        <v>65050</v>
      </c>
      <c r="AN177" s="1224">
        <v>1000000</v>
      </c>
      <c r="AO177" s="1224">
        <v>216220.5</v>
      </c>
      <c r="AP177" s="1224"/>
      <c r="AQ177" s="1738">
        <v>183817.2</v>
      </c>
      <c r="AR177" s="1738">
        <v>1125875</v>
      </c>
      <c r="AS177" s="2938"/>
      <c r="AT177" s="1738">
        <v>122378</v>
      </c>
      <c r="AU177" s="2961">
        <v>2000000</v>
      </c>
      <c r="AV177" s="1712"/>
      <c r="AW177" s="2962">
        <v>2000000</v>
      </c>
    </row>
    <row r="178" spans="1:49" s="1041" customFormat="1" ht="20.25" customHeight="1">
      <c r="A178" s="1034" t="s">
        <v>358</v>
      </c>
      <c r="B178" s="2910"/>
      <c r="C178" s="1042" t="s">
        <v>8</v>
      </c>
      <c r="D178" s="1043"/>
      <c r="E178" s="1035">
        <f>SUM(E179:E193)</f>
        <v>52923244.689999998</v>
      </c>
      <c r="F178" s="1035">
        <f>SUM(F179:F193)</f>
        <v>43393687.409999996</v>
      </c>
      <c r="G178" s="1035">
        <f>SUM(G179:G193)</f>
        <v>31693585.300000001</v>
      </c>
      <c r="H178" s="1274">
        <v>46970000</v>
      </c>
      <c r="I178" s="1035">
        <f>SUM(I179:I193)</f>
        <v>50941596.510000005</v>
      </c>
      <c r="J178" s="1035">
        <f>SUM(J179:J193)</f>
        <v>4694662.8599999994</v>
      </c>
      <c r="K178" s="1275">
        <v>87108535.609999999</v>
      </c>
      <c r="L178" s="1276">
        <f>L179+L180+L181+L185+L186+L187+L188+L189+L190+L191+L193</f>
        <v>62031461.739999995</v>
      </c>
      <c r="M178" s="1276">
        <f>+M179+M180+M181+M186+M188+M191</f>
        <v>10000479.98</v>
      </c>
      <c r="N178" s="1276">
        <f>SUM(N179:N193)</f>
        <v>0</v>
      </c>
      <c r="O178" s="1276">
        <f>SUM(O179:O193)</f>
        <v>0</v>
      </c>
      <c r="P178" s="1276"/>
      <c r="Q178" s="1276">
        <f>+Q179+Q180+Q181+Q185+Q186+Q187+Q188+Q189+Q190+Q191+Q193+Q194</f>
        <v>128176698.95</v>
      </c>
      <c r="R178" s="1276">
        <f>SUM(R179:R193)</f>
        <v>89194195.700000003</v>
      </c>
      <c r="S178" s="1226">
        <f t="shared" si="38"/>
        <v>69.586903415880172</v>
      </c>
      <c r="T178" s="1276">
        <f>SUM(T179:T193)</f>
        <v>21313225.16</v>
      </c>
      <c r="U178" s="1277" t="e">
        <f>SUM(U179:U193)</f>
        <v>#REF!</v>
      </c>
      <c r="V178" s="1277">
        <f>SUM(V179:V193)</f>
        <v>3315437.9</v>
      </c>
      <c r="W178" s="1278"/>
      <c r="X178" s="1278"/>
      <c r="Y178" s="1276">
        <f>SUM(Y179:Y194)-Y181</f>
        <v>97879111</v>
      </c>
      <c r="Z178" s="1276">
        <f>SUM(Z179:Z193)</f>
        <v>32341024.260000002</v>
      </c>
      <c r="AA178" s="1279">
        <f>SUM(AA179:AA194)</f>
        <v>5563073.5999999996</v>
      </c>
      <c r="AB178" s="1279">
        <f>+AA178/Y178*100</f>
        <v>5.683616803589481</v>
      </c>
      <c r="AC178" s="1038">
        <f t="shared" si="34"/>
        <v>9.73708572832615</v>
      </c>
      <c r="AD178" s="1279">
        <f>SUM(AD179:AD194)</f>
        <v>39114995.789999999</v>
      </c>
      <c r="AE178" s="1037">
        <f>+AD178/Y178*100</f>
        <v>39.962557271285391</v>
      </c>
      <c r="AF178" s="1037">
        <f>+AF179+AF180+AF181+AF185+AF186+AF187+AF188+AF189+AF190+AF191+AF192+AF193+AF194</f>
        <v>173795839.27000001</v>
      </c>
      <c r="AG178" s="1037">
        <f>SUM(AG179:AG194)</f>
        <v>44725394.780000001</v>
      </c>
      <c r="AH178" s="1037">
        <f>+AG178/AF178*100</f>
        <v>25.734445063737688</v>
      </c>
      <c r="AI178" s="1037"/>
      <c r="AJ178" s="1039">
        <f>SUM(AJ179:AJ194)-AJ182-AJ183</f>
        <v>129584356.77000001</v>
      </c>
      <c r="AK178" s="1039">
        <f>SUM(AK179:AK194)</f>
        <v>113603678.73</v>
      </c>
      <c r="AL178" s="1039">
        <f>+AK178/AJ178*100</f>
        <v>87.667741355259267</v>
      </c>
      <c r="AM178" s="1039">
        <f>SUM(AM179:AM194)</f>
        <v>13449450.789999999</v>
      </c>
      <c r="AN178" s="1039">
        <f>SUM(AN179:AN194)</f>
        <v>157283315.04666668</v>
      </c>
      <c r="AO178" s="1039">
        <f>SUM(AO179:AO194)</f>
        <v>31499165.589999996</v>
      </c>
      <c r="AP178" s="1037">
        <f>+AO178/AN178*100</f>
        <v>20.027022943059187</v>
      </c>
      <c r="AQ178" s="1039">
        <f>SUM(AQ179:AQ194)</f>
        <v>32331650.039999999</v>
      </c>
      <c r="AR178" s="1039">
        <f>SUM(AR179:AR194)-AR181</f>
        <v>62441555.329999998</v>
      </c>
      <c r="AS178" s="1039">
        <f>+AR178/AN178*100</f>
        <v>39.700050390897026</v>
      </c>
      <c r="AT178" s="1039">
        <f>SUM(AT179:AT194)</f>
        <v>18342586.18</v>
      </c>
      <c r="AU178" s="2496">
        <f>SUM(AU179:AU194)-AU181</f>
        <v>210146531.74666664</v>
      </c>
      <c r="AW178" s="1774">
        <f>+'ครุภัณฑ์ (NEW)'!E195+'ครุภัณฑ์ (NEW)'!E197+'ครุภัณฑ์ (NEW)'!E202+'ครุภัณฑ์ (NEW)'!E205+'ครุภัณฑ์ (NEW)'!E218+'ครุภัณฑ์ (NEW)'!E382+'ครุภัณฑ์ (NEW)'!E401+AU193+AU194+'ครุภัณฑ์ (NEW)'!E206+'ครุภัณฑ์ (NEW)'!E213+'ครุภัณฑ์ (NEW)'!E214+'ครุภัณฑ์ (NEW)'!E215+'ครุภัณฑ์ (NEW)'!E440</f>
        <v>220048530.75</v>
      </c>
    </row>
    <row r="179" spans="1:49" ht="20.25" customHeight="1">
      <c r="A179" s="1280"/>
      <c r="B179" s="2923"/>
      <c r="C179" s="1051" t="s">
        <v>207</v>
      </c>
      <c r="D179" s="1052"/>
      <c r="E179" s="1055">
        <v>8160271.29</v>
      </c>
      <c r="F179" s="1055">
        <v>766372.56</v>
      </c>
      <c r="G179" s="1687">
        <v>425407.85</v>
      </c>
      <c r="H179" s="1687">
        <v>500000</v>
      </c>
      <c r="I179" s="1687">
        <v>230874.06</v>
      </c>
      <c r="J179" s="1055">
        <v>24556.5</v>
      </c>
      <c r="K179" s="1688">
        <v>1525000</v>
      </c>
      <c r="L179" s="1687">
        <v>212436.5</v>
      </c>
      <c r="M179" s="1281">
        <v>153000</v>
      </c>
      <c r="N179" s="1687"/>
      <c r="O179" s="1687"/>
      <c r="P179" s="1687"/>
      <c r="Q179" s="1687">
        <v>700000</v>
      </c>
      <c r="R179" s="1687">
        <v>933335</v>
      </c>
      <c r="S179" s="1174">
        <f t="shared" si="38"/>
        <v>133.33357142857142</v>
      </c>
      <c r="T179" s="1687">
        <v>1700000</v>
      </c>
      <c r="U179" s="1689">
        <v>504285</v>
      </c>
      <c r="V179" s="1689">
        <v>26300</v>
      </c>
      <c r="W179" s="1689"/>
      <c r="X179" s="1689"/>
      <c r="Y179" s="1687">
        <f>2000000+'ครุภัณฑ์ แผน 68'!E111</f>
        <v>2720000</v>
      </c>
      <c r="Z179" s="1687">
        <v>79260</v>
      </c>
      <c r="AA179" s="1687">
        <v>2613775</v>
      </c>
      <c r="AB179" s="1687"/>
      <c r="AC179" s="1199">
        <f t="shared" si="34"/>
        <v>191.42805102133747</v>
      </c>
      <c r="AD179" s="1687">
        <v>2613775</v>
      </c>
      <c r="AE179" s="1687"/>
      <c r="AF179" s="1687">
        <v>3000000</v>
      </c>
      <c r="AG179" s="1687">
        <v>2613775</v>
      </c>
      <c r="AH179" s="1687"/>
      <c r="AI179" s="1687">
        <v>725280</v>
      </c>
      <c r="AJ179" s="1687">
        <f>+AF179</f>
        <v>3000000</v>
      </c>
      <c r="AK179" s="1687">
        <v>4771500</v>
      </c>
      <c r="AL179" s="1687"/>
      <c r="AM179" s="1687">
        <v>170460</v>
      </c>
      <c r="AN179" s="1687">
        <f>+'ครุภัณฑ์(เก่า)'!E106</f>
        <v>1479078.04</v>
      </c>
      <c r="AO179" s="1687">
        <v>559800</v>
      </c>
      <c r="AP179" s="1687"/>
      <c r="AQ179" s="1748">
        <v>580859.76</v>
      </c>
      <c r="AR179" s="1748">
        <v>944897.5</v>
      </c>
      <c r="AS179" s="2950"/>
      <c r="AT179" s="1748">
        <v>541229.76</v>
      </c>
      <c r="AU179" s="1748">
        <f>+'ครุภัณฑ์ (NEW) (งานบ้านงานครัว)'!E45</f>
        <v>1950787.01</v>
      </c>
      <c r="AV179" s="1687"/>
      <c r="AW179" s="1150" t="s">
        <v>1255</v>
      </c>
    </row>
    <row r="180" spans="1:49" ht="20.25" customHeight="1">
      <c r="A180" s="1062"/>
      <c r="B180" s="2912"/>
      <c r="C180" s="1063" t="s">
        <v>208</v>
      </c>
      <c r="D180" s="1064"/>
      <c r="E180" s="1065">
        <v>6321544.5</v>
      </c>
      <c r="F180" s="1065">
        <v>6068588.4299999997</v>
      </c>
      <c r="G180" s="1282">
        <v>3816844.03</v>
      </c>
      <c r="H180" s="1282">
        <v>2500000</v>
      </c>
      <c r="I180" s="1282">
        <v>2819716.45</v>
      </c>
      <c r="J180" s="1065">
        <v>643160</v>
      </c>
      <c r="K180" s="1283">
        <v>2595000</v>
      </c>
      <c r="L180" s="1282">
        <v>3301651.78</v>
      </c>
      <c r="M180" s="1282">
        <v>740527</v>
      </c>
      <c r="N180" s="1282"/>
      <c r="O180" s="1282"/>
      <c r="P180" s="1282"/>
      <c r="Q180" s="1282">
        <v>4000000</v>
      </c>
      <c r="R180" s="1282">
        <v>5238525.66</v>
      </c>
      <c r="S180" s="1116">
        <f t="shared" si="38"/>
        <v>130.96314150000001</v>
      </c>
      <c r="T180" s="1282">
        <v>1056394.76</v>
      </c>
      <c r="U180" s="1284">
        <v>2353974.96</v>
      </c>
      <c r="V180" s="1284">
        <v>886727</v>
      </c>
      <c r="W180" s="1284"/>
      <c r="X180" s="1284"/>
      <c r="Y180" s="1282">
        <v>5000000</v>
      </c>
      <c r="Z180" s="1282">
        <v>405728.76</v>
      </c>
      <c r="AA180" s="1282">
        <v>300497</v>
      </c>
      <c r="AB180" s="1282"/>
      <c r="AC180" s="1145">
        <f t="shared" si="34"/>
        <v>-4.5532975398272679</v>
      </c>
      <c r="AD180" s="1282">
        <v>2059103</v>
      </c>
      <c r="AE180" s="1282"/>
      <c r="AF180" s="1282">
        <f>+Y180</f>
        <v>5000000</v>
      </c>
      <c r="AG180" s="1282">
        <v>2319583</v>
      </c>
      <c r="AH180" s="1282"/>
      <c r="AI180" s="1282">
        <v>655653.76</v>
      </c>
      <c r="AJ180" s="1282">
        <f>+AF180</f>
        <v>5000000</v>
      </c>
      <c r="AK180" s="1282">
        <v>3586851.76</v>
      </c>
      <c r="AL180" s="1282"/>
      <c r="AM180" s="1282">
        <v>839982.6</v>
      </c>
      <c r="AN180" s="1282">
        <f>+'ครุภัณฑ์(เก่า)'!E232</f>
        <v>10290335.609999999</v>
      </c>
      <c r="AO180" s="1282">
        <v>1342097.6000000001</v>
      </c>
      <c r="AP180" s="1282"/>
      <c r="AQ180" s="1753">
        <v>1293425</v>
      </c>
      <c r="AR180" s="1753">
        <v>2632982.6</v>
      </c>
      <c r="AS180" s="2945"/>
      <c r="AT180" s="1753">
        <v>453040</v>
      </c>
      <c r="AU180" s="1753">
        <f>+'ครุภัณฑ์ (NEW) (สำนักงาน)'!E253</f>
        <v>15841851.859999999</v>
      </c>
      <c r="AV180" s="1282"/>
      <c r="AW180" s="1150" t="s">
        <v>1240</v>
      </c>
    </row>
    <row r="181" spans="1:49" ht="20.25" customHeight="1">
      <c r="A181" s="1062"/>
      <c r="B181" s="2912"/>
      <c r="C181" s="1063" t="s">
        <v>359</v>
      </c>
      <c r="D181" s="1064"/>
      <c r="E181" s="1065">
        <v>31925367.100000001</v>
      </c>
      <c r="F181" s="1065">
        <v>30343832.100000001</v>
      </c>
      <c r="G181" s="1282">
        <v>24547266.109999999</v>
      </c>
      <c r="H181" s="1282">
        <v>9900000</v>
      </c>
      <c r="I181" s="1282">
        <v>20462901.199999999</v>
      </c>
      <c r="J181" s="1065">
        <v>2043850</v>
      </c>
      <c r="K181" s="1285">
        <v>50648247.200000003</v>
      </c>
      <c r="L181" s="1286">
        <v>37229185</v>
      </c>
      <c r="M181" s="1286">
        <v>7571375</v>
      </c>
      <c r="N181" s="1286"/>
      <c r="O181" s="1286"/>
      <c r="P181" s="1286"/>
      <c r="Q181" s="1286">
        <v>109523408.95</v>
      </c>
      <c r="R181" s="1286">
        <v>71583440</v>
      </c>
      <c r="S181" s="1116">
        <f t="shared" si="38"/>
        <v>65.359032088454725</v>
      </c>
      <c r="T181" s="1282">
        <v>16811415</v>
      </c>
      <c r="U181" s="1287">
        <v>33501089</v>
      </c>
      <c r="V181" s="1287">
        <v>1627460</v>
      </c>
      <c r="W181" s="1287"/>
      <c r="X181" s="1287"/>
      <c r="Y181" s="1286">
        <f>+Y182+Y184</f>
        <v>42622611</v>
      </c>
      <c r="Z181" s="1282"/>
      <c r="AA181" s="1282"/>
      <c r="AB181" s="1282"/>
      <c r="AC181" s="1282"/>
      <c r="AD181" s="1282"/>
      <c r="AE181" s="1286"/>
      <c r="AF181" s="1286">
        <f>+AF182+AF183+AF184</f>
        <v>89977600.629999995</v>
      </c>
      <c r="AG181" s="1286">
        <v>28221553.5</v>
      </c>
      <c r="AH181" s="1286"/>
      <c r="AI181" s="1286">
        <v>68175927</v>
      </c>
      <c r="AJ181" s="1286">
        <f>SUM(AJ182:AJ183)</f>
        <v>38637518.129999995</v>
      </c>
      <c r="AK181" s="1286"/>
      <c r="AL181" s="1286"/>
      <c r="AM181" s="1286">
        <v>10813698</v>
      </c>
      <c r="AN181" s="1286"/>
      <c r="AO181" s="1286">
        <v>15385413</v>
      </c>
      <c r="AP181" s="1286"/>
      <c r="AQ181" s="1753">
        <v>26628903</v>
      </c>
      <c r="AR181" s="2951">
        <f>+AR182+AR184</f>
        <v>40759726</v>
      </c>
      <c r="AS181" s="2945"/>
      <c r="AT181" s="1753">
        <v>14015703</v>
      </c>
      <c r="AU181" s="2951">
        <f>SUM(AU182:AU184)</f>
        <v>114935229.91</v>
      </c>
      <c r="AV181" s="1063" t="s">
        <v>1952</v>
      </c>
      <c r="AW181" s="1286"/>
    </row>
    <row r="182" spans="1:49" ht="20.25" customHeight="1">
      <c r="A182" s="1062"/>
      <c r="B182" s="2912"/>
      <c r="C182" s="1063" t="s">
        <v>564</v>
      </c>
      <c r="D182" s="1064"/>
      <c r="E182" s="1065"/>
      <c r="F182" s="1065"/>
      <c r="G182" s="1282">
        <v>0</v>
      </c>
      <c r="H182" s="1282">
        <v>0</v>
      </c>
      <c r="I182" s="1282">
        <v>0</v>
      </c>
      <c r="J182" s="1282">
        <v>0</v>
      </c>
      <c r="K182" s="1282">
        <v>0</v>
      </c>
      <c r="L182" s="1282">
        <v>0</v>
      </c>
      <c r="M182" s="1282">
        <v>0</v>
      </c>
      <c r="N182" s="1282">
        <v>0</v>
      </c>
      <c r="O182" s="1282">
        <v>0</v>
      </c>
      <c r="P182" s="1282">
        <v>0</v>
      </c>
      <c r="Q182" s="1282">
        <v>0</v>
      </c>
      <c r="R182" s="1282">
        <v>0</v>
      </c>
      <c r="S182" s="1282">
        <v>0</v>
      </c>
      <c r="T182" s="1282">
        <v>0</v>
      </c>
      <c r="U182" s="1287"/>
      <c r="V182" s="1287"/>
      <c r="W182" s="1287"/>
      <c r="X182" s="1287"/>
      <c r="Y182" s="1282">
        <v>25582611</v>
      </c>
      <c r="Z182" s="1282">
        <v>29453753</v>
      </c>
      <c r="AA182" s="1288"/>
      <c r="AB182" s="1288"/>
      <c r="AC182" s="1145" t="e">
        <f t="shared" si="34"/>
        <v>#DIV/0!</v>
      </c>
      <c r="AD182" s="1289">
        <v>24869753.5</v>
      </c>
      <c r="AE182" s="1288"/>
      <c r="AF182" s="1290">
        <f>+'ครุภัณฑ์ แผน 68'!E108+AD182</f>
        <v>69947000.629999995</v>
      </c>
      <c r="AG182" s="1290"/>
      <c r="AH182" s="1290"/>
      <c r="AI182" s="1290"/>
      <c r="AJ182" s="1290">
        <f>+รายการครุภัณฑ์ปรับ!E87</f>
        <v>38637518.129999995</v>
      </c>
      <c r="AK182" s="1290">
        <v>73878863.5</v>
      </c>
      <c r="AL182" s="1290"/>
      <c r="AM182" s="1290"/>
      <c r="AN182" s="1290">
        <f>+'ครุภัณฑ์(เก่า)'!E79</f>
        <v>34050887.130000003</v>
      </c>
      <c r="AO182" s="1769"/>
      <c r="AP182" s="1290"/>
      <c r="AQ182" s="1290"/>
      <c r="AR182" s="1290">
        <v>38927126</v>
      </c>
      <c r="AS182" s="1290"/>
      <c r="AT182" s="1290"/>
      <c r="AU182" s="1290">
        <f>+'ครุภัณฑ์ (NEW) (การแพทย์)'!E229</f>
        <v>112875374.91</v>
      </c>
      <c r="AV182" s="1288"/>
      <c r="AW182" s="1150" t="s">
        <v>1233</v>
      </c>
    </row>
    <row r="183" spans="1:49" ht="20.25" customHeight="1">
      <c r="A183" s="1062"/>
      <c r="B183" s="2912"/>
      <c r="C183" s="1063" t="s">
        <v>361</v>
      </c>
      <c r="D183" s="1064"/>
      <c r="E183" s="1065"/>
      <c r="F183" s="1065"/>
      <c r="G183" s="1282">
        <v>0</v>
      </c>
      <c r="H183" s="1282">
        <v>0</v>
      </c>
      <c r="I183" s="1282">
        <v>0</v>
      </c>
      <c r="J183" s="1282">
        <v>0</v>
      </c>
      <c r="K183" s="1282">
        <v>0</v>
      </c>
      <c r="L183" s="1282">
        <v>0</v>
      </c>
      <c r="M183" s="1282">
        <v>0</v>
      </c>
      <c r="N183" s="1282">
        <v>0</v>
      </c>
      <c r="O183" s="1282">
        <v>0</v>
      </c>
      <c r="P183" s="1282">
        <v>0</v>
      </c>
      <c r="Q183" s="1282">
        <v>0</v>
      </c>
      <c r="R183" s="1282">
        <v>0</v>
      </c>
      <c r="S183" s="1282">
        <v>0</v>
      </c>
      <c r="T183" s="1282">
        <v>0</v>
      </c>
      <c r="U183" s="1287"/>
      <c r="V183" s="1287"/>
      <c r="W183" s="1287"/>
      <c r="X183" s="1287"/>
      <c r="Y183" s="1282">
        <v>0</v>
      </c>
      <c r="Z183" s="1282">
        <v>0</v>
      </c>
      <c r="AA183" s="1282">
        <v>0</v>
      </c>
      <c r="AB183" s="1282">
        <v>0</v>
      </c>
      <c r="AC183" s="1282">
        <v>0</v>
      </c>
      <c r="AD183" s="1282">
        <v>0</v>
      </c>
      <c r="AE183" s="1286"/>
      <c r="AF183" s="1282">
        <v>0</v>
      </c>
      <c r="AG183" s="1282"/>
      <c r="AH183" s="1282"/>
      <c r="AI183" s="1282"/>
      <c r="AJ183" s="1282">
        <v>0</v>
      </c>
      <c r="AK183" s="1282"/>
      <c r="AL183" s="1282"/>
      <c r="AM183" s="1282"/>
      <c r="AN183" s="1282"/>
      <c r="AO183" s="1770"/>
      <c r="AP183" s="1282"/>
      <c r="AQ183" s="1282"/>
      <c r="AR183" s="1282"/>
      <c r="AS183" s="1282"/>
      <c r="AT183" s="1282"/>
      <c r="AU183" s="1282">
        <f>+'ครุภัณฑ์ (NEW) (การแพทย์)'!E255</f>
        <v>2059855</v>
      </c>
      <c r="AV183" s="1286"/>
      <c r="AW183" s="1150"/>
    </row>
    <row r="184" spans="1:49" ht="20.25" customHeight="1">
      <c r="A184" s="1062"/>
      <c r="B184" s="2912"/>
      <c r="C184" s="1063" t="s">
        <v>565</v>
      </c>
      <c r="D184" s="1064"/>
      <c r="E184" s="1065"/>
      <c r="F184" s="1065"/>
      <c r="G184" s="1282">
        <v>0</v>
      </c>
      <c r="H184" s="1282">
        <v>0</v>
      </c>
      <c r="I184" s="1282">
        <v>0</v>
      </c>
      <c r="J184" s="1282">
        <v>0</v>
      </c>
      <c r="K184" s="1282">
        <v>0</v>
      </c>
      <c r="L184" s="1282">
        <v>0</v>
      </c>
      <c r="M184" s="1282">
        <v>0</v>
      </c>
      <c r="N184" s="1282">
        <v>0</v>
      </c>
      <c r="O184" s="1282">
        <v>0</v>
      </c>
      <c r="P184" s="1282">
        <v>0</v>
      </c>
      <c r="Q184" s="1282">
        <v>0</v>
      </c>
      <c r="R184" s="1282">
        <v>0</v>
      </c>
      <c r="S184" s="1282">
        <v>0</v>
      </c>
      <c r="T184" s="1282">
        <v>0</v>
      </c>
      <c r="U184" s="1287"/>
      <c r="V184" s="1287"/>
      <c r="W184" s="1287"/>
      <c r="X184" s="1287"/>
      <c r="Y184" s="1282">
        <v>17040000</v>
      </c>
      <c r="Z184" s="1282">
        <v>0</v>
      </c>
      <c r="AA184" s="1282">
        <v>0</v>
      </c>
      <c r="AB184" s="1282">
        <v>0</v>
      </c>
      <c r="AC184" s="1282">
        <v>0</v>
      </c>
      <c r="AD184" s="1282">
        <v>0</v>
      </c>
      <c r="AE184" s="1286"/>
      <c r="AF184" s="1282">
        <f>+'ครุภัณฑ์ แผน 68'!E442</f>
        <v>20030600</v>
      </c>
      <c r="AG184" s="1282"/>
      <c r="AH184" s="1282"/>
      <c r="AI184" s="1282"/>
      <c r="AJ184" s="1282">
        <f>+รายการครุภัณฑ์ปรับ!E267</f>
        <v>20030600</v>
      </c>
      <c r="AK184" s="1282"/>
      <c r="AL184" s="1282"/>
      <c r="AM184" s="1282"/>
      <c r="AN184" s="1282">
        <f>+'ครุภัณฑ์(เก่า)'!E347</f>
        <v>20030600</v>
      </c>
      <c r="AO184" s="1770"/>
      <c r="AP184" s="1282"/>
      <c r="AQ184" s="1282"/>
      <c r="AR184" s="1282">
        <v>1832600</v>
      </c>
      <c r="AS184" s="1282"/>
      <c r="AT184" s="1282"/>
      <c r="AU184" s="1063">
        <v>0</v>
      </c>
      <c r="AV184" s="1286"/>
      <c r="AW184" s="1150"/>
    </row>
    <row r="185" spans="1:49" ht="20.25" customHeight="1">
      <c r="A185" s="1062"/>
      <c r="B185" s="2912"/>
      <c r="C185" s="1063" t="s">
        <v>210</v>
      </c>
      <c r="D185" s="1064"/>
      <c r="E185" s="1065">
        <v>658462.36</v>
      </c>
      <c r="F185" s="1065">
        <v>812500</v>
      </c>
      <c r="G185" s="1282">
        <v>0</v>
      </c>
      <c r="H185" s="1129">
        <v>300000</v>
      </c>
      <c r="I185" s="1282">
        <v>178945</v>
      </c>
      <c r="J185" s="1282">
        <v>0</v>
      </c>
      <c r="K185" s="1282">
        <v>0</v>
      </c>
      <c r="L185" s="1282">
        <v>0</v>
      </c>
      <c r="M185" s="1282">
        <v>0</v>
      </c>
      <c r="N185" s="1129"/>
      <c r="O185" s="1129"/>
      <c r="P185" s="1129"/>
      <c r="Q185" s="1129">
        <v>50000</v>
      </c>
      <c r="R185" s="1129">
        <v>3748980</v>
      </c>
      <c r="S185" s="1116">
        <f t="shared" si="38"/>
        <v>7497.9600000000009</v>
      </c>
      <c r="T185" s="1159">
        <v>0</v>
      </c>
      <c r="U185" s="1221"/>
      <c r="V185" s="1221"/>
      <c r="W185" s="1221"/>
      <c r="X185" s="1221"/>
      <c r="Y185" s="1129">
        <v>100000</v>
      </c>
      <c r="Z185" s="1291">
        <v>0</v>
      </c>
      <c r="AA185" s="1292">
        <v>0</v>
      </c>
      <c r="AB185" s="1063"/>
      <c r="AC185" s="1145">
        <f t="shared" si="34"/>
        <v>-97.332607802655659</v>
      </c>
      <c r="AD185" s="1292">
        <v>0</v>
      </c>
      <c r="AE185" s="1063"/>
      <c r="AF185" s="1293">
        <f>+Y185</f>
        <v>100000</v>
      </c>
      <c r="AG185" s="1263">
        <v>0</v>
      </c>
      <c r="AH185" s="1263"/>
      <c r="AI185" s="1263"/>
      <c r="AJ185" s="1263">
        <f>+AF185</f>
        <v>100000</v>
      </c>
      <c r="AK185" s="1263">
        <v>22470</v>
      </c>
      <c r="AL185" s="1263"/>
      <c r="AM185" s="1263"/>
      <c r="AN185" s="1263">
        <f>+'ครุภัณฑ์(เก่า)'!E332</f>
        <v>33900000</v>
      </c>
      <c r="AO185" s="1263">
        <v>0</v>
      </c>
      <c r="AP185" s="1263"/>
      <c r="AQ185" s="1263"/>
      <c r="AR185" s="1263"/>
      <c r="AS185" s="1263"/>
      <c r="AT185" s="1263"/>
      <c r="AU185" s="1263">
        <f>+'ครุภัณฑ์ (NEW) (ไฟฟ้า)'!E25</f>
        <v>154098</v>
      </c>
      <c r="AV185" s="1063"/>
      <c r="AW185" s="1150"/>
    </row>
    <row r="186" spans="1:49" ht="20.25" customHeight="1">
      <c r="A186" s="1062"/>
      <c r="B186" s="2912"/>
      <c r="C186" s="1063" t="s">
        <v>209</v>
      </c>
      <c r="D186" s="1064"/>
      <c r="E186" s="1065">
        <v>5600630</v>
      </c>
      <c r="F186" s="1065">
        <v>4863794.5199999996</v>
      </c>
      <c r="G186" s="1282">
        <v>2605754.5</v>
      </c>
      <c r="H186" s="1282">
        <v>4647059.7699999996</v>
      </c>
      <c r="I186" s="1282">
        <v>6929805</v>
      </c>
      <c r="J186" s="1065">
        <v>152650</v>
      </c>
      <c r="K186" s="1283">
        <v>8930000</v>
      </c>
      <c r="L186" s="1282">
        <v>1912290</v>
      </c>
      <c r="M186" s="1282">
        <v>745003</v>
      </c>
      <c r="N186" s="1282"/>
      <c r="O186" s="1282"/>
      <c r="P186" s="1282"/>
      <c r="Q186" s="1282">
        <v>9000000</v>
      </c>
      <c r="R186" s="1282">
        <v>4065913</v>
      </c>
      <c r="S186" s="1116">
        <f t="shared" si="38"/>
        <v>45.176811111111107</v>
      </c>
      <c r="T186" s="1282">
        <v>487318</v>
      </c>
      <c r="U186" s="1284">
        <v>2681175</v>
      </c>
      <c r="V186" s="1284">
        <v>156710</v>
      </c>
      <c r="W186" s="1284"/>
      <c r="X186" s="1284"/>
      <c r="Y186" s="1168">
        <v>21426500</v>
      </c>
      <c r="Z186" s="1282">
        <v>1233693</v>
      </c>
      <c r="AA186" s="1282">
        <v>1026660</v>
      </c>
      <c r="AB186" s="1282"/>
      <c r="AC186" s="1145">
        <f t="shared" si="34"/>
        <v>426.97881140103095</v>
      </c>
      <c r="AD186" s="1129">
        <v>3913445</v>
      </c>
      <c r="AE186" s="1282"/>
      <c r="AF186" s="1282">
        <f>+'ครุภัณฑ์ แผน 68'!E316</f>
        <v>31463271.050000001</v>
      </c>
      <c r="AG186" s="1282">
        <v>5012318</v>
      </c>
      <c r="AH186" s="1282"/>
      <c r="AI186" s="1282">
        <v>992879.99</v>
      </c>
      <c r="AJ186" s="1282">
        <f>+รายการครุภัณฑ์ปรับ!E254</f>
        <v>18561271.050000001</v>
      </c>
      <c r="AK186" s="1282">
        <v>6609925.2000000002</v>
      </c>
      <c r="AL186" s="1282"/>
      <c r="AM186" s="1282">
        <v>727338.99</v>
      </c>
      <c r="AN186" s="1282">
        <f>+'ครุภัณฑ์(เก่า)'!E322</f>
        <v>37012076.266666666</v>
      </c>
      <c r="AO186" s="1282">
        <v>1382502.5</v>
      </c>
      <c r="AP186" s="1282"/>
      <c r="AQ186" s="1282">
        <v>518532.99</v>
      </c>
      <c r="AR186" s="1282">
        <v>1887992.5</v>
      </c>
      <c r="AS186" s="1282"/>
      <c r="AT186" s="1282">
        <v>1886093.49</v>
      </c>
      <c r="AU186" s="1282">
        <f>+'ครุภัณฑ์ (NEW) (คอม)'!E142</f>
        <v>50433574.466666661</v>
      </c>
      <c r="AV186" s="2007"/>
      <c r="AW186" s="1150" t="s">
        <v>1241</v>
      </c>
    </row>
    <row r="187" spans="1:49" ht="20.25" customHeight="1">
      <c r="A187" s="1062"/>
      <c r="B187" s="2912"/>
      <c r="C187" s="1063" t="s">
        <v>1231</v>
      </c>
      <c r="D187" s="1064"/>
      <c r="E187" s="1065">
        <v>0</v>
      </c>
      <c r="F187" s="1065">
        <v>145000</v>
      </c>
      <c r="G187" s="1282">
        <v>27285</v>
      </c>
      <c r="H187" s="1129">
        <v>1570000</v>
      </c>
      <c r="I187" s="1078">
        <v>0</v>
      </c>
      <c r="J187" s="1078">
        <v>0</v>
      </c>
      <c r="K187" s="1066">
        <v>1630000</v>
      </c>
      <c r="L187" s="1065">
        <v>1625800</v>
      </c>
      <c r="M187" s="1078">
        <v>0</v>
      </c>
      <c r="N187" s="1065">
        <v>0</v>
      </c>
      <c r="O187" s="1065"/>
      <c r="P187" s="1065"/>
      <c r="Q187" s="1295">
        <v>0</v>
      </c>
      <c r="R187" s="1296">
        <v>1837580</v>
      </c>
      <c r="S187" s="1295"/>
      <c r="T187" s="1295">
        <v>0</v>
      </c>
      <c r="U187" s="1297"/>
      <c r="V187" s="1297"/>
      <c r="W187" s="1297"/>
      <c r="X187" s="1297"/>
      <c r="Y187" s="1065">
        <v>2500000</v>
      </c>
      <c r="Z187" s="1295">
        <v>0</v>
      </c>
      <c r="AA187" s="1292">
        <v>0</v>
      </c>
      <c r="AB187" s="1063"/>
      <c r="AC187" s="1145">
        <f t="shared" si="34"/>
        <v>36.048498568769794</v>
      </c>
      <c r="AD187" s="1168">
        <v>3640000</v>
      </c>
      <c r="AE187" s="1063"/>
      <c r="AF187" s="1293">
        <f>+AD187+Y187</f>
        <v>6140000</v>
      </c>
      <c r="AG187" s="1293">
        <v>3640000</v>
      </c>
      <c r="AH187" s="1293"/>
      <c r="AI187" s="1293"/>
      <c r="AJ187" s="1293">
        <f>+AF187</f>
        <v>6140000</v>
      </c>
      <c r="AK187" s="1293">
        <v>3640000</v>
      </c>
      <c r="AL187" s="1293"/>
      <c r="AM187" s="1293"/>
      <c r="AN187" s="1293">
        <f>+'ครุภัณฑ์(เก่า)'!E327</f>
        <v>2500000</v>
      </c>
      <c r="AO187" s="1292">
        <v>0</v>
      </c>
      <c r="AP187" s="1293"/>
      <c r="AQ187" s="1293"/>
      <c r="AR187" s="1293"/>
      <c r="AS187" s="1293"/>
      <c r="AT187" s="1293"/>
      <c r="AU187" s="1293">
        <f>+'ครุภัณฑ์ (NEW) (ยานพาหนะ)'!E12</f>
        <v>3148000</v>
      </c>
      <c r="AV187" s="1063"/>
      <c r="AW187" s="1031" t="s">
        <v>1232</v>
      </c>
    </row>
    <row r="188" spans="1:49" s="1179" customFormat="1" ht="20.25" customHeight="1">
      <c r="A188" s="1062"/>
      <c r="B188" s="2912"/>
      <c r="C188" s="1063" t="s">
        <v>362</v>
      </c>
      <c r="D188" s="1064"/>
      <c r="E188" s="1065">
        <v>256969.44</v>
      </c>
      <c r="F188" s="1065">
        <v>240239.8</v>
      </c>
      <c r="G188" s="1282">
        <v>43113.8</v>
      </c>
      <c r="H188" s="1282">
        <v>2000000</v>
      </c>
      <c r="I188" s="1282">
        <v>815109.5</v>
      </c>
      <c r="J188" s="1065">
        <v>1434528.51</v>
      </c>
      <c r="K188" s="1283">
        <v>2000000</v>
      </c>
      <c r="L188" s="1282">
        <f>280680+84119.3</f>
        <v>364799.3</v>
      </c>
      <c r="M188" s="1282">
        <v>467699.5</v>
      </c>
      <c r="N188" s="1282"/>
      <c r="O188" s="1282"/>
      <c r="P188" s="1282"/>
      <c r="Q188" s="1282">
        <v>1000000</v>
      </c>
      <c r="R188" s="1282">
        <v>1009592</v>
      </c>
      <c r="S188" s="1116">
        <f t="shared" si="38"/>
        <v>100.95920000000001</v>
      </c>
      <c r="T188" s="1282">
        <v>605448.30000000005</v>
      </c>
      <c r="U188" s="1284" t="e">
        <f>4218605-#REF!</f>
        <v>#REF!</v>
      </c>
      <c r="V188" s="1284">
        <v>67196</v>
      </c>
      <c r="W188" s="1284"/>
      <c r="X188" s="1284"/>
      <c r="Y188" s="1282">
        <v>2000000</v>
      </c>
      <c r="Z188" s="1282">
        <v>361071.5</v>
      </c>
      <c r="AA188" s="1168">
        <v>402683.8</v>
      </c>
      <c r="AB188" s="1063"/>
      <c r="AC188" s="1145">
        <f t="shared" si="34"/>
        <v>98.099826464552024</v>
      </c>
      <c r="AD188" s="1168">
        <v>402683.8</v>
      </c>
      <c r="AE188" s="1063"/>
      <c r="AF188" s="1298">
        <f>+Y188</f>
        <v>2000000</v>
      </c>
      <c r="AG188" s="1298">
        <v>488604.8</v>
      </c>
      <c r="AH188" s="1298"/>
      <c r="AI188" s="1298">
        <v>1017140.5</v>
      </c>
      <c r="AJ188" s="1293">
        <f t="shared" ref="AJ188:AJ194" si="39">+AF188</f>
        <v>2000000</v>
      </c>
      <c r="AK188" s="1293">
        <v>516624.8</v>
      </c>
      <c r="AL188" s="1293"/>
      <c r="AM188" s="1293">
        <v>275150.5</v>
      </c>
      <c r="AN188" s="1293">
        <f>+'ครุภัณฑ์(เก่า)'!E114</f>
        <v>81898</v>
      </c>
      <c r="AO188" s="1168">
        <v>345686.18</v>
      </c>
      <c r="AP188" s="1293"/>
      <c r="AQ188" s="1753">
        <v>644972.49</v>
      </c>
      <c r="AR188" s="1753">
        <v>398116.18</v>
      </c>
      <c r="AS188" s="2945"/>
      <c r="AT188" s="1753">
        <v>531386.48</v>
      </c>
      <c r="AU188" s="1753">
        <f>+'ครุภัณฑ์ (NEW) (อื่นๆ+ค่าเสื่อ)'!E8+'ครุภัณฑ์ (NEW) (อื่นๆ+ค่าเสื่อ)'!E9</f>
        <v>46663</v>
      </c>
      <c r="AV188" s="1063"/>
      <c r="AW188" s="1299" t="s">
        <v>1234</v>
      </c>
    </row>
    <row r="189" spans="1:49" ht="20.25" customHeight="1">
      <c r="A189" s="1062"/>
      <c r="B189" s="2912"/>
      <c r="C189" s="1063" t="s">
        <v>363</v>
      </c>
      <c r="D189" s="1064"/>
      <c r="E189" s="1065">
        <v>0</v>
      </c>
      <c r="F189" s="1065">
        <v>145360</v>
      </c>
      <c r="G189" s="1282">
        <v>227914.01</v>
      </c>
      <c r="H189" s="1282">
        <v>500000</v>
      </c>
      <c r="I189" s="1282">
        <v>165100.29999999999</v>
      </c>
      <c r="J189" s="1078">
        <v>0</v>
      </c>
      <c r="K189" s="1283">
        <v>300000</v>
      </c>
      <c r="L189" s="1282">
        <v>729549.16</v>
      </c>
      <c r="M189" s="1078">
        <v>0</v>
      </c>
      <c r="N189" s="1282"/>
      <c r="O189" s="1282"/>
      <c r="P189" s="1282"/>
      <c r="Q189" s="1300">
        <v>900000</v>
      </c>
      <c r="R189" s="1300">
        <v>768640.04</v>
      </c>
      <c r="S189" s="1116"/>
      <c r="T189" s="1301">
        <v>0</v>
      </c>
      <c r="U189" s="1284">
        <v>762526.92</v>
      </c>
      <c r="V189" s="1284">
        <v>38500</v>
      </c>
      <c r="W189" s="1284"/>
      <c r="X189" s="1284"/>
      <c r="Y189" s="1282">
        <v>900000</v>
      </c>
      <c r="Z189" s="1301">
        <v>0</v>
      </c>
      <c r="AA189" s="1168">
        <v>47905</v>
      </c>
      <c r="AB189" s="1063"/>
      <c r="AC189" s="1145">
        <f t="shared" si="34"/>
        <v>17.089918969092473</v>
      </c>
      <c r="AD189" s="1168">
        <v>58895</v>
      </c>
      <c r="AE189" s="1063"/>
      <c r="AF189" s="1129">
        <v>300000</v>
      </c>
      <c r="AG189" s="1129">
        <v>103984.99</v>
      </c>
      <c r="AH189" s="1129"/>
      <c r="AI189" s="1129"/>
      <c r="AJ189" s="1293">
        <f t="shared" si="39"/>
        <v>300000</v>
      </c>
      <c r="AK189" s="1293">
        <v>103984.99</v>
      </c>
      <c r="AL189" s="1293"/>
      <c r="AM189" s="1293"/>
      <c r="AN189" s="1293">
        <f>+'ครุภัณฑ์(เก่า)'!E119</f>
        <v>13940</v>
      </c>
      <c r="AO189" s="1292">
        <v>0</v>
      </c>
      <c r="AP189" s="1293"/>
      <c r="AQ189" s="1293"/>
      <c r="AR189" s="1293">
        <v>114185</v>
      </c>
      <c r="AS189" s="1293"/>
      <c r="AT189" s="1293"/>
      <c r="AU189" s="1293">
        <f>+'ครุภัณฑ์ (NEW) (อื่นๆ+ค่าเสื่อ)'!E10+'ครุภัณฑ์ (NEW) (อื่นๆ+ค่าเสื่อ)'!E11+'ครุภัณฑ์ (NEW) (อื่นๆ+ค่าเสื่อ)'!E12+'ครุภัณฑ์ (NEW) (อื่นๆ+ค่าเสื่อ)'!E13+'ครุภัณฑ์ (NEW) (อื่นๆ+ค่าเสื่อ)'!E14</f>
        <v>67172.5</v>
      </c>
      <c r="AV189" s="1063"/>
      <c r="AW189" s="1299" t="s">
        <v>1235</v>
      </c>
    </row>
    <row r="190" spans="1:49" ht="20.25" customHeight="1">
      <c r="A190" s="1062"/>
      <c r="B190" s="2912"/>
      <c r="C190" s="1063" t="s">
        <v>364</v>
      </c>
      <c r="D190" s="1064"/>
      <c r="E190" s="1065">
        <v>0</v>
      </c>
      <c r="F190" s="1065">
        <v>8000</v>
      </c>
      <c r="G190" s="1078">
        <v>0</v>
      </c>
      <c r="H190" s="1078">
        <v>0</v>
      </c>
      <c r="I190" s="1078">
        <v>0</v>
      </c>
      <c r="J190" s="1078">
        <v>0</v>
      </c>
      <c r="K190" s="1078">
        <v>0</v>
      </c>
      <c r="L190" s="1078">
        <v>0</v>
      </c>
      <c r="M190" s="1078">
        <v>0</v>
      </c>
      <c r="N190" s="1065"/>
      <c r="O190" s="1065"/>
      <c r="P190" s="1065"/>
      <c r="Q190" s="1065">
        <v>3290</v>
      </c>
      <c r="R190" s="1065">
        <v>3290</v>
      </c>
      <c r="S190" s="1116">
        <f t="shared" si="38"/>
        <v>100</v>
      </c>
      <c r="T190" s="1065">
        <v>0</v>
      </c>
      <c r="U190" s="1221"/>
      <c r="V190" s="1221"/>
      <c r="W190" s="1221"/>
      <c r="X190" s="1221"/>
      <c r="Y190" s="1065">
        <v>100000</v>
      </c>
      <c r="Z190" s="1302">
        <v>0</v>
      </c>
      <c r="AA190" s="1302">
        <v>0</v>
      </c>
      <c r="AB190" s="1302">
        <v>0</v>
      </c>
      <c r="AC190" s="1302">
        <v>0</v>
      </c>
      <c r="AD190" s="1302">
        <v>0</v>
      </c>
      <c r="AE190" s="1063"/>
      <c r="AF190" s="1293">
        <f>+Y190</f>
        <v>100000</v>
      </c>
      <c r="AG190" s="1292">
        <v>0</v>
      </c>
      <c r="AH190" s="1292"/>
      <c r="AI190" s="1292"/>
      <c r="AJ190" s="1293">
        <f t="shared" si="39"/>
        <v>100000</v>
      </c>
      <c r="AK190" s="1263">
        <v>0</v>
      </c>
      <c r="AL190" s="1293"/>
      <c r="AM190" s="1293"/>
      <c r="AN190" s="1263">
        <v>0</v>
      </c>
      <c r="AO190" s="1292">
        <v>0</v>
      </c>
      <c r="AP190" s="1263"/>
      <c r="AQ190" s="1263"/>
      <c r="AR190" s="1263">
        <v>315115</v>
      </c>
      <c r="AS190" s="1263"/>
      <c r="AT190" s="1263"/>
      <c r="AU190" s="1263">
        <v>0</v>
      </c>
      <c r="AV190" s="1063"/>
    </row>
    <row r="191" spans="1:49" ht="20.25" customHeight="1">
      <c r="A191" s="1062"/>
      <c r="B191" s="2912"/>
      <c r="C191" s="1063" t="s">
        <v>713</v>
      </c>
      <c r="D191" s="1064" t="s">
        <v>315</v>
      </c>
      <c r="E191" s="1065">
        <v>0</v>
      </c>
      <c r="F191" s="1065">
        <v>0</v>
      </c>
      <c r="G191" s="1078">
        <v>0</v>
      </c>
      <c r="H191" s="1078">
        <v>0</v>
      </c>
      <c r="I191" s="1078">
        <v>0</v>
      </c>
      <c r="J191" s="1065">
        <v>395917.85</v>
      </c>
      <c r="K191" s="1283">
        <v>2000000</v>
      </c>
      <c r="L191" s="1282">
        <v>0</v>
      </c>
      <c r="M191" s="1282">
        <v>322875.48</v>
      </c>
      <c r="N191" s="1282"/>
      <c r="O191" s="1282"/>
      <c r="P191" s="1282"/>
      <c r="Q191" s="1282">
        <v>3000000</v>
      </c>
      <c r="R191" s="1129"/>
      <c r="S191" s="1282"/>
      <c r="T191" s="1282">
        <v>652649.1</v>
      </c>
      <c r="U191" s="1284">
        <v>1359605.84</v>
      </c>
      <c r="V191" s="1284">
        <v>512544.9</v>
      </c>
      <c r="W191" s="1284"/>
      <c r="X191" s="1284"/>
      <c r="Y191" s="1282">
        <v>2000000</v>
      </c>
      <c r="Z191" s="1282">
        <v>807518</v>
      </c>
      <c r="AA191" s="1168">
        <v>1171552.8</v>
      </c>
      <c r="AB191" s="1063"/>
      <c r="AC191" s="1145" t="e">
        <f t="shared" ref="AC191:AC225" si="40">+(Y191-R191)/R191*100</f>
        <v>#DIV/0!</v>
      </c>
      <c r="AD191" s="1168">
        <v>1557340.49</v>
      </c>
      <c r="AE191" s="1063"/>
      <c r="AF191" s="1129">
        <v>3000000</v>
      </c>
      <c r="AG191" s="1129">
        <v>2325575.4900000002</v>
      </c>
      <c r="AH191" s="1129"/>
      <c r="AI191" s="1129">
        <v>934425.48</v>
      </c>
      <c r="AJ191" s="1293">
        <f t="shared" si="39"/>
        <v>3000000</v>
      </c>
      <c r="AK191" s="1263">
        <v>3808458.48</v>
      </c>
      <c r="AL191" s="1293"/>
      <c r="AM191" s="1293">
        <v>622820.69999999995</v>
      </c>
      <c r="AN191" s="1263">
        <v>0</v>
      </c>
      <c r="AO191" s="1168">
        <v>489666.31</v>
      </c>
      <c r="AP191" s="1263"/>
      <c r="AQ191" s="1263">
        <v>2664956.7999999998</v>
      </c>
      <c r="AR191" s="1263">
        <v>3394540.55</v>
      </c>
      <c r="AS191" s="1263"/>
      <c r="AT191" s="1263">
        <v>915133.45</v>
      </c>
      <c r="AU191" s="1263">
        <v>0</v>
      </c>
      <c r="AV191" s="1063"/>
    </row>
    <row r="192" spans="1:49" ht="20.25" customHeight="1">
      <c r="A192" s="1062"/>
      <c r="B192" s="2912"/>
      <c r="C192" s="1063" t="s">
        <v>512</v>
      </c>
      <c r="D192" s="1064"/>
      <c r="E192" s="1065"/>
      <c r="F192" s="1065"/>
      <c r="G192" s="1078">
        <v>0</v>
      </c>
      <c r="H192" s="1078">
        <v>0</v>
      </c>
      <c r="I192" s="1078">
        <v>0</v>
      </c>
      <c r="J192" s="1078">
        <v>0</v>
      </c>
      <c r="K192" s="1065">
        <v>0</v>
      </c>
      <c r="L192" s="1078">
        <v>0</v>
      </c>
      <c r="M192" s="1078">
        <v>0</v>
      </c>
      <c r="N192" s="1065">
        <v>0</v>
      </c>
      <c r="O192" s="1065">
        <v>0</v>
      </c>
      <c r="P192" s="1065">
        <v>0</v>
      </c>
      <c r="Q192" s="1065">
        <v>0</v>
      </c>
      <c r="R192" s="1129">
        <v>4900</v>
      </c>
      <c r="S192" s="1282"/>
      <c r="T192" s="1282"/>
      <c r="U192" s="1284"/>
      <c r="V192" s="1284"/>
      <c r="W192" s="1284"/>
      <c r="X192" s="1284"/>
      <c r="Y192" s="1282">
        <v>10000</v>
      </c>
      <c r="Z192" s="1291">
        <v>0</v>
      </c>
      <c r="AA192" s="1292">
        <v>0</v>
      </c>
      <c r="AB192" s="1063"/>
      <c r="AC192" s="1145">
        <f t="shared" si="40"/>
        <v>104.08163265306123</v>
      </c>
      <c r="AD192" s="1292">
        <v>0</v>
      </c>
      <c r="AE192" s="1063"/>
      <c r="AF192" s="1298">
        <f>+Y192</f>
        <v>10000</v>
      </c>
      <c r="AG192" s="1292">
        <v>0</v>
      </c>
      <c r="AH192" s="1292"/>
      <c r="AI192" s="1292"/>
      <c r="AJ192" s="1293">
        <f t="shared" si="39"/>
        <v>10000</v>
      </c>
      <c r="AK192" s="1263">
        <v>0</v>
      </c>
      <c r="AL192" s="1293"/>
      <c r="AM192" s="1293"/>
      <c r="AN192" s="1263">
        <v>0</v>
      </c>
      <c r="AO192" s="1292">
        <v>0</v>
      </c>
      <c r="AP192" s="1292">
        <v>0</v>
      </c>
      <c r="AQ192" s="1292">
        <v>0</v>
      </c>
      <c r="AR192" s="1292">
        <v>0</v>
      </c>
      <c r="AS192" s="1292">
        <v>0</v>
      </c>
      <c r="AT192" s="1263"/>
      <c r="AU192" s="1263">
        <f>+'ครุภัณฑ์ (NEW) (อื่นๆ+ค่าเสื่อ)'!E5+'ครุภัณฑ์ (NEW) (อื่นๆ+ค่าเสื่อ)'!E6+'ครุภัณฑ์ (NEW) (อื่นๆ+ค่าเสื่อ)'!E7</f>
        <v>124655</v>
      </c>
      <c r="AV192" s="1063"/>
    </row>
    <row r="193" spans="1:49" ht="20.25" customHeight="1">
      <c r="A193" s="1062"/>
      <c r="B193" s="2912"/>
      <c r="C193" s="1063" t="s">
        <v>365</v>
      </c>
      <c r="D193" s="1064"/>
      <c r="E193" s="1065">
        <v>0</v>
      </c>
      <c r="F193" s="1065">
        <v>0</v>
      </c>
      <c r="G193" s="1078">
        <v>0</v>
      </c>
      <c r="H193" s="1282">
        <v>19448683.25</v>
      </c>
      <c r="I193" s="1065">
        <f>18239400+1099745</f>
        <v>19339145</v>
      </c>
      <c r="J193" s="1078">
        <v>0</v>
      </c>
      <c r="K193" s="1283">
        <v>17480288.41</v>
      </c>
      <c r="L193" s="1282">
        <v>16655750</v>
      </c>
      <c r="M193" s="1078">
        <v>0</v>
      </c>
      <c r="N193" s="1078">
        <v>0</v>
      </c>
      <c r="O193" s="1078">
        <v>0</v>
      </c>
      <c r="P193" s="1078">
        <v>0</v>
      </c>
      <c r="Q193" s="1078">
        <v>0</v>
      </c>
      <c r="R193" s="1078">
        <v>0</v>
      </c>
      <c r="S193" s="1078">
        <v>0</v>
      </c>
      <c r="T193" s="1078">
        <v>0</v>
      </c>
      <c r="U193" s="1130"/>
      <c r="V193" s="1130"/>
      <c r="W193" s="1130"/>
      <c r="X193" s="1130"/>
      <c r="Y193" s="1129">
        <v>16000000</v>
      </c>
      <c r="Z193" s="1291">
        <v>0</v>
      </c>
      <c r="AA193" s="1292">
        <v>0</v>
      </c>
      <c r="AB193" s="1303"/>
      <c r="AC193" s="1145" t="e">
        <f t="shared" si="40"/>
        <v>#DIV/0!</v>
      </c>
      <c r="AD193" s="1292">
        <v>0</v>
      </c>
      <c r="AE193" s="1303"/>
      <c r="AF193" s="1282">
        <f>+ประมาณการรายรับ!T18</f>
        <v>30827352.009999998</v>
      </c>
      <c r="AG193" s="1291">
        <v>0</v>
      </c>
      <c r="AH193" s="1291"/>
      <c r="AI193" s="1291"/>
      <c r="AJ193" s="1293">
        <f t="shared" si="39"/>
        <v>30827352.009999998</v>
      </c>
      <c r="AK193" s="1168">
        <v>16665000</v>
      </c>
      <c r="AL193" s="1293"/>
      <c r="AM193" s="1293"/>
      <c r="AN193" s="1293">
        <v>17000000</v>
      </c>
      <c r="AO193" s="1771">
        <v>10122384.42</v>
      </c>
      <c r="AP193" s="1293"/>
      <c r="AQ193" s="1293"/>
      <c r="AR193" s="1293">
        <v>10122384.42</v>
      </c>
      <c r="AS193" s="1293"/>
      <c r="AT193" s="1293"/>
      <c r="AU193" s="1761">
        <f>17146016.19+5450000</f>
        <v>22596016.190000001</v>
      </c>
      <c r="AV193" s="1303"/>
      <c r="AW193" s="1294">
        <v>16665000</v>
      </c>
    </row>
    <row r="194" spans="1:49" ht="20.25" customHeight="1">
      <c r="A194" s="1223"/>
      <c r="B194" s="2924"/>
      <c r="C194" s="1080" t="s">
        <v>566</v>
      </c>
      <c r="D194" s="1081"/>
      <c r="E194" s="1082"/>
      <c r="F194" s="1082"/>
      <c r="G194" s="1132">
        <v>0</v>
      </c>
      <c r="H194" s="1132">
        <v>0</v>
      </c>
      <c r="I194" s="1132">
        <v>0</v>
      </c>
      <c r="J194" s="1132">
        <v>0</v>
      </c>
      <c r="K194" s="1132">
        <v>0</v>
      </c>
      <c r="L194" s="1132">
        <v>0</v>
      </c>
      <c r="M194" s="1132">
        <v>0</v>
      </c>
      <c r="N194" s="1132">
        <v>0</v>
      </c>
      <c r="O194" s="1132">
        <v>0</v>
      </c>
      <c r="P194" s="1132">
        <v>0</v>
      </c>
      <c r="Q194" s="1132">
        <v>0</v>
      </c>
      <c r="R194" s="1132">
        <v>0</v>
      </c>
      <c r="S194" s="1132">
        <v>0</v>
      </c>
      <c r="T194" s="1132">
        <v>0</v>
      </c>
      <c r="U194" s="1134"/>
      <c r="V194" s="1134"/>
      <c r="W194" s="1134"/>
      <c r="X194" s="1134"/>
      <c r="Y194" s="1133">
        <v>2500000</v>
      </c>
      <c r="Z194" s="1304">
        <v>0</v>
      </c>
      <c r="AA194" s="1304">
        <v>0</v>
      </c>
      <c r="AB194" s="1304">
        <v>0</v>
      </c>
      <c r="AC194" s="1304">
        <v>0</v>
      </c>
      <c r="AD194" s="1304">
        <v>0</v>
      </c>
      <c r="AE194" s="1305"/>
      <c r="AF194" s="1305">
        <v>1877615.58</v>
      </c>
      <c r="AG194" s="1304">
        <v>0</v>
      </c>
      <c r="AH194" s="1304"/>
      <c r="AI194" s="1304"/>
      <c r="AJ194" s="1552">
        <f t="shared" si="39"/>
        <v>1877615.58</v>
      </c>
      <c r="AK194" s="1772">
        <v>0</v>
      </c>
      <c r="AL194" s="1552"/>
      <c r="AM194" s="1552"/>
      <c r="AN194" s="1552">
        <v>924500</v>
      </c>
      <c r="AO194" s="1773">
        <v>1871615.58</v>
      </c>
      <c r="AP194" s="1552"/>
      <c r="AQ194" s="1552"/>
      <c r="AR194" s="1552">
        <v>1871615.58</v>
      </c>
      <c r="AS194" s="1552"/>
      <c r="AT194" s="1552"/>
      <c r="AU194" s="1552">
        <f>778483.81+10000+60000</f>
        <v>848483.81</v>
      </c>
      <c r="AV194" s="1305"/>
    </row>
    <row r="195" spans="1:49" s="1041" customFormat="1" ht="20.25" customHeight="1">
      <c r="A195" s="1034" t="s">
        <v>366</v>
      </c>
      <c r="B195" s="2910" t="s">
        <v>2712</v>
      </c>
      <c r="C195" s="1042" t="s">
        <v>367</v>
      </c>
      <c r="D195" s="1043"/>
      <c r="E195" s="1035">
        <v>0</v>
      </c>
      <c r="F195" s="1035">
        <v>0</v>
      </c>
      <c r="G195" s="1306">
        <v>0</v>
      </c>
      <c r="H195" s="1306">
        <v>0</v>
      </c>
      <c r="I195" s="1306">
        <v>0</v>
      </c>
      <c r="J195" s="1306">
        <v>0</v>
      </c>
      <c r="K195" s="1306">
        <v>0</v>
      </c>
      <c r="L195" s="1306">
        <v>0</v>
      </c>
      <c r="M195" s="1306">
        <v>0</v>
      </c>
      <c r="N195" s="1306">
        <v>0</v>
      </c>
      <c r="O195" s="1306">
        <v>0</v>
      </c>
      <c r="P195" s="1306">
        <v>0</v>
      </c>
      <c r="Q195" s="1306">
        <v>0</v>
      </c>
      <c r="R195" s="1306">
        <v>0</v>
      </c>
      <c r="S195" s="1306">
        <v>0</v>
      </c>
      <c r="T195" s="1306">
        <v>0</v>
      </c>
      <c r="U195" s="1307"/>
      <c r="V195" s="1307"/>
      <c r="W195" s="1307"/>
      <c r="X195" s="1307"/>
      <c r="Y195" s="1308">
        <f>SUM(Y196:Y197)</f>
        <v>250026911.13999999</v>
      </c>
      <c r="Z195" s="1306">
        <v>0</v>
      </c>
      <c r="AA195" s="1308">
        <v>1237363</v>
      </c>
      <c r="AB195" s="1308">
        <f>+AA195/Y195*100</f>
        <v>0.49489192757620853</v>
      </c>
      <c r="AC195" s="1309" t="e">
        <f t="shared" si="40"/>
        <v>#DIV/0!</v>
      </c>
      <c r="AD195" s="1308">
        <f>SUM(AD196:AD197)</f>
        <v>1237363</v>
      </c>
      <c r="AE195" s="1036">
        <f>+AD195/Y195*100</f>
        <v>0.49489192757620853</v>
      </c>
      <c r="AF195" s="1036">
        <f>SUM(AF196:AF197)</f>
        <v>373640511.13999999</v>
      </c>
      <c r="AG195" s="1037">
        <f>SUM(AG196:AG197)</f>
        <v>6270963</v>
      </c>
      <c r="AH195" s="1037">
        <f>+AG195/AF195*100</f>
        <v>1.6783412967900375</v>
      </c>
      <c r="AI195" s="1037"/>
      <c r="AJ195" s="1039">
        <f>SUM(AJ196:AJ197)</f>
        <v>42815511.140000001</v>
      </c>
      <c r="AK195" s="1039">
        <f>SUM(AK196:AK197)</f>
        <v>20311325.890000001</v>
      </c>
      <c r="AL195" s="1039">
        <f>+AK195/AJ195*100</f>
        <v>47.439176478788617</v>
      </c>
      <c r="AM195" s="1039"/>
      <c r="AN195" s="1039">
        <f>SUM(AN196:AN198)</f>
        <v>500893455.70999998</v>
      </c>
      <c r="AO195" s="1039">
        <f>5245500+AO198</f>
        <v>47227693.759999998</v>
      </c>
      <c r="AP195" s="1037">
        <f>+AO195/AN195*100</f>
        <v>9.4286905172390991</v>
      </c>
      <c r="AQ195" s="1741"/>
      <c r="AR195" s="1039">
        <f>7545500+AR198+AR197</f>
        <v>76527693.75999999</v>
      </c>
      <c r="AS195" s="1039">
        <f>+AR195/AN195*100</f>
        <v>15.278237894229324</v>
      </c>
      <c r="AT195" s="1039"/>
      <c r="AU195" s="1039">
        <f>SUM(AU196:AU198)</f>
        <v>194277751.05000001</v>
      </c>
      <c r="AV195" s="1310"/>
    </row>
    <row r="196" spans="1:49" s="1041" customFormat="1" ht="20.25" customHeight="1">
      <c r="A196" s="1313"/>
      <c r="B196" s="2927" t="s">
        <v>2713</v>
      </c>
      <c r="C196" s="1051" t="s">
        <v>360</v>
      </c>
      <c r="D196" s="1052"/>
      <c r="E196" s="1055">
        <v>0</v>
      </c>
      <c r="F196" s="1055">
        <v>0</v>
      </c>
      <c r="G196" s="1233">
        <v>0</v>
      </c>
      <c r="H196" s="1233">
        <v>0</v>
      </c>
      <c r="I196" s="1233">
        <v>0</v>
      </c>
      <c r="J196" s="1233">
        <v>0</v>
      </c>
      <c r="K196" s="1233">
        <v>0</v>
      </c>
      <c r="L196" s="1233">
        <v>0</v>
      </c>
      <c r="M196" s="1233">
        <v>0</v>
      </c>
      <c r="N196" s="1233">
        <v>0</v>
      </c>
      <c r="O196" s="1233">
        <v>0</v>
      </c>
      <c r="P196" s="1233">
        <v>0</v>
      </c>
      <c r="Q196" s="1233">
        <v>0</v>
      </c>
      <c r="R196" s="1233">
        <v>0</v>
      </c>
      <c r="S196" s="1233">
        <v>0</v>
      </c>
      <c r="T196" s="1233">
        <v>0</v>
      </c>
      <c r="U196" s="1377"/>
      <c r="V196" s="1377"/>
      <c r="W196" s="1377"/>
      <c r="X196" s="1377"/>
      <c r="Y196" s="1281">
        <v>226026911.13999999</v>
      </c>
      <c r="Z196" s="1316">
        <v>0</v>
      </c>
      <c r="AA196" s="1281"/>
      <c r="AB196" s="1281"/>
      <c r="AC196" s="1366" t="e">
        <f t="shared" si="40"/>
        <v>#DIV/0!</v>
      </c>
      <c r="AD196" s="1281">
        <v>1237363</v>
      </c>
      <c r="AE196" s="1281"/>
      <c r="AF196" s="1281">
        <v>173640511.13999999</v>
      </c>
      <c r="AG196" s="1281">
        <v>6270963</v>
      </c>
      <c r="AH196" s="1281"/>
      <c r="AI196" s="1281"/>
      <c r="AJ196" s="1281">
        <f>+'สิ่งก่อสร้าง (25.10.67)'!E10</f>
        <v>28350511.140000001</v>
      </c>
      <c r="AK196" s="1281">
        <v>20311325.890000001</v>
      </c>
      <c r="AL196" s="1281"/>
      <c r="AM196" s="1281"/>
      <c r="AN196" s="1281">
        <f>+'สิ่งก่อสร้าง (1.10.68)'!E23</f>
        <v>271893455.70999998</v>
      </c>
      <c r="AO196" s="1281"/>
      <c r="AP196" s="1281"/>
      <c r="AQ196" s="1281"/>
      <c r="AR196" s="1281"/>
      <c r="AS196" s="1281"/>
      <c r="AT196" s="1281"/>
      <c r="AU196" s="1281">
        <f>+'สิ่งก่อสร้าง (NEW)'!E24</f>
        <v>89577751.049999997</v>
      </c>
      <c r="AV196" s="1347"/>
    </row>
    <row r="197" spans="1:49" s="1041" customFormat="1" ht="20.25" customHeight="1">
      <c r="A197" s="1124"/>
      <c r="B197" s="2919" t="s">
        <v>2714</v>
      </c>
      <c r="C197" s="1063" t="s">
        <v>1252</v>
      </c>
      <c r="D197" s="1064"/>
      <c r="E197" s="1065"/>
      <c r="F197" s="1065"/>
      <c r="G197" s="1078">
        <v>0</v>
      </c>
      <c r="H197" s="1078">
        <v>0</v>
      </c>
      <c r="I197" s="1078">
        <v>0</v>
      </c>
      <c r="J197" s="1078">
        <v>0</v>
      </c>
      <c r="K197" s="1078">
        <v>0</v>
      </c>
      <c r="L197" s="1078">
        <v>0</v>
      </c>
      <c r="M197" s="1078">
        <v>0</v>
      </c>
      <c r="N197" s="1078">
        <v>0</v>
      </c>
      <c r="O197" s="1078">
        <v>0</v>
      </c>
      <c r="P197" s="1078">
        <v>0</v>
      </c>
      <c r="Q197" s="1078">
        <v>0</v>
      </c>
      <c r="R197" s="1078">
        <v>0</v>
      </c>
      <c r="S197" s="1078">
        <v>0</v>
      </c>
      <c r="T197" s="1078">
        <v>0</v>
      </c>
      <c r="U197" s="1130"/>
      <c r="V197" s="1130"/>
      <c r="W197" s="1130"/>
      <c r="X197" s="1130"/>
      <c r="Y197" s="1129">
        <v>24000000</v>
      </c>
      <c r="Z197" s="1159">
        <v>0</v>
      </c>
      <c r="AA197" s="1159">
        <v>0</v>
      </c>
      <c r="AB197" s="1159">
        <v>0</v>
      </c>
      <c r="AC197" s="1159">
        <v>0</v>
      </c>
      <c r="AD197" s="1159">
        <v>0</v>
      </c>
      <c r="AE197" s="1129"/>
      <c r="AF197" s="1129">
        <v>200000000</v>
      </c>
      <c r="AG197" s="1129"/>
      <c r="AH197" s="1129"/>
      <c r="AI197" s="1129"/>
      <c r="AJ197" s="1129">
        <f>+'สิ่งก่อสร้าง (25.10.67)'!E33</f>
        <v>14465000</v>
      </c>
      <c r="AK197" s="1129"/>
      <c r="AL197" s="1129"/>
      <c r="AM197" s="1129"/>
      <c r="AN197" s="1129">
        <f>+'สิ่งก่อสร้าง (1.10.68)'!E27+'สิ่งก่อสร้าง (1.10.68)'!E28</f>
        <v>29000000</v>
      </c>
      <c r="AO197" s="1129"/>
      <c r="AP197" s="1129"/>
      <c r="AQ197" s="1129"/>
      <c r="AR197" s="1129">
        <v>27000000</v>
      </c>
      <c r="AS197" s="1129"/>
      <c r="AT197" s="1129"/>
      <c r="AU197" s="1129">
        <f>+'สิ่งก่อสร้าง (NEW)'!E35+'สิ่งก่อสร้าง (NEW)'!E36</f>
        <v>4700000</v>
      </c>
      <c r="AV197" s="1713"/>
    </row>
    <row r="198" spans="1:49" s="1041" customFormat="1" ht="20.25" customHeight="1">
      <c r="A198" s="1131"/>
      <c r="B198" s="2919" t="s">
        <v>2715</v>
      </c>
      <c r="C198" s="1080" t="s">
        <v>1236</v>
      </c>
      <c r="D198" s="1081"/>
      <c r="E198" s="1082"/>
      <c r="F198" s="1082"/>
      <c r="G198" s="1132"/>
      <c r="H198" s="1132"/>
      <c r="I198" s="1132"/>
      <c r="J198" s="1132"/>
      <c r="K198" s="1132"/>
      <c r="L198" s="1132"/>
      <c r="M198" s="1132"/>
      <c r="N198" s="1132"/>
      <c r="O198" s="1132"/>
      <c r="P198" s="1132"/>
      <c r="Q198" s="1132"/>
      <c r="R198" s="1132"/>
      <c r="S198" s="1132"/>
      <c r="T198" s="1132"/>
      <c r="U198" s="1134"/>
      <c r="V198" s="1134"/>
      <c r="W198" s="1134"/>
      <c r="X198" s="1134"/>
      <c r="Y198" s="1133"/>
      <c r="Z198" s="1312"/>
      <c r="AA198" s="1312"/>
      <c r="AB198" s="1312"/>
      <c r="AC198" s="1378"/>
      <c r="AD198" s="1312"/>
      <c r="AE198" s="1133"/>
      <c r="AF198" s="1133"/>
      <c r="AG198" s="1133"/>
      <c r="AH198" s="1133"/>
      <c r="AI198" s="1133"/>
      <c r="AJ198" s="1133"/>
      <c r="AK198" s="1133"/>
      <c r="AL198" s="1133"/>
      <c r="AM198" s="1133"/>
      <c r="AN198" s="1133">
        <f>+'สิ่งก่อสร้าง (1.10.68)'!E29</f>
        <v>200000000</v>
      </c>
      <c r="AO198" s="2632">
        <v>41982193.759999998</v>
      </c>
      <c r="AP198" s="1133"/>
      <c r="AQ198" s="1133"/>
      <c r="AR198" s="1133">
        <f>+AO198</f>
        <v>41982193.759999998</v>
      </c>
      <c r="AS198" s="1133"/>
      <c r="AT198" s="1133"/>
      <c r="AU198" s="1133">
        <f>+'สิ่งก่อสร้าง (NEW)'!E37</f>
        <v>100000000</v>
      </c>
      <c r="AV198" s="1714"/>
    </row>
    <row r="199" spans="1:49" s="1041" customFormat="1" ht="22.5" customHeight="1">
      <c r="A199" s="1034" t="s">
        <v>368</v>
      </c>
      <c r="B199" s="2910"/>
      <c r="C199" s="1042" t="s">
        <v>369</v>
      </c>
      <c r="D199" s="1043" t="s">
        <v>285</v>
      </c>
      <c r="E199" s="1035">
        <f>SUM(E200:E213)</f>
        <v>30192900.050000001</v>
      </c>
      <c r="F199" s="1035">
        <f>SUM(F200:F213)</f>
        <v>21456904.539999999</v>
      </c>
      <c r="G199" s="1035">
        <f>SUM(G200:G213)</f>
        <v>18494540.709999997</v>
      </c>
      <c r="H199" s="1035">
        <v>13567272.48</v>
      </c>
      <c r="I199" s="1035">
        <f>SUM(I200:I214)</f>
        <v>18113505.209999997</v>
      </c>
      <c r="J199" s="1228">
        <v>0</v>
      </c>
      <c r="K199" s="1044">
        <v>13978607.67</v>
      </c>
      <c r="L199" s="1035">
        <f>SUM(L200:L216)</f>
        <v>12278414.879999999</v>
      </c>
      <c r="M199" s="1228">
        <f>SUM(M200:M214)</f>
        <v>0</v>
      </c>
      <c r="N199" s="1035"/>
      <c r="O199" s="1035"/>
      <c r="P199" s="1035"/>
      <c r="Q199" s="1035">
        <f>SUM(Q200:Q216)</f>
        <v>13893664.469999999</v>
      </c>
      <c r="R199" s="1035">
        <f>SUM(R200:R216)</f>
        <v>28042293.940000001</v>
      </c>
      <c r="S199" s="1035">
        <f>+R199/Q199*100</f>
        <v>201.83511700999071</v>
      </c>
      <c r="T199" s="1132">
        <v>0</v>
      </c>
      <c r="U199" s="1046"/>
      <c r="V199" s="1046"/>
      <c r="W199" s="1047"/>
      <c r="X199" s="1047"/>
      <c r="Y199" s="1035">
        <f>SUM(Y200:Y217)</f>
        <v>22452939.98</v>
      </c>
      <c r="Z199" s="1228">
        <v>0</v>
      </c>
      <c r="AA199" s="1048">
        <f>SUM(AA200:AA217)</f>
        <v>1972744.43</v>
      </c>
      <c r="AB199" s="1048">
        <f>+AA199/Y199*100</f>
        <v>8.7861297084356256</v>
      </c>
      <c r="AC199" s="1038">
        <f t="shared" si="40"/>
        <v>-19.931871379563752</v>
      </c>
      <c r="AD199" s="1048">
        <f>SUM(AD200:AD217)</f>
        <v>7760974.3300000001</v>
      </c>
      <c r="AE199" s="1037">
        <f>+AD199/Y199*100</f>
        <v>34.565514970035558</v>
      </c>
      <c r="AF199" s="1037">
        <f>SUM(AF200:AF217)</f>
        <v>22452939.98</v>
      </c>
      <c r="AG199" s="1037">
        <v>10621099.23</v>
      </c>
      <c r="AH199" s="1037">
        <f>+AG199/AF199*100</f>
        <v>47.30382408477805</v>
      </c>
      <c r="AI199" s="1037"/>
      <c r="AJ199" s="1039">
        <f>SUM(AJ200:AJ217)</f>
        <v>22464939.98</v>
      </c>
      <c r="AK199" s="1039">
        <f>SUM(AK200:AK217)</f>
        <v>24790281.41</v>
      </c>
      <c r="AL199" s="1039">
        <f>+AK199/AJ199*100</f>
        <v>110.35097993615916</v>
      </c>
      <c r="AM199" s="1039"/>
      <c r="AN199" s="1039">
        <f>SUM(AN200:AN217)</f>
        <v>12171005.09</v>
      </c>
      <c r="AO199" s="1039">
        <v>12844076.01</v>
      </c>
      <c r="AP199" s="1690">
        <f>+AO199/AN199*100</f>
        <v>105.53011780886537</v>
      </c>
      <c r="AQ199" s="1741"/>
      <c r="AR199" s="1039">
        <f>SUM(AR200:AR217)</f>
        <v>19450810.630000003</v>
      </c>
      <c r="AS199" s="1039">
        <f>+AR199/AN199*100</f>
        <v>159.81268996412854</v>
      </c>
      <c r="AT199" s="1039"/>
      <c r="AU199" s="1039">
        <f>SUM(AU200:AU217)</f>
        <v>27825000</v>
      </c>
      <c r="AV199" s="1092"/>
    </row>
    <row r="200" spans="1:49" s="1041" customFormat="1" ht="22.5" customHeight="1">
      <c r="A200" s="1313"/>
      <c r="B200" s="2927"/>
      <c r="C200" s="1051" t="s">
        <v>370</v>
      </c>
      <c r="D200" s="1052"/>
      <c r="E200" s="1055">
        <v>1661633.37</v>
      </c>
      <c r="F200" s="1055">
        <v>1504741.66</v>
      </c>
      <c r="G200" s="1055">
        <f>1579972.5+2089801.8</f>
        <v>3669774.3</v>
      </c>
      <c r="H200" s="1055">
        <v>0</v>
      </c>
      <c r="I200" s="1055">
        <f>1799019.15+509811.98</f>
        <v>2308831.13</v>
      </c>
      <c r="J200" s="1078">
        <v>0</v>
      </c>
      <c r="K200" s="1054">
        <v>1600000</v>
      </c>
      <c r="L200" s="1055">
        <f>1917395.1+127350</f>
        <v>2044745.1</v>
      </c>
      <c r="M200" s="1233">
        <v>0</v>
      </c>
      <c r="N200" s="1233">
        <v>0</v>
      </c>
      <c r="O200" s="1233">
        <v>0</v>
      </c>
      <c r="P200" s="1233">
        <v>0</v>
      </c>
      <c r="Q200" s="1233">
        <v>0</v>
      </c>
      <c r="R200" s="1233">
        <v>0</v>
      </c>
      <c r="S200" s="1233">
        <v>0</v>
      </c>
      <c r="T200" s="1233">
        <v>0</v>
      </c>
      <c r="U200" s="1058"/>
      <c r="V200" s="1058"/>
      <c r="W200" s="1058"/>
      <c r="X200" s="1058"/>
      <c r="Y200" s="1055">
        <v>500000</v>
      </c>
      <c r="Z200" s="1233">
        <v>0</v>
      </c>
      <c r="AA200" s="1314">
        <v>604777.19999999995</v>
      </c>
      <c r="AB200" s="1315"/>
      <c r="AC200" s="1038" t="e">
        <f t="shared" si="40"/>
        <v>#DIV/0!</v>
      </c>
      <c r="AD200" s="1314">
        <v>1956287.1</v>
      </c>
      <c r="AE200" s="1315"/>
      <c r="AF200" s="1281">
        <v>2500000</v>
      </c>
      <c r="AG200" s="1281"/>
      <c r="AH200" s="1281"/>
      <c r="AI200" s="1281"/>
      <c r="AJ200" s="1316">
        <f>+AF200</f>
        <v>2500000</v>
      </c>
      <c r="AK200" s="1317">
        <v>4658134.88</v>
      </c>
      <c r="AL200" s="1317"/>
      <c r="AM200" s="1317"/>
      <c r="AN200" s="1317">
        <v>3500000</v>
      </c>
      <c r="AO200" s="1317">
        <v>988279.51</v>
      </c>
      <c r="AP200" s="1317"/>
      <c r="AQ200" s="1317"/>
      <c r="AR200" s="1317">
        <v>2498539.66</v>
      </c>
      <c r="AS200" s="1317"/>
      <c r="AT200" s="1317"/>
      <c r="AU200" s="1317">
        <v>4000000</v>
      </c>
      <c r="AV200" s="1097"/>
      <c r="AW200" s="1920"/>
    </row>
    <row r="201" spans="1:49" s="1041" customFormat="1" ht="22.5" hidden="1" customHeight="1">
      <c r="A201" s="1124"/>
      <c r="B201" s="2919"/>
      <c r="C201" s="1063" t="s">
        <v>371</v>
      </c>
      <c r="D201" s="1064"/>
      <c r="E201" s="1065">
        <v>7393203.6299999999</v>
      </c>
      <c r="F201" s="1065">
        <v>4717831.6900000004</v>
      </c>
      <c r="G201" s="1065">
        <v>1793770</v>
      </c>
      <c r="H201" s="1065">
        <v>1149624</v>
      </c>
      <c r="I201" s="1065">
        <v>1898745</v>
      </c>
      <c r="J201" s="1078">
        <v>0</v>
      </c>
      <c r="K201" s="1066">
        <v>127930</v>
      </c>
      <c r="L201" s="1065">
        <v>127930</v>
      </c>
      <c r="M201" s="1078">
        <v>0</v>
      </c>
      <c r="N201" s="1078">
        <v>0</v>
      </c>
      <c r="O201" s="1078">
        <v>0</v>
      </c>
      <c r="P201" s="1078">
        <v>0</v>
      </c>
      <c r="Q201" s="1078">
        <v>0</v>
      </c>
      <c r="R201" s="1078">
        <v>0</v>
      </c>
      <c r="S201" s="1078">
        <v>0</v>
      </c>
      <c r="T201" s="1078">
        <v>0</v>
      </c>
      <c r="U201" s="1069"/>
      <c r="V201" s="1069"/>
      <c r="W201" s="1069"/>
      <c r="X201" s="1069"/>
      <c r="Y201" s="1078">
        <v>0</v>
      </c>
      <c r="Z201" s="1078">
        <v>0</v>
      </c>
      <c r="AA201" s="1078">
        <v>0</v>
      </c>
      <c r="AB201" s="1078">
        <v>0</v>
      </c>
      <c r="AC201" s="1078">
        <v>0</v>
      </c>
      <c r="AD201" s="1078">
        <v>0</v>
      </c>
      <c r="AE201" s="1065"/>
      <c r="AF201" s="1078">
        <v>0</v>
      </c>
      <c r="AG201" s="1065"/>
      <c r="AH201" s="1065"/>
      <c r="AI201" s="1065"/>
      <c r="AJ201" s="1159">
        <f t="shared" ref="AJ201:AJ217" si="41">+AF201</f>
        <v>0</v>
      </c>
      <c r="AK201" s="1159"/>
      <c r="AL201" s="1159"/>
      <c r="AM201" s="1159"/>
      <c r="AN201" s="1159"/>
      <c r="AO201" s="1159"/>
      <c r="AP201" s="1159"/>
      <c r="AQ201" s="1159"/>
      <c r="AR201" s="1318"/>
      <c r="AS201" s="1318"/>
      <c r="AT201" s="1318"/>
      <c r="AU201" s="1318"/>
      <c r="AV201" s="1071"/>
      <c r="AW201" s="1920"/>
    </row>
    <row r="202" spans="1:49" s="1041" customFormat="1" ht="22.5" hidden="1" customHeight="1">
      <c r="A202" s="1124"/>
      <c r="B202" s="2919"/>
      <c r="C202" s="1063" t="s">
        <v>1197</v>
      </c>
      <c r="D202" s="1064"/>
      <c r="E202" s="1065"/>
      <c r="F202" s="1065"/>
      <c r="G202" s="1065"/>
      <c r="H202" s="1065"/>
      <c r="I202" s="1078">
        <v>0</v>
      </c>
      <c r="J202" s="1078">
        <v>0</v>
      </c>
      <c r="K202" s="1078">
        <v>0</v>
      </c>
      <c r="L202" s="1078">
        <v>0</v>
      </c>
      <c r="M202" s="1078">
        <v>0</v>
      </c>
      <c r="N202" s="1065"/>
      <c r="O202" s="1065"/>
      <c r="P202" s="1065"/>
      <c r="Q202" s="1065">
        <v>3000000</v>
      </c>
      <c r="R202" s="1065">
        <v>6600748.3799999999</v>
      </c>
      <c r="S202" s="1065"/>
      <c r="T202" s="1078">
        <v>0</v>
      </c>
      <c r="U202" s="1069"/>
      <c r="V202" s="1069"/>
      <c r="W202" s="1069"/>
      <c r="X202" s="1069"/>
      <c r="Y202" s="1065">
        <v>3000000</v>
      </c>
      <c r="Z202" s="1078">
        <v>0</v>
      </c>
      <c r="AA202" s="1078">
        <v>0</v>
      </c>
      <c r="AB202" s="1078">
        <v>0</v>
      </c>
      <c r="AC202" s="1078">
        <v>0</v>
      </c>
      <c r="AD202" s="1078">
        <v>0</v>
      </c>
      <c r="AE202" s="1146"/>
      <c r="AF202" s="1129">
        <v>1000000</v>
      </c>
      <c r="AG202" s="1129"/>
      <c r="AH202" s="1129"/>
      <c r="AI202" s="1129"/>
      <c r="AJ202" s="1159">
        <f t="shared" si="41"/>
        <v>1000000</v>
      </c>
      <c r="AK202" s="1159">
        <v>1055780.3</v>
      </c>
      <c r="AL202" s="1159"/>
      <c r="AM202" s="1159"/>
      <c r="AN202" s="1159">
        <v>0</v>
      </c>
      <c r="AO202" s="1159"/>
      <c r="AP202" s="1159"/>
      <c r="AQ202" s="1159"/>
      <c r="AR202" s="1318"/>
      <c r="AS202" s="1318"/>
      <c r="AT202" s="1318"/>
      <c r="AU202" s="1318"/>
      <c r="AV202" s="1100"/>
      <c r="AW202" s="1920"/>
    </row>
    <row r="203" spans="1:49" s="1041" customFormat="1" ht="22.5" hidden="1" customHeight="1">
      <c r="A203" s="1124"/>
      <c r="B203" s="2919"/>
      <c r="C203" s="1063" t="s">
        <v>372</v>
      </c>
      <c r="D203" s="1064" t="s">
        <v>285</v>
      </c>
      <c r="E203" s="1065">
        <v>7037182.4500000002</v>
      </c>
      <c r="F203" s="1065">
        <v>6047088.3300000001</v>
      </c>
      <c r="G203" s="1065">
        <v>8164178.0099999998</v>
      </c>
      <c r="H203" s="1065">
        <v>5300000</v>
      </c>
      <c r="I203" s="1065">
        <v>8208166.7699999996</v>
      </c>
      <c r="J203" s="1078">
        <v>0</v>
      </c>
      <c r="K203" s="1066">
        <v>1102457.67</v>
      </c>
      <c r="L203" s="1065">
        <v>1102457.67</v>
      </c>
      <c r="M203" s="1078">
        <v>0</v>
      </c>
      <c r="N203" s="1065"/>
      <c r="O203" s="1065"/>
      <c r="P203" s="1065"/>
      <c r="Q203" s="1065">
        <v>916664.47</v>
      </c>
      <c r="R203" s="1065">
        <v>11900</v>
      </c>
      <c r="S203" s="1065"/>
      <c r="T203" s="1078">
        <v>0</v>
      </c>
      <c r="U203" s="1069"/>
      <c r="V203" s="1069"/>
      <c r="W203" s="1069"/>
      <c r="X203" s="1069"/>
      <c r="Y203" s="1078">
        <v>0</v>
      </c>
      <c r="Z203" s="1078">
        <v>0</v>
      </c>
      <c r="AA203" s="1078">
        <v>0</v>
      </c>
      <c r="AB203" s="1078">
        <v>0</v>
      </c>
      <c r="AC203" s="1078">
        <v>0</v>
      </c>
      <c r="AD203" s="1078">
        <v>0</v>
      </c>
      <c r="AE203" s="1065"/>
      <c r="AF203" s="1078">
        <v>0</v>
      </c>
      <c r="AG203" s="1065"/>
      <c r="AH203" s="1065"/>
      <c r="AI203" s="1065"/>
      <c r="AJ203" s="1159">
        <f t="shared" si="41"/>
        <v>0</v>
      </c>
      <c r="AK203" s="1159"/>
      <c r="AL203" s="1159"/>
      <c r="AM203" s="1159"/>
      <c r="AN203" s="1159"/>
      <c r="AO203" s="1159"/>
      <c r="AP203" s="1159"/>
      <c r="AQ203" s="1159"/>
      <c r="AR203" s="1318"/>
      <c r="AS203" s="1318"/>
      <c r="AT203" s="1318"/>
      <c r="AU203" s="1318"/>
      <c r="AV203" s="1071"/>
      <c r="AW203" s="1920"/>
    </row>
    <row r="204" spans="1:49" s="1041" customFormat="1" ht="22.5" hidden="1" customHeight="1">
      <c r="A204" s="1124"/>
      <c r="B204" s="2919"/>
      <c r="C204" s="1063" t="s">
        <v>373</v>
      </c>
      <c r="D204" s="1064" t="s">
        <v>285</v>
      </c>
      <c r="E204" s="1065">
        <v>100600</v>
      </c>
      <c r="F204" s="1065">
        <v>307200</v>
      </c>
      <c r="G204" s="1065">
        <v>63222.34</v>
      </c>
      <c r="H204" s="1065">
        <v>100000</v>
      </c>
      <c r="I204" s="1065">
        <v>721463.08</v>
      </c>
      <c r="J204" s="1078">
        <v>0</v>
      </c>
      <c r="K204" s="1066">
        <v>0</v>
      </c>
      <c r="L204" s="1078">
        <v>0</v>
      </c>
      <c r="M204" s="1078">
        <v>0</v>
      </c>
      <c r="N204" s="1078">
        <v>0</v>
      </c>
      <c r="O204" s="1078">
        <v>0</v>
      </c>
      <c r="P204" s="1078">
        <v>0</v>
      </c>
      <c r="Q204" s="1078">
        <v>0</v>
      </c>
      <c r="R204" s="1078">
        <v>0</v>
      </c>
      <c r="S204" s="1065"/>
      <c r="T204" s="1078">
        <v>0</v>
      </c>
      <c r="U204" s="1069"/>
      <c r="V204" s="1069"/>
      <c r="W204" s="1069"/>
      <c r="X204" s="1069"/>
      <c r="Y204" s="1078">
        <v>0</v>
      </c>
      <c r="Z204" s="1078">
        <v>0</v>
      </c>
      <c r="AA204" s="1078">
        <v>0</v>
      </c>
      <c r="AB204" s="1078">
        <v>0</v>
      </c>
      <c r="AC204" s="1078">
        <v>0</v>
      </c>
      <c r="AD204" s="1078">
        <v>0</v>
      </c>
      <c r="AE204" s="1065"/>
      <c r="AF204" s="1078">
        <v>0</v>
      </c>
      <c r="AG204" s="1065"/>
      <c r="AH204" s="1065"/>
      <c r="AI204" s="1065"/>
      <c r="AJ204" s="1159">
        <f t="shared" si="41"/>
        <v>0</v>
      </c>
      <c r="AK204" s="1159"/>
      <c r="AL204" s="1159"/>
      <c r="AM204" s="1159"/>
      <c r="AN204" s="1159"/>
      <c r="AO204" s="1159"/>
      <c r="AP204" s="1159"/>
      <c r="AQ204" s="1159"/>
      <c r="AR204" s="1318"/>
      <c r="AS204" s="1318"/>
      <c r="AT204" s="1318"/>
      <c r="AU204" s="1318"/>
      <c r="AV204" s="1071"/>
      <c r="AW204" s="1920"/>
    </row>
    <row r="205" spans="1:49" s="1041" customFormat="1" ht="22.5" customHeight="1">
      <c r="A205" s="1124"/>
      <c r="B205" s="2919"/>
      <c r="C205" s="1063" t="s">
        <v>1245</v>
      </c>
      <c r="D205" s="1064" t="s">
        <v>285</v>
      </c>
      <c r="E205" s="1065">
        <v>673800</v>
      </c>
      <c r="F205" s="1065">
        <v>735142.46</v>
      </c>
      <c r="G205" s="1065">
        <v>680706.43</v>
      </c>
      <c r="H205" s="1065">
        <v>610000</v>
      </c>
      <c r="I205" s="1065">
        <v>2096196.77</v>
      </c>
      <c r="J205" s="1078">
        <v>0</v>
      </c>
      <c r="K205" s="1269">
        <v>716000</v>
      </c>
      <c r="L205" s="1129">
        <f>801991.77+297814.74</f>
        <v>1099806.51</v>
      </c>
      <c r="M205" s="1078">
        <v>0</v>
      </c>
      <c r="N205" s="1129"/>
      <c r="O205" s="1129"/>
      <c r="P205" s="1129"/>
      <c r="Q205" s="1129"/>
      <c r="R205" s="1129">
        <f>936956.52+63100.74</f>
        <v>1000057.26</v>
      </c>
      <c r="S205" s="1129"/>
      <c r="T205" s="1078">
        <v>0</v>
      </c>
      <c r="U205" s="1130"/>
      <c r="V205" s="1130"/>
      <c r="W205" s="1130"/>
      <c r="X205" s="1130"/>
      <c r="Y205" s="1129">
        <v>2852939.98</v>
      </c>
      <c r="Z205" s="1078">
        <v>0</v>
      </c>
      <c r="AA205" s="1168">
        <v>181920</v>
      </c>
      <c r="AB205" s="1146"/>
      <c r="AC205" s="1145">
        <f t="shared" si="40"/>
        <v>185.27766300101655</v>
      </c>
      <c r="AD205" s="1168">
        <v>427440</v>
      </c>
      <c r="AE205" s="1146"/>
      <c r="AF205" s="1129">
        <f>+Y205</f>
        <v>2852939.98</v>
      </c>
      <c r="AG205" s="1129"/>
      <c r="AH205" s="1129"/>
      <c r="AI205" s="1129"/>
      <c r="AJ205" s="1159">
        <f>+AF205+12000</f>
        <v>2864939.98</v>
      </c>
      <c r="AK205" s="1159">
        <v>577920</v>
      </c>
      <c r="AL205" s="1159"/>
      <c r="AM205" s="1159"/>
      <c r="AN205" s="1159">
        <v>5071005.09</v>
      </c>
      <c r="AO205" s="1159">
        <f>4789623.86+262284.56</f>
        <v>5051908.42</v>
      </c>
      <c r="AP205" s="1159"/>
      <c r="AQ205" s="1159"/>
      <c r="AR205" s="1318">
        <f>4913103.86+262284.56+19096.67</f>
        <v>5194485.09</v>
      </c>
      <c r="AS205" s="1318"/>
      <c r="AT205" s="1318"/>
      <c r="AU205" s="1318">
        <v>5500000</v>
      </c>
      <c r="AV205" s="1100"/>
      <c r="AW205" s="1920"/>
    </row>
    <row r="206" spans="1:49" s="1041" customFormat="1" ht="22.5" customHeight="1">
      <c r="A206" s="1124"/>
      <c r="B206" s="2919"/>
      <c r="C206" s="1063" t="s">
        <v>374</v>
      </c>
      <c r="D206" s="1064" t="s">
        <v>285</v>
      </c>
      <c r="E206" s="1065">
        <v>3930000</v>
      </c>
      <c r="F206" s="1065">
        <v>7160000</v>
      </c>
      <c r="G206" s="1065">
        <v>150000</v>
      </c>
      <c r="H206" s="1065">
        <v>1300000</v>
      </c>
      <c r="I206" s="1078">
        <v>0</v>
      </c>
      <c r="J206" s="1078">
        <v>0</v>
      </c>
      <c r="K206" s="1066">
        <v>5000000</v>
      </c>
      <c r="L206" s="1065">
        <v>1500000</v>
      </c>
      <c r="M206" s="1078">
        <v>0</v>
      </c>
      <c r="N206" s="1065"/>
      <c r="O206" s="1065"/>
      <c r="P206" s="1065"/>
      <c r="Q206" s="1065">
        <v>7790000</v>
      </c>
      <c r="R206" s="1065">
        <v>9950000</v>
      </c>
      <c r="S206" s="1065"/>
      <c r="T206" s="1078">
        <v>0</v>
      </c>
      <c r="U206" s="1069"/>
      <c r="V206" s="1069"/>
      <c r="W206" s="1069"/>
      <c r="X206" s="1069"/>
      <c r="Y206" s="1065">
        <v>10000000</v>
      </c>
      <c r="Z206" s="1078">
        <v>0</v>
      </c>
      <c r="AA206" s="1168">
        <v>1150000</v>
      </c>
      <c r="AB206" s="1146"/>
      <c r="AC206" s="1145">
        <f t="shared" si="40"/>
        <v>0.50251256281407031</v>
      </c>
      <c r="AD206" s="1168">
        <v>5310000</v>
      </c>
      <c r="AE206" s="1146"/>
      <c r="AF206" s="1129">
        <f>+Y206</f>
        <v>10000000</v>
      </c>
      <c r="AG206" s="1129"/>
      <c r="AH206" s="1129"/>
      <c r="AI206" s="1129"/>
      <c r="AJ206" s="1159">
        <f t="shared" si="41"/>
        <v>10000000</v>
      </c>
      <c r="AK206" s="1159">
        <v>7360000</v>
      </c>
      <c r="AL206" s="1159"/>
      <c r="AM206" s="1159"/>
      <c r="AN206" s="1159">
        <f>3000000+600000</f>
        <v>3600000</v>
      </c>
      <c r="AO206" s="1159">
        <v>790000</v>
      </c>
      <c r="AP206" s="1159"/>
      <c r="AQ206" s="1159"/>
      <c r="AR206" s="1318">
        <v>5720000</v>
      </c>
      <c r="AS206" s="1318"/>
      <c r="AT206" s="1318"/>
      <c r="AU206" s="1911">
        <v>8000000</v>
      </c>
      <c r="AV206" s="1707" t="s">
        <v>1717</v>
      </c>
      <c r="AW206" s="1920"/>
    </row>
    <row r="207" spans="1:49" s="1041" customFormat="1" ht="22.5" customHeight="1">
      <c r="A207" s="1124"/>
      <c r="B207" s="2919"/>
      <c r="C207" s="1063" t="s">
        <v>375</v>
      </c>
      <c r="D207" s="1064"/>
      <c r="E207" s="1065">
        <v>823062.98</v>
      </c>
      <c r="F207" s="1065">
        <v>840660.4</v>
      </c>
      <c r="G207" s="1065">
        <v>487947</v>
      </c>
      <c r="H207" s="1065">
        <v>882730</v>
      </c>
      <c r="I207" s="1065">
        <v>975626.9</v>
      </c>
      <c r="J207" s="1078">
        <v>0</v>
      </c>
      <c r="K207" s="1066">
        <v>200000</v>
      </c>
      <c r="L207" s="1065">
        <v>369255.6</v>
      </c>
      <c r="M207" s="1078">
        <v>0</v>
      </c>
      <c r="N207" s="1065"/>
      <c r="O207" s="1065"/>
      <c r="P207" s="1065"/>
      <c r="Q207" s="1065">
        <v>100000</v>
      </c>
      <c r="R207" s="1065">
        <v>392588.3</v>
      </c>
      <c r="S207" s="1065"/>
      <c r="T207" s="1078">
        <v>0</v>
      </c>
      <c r="U207" s="1069"/>
      <c r="V207" s="1069"/>
      <c r="W207" s="1069"/>
      <c r="X207" s="1069"/>
      <c r="Y207" s="1065">
        <v>400000</v>
      </c>
      <c r="Z207" s="1078">
        <v>0</v>
      </c>
      <c r="AA207" s="1078">
        <v>0</v>
      </c>
      <c r="AB207" s="1078">
        <v>0</v>
      </c>
      <c r="AC207" s="1078">
        <v>0</v>
      </c>
      <c r="AD207" s="1078">
        <v>0</v>
      </c>
      <c r="AE207" s="1146"/>
      <c r="AF207" s="1129">
        <v>350000</v>
      </c>
      <c r="AG207" s="1129"/>
      <c r="AH207" s="1129"/>
      <c r="AI207" s="1129"/>
      <c r="AJ207" s="1159">
        <f t="shared" si="41"/>
        <v>350000</v>
      </c>
      <c r="AK207" s="1159">
        <v>6999</v>
      </c>
      <c r="AL207" s="1159"/>
      <c r="AM207" s="1159"/>
      <c r="AN207" s="1159">
        <v>0</v>
      </c>
      <c r="AO207" s="1159">
        <v>13888.08</v>
      </c>
      <c r="AP207" s="1159"/>
      <c r="AQ207" s="1159"/>
      <c r="AR207" s="1318">
        <v>17785.88</v>
      </c>
      <c r="AS207" s="1318"/>
      <c r="AT207" s="1318"/>
      <c r="AU207" s="1318">
        <v>30000</v>
      </c>
      <c r="AV207" s="1100"/>
      <c r="AW207" s="1920"/>
    </row>
    <row r="208" spans="1:49" s="1041" customFormat="1" ht="22.5" hidden="1" customHeight="1">
      <c r="A208" s="1124"/>
      <c r="B208" s="2919"/>
      <c r="C208" s="1063" t="s">
        <v>376</v>
      </c>
      <c r="D208" s="1064"/>
      <c r="E208" s="1065">
        <v>573417.62</v>
      </c>
      <c r="F208" s="1065">
        <v>0</v>
      </c>
      <c r="G208" s="1065">
        <v>1065262.6299999999</v>
      </c>
      <c r="H208" s="1065">
        <v>1621866.5</v>
      </c>
      <c r="I208" s="1065">
        <v>811617.36</v>
      </c>
      <c r="J208" s="1078">
        <v>0</v>
      </c>
      <c r="K208" s="1066">
        <v>0</v>
      </c>
      <c r="L208" s="1078">
        <v>0</v>
      </c>
      <c r="M208" s="1078">
        <v>0</v>
      </c>
      <c r="N208" s="1078">
        <v>0</v>
      </c>
      <c r="O208" s="1078">
        <v>0</v>
      </c>
      <c r="P208" s="1078">
        <v>0</v>
      </c>
      <c r="Q208" s="1078">
        <v>0</v>
      </c>
      <c r="R208" s="1078">
        <v>0</v>
      </c>
      <c r="S208" s="1065"/>
      <c r="T208" s="1078">
        <v>0</v>
      </c>
      <c r="U208" s="1069"/>
      <c r="V208" s="1069"/>
      <c r="W208" s="1069"/>
      <c r="X208" s="1069"/>
      <c r="Y208" s="1078">
        <v>0</v>
      </c>
      <c r="Z208" s="1078">
        <v>0</v>
      </c>
      <c r="AA208" s="1078">
        <v>0</v>
      </c>
      <c r="AB208" s="1078">
        <v>0</v>
      </c>
      <c r="AC208" s="1078">
        <v>0</v>
      </c>
      <c r="AD208" s="1078">
        <v>0</v>
      </c>
      <c r="AE208" s="1065"/>
      <c r="AF208" s="1078">
        <v>0</v>
      </c>
      <c r="AG208" s="1065"/>
      <c r="AH208" s="1065"/>
      <c r="AI208" s="1065"/>
      <c r="AJ208" s="1159">
        <f t="shared" si="41"/>
        <v>0</v>
      </c>
      <c r="AK208" s="1318"/>
      <c r="AL208" s="1318"/>
      <c r="AM208" s="1318"/>
      <c r="AN208" s="1318"/>
      <c r="AO208" s="1318"/>
      <c r="AP208" s="1318"/>
      <c r="AQ208" s="1318"/>
      <c r="AR208" s="1318"/>
      <c r="AS208" s="1318"/>
      <c r="AT208" s="1318"/>
      <c r="AU208" s="1318"/>
      <c r="AV208" s="1071"/>
      <c r="AW208" s="1920"/>
    </row>
    <row r="209" spans="1:49" s="1041" customFormat="1" ht="22.5" hidden="1" customHeight="1">
      <c r="A209" s="1124"/>
      <c r="B209" s="2919"/>
      <c r="C209" s="1074" t="s">
        <v>1487</v>
      </c>
      <c r="D209" s="1064" t="s">
        <v>285</v>
      </c>
      <c r="E209" s="1065">
        <v>0</v>
      </c>
      <c r="F209" s="1065">
        <v>134240</v>
      </c>
      <c r="G209" s="1065">
        <v>290680</v>
      </c>
      <c r="H209" s="1065">
        <v>28740</v>
      </c>
      <c r="I209" s="1065">
        <v>1028358.2</v>
      </c>
      <c r="J209" s="1078">
        <v>0</v>
      </c>
      <c r="K209" s="1066">
        <v>0</v>
      </c>
      <c r="L209" s="1078">
        <v>0</v>
      </c>
      <c r="M209" s="1078">
        <v>0</v>
      </c>
      <c r="N209" s="1078">
        <v>0</v>
      </c>
      <c r="O209" s="1078">
        <v>0</v>
      </c>
      <c r="P209" s="1078">
        <v>0</v>
      </c>
      <c r="Q209" s="1078">
        <v>0</v>
      </c>
      <c r="R209" s="1078">
        <v>0</v>
      </c>
      <c r="S209" s="1065"/>
      <c r="T209" s="1078">
        <v>0</v>
      </c>
      <c r="U209" s="1069"/>
      <c r="V209" s="1069"/>
      <c r="W209" s="1069"/>
      <c r="X209" s="1069"/>
      <c r="Y209" s="1078">
        <v>0</v>
      </c>
      <c r="Z209" s="1078">
        <v>0</v>
      </c>
      <c r="AA209" s="1078">
        <v>0</v>
      </c>
      <c r="AB209" s="1078">
        <v>0</v>
      </c>
      <c r="AC209" s="1078">
        <v>0</v>
      </c>
      <c r="AD209" s="1078">
        <v>0</v>
      </c>
      <c r="AE209" s="1065"/>
      <c r="AF209" s="1078">
        <v>0</v>
      </c>
      <c r="AG209" s="1065"/>
      <c r="AH209" s="1065"/>
      <c r="AI209" s="1065"/>
      <c r="AJ209" s="1159">
        <f t="shared" si="41"/>
        <v>0</v>
      </c>
      <c r="AK209" s="1318"/>
      <c r="AL209" s="1318"/>
      <c r="AM209" s="1318"/>
      <c r="AN209" s="1318"/>
      <c r="AO209" s="1318"/>
      <c r="AP209" s="1318"/>
      <c r="AQ209" s="1318"/>
      <c r="AR209" s="1318"/>
      <c r="AS209" s="1318"/>
      <c r="AT209" s="1318"/>
      <c r="AU209" s="1318"/>
      <c r="AV209" s="1071"/>
      <c r="AW209" s="1920"/>
    </row>
    <row r="210" spans="1:49" s="1041" customFormat="1" ht="22.5" customHeight="1">
      <c r="A210" s="1124"/>
      <c r="B210" s="2919"/>
      <c r="C210" s="1063" t="s">
        <v>1488</v>
      </c>
      <c r="D210" s="1064"/>
      <c r="E210" s="1065">
        <v>8000000</v>
      </c>
      <c r="F210" s="1065">
        <v>10000</v>
      </c>
      <c r="G210" s="1065">
        <v>2129000</v>
      </c>
      <c r="H210" s="1065">
        <v>64500</v>
      </c>
      <c r="I210" s="1065">
        <v>64500</v>
      </c>
      <c r="J210" s="1078">
        <v>0</v>
      </c>
      <c r="K210" s="1066">
        <v>4230700</v>
      </c>
      <c r="L210" s="1065">
        <v>4230700</v>
      </c>
      <c r="M210" s="1078">
        <v>0</v>
      </c>
      <c r="N210" s="1065"/>
      <c r="O210" s="1065"/>
      <c r="P210" s="1065"/>
      <c r="Q210" s="1065">
        <v>2087000</v>
      </c>
      <c r="R210" s="1065">
        <f>87000+10000000</f>
        <v>10087000</v>
      </c>
      <c r="S210" s="1065"/>
      <c r="T210" s="1078">
        <v>0</v>
      </c>
      <c r="U210" s="1069"/>
      <c r="V210" s="1069"/>
      <c r="W210" s="1069"/>
      <c r="X210" s="1069"/>
      <c r="Y210" s="1065">
        <v>2000000</v>
      </c>
      <c r="Z210" s="1078">
        <v>0</v>
      </c>
      <c r="AA210" s="1146"/>
      <c r="AB210" s="1146"/>
      <c r="AC210" s="1038">
        <f t="shared" si="40"/>
        <v>-80.172499256468726</v>
      </c>
      <c r="AD210" s="1168">
        <v>31200</v>
      </c>
      <c r="AE210" s="1146"/>
      <c r="AF210" s="1129">
        <f>+Y210</f>
        <v>2000000</v>
      </c>
      <c r="AG210" s="1129"/>
      <c r="AH210" s="1129"/>
      <c r="AI210" s="1129"/>
      <c r="AJ210" s="1159">
        <f t="shared" si="41"/>
        <v>2000000</v>
      </c>
      <c r="AK210" s="1318">
        <f>2874000+4221400+4000000</f>
        <v>11095400</v>
      </c>
      <c r="AL210" s="1318"/>
      <c r="AM210" s="1318"/>
      <c r="AN210" s="1318">
        <v>0</v>
      </c>
      <c r="AO210" s="1318">
        <f>600000+2800000+2600000</f>
        <v>6000000</v>
      </c>
      <c r="AP210" s="1318"/>
      <c r="AQ210" s="1318"/>
      <c r="AR210" s="1318">
        <f>600000+2800000+2600000</f>
        <v>6000000</v>
      </c>
      <c r="AS210" s="1318"/>
      <c r="AT210" s="1318"/>
      <c r="AU210" s="1318">
        <f>6000000+545000</f>
        <v>6545000</v>
      </c>
      <c r="AV210" s="1100"/>
      <c r="AW210" s="1920"/>
    </row>
    <row r="211" spans="1:49" s="1041" customFormat="1" ht="20.25" hidden="1" customHeight="1">
      <c r="A211" s="1124"/>
      <c r="B211" s="2919"/>
      <c r="C211" s="1063" t="s">
        <v>377</v>
      </c>
      <c r="D211" s="1064"/>
      <c r="E211" s="1065">
        <v>0</v>
      </c>
      <c r="F211" s="1065">
        <v>0</v>
      </c>
      <c r="G211" s="1065"/>
      <c r="H211" s="1065">
        <v>509811.98</v>
      </c>
      <c r="I211" s="1078">
        <v>0</v>
      </c>
      <c r="J211" s="1078">
        <v>0</v>
      </c>
      <c r="K211" s="1066">
        <v>500000</v>
      </c>
      <c r="L211" s="1078">
        <v>0</v>
      </c>
      <c r="M211" s="1078">
        <v>0</v>
      </c>
      <c r="N211" s="1078">
        <v>0</v>
      </c>
      <c r="O211" s="1078">
        <v>0</v>
      </c>
      <c r="P211" s="1078">
        <v>0</v>
      </c>
      <c r="Q211" s="1078">
        <v>0</v>
      </c>
      <c r="R211" s="1078">
        <v>0</v>
      </c>
      <c r="S211" s="1065"/>
      <c r="T211" s="1078">
        <v>0</v>
      </c>
      <c r="U211" s="1078">
        <v>0</v>
      </c>
      <c r="V211" s="1078">
        <v>0</v>
      </c>
      <c r="W211" s="1078">
        <v>0</v>
      </c>
      <c r="X211" s="1078">
        <v>0</v>
      </c>
      <c r="Y211" s="1078">
        <v>0</v>
      </c>
      <c r="Z211" s="1078">
        <v>0</v>
      </c>
      <c r="AA211" s="1078">
        <v>0</v>
      </c>
      <c r="AB211" s="1078">
        <v>0</v>
      </c>
      <c r="AC211" s="1078">
        <v>0</v>
      </c>
      <c r="AD211" s="1078">
        <v>0</v>
      </c>
      <c r="AE211" s="1065"/>
      <c r="AF211" s="1078">
        <v>0</v>
      </c>
      <c r="AG211" s="1065"/>
      <c r="AH211" s="1065"/>
      <c r="AI211" s="1065"/>
      <c r="AJ211" s="1159">
        <f t="shared" si="41"/>
        <v>0</v>
      </c>
      <c r="AK211" s="1318"/>
      <c r="AL211" s="1318"/>
      <c r="AM211" s="1318"/>
      <c r="AN211" s="1318"/>
      <c r="AO211" s="1318"/>
      <c r="AP211" s="1318"/>
      <c r="AQ211" s="1318"/>
      <c r="AR211" s="1318"/>
      <c r="AS211" s="1318"/>
      <c r="AT211" s="1318"/>
      <c r="AU211" s="1318"/>
      <c r="AV211" s="1071"/>
      <c r="AW211" s="1920"/>
    </row>
    <row r="212" spans="1:49" s="1041" customFormat="1" ht="20.25" hidden="1" customHeight="1">
      <c r="A212" s="1124"/>
      <c r="B212" s="2919"/>
      <c r="C212" s="1063" t="s">
        <v>378</v>
      </c>
      <c r="D212" s="1064"/>
      <c r="E212" s="1065">
        <v>0</v>
      </c>
      <c r="F212" s="1065">
        <v>0</v>
      </c>
      <c r="G212" s="1065">
        <v>0</v>
      </c>
      <c r="H212" s="1065">
        <v>0</v>
      </c>
      <c r="I212" s="1078">
        <v>0</v>
      </c>
      <c r="J212" s="1078">
        <v>0</v>
      </c>
      <c r="K212" s="1066">
        <v>0</v>
      </c>
      <c r="L212" s="1065">
        <v>22000</v>
      </c>
      <c r="M212" s="1078">
        <v>0</v>
      </c>
      <c r="N212" s="1078">
        <v>0</v>
      </c>
      <c r="O212" s="1078">
        <v>0</v>
      </c>
      <c r="P212" s="1078">
        <v>0</v>
      </c>
      <c r="Q212" s="1078">
        <v>0</v>
      </c>
      <c r="R212" s="1078">
        <v>0</v>
      </c>
      <c r="S212" s="1065"/>
      <c r="T212" s="1078">
        <v>0</v>
      </c>
      <c r="U212" s="1069"/>
      <c r="V212" s="1069"/>
      <c r="W212" s="1069"/>
      <c r="X212" s="1069"/>
      <c r="Y212" s="1078">
        <v>0</v>
      </c>
      <c r="Z212" s="1078">
        <v>0</v>
      </c>
      <c r="AA212" s="1078">
        <v>0</v>
      </c>
      <c r="AB212" s="1078">
        <v>0</v>
      </c>
      <c r="AC212" s="1078">
        <v>0</v>
      </c>
      <c r="AD212" s="1078">
        <v>0</v>
      </c>
      <c r="AE212" s="1065"/>
      <c r="AF212" s="1078">
        <v>0</v>
      </c>
      <c r="AG212" s="1065"/>
      <c r="AH212" s="1065"/>
      <c r="AI212" s="1065"/>
      <c r="AJ212" s="1159">
        <f t="shared" si="41"/>
        <v>0</v>
      </c>
      <c r="AK212" s="1159"/>
      <c r="AL212" s="1159"/>
      <c r="AM212" s="1159"/>
      <c r="AN212" s="1159"/>
      <c r="AO212" s="1159"/>
      <c r="AP212" s="1159"/>
      <c r="AQ212" s="1159"/>
      <c r="AR212" s="1318"/>
      <c r="AS212" s="1318"/>
      <c r="AT212" s="1318"/>
      <c r="AU212" s="1318"/>
      <c r="AV212" s="1071"/>
      <c r="AW212" s="1920"/>
    </row>
    <row r="213" spans="1:49" s="1041" customFormat="1" ht="20.25" hidden="1" customHeight="1">
      <c r="A213" s="1093"/>
      <c r="B213" s="2915"/>
      <c r="C213" s="1198" t="s">
        <v>379</v>
      </c>
      <c r="D213" s="1135"/>
      <c r="E213" s="1053">
        <v>0</v>
      </c>
      <c r="F213" s="1053">
        <v>0</v>
      </c>
      <c r="G213" s="1053">
        <v>0</v>
      </c>
      <c r="H213" s="1053">
        <v>2000000</v>
      </c>
      <c r="I213" s="1136">
        <v>0</v>
      </c>
      <c r="J213" s="1136">
        <v>0</v>
      </c>
      <c r="K213" s="1416">
        <v>500000</v>
      </c>
      <c r="L213" s="1417">
        <v>0</v>
      </c>
      <c r="M213" s="1418">
        <v>0</v>
      </c>
      <c r="N213" s="1418">
        <v>0</v>
      </c>
      <c r="O213" s="1418">
        <v>0</v>
      </c>
      <c r="P213" s="1418">
        <v>0</v>
      </c>
      <c r="Q213" s="1418">
        <v>0</v>
      </c>
      <c r="R213" s="1418">
        <v>0</v>
      </c>
      <c r="S213" s="1419"/>
      <c r="T213" s="1136">
        <v>0</v>
      </c>
      <c r="U213" s="1136">
        <v>0</v>
      </c>
      <c r="V213" s="1136">
        <v>0</v>
      </c>
      <c r="W213" s="1136">
        <v>0</v>
      </c>
      <c r="X213" s="1136">
        <v>0</v>
      </c>
      <c r="Y213" s="1136">
        <v>0</v>
      </c>
      <c r="Z213" s="1136">
        <v>0</v>
      </c>
      <c r="AA213" s="1136">
        <v>0</v>
      </c>
      <c r="AB213" s="1136">
        <v>0</v>
      </c>
      <c r="AC213" s="1136">
        <v>0</v>
      </c>
      <c r="AD213" s="1136">
        <v>0</v>
      </c>
      <c r="AE213" s="1419"/>
      <c r="AF213" s="1418">
        <v>0</v>
      </c>
      <c r="AG213" s="1419"/>
      <c r="AH213" s="1419"/>
      <c r="AI213" s="1419"/>
      <c r="AJ213" s="1311">
        <f t="shared" si="41"/>
        <v>0</v>
      </c>
      <c r="AK213" s="1406"/>
      <c r="AL213" s="1406"/>
      <c r="AM213" s="1406"/>
      <c r="AN213" s="1406"/>
      <c r="AO213" s="1406"/>
      <c r="AP213" s="1406"/>
      <c r="AQ213" s="1406"/>
      <c r="AR213" s="1406"/>
      <c r="AS213" s="1406"/>
      <c r="AT213" s="1406"/>
      <c r="AU213" s="1406"/>
      <c r="AV213" s="1420"/>
      <c r="AW213" s="1920"/>
    </row>
    <row r="214" spans="1:49" s="1041" customFormat="1" ht="20.25" hidden="1" customHeight="1">
      <c r="A214" s="1124"/>
      <c r="B214" s="2919"/>
      <c r="C214" s="1063" t="s">
        <v>380</v>
      </c>
      <c r="D214" s="1064"/>
      <c r="E214" s="1065">
        <v>0</v>
      </c>
      <c r="F214" s="1065">
        <v>0</v>
      </c>
      <c r="G214" s="1065">
        <v>0</v>
      </c>
      <c r="H214" s="1065">
        <v>0</v>
      </c>
      <c r="I214" s="1078">
        <v>0</v>
      </c>
      <c r="J214" s="1078">
        <v>0</v>
      </c>
      <c r="K214" s="1319">
        <v>0</v>
      </c>
      <c r="L214" s="1320">
        <v>0</v>
      </c>
      <c r="M214" s="1321">
        <v>0</v>
      </c>
      <c r="N214" s="1321">
        <v>0</v>
      </c>
      <c r="O214" s="1321">
        <v>0</v>
      </c>
      <c r="P214" s="1321">
        <v>0</v>
      </c>
      <c r="Q214" s="1321">
        <v>0</v>
      </c>
      <c r="R214" s="1321">
        <v>0</v>
      </c>
      <c r="S214" s="1322"/>
      <c r="T214" s="1078">
        <v>0</v>
      </c>
      <c r="U214" s="1324"/>
      <c r="V214" s="1324"/>
      <c r="W214" s="1324"/>
      <c r="X214" s="1324"/>
      <c r="Y214" s="1078">
        <v>0</v>
      </c>
      <c r="Z214" s="1078">
        <v>0</v>
      </c>
      <c r="AA214" s="1078">
        <v>0</v>
      </c>
      <c r="AB214" s="1078">
        <v>0</v>
      </c>
      <c r="AC214" s="1078">
        <v>0</v>
      </c>
      <c r="AD214" s="1078">
        <v>0</v>
      </c>
      <c r="AE214" s="1322"/>
      <c r="AF214" s="1321">
        <v>0</v>
      </c>
      <c r="AG214" s="1322"/>
      <c r="AH214" s="1322"/>
      <c r="AI214" s="1322"/>
      <c r="AJ214" s="1159">
        <f t="shared" si="41"/>
        <v>0</v>
      </c>
      <c r="AK214" s="1159"/>
      <c r="AL214" s="1159"/>
      <c r="AM214" s="1159"/>
      <c r="AN214" s="1159"/>
      <c r="AO214" s="1159"/>
      <c r="AP214" s="1159"/>
      <c r="AQ214" s="1159"/>
      <c r="AR214" s="1318"/>
      <c r="AS214" s="1318"/>
      <c r="AT214" s="1318"/>
      <c r="AU214" s="1318"/>
      <c r="AV214" s="1323"/>
      <c r="AW214" s="1920"/>
    </row>
    <row r="215" spans="1:49" s="1041" customFormat="1" ht="22.5" customHeight="1">
      <c r="A215" s="1124"/>
      <c r="B215" s="2919"/>
      <c r="C215" s="1063" t="s">
        <v>688</v>
      </c>
      <c r="D215" s="1064"/>
      <c r="E215" s="1065">
        <v>0</v>
      </c>
      <c r="F215" s="1065">
        <v>0</v>
      </c>
      <c r="G215" s="1065">
        <v>0</v>
      </c>
      <c r="H215" s="1065"/>
      <c r="I215" s="1078">
        <v>0</v>
      </c>
      <c r="J215" s="1078">
        <v>0</v>
      </c>
      <c r="K215" s="1319">
        <v>1520</v>
      </c>
      <c r="L215" s="1322">
        <v>1520</v>
      </c>
      <c r="M215" s="1321">
        <v>0</v>
      </c>
      <c r="N215" s="1321">
        <v>0</v>
      </c>
      <c r="O215" s="1321">
        <v>0</v>
      </c>
      <c r="P215" s="1321">
        <v>0</v>
      </c>
      <c r="Q215" s="1321">
        <v>0</v>
      </c>
      <c r="R215" s="1321">
        <v>0</v>
      </c>
      <c r="S215" s="1322"/>
      <c r="T215" s="1078">
        <v>0</v>
      </c>
      <c r="U215" s="1324"/>
      <c r="V215" s="1324"/>
      <c r="W215" s="1324"/>
      <c r="X215" s="1324"/>
      <c r="Y215" s="1078">
        <v>0</v>
      </c>
      <c r="Z215" s="1078">
        <v>0</v>
      </c>
      <c r="AA215" s="1322">
        <v>36047.230000000003</v>
      </c>
      <c r="AB215" s="1322"/>
      <c r="AC215" s="1145" t="e">
        <f t="shared" si="40"/>
        <v>#DIV/0!</v>
      </c>
      <c r="AD215" s="1322">
        <v>36047.230000000003</v>
      </c>
      <c r="AE215" s="1322"/>
      <c r="AF215" s="1322">
        <v>50000</v>
      </c>
      <c r="AG215" s="1322"/>
      <c r="AH215" s="1322"/>
      <c r="AI215" s="1322">
        <v>1819</v>
      </c>
      <c r="AJ215" s="1159">
        <f t="shared" si="41"/>
        <v>50000</v>
      </c>
      <c r="AK215" s="1159">
        <v>36047.230000000003</v>
      </c>
      <c r="AL215" s="1159"/>
      <c r="AM215" s="1159"/>
      <c r="AN215" s="1159"/>
      <c r="AO215" s="1159"/>
      <c r="AP215" s="1159"/>
      <c r="AQ215" s="1159"/>
      <c r="AR215" s="1318">
        <v>20000</v>
      </c>
      <c r="AS215" s="1318"/>
      <c r="AT215" s="1318"/>
      <c r="AU215" s="1318">
        <v>50000</v>
      </c>
      <c r="AV215" s="1323"/>
      <c r="AW215" s="1920"/>
    </row>
    <row r="216" spans="1:49" s="1041" customFormat="1" ht="22.5" hidden="1" customHeight="1">
      <c r="A216" s="1124"/>
      <c r="B216" s="2919"/>
      <c r="C216" s="1063" t="s">
        <v>381</v>
      </c>
      <c r="D216" s="1064"/>
      <c r="E216" s="1065"/>
      <c r="F216" s="1065"/>
      <c r="G216" s="1065"/>
      <c r="H216" s="1065"/>
      <c r="I216" s="1078">
        <v>0</v>
      </c>
      <c r="J216" s="1078">
        <v>0</v>
      </c>
      <c r="K216" s="1319"/>
      <c r="L216" s="1322">
        <v>1780000</v>
      </c>
      <c r="M216" s="1321">
        <v>0</v>
      </c>
      <c r="N216" s="1321">
        <v>0</v>
      </c>
      <c r="O216" s="1321">
        <v>0</v>
      </c>
      <c r="P216" s="1321">
        <v>0</v>
      </c>
      <c r="Q216" s="1321">
        <v>0</v>
      </c>
      <c r="R216" s="1321">
        <v>0</v>
      </c>
      <c r="S216" s="1322"/>
      <c r="T216" s="1078">
        <v>0</v>
      </c>
      <c r="U216" s="1324"/>
      <c r="V216" s="1324"/>
      <c r="W216" s="1324"/>
      <c r="X216" s="1324"/>
      <c r="Y216" s="1078">
        <v>0</v>
      </c>
      <c r="Z216" s="1078">
        <v>0</v>
      </c>
      <c r="AA216" s="1078">
        <v>0</v>
      </c>
      <c r="AB216" s="1078">
        <v>0</v>
      </c>
      <c r="AC216" s="1078">
        <v>0</v>
      </c>
      <c r="AD216" s="1078">
        <v>0</v>
      </c>
      <c r="AE216" s="1322"/>
      <c r="AF216" s="1321">
        <v>0</v>
      </c>
      <c r="AG216" s="1322"/>
      <c r="AH216" s="1322"/>
      <c r="AI216" s="1322"/>
      <c r="AJ216" s="1159">
        <f t="shared" si="41"/>
        <v>0</v>
      </c>
      <c r="AK216" s="1318"/>
      <c r="AL216" s="1318"/>
      <c r="AM216" s="1318"/>
      <c r="AN216" s="1318"/>
      <c r="AO216" s="1318"/>
      <c r="AP216" s="1318"/>
      <c r="AQ216" s="1318"/>
      <c r="AR216" s="1318"/>
      <c r="AS216" s="1318"/>
      <c r="AT216" s="1318"/>
      <c r="AU216" s="1318"/>
      <c r="AV216" s="1323"/>
    </row>
    <row r="217" spans="1:49" s="1120" customFormat="1" ht="22.5" customHeight="1">
      <c r="A217" s="1325"/>
      <c r="B217" s="2928"/>
      <c r="C217" s="1326" t="s">
        <v>522</v>
      </c>
      <c r="D217" s="1327"/>
      <c r="E217" s="1226"/>
      <c r="F217" s="1226"/>
      <c r="G217" s="1226"/>
      <c r="H217" s="1226"/>
      <c r="I217" s="1132">
        <v>0</v>
      </c>
      <c r="J217" s="1132">
        <v>0</v>
      </c>
      <c r="K217" s="1328"/>
      <c r="L217" s="1329"/>
      <c r="M217" s="1330">
        <v>0</v>
      </c>
      <c r="N217" s="1330">
        <v>0</v>
      </c>
      <c r="O217" s="1330">
        <v>0</v>
      </c>
      <c r="P217" s="1330">
        <v>0</v>
      </c>
      <c r="Q217" s="1330">
        <v>0</v>
      </c>
      <c r="R217" s="1330">
        <v>0</v>
      </c>
      <c r="S217" s="1329"/>
      <c r="T217" s="1132">
        <v>0</v>
      </c>
      <c r="U217" s="1331"/>
      <c r="V217" s="1331"/>
      <c r="W217" s="1331"/>
      <c r="X217" s="1331"/>
      <c r="Y217" s="1329">
        <v>3700000</v>
      </c>
      <c r="Z217" s="1132">
        <v>0</v>
      </c>
      <c r="AA217" s="1132">
        <v>0</v>
      </c>
      <c r="AB217" s="1132">
        <v>0</v>
      </c>
      <c r="AC217" s="1132">
        <v>0</v>
      </c>
      <c r="AD217" s="1132">
        <v>0</v>
      </c>
      <c r="AE217" s="1329"/>
      <c r="AF217" s="1329">
        <f>+Y217</f>
        <v>3700000</v>
      </c>
      <c r="AG217" s="1329"/>
      <c r="AH217" s="1329"/>
      <c r="AI217" s="1329"/>
      <c r="AJ217" s="1312">
        <f t="shared" si="41"/>
        <v>3700000</v>
      </c>
      <c r="AK217" s="1332"/>
      <c r="AL217" s="1332"/>
      <c r="AM217" s="1332"/>
      <c r="AN217" s="1332">
        <v>0</v>
      </c>
      <c r="AO217" s="1332"/>
      <c r="AP217" s="1332"/>
      <c r="AQ217" s="1332"/>
      <c r="AR217" s="1332"/>
      <c r="AS217" s="1332"/>
      <c r="AT217" s="1332"/>
      <c r="AU217" s="1332">
        <v>3700000</v>
      </c>
      <c r="AV217" s="1333"/>
    </row>
    <row r="218" spans="1:49" s="1041" customFormat="1" ht="22.5" customHeight="1">
      <c r="A218" s="1034" t="s">
        <v>382</v>
      </c>
      <c r="B218" s="2910"/>
      <c r="C218" s="1042" t="s">
        <v>615</v>
      </c>
      <c r="D218" s="1043"/>
      <c r="E218" s="1035">
        <v>0</v>
      </c>
      <c r="F218" s="1035">
        <v>0</v>
      </c>
      <c r="G218" s="1035">
        <v>0</v>
      </c>
      <c r="H218" s="1035">
        <v>19125843.02</v>
      </c>
      <c r="I218" s="1035">
        <v>19125843.02</v>
      </c>
      <c r="J218" s="1228">
        <v>0</v>
      </c>
      <c r="K218" s="1334">
        <v>0</v>
      </c>
      <c r="L218" s="1228">
        <v>4357500</v>
      </c>
      <c r="M218" s="1228">
        <v>0</v>
      </c>
      <c r="N218" s="1228"/>
      <c r="O218" s="1228"/>
      <c r="P218" s="1228"/>
      <c r="Q218" s="1228">
        <f>SUM(Q219:Q219)</f>
        <v>0</v>
      </c>
      <c r="R218" s="1228">
        <v>0</v>
      </c>
      <c r="S218" s="1035"/>
      <c r="T218" s="1335">
        <v>0</v>
      </c>
      <c r="U218" s="1046"/>
      <c r="V218" s="1046"/>
      <c r="W218" s="1047"/>
      <c r="X218" s="1047"/>
      <c r="Y218" s="1035">
        <f>+'ครุภัณฑ์ แผน 68'!E554</f>
        <v>1582997.38</v>
      </c>
      <c r="Z218" s="1228">
        <v>0</v>
      </c>
      <c r="AA218" s="1336">
        <v>0</v>
      </c>
      <c r="AB218" s="1337"/>
      <c r="AC218" s="1038" t="e">
        <f t="shared" si="40"/>
        <v>#DIV/0!</v>
      </c>
      <c r="AD218" s="1338">
        <v>0</v>
      </c>
      <c r="AE218" s="1339">
        <f>+AD218/Y218*100</f>
        <v>0</v>
      </c>
      <c r="AF218" s="1037">
        <v>820997.38</v>
      </c>
      <c r="AG218" s="1340">
        <v>232250</v>
      </c>
      <c r="AH218" s="1037">
        <f>+AG218/AF218*100</f>
        <v>28.288762626745534</v>
      </c>
      <c r="AI218" s="1339"/>
      <c r="AJ218" s="1341">
        <f>+AF218</f>
        <v>820997.38</v>
      </c>
      <c r="AK218" s="1594">
        <v>325000</v>
      </c>
      <c r="AL218" s="1339">
        <f>+AW218/AJ218*100</f>
        <v>39.585997217189657</v>
      </c>
      <c r="AM218" s="1341"/>
      <c r="AN218" s="1341">
        <v>0</v>
      </c>
      <c r="AO218" s="1341">
        <v>0</v>
      </c>
      <c r="AP218" s="1693">
        <v>0</v>
      </c>
      <c r="AQ218" s="1742"/>
      <c r="AR218" s="1341">
        <v>0</v>
      </c>
      <c r="AS218" s="1341">
        <v>0</v>
      </c>
      <c r="AT218" s="1341"/>
      <c r="AU218" s="1341">
        <v>0</v>
      </c>
      <c r="AV218" s="1342"/>
      <c r="AW218" s="1579">
        <v>325000</v>
      </c>
    </row>
    <row r="219" spans="1:49" s="1041" customFormat="1" ht="22.5" customHeight="1">
      <c r="A219" s="1343" t="s">
        <v>383</v>
      </c>
      <c r="B219" s="2929"/>
      <c r="C219" s="1315" t="s">
        <v>616</v>
      </c>
      <c r="D219" s="1052"/>
      <c r="E219" s="1055"/>
      <c r="F219" s="1055"/>
      <c r="G219" s="1035">
        <v>0</v>
      </c>
      <c r="H219" s="1035">
        <v>0</v>
      </c>
      <c r="I219" s="1228">
        <v>0</v>
      </c>
      <c r="J219" s="1228">
        <v>0</v>
      </c>
      <c r="K219" s="1228">
        <v>0</v>
      </c>
      <c r="L219" s="1228">
        <v>0</v>
      </c>
      <c r="M219" s="1228">
        <v>0</v>
      </c>
      <c r="N219" s="1228">
        <v>0</v>
      </c>
      <c r="O219" s="1228">
        <v>0</v>
      </c>
      <c r="P219" s="1228">
        <v>0</v>
      </c>
      <c r="Q219" s="1228">
        <v>0</v>
      </c>
      <c r="R219" s="1228">
        <v>0</v>
      </c>
      <c r="S219" s="1035">
        <v>0</v>
      </c>
      <c r="T219" s="1213">
        <v>0</v>
      </c>
      <c r="U219" s="1058"/>
      <c r="V219" s="1058"/>
      <c r="W219" s="1058"/>
      <c r="X219" s="1058"/>
      <c r="Y219" s="1056">
        <f>SUM(Y220:Y221)</f>
        <v>4584828.4400000004</v>
      </c>
      <c r="Z219" s="1228">
        <v>0</v>
      </c>
      <c r="AA219" s="1336">
        <v>0</v>
      </c>
      <c r="AB219" s="1337"/>
      <c r="AC219" s="1038" t="e">
        <f t="shared" si="40"/>
        <v>#DIV/0!</v>
      </c>
      <c r="AD219" s="1338">
        <v>0</v>
      </c>
      <c r="AE219" s="1339">
        <f>+AD219/Y219*100</f>
        <v>0</v>
      </c>
      <c r="AF219" s="1344">
        <f>SUM(AF220:AF221)</f>
        <v>4584828.4400000004</v>
      </c>
      <c r="AG219" s="1345">
        <v>0</v>
      </c>
      <c r="AH219" s="1339">
        <f>+AG219/AF219*100</f>
        <v>0</v>
      </c>
      <c r="AI219" s="1339"/>
      <c r="AJ219" s="1346">
        <f>SUM(AJ220:AJ221)</f>
        <v>4584828.4400000004</v>
      </c>
      <c r="AK219" s="1339">
        <f>SUM(AK220:AK221)</f>
        <v>1910941.2</v>
      </c>
      <c r="AL219" s="1346">
        <f>+AK219/AJ219*100</f>
        <v>41.67966642607896</v>
      </c>
      <c r="AM219" s="1346"/>
      <c r="AN219" s="1346">
        <f>SUM(AN220:AN223)</f>
        <v>4117390</v>
      </c>
      <c r="AO219" s="1654">
        <v>0</v>
      </c>
      <c r="AP219" s="1693">
        <f>+AO219/AN219*100</f>
        <v>0</v>
      </c>
      <c r="AQ219" s="1743"/>
      <c r="AR219" s="1341">
        <v>0</v>
      </c>
      <c r="AS219" s="1341">
        <v>0</v>
      </c>
      <c r="AT219" s="1654"/>
      <c r="AU219" s="1654">
        <f>SUM(AU220:AU223)</f>
        <v>4117390</v>
      </c>
      <c r="AV219" s="1347"/>
    </row>
    <row r="220" spans="1:49" s="1041" customFormat="1" ht="22.5" customHeight="1">
      <c r="A220" s="1343"/>
      <c r="B220" s="2929"/>
      <c r="C220" s="1051" t="s">
        <v>1238</v>
      </c>
      <c r="D220" s="1052"/>
      <c r="E220" s="1055"/>
      <c r="F220" s="1055"/>
      <c r="G220" s="1056"/>
      <c r="H220" s="1056"/>
      <c r="I220" s="1233">
        <v>0</v>
      </c>
      <c r="J220" s="1233">
        <v>0</v>
      </c>
      <c r="K220" s="1233">
        <v>0</v>
      </c>
      <c r="L220" s="1233">
        <v>0</v>
      </c>
      <c r="M220" s="1233">
        <v>0</v>
      </c>
      <c r="N220" s="1233">
        <v>0</v>
      </c>
      <c r="O220" s="1233">
        <v>0</v>
      </c>
      <c r="P220" s="1233">
        <v>0</v>
      </c>
      <c r="Q220" s="1233">
        <v>0</v>
      </c>
      <c r="R220" s="1233">
        <v>0</v>
      </c>
      <c r="S220" s="1056"/>
      <c r="T220" s="1233">
        <v>0</v>
      </c>
      <c r="U220" s="1058"/>
      <c r="V220" s="1058"/>
      <c r="W220" s="1058"/>
      <c r="X220" s="1058"/>
      <c r="Y220" s="1055">
        <f>2299566+2148000</f>
        <v>4447566</v>
      </c>
      <c r="Z220" s="1233">
        <v>0</v>
      </c>
      <c r="AA220" s="1233">
        <v>0</v>
      </c>
      <c r="AB220" s="1233">
        <v>0</v>
      </c>
      <c r="AC220" s="1233">
        <v>0</v>
      </c>
      <c r="AD220" s="1233">
        <v>0</v>
      </c>
      <c r="AE220" s="1348"/>
      <c r="AF220" s="1348">
        <f>+Y220</f>
        <v>4447566</v>
      </c>
      <c r="AG220" s="1349"/>
      <c r="AH220" s="1349"/>
      <c r="AI220" s="1349"/>
      <c r="AJ220" s="1236">
        <f>+AF220</f>
        <v>4447566</v>
      </c>
      <c r="AK220" s="1150">
        <v>1910941.2</v>
      </c>
      <c r="AL220" s="1349"/>
      <c r="AM220" s="1349"/>
      <c r="AN220" s="1236">
        <v>3187710</v>
      </c>
      <c r="AO220" s="1236"/>
      <c r="AP220" s="1694"/>
      <c r="AQ220" s="1236"/>
      <c r="AR220" s="1059"/>
      <c r="AS220" s="1059"/>
      <c r="AT220" s="1059"/>
      <c r="AU220" s="1236">
        <v>3187710</v>
      </c>
      <c r="AV220" s="1347"/>
      <c r="AW220" s="1236">
        <v>1910941.2</v>
      </c>
    </row>
    <row r="221" spans="1:49" s="1041" customFormat="1" ht="22.5" hidden="1" customHeight="1">
      <c r="A221" s="1392"/>
      <c r="B221" s="2930"/>
      <c r="C221" s="1063" t="s">
        <v>573</v>
      </c>
      <c r="D221" s="1064"/>
      <c r="E221" s="1065"/>
      <c r="F221" s="1065"/>
      <c r="G221" s="1067"/>
      <c r="H221" s="1067"/>
      <c r="I221" s="1078">
        <v>0</v>
      </c>
      <c r="J221" s="1078">
        <v>0</v>
      </c>
      <c r="K221" s="1078">
        <v>0</v>
      </c>
      <c r="L221" s="1078">
        <v>0</v>
      </c>
      <c r="M221" s="1078">
        <v>0</v>
      </c>
      <c r="N221" s="1078">
        <v>0</v>
      </c>
      <c r="O221" s="1078">
        <v>0</v>
      </c>
      <c r="P221" s="1078">
        <v>0</v>
      </c>
      <c r="Q221" s="1078">
        <v>0</v>
      </c>
      <c r="R221" s="1078">
        <v>0</v>
      </c>
      <c r="S221" s="1067"/>
      <c r="T221" s="1078">
        <v>0</v>
      </c>
      <c r="U221" s="1069"/>
      <c r="V221" s="1069"/>
      <c r="W221" s="1069"/>
      <c r="X221" s="1069"/>
      <c r="Y221" s="1065">
        <v>137262.44</v>
      </c>
      <c r="Z221" s="1078">
        <v>0</v>
      </c>
      <c r="AA221" s="1078">
        <v>0</v>
      </c>
      <c r="AB221" s="1078">
        <v>0</v>
      </c>
      <c r="AC221" s="1078">
        <v>0</v>
      </c>
      <c r="AD221" s="1078">
        <v>0</v>
      </c>
      <c r="AE221" s="1260"/>
      <c r="AF221" s="1260">
        <f>+Y221</f>
        <v>137262.44</v>
      </c>
      <c r="AG221" s="1393"/>
      <c r="AH221" s="1393"/>
      <c r="AI221" s="1393"/>
      <c r="AJ221" s="1075">
        <f>+AF221</f>
        <v>137262.44</v>
      </c>
      <c r="AK221" s="1393"/>
      <c r="AL221" s="1393"/>
      <c r="AM221" s="1393"/>
      <c r="AN221" s="1075"/>
      <c r="AO221" s="1075"/>
      <c r="AP221" s="1695"/>
      <c r="AQ221" s="1075"/>
      <c r="AR221" s="1070"/>
      <c r="AS221" s="1070"/>
      <c r="AT221" s="1070"/>
      <c r="AU221" s="1075"/>
      <c r="AV221" s="1711"/>
    </row>
    <row r="222" spans="1:49" s="1041" customFormat="1" ht="22.5" customHeight="1">
      <c r="A222" s="1392"/>
      <c r="B222" s="2930"/>
      <c r="C222" s="1063" t="s">
        <v>1237</v>
      </c>
      <c r="D222" s="1064"/>
      <c r="E222" s="1065"/>
      <c r="F222" s="1065"/>
      <c r="G222" s="1067"/>
      <c r="H222" s="1067"/>
      <c r="I222" s="1078"/>
      <c r="J222" s="1078"/>
      <c r="K222" s="1078"/>
      <c r="L222" s="1078"/>
      <c r="M222" s="1078"/>
      <c r="N222" s="1078"/>
      <c r="O222" s="1078"/>
      <c r="P222" s="1078"/>
      <c r="Q222" s="1078"/>
      <c r="R222" s="1078"/>
      <c r="S222" s="1067"/>
      <c r="T222" s="1078"/>
      <c r="U222" s="1069"/>
      <c r="V222" s="1069"/>
      <c r="W222" s="1069"/>
      <c r="X222" s="1069"/>
      <c r="Y222" s="1065"/>
      <c r="Z222" s="1078"/>
      <c r="AA222" s="1078"/>
      <c r="AB222" s="1078"/>
      <c r="AC222" s="1078"/>
      <c r="AD222" s="1078"/>
      <c r="AE222" s="1260"/>
      <c r="AF222" s="1260"/>
      <c r="AG222" s="1393"/>
      <c r="AH222" s="1393"/>
      <c r="AI222" s="1393"/>
      <c r="AJ222" s="1075"/>
      <c r="AK222" s="1393"/>
      <c r="AL222" s="1393"/>
      <c r="AM222" s="1393"/>
      <c r="AN222" s="1075">
        <v>329680</v>
      </c>
      <c r="AO222" s="1075"/>
      <c r="AP222" s="1695"/>
      <c r="AQ222" s="1075"/>
      <c r="AR222" s="1070"/>
      <c r="AS222" s="1070"/>
      <c r="AT222" s="1070"/>
      <c r="AU222" s="1075">
        <v>329680</v>
      </c>
      <c r="AV222" s="1711"/>
    </row>
    <row r="223" spans="1:49" s="1041" customFormat="1" ht="22.5" customHeight="1">
      <c r="A223" s="1350"/>
      <c r="B223" s="2931"/>
      <c r="C223" s="1080" t="s">
        <v>1239</v>
      </c>
      <c r="D223" s="1081"/>
      <c r="E223" s="1082"/>
      <c r="F223" s="1082"/>
      <c r="G223" s="1085"/>
      <c r="H223" s="1085"/>
      <c r="I223" s="1132"/>
      <c r="J223" s="1132"/>
      <c r="K223" s="1132"/>
      <c r="L223" s="1132"/>
      <c r="M223" s="1132"/>
      <c r="N223" s="1132"/>
      <c r="O223" s="1132"/>
      <c r="P223" s="1132"/>
      <c r="Q223" s="1132"/>
      <c r="R223" s="1132"/>
      <c r="S223" s="1085"/>
      <c r="T223" s="1132"/>
      <c r="U223" s="1087"/>
      <c r="V223" s="1087"/>
      <c r="W223" s="1087"/>
      <c r="X223" s="1087"/>
      <c r="Y223" s="1082"/>
      <c r="Z223" s="1132"/>
      <c r="AA223" s="1132"/>
      <c r="AB223" s="1132"/>
      <c r="AC223" s="1132"/>
      <c r="AD223" s="1132"/>
      <c r="AE223" s="1273"/>
      <c r="AF223" s="1273"/>
      <c r="AG223" s="1351"/>
      <c r="AH223" s="1351"/>
      <c r="AI223" s="1351"/>
      <c r="AJ223" s="1176"/>
      <c r="AK223" s="1351"/>
      <c r="AL223" s="1351"/>
      <c r="AM223" s="1351"/>
      <c r="AN223" s="1176">
        <v>600000</v>
      </c>
      <c r="AO223" s="1176"/>
      <c r="AP223" s="1696"/>
      <c r="AQ223" s="1176"/>
      <c r="AR223" s="1667"/>
      <c r="AS223" s="1667"/>
      <c r="AT223" s="1667"/>
      <c r="AU223" s="1176">
        <v>600000</v>
      </c>
      <c r="AV223" s="1712"/>
    </row>
    <row r="224" spans="1:49" s="1041" customFormat="1" ht="22.5" customHeight="1">
      <c r="A224" s="1375" t="s">
        <v>572</v>
      </c>
      <c r="B224" s="2925"/>
      <c r="C224" s="1380" t="s">
        <v>384</v>
      </c>
      <c r="D224" s="1376"/>
      <c r="E224" s="1379">
        <v>0</v>
      </c>
      <c r="F224" s="1379">
        <v>0</v>
      </c>
      <c r="G224" s="1381">
        <v>0</v>
      </c>
      <c r="H224" s="1382">
        <v>12000000</v>
      </c>
      <c r="I224" s="1383">
        <v>0</v>
      </c>
      <c r="J224" s="1384">
        <v>0</v>
      </c>
      <c r="K224" s="1385">
        <v>10000000</v>
      </c>
      <c r="L224" s="1383">
        <v>0</v>
      </c>
      <c r="M224" s="1386">
        <v>0</v>
      </c>
      <c r="N224" s="1383"/>
      <c r="O224" s="1383"/>
      <c r="P224" s="1383"/>
      <c r="Q224" s="1383">
        <v>2000000</v>
      </c>
      <c r="R224" s="1383">
        <v>0</v>
      </c>
      <c r="S224" s="1381"/>
      <c r="T224" s="1136">
        <v>0</v>
      </c>
      <c r="U224" s="1387"/>
      <c r="V224" s="1387"/>
      <c r="W224" s="1387"/>
      <c r="X224" s="1387"/>
      <c r="Y224" s="1381">
        <v>10000000</v>
      </c>
      <c r="Z224" s="1383">
        <v>0</v>
      </c>
      <c r="AA224" s="1383">
        <v>0</v>
      </c>
      <c r="AB224" s="1381"/>
      <c r="AC224" s="1038" t="e">
        <f t="shared" si="40"/>
        <v>#DIV/0!</v>
      </c>
      <c r="AD224" s="1383">
        <v>0</v>
      </c>
      <c r="AE224" s="1383">
        <v>0</v>
      </c>
      <c r="AF224" s="1388">
        <f>+Y224</f>
        <v>10000000</v>
      </c>
      <c r="AG224" s="1389">
        <v>0</v>
      </c>
      <c r="AH224" s="1389">
        <f>+AG224/AF224*100</f>
        <v>0</v>
      </c>
      <c r="AI224" s="1389"/>
      <c r="AJ224" s="1390">
        <f>+AF224</f>
        <v>10000000</v>
      </c>
      <c r="AK224" s="1390">
        <v>0</v>
      </c>
      <c r="AL224" s="1390"/>
      <c r="AM224" s="1390"/>
      <c r="AN224" s="1390">
        <v>10000000</v>
      </c>
      <c r="AO224" s="1390">
        <v>0</v>
      </c>
      <c r="AP224" s="1693">
        <f>+AO224/AN224*100</f>
        <v>0</v>
      </c>
      <c r="AQ224" s="1744"/>
      <c r="AR224" s="1341">
        <v>0</v>
      </c>
      <c r="AS224" s="1341">
        <v>0</v>
      </c>
      <c r="AT224" s="1390"/>
      <c r="AU224" s="1390">
        <v>10000000</v>
      </c>
      <c r="AV224" s="1391"/>
    </row>
    <row r="225" spans="1:48" s="1041" customFormat="1" ht="22.5" customHeight="1">
      <c r="A225" s="2851" t="s">
        <v>4</v>
      </c>
      <c r="B225" s="2852"/>
      <c r="C225" s="2851"/>
      <c r="D225" s="1043"/>
      <c r="E225" s="1035">
        <f>E5+E6+E17+E125+E130+E135+E178+E199+E218+E224</f>
        <v>1620514611.02</v>
      </c>
      <c r="F225" s="1035">
        <f>F5+F6+F17+F125+F130+F135+F178+F199+F218+F224</f>
        <v>1562771747.21</v>
      </c>
      <c r="G225" s="1035">
        <f>G5+G6+G17+G125+G130+G135+G178+G199+G218+G224</f>
        <v>1594289249.3299999</v>
      </c>
      <c r="H225" s="1035">
        <f>H5+H6+H17+H125+H130+H135+H178+H195+H199+H218+H224</f>
        <v>1806382935.5</v>
      </c>
      <c r="I225" s="1035">
        <f>I5+I6+I17+I125+I130+I135+I178+I199+I218+I224</f>
        <v>1808082271.22</v>
      </c>
      <c r="J225" s="1035">
        <f>J5+J6+J17+J125+J130+J135+J178+J195+J199+J218+J224</f>
        <v>292356494.70000005</v>
      </c>
      <c r="K225" s="1044">
        <v>2009880953.28</v>
      </c>
      <c r="L225" s="1035">
        <f>+L5+L6+L17+L125+L130+L135+L178+L195+L199+L218+L224</f>
        <v>1794515619.4300001</v>
      </c>
      <c r="M225" s="1035">
        <f>+M22+M23+M24+M27+M38+M41+M43+M61+M136+M137+M138+M139+M140+M141+M145+M147+M155+M157+M158+M159+M160+M163+M175+M176+M177+M179+M180+M181+M186+M188+M191</f>
        <v>284402810</v>
      </c>
      <c r="N225" s="1035">
        <f>N5+N6+N17+N125+N130+N135+N178+N195+N199+N218+N224</f>
        <v>391409034.93000001</v>
      </c>
      <c r="O225" s="1035">
        <f>O5+O6+O17+O125+O130+O135+O178+O195+O199+O218+O224</f>
        <v>46312759.259999998</v>
      </c>
      <c r="P225" s="1035"/>
      <c r="Q225" s="1035">
        <f t="shared" ref="Q225:V225" si="42">+Q5+Q6+Q17+Q125+Q130+Q135+Q178+Q195+Q199+Q218+Q224</f>
        <v>1732726363.4200001</v>
      </c>
      <c r="R225" s="1035">
        <f t="shared" si="42"/>
        <v>2187701344.96</v>
      </c>
      <c r="S225" s="1035">
        <f t="shared" si="42"/>
        <v>947.67222036421549</v>
      </c>
      <c r="T225" s="1035">
        <f t="shared" si="42"/>
        <v>288314676.38999993</v>
      </c>
      <c r="U225" s="1035" t="e">
        <f t="shared" si="42"/>
        <v>#REF!</v>
      </c>
      <c r="V225" s="1035">
        <f t="shared" si="42"/>
        <v>149484820.22999999</v>
      </c>
      <c r="W225" s="1048"/>
      <c r="X225" s="1048"/>
      <c r="Y225" s="1035">
        <f>+Y5+Y6+Y17+Y125+Y130+Y135+Y178+Y195+Y199+Y218+Y219+Y224</f>
        <v>2408164387.9400001</v>
      </c>
      <c r="Z225" s="1035">
        <f>+Z5+Z6+Z17+Z125+Z130+Z135+Z178+Z195+Z199+Z218+Z224</f>
        <v>289250636.10999995</v>
      </c>
      <c r="AA225" s="1048">
        <f>+AA5+AA6+AA17+AA125+AA130+AA135+AA178+AA195+AA199+AA218+AA219+AA224</f>
        <v>518500282.11000001</v>
      </c>
      <c r="AB225" s="1048">
        <f>+AA225/Y225*100</f>
        <v>21.530933880869206</v>
      </c>
      <c r="AC225" s="1038">
        <f t="shared" si="40"/>
        <v>10.077382979532381</v>
      </c>
      <c r="AD225" s="1048">
        <f>+AD5+AD6+AD17+AD125+AD130+AD135+AD178+AD195+AD199+AD218+AD219+AD224</f>
        <v>1047128177.27</v>
      </c>
      <c r="AE225" s="1037">
        <f>+AD225/Y225*100</f>
        <v>43.482420988948263</v>
      </c>
      <c r="AF225" s="1048">
        <f>+AF5+AF6+AF17+AF125+AF130+AF135+AF178+AF195+AF199+AF218+AF219+AF224</f>
        <v>2647605116.21</v>
      </c>
      <c r="AG225" s="1048">
        <f>+AG5+AG6+AG17+AG125+AG130+AG135+AG178+AG195+AG199+AG218+AG219+AG224-AG218</f>
        <v>1582214359.8600001</v>
      </c>
      <c r="AH225" s="1037">
        <f>+AG225/AF225*100</f>
        <v>59.760209336840688</v>
      </c>
      <c r="AI225" s="1048">
        <f>SUM(AI5:AI224)</f>
        <v>330840148.35000002</v>
      </c>
      <c r="AJ225" s="1048">
        <f>+AJ5+AJ6+AJ17+AJ125+AJ130+AJ135+AJ178+AJ195+AJ199+AJ218+AJ219+AJ224</f>
        <v>2306820633.71</v>
      </c>
      <c r="AK225" s="1048">
        <f>+AK5+AK6+AK17+AK125+AK130+AK135+AK178+AK195+AK199+AK218+AK219+AK224</f>
        <v>2272461201.8199997</v>
      </c>
      <c r="AL225" s="1049">
        <f>+AK225/AJ225*100</f>
        <v>98.510528673625529</v>
      </c>
      <c r="AM225" s="1048">
        <f>SUM(AM178,AM176,AM177,AM163,AM162,AM160,AM156,AM155,AM147,AM141,AM136,AM137,AM138,AM139,AM140,AM61,AM43,AM41,AM27,AM20)</f>
        <v>292620258.42000008</v>
      </c>
      <c r="AN225" s="1048">
        <f>+AN5+AN6+AN17+AN125+AN130+AN135+AN178+AN195+AN199+AN218+AN219+AN224-AN218</f>
        <v>2802678855.8466668</v>
      </c>
      <c r="AO225" s="1048">
        <f>+AO5+AO6+AO17+AO125+AO130+AO135+AO178+AO195+AO199+AO218+AO219+AO224-AO218</f>
        <v>628138259.96999991</v>
      </c>
      <c r="AP225" s="1037">
        <f>+AO225/AN225*100</f>
        <v>22.412066893059869</v>
      </c>
      <c r="AQ225" s="1745">
        <f>SUM(AQ17,AQ135,AQ178)</f>
        <v>285034547.38</v>
      </c>
      <c r="AR225" s="1048">
        <f>+AR5+AR6+AR17+AR125+AR130+AR135+AR178+AR195+AR199+AR218+AR219+AR224-AR218</f>
        <v>1289780534.4300001</v>
      </c>
      <c r="AS225" s="1037">
        <f>+AR225/AN225*100</f>
        <v>46.019562025074315</v>
      </c>
      <c r="AT225" s="2963">
        <f>SUM(AT20,AT27,AT41,AT43,AT61,AT135,AT178)</f>
        <v>260032182.40000001</v>
      </c>
      <c r="AU225" s="1048">
        <f>+AU5+AU6+AU17+AU125+AU130+AU135+AU178+AU195+AU199+AU218+AU219+AU224</f>
        <v>2629490512.7966666</v>
      </c>
      <c r="AV225" s="1049"/>
    </row>
    <row r="226" spans="1:48" s="1041" customFormat="1" ht="18.75" customHeight="1">
      <c r="A226" s="1030"/>
      <c r="B226" s="2932"/>
      <c r="C226" s="1030"/>
      <c r="D226" s="1352"/>
      <c r="E226" s="1091"/>
      <c r="F226" s="1091"/>
      <c r="G226" s="1091"/>
      <c r="H226" s="1091"/>
      <c r="I226" s="1091"/>
      <c r="J226" s="1091"/>
      <c r="K226" s="1091"/>
      <c r="L226" s="1091"/>
      <c r="M226" s="1091"/>
      <c r="N226" s="1091"/>
      <c r="O226" s="1091"/>
      <c r="P226" s="1091"/>
      <c r="Q226" s="1353"/>
      <c r="R226" s="1353"/>
      <c r="S226" s="1353"/>
      <c r="T226" s="1353"/>
      <c r="U226" s="1353"/>
      <c r="V226" s="1353"/>
      <c r="W226" s="1353"/>
      <c r="X226" s="1353"/>
      <c r="Y226" s="1353"/>
      <c r="Z226" s="1353"/>
      <c r="AA226" s="1091"/>
      <c r="AB226" s="1091"/>
      <c r="AC226" s="1354"/>
      <c r="AD226" s="1091"/>
      <c r="AE226" s="1091"/>
      <c r="AF226" s="1091"/>
      <c r="AG226" s="1091"/>
      <c r="AH226" s="1091"/>
      <c r="AI226" s="1091"/>
      <c r="AJ226" s="1091"/>
      <c r="AK226" s="1091"/>
      <c r="AL226" s="1091"/>
      <c r="AM226" s="1091"/>
      <c r="AN226" s="1091"/>
      <c r="AO226" s="1091"/>
      <c r="AP226" s="1091"/>
      <c r="AQ226" s="1746"/>
      <c r="AR226" s="1091"/>
      <c r="AS226" s="1091"/>
      <c r="AT226" s="1091"/>
      <c r="AU226" s="1091"/>
      <c r="AV226" s="1091"/>
    </row>
    <row r="227" spans="1:48">
      <c r="E227" s="1356"/>
      <c r="F227" s="1356"/>
      <c r="G227" s="1356"/>
      <c r="H227" s="1356"/>
      <c r="I227" s="1356"/>
      <c r="J227" s="1356"/>
      <c r="K227" s="1356"/>
      <c r="L227" s="1356"/>
      <c r="M227" s="1356"/>
      <c r="N227" s="1356"/>
      <c r="O227" s="1356"/>
      <c r="P227" s="1356"/>
      <c r="Q227" s="1356"/>
      <c r="R227" s="1356"/>
      <c r="S227" s="1356"/>
      <c r="T227" s="1356"/>
      <c r="U227" s="1356"/>
      <c r="V227" s="1356"/>
      <c r="W227" s="1356"/>
      <c r="X227" s="1356"/>
      <c r="Y227" s="1356"/>
      <c r="Z227" s="1356"/>
      <c r="AA227" s="1356"/>
      <c r="AB227" s="1356"/>
      <c r="AC227" s="1357"/>
      <c r="AD227" s="1356"/>
      <c r="AE227" s="1356"/>
      <c r="AF227" s="1356"/>
      <c r="AG227" s="1356"/>
      <c r="AH227" s="1356"/>
      <c r="AI227" s="1356"/>
      <c r="AJ227" s="1356"/>
      <c r="AK227" s="1356"/>
      <c r="AL227" s="1356"/>
      <c r="AM227" s="1356"/>
      <c r="AN227" s="1356"/>
      <c r="AO227" s="1356"/>
      <c r="AP227" s="1356"/>
      <c r="AQ227" s="1356"/>
      <c r="AR227" s="1356"/>
      <c r="AS227" s="1356"/>
      <c r="AT227" s="1356"/>
      <c r="AU227" s="1356"/>
      <c r="AV227" s="1356"/>
    </row>
    <row r="228" spans="1:48">
      <c r="E228" s="1353"/>
      <c r="F228" s="1353"/>
      <c r="G228" s="1353"/>
      <c r="H228" s="1353"/>
      <c r="I228" s="1353"/>
      <c r="J228" s="1353"/>
      <c r="K228" s="1353"/>
      <c r="L228" s="1353"/>
      <c r="M228" s="1353"/>
      <c r="N228" s="1353"/>
      <c r="O228" s="1353"/>
      <c r="P228" s="1353"/>
      <c r="AA228" s="1353"/>
      <c r="AB228" s="1353"/>
      <c r="AC228" s="1358"/>
      <c r="AD228" s="1353"/>
      <c r="AE228" s="1353"/>
      <c r="AF228" s="1353"/>
      <c r="AG228" s="1353"/>
      <c r="AH228" s="1353"/>
      <c r="AI228" s="1353"/>
      <c r="AJ228" s="1353"/>
      <c r="AK228" s="1353"/>
      <c r="AL228" s="1353"/>
      <c r="AM228" s="1353"/>
      <c r="AN228" s="1353"/>
      <c r="AO228" s="1353"/>
      <c r="AP228" s="1353"/>
      <c r="AQ228" s="1353"/>
      <c r="AR228" s="1353"/>
      <c r="AS228" s="1353"/>
      <c r="AT228" s="1353"/>
      <c r="AU228" s="1353"/>
      <c r="AV228" s="1353"/>
    </row>
    <row r="229" spans="1:48">
      <c r="E229" s="1356"/>
      <c r="F229" s="1356"/>
      <c r="G229" s="1356"/>
      <c r="H229" s="1356"/>
      <c r="I229" s="1356"/>
      <c r="J229" s="1356"/>
      <c r="K229" s="1356"/>
      <c r="L229" s="1356"/>
      <c r="M229" s="1356"/>
      <c r="N229" s="1356"/>
      <c r="O229" s="1356"/>
      <c r="P229" s="1356"/>
      <c r="Q229" s="1356"/>
      <c r="R229" s="1356"/>
      <c r="S229" s="1356"/>
      <c r="T229" s="1356"/>
      <c r="U229" s="1356"/>
      <c r="V229" s="1356"/>
      <c r="W229" s="1356"/>
      <c r="X229" s="1356"/>
      <c r="Y229" s="1356"/>
      <c r="Z229" s="1356"/>
      <c r="AA229" s="1356"/>
      <c r="AB229" s="1356"/>
      <c r="AC229" s="1357"/>
      <c r="AD229" s="1356"/>
      <c r="AE229" s="1356"/>
      <c r="AF229" s="1356"/>
      <c r="AG229" s="1356"/>
      <c r="AH229" s="1356"/>
      <c r="AI229" s="1356"/>
      <c r="AJ229" s="1356"/>
      <c r="AK229" s="1356"/>
      <c r="AL229" s="1356"/>
      <c r="AM229" s="1356"/>
      <c r="AN229" s="1356"/>
      <c r="AO229" s="1356"/>
      <c r="AP229" s="1356"/>
      <c r="AQ229" s="1356"/>
      <c r="AR229" s="1356"/>
      <c r="AS229" s="1356"/>
      <c r="AT229" s="1356"/>
      <c r="AU229" s="1356"/>
      <c r="AV229" s="1356"/>
    </row>
    <row r="231" spans="1:48">
      <c r="K231" s="1359"/>
      <c r="L231" s="1359"/>
      <c r="M231" s="1359"/>
      <c r="N231" s="1359"/>
      <c r="O231" s="1359"/>
      <c r="P231" s="1359"/>
      <c r="Q231" s="1359"/>
      <c r="R231" s="1359"/>
      <c r="S231" s="1359"/>
      <c r="T231" s="1359"/>
      <c r="U231" s="1359"/>
      <c r="V231" s="1359"/>
      <c r="W231" s="1359"/>
      <c r="X231" s="1359"/>
      <c r="Y231" s="1359"/>
      <c r="Z231" s="1359"/>
      <c r="AA231" s="1359"/>
      <c r="AB231" s="1359"/>
      <c r="AC231" s="1360"/>
      <c r="AD231" s="1359"/>
      <c r="AE231" s="1359"/>
      <c r="AF231" s="1359"/>
      <c r="AG231" s="1359"/>
      <c r="AH231" s="1359"/>
      <c r="AI231" s="1359"/>
      <c r="AJ231" s="1359"/>
      <c r="AK231" s="1359"/>
      <c r="AL231" s="1359"/>
      <c r="AM231" s="1359"/>
      <c r="AN231" s="1359"/>
      <c r="AO231" s="1359"/>
      <c r="AP231" s="1359"/>
      <c r="AQ231" s="1359"/>
      <c r="AR231" s="1359"/>
      <c r="AS231" s="1359"/>
      <c r="AT231" s="1359"/>
      <c r="AU231" s="1359"/>
      <c r="AV231" s="1359"/>
    </row>
    <row r="234" spans="1:48">
      <c r="J234" s="1356"/>
    </row>
    <row r="235" spans="1:48">
      <c r="J235" s="1362"/>
    </row>
  </sheetData>
  <mergeCells count="45">
    <mergeCell ref="A1:AU1"/>
    <mergeCell ref="V142:V144"/>
    <mergeCell ref="P3:P4"/>
    <mergeCell ref="Q3:Q4"/>
    <mergeCell ref="Y3:Y4"/>
    <mergeCell ref="T3:T4"/>
    <mergeCell ref="U3:X3"/>
    <mergeCell ref="L131:L133"/>
    <mergeCell ref="AA3:AB3"/>
    <mergeCell ref="A2:Z2"/>
    <mergeCell ref="C3:C4"/>
    <mergeCell ref="E3:E4"/>
    <mergeCell ref="F3:F4"/>
    <mergeCell ref="G3:G4"/>
    <mergeCell ref="H3:H4"/>
    <mergeCell ref="B3:B4"/>
    <mergeCell ref="A225:C225"/>
    <mergeCell ref="K34:K35"/>
    <mergeCell ref="H38:H39"/>
    <mergeCell ref="U142:U144"/>
    <mergeCell ref="AD3:AE3"/>
    <mergeCell ref="I3:I4"/>
    <mergeCell ref="J3:J4"/>
    <mergeCell ref="K3:K4"/>
    <mergeCell ref="L3:L4"/>
    <mergeCell ref="Z3:Z4"/>
    <mergeCell ref="W4:X4"/>
    <mergeCell ref="M3:M4"/>
    <mergeCell ref="N3:N4"/>
    <mergeCell ref="R3:R4"/>
    <mergeCell ref="O3:O4"/>
    <mergeCell ref="S3:S4"/>
    <mergeCell ref="AV3:AV4"/>
    <mergeCell ref="AF3:AF4"/>
    <mergeCell ref="AG3:AH3"/>
    <mergeCell ref="AO3:AP3"/>
    <mergeCell ref="AM3:AM4"/>
    <mergeCell ref="AN3:AN4"/>
    <mergeCell ref="AQ3:AQ4"/>
    <mergeCell ref="AR3:AS3"/>
    <mergeCell ref="AT3:AT4"/>
    <mergeCell ref="AU3:AU4"/>
    <mergeCell ref="AK3:AL3"/>
    <mergeCell ref="AJ3:AJ4"/>
    <mergeCell ref="AI3:AI4"/>
  </mergeCells>
  <phoneticPr fontId="80" type="noConversion"/>
  <pageMargins left="0.35433070866141736" right="0.19685039370078741" top="0.51181102362204722" bottom="0.27559055118110237" header="0.35433070866141736" footer="0.11811023622047245"/>
  <pageSetup paperSize="9" scale="95" firstPageNumber="19" orientation="landscape" useFirstPageNumber="1" horizontalDpi="4294967293" r:id="rId1"/>
  <headerFooter>
    <oddFooter>&amp;C&amp;10&amp;P&amp;R&amp;8&amp;F</oddFooter>
  </headerFooter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5AB4-1FFD-4326-A063-00060927F89C}">
  <sheetPr>
    <tabColor rgb="FFFF0000"/>
  </sheetPr>
  <dimension ref="A1:Z440"/>
  <sheetViews>
    <sheetView topLeftCell="A376" workbookViewId="0">
      <selection activeCell="K430" sqref="K430"/>
    </sheetView>
  </sheetViews>
  <sheetFormatPr defaultColWidth="9.140625" defaultRowHeight="21"/>
  <cols>
    <col min="1" max="1" width="7" style="19" customWidth="1"/>
    <col min="2" max="2" width="51" style="19" customWidth="1"/>
    <col min="3" max="3" width="9.140625" style="19"/>
    <col min="4" max="4" width="16.42578125" style="19" customWidth="1"/>
    <col min="5" max="5" width="18.5703125" style="19" customWidth="1"/>
    <col min="6" max="6" width="31.5703125" style="19" customWidth="1"/>
    <col min="7" max="7" width="41.42578125" style="19" customWidth="1"/>
    <col min="8" max="16384" width="9.140625" style="19"/>
  </cols>
  <sheetData>
    <row r="1" spans="1:26" ht="23.25">
      <c r="A1" s="2865" t="s">
        <v>1509</v>
      </c>
      <c r="B1" s="2865"/>
      <c r="C1" s="2865"/>
      <c r="D1" s="2865"/>
      <c r="E1" s="2865"/>
      <c r="F1" s="2865"/>
      <c r="G1" s="1775"/>
      <c r="H1" s="177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</row>
    <row r="2" spans="1:26">
      <c r="A2" s="1776"/>
      <c r="B2" s="1776"/>
      <c r="C2" s="1776"/>
      <c r="D2" s="1776"/>
      <c r="E2" s="1776"/>
      <c r="F2" s="1776"/>
      <c r="G2" s="1775"/>
      <c r="H2" s="1775"/>
      <c r="I2" s="1775"/>
      <c r="J2" s="1775"/>
      <c r="K2" s="1775"/>
      <c r="L2" s="1775"/>
      <c r="M2" s="1775"/>
      <c r="N2" s="1775"/>
      <c r="O2" s="1775"/>
      <c r="P2" s="1775"/>
      <c r="Q2" s="1775"/>
      <c r="R2" s="1775"/>
      <c r="S2" s="1775"/>
      <c r="T2" s="1775"/>
      <c r="U2" s="1775"/>
      <c r="V2" s="1775"/>
      <c r="W2" s="1775"/>
      <c r="X2" s="1775"/>
      <c r="Y2" s="1775"/>
      <c r="Z2" s="1775"/>
    </row>
    <row r="3" spans="1:26">
      <c r="A3" s="1775"/>
      <c r="B3" s="1777" t="s">
        <v>1508</v>
      </c>
      <c r="C3" s="1777"/>
      <c r="D3" s="1777"/>
      <c r="E3" s="1776"/>
      <c r="F3" s="1776"/>
      <c r="G3" s="1775"/>
      <c r="H3" s="1775"/>
      <c r="I3" s="1775"/>
      <c r="J3" s="1775"/>
      <c r="K3" s="1775"/>
      <c r="L3" s="1775"/>
      <c r="M3" s="1775"/>
      <c r="N3" s="1775"/>
      <c r="O3" s="1775"/>
      <c r="P3" s="1775"/>
      <c r="Q3" s="1775"/>
      <c r="R3" s="1775"/>
      <c r="S3" s="1775"/>
      <c r="T3" s="1775"/>
      <c r="U3" s="1775"/>
      <c r="V3" s="1775"/>
      <c r="W3" s="1775"/>
      <c r="X3" s="1775"/>
      <c r="Y3" s="1775"/>
      <c r="Z3" s="1775"/>
    </row>
    <row r="4" spans="1:26">
      <c r="A4" s="1478" t="s">
        <v>2</v>
      </c>
      <c r="B4" s="1478" t="s">
        <v>3</v>
      </c>
      <c r="C4" s="1478" t="s">
        <v>618</v>
      </c>
      <c r="D4" s="1478" t="s">
        <v>1410</v>
      </c>
      <c r="E4" s="1478" t="s">
        <v>1411</v>
      </c>
      <c r="F4" s="1478" t="s">
        <v>388</v>
      </c>
      <c r="G4" s="1648"/>
    </row>
    <row r="5" spans="1:26">
      <c r="A5" s="215">
        <v>1</v>
      </c>
      <c r="B5" s="498" t="s">
        <v>1507</v>
      </c>
      <c r="C5" s="495">
        <v>1</v>
      </c>
      <c r="D5" s="1474">
        <v>498000</v>
      </c>
      <c r="E5" s="1474">
        <f>+C5*D5</f>
        <v>498000</v>
      </c>
      <c r="F5" s="498" t="s">
        <v>736</v>
      </c>
    </row>
    <row r="6" spans="1:26">
      <c r="A6" s="1778">
        <v>1</v>
      </c>
      <c r="B6" s="1779" t="s">
        <v>473</v>
      </c>
      <c r="C6" s="1778">
        <v>74</v>
      </c>
      <c r="D6" s="1780">
        <v>3400</v>
      </c>
      <c r="E6" s="1781">
        <f>+C6*D6</f>
        <v>251600</v>
      </c>
      <c r="F6" s="1782" t="s">
        <v>1519</v>
      </c>
      <c r="G6" s="1783" t="s">
        <v>729</v>
      </c>
    </row>
    <row r="7" spans="1:26">
      <c r="A7" s="1778"/>
      <c r="B7" s="1778"/>
      <c r="C7" s="1778"/>
      <c r="D7" s="1780"/>
      <c r="E7" s="1781"/>
      <c r="F7" s="1782" t="s">
        <v>1520</v>
      </c>
      <c r="G7" s="1783"/>
    </row>
    <row r="8" spans="1:26">
      <c r="A8" s="1778"/>
      <c r="B8" s="1778"/>
      <c r="C8" s="1778"/>
      <c r="D8" s="1780"/>
      <c r="E8" s="1781"/>
      <c r="F8" s="1782" t="s">
        <v>1521</v>
      </c>
      <c r="G8" s="1783"/>
    </row>
    <row r="9" spans="1:26">
      <c r="A9" s="1778"/>
      <c r="B9" s="1778"/>
      <c r="C9" s="1778"/>
      <c r="D9" s="1780"/>
      <c r="E9" s="1781"/>
      <c r="F9" s="1782" t="s">
        <v>1522</v>
      </c>
      <c r="G9" s="1783"/>
    </row>
    <row r="10" spans="1:26">
      <c r="A10" s="1784"/>
      <c r="B10" s="1784"/>
      <c r="C10" s="1784"/>
      <c r="D10" s="1785"/>
      <c r="E10" s="1786"/>
      <c r="F10" s="1787" t="s">
        <v>1523</v>
      </c>
      <c r="G10" s="1788"/>
    </row>
    <row r="11" spans="1:26">
      <c r="A11" s="1789">
        <v>2</v>
      </c>
      <c r="B11" s="1790" t="s">
        <v>1524</v>
      </c>
      <c r="C11" s="1789">
        <v>13</v>
      </c>
      <c r="D11" s="1791">
        <v>9700</v>
      </c>
      <c r="E11" s="1791">
        <f>+C11*D11</f>
        <v>126100</v>
      </c>
      <c r="F11" s="1792" t="s">
        <v>1525</v>
      </c>
      <c r="G11" s="1783" t="s">
        <v>729</v>
      </c>
    </row>
    <row r="12" spans="1:26">
      <c r="A12" s="1784"/>
      <c r="B12" s="1793"/>
      <c r="C12" s="1784"/>
      <c r="D12" s="1785"/>
      <c r="E12" s="1785"/>
      <c r="F12" s="1794" t="s">
        <v>1526</v>
      </c>
      <c r="G12" s="1795"/>
    </row>
    <row r="13" spans="1:26">
      <c r="A13" s="1789">
        <v>3</v>
      </c>
      <c r="B13" s="1790" t="s">
        <v>1527</v>
      </c>
      <c r="C13" s="1789">
        <v>44</v>
      </c>
      <c r="D13" s="1791">
        <v>12000</v>
      </c>
      <c r="E13" s="1791">
        <f>+C13*D13</f>
        <v>528000</v>
      </c>
      <c r="F13" s="1796" t="s">
        <v>1528</v>
      </c>
      <c r="G13" s="1783" t="s">
        <v>729</v>
      </c>
    </row>
    <row r="14" spans="1:26">
      <c r="A14" s="1778"/>
      <c r="B14" s="1779"/>
      <c r="C14" s="1778"/>
      <c r="D14" s="1780"/>
      <c r="E14" s="1780"/>
      <c r="F14" s="1797" t="s">
        <v>1529</v>
      </c>
      <c r="G14" s="1798"/>
    </row>
    <row r="15" spans="1:26">
      <c r="A15" s="1784"/>
      <c r="B15" s="1793"/>
      <c r="C15" s="1784"/>
      <c r="D15" s="1785"/>
      <c r="E15" s="1785"/>
      <c r="F15" s="1794" t="s">
        <v>1530</v>
      </c>
      <c r="G15" s="1795"/>
    </row>
    <row r="16" spans="1:26">
      <c r="A16" s="1799">
        <v>4</v>
      </c>
      <c r="B16" s="1800" t="s">
        <v>1531</v>
      </c>
      <c r="C16" s="1799">
        <v>10</v>
      </c>
      <c r="D16" s="1801">
        <v>150</v>
      </c>
      <c r="E16" s="1801">
        <f>+C16*D16</f>
        <v>1500</v>
      </c>
      <c r="F16" s="1802" t="s">
        <v>1532</v>
      </c>
      <c r="G16" s="1783" t="s">
        <v>729</v>
      </c>
    </row>
    <row r="17" spans="1:7">
      <c r="A17" s="1789">
        <v>5</v>
      </c>
      <c r="B17" s="1790" t="s">
        <v>1533</v>
      </c>
      <c r="C17" s="1789">
        <f>3+6</f>
        <v>9</v>
      </c>
      <c r="D17" s="1791">
        <v>3950</v>
      </c>
      <c r="E17" s="1791">
        <f>+C17*D17</f>
        <v>35550</v>
      </c>
      <c r="F17" s="1796" t="s">
        <v>1534</v>
      </c>
      <c r="G17" s="1803" t="s">
        <v>729</v>
      </c>
    </row>
    <row r="18" spans="1:7">
      <c r="A18" s="1784"/>
      <c r="B18" s="1793"/>
      <c r="C18" s="1784"/>
      <c r="D18" s="1785"/>
      <c r="E18" s="1785"/>
      <c r="F18" s="1794" t="s">
        <v>1535</v>
      </c>
      <c r="G18" s="1795"/>
    </row>
    <row r="19" spans="1:7">
      <c r="A19" s="1789">
        <v>6</v>
      </c>
      <c r="B19" s="1790" t="s">
        <v>1536</v>
      </c>
      <c r="C19" s="1789">
        <v>4</v>
      </c>
      <c r="D19" s="1791">
        <v>45600</v>
      </c>
      <c r="E19" s="1791">
        <f>+C19*D19</f>
        <v>182400</v>
      </c>
      <c r="F19" s="1796" t="s">
        <v>1537</v>
      </c>
      <c r="G19" s="1803" t="s">
        <v>729</v>
      </c>
    </row>
    <row r="20" spans="1:7">
      <c r="A20" s="1784"/>
      <c r="B20" s="1793"/>
      <c r="C20" s="1784"/>
      <c r="D20" s="1785"/>
      <c r="E20" s="1785"/>
      <c r="F20" s="1794" t="s">
        <v>1538</v>
      </c>
      <c r="G20" s="1795"/>
    </row>
    <row r="21" spans="1:7">
      <c r="A21" s="1789">
        <v>7</v>
      </c>
      <c r="B21" s="1790" t="s">
        <v>1539</v>
      </c>
      <c r="C21" s="1789">
        <v>3</v>
      </c>
      <c r="D21" s="1791">
        <v>12900</v>
      </c>
      <c r="E21" s="1791">
        <f>+C21*D21</f>
        <v>38700</v>
      </c>
      <c r="F21" s="1796" t="s">
        <v>1540</v>
      </c>
      <c r="G21" s="1803" t="s">
        <v>729</v>
      </c>
    </row>
    <row r="22" spans="1:7">
      <c r="A22" s="1778"/>
      <c r="B22" s="1779"/>
      <c r="C22" s="1778"/>
      <c r="D22" s="1780"/>
      <c r="E22" s="1780"/>
      <c r="F22" s="1797" t="s">
        <v>1541</v>
      </c>
      <c r="G22" s="1798"/>
    </row>
    <row r="23" spans="1:7">
      <c r="A23" s="1784"/>
      <c r="B23" s="1793"/>
      <c r="C23" s="1784"/>
      <c r="D23" s="1785"/>
      <c r="E23" s="1785"/>
      <c r="F23" s="1794" t="s">
        <v>1542</v>
      </c>
      <c r="G23" s="1795"/>
    </row>
    <row r="24" spans="1:7">
      <c r="A24" s="1789">
        <v>8</v>
      </c>
      <c r="B24" s="1790" t="s">
        <v>1543</v>
      </c>
      <c r="C24" s="1789">
        <v>21</v>
      </c>
      <c r="D24" s="1791">
        <v>6600</v>
      </c>
      <c r="E24" s="1791">
        <f>+C24*D24</f>
        <v>138600</v>
      </c>
      <c r="F24" s="1796" t="s">
        <v>1544</v>
      </c>
      <c r="G24" s="1804" t="s">
        <v>729</v>
      </c>
    </row>
    <row r="25" spans="1:7">
      <c r="A25" s="1778"/>
      <c r="B25" s="1779"/>
      <c r="C25" s="1778"/>
      <c r="D25" s="1780"/>
      <c r="E25" s="1780"/>
      <c r="F25" s="1797" t="s">
        <v>1545</v>
      </c>
      <c r="G25" s="1798"/>
    </row>
    <row r="26" spans="1:7">
      <c r="A26" s="1778"/>
      <c r="B26" s="1779"/>
      <c r="C26" s="1778"/>
      <c r="D26" s="1780"/>
      <c r="E26" s="1780"/>
      <c r="F26" s="1797" t="s">
        <v>1546</v>
      </c>
      <c r="G26" s="1798"/>
    </row>
    <row r="27" spans="1:7">
      <c r="A27" s="1778"/>
      <c r="B27" s="1779"/>
      <c r="C27" s="1778"/>
      <c r="D27" s="1780"/>
      <c r="E27" s="1780"/>
      <c r="F27" s="1797" t="s">
        <v>1535</v>
      </c>
      <c r="G27" s="1798"/>
    </row>
    <row r="28" spans="1:7">
      <c r="A28" s="1778"/>
      <c r="B28" s="1779"/>
      <c r="C28" s="1778"/>
      <c r="D28" s="1780"/>
      <c r="E28" s="1780"/>
      <c r="F28" s="1797" t="s">
        <v>1547</v>
      </c>
      <c r="G28" s="1798"/>
    </row>
    <row r="29" spans="1:7">
      <c r="A29" s="1784"/>
      <c r="B29" s="1793"/>
      <c r="C29" s="1784"/>
      <c r="D29" s="1785"/>
      <c r="E29" s="1785"/>
      <c r="F29" s="1794" t="s">
        <v>1548</v>
      </c>
      <c r="G29" s="1795"/>
    </row>
    <row r="30" spans="1:7">
      <c r="A30" s="1789">
        <v>11</v>
      </c>
      <c r="B30" s="1790" t="s">
        <v>1549</v>
      </c>
      <c r="C30" s="1789">
        <v>8</v>
      </c>
      <c r="D30" s="1791">
        <v>7600</v>
      </c>
      <c r="E30" s="1805">
        <f>+C30*D30</f>
        <v>60800</v>
      </c>
      <c r="F30" s="1796" t="s">
        <v>1542</v>
      </c>
      <c r="G30" s="1803" t="s">
        <v>729</v>
      </c>
    </row>
    <row r="31" spans="1:7">
      <c r="A31" s="1778"/>
      <c r="B31" s="1779"/>
      <c r="C31" s="1778"/>
      <c r="D31" s="1780"/>
      <c r="E31" s="1780"/>
      <c r="F31" s="1797" t="s">
        <v>1550</v>
      </c>
      <c r="G31" s="1798"/>
    </row>
    <row r="32" spans="1:7">
      <c r="A32" s="1778"/>
      <c r="B32" s="1779"/>
      <c r="C32" s="1778"/>
      <c r="D32" s="1780"/>
      <c r="E32" s="1806"/>
      <c r="F32" s="1797" t="s">
        <v>1551</v>
      </c>
      <c r="G32" s="1798"/>
    </row>
    <row r="33" spans="1:7">
      <c r="A33" s="1778"/>
      <c r="B33" s="1779"/>
      <c r="C33" s="1778"/>
      <c r="D33" s="1780"/>
      <c r="E33" s="1780"/>
      <c r="F33" s="1797" t="s">
        <v>1552</v>
      </c>
      <c r="G33" s="1798"/>
    </row>
    <row r="34" spans="1:7">
      <c r="A34" s="1778"/>
      <c r="B34" s="1779"/>
      <c r="C34" s="1778"/>
      <c r="D34" s="1780"/>
      <c r="E34" s="1780"/>
      <c r="F34" s="1797" t="s">
        <v>1553</v>
      </c>
      <c r="G34" s="1798"/>
    </row>
    <row r="35" spans="1:7">
      <c r="A35" s="1784"/>
      <c r="B35" s="1793"/>
      <c r="C35" s="1784"/>
      <c r="D35" s="1785"/>
      <c r="E35" s="1785"/>
      <c r="F35" s="1794" t="s">
        <v>1540</v>
      </c>
      <c r="G35" s="1795"/>
    </row>
    <row r="36" spans="1:7">
      <c r="A36" s="1799">
        <v>12</v>
      </c>
      <c r="B36" s="1800" t="s">
        <v>1554</v>
      </c>
      <c r="C36" s="1799">
        <v>2</v>
      </c>
      <c r="D36" s="1801">
        <v>7600</v>
      </c>
      <c r="E36" s="1801">
        <f>+C36*D36</f>
        <v>15200</v>
      </c>
      <c r="F36" s="1802" t="s">
        <v>1555</v>
      </c>
      <c r="G36" s="1807" t="s">
        <v>729</v>
      </c>
    </row>
    <row r="37" spans="1:7">
      <c r="A37" s="1789">
        <v>13</v>
      </c>
      <c r="B37" s="1790" t="s">
        <v>1556</v>
      </c>
      <c r="C37" s="1789">
        <v>2</v>
      </c>
      <c r="D37" s="1791">
        <v>16900</v>
      </c>
      <c r="E37" s="1791">
        <f>+C37*D37</f>
        <v>33800</v>
      </c>
      <c r="F37" s="1802" t="s">
        <v>1557</v>
      </c>
      <c r="G37" s="1807" t="s">
        <v>729</v>
      </c>
    </row>
    <row r="38" spans="1:7">
      <c r="A38" s="1784"/>
      <c r="B38" s="1808"/>
      <c r="C38" s="1784"/>
      <c r="D38" s="1785"/>
      <c r="E38" s="1785"/>
      <c r="F38" s="1802" t="s">
        <v>1542</v>
      </c>
      <c r="G38" s="1807"/>
    </row>
    <row r="39" spans="1:7">
      <c r="A39" s="1799">
        <v>14</v>
      </c>
      <c r="B39" s="1800" t="s">
        <v>1558</v>
      </c>
      <c r="C39" s="1799">
        <v>3</v>
      </c>
      <c r="D39" s="1801">
        <v>12500</v>
      </c>
      <c r="E39" s="1801">
        <f>+C39*D39</f>
        <v>37500</v>
      </c>
      <c r="F39" s="1800" t="s">
        <v>1559</v>
      </c>
      <c r="G39" s="1807" t="s">
        <v>729</v>
      </c>
    </row>
    <row r="40" spans="1:7">
      <c r="A40" s="1809">
        <v>15</v>
      </c>
      <c r="B40" s="1810" t="s">
        <v>1560</v>
      </c>
      <c r="C40" s="1809">
        <v>2</v>
      </c>
      <c r="D40" s="1811">
        <v>3386</v>
      </c>
      <c r="E40" s="1811">
        <f>C40*D40</f>
        <v>6772</v>
      </c>
      <c r="F40" s="1812" t="s">
        <v>1561</v>
      </c>
      <c r="G40" s="1813" t="s">
        <v>729</v>
      </c>
    </row>
    <row r="41" spans="1:7">
      <c r="A41" s="1814">
        <v>16</v>
      </c>
      <c r="B41" s="1815" t="s">
        <v>1562</v>
      </c>
      <c r="C41" s="1816">
        <v>1</v>
      </c>
      <c r="D41" s="1817">
        <v>90000</v>
      </c>
      <c r="E41" s="1811">
        <f t="shared" ref="E41:E51" si="0">C41*D41</f>
        <v>90000</v>
      </c>
      <c r="F41" s="1818" t="s">
        <v>1563</v>
      </c>
      <c r="G41" s="1819" t="s">
        <v>729</v>
      </c>
    </row>
    <row r="42" spans="1:7">
      <c r="A42" s="1809">
        <v>17</v>
      </c>
      <c r="B42" s="1810" t="s">
        <v>1564</v>
      </c>
      <c r="C42" s="1809">
        <v>1</v>
      </c>
      <c r="D42" s="1820">
        <v>44000</v>
      </c>
      <c r="E42" s="1811">
        <f t="shared" si="0"/>
        <v>44000</v>
      </c>
      <c r="F42" s="1812" t="s">
        <v>1557</v>
      </c>
      <c r="G42" s="1819" t="s">
        <v>729</v>
      </c>
    </row>
    <row r="43" spans="1:7">
      <c r="A43" s="1809">
        <v>18</v>
      </c>
      <c r="B43" s="1810" t="s">
        <v>1565</v>
      </c>
      <c r="C43" s="1809">
        <v>4</v>
      </c>
      <c r="D43" s="1821">
        <v>8025</v>
      </c>
      <c r="E43" s="1811">
        <f t="shared" si="0"/>
        <v>32100</v>
      </c>
      <c r="F43" s="1810" t="s">
        <v>1532</v>
      </c>
      <c r="G43" s="1822" t="s">
        <v>729</v>
      </c>
    </row>
    <row r="44" spans="1:7">
      <c r="A44" s="1814">
        <v>19</v>
      </c>
      <c r="B44" s="1810" t="s">
        <v>1566</v>
      </c>
      <c r="C44" s="1809">
        <v>1</v>
      </c>
      <c r="D44" s="1823">
        <v>2990</v>
      </c>
      <c r="E44" s="1811">
        <f t="shared" si="0"/>
        <v>2990</v>
      </c>
      <c r="F44" s="1812" t="s">
        <v>1567</v>
      </c>
      <c r="G44" s="1822" t="s">
        <v>729</v>
      </c>
    </row>
    <row r="45" spans="1:7">
      <c r="A45" s="1809">
        <v>20</v>
      </c>
      <c r="B45" s="1810" t="s">
        <v>1568</v>
      </c>
      <c r="C45" s="1809">
        <v>1</v>
      </c>
      <c r="D45" s="1820">
        <v>9000</v>
      </c>
      <c r="E45" s="1811">
        <f t="shared" si="0"/>
        <v>9000</v>
      </c>
      <c r="F45" s="1812" t="s">
        <v>1569</v>
      </c>
      <c r="G45" s="1822" t="s">
        <v>729</v>
      </c>
    </row>
    <row r="46" spans="1:7">
      <c r="A46" s="1809">
        <v>21</v>
      </c>
      <c r="B46" s="1810" t="s">
        <v>1570</v>
      </c>
      <c r="C46" s="1809">
        <v>3</v>
      </c>
      <c r="D46" s="1820">
        <v>9000</v>
      </c>
      <c r="E46" s="1811">
        <f t="shared" si="0"/>
        <v>27000</v>
      </c>
      <c r="F46" s="1810" t="s">
        <v>1571</v>
      </c>
      <c r="G46" s="1822" t="s">
        <v>729</v>
      </c>
    </row>
    <row r="47" spans="1:7">
      <c r="A47" s="1814">
        <v>22</v>
      </c>
      <c r="B47" s="1810" t="s">
        <v>1572</v>
      </c>
      <c r="C47" s="1809">
        <v>10</v>
      </c>
      <c r="D47" s="1820">
        <v>2200</v>
      </c>
      <c r="E47" s="1811">
        <f t="shared" si="0"/>
        <v>22000</v>
      </c>
      <c r="F47" s="1810" t="s">
        <v>1532</v>
      </c>
      <c r="G47" s="1822" t="s">
        <v>729</v>
      </c>
    </row>
    <row r="48" spans="1:7">
      <c r="A48" s="1809">
        <v>23</v>
      </c>
      <c r="B48" s="1824" t="s">
        <v>1573</v>
      </c>
      <c r="C48" s="1825">
        <v>10</v>
      </c>
      <c r="D48" s="1826">
        <v>2200</v>
      </c>
      <c r="E48" s="1811">
        <f t="shared" si="0"/>
        <v>22000</v>
      </c>
      <c r="F48" s="1827" t="s">
        <v>1532</v>
      </c>
      <c r="G48" s="1828" t="s">
        <v>729</v>
      </c>
    </row>
    <row r="49" spans="1:7">
      <c r="A49" s="1809">
        <v>24</v>
      </c>
      <c r="B49" s="1829" t="s">
        <v>474</v>
      </c>
      <c r="C49" s="1814">
        <v>1</v>
      </c>
      <c r="D49" s="1830">
        <v>1873</v>
      </c>
      <c r="E49" s="1811">
        <f t="shared" si="0"/>
        <v>1873</v>
      </c>
      <c r="F49" s="1831" t="s">
        <v>1567</v>
      </c>
      <c r="G49" s="1832" t="s">
        <v>729</v>
      </c>
    </row>
    <row r="50" spans="1:7">
      <c r="A50" s="1814">
        <v>25</v>
      </c>
      <c r="B50" s="1833" t="s">
        <v>1574</v>
      </c>
      <c r="C50" s="1834">
        <v>2</v>
      </c>
      <c r="D50" s="1835">
        <v>45650</v>
      </c>
      <c r="E50" s="1811">
        <f t="shared" si="0"/>
        <v>91300</v>
      </c>
      <c r="F50" s="1836" t="s">
        <v>1532</v>
      </c>
      <c r="G50" s="1837" t="s">
        <v>729</v>
      </c>
    </row>
    <row r="51" spans="1:7">
      <c r="A51" s="1809">
        <v>26</v>
      </c>
      <c r="B51" s="1833" t="s">
        <v>1575</v>
      </c>
      <c r="C51" s="1825">
        <v>10</v>
      </c>
      <c r="D51" s="1835">
        <v>4370</v>
      </c>
      <c r="E51" s="1811">
        <f t="shared" si="0"/>
        <v>43700</v>
      </c>
      <c r="F51" s="1836" t="s">
        <v>1532</v>
      </c>
      <c r="G51" s="1837" t="s">
        <v>729</v>
      </c>
    </row>
    <row r="52" spans="1:7">
      <c r="A52" s="1838"/>
      <c r="B52" s="297" t="s">
        <v>1576</v>
      </c>
      <c r="C52" s="1839">
        <v>1</v>
      </c>
      <c r="D52" s="1840">
        <v>6500</v>
      </c>
      <c r="E52" s="1841">
        <f t="shared" ref="E52" si="1">+C52*D52</f>
        <v>6500</v>
      </c>
      <c r="F52" s="1842" t="s">
        <v>963</v>
      </c>
      <c r="G52" s="1843" t="s">
        <v>729</v>
      </c>
    </row>
    <row r="53" spans="1:7">
      <c r="A53" s="1838"/>
      <c r="B53" s="301" t="s">
        <v>1577</v>
      </c>
      <c r="C53" s="1844">
        <v>1</v>
      </c>
      <c r="D53" s="1845">
        <v>500000</v>
      </c>
      <c r="E53" s="1823">
        <f>+C53*D53</f>
        <v>500000</v>
      </c>
      <c r="F53" s="1846" t="s">
        <v>422</v>
      </c>
      <c r="G53" s="1843"/>
    </row>
    <row r="54" spans="1:7">
      <c r="A54" s="1799">
        <v>37</v>
      </c>
      <c r="B54" s="1800" t="s">
        <v>1578</v>
      </c>
      <c r="C54" s="1847">
        <v>10</v>
      </c>
      <c r="D54" s="1801">
        <v>8700</v>
      </c>
      <c r="E54" s="1801">
        <f>+C54*D54</f>
        <v>87000</v>
      </c>
      <c r="F54" s="1800" t="s">
        <v>1579</v>
      </c>
      <c r="G54" s="1848" t="s">
        <v>464</v>
      </c>
    </row>
    <row r="55" spans="1:7">
      <c r="A55" s="1789">
        <v>38</v>
      </c>
      <c r="B55" s="1790" t="s">
        <v>1321</v>
      </c>
      <c r="C55" s="1789">
        <v>5</v>
      </c>
      <c r="D55" s="1791">
        <v>5400</v>
      </c>
      <c r="E55" s="1791">
        <f>C55*D55</f>
        <v>27000</v>
      </c>
      <c r="F55" s="1796" t="s">
        <v>1580</v>
      </c>
      <c r="G55" s="1803" t="s">
        <v>464</v>
      </c>
    </row>
    <row r="56" spans="1:7">
      <c r="A56" s="1784"/>
      <c r="B56" s="1793"/>
      <c r="C56" s="1784"/>
      <c r="D56" s="1785"/>
      <c r="E56" s="1785"/>
      <c r="F56" s="1794" t="s">
        <v>1581</v>
      </c>
      <c r="G56" s="1795"/>
    </row>
    <row r="57" spans="1:7">
      <c r="A57" s="1834">
        <v>39</v>
      </c>
      <c r="B57" s="1833" t="s">
        <v>1582</v>
      </c>
      <c r="C57" s="1834">
        <v>8</v>
      </c>
      <c r="D57" s="1849">
        <v>12700</v>
      </c>
      <c r="E57" s="1849">
        <f>C57*D57</f>
        <v>101600</v>
      </c>
      <c r="F57" s="1850" t="s">
        <v>1583</v>
      </c>
      <c r="G57" s="1851" t="s">
        <v>464</v>
      </c>
    </row>
    <row r="58" spans="1:7">
      <c r="A58" s="1814"/>
      <c r="B58" s="1829"/>
      <c r="C58" s="1814"/>
      <c r="D58" s="1830"/>
      <c r="E58" s="1830"/>
      <c r="F58" s="1831" t="s">
        <v>1535</v>
      </c>
      <c r="G58" s="1852"/>
    </row>
    <row r="59" spans="1:7">
      <c r="A59" s="1834">
        <v>40</v>
      </c>
      <c r="B59" s="1833" t="s">
        <v>1584</v>
      </c>
      <c r="C59" s="1834">
        <v>8</v>
      </c>
      <c r="D59" s="1835">
        <v>7500</v>
      </c>
      <c r="E59" s="1849">
        <f>C59*D59</f>
        <v>60000</v>
      </c>
      <c r="F59" s="1850" t="s">
        <v>1583</v>
      </c>
      <c r="G59" s="1851" t="s">
        <v>464</v>
      </c>
    </row>
    <row r="60" spans="1:7">
      <c r="A60" s="1814"/>
      <c r="B60" s="1829"/>
      <c r="C60" s="1814"/>
      <c r="D60" s="1830"/>
      <c r="E60" s="1830"/>
      <c r="F60" s="1831" t="s">
        <v>1535</v>
      </c>
      <c r="G60" s="1852"/>
    </row>
    <row r="61" spans="1:7">
      <c r="A61" s="1825">
        <v>41</v>
      </c>
      <c r="B61" s="1824" t="s">
        <v>1585</v>
      </c>
      <c r="C61" s="1825">
        <v>4</v>
      </c>
      <c r="D61" s="1826">
        <v>9700</v>
      </c>
      <c r="E61" s="1826">
        <f t="shared" ref="E61:E75" si="2">+C61*D61</f>
        <v>38800</v>
      </c>
      <c r="F61" s="1827" t="s">
        <v>1532</v>
      </c>
      <c r="G61" s="1853" t="s">
        <v>464</v>
      </c>
    </row>
    <row r="62" spans="1:7">
      <c r="A62" s="1784">
        <v>42</v>
      </c>
      <c r="B62" s="1793" t="s">
        <v>1586</v>
      </c>
      <c r="C62" s="1784">
        <v>2</v>
      </c>
      <c r="D62" s="1854">
        <v>15000</v>
      </c>
      <c r="E62" s="1854">
        <f t="shared" si="2"/>
        <v>30000</v>
      </c>
      <c r="F62" s="1794" t="s">
        <v>1587</v>
      </c>
      <c r="G62" s="1795" t="s">
        <v>464</v>
      </c>
    </row>
    <row r="63" spans="1:7">
      <c r="A63" s="1799">
        <v>43</v>
      </c>
      <c r="B63" s="1800" t="s">
        <v>1588</v>
      </c>
      <c r="C63" s="1799">
        <v>6</v>
      </c>
      <c r="D63" s="1801">
        <v>7275</v>
      </c>
      <c r="E63" s="1801">
        <f t="shared" si="2"/>
        <v>43650</v>
      </c>
      <c r="F63" s="1802" t="s">
        <v>1579</v>
      </c>
      <c r="G63" s="1807" t="s">
        <v>464</v>
      </c>
    </row>
    <row r="64" spans="1:7">
      <c r="A64" s="1799">
        <v>44</v>
      </c>
      <c r="B64" s="1800" t="s">
        <v>1589</v>
      </c>
      <c r="C64" s="1799">
        <v>1</v>
      </c>
      <c r="D64" s="1801">
        <v>18000</v>
      </c>
      <c r="E64" s="1801">
        <f t="shared" si="2"/>
        <v>18000</v>
      </c>
      <c r="F64" s="1802" t="s">
        <v>1579</v>
      </c>
      <c r="G64" s="1807" t="s">
        <v>464</v>
      </c>
    </row>
    <row r="65" spans="1:7">
      <c r="A65" s="1809">
        <v>45</v>
      </c>
      <c r="B65" s="1810" t="s">
        <v>1590</v>
      </c>
      <c r="C65" s="1809">
        <v>1</v>
      </c>
      <c r="D65" s="1820">
        <v>35000</v>
      </c>
      <c r="E65" s="1855">
        <f t="shared" si="2"/>
        <v>35000</v>
      </c>
      <c r="F65" s="1812" t="s">
        <v>1579</v>
      </c>
      <c r="G65" s="1813" t="s">
        <v>464</v>
      </c>
    </row>
    <row r="66" spans="1:7">
      <c r="A66" s="1809">
        <v>46</v>
      </c>
      <c r="B66" s="1810" t="s">
        <v>1591</v>
      </c>
      <c r="C66" s="1809">
        <v>5</v>
      </c>
      <c r="D66" s="1820">
        <v>35000</v>
      </c>
      <c r="E66" s="1855">
        <f t="shared" si="2"/>
        <v>175000</v>
      </c>
      <c r="F66" s="1812" t="s">
        <v>1592</v>
      </c>
      <c r="G66" s="1813" t="s">
        <v>464</v>
      </c>
    </row>
    <row r="67" spans="1:7">
      <c r="A67" s="1809">
        <v>47</v>
      </c>
      <c r="B67" s="1810" t="s">
        <v>1593</v>
      </c>
      <c r="C67" s="1809">
        <v>8</v>
      </c>
      <c r="D67" s="1820">
        <v>7566</v>
      </c>
      <c r="E67" s="1855">
        <f t="shared" si="2"/>
        <v>60528</v>
      </c>
      <c r="F67" s="1812" t="s">
        <v>1579</v>
      </c>
      <c r="G67" s="1813" t="s">
        <v>464</v>
      </c>
    </row>
    <row r="68" spans="1:7">
      <c r="A68" s="1809">
        <v>48</v>
      </c>
      <c r="B68" s="1810" t="s">
        <v>1594</v>
      </c>
      <c r="C68" s="1809">
        <v>2</v>
      </c>
      <c r="D68" s="1820">
        <v>16000</v>
      </c>
      <c r="E68" s="1855">
        <f t="shared" si="2"/>
        <v>32000</v>
      </c>
      <c r="F68" s="1812" t="s">
        <v>1579</v>
      </c>
      <c r="G68" s="1822" t="s">
        <v>464</v>
      </c>
    </row>
    <row r="69" spans="1:7">
      <c r="A69" s="1809">
        <v>49</v>
      </c>
      <c r="B69" s="1810" t="s">
        <v>1595</v>
      </c>
      <c r="C69" s="1809">
        <v>2</v>
      </c>
      <c r="D69" s="1820">
        <v>28000</v>
      </c>
      <c r="E69" s="1855">
        <f t="shared" si="2"/>
        <v>56000</v>
      </c>
      <c r="F69" s="1812" t="s">
        <v>1579</v>
      </c>
      <c r="G69" s="1822" t="s">
        <v>464</v>
      </c>
    </row>
    <row r="70" spans="1:7">
      <c r="A70" s="1809">
        <v>50</v>
      </c>
      <c r="B70" s="1810" t="s">
        <v>1596</v>
      </c>
      <c r="C70" s="1809">
        <v>4</v>
      </c>
      <c r="D70" s="1820">
        <v>6300</v>
      </c>
      <c r="E70" s="1855">
        <f t="shared" si="2"/>
        <v>25200</v>
      </c>
      <c r="F70" s="1812" t="s">
        <v>1579</v>
      </c>
      <c r="G70" s="1822" t="s">
        <v>464</v>
      </c>
    </row>
    <row r="71" spans="1:7">
      <c r="A71" s="1809">
        <v>51</v>
      </c>
      <c r="B71" s="1810" t="s">
        <v>1597</v>
      </c>
      <c r="C71" s="1809">
        <v>2</v>
      </c>
      <c r="D71" s="1820">
        <v>45000</v>
      </c>
      <c r="E71" s="1855">
        <f t="shared" si="2"/>
        <v>90000</v>
      </c>
      <c r="F71" s="1812" t="s">
        <v>1579</v>
      </c>
      <c r="G71" s="1822" t="s">
        <v>464</v>
      </c>
    </row>
    <row r="72" spans="1:7">
      <c r="A72" s="1809">
        <v>52</v>
      </c>
      <c r="B72" s="1810" t="s">
        <v>1598</v>
      </c>
      <c r="C72" s="1809">
        <v>1</v>
      </c>
      <c r="D72" s="1811">
        <v>260000</v>
      </c>
      <c r="E72" s="1855">
        <f t="shared" si="2"/>
        <v>260000</v>
      </c>
      <c r="F72" s="1812" t="s">
        <v>1532</v>
      </c>
      <c r="G72" s="1822" t="s">
        <v>464</v>
      </c>
    </row>
    <row r="73" spans="1:7">
      <c r="A73" s="1809">
        <v>53</v>
      </c>
      <c r="B73" s="1810" t="s">
        <v>1599</v>
      </c>
      <c r="C73" s="1809">
        <v>18</v>
      </c>
      <c r="D73" s="1820">
        <v>110000</v>
      </c>
      <c r="E73" s="1855">
        <f t="shared" si="2"/>
        <v>1980000</v>
      </c>
      <c r="F73" s="1812" t="s">
        <v>1579</v>
      </c>
      <c r="G73" s="1822" t="s">
        <v>464</v>
      </c>
    </row>
    <row r="74" spans="1:7">
      <c r="A74" s="1809">
        <v>54</v>
      </c>
      <c r="B74" s="1810" t="s">
        <v>1600</v>
      </c>
      <c r="C74" s="1809">
        <v>7</v>
      </c>
      <c r="D74" s="1820">
        <v>2619</v>
      </c>
      <c r="E74" s="1855">
        <f t="shared" si="2"/>
        <v>18333</v>
      </c>
      <c r="F74" s="1856" t="s">
        <v>1579</v>
      </c>
      <c r="G74" s="1822" t="s">
        <v>464</v>
      </c>
    </row>
    <row r="75" spans="1:7">
      <c r="A75" s="1809">
        <v>55</v>
      </c>
      <c r="B75" s="1810" t="s">
        <v>1601</v>
      </c>
      <c r="C75" s="1809">
        <v>1</v>
      </c>
      <c r="D75" s="1855">
        <v>3500000</v>
      </c>
      <c r="E75" s="1855">
        <f t="shared" si="2"/>
        <v>3500000</v>
      </c>
      <c r="F75" s="1856" t="s">
        <v>1602</v>
      </c>
      <c r="G75" s="1822" t="s">
        <v>464</v>
      </c>
    </row>
    <row r="76" spans="1:7">
      <c r="A76" s="1809">
        <v>6</v>
      </c>
      <c r="B76" s="1829" t="s">
        <v>1603</v>
      </c>
      <c r="C76" s="1814">
        <v>1</v>
      </c>
      <c r="D76" s="1857">
        <v>3910850</v>
      </c>
      <c r="E76" s="1857">
        <v>3910850</v>
      </c>
      <c r="F76" s="1831" t="s">
        <v>1567</v>
      </c>
      <c r="G76" s="1832" t="s">
        <v>464</v>
      </c>
    </row>
    <row r="77" spans="1:7">
      <c r="A77" s="1838"/>
      <c r="B77" s="297" t="s">
        <v>1604</v>
      </c>
      <c r="C77" s="1839">
        <v>1</v>
      </c>
      <c r="D77" s="1840">
        <v>99000</v>
      </c>
      <c r="E77" s="1841">
        <f t="shared" ref="E77:E86" si="3">+C77*D77</f>
        <v>99000</v>
      </c>
      <c r="F77" s="1842" t="s">
        <v>963</v>
      </c>
      <c r="G77" s="1843" t="s">
        <v>464</v>
      </c>
    </row>
    <row r="78" spans="1:7">
      <c r="A78" s="1838"/>
      <c r="B78" s="297" t="s">
        <v>1605</v>
      </c>
      <c r="C78" s="1839">
        <v>6</v>
      </c>
      <c r="D78" s="1840">
        <v>15000</v>
      </c>
      <c r="E78" s="1841">
        <f t="shared" si="3"/>
        <v>90000</v>
      </c>
      <c r="F78" s="1842" t="s">
        <v>963</v>
      </c>
      <c r="G78" s="1843" t="s">
        <v>464</v>
      </c>
    </row>
    <row r="79" spans="1:7">
      <c r="A79" s="1838"/>
      <c r="B79" s="297" t="s">
        <v>1606</v>
      </c>
      <c r="C79" s="1839">
        <v>1</v>
      </c>
      <c r="D79" s="1840">
        <v>24600</v>
      </c>
      <c r="E79" s="1841">
        <f t="shared" si="3"/>
        <v>24600</v>
      </c>
      <c r="F79" s="1842" t="s">
        <v>963</v>
      </c>
      <c r="G79" s="1843" t="s">
        <v>464</v>
      </c>
    </row>
    <row r="80" spans="1:7">
      <c r="A80" s="1838"/>
      <c r="B80" s="297" t="s">
        <v>1607</v>
      </c>
      <c r="C80" s="1839">
        <v>1</v>
      </c>
      <c r="D80" s="1840">
        <v>8600</v>
      </c>
      <c r="E80" s="1841">
        <f t="shared" si="3"/>
        <v>8600</v>
      </c>
      <c r="F80" s="1842" t="s">
        <v>963</v>
      </c>
      <c r="G80" s="1843" t="s">
        <v>464</v>
      </c>
    </row>
    <row r="81" spans="1:7">
      <c r="A81" s="1838"/>
      <c r="B81" s="297" t="s">
        <v>1608</v>
      </c>
      <c r="C81" s="1839">
        <v>3</v>
      </c>
      <c r="D81" s="1840">
        <v>6000</v>
      </c>
      <c r="E81" s="1841">
        <f t="shared" si="3"/>
        <v>18000</v>
      </c>
      <c r="F81" s="1842" t="s">
        <v>963</v>
      </c>
      <c r="G81" s="1843" t="s">
        <v>464</v>
      </c>
    </row>
    <row r="82" spans="1:7">
      <c r="A82" s="1838"/>
      <c r="B82" s="297" t="s">
        <v>1609</v>
      </c>
      <c r="C82" s="1839">
        <v>8</v>
      </c>
      <c r="D82" s="1840">
        <v>2000</v>
      </c>
      <c r="E82" s="1841">
        <f t="shared" si="3"/>
        <v>16000</v>
      </c>
      <c r="F82" s="1842" t="s">
        <v>963</v>
      </c>
      <c r="G82" s="1843" t="s">
        <v>464</v>
      </c>
    </row>
    <row r="83" spans="1:7">
      <c r="A83" s="1838"/>
      <c r="B83" s="297" t="s">
        <v>1610</v>
      </c>
      <c r="C83" s="1839">
        <v>24</v>
      </c>
      <c r="D83" s="1840">
        <v>750</v>
      </c>
      <c r="E83" s="1841">
        <f t="shared" si="3"/>
        <v>18000</v>
      </c>
      <c r="F83" s="1842" t="s">
        <v>963</v>
      </c>
      <c r="G83" s="1843" t="s">
        <v>464</v>
      </c>
    </row>
    <row r="84" spans="1:7">
      <c r="A84" s="1799">
        <v>62</v>
      </c>
      <c r="B84" s="1790" t="s">
        <v>1611</v>
      </c>
      <c r="C84" s="1799">
        <v>2</v>
      </c>
      <c r="D84" s="1801">
        <v>8900</v>
      </c>
      <c r="E84" s="1801">
        <f t="shared" si="3"/>
        <v>17800</v>
      </c>
      <c r="F84" s="1802" t="s">
        <v>1612</v>
      </c>
      <c r="G84" s="1807" t="s">
        <v>728</v>
      </c>
    </row>
    <row r="85" spans="1:7">
      <c r="A85" s="1799" t="s">
        <v>1613</v>
      </c>
      <c r="B85" s="1800" t="s">
        <v>1614</v>
      </c>
      <c r="C85" s="1799">
        <v>6</v>
      </c>
      <c r="D85" s="1801">
        <v>4300</v>
      </c>
      <c r="E85" s="1801">
        <f t="shared" si="3"/>
        <v>25800</v>
      </c>
      <c r="F85" s="1800" t="s">
        <v>1532</v>
      </c>
      <c r="G85" s="1807" t="s">
        <v>728</v>
      </c>
    </row>
    <row r="86" spans="1:7">
      <c r="A86" s="1789" t="s">
        <v>1615</v>
      </c>
      <c r="B86" s="1790" t="s">
        <v>1616</v>
      </c>
      <c r="C86" s="1789">
        <f>4+2+2</f>
        <v>8</v>
      </c>
      <c r="D86" s="1791">
        <v>9500</v>
      </c>
      <c r="E86" s="1791">
        <f t="shared" si="3"/>
        <v>76000</v>
      </c>
      <c r="F86" s="1796" t="s">
        <v>1547</v>
      </c>
      <c r="G86" s="1803" t="s">
        <v>728</v>
      </c>
    </row>
    <row r="87" spans="1:7">
      <c r="A87" s="1778"/>
      <c r="B87" s="1779"/>
      <c r="C87" s="1778"/>
      <c r="D87" s="1780"/>
      <c r="E87" s="1780"/>
      <c r="F87" s="1779" t="s">
        <v>1617</v>
      </c>
      <c r="G87" s="1858"/>
    </row>
    <row r="88" spans="1:7">
      <c r="A88" s="1778"/>
      <c r="B88" s="1779"/>
      <c r="C88" s="1778"/>
      <c r="D88" s="1780"/>
      <c r="E88" s="1780"/>
      <c r="F88" s="1797" t="s">
        <v>1541</v>
      </c>
      <c r="G88" s="1798"/>
    </row>
    <row r="89" spans="1:7">
      <c r="A89" s="1859"/>
      <c r="B89" s="1860"/>
      <c r="C89" s="1859"/>
      <c r="D89" s="1861"/>
      <c r="E89" s="1861"/>
      <c r="F89" s="1862" t="s">
        <v>1618</v>
      </c>
      <c r="G89" s="1863"/>
    </row>
    <row r="90" spans="1:7">
      <c r="A90" s="1778">
        <v>65</v>
      </c>
      <c r="B90" s="1779" t="s">
        <v>1619</v>
      </c>
      <c r="C90" s="1778">
        <v>4</v>
      </c>
      <c r="D90" s="1780">
        <v>20000</v>
      </c>
      <c r="E90" s="1780">
        <f>+C90*D90</f>
        <v>80000</v>
      </c>
      <c r="F90" s="1797" t="s">
        <v>1538</v>
      </c>
      <c r="G90" s="1798" t="s">
        <v>728</v>
      </c>
    </row>
    <row r="91" spans="1:7">
      <c r="A91" s="1784"/>
      <c r="B91" s="1793"/>
      <c r="C91" s="1784"/>
      <c r="D91" s="1785"/>
      <c r="E91" s="1785"/>
      <c r="F91" s="1794" t="s">
        <v>1537</v>
      </c>
      <c r="G91" s="1795"/>
    </row>
    <row r="92" spans="1:7">
      <c r="A92" s="1789">
        <v>66</v>
      </c>
      <c r="B92" s="1790" t="s">
        <v>1620</v>
      </c>
      <c r="C92" s="1789">
        <v>3</v>
      </c>
      <c r="D92" s="1805">
        <v>5990</v>
      </c>
      <c r="E92" s="1805">
        <f>+C92*D92</f>
        <v>17970</v>
      </c>
      <c r="F92" s="1797" t="s">
        <v>1561</v>
      </c>
      <c r="G92" s="1807" t="s">
        <v>728</v>
      </c>
    </row>
    <row r="93" spans="1:7">
      <c r="A93" s="1809">
        <v>67</v>
      </c>
      <c r="B93" s="1810" t="s">
        <v>1621</v>
      </c>
      <c r="C93" s="1809">
        <v>1</v>
      </c>
      <c r="D93" s="1855">
        <v>10590</v>
      </c>
      <c r="E93" s="1855">
        <f>+C93*D93</f>
        <v>10590</v>
      </c>
      <c r="F93" s="1812" t="s">
        <v>1532</v>
      </c>
      <c r="G93" s="1813" t="s">
        <v>728</v>
      </c>
    </row>
    <row r="94" spans="1:7">
      <c r="A94" s="1789">
        <v>68</v>
      </c>
      <c r="B94" s="1790" t="s">
        <v>1622</v>
      </c>
      <c r="C94" s="1789">
        <v>4</v>
      </c>
      <c r="D94" s="1791">
        <v>6000</v>
      </c>
      <c r="E94" s="1791">
        <f>+C94*D94</f>
        <v>24000</v>
      </c>
      <c r="F94" s="1796" t="s">
        <v>1537</v>
      </c>
      <c r="G94" s="1803" t="s">
        <v>728</v>
      </c>
    </row>
    <row r="95" spans="1:7">
      <c r="A95" s="1784"/>
      <c r="B95" s="1793"/>
      <c r="C95" s="1784"/>
      <c r="D95" s="1785"/>
      <c r="E95" s="1785"/>
      <c r="F95" s="1794" t="s">
        <v>1538</v>
      </c>
      <c r="G95" s="1795"/>
    </row>
    <row r="96" spans="1:7">
      <c r="A96" s="1799">
        <v>69</v>
      </c>
      <c r="B96" s="1800" t="s">
        <v>1623</v>
      </c>
      <c r="C96" s="1799">
        <v>3</v>
      </c>
      <c r="D96" s="1864">
        <v>4900</v>
      </c>
      <c r="E96" s="1864">
        <f>+C96*D96</f>
        <v>14700</v>
      </c>
      <c r="F96" s="1802" t="s">
        <v>1561</v>
      </c>
      <c r="G96" s="1807" t="s">
        <v>728</v>
      </c>
    </row>
    <row r="97" spans="1:7">
      <c r="A97" s="1789">
        <v>70</v>
      </c>
      <c r="B97" s="1790" t="s">
        <v>1624</v>
      </c>
      <c r="C97" s="1789">
        <v>6</v>
      </c>
      <c r="D97" s="1791">
        <v>8000</v>
      </c>
      <c r="E97" s="1791">
        <f>+C97*D97</f>
        <v>48000</v>
      </c>
      <c r="F97" s="1796" t="s">
        <v>1592</v>
      </c>
      <c r="G97" s="1803" t="s">
        <v>728</v>
      </c>
    </row>
    <row r="98" spans="1:7">
      <c r="A98" s="306">
        <v>71</v>
      </c>
      <c r="B98" s="309" t="s">
        <v>1625</v>
      </c>
      <c r="C98" s="310">
        <v>1</v>
      </c>
      <c r="D98" s="1909">
        <v>8190</v>
      </c>
      <c r="E98" s="1909">
        <f>+C98*D98</f>
        <v>8190</v>
      </c>
      <c r="F98" s="1908" t="s">
        <v>1563</v>
      </c>
      <c r="G98" s="390" t="s">
        <v>728</v>
      </c>
    </row>
    <row r="99" spans="1:7">
      <c r="A99" s="306">
        <v>72</v>
      </c>
      <c r="B99" s="309" t="s">
        <v>1626</v>
      </c>
      <c r="C99" s="310">
        <v>1</v>
      </c>
      <c r="D99" s="1907">
        <v>5500</v>
      </c>
      <c r="E99" s="1907">
        <v>5000</v>
      </c>
      <c r="F99" s="1908" t="s">
        <v>1563</v>
      </c>
      <c r="G99" s="221" t="s">
        <v>728</v>
      </c>
    </row>
    <row r="100" spans="1:7">
      <c r="A100" s="306">
        <v>73</v>
      </c>
      <c r="B100" s="305" t="s">
        <v>1627</v>
      </c>
      <c r="C100" s="306">
        <v>1</v>
      </c>
      <c r="D100" s="1841">
        <v>7800</v>
      </c>
      <c r="E100" s="1841">
        <v>7800</v>
      </c>
      <c r="F100" s="1856" t="s">
        <v>1567</v>
      </c>
      <c r="G100" s="221" t="s">
        <v>728</v>
      </c>
    </row>
    <row r="101" spans="1:7">
      <c r="A101" s="306">
        <v>81</v>
      </c>
      <c r="B101" s="305" t="s">
        <v>1628</v>
      </c>
      <c r="C101" s="306">
        <v>10</v>
      </c>
      <c r="D101" s="1841">
        <v>6500</v>
      </c>
      <c r="E101" s="1904">
        <f t="shared" ref="E101:E111" si="4">C101*D101</f>
        <v>65000</v>
      </c>
      <c r="F101" s="1856" t="s">
        <v>1629</v>
      </c>
      <c r="G101" s="390" t="s">
        <v>730</v>
      </c>
    </row>
    <row r="102" spans="1:7">
      <c r="A102" s="1814">
        <v>82</v>
      </c>
      <c r="B102" s="1829" t="s">
        <v>1630</v>
      </c>
      <c r="C102" s="1814">
        <v>25</v>
      </c>
      <c r="D102" s="1830">
        <v>7500</v>
      </c>
      <c r="E102" s="1865">
        <f t="shared" si="4"/>
        <v>187500</v>
      </c>
      <c r="F102" s="1831" t="s">
        <v>1629</v>
      </c>
      <c r="G102" s="1832" t="s">
        <v>730</v>
      </c>
    </row>
    <row r="103" spans="1:7">
      <c r="A103" s="1809">
        <v>83</v>
      </c>
      <c r="B103" s="1810" t="s">
        <v>1631</v>
      </c>
      <c r="C103" s="1809">
        <v>1</v>
      </c>
      <c r="D103" s="1811">
        <v>10000</v>
      </c>
      <c r="E103" s="1811">
        <f t="shared" si="4"/>
        <v>10000</v>
      </c>
      <c r="F103" s="1810" t="s">
        <v>1632</v>
      </c>
      <c r="G103" s="1822" t="s">
        <v>730</v>
      </c>
    </row>
    <row r="104" spans="1:7">
      <c r="A104" s="1814">
        <v>84</v>
      </c>
      <c r="B104" s="1810" t="s">
        <v>1633</v>
      </c>
      <c r="C104" s="1809">
        <v>1</v>
      </c>
      <c r="D104" s="1820">
        <v>200000</v>
      </c>
      <c r="E104" s="1811">
        <f t="shared" si="4"/>
        <v>200000</v>
      </c>
      <c r="F104" s="1812" t="s">
        <v>1629</v>
      </c>
      <c r="G104" s="1822" t="s">
        <v>730</v>
      </c>
    </row>
    <row r="105" spans="1:7">
      <c r="A105" s="1814">
        <v>85</v>
      </c>
      <c r="B105" s="1810" t="s">
        <v>1634</v>
      </c>
      <c r="C105" s="1809">
        <v>70</v>
      </c>
      <c r="D105" s="1820">
        <v>36000</v>
      </c>
      <c r="E105" s="1811">
        <f t="shared" si="4"/>
        <v>2520000</v>
      </c>
      <c r="F105" s="1812" t="s">
        <v>1629</v>
      </c>
      <c r="G105" s="1822" t="s">
        <v>730</v>
      </c>
    </row>
    <row r="106" spans="1:7">
      <c r="A106" s="1809">
        <v>86</v>
      </c>
      <c r="B106" s="1810" t="s">
        <v>1635</v>
      </c>
      <c r="C106" s="1809">
        <v>1</v>
      </c>
      <c r="D106" s="1820">
        <v>1000000</v>
      </c>
      <c r="E106" s="1811">
        <f t="shared" si="4"/>
        <v>1000000</v>
      </c>
      <c r="F106" s="1812" t="s">
        <v>1629</v>
      </c>
      <c r="G106" s="1822" t="s">
        <v>730</v>
      </c>
    </row>
    <row r="107" spans="1:7">
      <c r="A107" s="1814">
        <v>87</v>
      </c>
      <c r="B107" s="1498" t="s">
        <v>1636</v>
      </c>
      <c r="C107" s="1499">
        <v>2</v>
      </c>
      <c r="D107" s="1866">
        <v>100000</v>
      </c>
      <c r="E107" s="1811">
        <f t="shared" si="4"/>
        <v>200000</v>
      </c>
      <c r="F107" s="1867" t="s">
        <v>1532</v>
      </c>
      <c r="G107" s="1822" t="s">
        <v>730</v>
      </c>
    </row>
    <row r="108" spans="1:7">
      <c r="A108" s="1814">
        <v>88</v>
      </c>
      <c r="B108" s="1502" t="s">
        <v>1637</v>
      </c>
      <c r="C108" s="1816">
        <v>4</v>
      </c>
      <c r="D108" s="1817">
        <v>6500</v>
      </c>
      <c r="E108" s="1811">
        <f t="shared" si="4"/>
        <v>26000</v>
      </c>
      <c r="F108" s="1818" t="s">
        <v>1629</v>
      </c>
      <c r="G108" s="1819" t="s">
        <v>730</v>
      </c>
    </row>
    <row r="109" spans="1:7">
      <c r="A109" s="1809">
        <v>89</v>
      </c>
      <c r="B109" s="1824" t="s">
        <v>1638</v>
      </c>
      <c r="C109" s="1825">
        <v>35</v>
      </c>
      <c r="D109" s="1826">
        <v>10700</v>
      </c>
      <c r="E109" s="1811">
        <f t="shared" si="4"/>
        <v>374500</v>
      </c>
      <c r="F109" s="1868" t="s">
        <v>1629</v>
      </c>
      <c r="G109" s="1828" t="s">
        <v>730</v>
      </c>
    </row>
    <row r="110" spans="1:7">
      <c r="A110" s="1814">
        <v>90</v>
      </c>
      <c r="B110" s="1833" t="s">
        <v>1639</v>
      </c>
      <c r="C110" s="1834">
        <v>1</v>
      </c>
      <c r="D110" s="1849">
        <v>2750000</v>
      </c>
      <c r="E110" s="1811">
        <f t="shared" si="4"/>
        <v>2750000</v>
      </c>
      <c r="F110" s="1850" t="s">
        <v>1629</v>
      </c>
      <c r="G110" s="1837" t="s">
        <v>1640</v>
      </c>
    </row>
    <row r="111" spans="1:7">
      <c r="A111" s="1814">
        <v>91</v>
      </c>
      <c r="B111" s="305" t="s">
        <v>1641</v>
      </c>
      <c r="C111" s="306">
        <v>1</v>
      </c>
      <c r="D111" s="1841">
        <v>51360</v>
      </c>
      <c r="E111" s="1811">
        <f t="shared" si="4"/>
        <v>51360</v>
      </c>
      <c r="F111" s="305" t="s">
        <v>1571</v>
      </c>
      <c r="G111" s="390" t="s">
        <v>1640</v>
      </c>
    </row>
    <row r="112" spans="1:7">
      <c r="A112" s="1871">
        <v>9</v>
      </c>
      <c r="B112" s="1872" t="s">
        <v>1642</v>
      </c>
      <c r="C112" s="1871">
        <v>64</v>
      </c>
      <c r="D112" s="1873">
        <v>390</v>
      </c>
      <c r="E112" s="1874">
        <f>+C112*D112</f>
        <v>24960</v>
      </c>
      <c r="F112" s="1875" t="s">
        <v>1643</v>
      </c>
      <c r="G112" s="1783" t="s">
        <v>1644</v>
      </c>
    </row>
    <row r="113" spans="1:7">
      <c r="A113" s="1876"/>
      <c r="B113" s="1876"/>
      <c r="C113" s="1876"/>
      <c r="D113" s="1877"/>
      <c r="E113" s="1878"/>
      <c r="F113" s="1879" t="s">
        <v>1645</v>
      </c>
      <c r="G113" s="1783"/>
    </row>
    <row r="114" spans="1:7">
      <c r="A114" s="1778"/>
      <c r="B114" s="1778"/>
      <c r="C114" s="1778"/>
      <c r="D114" s="1780"/>
      <c r="E114" s="1781"/>
      <c r="F114" s="1879" t="s">
        <v>1529</v>
      </c>
      <c r="G114" s="1783"/>
    </row>
    <row r="115" spans="1:7">
      <c r="A115" s="1778"/>
      <c r="B115" s="1778"/>
      <c r="C115" s="1778"/>
      <c r="D115" s="1780"/>
      <c r="E115" s="1781"/>
      <c r="F115" s="1879" t="s">
        <v>1646</v>
      </c>
      <c r="G115" s="1783"/>
    </row>
    <row r="116" spans="1:7">
      <c r="A116" s="1778"/>
      <c r="B116" s="1778"/>
      <c r="C116" s="1778"/>
      <c r="D116" s="1780"/>
      <c r="E116" s="1781"/>
      <c r="F116" s="1879" t="s">
        <v>1583</v>
      </c>
      <c r="G116" s="1783"/>
    </row>
    <row r="117" spans="1:7">
      <c r="A117" s="1778"/>
      <c r="B117" s="1778"/>
      <c r="C117" s="1778"/>
      <c r="D117" s="1780"/>
      <c r="E117" s="1781"/>
      <c r="F117" s="1879" t="s">
        <v>1647</v>
      </c>
      <c r="G117" s="1783"/>
    </row>
    <row r="118" spans="1:7">
      <c r="A118" s="1778"/>
      <c r="B118" s="1778"/>
      <c r="C118" s="1778"/>
      <c r="D118" s="1780"/>
      <c r="E118" s="1781"/>
      <c r="F118" s="1879" t="s">
        <v>1648</v>
      </c>
      <c r="G118" s="1783"/>
    </row>
    <row r="119" spans="1:7">
      <c r="A119" s="1778"/>
      <c r="B119" s="1778"/>
      <c r="C119" s="1778"/>
      <c r="D119" s="1780"/>
      <c r="E119" s="1781"/>
      <c r="F119" s="1879" t="s">
        <v>1649</v>
      </c>
      <c r="G119" s="1783"/>
    </row>
    <row r="120" spans="1:7">
      <c r="A120" s="1784"/>
      <c r="B120" s="1784"/>
      <c r="C120" s="1784"/>
      <c r="D120" s="1785"/>
      <c r="E120" s="1786"/>
      <c r="F120" s="1880" t="s">
        <v>1650</v>
      </c>
      <c r="G120" s="1788"/>
    </row>
    <row r="121" spans="1:7">
      <c r="A121" s="1871">
        <v>10</v>
      </c>
      <c r="B121" s="1872" t="s">
        <v>1651</v>
      </c>
      <c r="C121" s="1871">
        <v>64</v>
      </c>
      <c r="D121" s="1873">
        <v>420</v>
      </c>
      <c r="E121" s="1874">
        <f>+C121*D121</f>
        <v>26880</v>
      </c>
      <c r="F121" s="1875" t="s">
        <v>1643</v>
      </c>
      <c r="G121" s="1783" t="s">
        <v>1644</v>
      </c>
    </row>
    <row r="122" spans="1:7">
      <c r="A122" s="1876"/>
      <c r="B122" s="1876"/>
      <c r="C122" s="1876"/>
      <c r="D122" s="1877"/>
      <c r="E122" s="1878"/>
      <c r="F122" s="1879" t="s">
        <v>1645</v>
      </c>
      <c r="G122" s="1783"/>
    </row>
    <row r="123" spans="1:7">
      <c r="A123" s="1778"/>
      <c r="B123" s="1778"/>
      <c r="C123" s="1778"/>
      <c r="D123" s="1780"/>
      <c r="E123" s="1781"/>
      <c r="F123" s="1879" t="s">
        <v>1529</v>
      </c>
      <c r="G123" s="1783"/>
    </row>
    <row r="124" spans="1:7">
      <c r="A124" s="1778"/>
      <c r="B124" s="1778"/>
      <c r="C124" s="1778"/>
      <c r="D124" s="1780"/>
      <c r="E124" s="1781"/>
      <c r="F124" s="1879" t="s">
        <v>1646</v>
      </c>
      <c r="G124" s="1783"/>
    </row>
    <row r="125" spans="1:7">
      <c r="A125" s="1778"/>
      <c r="B125" s="1778"/>
      <c r="C125" s="1778"/>
      <c r="D125" s="1780"/>
      <c r="E125" s="1781"/>
      <c r="F125" s="1879" t="s">
        <v>1583</v>
      </c>
      <c r="G125" s="1783"/>
    </row>
    <row r="126" spans="1:7">
      <c r="A126" s="1778"/>
      <c r="B126" s="1778"/>
      <c r="C126" s="1778"/>
      <c r="D126" s="1780"/>
      <c r="E126" s="1781"/>
      <c r="F126" s="1879" t="s">
        <v>1647</v>
      </c>
      <c r="G126" s="1783"/>
    </row>
    <row r="127" spans="1:7">
      <c r="A127" s="1778"/>
      <c r="B127" s="1778"/>
      <c r="C127" s="1778"/>
      <c r="D127" s="1780"/>
      <c r="E127" s="1781"/>
      <c r="F127" s="1879" t="s">
        <v>1648</v>
      </c>
      <c r="G127" s="1783"/>
    </row>
    <row r="128" spans="1:7">
      <c r="A128" s="1778"/>
      <c r="B128" s="1778"/>
      <c r="C128" s="1778"/>
      <c r="D128" s="1780"/>
      <c r="E128" s="1781"/>
      <c r="F128" s="1879" t="s">
        <v>1649</v>
      </c>
      <c r="G128" s="1783"/>
    </row>
    <row r="129" spans="1:7">
      <c r="A129" s="1784"/>
      <c r="B129" s="1784"/>
      <c r="C129" s="1784"/>
      <c r="D129" s="1785"/>
      <c r="E129" s="1786"/>
      <c r="F129" s="1880" t="s">
        <v>1650</v>
      </c>
      <c r="G129" s="1788"/>
    </row>
    <row r="130" spans="1:7">
      <c r="A130" s="1789">
        <v>27</v>
      </c>
      <c r="B130" s="1790" t="s">
        <v>1652</v>
      </c>
      <c r="C130" s="1789">
        <v>14</v>
      </c>
      <c r="D130" s="1791">
        <v>559</v>
      </c>
      <c r="E130" s="1791">
        <f>+C130*D130</f>
        <v>7826</v>
      </c>
      <c r="F130" s="1796" t="s">
        <v>1653</v>
      </c>
      <c r="G130" s="1803" t="s">
        <v>1644</v>
      </c>
    </row>
    <row r="131" spans="1:7">
      <c r="A131" s="1778"/>
      <c r="B131" s="1779"/>
      <c r="C131" s="1778"/>
      <c r="D131" s="1780"/>
      <c r="E131" s="1780"/>
      <c r="F131" s="1797" t="s">
        <v>1617</v>
      </c>
      <c r="G131" s="1798"/>
    </row>
    <row r="132" spans="1:7">
      <c r="A132" s="1784"/>
      <c r="B132" s="1793"/>
      <c r="C132" s="1784"/>
      <c r="D132" s="1785"/>
      <c r="E132" s="1785"/>
      <c r="F132" s="1794" t="s">
        <v>1654</v>
      </c>
      <c r="G132" s="1795"/>
    </row>
    <row r="133" spans="1:7">
      <c r="A133" s="1789">
        <v>28</v>
      </c>
      <c r="B133" s="1790" t="s">
        <v>1655</v>
      </c>
      <c r="C133" s="1789">
        <v>78</v>
      </c>
      <c r="D133" s="1791">
        <v>375</v>
      </c>
      <c r="E133" s="1791">
        <f>+C133*D133</f>
        <v>29250</v>
      </c>
      <c r="F133" s="1796" t="s">
        <v>1656</v>
      </c>
      <c r="G133" s="1803" t="s">
        <v>1644</v>
      </c>
    </row>
    <row r="134" spans="1:7">
      <c r="A134" s="1778"/>
      <c r="B134" s="1779"/>
      <c r="C134" s="1778"/>
      <c r="D134" s="1780"/>
      <c r="E134" s="1780"/>
      <c r="F134" s="1797" t="s">
        <v>1617</v>
      </c>
      <c r="G134" s="1798"/>
    </row>
    <row r="135" spans="1:7">
      <c r="A135" s="1778"/>
      <c r="B135" s="1779"/>
      <c r="C135" s="1778"/>
      <c r="D135" s="1780"/>
      <c r="E135" s="1780"/>
      <c r="F135" s="1797" t="s">
        <v>1653</v>
      </c>
      <c r="G135" s="1798"/>
    </row>
    <row r="136" spans="1:7">
      <c r="A136" s="1778"/>
      <c r="B136" s="1779"/>
      <c r="C136" s="1778"/>
      <c r="D136" s="1780"/>
      <c r="E136" s="1780"/>
      <c r="F136" s="1881" t="s">
        <v>1657</v>
      </c>
      <c r="G136" s="1882"/>
    </row>
    <row r="137" spans="1:7">
      <c r="A137" s="1778"/>
      <c r="B137" s="1779"/>
      <c r="C137" s="1778"/>
      <c r="D137" s="1780"/>
      <c r="E137" s="1780"/>
      <c r="F137" s="1881" t="s">
        <v>1658</v>
      </c>
      <c r="G137" s="1882"/>
    </row>
    <row r="138" spans="1:7">
      <c r="A138" s="1778"/>
      <c r="B138" s="1779"/>
      <c r="C138" s="1778"/>
      <c r="D138" s="1780"/>
      <c r="E138" s="1780"/>
      <c r="F138" s="1881" t="s">
        <v>1659</v>
      </c>
      <c r="G138" s="1882"/>
    </row>
    <row r="139" spans="1:7">
      <c r="A139" s="1778"/>
      <c r="B139" s="1779"/>
      <c r="C139" s="1778"/>
      <c r="D139" s="1780"/>
      <c r="E139" s="1780"/>
      <c r="F139" s="1797" t="s">
        <v>1660</v>
      </c>
      <c r="G139" s="1798"/>
    </row>
    <row r="140" spans="1:7">
      <c r="A140" s="1883"/>
      <c r="B140" s="1793"/>
      <c r="C140" s="1784"/>
      <c r="D140" s="1785"/>
      <c r="E140" s="1785"/>
      <c r="F140" s="1794" t="s">
        <v>1661</v>
      </c>
      <c r="G140" s="1795"/>
    </row>
    <row r="141" spans="1:7">
      <c r="A141" s="1789">
        <v>29</v>
      </c>
      <c r="B141" s="1790" t="s">
        <v>1662</v>
      </c>
      <c r="C141" s="1789">
        <v>19</v>
      </c>
      <c r="D141" s="1791">
        <v>559</v>
      </c>
      <c r="E141" s="1791">
        <f>+C141*D141</f>
        <v>10621</v>
      </c>
      <c r="F141" s="1796" t="s">
        <v>1663</v>
      </c>
      <c r="G141" s="1803" t="s">
        <v>1644</v>
      </c>
    </row>
    <row r="142" spans="1:7">
      <c r="A142" s="1778"/>
      <c r="B142" s="1779"/>
      <c r="C142" s="1778"/>
      <c r="D142" s="1780"/>
      <c r="E142" s="1780"/>
      <c r="F142" s="1797" t="s">
        <v>1551</v>
      </c>
      <c r="G142" s="1798"/>
    </row>
    <row r="143" spans="1:7">
      <c r="A143" s="1778"/>
      <c r="B143" s="1779"/>
      <c r="C143" s="1778"/>
      <c r="D143" s="1780"/>
      <c r="E143" s="1780"/>
      <c r="F143" s="1797" t="s">
        <v>1653</v>
      </c>
      <c r="G143" s="1798"/>
    </row>
    <row r="144" spans="1:7">
      <c r="A144" s="1778"/>
      <c r="B144" s="1779"/>
      <c r="C144" s="1778"/>
      <c r="D144" s="1780"/>
      <c r="E144" s="1780"/>
      <c r="F144" s="1881" t="s">
        <v>1664</v>
      </c>
      <c r="G144" s="1882"/>
    </row>
    <row r="145" spans="1:7">
      <c r="A145" s="1778"/>
      <c r="B145" s="1779"/>
      <c r="C145" s="1778"/>
      <c r="D145" s="1780"/>
      <c r="E145" s="1780"/>
      <c r="F145" s="1881" t="s">
        <v>1665</v>
      </c>
      <c r="G145" s="1882"/>
    </row>
    <row r="146" spans="1:7">
      <c r="A146" s="1778"/>
      <c r="B146" s="1779"/>
      <c r="C146" s="1778"/>
      <c r="D146" s="1780"/>
      <c r="E146" s="1780"/>
      <c r="F146" s="1881" t="s">
        <v>1666</v>
      </c>
      <c r="G146" s="1882"/>
    </row>
    <row r="147" spans="1:7">
      <c r="A147" s="1784"/>
      <c r="B147" s="1793"/>
      <c r="C147" s="1784"/>
      <c r="D147" s="1785"/>
      <c r="E147" s="1785"/>
      <c r="F147" s="1794" t="s">
        <v>1667</v>
      </c>
      <c r="G147" s="1795"/>
    </row>
    <row r="148" spans="1:7">
      <c r="A148" s="1884">
        <v>30</v>
      </c>
      <c r="B148" s="1790" t="s">
        <v>1668</v>
      </c>
      <c r="C148" s="1789">
        <v>45</v>
      </c>
      <c r="D148" s="1791">
        <v>375</v>
      </c>
      <c r="E148" s="1791">
        <f>+C148*D148</f>
        <v>16875</v>
      </c>
      <c r="F148" s="1796" t="s">
        <v>1653</v>
      </c>
      <c r="G148" s="1803" t="s">
        <v>1644</v>
      </c>
    </row>
    <row r="149" spans="1:7">
      <c r="A149" s="1778"/>
      <c r="B149" s="1779"/>
      <c r="C149" s="1778"/>
      <c r="D149" s="1780"/>
      <c r="E149" s="1780"/>
      <c r="F149" s="1881" t="s">
        <v>1664</v>
      </c>
      <c r="G149" s="1882"/>
    </row>
    <row r="150" spans="1:7">
      <c r="A150" s="1778"/>
      <c r="B150" s="1779"/>
      <c r="C150" s="1778"/>
      <c r="D150" s="1780"/>
      <c r="E150" s="1780"/>
      <c r="F150" s="1881" t="s">
        <v>1665</v>
      </c>
      <c r="G150" s="1882"/>
    </row>
    <row r="151" spans="1:7">
      <c r="A151" s="1778"/>
      <c r="B151" s="1779"/>
      <c r="C151" s="1778"/>
      <c r="D151" s="1780"/>
      <c r="E151" s="1780"/>
      <c r="F151" s="1881" t="s">
        <v>1669</v>
      </c>
      <c r="G151" s="1882"/>
    </row>
    <row r="152" spans="1:7">
      <c r="A152" s="1778"/>
      <c r="B152" s="1779"/>
      <c r="C152" s="1778"/>
      <c r="D152" s="1780"/>
      <c r="E152" s="1780"/>
      <c r="F152" s="1797" t="s">
        <v>1670</v>
      </c>
      <c r="G152" s="1798"/>
    </row>
    <row r="153" spans="1:7">
      <c r="A153" s="1859"/>
      <c r="B153" s="1860"/>
      <c r="C153" s="1859"/>
      <c r="D153" s="1861"/>
      <c r="E153" s="1861"/>
      <c r="F153" s="1862" t="s">
        <v>1671</v>
      </c>
      <c r="G153" s="1863"/>
    </row>
    <row r="154" spans="1:7">
      <c r="A154" s="1789">
        <v>31</v>
      </c>
      <c r="B154" s="1787" t="s">
        <v>1672</v>
      </c>
      <c r="C154" s="1885">
        <v>0</v>
      </c>
      <c r="D154" s="1886">
        <v>559</v>
      </c>
      <c r="E154" s="1886">
        <f>+C154*D154</f>
        <v>0</v>
      </c>
      <c r="F154" s="1887"/>
      <c r="G154" s="1798" t="s">
        <v>1644</v>
      </c>
    </row>
    <row r="155" spans="1:7">
      <c r="A155" s="1789">
        <v>32</v>
      </c>
      <c r="B155" s="1888" t="s">
        <v>1673</v>
      </c>
      <c r="C155" s="1889">
        <v>8</v>
      </c>
      <c r="D155" s="1890">
        <v>375</v>
      </c>
      <c r="E155" s="1890">
        <f>+C155*D155</f>
        <v>3000</v>
      </c>
      <c r="F155" s="1891" t="s">
        <v>1664</v>
      </c>
      <c r="G155" s="1803" t="s">
        <v>1644</v>
      </c>
    </row>
    <row r="156" spans="1:7">
      <c r="A156" s="1778"/>
      <c r="B156" s="1779"/>
      <c r="C156" s="1778"/>
      <c r="D156" s="1780"/>
      <c r="E156" s="1780"/>
      <c r="F156" s="1881" t="s">
        <v>1674</v>
      </c>
      <c r="G156" s="1882"/>
    </row>
    <row r="157" spans="1:7">
      <c r="A157" s="1778"/>
      <c r="B157" s="1779"/>
      <c r="C157" s="1778"/>
      <c r="D157" s="1780"/>
      <c r="E157" s="1780"/>
      <c r="F157" s="1881" t="s">
        <v>1552</v>
      </c>
      <c r="G157" s="1882"/>
    </row>
    <row r="158" spans="1:7">
      <c r="A158" s="1784"/>
      <c r="B158" s="1793"/>
      <c r="C158" s="1784"/>
      <c r="D158" s="1785"/>
      <c r="E158" s="1785"/>
      <c r="F158" s="1794" t="s">
        <v>1675</v>
      </c>
      <c r="G158" s="1795"/>
    </row>
    <row r="159" spans="1:7">
      <c r="A159" s="1847">
        <v>33</v>
      </c>
      <c r="B159" s="1790" t="s">
        <v>1676</v>
      </c>
      <c r="C159" s="1789">
        <v>30</v>
      </c>
      <c r="D159" s="1791">
        <v>4815</v>
      </c>
      <c r="E159" s="1791">
        <f>+C159*D159</f>
        <v>144450</v>
      </c>
      <c r="F159" s="1796" t="s">
        <v>1656</v>
      </c>
      <c r="G159" s="1803" t="s">
        <v>1644</v>
      </c>
    </row>
    <row r="160" spans="1:7">
      <c r="A160" s="1778"/>
      <c r="B160" s="1779"/>
      <c r="C160" s="1778"/>
      <c r="D160" s="1780"/>
      <c r="E160" s="1780"/>
      <c r="F160" s="1797" t="s">
        <v>1529</v>
      </c>
      <c r="G160" s="1798"/>
    </row>
    <row r="161" spans="1:7">
      <c r="A161" s="1778"/>
      <c r="B161" s="1779"/>
      <c r="C161" s="1778"/>
      <c r="D161" s="1780"/>
      <c r="E161" s="1780"/>
      <c r="F161" s="1797" t="s">
        <v>1653</v>
      </c>
      <c r="G161" s="1798"/>
    </row>
    <row r="162" spans="1:7">
      <c r="A162" s="1778"/>
      <c r="B162" s="1779"/>
      <c r="C162" s="1778"/>
      <c r="D162" s="1780"/>
      <c r="E162" s="1780"/>
      <c r="F162" s="1881" t="s">
        <v>1677</v>
      </c>
      <c r="G162" s="1882"/>
    </row>
    <row r="163" spans="1:7">
      <c r="A163" s="1778"/>
      <c r="B163" s="1779"/>
      <c r="C163" s="1778"/>
      <c r="D163" s="1780"/>
      <c r="E163" s="1780"/>
      <c r="F163" s="1881" t="s">
        <v>1678</v>
      </c>
      <c r="G163" s="1882"/>
    </row>
    <row r="164" spans="1:7">
      <c r="A164" s="1778"/>
      <c r="B164" s="1779"/>
      <c r="C164" s="1778"/>
      <c r="D164" s="1780"/>
      <c r="E164" s="1780"/>
      <c r="F164" s="1797" t="s">
        <v>1538</v>
      </c>
      <c r="G164" s="1798"/>
    </row>
    <row r="165" spans="1:7">
      <c r="A165" s="1778"/>
      <c r="B165" s="1779"/>
      <c r="C165" s="1778"/>
      <c r="D165" s="1780"/>
      <c r="E165" s="1780"/>
      <c r="F165" s="1881" t="s">
        <v>1679</v>
      </c>
      <c r="G165" s="1882"/>
    </row>
    <row r="166" spans="1:7">
      <c r="A166" s="1789">
        <v>34</v>
      </c>
      <c r="B166" s="1892" t="s">
        <v>1680</v>
      </c>
      <c r="C166" s="1789">
        <v>22</v>
      </c>
      <c r="D166" s="1791">
        <v>450</v>
      </c>
      <c r="E166" s="1791">
        <f>+C166*D166</f>
        <v>9900</v>
      </c>
      <c r="F166" s="1796" t="s">
        <v>1617</v>
      </c>
      <c r="G166" s="1803" t="s">
        <v>1644</v>
      </c>
    </row>
    <row r="167" spans="1:7">
      <c r="A167" s="1778"/>
      <c r="B167" s="1881"/>
      <c r="C167" s="1778"/>
      <c r="D167" s="1780"/>
      <c r="E167" s="1780"/>
      <c r="F167" s="1797" t="s">
        <v>1681</v>
      </c>
      <c r="G167" s="1798"/>
    </row>
    <row r="168" spans="1:7">
      <c r="A168" s="1778"/>
      <c r="B168" s="1881"/>
      <c r="C168" s="1778"/>
      <c r="D168" s="1780"/>
      <c r="E168" s="1780"/>
      <c r="F168" s="1881" t="s">
        <v>1682</v>
      </c>
      <c r="G168" s="1882"/>
    </row>
    <row r="169" spans="1:7">
      <c r="A169" s="1778"/>
      <c r="B169" s="1881"/>
      <c r="C169" s="1778"/>
      <c r="D169" s="1780"/>
      <c r="E169" s="1780"/>
      <c r="F169" s="1881" t="s">
        <v>1683</v>
      </c>
      <c r="G169" s="1882"/>
    </row>
    <row r="170" spans="1:7">
      <c r="A170" s="1778"/>
      <c r="B170" s="1881"/>
      <c r="C170" s="1778"/>
      <c r="D170" s="1780"/>
      <c r="E170" s="1780"/>
      <c r="F170" s="1797" t="s">
        <v>1538</v>
      </c>
      <c r="G170" s="1798"/>
    </row>
    <row r="171" spans="1:7">
      <c r="A171" s="1778"/>
      <c r="B171" s="1881"/>
      <c r="C171" s="1778"/>
      <c r="D171" s="1780"/>
      <c r="E171" s="1780"/>
      <c r="F171" s="1881" t="s">
        <v>1679</v>
      </c>
      <c r="G171" s="1882"/>
    </row>
    <row r="172" spans="1:7">
      <c r="A172" s="1778"/>
      <c r="B172" s="1881"/>
      <c r="C172" s="1778"/>
      <c r="D172" s="1780"/>
      <c r="E172" s="1780"/>
      <c r="F172" s="1797" t="s">
        <v>1684</v>
      </c>
      <c r="G172" s="1798"/>
    </row>
    <row r="173" spans="1:7">
      <c r="A173" s="1784"/>
      <c r="B173" s="1808"/>
      <c r="C173" s="1784"/>
      <c r="D173" s="1785"/>
      <c r="E173" s="1785"/>
      <c r="F173" s="1794" t="s">
        <v>1685</v>
      </c>
      <c r="G173" s="1795"/>
    </row>
    <row r="174" spans="1:7">
      <c r="A174" s="1809">
        <v>35</v>
      </c>
      <c r="B174" s="1810" t="s">
        <v>1686</v>
      </c>
      <c r="C174" s="1809">
        <v>12</v>
      </c>
      <c r="D174" s="1820">
        <v>350</v>
      </c>
      <c r="E174" s="1820">
        <f>+C174*D174</f>
        <v>4200</v>
      </c>
      <c r="F174" s="1812" t="s">
        <v>1532</v>
      </c>
      <c r="G174" s="1822" t="s">
        <v>1644</v>
      </c>
    </row>
    <row r="175" spans="1:7">
      <c r="A175" s="1814">
        <v>36</v>
      </c>
      <c r="B175" s="1815" t="s">
        <v>1687</v>
      </c>
      <c r="C175" s="1816">
        <v>1</v>
      </c>
      <c r="D175" s="1817">
        <v>1000</v>
      </c>
      <c r="E175" s="1817">
        <v>1000</v>
      </c>
      <c r="F175" s="1818" t="s">
        <v>1563</v>
      </c>
      <c r="G175" s="1819" t="s">
        <v>1644</v>
      </c>
    </row>
    <row r="176" spans="1:7">
      <c r="A176" s="1838"/>
      <c r="B176" s="297" t="s">
        <v>479</v>
      </c>
      <c r="C176" s="1839">
        <v>8</v>
      </c>
      <c r="D176" s="1840">
        <v>2800</v>
      </c>
      <c r="E176" s="1841">
        <f>+C176*D176</f>
        <v>22400</v>
      </c>
      <c r="F176" s="1842" t="s">
        <v>963</v>
      </c>
      <c r="G176" s="1843" t="s">
        <v>1688</v>
      </c>
    </row>
    <row r="177" spans="1:7">
      <c r="A177" s="1789">
        <v>56</v>
      </c>
      <c r="B177" s="1790" t="s">
        <v>1689</v>
      </c>
      <c r="C177" s="1789">
        <v>8</v>
      </c>
      <c r="D177" s="1791">
        <v>2950</v>
      </c>
      <c r="E177" s="1791">
        <f>+C177*D177</f>
        <v>23600</v>
      </c>
      <c r="F177" s="1796" t="s">
        <v>1583</v>
      </c>
      <c r="G177" s="1803" t="s">
        <v>1688</v>
      </c>
    </row>
    <row r="178" spans="1:7">
      <c r="A178" s="1778"/>
      <c r="B178" s="1779"/>
      <c r="C178" s="1778"/>
      <c r="D178" s="1780"/>
      <c r="E178" s="1780"/>
      <c r="F178" s="1797" t="s">
        <v>1581</v>
      </c>
      <c r="G178" s="1798"/>
    </row>
    <row r="179" spans="1:7">
      <c r="A179" s="1784"/>
      <c r="B179" s="1793"/>
      <c r="C179" s="1784"/>
      <c r="D179" s="1785"/>
      <c r="E179" s="1785"/>
      <c r="F179" s="1794" t="s">
        <v>1538</v>
      </c>
      <c r="G179" s="1795"/>
    </row>
    <row r="180" spans="1:7">
      <c r="A180" s="1893">
        <v>57</v>
      </c>
      <c r="B180" s="1894" t="s">
        <v>1690</v>
      </c>
      <c r="C180" s="1893">
        <v>16</v>
      </c>
      <c r="D180" s="1895">
        <v>7760</v>
      </c>
      <c r="E180" s="1895">
        <f t="shared" ref="E180" si="5">+C180*D180</f>
        <v>124160</v>
      </c>
      <c r="F180" s="1896" t="s">
        <v>1617</v>
      </c>
      <c r="G180" s="1803" t="s">
        <v>1688</v>
      </c>
    </row>
    <row r="181" spans="1:7">
      <c r="A181" s="1897"/>
      <c r="B181" s="1898"/>
      <c r="C181" s="1897"/>
      <c r="D181" s="1899"/>
      <c r="E181" s="1899"/>
      <c r="F181" s="1900" t="s">
        <v>1653</v>
      </c>
      <c r="G181" s="1901"/>
    </row>
    <row r="182" spans="1:7">
      <c r="A182" s="1885"/>
      <c r="B182" s="1787"/>
      <c r="C182" s="1885"/>
      <c r="D182" s="1886"/>
      <c r="E182" s="1886"/>
      <c r="F182" s="1887" t="s">
        <v>1519</v>
      </c>
      <c r="G182" s="1902"/>
    </row>
    <row r="183" spans="1:7">
      <c r="A183" s="1809">
        <v>58</v>
      </c>
      <c r="B183" s="1810" t="s">
        <v>1077</v>
      </c>
      <c r="C183" s="1809">
        <v>4</v>
      </c>
      <c r="D183" s="1820">
        <v>10000</v>
      </c>
      <c r="E183" s="1820">
        <f>+C183*D183</f>
        <v>40000</v>
      </c>
      <c r="F183" s="1812" t="s">
        <v>1579</v>
      </c>
      <c r="G183" s="1822" t="s">
        <v>1688</v>
      </c>
    </row>
    <row r="184" spans="1:7">
      <c r="A184" s="1809">
        <v>59</v>
      </c>
      <c r="B184" s="1810" t="s">
        <v>1691</v>
      </c>
      <c r="C184" s="1809">
        <v>2</v>
      </c>
      <c r="D184" s="1820">
        <v>2500</v>
      </c>
      <c r="E184" s="1820">
        <f t="shared" ref="E184:E186" si="6">+C184*D184</f>
        <v>5000</v>
      </c>
      <c r="F184" s="1812" t="s">
        <v>1532</v>
      </c>
      <c r="G184" s="1822" t="s">
        <v>1688</v>
      </c>
    </row>
    <row r="185" spans="1:7">
      <c r="A185" s="1814">
        <v>60</v>
      </c>
      <c r="B185" s="1810" t="s">
        <v>1691</v>
      </c>
      <c r="C185" s="1809">
        <v>4</v>
      </c>
      <c r="D185" s="1820">
        <v>2500</v>
      </c>
      <c r="E185" s="1820">
        <f t="shared" si="6"/>
        <v>10000</v>
      </c>
      <c r="F185" s="1812" t="s">
        <v>1579</v>
      </c>
      <c r="G185" s="1822" t="s">
        <v>1688</v>
      </c>
    </row>
    <row r="186" spans="1:7">
      <c r="A186" s="1809">
        <v>61</v>
      </c>
      <c r="B186" s="1903" t="s">
        <v>1692</v>
      </c>
      <c r="C186" s="1809">
        <v>1</v>
      </c>
      <c r="D186" s="1811">
        <v>15000</v>
      </c>
      <c r="E186" s="1820">
        <f t="shared" si="6"/>
        <v>15000</v>
      </c>
      <c r="F186" s="1812" t="s">
        <v>1587</v>
      </c>
      <c r="G186" s="1822" t="s">
        <v>1688</v>
      </c>
    </row>
    <row r="187" spans="1:7">
      <c r="A187" s="1799">
        <v>74</v>
      </c>
      <c r="B187" s="1800" t="s">
        <v>1693</v>
      </c>
      <c r="C187" s="1799">
        <v>5</v>
      </c>
      <c r="D187" s="1801">
        <v>10000</v>
      </c>
      <c r="E187" s="1801">
        <f>+C187*D187</f>
        <v>50000</v>
      </c>
      <c r="F187" s="1802" t="s">
        <v>1694</v>
      </c>
      <c r="G187" s="1807" t="s">
        <v>1695</v>
      </c>
    </row>
    <row r="188" spans="1:7">
      <c r="A188" s="1789">
        <v>75</v>
      </c>
      <c r="B188" s="1790" t="s">
        <v>1696</v>
      </c>
      <c r="C188" s="1789">
        <v>16</v>
      </c>
      <c r="D188" s="1791">
        <v>400</v>
      </c>
      <c r="E188" s="1791">
        <f t="shared" ref="E188" si="7">+C188*D188</f>
        <v>6400</v>
      </c>
      <c r="F188" s="1796" t="s">
        <v>1697</v>
      </c>
      <c r="G188" s="1803" t="s">
        <v>1695</v>
      </c>
    </row>
    <row r="189" spans="1:7">
      <c r="A189" s="1859"/>
      <c r="B189" s="1860"/>
      <c r="C189" s="1859"/>
      <c r="D189" s="1861"/>
      <c r="E189" s="1861"/>
      <c r="F189" s="1862" t="s">
        <v>1698</v>
      </c>
      <c r="G189" s="1863"/>
    </row>
    <row r="190" spans="1:7">
      <c r="A190" s="1814">
        <v>76</v>
      </c>
      <c r="B190" s="1810" t="s">
        <v>1699</v>
      </c>
      <c r="C190" s="1809">
        <v>3</v>
      </c>
      <c r="D190" s="1811">
        <v>759</v>
      </c>
      <c r="E190" s="1811">
        <f>C190*D190</f>
        <v>2277</v>
      </c>
      <c r="F190" s="1812" t="s">
        <v>1700</v>
      </c>
      <c r="G190" s="1822" t="s">
        <v>1695</v>
      </c>
    </row>
    <row r="191" spans="1:7">
      <c r="A191" s="1809">
        <v>77</v>
      </c>
      <c r="B191" s="1810" t="s">
        <v>1701</v>
      </c>
      <c r="C191" s="1809">
        <v>3</v>
      </c>
      <c r="D191" s="1811">
        <v>480</v>
      </c>
      <c r="E191" s="1811">
        <f t="shared" ref="E191:E193" si="8">C191*D191</f>
        <v>1440</v>
      </c>
      <c r="F191" s="1812" t="s">
        <v>1700</v>
      </c>
      <c r="G191" s="1822" t="s">
        <v>1695</v>
      </c>
    </row>
    <row r="192" spans="1:7">
      <c r="A192" s="1814">
        <v>78</v>
      </c>
      <c r="B192" s="1810" t="s">
        <v>1322</v>
      </c>
      <c r="C192" s="1809">
        <v>1</v>
      </c>
      <c r="D192" s="1820">
        <v>4200</v>
      </c>
      <c r="E192" s="1811">
        <f t="shared" si="8"/>
        <v>4200</v>
      </c>
      <c r="F192" s="1812" t="s">
        <v>1702</v>
      </c>
      <c r="G192" s="1822" t="s">
        <v>1695</v>
      </c>
    </row>
    <row r="193" spans="1:7">
      <c r="A193" s="1910">
        <v>79</v>
      </c>
      <c r="B193" s="1833" t="s">
        <v>1322</v>
      </c>
      <c r="C193" s="1834">
        <v>4</v>
      </c>
      <c r="D193" s="1849">
        <v>4200</v>
      </c>
      <c r="E193" s="1835">
        <f t="shared" si="8"/>
        <v>16800</v>
      </c>
      <c r="F193" s="1850" t="s">
        <v>1532</v>
      </c>
      <c r="G193" s="1837" t="s">
        <v>1695</v>
      </c>
    </row>
    <row r="194" spans="1:7">
      <c r="A194" s="215">
        <v>1</v>
      </c>
      <c r="B194" s="498" t="s">
        <v>1703</v>
      </c>
      <c r="C194" s="310">
        <v>2</v>
      </c>
      <c r="D194" s="1907">
        <v>1190</v>
      </c>
      <c r="E194" s="1907">
        <v>2380</v>
      </c>
      <c r="F194" s="1908" t="s">
        <v>1563</v>
      </c>
      <c r="G194" s="221" t="s">
        <v>1695</v>
      </c>
    </row>
    <row r="195" spans="1:7">
      <c r="A195" s="1501"/>
      <c r="B195" s="1870"/>
      <c r="C195" s="1905"/>
      <c r="D195" s="1869"/>
      <c r="E195" s="1973">
        <f>SUM(E5:E194)</f>
        <v>21992975</v>
      </c>
      <c r="F195" s="1870"/>
    </row>
    <row r="196" spans="1:7">
      <c r="A196" s="1501"/>
      <c r="B196" s="1870"/>
      <c r="C196" s="1905"/>
      <c r="D196" s="1869"/>
      <c r="E196" s="1869"/>
      <c r="F196" s="1870"/>
    </row>
    <row r="197" spans="1:7">
      <c r="A197" s="1501"/>
      <c r="B197" s="1870" t="s">
        <v>1726</v>
      </c>
      <c r="C197" s="1905">
        <v>3</v>
      </c>
      <c r="D197" s="1869">
        <v>166500</v>
      </c>
      <c r="E197" s="1973">
        <f>+C197*D197</f>
        <v>499500</v>
      </c>
      <c r="F197" s="1870" t="s">
        <v>1727</v>
      </c>
    </row>
    <row r="198" spans="1:7">
      <c r="A198" s="1501"/>
      <c r="C198" s="1905"/>
      <c r="D198" s="1869"/>
      <c r="E198" s="1869"/>
      <c r="F198" s="1870"/>
    </row>
    <row r="199" spans="1:7">
      <c r="B199" s="2866" t="s">
        <v>1403</v>
      </c>
      <c r="C199" s="2866"/>
      <c r="D199" s="2866"/>
    </row>
    <row r="200" spans="1:7">
      <c r="A200" s="1478" t="s">
        <v>2</v>
      </c>
      <c r="B200" s="1478" t="s">
        <v>3</v>
      </c>
      <c r="C200" s="1478" t="s">
        <v>618</v>
      </c>
      <c r="D200" s="1478" t="s">
        <v>1410</v>
      </c>
      <c r="E200" s="1478" t="s">
        <v>1411</v>
      </c>
      <c r="F200" s="1478" t="s">
        <v>388</v>
      </c>
    </row>
    <row r="201" spans="1:7" ht="42">
      <c r="A201" s="495">
        <v>1</v>
      </c>
      <c r="B201" s="1516" t="s">
        <v>733</v>
      </c>
      <c r="C201" s="495">
        <v>1</v>
      </c>
      <c r="D201" s="328">
        <v>2500000</v>
      </c>
      <c r="E201" s="1517">
        <f>+C201*D201</f>
        <v>2500000</v>
      </c>
      <c r="F201" s="1477" t="s">
        <v>1404</v>
      </c>
      <c r="G201" s="138" t="s">
        <v>1724</v>
      </c>
    </row>
    <row r="202" spans="1:7">
      <c r="B202" s="2871" t="s">
        <v>1423</v>
      </c>
      <c r="C202" s="2871"/>
      <c r="D202" s="2871"/>
      <c r="E202" s="1974">
        <f>SUM(E201)</f>
        <v>2500000</v>
      </c>
    </row>
    <row r="203" spans="1:7">
      <c r="B203" s="2866" t="s">
        <v>1448</v>
      </c>
      <c r="C203" s="2866"/>
      <c r="D203" s="2866"/>
    </row>
    <row r="204" spans="1:7">
      <c r="A204" s="1478" t="s">
        <v>2</v>
      </c>
      <c r="B204" s="1478" t="s">
        <v>3</v>
      </c>
      <c r="C204" s="1478" t="s">
        <v>618</v>
      </c>
      <c r="D204" s="1478" t="s">
        <v>1410</v>
      </c>
      <c r="E204" s="1478" t="s">
        <v>1411</v>
      </c>
      <c r="F204" s="1478" t="s">
        <v>388</v>
      </c>
    </row>
    <row r="205" spans="1:7" s="138" customFormat="1" ht="42">
      <c r="A205" s="215">
        <v>1</v>
      </c>
      <c r="B205" s="260" t="s">
        <v>1510</v>
      </c>
      <c r="C205" s="215">
        <v>1</v>
      </c>
      <c r="D205" s="1758">
        <v>11877000</v>
      </c>
      <c r="E205" s="1975"/>
      <c r="F205" s="216" t="s">
        <v>1447</v>
      </c>
      <c r="G205" s="2034" t="s">
        <v>1959</v>
      </c>
    </row>
    <row r="206" spans="1:7" s="138" customFormat="1" ht="42">
      <c r="A206" s="2238"/>
      <c r="B206" s="2239" t="s">
        <v>1958</v>
      </c>
      <c r="C206" s="1524">
        <v>1</v>
      </c>
      <c r="D206" s="2240">
        <v>1900000</v>
      </c>
      <c r="E206" s="2250"/>
      <c r="F206" s="2241"/>
      <c r="G206" s="2034" t="s">
        <v>1959</v>
      </c>
    </row>
    <row r="207" spans="1:7">
      <c r="A207" s="2867" t="s">
        <v>1275</v>
      </c>
      <c r="B207" s="2868"/>
      <c r="C207" s="2868"/>
      <c r="D207" s="2868"/>
      <c r="E207" s="2868"/>
      <c r="F207" s="2869"/>
    </row>
    <row r="208" spans="1:7">
      <c r="A208" s="1932"/>
      <c r="B208" s="2244" t="s">
        <v>1962</v>
      </c>
      <c r="C208" s="2245">
        <v>148</v>
      </c>
      <c r="D208" s="2245"/>
      <c r="E208" s="2248">
        <v>3200000</v>
      </c>
      <c r="F208" s="2246"/>
    </row>
    <row r="209" spans="1:7">
      <c r="A209" s="1932"/>
      <c r="B209" s="2244" t="s">
        <v>1963</v>
      </c>
      <c r="C209" s="2245">
        <v>1</v>
      </c>
      <c r="D209" s="2245"/>
      <c r="E209" s="2248">
        <v>2600000</v>
      </c>
      <c r="F209" s="2246"/>
    </row>
    <row r="210" spans="1:7" ht="21.75">
      <c r="A210" s="1932"/>
      <c r="B210" s="2247" t="s">
        <v>1964</v>
      </c>
      <c r="C210" s="2245">
        <v>240</v>
      </c>
      <c r="D210" s="2245"/>
      <c r="E210" s="2248">
        <v>1000000</v>
      </c>
      <c r="F210" s="2246"/>
    </row>
    <row r="211" spans="1:7">
      <c r="A211" s="1932"/>
      <c r="B211" s="2244" t="s">
        <v>1965</v>
      </c>
      <c r="C211" s="2245">
        <v>7</v>
      </c>
      <c r="D211" s="2248">
        <v>65000</v>
      </c>
      <c r="E211" s="2249">
        <f>+C211*D211</f>
        <v>455000</v>
      </c>
      <c r="F211" s="2246"/>
    </row>
    <row r="212" spans="1:7">
      <c r="A212" s="1932"/>
      <c r="B212" s="2244" t="s">
        <v>1577</v>
      </c>
      <c r="C212" s="2245">
        <v>1</v>
      </c>
      <c r="D212" s="2248">
        <v>500000</v>
      </c>
      <c r="E212" s="2249">
        <f>+C212*D212</f>
        <v>500000</v>
      </c>
      <c r="F212" s="2246"/>
    </row>
    <row r="213" spans="1:7">
      <c r="A213" s="1932"/>
      <c r="B213" s="2244"/>
      <c r="C213" s="2245"/>
      <c r="D213" s="2248"/>
      <c r="E213" s="2251">
        <f>SUM(E208:E212)</f>
        <v>7755000</v>
      </c>
      <c r="F213" s="2246"/>
    </row>
    <row r="214" spans="1:7">
      <c r="A214" s="1932"/>
      <c r="B214" s="2244" t="s">
        <v>1966</v>
      </c>
      <c r="C214" s="2245"/>
      <c r="D214" s="2248"/>
      <c r="E214" s="2251">
        <v>100870098.03</v>
      </c>
      <c r="F214" s="2246"/>
    </row>
    <row r="215" spans="1:7">
      <c r="A215" s="1932"/>
      <c r="B215" s="2244" t="s">
        <v>1967</v>
      </c>
      <c r="C215" s="2245"/>
      <c r="D215" s="2248"/>
      <c r="E215" s="2251">
        <v>19760769</v>
      </c>
      <c r="F215" s="2246"/>
    </row>
    <row r="216" spans="1:7">
      <c r="A216" s="1478" t="s">
        <v>2</v>
      </c>
      <c r="B216" s="1478" t="s">
        <v>3</v>
      </c>
      <c r="C216" s="1478" t="s">
        <v>618</v>
      </c>
      <c r="D216" s="1478" t="s">
        <v>1410</v>
      </c>
      <c r="E216" s="1478" t="s">
        <v>1411</v>
      </c>
      <c r="F216" s="1478" t="s">
        <v>388</v>
      </c>
    </row>
    <row r="217" spans="1:7">
      <c r="A217" s="1488">
        <v>1</v>
      </c>
      <c r="B217" s="684" t="s">
        <v>1034</v>
      </c>
      <c r="C217" s="1488">
        <v>1</v>
      </c>
      <c r="D217" s="1494">
        <v>1832600</v>
      </c>
      <c r="E217" s="467">
        <f t="shared" ref="E217" si="9">+C217*D217</f>
        <v>1832600</v>
      </c>
      <c r="F217" s="683" t="s">
        <v>562</v>
      </c>
      <c r="G217" s="19" t="s">
        <v>1517</v>
      </c>
    </row>
    <row r="218" spans="1:7">
      <c r="A218" s="1545"/>
      <c r="B218" s="2864" t="s">
        <v>1424</v>
      </c>
      <c r="C218" s="2864"/>
      <c r="D218" s="2864"/>
      <c r="E218" s="1976">
        <f>SUM(E217:E217)</f>
        <v>1832600</v>
      </c>
      <c r="F218" s="1547"/>
    </row>
    <row r="219" spans="1:7">
      <c r="A219" s="1510"/>
      <c r="B219" s="1548"/>
      <c r="C219" s="1510"/>
      <c r="D219" s="470"/>
      <c r="E219" s="470"/>
      <c r="F219" s="1511"/>
    </row>
    <row r="220" spans="1:7">
      <c r="A220" s="2870" t="s">
        <v>1425</v>
      </c>
      <c r="B220" s="2870"/>
      <c r="C220" s="2870"/>
      <c r="D220" s="2870"/>
      <c r="E220" s="2870"/>
      <c r="F220" s="2870"/>
    </row>
    <row r="221" spans="1:7">
      <c r="A221" s="1478" t="s">
        <v>2</v>
      </c>
      <c r="B221" s="1478" t="s">
        <v>3</v>
      </c>
      <c r="C221" s="1478" t="s">
        <v>618</v>
      </c>
      <c r="D221" s="1478" t="s">
        <v>1410</v>
      </c>
      <c r="E221" s="1478" t="s">
        <v>1411</v>
      </c>
      <c r="F221" s="1478" t="s">
        <v>388</v>
      </c>
    </row>
    <row r="222" spans="1:7">
      <c r="A222" s="1488">
        <v>1</v>
      </c>
      <c r="B222" s="684" t="s">
        <v>561</v>
      </c>
      <c r="C222" s="1488"/>
      <c r="D222" s="467"/>
      <c r="E222" s="467"/>
      <c r="F222" s="683"/>
    </row>
    <row r="223" spans="1:7">
      <c r="A223" s="1513"/>
      <c r="B223" s="684" t="s">
        <v>1031</v>
      </c>
      <c r="C223" s="1481">
        <v>4</v>
      </c>
      <c r="D223" s="1494">
        <v>585000</v>
      </c>
      <c r="E223" s="1494">
        <v>2340000</v>
      </c>
      <c r="F223" s="683" t="s">
        <v>562</v>
      </c>
      <c r="G223" s="19" t="s">
        <v>1516</v>
      </c>
    </row>
    <row r="224" spans="1:7">
      <c r="A224" s="1545"/>
      <c r="B224" s="2864" t="s">
        <v>1426</v>
      </c>
      <c r="C224" s="2864"/>
      <c r="D224" s="2864"/>
      <c r="E224" s="1968">
        <f>SUM(E223:E223)</f>
        <v>2340000</v>
      </c>
      <c r="F224" s="1547"/>
    </row>
    <row r="225" spans="1:6">
      <c r="A225" s="1510"/>
      <c r="B225" s="1967"/>
      <c r="C225" s="1967"/>
      <c r="D225" s="1967"/>
      <c r="E225" s="1514"/>
      <c r="F225" s="1511"/>
    </row>
    <row r="226" spans="1:6">
      <c r="A226" s="1510"/>
      <c r="B226" s="1967" t="s">
        <v>1905</v>
      </c>
      <c r="C226" s="1967"/>
      <c r="D226" s="1967"/>
      <c r="E226" s="1514"/>
      <c r="F226" s="1511"/>
    </row>
    <row r="227" spans="1:6">
      <c r="A227" s="1478" t="s">
        <v>2</v>
      </c>
      <c r="B227" s="1478" t="s">
        <v>3</v>
      </c>
      <c r="C227" s="1478" t="s">
        <v>618</v>
      </c>
      <c r="D227" s="1478" t="s">
        <v>1410</v>
      </c>
      <c r="E227" s="1478" t="s">
        <v>1411</v>
      </c>
      <c r="F227" s="1478" t="s">
        <v>388</v>
      </c>
    </row>
    <row r="228" spans="1:6">
      <c r="A228" s="478"/>
      <c r="B228" s="478" t="s">
        <v>1745</v>
      </c>
      <c r="C228" s="479">
        <v>1</v>
      </c>
      <c r="D228" s="1537">
        <v>3800000</v>
      </c>
      <c r="E228" s="1537">
        <v>3800000</v>
      </c>
      <c r="F228" s="478" t="s">
        <v>614</v>
      </c>
    </row>
    <row r="229" spans="1:6">
      <c r="A229" s="478"/>
      <c r="B229" s="478" t="s">
        <v>1746</v>
      </c>
      <c r="C229" s="479">
        <v>1</v>
      </c>
      <c r="D229" s="1537">
        <v>202658</v>
      </c>
      <c r="E229" s="1537">
        <v>202658</v>
      </c>
      <c r="F229" s="478" t="s">
        <v>1872</v>
      </c>
    </row>
    <row r="230" spans="1:6">
      <c r="A230" s="478"/>
      <c r="B230" s="478" t="s">
        <v>1747</v>
      </c>
      <c r="C230" s="479">
        <v>1</v>
      </c>
      <c r="D230" s="1537">
        <v>120000</v>
      </c>
      <c r="E230" s="1537">
        <v>120000</v>
      </c>
      <c r="F230" s="478" t="s">
        <v>1872</v>
      </c>
    </row>
    <row r="231" spans="1:6">
      <c r="A231" s="478"/>
      <c r="B231" s="478" t="s">
        <v>1748</v>
      </c>
      <c r="C231" s="479">
        <v>5</v>
      </c>
      <c r="D231" s="1537">
        <v>1290</v>
      </c>
      <c r="E231" s="1537">
        <v>6450</v>
      </c>
      <c r="F231" s="478" t="s">
        <v>1436</v>
      </c>
    </row>
    <row r="232" spans="1:6">
      <c r="A232" s="478"/>
      <c r="B232" s="478" t="s">
        <v>1749</v>
      </c>
      <c r="C232" s="479">
        <v>1</v>
      </c>
      <c r="D232" s="1537">
        <v>10100</v>
      </c>
      <c r="E232" s="1537">
        <v>10100</v>
      </c>
      <c r="F232" s="478" t="s">
        <v>946</v>
      </c>
    </row>
    <row r="233" spans="1:6">
      <c r="A233" s="478"/>
      <c r="B233" s="1969" t="s">
        <v>1750</v>
      </c>
      <c r="C233" s="1970">
        <v>2</v>
      </c>
      <c r="D233" s="1971">
        <v>160000</v>
      </c>
      <c r="E233" s="1971">
        <v>320000</v>
      </c>
      <c r="F233" s="1969" t="s">
        <v>1873</v>
      </c>
    </row>
    <row r="234" spans="1:6">
      <c r="A234" s="478"/>
      <c r="B234" s="478" t="s">
        <v>1751</v>
      </c>
      <c r="C234" s="479">
        <v>1</v>
      </c>
      <c r="D234" s="1537">
        <v>4050</v>
      </c>
      <c r="E234" s="1537">
        <v>4050</v>
      </c>
      <c r="F234" s="478" t="s">
        <v>1874</v>
      </c>
    </row>
    <row r="235" spans="1:6">
      <c r="A235" s="478"/>
      <c r="B235" s="478" t="s">
        <v>1752</v>
      </c>
      <c r="C235" s="479">
        <v>1</v>
      </c>
      <c r="D235" s="1537">
        <v>9500</v>
      </c>
      <c r="E235" s="1537">
        <v>9500</v>
      </c>
      <c r="F235" s="478" t="s">
        <v>471</v>
      </c>
    </row>
    <row r="236" spans="1:6">
      <c r="A236" s="478"/>
      <c r="B236" s="478" t="s">
        <v>1753</v>
      </c>
      <c r="C236" s="479">
        <v>1</v>
      </c>
      <c r="D236" s="1537">
        <v>44000</v>
      </c>
      <c r="E236" s="1537">
        <v>44000</v>
      </c>
      <c r="F236" s="478" t="s">
        <v>471</v>
      </c>
    </row>
    <row r="237" spans="1:6">
      <c r="A237" s="478"/>
      <c r="B237" s="1969" t="s">
        <v>1754</v>
      </c>
      <c r="C237" s="1970">
        <v>1</v>
      </c>
      <c r="D237" s="1971">
        <v>23114.1</v>
      </c>
      <c r="E237" s="1971">
        <v>23114.1</v>
      </c>
      <c r="F237" s="1969" t="s">
        <v>416</v>
      </c>
    </row>
    <row r="238" spans="1:6">
      <c r="A238" s="478"/>
      <c r="B238" s="478" t="s">
        <v>1755</v>
      </c>
      <c r="C238" s="479">
        <v>1</v>
      </c>
      <c r="D238" s="1537">
        <v>15000</v>
      </c>
      <c r="E238" s="1537">
        <v>15000</v>
      </c>
      <c r="F238" s="478" t="s">
        <v>853</v>
      </c>
    </row>
    <row r="239" spans="1:6">
      <c r="A239" s="478"/>
      <c r="B239" s="478" t="s">
        <v>1756</v>
      </c>
      <c r="C239" s="479">
        <v>1</v>
      </c>
      <c r="D239" s="1537">
        <v>30000</v>
      </c>
      <c r="E239" s="1537">
        <v>30000</v>
      </c>
      <c r="F239" s="478" t="s">
        <v>1875</v>
      </c>
    </row>
    <row r="240" spans="1:6">
      <c r="A240" s="478"/>
      <c r="B240" s="478" t="s">
        <v>1757</v>
      </c>
      <c r="C240" s="479">
        <v>2</v>
      </c>
      <c r="D240" s="1537">
        <v>40000</v>
      </c>
      <c r="E240" s="1537">
        <v>80000</v>
      </c>
      <c r="F240" s="478" t="s">
        <v>472</v>
      </c>
    </row>
    <row r="241" spans="1:6">
      <c r="A241" s="478"/>
      <c r="B241" s="478" t="s">
        <v>1758</v>
      </c>
      <c r="C241" s="479">
        <v>1</v>
      </c>
      <c r="D241" s="1537">
        <v>3390</v>
      </c>
      <c r="E241" s="1537">
        <v>3390</v>
      </c>
      <c r="F241" s="478" t="s">
        <v>426</v>
      </c>
    </row>
    <row r="242" spans="1:6">
      <c r="A242" s="478"/>
      <c r="B242" s="478" t="s">
        <v>1759</v>
      </c>
      <c r="C242" s="479">
        <v>2</v>
      </c>
      <c r="D242" s="1537">
        <v>260000</v>
      </c>
      <c r="E242" s="1537">
        <v>520000</v>
      </c>
      <c r="F242" s="478" t="s">
        <v>1876</v>
      </c>
    </row>
    <row r="243" spans="1:6">
      <c r="A243" s="478"/>
      <c r="B243" s="478" t="s">
        <v>1760</v>
      </c>
      <c r="C243" s="479">
        <v>1</v>
      </c>
      <c r="D243" s="1537">
        <v>45000</v>
      </c>
      <c r="E243" s="1537">
        <v>45000</v>
      </c>
      <c r="F243" s="478" t="s">
        <v>1876</v>
      </c>
    </row>
    <row r="244" spans="1:6">
      <c r="A244" s="478"/>
      <c r="B244" s="478" t="s">
        <v>1761</v>
      </c>
      <c r="C244" s="479">
        <v>1</v>
      </c>
      <c r="D244" s="1537">
        <v>10590</v>
      </c>
      <c r="E244" s="1537">
        <v>10590</v>
      </c>
      <c r="F244" s="478" t="s">
        <v>1876</v>
      </c>
    </row>
    <row r="245" spans="1:6">
      <c r="A245" s="478"/>
      <c r="B245" s="478" t="s">
        <v>803</v>
      </c>
      <c r="C245" s="479">
        <v>1</v>
      </c>
      <c r="D245" s="1537">
        <v>305000</v>
      </c>
      <c r="E245" s="1537">
        <v>305000</v>
      </c>
      <c r="F245" s="478" t="s">
        <v>1876</v>
      </c>
    </row>
    <row r="246" spans="1:6">
      <c r="A246" s="478"/>
      <c r="B246" s="478" t="s">
        <v>1762</v>
      </c>
      <c r="C246" s="479">
        <v>7</v>
      </c>
      <c r="D246" s="1537">
        <v>3638</v>
      </c>
      <c r="E246" s="1537">
        <v>25466</v>
      </c>
      <c r="F246" s="478" t="s">
        <v>888</v>
      </c>
    </row>
    <row r="247" spans="1:6">
      <c r="A247" s="478"/>
      <c r="B247" s="478" t="s">
        <v>556</v>
      </c>
      <c r="C247" s="479">
        <v>3</v>
      </c>
      <c r="D247" s="1537">
        <v>150000</v>
      </c>
      <c r="E247" s="1537">
        <v>450000</v>
      </c>
      <c r="F247" s="478" t="s">
        <v>948</v>
      </c>
    </row>
    <row r="248" spans="1:6">
      <c r="A248" s="478"/>
      <c r="B248" s="478" t="s">
        <v>1763</v>
      </c>
      <c r="C248" s="479">
        <v>4</v>
      </c>
      <c r="D248" s="1537">
        <v>39000</v>
      </c>
      <c r="E248" s="1537">
        <v>156000</v>
      </c>
      <c r="F248" s="478" t="s">
        <v>1877</v>
      </c>
    </row>
    <row r="249" spans="1:6">
      <c r="A249" s="478"/>
      <c r="B249" s="478" t="s">
        <v>1764</v>
      </c>
      <c r="C249" s="479">
        <v>4</v>
      </c>
      <c r="D249" s="1537">
        <v>39000</v>
      </c>
      <c r="E249" s="1537">
        <v>156000</v>
      </c>
      <c r="F249" s="478" t="s">
        <v>1877</v>
      </c>
    </row>
    <row r="250" spans="1:6">
      <c r="A250" s="478"/>
      <c r="B250" s="478" t="s">
        <v>1765</v>
      </c>
      <c r="C250" s="479">
        <v>7</v>
      </c>
      <c r="D250" s="1537"/>
      <c r="E250" s="1537">
        <v>44000</v>
      </c>
      <c r="F250" s="478" t="s">
        <v>1877</v>
      </c>
    </row>
    <row r="251" spans="1:6">
      <c r="A251" s="478"/>
      <c r="B251" s="478" t="s">
        <v>1766</v>
      </c>
      <c r="C251" s="479">
        <v>8</v>
      </c>
      <c r="D251" s="1537">
        <v>17500</v>
      </c>
      <c r="E251" s="1537">
        <v>140000</v>
      </c>
      <c r="F251" s="478" t="s">
        <v>1877</v>
      </c>
    </row>
    <row r="252" spans="1:6">
      <c r="A252" s="478"/>
      <c r="B252" s="478" t="s">
        <v>1767</v>
      </c>
      <c r="C252" s="479">
        <v>11</v>
      </c>
      <c r="D252" s="1537"/>
      <c r="E252" s="1537">
        <v>28700</v>
      </c>
      <c r="F252" s="478" t="s">
        <v>1877</v>
      </c>
    </row>
    <row r="253" spans="1:6">
      <c r="A253" s="478"/>
      <c r="B253" s="478" t="s">
        <v>1077</v>
      </c>
      <c r="C253" s="479">
        <v>7</v>
      </c>
      <c r="D253" s="1537">
        <v>1000</v>
      </c>
      <c r="E253" s="1537">
        <v>7000</v>
      </c>
      <c r="F253" s="478" t="s">
        <v>1877</v>
      </c>
    </row>
    <row r="254" spans="1:6">
      <c r="A254" s="478"/>
      <c r="B254" s="478" t="s">
        <v>1768</v>
      </c>
      <c r="C254" s="479">
        <v>4</v>
      </c>
      <c r="D254" s="1537">
        <v>80250</v>
      </c>
      <c r="E254" s="1537">
        <v>321000</v>
      </c>
      <c r="F254" s="478" t="s">
        <v>1877</v>
      </c>
    </row>
    <row r="255" spans="1:6">
      <c r="A255" s="478"/>
      <c r="B255" s="478" t="s">
        <v>1769</v>
      </c>
      <c r="C255" s="479">
        <v>1</v>
      </c>
      <c r="D255" s="1537">
        <v>35000</v>
      </c>
      <c r="E255" s="1537">
        <v>35000</v>
      </c>
      <c r="F255" s="478" t="s">
        <v>1436</v>
      </c>
    </row>
    <row r="256" spans="1:6">
      <c r="A256" s="478"/>
      <c r="B256" s="478" t="s">
        <v>1770</v>
      </c>
      <c r="C256" s="479">
        <v>1</v>
      </c>
      <c r="D256" s="1537">
        <v>243853</v>
      </c>
      <c r="E256" s="1537">
        <v>243853</v>
      </c>
      <c r="F256" s="478" t="s">
        <v>888</v>
      </c>
    </row>
    <row r="257" spans="1:6">
      <c r="A257" s="478"/>
      <c r="B257" s="478" t="s">
        <v>1771</v>
      </c>
      <c r="C257" s="479">
        <v>1</v>
      </c>
      <c r="D257" s="1537">
        <v>444906</v>
      </c>
      <c r="E257" s="1537">
        <v>444906</v>
      </c>
      <c r="F257" s="478" t="s">
        <v>1878</v>
      </c>
    </row>
    <row r="258" spans="1:6">
      <c r="A258" s="478"/>
      <c r="B258" s="478" t="s">
        <v>1772</v>
      </c>
      <c r="C258" s="479">
        <v>1</v>
      </c>
      <c r="D258" s="1537">
        <v>750000</v>
      </c>
      <c r="E258" s="1537">
        <v>750000</v>
      </c>
      <c r="F258" s="478" t="s">
        <v>1436</v>
      </c>
    </row>
    <row r="259" spans="1:6">
      <c r="A259" s="478"/>
      <c r="B259" s="478" t="s">
        <v>1773</v>
      </c>
      <c r="C259" s="479">
        <v>1</v>
      </c>
      <c r="D259" s="1537">
        <v>1500000</v>
      </c>
      <c r="E259" s="1537">
        <v>1500000</v>
      </c>
      <c r="F259" s="478" t="s">
        <v>1436</v>
      </c>
    </row>
    <row r="260" spans="1:6">
      <c r="A260" s="478"/>
      <c r="B260" s="478" t="s">
        <v>1774</v>
      </c>
      <c r="C260" s="479">
        <v>10</v>
      </c>
      <c r="D260" s="1537">
        <v>180</v>
      </c>
      <c r="E260" s="1537">
        <v>1800</v>
      </c>
      <c r="F260" s="478" t="s">
        <v>650</v>
      </c>
    </row>
    <row r="261" spans="1:6">
      <c r="A261" s="478"/>
      <c r="B261" s="478" t="s">
        <v>1775</v>
      </c>
      <c r="C261" s="479">
        <v>50</v>
      </c>
      <c r="D261" s="1537">
        <v>180</v>
      </c>
      <c r="E261" s="1537">
        <v>9000</v>
      </c>
      <c r="F261" s="478" t="s">
        <v>650</v>
      </c>
    </row>
    <row r="262" spans="1:6">
      <c r="A262" s="478"/>
      <c r="B262" s="478" t="s">
        <v>1776</v>
      </c>
      <c r="C262" s="479">
        <v>50</v>
      </c>
      <c r="D262" s="1537">
        <v>180</v>
      </c>
      <c r="E262" s="1537">
        <v>9000</v>
      </c>
      <c r="F262" s="478" t="s">
        <v>650</v>
      </c>
    </row>
    <row r="263" spans="1:6">
      <c r="A263" s="478"/>
      <c r="B263" s="478" t="s">
        <v>465</v>
      </c>
      <c r="C263" s="479">
        <v>18</v>
      </c>
      <c r="D263" s="1537">
        <v>2290</v>
      </c>
      <c r="E263" s="1537">
        <v>41220</v>
      </c>
      <c r="F263" s="478" t="s">
        <v>888</v>
      </c>
    </row>
    <row r="264" spans="1:6">
      <c r="A264" s="478"/>
      <c r="B264" s="478" t="s">
        <v>1777</v>
      </c>
      <c r="C264" s="479">
        <v>1</v>
      </c>
      <c r="D264" s="1537">
        <v>3000000</v>
      </c>
      <c r="E264" s="1537">
        <v>3000000</v>
      </c>
      <c r="F264" s="478" t="s">
        <v>614</v>
      </c>
    </row>
    <row r="265" spans="1:6">
      <c r="A265" s="478"/>
      <c r="B265" s="478" t="s">
        <v>1778</v>
      </c>
      <c r="C265" s="479">
        <v>1</v>
      </c>
      <c r="D265" s="1537">
        <v>800000</v>
      </c>
      <c r="E265" s="1537">
        <v>800000</v>
      </c>
      <c r="F265" s="478" t="s">
        <v>614</v>
      </c>
    </row>
    <row r="266" spans="1:6">
      <c r="A266" s="478"/>
      <c r="B266" s="478" t="s">
        <v>1779</v>
      </c>
      <c r="C266" s="479">
        <v>1</v>
      </c>
      <c r="D266" s="1537">
        <v>162308.29999999999</v>
      </c>
      <c r="E266" s="1537">
        <v>162308.29999999999</v>
      </c>
      <c r="F266" s="478" t="s">
        <v>614</v>
      </c>
    </row>
    <row r="267" spans="1:6">
      <c r="A267" s="478"/>
      <c r="B267" s="478" t="s">
        <v>1780</v>
      </c>
      <c r="C267" s="479">
        <v>1</v>
      </c>
      <c r="D267" s="1537">
        <v>450000</v>
      </c>
      <c r="E267" s="1537">
        <v>450000</v>
      </c>
      <c r="F267" s="478" t="s">
        <v>1879</v>
      </c>
    </row>
    <row r="268" spans="1:6">
      <c r="A268" s="478"/>
      <c r="B268" s="478" t="s">
        <v>1781</v>
      </c>
      <c r="C268" s="479">
        <v>3</v>
      </c>
      <c r="D268" s="1537">
        <v>25000</v>
      </c>
      <c r="E268" s="1537">
        <v>75000</v>
      </c>
      <c r="F268" s="478" t="s">
        <v>426</v>
      </c>
    </row>
    <row r="269" spans="1:6">
      <c r="A269" s="478"/>
      <c r="B269" s="478" t="s">
        <v>1782</v>
      </c>
      <c r="C269" s="479">
        <v>1</v>
      </c>
      <c r="D269" s="1537">
        <v>5990</v>
      </c>
      <c r="E269" s="1537">
        <v>5990</v>
      </c>
      <c r="F269" s="478" t="s">
        <v>958</v>
      </c>
    </row>
    <row r="270" spans="1:6">
      <c r="A270" s="478"/>
      <c r="B270" s="478" t="s">
        <v>1783</v>
      </c>
      <c r="C270" s="479">
        <v>54</v>
      </c>
      <c r="D270" s="1537">
        <v>60000</v>
      </c>
      <c r="E270" s="1537">
        <v>3240000</v>
      </c>
      <c r="F270" s="478" t="s">
        <v>888</v>
      </c>
    </row>
    <row r="271" spans="1:6">
      <c r="A271" s="478"/>
      <c r="B271" s="478" t="s">
        <v>474</v>
      </c>
      <c r="C271" s="479">
        <v>1</v>
      </c>
      <c r="D271" s="1537">
        <v>1872.5</v>
      </c>
      <c r="E271" s="1537">
        <v>1872.5</v>
      </c>
      <c r="F271" s="478" t="s">
        <v>614</v>
      </c>
    </row>
    <row r="272" spans="1:6">
      <c r="A272" s="478"/>
      <c r="B272" s="478" t="s">
        <v>1784</v>
      </c>
      <c r="C272" s="479">
        <v>2</v>
      </c>
      <c r="D272" s="1537">
        <v>14500</v>
      </c>
      <c r="E272" s="1537">
        <v>29000</v>
      </c>
      <c r="F272" s="478" t="s">
        <v>414</v>
      </c>
    </row>
    <row r="273" spans="1:6">
      <c r="A273" s="478"/>
      <c r="B273" s="478" t="s">
        <v>1785</v>
      </c>
      <c r="C273" s="479">
        <v>1</v>
      </c>
      <c r="D273" s="1537">
        <v>7600</v>
      </c>
      <c r="E273" s="1537">
        <v>7600</v>
      </c>
      <c r="F273" s="478" t="s">
        <v>1880</v>
      </c>
    </row>
    <row r="274" spans="1:6">
      <c r="A274" s="478"/>
      <c r="B274" s="478" t="s">
        <v>1786</v>
      </c>
      <c r="C274" s="479">
        <v>1</v>
      </c>
      <c r="D274" s="1537">
        <v>45600</v>
      </c>
      <c r="E274" s="1537">
        <v>45600</v>
      </c>
      <c r="F274" s="478" t="s">
        <v>414</v>
      </c>
    </row>
    <row r="275" spans="1:6">
      <c r="A275" s="478"/>
      <c r="B275" s="478" t="s">
        <v>1787</v>
      </c>
      <c r="C275" s="479">
        <v>40</v>
      </c>
      <c r="D275" s="1537">
        <v>9680</v>
      </c>
      <c r="E275" s="1537">
        <v>387200</v>
      </c>
      <c r="F275" s="478" t="s">
        <v>888</v>
      </c>
    </row>
    <row r="276" spans="1:6">
      <c r="A276" s="478"/>
      <c r="B276" s="478" t="s">
        <v>1788</v>
      </c>
      <c r="C276" s="479">
        <v>40</v>
      </c>
      <c r="D276" s="1537">
        <v>4390</v>
      </c>
      <c r="E276" s="1537">
        <v>175600</v>
      </c>
      <c r="F276" s="478" t="s">
        <v>888</v>
      </c>
    </row>
    <row r="277" spans="1:6">
      <c r="A277" s="478"/>
      <c r="B277" s="478" t="s">
        <v>1789</v>
      </c>
      <c r="C277" s="479">
        <v>40</v>
      </c>
      <c r="D277" s="1537">
        <v>1590</v>
      </c>
      <c r="E277" s="1537">
        <v>63600</v>
      </c>
      <c r="F277" s="478" t="s">
        <v>888</v>
      </c>
    </row>
    <row r="278" spans="1:6">
      <c r="A278" s="478"/>
      <c r="B278" s="478" t="s">
        <v>1790</v>
      </c>
      <c r="C278" s="479">
        <v>1</v>
      </c>
      <c r="D278" s="1537">
        <v>35990</v>
      </c>
      <c r="E278" s="1537">
        <v>35990</v>
      </c>
      <c r="F278" s="478" t="s">
        <v>946</v>
      </c>
    </row>
    <row r="279" spans="1:6">
      <c r="A279" s="478"/>
      <c r="B279" s="478" t="s">
        <v>465</v>
      </c>
      <c r="C279" s="479">
        <v>24</v>
      </c>
      <c r="D279" s="1537"/>
      <c r="E279" s="1537">
        <v>54959.99</v>
      </c>
      <c r="F279" s="478" t="s">
        <v>1872</v>
      </c>
    </row>
    <row r="280" spans="1:6">
      <c r="A280" s="478"/>
      <c r="B280" s="478" t="s">
        <v>1791</v>
      </c>
      <c r="C280" s="479">
        <v>1</v>
      </c>
      <c r="D280" s="1537">
        <v>280000</v>
      </c>
      <c r="E280" s="1537">
        <v>280000</v>
      </c>
      <c r="F280" s="478" t="s">
        <v>1881</v>
      </c>
    </row>
    <row r="281" spans="1:6">
      <c r="A281" s="478"/>
      <c r="B281" s="478" t="s">
        <v>1792</v>
      </c>
      <c r="C281" s="479">
        <v>1</v>
      </c>
      <c r="D281" s="1537">
        <v>150000</v>
      </c>
      <c r="E281" s="1537">
        <v>150000</v>
      </c>
      <c r="F281" s="478" t="s">
        <v>1881</v>
      </c>
    </row>
    <row r="282" spans="1:6">
      <c r="A282" s="478"/>
      <c r="B282" s="478" t="s">
        <v>1793</v>
      </c>
      <c r="C282" s="479">
        <v>1</v>
      </c>
      <c r="D282" s="1537">
        <v>4600</v>
      </c>
      <c r="E282" s="1537">
        <v>4600</v>
      </c>
      <c r="F282" s="478" t="s">
        <v>1882</v>
      </c>
    </row>
    <row r="283" spans="1:6">
      <c r="A283" s="478"/>
      <c r="B283" s="478" t="s">
        <v>1794</v>
      </c>
      <c r="C283" s="479">
        <v>1</v>
      </c>
      <c r="D283" s="1537">
        <v>149120.98000000001</v>
      </c>
      <c r="E283" s="1537">
        <v>149120.98000000001</v>
      </c>
      <c r="F283" s="478" t="s">
        <v>1436</v>
      </c>
    </row>
    <row r="284" spans="1:6">
      <c r="A284" s="478"/>
      <c r="B284" s="478" t="s">
        <v>1795</v>
      </c>
      <c r="C284" s="479">
        <v>1</v>
      </c>
      <c r="D284" s="1537">
        <v>5990</v>
      </c>
      <c r="E284" s="1537">
        <v>5990</v>
      </c>
      <c r="F284" s="478" t="s">
        <v>614</v>
      </c>
    </row>
    <row r="285" spans="1:6">
      <c r="A285" s="478"/>
      <c r="B285" s="478" t="s">
        <v>1796</v>
      </c>
      <c r="C285" s="479">
        <v>1</v>
      </c>
      <c r="D285" s="1537">
        <v>4900</v>
      </c>
      <c r="E285" s="1537">
        <v>4900</v>
      </c>
      <c r="F285" s="478" t="s">
        <v>614</v>
      </c>
    </row>
    <row r="286" spans="1:6">
      <c r="A286" s="478"/>
      <c r="B286" s="478" t="s">
        <v>1797</v>
      </c>
      <c r="C286" s="479">
        <v>2</v>
      </c>
      <c r="D286" s="1537">
        <v>2033</v>
      </c>
      <c r="E286" s="1537">
        <v>4066</v>
      </c>
      <c r="F286" s="478" t="s">
        <v>614</v>
      </c>
    </row>
    <row r="287" spans="1:6">
      <c r="A287" s="478"/>
      <c r="B287" s="478" t="s">
        <v>474</v>
      </c>
      <c r="C287" s="479">
        <v>1</v>
      </c>
      <c r="D287" s="1537">
        <v>2355</v>
      </c>
      <c r="E287" s="1537">
        <v>2355</v>
      </c>
      <c r="F287" s="478" t="s">
        <v>982</v>
      </c>
    </row>
    <row r="288" spans="1:6">
      <c r="A288" s="478"/>
      <c r="B288" s="478" t="s">
        <v>1798</v>
      </c>
      <c r="C288" s="479">
        <v>52</v>
      </c>
      <c r="D288" s="1537">
        <v>9469.5</v>
      </c>
      <c r="E288" s="1537">
        <v>492414</v>
      </c>
      <c r="F288" s="478" t="s">
        <v>1872</v>
      </c>
    </row>
    <row r="289" spans="1:6">
      <c r="A289" s="478"/>
      <c r="B289" s="478" t="s">
        <v>1799</v>
      </c>
      <c r="C289" s="479">
        <v>7</v>
      </c>
      <c r="D289" s="1537">
        <v>40000</v>
      </c>
      <c r="E289" s="1537">
        <v>280000</v>
      </c>
      <c r="F289" s="478" t="s">
        <v>418</v>
      </c>
    </row>
    <row r="290" spans="1:6">
      <c r="A290" s="478"/>
      <c r="B290" s="478" t="s">
        <v>479</v>
      </c>
      <c r="C290" s="479">
        <v>7</v>
      </c>
      <c r="D290" s="1537">
        <v>2619</v>
      </c>
      <c r="E290" s="1537">
        <v>18333</v>
      </c>
      <c r="F290" s="478" t="s">
        <v>418</v>
      </c>
    </row>
    <row r="291" spans="1:6">
      <c r="A291" s="478"/>
      <c r="B291" s="478" t="s">
        <v>1800</v>
      </c>
      <c r="C291" s="479">
        <v>1</v>
      </c>
      <c r="D291" s="1537">
        <v>46855.3</v>
      </c>
      <c r="E291" s="1537">
        <v>46855.3</v>
      </c>
      <c r="F291" s="478" t="s">
        <v>614</v>
      </c>
    </row>
    <row r="292" spans="1:6">
      <c r="A292" s="478"/>
      <c r="B292" s="478" t="s">
        <v>1801</v>
      </c>
      <c r="C292" s="479">
        <v>1</v>
      </c>
      <c r="D292" s="1537">
        <v>3100</v>
      </c>
      <c r="E292" s="1537">
        <v>3100</v>
      </c>
      <c r="F292" s="478" t="s">
        <v>888</v>
      </c>
    </row>
    <row r="293" spans="1:6">
      <c r="A293" s="478"/>
      <c r="B293" s="478" t="s">
        <v>1802</v>
      </c>
      <c r="C293" s="479">
        <v>1</v>
      </c>
      <c r="D293" s="1537">
        <v>5898</v>
      </c>
      <c r="E293" s="1537">
        <v>5898</v>
      </c>
      <c r="F293" s="478" t="s">
        <v>1883</v>
      </c>
    </row>
    <row r="294" spans="1:6">
      <c r="A294" s="478"/>
      <c r="B294" s="478" t="s">
        <v>1803</v>
      </c>
      <c r="C294" s="479">
        <v>2</v>
      </c>
      <c r="D294" s="1537">
        <v>1808.3</v>
      </c>
      <c r="E294" s="1537">
        <v>3616.6</v>
      </c>
      <c r="F294" s="478" t="s">
        <v>1278</v>
      </c>
    </row>
    <row r="295" spans="1:6">
      <c r="A295" s="478"/>
      <c r="B295" s="478" t="s">
        <v>908</v>
      </c>
      <c r="C295" s="479">
        <v>1</v>
      </c>
      <c r="D295" s="1537">
        <v>2305.85</v>
      </c>
      <c r="E295" s="1537">
        <v>2305.85</v>
      </c>
      <c r="F295" s="478" t="s">
        <v>463</v>
      </c>
    </row>
    <row r="296" spans="1:6">
      <c r="A296" s="478"/>
      <c r="B296" s="478" t="s">
        <v>1804</v>
      </c>
      <c r="C296" s="479">
        <v>1</v>
      </c>
      <c r="D296" s="1537">
        <v>60000</v>
      </c>
      <c r="E296" s="1537">
        <v>60000</v>
      </c>
      <c r="F296" s="478" t="s">
        <v>856</v>
      </c>
    </row>
    <row r="297" spans="1:6">
      <c r="A297" s="478"/>
      <c r="B297" s="478" t="s">
        <v>1805</v>
      </c>
      <c r="C297" s="479">
        <v>1</v>
      </c>
      <c r="D297" s="1537">
        <v>3070</v>
      </c>
      <c r="E297" s="1537">
        <v>3070</v>
      </c>
      <c r="F297" s="478" t="s">
        <v>471</v>
      </c>
    </row>
    <row r="298" spans="1:6">
      <c r="A298" s="478"/>
      <c r="B298" s="478" t="s">
        <v>1806</v>
      </c>
      <c r="C298" s="479">
        <v>1</v>
      </c>
      <c r="D298" s="1537">
        <v>45600</v>
      </c>
      <c r="E298" s="1537">
        <v>45600</v>
      </c>
      <c r="F298" s="478" t="s">
        <v>431</v>
      </c>
    </row>
    <row r="299" spans="1:6">
      <c r="A299" s="478"/>
      <c r="B299" s="478" t="s">
        <v>1807</v>
      </c>
      <c r="C299" s="479">
        <v>1</v>
      </c>
      <c r="D299" s="1537">
        <v>2305.85</v>
      </c>
      <c r="E299" s="1537">
        <v>2305.85</v>
      </c>
      <c r="F299" s="478" t="s">
        <v>1884</v>
      </c>
    </row>
    <row r="300" spans="1:6">
      <c r="A300" s="478"/>
      <c r="B300" s="478" t="s">
        <v>1808</v>
      </c>
      <c r="C300" s="479">
        <v>1</v>
      </c>
      <c r="D300" s="1537">
        <v>3910850</v>
      </c>
      <c r="E300" s="1537">
        <v>3910850</v>
      </c>
      <c r="F300" s="478" t="s">
        <v>1885</v>
      </c>
    </row>
    <row r="301" spans="1:6">
      <c r="A301" s="478"/>
      <c r="B301" s="478" t="s">
        <v>1809</v>
      </c>
      <c r="C301" s="479">
        <v>4</v>
      </c>
      <c r="D301" s="1537">
        <v>3638</v>
      </c>
      <c r="E301" s="1537">
        <v>14552</v>
      </c>
      <c r="F301" s="478" t="s">
        <v>1885</v>
      </c>
    </row>
    <row r="302" spans="1:6">
      <c r="A302" s="478"/>
      <c r="B302" s="478" t="s">
        <v>1810</v>
      </c>
      <c r="C302" s="479">
        <v>4</v>
      </c>
      <c r="D302" s="1537">
        <v>350</v>
      </c>
      <c r="E302" s="1537">
        <v>1400</v>
      </c>
      <c r="F302" s="478" t="s">
        <v>1885</v>
      </c>
    </row>
    <row r="303" spans="1:6">
      <c r="A303" s="478"/>
      <c r="B303" s="478" t="s">
        <v>1811</v>
      </c>
      <c r="C303" s="479">
        <v>3</v>
      </c>
      <c r="D303" s="1537">
        <v>3200</v>
      </c>
      <c r="E303" s="1537">
        <v>9600</v>
      </c>
      <c r="F303" s="478" t="s">
        <v>1885</v>
      </c>
    </row>
    <row r="304" spans="1:6">
      <c r="A304" s="478"/>
      <c r="B304" s="478" t="s">
        <v>1812</v>
      </c>
      <c r="C304" s="479">
        <v>1</v>
      </c>
      <c r="D304" s="1537">
        <v>2990</v>
      </c>
      <c r="E304" s="1537">
        <v>2990</v>
      </c>
      <c r="F304" s="478" t="s">
        <v>1885</v>
      </c>
    </row>
    <row r="305" spans="1:6">
      <c r="A305" s="478"/>
      <c r="B305" s="478" t="s">
        <v>1813</v>
      </c>
      <c r="C305" s="479">
        <v>1</v>
      </c>
      <c r="D305" s="1537">
        <v>4500</v>
      </c>
      <c r="E305" s="1537">
        <v>4500</v>
      </c>
      <c r="F305" s="478" t="s">
        <v>1885</v>
      </c>
    </row>
    <row r="306" spans="1:6">
      <c r="A306" s="478"/>
      <c r="B306" s="478" t="s">
        <v>1814</v>
      </c>
      <c r="C306" s="479">
        <v>4</v>
      </c>
      <c r="D306" s="1537">
        <v>450</v>
      </c>
      <c r="E306" s="1537">
        <v>1800</v>
      </c>
      <c r="F306" s="478" t="s">
        <v>1886</v>
      </c>
    </row>
    <row r="307" spans="1:6">
      <c r="A307" s="478"/>
      <c r="B307" s="478" t="s">
        <v>1815</v>
      </c>
      <c r="C307" s="479">
        <v>6</v>
      </c>
      <c r="D307" s="1537">
        <v>280</v>
      </c>
      <c r="E307" s="1537">
        <v>1680</v>
      </c>
      <c r="F307" s="478" t="s">
        <v>1886</v>
      </c>
    </row>
    <row r="308" spans="1:6">
      <c r="A308" s="478"/>
      <c r="B308" s="478" t="s">
        <v>1816</v>
      </c>
      <c r="C308" s="479">
        <v>4</v>
      </c>
      <c r="D308" s="1537">
        <v>1016.5</v>
      </c>
      <c r="E308" s="1537">
        <v>4066</v>
      </c>
      <c r="F308" s="478" t="s">
        <v>1886</v>
      </c>
    </row>
    <row r="309" spans="1:6">
      <c r="A309" s="478"/>
      <c r="B309" s="478" t="s">
        <v>1817</v>
      </c>
      <c r="C309" s="479">
        <v>20</v>
      </c>
      <c r="D309" s="1537">
        <v>1449</v>
      </c>
      <c r="E309" s="1537">
        <v>28980</v>
      </c>
      <c r="F309" s="478" t="s">
        <v>1887</v>
      </c>
    </row>
    <row r="310" spans="1:6">
      <c r="A310" s="478"/>
      <c r="B310" s="478" t="s">
        <v>1818</v>
      </c>
      <c r="C310" s="479">
        <v>1</v>
      </c>
      <c r="D310" s="1537">
        <v>1390</v>
      </c>
      <c r="E310" s="1537">
        <v>1390</v>
      </c>
      <c r="F310" s="478" t="s">
        <v>423</v>
      </c>
    </row>
    <row r="311" spans="1:6">
      <c r="A311" s="478"/>
      <c r="B311" s="478" t="s">
        <v>473</v>
      </c>
      <c r="C311" s="479">
        <v>4</v>
      </c>
      <c r="D311" s="1537">
        <v>3400</v>
      </c>
      <c r="E311" s="1537">
        <v>13600</v>
      </c>
      <c r="F311" s="478" t="s">
        <v>423</v>
      </c>
    </row>
    <row r="312" spans="1:6">
      <c r="A312" s="478"/>
      <c r="B312" s="478" t="s">
        <v>1819</v>
      </c>
      <c r="C312" s="479">
        <v>8</v>
      </c>
      <c r="D312" s="1537">
        <v>2500</v>
      </c>
      <c r="E312" s="1537">
        <v>20000</v>
      </c>
      <c r="F312" s="478" t="s">
        <v>423</v>
      </c>
    </row>
    <row r="313" spans="1:6">
      <c r="A313" s="478"/>
      <c r="B313" s="478" t="s">
        <v>1951</v>
      </c>
      <c r="C313" s="479">
        <v>7</v>
      </c>
      <c r="D313" s="1537">
        <v>5890</v>
      </c>
      <c r="E313" s="1537">
        <v>41230</v>
      </c>
      <c r="F313" s="478" t="s">
        <v>1888</v>
      </c>
    </row>
    <row r="314" spans="1:6">
      <c r="A314" s="478"/>
      <c r="B314" s="478" t="s">
        <v>1820</v>
      </c>
      <c r="C314" s="479">
        <v>2</v>
      </c>
      <c r="D314" s="1537">
        <v>2188</v>
      </c>
      <c r="E314" s="1537">
        <v>4376</v>
      </c>
      <c r="F314" s="478" t="s">
        <v>1888</v>
      </c>
    </row>
    <row r="315" spans="1:6">
      <c r="A315" s="478"/>
      <c r="B315" s="478" t="s">
        <v>469</v>
      </c>
      <c r="C315" s="479">
        <v>1</v>
      </c>
      <c r="D315" s="1537">
        <v>2305.85</v>
      </c>
      <c r="E315" s="1537">
        <v>2305.85</v>
      </c>
      <c r="F315" s="478" t="s">
        <v>426</v>
      </c>
    </row>
    <row r="316" spans="1:6">
      <c r="A316" s="478"/>
      <c r="B316" s="478" t="s">
        <v>1821</v>
      </c>
      <c r="C316" s="479">
        <v>15</v>
      </c>
      <c r="D316" s="1537">
        <v>2300.5</v>
      </c>
      <c r="E316" s="1537">
        <v>34507.5</v>
      </c>
      <c r="F316" s="478" t="s">
        <v>1889</v>
      </c>
    </row>
    <row r="317" spans="1:6">
      <c r="A317" s="478"/>
      <c r="B317" s="478" t="s">
        <v>1822</v>
      </c>
      <c r="C317" s="479">
        <v>5</v>
      </c>
      <c r="D317" s="1537">
        <v>3650</v>
      </c>
      <c r="E317" s="1537">
        <v>18250</v>
      </c>
      <c r="F317" s="478" t="s">
        <v>961</v>
      </c>
    </row>
    <row r="318" spans="1:6">
      <c r="A318" s="478"/>
      <c r="B318" s="478" t="s">
        <v>1823</v>
      </c>
      <c r="C318" s="479">
        <v>10</v>
      </c>
      <c r="D318" s="1537">
        <v>2200</v>
      </c>
      <c r="E318" s="1537">
        <v>22000</v>
      </c>
      <c r="F318" s="478" t="s">
        <v>961</v>
      </c>
    </row>
    <row r="319" spans="1:6">
      <c r="A319" s="478"/>
      <c r="B319" s="478" t="s">
        <v>1824</v>
      </c>
      <c r="C319" s="479">
        <v>1</v>
      </c>
      <c r="D319" s="1537">
        <v>10500</v>
      </c>
      <c r="E319" s="1537">
        <v>10500</v>
      </c>
      <c r="F319" s="478" t="s">
        <v>1436</v>
      </c>
    </row>
    <row r="320" spans="1:6">
      <c r="A320" s="478"/>
      <c r="B320" s="478" t="s">
        <v>1825</v>
      </c>
      <c r="C320" s="479">
        <v>6</v>
      </c>
      <c r="D320" s="1537">
        <v>940</v>
      </c>
      <c r="E320" s="1537">
        <v>5640</v>
      </c>
      <c r="F320" s="478" t="s">
        <v>1436</v>
      </c>
    </row>
    <row r="321" spans="1:6">
      <c r="A321" s="478"/>
      <c r="B321" s="478" t="s">
        <v>1826</v>
      </c>
      <c r="C321" s="479">
        <v>2</v>
      </c>
      <c r="D321" s="1537">
        <v>1800</v>
      </c>
      <c r="E321" s="1537">
        <v>3600</v>
      </c>
      <c r="F321" s="478" t="s">
        <v>1436</v>
      </c>
    </row>
    <row r="322" spans="1:6">
      <c r="A322" s="478"/>
      <c r="B322" s="478" t="s">
        <v>1827</v>
      </c>
      <c r="C322" s="479">
        <v>2</v>
      </c>
      <c r="D322" s="1537">
        <v>6900</v>
      </c>
      <c r="E322" s="1537">
        <v>13800</v>
      </c>
      <c r="F322" s="478" t="s">
        <v>1436</v>
      </c>
    </row>
    <row r="323" spans="1:6">
      <c r="A323" s="478"/>
      <c r="B323" s="478" t="s">
        <v>1828</v>
      </c>
      <c r="C323" s="479">
        <v>1</v>
      </c>
      <c r="D323" s="1537">
        <v>33975</v>
      </c>
      <c r="E323" s="1537">
        <v>33975</v>
      </c>
      <c r="F323" s="478" t="s">
        <v>1436</v>
      </c>
    </row>
    <row r="324" spans="1:6">
      <c r="A324" s="478"/>
      <c r="B324" s="478" t="s">
        <v>474</v>
      </c>
      <c r="C324" s="479">
        <v>1</v>
      </c>
      <c r="D324" s="1537">
        <v>2354</v>
      </c>
      <c r="E324" s="1537">
        <v>2354</v>
      </c>
      <c r="F324" s="478" t="s">
        <v>1890</v>
      </c>
    </row>
    <row r="325" spans="1:6">
      <c r="A325" s="478"/>
      <c r="B325" s="478" t="s">
        <v>1785</v>
      </c>
      <c r="C325" s="479">
        <v>1</v>
      </c>
      <c r="D325" s="1537">
        <v>12900</v>
      </c>
      <c r="E325" s="1537">
        <v>12900</v>
      </c>
      <c r="F325" s="478" t="s">
        <v>1891</v>
      </c>
    </row>
    <row r="326" spans="1:6">
      <c r="A326" s="478"/>
      <c r="B326" s="478" t="s">
        <v>1829</v>
      </c>
      <c r="C326" s="479">
        <v>5</v>
      </c>
      <c r="D326" s="1537">
        <v>6400</v>
      </c>
      <c r="E326" s="1537">
        <v>32000</v>
      </c>
      <c r="F326" s="478" t="s">
        <v>1891</v>
      </c>
    </row>
    <row r="327" spans="1:6">
      <c r="A327" s="478"/>
      <c r="B327" s="478" t="s">
        <v>1830</v>
      </c>
      <c r="C327" s="479">
        <v>1</v>
      </c>
      <c r="D327" s="1537">
        <v>12900</v>
      </c>
      <c r="E327" s="1537">
        <v>12900</v>
      </c>
      <c r="F327" s="478" t="s">
        <v>1891</v>
      </c>
    </row>
    <row r="328" spans="1:6">
      <c r="A328" s="478"/>
      <c r="B328" s="478" t="s">
        <v>1831</v>
      </c>
      <c r="C328" s="479">
        <v>1</v>
      </c>
      <c r="D328" s="1537">
        <v>16900</v>
      </c>
      <c r="E328" s="1537">
        <v>16900</v>
      </c>
      <c r="F328" s="478" t="s">
        <v>1891</v>
      </c>
    </row>
    <row r="329" spans="1:6">
      <c r="A329" s="478"/>
      <c r="B329" s="478" t="s">
        <v>1832</v>
      </c>
      <c r="C329" s="479">
        <v>1</v>
      </c>
      <c r="D329" s="1537">
        <v>6200</v>
      </c>
      <c r="E329" s="1537">
        <v>6200</v>
      </c>
      <c r="F329" s="478" t="s">
        <v>1478</v>
      </c>
    </row>
    <row r="330" spans="1:6">
      <c r="A330" s="478"/>
      <c r="B330" s="478" t="s">
        <v>474</v>
      </c>
      <c r="C330" s="479">
        <v>1</v>
      </c>
      <c r="D330" s="1537">
        <v>2354</v>
      </c>
      <c r="E330" s="1537">
        <v>2354</v>
      </c>
      <c r="F330" s="478" t="s">
        <v>1892</v>
      </c>
    </row>
    <row r="331" spans="1:6">
      <c r="A331" s="478"/>
      <c r="B331" s="478" t="s">
        <v>1806</v>
      </c>
      <c r="C331" s="479">
        <v>10</v>
      </c>
      <c r="D331" s="1537">
        <v>45600</v>
      </c>
      <c r="E331" s="1537">
        <v>456000</v>
      </c>
      <c r="F331" s="478" t="s">
        <v>888</v>
      </c>
    </row>
    <row r="332" spans="1:6">
      <c r="A332" s="478"/>
      <c r="B332" s="478" t="s">
        <v>1833</v>
      </c>
      <c r="C332" s="479">
        <v>1</v>
      </c>
      <c r="D332" s="1537">
        <v>60000</v>
      </c>
      <c r="E332" s="1537">
        <v>60000</v>
      </c>
      <c r="F332" s="478" t="s">
        <v>956</v>
      </c>
    </row>
    <row r="333" spans="1:6">
      <c r="A333" s="478"/>
      <c r="B333" s="478" t="s">
        <v>1834</v>
      </c>
      <c r="C333" s="479">
        <v>1</v>
      </c>
      <c r="D333" s="1537">
        <v>250000</v>
      </c>
      <c r="E333" s="1537">
        <v>250000</v>
      </c>
      <c r="F333" s="478" t="s">
        <v>1436</v>
      </c>
    </row>
    <row r="334" spans="1:6">
      <c r="A334" s="478"/>
      <c r="B334" s="478" t="s">
        <v>1835</v>
      </c>
      <c r="C334" s="479">
        <v>13</v>
      </c>
      <c r="D334" s="1537"/>
      <c r="E334" s="1537">
        <v>46000</v>
      </c>
      <c r="F334" s="478" t="s">
        <v>416</v>
      </c>
    </row>
    <row r="335" spans="1:6">
      <c r="A335" s="478"/>
      <c r="B335" s="478" t="s">
        <v>1836</v>
      </c>
      <c r="C335" s="479">
        <v>3</v>
      </c>
      <c r="D335" s="1537">
        <v>5885</v>
      </c>
      <c r="E335" s="1537">
        <v>17655</v>
      </c>
      <c r="F335" s="478" t="s">
        <v>416</v>
      </c>
    </row>
    <row r="336" spans="1:6">
      <c r="A336" s="478"/>
      <c r="B336" s="478" t="s">
        <v>1837</v>
      </c>
      <c r="C336" s="479">
        <v>4</v>
      </c>
      <c r="D336" s="1537">
        <v>6690</v>
      </c>
      <c r="E336" s="1537">
        <v>26760</v>
      </c>
      <c r="F336" s="478" t="s">
        <v>1893</v>
      </c>
    </row>
    <row r="337" spans="1:6">
      <c r="A337" s="478"/>
      <c r="B337" s="478" t="s">
        <v>1838</v>
      </c>
      <c r="C337" s="479">
        <v>4</v>
      </c>
      <c r="D337" s="1537">
        <v>5638.9</v>
      </c>
      <c r="E337" s="1537">
        <v>22555.599999999999</v>
      </c>
      <c r="F337" s="478" t="s">
        <v>416</v>
      </c>
    </row>
    <row r="338" spans="1:6">
      <c r="A338" s="478"/>
      <c r="B338" s="478" t="s">
        <v>1806</v>
      </c>
      <c r="C338" s="479">
        <v>1</v>
      </c>
      <c r="D338" s="1537">
        <v>45600</v>
      </c>
      <c r="E338" s="1537">
        <v>45600</v>
      </c>
      <c r="F338" s="478" t="s">
        <v>416</v>
      </c>
    </row>
    <row r="339" spans="1:6">
      <c r="A339" s="478"/>
      <c r="B339" s="478" t="s">
        <v>1839</v>
      </c>
      <c r="C339" s="479">
        <v>1</v>
      </c>
      <c r="D339" s="1537">
        <v>38500</v>
      </c>
      <c r="E339" s="1537">
        <v>38500</v>
      </c>
      <c r="F339" s="478" t="s">
        <v>1894</v>
      </c>
    </row>
    <row r="340" spans="1:6">
      <c r="A340" s="478"/>
      <c r="B340" s="478" t="s">
        <v>1840</v>
      </c>
      <c r="C340" s="479">
        <v>1</v>
      </c>
      <c r="D340" s="1537">
        <v>21485</v>
      </c>
      <c r="E340" s="1537">
        <v>21485</v>
      </c>
      <c r="F340" s="478" t="s">
        <v>1894</v>
      </c>
    </row>
    <row r="341" spans="1:6">
      <c r="A341" s="478"/>
      <c r="B341" s="478" t="s">
        <v>1841</v>
      </c>
      <c r="C341" s="479">
        <v>1</v>
      </c>
      <c r="D341" s="1537">
        <v>193616.5</v>
      </c>
      <c r="E341" s="1537">
        <v>193616.5</v>
      </c>
      <c r="F341" s="478" t="s">
        <v>1895</v>
      </c>
    </row>
    <row r="342" spans="1:6">
      <c r="A342" s="478"/>
      <c r="B342" s="478" t="s">
        <v>1842</v>
      </c>
      <c r="C342" s="479">
        <v>1</v>
      </c>
      <c r="D342" s="1537">
        <v>66896</v>
      </c>
      <c r="E342" s="1537">
        <v>66896</v>
      </c>
      <c r="F342" s="478" t="s">
        <v>1896</v>
      </c>
    </row>
    <row r="343" spans="1:6">
      <c r="A343" s="478"/>
      <c r="B343" s="478" t="s">
        <v>474</v>
      </c>
      <c r="C343" s="479">
        <v>1</v>
      </c>
      <c r="D343" s="1537">
        <v>2354</v>
      </c>
      <c r="E343" s="1537">
        <v>2354</v>
      </c>
      <c r="F343" s="478" t="s">
        <v>1897</v>
      </c>
    </row>
    <row r="344" spans="1:6">
      <c r="A344" s="478"/>
      <c r="B344" s="478" t="s">
        <v>1843</v>
      </c>
      <c r="C344" s="479">
        <v>1</v>
      </c>
      <c r="D344" s="1537">
        <v>14500</v>
      </c>
      <c r="E344" s="1537">
        <v>14500</v>
      </c>
      <c r="F344" s="478" t="s">
        <v>1898</v>
      </c>
    </row>
    <row r="345" spans="1:6">
      <c r="A345" s="478"/>
      <c r="B345" s="478" t="s">
        <v>1844</v>
      </c>
      <c r="C345" s="479">
        <v>2</v>
      </c>
      <c r="D345" s="1537">
        <v>1190</v>
      </c>
      <c r="E345" s="1537">
        <v>2380</v>
      </c>
      <c r="F345" s="478" t="s">
        <v>1206</v>
      </c>
    </row>
    <row r="346" spans="1:6">
      <c r="A346" s="478"/>
      <c r="B346" s="478" t="s">
        <v>1845</v>
      </c>
      <c r="C346" s="479">
        <v>10</v>
      </c>
      <c r="D346" s="1537">
        <v>27820</v>
      </c>
      <c r="E346" s="1537">
        <v>278200</v>
      </c>
      <c r="F346" s="1972" t="s">
        <v>416</v>
      </c>
    </row>
    <row r="347" spans="1:6">
      <c r="A347" s="478"/>
      <c r="B347" s="478" t="s">
        <v>1846</v>
      </c>
      <c r="C347" s="479">
        <v>4</v>
      </c>
      <c r="D347" s="1537">
        <v>1200000</v>
      </c>
      <c r="E347" s="1537">
        <v>4800000</v>
      </c>
      <c r="F347" s="478" t="s">
        <v>1899</v>
      </c>
    </row>
    <row r="348" spans="1:6">
      <c r="A348" s="478"/>
      <c r="B348" s="478" t="s">
        <v>1847</v>
      </c>
      <c r="C348" s="479">
        <v>4</v>
      </c>
      <c r="D348" s="1537">
        <v>150000</v>
      </c>
      <c r="E348" s="1537">
        <v>600000</v>
      </c>
      <c r="F348" s="478" t="s">
        <v>1899</v>
      </c>
    </row>
    <row r="349" spans="1:6">
      <c r="A349" s="478"/>
      <c r="B349" s="478" t="s">
        <v>1848</v>
      </c>
      <c r="C349" s="479">
        <v>1</v>
      </c>
      <c r="D349" s="1537">
        <v>11500</v>
      </c>
      <c r="E349" s="1537">
        <v>11500</v>
      </c>
      <c r="F349" s="478" t="s">
        <v>948</v>
      </c>
    </row>
    <row r="350" spans="1:6">
      <c r="A350" s="478"/>
      <c r="B350" s="478" t="s">
        <v>1849</v>
      </c>
      <c r="C350" s="479">
        <v>1</v>
      </c>
      <c r="D350" s="1537">
        <v>1200000</v>
      </c>
      <c r="E350" s="1537">
        <v>1200000</v>
      </c>
      <c r="F350" s="478" t="s">
        <v>1899</v>
      </c>
    </row>
    <row r="351" spans="1:6">
      <c r="A351" s="478"/>
      <c r="B351" s="478" t="s">
        <v>1850</v>
      </c>
      <c r="C351" s="479">
        <v>2</v>
      </c>
      <c r="D351" s="1537">
        <v>4050</v>
      </c>
      <c r="E351" s="1537">
        <v>8100</v>
      </c>
      <c r="F351" s="478" t="s">
        <v>961</v>
      </c>
    </row>
    <row r="352" spans="1:6">
      <c r="A352" s="478"/>
      <c r="B352" s="478" t="s">
        <v>1851</v>
      </c>
      <c r="C352" s="479">
        <v>3</v>
      </c>
      <c r="D352" s="1537">
        <v>11770</v>
      </c>
      <c r="E352" s="1537">
        <v>35310</v>
      </c>
      <c r="F352" s="478" t="s">
        <v>1900</v>
      </c>
    </row>
    <row r="353" spans="1:6">
      <c r="A353" s="478"/>
      <c r="B353" s="478" t="s">
        <v>842</v>
      </c>
      <c r="C353" s="479">
        <v>2</v>
      </c>
      <c r="D353" s="1537">
        <v>180000</v>
      </c>
      <c r="E353" s="1537">
        <v>360000</v>
      </c>
      <c r="F353" s="478" t="s">
        <v>736</v>
      </c>
    </row>
    <row r="354" spans="1:6">
      <c r="A354" s="478"/>
      <c r="B354" s="478" t="s">
        <v>1852</v>
      </c>
      <c r="C354" s="479">
        <v>1</v>
      </c>
      <c r="D354" s="1537">
        <v>5498</v>
      </c>
      <c r="E354" s="1537">
        <v>5498</v>
      </c>
      <c r="F354" s="478" t="s">
        <v>1265</v>
      </c>
    </row>
    <row r="355" spans="1:6">
      <c r="A355" s="478"/>
      <c r="B355" s="478" t="s">
        <v>1853</v>
      </c>
      <c r="C355" s="479">
        <v>6</v>
      </c>
      <c r="D355" s="1537">
        <v>8990</v>
      </c>
      <c r="E355" s="1537">
        <v>53940</v>
      </c>
      <c r="F355" s="478" t="s">
        <v>961</v>
      </c>
    </row>
    <row r="356" spans="1:6">
      <c r="A356" s="478"/>
      <c r="B356" s="478" t="s">
        <v>1854</v>
      </c>
      <c r="C356" s="479">
        <v>1</v>
      </c>
      <c r="D356" s="1537">
        <v>15000</v>
      </c>
      <c r="E356" s="1537">
        <v>15000</v>
      </c>
      <c r="F356" s="478" t="s">
        <v>743</v>
      </c>
    </row>
    <row r="357" spans="1:6">
      <c r="A357" s="478"/>
      <c r="B357" s="478" t="s">
        <v>474</v>
      </c>
      <c r="C357" s="479">
        <v>1</v>
      </c>
      <c r="D357" s="1537">
        <v>2354</v>
      </c>
      <c r="E357" s="1537">
        <v>2354</v>
      </c>
      <c r="F357" s="478" t="s">
        <v>743</v>
      </c>
    </row>
    <row r="358" spans="1:6">
      <c r="A358" s="478"/>
      <c r="B358" s="478" t="s">
        <v>1855</v>
      </c>
      <c r="C358" s="479">
        <v>5</v>
      </c>
      <c r="D358" s="1537">
        <v>4690</v>
      </c>
      <c r="E358" s="1537">
        <v>23450</v>
      </c>
      <c r="F358" s="478" t="s">
        <v>1901</v>
      </c>
    </row>
    <row r="359" spans="1:6">
      <c r="A359" s="478"/>
      <c r="B359" s="478" t="s">
        <v>1856</v>
      </c>
      <c r="C359" s="479">
        <v>1</v>
      </c>
      <c r="D359" s="1537">
        <v>32500</v>
      </c>
      <c r="E359" s="1537">
        <v>32500</v>
      </c>
      <c r="F359" s="478" t="s">
        <v>471</v>
      </c>
    </row>
    <row r="360" spans="1:6">
      <c r="A360" s="478"/>
      <c r="B360" s="478" t="s">
        <v>1857</v>
      </c>
      <c r="C360" s="479">
        <v>2</v>
      </c>
      <c r="D360" s="1537">
        <v>170000</v>
      </c>
      <c r="E360" s="1537">
        <v>340000</v>
      </c>
      <c r="F360" s="478" t="s">
        <v>471</v>
      </c>
    </row>
    <row r="361" spans="1:6">
      <c r="A361" s="478"/>
      <c r="B361" s="478" t="s">
        <v>1849</v>
      </c>
      <c r="C361" s="479">
        <v>1</v>
      </c>
      <c r="D361" s="1537">
        <v>1200000</v>
      </c>
      <c r="E361" s="1537">
        <v>1200000</v>
      </c>
      <c r="F361" s="478" t="s">
        <v>948</v>
      </c>
    </row>
    <row r="362" spans="1:6">
      <c r="A362" s="478"/>
      <c r="B362" s="478" t="s">
        <v>842</v>
      </c>
      <c r="C362" s="479">
        <v>1</v>
      </c>
      <c r="D362" s="1537">
        <v>180000</v>
      </c>
      <c r="E362" s="1537">
        <v>180000</v>
      </c>
      <c r="F362" s="478" t="s">
        <v>1902</v>
      </c>
    </row>
    <row r="363" spans="1:6">
      <c r="A363" s="478"/>
      <c r="B363" s="478" t="s">
        <v>1858</v>
      </c>
      <c r="C363" s="479">
        <v>5</v>
      </c>
      <c r="D363" s="1537">
        <v>2889</v>
      </c>
      <c r="E363" s="1537">
        <v>14445</v>
      </c>
      <c r="F363" s="478" t="s">
        <v>416</v>
      </c>
    </row>
    <row r="364" spans="1:6">
      <c r="A364" s="478"/>
      <c r="B364" s="478" t="s">
        <v>1859</v>
      </c>
      <c r="C364" s="479">
        <v>1</v>
      </c>
      <c r="D364" s="1537">
        <v>5885</v>
      </c>
      <c r="E364" s="1537">
        <v>5885</v>
      </c>
      <c r="F364" s="478" t="s">
        <v>614</v>
      </c>
    </row>
    <row r="365" spans="1:6">
      <c r="A365" s="478"/>
      <c r="B365" s="478" t="s">
        <v>1860</v>
      </c>
      <c r="C365" s="479">
        <v>1</v>
      </c>
      <c r="D365" s="1537">
        <v>2300.5</v>
      </c>
      <c r="E365" s="1537">
        <v>2300.5</v>
      </c>
      <c r="F365" s="478" t="s">
        <v>614</v>
      </c>
    </row>
    <row r="366" spans="1:6">
      <c r="A366" s="478"/>
      <c r="B366" s="478" t="s">
        <v>1861</v>
      </c>
      <c r="C366" s="479">
        <v>1</v>
      </c>
      <c r="D366" s="1537">
        <v>40000</v>
      </c>
      <c r="E366" s="1537">
        <v>40000</v>
      </c>
      <c r="F366" s="478" t="s">
        <v>1903</v>
      </c>
    </row>
    <row r="367" spans="1:6">
      <c r="A367" s="478"/>
      <c r="B367" s="478" t="s">
        <v>1862</v>
      </c>
      <c r="C367" s="479">
        <v>2</v>
      </c>
      <c r="D367" s="1537">
        <v>2000</v>
      </c>
      <c r="E367" s="1537">
        <v>4000</v>
      </c>
      <c r="F367" s="478" t="s">
        <v>1904</v>
      </c>
    </row>
    <row r="368" spans="1:6">
      <c r="A368" s="478"/>
      <c r="B368" s="478" t="s">
        <v>1863</v>
      </c>
      <c r="C368" s="479">
        <v>5</v>
      </c>
      <c r="D368" s="1537">
        <v>21000</v>
      </c>
      <c r="E368" s="1537">
        <v>105000</v>
      </c>
      <c r="F368" s="478" t="s">
        <v>1904</v>
      </c>
    </row>
    <row r="369" spans="1:6">
      <c r="A369" s="478"/>
      <c r="B369" s="478" t="s">
        <v>1864</v>
      </c>
      <c r="C369" s="479">
        <v>4</v>
      </c>
      <c r="D369" s="1537">
        <v>12000</v>
      </c>
      <c r="E369" s="1537">
        <v>48000</v>
      </c>
      <c r="F369" s="478" t="s">
        <v>1904</v>
      </c>
    </row>
    <row r="370" spans="1:6">
      <c r="A370" s="478"/>
      <c r="B370" s="478" t="s">
        <v>1865</v>
      </c>
      <c r="C370" s="479">
        <v>2</v>
      </c>
      <c r="D370" s="1537">
        <v>35000</v>
      </c>
      <c r="E370" s="1537">
        <v>70000</v>
      </c>
      <c r="F370" s="478" t="s">
        <v>1904</v>
      </c>
    </row>
    <row r="371" spans="1:6">
      <c r="A371" s="478"/>
      <c r="B371" s="478" t="s">
        <v>1866</v>
      </c>
      <c r="C371" s="479">
        <v>2</v>
      </c>
      <c r="D371" s="1537">
        <v>50000</v>
      </c>
      <c r="E371" s="1537">
        <v>100000</v>
      </c>
      <c r="F371" s="478" t="s">
        <v>1904</v>
      </c>
    </row>
    <row r="372" spans="1:6">
      <c r="A372" s="478"/>
      <c r="B372" s="478" t="s">
        <v>1867</v>
      </c>
      <c r="C372" s="479">
        <v>1</v>
      </c>
      <c r="D372" s="1537">
        <v>50000</v>
      </c>
      <c r="E372" s="1537">
        <v>50000</v>
      </c>
      <c r="F372" s="478" t="s">
        <v>1904</v>
      </c>
    </row>
    <row r="373" spans="1:6">
      <c r="A373" s="478"/>
      <c r="B373" s="478" t="s">
        <v>1868</v>
      </c>
      <c r="C373" s="479">
        <v>1</v>
      </c>
      <c r="D373" s="1537">
        <v>65000</v>
      </c>
      <c r="E373" s="1537">
        <v>65000</v>
      </c>
      <c r="F373" s="478" t="s">
        <v>1904</v>
      </c>
    </row>
    <row r="374" spans="1:6">
      <c r="A374" s="478"/>
      <c r="B374" s="478" t="s">
        <v>1869</v>
      </c>
      <c r="C374" s="479">
        <v>1</v>
      </c>
      <c r="D374" s="1537">
        <v>4000</v>
      </c>
      <c r="E374" s="1537">
        <v>4000</v>
      </c>
      <c r="F374" s="478" t="s">
        <v>1904</v>
      </c>
    </row>
    <row r="375" spans="1:6">
      <c r="A375" s="478"/>
      <c r="B375" s="478" t="s">
        <v>1073</v>
      </c>
      <c r="C375" s="479">
        <v>1</v>
      </c>
      <c r="D375" s="1537">
        <v>10000</v>
      </c>
      <c r="E375" s="1537">
        <v>10000</v>
      </c>
      <c r="F375" s="478" t="s">
        <v>1904</v>
      </c>
    </row>
    <row r="376" spans="1:6">
      <c r="A376" s="478"/>
      <c r="B376" s="478" t="s">
        <v>1870</v>
      </c>
      <c r="C376" s="479">
        <v>1</v>
      </c>
      <c r="D376" s="1537">
        <v>23968</v>
      </c>
      <c r="E376" s="1537">
        <v>23968</v>
      </c>
      <c r="F376" s="478" t="s">
        <v>471</v>
      </c>
    </row>
    <row r="377" spans="1:6">
      <c r="A377" s="478"/>
      <c r="B377" s="478" t="s">
        <v>1871</v>
      </c>
      <c r="C377" s="479">
        <v>2</v>
      </c>
      <c r="D377" s="1537">
        <v>7600</v>
      </c>
      <c r="E377" s="1537">
        <v>15200</v>
      </c>
      <c r="F377" s="478" t="s">
        <v>1629</v>
      </c>
    </row>
    <row r="378" spans="1:6">
      <c r="A378" s="478"/>
      <c r="B378" s="478" t="s">
        <v>473</v>
      </c>
      <c r="C378" s="479">
        <v>2</v>
      </c>
      <c r="D378" s="1537">
        <v>3400</v>
      </c>
      <c r="E378" s="1537">
        <v>6800</v>
      </c>
      <c r="F378" s="478" t="s">
        <v>1629</v>
      </c>
    </row>
    <row r="379" spans="1:6">
      <c r="A379" s="478"/>
      <c r="B379" s="478" t="s">
        <v>1924</v>
      </c>
      <c r="C379" s="479">
        <v>2</v>
      </c>
      <c r="D379" s="1537">
        <v>2990</v>
      </c>
      <c r="E379" s="1537">
        <v>5980</v>
      </c>
      <c r="F379" s="478" t="s">
        <v>1629</v>
      </c>
    </row>
    <row r="380" spans="1:6">
      <c r="A380" s="478"/>
      <c r="B380" s="478" t="s">
        <v>474</v>
      </c>
      <c r="C380" s="479">
        <v>1</v>
      </c>
      <c r="D380" s="1537">
        <v>2354</v>
      </c>
      <c r="E380" s="1537">
        <v>2354</v>
      </c>
      <c r="F380" s="478" t="s">
        <v>416</v>
      </c>
    </row>
    <row r="381" spans="1:6">
      <c r="A381" s="478"/>
      <c r="B381" s="478" t="s">
        <v>969</v>
      </c>
      <c r="C381" s="479">
        <v>5</v>
      </c>
      <c r="D381" s="1537">
        <v>27820</v>
      </c>
      <c r="E381" s="1537">
        <v>139100</v>
      </c>
      <c r="F381" s="478" t="s">
        <v>416</v>
      </c>
    </row>
    <row r="382" spans="1:6">
      <c r="E382" s="1977">
        <f>SUM(E228:E381)</f>
        <v>35424435.420000002</v>
      </c>
    </row>
    <row r="384" spans="1:6">
      <c r="B384" s="1967" t="s">
        <v>1906</v>
      </c>
    </row>
    <row r="385" spans="1:6">
      <c r="A385" s="1478" t="s">
        <v>2</v>
      </c>
      <c r="B385" s="1478" t="s">
        <v>3</v>
      </c>
      <c r="C385" s="1478" t="s">
        <v>618</v>
      </c>
      <c r="D385" s="1478" t="s">
        <v>1410</v>
      </c>
      <c r="E385" s="1478" t="s">
        <v>1411</v>
      </c>
      <c r="F385" s="1478" t="s">
        <v>388</v>
      </c>
    </row>
    <row r="386" spans="1:6">
      <c r="A386" s="478"/>
      <c r="B386" s="478" t="s">
        <v>1907</v>
      </c>
      <c r="C386" s="479">
        <v>4</v>
      </c>
      <c r="D386" s="1537">
        <v>3200</v>
      </c>
      <c r="E386" s="1537">
        <v>12800</v>
      </c>
      <c r="F386" s="478" t="s">
        <v>574</v>
      </c>
    </row>
    <row r="387" spans="1:6">
      <c r="A387" s="478"/>
      <c r="B387" s="478" t="s">
        <v>1908</v>
      </c>
      <c r="C387" s="479">
        <v>2</v>
      </c>
      <c r="D387" s="1537">
        <v>90900</v>
      </c>
      <c r="E387" s="1537">
        <v>181800</v>
      </c>
      <c r="F387" s="478" t="s">
        <v>574</v>
      </c>
    </row>
    <row r="388" spans="1:6">
      <c r="A388" s="478"/>
      <c r="B388" s="478" t="s">
        <v>1909</v>
      </c>
      <c r="C388" s="479">
        <v>1</v>
      </c>
      <c r="D388" s="1537">
        <v>250000</v>
      </c>
      <c r="E388" s="1537">
        <v>250000</v>
      </c>
      <c r="F388" s="478" t="s">
        <v>574</v>
      </c>
    </row>
    <row r="389" spans="1:6">
      <c r="A389" s="478"/>
      <c r="B389" s="478" t="s">
        <v>1910</v>
      </c>
      <c r="C389" s="479">
        <v>1</v>
      </c>
      <c r="D389" s="1537">
        <v>98600</v>
      </c>
      <c r="E389" s="1537">
        <v>98600</v>
      </c>
      <c r="F389" s="478" t="s">
        <v>574</v>
      </c>
    </row>
    <row r="390" spans="1:6">
      <c r="A390" s="478"/>
      <c r="B390" s="478" t="s">
        <v>1911</v>
      </c>
      <c r="C390" s="479">
        <v>1</v>
      </c>
      <c r="D390" s="1537">
        <v>91400</v>
      </c>
      <c r="E390" s="1537">
        <v>91400</v>
      </c>
      <c r="F390" s="478" t="s">
        <v>574</v>
      </c>
    </row>
    <row r="391" spans="1:6">
      <c r="A391" s="478"/>
      <c r="B391" s="478" t="s">
        <v>1912</v>
      </c>
      <c r="C391" s="479">
        <v>5</v>
      </c>
      <c r="D391" s="1537">
        <v>32000</v>
      </c>
      <c r="E391" s="1537">
        <v>160000</v>
      </c>
      <c r="F391" s="478" t="s">
        <v>574</v>
      </c>
    </row>
    <row r="392" spans="1:6">
      <c r="A392" s="478"/>
      <c r="B392" s="478" t="s">
        <v>1913</v>
      </c>
      <c r="C392" s="479">
        <v>5</v>
      </c>
      <c r="D392" s="1537">
        <v>32000</v>
      </c>
      <c r="E392" s="1537">
        <v>160000</v>
      </c>
      <c r="F392" s="478" t="s">
        <v>574</v>
      </c>
    </row>
    <row r="393" spans="1:6">
      <c r="A393" s="478"/>
      <c r="B393" s="478" t="s">
        <v>1914</v>
      </c>
      <c r="C393" s="479">
        <v>2</v>
      </c>
      <c r="D393" s="1537">
        <v>7700</v>
      </c>
      <c r="E393" s="1537">
        <v>15400</v>
      </c>
      <c r="F393" s="478" t="s">
        <v>574</v>
      </c>
    </row>
    <row r="394" spans="1:6">
      <c r="A394" s="478"/>
      <c r="B394" s="478" t="s">
        <v>1915</v>
      </c>
      <c r="C394" s="479">
        <v>1</v>
      </c>
      <c r="D394" s="1537">
        <v>50000</v>
      </c>
      <c r="E394" s="1537">
        <v>50000</v>
      </c>
      <c r="F394" s="478" t="s">
        <v>1922</v>
      </c>
    </row>
    <row r="395" spans="1:6">
      <c r="A395" s="478"/>
      <c r="B395" s="478" t="s">
        <v>1916</v>
      </c>
      <c r="C395" s="479">
        <v>1</v>
      </c>
      <c r="D395" s="1537">
        <v>40000</v>
      </c>
      <c r="E395" s="1537">
        <v>40000</v>
      </c>
      <c r="F395" s="478" t="s">
        <v>1893</v>
      </c>
    </row>
    <row r="396" spans="1:6">
      <c r="A396" s="478"/>
      <c r="B396" s="478" t="s">
        <v>1917</v>
      </c>
      <c r="C396" s="479">
        <v>1</v>
      </c>
      <c r="D396" s="1537">
        <v>150000</v>
      </c>
      <c r="E396" s="1537">
        <v>150000</v>
      </c>
      <c r="F396" s="478" t="s">
        <v>888</v>
      </c>
    </row>
    <row r="397" spans="1:6">
      <c r="A397" s="478"/>
      <c r="B397" s="478" t="s">
        <v>1918</v>
      </c>
      <c r="C397" s="479">
        <v>1</v>
      </c>
      <c r="D397" s="1537">
        <v>50000</v>
      </c>
      <c r="E397" s="1537">
        <v>50000</v>
      </c>
      <c r="F397" s="478" t="s">
        <v>888</v>
      </c>
    </row>
    <row r="398" spans="1:6">
      <c r="A398" s="478"/>
      <c r="B398" s="478" t="s">
        <v>1919</v>
      </c>
      <c r="C398" s="479">
        <v>1</v>
      </c>
      <c r="D398" s="1537">
        <v>400000</v>
      </c>
      <c r="E398" s="1537">
        <v>400000</v>
      </c>
      <c r="F398" s="478" t="s">
        <v>614</v>
      </c>
    </row>
    <row r="399" spans="1:6">
      <c r="A399" s="478"/>
      <c r="B399" s="478" t="s">
        <v>1920</v>
      </c>
      <c r="C399" s="479">
        <v>1</v>
      </c>
      <c r="D399" s="1537">
        <v>80000</v>
      </c>
      <c r="E399" s="1537">
        <v>80000</v>
      </c>
      <c r="F399" s="478" t="s">
        <v>888</v>
      </c>
    </row>
    <row r="400" spans="1:6">
      <c r="A400" s="478"/>
      <c r="B400" s="478" t="s">
        <v>1921</v>
      </c>
      <c r="C400" s="479">
        <v>1</v>
      </c>
      <c r="D400" s="1537">
        <v>28355</v>
      </c>
      <c r="E400" s="1537">
        <v>28355</v>
      </c>
      <c r="F400" s="478" t="s">
        <v>1923</v>
      </c>
    </row>
    <row r="401" spans="1:7">
      <c r="E401" s="1977">
        <f>SUM(E386:E400)</f>
        <v>1768355</v>
      </c>
    </row>
    <row r="403" spans="1:7">
      <c r="B403" s="19" t="s">
        <v>1925</v>
      </c>
    </row>
    <row r="404" spans="1:7">
      <c r="A404" s="1478" t="s">
        <v>2</v>
      </c>
      <c r="B404" s="1478" t="s">
        <v>3</v>
      </c>
      <c r="C404" s="1478" t="s">
        <v>618</v>
      </c>
      <c r="D404" s="1478" t="s">
        <v>1410</v>
      </c>
      <c r="E404" s="1478" t="s">
        <v>1411</v>
      </c>
      <c r="F404" s="1478" t="s">
        <v>388</v>
      </c>
    </row>
    <row r="405" spans="1:7" ht="84">
      <c r="A405" s="215">
        <v>1</v>
      </c>
      <c r="B405" s="260" t="s">
        <v>1926</v>
      </c>
      <c r="C405" s="215">
        <v>6</v>
      </c>
      <c r="D405" s="408">
        <v>530000</v>
      </c>
      <c r="E405" s="1981">
        <f>+C405*D405</f>
        <v>3180000</v>
      </c>
      <c r="F405" s="215" t="s">
        <v>736</v>
      </c>
    </row>
    <row r="406" spans="1:7">
      <c r="A406" s="215">
        <v>2</v>
      </c>
      <c r="B406" s="260" t="s">
        <v>1927</v>
      </c>
      <c r="C406" s="215">
        <v>1</v>
      </c>
      <c r="D406" s="408">
        <v>1799500</v>
      </c>
      <c r="E406" s="1981">
        <f t="shared" ref="E406:E415" si="10">+C406*D406</f>
        <v>1799500</v>
      </c>
      <c r="F406" s="215" t="s">
        <v>423</v>
      </c>
    </row>
    <row r="407" spans="1:7" ht="63">
      <c r="A407" s="215">
        <v>3</v>
      </c>
      <c r="B407" s="260" t="s">
        <v>1939</v>
      </c>
      <c r="C407" s="215">
        <v>1</v>
      </c>
      <c r="D407" s="1979">
        <v>4800000</v>
      </c>
      <c r="E407" s="1981">
        <f t="shared" si="10"/>
        <v>4800000</v>
      </c>
      <c r="F407" s="215" t="s">
        <v>1934</v>
      </c>
      <c r="G407" s="1980" t="s">
        <v>1932</v>
      </c>
    </row>
    <row r="408" spans="1:7" ht="42">
      <c r="A408" s="215">
        <v>4</v>
      </c>
      <c r="B408" s="1603" t="s">
        <v>1928</v>
      </c>
      <c r="C408" s="215">
        <v>1</v>
      </c>
      <c r="D408" s="408">
        <v>1585000</v>
      </c>
      <c r="E408" s="1981">
        <f t="shared" si="10"/>
        <v>1585000</v>
      </c>
      <c r="F408" s="215" t="s">
        <v>1935</v>
      </c>
    </row>
    <row r="409" spans="1:7" ht="42">
      <c r="A409" s="215">
        <v>5</v>
      </c>
      <c r="B409" s="260" t="s">
        <v>1929</v>
      </c>
      <c r="C409" s="215">
        <v>1</v>
      </c>
      <c r="D409" s="257">
        <v>900000</v>
      </c>
      <c r="E409" s="1981">
        <f t="shared" si="10"/>
        <v>900000</v>
      </c>
      <c r="F409" s="215" t="s">
        <v>963</v>
      </c>
    </row>
    <row r="410" spans="1:7" ht="42">
      <c r="A410" s="215">
        <v>6</v>
      </c>
      <c r="B410" s="260" t="s">
        <v>1940</v>
      </c>
      <c r="C410" s="215">
        <v>3</v>
      </c>
      <c r="D410" s="257">
        <v>160000</v>
      </c>
      <c r="E410" s="1981">
        <f t="shared" si="10"/>
        <v>480000</v>
      </c>
      <c r="F410" s="215" t="s">
        <v>963</v>
      </c>
    </row>
    <row r="411" spans="1:7" ht="42">
      <c r="A411" s="215">
        <v>7</v>
      </c>
      <c r="B411" s="260" t="s">
        <v>1930</v>
      </c>
      <c r="C411" s="215">
        <v>1</v>
      </c>
      <c r="D411" s="257">
        <v>1500000</v>
      </c>
      <c r="E411" s="1981">
        <f t="shared" si="10"/>
        <v>1500000</v>
      </c>
      <c r="F411" s="215" t="s">
        <v>1936</v>
      </c>
    </row>
    <row r="412" spans="1:7" ht="42">
      <c r="A412" s="215">
        <v>8</v>
      </c>
      <c r="B412" s="260" t="s">
        <v>1931</v>
      </c>
      <c r="C412" s="215">
        <v>1</v>
      </c>
      <c r="D412" s="257">
        <v>3000000</v>
      </c>
      <c r="E412" s="1981">
        <f t="shared" si="10"/>
        <v>3000000</v>
      </c>
      <c r="F412" s="215" t="s">
        <v>1937</v>
      </c>
    </row>
    <row r="413" spans="1:7" ht="42">
      <c r="A413" s="215">
        <v>9</v>
      </c>
      <c r="B413" s="260" t="s">
        <v>1941</v>
      </c>
      <c r="C413" s="215">
        <v>1</v>
      </c>
      <c r="D413" s="408">
        <v>350000</v>
      </c>
      <c r="E413" s="1981">
        <f t="shared" si="10"/>
        <v>350000</v>
      </c>
      <c r="F413" s="215" t="s">
        <v>451</v>
      </c>
    </row>
    <row r="414" spans="1:7" ht="42">
      <c r="A414" s="215">
        <v>10</v>
      </c>
      <c r="B414" s="260" t="s">
        <v>1942</v>
      </c>
      <c r="C414" s="215">
        <v>1</v>
      </c>
      <c r="D414" s="408">
        <v>150000</v>
      </c>
      <c r="E414" s="1981">
        <f t="shared" si="10"/>
        <v>150000</v>
      </c>
      <c r="F414" s="215" t="s">
        <v>1938</v>
      </c>
    </row>
    <row r="415" spans="1:7">
      <c r="A415" s="215">
        <v>11</v>
      </c>
      <c r="B415" s="260" t="s">
        <v>842</v>
      </c>
      <c r="C415" s="215">
        <v>1</v>
      </c>
      <c r="D415" s="408">
        <v>180000</v>
      </c>
      <c r="E415" s="1981">
        <f t="shared" si="10"/>
        <v>180000</v>
      </c>
      <c r="F415" s="215" t="s">
        <v>736</v>
      </c>
    </row>
    <row r="416" spans="1:7">
      <c r="E416" s="1978">
        <f>SUM(E405:E415)</f>
        <v>17924500</v>
      </c>
    </row>
    <row r="417" spans="1:7">
      <c r="B417" s="19" t="s">
        <v>1948</v>
      </c>
      <c r="E417" s="1978"/>
    </row>
    <row r="418" spans="1:7">
      <c r="A418" s="1478" t="s">
        <v>2</v>
      </c>
      <c r="B418" s="1478" t="s">
        <v>3</v>
      </c>
      <c r="C418" s="1478" t="s">
        <v>618</v>
      </c>
      <c r="D418" s="1478" t="s">
        <v>1410</v>
      </c>
      <c r="E418" s="1478" t="s">
        <v>1411</v>
      </c>
      <c r="F418" s="1478" t="s">
        <v>388</v>
      </c>
    </row>
    <row r="419" spans="1:7">
      <c r="A419" s="478"/>
      <c r="B419" s="1982" t="s">
        <v>1943</v>
      </c>
      <c r="C419" s="1986">
        <v>1</v>
      </c>
      <c r="D419" s="1987">
        <v>369000</v>
      </c>
      <c r="E419" s="1983">
        <f>+D419*C419</f>
        <v>369000</v>
      </c>
      <c r="F419" s="478" t="s">
        <v>1947</v>
      </c>
    </row>
    <row r="420" spans="1:7">
      <c r="A420" s="478"/>
      <c r="B420" s="1982" t="s">
        <v>1944</v>
      </c>
      <c r="C420" s="1986">
        <v>3</v>
      </c>
      <c r="D420" s="1987">
        <v>1670000</v>
      </c>
      <c r="E420" s="1983">
        <f t="shared" ref="E420:E421" si="11">+D420*C420</f>
        <v>5010000</v>
      </c>
      <c r="F420" s="478" t="s">
        <v>418</v>
      </c>
      <c r="G420" s="1984" t="s">
        <v>1945</v>
      </c>
    </row>
    <row r="421" spans="1:7">
      <c r="A421" s="478"/>
      <c r="B421" s="1982" t="s">
        <v>838</v>
      </c>
      <c r="C421" s="1986">
        <v>2</v>
      </c>
      <c r="D421" s="1987">
        <v>70500</v>
      </c>
      <c r="E421" s="1983">
        <f t="shared" si="11"/>
        <v>141000</v>
      </c>
      <c r="F421" s="478" t="s">
        <v>422</v>
      </c>
      <c r="G421" s="1985" t="s">
        <v>1946</v>
      </c>
    </row>
    <row r="422" spans="1:7">
      <c r="E422" s="1978">
        <f>SUM(E419:E421)</f>
        <v>5520000</v>
      </c>
    </row>
    <row r="423" spans="1:7">
      <c r="B423" s="19" t="s">
        <v>1992</v>
      </c>
    </row>
    <row r="424" spans="1:7">
      <c r="A424" s="1478" t="s">
        <v>2</v>
      </c>
      <c r="B424" s="1478" t="s">
        <v>3</v>
      </c>
      <c r="C424" s="1478" t="s">
        <v>618</v>
      </c>
      <c r="D424" s="1478" t="s">
        <v>1410</v>
      </c>
      <c r="E424" s="1478" t="s">
        <v>1411</v>
      </c>
      <c r="F424" s="1478" t="s">
        <v>388</v>
      </c>
    </row>
    <row r="425" spans="1:7">
      <c r="B425" s="2387" t="s">
        <v>1993</v>
      </c>
      <c r="C425" s="1499">
        <v>2</v>
      </c>
      <c r="D425" s="2389">
        <v>81748</v>
      </c>
      <c r="E425" s="2389">
        <f t="shared" ref="E425:E439" si="12">C425*D425</f>
        <v>163496</v>
      </c>
      <c r="F425" s="2387" t="s">
        <v>2005</v>
      </c>
    </row>
    <row r="426" spans="1:7">
      <c r="B426" s="2387" t="s">
        <v>1994</v>
      </c>
      <c r="C426" s="1499">
        <v>2</v>
      </c>
      <c r="D426" s="2389">
        <v>1600000</v>
      </c>
      <c r="E426" s="2389">
        <f t="shared" si="12"/>
        <v>3200000</v>
      </c>
      <c r="F426" s="2387" t="s">
        <v>2006</v>
      </c>
    </row>
    <row r="427" spans="1:7">
      <c r="B427" s="2387" t="s">
        <v>1995</v>
      </c>
      <c r="C427" s="1499">
        <v>2</v>
      </c>
      <c r="D427" s="2389">
        <v>27820</v>
      </c>
      <c r="E427" s="2389">
        <f t="shared" si="12"/>
        <v>55640</v>
      </c>
      <c r="F427" s="2387" t="s">
        <v>416</v>
      </c>
    </row>
    <row r="428" spans="1:7">
      <c r="B428" s="2387" t="s">
        <v>1996</v>
      </c>
      <c r="C428" s="1499">
        <v>10</v>
      </c>
      <c r="D428" s="2389">
        <v>5885</v>
      </c>
      <c r="E428" s="2389">
        <f t="shared" si="12"/>
        <v>58850</v>
      </c>
      <c r="F428" s="2387" t="s">
        <v>416</v>
      </c>
    </row>
    <row r="429" spans="1:7">
      <c r="B429" s="2387" t="s">
        <v>1997</v>
      </c>
      <c r="C429" s="1499">
        <v>2</v>
      </c>
      <c r="D429" s="2389">
        <v>10272</v>
      </c>
      <c r="E429" s="2389">
        <f t="shared" si="12"/>
        <v>20544</v>
      </c>
      <c r="F429" s="2387" t="s">
        <v>416</v>
      </c>
    </row>
    <row r="430" spans="1:7">
      <c r="B430" s="2388" t="s">
        <v>1998</v>
      </c>
      <c r="C430" s="2390">
        <v>1</v>
      </c>
      <c r="D430" s="2391">
        <v>100000</v>
      </c>
      <c r="E430" s="2391">
        <f t="shared" si="12"/>
        <v>100000</v>
      </c>
      <c r="F430" s="2388" t="s">
        <v>963</v>
      </c>
    </row>
    <row r="431" spans="1:7">
      <c r="B431" s="2387" t="s">
        <v>1999</v>
      </c>
      <c r="C431" s="1499">
        <v>1</v>
      </c>
      <c r="D431" s="2389">
        <v>4990</v>
      </c>
      <c r="E431" s="2389">
        <f t="shared" si="12"/>
        <v>4990</v>
      </c>
      <c r="F431" s="2387" t="s">
        <v>1265</v>
      </c>
    </row>
    <row r="432" spans="1:7">
      <c r="B432" s="2387" t="s">
        <v>2000</v>
      </c>
      <c r="C432" s="1499">
        <v>1</v>
      </c>
      <c r="D432" s="2389">
        <v>53200</v>
      </c>
      <c r="E432" s="2389">
        <f t="shared" si="12"/>
        <v>53200</v>
      </c>
      <c r="F432" s="2387" t="s">
        <v>614</v>
      </c>
    </row>
    <row r="433" spans="2:6">
      <c r="B433" s="2387" t="s">
        <v>2001</v>
      </c>
      <c r="C433" s="1499">
        <v>1</v>
      </c>
      <c r="D433" s="2389">
        <v>40000</v>
      </c>
      <c r="E433" s="2389">
        <f t="shared" si="12"/>
        <v>40000</v>
      </c>
      <c r="F433" s="2387" t="s">
        <v>956</v>
      </c>
    </row>
    <row r="434" spans="2:6">
      <c r="B434" s="2387" t="s">
        <v>2002</v>
      </c>
      <c r="C434" s="1499">
        <v>1</v>
      </c>
      <c r="D434" s="2389">
        <v>300000</v>
      </c>
      <c r="E434" s="2389">
        <f t="shared" si="12"/>
        <v>300000</v>
      </c>
      <c r="F434" s="2387" t="s">
        <v>2007</v>
      </c>
    </row>
    <row r="435" spans="2:6">
      <c r="B435" s="2387" t="s">
        <v>1806</v>
      </c>
      <c r="C435" s="1499">
        <v>1</v>
      </c>
      <c r="D435" s="2389">
        <v>45600</v>
      </c>
      <c r="E435" s="2389">
        <f t="shared" si="12"/>
        <v>45600</v>
      </c>
      <c r="F435" s="2387" t="s">
        <v>2007</v>
      </c>
    </row>
    <row r="436" spans="2:6">
      <c r="B436" s="2387" t="s">
        <v>2003</v>
      </c>
      <c r="C436" s="1499">
        <v>1</v>
      </c>
      <c r="D436" s="2389">
        <v>25000</v>
      </c>
      <c r="E436" s="2389">
        <f t="shared" si="12"/>
        <v>25000</v>
      </c>
      <c r="F436" s="2387" t="s">
        <v>2007</v>
      </c>
    </row>
    <row r="437" spans="2:6">
      <c r="B437" s="2387" t="s">
        <v>1806</v>
      </c>
      <c r="C437" s="1499">
        <v>1</v>
      </c>
      <c r="D437" s="2389">
        <v>45600</v>
      </c>
      <c r="E437" s="2389">
        <f t="shared" si="12"/>
        <v>45600</v>
      </c>
      <c r="F437" s="2387" t="s">
        <v>471</v>
      </c>
    </row>
    <row r="438" spans="2:6">
      <c r="B438" s="2387" t="s">
        <v>2004</v>
      </c>
      <c r="C438" s="1499">
        <v>5</v>
      </c>
      <c r="D438" s="2389">
        <v>16900</v>
      </c>
      <c r="E438" s="2389">
        <f t="shared" si="12"/>
        <v>84500</v>
      </c>
      <c r="F438" s="2387" t="s">
        <v>471</v>
      </c>
    </row>
    <row r="439" spans="2:6">
      <c r="B439" s="2387" t="s">
        <v>915</v>
      </c>
      <c r="C439" s="1499">
        <v>1</v>
      </c>
      <c r="D439" s="2389">
        <v>2878.3</v>
      </c>
      <c r="E439" s="2389">
        <f t="shared" si="12"/>
        <v>2878.3</v>
      </c>
      <c r="F439" s="2387" t="s">
        <v>614</v>
      </c>
    </row>
    <row r="440" spans="2:6">
      <c r="E440" s="2392">
        <f>SUM(E425:E439)</f>
        <v>4200298.3</v>
      </c>
    </row>
  </sheetData>
  <mergeCells count="8">
    <mergeCell ref="B224:D224"/>
    <mergeCell ref="A1:F1"/>
    <mergeCell ref="B203:D203"/>
    <mergeCell ref="A207:F207"/>
    <mergeCell ref="B218:D218"/>
    <mergeCell ref="A220:F220"/>
    <mergeCell ref="B199:D199"/>
    <mergeCell ref="B202:D20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1A48-C7C8-42E1-BCC5-E23BA412CC37}">
  <sheetPr>
    <tabColor rgb="FFFF0000"/>
  </sheetPr>
  <dimension ref="A1:AB792"/>
  <sheetViews>
    <sheetView topLeftCell="A634" zoomScaleNormal="100" zoomScaleSheetLayoutView="90" workbookViewId="0">
      <selection activeCell="I648" sqref="I648"/>
    </sheetView>
  </sheetViews>
  <sheetFormatPr defaultColWidth="9.140625" defaultRowHeight="21"/>
  <cols>
    <col min="1" max="1" width="7" style="1426" customWidth="1"/>
    <col min="2" max="2" width="76.140625" style="19" customWidth="1"/>
    <col min="3" max="3" width="9.140625" style="19"/>
    <col min="4" max="4" width="16.42578125" style="19" customWidth="1"/>
    <col min="5" max="5" width="18.5703125" style="19" customWidth="1"/>
    <col min="6" max="6" width="37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393"/>
      <c r="H1" s="2393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>
      <c r="A2" s="1424"/>
      <c r="B2" s="1480"/>
      <c r="C2" s="1480"/>
      <c r="D2" s="1480"/>
      <c r="E2" s="1424"/>
      <c r="F2" s="1424"/>
      <c r="G2" s="1424"/>
      <c r="H2" s="1424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3"/>
      <c r="T2" s="1473"/>
      <c r="U2" s="1473"/>
      <c r="V2" s="1473"/>
      <c r="W2" s="1473"/>
      <c r="X2" s="1473"/>
      <c r="Y2" s="1473"/>
      <c r="Z2" s="1473"/>
      <c r="AA2" s="1473"/>
      <c r="AB2" s="1473"/>
    </row>
    <row r="3" spans="1:28">
      <c r="A3" s="2449" t="s">
        <v>2</v>
      </c>
      <c r="B3" s="2449" t="s">
        <v>3</v>
      </c>
      <c r="C3" s="2449" t="s">
        <v>618</v>
      </c>
      <c r="D3" s="2449" t="s">
        <v>1410</v>
      </c>
      <c r="E3" s="2449" t="s">
        <v>1411</v>
      </c>
      <c r="F3" s="2450" t="s">
        <v>388</v>
      </c>
      <c r="G3" s="2449" t="s">
        <v>727</v>
      </c>
      <c r="H3" s="1478" t="s">
        <v>221</v>
      </c>
      <c r="I3" s="1648" t="s">
        <v>2466</v>
      </c>
    </row>
    <row r="4" spans="1:28" s="216" customFormat="1">
      <c r="A4" s="215">
        <v>1</v>
      </c>
      <c r="B4" s="498" t="s">
        <v>647</v>
      </c>
      <c r="C4" s="495">
        <v>1</v>
      </c>
      <c r="D4" s="1474">
        <v>2247000</v>
      </c>
      <c r="E4" s="1474">
        <f>C4*D4</f>
        <v>2247000</v>
      </c>
      <c r="F4" s="498" t="s">
        <v>412</v>
      </c>
      <c r="G4" s="498" t="s">
        <v>464</v>
      </c>
      <c r="H4" s="498"/>
      <c r="I4" s="216" t="s">
        <v>1721</v>
      </c>
    </row>
    <row r="5" spans="1:28" s="216" customFormat="1">
      <c r="A5" s="215">
        <v>2</v>
      </c>
      <c r="B5" s="322" t="s">
        <v>580</v>
      </c>
      <c r="C5" s="233">
        <v>1</v>
      </c>
      <c r="D5" s="328">
        <v>250000</v>
      </c>
      <c r="E5" s="328">
        <f>C5*D5</f>
        <v>250000</v>
      </c>
      <c r="F5" s="322" t="s">
        <v>429</v>
      </c>
      <c r="G5" s="498" t="s">
        <v>464</v>
      </c>
      <c r="H5" s="498"/>
      <c r="I5" s="216" t="s">
        <v>1721</v>
      </c>
    </row>
    <row r="6" spans="1:28" s="216" customFormat="1" ht="42">
      <c r="A6" s="215">
        <v>3</v>
      </c>
      <c r="B6" s="690" t="s">
        <v>2482</v>
      </c>
      <c r="C6" s="495">
        <v>1</v>
      </c>
      <c r="D6" s="1474">
        <v>200000</v>
      </c>
      <c r="E6" s="1474">
        <f t="shared" ref="E6:E16" si="0">+C6*D6</f>
        <v>200000</v>
      </c>
      <c r="F6" s="498" t="s">
        <v>570</v>
      </c>
      <c r="G6" s="498" t="s">
        <v>464</v>
      </c>
      <c r="H6" s="498"/>
      <c r="I6" s="216" t="s">
        <v>1721</v>
      </c>
    </row>
    <row r="7" spans="1:28" s="216" customFormat="1">
      <c r="A7" s="215">
        <v>4</v>
      </c>
      <c r="B7" s="251" t="s">
        <v>737</v>
      </c>
      <c r="C7" s="233">
        <v>1</v>
      </c>
      <c r="D7" s="328">
        <v>150000</v>
      </c>
      <c r="E7" s="328">
        <f t="shared" si="0"/>
        <v>150000</v>
      </c>
      <c r="F7" s="322" t="s">
        <v>736</v>
      </c>
      <c r="G7" s="498" t="s">
        <v>464</v>
      </c>
      <c r="H7" s="498"/>
      <c r="I7" s="216" t="s">
        <v>1721</v>
      </c>
    </row>
    <row r="8" spans="1:28" s="216" customFormat="1">
      <c r="A8" s="215">
        <v>5</v>
      </c>
      <c r="B8" s="322" t="s">
        <v>738</v>
      </c>
      <c r="C8" s="233">
        <v>2</v>
      </c>
      <c r="D8" s="328">
        <v>550000</v>
      </c>
      <c r="E8" s="328">
        <f t="shared" si="0"/>
        <v>1100000</v>
      </c>
      <c r="F8" s="322" t="s">
        <v>736</v>
      </c>
      <c r="G8" s="498" t="s">
        <v>464</v>
      </c>
      <c r="H8" s="498"/>
      <c r="I8" s="216" t="s">
        <v>1721</v>
      </c>
    </row>
    <row r="9" spans="1:28" s="216" customFormat="1">
      <c r="A9" s="215">
        <v>6</v>
      </c>
      <c r="B9" s="322" t="s">
        <v>741</v>
      </c>
      <c r="C9" s="233">
        <v>1</v>
      </c>
      <c r="D9" s="328">
        <v>30000</v>
      </c>
      <c r="E9" s="1479">
        <f t="shared" si="0"/>
        <v>30000</v>
      </c>
      <c r="F9" s="251" t="s">
        <v>742</v>
      </c>
      <c r="G9" s="498" t="s">
        <v>464</v>
      </c>
      <c r="H9" s="498"/>
      <c r="I9" s="216" t="s">
        <v>1721</v>
      </c>
    </row>
    <row r="10" spans="1:28" s="216" customFormat="1" ht="42">
      <c r="A10" s="215">
        <v>7</v>
      </c>
      <c r="B10" s="251" t="s">
        <v>1004</v>
      </c>
      <c r="C10" s="233">
        <v>1</v>
      </c>
      <c r="D10" s="328">
        <v>2700000</v>
      </c>
      <c r="E10" s="328">
        <f t="shared" si="0"/>
        <v>2700000</v>
      </c>
      <c r="F10" s="322" t="s">
        <v>721</v>
      </c>
      <c r="G10" s="498" t="s">
        <v>464</v>
      </c>
      <c r="H10" s="498"/>
      <c r="I10" s="216" t="s">
        <v>1721</v>
      </c>
    </row>
    <row r="11" spans="1:28" s="216" customFormat="1">
      <c r="A11" s="215">
        <v>8</v>
      </c>
      <c r="B11" s="322" t="s">
        <v>800</v>
      </c>
      <c r="C11" s="233">
        <v>1</v>
      </c>
      <c r="D11" s="328">
        <v>650000</v>
      </c>
      <c r="E11" s="328">
        <f t="shared" si="0"/>
        <v>650000</v>
      </c>
      <c r="F11" s="322" t="s">
        <v>721</v>
      </c>
      <c r="G11" s="498" t="s">
        <v>464</v>
      </c>
      <c r="H11" s="498"/>
      <c r="I11" s="216" t="s">
        <v>1721</v>
      </c>
    </row>
    <row r="12" spans="1:28" s="216" customFormat="1">
      <c r="A12" s="215">
        <v>9</v>
      </c>
      <c r="B12" s="322" t="s">
        <v>801</v>
      </c>
      <c r="C12" s="233">
        <v>1</v>
      </c>
      <c r="D12" s="328">
        <v>1337500</v>
      </c>
      <c r="E12" s="328">
        <f t="shared" si="0"/>
        <v>1337500</v>
      </c>
      <c r="F12" s="322" t="s">
        <v>721</v>
      </c>
      <c r="G12" s="498" t="s">
        <v>464</v>
      </c>
      <c r="H12" s="498"/>
      <c r="I12" s="216" t="s">
        <v>1721</v>
      </c>
    </row>
    <row r="13" spans="1:28" s="216" customFormat="1">
      <c r="A13" s="215">
        <v>10</v>
      </c>
      <c r="B13" s="322" t="s">
        <v>802</v>
      </c>
      <c r="C13" s="233">
        <v>1</v>
      </c>
      <c r="D13" s="328">
        <v>448598.13</v>
      </c>
      <c r="E13" s="328">
        <f t="shared" si="0"/>
        <v>448598.13</v>
      </c>
      <c r="F13" s="322" t="s">
        <v>721</v>
      </c>
      <c r="G13" s="498" t="s">
        <v>464</v>
      </c>
      <c r="H13" s="498"/>
      <c r="I13" s="216" t="s">
        <v>1721</v>
      </c>
    </row>
    <row r="14" spans="1:28" s="216" customFormat="1">
      <c r="A14" s="215">
        <v>11</v>
      </c>
      <c r="B14" s="322" t="s">
        <v>799</v>
      </c>
      <c r="C14" s="233">
        <v>1</v>
      </c>
      <c r="D14" s="328">
        <v>4500000</v>
      </c>
      <c r="E14" s="328">
        <f t="shared" si="0"/>
        <v>4500000</v>
      </c>
      <c r="F14" s="322" t="s">
        <v>721</v>
      </c>
      <c r="G14" s="498" t="s">
        <v>464</v>
      </c>
      <c r="H14" s="498"/>
      <c r="I14" s="216" t="s">
        <v>1721</v>
      </c>
    </row>
    <row r="15" spans="1:28" s="216" customFormat="1">
      <c r="A15" s="215">
        <v>12</v>
      </c>
      <c r="B15" s="322" t="s">
        <v>190</v>
      </c>
      <c r="C15" s="233">
        <v>1</v>
      </c>
      <c r="D15" s="328">
        <v>579900</v>
      </c>
      <c r="E15" s="328">
        <f t="shared" si="0"/>
        <v>579900</v>
      </c>
      <c r="F15" s="322" t="s">
        <v>422</v>
      </c>
      <c r="G15" s="498" t="s">
        <v>464</v>
      </c>
      <c r="H15" s="498"/>
      <c r="I15" s="216" t="s">
        <v>1721</v>
      </c>
    </row>
    <row r="16" spans="1:28" s="216" customFormat="1">
      <c r="A16" s="215">
        <v>13</v>
      </c>
      <c r="B16" s="322" t="s">
        <v>1167</v>
      </c>
      <c r="C16" s="233">
        <v>1</v>
      </c>
      <c r="D16" s="328">
        <v>9800</v>
      </c>
      <c r="E16" s="328">
        <f t="shared" si="0"/>
        <v>9800</v>
      </c>
      <c r="F16" s="322" t="s">
        <v>650</v>
      </c>
      <c r="G16" s="498" t="s">
        <v>464</v>
      </c>
      <c r="H16" s="498"/>
      <c r="I16" s="216" t="s">
        <v>1721</v>
      </c>
    </row>
    <row r="17" spans="1:9" s="216" customFormat="1">
      <c r="A17" s="215">
        <v>14</v>
      </c>
      <c r="B17" s="690" t="s">
        <v>188</v>
      </c>
      <c r="C17" s="495">
        <v>1</v>
      </c>
      <c r="D17" s="1474">
        <v>400000</v>
      </c>
      <c r="E17" s="1474">
        <f>C17*D17</f>
        <v>400000</v>
      </c>
      <c r="F17" s="498" t="s">
        <v>421</v>
      </c>
      <c r="G17" s="498" t="s">
        <v>464</v>
      </c>
      <c r="H17" s="498"/>
      <c r="I17" s="216" t="s">
        <v>1721</v>
      </c>
    </row>
    <row r="18" spans="1:9" s="216" customFormat="1">
      <c r="A18" s="215">
        <v>15</v>
      </c>
      <c r="B18" s="690" t="s">
        <v>187</v>
      </c>
      <c r="C18" s="495">
        <v>1</v>
      </c>
      <c r="D18" s="1474">
        <v>100000</v>
      </c>
      <c r="E18" s="1474">
        <f>C18*D18</f>
        <v>100000</v>
      </c>
      <c r="F18" s="498" t="s">
        <v>421</v>
      </c>
      <c r="G18" s="498" t="s">
        <v>464</v>
      </c>
      <c r="H18" s="498"/>
      <c r="I18" s="216" t="s">
        <v>1721</v>
      </c>
    </row>
    <row r="19" spans="1:9" s="216" customFormat="1">
      <c r="A19" s="215">
        <v>16</v>
      </c>
      <c r="B19" s="498" t="s">
        <v>200</v>
      </c>
      <c r="C19" s="495">
        <v>1</v>
      </c>
      <c r="D19" s="1474">
        <v>65000</v>
      </c>
      <c r="E19" s="1474">
        <f>C19*D19</f>
        <v>65000</v>
      </c>
      <c r="F19" s="498" t="s">
        <v>461</v>
      </c>
      <c r="G19" s="498" t="s">
        <v>464</v>
      </c>
      <c r="H19" s="498"/>
      <c r="I19" s="216" t="s">
        <v>1721</v>
      </c>
    </row>
    <row r="20" spans="1:9" s="216" customFormat="1">
      <c r="A20" s="215">
        <v>17</v>
      </c>
      <c r="B20" s="2454" t="s">
        <v>481</v>
      </c>
      <c r="C20" s="495">
        <v>1</v>
      </c>
      <c r="D20" s="327">
        <v>50000</v>
      </c>
      <c r="E20" s="2455">
        <f>+C20*D20</f>
        <v>50000</v>
      </c>
      <c r="F20" s="1477" t="s">
        <v>445</v>
      </c>
      <c r="G20" s="498" t="s">
        <v>464</v>
      </c>
      <c r="H20" s="498"/>
      <c r="I20" s="216" t="s">
        <v>1721</v>
      </c>
    </row>
    <row r="21" spans="1:9" s="216" customFormat="1">
      <c r="A21" s="215">
        <v>18</v>
      </c>
      <c r="B21" s="2454" t="s">
        <v>480</v>
      </c>
      <c r="C21" s="495">
        <v>1</v>
      </c>
      <c r="D21" s="327">
        <v>40000</v>
      </c>
      <c r="E21" s="2455">
        <f>+C21*D21</f>
        <v>40000</v>
      </c>
      <c r="F21" s="1477" t="s">
        <v>445</v>
      </c>
      <c r="G21" s="498" t="s">
        <v>464</v>
      </c>
      <c r="H21" s="498"/>
      <c r="I21" s="216" t="s">
        <v>1721</v>
      </c>
    </row>
    <row r="22" spans="1:9" s="216" customFormat="1">
      <c r="A22" s="215">
        <v>19</v>
      </c>
      <c r="B22" s="498" t="s">
        <v>205</v>
      </c>
      <c r="C22" s="495">
        <v>1</v>
      </c>
      <c r="D22" s="1474">
        <v>31849</v>
      </c>
      <c r="E22" s="1474">
        <f>C22*D22</f>
        <v>31849</v>
      </c>
      <c r="F22" s="498" t="s">
        <v>462</v>
      </c>
      <c r="G22" s="498" t="s">
        <v>464</v>
      </c>
      <c r="H22" s="498"/>
      <c r="I22" s="216" t="s">
        <v>1721</v>
      </c>
    </row>
    <row r="23" spans="1:9" s="216" customFormat="1">
      <c r="A23" s="215">
        <v>20</v>
      </c>
      <c r="B23" s="2454" t="s">
        <v>482</v>
      </c>
      <c r="C23" s="495">
        <v>2</v>
      </c>
      <c r="D23" s="327">
        <v>9500</v>
      </c>
      <c r="E23" s="2455">
        <f>+C23*D23</f>
        <v>19000</v>
      </c>
      <c r="F23" s="1477" t="s">
        <v>445</v>
      </c>
      <c r="G23" s="498" t="s">
        <v>464</v>
      </c>
      <c r="H23" s="498"/>
      <c r="I23" s="216" t="s">
        <v>1721</v>
      </c>
    </row>
    <row r="24" spans="1:9" s="216" customFormat="1" ht="42">
      <c r="A24" s="215">
        <v>21</v>
      </c>
      <c r="B24" s="690" t="s">
        <v>202</v>
      </c>
      <c r="C24" s="495">
        <v>10</v>
      </c>
      <c r="D24" s="1474">
        <v>5500</v>
      </c>
      <c r="E24" s="1474">
        <f>C24*D24</f>
        <v>55000</v>
      </c>
      <c r="F24" s="498" t="s">
        <v>2477</v>
      </c>
      <c r="G24" s="498" t="s">
        <v>464</v>
      </c>
      <c r="H24" s="498"/>
      <c r="I24" s="216" t="s">
        <v>1721</v>
      </c>
    </row>
    <row r="25" spans="1:9" s="216" customFormat="1">
      <c r="A25" s="215">
        <v>22</v>
      </c>
      <c r="B25" s="1477" t="s">
        <v>485</v>
      </c>
      <c r="C25" s="495">
        <v>2</v>
      </c>
      <c r="D25" s="327">
        <v>4950</v>
      </c>
      <c r="E25" s="2455">
        <f t="shared" ref="E25:E32" si="1">+C25*D25</f>
        <v>9900</v>
      </c>
      <c r="F25" s="1477" t="s">
        <v>445</v>
      </c>
      <c r="G25" s="498" t="s">
        <v>464</v>
      </c>
      <c r="H25" s="498"/>
      <c r="I25" s="216" t="s">
        <v>1721</v>
      </c>
    </row>
    <row r="26" spans="1:9" s="216" customFormat="1">
      <c r="A26" s="215">
        <v>23</v>
      </c>
      <c r="B26" s="2454" t="s">
        <v>479</v>
      </c>
      <c r="C26" s="495">
        <v>1</v>
      </c>
      <c r="D26" s="327">
        <v>2000</v>
      </c>
      <c r="E26" s="2455">
        <f t="shared" si="1"/>
        <v>2000</v>
      </c>
      <c r="F26" s="1477" t="s">
        <v>445</v>
      </c>
      <c r="G26" s="498" t="s">
        <v>464</v>
      </c>
      <c r="H26" s="498"/>
      <c r="I26" s="216" t="s">
        <v>1721</v>
      </c>
    </row>
    <row r="27" spans="1:9" s="216" customFormat="1">
      <c r="A27" s="215">
        <v>24</v>
      </c>
      <c r="B27" s="690" t="s">
        <v>654</v>
      </c>
      <c r="C27" s="495">
        <v>2</v>
      </c>
      <c r="D27" s="328">
        <v>130000</v>
      </c>
      <c r="E27" s="328">
        <f t="shared" si="1"/>
        <v>260000</v>
      </c>
      <c r="F27" s="1477" t="s">
        <v>655</v>
      </c>
      <c r="G27" s="498" t="s">
        <v>464</v>
      </c>
      <c r="H27" s="498"/>
      <c r="I27" s="216" t="s">
        <v>1721</v>
      </c>
    </row>
    <row r="28" spans="1:9" s="216" customFormat="1" ht="42">
      <c r="A28" s="215">
        <v>25</v>
      </c>
      <c r="B28" s="487" t="s">
        <v>1191</v>
      </c>
      <c r="C28" s="233">
        <v>1</v>
      </c>
      <c r="D28" s="328">
        <v>400000</v>
      </c>
      <c r="E28" s="481">
        <f t="shared" si="1"/>
        <v>400000</v>
      </c>
      <c r="F28" s="520" t="s">
        <v>745</v>
      </c>
      <c r="G28" s="498" t="s">
        <v>464</v>
      </c>
      <c r="H28" s="498"/>
      <c r="I28" s="216" t="s">
        <v>1721</v>
      </c>
    </row>
    <row r="29" spans="1:9" s="216" customFormat="1">
      <c r="A29" s="215">
        <v>26</v>
      </c>
      <c r="B29" s="322" t="s">
        <v>803</v>
      </c>
      <c r="C29" s="233">
        <v>1</v>
      </c>
      <c r="D29" s="2456">
        <v>310000</v>
      </c>
      <c r="E29" s="328">
        <f t="shared" si="1"/>
        <v>310000</v>
      </c>
      <c r="F29" s="322" t="s">
        <v>418</v>
      </c>
      <c r="G29" s="498" t="s">
        <v>464</v>
      </c>
      <c r="H29" s="498"/>
      <c r="I29" s="216" t="s">
        <v>1721</v>
      </c>
    </row>
    <row r="30" spans="1:9" s="216" customFormat="1">
      <c r="A30" s="215">
        <v>27</v>
      </c>
      <c r="B30" s="520" t="s">
        <v>813</v>
      </c>
      <c r="C30" s="233">
        <v>2</v>
      </c>
      <c r="D30" s="328">
        <v>5990</v>
      </c>
      <c r="E30" s="328">
        <f t="shared" si="1"/>
        <v>11980</v>
      </c>
      <c r="F30" s="520" t="s">
        <v>472</v>
      </c>
      <c r="G30" s="498" t="s">
        <v>464</v>
      </c>
      <c r="H30" s="498"/>
      <c r="I30" s="216" t="s">
        <v>1721</v>
      </c>
    </row>
    <row r="31" spans="1:9" s="216" customFormat="1">
      <c r="A31" s="215">
        <v>28</v>
      </c>
      <c r="B31" s="520" t="s">
        <v>840</v>
      </c>
      <c r="C31" s="233">
        <v>4</v>
      </c>
      <c r="D31" s="328">
        <v>33000</v>
      </c>
      <c r="E31" s="328">
        <f t="shared" si="1"/>
        <v>132000</v>
      </c>
      <c r="F31" s="520" t="s">
        <v>445</v>
      </c>
      <c r="G31" s="498" t="s">
        <v>464</v>
      </c>
      <c r="H31" s="498"/>
      <c r="I31" s="216" t="s">
        <v>1721</v>
      </c>
    </row>
    <row r="32" spans="1:9" s="216" customFormat="1">
      <c r="A32" s="215">
        <v>29</v>
      </c>
      <c r="B32" s="498" t="s">
        <v>987</v>
      </c>
      <c r="C32" s="495">
        <v>1</v>
      </c>
      <c r="D32" s="327">
        <v>2500000</v>
      </c>
      <c r="E32" s="328">
        <f t="shared" si="1"/>
        <v>2500000</v>
      </c>
      <c r="F32" s="322" t="s">
        <v>456</v>
      </c>
      <c r="G32" s="498" t="s">
        <v>464</v>
      </c>
      <c r="H32" s="498"/>
      <c r="I32" s="216" t="s">
        <v>1721</v>
      </c>
    </row>
    <row r="33" spans="1:9" s="216" customFormat="1">
      <c r="A33" s="215">
        <v>30</v>
      </c>
      <c r="B33" s="221" t="s">
        <v>1339</v>
      </c>
      <c r="C33" s="215">
        <v>1</v>
      </c>
      <c r="D33" s="1531">
        <v>19900</v>
      </c>
      <c r="E33" s="1531">
        <v>19900</v>
      </c>
      <c r="F33" s="221" t="s">
        <v>1305</v>
      </c>
      <c r="G33" s="498" t="s">
        <v>464</v>
      </c>
      <c r="H33" s="498"/>
      <c r="I33" s="216" t="s">
        <v>1721</v>
      </c>
    </row>
    <row r="34" spans="1:9" s="216" customFormat="1" ht="42">
      <c r="A34" s="215">
        <v>31</v>
      </c>
      <c r="B34" s="221" t="s">
        <v>1340</v>
      </c>
      <c r="C34" s="215">
        <v>1</v>
      </c>
      <c r="D34" s="1531">
        <v>90000</v>
      </c>
      <c r="E34" s="1531">
        <v>90000</v>
      </c>
      <c r="F34" s="482" t="s">
        <v>1400</v>
      </c>
      <c r="G34" s="498" t="s">
        <v>464</v>
      </c>
      <c r="H34" s="498"/>
      <c r="I34" s="216" t="s">
        <v>1721</v>
      </c>
    </row>
    <row r="35" spans="1:9" s="216" customFormat="1">
      <c r="A35" s="215">
        <v>32</v>
      </c>
      <c r="B35" s="221" t="s">
        <v>1341</v>
      </c>
      <c r="C35" s="215">
        <v>1</v>
      </c>
      <c r="D35" s="1531">
        <v>50000</v>
      </c>
      <c r="E35" s="1531">
        <v>50000</v>
      </c>
      <c r="F35" s="482" t="s">
        <v>740</v>
      </c>
      <c r="G35" s="498" t="s">
        <v>464</v>
      </c>
      <c r="H35" s="498"/>
      <c r="I35" s="216" t="s">
        <v>1721</v>
      </c>
    </row>
    <row r="36" spans="1:9" s="216" customFormat="1">
      <c r="A36" s="215">
        <v>33</v>
      </c>
      <c r="B36" s="221" t="s">
        <v>1342</v>
      </c>
      <c r="C36" s="215">
        <v>1</v>
      </c>
      <c r="D36" s="1531">
        <v>15000</v>
      </c>
      <c r="E36" s="1531">
        <v>15000</v>
      </c>
      <c r="F36" s="221" t="s">
        <v>428</v>
      </c>
      <c r="G36" s="498" t="s">
        <v>464</v>
      </c>
      <c r="H36" s="498"/>
      <c r="I36" s="216" t="s">
        <v>1721</v>
      </c>
    </row>
    <row r="37" spans="1:9" s="216" customFormat="1">
      <c r="A37" s="215">
        <v>34</v>
      </c>
      <c r="B37" s="221" t="s">
        <v>1343</v>
      </c>
      <c r="C37" s="215">
        <v>1</v>
      </c>
      <c r="D37" s="1531">
        <v>642000</v>
      </c>
      <c r="E37" s="1531">
        <v>642000</v>
      </c>
      <c r="F37" s="221" t="s">
        <v>414</v>
      </c>
      <c r="G37" s="498" t="s">
        <v>464</v>
      </c>
      <c r="H37" s="498"/>
      <c r="I37" s="216" t="s">
        <v>1721</v>
      </c>
    </row>
    <row r="38" spans="1:9" s="216" customFormat="1">
      <c r="A38" s="215">
        <v>35</v>
      </c>
      <c r="B38" s="221" t="s">
        <v>1342</v>
      </c>
      <c r="C38" s="215">
        <v>1</v>
      </c>
      <c r="D38" s="1531">
        <v>15000</v>
      </c>
      <c r="E38" s="1531">
        <v>15000</v>
      </c>
      <c r="F38" s="221" t="s">
        <v>1344</v>
      </c>
      <c r="G38" s="498" t="s">
        <v>464</v>
      </c>
      <c r="H38" s="498"/>
      <c r="I38" s="216" t="s">
        <v>1721</v>
      </c>
    </row>
    <row r="39" spans="1:9" s="216" customFormat="1">
      <c r="A39" s="215">
        <v>36</v>
      </c>
      <c r="B39" s="221" t="s">
        <v>1342</v>
      </c>
      <c r="C39" s="215">
        <v>1</v>
      </c>
      <c r="D39" s="1531">
        <v>15000</v>
      </c>
      <c r="E39" s="1531">
        <v>15000</v>
      </c>
      <c r="F39" s="1649" t="s">
        <v>1345</v>
      </c>
      <c r="G39" s="498" t="s">
        <v>464</v>
      </c>
      <c r="H39" s="498"/>
      <c r="I39" s="216" t="s">
        <v>1721</v>
      </c>
    </row>
    <row r="40" spans="1:9" s="216" customFormat="1" ht="42">
      <c r="A40" s="215">
        <v>37</v>
      </c>
      <c r="B40" s="221" t="s">
        <v>1340</v>
      </c>
      <c r="C40" s="215">
        <v>2</v>
      </c>
      <c r="D40" s="1531">
        <v>68500</v>
      </c>
      <c r="E40" s="1531">
        <v>137000</v>
      </c>
      <c r="F40" s="482" t="s">
        <v>1400</v>
      </c>
      <c r="G40" s="498" t="s">
        <v>464</v>
      </c>
      <c r="H40" s="498"/>
      <c r="I40" s="216" t="s">
        <v>1721</v>
      </c>
    </row>
    <row r="41" spans="1:9" s="216" customFormat="1">
      <c r="A41" s="215">
        <v>38</v>
      </c>
      <c r="B41" s="221" t="s">
        <v>846</v>
      </c>
      <c r="C41" s="215">
        <v>63</v>
      </c>
      <c r="D41" s="1531">
        <v>8400</v>
      </c>
      <c r="E41" s="1531">
        <v>529200</v>
      </c>
      <c r="F41" s="221" t="s">
        <v>861</v>
      </c>
      <c r="G41" s="498" t="s">
        <v>464</v>
      </c>
      <c r="H41" s="498"/>
      <c r="I41" s="216" t="s">
        <v>1721</v>
      </c>
    </row>
    <row r="42" spans="1:9" s="216" customFormat="1">
      <c r="A42" s="215">
        <v>39</v>
      </c>
      <c r="B42" s="221" t="s">
        <v>1346</v>
      </c>
      <c r="C42" s="215">
        <v>3</v>
      </c>
      <c r="D42" s="1531">
        <v>28600</v>
      </c>
      <c r="E42" s="1531">
        <v>85800</v>
      </c>
      <c r="F42" s="221" t="s">
        <v>861</v>
      </c>
      <c r="G42" s="498" t="s">
        <v>464</v>
      </c>
      <c r="H42" s="498"/>
      <c r="I42" s="216" t="s">
        <v>1721</v>
      </c>
    </row>
    <row r="43" spans="1:9" s="216" customFormat="1">
      <c r="A43" s="215">
        <v>40</v>
      </c>
      <c r="B43" s="221" t="s">
        <v>1347</v>
      </c>
      <c r="C43" s="215">
        <v>1</v>
      </c>
      <c r="D43" s="1531">
        <v>53500</v>
      </c>
      <c r="E43" s="1531">
        <v>53500</v>
      </c>
      <c r="F43" s="221" t="s">
        <v>736</v>
      </c>
      <c r="G43" s="498" t="s">
        <v>464</v>
      </c>
      <c r="H43" s="498"/>
      <c r="I43" s="216" t="s">
        <v>1721</v>
      </c>
    </row>
    <row r="44" spans="1:9" s="216" customFormat="1">
      <c r="A44" s="215">
        <v>41</v>
      </c>
      <c r="B44" s="221" t="s">
        <v>1348</v>
      </c>
      <c r="C44" s="215">
        <v>3</v>
      </c>
      <c r="D44" s="1531">
        <v>120000</v>
      </c>
      <c r="E44" s="1531">
        <v>360000</v>
      </c>
      <c r="F44" s="221" t="s">
        <v>423</v>
      </c>
      <c r="G44" s="498" t="s">
        <v>464</v>
      </c>
      <c r="H44" s="498"/>
      <c r="I44" s="216" t="s">
        <v>1721</v>
      </c>
    </row>
    <row r="45" spans="1:9" s="216" customFormat="1">
      <c r="A45" s="215">
        <v>42</v>
      </c>
      <c r="B45" s="221" t="s">
        <v>1349</v>
      </c>
      <c r="C45" s="215">
        <v>6</v>
      </c>
      <c r="D45" s="1531">
        <v>43000</v>
      </c>
      <c r="E45" s="1531">
        <v>258000</v>
      </c>
      <c r="F45" s="221" t="s">
        <v>1294</v>
      </c>
      <c r="G45" s="498" t="s">
        <v>464</v>
      </c>
      <c r="H45" s="498"/>
      <c r="I45" s="216" t="s">
        <v>1721</v>
      </c>
    </row>
    <row r="46" spans="1:9" s="216" customFormat="1">
      <c r="A46" s="215">
        <v>43</v>
      </c>
      <c r="B46" s="221" t="s">
        <v>1350</v>
      </c>
      <c r="C46" s="215">
        <v>1</v>
      </c>
      <c r="D46" s="1531">
        <v>24600</v>
      </c>
      <c r="E46" s="1531">
        <v>24600</v>
      </c>
      <c r="F46" s="221" t="s">
        <v>888</v>
      </c>
      <c r="G46" s="498" t="s">
        <v>464</v>
      </c>
      <c r="H46" s="498"/>
      <c r="I46" s="216" t="s">
        <v>1721</v>
      </c>
    </row>
    <row r="47" spans="1:9" s="216" customFormat="1">
      <c r="A47" s="215">
        <v>44</v>
      </c>
      <c r="B47" s="221" t="s">
        <v>1479</v>
      </c>
      <c r="C47" s="215">
        <v>1</v>
      </c>
      <c r="D47" s="1531">
        <v>12800</v>
      </c>
      <c r="E47" s="1531">
        <v>12800</v>
      </c>
      <c r="F47" s="221" t="s">
        <v>888</v>
      </c>
      <c r="G47" s="498" t="s">
        <v>464</v>
      </c>
      <c r="H47" s="498"/>
      <c r="I47" s="216" t="s">
        <v>1721</v>
      </c>
    </row>
    <row r="48" spans="1:9" s="216" customFormat="1">
      <c r="A48" s="215">
        <v>45</v>
      </c>
      <c r="B48" s="221" t="s">
        <v>1351</v>
      </c>
      <c r="C48" s="215">
        <v>1</v>
      </c>
      <c r="D48" s="1531">
        <v>278200</v>
      </c>
      <c r="E48" s="1531">
        <v>278200</v>
      </c>
      <c r="F48" s="221" t="s">
        <v>721</v>
      </c>
      <c r="G48" s="498" t="s">
        <v>464</v>
      </c>
      <c r="H48" s="498"/>
      <c r="I48" s="216" t="s">
        <v>1721</v>
      </c>
    </row>
    <row r="49" spans="1:9" s="216" customFormat="1">
      <c r="A49" s="215">
        <v>46</v>
      </c>
      <c r="B49" s="221" t="s">
        <v>1352</v>
      </c>
      <c r="C49" s="215">
        <v>2</v>
      </c>
      <c r="D49" s="1531">
        <v>48150</v>
      </c>
      <c r="E49" s="1531">
        <v>96300</v>
      </c>
      <c r="F49" s="221" t="s">
        <v>721</v>
      </c>
      <c r="G49" s="498" t="s">
        <v>464</v>
      </c>
      <c r="H49" s="498"/>
      <c r="I49" s="216" t="s">
        <v>1721</v>
      </c>
    </row>
    <row r="50" spans="1:9" s="216" customFormat="1">
      <c r="A50" s="215">
        <v>47</v>
      </c>
      <c r="B50" s="221" t="s">
        <v>1353</v>
      </c>
      <c r="C50" s="215">
        <v>1</v>
      </c>
      <c r="D50" s="1531">
        <v>39600</v>
      </c>
      <c r="E50" s="1531">
        <v>39600</v>
      </c>
      <c r="F50" s="1649" t="s">
        <v>1354</v>
      </c>
      <c r="G50" s="498" t="s">
        <v>464</v>
      </c>
      <c r="H50" s="498"/>
      <c r="I50" s="216" t="s">
        <v>1721</v>
      </c>
    </row>
    <row r="51" spans="1:9" s="216" customFormat="1">
      <c r="A51" s="215">
        <v>48</v>
      </c>
      <c r="B51" s="221" t="s">
        <v>1355</v>
      </c>
      <c r="C51" s="215">
        <v>1</v>
      </c>
      <c r="D51" s="1531">
        <v>42000</v>
      </c>
      <c r="E51" s="1531">
        <v>42000</v>
      </c>
      <c r="F51" s="221" t="s">
        <v>743</v>
      </c>
      <c r="G51" s="498" t="s">
        <v>464</v>
      </c>
      <c r="H51" s="498"/>
      <c r="I51" s="216" t="s">
        <v>1721</v>
      </c>
    </row>
    <row r="52" spans="1:9" s="216" customFormat="1">
      <c r="A52" s="215">
        <v>49</v>
      </c>
      <c r="B52" s="221" t="s">
        <v>1356</v>
      </c>
      <c r="C52" s="215">
        <v>1</v>
      </c>
      <c r="D52" s="1531">
        <v>250000</v>
      </c>
      <c r="E52" s="1531">
        <v>250000</v>
      </c>
      <c r="F52" s="221" t="s">
        <v>428</v>
      </c>
      <c r="G52" s="498" t="s">
        <v>464</v>
      </c>
      <c r="H52" s="498"/>
      <c r="I52" s="216" t="s">
        <v>1721</v>
      </c>
    </row>
    <row r="53" spans="1:9" s="216" customFormat="1" ht="42">
      <c r="A53" s="215">
        <v>50</v>
      </c>
      <c r="B53" s="216" t="s">
        <v>1357</v>
      </c>
      <c r="C53" s="215">
        <v>1</v>
      </c>
      <c r="D53" s="408">
        <v>20000</v>
      </c>
      <c r="E53" s="408">
        <f>+C53*D53</f>
        <v>20000</v>
      </c>
      <c r="F53" s="260" t="s">
        <v>2007</v>
      </c>
      <c r="G53" s="498" t="s">
        <v>464</v>
      </c>
      <c r="H53" s="498"/>
      <c r="I53" s="216" t="s">
        <v>1721</v>
      </c>
    </row>
    <row r="54" spans="1:9" s="322" customFormat="1" ht="42">
      <c r="A54" s="215">
        <v>51</v>
      </c>
      <c r="B54" s="251" t="s">
        <v>1398</v>
      </c>
      <c r="C54" s="233">
        <v>2</v>
      </c>
      <c r="D54" s="418">
        <v>8500</v>
      </c>
      <c r="E54" s="418">
        <f>+C54*D54</f>
        <v>17000</v>
      </c>
      <c r="F54" s="251" t="s">
        <v>2007</v>
      </c>
      <c r="G54" s="498" t="s">
        <v>464</v>
      </c>
      <c r="H54" s="498"/>
      <c r="I54" s="216" t="s">
        <v>1721</v>
      </c>
    </row>
    <row r="55" spans="1:9" s="216" customFormat="1">
      <c r="A55" s="215">
        <v>52</v>
      </c>
      <c r="B55" s="216" t="s">
        <v>1392</v>
      </c>
      <c r="C55" s="215">
        <v>3</v>
      </c>
      <c r="D55" s="422">
        <v>2200000</v>
      </c>
      <c r="E55" s="422">
        <f>C55*D55</f>
        <v>6600000</v>
      </c>
      <c r="F55" s="216" t="s">
        <v>418</v>
      </c>
      <c r="G55" s="498" t="s">
        <v>464</v>
      </c>
      <c r="H55" s="498"/>
      <c r="I55" s="216" t="s">
        <v>1721</v>
      </c>
    </row>
    <row r="56" spans="1:9" s="216" customFormat="1">
      <c r="A56" s="215">
        <v>53</v>
      </c>
      <c r="B56" s="216" t="s">
        <v>1394</v>
      </c>
      <c r="C56" s="215">
        <v>1</v>
      </c>
      <c r="D56" s="424">
        <v>480000</v>
      </c>
      <c r="E56" s="422">
        <f t="shared" ref="E56:E61" si="2">+C56*D56</f>
        <v>480000</v>
      </c>
      <c r="F56" s="216" t="s">
        <v>574</v>
      </c>
      <c r="G56" s="498" t="s">
        <v>464</v>
      </c>
      <c r="H56" s="498"/>
      <c r="I56" s="216" t="s">
        <v>1721</v>
      </c>
    </row>
    <row r="57" spans="1:9" s="216" customFormat="1">
      <c r="A57" s="215">
        <v>54</v>
      </c>
      <c r="B57" s="216" t="s">
        <v>1395</v>
      </c>
      <c r="C57" s="215">
        <v>2</v>
      </c>
      <c r="D57" s="422">
        <v>86000</v>
      </c>
      <c r="E57" s="422">
        <f t="shared" si="2"/>
        <v>172000</v>
      </c>
      <c r="F57" s="216" t="s">
        <v>956</v>
      </c>
      <c r="G57" s="498" t="s">
        <v>464</v>
      </c>
      <c r="H57" s="498"/>
      <c r="I57" s="216" t="s">
        <v>1721</v>
      </c>
    </row>
    <row r="58" spans="1:9" s="216" customFormat="1">
      <c r="A58" s="215">
        <v>55</v>
      </c>
      <c r="B58" s="216" t="s">
        <v>196</v>
      </c>
      <c r="C58" s="215">
        <v>2</v>
      </c>
      <c r="D58" s="422">
        <v>63500</v>
      </c>
      <c r="E58" s="422">
        <f t="shared" si="2"/>
        <v>127000</v>
      </c>
      <c r="F58" s="216" t="s">
        <v>472</v>
      </c>
      <c r="G58" s="498" t="s">
        <v>464</v>
      </c>
      <c r="H58" s="498"/>
      <c r="I58" s="216" t="s">
        <v>1721</v>
      </c>
    </row>
    <row r="59" spans="1:9" s="216" customFormat="1">
      <c r="A59" s="215">
        <v>56</v>
      </c>
      <c r="B59" s="216" t="s">
        <v>1396</v>
      </c>
      <c r="C59" s="215">
        <v>1</v>
      </c>
      <c r="D59" s="422">
        <v>310300</v>
      </c>
      <c r="E59" s="422">
        <f t="shared" si="2"/>
        <v>310300</v>
      </c>
      <c r="F59" s="216" t="s">
        <v>721</v>
      </c>
      <c r="G59" s="498" t="s">
        <v>464</v>
      </c>
      <c r="H59" s="498"/>
      <c r="I59" s="216" t="s">
        <v>1721</v>
      </c>
    </row>
    <row r="60" spans="1:9" s="216" customFormat="1" ht="42">
      <c r="A60" s="215">
        <v>57</v>
      </c>
      <c r="B60" s="260" t="s">
        <v>1399</v>
      </c>
      <c r="C60" s="215">
        <v>1</v>
      </c>
      <c r="D60" s="422">
        <v>80250</v>
      </c>
      <c r="E60" s="422">
        <f t="shared" si="2"/>
        <v>80250</v>
      </c>
      <c r="F60" s="216" t="s">
        <v>721</v>
      </c>
      <c r="G60" s="498" t="s">
        <v>464</v>
      </c>
      <c r="H60" s="498"/>
      <c r="I60" s="216" t="s">
        <v>1721</v>
      </c>
    </row>
    <row r="61" spans="1:9" s="216" customFormat="1">
      <c r="A61" s="215">
        <v>58</v>
      </c>
      <c r="B61" s="216" t="s">
        <v>1397</v>
      </c>
      <c r="C61" s="215">
        <v>2</v>
      </c>
      <c r="D61" s="422">
        <v>29000</v>
      </c>
      <c r="E61" s="422">
        <f t="shared" si="2"/>
        <v>58000</v>
      </c>
      <c r="F61" s="216" t="s">
        <v>423</v>
      </c>
      <c r="G61" s="498" t="s">
        <v>464</v>
      </c>
      <c r="H61" s="498"/>
      <c r="I61" s="216" t="s">
        <v>1721</v>
      </c>
    </row>
    <row r="62" spans="1:9" s="216" customFormat="1" ht="23.25" customHeight="1">
      <c r="A62" s="215">
        <v>59</v>
      </c>
      <c r="B62" s="251" t="s">
        <v>1450</v>
      </c>
      <c r="C62" s="233">
        <v>1</v>
      </c>
      <c r="D62" s="250">
        <v>380000</v>
      </c>
      <c r="E62" s="328">
        <f t="shared" ref="E62:E66" si="3">D62</f>
        <v>380000</v>
      </c>
      <c r="F62" s="216" t="s">
        <v>721</v>
      </c>
      <c r="G62" s="498" t="s">
        <v>464</v>
      </c>
      <c r="H62" s="498"/>
      <c r="I62" s="216" t="s">
        <v>1721</v>
      </c>
    </row>
    <row r="63" spans="1:9" s="216" customFormat="1">
      <c r="A63" s="215">
        <v>60</v>
      </c>
      <c r="B63" s="1602" t="s">
        <v>1451</v>
      </c>
      <c r="C63" s="233">
        <v>1</v>
      </c>
      <c r="D63" s="250">
        <v>1605000</v>
      </c>
      <c r="E63" s="328">
        <f>D63</f>
        <v>1605000</v>
      </c>
      <c r="F63" s="216" t="s">
        <v>721</v>
      </c>
      <c r="G63" s="498" t="s">
        <v>464</v>
      </c>
      <c r="H63" s="498"/>
      <c r="I63" s="216" t="s">
        <v>1721</v>
      </c>
    </row>
    <row r="64" spans="1:9" s="216" customFormat="1" ht="42">
      <c r="A64" s="215">
        <v>61</v>
      </c>
      <c r="B64" s="1603" t="s">
        <v>2500</v>
      </c>
      <c r="C64" s="233">
        <v>1</v>
      </c>
      <c r="D64" s="250">
        <v>950000</v>
      </c>
      <c r="E64" s="328">
        <f>D64</f>
        <v>950000</v>
      </c>
      <c r="F64" s="216" t="s">
        <v>721</v>
      </c>
      <c r="G64" s="498" t="s">
        <v>464</v>
      </c>
      <c r="H64" s="498"/>
      <c r="I64" s="216" t="s">
        <v>1721</v>
      </c>
    </row>
    <row r="65" spans="1:9" s="216" customFormat="1">
      <c r="A65" s="215">
        <v>62</v>
      </c>
      <c r="B65" s="1603" t="s">
        <v>1453</v>
      </c>
      <c r="C65" s="233">
        <v>1</v>
      </c>
      <c r="D65" s="250">
        <v>47910</v>
      </c>
      <c r="E65" s="328">
        <f>D65</f>
        <v>47910</v>
      </c>
      <c r="F65" s="216" t="s">
        <v>721</v>
      </c>
      <c r="G65" s="498" t="s">
        <v>464</v>
      </c>
      <c r="H65" s="498"/>
      <c r="I65" s="216" t="s">
        <v>1721</v>
      </c>
    </row>
    <row r="66" spans="1:9" s="216" customFormat="1">
      <c r="A66" s="215">
        <v>63</v>
      </c>
      <c r="B66" s="251" t="s">
        <v>2501</v>
      </c>
      <c r="C66" s="233">
        <v>1</v>
      </c>
      <c r="D66" s="250">
        <v>1600000</v>
      </c>
      <c r="E66" s="328">
        <f t="shared" si="3"/>
        <v>1600000</v>
      </c>
      <c r="F66" s="216" t="s">
        <v>721</v>
      </c>
      <c r="G66" s="498" t="s">
        <v>464</v>
      </c>
      <c r="H66" s="498"/>
      <c r="I66" s="216" t="s">
        <v>1721</v>
      </c>
    </row>
    <row r="67" spans="1:9" s="478" customFormat="1">
      <c r="A67" s="215">
        <v>64</v>
      </c>
      <c r="B67" s="390" t="s">
        <v>1293</v>
      </c>
      <c r="C67" s="479">
        <v>6</v>
      </c>
      <c r="D67" s="1537">
        <v>27500</v>
      </c>
      <c r="E67" s="1537">
        <v>165000</v>
      </c>
      <c r="F67" s="390" t="s">
        <v>1294</v>
      </c>
      <c r="G67" s="498" t="s">
        <v>464</v>
      </c>
      <c r="H67" s="498"/>
      <c r="I67" s="216" t="s">
        <v>1721</v>
      </c>
    </row>
    <row r="68" spans="1:9" s="478" customFormat="1">
      <c r="A68" s="215">
        <v>65</v>
      </c>
      <c r="B68" s="390" t="s">
        <v>1295</v>
      </c>
      <c r="C68" s="479">
        <v>2</v>
      </c>
      <c r="D68" s="1537">
        <v>19500</v>
      </c>
      <c r="E68" s="1537">
        <v>39000</v>
      </c>
      <c r="F68" s="390" t="s">
        <v>1294</v>
      </c>
      <c r="G68" s="498" t="s">
        <v>464</v>
      </c>
      <c r="H68" s="498"/>
      <c r="I68" s="216" t="s">
        <v>1721</v>
      </c>
    </row>
    <row r="69" spans="1:9" s="478" customFormat="1">
      <c r="A69" s="215">
        <v>66</v>
      </c>
      <c r="B69" s="390" t="s">
        <v>1296</v>
      </c>
      <c r="C69" s="479">
        <v>2</v>
      </c>
      <c r="D69" s="1537">
        <v>34000</v>
      </c>
      <c r="E69" s="1537">
        <v>68000</v>
      </c>
      <c r="F69" s="390" t="s">
        <v>1294</v>
      </c>
      <c r="G69" s="498" t="s">
        <v>464</v>
      </c>
      <c r="H69" s="498"/>
      <c r="I69" s="216" t="s">
        <v>1721</v>
      </c>
    </row>
    <row r="70" spans="1:9" s="478" customFormat="1">
      <c r="A70" s="215">
        <v>67</v>
      </c>
      <c r="B70" s="390" t="s">
        <v>1297</v>
      </c>
      <c r="C70" s="479">
        <v>6</v>
      </c>
      <c r="D70" s="1537">
        <v>18700</v>
      </c>
      <c r="E70" s="1537">
        <v>112200</v>
      </c>
      <c r="F70" s="390" t="s">
        <v>1294</v>
      </c>
      <c r="G70" s="498" t="s">
        <v>464</v>
      </c>
      <c r="H70" s="498"/>
      <c r="I70" s="216" t="s">
        <v>1721</v>
      </c>
    </row>
    <row r="71" spans="1:9" s="478" customFormat="1">
      <c r="A71" s="215">
        <v>68</v>
      </c>
      <c r="B71" s="390" t="s">
        <v>1298</v>
      </c>
      <c r="C71" s="479">
        <v>4</v>
      </c>
      <c r="D71" s="1537">
        <v>19500</v>
      </c>
      <c r="E71" s="1537">
        <v>78000</v>
      </c>
      <c r="F71" s="390" t="s">
        <v>1294</v>
      </c>
      <c r="G71" s="498" t="s">
        <v>464</v>
      </c>
      <c r="H71" s="498"/>
      <c r="I71" s="216" t="s">
        <v>1721</v>
      </c>
    </row>
    <row r="72" spans="1:9" s="478" customFormat="1">
      <c r="A72" s="215">
        <v>69</v>
      </c>
      <c r="B72" s="390" t="s">
        <v>1299</v>
      </c>
      <c r="C72" s="479">
        <v>6</v>
      </c>
      <c r="D72" s="1537">
        <v>43000</v>
      </c>
      <c r="E72" s="1537">
        <v>258000</v>
      </c>
      <c r="F72" s="390" t="s">
        <v>1294</v>
      </c>
      <c r="G72" s="498" t="s">
        <v>464</v>
      </c>
      <c r="H72" s="498"/>
      <c r="I72" s="216" t="s">
        <v>1721</v>
      </c>
    </row>
    <row r="73" spans="1:9" s="478" customFormat="1">
      <c r="A73" s="215">
        <v>70</v>
      </c>
      <c r="B73" s="390" t="s">
        <v>1300</v>
      </c>
      <c r="C73" s="479">
        <v>12</v>
      </c>
      <c r="D73" s="1537">
        <v>11700</v>
      </c>
      <c r="E73" s="1537">
        <v>140400</v>
      </c>
      <c r="F73" s="390" t="s">
        <v>1294</v>
      </c>
      <c r="G73" s="498" t="s">
        <v>464</v>
      </c>
      <c r="H73" s="498"/>
      <c r="I73" s="216" t="s">
        <v>1721</v>
      </c>
    </row>
    <row r="74" spans="1:9" s="478" customFormat="1">
      <c r="A74" s="215">
        <v>71</v>
      </c>
      <c r="B74" s="390" t="s">
        <v>1319</v>
      </c>
      <c r="C74" s="479">
        <v>12</v>
      </c>
      <c r="D74" s="1537">
        <v>12700</v>
      </c>
      <c r="E74" s="1537">
        <v>152400</v>
      </c>
      <c r="F74" s="390" t="s">
        <v>1320</v>
      </c>
      <c r="G74" s="498" t="s">
        <v>464</v>
      </c>
      <c r="H74" s="498"/>
      <c r="I74" s="216" t="s">
        <v>1721</v>
      </c>
    </row>
    <row r="75" spans="1:9" s="478" customFormat="1">
      <c r="A75" s="215">
        <v>72</v>
      </c>
      <c r="B75" s="390" t="s">
        <v>1321</v>
      </c>
      <c r="C75" s="479">
        <v>6</v>
      </c>
      <c r="D75" s="1537">
        <v>5400</v>
      </c>
      <c r="E75" s="1537">
        <v>32400</v>
      </c>
      <c r="F75" s="390" t="s">
        <v>1320</v>
      </c>
      <c r="G75" s="498" t="s">
        <v>464</v>
      </c>
      <c r="H75" s="498"/>
      <c r="I75" s="216" t="s">
        <v>1721</v>
      </c>
    </row>
    <row r="76" spans="1:9" s="478" customFormat="1">
      <c r="A76" s="215">
        <v>73</v>
      </c>
      <c r="B76" s="689" t="s">
        <v>476</v>
      </c>
      <c r="C76" s="1481">
        <v>1</v>
      </c>
      <c r="D76" s="1483">
        <v>15000</v>
      </c>
      <c r="E76" s="1484">
        <f t="shared" ref="E76:E83" si="4">+C76*D76</f>
        <v>15000</v>
      </c>
      <c r="F76" s="683" t="s">
        <v>445</v>
      </c>
      <c r="G76" s="498" t="s">
        <v>464</v>
      </c>
      <c r="H76" s="498"/>
      <c r="I76" s="216" t="s">
        <v>1721</v>
      </c>
    </row>
    <row r="77" spans="1:9" s="478" customFormat="1">
      <c r="A77" s="215">
        <v>74</v>
      </c>
      <c r="B77" s="683" t="s">
        <v>483</v>
      </c>
      <c r="C77" s="1481">
        <v>2</v>
      </c>
      <c r="D77" s="1483">
        <v>6500</v>
      </c>
      <c r="E77" s="1484">
        <f t="shared" si="4"/>
        <v>13000</v>
      </c>
      <c r="F77" s="683" t="s">
        <v>445</v>
      </c>
      <c r="G77" s="498" t="s">
        <v>464</v>
      </c>
      <c r="H77" s="498"/>
      <c r="I77" s="216" t="s">
        <v>1721</v>
      </c>
    </row>
    <row r="78" spans="1:9" s="478" customFormat="1">
      <c r="A78" s="215">
        <v>75</v>
      </c>
      <c r="B78" s="689" t="s">
        <v>477</v>
      </c>
      <c r="C78" s="1481">
        <v>1</v>
      </c>
      <c r="D78" s="1483">
        <v>10000</v>
      </c>
      <c r="E78" s="1484">
        <f t="shared" si="4"/>
        <v>10000</v>
      </c>
      <c r="F78" s="683" t="s">
        <v>445</v>
      </c>
      <c r="G78" s="498" t="s">
        <v>464</v>
      </c>
      <c r="H78" s="498"/>
      <c r="I78" s="216" t="s">
        <v>1721</v>
      </c>
    </row>
    <row r="79" spans="1:9" s="478" customFormat="1">
      <c r="A79" s="215">
        <v>76</v>
      </c>
      <c r="B79" s="682" t="s">
        <v>489</v>
      </c>
      <c r="C79" s="1481">
        <v>1</v>
      </c>
      <c r="D79" s="1483">
        <v>50000</v>
      </c>
      <c r="E79" s="1484">
        <f t="shared" si="4"/>
        <v>50000</v>
      </c>
      <c r="F79" s="683" t="s">
        <v>445</v>
      </c>
      <c r="G79" s="498" t="s">
        <v>464</v>
      </c>
      <c r="H79" s="498"/>
      <c r="I79" s="216" t="s">
        <v>1721</v>
      </c>
    </row>
    <row r="80" spans="1:9" s="478" customFormat="1">
      <c r="A80" s="215">
        <v>77</v>
      </c>
      <c r="B80" s="689" t="s">
        <v>2502</v>
      </c>
      <c r="C80" s="1481">
        <v>2</v>
      </c>
      <c r="D80" s="1483">
        <v>4500</v>
      </c>
      <c r="E80" s="1484">
        <f t="shared" si="4"/>
        <v>9000</v>
      </c>
      <c r="F80" s="683" t="s">
        <v>445</v>
      </c>
      <c r="G80" s="498" t="s">
        <v>464</v>
      </c>
      <c r="H80" s="498"/>
      <c r="I80" s="216" t="s">
        <v>1721</v>
      </c>
    </row>
    <row r="81" spans="1:10" s="478" customFormat="1">
      <c r="A81" s="215">
        <v>78</v>
      </c>
      <c r="B81" s="689" t="s">
        <v>484</v>
      </c>
      <c r="C81" s="1481">
        <v>2</v>
      </c>
      <c r="D81" s="1483">
        <v>3950</v>
      </c>
      <c r="E81" s="1484">
        <f t="shared" si="4"/>
        <v>7900</v>
      </c>
      <c r="F81" s="683" t="s">
        <v>445</v>
      </c>
      <c r="G81" s="498" t="s">
        <v>464</v>
      </c>
      <c r="H81" s="498"/>
      <c r="I81" s="216" t="s">
        <v>1721</v>
      </c>
    </row>
    <row r="82" spans="1:10" s="478" customFormat="1">
      <c r="A82" s="215">
        <v>79</v>
      </c>
      <c r="B82" s="685" t="s">
        <v>488</v>
      </c>
      <c r="C82" s="1481">
        <v>2</v>
      </c>
      <c r="D82" s="1483">
        <v>3950</v>
      </c>
      <c r="E82" s="1484">
        <f t="shared" si="4"/>
        <v>7900</v>
      </c>
      <c r="F82" s="683" t="s">
        <v>445</v>
      </c>
      <c r="G82" s="498" t="s">
        <v>464</v>
      </c>
      <c r="H82" s="498"/>
      <c r="I82" s="216" t="s">
        <v>1721</v>
      </c>
    </row>
    <row r="83" spans="1:10" s="478" customFormat="1">
      <c r="A83" s="215">
        <v>80</v>
      </c>
      <c r="B83" s="689" t="s">
        <v>478</v>
      </c>
      <c r="C83" s="1481">
        <v>1</v>
      </c>
      <c r="D83" s="1483">
        <v>4000</v>
      </c>
      <c r="E83" s="1484">
        <f t="shared" si="4"/>
        <v>4000</v>
      </c>
      <c r="F83" s="683" t="s">
        <v>445</v>
      </c>
      <c r="G83" s="498" t="s">
        <v>464</v>
      </c>
      <c r="H83" s="498"/>
      <c r="I83" s="216" t="s">
        <v>1721</v>
      </c>
    </row>
    <row r="84" spans="1:10" s="478" customFormat="1">
      <c r="A84" s="215">
        <v>81</v>
      </c>
      <c r="B84" s="390" t="s">
        <v>1324</v>
      </c>
      <c r="C84" s="479">
        <v>6</v>
      </c>
      <c r="D84" s="1537">
        <v>7500</v>
      </c>
      <c r="E84" s="1537">
        <v>45000</v>
      </c>
      <c r="F84" s="390" t="s">
        <v>1320</v>
      </c>
      <c r="G84" s="498" t="s">
        <v>464</v>
      </c>
      <c r="H84" s="498"/>
      <c r="I84" s="216" t="s">
        <v>1721</v>
      </c>
    </row>
    <row r="85" spans="1:10" s="478" customFormat="1">
      <c r="A85" s="215">
        <v>82</v>
      </c>
      <c r="B85" s="390" t="s">
        <v>1325</v>
      </c>
      <c r="C85" s="479">
        <v>6</v>
      </c>
      <c r="D85" s="1537">
        <v>2950</v>
      </c>
      <c r="E85" s="1537">
        <v>17700</v>
      </c>
      <c r="F85" s="390" t="s">
        <v>1320</v>
      </c>
      <c r="G85" s="498" t="s">
        <v>464</v>
      </c>
      <c r="H85" s="498"/>
      <c r="I85" s="216" t="s">
        <v>1721</v>
      </c>
    </row>
    <row r="86" spans="1:10" s="216" customFormat="1">
      <c r="A86" s="215">
        <v>83</v>
      </c>
      <c r="B86" s="221" t="s">
        <v>1303</v>
      </c>
      <c r="C86" s="215">
        <v>1</v>
      </c>
      <c r="D86" s="1538">
        <v>14400</v>
      </c>
      <c r="E86" s="1538">
        <v>14400</v>
      </c>
      <c r="F86" s="221" t="s">
        <v>958</v>
      </c>
      <c r="G86" s="498" t="s">
        <v>464</v>
      </c>
      <c r="H86" s="498"/>
      <c r="I86" s="216" t="s">
        <v>1721</v>
      </c>
    </row>
    <row r="87" spans="1:10" s="478" customFormat="1">
      <c r="A87" s="215">
        <v>84</v>
      </c>
      <c r="B87" s="390" t="s">
        <v>1331</v>
      </c>
      <c r="C87" s="479">
        <v>1</v>
      </c>
      <c r="D87" s="1537">
        <v>6955</v>
      </c>
      <c r="E87" s="1537">
        <v>6955</v>
      </c>
      <c r="F87" s="390" t="s">
        <v>614</v>
      </c>
      <c r="G87" s="498" t="s">
        <v>464</v>
      </c>
      <c r="H87" s="498"/>
      <c r="I87" s="216" t="s">
        <v>1721</v>
      </c>
    </row>
    <row r="88" spans="1:10" s="478" customFormat="1">
      <c r="A88" s="215">
        <v>85</v>
      </c>
      <c r="B88" s="478" t="s">
        <v>1337</v>
      </c>
      <c r="C88" s="479">
        <v>1</v>
      </c>
      <c r="D88" s="1535">
        <v>7400</v>
      </c>
      <c r="E88" s="1535">
        <f>+C88*D88</f>
        <v>7400</v>
      </c>
      <c r="F88" s="478" t="s">
        <v>614</v>
      </c>
      <c r="G88" s="498" t="s">
        <v>464</v>
      </c>
      <c r="H88" s="498"/>
      <c r="I88" s="216" t="s">
        <v>1721</v>
      </c>
    </row>
    <row r="89" spans="1:10" s="216" customFormat="1">
      <c r="A89" s="215">
        <v>86</v>
      </c>
      <c r="B89" s="251" t="s">
        <v>554</v>
      </c>
      <c r="C89" s="490">
        <v>1</v>
      </c>
      <c r="D89" s="468">
        <v>5100000</v>
      </c>
      <c r="E89" s="468">
        <f t="shared" ref="E89:E98" si="5">+C89*D89</f>
        <v>5100000</v>
      </c>
      <c r="F89" s="1477" t="s">
        <v>562</v>
      </c>
      <c r="G89" s="498" t="s">
        <v>464</v>
      </c>
      <c r="H89" s="498"/>
      <c r="I89" s="216" t="s">
        <v>490</v>
      </c>
      <c r="J89" s="216" t="s">
        <v>2467</v>
      </c>
    </row>
    <row r="90" spans="1:10" s="216" customFormat="1">
      <c r="A90" s="215">
        <v>87</v>
      </c>
      <c r="B90" s="251" t="s">
        <v>555</v>
      </c>
      <c r="C90" s="490">
        <v>1</v>
      </c>
      <c r="D90" s="468">
        <v>2800000</v>
      </c>
      <c r="E90" s="468">
        <f t="shared" si="5"/>
        <v>2800000</v>
      </c>
      <c r="F90" s="1477" t="s">
        <v>562</v>
      </c>
      <c r="G90" s="498" t="s">
        <v>464</v>
      </c>
      <c r="H90" s="498"/>
      <c r="I90" s="216" t="s">
        <v>490</v>
      </c>
      <c r="J90" s="216" t="s">
        <v>2467</v>
      </c>
    </row>
    <row r="91" spans="1:10" s="216" customFormat="1">
      <c r="A91" s="215">
        <v>88</v>
      </c>
      <c r="B91" s="251" t="s">
        <v>556</v>
      </c>
      <c r="C91" s="490">
        <v>1</v>
      </c>
      <c r="D91" s="468">
        <v>1400000</v>
      </c>
      <c r="E91" s="468">
        <f t="shared" si="5"/>
        <v>1400000</v>
      </c>
      <c r="F91" s="1477" t="s">
        <v>562</v>
      </c>
      <c r="G91" s="498" t="s">
        <v>464</v>
      </c>
      <c r="H91" s="498"/>
      <c r="I91" s="216" t="s">
        <v>490</v>
      </c>
      <c r="J91" s="216" t="s">
        <v>2467</v>
      </c>
    </row>
    <row r="92" spans="1:10" s="216" customFormat="1">
      <c r="A92" s="215">
        <v>89</v>
      </c>
      <c r="B92" s="251" t="s">
        <v>557</v>
      </c>
      <c r="C92" s="490">
        <v>2</v>
      </c>
      <c r="D92" s="468">
        <v>500000</v>
      </c>
      <c r="E92" s="468">
        <f t="shared" si="5"/>
        <v>1000000</v>
      </c>
      <c r="F92" s="1477" t="s">
        <v>562</v>
      </c>
      <c r="G92" s="498" t="s">
        <v>464</v>
      </c>
      <c r="H92" s="498"/>
      <c r="I92" s="216" t="s">
        <v>490</v>
      </c>
      <c r="J92" s="216" t="s">
        <v>2467</v>
      </c>
    </row>
    <row r="93" spans="1:10" s="216" customFormat="1">
      <c r="A93" s="215">
        <v>90</v>
      </c>
      <c r="B93" s="251" t="s">
        <v>558</v>
      </c>
      <c r="C93" s="490">
        <v>2</v>
      </c>
      <c r="D93" s="468">
        <v>370000</v>
      </c>
      <c r="E93" s="468">
        <f t="shared" si="5"/>
        <v>740000</v>
      </c>
      <c r="F93" s="1477" t="s">
        <v>562</v>
      </c>
      <c r="G93" s="498" t="s">
        <v>464</v>
      </c>
      <c r="H93" s="498"/>
      <c r="I93" s="216" t="s">
        <v>490</v>
      </c>
      <c r="J93" s="216" t="s">
        <v>2467</v>
      </c>
    </row>
    <row r="94" spans="1:10" s="216" customFormat="1">
      <c r="A94" s="215">
        <v>91</v>
      </c>
      <c r="B94" s="251" t="s">
        <v>1042</v>
      </c>
      <c r="C94" s="490">
        <v>1</v>
      </c>
      <c r="D94" s="468">
        <v>2200000</v>
      </c>
      <c r="E94" s="468">
        <f t="shared" si="5"/>
        <v>2200000</v>
      </c>
      <c r="F94" s="1477" t="s">
        <v>562</v>
      </c>
      <c r="G94" s="498" t="s">
        <v>464</v>
      </c>
      <c r="H94" s="498"/>
      <c r="I94" s="216" t="s">
        <v>490</v>
      </c>
      <c r="J94" s="216" t="s">
        <v>2467</v>
      </c>
    </row>
    <row r="95" spans="1:10" s="216" customFormat="1">
      <c r="A95" s="215">
        <v>92</v>
      </c>
      <c r="B95" s="251" t="s">
        <v>559</v>
      </c>
      <c r="C95" s="490">
        <v>1</v>
      </c>
      <c r="D95" s="468">
        <v>1800000</v>
      </c>
      <c r="E95" s="468">
        <f t="shared" si="5"/>
        <v>1800000</v>
      </c>
      <c r="F95" s="1477" t="s">
        <v>562</v>
      </c>
      <c r="G95" s="498" t="s">
        <v>464</v>
      </c>
      <c r="H95" s="498"/>
      <c r="I95" s="216" t="s">
        <v>490</v>
      </c>
      <c r="J95" s="216" t="s">
        <v>2467</v>
      </c>
    </row>
    <row r="96" spans="1:10" s="216" customFormat="1">
      <c r="A96" s="215">
        <v>93</v>
      </c>
      <c r="B96" s="251" t="s">
        <v>560</v>
      </c>
      <c r="C96" s="490">
        <v>1</v>
      </c>
      <c r="D96" s="468">
        <v>2000000</v>
      </c>
      <c r="E96" s="468">
        <f t="shared" si="5"/>
        <v>2000000</v>
      </c>
      <c r="F96" s="1477" t="s">
        <v>563</v>
      </c>
      <c r="G96" s="498" t="s">
        <v>464</v>
      </c>
      <c r="H96" s="498"/>
      <c r="I96" s="216" t="s">
        <v>490</v>
      </c>
      <c r="J96" s="216" t="s">
        <v>2467</v>
      </c>
    </row>
    <row r="97" spans="1:10" s="216" customFormat="1" ht="21.75" customHeight="1">
      <c r="A97" s="215">
        <v>94</v>
      </c>
      <c r="B97" s="251" t="s">
        <v>1032</v>
      </c>
      <c r="C97" s="490">
        <v>1</v>
      </c>
      <c r="D97" s="1764">
        <v>890000</v>
      </c>
      <c r="E97" s="468">
        <f t="shared" si="5"/>
        <v>890000</v>
      </c>
      <c r="F97" s="1477" t="s">
        <v>562</v>
      </c>
      <c r="G97" s="498" t="s">
        <v>464</v>
      </c>
      <c r="H97" s="498"/>
      <c r="I97" s="216" t="s">
        <v>490</v>
      </c>
      <c r="J97" s="216" t="s">
        <v>2467</v>
      </c>
    </row>
    <row r="98" spans="1:10" s="216" customFormat="1">
      <c r="A98" s="215">
        <v>95</v>
      </c>
      <c r="B98" s="251" t="s">
        <v>1033</v>
      </c>
      <c r="C98" s="490">
        <v>1</v>
      </c>
      <c r="D98" s="1764">
        <v>268000</v>
      </c>
      <c r="E98" s="468">
        <f t="shared" si="5"/>
        <v>268000</v>
      </c>
      <c r="F98" s="1477" t="s">
        <v>562</v>
      </c>
      <c r="G98" s="498" t="s">
        <v>464</v>
      </c>
      <c r="H98" s="498"/>
      <c r="I98" s="216" t="s">
        <v>490</v>
      </c>
      <c r="J98" s="216" t="s">
        <v>2467</v>
      </c>
    </row>
    <row r="99" spans="1:10" s="478" customFormat="1">
      <c r="A99" s="215">
        <v>96</v>
      </c>
      <c r="B99" s="684" t="s">
        <v>1034</v>
      </c>
      <c r="C99" s="1488">
        <v>1</v>
      </c>
      <c r="D99" s="1494">
        <v>1832600</v>
      </c>
      <c r="E99" s="467">
        <f t="shared" ref="E99" si="6">+C99*D99</f>
        <v>1832600</v>
      </c>
      <c r="F99" s="683" t="s">
        <v>562</v>
      </c>
      <c r="G99" s="498" t="s">
        <v>464</v>
      </c>
      <c r="H99" s="498"/>
      <c r="I99" s="478" t="s">
        <v>1517</v>
      </c>
      <c r="J99" s="216" t="s">
        <v>2467</v>
      </c>
    </row>
    <row r="100" spans="1:10" s="478" customFormat="1">
      <c r="A100" s="215">
        <v>97</v>
      </c>
      <c r="B100" s="498" t="s">
        <v>1507</v>
      </c>
      <c r="C100" s="495">
        <v>1</v>
      </c>
      <c r="D100" s="1474">
        <v>498000</v>
      </c>
      <c r="E100" s="1474">
        <f>+C100*D100</f>
        <v>498000</v>
      </c>
      <c r="F100" s="498" t="s">
        <v>736</v>
      </c>
      <c r="G100" s="498" t="s">
        <v>464</v>
      </c>
      <c r="H100" s="498"/>
      <c r="J100" s="478" t="s">
        <v>1002</v>
      </c>
    </row>
    <row r="101" spans="1:10" s="478" customFormat="1">
      <c r="A101" s="215">
        <v>98</v>
      </c>
      <c r="B101" s="305" t="s">
        <v>1578</v>
      </c>
      <c r="C101" s="306">
        <v>10</v>
      </c>
      <c r="D101" s="2422">
        <v>8700</v>
      </c>
      <c r="E101" s="2422">
        <f>+C101*D101</f>
        <v>87000</v>
      </c>
      <c r="F101" s="305" t="s">
        <v>1579</v>
      </c>
      <c r="G101" s="498" t="s">
        <v>464</v>
      </c>
      <c r="H101" s="498"/>
      <c r="J101" s="478" t="s">
        <v>1002</v>
      </c>
    </row>
    <row r="102" spans="1:10" s="216" customFormat="1" ht="42">
      <c r="A102" s="215">
        <v>99</v>
      </c>
      <c r="B102" s="309" t="s">
        <v>1321</v>
      </c>
      <c r="C102" s="310">
        <v>5</v>
      </c>
      <c r="D102" s="2419">
        <v>5400</v>
      </c>
      <c r="E102" s="2419">
        <f>C102*D102</f>
        <v>27000</v>
      </c>
      <c r="F102" s="2420" t="s">
        <v>2016</v>
      </c>
      <c r="G102" s="498" t="s">
        <v>464</v>
      </c>
      <c r="H102" s="498"/>
      <c r="J102" s="478" t="s">
        <v>1002</v>
      </c>
    </row>
    <row r="103" spans="1:10" s="216" customFormat="1" ht="42">
      <c r="A103" s="215">
        <v>100</v>
      </c>
      <c r="B103" s="309" t="s">
        <v>1582</v>
      </c>
      <c r="C103" s="310">
        <v>8</v>
      </c>
      <c r="D103" s="2419">
        <v>12700</v>
      </c>
      <c r="E103" s="2419">
        <f>C103*D103</f>
        <v>101600</v>
      </c>
      <c r="F103" s="2420" t="s">
        <v>2017</v>
      </c>
      <c r="G103" s="498" t="s">
        <v>464</v>
      </c>
      <c r="H103" s="498"/>
      <c r="J103" s="478" t="s">
        <v>1002</v>
      </c>
    </row>
    <row r="104" spans="1:10" s="216" customFormat="1" ht="42">
      <c r="A104" s="215">
        <v>101</v>
      </c>
      <c r="B104" s="312" t="s">
        <v>2483</v>
      </c>
      <c r="C104" s="310">
        <v>8</v>
      </c>
      <c r="D104" s="2457">
        <v>7500</v>
      </c>
      <c r="E104" s="2419">
        <f>C104*D104</f>
        <v>60000</v>
      </c>
      <c r="F104" s="2420" t="s">
        <v>2017</v>
      </c>
      <c r="G104" s="498" t="s">
        <v>464</v>
      </c>
      <c r="H104" s="498"/>
      <c r="J104" s="478" t="s">
        <v>1002</v>
      </c>
    </row>
    <row r="105" spans="1:10" s="478" customFormat="1">
      <c r="A105" s="215">
        <v>102</v>
      </c>
      <c r="B105" s="305" t="s">
        <v>1585</v>
      </c>
      <c r="C105" s="306">
        <v>4</v>
      </c>
      <c r="D105" s="2422">
        <v>9700</v>
      </c>
      <c r="E105" s="2422">
        <f t="shared" ref="E105:E118" si="7">+C105*D105</f>
        <v>38800</v>
      </c>
      <c r="F105" s="1856" t="s">
        <v>1532</v>
      </c>
      <c r="G105" s="498" t="s">
        <v>464</v>
      </c>
      <c r="H105" s="498"/>
      <c r="J105" s="478" t="s">
        <v>1002</v>
      </c>
    </row>
    <row r="106" spans="1:10" s="478" customFormat="1">
      <c r="A106" s="215">
        <v>103</v>
      </c>
      <c r="B106" s="305" t="s">
        <v>1586</v>
      </c>
      <c r="C106" s="306">
        <v>2</v>
      </c>
      <c r="D106" s="2437">
        <v>15000</v>
      </c>
      <c r="E106" s="2437">
        <f t="shared" si="7"/>
        <v>30000</v>
      </c>
      <c r="F106" s="1856" t="s">
        <v>1587</v>
      </c>
      <c r="G106" s="498" t="s">
        <v>464</v>
      </c>
      <c r="H106" s="498"/>
      <c r="J106" s="478" t="s">
        <v>1002</v>
      </c>
    </row>
    <row r="107" spans="1:10" s="478" customFormat="1">
      <c r="A107" s="215">
        <v>104</v>
      </c>
      <c r="B107" s="305" t="s">
        <v>1588</v>
      </c>
      <c r="C107" s="306">
        <v>6</v>
      </c>
      <c r="D107" s="2422">
        <v>7275</v>
      </c>
      <c r="E107" s="2422">
        <f t="shared" si="7"/>
        <v>43650</v>
      </c>
      <c r="F107" s="1856" t="s">
        <v>1579</v>
      </c>
      <c r="G107" s="498" t="s">
        <v>464</v>
      </c>
      <c r="H107" s="498"/>
      <c r="J107" s="478" t="s">
        <v>1002</v>
      </c>
    </row>
    <row r="108" spans="1:10" s="478" customFormat="1">
      <c r="A108" s="215">
        <v>105</v>
      </c>
      <c r="B108" s="305" t="s">
        <v>1589</v>
      </c>
      <c r="C108" s="306">
        <v>1</v>
      </c>
      <c r="D108" s="2422">
        <v>18000</v>
      </c>
      <c r="E108" s="2422">
        <f t="shared" si="7"/>
        <v>18000</v>
      </c>
      <c r="F108" s="1856" t="s">
        <v>1579</v>
      </c>
      <c r="G108" s="498" t="s">
        <v>464</v>
      </c>
      <c r="H108" s="498"/>
      <c r="J108" s="478" t="s">
        <v>1002</v>
      </c>
    </row>
    <row r="109" spans="1:10" s="478" customFormat="1">
      <c r="A109" s="215">
        <v>106</v>
      </c>
      <c r="B109" s="305" t="s">
        <v>1590</v>
      </c>
      <c r="C109" s="306">
        <v>1</v>
      </c>
      <c r="D109" s="2422">
        <v>35000</v>
      </c>
      <c r="E109" s="2422">
        <f t="shared" si="7"/>
        <v>35000</v>
      </c>
      <c r="F109" s="1856" t="s">
        <v>1579</v>
      </c>
      <c r="G109" s="498" t="s">
        <v>464</v>
      </c>
      <c r="H109" s="498"/>
      <c r="J109" s="478" t="s">
        <v>1002</v>
      </c>
    </row>
    <row r="110" spans="1:10" s="478" customFormat="1">
      <c r="A110" s="215">
        <v>107</v>
      </c>
      <c r="B110" s="305" t="s">
        <v>1591</v>
      </c>
      <c r="C110" s="306">
        <v>5</v>
      </c>
      <c r="D110" s="2422">
        <v>35000</v>
      </c>
      <c r="E110" s="2422">
        <f t="shared" si="7"/>
        <v>175000</v>
      </c>
      <c r="F110" s="1856" t="s">
        <v>1592</v>
      </c>
      <c r="G110" s="498" t="s">
        <v>464</v>
      </c>
      <c r="H110" s="498"/>
      <c r="J110" s="478" t="s">
        <v>1002</v>
      </c>
    </row>
    <row r="111" spans="1:10" s="478" customFormat="1">
      <c r="A111" s="215">
        <v>108</v>
      </c>
      <c r="B111" s="305" t="s">
        <v>1593</v>
      </c>
      <c r="C111" s="306">
        <v>8</v>
      </c>
      <c r="D111" s="2422">
        <v>7566</v>
      </c>
      <c r="E111" s="2422">
        <f t="shared" si="7"/>
        <v>60528</v>
      </c>
      <c r="F111" s="1856" t="s">
        <v>1579</v>
      </c>
      <c r="G111" s="498" t="s">
        <v>464</v>
      </c>
      <c r="H111" s="498"/>
      <c r="J111" s="478" t="s">
        <v>1002</v>
      </c>
    </row>
    <row r="112" spans="1:10" s="478" customFormat="1">
      <c r="A112" s="215">
        <v>109</v>
      </c>
      <c r="B112" s="305" t="s">
        <v>1594</v>
      </c>
      <c r="C112" s="306">
        <v>2</v>
      </c>
      <c r="D112" s="2422">
        <v>16000</v>
      </c>
      <c r="E112" s="2422">
        <f t="shared" si="7"/>
        <v>32000</v>
      </c>
      <c r="F112" s="1856" t="s">
        <v>1579</v>
      </c>
      <c r="G112" s="498" t="s">
        <v>464</v>
      </c>
      <c r="H112" s="498"/>
      <c r="J112" s="478" t="s">
        <v>1002</v>
      </c>
    </row>
    <row r="113" spans="1:10" s="478" customFormat="1">
      <c r="A113" s="215">
        <v>110</v>
      </c>
      <c r="B113" s="305" t="s">
        <v>1595</v>
      </c>
      <c r="C113" s="306">
        <v>2</v>
      </c>
      <c r="D113" s="2422">
        <v>28000</v>
      </c>
      <c r="E113" s="2422">
        <f t="shared" si="7"/>
        <v>56000</v>
      </c>
      <c r="F113" s="1856" t="s">
        <v>1579</v>
      </c>
      <c r="G113" s="498" t="s">
        <v>464</v>
      </c>
      <c r="H113" s="498"/>
      <c r="J113" s="478" t="s">
        <v>1002</v>
      </c>
    </row>
    <row r="114" spans="1:10" s="478" customFormat="1">
      <c r="A114" s="215">
        <v>111</v>
      </c>
      <c r="B114" s="305" t="s">
        <v>1596</v>
      </c>
      <c r="C114" s="306">
        <v>4</v>
      </c>
      <c r="D114" s="2422">
        <v>6300</v>
      </c>
      <c r="E114" s="2422">
        <f t="shared" si="7"/>
        <v>25200</v>
      </c>
      <c r="F114" s="1856" t="s">
        <v>1579</v>
      </c>
      <c r="G114" s="498" t="s">
        <v>464</v>
      </c>
      <c r="H114" s="498"/>
      <c r="J114" s="478" t="s">
        <v>1002</v>
      </c>
    </row>
    <row r="115" spans="1:10" s="478" customFormat="1">
      <c r="A115" s="215">
        <v>112</v>
      </c>
      <c r="B115" s="305" t="s">
        <v>1597</v>
      </c>
      <c r="C115" s="306">
        <v>2</v>
      </c>
      <c r="D115" s="2422">
        <v>45000</v>
      </c>
      <c r="E115" s="2422">
        <f t="shared" si="7"/>
        <v>90000</v>
      </c>
      <c r="F115" s="1856" t="s">
        <v>1579</v>
      </c>
      <c r="G115" s="498" t="s">
        <v>464</v>
      </c>
      <c r="H115" s="498"/>
      <c r="J115" s="478" t="s">
        <v>1002</v>
      </c>
    </row>
    <row r="116" spans="1:10" s="478" customFormat="1">
      <c r="A116" s="215">
        <v>113</v>
      </c>
      <c r="B116" s="305" t="s">
        <v>1598</v>
      </c>
      <c r="C116" s="306">
        <v>1</v>
      </c>
      <c r="D116" s="2437">
        <v>260000</v>
      </c>
      <c r="E116" s="2422">
        <f t="shared" si="7"/>
        <v>260000</v>
      </c>
      <c r="F116" s="1856" t="s">
        <v>1532</v>
      </c>
      <c r="G116" s="498" t="s">
        <v>464</v>
      </c>
      <c r="H116" s="498"/>
      <c r="J116" s="478" t="s">
        <v>1002</v>
      </c>
    </row>
    <row r="117" spans="1:10" s="478" customFormat="1">
      <c r="A117" s="215">
        <v>114</v>
      </c>
      <c r="B117" s="305" t="s">
        <v>1599</v>
      </c>
      <c r="C117" s="306">
        <v>18</v>
      </c>
      <c r="D117" s="2422">
        <v>110000</v>
      </c>
      <c r="E117" s="2422">
        <f t="shared" si="7"/>
        <v>1980000</v>
      </c>
      <c r="F117" s="1856" t="s">
        <v>1579</v>
      </c>
      <c r="G117" s="498" t="s">
        <v>464</v>
      </c>
      <c r="H117" s="498"/>
      <c r="J117" s="478" t="s">
        <v>1002</v>
      </c>
    </row>
    <row r="118" spans="1:10" s="478" customFormat="1">
      <c r="A118" s="215">
        <v>115</v>
      </c>
      <c r="B118" s="305" t="s">
        <v>1600</v>
      </c>
      <c r="C118" s="306">
        <v>7</v>
      </c>
      <c r="D118" s="2422">
        <v>2619</v>
      </c>
      <c r="E118" s="2422">
        <f t="shared" si="7"/>
        <v>18333</v>
      </c>
      <c r="F118" s="1856" t="s">
        <v>1579</v>
      </c>
      <c r="G118" s="498" t="s">
        <v>464</v>
      </c>
      <c r="H118" s="498"/>
      <c r="J118" s="478" t="s">
        <v>1002</v>
      </c>
    </row>
    <row r="119" spans="1:10" s="478" customFormat="1">
      <c r="A119" s="215">
        <v>116</v>
      </c>
      <c r="B119" s="305" t="s">
        <v>1603</v>
      </c>
      <c r="C119" s="306">
        <v>1</v>
      </c>
      <c r="D119" s="2422">
        <v>3910850</v>
      </c>
      <c r="E119" s="2422">
        <v>3910850</v>
      </c>
      <c r="F119" s="1856" t="s">
        <v>1567</v>
      </c>
      <c r="G119" s="498" t="s">
        <v>464</v>
      </c>
      <c r="H119" s="498"/>
      <c r="J119" s="478" t="s">
        <v>1002</v>
      </c>
    </row>
    <row r="120" spans="1:10" s="478" customFormat="1">
      <c r="A120" s="215">
        <v>117</v>
      </c>
      <c r="B120" s="297" t="s">
        <v>1604</v>
      </c>
      <c r="C120" s="2451">
        <v>1</v>
      </c>
      <c r="D120" s="1840">
        <v>99000</v>
      </c>
      <c r="E120" s="2422">
        <f t="shared" ref="E120:E125" si="8">+C120*D120</f>
        <v>99000</v>
      </c>
      <c r="F120" s="478" t="s">
        <v>963</v>
      </c>
      <c r="G120" s="498" t="s">
        <v>464</v>
      </c>
      <c r="H120" s="498"/>
      <c r="J120" s="478" t="s">
        <v>1002</v>
      </c>
    </row>
    <row r="121" spans="1:10" s="478" customFormat="1">
      <c r="A121" s="215">
        <v>118</v>
      </c>
      <c r="B121" s="297" t="s">
        <v>1605</v>
      </c>
      <c r="C121" s="2451">
        <v>6</v>
      </c>
      <c r="D121" s="1840">
        <v>15000</v>
      </c>
      <c r="E121" s="2422">
        <f t="shared" si="8"/>
        <v>90000</v>
      </c>
      <c r="F121" s="478" t="s">
        <v>963</v>
      </c>
      <c r="G121" s="498" t="s">
        <v>464</v>
      </c>
      <c r="H121" s="498"/>
      <c r="J121" s="478" t="s">
        <v>1002</v>
      </c>
    </row>
    <row r="122" spans="1:10" s="478" customFormat="1">
      <c r="A122" s="215">
        <v>119</v>
      </c>
      <c r="B122" s="297" t="s">
        <v>1606</v>
      </c>
      <c r="C122" s="2451">
        <v>1</v>
      </c>
      <c r="D122" s="1840">
        <v>24600</v>
      </c>
      <c r="E122" s="2422">
        <f t="shared" si="8"/>
        <v>24600</v>
      </c>
      <c r="F122" s="478" t="s">
        <v>963</v>
      </c>
      <c r="G122" s="498" t="s">
        <v>464</v>
      </c>
      <c r="H122" s="498"/>
      <c r="J122" s="478" t="s">
        <v>1002</v>
      </c>
    </row>
    <row r="123" spans="1:10" s="478" customFormat="1">
      <c r="A123" s="215">
        <v>120</v>
      </c>
      <c r="B123" s="297" t="s">
        <v>1607</v>
      </c>
      <c r="C123" s="2451">
        <v>1</v>
      </c>
      <c r="D123" s="1840">
        <v>8600</v>
      </c>
      <c r="E123" s="2422">
        <f t="shared" si="8"/>
        <v>8600</v>
      </c>
      <c r="F123" s="478" t="s">
        <v>963</v>
      </c>
      <c r="G123" s="498" t="s">
        <v>464</v>
      </c>
      <c r="H123" s="498"/>
      <c r="J123" s="478" t="s">
        <v>1002</v>
      </c>
    </row>
    <row r="124" spans="1:10" s="478" customFormat="1">
      <c r="A124" s="215">
        <v>121</v>
      </c>
      <c r="B124" s="297" t="s">
        <v>1608</v>
      </c>
      <c r="C124" s="2451">
        <v>3</v>
      </c>
      <c r="D124" s="1840">
        <v>6000</v>
      </c>
      <c r="E124" s="2422">
        <f t="shared" si="8"/>
        <v>18000</v>
      </c>
      <c r="F124" s="478" t="s">
        <v>963</v>
      </c>
      <c r="G124" s="498" t="s">
        <v>464</v>
      </c>
      <c r="H124" s="498"/>
      <c r="J124" s="478" t="s">
        <v>1002</v>
      </c>
    </row>
    <row r="125" spans="1:10" s="478" customFormat="1">
      <c r="A125" s="215">
        <v>122</v>
      </c>
      <c r="B125" s="297" t="s">
        <v>1609</v>
      </c>
      <c r="C125" s="2451">
        <v>8</v>
      </c>
      <c r="D125" s="1840">
        <v>2000</v>
      </c>
      <c r="E125" s="2422">
        <f t="shared" si="8"/>
        <v>16000</v>
      </c>
      <c r="F125" s="478" t="s">
        <v>963</v>
      </c>
      <c r="G125" s="498" t="s">
        <v>464</v>
      </c>
      <c r="H125" s="498"/>
      <c r="J125" s="478" t="s">
        <v>1002</v>
      </c>
    </row>
    <row r="126" spans="1:10" s="478" customFormat="1">
      <c r="A126" s="215">
        <v>123</v>
      </c>
      <c r="B126" s="297" t="s">
        <v>1577</v>
      </c>
      <c r="C126" s="2451">
        <v>1</v>
      </c>
      <c r="D126" s="1840">
        <v>500000</v>
      </c>
      <c r="E126" s="2422">
        <f>+C126*D126</f>
        <v>500000</v>
      </c>
      <c r="F126" s="478" t="s">
        <v>422</v>
      </c>
      <c r="G126" s="498" t="s">
        <v>464</v>
      </c>
      <c r="H126" s="498"/>
      <c r="J126" s="478" t="s">
        <v>1002</v>
      </c>
    </row>
    <row r="127" spans="1:10" s="478" customFormat="1">
      <c r="A127" s="215">
        <v>124</v>
      </c>
      <c r="B127" s="478" t="s">
        <v>1745</v>
      </c>
      <c r="C127" s="479">
        <v>1</v>
      </c>
      <c r="D127" s="1537">
        <v>3800000</v>
      </c>
      <c r="E127" s="1537">
        <v>3800000</v>
      </c>
      <c r="F127" s="478" t="s">
        <v>614</v>
      </c>
      <c r="G127" s="498" t="s">
        <v>464</v>
      </c>
      <c r="H127" s="498"/>
      <c r="I127" s="478" t="s">
        <v>2337</v>
      </c>
      <c r="J127" s="478" t="s">
        <v>1905</v>
      </c>
    </row>
    <row r="128" spans="1:10" s="478" customFormat="1">
      <c r="A128" s="215">
        <v>125</v>
      </c>
      <c r="B128" s="478" t="s">
        <v>1746</v>
      </c>
      <c r="C128" s="479">
        <v>1</v>
      </c>
      <c r="D128" s="1537">
        <v>202658</v>
      </c>
      <c r="E128" s="1537">
        <v>202658</v>
      </c>
      <c r="F128" s="478" t="s">
        <v>1872</v>
      </c>
      <c r="G128" s="498" t="s">
        <v>464</v>
      </c>
      <c r="H128" s="498"/>
      <c r="I128" s="478" t="s">
        <v>2338</v>
      </c>
      <c r="J128" s="478" t="s">
        <v>1905</v>
      </c>
    </row>
    <row r="129" spans="1:10" s="478" customFormat="1">
      <c r="A129" s="215">
        <v>126</v>
      </c>
      <c r="B129" s="478" t="s">
        <v>200</v>
      </c>
      <c r="C129" s="479">
        <v>1</v>
      </c>
      <c r="D129" s="1537">
        <v>120000</v>
      </c>
      <c r="E129" s="1537">
        <v>120000</v>
      </c>
      <c r="F129" s="478" t="s">
        <v>1872</v>
      </c>
      <c r="G129" s="498" t="s">
        <v>464</v>
      </c>
      <c r="H129" s="498"/>
      <c r="I129" s="478" t="s">
        <v>2339</v>
      </c>
      <c r="J129" s="478" t="s">
        <v>1905</v>
      </c>
    </row>
    <row r="130" spans="1:10" s="478" customFormat="1">
      <c r="A130" s="215">
        <v>127</v>
      </c>
      <c r="B130" s="478" t="s">
        <v>1750</v>
      </c>
      <c r="C130" s="479">
        <v>2</v>
      </c>
      <c r="D130" s="1537">
        <v>160000</v>
      </c>
      <c r="E130" s="1537">
        <v>320000</v>
      </c>
      <c r="F130" s="478" t="s">
        <v>949</v>
      </c>
      <c r="G130" s="498" t="s">
        <v>464</v>
      </c>
      <c r="H130" s="498"/>
      <c r="I130" s="478" t="s">
        <v>2342</v>
      </c>
      <c r="J130" s="478" t="s">
        <v>1905</v>
      </c>
    </row>
    <row r="131" spans="1:10" s="478" customFormat="1">
      <c r="A131" s="215">
        <v>128</v>
      </c>
      <c r="B131" s="478" t="s">
        <v>1755</v>
      </c>
      <c r="C131" s="479">
        <v>1</v>
      </c>
      <c r="D131" s="1537">
        <v>15000</v>
      </c>
      <c r="E131" s="1537">
        <v>15000</v>
      </c>
      <c r="F131" s="478" t="s">
        <v>853</v>
      </c>
      <c r="G131" s="498" t="s">
        <v>464</v>
      </c>
      <c r="H131" s="498"/>
      <c r="I131" s="478" t="s">
        <v>2347</v>
      </c>
      <c r="J131" s="478" t="s">
        <v>1905</v>
      </c>
    </row>
    <row r="132" spans="1:10" s="478" customFormat="1">
      <c r="A132" s="215">
        <v>129</v>
      </c>
      <c r="B132" s="478" t="s">
        <v>1756</v>
      </c>
      <c r="C132" s="479">
        <v>1</v>
      </c>
      <c r="D132" s="1537">
        <v>30000</v>
      </c>
      <c r="E132" s="1537">
        <v>30000</v>
      </c>
      <c r="F132" s="478" t="s">
        <v>1875</v>
      </c>
      <c r="G132" s="498" t="s">
        <v>464</v>
      </c>
      <c r="H132" s="498"/>
      <c r="I132" s="478" t="s">
        <v>2348</v>
      </c>
      <c r="J132" s="478" t="s">
        <v>1905</v>
      </c>
    </row>
    <row r="133" spans="1:10" s="478" customFormat="1">
      <c r="A133" s="215">
        <v>130</v>
      </c>
      <c r="B133" s="478" t="s">
        <v>1757</v>
      </c>
      <c r="C133" s="479">
        <v>2</v>
      </c>
      <c r="D133" s="1537">
        <v>40000</v>
      </c>
      <c r="E133" s="1537">
        <v>80000</v>
      </c>
      <c r="F133" s="478" t="s">
        <v>472</v>
      </c>
      <c r="G133" s="498" t="s">
        <v>464</v>
      </c>
      <c r="H133" s="498"/>
      <c r="I133" s="478" t="s">
        <v>2349</v>
      </c>
      <c r="J133" s="478" t="s">
        <v>1905</v>
      </c>
    </row>
    <row r="134" spans="1:10" s="478" customFormat="1">
      <c r="A134" s="215">
        <v>131</v>
      </c>
      <c r="B134" s="478" t="s">
        <v>1759</v>
      </c>
      <c r="C134" s="479">
        <v>2</v>
      </c>
      <c r="D134" s="1537">
        <v>260000</v>
      </c>
      <c r="E134" s="1537">
        <v>520000</v>
      </c>
      <c r="F134" s="478" t="s">
        <v>1876</v>
      </c>
      <c r="G134" s="498" t="s">
        <v>464</v>
      </c>
      <c r="H134" s="498"/>
      <c r="I134" s="478" t="s">
        <v>2351</v>
      </c>
      <c r="J134" s="478" t="s">
        <v>1905</v>
      </c>
    </row>
    <row r="135" spans="1:10" s="478" customFormat="1">
      <c r="A135" s="215">
        <v>132</v>
      </c>
      <c r="B135" s="478" t="s">
        <v>1760</v>
      </c>
      <c r="C135" s="479">
        <v>1</v>
      </c>
      <c r="D135" s="1537">
        <v>45000</v>
      </c>
      <c r="E135" s="1537">
        <v>45000</v>
      </c>
      <c r="F135" s="478" t="s">
        <v>1876</v>
      </c>
      <c r="G135" s="498" t="s">
        <v>464</v>
      </c>
      <c r="H135" s="498"/>
      <c r="I135" s="478" t="s">
        <v>2351</v>
      </c>
      <c r="J135" s="478" t="s">
        <v>1905</v>
      </c>
    </row>
    <row r="136" spans="1:10" s="478" customFormat="1">
      <c r="A136" s="215">
        <v>133</v>
      </c>
      <c r="B136" s="478" t="s">
        <v>803</v>
      </c>
      <c r="C136" s="479">
        <v>1</v>
      </c>
      <c r="D136" s="1537">
        <v>305000</v>
      </c>
      <c r="E136" s="1537">
        <v>305000</v>
      </c>
      <c r="F136" s="478" t="s">
        <v>1876</v>
      </c>
      <c r="G136" s="498" t="s">
        <v>464</v>
      </c>
      <c r="H136" s="498"/>
      <c r="I136" s="478" t="s">
        <v>2351</v>
      </c>
      <c r="J136" s="478" t="s">
        <v>1905</v>
      </c>
    </row>
    <row r="137" spans="1:10" s="478" customFormat="1">
      <c r="A137" s="215">
        <v>134</v>
      </c>
      <c r="B137" s="478" t="s">
        <v>1762</v>
      </c>
      <c r="C137" s="479">
        <v>7</v>
      </c>
      <c r="D137" s="1537">
        <v>3638</v>
      </c>
      <c r="E137" s="1537">
        <v>25466</v>
      </c>
      <c r="F137" s="478" t="s">
        <v>888</v>
      </c>
      <c r="G137" s="498" t="s">
        <v>464</v>
      </c>
      <c r="H137" s="498"/>
      <c r="I137" s="478" t="s">
        <v>2352</v>
      </c>
      <c r="J137" s="478" t="s">
        <v>1905</v>
      </c>
    </row>
    <row r="138" spans="1:10" s="478" customFormat="1">
      <c r="A138" s="215">
        <v>135</v>
      </c>
      <c r="B138" s="478" t="s">
        <v>556</v>
      </c>
      <c r="C138" s="479">
        <v>3</v>
      </c>
      <c r="D138" s="1537">
        <v>150000</v>
      </c>
      <c r="E138" s="1537">
        <v>450000</v>
      </c>
      <c r="F138" s="478" t="s">
        <v>948</v>
      </c>
      <c r="G138" s="498" t="s">
        <v>464</v>
      </c>
      <c r="H138" s="498"/>
      <c r="I138" s="478" t="s">
        <v>2353</v>
      </c>
      <c r="J138" s="478" t="s">
        <v>1905</v>
      </c>
    </row>
    <row r="139" spans="1:10" s="478" customFormat="1">
      <c r="A139" s="215">
        <v>136</v>
      </c>
      <c r="B139" s="478" t="s">
        <v>1763</v>
      </c>
      <c r="C139" s="479">
        <v>4</v>
      </c>
      <c r="D139" s="1537">
        <v>39000</v>
      </c>
      <c r="E139" s="1537">
        <v>156000</v>
      </c>
      <c r="F139" s="478" t="s">
        <v>1877</v>
      </c>
      <c r="G139" s="498" t="s">
        <v>464</v>
      </c>
      <c r="H139" s="498"/>
      <c r="I139" s="478" t="s">
        <v>2354</v>
      </c>
      <c r="J139" s="478" t="s">
        <v>1905</v>
      </c>
    </row>
    <row r="140" spans="1:10" s="478" customFormat="1">
      <c r="A140" s="215">
        <v>137</v>
      </c>
      <c r="B140" s="478" t="s">
        <v>1764</v>
      </c>
      <c r="C140" s="479">
        <v>4</v>
      </c>
      <c r="D140" s="1537">
        <v>39000</v>
      </c>
      <c r="E140" s="1537">
        <v>156000</v>
      </c>
      <c r="F140" s="478" t="s">
        <v>1877</v>
      </c>
      <c r="G140" s="498" t="s">
        <v>464</v>
      </c>
      <c r="H140" s="498"/>
      <c r="I140" s="478" t="s">
        <v>2354</v>
      </c>
      <c r="J140" s="478" t="s">
        <v>1905</v>
      </c>
    </row>
    <row r="141" spans="1:10" s="478" customFormat="1">
      <c r="A141" s="215">
        <v>138</v>
      </c>
      <c r="B141" s="478" t="s">
        <v>1765</v>
      </c>
      <c r="C141" s="479">
        <v>7</v>
      </c>
      <c r="D141" s="1537"/>
      <c r="E141" s="1537">
        <v>44000</v>
      </c>
      <c r="F141" s="478" t="s">
        <v>1877</v>
      </c>
      <c r="G141" s="498" t="s">
        <v>464</v>
      </c>
      <c r="H141" s="498"/>
      <c r="I141" s="478" t="s">
        <v>2354</v>
      </c>
      <c r="J141" s="478" t="s">
        <v>1905</v>
      </c>
    </row>
    <row r="142" spans="1:10" s="478" customFormat="1">
      <c r="A142" s="215">
        <v>139</v>
      </c>
      <c r="B142" s="478" t="s">
        <v>1766</v>
      </c>
      <c r="C142" s="479">
        <v>8</v>
      </c>
      <c r="D142" s="1537">
        <v>17500</v>
      </c>
      <c r="E142" s="1537">
        <v>140000</v>
      </c>
      <c r="F142" s="478" t="s">
        <v>1877</v>
      </c>
      <c r="G142" s="498" t="s">
        <v>464</v>
      </c>
      <c r="H142" s="498"/>
      <c r="I142" s="478" t="s">
        <v>2354</v>
      </c>
      <c r="J142" s="478" t="s">
        <v>1905</v>
      </c>
    </row>
    <row r="143" spans="1:10" s="478" customFormat="1">
      <c r="A143" s="215">
        <v>140</v>
      </c>
      <c r="B143" s="478" t="s">
        <v>1767</v>
      </c>
      <c r="C143" s="479">
        <v>11</v>
      </c>
      <c r="D143" s="1537"/>
      <c r="E143" s="1537">
        <v>28700</v>
      </c>
      <c r="F143" s="478" t="s">
        <v>1877</v>
      </c>
      <c r="G143" s="498" t="s">
        <v>464</v>
      </c>
      <c r="H143" s="498"/>
      <c r="I143" s="478" t="s">
        <v>2354</v>
      </c>
      <c r="J143" s="478" t="s">
        <v>1905</v>
      </c>
    </row>
    <row r="144" spans="1:10" s="478" customFormat="1">
      <c r="A144" s="215">
        <v>141</v>
      </c>
      <c r="B144" s="478" t="s">
        <v>1077</v>
      </c>
      <c r="C144" s="479">
        <v>7</v>
      </c>
      <c r="D144" s="1537">
        <v>1000</v>
      </c>
      <c r="E144" s="1537">
        <v>7000</v>
      </c>
      <c r="F144" s="478" t="s">
        <v>1877</v>
      </c>
      <c r="G144" s="498" t="s">
        <v>464</v>
      </c>
      <c r="H144" s="498"/>
      <c r="I144" s="478" t="s">
        <v>2354</v>
      </c>
      <c r="J144" s="478" t="s">
        <v>1905</v>
      </c>
    </row>
    <row r="145" spans="1:10" s="478" customFormat="1">
      <c r="A145" s="215">
        <v>142</v>
      </c>
      <c r="B145" s="478" t="s">
        <v>1768</v>
      </c>
      <c r="C145" s="479">
        <v>4</v>
      </c>
      <c r="D145" s="1537">
        <v>80250</v>
      </c>
      <c r="E145" s="1537">
        <v>321000</v>
      </c>
      <c r="F145" s="478" t="s">
        <v>1877</v>
      </c>
      <c r="G145" s="498" t="s">
        <v>464</v>
      </c>
      <c r="H145" s="498"/>
      <c r="I145" s="478" t="s">
        <v>2355</v>
      </c>
      <c r="J145" s="478" t="s">
        <v>1905</v>
      </c>
    </row>
    <row r="146" spans="1:10" s="478" customFormat="1">
      <c r="A146" s="215">
        <v>143</v>
      </c>
      <c r="B146" s="478" t="s">
        <v>1772</v>
      </c>
      <c r="C146" s="479">
        <v>1</v>
      </c>
      <c r="D146" s="1537">
        <v>750000</v>
      </c>
      <c r="E146" s="1537">
        <v>750000</v>
      </c>
      <c r="F146" s="478" t="s">
        <v>1436</v>
      </c>
      <c r="G146" s="498" t="s">
        <v>464</v>
      </c>
      <c r="H146" s="498"/>
      <c r="I146" s="478" t="s">
        <v>2290</v>
      </c>
      <c r="J146" s="478" t="s">
        <v>1905</v>
      </c>
    </row>
    <row r="147" spans="1:10" s="478" customFormat="1">
      <c r="A147" s="215">
        <v>144</v>
      </c>
      <c r="B147" s="478" t="s">
        <v>1773</v>
      </c>
      <c r="C147" s="479">
        <v>1</v>
      </c>
      <c r="D147" s="1537">
        <v>1500000</v>
      </c>
      <c r="E147" s="1537">
        <v>1500000</v>
      </c>
      <c r="F147" s="478" t="s">
        <v>1436</v>
      </c>
      <c r="G147" s="498" t="s">
        <v>464</v>
      </c>
      <c r="H147" s="498"/>
      <c r="I147" s="478" t="s">
        <v>2291</v>
      </c>
      <c r="J147" s="478" t="s">
        <v>1905</v>
      </c>
    </row>
    <row r="148" spans="1:10" s="478" customFormat="1">
      <c r="A148" s="215">
        <v>145</v>
      </c>
      <c r="B148" s="478" t="s">
        <v>1774</v>
      </c>
      <c r="C148" s="479">
        <v>10</v>
      </c>
      <c r="D148" s="1537">
        <v>180</v>
      </c>
      <c r="E148" s="1537">
        <v>1800</v>
      </c>
      <c r="F148" s="478" t="s">
        <v>650</v>
      </c>
      <c r="G148" s="498" t="s">
        <v>464</v>
      </c>
      <c r="H148" s="498"/>
      <c r="I148" s="478" t="s">
        <v>2358</v>
      </c>
      <c r="J148" s="478" t="s">
        <v>1905</v>
      </c>
    </row>
    <row r="149" spans="1:10" s="478" customFormat="1">
      <c r="A149" s="215">
        <v>146</v>
      </c>
      <c r="B149" s="478" t="s">
        <v>1775</v>
      </c>
      <c r="C149" s="479">
        <v>50</v>
      </c>
      <c r="D149" s="1537">
        <v>180</v>
      </c>
      <c r="E149" s="1537">
        <v>9000</v>
      </c>
      <c r="F149" s="478" t="s">
        <v>650</v>
      </c>
      <c r="G149" s="498" t="s">
        <v>464</v>
      </c>
      <c r="H149" s="498"/>
      <c r="I149" s="478" t="s">
        <v>2358</v>
      </c>
      <c r="J149" s="478" t="s">
        <v>1905</v>
      </c>
    </row>
    <row r="150" spans="1:10" s="478" customFormat="1">
      <c r="A150" s="215">
        <v>147</v>
      </c>
      <c r="B150" s="478" t="s">
        <v>1776</v>
      </c>
      <c r="C150" s="479">
        <v>50</v>
      </c>
      <c r="D150" s="1537">
        <v>180</v>
      </c>
      <c r="E150" s="1537">
        <v>9000</v>
      </c>
      <c r="F150" s="478" t="s">
        <v>650</v>
      </c>
      <c r="G150" s="498" t="s">
        <v>464</v>
      </c>
      <c r="H150" s="498"/>
      <c r="I150" s="478" t="s">
        <v>2358</v>
      </c>
      <c r="J150" s="478" t="s">
        <v>1905</v>
      </c>
    </row>
    <row r="151" spans="1:10" s="478" customFormat="1">
      <c r="A151" s="215">
        <v>148</v>
      </c>
      <c r="B151" s="478" t="s">
        <v>1770</v>
      </c>
      <c r="C151" s="479">
        <v>1</v>
      </c>
      <c r="D151" s="1537">
        <v>243853</v>
      </c>
      <c r="E151" s="1537">
        <v>243853</v>
      </c>
      <c r="F151" s="478" t="s">
        <v>888</v>
      </c>
      <c r="G151" s="498" t="s">
        <v>464</v>
      </c>
      <c r="H151" s="498"/>
      <c r="I151" s="478" t="s">
        <v>2357</v>
      </c>
      <c r="J151" s="478" t="s">
        <v>1905</v>
      </c>
    </row>
    <row r="152" spans="1:10" s="478" customFormat="1">
      <c r="A152" s="215">
        <v>149</v>
      </c>
      <c r="B152" s="478" t="s">
        <v>1777</v>
      </c>
      <c r="C152" s="479">
        <v>1</v>
      </c>
      <c r="D152" s="1537">
        <v>3000000</v>
      </c>
      <c r="E152" s="1537">
        <v>3000000</v>
      </c>
      <c r="F152" s="478" t="s">
        <v>614</v>
      </c>
      <c r="G152" s="498" t="s">
        <v>464</v>
      </c>
      <c r="H152" s="498"/>
      <c r="J152" s="478" t="s">
        <v>1905</v>
      </c>
    </row>
    <row r="153" spans="1:10" s="478" customFormat="1">
      <c r="A153" s="215">
        <v>150</v>
      </c>
      <c r="B153" s="478" t="s">
        <v>1778</v>
      </c>
      <c r="C153" s="479">
        <v>1</v>
      </c>
      <c r="D153" s="1537">
        <v>800000</v>
      </c>
      <c r="E153" s="1537">
        <v>800000</v>
      </c>
      <c r="F153" s="478" t="s">
        <v>614</v>
      </c>
      <c r="G153" s="498" t="s">
        <v>464</v>
      </c>
      <c r="H153" s="498"/>
      <c r="J153" s="478" t="s">
        <v>1905</v>
      </c>
    </row>
    <row r="154" spans="1:10" s="478" customFormat="1">
      <c r="A154" s="215">
        <v>151</v>
      </c>
      <c r="B154" s="478" t="s">
        <v>1779</v>
      </c>
      <c r="C154" s="479">
        <v>1</v>
      </c>
      <c r="D154" s="1537">
        <v>162308.29999999999</v>
      </c>
      <c r="E154" s="1537">
        <v>162308.29999999999</v>
      </c>
      <c r="F154" s="478" t="s">
        <v>614</v>
      </c>
      <c r="G154" s="498" t="s">
        <v>464</v>
      </c>
      <c r="H154" s="498"/>
      <c r="J154" s="478" t="s">
        <v>1905</v>
      </c>
    </row>
    <row r="155" spans="1:10" s="478" customFormat="1">
      <c r="A155" s="215">
        <v>152</v>
      </c>
      <c r="B155" s="478" t="s">
        <v>1780</v>
      </c>
      <c r="C155" s="479">
        <v>1</v>
      </c>
      <c r="D155" s="1537">
        <v>450000</v>
      </c>
      <c r="E155" s="1537">
        <v>450000</v>
      </c>
      <c r="F155" s="478" t="s">
        <v>1879</v>
      </c>
      <c r="G155" s="498" t="s">
        <v>464</v>
      </c>
      <c r="H155" s="498"/>
      <c r="I155" s="478" t="s">
        <v>2359</v>
      </c>
      <c r="J155" s="478" t="s">
        <v>1905</v>
      </c>
    </row>
    <row r="156" spans="1:10" s="478" customFormat="1">
      <c r="A156" s="215">
        <v>153</v>
      </c>
      <c r="B156" s="478" t="s">
        <v>1781</v>
      </c>
      <c r="C156" s="479">
        <v>3</v>
      </c>
      <c r="D156" s="1537">
        <v>25000</v>
      </c>
      <c r="E156" s="1537">
        <v>75000</v>
      </c>
      <c r="F156" s="478" t="s">
        <v>426</v>
      </c>
      <c r="G156" s="498" t="s">
        <v>464</v>
      </c>
      <c r="H156" s="498"/>
      <c r="I156" s="478" t="s">
        <v>2360</v>
      </c>
      <c r="J156" s="478" t="s">
        <v>1905</v>
      </c>
    </row>
    <row r="157" spans="1:10" s="478" customFormat="1">
      <c r="A157" s="215">
        <v>154</v>
      </c>
      <c r="B157" s="478" t="s">
        <v>1783</v>
      </c>
      <c r="C157" s="479">
        <v>54</v>
      </c>
      <c r="D157" s="1537">
        <v>60000</v>
      </c>
      <c r="E157" s="1537">
        <v>3240000</v>
      </c>
      <c r="F157" s="478" t="s">
        <v>888</v>
      </c>
      <c r="G157" s="498" t="s">
        <v>464</v>
      </c>
      <c r="H157" s="498"/>
      <c r="I157" s="478" t="s">
        <v>2362</v>
      </c>
      <c r="J157" s="478" t="s">
        <v>1905</v>
      </c>
    </row>
    <row r="158" spans="1:10" s="478" customFormat="1">
      <c r="A158" s="215">
        <v>155</v>
      </c>
      <c r="B158" s="478" t="s">
        <v>1784</v>
      </c>
      <c r="C158" s="479">
        <v>2</v>
      </c>
      <c r="D158" s="1537">
        <v>14500</v>
      </c>
      <c r="E158" s="1537">
        <v>29000</v>
      </c>
      <c r="F158" s="478" t="s">
        <v>414</v>
      </c>
      <c r="G158" s="498" t="s">
        <v>464</v>
      </c>
      <c r="H158" s="498"/>
      <c r="J158" s="478" t="s">
        <v>1905</v>
      </c>
    </row>
    <row r="159" spans="1:10" s="478" customFormat="1">
      <c r="A159" s="215">
        <v>156</v>
      </c>
      <c r="B159" s="478" t="s">
        <v>1791</v>
      </c>
      <c r="C159" s="479">
        <v>1</v>
      </c>
      <c r="D159" s="1537">
        <v>280000</v>
      </c>
      <c r="E159" s="1537">
        <v>280000</v>
      </c>
      <c r="F159" s="478" t="s">
        <v>422</v>
      </c>
      <c r="G159" s="498" t="s">
        <v>464</v>
      </c>
      <c r="H159" s="498"/>
      <c r="I159" s="478" t="s">
        <v>2370</v>
      </c>
      <c r="J159" s="478" t="s">
        <v>1905</v>
      </c>
    </row>
    <row r="160" spans="1:10" s="478" customFormat="1">
      <c r="A160" s="215">
        <v>157</v>
      </c>
      <c r="B160" s="478" t="s">
        <v>1792</v>
      </c>
      <c r="C160" s="479">
        <v>1</v>
      </c>
      <c r="D160" s="1537">
        <v>150000</v>
      </c>
      <c r="E160" s="1537">
        <v>150000</v>
      </c>
      <c r="F160" s="478" t="s">
        <v>422</v>
      </c>
      <c r="G160" s="498" t="s">
        <v>464</v>
      </c>
      <c r="H160" s="498"/>
      <c r="I160" s="478" t="s">
        <v>2371</v>
      </c>
      <c r="J160" s="478" t="s">
        <v>1905</v>
      </c>
    </row>
    <row r="161" spans="1:10" s="478" customFormat="1">
      <c r="A161" s="215">
        <v>158</v>
      </c>
      <c r="B161" s="478" t="s">
        <v>1794</v>
      </c>
      <c r="C161" s="479">
        <v>1</v>
      </c>
      <c r="D161" s="1537">
        <v>149120.98000000001</v>
      </c>
      <c r="E161" s="1537">
        <v>149120.98000000001</v>
      </c>
      <c r="F161" s="478" t="s">
        <v>1436</v>
      </c>
      <c r="G161" s="498" t="s">
        <v>464</v>
      </c>
      <c r="H161" s="498"/>
      <c r="I161" s="478" t="s">
        <v>2373</v>
      </c>
      <c r="J161" s="478" t="s">
        <v>1905</v>
      </c>
    </row>
    <row r="162" spans="1:10" s="478" customFormat="1">
      <c r="A162" s="215">
        <v>159</v>
      </c>
      <c r="B162" s="478" t="s">
        <v>2468</v>
      </c>
      <c r="C162" s="479">
        <v>7</v>
      </c>
      <c r="D162" s="1537">
        <v>40000</v>
      </c>
      <c r="E162" s="1537">
        <v>280000</v>
      </c>
      <c r="F162" s="478" t="s">
        <v>418</v>
      </c>
      <c r="G162" s="498" t="s">
        <v>464</v>
      </c>
      <c r="H162" s="498"/>
      <c r="I162" s="478" t="s">
        <v>2377</v>
      </c>
      <c r="J162" s="478" t="s">
        <v>1905</v>
      </c>
    </row>
    <row r="163" spans="1:10" s="478" customFormat="1">
      <c r="A163" s="215">
        <v>160</v>
      </c>
      <c r="B163" s="478" t="s">
        <v>479</v>
      </c>
      <c r="C163" s="479">
        <v>7</v>
      </c>
      <c r="D163" s="1537">
        <v>2619</v>
      </c>
      <c r="E163" s="1537">
        <v>18333</v>
      </c>
      <c r="F163" s="478" t="s">
        <v>418</v>
      </c>
      <c r="G163" s="498" t="s">
        <v>464</v>
      </c>
      <c r="H163" s="498"/>
      <c r="I163" s="478" t="s">
        <v>2378</v>
      </c>
      <c r="J163" s="478" t="s">
        <v>1905</v>
      </c>
    </row>
    <row r="164" spans="1:10" s="478" customFormat="1">
      <c r="A164" s="215">
        <v>161</v>
      </c>
      <c r="B164" s="478" t="s">
        <v>1804</v>
      </c>
      <c r="C164" s="479">
        <v>1</v>
      </c>
      <c r="D164" s="1537">
        <v>60000</v>
      </c>
      <c r="E164" s="1537">
        <v>60000</v>
      </c>
      <c r="F164" s="478" t="s">
        <v>856</v>
      </c>
      <c r="G164" s="498" t="s">
        <v>464</v>
      </c>
      <c r="H164" s="498"/>
      <c r="I164" s="478" t="s">
        <v>2384</v>
      </c>
      <c r="J164" s="478" t="s">
        <v>1905</v>
      </c>
    </row>
    <row r="165" spans="1:10" s="478" customFormat="1">
      <c r="A165" s="215">
        <v>162</v>
      </c>
      <c r="B165" s="478" t="s">
        <v>1808</v>
      </c>
      <c r="C165" s="479">
        <v>1</v>
      </c>
      <c r="D165" s="1537">
        <v>3910850</v>
      </c>
      <c r="E165" s="1537">
        <v>3910850</v>
      </c>
      <c r="F165" s="478" t="s">
        <v>1885</v>
      </c>
      <c r="G165" s="498" t="s">
        <v>464</v>
      </c>
      <c r="H165" s="498"/>
      <c r="I165" s="478" t="s">
        <v>2388</v>
      </c>
      <c r="J165" s="478" t="s">
        <v>1905</v>
      </c>
    </row>
    <row r="166" spans="1:10" s="478" customFormat="1">
      <c r="A166" s="215">
        <v>163</v>
      </c>
      <c r="B166" s="478" t="s">
        <v>2484</v>
      </c>
      <c r="C166" s="479">
        <v>1</v>
      </c>
      <c r="D166" s="1537">
        <v>60000</v>
      </c>
      <c r="E166" s="1537">
        <v>60000</v>
      </c>
      <c r="F166" s="478" t="s">
        <v>956</v>
      </c>
      <c r="G166" s="498" t="s">
        <v>464</v>
      </c>
      <c r="H166" s="498"/>
      <c r="I166" s="478" t="s">
        <v>2406</v>
      </c>
      <c r="J166" s="478" t="s">
        <v>1905</v>
      </c>
    </row>
    <row r="167" spans="1:10" s="478" customFormat="1">
      <c r="A167" s="215">
        <v>164</v>
      </c>
      <c r="B167" s="478" t="s">
        <v>1834</v>
      </c>
      <c r="C167" s="479">
        <v>1</v>
      </c>
      <c r="D167" s="1537">
        <v>250000</v>
      </c>
      <c r="E167" s="1537">
        <v>250000</v>
      </c>
      <c r="F167" s="478" t="s">
        <v>1436</v>
      </c>
      <c r="G167" s="498" t="s">
        <v>464</v>
      </c>
      <c r="H167" s="498"/>
      <c r="I167" s="478" t="s">
        <v>2407</v>
      </c>
      <c r="J167" s="478" t="s">
        <v>1905</v>
      </c>
    </row>
    <row r="168" spans="1:10" s="478" customFormat="1">
      <c r="A168" s="215">
        <v>165</v>
      </c>
      <c r="B168" s="478" t="s">
        <v>1839</v>
      </c>
      <c r="C168" s="479">
        <v>1</v>
      </c>
      <c r="D168" s="1537">
        <v>38500</v>
      </c>
      <c r="E168" s="1537">
        <v>38500</v>
      </c>
      <c r="F168" s="478" t="s">
        <v>1894</v>
      </c>
      <c r="G168" s="498" t="s">
        <v>464</v>
      </c>
      <c r="H168" s="498"/>
      <c r="J168" s="478" t="s">
        <v>1905</v>
      </c>
    </row>
    <row r="169" spans="1:10" s="478" customFormat="1">
      <c r="A169" s="215">
        <v>166</v>
      </c>
      <c r="B169" s="478" t="s">
        <v>2469</v>
      </c>
      <c r="C169" s="479">
        <v>1</v>
      </c>
      <c r="D169" s="1537">
        <v>21485</v>
      </c>
      <c r="E169" s="1537">
        <v>21485</v>
      </c>
      <c r="F169" s="478" t="s">
        <v>1894</v>
      </c>
      <c r="G169" s="498" t="s">
        <v>464</v>
      </c>
      <c r="H169" s="498"/>
      <c r="J169" s="478" t="s">
        <v>1905</v>
      </c>
    </row>
    <row r="170" spans="1:10" s="478" customFormat="1">
      <c r="A170" s="215">
        <v>167</v>
      </c>
      <c r="B170" s="478" t="s">
        <v>1841</v>
      </c>
      <c r="C170" s="479">
        <v>1</v>
      </c>
      <c r="D170" s="1537">
        <v>193616.5</v>
      </c>
      <c r="E170" s="1537">
        <v>193616.5</v>
      </c>
      <c r="F170" s="478" t="s">
        <v>1895</v>
      </c>
      <c r="G170" s="498" t="s">
        <v>464</v>
      </c>
      <c r="H170" s="498"/>
      <c r="I170" s="478" t="s">
        <v>2413</v>
      </c>
      <c r="J170" s="478" t="s">
        <v>1905</v>
      </c>
    </row>
    <row r="171" spans="1:10" s="478" customFormat="1">
      <c r="A171" s="215">
        <v>168</v>
      </c>
      <c r="B171" s="478" t="s">
        <v>1843</v>
      </c>
      <c r="C171" s="479">
        <v>1</v>
      </c>
      <c r="D171" s="1537">
        <v>14500</v>
      </c>
      <c r="E171" s="1537">
        <v>14500</v>
      </c>
      <c r="F171" s="478" t="s">
        <v>414</v>
      </c>
      <c r="G171" s="498" t="s">
        <v>464</v>
      </c>
      <c r="H171" s="498"/>
      <c r="I171" s="478" t="s">
        <v>2416</v>
      </c>
      <c r="J171" s="478" t="s">
        <v>1905</v>
      </c>
    </row>
    <row r="172" spans="1:10" s="478" customFormat="1">
      <c r="A172" s="215">
        <v>169</v>
      </c>
      <c r="B172" s="478" t="s">
        <v>1846</v>
      </c>
      <c r="C172" s="479">
        <v>4</v>
      </c>
      <c r="D172" s="1537">
        <v>1200000</v>
      </c>
      <c r="E172" s="1537">
        <v>4800000</v>
      </c>
      <c r="F172" s="478" t="s">
        <v>1899</v>
      </c>
      <c r="G172" s="498" t="s">
        <v>464</v>
      </c>
      <c r="H172" s="498"/>
      <c r="I172" s="478" t="s">
        <v>2419</v>
      </c>
      <c r="J172" s="478" t="s">
        <v>1905</v>
      </c>
    </row>
    <row r="173" spans="1:10" s="478" customFormat="1">
      <c r="A173" s="215">
        <v>170</v>
      </c>
      <c r="B173" s="478" t="s">
        <v>1847</v>
      </c>
      <c r="C173" s="479">
        <v>4</v>
      </c>
      <c r="D173" s="1537">
        <v>150000</v>
      </c>
      <c r="E173" s="1537">
        <v>600000</v>
      </c>
      <c r="F173" s="478" t="s">
        <v>1899</v>
      </c>
      <c r="G173" s="498" t="s">
        <v>464</v>
      </c>
      <c r="H173" s="498"/>
      <c r="I173" s="478" t="s">
        <v>2420</v>
      </c>
      <c r="J173" s="478" t="s">
        <v>1905</v>
      </c>
    </row>
    <row r="174" spans="1:10" s="478" customFormat="1">
      <c r="A174" s="215">
        <v>171</v>
      </c>
      <c r="B174" s="478" t="s">
        <v>1848</v>
      </c>
      <c r="C174" s="479">
        <v>1</v>
      </c>
      <c r="D174" s="1537">
        <v>11500</v>
      </c>
      <c r="E174" s="1537">
        <v>11500</v>
      </c>
      <c r="F174" s="478" t="s">
        <v>948</v>
      </c>
      <c r="G174" s="498" t="s">
        <v>464</v>
      </c>
      <c r="H174" s="498"/>
      <c r="I174" s="478" t="s">
        <v>2421</v>
      </c>
      <c r="J174" s="478" t="s">
        <v>1905</v>
      </c>
    </row>
    <row r="175" spans="1:10" s="216" customFormat="1" ht="42">
      <c r="A175" s="215">
        <v>172</v>
      </c>
      <c r="B175" s="260" t="s">
        <v>2485</v>
      </c>
      <c r="C175" s="215">
        <v>1</v>
      </c>
      <c r="D175" s="1538">
        <v>1200000</v>
      </c>
      <c r="E175" s="1538">
        <v>1200000</v>
      </c>
      <c r="F175" s="216" t="s">
        <v>888</v>
      </c>
      <c r="G175" s="498" t="s">
        <v>464</v>
      </c>
      <c r="H175" s="498"/>
      <c r="I175" s="216" t="s">
        <v>2422</v>
      </c>
      <c r="J175" s="216" t="s">
        <v>1905</v>
      </c>
    </row>
    <row r="176" spans="1:10" s="478" customFormat="1">
      <c r="A176" s="215">
        <v>173</v>
      </c>
      <c r="B176" s="478" t="s">
        <v>1854</v>
      </c>
      <c r="C176" s="479">
        <v>1</v>
      </c>
      <c r="D176" s="1537">
        <v>15000</v>
      </c>
      <c r="E176" s="1537">
        <v>15000</v>
      </c>
      <c r="F176" s="478" t="s">
        <v>743</v>
      </c>
      <c r="G176" s="498" t="s">
        <v>464</v>
      </c>
      <c r="H176" s="498"/>
      <c r="I176" s="478" t="s">
        <v>2428</v>
      </c>
      <c r="J176" s="478" t="s">
        <v>1905</v>
      </c>
    </row>
    <row r="177" spans="1:10" s="478" customFormat="1">
      <c r="A177" s="215">
        <v>174</v>
      </c>
      <c r="B177" s="478" t="s">
        <v>842</v>
      </c>
      <c r="C177" s="479">
        <v>2</v>
      </c>
      <c r="D177" s="1537">
        <v>180000</v>
      </c>
      <c r="E177" s="1537">
        <v>360000</v>
      </c>
      <c r="F177" s="478" t="s">
        <v>736</v>
      </c>
      <c r="G177" s="498" t="s">
        <v>464</v>
      </c>
      <c r="H177" s="498"/>
      <c r="I177" s="478" t="s">
        <v>2425</v>
      </c>
      <c r="J177" s="478" t="s">
        <v>1905</v>
      </c>
    </row>
    <row r="178" spans="1:10" s="216" customFormat="1" ht="42">
      <c r="A178" s="215">
        <v>175</v>
      </c>
      <c r="B178" s="260" t="s">
        <v>2485</v>
      </c>
      <c r="C178" s="215">
        <v>1</v>
      </c>
      <c r="D178" s="1538">
        <v>1200000</v>
      </c>
      <c r="E178" s="1538">
        <v>1200000</v>
      </c>
      <c r="F178" s="216" t="s">
        <v>948</v>
      </c>
      <c r="G178" s="498" t="s">
        <v>464</v>
      </c>
      <c r="H178" s="498"/>
      <c r="I178" s="216" t="s">
        <v>2433</v>
      </c>
      <c r="J178" s="216" t="s">
        <v>1905</v>
      </c>
    </row>
    <row r="179" spans="1:10" s="478" customFormat="1">
      <c r="A179" s="215">
        <v>176</v>
      </c>
      <c r="B179" s="478" t="s">
        <v>842</v>
      </c>
      <c r="C179" s="479">
        <v>1</v>
      </c>
      <c r="D179" s="1537">
        <v>180000</v>
      </c>
      <c r="E179" s="1537">
        <v>180000</v>
      </c>
      <c r="F179" s="478" t="s">
        <v>1902</v>
      </c>
      <c r="G179" s="498" t="s">
        <v>464</v>
      </c>
      <c r="H179" s="498"/>
      <c r="I179" s="478" t="s">
        <v>2434</v>
      </c>
      <c r="J179" s="478" t="s">
        <v>1905</v>
      </c>
    </row>
    <row r="180" spans="1:10" s="478" customFormat="1">
      <c r="A180" s="215">
        <v>177</v>
      </c>
      <c r="B180" s="478" t="s">
        <v>1861</v>
      </c>
      <c r="C180" s="479">
        <v>1</v>
      </c>
      <c r="D180" s="1537">
        <v>40000</v>
      </c>
      <c r="E180" s="1537">
        <v>40000</v>
      </c>
      <c r="F180" s="478" t="s">
        <v>1903</v>
      </c>
      <c r="G180" s="498" t="s">
        <v>464</v>
      </c>
      <c r="H180" s="498"/>
      <c r="I180" s="478" t="s">
        <v>2437</v>
      </c>
      <c r="J180" s="478" t="s">
        <v>1905</v>
      </c>
    </row>
    <row r="181" spans="1:10" s="478" customFormat="1">
      <c r="A181" s="215">
        <v>178</v>
      </c>
      <c r="B181" s="478" t="s">
        <v>1862</v>
      </c>
      <c r="C181" s="479">
        <v>2</v>
      </c>
      <c r="D181" s="1537">
        <v>2000</v>
      </c>
      <c r="E181" s="1537">
        <v>4000</v>
      </c>
      <c r="F181" s="478" t="s">
        <v>1904</v>
      </c>
      <c r="G181" s="498" t="s">
        <v>464</v>
      </c>
      <c r="H181" s="498"/>
      <c r="I181" s="478" t="s">
        <v>2438</v>
      </c>
      <c r="J181" s="478" t="s">
        <v>1905</v>
      </c>
    </row>
    <row r="182" spans="1:10" s="478" customFormat="1">
      <c r="A182" s="215">
        <v>179</v>
      </c>
      <c r="B182" s="478" t="s">
        <v>1863</v>
      </c>
      <c r="C182" s="479">
        <v>5</v>
      </c>
      <c r="D182" s="1537">
        <v>21000</v>
      </c>
      <c r="E182" s="1537">
        <v>105000</v>
      </c>
      <c r="F182" s="478" t="s">
        <v>1904</v>
      </c>
      <c r="G182" s="498" t="s">
        <v>464</v>
      </c>
      <c r="H182" s="498"/>
      <c r="I182" s="478" t="s">
        <v>2438</v>
      </c>
      <c r="J182" s="478" t="s">
        <v>1905</v>
      </c>
    </row>
    <row r="183" spans="1:10" s="478" customFormat="1">
      <c r="A183" s="215">
        <v>180</v>
      </c>
      <c r="B183" s="478" t="s">
        <v>1864</v>
      </c>
      <c r="C183" s="479">
        <v>4</v>
      </c>
      <c r="D183" s="1537">
        <v>12000</v>
      </c>
      <c r="E183" s="1537">
        <v>48000</v>
      </c>
      <c r="F183" s="478" t="s">
        <v>1904</v>
      </c>
      <c r="G183" s="498" t="s">
        <v>464</v>
      </c>
      <c r="H183" s="498"/>
      <c r="I183" s="478" t="s">
        <v>2438</v>
      </c>
      <c r="J183" s="478" t="s">
        <v>1905</v>
      </c>
    </row>
    <row r="184" spans="1:10" s="478" customFormat="1">
      <c r="A184" s="215">
        <v>181</v>
      </c>
      <c r="B184" s="478" t="s">
        <v>1865</v>
      </c>
      <c r="C184" s="479">
        <v>2</v>
      </c>
      <c r="D184" s="1537">
        <v>35000</v>
      </c>
      <c r="E184" s="1537">
        <v>70000</v>
      </c>
      <c r="F184" s="478" t="s">
        <v>1904</v>
      </c>
      <c r="G184" s="498" t="s">
        <v>464</v>
      </c>
      <c r="H184" s="498"/>
      <c r="I184" s="478" t="s">
        <v>2438</v>
      </c>
      <c r="J184" s="478" t="s">
        <v>1905</v>
      </c>
    </row>
    <row r="185" spans="1:10" s="478" customFormat="1">
      <c r="A185" s="215">
        <v>182</v>
      </c>
      <c r="B185" s="478" t="s">
        <v>1866</v>
      </c>
      <c r="C185" s="479">
        <v>2</v>
      </c>
      <c r="D185" s="1537">
        <v>50000</v>
      </c>
      <c r="E185" s="1537">
        <v>100000</v>
      </c>
      <c r="F185" s="478" t="s">
        <v>1904</v>
      </c>
      <c r="G185" s="498" t="s">
        <v>464</v>
      </c>
      <c r="H185" s="498"/>
      <c r="I185" s="478" t="s">
        <v>2438</v>
      </c>
      <c r="J185" s="478" t="s">
        <v>1905</v>
      </c>
    </row>
    <row r="186" spans="1:10" s="478" customFormat="1">
      <c r="A186" s="215">
        <v>183</v>
      </c>
      <c r="B186" s="478" t="s">
        <v>1867</v>
      </c>
      <c r="C186" s="479">
        <v>1</v>
      </c>
      <c r="D186" s="1537">
        <v>50000</v>
      </c>
      <c r="E186" s="1537">
        <v>50000</v>
      </c>
      <c r="F186" s="478" t="s">
        <v>1904</v>
      </c>
      <c r="G186" s="498" t="s">
        <v>464</v>
      </c>
      <c r="H186" s="498"/>
      <c r="I186" s="478" t="s">
        <v>2438</v>
      </c>
      <c r="J186" s="478" t="s">
        <v>1905</v>
      </c>
    </row>
    <row r="187" spans="1:10" s="478" customFormat="1">
      <c r="A187" s="215">
        <v>184</v>
      </c>
      <c r="B187" s="478" t="s">
        <v>1868</v>
      </c>
      <c r="C187" s="479">
        <v>1</v>
      </c>
      <c r="D187" s="1537">
        <v>65000</v>
      </c>
      <c r="E187" s="1537">
        <v>65000</v>
      </c>
      <c r="F187" s="478" t="s">
        <v>1904</v>
      </c>
      <c r="G187" s="498" t="s">
        <v>464</v>
      </c>
      <c r="H187" s="498"/>
      <c r="I187" s="478" t="s">
        <v>2438</v>
      </c>
      <c r="J187" s="478" t="s">
        <v>1905</v>
      </c>
    </row>
    <row r="188" spans="1:10" s="478" customFormat="1">
      <c r="A188" s="215">
        <v>185</v>
      </c>
      <c r="B188" s="478" t="s">
        <v>1869</v>
      </c>
      <c r="C188" s="479">
        <v>1</v>
      </c>
      <c r="D188" s="1537">
        <v>4000</v>
      </c>
      <c r="E188" s="1537">
        <v>4000</v>
      </c>
      <c r="F188" s="478" t="s">
        <v>1904</v>
      </c>
      <c r="G188" s="498" t="s">
        <v>464</v>
      </c>
      <c r="H188" s="498"/>
      <c r="I188" s="478" t="s">
        <v>2438</v>
      </c>
      <c r="J188" s="478" t="s">
        <v>1905</v>
      </c>
    </row>
    <row r="189" spans="1:10" s="478" customFormat="1">
      <c r="A189" s="215">
        <v>186</v>
      </c>
      <c r="B189" s="478" t="s">
        <v>1073</v>
      </c>
      <c r="C189" s="479">
        <v>1</v>
      </c>
      <c r="D189" s="1537">
        <v>10000</v>
      </c>
      <c r="E189" s="1537">
        <v>10000</v>
      </c>
      <c r="F189" s="478" t="s">
        <v>1904</v>
      </c>
      <c r="G189" s="498" t="s">
        <v>464</v>
      </c>
      <c r="H189" s="498"/>
      <c r="I189" s="478" t="s">
        <v>2438</v>
      </c>
      <c r="J189" s="478" t="s">
        <v>1905</v>
      </c>
    </row>
    <row r="190" spans="1:10" s="478" customFormat="1">
      <c r="A190" s="215">
        <v>187</v>
      </c>
      <c r="B190" s="478" t="s">
        <v>2001</v>
      </c>
      <c r="C190" s="479">
        <v>1</v>
      </c>
      <c r="D190" s="1537">
        <v>40000</v>
      </c>
      <c r="E190" s="1537">
        <f>C190*D190</f>
        <v>40000</v>
      </c>
      <c r="F190" s="478" t="s">
        <v>956</v>
      </c>
      <c r="G190" s="498" t="s">
        <v>464</v>
      </c>
      <c r="H190" s="498"/>
      <c r="I190" s="478" t="s">
        <v>2459</v>
      </c>
      <c r="J190" s="478" t="s">
        <v>1905</v>
      </c>
    </row>
    <row r="191" spans="1:10" s="478" customFormat="1">
      <c r="A191" s="215">
        <v>188</v>
      </c>
      <c r="B191" s="478" t="s">
        <v>2002</v>
      </c>
      <c r="C191" s="479">
        <v>1</v>
      </c>
      <c r="D191" s="1537">
        <v>300000</v>
      </c>
      <c r="E191" s="1537">
        <f>C191*D191</f>
        <v>300000</v>
      </c>
      <c r="F191" s="478" t="s">
        <v>2007</v>
      </c>
      <c r="G191" s="498" t="s">
        <v>464</v>
      </c>
      <c r="H191" s="498"/>
      <c r="I191" s="478" t="s">
        <v>2460</v>
      </c>
      <c r="J191" s="478" t="s">
        <v>1905</v>
      </c>
    </row>
    <row r="192" spans="1:10" s="478" customFormat="1">
      <c r="A192" s="215">
        <v>189</v>
      </c>
      <c r="B192" s="478" t="s">
        <v>2003</v>
      </c>
      <c r="C192" s="479">
        <v>1</v>
      </c>
      <c r="D192" s="1537">
        <v>25000</v>
      </c>
      <c r="E192" s="1537">
        <f>C192*D192</f>
        <v>25000</v>
      </c>
      <c r="F192" s="478" t="s">
        <v>2007</v>
      </c>
      <c r="G192" s="498" t="s">
        <v>464</v>
      </c>
      <c r="H192" s="498"/>
      <c r="I192" s="478" t="s">
        <v>2462</v>
      </c>
      <c r="J192" s="478" t="s">
        <v>1905</v>
      </c>
    </row>
    <row r="193" spans="1:10" s="478" customFormat="1">
      <c r="A193" s="215">
        <v>190</v>
      </c>
      <c r="B193" s="478" t="s">
        <v>2042</v>
      </c>
      <c r="C193" s="479">
        <v>1</v>
      </c>
      <c r="D193" s="1537">
        <v>36500</v>
      </c>
      <c r="E193" s="1537">
        <f>+C193*D193</f>
        <v>36500</v>
      </c>
      <c r="F193" s="478" t="s">
        <v>451</v>
      </c>
      <c r="G193" s="498" t="s">
        <v>464</v>
      </c>
      <c r="H193" s="498"/>
      <c r="I193" s="478" t="s">
        <v>2155</v>
      </c>
      <c r="J193" s="478" t="s">
        <v>490</v>
      </c>
    </row>
    <row r="194" spans="1:10" s="478" customFormat="1">
      <c r="A194" s="215">
        <v>191</v>
      </c>
      <c r="B194" s="478" t="s">
        <v>2055</v>
      </c>
      <c r="C194" s="479">
        <v>1</v>
      </c>
      <c r="D194" s="1537">
        <v>440000</v>
      </c>
      <c r="E194" s="2452">
        <f>+C194*D194</f>
        <v>440000</v>
      </c>
      <c r="F194" s="478" t="s">
        <v>414</v>
      </c>
      <c r="G194" s="498" t="s">
        <v>464</v>
      </c>
      <c r="H194" s="498"/>
      <c r="I194" s="478" t="s">
        <v>2169</v>
      </c>
      <c r="J194" s="478" t="s">
        <v>490</v>
      </c>
    </row>
    <row r="195" spans="1:10" s="478" customFormat="1">
      <c r="A195" s="215">
        <v>192</v>
      </c>
      <c r="B195" s="478" t="s">
        <v>2056</v>
      </c>
      <c r="C195" s="479">
        <v>2</v>
      </c>
      <c r="D195" s="1537">
        <v>15000</v>
      </c>
      <c r="E195" s="1537">
        <f>+C195*D195</f>
        <v>30000</v>
      </c>
      <c r="F195" s="478" t="s">
        <v>2299</v>
      </c>
      <c r="G195" s="498" t="s">
        <v>464</v>
      </c>
      <c r="H195" s="498"/>
      <c r="I195" s="478" t="s">
        <v>2170</v>
      </c>
      <c r="J195" s="478" t="s">
        <v>490</v>
      </c>
    </row>
    <row r="196" spans="1:10" s="478" customFormat="1">
      <c r="A196" s="215">
        <v>193</v>
      </c>
      <c r="B196" s="2453" t="s">
        <v>2053</v>
      </c>
      <c r="C196" s="306">
        <v>1</v>
      </c>
      <c r="D196" s="1536">
        <v>2000000</v>
      </c>
      <c r="E196" s="1536">
        <f>+C196*D196</f>
        <v>2000000</v>
      </c>
      <c r="F196" s="478" t="s">
        <v>1436</v>
      </c>
      <c r="G196" s="498" t="s">
        <v>464</v>
      </c>
      <c r="H196" s="498"/>
      <c r="I196" s="2453" t="s">
        <v>2167</v>
      </c>
      <c r="J196" s="478" t="s">
        <v>490</v>
      </c>
    </row>
    <row r="197" spans="1:10" s="478" customFormat="1">
      <c r="A197" s="215">
        <v>194</v>
      </c>
      <c r="B197" s="478" t="s">
        <v>2474</v>
      </c>
      <c r="C197" s="479">
        <v>10</v>
      </c>
      <c r="D197" s="1537">
        <v>50000</v>
      </c>
      <c r="E197" s="1537">
        <f t="shared" ref="E197:E224" si="9">C197*D197</f>
        <v>500000</v>
      </c>
      <c r="F197" s="478" t="s">
        <v>2304</v>
      </c>
      <c r="G197" s="498" t="s">
        <v>464</v>
      </c>
      <c r="H197" s="498"/>
      <c r="I197" s="478" t="s">
        <v>2181</v>
      </c>
      <c r="J197" s="478" t="s">
        <v>490</v>
      </c>
    </row>
    <row r="198" spans="1:10" s="478" customFormat="1">
      <c r="A198" s="215">
        <v>195</v>
      </c>
      <c r="B198" s="478" t="s">
        <v>2066</v>
      </c>
      <c r="C198" s="479">
        <v>1</v>
      </c>
      <c r="D198" s="1537">
        <v>7500</v>
      </c>
      <c r="E198" s="1537">
        <f t="shared" si="9"/>
        <v>7500</v>
      </c>
      <c r="F198" s="478" t="s">
        <v>2306</v>
      </c>
      <c r="G198" s="498" t="s">
        <v>464</v>
      </c>
      <c r="H198" s="498"/>
      <c r="I198" s="478" t="s">
        <v>2184</v>
      </c>
      <c r="J198" s="478" t="s">
        <v>490</v>
      </c>
    </row>
    <row r="199" spans="1:10" s="478" customFormat="1">
      <c r="A199" s="215">
        <v>196</v>
      </c>
      <c r="B199" s="478" t="s">
        <v>2068</v>
      </c>
      <c r="C199" s="479">
        <v>3</v>
      </c>
      <c r="D199" s="1537">
        <v>6000</v>
      </c>
      <c r="E199" s="1537">
        <f t="shared" si="9"/>
        <v>18000</v>
      </c>
      <c r="F199" s="216" t="s">
        <v>721</v>
      </c>
      <c r="G199" s="498" t="s">
        <v>464</v>
      </c>
      <c r="H199" s="498"/>
      <c r="I199" s="478" t="s">
        <v>2186</v>
      </c>
      <c r="J199" s="478" t="s">
        <v>490</v>
      </c>
    </row>
    <row r="200" spans="1:10" s="478" customFormat="1">
      <c r="A200" s="215">
        <v>197</v>
      </c>
      <c r="B200" s="478" t="s">
        <v>2071</v>
      </c>
      <c r="C200" s="479">
        <v>2</v>
      </c>
      <c r="D200" s="1537">
        <v>35000</v>
      </c>
      <c r="E200" s="1537">
        <f t="shared" si="9"/>
        <v>70000</v>
      </c>
      <c r="F200" s="478" t="s">
        <v>736</v>
      </c>
      <c r="G200" s="498" t="s">
        <v>464</v>
      </c>
      <c r="H200" s="498"/>
      <c r="I200" s="478" t="s">
        <v>2189</v>
      </c>
      <c r="J200" s="478" t="s">
        <v>490</v>
      </c>
    </row>
    <row r="201" spans="1:10" s="478" customFormat="1">
      <c r="A201" s="215">
        <v>198</v>
      </c>
      <c r="B201" s="478" t="s">
        <v>2073</v>
      </c>
      <c r="C201" s="479">
        <v>4</v>
      </c>
      <c r="D201" s="1537">
        <v>65000</v>
      </c>
      <c r="E201" s="1537">
        <f t="shared" si="9"/>
        <v>260000</v>
      </c>
      <c r="F201" s="478" t="s">
        <v>418</v>
      </c>
      <c r="G201" s="498" t="s">
        <v>464</v>
      </c>
      <c r="H201" s="498"/>
      <c r="I201" s="478" t="s">
        <v>2191</v>
      </c>
      <c r="J201" s="478" t="s">
        <v>490</v>
      </c>
    </row>
    <row r="202" spans="1:10" s="478" customFormat="1">
      <c r="A202" s="215">
        <v>199</v>
      </c>
      <c r="B202" s="478" t="s">
        <v>1039</v>
      </c>
      <c r="C202" s="479">
        <v>1</v>
      </c>
      <c r="D202" s="1537">
        <v>300000</v>
      </c>
      <c r="E202" s="1537">
        <f t="shared" si="9"/>
        <v>300000</v>
      </c>
      <c r="F202" s="478" t="s">
        <v>418</v>
      </c>
      <c r="G202" s="498" t="s">
        <v>464</v>
      </c>
      <c r="H202" s="498"/>
      <c r="I202" s="478" t="s">
        <v>2194</v>
      </c>
      <c r="J202" s="478" t="s">
        <v>490</v>
      </c>
    </row>
    <row r="203" spans="1:10" s="478" customFormat="1">
      <c r="A203" s="215">
        <v>200</v>
      </c>
      <c r="B203" s="478" t="s">
        <v>2079</v>
      </c>
      <c r="C203" s="479">
        <v>1</v>
      </c>
      <c r="D203" s="1537">
        <v>15000</v>
      </c>
      <c r="E203" s="1537">
        <f t="shared" si="9"/>
        <v>15000</v>
      </c>
      <c r="F203" s="478" t="s">
        <v>1345</v>
      </c>
      <c r="G203" s="498" t="s">
        <v>464</v>
      </c>
      <c r="H203" s="498"/>
      <c r="I203" s="478" t="s">
        <v>2197</v>
      </c>
      <c r="J203" s="478" t="s">
        <v>490</v>
      </c>
    </row>
    <row r="204" spans="1:10" s="478" customFormat="1">
      <c r="A204" s="215">
        <v>201</v>
      </c>
      <c r="B204" s="478" t="s">
        <v>2086</v>
      </c>
      <c r="C204" s="479">
        <v>4</v>
      </c>
      <c r="D204" s="1537">
        <v>125000</v>
      </c>
      <c r="E204" s="1537">
        <f t="shared" si="9"/>
        <v>500000</v>
      </c>
      <c r="F204" s="478" t="s">
        <v>888</v>
      </c>
      <c r="G204" s="498" t="s">
        <v>464</v>
      </c>
      <c r="H204" s="498"/>
      <c r="I204" s="478" t="s">
        <v>2209</v>
      </c>
      <c r="J204" s="478" t="s">
        <v>490</v>
      </c>
    </row>
    <row r="205" spans="1:10" s="478" customFormat="1">
      <c r="A205" s="215">
        <v>202</v>
      </c>
      <c r="B205" s="478" t="s">
        <v>2079</v>
      </c>
      <c r="C205" s="479">
        <v>4</v>
      </c>
      <c r="D205" s="1537">
        <v>15000</v>
      </c>
      <c r="E205" s="1537">
        <f t="shared" si="9"/>
        <v>60000</v>
      </c>
      <c r="F205" s="478" t="s">
        <v>888</v>
      </c>
      <c r="G205" s="498" t="s">
        <v>464</v>
      </c>
      <c r="H205" s="498"/>
      <c r="I205" s="478" t="s">
        <v>2210</v>
      </c>
      <c r="J205" s="478" t="s">
        <v>490</v>
      </c>
    </row>
    <row r="206" spans="1:10" s="478" customFormat="1">
      <c r="A206" s="215">
        <v>203</v>
      </c>
      <c r="B206" s="478" t="s">
        <v>2089</v>
      </c>
      <c r="C206" s="479">
        <v>1</v>
      </c>
      <c r="D206" s="1537">
        <v>5985000</v>
      </c>
      <c r="E206" s="1537">
        <f t="shared" si="9"/>
        <v>5985000</v>
      </c>
      <c r="F206" s="478" t="s">
        <v>721</v>
      </c>
      <c r="G206" s="498" t="s">
        <v>464</v>
      </c>
      <c r="H206" s="498"/>
      <c r="I206" s="478" t="s">
        <v>2216</v>
      </c>
      <c r="J206" s="478" t="s">
        <v>490</v>
      </c>
    </row>
    <row r="207" spans="1:10" s="478" customFormat="1">
      <c r="A207" s="215">
        <v>204</v>
      </c>
      <c r="B207" s="478" t="s">
        <v>2092</v>
      </c>
      <c r="C207" s="479">
        <v>1</v>
      </c>
      <c r="D207" s="1537">
        <v>16900</v>
      </c>
      <c r="E207" s="1537">
        <f t="shared" si="9"/>
        <v>16900</v>
      </c>
      <c r="F207" s="478" t="s">
        <v>1872</v>
      </c>
      <c r="G207" s="498" t="s">
        <v>464</v>
      </c>
      <c r="H207" s="498"/>
      <c r="I207" s="478" t="s">
        <v>2219</v>
      </c>
      <c r="J207" s="478" t="s">
        <v>490</v>
      </c>
    </row>
    <row r="208" spans="1:10" s="478" customFormat="1">
      <c r="A208" s="215">
        <v>205</v>
      </c>
      <c r="B208" s="478" t="s">
        <v>2094</v>
      </c>
      <c r="C208" s="479">
        <v>2</v>
      </c>
      <c r="D208" s="1537">
        <v>450000</v>
      </c>
      <c r="E208" s="1537">
        <f t="shared" si="9"/>
        <v>900000</v>
      </c>
      <c r="F208" s="478" t="s">
        <v>444</v>
      </c>
      <c r="G208" s="498" t="s">
        <v>464</v>
      </c>
      <c r="H208" s="498"/>
      <c r="I208" s="478" t="s">
        <v>2221</v>
      </c>
      <c r="J208" s="478" t="s">
        <v>490</v>
      </c>
    </row>
    <row r="209" spans="1:10" s="478" customFormat="1">
      <c r="A209" s="215">
        <v>206</v>
      </c>
      <c r="B209" s="478" t="s">
        <v>1915</v>
      </c>
      <c r="C209" s="479">
        <v>1</v>
      </c>
      <c r="D209" s="1537">
        <v>50000</v>
      </c>
      <c r="E209" s="1537">
        <f t="shared" si="9"/>
        <v>50000</v>
      </c>
      <c r="F209" s="478" t="s">
        <v>2313</v>
      </c>
      <c r="G209" s="498" t="s">
        <v>464</v>
      </c>
      <c r="H209" s="498"/>
      <c r="I209" s="478" t="s">
        <v>2214</v>
      </c>
      <c r="J209" s="478" t="s">
        <v>490</v>
      </c>
    </row>
    <row r="210" spans="1:10" s="478" customFormat="1">
      <c r="A210" s="215">
        <v>207</v>
      </c>
      <c r="B210" s="478" t="s">
        <v>2096</v>
      </c>
      <c r="C210" s="479">
        <v>2</v>
      </c>
      <c r="D210" s="1537">
        <v>33705</v>
      </c>
      <c r="E210" s="1537">
        <f t="shared" si="9"/>
        <v>67410</v>
      </c>
      <c r="F210" s="478" t="s">
        <v>2315</v>
      </c>
      <c r="G210" s="498" t="s">
        <v>464</v>
      </c>
      <c r="H210" s="498"/>
      <c r="I210" s="478" t="s">
        <v>2223</v>
      </c>
      <c r="J210" s="478" t="s">
        <v>490</v>
      </c>
    </row>
    <row r="211" spans="1:10" s="478" customFormat="1">
      <c r="A211" s="215">
        <v>208</v>
      </c>
      <c r="B211" s="478" t="s">
        <v>2104</v>
      </c>
      <c r="C211" s="479">
        <v>1</v>
      </c>
      <c r="D211" s="1537">
        <v>38413</v>
      </c>
      <c r="E211" s="1537">
        <f t="shared" si="9"/>
        <v>38413</v>
      </c>
      <c r="F211" s="478" t="s">
        <v>1436</v>
      </c>
      <c r="G211" s="498" t="s">
        <v>464</v>
      </c>
      <c r="H211" s="498"/>
      <c r="I211" s="478" t="s">
        <v>2230</v>
      </c>
      <c r="J211" s="478" t="s">
        <v>490</v>
      </c>
    </row>
    <row r="212" spans="1:10" s="478" customFormat="1">
      <c r="A212" s="215">
        <v>209</v>
      </c>
      <c r="B212" s="478" t="s">
        <v>2115</v>
      </c>
      <c r="C212" s="479">
        <v>1</v>
      </c>
      <c r="D212" s="1537">
        <v>65000</v>
      </c>
      <c r="E212" s="1537">
        <f t="shared" si="9"/>
        <v>65000</v>
      </c>
      <c r="F212" s="478" t="s">
        <v>2318</v>
      </c>
      <c r="G212" s="498" t="s">
        <v>464</v>
      </c>
      <c r="H212" s="498"/>
      <c r="I212" s="478" t="s">
        <v>2240</v>
      </c>
      <c r="J212" s="478" t="s">
        <v>490</v>
      </c>
    </row>
    <row r="213" spans="1:10" s="478" customFormat="1">
      <c r="A213" s="215">
        <v>210</v>
      </c>
      <c r="B213" s="478" t="s">
        <v>2121</v>
      </c>
      <c r="C213" s="479">
        <v>1</v>
      </c>
      <c r="D213" s="1537">
        <v>45900</v>
      </c>
      <c r="E213" s="1537">
        <f t="shared" si="9"/>
        <v>45900</v>
      </c>
      <c r="F213" s="478" t="s">
        <v>422</v>
      </c>
      <c r="G213" s="498" t="s">
        <v>464</v>
      </c>
      <c r="H213" s="498"/>
      <c r="I213" s="478" t="s">
        <v>2250</v>
      </c>
      <c r="J213" s="478" t="s">
        <v>490</v>
      </c>
    </row>
    <row r="214" spans="1:10" s="478" customFormat="1">
      <c r="A214" s="215">
        <v>211</v>
      </c>
      <c r="B214" s="478" t="s">
        <v>448</v>
      </c>
      <c r="C214" s="479">
        <v>1</v>
      </c>
      <c r="D214" s="1537">
        <v>202658</v>
      </c>
      <c r="E214" s="1537">
        <f t="shared" si="9"/>
        <v>202658</v>
      </c>
      <c r="F214" s="478" t="s">
        <v>1278</v>
      </c>
      <c r="G214" s="498" t="s">
        <v>464</v>
      </c>
      <c r="H214" s="498"/>
      <c r="I214" s="478" t="s">
        <v>2248</v>
      </c>
      <c r="J214" s="478" t="s">
        <v>490</v>
      </c>
    </row>
    <row r="215" spans="1:10" s="478" customFormat="1">
      <c r="A215" s="215">
        <v>212</v>
      </c>
      <c r="B215" s="478" t="s">
        <v>2125</v>
      </c>
      <c r="C215" s="479">
        <v>1</v>
      </c>
      <c r="D215" s="1537">
        <v>40000</v>
      </c>
      <c r="E215" s="1537">
        <f t="shared" si="9"/>
        <v>40000</v>
      </c>
      <c r="F215" s="478" t="s">
        <v>445</v>
      </c>
      <c r="G215" s="498" t="s">
        <v>464</v>
      </c>
      <c r="H215" s="498"/>
      <c r="I215" s="478" t="s">
        <v>2256</v>
      </c>
      <c r="J215" s="478" t="s">
        <v>490</v>
      </c>
    </row>
    <row r="216" spans="1:10" s="478" customFormat="1">
      <c r="A216" s="215">
        <v>213</v>
      </c>
      <c r="B216" s="478" t="s">
        <v>2126</v>
      </c>
      <c r="C216" s="479">
        <v>2</v>
      </c>
      <c r="D216" s="1537">
        <v>6000</v>
      </c>
      <c r="E216" s="1537">
        <f t="shared" si="9"/>
        <v>12000</v>
      </c>
      <c r="F216" s="478" t="s">
        <v>1436</v>
      </c>
      <c r="G216" s="498" t="s">
        <v>464</v>
      </c>
      <c r="H216" s="498"/>
      <c r="I216" s="478" t="s">
        <v>2257</v>
      </c>
      <c r="J216" s="478" t="s">
        <v>490</v>
      </c>
    </row>
    <row r="217" spans="1:10" s="478" customFormat="1">
      <c r="A217" s="215">
        <v>214</v>
      </c>
      <c r="B217" s="478" t="s">
        <v>2127</v>
      </c>
      <c r="C217" s="479">
        <v>1</v>
      </c>
      <c r="D217" s="1537">
        <v>14600</v>
      </c>
      <c r="E217" s="1537">
        <f t="shared" si="9"/>
        <v>14600</v>
      </c>
      <c r="F217" s="478" t="s">
        <v>1436</v>
      </c>
      <c r="G217" s="498" t="s">
        <v>464</v>
      </c>
      <c r="H217" s="498"/>
      <c r="I217" s="478" t="s">
        <v>2257</v>
      </c>
      <c r="J217" s="478" t="s">
        <v>490</v>
      </c>
    </row>
    <row r="218" spans="1:10" s="478" customFormat="1">
      <c r="A218" s="215">
        <v>215</v>
      </c>
      <c r="B218" s="478" t="s">
        <v>2475</v>
      </c>
      <c r="C218" s="479">
        <v>1</v>
      </c>
      <c r="D218" s="1537">
        <v>7500</v>
      </c>
      <c r="E218" s="1537">
        <f t="shared" si="9"/>
        <v>7500</v>
      </c>
      <c r="F218" s="478" t="s">
        <v>851</v>
      </c>
      <c r="G218" s="498" t="s">
        <v>464</v>
      </c>
      <c r="H218" s="498"/>
      <c r="I218" s="478" t="s">
        <v>2263</v>
      </c>
      <c r="J218" s="478" t="s">
        <v>490</v>
      </c>
    </row>
    <row r="219" spans="1:10" s="478" customFormat="1">
      <c r="A219" s="215">
        <v>216</v>
      </c>
      <c r="B219" s="478" t="s">
        <v>2001</v>
      </c>
      <c r="C219" s="479">
        <v>1</v>
      </c>
      <c r="D219" s="1537">
        <v>40000</v>
      </c>
      <c r="E219" s="1537">
        <f t="shared" si="9"/>
        <v>40000</v>
      </c>
      <c r="F219" s="478" t="s">
        <v>851</v>
      </c>
      <c r="G219" s="498" t="s">
        <v>464</v>
      </c>
      <c r="H219" s="498"/>
      <c r="I219" s="478" t="s">
        <v>2264</v>
      </c>
      <c r="J219" s="478" t="s">
        <v>490</v>
      </c>
    </row>
    <row r="220" spans="1:10" s="478" customFormat="1">
      <c r="A220" s="215">
        <v>217</v>
      </c>
      <c r="B220" s="478" t="s">
        <v>2139</v>
      </c>
      <c r="C220" s="479">
        <v>1</v>
      </c>
      <c r="D220" s="1537">
        <v>150000</v>
      </c>
      <c r="E220" s="1537">
        <f t="shared" si="9"/>
        <v>150000</v>
      </c>
      <c r="F220" s="478" t="s">
        <v>2321</v>
      </c>
      <c r="G220" s="498" t="s">
        <v>464</v>
      </c>
      <c r="H220" s="498"/>
      <c r="I220" s="478" t="s">
        <v>2271</v>
      </c>
      <c r="J220" s="478" t="s">
        <v>490</v>
      </c>
    </row>
    <row r="221" spans="1:10" s="478" customFormat="1">
      <c r="A221" s="215">
        <v>218</v>
      </c>
      <c r="B221" s="478" t="s">
        <v>1357</v>
      </c>
      <c r="C221" s="479">
        <v>1</v>
      </c>
      <c r="D221" s="1537">
        <v>20000</v>
      </c>
      <c r="E221" s="1537">
        <f t="shared" si="9"/>
        <v>20000</v>
      </c>
      <c r="F221" s="478" t="s">
        <v>2325</v>
      </c>
      <c r="G221" s="498" t="s">
        <v>464</v>
      </c>
      <c r="H221" s="498"/>
      <c r="J221" s="478" t="s">
        <v>490</v>
      </c>
    </row>
    <row r="222" spans="1:10" s="478" customFormat="1">
      <c r="A222" s="215">
        <v>219</v>
      </c>
      <c r="B222" s="478" t="s">
        <v>1772</v>
      </c>
      <c r="C222" s="479">
        <v>1</v>
      </c>
      <c r="D222" s="1537">
        <v>750000</v>
      </c>
      <c r="E222" s="1537">
        <f t="shared" si="9"/>
        <v>750000</v>
      </c>
      <c r="F222" s="478" t="s">
        <v>1436</v>
      </c>
      <c r="G222" s="498" t="s">
        <v>464</v>
      </c>
      <c r="H222" s="498"/>
      <c r="I222" s="478" t="s">
        <v>2290</v>
      </c>
      <c r="J222" s="478" t="s">
        <v>490</v>
      </c>
    </row>
    <row r="223" spans="1:10" s="478" customFormat="1">
      <c r="A223" s="215">
        <v>220</v>
      </c>
      <c r="B223" s="478" t="s">
        <v>1773</v>
      </c>
      <c r="C223" s="479">
        <v>1</v>
      </c>
      <c r="D223" s="1537">
        <v>1500000</v>
      </c>
      <c r="E223" s="1537">
        <f t="shared" si="9"/>
        <v>1500000</v>
      </c>
      <c r="F223" s="478" t="s">
        <v>1436</v>
      </c>
      <c r="G223" s="498" t="s">
        <v>464</v>
      </c>
      <c r="H223" s="498"/>
      <c r="I223" s="478" t="s">
        <v>2291</v>
      </c>
      <c r="J223" s="478" t="s">
        <v>490</v>
      </c>
    </row>
    <row r="224" spans="1:10" s="478" customFormat="1">
      <c r="A224" s="215">
        <v>221</v>
      </c>
      <c r="B224" s="478" t="s">
        <v>2151</v>
      </c>
      <c r="C224" s="479">
        <v>1</v>
      </c>
      <c r="D224" s="1537">
        <v>440000</v>
      </c>
      <c r="E224" s="1537">
        <f t="shared" si="9"/>
        <v>440000</v>
      </c>
      <c r="F224" s="478" t="s">
        <v>414</v>
      </c>
      <c r="G224" s="498" t="s">
        <v>464</v>
      </c>
      <c r="H224" s="498"/>
      <c r="I224" s="478" t="s">
        <v>2169</v>
      </c>
      <c r="J224" s="478" t="s">
        <v>490</v>
      </c>
    </row>
    <row r="225" spans="1:10" s="478" customFormat="1">
      <c r="A225" s="215">
        <v>222</v>
      </c>
      <c r="B225" s="478" t="s">
        <v>1819</v>
      </c>
      <c r="C225" s="479">
        <v>8</v>
      </c>
      <c r="D225" s="1537">
        <v>2500</v>
      </c>
      <c r="E225" s="1537">
        <v>20000</v>
      </c>
      <c r="F225" s="478" t="s">
        <v>423</v>
      </c>
      <c r="G225" s="498" t="s">
        <v>464</v>
      </c>
      <c r="H225" s="498"/>
      <c r="I225" s="478" t="s">
        <v>2395</v>
      </c>
      <c r="J225" s="478" t="s">
        <v>1905</v>
      </c>
    </row>
    <row r="226" spans="1:10" s="478" customFormat="1">
      <c r="A226" s="215">
        <v>223</v>
      </c>
      <c r="B226" s="478" t="s">
        <v>1994</v>
      </c>
      <c r="C226" s="479">
        <v>2</v>
      </c>
      <c r="D226" s="1537">
        <v>1600000</v>
      </c>
      <c r="E226" s="1537">
        <f>C226*D226</f>
        <v>3200000</v>
      </c>
      <c r="F226" s="478" t="s">
        <v>2006</v>
      </c>
      <c r="G226" s="478" t="s">
        <v>464</v>
      </c>
      <c r="I226" s="478" t="s">
        <v>2452</v>
      </c>
      <c r="J226" s="478" t="s">
        <v>1905</v>
      </c>
    </row>
    <row r="227" spans="1:10" s="478" customFormat="1">
      <c r="A227" s="215">
        <v>224</v>
      </c>
      <c r="B227" s="478" t="s">
        <v>2143</v>
      </c>
      <c r="C227" s="479">
        <v>2</v>
      </c>
      <c r="D227" s="1537">
        <v>14500</v>
      </c>
      <c r="E227" s="1537">
        <f>C227*D227</f>
        <v>29000</v>
      </c>
      <c r="F227" s="478" t="s">
        <v>414</v>
      </c>
      <c r="G227" s="478" t="s">
        <v>464</v>
      </c>
      <c r="I227" s="478" t="s">
        <v>2277</v>
      </c>
      <c r="J227" s="478" t="s">
        <v>490</v>
      </c>
    </row>
    <row r="228" spans="1:10" s="478" customFormat="1">
      <c r="A228" s="215">
        <v>225</v>
      </c>
      <c r="B228" s="478" t="s">
        <v>2140</v>
      </c>
      <c r="C228" s="479">
        <v>1</v>
      </c>
      <c r="D228" s="1537">
        <v>13000</v>
      </c>
      <c r="E228" s="1537">
        <f>C228*D228</f>
        <v>13000</v>
      </c>
      <c r="F228" s="478" t="s">
        <v>414</v>
      </c>
      <c r="G228" s="478" t="s">
        <v>464</v>
      </c>
      <c r="I228" s="478" t="s">
        <v>2273</v>
      </c>
      <c r="J228" s="478" t="s">
        <v>490</v>
      </c>
    </row>
    <row r="229" spans="1:10" ht="29.25" customHeight="1" thickBot="1">
      <c r="A229" s="1501"/>
      <c r="C229" s="1426"/>
      <c r="D229" s="2438"/>
      <c r="E229" s="2458">
        <f>SUM(E4:E228)</f>
        <v>113172374.91</v>
      </c>
    </row>
    <row r="230" spans="1:10" ht="21.75" thickTop="1">
      <c r="C230" s="1426"/>
      <c r="D230" s="2438"/>
      <c r="E230" s="2438"/>
      <c r="G230" s="1870"/>
      <c r="H230" s="1870"/>
    </row>
    <row r="231" spans="1:10">
      <c r="A231" s="1509"/>
      <c r="B231" s="2443" t="s">
        <v>1906</v>
      </c>
      <c r="C231" s="1509"/>
      <c r="D231" s="2444"/>
      <c r="E231" s="2444"/>
      <c r="F231" s="1486"/>
      <c r="G231" s="1486"/>
      <c r="H231" s="1486"/>
      <c r="I231" s="1486"/>
    </row>
    <row r="232" spans="1:10">
      <c r="A232" s="1478" t="s">
        <v>2</v>
      </c>
      <c r="B232" s="1478" t="s">
        <v>3</v>
      </c>
      <c r="C232" s="1478" t="s">
        <v>618</v>
      </c>
      <c r="D232" s="1478" t="s">
        <v>1410</v>
      </c>
      <c r="E232" s="1478" t="s">
        <v>1411</v>
      </c>
      <c r="F232" s="1478" t="s">
        <v>388</v>
      </c>
      <c r="G232" s="1478" t="s">
        <v>727</v>
      </c>
      <c r="H232" s="2476"/>
      <c r="I232" s="2459"/>
      <c r="J232" s="478"/>
    </row>
    <row r="233" spans="1:10">
      <c r="A233" s="215">
        <v>1</v>
      </c>
      <c r="B233" s="478" t="s">
        <v>1907</v>
      </c>
      <c r="C233" s="479">
        <v>4</v>
      </c>
      <c r="D233" s="1537">
        <v>3200</v>
      </c>
      <c r="E233" s="1537">
        <v>12800</v>
      </c>
      <c r="F233" s="478" t="s">
        <v>574</v>
      </c>
      <c r="G233" s="478" t="s">
        <v>464</v>
      </c>
      <c r="I233" s="2460" t="s">
        <v>2444</v>
      </c>
      <c r="J233" s="2445" t="s">
        <v>1906</v>
      </c>
    </row>
    <row r="234" spans="1:10">
      <c r="A234" s="215">
        <v>2</v>
      </c>
      <c r="B234" s="478" t="s">
        <v>1908</v>
      </c>
      <c r="C234" s="479">
        <v>2</v>
      </c>
      <c r="D234" s="1537">
        <v>90900</v>
      </c>
      <c r="E234" s="1537">
        <v>181800</v>
      </c>
      <c r="F234" s="478" t="s">
        <v>574</v>
      </c>
      <c r="G234" s="478" t="s">
        <v>464</v>
      </c>
      <c r="I234" s="2461" t="s">
        <v>2444</v>
      </c>
      <c r="J234" s="2445" t="s">
        <v>1906</v>
      </c>
    </row>
    <row r="235" spans="1:10" s="138" customFormat="1" ht="42">
      <c r="A235" s="215">
        <v>3</v>
      </c>
      <c r="B235" s="260" t="s">
        <v>2494</v>
      </c>
      <c r="C235" s="215">
        <v>1</v>
      </c>
      <c r="D235" s="1538">
        <v>250000</v>
      </c>
      <c r="E235" s="1538">
        <v>250000</v>
      </c>
      <c r="F235" s="216" t="s">
        <v>574</v>
      </c>
      <c r="G235" s="216" t="s">
        <v>464</v>
      </c>
      <c r="I235" s="2462" t="s">
        <v>2444</v>
      </c>
      <c r="J235" s="2446" t="s">
        <v>1906</v>
      </c>
    </row>
    <row r="236" spans="1:10">
      <c r="A236" s="215">
        <v>4</v>
      </c>
      <c r="B236" s="478" t="s">
        <v>1910</v>
      </c>
      <c r="C236" s="479">
        <v>1</v>
      </c>
      <c r="D236" s="1537">
        <v>98600</v>
      </c>
      <c r="E236" s="1537">
        <v>98600</v>
      </c>
      <c r="F236" s="478" t="s">
        <v>574</v>
      </c>
      <c r="G236" s="478" t="s">
        <v>464</v>
      </c>
      <c r="I236" s="2461" t="s">
        <v>2444</v>
      </c>
      <c r="J236" s="2445" t="s">
        <v>1906</v>
      </c>
    </row>
    <row r="237" spans="1:10">
      <c r="A237" s="215">
        <v>5</v>
      </c>
      <c r="B237" s="478" t="s">
        <v>1911</v>
      </c>
      <c r="C237" s="479">
        <v>1</v>
      </c>
      <c r="D237" s="1537">
        <v>91400</v>
      </c>
      <c r="E237" s="1537">
        <v>91400</v>
      </c>
      <c r="F237" s="478" t="s">
        <v>574</v>
      </c>
      <c r="G237" s="478" t="s">
        <v>464</v>
      </c>
      <c r="I237" s="2461" t="s">
        <v>2444</v>
      </c>
      <c r="J237" s="2445" t="s">
        <v>1906</v>
      </c>
    </row>
    <row r="238" spans="1:10">
      <c r="A238" s="215">
        <v>6</v>
      </c>
      <c r="B238" s="478" t="s">
        <v>1912</v>
      </c>
      <c r="C238" s="479">
        <v>5</v>
      </c>
      <c r="D238" s="1537">
        <v>32000</v>
      </c>
      <c r="E238" s="1537">
        <v>160000</v>
      </c>
      <c r="F238" s="478" t="s">
        <v>574</v>
      </c>
      <c r="G238" s="478" t="s">
        <v>464</v>
      </c>
      <c r="I238" s="2461" t="s">
        <v>2444</v>
      </c>
      <c r="J238" s="2445" t="s">
        <v>1906</v>
      </c>
    </row>
    <row r="239" spans="1:10">
      <c r="A239" s="215">
        <v>7</v>
      </c>
      <c r="B239" s="478" t="s">
        <v>1913</v>
      </c>
      <c r="C239" s="479">
        <v>5</v>
      </c>
      <c r="D239" s="1537">
        <v>32000</v>
      </c>
      <c r="E239" s="1537">
        <v>160000</v>
      </c>
      <c r="F239" s="478" t="s">
        <v>574</v>
      </c>
      <c r="G239" s="478" t="s">
        <v>464</v>
      </c>
      <c r="I239" s="2461" t="s">
        <v>2444</v>
      </c>
      <c r="J239" s="2445" t="s">
        <v>1906</v>
      </c>
    </row>
    <row r="240" spans="1:10">
      <c r="A240" s="215">
        <v>8</v>
      </c>
      <c r="B240" s="478" t="s">
        <v>1914</v>
      </c>
      <c r="C240" s="479">
        <v>2</v>
      </c>
      <c r="D240" s="1537">
        <v>7700</v>
      </c>
      <c r="E240" s="1537">
        <v>15400</v>
      </c>
      <c r="F240" s="478" t="s">
        <v>574</v>
      </c>
      <c r="G240" s="478" t="s">
        <v>464</v>
      </c>
      <c r="I240" s="2461" t="s">
        <v>2444</v>
      </c>
      <c r="J240" s="2445" t="s">
        <v>1906</v>
      </c>
    </row>
    <row r="241" spans="1:10">
      <c r="A241" s="215">
        <v>9</v>
      </c>
      <c r="B241" s="478" t="s">
        <v>1915</v>
      </c>
      <c r="C241" s="479">
        <v>1</v>
      </c>
      <c r="D241" s="1537">
        <v>50000</v>
      </c>
      <c r="E241" s="1537">
        <v>50000</v>
      </c>
      <c r="F241" s="478" t="s">
        <v>1922</v>
      </c>
      <c r="G241" s="478" t="s">
        <v>464</v>
      </c>
      <c r="I241" s="2461" t="s">
        <v>2445</v>
      </c>
      <c r="J241" s="2445" t="s">
        <v>1906</v>
      </c>
    </row>
    <row r="242" spans="1:10">
      <c r="A242" s="215">
        <v>10</v>
      </c>
      <c r="B242" s="478" t="s">
        <v>1916</v>
      </c>
      <c r="C242" s="479">
        <v>1</v>
      </c>
      <c r="D242" s="1537">
        <v>40000</v>
      </c>
      <c r="E242" s="1537">
        <v>40000</v>
      </c>
      <c r="F242" s="478" t="s">
        <v>1893</v>
      </c>
      <c r="G242" s="478" t="s">
        <v>464</v>
      </c>
      <c r="I242" s="2461" t="s">
        <v>2446</v>
      </c>
      <c r="J242" s="2445" t="s">
        <v>1906</v>
      </c>
    </row>
    <row r="243" spans="1:10">
      <c r="A243" s="215">
        <v>11</v>
      </c>
      <c r="B243" s="478" t="s">
        <v>1917</v>
      </c>
      <c r="C243" s="479">
        <v>1</v>
      </c>
      <c r="D243" s="1537">
        <v>150000</v>
      </c>
      <c r="E243" s="1537">
        <v>150000</v>
      </c>
      <c r="F243" s="478" t="s">
        <v>888</v>
      </c>
      <c r="G243" s="478" t="s">
        <v>464</v>
      </c>
      <c r="I243" s="2461" t="s">
        <v>2447</v>
      </c>
      <c r="J243" s="2445" t="s">
        <v>1906</v>
      </c>
    </row>
    <row r="244" spans="1:10">
      <c r="A244" s="215">
        <v>12</v>
      </c>
      <c r="B244" s="478" t="s">
        <v>2450</v>
      </c>
      <c r="C244" s="479">
        <v>1</v>
      </c>
      <c r="D244" s="1537">
        <v>50000</v>
      </c>
      <c r="E244" s="1537">
        <v>50000</v>
      </c>
      <c r="F244" s="478" t="s">
        <v>888</v>
      </c>
      <c r="G244" s="478" t="s">
        <v>464</v>
      </c>
      <c r="I244" s="2461" t="s">
        <v>2447</v>
      </c>
      <c r="J244" s="2445" t="s">
        <v>1906</v>
      </c>
    </row>
    <row r="245" spans="1:10">
      <c r="A245" s="215">
        <v>13</v>
      </c>
      <c r="B245" s="478" t="s">
        <v>1919</v>
      </c>
      <c r="C245" s="479">
        <v>1</v>
      </c>
      <c r="D245" s="1537">
        <v>400000</v>
      </c>
      <c r="E245" s="1537">
        <v>400000</v>
      </c>
      <c r="F245" s="478" t="s">
        <v>614</v>
      </c>
      <c r="G245" s="478" t="s">
        <v>464</v>
      </c>
      <c r="I245" s="2461"/>
      <c r="J245" s="2445" t="s">
        <v>1906</v>
      </c>
    </row>
    <row r="246" spans="1:10">
      <c r="A246" s="215">
        <v>14</v>
      </c>
      <c r="B246" s="478" t="s">
        <v>1920</v>
      </c>
      <c r="C246" s="479">
        <v>1</v>
      </c>
      <c r="D246" s="1537">
        <v>80000</v>
      </c>
      <c r="E246" s="1537">
        <v>80000</v>
      </c>
      <c r="F246" s="478" t="s">
        <v>888</v>
      </c>
      <c r="G246" s="478" t="s">
        <v>464</v>
      </c>
      <c r="I246" s="2461" t="s">
        <v>2448</v>
      </c>
      <c r="J246" s="2445" t="s">
        <v>1906</v>
      </c>
    </row>
    <row r="247" spans="1:10">
      <c r="A247" s="215">
        <v>15</v>
      </c>
      <c r="B247" s="478" t="s">
        <v>2001</v>
      </c>
      <c r="C247" s="479">
        <v>1</v>
      </c>
      <c r="D247" s="1537">
        <v>40000</v>
      </c>
      <c r="E247" s="1537">
        <f>+C247*D247</f>
        <v>40000</v>
      </c>
      <c r="F247" s="478" t="s">
        <v>2297</v>
      </c>
      <c r="G247" s="478" t="s">
        <v>464</v>
      </c>
      <c r="I247" s="2461" t="s">
        <v>2163</v>
      </c>
      <c r="J247" s="2445" t="s">
        <v>1906</v>
      </c>
    </row>
    <row r="248" spans="1:10">
      <c r="A248" s="215">
        <v>16</v>
      </c>
      <c r="B248" s="478" t="s">
        <v>2123</v>
      </c>
      <c r="C248" s="479">
        <v>1</v>
      </c>
      <c r="D248" s="1537">
        <v>15000</v>
      </c>
      <c r="E248" s="1537">
        <f>C248*D248</f>
        <v>15000</v>
      </c>
      <c r="F248" s="478" t="s">
        <v>888</v>
      </c>
      <c r="G248" s="478" t="s">
        <v>464</v>
      </c>
      <c r="I248" s="2461" t="s">
        <v>2253</v>
      </c>
      <c r="J248" s="2445" t="s">
        <v>1906</v>
      </c>
    </row>
    <row r="249" spans="1:10" s="138" customFormat="1" ht="42">
      <c r="A249" s="215">
        <v>17</v>
      </c>
      <c r="B249" s="260" t="s">
        <v>2486</v>
      </c>
      <c r="C249" s="215">
        <v>3</v>
      </c>
      <c r="D249" s="1538">
        <v>25000</v>
      </c>
      <c r="E249" s="1538">
        <f>C249*D249</f>
        <v>75000</v>
      </c>
      <c r="F249" s="216" t="s">
        <v>888</v>
      </c>
      <c r="G249" s="216" t="s">
        <v>464</v>
      </c>
      <c r="I249" s="2462" t="s">
        <v>2254</v>
      </c>
      <c r="J249" s="2446" t="s">
        <v>1906</v>
      </c>
    </row>
    <row r="250" spans="1:10">
      <c r="A250" s="215">
        <v>18</v>
      </c>
      <c r="B250" s="478" t="s">
        <v>1861</v>
      </c>
      <c r="C250" s="479">
        <v>1</v>
      </c>
      <c r="D250" s="1537">
        <v>40000</v>
      </c>
      <c r="E250" s="1537">
        <f>C250*D250</f>
        <v>40000</v>
      </c>
      <c r="F250" s="478" t="s">
        <v>888</v>
      </c>
      <c r="G250" s="478" t="s">
        <v>464</v>
      </c>
      <c r="I250" s="2461" t="s">
        <v>2254</v>
      </c>
      <c r="J250" s="2445" t="s">
        <v>1906</v>
      </c>
    </row>
    <row r="251" spans="1:10" s="138" customFormat="1" ht="42">
      <c r="A251" s="215">
        <v>19</v>
      </c>
      <c r="B251" s="260" t="s">
        <v>2487</v>
      </c>
      <c r="C251" s="215">
        <v>1</v>
      </c>
      <c r="D251" s="1538">
        <v>100000</v>
      </c>
      <c r="E251" s="1538">
        <f>C251*D251</f>
        <v>100000</v>
      </c>
      <c r="F251" s="216" t="s">
        <v>963</v>
      </c>
      <c r="G251" s="216" t="s">
        <v>464</v>
      </c>
      <c r="I251" s="2462" t="s">
        <v>2456</v>
      </c>
      <c r="J251" s="138" t="s">
        <v>1906</v>
      </c>
    </row>
    <row r="252" spans="1:10">
      <c r="A252" s="215">
        <v>20</v>
      </c>
      <c r="B252" s="478" t="s">
        <v>2091</v>
      </c>
      <c r="C252" s="479">
        <v>1</v>
      </c>
      <c r="D252" s="1537">
        <v>21500</v>
      </c>
      <c r="E252" s="1537">
        <f>C252*D252</f>
        <v>21500</v>
      </c>
      <c r="F252" s="478" t="s">
        <v>1447</v>
      </c>
      <c r="G252" s="478" t="s">
        <v>464</v>
      </c>
      <c r="I252" s="2461" t="s">
        <v>2218</v>
      </c>
      <c r="J252" s="19" t="s">
        <v>490</v>
      </c>
    </row>
    <row r="253" spans="1:10">
      <c r="A253" s="215">
        <v>21</v>
      </c>
      <c r="B253" s="478" t="s">
        <v>1921</v>
      </c>
      <c r="C253" s="479">
        <v>1</v>
      </c>
      <c r="D253" s="1537">
        <v>28355</v>
      </c>
      <c r="E253" s="1537">
        <v>28355</v>
      </c>
      <c r="F253" s="478" t="s">
        <v>1923</v>
      </c>
      <c r="G253" s="478" t="s">
        <v>730</v>
      </c>
      <c r="I253" s="2461" t="s">
        <v>2449</v>
      </c>
      <c r="J253" s="2445" t="s">
        <v>1906</v>
      </c>
    </row>
    <row r="254" spans="1:10" ht="21.75" thickBot="1">
      <c r="C254" s="1426"/>
      <c r="D254" s="2438"/>
      <c r="E254" s="2463">
        <f>SUM(E233:E253)</f>
        <v>2059855</v>
      </c>
      <c r="G254" s="1870"/>
      <c r="H254" s="1870"/>
    </row>
    <row r="255" spans="1:10" ht="21.75" thickTop="1">
      <c r="C255" s="1426"/>
      <c r="D255" s="2438"/>
      <c r="E255" s="2438"/>
      <c r="G255" s="1870"/>
      <c r="H255" s="1870"/>
    </row>
    <row r="256" spans="1:10">
      <c r="B256" s="1648" t="s">
        <v>2493</v>
      </c>
      <c r="C256" s="1426"/>
      <c r="D256" s="2438"/>
      <c r="E256" s="2438"/>
    </row>
    <row r="257" spans="1:9">
      <c r="A257" s="1478" t="s">
        <v>2</v>
      </c>
      <c r="B257" s="1478" t="s">
        <v>3</v>
      </c>
      <c r="C257" s="1478" t="s">
        <v>618</v>
      </c>
      <c r="D257" s="1478" t="s">
        <v>1410</v>
      </c>
      <c r="E257" s="1478" t="s">
        <v>1411</v>
      </c>
      <c r="F257" s="1478" t="s">
        <v>388</v>
      </c>
      <c r="G257" s="1478" t="s">
        <v>727</v>
      </c>
      <c r="H257" s="2403"/>
    </row>
    <row r="258" spans="1:9" s="138" customFormat="1" ht="22.5" customHeight="1">
      <c r="A258" s="215">
        <v>1</v>
      </c>
      <c r="B258" s="322" t="s">
        <v>887</v>
      </c>
      <c r="C258" s="233">
        <v>2</v>
      </c>
      <c r="D258" s="328">
        <v>2290</v>
      </c>
      <c r="E258" s="328">
        <f>+C258*D258</f>
        <v>4580</v>
      </c>
      <c r="F258" s="322" t="s">
        <v>456</v>
      </c>
      <c r="G258" s="322" t="s">
        <v>2039</v>
      </c>
      <c r="H258" s="205"/>
      <c r="I258" s="138" t="s">
        <v>1721</v>
      </c>
    </row>
    <row r="259" spans="1:9" s="138" customFormat="1" ht="22.5" customHeight="1">
      <c r="A259" s="215">
        <v>2</v>
      </c>
      <c r="B259" s="322" t="s">
        <v>882</v>
      </c>
      <c r="C259" s="233">
        <v>2</v>
      </c>
      <c r="D259" s="328">
        <v>8690</v>
      </c>
      <c r="E259" s="328">
        <f>+C259*D259</f>
        <v>17380</v>
      </c>
      <c r="F259" s="322" t="s">
        <v>456</v>
      </c>
      <c r="G259" s="322" t="s">
        <v>2039</v>
      </c>
      <c r="H259" s="205"/>
      <c r="I259" s="138" t="s">
        <v>1721</v>
      </c>
    </row>
    <row r="260" spans="1:9" s="138" customFormat="1" ht="22.5" customHeight="1">
      <c r="A260" s="215">
        <v>3</v>
      </c>
      <c r="B260" s="322" t="s">
        <v>869</v>
      </c>
      <c r="C260" s="233">
        <v>19</v>
      </c>
      <c r="D260" s="700">
        <v>3524.58</v>
      </c>
      <c r="E260" s="328">
        <f>+C260*D260</f>
        <v>66967.02</v>
      </c>
      <c r="F260" s="322" t="s">
        <v>456</v>
      </c>
      <c r="G260" s="322" t="s">
        <v>2039</v>
      </c>
      <c r="H260" s="205"/>
      <c r="I260" s="138" t="s">
        <v>1721</v>
      </c>
    </row>
    <row r="261" spans="1:9" s="138" customFormat="1" ht="22.5" customHeight="1">
      <c r="A261" s="215">
        <v>4</v>
      </c>
      <c r="B261" s="322" t="s">
        <v>870</v>
      </c>
      <c r="C261" s="233">
        <v>40</v>
      </c>
      <c r="D261" s="328">
        <v>2477.5</v>
      </c>
      <c r="E261" s="328">
        <f>+C261*D261</f>
        <v>99100</v>
      </c>
      <c r="F261" s="322" t="s">
        <v>850</v>
      </c>
      <c r="G261" s="322" t="s">
        <v>2039</v>
      </c>
      <c r="H261" s="205"/>
      <c r="I261" s="138" t="s">
        <v>1721</v>
      </c>
    </row>
    <row r="262" spans="1:9" s="138" customFormat="1" ht="22.5" customHeight="1">
      <c r="A262" s="215">
        <v>5</v>
      </c>
      <c r="B262" s="216" t="s">
        <v>1264</v>
      </c>
      <c r="C262" s="215">
        <v>1</v>
      </c>
      <c r="D262" s="408">
        <v>3900</v>
      </c>
      <c r="E262" s="408">
        <f>+C262*D262</f>
        <v>3900</v>
      </c>
      <c r="F262" s="216" t="s">
        <v>1265</v>
      </c>
      <c r="G262" s="322" t="s">
        <v>2039</v>
      </c>
      <c r="H262" s="205"/>
      <c r="I262" s="138" t="s">
        <v>1721</v>
      </c>
    </row>
    <row r="263" spans="1:9" s="138" customFormat="1" ht="22.5" customHeight="1">
      <c r="A263" s="215">
        <v>6</v>
      </c>
      <c r="B263" s="221" t="s">
        <v>1379</v>
      </c>
      <c r="C263" s="215">
        <v>1</v>
      </c>
      <c r="D263" s="1531">
        <v>6790</v>
      </c>
      <c r="E263" s="1531">
        <v>6790</v>
      </c>
      <c r="F263" s="221" t="s">
        <v>1278</v>
      </c>
      <c r="G263" s="322" t="s">
        <v>2039</v>
      </c>
      <c r="H263" s="205"/>
      <c r="I263" s="138" t="s">
        <v>1721</v>
      </c>
    </row>
    <row r="264" spans="1:9" s="138" customFormat="1" ht="22.5" customHeight="1">
      <c r="A264" s="215">
        <v>7</v>
      </c>
      <c r="B264" s="221" t="s">
        <v>1380</v>
      </c>
      <c r="C264" s="215">
        <v>1</v>
      </c>
      <c r="D264" s="1531">
        <v>1590</v>
      </c>
      <c r="E264" s="1531">
        <v>1590</v>
      </c>
      <c r="F264" s="221" t="s">
        <v>1384</v>
      </c>
      <c r="G264" s="322" t="s">
        <v>2039</v>
      </c>
      <c r="H264" s="205"/>
      <c r="I264" s="138" t="s">
        <v>1721</v>
      </c>
    </row>
    <row r="265" spans="1:9" s="138" customFormat="1" ht="22.5" customHeight="1">
      <c r="A265" s="215">
        <v>8</v>
      </c>
      <c r="B265" s="221" t="s">
        <v>1381</v>
      </c>
      <c r="C265" s="215">
        <v>1</v>
      </c>
      <c r="D265" s="1531">
        <v>5990</v>
      </c>
      <c r="E265" s="1531">
        <v>5990</v>
      </c>
      <c r="F265" s="221" t="s">
        <v>614</v>
      </c>
      <c r="G265" s="322" t="s">
        <v>2039</v>
      </c>
      <c r="H265" s="205"/>
      <c r="I265" s="138" t="s">
        <v>1721</v>
      </c>
    </row>
    <row r="266" spans="1:9" s="138" customFormat="1" ht="22.5" customHeight="1">
      <c r="A266" s="215">
        <v>9</v>
      </c>
      <c r="B266" s="251" t="s">
        <v>1266</v>
      </c>
      <c r="C266" s="233">
        <v>1</v>
      </c>
      <c r="D266" s="418">
        <v>103830</v>
      </c>
      <c r="E266" s="418">
        <f>+C266*D266</f>
        <v>103830</v>
      </c>
      <c r="F266" s="322" t="s">
        <v>456</v>
      </c>
      <c r="G266" s="322" t="s">
        <v>2039</v>
      </c>
      <c r="H266" s="205"/>
      <c r="I266" s="138" t="s">
        <v>1721</v>
      </c>
    </row>
    <row r="267" spans="1:9" s="138" customFormat="1" ht="22.5" customHeight="1">
      <c r="A267" s="215">
        <v>10</v>
      </c>
      <c r="B267" s="251" t="s">
        <v>1267</v>
      </c>
      <c r="C267" s="233">
        <v>1</v>
      </c>
      <c r="D267" s="418">
        <v>127200</v>
      </c>
      <c r="E267" s="418">
        <f>+C267*D267</f>
        <v>127200</v>
      </c>
      <c r="F267" s="322" t="s">
        <v>456</v>
      </c>
      <c r="G267" s="322" t="s">
        <v>2039</v>
      </c>
      <c r="H267" s="205"/>
      <c r="I267" s="138" t="s">
        <v>1721</v>
      </c>
    </row>
    <row r="268" spans="1:9" s="138" customFormat="1" ht="22.5" customHeight="1">
      <c r="A268" s="215">
        <v>11</v>
      </c>
      <c r="B268" s="251" t="s">
        <v>1268</v>
      </c>
      <c r="C268" s="233">
        <v>1</v>
      </c>
      <c r="D268" s="418">
        <v>527104</v>
      </c>
      <c r="E268" s="418">
        <f>+C268*D268</f>
        <v>527104</v>
      </c>
      <c r="F268" s="322" t="s">
        <v>456</v>
      </c>
      <c r="G268" s="322" t="s">
        <v>2039</v>
      </c>
      <c r="H268" s="205"/>
      <c r="I268" s="138" t="s">
        <v>1721</v>
      </c>
    </row>
    <row r="269" spans="1:9" s="138" customFormat="1" ht="22.5" customHeight="1">
      <c r="A269" s="215">
        <v>12</v>
      </c>
      <c r="B269" s="251" t="s">
        <v>1269</v>
      </c>
      <c r="C269" s="233">
        <v>1</v>
      </c>
      <c r="D269" s="418">
        <v>162320</v>
      </c>
      <c r="E269" s="418">
        <f>+C269*D269</f>
        <v>162320</v>
      </c>
      <c r="F269" s="322" t="s">
        <v>456</v>
      </c>
      <c r="G269" s="322" t="s">
        <v>2039</v>
      </c>
      <c r="H269" s="205"/>
      <c r="I269" s="138" t="s">
        <v>1721</v>
      </c>
    </row>
    <row r="270" spans="1:9" s="138" customFormat="1" ht="22.5" customHeight="1">
      <c r="A270" s="215">
        <v>13</v>
      </c>
      <c r="B270" s="221" t="s">
        <v>1611</v>
      </c>
      <c r="C270" s="215">
        <v>2</v>
      </c>
      <c r="D270" s="408">
        <v>8900</v>
      </c>
      <c r="E270" s="408">
        <f t="shared" ref="E270:E272" si="10">+C270*D270</f>
        <v>17800</v>
      </c>
      <c r="F270" s="2421" t="s">
        <v>1612</v>
      </c>
      <c r="G270" s="2421" t="s">
        <v>728</v>
      </c>
      <c r="H270" s="2477"/>
      <c r="I270" s="138" t="s">
        <v>2497</v>
      </c>
    </row>
    <row r="271" spans="1:9" s="138" customFormat="1" ht="22.5" customHeight="1">
      <c r="A271" s="215" t="s">
        <v>2495</v>
      </c>
      <c r="B271" s="221" t="s">
        <v>1614</v>
      </c>
      <c r="C271" s="215">
        <v>6</v>
      </c>
      <c r="D271" s="408">
        <v>4300</v>
      </c>
      <c r="E271" s="408">
        <f t="shared" si="10"/>
        <v>25800</v>
      </c>
      <c r="F271" s="221" t="s">
        <v>1532</v>
      </c>
      <c r="G271" s="2421" t="s">
        <v>728</v>
      </c>
      <c r="H271" s="2477"/>
      <c r="I271" s="138" t="s">
        <v>2497</v>
      </c>
    </row>
    <row r="272" spans="1:9" s="138" customFormat="1" ht="22.5" customHeight="1">
      <c r="A272" s="215" t="s">
        <v>2496</v>
      </c>
      <c r="B272" s="221" t="s">
        <v>1616</v>
      </c>
      <c r="C272" s="215">
        <f>4+2+2</f>
        <v>8</v>
      </c>
      <c r="D272" s="408">
        <v>9500</v>
      </c>
      <c r="E272" s="408">
        <f t="shared" si="10"/>
        <v>76000</v>
      </c>
      <c r="F272" s="2481" t="s">
        <v>2018</v>
      </c>
      <c r="G272" s="2421" t="s">
        <v>728</v>
      </c>
      <c r="H272" s="2477"/>
      <c r="I272" s="138" t="s">
        <v>2497</v>
      </c>
    </row>
    <row r="273" spans="1:10" s="138" customFormat="1" ht="22.5" customHeight="1">
      <c r="A273" s="215">
        <v>16</v>
      </c>
      <c r="B273" s="221" t="s">
        <v>1619</v>
      </c>
      <c r="C273" s="215">
        <v>4</v>
      </c>
      <c r="D273" s="408">
        <v>20000</v>
      </c>
      <c r="E273" s="408">
        <f t="shared" ref="E273:E279" si="11">+C273*D273</f>
        <v>80000</v>
      </c>
      <c r="F273" s="2481" t="s">
        <v>2019</v>
      </c>
      <c r="G273" s="2421" t="s">
        <v>728</v>
      </c>
      <c r="H273" s="2477"/>
      <c r="I273" s="138" t="s">
        <v>2497</v>
      </c>
    </row>
    <row r="274" spans="1:10" s="138" customFormat="1" ht="22.5" customHeight="1">
      <c r="A274" s="215">
        <v>17</v>
      </c>
      <c r="B274" s="221" t="s">
        <v>1620</v>
      </c>
      <c r="C274" s="215">
        <v>3</v>
      </c>
      <c r="D274" s="422">
        <v>5990</v>
      </c>
      <c r="E274" s="422">
        <f t="shared" si="11"/>
        <v>17970</v>
      </c>
      <c r="F274" s="2421" t="s">
        <v>1561</v>
      </c>
      <c r="G274" s="2421" t="s">
        <v>728</v>
      </c>
      <c r="H274" s="2477"/>
      <c r="I274" s="138" t="s">
        <v>2497</v>
      </c>
    </row>
    <row r="275" spans="1:10" s="138" customFormat="1" ht="22.5" customHeight="1">
      <c r="A275" s="215">
        <v>18</v>
      </c>
      <c r="B275" s="221" t="s">
        <v>1621</v>
      </c>
      <c r="C275" s="215">
        <v>1</v>
      </c>
      <c r="D275" s="408">
        <v>10590</v>
      </c>
      <c r="E275" s="408">
        <f t="shared" si="11"/>
        <v>10590</v>
      </c>
      <c r="F275" s="2421" t="s">
        <v>1532</v>
      </c>
      <c r="G275" s="2421" t="s">
        <v>728</v>
      </c>
      <c r="H275" s="2477"/>
      <c r="I275" s="138" t="s">
        <v>2497</v>
      </c>
    </row>
    <row r="276" spans="1:10" s="138" customFormat="1" ht="22.5" customHeight="1">
      <c r="A276" s="215">
        <v>19</v>
      </c>
      <c r="B276" s="221" t="s">
        <v>1622</v>
      </c>
      <c r="C276" s="215">
        <v>4</v>
      </c>
      <c r="D276" s="408">
        <v>6000</v>
      </c>
      <c r="E276" s="408">
        <f t="shared" si="11"/>
        <v>24000</v>
      </c>
      <c r="F276" s="2481" t="s">
        <v>2020</v>
      </c>
      <c r="G276" s="2421" t="s">
        <v>728</v>
      </c>
      <c r="H276" s="2477"/>
      <c r="I276" s="138" t="s">
        <v>2497</v>
      </c>
    </row>
    <row r="277" spans="1:10" s="138" customFormat="1" ht="22.5" customHeight="1">
      <c r="A277" s="215">
        <v>20</v>
      </c>
      <c r="B277" s="221" t="s">
        <v>1623</v>
      </c>
      <c r="C277" s="215">
        <v>3</v>
      </c>
      <c r="D277" s="422">
        <v>4900</v>
      </c>
      <c r="E277" s="422">
        <f t="shared" si="11"/>
        <v>14700</v>
      </c>
      <c r="F277" s="2421" t="s">
        <v>1561</v>
      </c>
      <c r="G277" s="2421" t="s">
        <v>728</v>
      </c>
      <c r="H277" s="2477"/>
      <c r="I277" s="138" t="s">
        <v>2497</v>
      </c>
    </row>
    <row r="278" spans="1:10" s="138" customFormat="1" ht="22.5" customHeight="1">
      <c r="A278" s="215">
        <v>21</v>
      </c>
      <c r="B278" s="221" t="s">
        <v>1624</v>
      </c>
      <c r="C278" s="215">
        <v>6</v>
      </c>
      <c r="D278" s="408">
        <v>8000</v>
      </c>
      <c r="E278" s="408">
        <f t="shared" si="11"/>
        <v>48000</v>
      </c>
      <c r="F278" s="2421" t="s">
        <v>1592</v>
      </c>
      <c r="G278" s="2421" t="s">
        <v>728</v>
      </c>
      <c r="H278" s="2477"/>
      <c r="I278" s="138" t="s">
        <v>2497</v>
      </c>
    </row>
    <row r="279" spans="1:10" s="138" customFormat="1" ht="22.5" customHeight="1">
      <c r="A279" s="215">
        <v>22</v>
      </c>
      <c r="B279" s="309" t="s">
        <v>1625</v>
      </c>
      <c r="C279" s="310">
        <v>1</v>
      </c>
      <c r="D279" s="1909">
        <v>8190</v>
      </c>
      <c r="E279" s="1909">
        <f t="shared" si="11"/>
        <v>8190</v>
      </c>
      <c r="F279" s="1908" t="s">
        <v>1563</v>
      </c>
      <c r="G279" s="221" t="s">
        <v>728</v>
      </c>
      <c r="H279" s="397"/>
      <c r="I279" s="138" t="s">
        <v>2497</v>
      </c>
    </row>
    <row r="280" spans="1:10" s="138" customFormat="1" ht="22.5" customHeight="1">
      <c r="A280" s="215">
        <v>23</v>
      </c>
      <c r="B280" s="309" t="s">
        <v>1626</v>
      </c>
      <c r="C280" s="310">
        <v>1</v>
      </c>
      <c r="D280" s="1907">
        <v>5500</v>
      </c>
      <c r="E280" s="1907">
        <v>5000</v>
      </c>
      <c r="F280" s="1908" t="s">
        <v>1563</v>
      </c>
      <c r="G280" s="221" t="s">
        <v>728</v>
      </c>
      <c r="H280" s="397"/>
      <c r="I280" s="138" t="s">
        <v>2497</v>
      </c>
    </row>
    <row r="281" spans="1:10" s="138" customFormat="1" ht="22.5" customHeight="1">
      <c r="A281" s="215">
        <v>24</v>
      </c>
      <c r="B281" s="309" t="s">
        <v>1627</v>
      </c>
      <c r="C281" s="310">
        <v>1</v>
      </c>
      <c r="D281" s="1907">
        <v>7800</v>
      </c>
      <c r="E281" s="1907">
        <v>7800</v>
      </c>
      <c r="F281" s="1908" t="s">
        <v>1567</v>
      </c>
      <c r="G281" s="221" t="s">
        <v>728</v>
      </c>
      <c r="H281" s="397"/>
    </row>
    <row r="282" spans="1:10" s="138" customFormat="1" ht="22.5" customHeight="1">
      <c r="A282" s="215">
        <v>25</v>
      </c>
      <c r="B282" s="216" t="s">
        <v>465</v>
      </c>
      <c r="C282" s="215">
        <v>18</v>
      </c>
      <c r="D282" s="1538">
        <v>2290</v>
      </c>
      <c r="E282" s="1538">
        <v>41220</v>
      </c>
      <c r="F282" s="216" t="s">
        <v>888</v>
      </c>
      <c r="G282" s="216" t="s">
        <v>728</v>
      </c>
      <c r="I282" s="2462"/>
      <c r="J282" s="138" t="s">
        <v>1905</v>
      </c>
    </row>
    <row r="283" spans="1:10" s="138" customFormat="1" ht="22.5" customHeight="1">
      <c r="A283" s="215">
        <v>26</v>
      </c>
      <c r="B283" s="216" t="s">
        <v>1788</v>
      </c>
      <c r="C283" s="215">
        <v>40</v>
      </c>
      <c r="D283" s="1538">
        <v>4390</v>
      </c>
      <c r="E283" s="1538">
        <v>175600</v>
      </c>
      <c r="F283" s="216" t="s">
        <v>888</v>
      </c>
      <c r="G283" s="216" t="s">
        <v>728</v>
      </c>
      <c r="I283" s="2462" t="s">
        <v>2367</v>
      </c>
      <c r="J283" s="138" t="s">
        <v>1905</v>
      </c>
    </row>
    <row r="284" spans="1:10" s="138" customFormat="1" ht="22.5" customHeight="1">
      <c r="A284" s="215">
        <v>27</v>
      </c>
      <c r="B284" s="216" t="s">
        <v>1789</v>
      </c>
      <c r="C284" s="215">
        <v>40</v>
      </c>
      <c r="D284" s="1538">
        <v>1590</v>
      </c>
      <c r="E284" s="1538">
        <v>63600</v>
      </c>
      <c r="F284" s="216" t="s">
        <v>888</v>
      </c>
      <c r="G284" s="216" t="s">
        <v>728</v>
      </c>
      <c r="I284" s="2462" t="s">
        <v>2367</v>
      </c>
      <c r="J284" s="138" t="s">
        <v>1905</v>
      </c>
    </row>
    <row r="285" spans="1:10" s="138" customFormat="1" ht="22.5" customHeight="1">
      <c r="A285" s="215">
        <v>28</v>
      </c>
      <c r="B285" s="216" t="s">
        <v>465</v>
      </c>
      <c r="C285" s="215">
        <v>24</v>
      </c>
      <c r="D285" s="1538"/>
      <c r="E285" s="1538">
        <v>54959.99</v>
      </c>
      <c r="F285" s="216" t="s">
        <v>1872</v>
      </c>
      <c r="G285" s="216" t="s">
        <v>728</v>
      </c>
      <c r="I285" s="2462" t="s">
        <v>2369</v>
      </c>
      <c r="J285" s="138" t="s">
        <v>1905</v>
      </c>
    </row>
    <row r="286" spans="1:10" s="138" customFormat="1" ht="22.5" customHeight="1">
      <c r="A286" s="215">
        <v>29</v>
      </c>
      <c r="B286" s="216" t="s">
        <v>1796</v>
      </c>
      <c r="C286" s="215">
        <v>1</v>
      </c>
      <c r="D286" s="1538">
        <v>4900</v>
      </c>
      <c r="E286" s="1538">
        <v>4900</v>
      </c>
      <c r="F286" s="216" t="s">
        <v>614</v>
      </c>
      <c r="G286" s="216" t="s">
        <v>728</v>
      </c>
      <c r="I286" s="2462" t="s">
        <v>2374</v>
      </c>
      <c r="J286" s="138" t="s">
        <v>1905</v>
      </c>
    </row>
    <row r="287" spans="1:10" s="138" customFormat="1" ht="22.5" customHeight="1">
      <c r="A287" s="215">
        <v>30</v>
      </c>
      <c r="B287" s="216" t="s">
        <v>1334</v>
      </c>
      <c r="C287" s="215">
        <v>2</v>
      </c>
      <c r="D287" s="1538">
        <v>2033</v>
      </c>
      <c r="E287" s="1538">
        <v>4066</v>
      </c>
      <c r="F287" s="216" t="s">
        <v>614</v>
      </c>
      <c r="G287" s="216" t="s">
        <v>728</v>
      </c>
      <c r="I287" s="2462" t="s">
        <v>2374</v>
      </c>
      <c r="J287" s="138" t="s">
        <v>1905</v>
      </c>
    </row>
    <row r="288" spans="1:10" s="138" customFormat="1" ht="22.5" customHeight="1">
      <c r="A288" s="215">
        <v>31</v>
      </c>
      <c r="B288" s="216" t="s">
        <v>1830</v>
      </c>
      <c r="C288" s="215">
        <v>1</v>
      </c>
      <c r="D288" s="1538">
        <v>12900</v>
      </c>
      <c r="E288" s="1538">
        <v>12900</v>
      </c>
      <c r="F288" s="216" t="s">
        <v>1891</v>
      </c>
      <c r="G288" s="216" t="s">
        <v>728</v>
      </c>
      <c r="I288" s="2462" t="s">
        <v>2402</v>
      </c>
      <c r="J288" s="138" t="s">
        <v>1905</v>
      </c>
    </row>
    <row r="289" spans="1:10" s="138" customFormat="1" ht="22.5" customHeight="1">
      <c r="A289" s="215">
        <v>32</v>
      </c>
      <c r="B289" s="216" t="s">
        <v>2041</v>
      </c>
      <c r="C289" s="215">
        <v>8</v>
      </c>
      <c r="D289" s="1538">
        <v>4300</v>
      </c>
      <c r="E289" s="1538">
        <f>+C289*D289</f>
        <v>34400</v>
      </c>
      <c r="F289" s="216" t="s">
        <v>2295</v>
      </c>
      <c r="G289" s="216" t="s">
        <v>728</v>
      </c>
      <c r="I289" s="2462" t="s">
        <v>2154</v>
      </c>
      <c r="J289" s="138" t="s">
        <v>490</v>
      </c>
    </row>
    <row r="290" spans="1:10" s="138" customFormat="1" ht="22.5" customHeight="1">
      <c r="A290" s="215">
        <v>33</v>
      </c>
      <c r="B290" s="216" t="s">
        <v>2065</v>
      </c>
      <c r="C290" s="215">
        <v>1</v>
      </c>
      <c r="D290" s="1538">
        <v>9290</v>
      </c>
      <c r="E290" s="1538">
        <f>C290*D290</f>
        <v>9290</v>
      </c>
      <c r="F290" s="216" t="s">
        <v>2336</v>
      </c>
      <c r="G290" s="216" t="s">
        <v>728</v>
      </c>
      <c r="I290" s="2462" t="s">
        <v>2183</v>
      </c>
      <c r="J290" s="138" t="s">
        <v>490</v>
      </c>
    </row>
    <row r="291" spans="1:10" s="138" customFormat="1" ht="22.5" customHeight="1">
      <c r="A291" s="215">
        <v>34</v>
      </c>
      <c r="B291" s="216" t="s">
        <v>2072</v>
      </c>
      <c r="C291" s="215">
        <v>1</v>
      </c>
      <c r="D291" s="1538">
        <v>3900</v>
      </c>
      <c r="E291" s="1538">
        <f>C291*D291</f>
        <v>3900</v>
      </c>
      <c r="F291" s="216" t="s">
        <v>2308</v>
      </c>
      <c r="G291" s="216" t="s">
        <v>728</v>
      </c>
      <c r="I291" s="2462" t="s">
        <v>2190</v>
      </c>
      <c r="J291" s="138" t="s">
        <v>490</v>
      </c>
    </row>
    <row r="292" spans="1:10" s="138" customFormat="1" ht="22.5" customHeight="1">
      <c r="A292" s="215">
        <v>35</v>
      </c>
      <c r="B292" s="216" t="s">
        <v>2077</v>
      </c>
      <c r="C292" s="215">
        <v>2</v>
      </c>
      <c r="D292" s="1538">
        <v>16900</v>
      </c>
      <c r="E292" s="1538">
        <f>C292*D292</f>
        <v>33800</v>
      </c>
      <c r="F292" s="216" t="s">
        <v>415</v>
      </c>
      <c r="G292" s="216" t="s">
        <v>728</v>
      </c>
      <c r="I292" s="2462" t="s">
        <v>2196</v>
      </c>
      <c r="J292" s="138" t="s">
        <v>490</v>
      </c>
    </row>
    <row r="293" spans="1:10" s="138" customFormat="1" ht="22.5" customHeight="1">
      <c r="A293" s="215">
        <v>37</v>
      </c>
      <c r="B293" s="216" t="s">
        <v>2080</v>
      </c>
      <c r="C293" s="215">
        <v>1</v>
      </c>
      <c r="D293" s="1538">
        <v>9290</v>
      </c>
      <c r="E293" s="1538">
        <f>C293*D293</f>
        <v>9290</v>
      </c>
      <c r="F293" s="216" t="s">
        <v>1345</v>
      </c>
      <c r="G293" s="216" t="s">
        <v>728</v>
      </c>
      <c r="I293" s="2462" t="s">
        <v>2198</v>
      </c>
      <c r="J293" s="138" t="s">
        <v>490</v>
      </c>
    </row>
    <row r="294" spans="1:10" s="138" customFormat="1" ht="22.5" customHeight="1">
      <c r="A294" s="215">
        <v>40</v>
      </c>
      <c r="B294" s="216" t="s">
        <v>2491</v>
      </c>
      <c r="C294" s="215">
        <v>2</v>
      </c>
      <c r="D294" s="1538">
        <v>9390</v>
      </c>
      <c r="E294" s="1538">
        <f>D294*C294</f>
        <v>18780</v>
      </c>
      <c r="F294" s="216" t="s">
        <v>1436</v>
      </c>
      <c r="G294" s="216" t="s">
        <v>728</v>
      </c>
      <c r="I294" s="2462" t="s">
        <v>2244</v>
      </c>
      <c r="J294" s="138" t="s">
        <v>490</v>
      </c>
    </row>
    <row r="295" spans="1:10" s="138" customFormat="1" ht="22.5" customHeight="1">
      <c r="A295" s="215">
        <v>41</v>
      </c>
      <c r="B295" s="216" t="s">
        <v>2118</v>
      </c>
      <c r="C295" s="215">
        <v>1</v>
      </c>
      <c r="D295" s="1538">
        <v>1900</v>
      </c>
      <c r="E295" s="1538">
        <f>C295*D295</f>
        <v>1900</v>
      </c>
      <c r="F295" s="216" t="s">
        <v>1436</v>
      </c>
      <c r="G295" s="216" t="s">
        <v>728</v>
      </c>
      <c r="I295" s="2462" t="s">
        <v>2244</v>
      </c>
      <c r="J295" s="138" t="s">
        <v>490</v>
      </c>
    </row>
    <row r="296" spans="1:10" s="138" customFormat="1" ht="22.5" customHeight="1">
      <c r="A296" s="215">
        <v>42</v>
      </c>
      <c r="B296" s="216" t="s">
        <v>2144</v>
      </c>
      <c r="C296" s="215">
        <v>1</v>
      </c>
      <c r="D296" s="1538">
        <v>7790</v>
      </c>
      <c r="E296" s="1538">
        <f>C296*D296</f>
        <v>7790</v>
      </c>
      <c r="F296" s="216" t="s">
        <v>2323</v>
      </c>
      <c r="G296" s="216" t="s">
        <v>728</v>
      </c>
      <c r="I296" s="2462" t="s">
        <v>2278</v>
      </c>
      <c r="J296" s="138" t="s">
        <v>490</v>
      </c>
    </row>
    <row r="297" spans="1:10" s="138" customFormat="1" ht="22.5" customHeight="1">
      <c r="A297" s="215">
        <v>43</v>
      </c>
      <c r="B297" s="216" t="s">
        <v>465</v>
      </c>
      <c r="C297" s="215">
        <v>1</v>
      </c>
      <c r="D297" s="1538">
        <v>2290</v>
      </c>
      <c r="E297" s="1538">
        <f>C297*D297</f>
        <v>2290</v>
      </c>
      <c r="F297" s="216" t="s">
        <v>851</v>
      </c>
      <c r="G297" s="216" t="s">
        <v>728</v>
      </c>
      <c r="I297" s="2462" t="s">
        <v>2286</v>
      </c>
      <c r="J297" s="138" t="s">
        <v>490</v>
      </c>
    </row>
    <row r="298" spans="1:10" s="138" customFormat="1" ht="22.5" customHeight="1">
      <c r="A298" s="215">
        <v>44</v>
      </c>
      <c r="B298" s="216" t="s">
        <v>2152</v>
      </c>
      <c r="C298" s="215">
        <v>1</v>
      </c>
      <c r="D298" s="1538">
        <v>9500</v>
      </c>
      <c r="E298" s="1538">
        <f t="shared" ref="E298" si="12">C298*D298</f>
        <v>9500</v>
      </c>
      <c r="F298" s="216" t="s">
        <v>2310</v>
      </c>
      <c r="G298" s="216" t="s">
        <v>728</v>
      </c>
      <c r="I298" s="2462" t="s">
        <v>2293</v>
      </c>
      <c r="J298" s="138" t="s">
        <v>490</v>
      </c>
    </row>
    <row r="299" spans="1:10" s="138" customFormat="1" ht="22.5" customHeight="1" thickBot="1">
      <c r="A299" s="1501"/>
      <c r="C299" s="1501"/>
      <c r="D299" s="2448"/>
      <c r="E299" s="2465">
        <f>SUM(E258:E298)</f>
        <v>1950787.01</v>
      </c>
    </row>
    <row r="300" spans="1:10" ht="21.75" thickTop="1">
      <c r="C300" s="1426"/>
      <c r="D300" s="2438"/>
      <c r="E300" s="2438"/>
    </row>
    <row r="301" spans="1:10">
      <c r="A301" s="1509"/>
      <c r="B301" s="2464" t="s">
        <v>208</v>
      </c>
      <c r="C301" s="1509"/>
      <c r="D301" s="2444"/>
      <c r="E301" s="2444"/>
      <c r="F301" s="1486"/>
    </row>
    <row r="302" spans="1:10">
      <c r="A302" s="1478" t="s">
        <v>2</v>
      </c>
      <c r="B302" s="1478" t="s">
        <v>3</v>
      </c>
      <c r="C302" s="1478" t="s">
        <v>618</v>
      </c>
      <c r="D302" s="1478" t="s">
        <v>1410</v>
      </c>
      <c r="E302" s="1478" t="s">
        <v>1411</v>
      </c>
      <c r="F302" s="1478" t="s">
        <v>388</v>
      </c>
      <c r="G302" s="1478" t="s">
        <v>727</v>
      </c>
      <c r="H302" s="2403"/>
    </row>
    <row r="303" spans="1:10">
      <c r="A303" s="479">
        <v>1</v>
      </c>
      <c r="B303" s="305" t="s">
        <v>1378</v>
      </c>
      <c r="C303" s="306">
        <v>1</v>
      </c>
      <c r="D303" s="308">
        <v>5490</v>
      </c>
      <c r="E303" s="308">
        <v>5490</v>
      </c>
      <c r="F303" s="305" t="s">
        <v>470</v>
      </c>
      <c r="G303" s="686" t="s">
        <v>729</v>
      </c>
      <c r="H303" s="1495"/>
      <c r="I303" s="19" t="s">
        <v>1721</v>
      </c>
    </row>
    <row r="304" spans="1:10">
      <c r="A304" s="479">
        <v>2</v>
      </c>
      <c r="B304" s="305" t="s">
        <v>868</v>
      </c>
      <c r="C304" s="306">
        <v>1</v>
      </c>
      <c r="D304" s="308">
        <v>39630</v>
      </c>
      <c r="E304" s="308">
        <v>39630</v>
      </c>
      <c r="F304" s="1528" t="s">
        <v>1382</v>
      </c>
      <c r="G304" s="686" t="s">
        <v>729</v>
      </c>
      <c r="H304" s="1495"/>
      <c r="I304" s="19" t="s">
        <v>1721</v>
      </c>
    </row>
    <row r="305" spans="1:9" ht="18" customHeight="1">
      <c r="A305" s="479">
        <v>3</v>
      </c>
      <c r="B305" s="390" t="s">
        <v>1378</v>
      </c>
      <c r="C305" s="479">
        <v>1</v>
      </c>
      <c r="D305" s="307">
        <v>5490</v>
      </c>
      <c r="E305" s="307">
        <v>5490</v>
      </c>
      <c r="F305" s="389" t="s">
        <v>1383</v>
      </c>
      <c r="G305" s="686" t="s">
        <v>729</v>
      </c>
      <c r="H305" s="1495"/>
      <c r="I305" s="19" t="s">
        <v>1721</v>
      </c>
    </row>
    <row r="306" spans="1:9" s="138" customFormat="1" ht="42">
      <c r="A306" s="479">
        <v>4</v>
      </c>
      <c r="B306" s="221" t="s">
        <v>868</v>
      </c>
      <c r="C306" s="215">
        <v>1</v>
      </c>
      <c r="D306" s="1531">
        <v>45600</v>
      </c>
      <c r="E306" s="1531">
        <v>45600</v>
      </c>
      <c r="F306" s="482" t="s">
        <v>1406</v>
      </c>
      <c r="G306" s="322" t="s">
        <v>729</v>
      </c>
      <c r="H306" s="205"/>
      <c r="I306" s="138" t="s">
        <v>1721</v>
      </c>
    </row>
    <row r="307" spans="1:9">
      <c r="A307" s="479">
        <v>5</v>
      </c>
      <c r="B307" s="685" t="s">
        <v>203</v>
      </c>
      <c r="C307" s="1481">
        <v>71</v>
      </c>
      <c r="D307" s="1534">
        <v>7000</v>
      </c>
      <c r="E307" s="1534">
        <f>C307*D307</f>
        <v>497000</v>
      </c>
      <c r="F307" s="682" t="s">
        <v>456</v>
      </c>
      <c r="G307" s="682" t="s">
        <v>729</v>
      </c>
      <c r="H307" s="1505"/>
      <c r="I307" s="138" t="s">
        <v>1721</v>
      </c>
    </row>
    <row r="308" spans="1:9">
      <c r="A308" s="479">
        <v>6</v>
      </c>
      <c r="B308" s="686" t="s">
        <v>899</v>
      </c>
      <c r="C308" s="1475">
        <v>3</v>
      </c>
      <c r="D308" s="1476">
        <v>15200</v>
      </c>
      <c r="E308" s="1476">
        <f t="shared" ref="E308" si="13">+C308*D308</f>
        <v>45600</v>
      </c>
      <c r="F308" s="686" t="s">
        <v>888</v>
      </c>
      <c r="G308" s="682" t="s">
        <v>729</v>
      </c>
      <c r="H308" s="1505"/>
      <c r="I308" s="138" t="s">
        <v>1721</v>
      </c>
    </row>
    <row r="309" spans="1:9">
      <c r="A309" s="479">
        <v>7</v>
      </c>
      <c r="B309" s="686" t="s">
        <v>1006</v>
      </c>
      <c r="C309" s="1475">
        <v>1</v>
      </c>
      <c r="D309" s="1476">
        <v>2027.65</v>
      </c>
      <c r="E309" s="1476">
        <v>2027.65</v>
      </c>
      <c r="F309" s="686" t="s">
        <v>888</v>
      </c>
      <c r="G309" s="682" t="s">
        <v>729</v>
      </c>
      <c r="H309" s="1505"/>
      <c r="I309" s="138" t="s">
        <v>1721</v>
      </c>
    </row>
    <row r="310" spans="1:9">
      <c r="A310" s="479">
        <v>8</v>
      </c>
      <c r="B310" s="686" t="s">
        <v>903</v>
      </c>
      <c r="C310" s="1475">
        <v>1</v>
      </c>
      <c r="D310" s="1476">
        <v>2990</v>
      </c>
      <c r="E310" s="1476">
        <f>+C310*D310</f>
        <v>2990</v>
      </c>
      <c r="F310" s="686" t="s">
        <v>472</v>
      </c>
      <c r="G310" s="682" t="s">
        <v>729</v>
      </c>
      <c r="H310" s="1505"/>
      <c r="I310" s="138" t="s">
        <v>1721</v>
      </c>
    </row>
    <row r="311" spans="1:9">
      <c r="A311" s="479">
        <v>9</v>
      </c>
      <c r="B311" s="305" t="s">
        <v>902</v>
      </c>
      <c r="C311" s="306">
        <v>1</v>
      </c>
      <c r="D311" s="1536">
        <v>6100</v>
      </c>
      <c r="E311" s="1536">
        <v>6100</v>
      </c>
      <c r="F311" s="305" t="s">
        <v>418</v>
      </c>
      <c r="G311" s="682" t="s">
        <v>729</v>
      </c>
      <c r="H311" s="1505"/>
      <c r="I311" s="138" t="s">
        <v>1721</v>
      </c>
    </row>
    <row r="312" spans="1:9">
      <c r="A312" s="479">
        <v>10</v>
      </c>
      <c r="B312" s="305" t="s">
        <v>469</v>
      </c>
      <c r="C312" s="306">
        <v>1</v>
      </c>
      <c r="D312" s="1536">
        <v>2305.85</v>
      </c>
      <c r="E312" s="1536">
        <v>2305.85</v>
      </c>
      <c r="F312" s="305" t="s">
        <v>470</v>
      </c>
      <c r="G312" s="682" t="s">
        <v>729</v>
      </c>
      <c r="H312" s="1505"/>
      <c r="I312" s="138" t="s">
        <v>1721</v>
      </c>
    </row>
    <row r="313" spans="1:9">
      <c r="A313" s="479">
        <v>11</v>
      </c>
      <c r="B313" s="305" t="s">
        <v>1277</v>
      </c>
      <c r="C313" s="306">
        <v>1</v>
      </c>
      <c r="D313" s="1536">
        <v>1818.3</v>
      </c>
      <c r="E313" s="1536">
        <v>1818.3</v>
      </c>
      <c r="F313" s="305" t="s">
        <v>1278</v>
      </c>
      <c r="G313" s="682" t="s">
        <v>729</v>
      </c>
      <c r="H313" s="1505"/>
      <c r="I313" s="138" t="s">
        <v>1721</v>
      </c>
    </row>
    <row r="314" spans="1:9">
      <c r="A314" s="479">
        <v>12</v>
      </c>
      <c r="B314" s="390" t="s">
        <v>1279</v>
      </c>
      <c r="C314" s="479">
        <v>3</v>
      </c>
      <c r="D314" s="1537">
        <v>13500</v>
      </c>
      <c r="E314" s="1537">
        <f>C314*D314</f>
        <v>40500</v>
      </c>
      <c r="F314" s="390" t="s">
        <v>444</v>
      </c>
      <c r="G314" s="682" t="s">
        <v>729</v>
      </c>
      <c r="H314" s="1505"/>
      <c r="I314" s="138" t="s">
        <v>1721</v>
      </c>
    </row>
    <row r="315" spans="1:9">
      <c r="A315" s="479">
        <v>13</v>
      </c>
      <c r="B315" s="390" t="s">
        <v>1280</v>
      </c>
      <c r="C315" s="479">
        <v>2</v>
      </c>
      <c r="D315" s="1537">
        <v>6200</v>
      </c>
      <c r="E315" s="1537">
        <v>12400</v>
      </c>
      <c r="F315" s="390" t="s">
        <v>604</v>
      </c>
      <c r="G315" s="682" t="s">
        <v>729</v>
      </c>
      <c r="H315" s="1505"/>
      <c r="I315" s="138" t="s">
        <v>1721</v>
      </c>
    </row>
    <row r="316" spans="1:9" s="138" customFormat="1">
      <c r="A316" s="479">
        <v>14</v>
      </c>
      <c r="B316" s="221" t="s">
        <v>474</v>
      </c>
      <c r="C316" s="215">
        <v>2</v>
      </c>
      <c r="D316" s="1538">
        <v>2590</v>
      </c>
      <c r="E316" s="1538">
        <v>5180</v>
      </c>
      <c r="F316" s="482" t="s">
        <v>1477</v>
      </c>
      <c r="G316" s="682" t="s">
        <v>729</v>
      </c>
      <c r="H316" s="1505"/>
      <c r="I316" s="138" t="s">
        <v>1721</v>
      </c>
    </row>
    <row r="317" spans="1:9">
      <c r="A317" s="479">
        <v>15</v>
      </c>
      <c r="B317" s="390" t="s">
        <v>1281</v>
      </c>
      <c r="C317" s="479">
        <v>1</v>
      </c>
      <c r="D317" s="1537">
        <v>3200</v>
      </c>
      <c r="E317" s="1537">
        <v>3200</v>
      </c>
      <c r="F317" s="390" t="s">
        <v>614</v>
      </c>
      <c r="G317" s="682" t="s">
        <v>729</v>
      </c>
      <c r="H317" s="1505"/>
      <c r="I317" s="138" t="s">
        <v>1721</v>
      </c>
    </row>
    <row r="318" spans="1:9">
      <c r="A318" s="479">
        <v>16</v>
      </c>
      <c r="B318" s="390" t="s">
        <v>908</v>
      </c>
      <c r="C318" s="479">
        <v>1</v>
      </c>
      <c r="D318" s="1537">
        <v>4611.7</v>
      </c>
      <c r="E318" s="1537">
        <v>4611.7</v>
      </c>
      <c r="F318" s="390" t="s">
        <v>1282</v>
      </c>
      <c r="G318" s="682" t="s">
        <v>729</v>
      </c>
      <c r="H318" s="1505"/>
      <c r="I318" s="138" t="s">
        <v>1721</v>
      </c>
    </row>
    <row r="319" spans="1:9">
      <c r="A319" s="479">
        <v>17</v>
      </c>
      <c r="B319" s="390" t="s">
        <v>473</v>
      </c>
      <c r="C319" s="479">
        <v>1</v>
      </c>
      <c r="D319" s="1537">
        <v>3400</v>
      </c>
      <c r="E319" s="1537">
        <v>3400</v>
      </c>
      <c r="F319" s="390" t="s">
        <v>1283</v>
      </c>
      <c r="G319" s="682" t="s">
        <v>729</v>
      </c>
      <c r="H319" s="1505"/>
      <c r="I319" s="138" t="s">
        <v>1721</v>
      </c>
    </row>
    <row r="320" spans="1:9">
      <c r="A320" s="479">
        <v>18</v>
      </c>
      <c r="B320" s="390" t="s">
        <v>1284</v>
      </c>
      <c r="C320" s="479">
        <v>1</v>
      </c>
      <c r="D320" s="1537">
        <v>58500</v>
      </c>
      <c r="E320" s="1537">
        <v>58500</v>
      </c>
      <c r="F320" s="390" t="s">
        <v>1285</v>
      </c>
      <c r="G320" s="682" t="s">
        <v>729</v>
      </c>
      <c r="H320" s="1505"/>
      <c r="I320" s="138" t="s">
        <v>1721</v>
      </c>
    </row>
    <row r="321" spans="1:9">
      <c r="A321" s="479">
        <v>19</v>
      </c>
      <c r="B321" s="390" t="s">
        <v>1286</v>
      </c>
      <c r="C321" s="479">
        <v>1</v>
      </c>
      <c r="D321" s="1537">
        <v>2619.36</v>
      </c>
      <c r="E321" s="478">
        <v>2619.36</v>
      </c>
      <c r="F321" s="389" t="s">
        <v>1287</v>
      </c>
      <c r="G321" s="682" t="s">
        <v>729</v>
      </c>
      <c r="H321" s="1505"/>
      <c r="I321" s="138" t="s">
        <v>1721</v>
      </c>
    </row>
    <row r="322" spans="1:9">
      <c r="A322" s="479">
        <v>20</v>
      </c>
      <c r="B322" s="390" t="s">
        <v>469</v>
      </c>
      <c r="C322" s="479">
        <v>1</v>
      </c>
      <c r="D322" s="1537">
        <v>2305.85</v>
      </c>
      <c r="E322" s="1537">
        <v>2305.85</v>
      </c>
      <c r="F322" s="390" t="s">
        <v>855</v>
      </c>
      <c r="G322" s="682" t="s">
        <v>729</v>
      </c>
      <c r="H322" s="1505"/>
      <c r="I322" s="138" t="s">
        <v>1721</v>
      </c>
    </row>
    <row r="323" spans="1:9">
      <c r="A323" s="479">
        <v>21</v>
      </c>
      <c r="B323" s="390" t="s">
        <v>918</v>
      </c>
      <c r="C323" s="479">
        <v>1</v>
      </c>
      <c r="D323" s="1537">
        <v>1802.95</v>
      </c>
      <c r="E323" s="1537">
        <v>1802.95</v>
      </c>
      <c r="F323" s="390" t="s">
        <v>855</v>
      </c>
      <c r="G323" s="682" t="s">
        <v>729</v>
      </c>
      <c r="H323" s="1505"/>
      <c r="I323" s="138" t="s">
        <v>1721</v>
      </c>
    </row>
    <row r="324" spans="1:9">
      <c r="A324" s="479">
        <v>22</v>
      </c>
      <c r="B324" s="390" t="s">
        <v>1288</v>
      </c>
      <c r="C324" s="479">
        <v>10</v>
      </c>
      <c r="D324" s="1537">
        <v>1350</v>
      </c>
      <c r="E324" s="1537">
        <v>13500</v>
      </c>
      <c r="F324" s="390" t="s">
        <v>414</v>
      </c>
      <c r="G324" s="682" t="s">
        <v>729</v>
      </c>
      <c r="H324" s="1505"/>
      <c r="I324" s="138" t="s">
        <v>1721</v>
      </c>
    </row>
    <row r="325" spans="1:9">
      <c r="A325" s="479">
        <v>23</v>
      </c>
      <c r="B325" s="390" t="s">
        <v>919</v>
      </c>
      <c r="C325" s="479">
        <v>2</v>
      </c>
      <c r="D325" s="1537">
        <v>49500</v>
      </c>
      <c r="E325" s="1537">
        <v>99000</v>
      </c>
      <c r="F325" s="390" t="s">
        <v>472</v>
      </c>
      <c r="G325" s="682" t="s">
        <v>729</v>
      </c>
      <c r="H325" s="1505"/>
      <c r="I325" s="138" t="s">
        <v>1721</v>
      </c>
    </row>
    <row r="326" spans="1:9" s="138" customFormat="1">
      <c r="A326" s="479">
        <v>24</v>
      </c>
      <c r="B326" s="221" t="s">
        <v>868</v>
      </c>
      <c r="C326" s="215">
        <v>1</v>
      </c>
      <c r="D326" s="1538">
        <v>39630</v>
      </c>
      <c r="E326" s="1538">
        <v>39630</v>
      </c>
      <c r="F326" s="482" t="s">
        <v>2490</v>
      </c>
      <c r="G326" s="498" t="s">
        <v>729</v>
      </c>
      <c r="H326" s="1870"/>
      <c r="I326" s="138" t="s">
        <v>1721</v>
      </c>
    </row>
    <row r="327" spans="1:9" s="138" customFormat="1">
      <c r="A327" s="479">
        <v>25</v>
      </c>
      <c r="B327" s="221" t="s">
        <v>469</v>
      </c>
      <c r="C327" s="215">
        <v>1</v>
      </c>
      <c r="D327" s="1538">
        <v>2305.85</v>
      </c>
      <c r="E327" s="1538">
        <v>2305.85</v>
      </c>
      <c r="F327" s="221" t="s">
        <v>856</v>
      </c>
      <c r="G327" s="682" t="s">
        <v>729</v>
      </c>
      <c r="H327" s="1505"/>
      <c r="I327" s="138" t="s">
        <v>1721</v>
      </c>
    </row>
    <row r="328" spans="1:9" s="138" customFormat="1">
      <c r="A328" s="479">
        <v>26</v>
      </c>
      <c r="B328" s="221" t="s">
        <v>469</v>
      </c>
      <c r="C328" s="215">
        <v>2</v>
      </c>
      <c r="D328" s="1538">
        <v>2305.85</v>
      </c>
      <c r="E328" s="1538">
        <v>4611.7</v>
      </c>
      <c r="F328" s="221" t="s">
        <v>851</v>
      </c>
      <c r="G328" s="682" t="s">
        <v>729</v>
      </c>
      <c r="H328" s="1505"/>
      <c r="I328" s="138" t="s">
        <v>1721</v>
      </c>
    </row>
    <row r="329" spans="1:9" s="138" customFormat="1">
      <c r="A329" s="479">
        <v>27</v>
      </c>
      <c r="B329" s="221" t="s">
        <v>1289</v>
      </c>
      <c r="C329" s="215">
        <v>1</v>
      </c>
      <c r="D329" s="1538">
        <v>34775</v>
      </c>
      <c r="E329" s="1538">
        <v>34775</v>
      </c>
      <c r="F329" s="221" t="s">
        <v>414</v>
      </c>
      <c r="G329" s="682" t="s">
        <v>729</v>
      </c>
      <c r="H329" s="1505"/>
      <c r="I329" s="138" t="s">
        <v>1721</v>
      </c>
    </row>
    <row r="330" spans="1:9" s="138" customFormat="1">
      <c r="A330" s="479">
        <v>28</v>
      </c>
      <c r="B330" s="221" t="s">
        <v>1290</v>
      </c>
      <c r="C330" s="215">
        <v>7</v>
      </c>
      <c r="D330" s="1538">
        <v>3400</v>
      </c>
      <c r="E330" s="1538">
        <v>23800</v>
      </c>
      <c r="F330" s="482" t="s">
        <v>955</v>
      </c>
      <c r="G330" s="498" t="s">
        <v>729</v>
      </c>
      <c r="H330" s="1870"/>
      <c r="I330" s="138" t="s">
        <v>1721</v>
      </c>
    </row>
    <row r="331" spans="1:9">
      <c r="A331" s="479">
        <v>29</v>
      </c>
      <c r="B331" s="390" t="s">
        <v>908</v>
      </c>
      <c r="C331" s="479">
        <v>3</v>
      </c>
      <c r="D331" s="1537">
        <v>2305.85</v>
      </c>
      <c r="E331" s="1537">
        <v>6917.55</v>
      </c>
      <c r="F331" s="390" t="s">
        <v>948</v>
      </c>
      <c r="G331" s="682" t="s">
        <v>729</v>
      </c>
      <c r="H331" s="1505"/>
      <c r="I331" s="138" t="s">
        <v>1721</v>
      </c>
    </row>
    <row r="332" spans="1:9">
      <c r="A332" s="479">
        <v>30</v>
      </c>
      <c r="B332" s="390" t="s">
        <v>1291</v>
      </c>
      <c r="C332" s="479">
        <v>1</v>
      </c>
      <c r="D332" s="1537">
        <v>3400</v>
      </c>
      <c r="E332" s="1537">
        <v>3400</v>
      </c>
      <c r="F332" s="390" t="s">
        <v>614</v>
      </c>
      <c r="G332" s="682" t="s">
        <v>729</v>
      </c>
      <c r="H332" s="1505"/>
      <c r="I332" s="138" t="s">
        <v>1721</v>
      </c>
    </row>
    <row r="333" spans="1:9" s="138" customFormat="1">
      <c r="A333" s="479">
        <v>31</v>
      </c>
      <c r="B333" s="221" t="s">
        <v>908</v>
      </c>
      <c r="C333" s="215">
        <v>1</v>
      </c>
      <c r="D333" s="1538">
        <v>2305.85</v>
      </c>
      <c r="E333" s="1538">
        <v>2305.85</v>
      </c>
      <c r="F333" s="482" t="s">
        <v>2470</v>
      </c>
      <c r="G333" s="682" t="s">
        <v>729</v>
      </c>
      <c r="H333" s="1505"/>
      <c r="I333" s="138" t="s">
        <v>1721</v>
      </c>
    </row>
    <row r="334" spans="1:9" s="138" customFormat="1" ht="42">
      <c r="A334" s="479">
        <v>32</v>
      </c>
      <c r="B334" s="221" t="s">
        <v>1292</v>
      </c>
      <c r="C334" s="215">
        <v>6</v>
      </c>
      <c r="D334" s="1538">
        <v>4050</v>
      </c>
      <c r="E334" s="1538">
        <v>24300</v>
      </c>
      <c r="F334" s="482" t="s">
        <v>1416</v>
      </c>
      <c r="G334" s="498" t="s">
        <v>729</v>
      </c>
      <c r="H334" s="1870"/>
      <c r="I334" s="138" t="s">
        <v>1721</v>
      </c>
    </row>
    <row r="335" spans="1:9">
      <c r="A335" s="479">
        <v>33</v>
      </c>
      <c r="B335" s="390" t="s">
        <v>1301</v>
      </c>
      <c r="C335" s="479">
        <v>2</v>
      </c>
      <c r="D335" s="1537">
        <v>6200</v>
      </c>
      <c r="E335" s="1537">
        <v>12400</v>
      </c>
      <c r="F335" s="390" t="s">
        <v>416</v>
      </c>
      <c r="G335" s="682" t="s">
        <v>729</v>
      </c>
      <c r="H335" s="1505"/>
      <c r="I335" s="138" t="s">
        <v>1721</v>
      </c>
    </row>
    <row r="336" spans="1:9" s="138" customFormat="1">
      <c r="A336" s="479">
        <v>34</v>
      </c>
      <c r="B336" s="221" t="s">
        <v>1302</v>
      </c>
      <c r="C336" s="215">
        <v>100</v>
      </c>
      <c r="D336" s="1538">
        <v>4900</v>
      </c>
      <c r="E336" s="1538">
        <v>490000</v>
      </c>
      <c r="F336" s="482" t="s">
        <v>2471</v>
      </c>
      <c r="G336" s="682" t="s">
        <v>729</v>
      </c>
      <c r="H336" s="1505"/>
      <c r="I336" s="138" t="s">
        <v>1721</v>
      </c>
    </row>
    <row r="337" spans="1:9" s="138" customFormat="1">
      <c r="A337" s="479">
        <v>35</v>
      </c>
      <c r="B337" s="221" t="s">
        <v>918</v>
      </c>
      <c r="C337" s="215">
        <v>5</v>
      </c>
      <c r="D337" s="1538">
        <v>1808.3</v>
      </c>
      <c r="E337" s="1538">
        <v>9041.5</v>
      </c>
      <c r="F337" s="482" t="s">
        <v>2488</v>
      </c>
      <c r="G337" s="682" t="s">
        <v>729</v>
      </c>
      <c r="H337" s="1505"/>
      <c r="I337" s="138" t="s">
        <v>1721</v>
      </c>
    </row>
    <row r="338" spans="1:9">
      <c r="A338" s="479">
        <v>36</v>
      </c>
      <c r="B338" s="390" t="s">
        <v>1310</v>
      </c>
      <c r="C338" s="479">
        <v>8</v>
      </c>
      <c r="D338" s="1537">
        <v>1350</v>
      </c>
      <c r="E338" s="1537">
        <v>10800</v>
      </c>
      <c r="F338" s="390" t="s">
        <v>418</v>
      </c>
      <c r="G338" s="682" t="s">
        <v>729</v>
      </c>
      <c r="H338" s="1505"/>
      <c r="I338" s="138" t="s">
        <v>1721</v>
      </c>
    </row>
    <row r="339" spans="1:9">
      <c r="A339" s="479">
        <v>37</v>
      </c>
      <c r="B339" s="390" t="s">
        <v>1311</v>
      </c>
      <c r="C339" s="479">
        <v>2</v>
      </c>
      <c r="D339" s="1537">
        <v>1890</v>
      </c>
      <c r="E339" s="1537">
        <v>3780</v>
      </c>
      <c r="F339" s="390" t="s">
        <v>858</v>
      </c>
      <c r="G339" s="682" t="s">
        <v>729</v>
      </c>
      <c r="H339" s="1505"/>
      <c r="I339" s="138" t="s">
        <v>1721</v>
      </c>
    </row>
    <row r="340" spans="1:9">
      <c r="A340" s="479">
        <v>38</v>
      </c>
      <c r="B340" s="390" t="s">
        <v>473</v>
      </c>
      <c r="C340" s="479">
        <v>3</v>
      </c>
      <c r="D340" s="1537">
        <v>2590</v>
      </c>
      <c r="E340" s="1537">
        <v>7770</v>
      </c>
      <c r="F340" s="390" t="s">
        <v>858</v>
      </c>
      <c r="G340" s="682" t="s">
        <v>729</v>
      </c>
      <c r="H340" s="1505"/>
      <c r="I340" s="138" t="s">
        <v>1721</v>
      </c>
    </row>
    <row r="341" spans="1:9">
      <c r="A341" s="479">
        <v>39</v>
      </c>
      <c r="B341" s="390" t="s">
        <v>1312</v>
      </c>
      <c r="C341" s="479">
        <v>1</v>
      </c>
      <c r="D341" s="1537">
        <v>1290</v>
      </c>
      <c r="E341" s="1537">
        <v>1290</v>
      </c>
      <c r="F341" s="390" t="s">
        <v>858</v>
      </c>
      <c r="G341" s="682" t="s">
        <v>729</v>
      </c>
      <c r="H341" s="1505"/>
      <c r="I341" s="138" t="s">
        <v>1721</v>
      </c>
    </row>
    <row r="342" spans="1:9">
      <c r="A342" s="479">
        <v>40</v>
      </c>
      <c r="B342" s="390" t="s">
        <v>1313</v>
      </c>
      <c r="C342" s="479">
        <v>2</v>
      </c>
      <c r="D342" s="1537">
        <v>3490</v>
      </c>
      <c r="E342" s="1537">
        <v>6980</v>
      </c>
      <c r="F342" s="390" t="s">
        <v>858</v>
      </c>
      <c r="G342" s="682" t="s">
        <v>729</v>
      </c>
      <c r="H342" s="1505"/>
      <c r="I342" s="138" t="s">
        <v>1721</v>
      </c>
    </row>
    <row r="343" spans="1:9">
      <c r="A343" s="479">
        <v>41</v>
      </c>
      <c r="B343" s="390" t="s">
        <v>1314</v>
      </c>
      <c r="C343" s="479">
        <v>1</v>
      </c>
      <c r="D343" s="1537">
        <v>4290</v>
      </c>
      <c r="E343" s="1537">
        <v>4290</v>
      </c>
      <c r="F343" s="390" t="s">
        <v>858</v>
      </c>
      <c r="G343" s="682" t="s">
        <v>729</v>
      </c>
      <c r="H343" s="1505"/>
      <c r="I343" s="138" t="s">
        <v>1721</v>
      </c>
    </row>
    <row r="344" spans="1:9">
      <c r="A344" s="479">
        <v>42</v>
      </c>
      <c r="B344" s="390" t="s">
        <v>1315</v>
      </c>
      <c r="C344" s="479">
        <v>2</v>
      </c>
      <c r="D344" s="1537">
        <v>15000</v>
      </c>
      <c r="E344" s="1537">
        <v>30000</v>
      </c>
      <c r="F344" s="390" t="s">
        <v>721</v>
      </c>
      <c r="G344" s="682" t="s">
        <v>729</v>
      </c>
      <c r="H344" s="1505"/>
      <c r="I344" s="138" t="s">
        <v>1721</v>
      </c>
    </row>
    <row r="345" spans="1:9">
      <c r="A345" s="479">
        <v>43</v>
      </c>
      <c r="B345" s="390" t="s">
        <v>1316</v>
      </c>
      <c r="C345" s="479">
        <v>2</v>
      </c>
      <c r="D345" s="1537">
        <v>2750</v>
      </c>
      <c r="E345" s="1537">
        <v>5500</v>
      </c>
      <c r="F345" s="390" t="s">
        <v>721</v>
      </c>
      <c r="G345" s="682" t="s">
        <v>729</v>
      </c>
      <c r="H345" s="1505"/>
      <c r="I345" s="138" t="s">
        <v>1721</v>
      </c>
    </row>
    <row r="346" spans="1:9">
      <c r="A346" s="479">
        <v>44</v>
      </c>
      <c r="B346" s="390" t="s">
        <v>1317</v>
      </c>
      <c r="C346" s="479">
        <v>4</v>
      </c>
      <c r="D346" s="1537">
        <v>1400</v>
      </c>
      <c r="E346" s="1537">
        <v>5600</v>
      </c>
      <c r="F346" s="390" t="s">
        <v>721</v>
      </c>
      <c r="G346" s="682" t="s">
        <v>729</v>
      </c>
      <c r="H346" s="1505"/>
      <c r="I346" s="138" t="s">
        <v>1721</v>
      </c>
    </row>
    <row r="347" spans="1:9">
      <c r="A347" s="479">
        <v>45</v>
      </c>
      <c r="B347" s="390" t="s">
        <v>1318</v>
      </c>
      <c r="C347" s="479">
        <v>3</v>
      </c>
      <c r="D347" s="1537">
        <v>1800</v>
      </c>
      <c r="E347" s="1537">
        <v>5400</v>
      </c>
      <c r="F347" s="390" t="s">
        <v>721</v>
      </c>
      <c r="G347" s="682" t="s">
        <v>729</v>
      </c>
      <c r="H347" s="1505"/>
      <c r="I347" s="138" t="s">
        <v>1721</v>
      </c>
    </row>
    <row r="348" spans="1:9">
      <c r="A348" s="479">
        <v>46</v>
      </c>
      <c r="B348" s="221" t="s">
        <v>1322</v>
      </c>
      <c r="C348" s="479">
        <v>6</v>
      </c>
      <c r="D348" s="1537">
        <v>4200</v>
      </c>
      <c r="E348" s="1537">
        <v>25200</v>
      </c>
      <c r="F348" s="390" t="s">
        <v>1320</v>
      </c>
      <c r="G348" s="682" t="s">
        <v>729</v>
      </c>
      <c r="H348" s="1505"/>
      <c r="I348" s="138" t="s">
        <v>1721</v>
      </c>
    </row>
    <row r="349" spans="1:9">
      <c r="A349" s="479">
        <v>47</v>
      </c>
      <c r="B349" s="390" t="s">
        <v>1323</v>
      </c>
      <c r="C349" s="479">
        <v>12</v>
      </c>
      <c r="D349" s="1537">
        <v>4800</v>
      </c>
      <c r="E349" s="1537">
        <v>57600</v>
      </c>
      <c r="F349" s="390" t="s">
        <v>1320</v>
      </c>
      <c r="G349" s="682" t="s">
        <v>729</v>
      </c>
      <c r="H349" s="1505"/>
      <c r="I349" s="138" t="s">
        <v>1721</v>
      </c>
    </row>
    <row r="350" spans="1:9">
      <c r="A350" s="479">
        <v>48</v>
      </c>
      <c r="B350" s="390" t="s">
        <v>1326</v>
      </c>
      <c r="C350" s="479">
        <v>6</v>
      </c>
      <c r="D350" s="1537">
        <v>5500</v>
      </c>
      <c r="E350" s="1537">
        <v>33000</v>
      </c>
      <c r="F350" s="390" t="s">
        <v>1320</v>
      </c>
      <c r="G350" s="682" t="s">
        <v>729</v>
      </c>
      <c r="H350" s="1505"/>
      <c r="I350" s="138" t="s">
        <v>1721</v>
      </c>
    </row>
    <row r="351" spans="1:9">
      <c r="A351" s="479">
        <v>49</v>
      </c>
      <c r="B351" s="390" t="s">
        <v>1327</v>
      </c>
      <c r="C351" s="479">
        <v>6</v>
      </c>
      <c r="D351" s="1537">
        <v>9700</v>
      </c>
      <c r="E351" s="1537">
        <v>58200</v>
      </c>
      <c r="F351" s="390" t="s">
        <v>1320</v>
      </c>
      <c r="G351" s="682" t="s">
        <v>729</v>
      </c>
      <c r="H351" s="1505"/>
      <c r="I351" s="138" t="s">
        <v>1721</v>
      </c>
    </row>
    <row r="352" spans="1:9" s="138" customFormat="1">
      <c r="A352" s="479">
        <v>50</v>
      </c>
      <c r="B352" s="221" t="s">
        <v>473</v>
      </c>
      <c r="C352" s="215">
        <v>1</v>
      </c>
      <c r="D352" s="1538">
        <v>3400</v>
      </c>
      <c r="E352" s="1538">
        <v>3400</v>
      </c>
      <c r="F352" s="482" t="s">
        <v>2473</v>
      </c>
      <c r="G352" s="682" t="s">
        <v>729</v>
      </c>
      <c r="H352" s="1505"/>
      <c r="I352" s="138" t="s">
        <v>1721</v>
      </c>
    </row>
    <row r="353" spans="1:9" s="138" customFormat="1" ht="42">
      <c r="A353" s="479">
        <v>51</v>
      </c>
      <c r="B353" s="221" t="s">
        <v>1328</v>
      </c>
      <c r="C353" s="215">
        <v>3</v>
      </c>
      <c r="D353" s="1538">
        <v>49000</v>
      </c>
      <c r="E353" s="1538">
        <v>147000</v>
      </c>
      <c r="F353" s="482" t="s">
        <v>1406</v>
      </c>
      <c r="G353" s="498" t="s">
        <v>729</v>
      </c>
      <c r="H353" s="1870"/>
      <c r="I353" s="138" t="s">
        <v>1721</v>
      </c>
    </row>
    <row r="354" spans="1:9">
      <c r="A354" s="479">
        <v>52</v>
      </c>
      <c r="B354" s="390" t="s">
        <v>1329</v>
      </c>
      <c r="C354" s="479">
        <v>2</v>
      </c>
      <c r="D354" s="1537">
        <v>14500</v>
      </c>
      <c r="E354" s="1537">
        <v>29000</v>
      </c>
      <c r="F354" s="390" t="s">
        <v>888</v>
      </c>
      <c r="G354" s="682" t="s">
        <v>729</v>
      </c>
      <c r="H354" s="1505"/>
      <c r="I354" s="138" t="s">
        <v>1721</v>
      </c>
    </row>
    <row r="355" spans="1:9">
      <c r="A355" s="479">
        <v>53</v>
      </c>
      <c r="B355" s="390" t="s">
        <v>1330</v>
      </c>
      <c r="C355" s="479">
        <v>4</v>
      </c>
      <c r="D355" s="1537">
        <v>7600</v>
      </c>
      <c r="E355" s="1537">
        <v>30400</v>
      </c>
      <c r="F355" s="390" t="s">
        <v>961</v>
      </c>
      <c r="G355" s="682" t="s">
        <v>729</v>
      </c>
      <c r="H355" s="1505"/>
      <c r="I355" s="138" t="s">
        <v>1721</v>
      </c>
    </row>
    <row r="356" spans="1:9" s="138" customFormat="1" ht="42">
      <c r="A356" s="479">
        <v>54</v>
      </c>
      <c r="B356" s="221" t="s">
        <v>1332</v>
      </c>
      <c r="C356" s="215">
        <v>1</v>
      </c>
      <c r="D356" s="1538">
        <v>315115</v>
      </c>
      <c r="E356" s="1538">
        <v>315115</v>
      </c>
      <c r="F356" s="482" t="s">
        <v>1406</v>
      </c>
      <c r="G356" s="498" t="s">
        <v>729</v>
      </c>
      <c r="H356" s="1870"/>
      <c r="I356" s="138" t="s">
        <v>1721</v>
      </c>
    </row>
    <row r="357" spans="1:9">
      <c r="A357" s="479">
        <v>55</v>
      </c>
      <c r="B357" s="478" t="s">
        <v>868</v>
      </c>
      <c r="C357" s="479">
        <v>1</v>
      </c>
      <c r="D357" s="1535">
        <v>45600</v>
      </c>
      <c r="E357" s="1535">
        <f>+C357*D357</f>
        <v>45600</v>
      </c>
      <c r="F357" s="478" t="s">
        <v>721</v>
      </c>
      <c r="G357" s="682" t="s">
        <v>729</v>
      </c>
      <c r="H357" s="1505"/>
      <c r="I357" s="138" t="s">
        <v>1721</v>
      </c>
    </row>
    <row r="358" spans="1:9">
      <c r="A358" s="479">
        <v>56</v>
      </c>
      <c r="B358" s="478" t="s">
        <v>1333</v>
      </c>
      <c r="C358" s="479">
        <v>1</v>
      </c>
      <c r="D358" s="478">
        <v>33600</v>
      </c>
      <c r="E358" s="1535">
        <f>+C358*D358</f>
        <v>33600</v>
      </c>
      <c r="F358" s="478" t="s">
        <v>721</v>
      </c>
      <c r="G358" s="682" t="s">
        <v>729</v>
      </c>
      <c r="H358" s="1505"/>
      <c r="I358" s="138" t="s">
        <v>1721</v>
      </c>
    </row>
    <row r="359" spans="1:9">
      <c r="A359" s="479">
        <v>57</v>
      </c>
      <c r="B359" s="390" t="s">
        <v>1335</v>
      </c>
      <c r="C359" s="479">
        <v>4</v>
      </c>
      <c r="D359" s="1537">
        <v>2590</v>
      </c>
      <c r="E359" s="1537">
        <v>10360</v>
      </c>
      <c r="F359" s="390" t="s">
        <v>444</v>
      </c>
      <c r="G359" s="682" t="s">
        <v>729</v>
      </c>
      <c r="H359" s="1505"/>
      <c r="I359" s="138" t="s">
        <v>1721</v>
      </c>
    </row>
    <row r="360" spans="1:9">
      <c r="A360" s="479">
        <v>58</v>
      </c>
      <c r="B360" s="478" t="s">
        <v>1336</v>
      </c>
      <c r="C360" s="479">
        <v>1</v>
      </c>
      <c r="D360" s="1535">
        <v>45000</v>
      </c>
      <c r="E360" s="1535">
        <f>+C360*D360</f>
        <v>45000</v>
      </c>
      <c r="F360" s="478" t="s">
        <v>444</v>
      </c>
      <c r="G360" s="682" t="s">
        <v>729</v>
      </c>
      <c r="H360" s="1505"/>
      <c r="I360" s="138" t="s">
        <v>1721</v>
      </c>
    </row>
    <row r="361" spans="1:9" ht="19.5" customHeight="1">
      <c r="A361" s="479">
        <v>59</v>
      </c>
      <c r="B361" s="216" t="s">
        <v>1393</v>
      </c>
      <c r="C361" s="215">
        <v>1</v>
      </c>
      <c r="D361" s="422">
        <v>6600</v>
      </c>
      <c r="E361" s="422">
        <f>+C361*D361</f>
        <v>6600</v>
      </c>
      <c r="F361" s="216" t="s">
        <v>614</v>
      </c>
      <c r="G361" s="682" t="s">
        <v>729</v>
      </c>
      <c r="H361" s="1505"/>
      <c r="I361" s="138" t="s">
        <v>1721</v>
      </c>
    </row>
    <row r="362" spans="1:9" ht="19.5" customHeight="1">
      <c r="A362" s="479">
        <v>60</v>
      </c>
      <c r="B362" s="489" t="s">
        <v>1457</v>
      </c>
      <c r="C362" s="1607">
        <v>200</v>
      </c>
      <c r="D362" s="1608">
        <v>10000</v>
      </c>
      <c r="E362" s="1609">
        <f t="shared" ref="E362:E364" si="14">C362*D362</f>
        <v>2000000</v>
      </c>
      <c r="F362" s="683" t="s">
        <v>532</v>
      </c>
      <c r="G362" s="682" t="s">
        <v>729</v>
      </c>
      <c r="H362" s="1505"/>
      <c r="I362" s="138" t="s">
        <v>1721</v>
      </c>
    </row>
    <row r="363" spans="1:9" ht="19.5" customHeight="1">
      <c r="A363" s="479">
        <v>61</v>
      </c>
      <c r="B363" s="489" t="s">
        <v>1455</v>
      </c>
      <c r="C363" s="1607">
        <v>100</v>
      </c>
      <c r="D363" s="1608">
        <v>15000</v>
      </c>
      <c r="E363" s="1609">
        <f t="shared" si="14"/>
        <v>1500000</v>
      </c>
      <c r="F363" s="683" t="s">
        <v>532</v>
      </c>
      <c r="G363" s="682" t="s">
        <v>729</v>
      </c>
      <c r="H363" s="1505"/>
      <c r="I363" s="138" t="s">
        <v>1721</v>
      </c>
    </row>
    <row r="364" spans="1:9" ht="19.5" customHeight="1">
      <c r="A364" s="479">
        <v>62</v>
      </c>
      <c r="B364" s="489" t="s">
        <v>1456</v>
      </c>
      <c r="C364" s="1607">
        <v>100</v>
      </c>
      <c r="D364" s="1608">
        <v>30000</v>
      </c>
      <c r="E364" s="1609">
        <f t="shared" si="14"/>
        <v>3000000</v>
      </c>
      <c r="F364" s="683" t="s">
        <v>532</v>
      </c>
      <c r="G364" s="682" t="s">
        <v>729</v>
      </c>
      <c r="H364" s="1505"/>
      <c r="I364" s="138" t="s">
        <v>1721</v>
      </c>
    </row>
    <row r="365" spans="1:9">
      <c r="A365" s="479">
        <v>63</v>
      </c>
      <c r="B365" s="390" t="s">
        <v>1373</v>
      </c>
      <c r="C365" s="479">
        <v>4</v>
      </c>
      <c r="D365" s="307">
        <v>3400</v>
      </c>
      <c r="E365" s="307">
        <v>13600</v>
      </c>
      <c r="F365" s="390" t="s">
        <v>961</v>
      </c>
      <c r="G365" s="682" t="s">
        <v>729</v>
      </c>
      <c r="H365" s="1505"/>
      <c r="I365" s="138" t="s">
        <v>1721</v>
      </c>
    </row>
    <row r="366" spans="1:9">
      <c r="A366" s="479">
        <v>64</v>
      </c>
      <c r="B366" s="390" t="s">
        <v>1374</v>
      </c>
      <c r="C366" s="479">
        <v>1</v>
      </c>
      <c r="D366" s="307">
        <v>5400</v>
      </c>
      <c r="E366" s="307">
        <v>5400</v>
      </c>
      <c r="F366" s="390" t="s">
        <v>961</v>
      </c>
      <c r="G366" s="682" t="s">
        <v>729</v>
      </c>
      <c r="H366" s="1505"/>
      <c r="I366" s="138" t="s">
        <v>1721</v>
      </c>
    </row>
    <row r="367" spans="1:9">
      <c r="A367" s="479">
        <v>65</v>
      </c>
      <c r="B367" s="478" t="s">
        <v>1334</v>
      </c>
      <c r="C367" s="479">
        <v>5</v>
      </c>
      <c r="D367" s="1535">
        <v>1808.3</v>
      </c>
      <c r="E367" s="1535">
        <f>+C367*D367</f>
        <v>9041.5</v>
      </c>
      <c r="F367" s="478" t="s">
        <v>422</v>
      </c>
      <c r="G367" s="682" t="s">
        <v>729</v>
      </c>
      <c r="H367" s="1505"/>
      <c r="I367" s="138" t="s">
        <v>1721</v>
      </c>
    </row>
    <row r="368" spans="1:9" s="138" customFormat="1" ht="105">
      <c r="A368" s="215">
        <v>66</v>
      </c>
      <c r="B368" s="309" t="s">
        <v>473</v>
      </c>
      <c r="C368" s="310">
        <v>74</v>
      </c>
      <c r="D368" s="2419">
        <v>3400</v>
      </c>
      <c r="E368" s="2419">
        <f t="shared" ref="E368:E379" si="15">+C368*D368</f>
        <v>251600</v>
      </c>
      <c r="F368" s="312" t="s">
        <v>2009</v>
      </c>
      <c r="G368" s="221" t="s">
        <v>729</v>
      </c>
      <c r="H368" s="397"/>
    </row>
    <row r="369" spans="1:8" s="138" customFormat="1" ht="42">
      <c r="A369" s="215">
        <v>67</v>
      </c>
      <c r="B369" s="309" t="s">
        <v>1524</v>
      </c>
      <c r="C369" s="310">
        <v>13</v>
      </c>
      <c r="D369" s="2419">
        <v>9700</v>
      </c>
      <c r="E369" s="2419">
        <f t="shared" si="15"/>
        <v>126100</v>
      </c>
      <c r="F369" s="2420" t="s">
        <v>2010</v>
      </c>
      <c r="G369" s="221" t="s">
        <v>729</v>
      </c>
      <c r="H369" s="397"/>
    </row>
    <row r="370" spans="1:8" s="138" customFormat="1" ht="63">
      <c r="A370" s="215">
        <v>68</v>
      </c>
      <c r="B370" s="309" t="s">
        <v>1527</v>
      </c>
      <c r="C370" s="310">
        <v>44</v>
      </c>
      <c r="D370" s="2419">
        <v>12000</v>
      </c>
      <c r="E370" s="2419">
        <f t="shared" si="15"/>
        <v>528000</v>
      </c>
      <c r="F370" s="2420" t="s">
        <v>2011</v>
      </c>
      <c r="G370" s="221" t="s">
        <v>729</v>
      </c>
      <c r="H370" s="397"/>
    </row>
    <row r="371" spans="1:8" s="138" customFormat="1">
      <c r="A371" s="215">
        <v>69</v>
      </c>
      <c r="B371" s="309" t="s">
        <v>1531</v>
      </c>
      <c r="C371" s="310">
        <v>10</v>
      </c>
      <c r="D371" s="2419">
        <v>150</v>
      </c>
      <c r="E371" s="2419">
        <f t="shared" si="15"/>
        <v>1500</v>
      </c>
      <c r="F371" s="1908" t="s">
        <v>1532</v>
      </c>
      <c r="G371" s="221" t="s">
        <v>729</v>
      </c>
      <c r="H371" s="397"/>
    </row>
    <row r="372" spans="1:8" s="138" customFormat="1" ht="42">
      <c r="A372" s="215">
        <v>70</v>
      </c>
      <c r="B372" s="309" t="s">
        <v>1533</v>
      </c>
      <c r="C372" s="310">
        <f>3+6</f>
        <v>9</v>
      </c>
      <c r="D372" s="2419">
        <v>3950</v>
      </c>
      <c r="E372" s="2419">
        <f t="shared" si="15"/>
        <v>35550</v>
      </c>
      <c r="F372" s="2420" t="s">
        <v>2012</v>
      </c>
      <c r="G372" s="221" t="s">
        <v>729</v>
      </c>
      <c r="H372" s="397"/>
    </row>
    <row r="373" spans="1:8" s="138" customFormat="1" ht="42">
      <c r="A373" s="215">
        <v>71</v>
      </c>
      <c r="B373" s="309" t="s">
        <v>1536</v>
      </c>
      <c r="C373" s="310">
        <v>4</v>
      </c>
      <c r="D373" s="2419">
        <v>45600</v>
      </c>
      <c r="E373" s="2419">
        <f t="shared" si="15"/>
        <v>182400</v>
      </c>
      <c r="F373" s="2420" t="s">
        <v>2013</v>
      </c>
      <c r="G373" s="221" t="s">
        <v>729</v>
      </c>
      <c r="H373" s="397"/>
    </row>
    <row r="374" spans="1:8" s="138" customFormat="1" ht="63">
      <c r="A374" s="215">
        <v>72</v>
      </c>
      <c r="B374" s="309" t="s">
        <v>1539</v>
      </c>
      <c r="C374" s="310">
        <v>3</v>
      </c>
      <c r="D374" s="2419">
        <v>12900</v>
      </c>
      <c r="E374" s="2419">
        <f t="shared" si="15"/>
        <v>38700</v>
      </c>
      <c r="F374" s="2420" t="s">
        <v>2014</v>
      </c>
      <c r="G374" s="221" t="s">
        <v>729</v>
      </c>
      <c r="H374" s="397"/>
    </row>
    <row r="375" spans="1:8" s="138" customFormat="1" ht="126">
      <c r="A375" s="215">
        <v>73</v>
      </c>
      <c r="B375" s="309" t="s">
        <v>1543</v>
      </c>
      <c r="C375" s="310">
        <v>21</v>
      </c>
      <c r="D375" s="2419">
        <v>6600</v>
      </c>
      <c r="E375" s="2419">
        <f t="shared" si="15"/>
        <v>138600</v>
      </c>
      <c r="F375" s="2420" t="s">
        <v>2037</v>
      </c>
      <c r="G375" s="221" t="s">
        <v>729</v>
      </c>
      <c r="H375" s="397"/>
    </row>
    <row r="376" spans="1:8" s="138" customFormat="1" ht="126">
      <c r="A376" s="215">
        <v>74</v>
      </c>
      <c r="B376" s="309" t="s">
        <v>1549</v>
      </c>
      <c r="C376" s="310">
        <v>8</v>
      </c>
      <c r="D376" s="2419">
        <v>7600</v>
      </c>
      <c r="E376" s="2457">
        <f t="shared" si="15"/>
        <v>60800</v>
      </c>
      <c r="F376" s="2420" t="s">
        <v>2015</v>
      </c>
      <c r="G376" s="221" t="s">
        <v>729</v>
      </c>
      <c r="H376" s="397"/>
    </row>
    <row r="377" spans="1:8" s="138" customFormat="1">
      <c r="A377" s="215">
        <v>75</v>
      </c>
      <c r="B377" s="309" t="s">
        <v>1554</v>
      </c>
      <c r="C377" s="310">
        <v>2</v>
      </c>
      <c r="D377" s="2419">
        <v>7600</v>
      </c>
      <c r="E377" s="2419">
        <f t="shared" si="15"/>
        <v>15200</v>
      </c>
      <c r="F377" s="1908" t="s">
        <v>1555</v>
      </c>
      <c r="G377" s="221" t="s">
        <v>729</v>
      </c>
      <c r="H377" s="397"/>
    </row>
    <row r="378" spans="1:8" s="138" customFormat="1">
      <c r="A378" s="215">
        <v>76</v>
      </c>
      <c r="B378" s="309" t="s">
        <v>1556</v>
      </c>
      <c r="C378" s="310">
        <v>2</v>
      </c>
      <c r="D378" s="2419">
        <v>16900</v>
      </c>
      <c r="E378" s="2419">
        <f t="shared" si="15"/>
        <v>33800</v>
      </c>
      <c r="F378" s="1908" t="s">
        <v>2008</v>
      </c>
      <c r="G378" s="221" t="s">
        <v>729</v>
      </c>
      <c r="H378" s="397"/>
    </row>
    <row r="379" spans="1:8" s="138" customFormat="1">
      <c r="A379" s="215">
        <v>77</v>
      </c>
      <c r="B379" s="309" t="s">
        <v>1558</v>
      </c>
      <c r="C379" s="310">
        <v>3</v>
      </c>
      <c r="D379" s="2419">
        <v>12500</v>
      </c>
      <c r="E379" s="2419">
        <f t="shared" si="15"/>
        <v>37500</v>
      </c>
      <c r="F379" s="309" t="s">
        <v>1559</v>
      </c>
      <c r="G379" s="221" t="s">
        <v>729</v>
      </c>
      <c r="H379" s="397"/>
    </row>
    <row r="380" spans="1:8">
      <c r="A380" s="479">
        <v>78</v>
      </c>
      <c r="B380" s="305" t="s">
        <v>1560</v>
      </c>
      <c r="C380" s="306">
        <v>2</v>
      </c>
      <c r="D380" s="1904">
        <v>3386</v>
      </c>
      <c r="E380" s="1904">
        <f>C380*D380</f>
        <v>6772</v>
      </c>
      <c r="F380" s="1856" t="s">
        <v>1561</v>
      </c>
      <c r="G380" s="221" t="s">
        <v>729</v>
      </c>
      <c r="H380" s="397"/>
    </row>
    <row r="381" spans="1:8">
      <c r="A381" s="479">
        <v>79</v>
      </c>
      <c r="B381" s="309" t="s">
        <v>1562</v>
      </c>
      <c r="C381" s="310">
        <v>1</v>
      </c>
      <c r="D381" s="1907">
        <v>90000</v>
      </c>
      <c r="E381" s="1904">
        <f t="shared" ref="E381:E391" si="16">C381*D381</f>
        <v>90000</v>
      </c>
      <c r="F381" s="1908" t="s">
        <v>1563</v>
      </c>
      <c r="G381" s="221" t="s">
        <v>729</v>
      </c>
      <c r="H381" s="397"/>
    </row>
    <row r="382" spans="1:8">
      <c r="A382" s="479">
        <v>80</v>
      </c>
      <c r="B382" s="305" t="s">
        <v>1564</v>
      </c>
      <c r="C382" s="306">
        <v>1</v>
      </c>
      <c r="D382" s="1841">
        <v>44000</v>
      </c>
      <c r="E382" s="1904">
        <f t="shared" si="16"/>
        <v>44000</v>
      </c>
      <c r="F382" s="1856" t="s">
        <v>1557</v>
      </c>
      <c r="G382" s="221" t="s">
        <v>729</v>
      </c>
      <c r="H382" s="397"/>
    </row>
    <row r="383" spans="1:8">
      <c r="A383" s="479">
        <v>81</v>
      </c>
      <c r="B383" s="305" t="s">
        <v>1565</v>
      </c>
      <c r="C383" s="306">
        <v>4</v>
      </c>
      <c r="D383" s="2437">
        <v>8025</v>
      </c>
      <c r="E383" s="1904">
        <f t="shared" si="16"/>
        <v>32100</v>
      </c>
      <c r="F383" s="305" t="s">
        <v>1532</v>
      </c>
      <c r="G383" s="221" t="s">
        <v>729</v>
      </c>
      <c r="H383" s="397"/>
    </row>
    <row r="384" spans="1:8">
      <c r="A384" s="479">
        <v>82</v>
      </c>
      <c r="B384" s="305" t="s">
        <v>1566</v>
      </c>
      <c r="C384" s="306">
        <v>1</v>
      </c>
      <c r="D384" s="1841">
        <v>2990</v>
      </c>
      <c r="E384" s="1904">
        <f t="shared" si="16"/>
        <v>2990</v>
      </c>
      <c r="F384" s="1856" t="s">
        <v>1567</v>
      </c>
      <c r="G384" s="221" t="s">
        <v>729</v>
      </c>
      <c r="H384" s="397"/>
    </row>
    <row r="385" spans="1:10">
      <c r="A385" s="479">
        <v>83</v>
      </c>
      <c r="B385" s="305" t="s">
        <v>1568</v>
      </c>
      <c r="C385" s="306">
        <v>1</v>
      </c>
      <c r="D385" s="1841">
        <v>9000</v>
      </c>
      <c r="E385" s="1904">
        <f t="shared" si="16"/>
        <v>9000</v>
      </c>
      <c r="F385" s="1856" t="s">
        <v>1569</v>
      </c>
      <c r="G385" s="221" t="s">
        <v>729</v>
      </c>
      <c r="H385" s="397"/>
    </row>
    <row r="386" spans="1:10">
      <c r="A386" s="479">
        <v>84</v>
      </c>
      <c r="B386" s="305" t="s">
        <v>1570</v>
      </c>
      <c r="C386" s="306">
        <v>3</v>
      </c>
      <c r="D386" s="1841">
        <v>9000</v>
      </c>
      <c r="E386" s="1904">
        <f t="shared" si="16"/>
        <v>27000</v>
      </c>
      <c r="F386" s="305" t="s">
        <v>1571</v>
      </c>
      <c r="G386" s="221" t="s">
        <v>729</v>
      </c>
      <c r="H386" s="397"/>
    </row>
    <row r="387" spans="1:10">
      <c r="A387" s="479">
        <v>85</v>
      </c>
      <c r="B387" s="305" t="s">
        <v>1572</v>
      </c>
      <c r="C387" s="306">
        <v>10</v>
      </c>
      <c r="D387" s="1841">
        <v>2200</v>
      </c>
      <c r="E387" s="1904">
        <f t="shared" si="16"/>
        <v>22000</v>
      </c>
      <c r="F387" s="305" t="s">
        <v>1532</v>
      </c>
      <c r="G387" s="221" t="s">
        <v>729</v>
      </c>
      <c r="H387" s="397"/>
    </row>
    <row r="388" spans="1:10">
      <c r="A388" s="479">
        <v>86</v>
      </c>
      <c r="B388" s="305" t="s">
        <v>1573</v>
      </c>
      <c r="C388" s="306">
        <v>10</v>
      </c>
      <c r="D388" s="1841">
        <v>2200</v>
      </c>
      <c r="E388" s="1904">
        <f t="shared" si="16"/>
        <v>22000</v>
      </c>
      <c r="F388" s="1856" t="s">
        <v>1532</v>
      </c>
      <c r="G388" s="221" t="s">
        <v>729</v>
      </c>
      <c r="H388" s="397"/>
    </row>
    <row r="389" spans="1:10">
      <c r="A389" s="479">
        <v>87</v>
      </c>
      <c r="B389" s="305" t="s">
        <v>474</v>
      </c>
      <c r="C389" s="306">
        <v>1</v>
      </c>
      <c r="D389" s="1841">
        <v>1873</v>
      </c>
      <c r="E389" s="1904">
        <f t="shared" si="16"/>
        <v>1873</v>
      </c>
      <c r="F389" s="1856" t="s">
        <v>1567</v>
      </c>
      <c r="G389" s="221" t="s">
        <v>729</v>
      </c>
      <c r="H389" s="397"/>
    </row>
    <row r="390" spans="1:10">
      <c r="A390" s="479">
        <v>88</v>
      </c>
      <c r="B390" s="305" t="s">
        <v>1574</v>
      </c>
      <c r="C390" s="306">
        <v>2</v>
      </c>
      <c r="D390" s="1904">
        <v>45650</v>
      </c>
      <c r="E390" s="1904">
        <f t="shared" si="16"/>
        <v>91300</v>
      </c>
      <c r="F390" s="1856" t="s">
        <v>1532</v>
      </c>
      <c r="G390" s="221" t="s">
        <v>729</v>
      </c>
      <c r="H390" s="397"/>
    </row>
    <row r="391" spans="1:10">
      <c r="A391" s="479">
        <v>89</v>
      </c>
      <c r="B391" s="305" t="s">
        <v>1575</v>
      </c>
      <c r="C391" s="306">
        <v>10</v>
      </c>
      <c r="D391" s="1904">
        <v>4370</v>
      </c>
      <c r="E391" s="1904">
        <f t="shared" si="16"/>
        <v>43700</v>
      </c>
      <c r="F391" s="1856" t="s">
        <v>1532</v>
      </c>
      <c r="G391" s="221" t="s">
        <v>729</v>
      </c>
      <c r="H391" s="397"/>
    </row>
    <row r="392" spans="1:10">
      <c r="A392" s="479">
        <v>90</v>
      </c>
      <c r="B392" s="297" t="s">
        <v>1576</v>
      </c>
      <c r="C392" s="2451">
        <v>1</v>
      </c>
      <c r="D392" s="1840">
        <v>6500</v>
      </c>
      <c r="E392" s="1841">
        <f t="shared" ref="E392" si="17">+C392*D392</f>
        <v>6500</v>
      </c>
      <c r="F392" s="478" t="s">
        <v>963</v>
      </c>
      <c r="G392" s="221" t="s">
        <v>729</v>
      </c>
      <c r="H392" s="397"/>
    </row>
    <row r="393" spans="1:10">
      <c r="A393" s="479">
        <v>91</v>
      </c>
      <c r="B393" s="297" t="s">
        <v>1610</v>
      </c>
      <c r="C393" s="2451">
        <v>24</v>
      </c>
      <c r="D393" s="1840">
        <v>750</v>
      </c>
      <c r="E393" s="1841">
        <f>+C393*D393</f>
        <v>18000</v>
      </c>
      <c r="F393" s="478" t="s">
        <v>963</v>
      </c>
      <c r="G393" s="221" t="s">
        <v>729</v>
      </c>
      <c r="H393" s="397"/>
    </row>
    <row r="394" spans="1:10">
      <c r="A394" s="479">
        <v>92</v>
      </c>
      <c r="B394" s="478" t="s">
        <v>1748</v>
      </c>
      <c r="C394" s="479">
        <v>5</v>
      </c>
      <c r="D394" s="1537">
        <v>1290</v>
      </c>
      <c r="E394" s="1537">
        <v>6450</v>
      </c>
      <c r="F394" s="478" t="s">
        <v>1436</v>
      </c>
      <c r="G394" s="478" t="s">
        <v>729</v>
      </c>
      <c r="I394" s="2461" t="s">
        <v>2340</v>
      </c>
      <c r="J394" s="19" t="s">
        <v>1905</v>
      </c>
    </row>
    <row r="395" spans="1:10">
      <c r="A395" s="479">
        <v>93</v>
      </c>
      <c r="B395" s="478" t="s">
        <v>1749</v>
      </c>
      <c r="C395" s="479">
        <v>1</v>
      </c>
      <c r="D395" s="1537">
        <v>10100</v>
      </c>
      <c r="E395" s="1537">
        <v>10100</v>
      </c>
      <c r="F395" s="478" t="s">
        <v>946</v>
      </c>
      <c r="G395" s="478" t="s">
        <v>729</v>
      </c>
      <c r="I395" s="2461" t="s">
        <v>2341</v>
      </c>
      <c r="J395" s="19" t="s">
        <v>1905</v>
      </c>
    </row>
    <row r="396" spans="1:10">
      <c r="A396" s="479">
        <v>94</v>
      </c>
      <c r="B396" s="478" t="s">
        <v>1751</v>
      </c>
      <c r="C396" s="479">
        <v>1</v>
      </c>
      <c r="D396" s="1537">
        <v>4050</v>
      </c>
      <c r="E396" s="1537">
        <v>4050</v>
      </c>
      <c r="F396" s="478" t="s">
        <v>1874</v>
      </c>
      <c r="G396" s="478" t="s">
        <v>729</v>
      </c>
      <c r="I396" s="2461" t="s">
        <v>2343</v>
      </c>
      <c r="J396" s="19" t="s">
        <v>1905</v>
      </c>
    </row>
    <row r="397" spans="1:10">
      <c r="A397" s="479">
        <v>95</v>
      </c>
      <c r="B397" s="478" t="s">
        <v>474</v>
      </c>
      <c r="C397" s="479">
        <v>1</v>
      </c>
      <c r="D397" s="1537">
        <v>3390</v>
      </c>
      <c r="E397" s="1537">
        <v>3390</v>
      </c>
      <c r="F397" s="478" t="s">
        <v>426</v>
      </c>
      <c r="G397" s="478" t="s">
        <v>729</v>
      </c>
      <c r="I397" s="2461" t="s">
        <v>2350</v>
      </c>
      <c r="J397" s="19" t="s">
        <v>1905</v>
      </c>
    </row>
    <row r="398" spans="1:10">
      <c r="A398" s="479">
        <v>96</v>
      </c>
      <c r="B398" s="478" t="s">
        <v>1761</v>
      </c>
      <c r="C398" s="479">
        <v>1</v>
      </c>
      <c r="D398" s="1537">
        <v>10590</v>
      </c>
      <c r="E398" s="1537">
        <v>10590</v>
      </c>
      <c r="F398" s="478" t="s">
        <v>1876</v>
      </c>
      <c r="G398" s="478" t="s">
        <v>729</v>
      </c>
      <c r="I398" s="2461" t="s">
        <v>2351</v>
      </c>
      <c r="J398" s="19" t="s">
        <v>1905</v>
      </c>
    </row>
    <row r="399" spans="1:10">
      <c r="A399" s="479">
        <v>97</v>
      </c>
      <c r="B399" s="478" t="s">
        <v>1782</v>
      </c>
      <c r="C399" s="479">
        <v>1</v>
      </c>
      <c r="D399" s="1537">
        <v>5990</v>
      </c>
      <c r="E399" s="1537">
        <v>5990</v>
      </c>
      <c r="F399" s="478" t="s">
        <v>958</v>
      </c>
      <c r="G399" s="478" t="s">
        <v>729</v>
      </c>
      <c r="I399" s="2461" t="s">
        <v>2361</v>
      </c>
      <c r="J399" s="19" t="s">
        <v>1905</v>
      </c>
    </row>
    <row r="400" spans="1:10">
      <c r="A400" s="479">
        <v>98</v>
      </c>
      <c r="B400" s="478" t="s">
        <v>474</v>
      </c>
      <c r="C400" s="479">
        <v>1</v>
      </c>
      <c r="D400" s="1537">
        <v>1872.5</v>
      </c>
      <c r="E400" s="1537">
        <v>1872.5</v>
      </c>
      <c r="F400" s="478" t="s">
        <v>614</v>
      </c>
      <c r="G400" s="478" t="s">
        <v>729</v>
      </c>
      <c r="I400" s="2461" t="s">
        <v>2363</v>
      </c>
      <c r="J400" s="19" t="s">
        <v>1905</v>
      </c>
    </row>
    <row r="401" spans="1:10">
      <c r="A401" s="479">
        <v>99</v>
      </c>
      <c r="B401" s="478" t="s">
        <v>1785</v>
      </c>
      <c r="C401" s="479">
        <v>1</v>
      </c>
      <c r="D401" s="1537">
        <v>7600</v>
      </c>
      <c r="E401" s="1537">
        <v>7600</v>
      </c>
      <c r="F401" s="478" t="s">
        <v>1880</v>
      </c>
      <c r="G401" s="478" t="s">
        <v>729</v>
      </c>
      <c r="I401" s="2461" t="s">
        <v>2364</v>
      </c>
      <c r="J401" s="19" t="s">
        <v>1905</v>
      </c>
    </row>
    <row r="402" spans="1:10">
      <c r="A402" s="479">
        <v>100</v>
      </c>
      <c r="B402" s="478" t="s">
        <v>1786</v>
      </c>
      <c r="C402" s="479">
        <v>1</v>
      </c>
      <c r="D402" s="1537">
        <v>45600</v>
      </c>
      <c r="E402" s="1537">
        <v>45600</v>
      </c>
      <c r="F402" s="478" t="s">
        <v>414</v>
      </c>
      <c r="G402" s="478" t="s">
        <v>729</v>
      </c>
      <c r="I402" s="2461" t="s">
        <v>2365</v>
      </c>
      <c r="J402" s="19" t="s">
        <v>1905</v>
      </c>
    </row>
    <row r="403" spans="1:10">
      <c r="A403" s="479">
        <v>101</v>
      </c>
      <c r="B403" s="478" t="s">
        <v>1787</v>
      </c>
      <c r="C403" s="479">
        <v>40</v>
      </c>
      <c r="D403" s="1537">
        <v>9680</v>
      </c>
      <c r="E403" s="1537">
        <v>387200</v>
      </c>
      <c r="F403" s="478" t="s">
        <v>888</v>
      </c>
      <c r="G403" s="478" t="s">
        <v>729</v>
      </c>
      <c r="I403" s="2461" t="s">
        <v>2366</v>
      </c>
      <c r="J403" s="19" t="s">
        <v>1905</v>
      </c>
    </row>
    <row r="404" spans="1:10">
      <c r="A404" s="479">
        <v>102</v>
      </c>
      <c r="B404" s="478" t="s">
        <v>1790</v>
      </c>
      <c r="C404" s="479">
        <v>1</v>
      </c>
      <c r="D404" s="1537">
        <v>35990</v>
      </c>
      <c r="E404" s="1537">
        <v>35990</v>
      </c>
      <c r="F404" s="478" t="s">
        <v>946</v>
      </c>
      <c r="G404" s="478" t="s">
        <v>729</v>
      </c>
      <c r="I404" s="2461" t="s">
        <v>2368</v>
      </c>
      <c r="J404" s="19" t="s">
        <v>1905</v>
      </c>
    </row>
    <row r="405" spans="1:10">
      <c r="A405" s="479">
        <v>103</v>
      </c>
      <c r="B405" s="478" t="s">
        <v>1793</v>
      </c>
      <c r="C405" s="479">
        <v>1</v>
      </c>
      <c r="D405" s="1537">
        <v>4600</v>
      </c>
      <c r="E405" s="1537">
        <v>4600</v>
      </c>
      <c r="F405" s="478" t="s">
        <v>1882</v>
      </c>
      <c r="G405" s="478" t="s">
        <v>729</v>
      </c>
      <c r="I405" s="2461" t="s">
        <v>2372</v>
      </c>
      <c r="J405" s="19" t="s">
        <v>1905</v>
      </c>
    </row>
    <row r="406" spans="1:10">
      <c r="A406" s="479">
        <v>104</v>
      </c>
      <c r="B406" s="478" t="s">
        <v>1795</v>
      </c>
      <c r="C406" s="479">
        <v>1</v>
      </c>
      <c r="D406" s="1537">
        <v>5990</v>
      </c>
      <c r="E406" s="1537">
        <v>5990</v>
      </c>
      <c r="F406" s="478" t="s">
        <v>614</v>
      </c>
      <c r="G406" s="478" t="s">
        <v>729</v>
      </c>
      <c r="I406" s="2461" t="s">
        <v>2374</v>
      </c>
      <c r="J406" s="19" t="s">
        <v>1905</v>
      </c>
    </row>
    <row r="407" spans="1:10">
      <c r="A407" s="479">
        <v>105</v>
      </c>
      <c r="B407" s="478" t="s">
        <v>474</v>
      </c>
      <c r="C407" s="479">
        <v>1</v>
      </c>
      <c r="D407" s="1537">
        <v>2355</v>
      </c>
      <c r="E407" s="1537">
        <v>2355</v>
      </c>
      <c r="F407" s="478" t="s">
        <v>982</v>
      </c>
      <c r="G407" s="478" t="s">
        <v>729</v>
      </c>
      <c r="I407" s="2461" t="s">
        <v>2375</v>
      </c>
      <c r="J407" s="19" t="s">
        <v>1905</v>
      </c>
    </row>
    <row r="408" spans="1:10">
      <c r="A408" s="479">
        <v>106</v>
      </c>
      <c r="B408" s="478" t="s">
        <v>1798</v>
      </c>
      <c r="C408" s="479">
        <v>52</v>
      </c>
      <c r="D408" s="1537">
        <v>9469.5</v>
      </c>
      <c r="E408" s="1537">
        <v>492414</v>
      </c>
      <c r="F408" s="478" t="s">
        <v>1872</v>
      </c>
      <c r="G408" s="478" t="s">
        <v>729</v>
      </c>
      <c r="I408" s="2461" t="s">
        <v>2376</v>
      </c>
      <c r="J408" s="19" t="s">
        <v>1905</v>
      </c>
    </row>
    <row r="409" spans="1:10">
      <c r="A409" s="479">
        <v>107</v>
      </c>
      <c r="B409" s="478" t="s">
        <v>1801</v>
      </c>
      <c r="C409" s="479">
        <v>1</v>
      </c>
      <c r="D409" s="1537">
        <v>3100</v>
      </c>
      <c r="E409" s="1537">
        <v>3100</v>
      </c>
      <c r="F409" s="478" t="s">
        <v>888</v>
      </c>
      <c r="G409" s="478" t="s">
        <v>729</v>
      </c>
      <c r="I409" s="2461" t="s">
        <v>2380</v>
      </c>
      <c r="J409" s="19" t="s">
        <v>1905</v>
      </c>
    </row>
    <row r="410" spans="1:10">
      <c r="A410" s="479">
        <v>108</v>
      </c>
      <c r="B410" s="478" t="s">
        <v>1802</v>
      </c>
      <c r="C410" s="479">
        <v>1</v>
      </c>
      <c r="D410" s="1537">
        <v>5898</v>
      </c>
      <c r="E410" s="1537">
        <v>5898</v>
      </c>
      <c r="F410" s="478" t="s">
        <v>1883</v>
      </c>
      <c r="G410" s="478" t="s">
        <v>729</v>
      </c>
      <c r="I410" s="2461" t="s">
        <v>2381</v>
      </c>
      <c r="J410" s="19" t="s">
        <v>1905</v>
      </c>
    </row>
    <row r="411" spans="1:10">
      <c r="A411" s="479">
        <v>109</v>
      </c>
      <c r="B411" s="478" t="s">
        <v>1803</v>
      </c>
      <c r="C411" s="479">
        <v>2</v>
      </c>
      <c r="D411" s="1537">
        <v>1808.3</v>
      </c>
      <c r="E411" s="1537">
        <v>3616.6</v>
      </c>
      <c r="F411" s="478" t="s">
        <v>1278</v>
      </c>
      <c r="G411" s="478" t="s">
        <v>729</v>
      </c>
      <c r="I411" s="2461" t="s">
        <v>2382</v>
      </c>
      <c r="J411" s="19" t="s">
        <v>1905</v>
      </c>
    </row>
    <row r="412" spans="1:10">
      <c r="A412" s="479">
        <v>110</v>
      </c>
      <c r="B412" s="478" t="s">
        <v>908</v>
      </c>
      <c r="C412" s="479">
        <v>1</v>
      </c>
      <c r="D412" s="1537">
        <v>2305.85</v>
      </c>
      <c r="E412" s="1537">
        <v>2305.85</v>
      </c>
      <c r="F412" s="478" t="s">
        <v>463</v>
      </c>
      <c r="G412" s="478" t="s">
        <v>729</v>
      </c>
      <c r="I412" s="2461" t="s">
        <v>2383</v>
      </c>
      <c r="J412" s="19" t="s">
        <v>1905</v>
      </c>
    </row>
    <row r="413" spans="1:10">
      <c r="A413" s="479">
        <v>111</v>
      </c>
      <c r="B413" s="478" t="s">
        <v>1805</v>
      </c>
      <c r="C413" s="479">
        <v>1</v>
      </c>
      <c r="D413" s="1537">
        <v>3070</v>
      </c>
      <c r="E413" s="1537">
        <v>3070</v>
      </c>
      <c r="F413" s="478" t="s">
        <v>471</v>
      </c>
      <c r="G413" s="478" t="s">
        <v>729</v>
      </c>
      <c r="I413" s="2461" t="s">
        <v>2385</v>
      </c>
      <c r="J413" s="19" t="s">
        <v>1905</v>
      </c>
    </row>
    <row r="414" spans="1:10">
      <c r="A414" s="479">
        <v>112</v>
      </c>
      <c r="B414" s="478" t="s">
        <v>1806</v>
      </c>
      <c r="C414" s="479">
        <v>1</v>
      </c>
      <c r="D414" s="1537">
        <v>45600</v>
      </c>
      <c r="E414" s="1537">
        <v>45600</v>
      </c>
      <c r="F414" s="478" t="s">
        <v>431</v>
      </c>
      <c r="G414" s="478" t="s">
        <v>729</v>
      </c>
      <c r="I414" s="2461" t="s">
        <v>2386</v>
      </c>
      <c r="J414" s="19" t="s">
        <v>1905</v>
      </c>
    </row>
    <row r="415" spans="1:10">
      <c r="A415" s="479">
        <v>113</v>
      </c>
      <c r="B415" s="478" t="s">
        <v>1807</v>
      </c>
      <c r="C415" s="479">
        <v>1</v>
      </c>
      <c r="D415" s="1537">
        <v>2305.85</v>
      </c>
      <c r="E415" s="1537">
        <v>2305.85</v>
      </c>
      <c r="F415" s="478" t="s">
        <v>1884</v>
      </c>
      <c r="G415" s="478" t="s">
        <v>729</v>
      </c>
      <c r="I415" s="2461" t="s">
        <v>2387</v>
      </c>
      <c r="J415" s="19" t="s">
        <v>1905</v>
      </c>
    </row>
    <row r="416" spans="1:10">
      <c r="A416" s="479">
        <v>114</v>
      </c>
      <c r="B416" s="478" t="s">
        <v>1810</v>
      </c>
      <c r="C416" s="479">
        <v>4</v>
      </c>
      <c r="D416" s="1537">
        <v>350</v>
      </c>
      <c r="E416" s="1537">
        <v>1400</v>
      </c>
      <c r="F416" s="478" t="s">
        <v>1885</v>
      </c>
      <c r="G416" s="478" t="s">
        <v>729</v>
      </c>
      <c r="I416" s="2461" t="s">
        <v>2390</v>
      </c>
      <c r="J416" s="19" t="s">
        <v>1905</v>
      </c>
    </row>
    <row r="417" spans="1:10">
      <c r="A417" s="479">
        <v>115</v>
      </c>
      <c r="B417" s="478" t="s">
        <v>1811</v>
      </c>
      <c r="C417" s="479">
        <v>3</v>
      </c>
      <c r="D417" s="1537">
        <v>3200</v>
      </c>
      <c r="E417" s="1537">
        <v>9600</v>
      </c>
      <c r="F417" s="478" t="s">
        <v>1885</v>
      </c>
      <c r="G417" s="478" t="s">
        <v>729</v>
      </c>
      <c r="I417" s="2461" t="s">
        <v>2390</v>
      </c>
      <c r="J417" s="19" t="s">
        <v>1905</v>
      </c>
    </row>
    <row r="418" spans="1:10">
      <c r="A418" s="479">
        <v>116</v>
      </c>
      <c r="B418" s="478" t="s">
        <v>2481</v>
      </c>
      <c r="C418" s="479">
        <v>1</v>
      </c>
      <c r="D418" s="1537">
        <v>2990</v>
      </c>
      <c r="E418" s="1537">
        <v>2990</v>
      </c>
      <c r="F418" s="478" t="s">
        <v>1885</v>
      </c>
      <c r="G418" s="478" t="s">
        <v>729</v>
      </c>
      <c r="I418" s="2461" t="s">
        <v>2390</v>
      </c>
      <c r="J418" s="19" t="s">
        <v>1905</v>
      </c>
    </row>
    <row r="419" spans="1:10">
      <c r="A419" s="479">
        <v>117</v>
      </c>
      <c r="B419" s="478" t="s">
        <v>1813</v>
      </c>
      <c r="C419" s="479">
        <v>1</v>
      </c>
      <c r="D419" s="1537">
        <v>4500</v>
      </c>
      <c r="E419" s="1537">
        <v>4500</v>
      </c>
      <c r="F419" s="478" t="s">
        <v>1885</v>
      </c>
      <c r="G419" s="478" t="s">
        <v>729</v>
      </c>
      <c r="I419" s="2461" t="s">
        <v>2390</v>
      </c>
      <c r="J419" s="19" t="s">
        <v>1905</v>
      </c>
    </row>
    <row r="420" spans="1:10">
      <c r="A420" s="479">
        <v>118</v>
      </c>
      <c r="B420" s="478" t="s">
        <v>1814</v>
      </c>
      <c r="C420" s="479">
        <v>4</v>
      </c>
      <c r="D420" s="1537">
        <v>450</v>
      </c>
      <c r="E420" s="1537">
        <v>1800</v>
      </c>
      <c r="F420" s="478" t="s">
        <v>1886</v>
      </c>
      <c r="G420" s="478" t="s">
        <v>729</v>
      </c>
      <c r="I420" s="2461" t="s">
        <v>2391</v>
      </c>
      <c r="J420" s="19" t="s">
        <v>1905</v>
      </c>
    </row>
    <row r="421" spans="1:10">
      <c r="A421" s="479">
        <v>119</v>
      </c>
      <c r="B421" s="478" t="s">
        <v>1815</v>
      </c>
      <c r="C421" s="479">
        <v>6</v>
      </c>
      <c r="D421" s="1537">
        <v>280</v>
      </c>
      <c r="E421" s="1537">
        <v>1680</v>
      </c>
      <c r="F421" s="478" t="s">
        <v>1886</v>
      </c>
      <c r="G421" s="478" t="s">
        <v>729</v>
      </c>
      <c r="I421" s="2461" t="s">
        <v>2391</v>
      </c>
      <c r="J421" s="19" t="s">
        <v>1905</v>
      </c>
    </row>
    <row r="422" spans="1:10">
      <c r="A422" s="479">
        <v>120</v>
      </c>
      <c r="B422" s="478" t="s">
        <v>1816</v>
      </c>
      <c r="C422" s="479">
        <v>4</v>
      </c>
      <c r="D422" s="1537">
        <v>1016.5</v>
      </c>
      <c r="E422" s="1537">
        <v>4066</v>
      </c>
      <c r="F422" s="478" t="s">
        <v>1886</v>
      </c>
      <c r="G422" s="478" t="s">
        <v>729</v>
      </c>
      <c r="I422" s="2461" t="s">
        <v>2391</v>
      </c>
      <c r="J422" s="19" t="s">
        <v>1905</v>
      </c>
    </row>
    <row r="423" spans="1:10">
      <c r="A423" s="479">
        <v>121</v>
      </c>
      <c r="B423" s="478" t="s">
        <v>1818</v>
      </c>
      <c r="C423" s="479">
        <v>1</v>
      </c>
      <c r="D423" s="1537">
        <v>1390</v>
      </c>
      <c r="E423" s="1537">
        <v>1390</v>
      </c>
      <c r="F423" s="478" t="s">
        <v>423</v>
      </c>
      <c r="G423" s="478" t="s">
        <v>729</v>
      </c>
      <c r="I423" s="2461" t="s">
        <v>2393</v>
      </c>
      <c r="J423" s="19" t="s">
        <v>1905</v>
      </c>
    </row>
    <row r="424" spans="1:10">
      <c r="A424" s="479">
        <v>122</v>
      </c>
      <c r="B424" s="478" t="s">
        <v>473</v>
      </c>
      <c r="C424" s="479">
        <v>4</v>
      </c>
      <c r="D424" s="1537">
        <v>3400</v>
      </c>
      <c r="E424" s="1537">
        <v>13600</v>
      </c>
      <c r="F424" s="478" t="s">
        <v>423</v>
      </c>
      <c r="G424" s="478" t="s">
        <v>729</v>
      </c>
      <c r="I424" s="2461" t="s">
        <v>2394</v>
      </c>
      <c r="J424" s="19" t="s">
        <v>1905</v>
      </c>
    </row>
    <row r="425" spans="1:10">
      <c r="A425" s="479">
        <v>123</v>
      </c>
      <c r="B425" s="478" t="s">
        <v>1951</v>
      </c>
      <c r="C425" s="479">
        <v>7</v>
      </c>
      <c r="D425" s="1537">
        <v>5890</v>
      </c>
      <c r="E425" s="1537">
        <v>41230</v>
      </c>
      <c r="F425" s="478" t="s">
        <v>1888</v>
      </c>
      <c r="G425" s="478" t="s">
        <v>729</v>
      </c>
      <c r="I425" s="2461" t="s">
        <v>2396</v>
      </c>
      <c r="J425" s="19" t="s">
        <v>1905</v>
      </c>
    </row>
    <row r="426" spans="1:10">
      <c r="A426" s="479">
        <v>124</v>
      </c>
      <c r="B426" s="478" t="s">
        <v>1820</v>
      </c>
      <c r="C426" s="479">
        <v>2</v>
      </c>
      <c r="D426" s="1537">
        <v>2188</v>
      </c>
      <c r="E426" s="1537">
        <v>4376</v>
      </c>
      <c r="F426" s="478" t="s">
        <v>1888</v>
      </c>
      <c r="G426" s="478" t="s">
        <v>729</v>
      </c>
      <c r="I426" s="2461" t="s">
        <v>2396</v>
      </c>
      <c r="J426" s="19" t="s">
        <v>1905</v>
      </c>
    </row>
    <row r="427" spans="1:10">
      <c r="A427" s="479">
        <v>125</v>
      </c>
      <c r="B427" s="478" t="s">
        <v>469</v>
      </c>
      <c r="C427" s="479">
        <v>1</v>
      </c>
      <c r="D427" s="1537">
        <v>2305.85</v>
      </c>
      <c r="E427" s="1537">
        <v>2305.85</v>
      </c>
      <c r="F427" s="478" t="s">
        <v>426</v>
      </c>
      <c r="G427" s="478" t="s">
        <v>729</v>
      </c>
      <c r="I427" s="2461" t="s">
        <v>2397</v>
      </c>
      <c r="J427" s="19" t="s">
        <v>1905</v>
      </c>
    </row>
    <row r="428" spans="1:10">
      <c r="A428" s="479">
        <v>126</v>
      </c>
      <c r="B428" s="478" t="s">
        <v>1822</v>
      </c>
      <c r="C428" s="479">
        <v>5</v>
      </c>
      <c r="D428" s="1537">
        <v>3650</v>
      </c>
      <c r="E428" s="1537">
        <v>18250</v>
      </c>
      <c r="F428" s="478" t="s">
        <v>961</v>
      </c>
      <c r="G428" s="478" t="s">
        <v>729</v>
      </c>
      <c r="I428" s="2461" t="s">
        <v>2399</v>
      </c>
      <c r="J428" s="19" t="s">
        <v>1905</v>
      </c>
    </row>
    <row r="429" spans="1:10">
      <c r="A429" s="479">
        <v>127</v>
      </c>
      <c r="B429" s="478" t="s">
        <v>1823</v>
      </c>
      <c r="C429" s="479">
        <v>10</v>
      </c>
      <c r="D429" s="1537">
        <v>2200</v>
      </c>
      <c r="E429" s="1537">
        <v>22000</v>
      </c>
      <c r="F429" s="478" t="s">
        <v>961</v>
      </c>
      <c r="G429" s="478" t="s">
        <v>729</v>
      </c>
      <c r="I429" s="2461" t="s">
        <v>2399</v>
      </c>
      <c r="J429" s="19" t="s">
        <v>1905</v>
      </c>
    </row>
    <row r="430" spans="1:10">
      <c r="A430" s="479">
        <v>128</v>
      </c>
      <c r="B430" s="478" t="s">
        <v>1824</v>
      </c>
      <c r="C430" s="479">
        <v>1</v>
      </c>
      <c r="D430" s="1537">
        <v>10500</v>
      </c>
      <c r="E430" s="1537">
        <v>10500</v>
      </c>
      <c r="F430" s="478" t="s">
        <v>1436</v>
      </c>
      <c r="G430" s="478" t="s">
        <v>729</v>
      </c>
      <c r="I430" s="2461" t="s">
        <v>2400</v>
      </c>
      <c r="J430" s="19" t="s">
        <v>1905</v>
      </c>
    </row>
    <row r="431" spans="1:10">
      <c r="A431" s="479">
        <v>129</v>
      </c>
      <c r="B431" s="478" t="s">
        <v>1825</v>
      </c>
      <c r="C431" s="479">
        <v>6</v>
      </c>
      <c r="D431" s="1537">
        <v>940</v>
      </c>
      <c r="E431" s="1537">
        <v>5640</v>
      </c>
      <c r="F431" s="478" t="s">
        <v>1436</v>
      </c>
      <c r="G431" s="478" t="s">
        <v>729</v>
      </c>
      <c r="I431" s="2461" t="s">
        <v>2400</v>
      </c>
      <c r="J431" s="19" t="s">
        <v>1905</v>
      </c>
    </row>
    <row r="432" spans="1:10">
      <c r="A432" s="479">
        <v>130</v>
      </c>
      <c r="B432" s="478" t="s">
        <v>2480</v>
      </c>
      <c r="C432" s="479">
        <v>2</v>
      </c>
      <c r="D432" s="1537">
        <v>1800</v>
      </c>
      <c r="E432" s="1537">
        <v>3600</v>
      </c>
      <c r="F432" s="478" t="s">
        <v>1436</v>
      </c>
      <c r="G432" s="478" t="s">
        <v>729</v>
      </c>
      <c r="I432" s="2461" t="s">
        <v>2400</v>
      </c>
      <c r="J432" s="19" t="s">
        <v>1905</v>
      </c>
    </row>
    <row r="433" spans="1:10">
      <c r="A433" s="479">
        <v>131</v>
      </c>
      <c r="B433" s="478" t="s">
        <v>1827</v>
      </c>
      <c r="C433" s="479">
        <v>2</v>
      </c>
      <c r="D433" s="1537">
        <v>6900</v>
      </c>
      <c r="E433" s="1537">
        <v>13800</v>
      </c>
      <c r="F433" s="478" t="s">
        <v>1436</v>
      </c>
      <c r="G433" s="478" t="s">
        <v>729</v>
      </c>
      <c r="I433" s="2461" t="s">
        <v>2400</v>
      </c>
      <c r="J433" s="19" t="s">
        <v>1905</v>
      </c>
    </row>
    <row r="434" spans="1:10">
      <c r="A434" s="479">
        <v>132</v>
      </c>
      <c r="B434" s="478" t="s">
        <v>1828</v>
      </c>
      <c r="C434" s="479">
        <v>1</v>
      </c>
      <c r="D434" s="1537">
        <v>33975</v>
      </c>
      <c r="E434" s="1537">
        <v>33975</v>
      </c>
      <c r="F434" s="478" t="s">
        <v>1436</v>
      </c>
      <c r="G434" s="478" t="s">
        <v>729</v>
      </c>
      <c r="I434" s="2461" t="s">
        <v>2400</v>
      </c>
      <c r="J434" s="19" t="s">
        <v>1905</v>
      </c>
    </row>
    <row r="435" spans="1:10">
      <c r="A435" s="479">
        <v>133</v>
      </c>
      <c r="B435" s="478" t="s">
        <v>474</v>
      </c>
      <c r="C435" s="479">
        <v>1</v>
      </c>
      <c r="D435" s="1537">
        <v>2354</v>
      </c>
      <c r="E435" s="1537">
        <v>2354</v>
      </c>
      <c r="F435" s="478" t="s">
        <v>1890</v>
      </c>
      <c r="G435" s="478" t="s">
        <v>729</v>
      </c>
      <c r="I435" s="2461" t="s">
        <v>2401</v>
      </c>
      <c r="J435" s="19" t="s">
        <v>1905</v>
      </c>
    </row>
    <row r="436" spans="1:10">
      <c r="A436" s="479">
        <v>134</v>
      </c>
      <c r="B436" s="478" t="s">
        <v>1785</v>
      </c>
      <c r="C436" s="479">
        <v>1</v>
      </c>
      <c r="D436" s="1537">
        <v>12900</v>
      </c>
      <c r="E436" s="1537">
        <v>12900</v>
      </c>
      <c r="F436" s="478" t="s">
        <v>1891</v>
      </c>
      <c r="G436" s="478" t="s">
        <v>729</v>
      </c>
      <c r="I436" s="2461" t="s">
        <v>2402</v>
      </c>
      <c r="J436" s="19" t="s">
        <v>1905</v>
      </c>
    </row>
    <row r="437" spans="1:10">
      <c r="A437" s="479">
        <v>135</v>
      </c>
      <c r="B437" s="478" t="s">
        <v>1829</v>
      </c>
      <c r="C437" s="479">
        <v>5</v>
      </c>
      <c r="D437" s="1537">
        <v>6400</v>
      </c>
      <c r="E437" s="1537">
        <v>32000</v>
      </c>
      <c r="F437" s="478" t="s">
        <v>1891</v>
      </c>
      <c r="G437" s="478" t="s">
        <v>729</v>
      </c>
      <c r="I437" s="2461" t="s">
        <v>2402</v>
      </c>
      <c r="J437" s="19" t="s">
        <v>1905</v>
      </c>
    </row>
    <row r="438" spans="1:10">
      <c r="A438" s="479">
        <v>136</v>
      </c>
      <c r="B438" s="478" t="s">
        <v>2479</v>
      </c>
      <c r="C438" s="479">
        <v>1</v>
      </c>
      <c r="D438" s="1537">
        <v>16900</v>
      </c>
      <c r="E438" s="1537">
        <v>16900</v>
      </c>
      <c r="F438" s="478" t="s">
        <v>1891</v>
      </c>
      <c r="G438" s="478" t="s">
        <v>729</v>
      </c>
      <c r="I438" s="2461" t="s">
        <v>2402</v>
      </c>
      <c r="J438" s="19" t="s">
        <v>1905</v>
      </c>
    </row>
    <row r="439" spans="1:10">
      <c r="A439" s="479">
        <v>137</v>
      </c>
      <c r="B439" s="478" t="s">
        <v>1832</v>
      </c>
      <c r="C439" s="479">
        <v>1</v>
      </c>
      <c r="D439" s="1537">
        <v>6200</v>
      </c>
      <c r="E439" s="1537">
        <v>6200</v>
      </c>
      <c r="F439" s="478" t="s">
        <v>1478</v>
      </c>
      <c r="G439" s="478" t="s">
        <v>729</v>
      </c>
      <c r="I439" s="2461" t="s">
        <v>2403</v>
      </c>
      <c r="J439" s="19" t="s">
        <v>1905</v>
      </c>
    </row>
    <row r="440" spans="1:10">
      <c r="A440" s="479">
        <v>138</v>
      </c>
      <c r="B440" s="478" t="s">
        <v>474</v>
      </c>
      <c r="C440" s="479">
        <v>1</v>
      </c>
      <c r="D440" s="1537">
        <v>2354</v>
      </c>
      <c r="E440" s="1537">
        <v>2354</v>
      </c>
      <c r="F440" s="478" t="s">
        <v>1892</v>
      </c>
      <c r="G440" s="478" t="s">
        <v>729</v>
      </c>
      <c r="I440" s="2461" t="s">
        <v>2404</v>
      </c>
      <c r="J440" s="19" t="s">
        <v>1905</v>
      </c>
    </row>
    <row r="441" spans="1:10">
      <c r="A441" s="479">
        <v>139</v>
      </c>
      <c r="B441" s="478" t="s">
        <v>1806</v>
      </c>
      <c r="C441" s="479">
        <v>10</v>
      </c>
      <c r="D441" s="1537">
        <v>45600</v>
      </c>
      <c r="E441" s="1537">
        <v>456000</v>
      </c>
      <c r="F441" s="478" t="s">
        <v>888</v>
      </c>
      <c r="G441" s="478" t="s">
        <v>729</v>
      </c>
      <c r="I441" s="2461" t="s">
        <v>2405</v>
      </c>
      <c r="J441" s="19" t="s">
        <v>1905</v>
      </c>
    </row>
    <row r="442" spans="1:10">
      <c r="A442" s="479">
        <v>140</v>
      </c>
      <c r="B442" s="478" t="s">
        <v>1835</v>
      </c>
      <c r="C442" s="479">
        <v>13</v>
      </c>
      <c r="D442" s="1537"/>
      <c r="E442" s="1537">
        <v>46000</v>
      </c>
      <c r="F442" s="478" t="s">
        <v>416</v>
      </c>
      <c r="G442" s="478" t="s">
        <v>729</v>
      </c>
      <c r="I442" s="2461" t="s">
        <v>2408</v>
      </c>
      <c r="J442" s="19" t="s">
        <v>1905</v>
      </c>
    </row>
    <row r="443" spans="1:10">
      <c r="A443" s="479">
        <v>141</v>
      </c>
      <c r="B443" s="478" t="s">
        <v>1837</v>
      </c>
      <c r="C443" s="479">
        <v>4</v>
      </c>
      <c r="D443" s="1537">
        <v>6690</v>
      </c>
      <c r="E443" s="1537">
        <v>26760</v>
      </c>
      <c r="F443" s="478" t="s">
        <v>1893</v>
      </c>
      <c r="G443" s="478" t="s">
        <v>729</v>
      </c>
      <c r="I443" s="2461" t="s">
        <v>2410</v>
      </c>
      <c r="J443" s="19" t="s">
        <v>1905</v>
      </c>
    </row>
    <row r="444" spans="1:10">
      <c r="A444" s="479">
        <v>142</v>
      </c>
      <c r="B444" s="478" t="s">
        <v>1806</v>
      </c>
      <c r="C444" s="479">
        <v>1</v>
      </c>
      <c r="D444" s="1537">
        <v>45600</v>
      </c>
      <c r="E444" s="1537">
        <v>45600</v>
      </c>
      <c r="F444" s="478" t="s">
        <v>416</v>
      </c>
      <c r="G444" s="478" t="s">
        <v>729</v>
      </c>
      <c r="I444" s="2461" t="s">
        <v>2412</v>
      </c>
      <c r="J444" s="19" t="s">
        <v>1905</v>
      </c>
    </row>
    <row r="445" spans="1:10">
      <c r="A445" s="479">
        <v>143</v>
      </c>
      <c r="B445" s="478" t="s">
        <v>1842</v>
      </c>
      <c r="C445" s="479">
        <v>1</v>
      </c>
      <c r="D445" s="1537">
        <v>66896</v>
      </c>
      <c r="E445" s="1537">
        <v>66896</v>
      </c>
      <c r="F445" s="478" t="s">
        <v>1896</v>
      </c>
      <c r="G445" s="478" t="s">
        <v>729</v>
      </c>
      <c r="I445" s="2461" t="s">
        <v>2414</v>
      </c>
      <c r="J445" s="19" t="s">
        <v>1905</v>
      </c>
    </row>
    <row r="446" spans="1:10">
      <c r="A446" s="479">
        <v>144</v>
      </c>
      <c r="B446" s="478" t="s">
        <v>474</v>
      </c>
      <c r="C446" s="479">
        <v>1</v>
      </c>
      <c r="D446" s="1537">
        <v>2354</v>
      </c>
      <c r="E446" s="1537">
        <v>2354</v>
      </c>
      <c r="F446" s="478" t="s">
        <v>1897</v>
      </c>
      <c r="G446" s="478" t="s">
        <v>729</v>
      </c>
      <c r="I446" s="2461" t="s">
        <v>2415</v>
      </c>
      <c r="J446" s="19" t="s">
        <v>1905</v>
      </c>
    </row>
    <row r="447" spans="1:10">
      <c r="A447" s="479">
        <v>145</v>
      </c>
      <c r="B447" s="478" t="s">
        <v>1850</v>
      </c>
      <c r="C447" s="479">
        <v>2</v>
      </c>
      <c r="D447" s="1537">
        <v>4050</v>
      </c>
      <c r="E447" s="1537">
        <v>8100</v>
      </c>
      <c r="F447" s="478" t="s">
        <v>961</v>
      </c>
      <c r="G447" s="478" t="s">
        <v>729</v>
      </c>
      <c r="I447" s="2461" t="s">
        <v>2423</v>
      </c>
      <c r="J447" s="19" t="s">
        <v>1905</v>
      </c>
    </row>
    <row r="448" spans="1:10">
      <c r="A448" s="479">
        <v>146</v>
      </c>
      <c r="B448" s="478" t="s">
        <v>1851</v>
      </c>
      <c r="C448" s="479">
        <v>3</v>
      </c>
      <c r="D448" s="1537">
        <v>11770</v>
      </c>
      <c r="E448" s="1537">
        <v>35310</v>
      </c>
      <c r="F448" s="478" t="s">
        <v>1900</v>
      </c>
      <c r="G448" s="478" t="s">
        <v>729</v>
      </c>
      <c r="I448" s="2461" t="s">
        <v>2424</v>
      </c>
      <c r="J448" s="19" t="s">
        <v>1905</v>
      </c>
    </row>
    <row r="449" spans="1:10">
      <c r="A449" s="479">
        <v>147</v>
      </c>
      <c r="B449" s="478" t="s">
        <v>1852</v>
      </c>
      <c r="C449" s="479">
        <v>1</v>
      </c>
      <c r="D449" s="1537">
        <v>5498</v>
      </c>
      <c r="E449" s="1537">
        <v>5498</v>
      </c>
      <c r="F449" s="478" t="s">
        <v>1265</v>
      </c>
      <c r="G449" s="478" t="s">
        <v>729</v>
      </c>
      <c r="I449" s="2461" t="s">
        <v>2426</v>
      </c>
      <c r="J449" s="19" t="s">
        <v>1905</v>
      </c>
    </row>
    <row r="450" spans="1:10">
      <c r="A450" s="479">
        <v>148</v>
      </c>
      <c r="B450" s="478" t="s">
        <v>1853</v>
      </c>
      <c r="C450" s="479">
        <v>6</v>
      </c>
      <c r="D450" s="1537">
        <v>8990</v>
      </c>
      <c r="E450" s="1537">
        <v>53940</v>
      </c>
      <c r="F450" s="478" t="s">
        <v>961</v>
      </c>
      <c r="G450" s="478" t="s">
        <v>729</v>
      </c>
      <c r="I450" s="2461" t="s">
        <v>2427</v>
      </c>
      <c r="J450" s="19" t="s">
        <v>1905</v>
      </c>
    </row>
    <row r="451" spans="1:10">
      <c r="A451" s="479">
        <v>149</v>
      </c>
      <c r="B451" s="478" t="s">
        <v>474</v>
      </c>
      <c r="C451" s="479">
        <v>1</v>
      </c>
      <c r="D451" s="1537">
        <v>2354</v>
      </c>
      <c r="E451" s="1537">
        <v>2354</v>
      </c>
      <c r="F451" s="478" t="s">
        <v>743</v>
      </c>
      <c r="G451" s="478" t="s">
        <v>729</v>
      </c>
      <c r="I451" s="2461" t="s">
        <v>2429</v>
      </c>
      <c r="J451" s="19" t="s">
        <v>1905</v>
      </c>
    </row>
    <row r="452" spans="1:10">
      <c r="A452" s="479">
        <v>150</v>
      </c>
      <c r="B452" s="478" t="s">
        <v>1855</v>
      </c>
      <c r="C452" s="479">
        <v>5</v>
      </c>
      <c r="D452" s="1537">
        <v>4690</v>
      </c>
      <c r="E452" s="1537">
        <v>23450</v>
      </c>
      <c r="F452" s="478" t="s">
        <v>1901</v>
      </c>
      <c r="G452" s="478" t="s">
        <v>729</v>
      </c>
      <c r="I452" s="2461" t="s">
        <v>2430</v>
      </c>
      <c r="J452" s="19" t="s">
        <v>1905</v>
      </c>
    </row>
    <row r="453" spans="1:10">
      <c r="A453" s="479">
        <v>151</v>
      </c>
      <c r="B453" s="478" t="s">
        <v>1856</v>
      </c>
      <c r="C453" s="479">
        <v>1</v>
      </c>
      <c r="D453" s="1537">
        <v>32500</v>
      </c>
      <c r="E453" s="1537">
        <v>32500</v>
      </c>
      <c r="F453" s="478" t="s">
        <v>471</v>
      </c>
      <c r="G453" s="478" t="s">
        <v>729</v>
      </c>
      <c r="I453" s="2461" t="s">
        <v>2431</v>
      </c>
      <c r="J453" s="19" t="s">
        <v>1905</v>
      </c>
    </row>
    <row r="454" spans="1:10">
      <c r="A454" s="479">
        <v>152</v>
      </c>
      <c r="B454" s="478" t="s">
        <v>1857</v>
      </c>
      <c r="C454" s="479">
        <v>2</v>
      </c>
      <c r="D454" s="1537">
        <v>170000</v>
      </c>
      <c r="E454" s="1537">
        <v>340000</v>
      </c>
      <c r="F454" s="478" t="s">
        <v>471</v>
      </c>
      <c r="G454" s="478" t="s">
        <v>729</v>
      </c>
      <c r="I454" s="2461" t="s">
        <v>2432</v>
      </c>
      <c r="J454" s="19" t="s">
        <v>1905</v>
      </c>
    </row>
    <row r="455" spans="1:10">
      <c r="A455" s="479">
        <v>153</v>
      </c>
      <c r="B455" s="478" t="s">
        <v>1870</v>
      </c>
      <c r="C455" s="479">
        <v>1</v>
      </c>
      <c r="D455" s="1537">
        <v>23968</v>
      </c>
      <c r="E455" s="1537">
        <v>23968</v>
      </c>
      <c r="F455" s="478" t="s">
        <v>471</v>
      </c>
      <c r="G455" s="478" t="s">
        <v>729</v>
      </c>
      <c r="I455" s="2461" t="s">
        <v>2439</v>
      </c>
      <c r="J455" s="19" t="s">
        <v>1905</v>
      </c>
    </row>
    <row r="456" spans="1:10">
      <c r="A456" s="479">
        <v>154</v>
      </c>
      <c r="B456" s="478" t="s">
        <v>2478</v>
      </c>
      <c r="C456" s="479">
        <v>2</v>
      </c>
      <c r="D456" s="1537">
        <v>7600</v>
      </c>
      <c r="E456" s="1537">
        <v>15200</v>
      </c>
      <c r="F456" s="478" t="s">
        <v>1629</v>
      </c>
      <c r="G456" s="478" t="s">
        <v>729</v>
      </c>
      <c r="I456" s="2461" t="s">
        <v>2440</v>
      </c>
      <c r="J456" s="19" t="s">
        <v>1905</v>
      </c>
    </row>
    <row r="457" spans="1:10">
      <c r="A457" s="479">
        <v>155</v>
      </c>
      <c r="B457" s="478" t="s">
        <v>473</v>
      </c>
      <c r="C457" s="479">
        <v>2</v>
      </c>
      <c r="D457" s="1537">
        <v>3400</v>
      </c>
      <c r="E457" s="1537">
        <v>6800</v>
      </c>
      <c r="F457" s="478" t="s">
        <v>1629</v>
      </c>
      <c r="G457" s="478" t="s">
        <v>729</v>
      </c>
      <c r="I457" s="2461" t="s">
        <v>2440</v>
      </c>
      <c r="J457" s="19" t="s">
        <v>1905</v>
      </c>
    </row>
    <row r="458" spans="1:10">
      <c r="A458" s="479">
        <v>156</v>
      </c>
      <c r="B458" s="478" t="s">
        <v>1924</v>
      </c>
      <c r="C458" s="479">
        <v>2</v>
      </c>
      <c r="D458" s="1537">
        <v>2990</v>
      </c>
      <c r="E458" s="1537">
        <v>5980</v>
      </c>
      <c r="F458" s="478" t="s">
        <v>1629</v>
      </c>
      <c r="G458" s="478" t="s">
        <v>729</v>
      </c>
      <c r="I458" s="2461" t="s">
        <v>2440</v>
      </c>
      <c r="J458" s="19" t="s">
        <v>1905</v>
      </c>
    </row>
    <row r="459" spans="1:10">
      <c r="A459" s="479">
        <v>157</v>
      </c>
      <c r="B459" s="478" t="s">
        <v>474</v>
      </c>
      <c r="C459" s="479">
        <v>1</v>
      </c>
      <c r="D459" s="1537">
        <v>2354</v>
      </c>
      <c r="E459" s="1537">
        <v>2354</v>
      </c>
      <c r="F459" s="478" t="s">
        <v>416</v>
      </c>
      <c r="G459" s="478" t="s">
        <v>729</v>
      </c>
      <c r="I459" s="2461" t="s">
        <v>2441</v>
      </c>
      <c r="J459" s="19" t="s">
        <v>1905</v>
      </c>
    </row>
    <row r="460" spans="1:10">
      <c r="A460" s="479">
        <v>158</v>
      </c>
      <c r="B460" s="478" t="s">
        <v>1999</v>
      </c>
      <c r="C460" s="479">
        <v>1</v>
      </c>
      <c r="D460" s="1537">
        <v>4990</v>
      </c>
      <c r="E460" s="1537">
        <f>C460*D460</f>
        <v>4990</v>
      </c>
      <c r="F460" s="478" t="s">
        <v>1265</v>
      </c>
      <c r="G460" s="478" t="s">
        <v>729</v>
      </c>
      <c r="I460" s="2461" t="s">
        <v>2457</v>
      </c>
      <c r="J460" s="19" t="s">
        <v>1905</v>
      </c>
    </row>
    <row r="461" spans="1:10">
      <c r="A461" s="479">
        <v>159</v>
      </c>
      <c r="B461" s="478" t="s">
        <v>2000</v>
      </c>
      <c r="C461" s="479">
        <v>1</v>
      </c>
      <c r="D461" s="1537">
        <v>53200</v>
      </c>
      <c r="E461" s="1537">
        <f>C461*D461</f>
        <v>53200</v>
      </c>
      <c r="F461" s="478" t="s">
        <v>614</v>
      </c>
      <c r="G461" s="478" t="s">
        <v>729</v>
      </c>
      <c r="I461" s="2461" t="s">
        <v>2458</v>
      </c>
      <c r="J461" s="19" t="s">
        <v>1905</v>
      </c>
    </row>
    <row r="462" spans="1:10">
      <c r="A462" s="479">
        <v>160</v>
      </c>
      <c r="B462" s="478" t="s">
        <v>1806</v>
      </c>
      <c r="C462" s="479">
        <v>1</v>
      </c>
      <c r="D462" s="1537">
        <v>45600</v>
      </c>
      <c r="E462" s="1537">
        <f>C462*D462</f>
        <v>45600</v>
      </c>
      <c r="F462" s="478" t="s">
        <v>2007</v>
      </c>
      <c r="G462" s="478" t="s">
        <v>729</v>
      </c>
      <c r="I462" s="2461" t="s">
        <v>2461</v>
      </c>
      <c r="J462" s="19" t="s">
        <v>1905</v>
      </c>
    </row>
    <row r="463" spans="1:10">
      <c r="A463" s="479">
        <v>161</v>
      </c>
      <c r="B463" s="478" t="s">
        <v>1806</v>
      </c>
      <c r="C463" s="479">
        <v>1</v>
      </c>
      <c r="D463" s="1537">
        <v>45600</v>
      </c>
      <c r="E463" s="1537">
        <f>C463*D463</f>
        <v>45600</v>
      </c>
      <c r="F463" s="478" t="s">
        <v>471</v>
      </c>
      <c r="G463" s="478" t="s">
        <v>729</v>
      </c>
      <c r="I463" s="2461" t="s">
        <v>2463</v>
      </c>
      <c r="J463" s="19" t="s">
        <v>1905</v>
      </c>
    </row>
    <row r="464" spans="1:10">
      <c r="A464" s="479">
        <v>162</v>
      </c>
      <c r="B464" s="478" t="s">
        <v>2040</v>
      </c>
      <c r="C464" s="479">
        <v>1</v>
      </c>
      <c r="D464" s="1537">
        <v>4900</v>
      </c>
      <c r="E464" s="1537">
        <f t="shared" ref="E464:E473" si="18">+C464*D464</f>
        <v>4900</v>
      </c>
      <c r="F464" s="478" t="s">
        <v>614</v>
      </c>
      <c r="G464" s="478" t="s">
        <v>729</v>
      </c>
      <c r="I464" s="2461" t="s">
        <v>2153</v>
      </c>
      <c r="J464" s="19" t="s">
        <v>490</v>
      </c>
    </row>
    <row r="465" spans="1:10">
      <c r="A465" s="479">
        <v>163</v>
      </c>
      <c r="B465" s="478" t="s">
        <v>473</v>
      </c>
      <c r="C465" s="479">
        <v>100</v>
      </c>
      <c r="D465" s="1537">
        <v>2290</v>
      </c>
      <c r="E465" s="1537">
        <f t="shared" si="18"/>
        <v>229000</v>
      </c>
      <c r="F465" s="478" t="s">
        <v>471</v>
      </c>
      <c r="G465" s="478" t="s">
        <v>729</v>
      </c>
      <c r="I465" s="2461" t="s">
        <v>2156</v>
      </c>
      <c r="J465" s="19" t="s">
        <v>490</v>
      </c>
    </row>
    <row r="466" spans="1:10">
      <c r="A466" s="479">
        <v>164</v>
      </c>
      <c r="B466" s="478" t="s">
        <v>474</v>
      </c>
      <c r="C466" s="479">
        <v>2</v>
      </c>
      <c r="D466" s="1537">
        <v>2354</v>
      </c>
      <c r="E466" s="1537">
        <f t="shared" si="18"/>
        <v>4708</v>
      </c>
      <c r="F466" s="478" t="s">
        <v>2007</v>
      </c>
      <c r="G466" s="478" t="s">
        <v>729</v>
      </c>
      <c r="I466" s="2461" t="s">
        <v>2157</v>
      </c>
      <c r="J466" s="19" t="s">
        <v>490</v>
      </c>
    </row>
    <row r="467" spans="1:10">
      <c r="A467" s="479">
        <v>165</v>
      </c>
      <c r="B467" s="478" t="s">
        <v>918</v>
      </c>
      <c r="C467" s="479">
        <v>1</v>
      </c>
      <c r="D467" s="1537">
        <v>1808.3</v>
      </c>
      <c r="E467" s="1537">
        <f t="shared" si="18"/>
        <v>1808.3</v>
      </c>
      <c r="F467" s="478" t="s">
        <v>743</v>
      </c>
      <c r="G467" s="478" t="s">
        <v>729</v>
      </c>
      <c r="I467" s="2461" t="s">
        <v>2158</v>
      </c>
      <c r="J467" s="19" t="s">
        <v>490</v>
      </c>
    </row>
    <row r="468" spans="1:10">
      <c r="A468" s="479">
        <v>166</v>
      </c>
      <c r="B468" s="478" t="s">
        <v>474</v>
      </c>
      <c r="C468" s="479">
        <v>1</v>
      </c>
      <c r="D468" s="1537">
        <v>2354</v>
      </c>
      <c r="E468" s="1537">
        <f t="shared" si="18"/>
        <v>2354</v>
      </c>
      <c r="F468" s="478" t="s">
        <v>2296</v>
      </c>
      <c r="G468" s="478" t="s">
        <v>729</v>
      </c>
      <c r="I468" s="2461" t="s">
        <v>2159</v>
      </c>
      <c r="J468" s="19" t="s">
        <v>490</v>
      </c>
    </row>
    <row r="469" spans="1:10">
      <c r="A469" s="479">
        <v>167</v>
      </c>
      <c r="B469" s="478" t="s">
        <v>2049</v>
      </c>
      <c r="C469" s="479">
        <v>4</v>
      </c>
      <c r="D469" s="1537">
        <v>2690</v>
      </c>
      <c r="E469" s="1537">
        <f t="shared" si="18"/>
        <v>10760</v>
      </c>
      <c r="F469" s="478" t="s">
        <v>1436</v>
      </c>
      <c r="G469" s="478" t="s">
        <v>729</v>
      </c>
      <c r="I469" s="2461" t="s">
        <v>2166</v>
      </c>
      <c r="J469" s="19" t="s">
        <v>490</v>
      </c>
    </row>
    <row r="470" spans="1:10">
      <c r="A470" s="479">
        <v>168</v>
      </c>
      <c r="B470" s="478" t="s">
        <v>2050</v>
      </c>
      <c r="C470" s="479">
        <v>1</v>
      </c>
      <c r="D470" s="1537">
        <v>20900</v>
      </c>
      <c r="E470" s="1537">
        <f t="shared" si="18"/>
        <v>20900</v>
      </c>
      <c r="F470" s="478" t="s">
        <v>1436</v>
      </c>
      <c r="G470" s="478" t="s">
        <v>729</v>
      </c>
      <c r="I470" s="2461" t="s">
        <v>2166</v>
      </c>
      <c r="J470" s="19" t="s">
        <v>490</v>
      </c>
    </row>
    <row r="471" spans="1:10">
      <c r="A471" s="479">
        <v>169</v>
      </c>
      <c r="B471" s="478" t="s">
        <v>2051</v>
      </c>
      <c r="C471" s="479">
        <v>4</v>
      </c>
      <c r="D471" s="1537">
        <v>7500</v>
      </c>
      <c r="E471" s="1537">
        <f t="shared" si="18"/>
        <v>30000</v>
      </c>
      <c r="F471" s="478" t="s">
        <v>1436</v>
      </c>
      <c r="G471" s="478" t="s">
        <v>729</v>
      </c>
      <c r="I471" s="2461" t="s">
        <v>2166</v>
      </c>
      <c r="J471" s="19" t="s">
        <v>490</v>
      </c>
    </row>
    <row r="472" spans="1:10">
      <c r="A472" s="479">
        <v>170</v>
      </c>
      <c r="B472" s="478" t="s">
        <v>2052</v>
      </c>
      <c r="C472" s="479">
        <v>4</v>
      </c>
      <c r="D472" s="1537">
        <v>9900</v>
      </c>
      <c r="E472" s="1537">
        <f t="shared" si="18"/>
        <v>39600</v>
      </c>
      <c r="F472" s="478" t="s">
        <v>1436</v>
      </c>
      <c r="G472" s="478" t="s">
        <v>729</v>
      </c>
      <c r="I472" s="2461" t="s">
        <v>2166</v>
      </c>
      <c r="J472" s="19" t="s">
        <v>490</v>
      </c>
    </row>
    <row r="473" spans="1:10">
      <c r="A473" s="479">
        <v>171</v>
      </c>
      <c r="B473" s="478" t="s">
        <v>2054</v>
      </c>
      <c r="C473" s="479">
        <v>2</v>
      </c>
      <c r="D473" s="1537">
        <v>6289.5</v>
      </c>
      <c r="E473" s="1537">
        <f t="shared" si="18"/>
        <v>12579</v>
      </c>
      <c r="F473" s="478" t="s">
        <v>471</v>
      </c>
      <c r="G473" s="478" t="s">
        <v>729</v>
      </c>
      <c r="I473" s="2461" t="s">
        <v>2168</v>
      </c>
      <c r="J473" s="19" t="s">
        <v>490</v>
      </c>
    </row>
    <row r="474" spans="1:10">
      <c r="A474" s="479">
        <v>172</v>
      </c>
      <c r="B474" s="478" t="s">
        <v>2057</v>
      </c>
      <c r="C474" s="479">
        <v>3</v>
      </c>
      <c r="D474" s="1537">
        <v>3400</v>
      </c>
      <c r="E474" s="2466"/>
      <c r="F474" s="478" t="s">
        <v>2300</v>
      </c>
      <c r="G474" s="478" t="s">
        <v>729</v>
      </c>
      <c r="I474" s="2461" t="s">
        <v>2171</v>
      </c>
      <c r="J474" s="19" t="s">
        <v>490</v>
      </c>
    </row>
    <row r="475" spans="1:10">
      <c r="A475" s="479">
        <v>173</v>
      </c>
      <c r="B475" s="478" t="s">
        <v>2061</v>
      </c>
      <c r="C475" s="479">
        <v>1</v>
      </c>
      <c r="D475" s="1537">
        <v>4900</v>
      </c>
      <c r="E475" s="1537">
        <f t="shared" ref="E475:E509" si="19">C475*D475</f>
        <v>4900</v>
      </c>
      <c r="F475" s="478" t="s">
        <v>1278</v>
      </c>
      <c r="G475" s="478" t="s">
        <v>729</v>
      </c>
      <c r="I475" s="2462" t="s">
        <v>2175</v>
      </c>
      <c r="J475" s="19" t="s">
        <v>490</v>
      </c>
    </row>
    <row r="476" spans="1:10">
      <c r="A476" s="479">
        <v>174</v>
      </c>
      <c r="B476" s="478" t="s">
        <v>474</v>
      </c>
      <c r="C476" s="479">
        <v>1</v>
      </c>
      <c r="D476" s="1537">
        <v>2354</v>
      </c>
      <c r="E476" s="1537">
        <f t="shared" si="19"/>
        <v>2354</v>
      </c>
      <c r="F476" s="478" t="s">
        <v>2302</v>
      </c>
      <c r="G476" s="478" t="s">
        <v>729</v>
      </c>
      <c r="I476" s="2462" t="s">
        <v>2176</v>
      </c>
      <c r="J476" s="19" t="s">
        <v>490</v>
      </c>
    </row>
    <row r="477" spans="1:10">
      <c r="A477" s="479">
        <v>175</v>
      </c>
      <c r="B477" s="478" t="s">
        <v>893</v>
      </c>
      <c r="C477" s="479">
        <v>1</v>
      </c>
      <c r="D477" s="1537">
        <v>11663</v>
      </c>
      <c r="E477" s="1537">
        <f t="shared" si="19"/>
        <v>11663</v>
      </c>
      <c r="F477" s="478" t="s">
        <v>2335</v>
      </c>
      <c r="G477" s="478" t="s">
        <v>729</v>
      </c>
      <c r="I477" s="2462" t="s">
        <v>2177</v>
      </c>
      <c r="J477" s="19" t="s">
        <v>490</v>
      </c>
    </row>
    <row r="478" spans="1:10">
      <c r="A478" s="479">
        <v>176</v>
      </c>
      <c r="B478" s="478" t="s">
        <v>2062</v>
      </c>
      <c r="C478" s="479">
        <v>1</v>
      </c>
      <c r="D478" s="1537">
        <v>72760</v>
      </c>
      <c r="E478" s="1537">
        <f t="shared" si="19"/>
        <v>72760</v>
      </c>
      <c r="F478" s="478" t="s">
        <v>2303</v>
      </c>
      <c r="G478" s="478" t="s">
        <v>729</v>
      </c>
      <c r="I478" s="2462" t="s">
        <v>2179</v>
      </c>
      <c r="J478" s="19" t="s">
        <v>490</v>
      </c>
    </row>
    <row r="479" spans="1:10">
      <c r="A479" s="479">
        <v>177</v>
      </c>
      <c r="B479" s="478" t="s">
        <v>2063</v>
      </c>
      <c r="C479" s="479">
        <v>1</v>
      </c>
      <c r="D479" s="1537">
        <v>3500</v>
      </c>
      <c r="E479" s="1537">
        <f t="shared" si="19"/>
        <v>3500</v>
      </c>
      <c r="F479" s="478" t="s">
        <v>422</v>
      </c>
      <c r="G479" s="478" t="s">
        <v>729</v>
      </c>
      <c r="I479" s="2462" t="s">
        <v>2180</v>
      </c>
      <c r="J479" s="19" t="s">
        <v>490</v>
      </c>
    </row>
    <row r="480" spans="1:10">
      <c r="A480" s="479">
        <v>178</v>
      </c>
      <c r="B480" s="478" t="s">
        <v>2064</v>
      </c>
      <c r="C480" s="479">
        <v>1</v>
      </c>
      <c r="D480" s="1537">
        <v>110490</v>
      </c>
      <c r="E480" s="1537">
        <f t="shared" si="19"/>
        <v>110490</v>
      </c>
      <c r="F480" s="478" t="s">
        <v>2305</v>
      </c>
      <c r="G480" s="478" t="s">
        <v>729</v>
      </c>
      <c r="I480" s="2461" t="s">
        <v>2182</v>
      </c>
      <c r="J480" s="19" t="s">
        <v>490</v>
      </c>
    </row>
    <row r="481" spans="1:10">
      <c r="A481" s="479">
        <v>179</v>
      </c>
      <c r="B481" s="478" t="s">
        <v>2067</v>
      </c>
      <c r="C481" s="479">
        <v>10</v>
      </c>
      <c r="D481" s="1537">
        <v>45600</v>
      </c>
      <c r="E481" s="1537">
        <f t="shared" si="19"/>
        <v>456000</v>
      </c>
      <c r="F481" s="478" t="s">
        <v>888</v>
      </c>
      <c r="G481" s="478" t="s">
        <v>729</v>
      </c>
      <c r="I481" s="2461" t="s">
        <v>2185</v>
      </c>
      <c r="J481" s="19" t="s">
        <v>490</v>
      </c>
    </row>
    <row r="482" spans="1:10">
      <c r="A482" s="479">
        <v>180</v>
      </c>
      <c r="B482" s="603" t="s">
        <v>473</v>
      </c>
      <c r="C482" s="479">
        <v>4</v>
      </c>
      <c r="D482" s="1537">
        <v>3400</v>
      </c>
      <c r="E482" s="1537">
        <f t="shared" si="19"/>
        <v>13600</v>
      </c>
      <c r="F482" s="478" t="s">
        <v>2307</v>
      </c>
      <c r="G482" s="478" t="s">
        <v>729</v>
      </c>
      <c r="I482" s="2461" t="s">
        <v>2187</v>
      </c>
      <c r="J482" s="19" t="s">
        <v>490</v>
      </c>
    </row>
    <row r="483" spans="1:10">
      <c r="A483" s="479">
        <v>181</v>
      </c>
      <c r="B483" s="478" t="s">
        <v>2069</v>
      </c>
      <c r="C483" s="479">
        <v>1</v>
      </c>
      <c r="D483" s="1537">
        <v>7600</v>
      </c>
      <c r="E483" s="1537">
        <f t="shared" si="19"/>
        <v>7600</v>
      </c>
      <c r="F483" s="478" t="s">
        <v>584</v>
      </c>
      <c r="G483" s="478" t="s">
        <v>729</v>
      </c>
      <c r="I483" s="2461" t="s">
        <v>2188</v>
      </c>
      <c r="J483" s="19" t="s">
        <v>490</v>
      </c>
    </row>
    <row r="484" spans="1:10">
      <c r="A484" s="479">
        <v>182</v>
      </c>
      <c r="B484" s="478" t="s">
        <v>473</v>
      </c>
      <c r="C484" s="479">
        <v>1</v>
      </c>
      <c r="D484" s="1537">
        <v>4500</v>
      </c>
      <c r="E484" s="1537">
        <f t="shared" si="19"/>
        <v>4500</v>
      </c>
      <c r="F484" s="478" t="s">
        <v>584</v>
      </c>
      <c r="G484" s="478" t="s">
        <v>729</v>
      </c>
      <c r="I484" s="2461" t="s">
        <v>2188</v>
      </c>
      <c r="J484" s="19" t="s">
        <v>490</v>
      </c>
    </row>
    <row r="485" spans="1:10">
      <c r="A485" s="479">
        <v>183</v>
      </c>
      <c r="B485" s="478" t="s">
        <v>2070</v>
      </c>
      <c r="C485" s="479">
        <v>1</v>
      </c>
      <c r="D485" s="1537">
        <v>2990</v>
      </c>
      <c r="E485" s="1537">
        <f t="shared" si="19"/>
        <v>2990</v>
      </c>
      <c r="F485" s="478" t="s">
        <v>584</v>
      </c>
      <c r="G485" s="478" t="s">
        <v>729</v>
      </c>
      <c r="I485" s="2461" t="s">
        <v>2188</v>
      </c>
      <c r="J485" s="19" t="s">
        <v>490</v>
      </c>
    </row>
    <row r="486" spans="1:10">
      <c r="A486" s="479">
        <v>184</v>
      </c>
      <c r="B486" s="478" t="s">
        <v>2074</v>
      </c>
      <c r="C486" s="479">
        <v>2</v>
      </c>
      <c r="D486" s="1537">
        <v>6800</v>
      </c>
      <c r="E486" s="1537">
        <f t="shared" si="19"/>
        <v>13600</v>
      </c>
      <c r="F486" s="478" t="s">
        <v>472</v>
      </c>
      <c r="G486" s="478" t="s">
        <v>729</v>
      </c>
      <c r="I486" s="2461" t="s">
        <v>2192</v>
      </c>
      <c r="J486" s="19" t="s">
        <v>490</v>
      </c>
    </row>
    <row r="487" spans="1:10">
      <c r="A487" s="479">
        <v>185</v>
      </c>
      <c r="B487" s="478" t="s">
        <v>2492</v>
      </c>
      <c r="C487" s="479">
        <v>3</v>
      </c>
      <c r="D487" s="1537">
        <v>3000</v>
      </c>
      <c r="E487" s="1537">
        <f t="shared" si="19"/>
        <v>9000</v>
      </c>
      <c r="F487" s="478" t="s">
        <v>472</v>
      </c>
      <c r="G487" s="478" t="s">
        <v>729</v>
      </c>
      <c r="I487" s="2461" t="s">
        <v>2192</v>
      </c>
      <c r="J487" s="19" t="s">
        <v>490</v>
      </c>
    </row>
    <row r="488" spans="1:10">
      <c r="A488" s="479">
        <v>186</v>
      </c>
      <c r="B488" s="478" t="s">
        <v>2075</v>
      </c>
      <c r="C488" s="479">
        <v>1</v>
      </c>
      <c r="D488" s="1537">
        <v>6400</v>
      </c>
      <c r="E488" s="1537">
        <f t="shared" si="19"/>
        <v>6400</v>
      </c>
      <c r="F488" s="478" t="s">
        <v>472</v>
      </c>
      <c r="G488" s="478" t="s">
        <v>729</v>
      </c>
      <c r="I488" s="2461" t="s">
        <v>2192</v>
      </c>
      <c r="J488" s="19" t="s">
        <v>490</v>
      </c>
    </row>
    <row r="489" spans="1:10">
      <c r="A489" s="479">
        <v>187</v>
      </c>
      <c r="B489" s="603" t="s">
        <v>1290</v>
      </c>
      <c r="C489" s="479">
        <v>1</v>
      </c>
      <c r="D489" s="1537">
        <v>3400</v>
      </c>
      <c r="E489" s="1537">
        <f t="shared" si="19"/>
        <v>3400</v>
      </c>
      <c r="F489" s="478" t="s">
        <v>949</v>
      </c>
      <c r="G489" s="478" t="s">
        <v>729</v>
      </c>
      <c r="I489" s="2461" t="s">
        <v>2193</v>
      </c>
      <c r="J489" s="19" t="s">
        <v>490</v>
      </c>
    </row>
    <row r="490" spans="1:10">
      <c r="A490" s="479">
        <v>188</v>
      </c>
      <c r="B490" s="478" t="s">
        <v>2076</v>
      </c>
      <c r="C490" s="479">
        <v>1</v>
      </c>
      <c r="D490" s="1537">
        <v>4050</v>
      </c>
      <c r="E490" s="1537">
        <f t="shared" si="19"/>
        <v>4050</v>
      </c>
      <c r="F490" s="478" t="s">
        <v>2334</v>
      </c>
      <c r="G490" s="478" t="s">
        <v>729</v>
      </c>
      <c r="I490" s="2461" t="s">
        <v>2195</v>
      </c>
      <c r="J490" s="19" t="s">
        <v>490</v>
      </c>
    </row>
    <row r="491" spans="1:10">
      <c r="A491" s="479">
        <v>189</v>
      </c>
      <c r="B491" s="478" t="s">
        <v>474</v>
      </c>
      <c r="C491" s="479">
        <v>2</v>
      </c>
      <c r="D491" s="1537">
        <v>2354</v>
      </c>
      <c r="E491" s="1537">
        <f t="shared" si="19"/>
        <v>4708</v>
      </c>
      <c r="F491" s="478" t="s">
        <v>2309</v>
      </c>
      <c r="G491" s="478" t="s">
        <v>729</v>
      </c>
      <c r="I491" s="2461" t="s">
        <v>2199</v>
      </c>
      <c r="J491" s="19" t="s">
        <v>490</v>
      </c>
    </row>
    <row r="492" spans="1:10">
      <c r="A492" s="479">
        <v>190</v>
      </c>
      <c r="B492" s="478" t="s">
        <v>2081</v>
      </c>
      <c r="C492" s="479">
        <v>1</v>
      </c>
      <c r="D492" s="1537">
        <v>39630</v>
      </c>
      <c r="E492" s="1537">
        <f t="shared" si="19"/>
        <v>39630</v>
      </c>
      <c r="F492" s="478" t="s">
        <v>2310</v>
      </c>
      <c r="G492" s="478" t="s">
        <v>729</v>
      </c>
      <c r="I492" s="2461" t="s">
        <v>2200</v>
      </c>
      <c r="J492" s="19" t="s">
        <v>490</v>
      </c>
    </row>
    <row r="493" spans="1:10">
      <c r="A493" s="479">
        <v>191</v>
      </c>
      <c r="B493" s="478" t="s">
        <v>917</v>
      </c>
      <c r="C493" s="479">
        <v>2</v>
      </c>
      <c r="D493" s="1537">
        <v>2354</v>
      </c>
      <c r="E493" s="1537">
        <f t="shared" si="19"/>
        <v>4708</v>
      </c>
      <c r="F493" s="478" t="s">
        <v>614</v>
      </c>
      <c r="G493" s="478" t="s">
        <v>729</v>
      </c>
      <c r="I493" s="2461" t="s">
        <v>2201</v>
      </c>
      <c r="J493" s="19" t="s">
        <v>490</v>
      </c>
    </row>
    <row r="494" spans="1:10">
      <c r="A494" s="479">
        <v>192</v>
      </c>
      <c r="B494" s="478" t="s">
        <v>2083</v>
      </c>
      <c r="C494" s="479">
        <v>1</v>
      </c>
      <c r="D494" s="1537">
        <v>5039</v>
      </c>
      <c r="E494" s="1537">
        <f t="shared" si="19"/>
        <v>5039</v>
      </c>
      <c r="F494" s="478" t="s">
        <v>2311</v>
      </c>
      <c r="G494" s="478" t="s">
        <v>729</v>
      </c>
      <c r="I494" s="2461" t="s">
        <v>2203</v>
      </c>
      <c r="J494" s="19" t="s">
        <v>490</v>
      </c>
    </row>
    <row r="495" spans="1:10">
      <c r="A495" s="479">
        <v>193</v>
      </c>
      <c r="B495" s="478" t="s">
        <v>473</v>
      </c>
      <c r="C495" s="479">
        <v>2</v>
      </c>
      <c r="D495" s="1537">
        <v>540</v>
      </c>
      <c r="E495" s="1537">
        <f t="shared" si="19"/>
        <v>1080</v>
      </c>
      <c r="F495" s="478" t="s">
        <v>1278</v>
      </c>
      <c r="G495" s="478" t="s">
        <v>729</v>
      </c>
      <c r="I495" s="2461" t="s">
        <v>2204</v>
      </c>
      <c r="J495" s="19" t="s">
        <v>490</v>
      </c>
    </row>
    <row r="496" spans="1:10">
      <c r="A496" s="479">
        <v>194</v>
      </c>
      <c r="B496" s="478" t="s">
        <v>2067</v>
      </c>
      <c r="C496" s="479">
        <v>2</v>
      </c>
      <c r="D496" s="1537">
        <v>45600</v>
      </c>
      <c r="E496" s="1537">
        <f t="shared" si="19"/>
        <v>91200</v>
      </c>
      <c r="F496" s="478" t="s">
        <v>956</v>
      </c>
      <c r="G496" s="478" t="s">
        <v>729</v>
      </c>
      <c r="I496" s="2461" t="s">
        <v>2211</v>
      </c>
      <c r="J496" s="19" t="s">
        <v>490</v>
      </c>
    </row>
    <row r="497" spans="1:10">
      <c r="A497" s="479">
        <v>195</v>
      </c>
      <c r="B497" s="478" t="s">
        <v>2087</v>
      </c>
      <c r="C497" s="479">
        <v>1</v>
      </c>
      <c r="D497" s="1537">
        <v>8990</v>
      </c>
      <c r="E497" s="1537">
        <f t="shared" si="19"/>
        <v>8990</v>
      </c>
      <c r="F497" s="478" t="s">
        <v>2333</v>
      </c>
      <c r="G497" s="478" t="s">
        <v>729</v>
      </c>
      <c r="I497" s="2461" t="s">
        <v>2212</v>
      </c>
      <c r="J497" s="19" t="s">
        <v>490</v>
      </c>
    </row>
    <row r="498" spans="1:10">
      <c r="A498" s="479">
        <v>196</v>
      </c>
      <c r="B498" s="478" t="s">
        <v>501</v>
      </c>
      <c r="C498" s="479">
        <v>1</v>
      </c>
      <c r="D498" s="1537">
        <v>6200</v>
      </c>
      <c r="E498" s="1537">
        <f t="shared" si="19"/>
        <v>6200</v>
      </c>
      <c r="F498" s="478" t="s">
        <v>1278</v>
      </c>
      <c r="G498" s="478" t="s">
        <v>729</v>
      </c>
      <c r="I498" s="2461" t="s">
        <v>2207</v>
      </c>
      <c r="J498" s="19" t="s">
        <v>490</v>
      </c>
    </row>
    <row r="499" spans="1:10">
      <c r="A499" s="479">
        <v>197</v>
      </c>
      <c r="B499" s="478" t="s">
        <v>469</v>
      </c>
      <c r="C499" s="479">
        <v>4</v>
      </c>
      <c r="D499" s="1537">
        <v>2305.85</v>
      </c>
      <c r="E499" s="1537">
        <f t="shared" si="19"/>
        <v>9223.4</v>
      </c>
      <c r="F499" s="478" t="s">
        <v>2313</v>
      </c>
      <c r="G499" s="478" t="s">
        <v>729</v>
      </c>
      <c r="I499" s="2461" t="s">
        <v>2215</v>
      </c>
      <c r="J499" s="19" t="s">
        <v>490</v>
      </c>
    </row>
    <row r="500" spans="1:10">
      <c r="A500" s="479">
        <v>198</v>
      </c>
      <c r="B500" s="478" t="s">
        <v>2097</v>
      </c>
      <c r="C500" s="479">
        <v>1</v>
      </c>
      <c r="D500" s="1537">
        <v>15000</v>
      </c>
      <c r="E500" s="1537">
        <f t="shared" si="19"/>
        <v>15000</v>
      </c>
      <c r="F500" s="478" t="s">
        <v>1436</v>
      </c>
      <c r="G500" s="478" t="s">
        <v>729</v>
      </c>
      <c r="I500" s="2461" t="s">
        <v>2224</v>
      </c>
      <c r="J500" s="19" t="s">
        <v>490</v>
      </c>
    </row>
    <row r="501" spans="1:10">
      <c r="A501" s="479">
        <v>199</v>
      </c>
      <c r="B501" s="478" t="s">
        <v>2098</v>
      </c>
      <c r="C501" s="479">
        <v>1</v>
      </c>
      <c r="D501" s="1537">
        <v>2750</v>
      </c>
      <c r="E501" s="1537">
        <f t="shared" si="19"/>
        <v>2750</v>
      </c>
      <c r="F501" s="478" t="s">
        <v>1436</v>
      </c>
      <c r="G501" s="478" t="s">
        <v>729</v>
      </c>
      <c r="I501" s="2461" t="s">
        <v>2224</v>
      </c>
      <c r="J501" s="19" t="s">
        <v>490</v>
      </c>
    </row>
    <row r="502" spans="1:10">
      <c r="A502" s="479">
        <v>200</v>
      </c>
      <c r="B502" s="478" t="s">
        <v>2099</v>
      </c>
      <c r="C502" s="479">
        <v>1</v>
      </c>
      <c r="D502" s="1537">
        <v>7800</v>
      </c>
      <c r="E502" s="1537">
        <f t="shared" si="19"/>
        <v>7800</v>
      </c>
      <c r="F502" s="478" t="s">
        <v>1436</v>
      </c>
      <c r="G502" s="478" t="s">
        <v>729</v>
      </c>
      <c r="I502" s="2461" t="s">
        <v>2224</v>
      </c>
      <c r="J502" s="19" t="s">
        <v>490</v>
      </c>
    </row>
    <row r="503" spans="1:10">
      <c r="A503" s="479">
        <v>201</v>
      </c>
      <c r="B503" s="478" t="s">
        <v>919</v>
      </c>
      <c r="C503" s="479">
        <v>1</v>
      </c>
      <c r="D503" s="1537">
        <v>36200</v>
      </c>
      <c r="E503" s="1537">
        <f t="shared" si="19"/>
        <v>36200</v>
      </c>
      <c r="F503" s="478" t="s">
        <v>614</v>
      </c>
      <c r="G503" s="478" t="s">
        <v>729</v>
      </c>
      <c r="I503" s="2461" t="s">
        <v>2225</v>
      </c>
      <c r="J503" s="19" t="s">
        <v>490</v>
      </c>
    </row>
    <row r="504" spans="1:10">
      <c r="A504" s="479">
        <v>202</v>
      </c>
      <c r="B504" s="478" t="s">
        <v>2100</v>
      </c>
      <c r="C504" s="479">
        <v>1</v>
      </c>
      <c r="D504" s="1537">
        <v>19100</v>
      </c>
      <c r="E504" s="1537">
        <f t="shared" si="19"/>
        <v>19100</v>
      </c>
      <c r="F504" s="478" t="s">
        <v>2316</v>
      </c>
      <c r="G504" s="478" t="s">
        <v>729</v>
      </c>
      <c r="I504" s="2461" t="s">
        <v>2226</v>
      </c>
      <c r="J504" s="19" t="s">
        <v>490</v>
      </c>
    </row>
    <row r="505" spans="1:10">
      <c r="A505" s="479">
        <v>203</v>
      </c>
      <c r="B505" s="478" t="s">
        <v>2101</v>
      </c>
      <c r="C505" s="479">
        <v>2</v>
      </c>
      <c r="D505" s="1537">
        <v>3790</v>
      </c>
      <c r="E505" s="1537">
        <f t="shared" si="19"/>
        <v>7580</v>
      </c>
      <c r="F505" s="478" t="s">
        <v>2316</v>
      </c>
      <c r="G505" s="478" t="s">
        <v>729</v>
      </c>
      <c r="I505" s="2461" t="s">
        <v>2226</v>
      </c>
      <c r="J505" s="19" t="s">
        <v>490</v>
      </c>
    </row>
    <row r="506" spans="1:10">
      <c r="A506" s="479">
        <v>204</v>
      </c>
      <c r="B506" s="603" t="s">
        <v>473</v>
      </c>
      <c r="C506" s="479">
        <v>2</v>
      </c>
      <c r="D506" s="1537">
        <v>2300</v>
      </c>
      <c r="E506" s="1537">
        <f t="shared" si="19"/>
        <v>4600</v>
      </c>
      <c r="F506" s="478" t="s">
        <v>475</v>
      </c>
      <c r="G506" s="478" t="s">
        <v>729</v>
      </c>
      <c r="I506" s="2461" t="s">
        <v>2229</v>
      </c>
      <c r="J506" s="19" t="s">
        <v>490</v>
      </c>
    </row>
    <row r="507" spans="1:10">
      <c r="A507" s="479">
        <v>205</v>
      </c>
      <c r="B507" s="478" t="s">
        <v>2105</v>
      </c>
      <c r="C507" s="479">
        <v>1</v>
      </c>
      <c r="D507" s="1537">
        <v>12900</v>
      </c>
      <c r="E507" s="1537">
        <f t="shared" si="19"/>
        <v>12900</v>
      </c>
      <c r="F507" s="478" t="s">
        <v>1436</v>
      </c>
      <c r="G507" s="478" t="s">
        <v>729</v>
      </c>
      <c r="I507" s="2461" t="s">
        <v>2231</v>
      </c>
      <c r="J507" s="19" t="s">
        <v>490</v>
      </c>
    </row>
    <row r="508" spans="1:10">
      <c r="A508" s="479">
        <v>206</v>
      </c>
      <c r="B508" s="478" t="s">
        <v>2106</v>
      </c>
      <c r="C508" s="479">
        <v>1</v>
      </c>
      <c r="D508" s="1537">
        <v>2990</v>
      </c>
      <c r="E508" s="1537">
        <f t="shared" si="19"/>
        <v>2990</v>
      </c>
      <c r="F508" s="478" t="s">
        <v>1436</v>
      </c>
      <c r="G508" s="478" t="s">
        <v>729</v>
      </c>
      <c r="I508" s="2461" t="s">
        <v>2231</v>
      </c>
      <c r="J508" s="19" t="s">
        <v>490</v>
      </c>
    </row>
    <row r="509" spans="1:10">
      <c r="A509" s="479">
        <v>207</v>
      </c>
      <c r="B509" s="478" t="s">
        <v>2107</v>
      </c>
      <c r="C509" s="479">
        <v>1</v>
      </c>
      <c r="D509" s="1537">
        <v>17850</v>
      </c>
      <c r="E509" s="1537">
        <f t="shared" si="19"/>
        <v>17850</v>
      </c>
      <c r="F509" s="478" t="s">
        <v>1436</v>
      </c>
      <c r="G509" s="478" t="s">
        <v>729</v>
      </c>
      <c r="I509" s="2461" t="s">
        <v>2232</v>
      </c>
      <c r="J509" s="19" t="s">
        <v>490</v>
      </c>
    </row>
    <row r="510" spans="1:10">
      <c r="A510" s="479">
        <v>208</v>
      </c>
      <c r="B510" s="478" t="s">
        <v>473</v>
      </c>
      <c r="C510" s="479">
        <v>1</v>
      </c>
      <c r="D510" s="1537">
        <v>4900</v>
      </c>
      <c r="E510" s="1537">
        <f>D510*C510</f>
        <v>4900</v>
      </c>
      <c r="F510" s="478" t="s">
        <v>1900</v>
      </c>
      <c r="G510" s="478" t="s">
        <v>729</v>
      </c>
      <c r="I510" s="2461" t="s">
        <v>2233</v>
      </c>
      <c r="J510" s="19" t="s">
        <v>490</v>
      </c>
    </row>
    <row r="511" spans="1:10">
      <c r="A511" s="479">
        <v>209</v>
      </c>
      <c r="B511" s="478" t="s">
        <v>1810</v>
      </c>
      <c r="C511" s="479">
        <v>11</v>
      </c>
      <c r="D511" s="1537">
        <v>350</v>
      </c>
      <c r="E511" s="1537">
        <f t="shared" ref="E511:E548" si="20">C511*D511</f>
        <v>3850</v>
      </c>
      <c r="F511" s="478" t="s">
        <v>614</v>
      </c>
      <c r="G511" s="478" t="s">
        <v>729</v>
      </c>
      <c r="I511" s="2461" t="s">
        <v>2234</v>
      </c>
      <c r="J511" s="19" t="s">
        <v>490</v>
      </c>
    </row>
    <row r="512" spans="1:10">
      <c r="A512" s="479">
        <v>210</v>
      </c>
      <c r="B512" s="478" t="s">
        <v>2108</v>
      </c>
      <c r="C512" s="479">
        <v>8</v>
      </c>
      <c r="D512" s="1537">
        <v>1890</v>
      </c>
      <c r="E512" s="1537">
        <f t="shared" si="20"/>
        <v>15120</v>
      </c>
      <c r="F512" s="478" t="s">
        <v>614</v>
      </c>
      <c r="G512" s="478" t="s">
        <v>729</v>
      </c>
      <c r="I512" s="2461" t="s">
        <v>2234</v>
      </c>
      <c r="J512" s="19" t="s">
        <v>490</v>
      </c>
    </row>
    <row r="513" spans="1:10">
      <c r="A513" s="479">
        <v>211</v>
      </c>
      <c r="B513" s="478" t="s">
        <v>2109</v>
      </c>
      <c r="C513" s="479">
        <v>4</v>
      </c>
      <c r="D513" s="1537">
        <v>3200</v>
      </c>
      <c r="E513" s="1537">
        <f t="shared" si="20"/>
        <v>12800</v>
      </c>
      <c r="F513" s="478" t="s">
        <v>614</v>
      </c>
      <c r="G513" s="478" t="s">
        <v>729</v>
      </c>
      <c r="I513" s="2461" t="s">
        <v>2234</v>
      </c>
      <c r="J513" s="19" t="s">
        <v>490</v>
      </c>
    </row>
    <row r="514" spans="1:10">
      <c r="A514" s="479">
        <v>212</v>
      </c>
      <c r="B514" s="478" t="s">
        <v>2110</v>
      </c>
      <c r="C514" s="479">
        <v>1</v>
      </c>
      <c r="D514" s="1537">
        <v>6600</v>
      </c>
      <c r="E514" s="1537">
        <f t="shared" si="20"/>
        <v>6600</v>
      </c>
      <c r="F514" s="478" t="s">
        <v>614</v>
      </c>
      <c r="G514" s="478" t="s">
        <v>729</v>
      </c>
      <c r="I514" s="2461" t="s">
        <v>2235</v>
      </c>
      <c r="J514" s="19" t="s">
        <v>490</v>
      </c>
    </row>
    <row r="515" spans="1:10">
      <c r="A515" s="479">
        <v>213</v>
      </c>
      <c r="B515" s="478" t="s">
        <v>2111</v>
      </c>
      <c r="C515" s="479">
        <v>1</v>
      </c>
      <c r="D515" s="1537">
        <v>83460</v>
      </c>
      <c r="E515" s="1537">
        <f t="shared" si="20"/>
        <v>83460</v>
      </c>
      <c r="F515" s="478" t="s">
        <v>414</v>
      </c>
      <c r="G515" s="478" t="s">
        <v>729</v>
      </c>
      <c r="I515" s="2461" t="s">
        <v>2236</v>
      </c>
      <c r="J515" s="19" t="s">
        <v>490</v>
      </c>
    </row>
    <row r="516" spans="1:10">
      <c r="A516" s="479">
        <v>214</v>
      </c>
      <c r="B516" s="478" t="s">
        <v>2112</v>
      </c>
      <c r="C516" s="479">
        <v>1</v>
      </c>
      <c r="D516" s="1537">
        <v>69000</v>
      </c>
      <c r="E516" s="1537">
        <f t="shared" si="20"/>
        <v>69000</v>
      </c>
      <c r="F516" s="478" t="s">
        <v>2317</v>
      </c>
      <c r="G516" s="478" t="s">
        <v>729</v>
      </c>
      <c r="I516" s="2461" t="s">
        <v>2237</v>
      </c>
      <c r="J516" s="19" t="s">
        <v>490</v>
      </c>
    </row>
    <row r="517" spans="1:10">
      <c r="A517" s="479">
        <v>215</v>
      </c>
      <c r="B517" s="478" t="s">
        <v>2117</v>
      </c>
      <c r="C517" s="479">
        <v>1</v>
      </c>
      <c r="D517" s="1537">
        <v>28500</v>
      </c>
      <c r="E517" s="1537">
        <f t="shared" si="20"/>
        <v>28500</v>
      </c>
      <c r="F517" s="478" t="s">
        <v>962</v>
      </c>
      <c r="G517" s="478" t="s">
        <v>729</v>
      </c>
      <c r="I517" s="2461" t="s">
        <v>2242</v>
      </c>
      <c r="J517" s="19" t="s">
        <v>490</v>
      </c>
    </row>
    <row r="518" spans="1:10">
      <c r="A518" s="479">
        <v>216</v>
      </c>
      <c r="B518" s="603" t="s">
        <v>473</v>
      </c>
      <c r="C518" s="479">
        <v>1</v>
      </c>
      <c r="D518" s="1537">
        <v>3400</v>
      </c>
      <c r="E518" s="1537">
        <f t="shared" si="20"/>
        <v>3400</v>
      </c>
      <c r="F518" s="478" t="s">
        <v>961</v>
      </c>
      <c r="G518" s="478" t="s">
        <v>729</v>
      </c>
      <c r="I518" s="2461" t="s">
        <v>2243</v>
      </c>
      <c r="J518" s="19" t="s">
        <v>490</v>
      </c>
    </row>
    <row r="519" spans="1:10">
      <c r="A519" s="479">
        <v>217</v>
      </c>
      <c r="B519" s="478" t="s">
        <v>2119</v>
      </c>
      <c r="C519" s="479">
        <v>1</v>
      </c>
      <c r="D519" s="1537">
        <v>13300</v>
      </c>
      <c r="E519" s="1537">
        <f t="shared" si="20"/>
        <v>13300</v>
      </c>
      <c r="F519" s="478" t="s">
        <v>426</v>
      </c>
      <c r="G519" s="478" t="s">
        <v>729</v>
      </c>
      <c r="I519" s="2461" t="s">
        <v>2245</v>
      </c>
      <c r="J519" s="19" t="s">
        <v>490</v>
      </c>
    </row>
    <row r="520" spans="1:10">
      <c r="A520" s="479">
        <v>218</v>
      </c>
      <c r="B520" s="478" t="s">
        <v>2120</v>
      </c>
      <c r="C520" s="479">
        <v>4</v>
      </c>
      <c r="D520" s="1537">
        <v>6500</v>
      </c>
      <c r="E520" s="1537">
        <f t="shared" si="20"/>
        <v>26000</v>
      </c>
      <c r="F520" s="478" t="s">
        <v>431</v>
      </c>
      <c r="G520" s="478" t="s">
        <v>729</v>
      </c>
      <c r="I520" s="2461" t="s">
        <v>2246</v>
      </c>
      <c r="J520" s="19" t="s">
        <v>490</v>
      </c>
    </row>
    <row r="521" spans="1:10">
      <c r="A521" s="479">
        <v>219</v>
      </c>
      <c r="B521" s="478" t="s">
        <v>469</v>
      </c>
      <c r="C521" s="479">
        <v>2</v>
      </c>
      <c r="D521" s="1537">
        <v>2193.5</v>
      </c>
      <c r="E521" s="1537">
        <f t="shared" si="20"/>
        <v>4387</v>
      </c>
      <c r="F521" s="478" t="s">
        <v>855</v>
      </c>
      <c r="G521" s="478" t="s">
        <v>729</v>
      </c>
      <c r="I521" s="2461" t="s">
        <v>2247</v>
      </c>
      <c r="J521" s="19" t="s">
        <v>490</v>
      </c>
    </row>
    <row r="522" spans="1:10">
      <c r="A522" s="479">
        <v>220</v>
      </c>
      <c r="B522" s="478" t="s">
        <v>2124</v>
      </c>
      <c r="C522" s="479">
        <v>4</v>
      </c>
      <c r="D522" s="1537">
        <v>1390</v>
      </c>
      <c r="E522" s="1537">
        <f t="shared" si="20"/>
        <v>5560</v>
      </c>
      <c r="F522" s="478" t="s">
        <v>431</v>
      </c>
      <c r="G522" s="478" t="s">
        <v>729</v>
      </c>
      <c r="I522" s="2461" t="s">
        <v>2255</v>
      </c>
      <c r="J522" s="19" t="s">
        <v>490</v>
      </c>
    </row>
    <row r="523" spans="1:10">
      <c r="A523" s="479">
        <v>221</v>
      </c>
      <c r="B523" s="478" t="s">
        <v>2128</v>
      </c>
      <c r="C523" s="479">
        <v>1</v>
      </c>
      <c r="D523" s="1537">
        <v>9500</v>
      </c>
      <c r="E523" s="1537">
        <f t="shared" si="20"/>
        <v>9500</v>
      </c>
      <c r="F523" s="478" t="s">
        <v>2319</v>
      </c>
      <c r="G523" s="478" t="s">
        <v>729</v>
      </c>
      <c r="I523" s="2461" t="s">
        <v>2258</v>
      </c>
      <c r="J523" s="19" t="s">
        <v>490</v>
      </c>
    </row>
    <row r="524" spans="1:10">
      <c r="A524" s="479">
        <v>222</v>
      </c>
      <c r="B524" s="478" t="s">
        <v>2129</v>
      </c>
      <c r="C524" s="479">
        <v>1</v>
      </c>
      <c r="D524" s="1537">
        <v>4900</v>
      </c>
      <c r="E524" s="1537">
        <f t="shared" si="20"/>
        <v>4900</v>
      </c>
      <c r="F524" s="478" t="s">
        <v>732</v>
      </c>
      <c r="G524" s="478" t="s">
        <v>729</v>
      </c>
      <c r="I524" s="2461" t="s">
        <v>2259</v>
      </c>
      <c r="J524" s="19" t="s">
        <v>490</v>
      </c>
    </row>
    <row r="525" spans="1:10">
      <c r="A525" s="479">
        <v>223</v>
      </c>
      <c r="B525" s="478" t="s">
        <v>474</v>
      </c>
      <c r="C525" s="479">
        <v>1</v>
      </c>
      <c r="D525" s="1537">
        <v>2354</v>
      </c>
      <c r="E525" s="1537">
        <f t="shared" si="20"/>
        <v>2354</v>
      </c>
      <c r="F525" s="478" t="s">
        <v>451</v>
      </c>
      <c r="G525" s="478" t="s">
        <v>729</v>
      </c>
      <c r="I525" s="2461" t="s">
        <v>2262</v>
      </c>
      <c r="J525" s="19" t="s">
        <v>490</v>
      </c>
    </row>
    <row r="526" spans="1:10">
      <c r="A526" s="479">
        <v>224</v>
      </c>
      <c r="B526" s="478" t="s">
        <v>1842</v>
      </c>
      <c r="C526" s="479">
        <v>1</v>
      </c>
      <c r="D526" s="1537">
        <v>56500</v>
      </c>
      <c r="E526" s="1537">
        <f t="shared" si="20"/>
        <v>56500</v>
      </c>
      <c r="F526" s="478" t="s">
        <v>472</v>
      </c>
      <c r="G526" s="478" t="s">
        <v>729</v>
      </c>
      <c r="I526" s="2461" t="s">
        <v>2265</v>
      </c>
      <c r="J526" s="19" t="s">
        <v>490</v>
      </c>
    </row>
    <row r="527" spans="1:10">
      <c r="A527" s="479">
        <v>225</v>
      </c>
      <c r="B527" s="478" t="s">
        <v>469</v>
      </c>
      <c r="C527" s="479">
        <v>1</v>
      </c>
      <c r="D527" s="1537">
        <v>2305.85</v>
      </c>
      <c r="E527" s="1537">
        <f t="shared" si="20"/>
        <v>2305.85</v>
      </c>
      <c r="F527" s="478" t="s">
        <v>948</v>
      </c>
      <c r="G527" s="478" t="s">
        <v>729</v>
      </c>
      <c r="I527" s="2461" t="s">
        <v>2269</v>
      </c>
      <c r="J527" s="19" t="s">
        <v>490</v>
      </c>
    </row>
    <row r="528" spans="1:10">
      <c r="A528" s="479">
        <v>226</v>
      </c>
      <c r="B528" s="2482" t="s">
        <v>2138</v>
      </c>
      <c r="C528" s="479">
        <v>6</v>
      </c>
      <c r="D528" s="1537">
        <v>4050</v>
      </c>
      <c r="E528" s="1537">
        <f t="shared" si="20"/>
        <v>24300</v>
      </c>
      <c r="F528" s="478" t="s">
        <v>1872</v>
      </c>
      <c r="G528" s="478" t="s">
        <v>729</v>
      </c>
      <c r="I528" s="2461" t="s">
        <v>2270</v>
      </c>
      <c r="J528" s="19" t="s">
        <v>490</v>
      </c>
    </row>
    <row r="529" spans="1:10">
      <c r="A529" s="479">
        <v>227</v>
      </c>
      <c r="B529" s="478" t="s">
        <v>1795</v>
      </c>
      <c r="C529" s="479">
        <v>1</v>
      </c>
      <c r="D529" s="1537">
        <v>5990</v>
      </c>
      <c r="E529" s="1537">
        <f t="shared" si="20"/>
        <v>5990</v>
      </c>
      <c r="F529" s="478" t="s">
        <v>2322</v>
      </c>
      <c r="G529" s="478" t="s">
        <v>729</v>
      </c>
      <c r="I529" s="2461" t="s">
        <v>2272</v>
      </c>
      <c r="J529" s="19" t="s">
        <v>490</v>
      </c>
    </row>
    <row r="530" spans="1:10">
      <c r="A530" s="479">
        <v>228</v>
      </c>
      <c r="B530" s="478" t="s">
        <v>469</v>
      </c>
      <c r="C530" s="479">
        <v>9</v>
      </c>
      <c r="D530" s="1537">
        <v>2204.1999999999998</v>
      </c>
      <c r="E530" s="1537">
        <f t="shared" si="20"/>
        <v>19837.8</v>
      </c>
      <c r="F530" s="478" t="s">
        <v>853</v>
      </c>
      <c r="G530" s="478" t="s">
        <v>729</v>
      </c>
      <c r="I530" s="2461" t="s">
        <v>2279</v>
      </c>
      <c r="J530" s="19" t="s">
        <v>490</v>
      </c>
    </row>
    <row r="531" spans="1:10">
      <c r="A531" s="479">
        <v>229</v>
      </c>
      <c r="B531" s="478" t="s">
        <v>910</v>
      </c>
      <c r="C531" s="479">
        <v>3</v>
      </c>
      <c r="D531" s="1537">
        <v>6300</v>
      </c>
      <c r="E531" s="1537">
        <f t="shared" si="20"/>
        <v>18900</v>
      </c>
      <c r="F531" s="478" t="s">
        <v>2324</v>
      </c>
      <c r="G531" s="478" t="s">
        <v>729</v>
      </c>
      <c r="I531" s="2461" t="s">
        <v>2280</v>
      </c>
      <c r="J531" s="19" t="s">
        <v>490</v>
      </c>
    </row>
    <row r="532" spans="1:10">
      <c r="A532" s="479">
        <v>230</v>
      </c>
      <c r="B532" s="478" t="s">
        <v>2145</v>
      </c>
      <c r="C532" s="479">
        <v>2</v>
      </c>
      <c r="D532" s="1537">
        <v>7600</v>
      </c>
      <c r="E532" s="1537">
        <f t="shared" si="20"/>
        <v>15200</v>
      </c>
      <c r="F532" s="478" t="s">
        <v>961</v>
      </c>
      <c r="G532" s="478" t="s">
        <v>729</v>
      </c>
      <c r="I532" s="2461" t="s">
        <v>2281</v>
      </c>
      <c r="J532" s="19" t="s">
        <v>490</v>
      </c>
    </row>
    <row r="533" spans="1:10">
      <c r="A533" s="479">
        <v>231</v>
      </c>
      <c r="B533" s="478" t="s">
        <v>2146</v>
      </c>
      <c r="C533" s="479">
        <v>2</v>
      </c>
      <c r="D533" s="1537">
        <v>3400</v>
      </c>
      <c r="E533" s="1537">
        <f t="shared" si="20"/>
        <v>6800</v>
      </c>
      <c r="F533" s="478" t="s">
        <v>961</v>
      </c>
      <c r="G533" s="478" t="s">
        <v>729</v>
      </c>
      <c r="I533" s="2461" t="s">
        <v>2281</v>
      </c>
      <c r="J533" s="19" t="s">
        <v>490</v>
      </c>
    </row>
    <row r="534" spans="1:10">
      <c r="A534" s="479">
        <v>232</v>
      </c>
      <c r="B534" s="478" t="s">
        <v>474</v>
      </c>
      <c r="C534" s="479">
        <v>1</v>
      </c>
      <c r="D534" s="1537">
        <v>2354</v>
      </c>
      <c r="E534" s="1537">
        <f t="shared" si="20"/>
        <v>2354</v>
      </c>
      <c r="F534" s="478" t="s">
        <v>1900</v>
      </c>
      <c r="G534" s="478" t="s">
        <v>729</v>
      </c>
      <c r="I534" s="2461" t="s">
        <v>2282</v>
      </c>
      <c r="J534" s="19" t="s">
        <v>490</v>
      </c>
    </row>
    <row r="535" spans="1:10">
      <c r="A535" s="479">
        <v>233</v>
      </c>
      <c r="B535" s="478" t="s">
        <v>474</v>
      </c>
      <c r="C535" s="479">
        <v>1</v>
      </c>
      <c r="D535" s="1537">
        <v>2354</v>
      </c>
      <c r="E535" s="1537">
        <f t="shared" si="20"/>
        <v>2354</v>
      </c>
      <c r="F535" s="478" t="s">
        <v>475</v>
      </c>
      <c r="G535" s="478" t="s">
        <v>729</v>
      </c>
      <c r="I535" s="2461"/>
      <c r="J535" s="19" t="s">
        <v>490</v>
      </c>
    </row>
    <row r="536" spans="1:10">
      <c r="A536" s="479">
        <v>234</v>
      </c>
      <c r="B536" s="478" t="s">
        <v>2147</v>
      </c>
      <c r="C536" s="479">
        <v>4</v>
      </c>
      <c r="D536" s="1537">
        <v>6900</v>
      </c>
      <c r="E536" s="1537">
        <f t="shared" si="20"/>
        <v>27600</v>
      </c>
      <c r="F536" s="478" t="s">
        <v>424</v>
      </c>
      <c r="G536" s="478" t="s">
        <v>729</v>
      </c>
      <c r="I536" s="2461" t="s">
        <v>2283</v>
      </c>
      <c r="J536" s="19" t="s">
        <v>490</v>
      </c>
    </row>
    <row r="537" spans="1:10">
      <c r="A537" s="479">
        <v>235</v>
      </c>
      <c r="B537" s="478" t="s">
        <v>473</v>
      </c>
      <c r="C537" s="479">
        <v>6</v>
      </c>
      <c r="D537" s="1537">
        <v>3400</v>
      </c>
      <c r="E537" s="1537">
        <f t="shared" si="20"/>
        <v>20400</v>
      </c>
      <c r="F537" s="478" t="s">
        <v>2327</v>
      </c>
      <c r="G537" s="478" t="s">
        <v>729</v>
      </c>
      <c r="I537" s="2461"/>
      <c r="J537" s="19" t="s">
        <v>490</v>
      </c>
    </row>
    <row r="538" spans="1:10">
      <c r="A538" s="479">
        <v>236</v>
      </c>
      <c r="B538" s="478" t="s">
        <v>473</v>
      </c>
      <c r="C538" s="479">
        <v>2</v>
      </c>
      <c r="D538" s="1537">
        <v>3400</v>
      </c>
      <c r="E538" s="1537">
        <f t="shared" si="20"/>
        <v>6800</v>
      </c>
      <c r="F538" s="478" t="s">
        <v>2328</v>
      </c>
      <c r="G538" s="478" t="s">
        <v>729</v>
      </c>
      <c r="I538" s="2461"/>
      <c r="J538" s="19" t="s">
        <v>490</v>
      </c>
    </row>
    <row r="539" spans="1:10">
      <c r="A539" s="479">
        <v>237</v>
      </c>
      <c r="B539" s="478" t="s">
        <v>473</v>
      </c>
      <c r="C539" s="479">
        <v>10</v>
      </c>
      <c r="D539" s="1537">
        <v>3400</v>
      </c>
      <c r="E539" s="1537">
        <f t="shared" si="20"/>
        <v>34000</v>
      </c>
      <c r="F539" s="478" t="s">
        <v>2329</v>
      </c>
      <c r="G539" s="478" t="s">
        <v>729</v>
      </c>
      <c r="I539" s="2461"/>
      <c r="J539" s="19" t="s">
        <v>490</v>
      </c>
    </row>
    <row r="540" spans="1:10">
      <c r="A540" s="479">
        <v>238</v>
      </c>
      <c r="B540" s="478" t="s">
        <v>918</v>
      </c>
      <c r="C540" s="479">
        <v>1</v>
      </c>
      <c r="D540" s="1537">
        <v>1808.3</v>
      </c>
      <c r="E540" s="1537">
        <f t="shared" si="20"/>
        <v>1808.3</v>
      </c>
      <c r="F540" s="478" t="s">
        <v>743</v>
      </c>
      <c r="G540" s="478" t="s">
        <v>729</v>
      </c>
      <c r="I540" s="2461" t="s">
        <v>2287</v>
      </c>
      <c r="J540" s="19" t="s">
        <v>490</v>
      </c>
    </row>
    <row r="541" spans="1:10">
      <c r="A541" s="479">
        <v>239</v>
      </c>
      <c r="B541" s="478" t="s">
        <v>908</v>
      </c>
      <c r="C541" s="479">
        <v>1</v>
      </c>
      <c r="D541" s="1537">
        <v>2305.85</v>
      </c>
      <c r="E541" s="1537">
        <f t="shared" si="20"/>
        <v>2305.85</v>
      </c>
      <c r="F541" s="478" t="s">
        <v>2330</v>
      </c>
      <c r="G541" s="478" t="s">
        <v>729</v>
      </c>
      <c r="I541" s="2461" t="s">
        <v>2288</v>
      </c>
      <c r="J541" s="19" t="s">
        <v>490</v>
      </c>
    </row>
    <row r="542" spans="1:10">
      <c r="A542" s="479">
        <v>240</v>
      </c>
      <c r="B542" s="478" t="s">
        <v>2150</v>
      </c>
      <c r="C542" s="479">
        <v>1</v>
      </c>
      <c r="D542" s="1537">
        <v>4050</v>
      </c>
      <c r="E542" s="1537">
        <f t="shared" si="20"/>
        <v>4050</v>
      </c>
      <c r="F542" s="478" t="s">
        <v>2331</v>
      </c>
      <c r="G542" s="478" t="s">
        <v>729</v>
      </c>
      <c r="I542" s="2461" t="s">
        <v>2292</v>
      </c>
      <c r="J542" s="19" t="s">
        <v>490</v>
      </c>
    </row>
    <row r="543" spans="1:10">
      <c r="A543" s="479">
        <v>241</v>
      </c>
      <c r="B543" s="390" t="s">
        <v>2149</v>
      </c>
      <c r="C543" s="479">
        <v>1</v>
      </c>
      <c r="D543" s="1537">
        <v>2305.85</v>
      </c>
      <c r="E543" s="1537">
        <f t="shared" si="20"/>
        <v>2305.85</v>
      </c>
      <c r="F543" s="478" t="s">
        <v>1938</v>
      </c>
      <c r="G543" s="478" t="s">
        <v>729</v>
      </c>
      <c r="I543" s="2461" t="s">
        <v>2284</v>
      </c>
      <c r="J543" s="19" t="s">
        <v>490</v>
      </c>
    </row>
    <row r="544" spans="1:10">
      <c r="A544" s="479">
        <v>242</v>
      </c>
      <c r="B544" s="390" t="s">
        <v>2149</v>
      </c>
      <c r="C544" s="479">
        <v>1</v>
      </c>
      <c r="D544" s="1537">
        <v>2305.85</v>
      </c>
      <c r="E544" s="1537">
        <f t="shared" si="20"/>
        <v>2305.85</v>
      </c>
      <c r="F544" s="478" t="s">
        <v>952</v>
      </c>
      <c r="G544" s="478" t="s">
        <v>729</v>
      </c>
      <c r="I544" s="2461" t="s">
        <v>2285</v>
      </c>
      <c r="J544" s="19" t="s">
        <v>490</v>
      </c>
    </row>
    <row r="545" spans="1:13">
      <c r="A545" s="479">
        <v>243</v>
      </c>
      <c r="B545" s="478" t="s">
        <v>474</v>
      </c>
      <c r="C545" s="479">
        <v>1</v>
      </c>
      <c r="D545" s="1537">
        <v>2200</v>
      </c>
      <c r="E545" s="1537">
        <f t="shared" si="20"/>
        <v>2200</v>
      </c>
      <c r="F545" s="478" t="s">
        <v>2310</v>
      </c>
      <c r="G545" s="478" t="s">
        <v>729</v>
      </c>
      <c r="I545" s="2461" t="s">
        <v>2274</v>
      </c>
      <c r="J545" s="19" t="s">
        <v>490</v>
      </c>
    </row>
    <row r="546" spans="1:13">
      <c r="A546" s="479">
        <v>244</v>
      </c>
      <c r="B546" s="478" t="s">
        <v>473</v>
      </c>
      <c r="C546" s="479">
        <v>100</v>
      </c>
      <c r="D546" s="1537">
        <v>2290</v>
      </c>
      <c r="E546" s="1537">
        <f t="shared" si="20"/>
        <v>229000</v>
      </c>
      <c r="F546" s="478" t="s">
        <v>471</v>
      </c>
      <c r="G546" s="478" t="s">
        <v>729</v>
      </c>
      <c r="I546" s="2461"/>
      <c r="J546" s="19" t="s">
        <v>490</v>
      </c>
    </row>
    <row r="547" spans="1:13">
      <c r="A547" s="479">
        <v>245</v>
      </c>
      <c r="B547" s="478" t="s">
        <v>2113</v>
      </c>
      <c r="C547" s="479">
        <v>1</v>
      </c>
      <c r="D547" s="1537">
        <v>43000</v>
      </c>
      <c r="E547" s="1537">
        <f t="shared" si="20"/>
        <v>43000</v>
      </c>
      <c r="F547" s="478" t="s">
        <v>471</v>
      </c>
      <c r="G547" s="478" t="s">
        <v>729</v>
      </c>
      <c r="I547" s="2461" t="s">
        <v>2238</v>
      </c>
      <c r="J547" s="19" t="s">
        <v>490</v>
      </c>
    </row>
    <row r="548" spans="1:13">
      <c r="A548" s="479">
        <v>246</v>
      </c>
      <c r="B548" s="478" t="s">
        <v>2114</v>
      </c>
      <c r="C548" s="479">
        <v>1</v>
      </c>
      <c r="D548" s="1537">
        <v>11480</v>
      </c>
      <c r="E548" s="1537">
        <f t="shared" si="20"/>
        <v>11480</v>
      </c>
      <c r="F548" s="478" t="s">
        <v>471</v>
      </c>
      <c r="G548" s="478" t="s">
        <v>729</v>
      </c>
      <c r="I548" s="2461" t="s">
        <v>2239</v>
      </c>
      <c r="J548" s="19" t="s">
        <v>490</v>
      </c>
    </row>
    <row r="549" spans="1:13">
      <c r="A549" s="479">
        <v>247</v>
      </c>
      <c r="B549" s="478" t="s">
        <v>2047</v>
      </c>
      <c r="C549" s="479">
        <v>3</v>
      </c>
      <c r="D549" s="1537">
        <v>1490</v>
      </c>
      <c r="E549" s="1537">
        <f t="shared" ref="E549" si="21">+C549*D549</f>
        <v>4470</v>
      </c>
      <c r="F549" s="478" t="s">
        <v>2298</v>
      </c>
      <c r="G549" s="478" t="s">
        <v>729</v>
      </c>
      <c r="I549" s="2461" t="s">
        <v>2164</v>
      </c>
      <c r="J549" s="19" t="s">
        <v>490</v>
      </c>
    </row>
    <row r="550" spans="1:13">
      <c r="A550" s="479">
        <v>248</v>
      </c>
      <c r="B550" s="2387" t="s">
        <v>2095</v>
      </c>
      <c r="C550" s="1499">
        <v>18</v>
      </c>
      <c r="D550" s="2389">
        <f>E550/C550</f>
        <v>2331.411111111111</v>
      </c>
      <c r="E550" s="2389">
        <v>41965.4</v>
      </c>
      <c r="F550" s="2387" t="s">
        <v>2314</v>
      </c>
      <c r="G550" s="2387" t="s">
        <v>729</v>
      </c>
      <c r="H550" s="2387"/>
      <c r="I550" s="2387" t="s">
        <v>2222</v>
      </c>
      <c r="J550" s="19" t="s">
        <v>490</v>
      </c>
    </row>
    <row r="551" spans="1:13" ht="21.75" thickBot="1">
      <c r="E551" s="2458">
        <f>SUM(E303:E550)</f>
        <v>15841851.859999999</v>
      </c>
    </row>
    <row r="552" spans="1:13" ht="21.75" thickTop="1">
      <c r="C552" s="1426"/>
      <c r="D552" s="2438"/>
    </row>
    <row r="553" spans="1:13">
      <c r="B553" s="1648" t="s">
        <v>2035</v>
      </c>
      <c r="C553" s="1426"/>
      <c r="D553" s="2438"/>
      <c r="E553" s="2438"/>
    </row>
    <row r="554" spans="1:13">
      <c r="A554" s="1478" t="s">
        <v>2</v>
      </c>
      <c r="B554" s="1478" t="s">
        <v>3</v>
      </c>
      <c r="C554" s="1478" t="s">
        <v>618</v>
      </c>
      <c r="D554" s="1478" t="s">
        <v>1410</v>
      </c>
      <c r="E554" s="1478" t="s">
        <v>1411</v>
      </c>
      <c r="F554" s="1478" t="s">
        <v>388</v>
      </c>
      <c r="G554" s="1478" t="s">
        <v>727</v>
      </c>
      <c r="H554" s="1478" t="s">
        <v>221</v>
      </c>
      <c r="I554" s="1426"/>
      <c r="J554" s="1648"/>
      <c r="K554" s="1426"/>
      <c r="L554" s="2438"/>
      <c r="M554" s="2438"/>
    </row>
    <row r="555" spans="1:13">
      <c r="A555" s="479">
        <v>1</v>
      </c>
      <c r="B555" s="309" t="s">
        <v>1385</v>
      </c>
      <c r="C555" s="310">
        <v>20</v>
      </c>
      <c r="D555" s="311">
        <v>3100</v>
      </c>
      <c r="E555" s="311">
        <v>62000</v>
      </c>
      <c r="F555" s="309" t="s">
        <v>444</v>
      </c>
      <c r="G555" s="216" t="s">
        <v>2035</v>
      </c>
      <c r="H555" s="216"/>
      <c r="I555" s="19" t="s">
        <v>1721</v>
      </c>
    </row>
    <row r="556" spans="1:13">
      <c r="A556" s="479">
        <v>2</v>
      </c>
      <c r="B556" s="309" t="s">
        <v>1386</v>
      </c>
      <c r="C556" s="310">
        <v>2</v>
      </c>
      <c r="D556" s="311">
        <v>5500</v>
      </c>
      <c r="E556" s="311">
        <v>11000</v>
      </c>
      <c r="F556" s="309" t="s">
        <v>444</v>
      </c>
      <c r="G556" s="216" t="s">
        <v>2035</v>
      </c>
      <c r="H556" s="216"/>
      <c r="I556" s="19" t="s">
        <v>1721</v>
      </c>
    </row>
    <row r="557" spans="1:13">
      <c r="A557" s="479">
        <v>3</v>
      </c>
      <c r="B557" s="309" t="s">
        <v>1387</v>
      </c>
      <c r="C557" s="310">
        <v>22</v>
      </c>
      <c r="D557" s="311">
        <v>100</v>
      </c>
      <c r="E557" s="311">
        <v>2200</v>
      </c>
      <c r="F557" s="309" t="s">
        <v>444</v>
      </c>
      <c r="G557" s="216" t="s">
        <v>2035</v>
      </c>
      <c r="H557" s="216"/>
      <c r="I557" s="19" t="s">
        <v>1721</v>
      </c>
    </row>
    <row r="558" spans="1:13">
      <c r="A558" s="479">
        <v>4</v>
      </c>
      <c r="B558" s="390" t="s">
        <v>1388</v>
      </c>
      <c r="C558" s="479">
        <v>1</v>
      </c>
      <c r="D558" s="307">
        <v>6698</v>
      </c>
      <c r="E558" s="307">
        <v>6698</v>
      </c>
      <c r="F558" s="390" t="s">
        <v>721</v>
      </c>
      <c r="G558" s="216" t="s">
        <v>2035</v>
      </c>
      <c r="H558" s="216"/>
      <c r="I558" s="19" t="s">
        <v>1721</v>
      </c>
    </row>
    <row r="559" spans="1:13">
      <c r="A559" s="479">
        <v>7</v>
      </c>
      <c r="B559" s="305" t="s">
        <v>1338</v>
      </c>
      <c r="C559" s="306">
        <v>1</v>
      </c>
      <c r="D559" s="1536">
        <v>6200</v>
      </c>
      <c r="E559" s="1536">
        <v>6200</v>
      </c>
      <c r="F559" s="305" t="s">
        <v>1276</v>
      </c>
      <c r="G559" s="216" t="s">
        <v>2035</v>
      </c>
      <c r="H559" s="216"/>
      <c r="I559" s="138" t="s">
        <v>1721</v>
      </c>
    </row>
    <row r="560" spans="1:13">
      <c r="A560" s="479">
        <v>8</v>
      </c>
      <c r="B560" s="305" t="s">
        <v>501</v>
      </c>
      <c r="C560" s="306">
        <v>1</v>
      </c>
      <c r="D560" s="1536">
        <v>6200</v>
      </c>
      <c r="E560" s="1536">
        <v>6200</v>
      </c>
      <c r="F560" s="305" t="s">
        <v>470</v>
      </c>
      <c r="G560" s="216" t="s">
        <v>2035</v>
      </c>
      <c r="H560" s="216"/>
      <c r="I560" s="138" t="s">
        <v>1721</v>
      </c>
    </row>
    <row r="561" spans="1:10">
      <c r="A561" s="479">
        <v>9</v>
      </c>
      <c r="B561" s="390" t="s">
        <v>501</v>
      </c>
      <c r="C561" s="479">
        <v>1</v>
      </c>
      <c r="D561" s="1537">
        <v>6200</v>
      </c>
      <c r="E561" s="1537">
        <v>6200</v>
      </c>
      <c r="F561" s="390" t="s">
        <v>1278</v>
      </c>
      <c r="G561" s="216" t="s">
        <v>2035</v>
      </c>
      <c r="H561" s="216"/>
      <c r="I561" s="138" t="s">
        <v>1721</v>
      </c>
    </row>
    <row r="562" spans="1:10">
      <c r="A562" s="479">
        <v>10</v>
      </c>
      <c r="B562" s="390" t="s">
        <v>501</v>
      </c>
      <c r="C562" s="479">
        <v>1</v>
      </c>
      <c r="D562" s="1537">
        <v>6200</v>
      </c>
      <c r="E562" s="1537">
        <v>6200</v>
      </c>
      <c r="F562" s="390" t="s">
        <v>743</v>
      </c>
      <c r="G562" s="216" t="s">
        <v>2035</v>
      </c>
      <c r="H562" s="216"/>
      <c r="I562" s="138" t="s">
        <v>1721</v>
      </c>
    </row>
    <row r="563" spans="1:10">
      <c r="A563" s="479">
        <v>11</v>
      </c>
      <c r="B563" s="390" t="s">
        <v>474</v>
      </c>
      <c r="C563" s="479">
        <v>1</v>
      </c>
      <c r="D563" s="1537">
        <v>2590</v>
      </c>
      <c r="E563" s="1537">
        <v>2590</v>
      </c>
      <c r="F563" s="390" t="s">
        <v>472</v>
      </c>
      <c r="G563" s="216" t="s">
        <v>2035</v>
      </c>
      <c r="H563" s="216"/>
      <c r="I563" s="138" t="s">
        <v>1721</v>
      </c>
    </row>
    <row r="564" spans="1:10">
      <c r="A564" s="479">
        <v>12</v>
      </c>
      <c r="B564" s="390" t="s">
        <v>501</v>
      </c>
      <c r="C564" s="479">
        <v>1</v>
      </c>
      <c r="D564" s="1537">
        <v>6200</v>
      </c>
      <c r="E564" s="1537">
        <v>6200</v>
      </c>
      <c r="F564" s="390" t="s">
        <v>1278</v>
      </c>
      <c r="G564" s="216" t="s">
        <v>2035</v>
      </c>
      <c r="H564" s="216"/>
      <c r="I564" s="138" t="s">
        <v>1721</v>
      </c>
    </row>
    <row r="565" spans="1:10" s="138" customFormat="1">
      <c r="A565" s="479">
        <v>13</v>
      </c>
      <c r="B565" s="221" t="s">
        <v>474</v>
      </c>
      <c r="C565" s="215">
        <v>1</v>
      </c>
      <c r="D565" s="1538">
        <v>2590</v>
      </c>
      <c r="E565" s="1538">
        <v>2590</v>
      </c>
      <c r="F565" s="482" t="s">
        <v>740</v>
      </c>
      <c r="G565" s="216" t="s">
        <v>2035</v>
      </c>
      <c r="H565" s="216"/>
      <c r="I565" s="138" t="s">
        <v>1721</v>
      </c>
    </row>
    <row r="566" spans="1:10">
      <c r="A566" s="479">
        <v>14</v>
      </c>
      <c r="B566" s="390" t="s">
        <v>1304</v>
      </c>
      <c r="C566" s="479">
        <v>1</v>
      </c>
      <c r="D566" s="1537">
        <v>4699</v>
      </c>
      <c r="E566" s="1537">
        <v>4699</v>
      </c>
      <c r="F566" s="390" t="s">
        <v>1305</v>
      </c>
      <c r="G566" s="216" t="s">
        <v>2035</v>
      </c>
      <c r="H566" s="216"/>
      <c r="I566" s="138" t="s">
        <v>1721</v>
      </c>
    </row>
    <row r="567" spans="1:10">
      <c r="A567" s="479">
        <v>15</v>
      </c>
      <c r="B567" s="390" t="s">
        <v>1306</v>
      </c>
      <c r="C567" s="479">
        <v>1</v>
      </c>
      <c r="D567" s="1537">
        <v>2299</v>
      </c>
      <c r="E567" s="1537">
        <v>2299</v>
      </c>
      <c r="F567" s="390" t="s">
        <v>1305</v>
      </c>
      <c r="G567" s="216" t="s">
        <v>2035</v>
      </c>
      <c r="H567" s="216"/>
      <c r="I567" s="138" t="s">
        <v>1721</v>
      </c>
    </row>
    <row r="568" spans="1:10" s="138" customFormat="1">
      <c r="A568" s="479">
        <v>16</v>
      </c>
      <c r="B568" s="221" t="s">
        <v>1304</v>
      </c>
      <c r="C568" s="215">
        <v>1</v>
      </c>
      <c r="D568" s="1538">
        <v>4399</v>
      </c>
      <c r="E568" s="1538">
        <v>4399</v>
      </c>
      <c r="F568" s="1649" t="s">
        <v>1309</v>
      </c>
      <c r="G568" s="216" t="s">
        <v>2035</v>
      </c>
      <c r="H568" s="216"/>
      <c r="I568" s="138" t="s">
        <v>1721</v>
      </c>
    </row>
    <row r="569" spans="1:10">
      <c r="A569" s="479">
        <v>17</v>
      </c>
      <c r="B569" s="390" t="s">
        <v>1306</v>
      </c>
      <c r="C569" s="479">
        <v>1</v>
      </c>
      <c r="D569" s="1537">
        <v>2299</v>
      </c>
      <c r="E569" s="1537">
        <v>2299</v>
      </c>
      <c r="F569" s="389" t="s">
        <v>1309</v>
      </c>
      <c r="G569" s="216" t="s">
        <v>2035</v>
      </c>
      <c r="H569" s="216"/>
      <c r="I569" s="138" t="s">
        <v>1721</v>
      </c>
    </row>
    <row r="570" spans="1:10">
      <c r="A570" s="479">
        <v>18</v>
      </c>
      <c r="B570" s="390" t="s">
        <v>474</v>
      </c>
      <c r="C570" s="479">
        <v>1</v>
      </c>
      <c r="D570" s="1537">
        <v>2590</v>
      </c>
      <c r="E570" s="1537">
        <v>2590</v>
      </c>
      <c r="F570" s="390" t="s">
        <v>721</v>
      </c>
      <c r="G570" s="216" t="s">
        <v>2035</v>
      </c>
      <c r="H570" s="216"/>
      <c r="I570" s="138" t="s">
        <v>1721</v>
      </c>
    </row>
    <row r="571" spans="1:10" s="138" customFormat="1" ht="42">
      <c r="A571" s="215">
        <v>19</v>
      </c>
      <c r="B571" s="216" t="s">
        <v>474</v>
      </c>
      <c r="C571" s="215">
        <v>1</v>
      </c>
      <c r="D571" s="422">
        <v>2354</v>
      </c>
      <c r="E571" s="422">
        <f>+C571*D571</f>
        <v>2354</v>
      </c>
      <c r="F571" s="260" t="s">
        <v>1400</v>
      </c>
      <c r="G571" s="216" t="s">
        <v>2035</v>
      </c>
      <c r="H571" s="216"/>
      <c r="I571" s="138" t="s">
        <v>1721</v>
      </c>
    </row>
    <row r="572" spans="1:10" s="138" customFormat="1">
      <c r="A572" s="215">
        <v>20</v>
      </c>
      <c r="B572" s="221" t="s">
        <v>501</v>
      </c>
      <c r="C572" s="215">
        <v>1</v>
      </c>
      <c r="D572" s="1538">
        <v>17380</v>
      </c>
      <c r="E572" s="1538">
        <v>17380</v>
      </c>
      <c r="F572" s="221" t="s">
        <v>855</v>
      </c>
      <c r="G572" s="216" t="s">
        <v>2035</v>
      </c>
      <c r="H572" s="216"/>
      <c r="I572" s="138" t="s">
        <v>1721</v>
      </c>
    </row>
    <row r="573" spans="1:10" s="138" customFormat="1" ht="42">
      <c r="A573" s="215">
        <v>21</v>
      </c>
      <c r="B573" s="260" t="s">
        <v>1510</v>
      </c>
      <c r="C573" s="215">
        <v>1</v>
      </c>
      <c r="D573" s="1758">
        <v>11877000</v>
      </c>
      <c r="E573" s="1975"/>
      <c r="F573" s="216" t="s">
        <v>1447</v>
      </c>
      <c r="G573" s="216" t="s">
        <v>2035</v>
      </c>
      <c r="H573" s="2495" t="s">
        <v>2498</v>
      </c>
    </row>
    <row r="574" spans="1:10" s="138" customFormat="1" ht="42">
      <c r="A574" s="215">
        <v>22</v>
      </c>
      <c r="B574" s="260" t="s">
        <v>1958</v>
      </c>
      <c r="C574" s="215">
        <v>1</v>
      </c>
      <c r="D574" s="1758">
        <v>1900000</v>
      </c>
      <c r="E574" s="2467"/>
      <c r="F574" s="216" t="s">
        <v>1447</v>
      </c>
      <c r="G574" s="216" t="s">
        <v>2035</v>
      </c>
      <c r="H574" s="2495" t="s">
        <v>2498</v>
      </c>
    </row>
    <row r="575" spans="1:10" s="138" customFormat="1" ht="21.75" thickBot="1">
      <c r="A575" s="2469"/>
      <c r="B575" s="2470"/>
      <c r="C575" s="2469"/>
      <c r="D575" s="2471"/>
      <c r="E575" s="2465">
        <f>SUM(E555:E574)</f>
        <v>154098</v>
      </c>
      <c r="F575" s="1601"/>
      <c r="G575" s="1601"/>
      <c r="J575" s="2034"/>
    </row>
    <row r="576" spans="1:10" s="138" customFormat="1" ht="21.75" thickTop="1">
      <c r="A576" s="1501"/>
      <c r="B576" s="2468"/>
      <c r="C576" s="1501"/>
      <c r="D576" s="2394"/>
      <c r="E576" s="1606"/>
      <c r="J576" s="2034"/>
    </row>
    <row r="577" spans="1:10" s="138" customFormat="1">
      <c r="A577" s="2472"/>
      <c r="B577" s="2480" t="s">
        <v>2499</v>
      </c>
      <c r="C577" s="2472"/>
      <c r="D577" s="2473"/>
      <c r="E577" s="2474"/>
      <c r="F577" s="2475"/>
      <c r="J577" s="2034"/>
    </row>
    <row r="578" spans="1:10">
      <c r="A578" s="1478" t="s">
        <v>2</v>
      </c>
      <c r="B578" s="1478" t="s">
        <v>3</v>
      </c>
      <c r="C578" s="1478" t="s">
        <v>618</v>
      </c>
      <c r="D578" s="1478" t="s">
        <v>1410</v>
      </c>
      <c r="E578" s="1478" t="s">
        <v>1411</v>
      </c>
      <c r="F578" s="1478" t="s">
        <v>388</v>
      </c>
      <c r="G578" s="1478" t="s">
        <v>727</v>
      </c>
      <c r="H578" s="1478" t="s">
        <v>221</v>
      </c>
      <c r="I578" s="138"/>
    </row>
    <row r="579" spans="1:10" s="138" customFormat="1">
      <c r="A579" s="215">
        <v>1</v>
      </c>
      <c r="B579" s="221" t="s">
        <v>1307</v>
      </c>
      <c r="C579" s="215">
        <v>2</v>
      </c>
      <c r="D579" s="1538">
        <v>20502.5</v>
      </c>
      <c r="E579" s="1538">
        <v>41005</v>
      </c>
      <c r="F579" s="1649" t="s">
        <v>1308</v>
      </c>
      <c r="G579" s="498" t="s">
        <v>2038</v>
      </c>
      <c r="H579" s="498"/>
      <c r="I579" s="138" t="s">
        <v>1721</v>
      </c>
    </row>
    <row r="580" spans="1:10" s="138" customFormat="1">
      <c r="A580" s="479">
        <v>2</v>
      </c>
      <c r="B580" s="221" t="s">
        <v>468</v>
      </c>
      <c r="C580" s="215">
        <v>1</v>
      </c>
      <c r="D580" s="1538">
        <v>15700</v>
      </c>
      <c r="E580" s="1538">
        <f>D580*C580</f>
        <v>15700</v>
      </c>
      <c r="F580" s="221" t="s">
        <v>962</v>
      </c>
      <c r="G580" s="682" t="s">
        <v>2038</v>
      </c>
      <c r="H580" s="682"/>
      <c r="I580" s="138" t="s">
        <v>1721</v>
      </c>
    </row>
    <row r="581" spans="1:10" s="138" customFormat="1">
      <c r="A581" s="479">
        <v>3</v>
      </c>
      <c r="B581" s="221" t="s">
        <v>934</v>
      </c>
      <c r="C581" s="215">
        <v>1</v>
      </c>
      <c r="D581" s="1538">
        <v>18900</v>
      </c>
      <c r="E581" s="1538">
        <v>18900</v>
      </c>
      <c r="F581" s="482" t="s">
        <v>2472</v>
      </c>
      <c r="G581" s="682" t="s">
        <v>2038</v>
      </c>
      <c r="H581" s="682"/>
      <c r="I581" s="138" t="s">
        <v>1721</v>
      </c>
    </row>
    <row r="582" spans="1:10" s="138" customFormat="1">
      <c r="A582" s="215">
        <v>4</v>
      </c>
      <c r="B582" s="251" t="s">
        <v>534</v>
      </c>
      <c r="C582" s="490">
        <v>15</v>
      </c>
      <c r="D582" s="405">
        <v>7900</v>
      </c>
      <c r="E582" s="328">
        <f>+C582*D582</f>
        <v>118500</v>
      </c>
      <c r="F582" s="1477" t="s">
        <v>532</v>
      </c>
      <c r="G582" s="498" t="s">
        <v>2038</v>
      </c>
      <c r="H582" s="498"/>
      <c r="I582" s="138" t="s">
        <v>1721</v>
      </c>
    </row>
    <row r="583" spans="1:10">
      <c r="A583" s="479">
        <v>5</v>
      </c>
      <c r="B583" s="684" t="s">
        <v>536</v>
      </c>
      <c r="C583" s="1488">
        <v>50</v>
      </c>
      <c r="D583" s="1489">
        <v>4000</v>
      </c>
      <c r="E583" s="588">
        <f>+C583*D583</f>
        <v>200000</v>
      </c>
      <c r="F583" s="683" t="s">
        <v>532</v>
      </c>
      <c r="G583" s="682" t="s">
        <v>2038</v>
      </c>
      <c r="H583" s="682"/>
      <c r="I583" s="138" t="s">
        <v>1721</v>
      </c>
    </row>
    <row r="584" spans="1:10" s="138" customFormat="1" ht="42">
      <c r="A584" s="215">
        <v>6</v>
      </c>
      <c r="B584" s="487" t="s">
        <v>1190</v>
      </c>
      <c r="C584" s="233">
        <v>1</v>
      </c>
      <c r="D584" s="250">
        <v>9000000</v>
      </c>
      <c r="E584" s="404">
        <f>+C584*D584</f>
        <v>9000000</v>
      </c>
      <c r="F584" s="1477" t="s">
        <v>532</v>
      </c>
      <c r="G584" s="498" t="s">
        <v>2038</v>
      </c>
      <c r="H584" s="498"/>
      <c r="I584" s="138" t="s">
        <v>1721</v>
      </c>
    </row>
    <row r="585" spans="1:10" s="138" customFormat="1">
      <c r="A585" s="215">
        <v>7</v>
      </c>
      <c r="B585" s="251" t="s">
        <v>537</v>
      </c>
      <c r="C585" s="490">
        <v>100</v>
      </c>
      <c r="D585" s="405">
        <v>4000</v>
      </c>
      <c r="E585" s="328">
        <f>+C585*D585</f>
        <v>400000</v>
      </c>
      <c r="F585" s="1477" t="s">
        <v>532</v>
      </c>
      <c r="G585" s="498" t="s">
        <v>2038</v>
      </c>
      <c r="H585" s="498"/>
      <c r="I585" s="138" t="s">
        <v>1721</v>
      </c>
    </row>
    <row r="586" spans="1:10" s="138" customFormat="1">
      <c r="A586" s="479">
        <v>8</v>
      </c>
      <c r="B586" s="251" t="s">
        <v>538</v>
      </c>
      <c r="C586" s="490">
        <v>5</v>
      </c>
      <c r="D586" s="405">
        <v>37000</v>
      </c>
      <c r="E586" s="328">
        <f t="shared" ref="E586:E601" si="22">+C586*D586</f>
        <v>185000</v>
      </c>
      <c r="F586" s="1477" t="s">
        <v>532</v>
      </c>
      <c r="G586" s="498" t="s">
        <v>2038</v>
      </c>
      <c r="H586" s="498"/>
      <c r="I586" s="138" t="s">
        <v>1721</v>
      </c>
    </row>
    <row r="587" spans="1:10" s="138" customFormat="1">
      <c r="A587" s="479">
        <v>9</v>
      </c>
      <c r="B587" s="251" t="s">
        <v>540</v>
      </c>
      <c r="C587" s="490">
        <v>20</v>
      </c>
      <c r="D587" s="405">
        <v>13000</v>
      </c>
      <c r="E587" s="328">
        <f t="shared" si="22"/>
        <v>260000</v>
      </c>
      <c r="F587" s="1477" t="s">
        <v>532</v>
      </c>
      <c r="G587" s="498" t="s">
        <v>2038</v>
      </c>
      <c r="H587" s="498"/>
      <c r="I587" s="138" t="s">
        <v>1721</v>
      </c>
    </row>
    <row r="588" spans="1:10" s="138" customFormat="1">
      <c r="A588" s="215">
        <v>10</v>
      </c>
      <c r="B588" s="251" t="s">
        <v>748</v>
      </c>
      <c r="C588" s="490">
        <v>10</v>
      </c>
      <c r="D588" s="2439">
        <v>24000</v>
      </c>
      <c r="E588" s="328">
        <f t="shared" si="22"/>
        <v>240000</v>
      </c>
      <c r="F588" s="1477" t="s">
        <v>532</v>
      </c>
      <c r="G588" s="498" t="s">
        <v>2038</v>
      </c>
      <c r="H588" s="498"/>
      <c r="I588" s="138" t="s">
        <v>1721</v>
      </c>
    </row>
    <row r="589" spans="1:10" s="138" customFormat="1">
      <c r="A589" s="479">
        <v>11</v>
      </c>
      <c r="B589" s="251" t="s">
        <v>753</v>
      </c>
      <c r="C589" s="490">
        <v>10</v>
      </c>
      <c r="D589" s="2439">
        <v>6900</v>
      </c>
      <c r="E589" s="328">
        <f t="shared" si="22"/>
        <v>69000</v>
      </c>
      <c r="F589" s="1477" t="s">
        <v>532</v>
      </c>
      <c r="G589" s="498" t="s">
        <v>2038</v>
      </c>
      <c r="H589" s="498"/>
      <c r="I589" s="138" t="s">
        <v>1721</v>
      </c>
    </row>
    <row r="590" spans="1:10" s="138" customFormat="1">
      <c r="A590" s="479">
        <v>12</v>
      </c>
      <c r="B590" s="251" t="s">
        <v>534</v>
      </c>
      <c r="C590" s="490">
        <v>10</v>
      </c>
      <c r="D590" s="2439">
        <v>6700</v>
      </c>
      <c r="E590" s="328">
        <f t="shared" si="22"/>
        <v>67000</v>
      </c>
      <c r="F590" s="1477" t="s">
        <v>532</v>
      </c>
      <c r="G590" s="498" t="s">
        <v>2038</v>
      </c>
      <c r="H590" s="498"/>
      <c r="I590" s="138" t="s">
        <v>1721</v>
      </c>
    </row>
    <row r="591" spans="1:10" s="138" customFormat="1">
      <c r="A591" s="215">
        <v>13</v>
      </c>
      <c r="B591" s="251" t="s">
        <v>754</v>
      </c>
      <c r="C591" s="490">
        <v>10</v>
      </c>
      <c r="D591" s="2439">
        <v>8100</v>
      </c>
      <c r="E591" s="328">
        <f t="shared" si="22"/>
        <v>81000</v>
      </c>
      <c r="F591" s="1477" t="s">
        <v>532</v>
      </c>
      <c r="G591" s="498" t="s">
        <v>2038</v>
      </c>
      <c r="H591" s="498"/>
      <c r="I591" s="138" t="s">
        <v>1721</v>
      </c>
    </row>
    <row r="592" spans="1:10" s="138" customFormat="1">
      <c r="A592" s="479">
        <v>14</v>
      </c>
      <c r="B592" s="251" t="s">
        <v>755</v>
      </c>
      <c r="C592" s="490">
        <v>10</v>
      </c>
      <c r="D592" s="2439">
        <v>10000</v>
      </c>
      <c r="E592" s="328">
        <f t="shared" si="22"/>
        <v>100000</v>
      </c>
      <c r="F592" s="1477" t="s">
        <v>532</v>
      </c>
      <c r="G592" s="498" t="s">
        <v>2038</v>
      </c>
      <c r="H592" s="498"/>
      <c r="I592" s="138" t="s">
        <v>1721</v>
      </c>
    </row>
    <row r="593" spans="1:9" s="138" customFormat="1">
      <c r="A593" s="479">
        <v>15</v>
      </c>
      <c r="B593" s="251" t="s">
        <v>756</v>
      </c>
      <c r="C593" s="490">
        <v>30</v>
      </c>
      <c r="D593" s="2439">
        <v>2620</v>
      </c>
      <c r="E593" s="328">
        <f t="shared" si="22"/>
        <v>78600</v>
      </c>
      <c r="F593" s="1477" t="s">
        <v>532</v>
      </c>
      <c r="G593" s="498" t="s">
        <v>2038</v>
      </c>
      <c r="H593" s="498"/>
      <c r="I593" s="138" t="s">
        <v>1721</v>
      </c>
    </row>
    <row r="594" spans="1:9" s="138" customFormat="1">
      <c r="A594" s="215">
        <v>16</v>
      </c>
      <c r="B594" s="251" t="s">
        <v>759</v>
      </c>
      <c r="C594" s="490">
        <v>4</v>
      </c>
      <c r="D594" s="2440">
        <v>22000</v>
      </c>
      <c r="E594" s="328">
        <f t="shared" si="22"/>
        <v>88000</v>
      </c>
      <c r="F594" s="1477" t="s">
        <v>532</v>
      </c>
      <c r="G594" s="498" t="s">
        <v>2038</v>
      </c>
      <c r="H594" s="498"/>
      <c r="I594" s="138" t="s">
        <v>1721</v>
      </c>
    </row>
    <row r="595" spans="1:9" s="138" customFormat="1">
      <c r="A595" s="479">
        <v>17</v>
      </c>
      <c r="B595" s="322" t="s">
        <v>979</v>
      </c>
      <c r="C595" s="233">
        <v>2</v>
      </c>
      <c r="D595" s="328">
        <v>19973.333333333332</v>
      </c>
      <c r="E595" s="328">
        <f t="shared" si="22"/>
        <v>39946.666666666664</v>
      </c>
      <c r="F595" s="322" t="s">
        <v>584</v>
      </c>
      <c r="G595" s="498" t="s">
        <v>2038</v>
      </c>
      <c r="H595" s="498"/>
      <c r="I595" s="138" t="s">
        <v>1721</v>
      </c>
    </row>
    <row r="596" spans="1:9" s="138" customFormat="1">
      <c r="A596" s="479">
        <v>18</v>
      </c>
      <c r="B596" s="322" t="s">
        <v>1029</v>
      </c>
      <c r="C596" s="233">
        <v>5</v>
      </c>
      <c r="D596" s="328">
        <v>8100</v>
      </c>
      <c r="E596" s="328">
        <f t="shared" si="22"/>
        <v>40500</v>
      </c>
      <c r="F596" s="322" t="s">
        <v>584</v>
      </c>
      <c r="G596" s="498" t="s">
        <v>2038</v>
      </c>
      <c r="H596" s="498"/>
      <c r="I596" s="138" t="s">
        <v>1721</v>
      </c>
    </row>
    <row r="597" spans="1:9" s="138" customFormat="1">
      <c r="A597" s="215">
        <v>19</v>
      </c>
      <c r="B597" s="322" t="s">
        <v>966</v>
      </c>
      <c r="C597" s="233">
        <v>1</v>
      </c>
      <c r="D597" s="328">
        <v>1980</v>
      </c>
      <c r="E597" s="328">
        <f t="shared" si="22"/>
        <v>1980</v>
      </c>
      <c r="F597" s="322" t="s">
        <v>472</v>
      </c>
      <c r="G597" s="498" t="s">
        <v>2038</v>
      </c>
      <c r="H597" s="498"/>
      <c r="I597" s="138" t="s">
        <v>1721</v>
      </c>
    </row>
    <row r="598" spans="1:9" s="138" customFormat="1">
      <c r="A598" s="479">
        <v>20</v>
      </c>
      <c r="B598" s="322" t="s">
        <v>971</v>
      </c>
      <c r="C598" s="233">
        <v>8</v>
      </c>
      <c r="D598" s="328">
        <v>23125</v>
      </c>
      <c r="E598" s="328">
        <f t="shared" si="22"/>
        <v>185000</v>
      </c>
      <c r="F598" s="322" t="s">
        <v>416</v>
      </c>
      <c r="G598" s="498" t="s">
        <v>2038</v>
      </c>
      <c r="H598" s="498"/>
      <c r="I598" s="138" t="s">
        <v>1721</v>
      </c>
    </row>
    <row r="599" spans="1:9" s="138" customFormat="1">
      <c r="A599" s="479">
        <v>21</v>
      </c>
      <c r="B599" s="322" t="s">
        <v>973</v>
      </c>
      <c r="C599" s="233">
        <v>1</v>
      </c>
      <c r="D599" s="328">
        <v>10690</v>
      </c>
      <c r="E599" s="328">
        <f t="shared" si="22"/>
        <v>10690</v>
      </c>
      <c r="F599" s="322" t="s">
        <v>584</v>
      </c>
      <c r="G599" s="498" t="s">
        <v>2038</v>
      </c>
      <c r="H599" s="498"/>
      <c r="I599" s="138" t="s">
        <v>1721</v>
      </c>
    </row>
    <row r="600" spans="1:9" s="138" customFormat="1">
      <c r="A600" s="215">
        <v>22</v>
      </c>
      <c r="B600" s="322" t="s">
        <v>976</v>
      </c>
      <c r="C600" s="233">
        <v>1</v>
      </c>
      <c r="D600" s="328">
        <v>62076.05</v>
      </c>
      <c r="E600" s="328">
        <f t="shared" si="22"/>
        <v>62076.05</v>
      </c>
      <c r="F600" s="251" t="s">
        <v>584</v>
      </c>
      <c r="G600" s="498" t="s">
        <v>2038</v>
      </c>
      <c r="H600" s="498"/>
      <c r="I600" s="138" t="s">
        <v>1721</v>
      </c>
    </row>
    <row r="601" spans="1:9" s="138" customFormat="1">
      <c r="A601" s="479">
        <v>23</v>
      </c>
      <c r="B601" s="322" t="s">
        <v>977</v>
      </c>
      <c r="C601" s="233">
        <v>3</v>
      </c>
      <c r="D601" s="328">
        <v>15943</v>
      </c>
      <c r="E601" s="328">
        <f t="shared" si="22"/>
        <v>47829</v>
      </c>
      <c r="F601" s="322" t="s">
        <v>584</v>
      </c>
      <c r="G601" s="498" t="s">
        <v>2038</v>
      </c>
      <c r="H601" s="498"/>
      <c r="I601" s="138" t="s">
        <v>1721</v>
      </c>
    </row>
    <row r="602" spans="1:9" s="138" customFormat="1">
      <c r="A602" s="479">
        <v>24</v>
      </c>
      <c r="B602" s="221" t="s">
        <v>755</v>
      </c>
      <c r="C602" s="215">
        <v>10</v>
      </c>
      <c r="D602" s="1531">
        <v>7490</v>
      </c>
      <c r="E602" s="1531">
        <v>74900</v>
      </c>
      <c r="F602" s="221" t="s">
        <v>584</v>
      </c>
      <c r="G602" s="498" t="s">
        <v>2038</v>
      </c>
      <c r="H602" s="498"/>
      <c r="I602" s="138" t="s">
        <v>1721</v>
      </c>
    </row>
    <row r="603" spans="1:9" s="138" customFormat="1">
      <c r="A603" s="215">
        <v>25</v>
      </c>
      <c r="B603" s="221" t="s">
        <v>1358</v>
      </c>
      <c r="C603" s="215">
        <v>5</v>
      </c>
      <c r="D603" s="1531">
        <v>5900</v>
      </c>
      <c r="E603" s="1531">
        <v>29500</v>
      </c>
      <c r="F603" s="221" t="s">
        <v>584</v>
      </c>
      <c r="G603" s="498" t="s">
        <v>2038</v>
      </c>
      <c r="H603" s="498"/>
      <c r="I603" s="138" t="s">
        <v>1721</v>
      </c>
    </row>
    <row r="604" spans="1:9" s="138" customFormat="1" ht="40.5" customHeight="1">
      <c r="A604" s="479">
        <v>26</v>
      </c>
      <c r="B604" s="482" t="s">
        <v>1439</v>
      </c>
      <c r="C604" s="215">
        <v>1</v>
      </c>
      <c r="D604" s="1531">
        <v>10200</v>
      </c>
      <c r="E604" s="1531">
        <v>10200</v>
      </c>
      <c r="F604" s="221" t="s">
        <v>584</v>
      </c>
      <c r="G604" s="498" t="s">
        <v>2038</v>
      </c>
      <c r="H604" s="498"/>
      <c r="I604" s="138" t="s">
        <v>1721</v>
      </c>
    </row>
    <row r="605" spans="1:9">
      <c r="A605" s="479">
        <v>27</v>
      </c>
      <c r="B605" s="390" t="s">
        <v>1359</v>
      </c>
      <c r="C605" s="479">
        <v>1</v>
      </c>
      <c r="D605" s="307">
        <v>34800</v>
      </c>
      <c r="E605" s="307">
        <v>34800</v>
      </c>
      <c r="F605" s="390" t="s">
        <v>584</v>
      </c>
      <c r="G605" s="2493" t="s">
        <v>2038</v>
      </c>
      <c r="H605" s="2493"/>
      <c r="I605" s="19" t="s">
        <v>1721</v>
      </c>
    </row>
    <row r="606" spans="1:9">
      <c r="A606" s="215">
        <v>28</v>
      </c>
      <c r="B606" s="390" t="s">
        <v>1360</v>
      </c>
      <c r="C606" s="479">
        <v>1</v>
      </c>
      <c r="D606" s="307">
        <v>12412</v>
      </c>
      <c r="E606" s="307">
        <v>12412</v>
      </c>
      <c r="F606" s="2447" t="s">
        <v>2476</v>
      </c>
      <c r="G606" s="2493" t="s">
        <v>2038</v>
      </c>
      <c r="H606" s="2493"/>
      <c r="I606" s="19" t="s">
        <v>1721</v>
      </c>
    </row>
    <row r="607" spans="1:9">
      <c r="A607" s="479">
        <v>29</v>
      </c>
      <c r="B607" s="390" t="s">
        <v>1361</v>
      </c>
      <c r="C607" s="479">
        <v>3</v>
      </c>
      <c r="D607" s="307">
        <v>9062.9</v>
      </c>
      <c r="E607" s="307">
        <v>27188.7</v>
      </c>
      <c r="F607" s="390" t="s">
        <v>1362</v>
      </c>
      <c r="G607" s="2493" t="s">
        <v>2038</v>
      </c>
      <c r="H607" s="2493"/>
      <c r="I607" s="19" t="s">
        <v>1721</v>
      </c>
    </row>
    <row r="608" spans="1:9">
      <c r="A608" s="479">
        <v>30</v>
      </c>
      <c r="B608" s="390" t="s">
        <v>1363</v>
      </c>
      <c r="C608" s="479">
        <v>3</v>
      </c>
      <c r="D608" s="307">
        <v>17700</v>
      </c>
      <c r="E608" s="307">
        <v>53100</v>
      </c>
      <c r="F608" s="2447" t="s">
        <v>1436</v>
      </c>
      <c r="G608" s="2493" t="s">
        <v>2038</v>
      </c>
      <c r="H608" s="2493"/>
      <c r="I608" s="19" t="s">
        <v>1721</v>
      </c>
    </row>
    <row r="609" spans="1:9">
      <c r="A609" s="215">
        <v>31</v>
      </c>
      <c r="B609" s="390" t="s">
        <v>1364</v>
      </c>
      <c r="C609" s="479">
        <v>1</v>
      </c>
      <c r="D609" s="307">
        <v>7000</v>
      </c>
      <c r="E609" s="307">
        <v>7000</v>
      </c>
      <c r="F609" s="2447" t="s">
        <v>1436</v>
      </c>
      <c r="G609" s="2493" t="s">
        <v>2038</v>
      </c>
      <c r="H609" s="2493"/>
      <c r="I609" s="19" t="s">
        <v>1721</v>
      </c>
    </row>
    <row r="610" spans="1:9">
      <c r="A610" s="479">
        <v>32</v>
      </c>
      <c r="B610" s="390" t="s">
        <v>1365</v>
      </c>
      <c r="C610" s="479">
        <v>2</v>
      </c>
      <c r="D610" s="307">
        <v>5300</v>
      </c>
      <c r="E610" s="307">
        <v>10600</v>
      </c>
      <c r="F610" s="2447" t="s">
        <v>1436</v>
      </c>
      <c r="G610" s="2493" t="s">
        <v>2038</v>
      </c>
      <c r="H610" s="2493"/>
      <c r="I610" s="19" t="s">
        <v>1721</v>
      </c>
    </row>
    <row r="611" spans="1:9">
      <c r="A611" s="479">
        <v>33</v>
      </c>
      <c r="B611" s="390" t="s">
        <v>1366</v>
      </c>
      <c r="C611" s="479">
        <v>1</v>
      </c>
      <c r="D611" s="307">
        <v>2551955.35</v>
      </c>
      <c r="E611" s="307">
        <v>2551955.35</v>
      </c>
      <c r="F611" s="390" t="s">
        <v>888</v>
      </c>
      <c r="G611" s="2493" t="s">
        <v>2038</v>
      </c>
      <c r="H611" s="2493"/>
      <c r="I611" s="19" t="s">
        <v>1721</v>
      </c>
    </row>
    <row r="612" spans="1:9">
      <c r="A612" s="215">
        <v>34</v>
      </c>
      <c r="B612" s="390" t="s">
        <v>969</v>
      </c>
      <c r="C612" s="479">
        <v>1</v>
      </c>
      <c r="D612" s="307">
        <v>24500</v>
      </c>
      <c r="E612" s="307">
        <v>24500</v>
      </c>
      <c r="F612" s="390" t="s">
        <v>472</v>
      </c>
      <c r="G612" s="2493" t="s">
        <v>2038</v>
      </c>
      <c r="H612" s="2493"/>
      <c r="I612" s="19" t="s">
        <v>1721</v>
      </c>
    </row>
    <row r="613" spans="1:9">
      <c r="A613" s="479">
        <v>35</v>
      </c>
      <c r="B613" s="390" t="s">
        <v>1014</v>
      </c>
      <c r="C613" s="479">
        <v>1</v>
      </c>
      <c r="D613" s="307">
        <v>2320</v>
      </c>
      <c r="E613" s="307">
        <v>2320</v>
      </c>
      <c r="F613" s="390" t="s">
        <v>472</v>
      </c>
      <c r="G613" s="2493" t="s">
        <v>2038</v>
      </c>
      <c r="H613" s="2493"/>
      <c r="I613" s="19" t="s">
        <v>1721</v>
      </c>
    </row>
    <row r="614" spans="1:9">
      <c r="A614" s="479">
        <v>36</v>
      </c>
      <c r="B614" s="390" t="s">
        <v>466</v>
      </c>
      <c r="C614" s="479">
        <v>1</v>
      </c>
      <c r="D614" s="307">
        <v>6900</v>
      </c>
      <c r="E614" s="307">
        <v>6900</v>
      </c>
      <c r="F614" s="390" t="s">
        <v>472</v>
      </c>
      <c r="G614" s="2493" t="s">
        <v>2038</v>
      </c>
      <c r="H614" s="2493"/>
      <c r="I614" s="19" t="s">
        <v>1721</v>
      </c>
    </row>
    <row r="615" spans="1:9">
      <c r="A615" s="215">
        <v>37</v>
      </c>
      <c r="B615" s="390" t="s">
        <v>1367</v>
      </c>
      <c r="C615" s="479">
        <v>2</v>
      </c>
      <c r="D615" s="307">
        <v>24500</v>
      </c>
      <c r="E615" s="307">
        <v>49000</v>
      </c>
      <c r="F615" s="390" t="s">
        <v>962</v>
      </c>
      <c r="G615" s="2493" t="s">
        <v>2038</v>
      </c>
      <c r="H615" s="2493"/>
      <c r="I615" s="19" t="s">
        <v>1721</v>
      </c>
    </row>
    <row r="616" spans="1:9">
      <c r="A616" s="479">
        <v>38</v>
      </c>
      <c r="B616" s="390" t="s">
        <v>1368</v>
      </c>
      <c r="C616" s="479">
        <v>2</v>
      </c>
      <c r="D616" s="307">
        <v>2320</v>
      </c>
      <c r="E616" s="307">
        <v>4640</v>
      </c>
      <c r="F616" s="390" t="s">
        <v>962</v>
      </c>
      <c r="G616" s="2493" t="s">
        <v>2038</v>
      </c>
      <c r="H616" s="2493"/>
      <c r="I616" s="19" t="s">
        <v>1721</v>
      </c>
    </row>
    <row r="617" spans="1:9" s="138" customFormat="1" ht="42">
      <c r="A617" s="479">
        <v>39</v>
      </c>
      <c r="B617" s="482" t="s">
        <v>1438</v>
      </c>
      <c r="C617" s="215">
        <v>1</v>
      </c>
      <c r="D617" s="1531">
        <v>6900</v>
      </c>
      <c r="E617" s="1531">
        <v>6900</v>
      </c>
      <c r="F617" s="221" t="s">
        <v>962</v>
      </c>
      <c r="G617" s="498" t="s">
        <v>2038</v>
      </c>
      <c r="H617" s="498"/>
      <c r="I617" s="138" t="s">
        <v>1721</v>
      </c>
    </row>
    <row r="618" spans="1:9" s="138" customFormat="1">
      <c r="A618" s="215">
        <v>40</v>
      </c>
      <c r="B618" s="221" t="s">
        <v>969</v>
      </c>
      <c r="C618" s="215">
        <v>3</v>
      </c>
      <c r="D618" s="1531">
        <v>24500</v>
      </c>
      <c r="E618" s="1531">
        <v>73500</v>
      </c>
      <c r="F618" s="482" t="s">
        <v>1478</v>
      </c>
      <c r="G618" s="498" t="s">
        <v>2038</v>
      </c>
      <c r="H618" s="498"/>
      <c r="I618" s="138" t="s">
        <v>1721</v>
      </c>
    </row>
    <row r="619" spans="1:9" s="138" customFormat="1">
      <c r="A619" s="479">
        <v>41</v>
      </c>
      <c r="B619" s="221" t="s">
        <v>1368</v>
      </c>
      <c r="C619" s="215">
        <v>3</v>
      </c>
      <c r="D619" s="1531">
        <v>2320</v>
      </c>
      <c r="E619" s="1531">
        <v>6960</v>
      </c>
      <c r="F619" s="482" t="s">
        <v>1478</v>
      </c>
      <c r="G619" s="498" t="s">
        <v>2038</v>
      </c>
      <c r="H619" s="498"/>
      <c r="I619" s="138" t="s">
        <v>1721</v>
      </c>
    </row>
    <row r="620" spans="1:9" s="138" customFormat="1">
      <c r="A620" s="479">
        <v>42</v>
      </c>
      <c r="B620" s="221" t="s">
        <v>1369</v>
      </c>
      <c r="C620" s="215">
        <v>3</v>
      </c>
      <c r="D620" s="1531">
        <v>4850</v>
      </c>
      <c r="E620" s="1531">
        <v>14550</v>
      </c>
      <c r="F620" s="482" t="s">
        <v>1478</v>
      </c>
      <c r="G620" s="498" t="s">
        <v>2038</v>
      </c>
      <c r="H620" s="498"/>
      <c r="I620" s="138" t="s">
        <v>1721</v>
      </c>
    </row>
    <row r="621" spans="1:9" s="138" customFormat="1" ht="42">
      <c r="A621" s="215">
        <v>43</v>
      </c>
      <c r="B621" s="482" t="s">
        <v>2489</v>
      </c>
      <c r="C621" s="215">
        <v>3</v>
      </c>
      <c r="D621" s="1531">
        <v>24500</v>
      </c>
      <c r="E621" s="1531">
        <v>73500</v>
      </c>
      <c r="F621" s="221" t="s">
        <v>949</v>
      </c>
      <c r="G621" s="498" t="s">
        <v>2038</v>
      </c>
      <c r="H621" s="498"/>
      <c r="I621" s="138" t="s">
        <v>1721</v>
      </c>
    </row>
    <row r="622" spans="1:9" s="138" customFormat="1">
      <c r="A622" s="479">
        <v>44</v>
      </c>
      <c r="B622" s="221" t="s">
        <v>1014</v>
      </c>
      <c r="C622" s="215">
        <v>3</v>
      </c>
      <c r="D622" s="1531">
        <v>2320</v>
      </c>
      <c r="E622" s="1531">
        <v>6960</v>
      </c>
      <c r="F622" s="221" t="s">
        <v>949</v>
      </c>
      <c r="G622" s="498" t="s">
        <v>2038</v>
      </c>
      <c r="H622" s="498"/>
      <c r="I622" s="138" t="s">
        <v>1721</v>
      </c>
    </row>
    <row r="623" spans="1:9" s="138" customFormat="1">
      <c r="A623" s="479">
        <v>45</v>
      </c>
      <c r="B623" s="221" t="s">
        <v>1370</v>
      </c>
      <c r="C623" s="215">
        <v>1</v>
      </c>
      <c r="D623" s="1531">
        <v>7390</v>
      </c>
      <c r="E623" s="1531">
        <v>7390</v>
      </c>
      <c r="F623" s="221" t="s">
        <v>949</v>
      </c>
      <c r="G623" s="498" t="s">
        <v>2038</v>
      </c>
      <c r="H623" s="498"/>
      <c r="I623" s="138" t="s">
        <v>1721</v>
      </c>
    </row>
    <row r="624" spans="1:9" s="138" customFormat="1">
      <c r="A624" s="215">
        <v>46</v>
      </c>
      <c r="B624" s="221" t="s">
        <v>1371</v>
      </c>
      <c r="C624" s="215">
        <v>1</v>
      </c>
      <c r="D624" s="1531">
        <v>207954.5</v>
      </c>
      <c r="E624" s="1531">
        <v>207954.5</v>
      </c>
      <c r="F624" s="221" t="s">
        <v>1372</v>
      </c>
      <c r="G624" s="498" t="s">
        <v>2038</v>
      </c>
      <c r="H624" s="498"/>
      <c r="I624" s="138" t="s">
        <v>1721</v>
      </c>
    </row>
    <row r="625" spans="1:9" s="138" customFormat="1">
      <c r="A625" s="479">
        <v>47</v>
      </c>
      <c r="B625" s="221" t="s">
        <v>1367</v>
      </c>
      <c r="C625" s="215">
        <v>4</v>
      </c>
      <c r="D625" s="1531">
        <v>23900</v>
      </c>
      <c r="E625" s="1531">
        <v>95600</v>
      </c>
      <c r="F625" s="221" t="s">
        <v>961</v>
      </c>
      <c r="G625" s="498" t="s">
        <v>2038</v>
      </c>
      <c r="H625" s="498"/>
      <c r="I625" s="138" t="s">
        <v>1721</v>
      </c>
    </row>
    <row r="626" spans="1:9" s="138" customFormat="1">
      <c r="A626" s="479">
        <v>48</v>
      </c>
      <c r="B626" s="221" t="s">
        <v>1014</v>
      </c>
      <c r="C626" s="215">
        <v>4</v>
      </c>
      <c r="D626" s="1531">
        <v>2320</v>
      </c>
      <c r="E626" s="1531">
        <v>9280</v>
      </c>
      <c r="F626" s="221" t="s">
        <v>961</v>
      </c>
      <c r="G626" s="498" t="s">
        <v>2038</v>
      </c>
      <c r="H626" s="498"/>
      <c r="I626" s="138" t="s">
        <v>1721</v>
      </c>
    </row>
    <row r="627" spans="1:9" s="138" customFormat="1">
      <c r="A627" s="215">
        <v>49</v>
      </c>
      <c r="B627" s="221" t="s">
        <v>969</v>
      </c>
      <c r="C627" s="215">
        <v>3</v>
      </c>
      <c r="D627" s="1531">
        <v>21900</v>
      </c>
      <c r="E627" s="1531">
        <v>65700</v>
      </c>
      <c r="F627" s="221" t="s">
        <v>472</v>
      </c>
      <c r="G627" s="498" t="s">
        <v>2038</v>
      </c>
      <c r="H627" s="498"/>
      <c r="I627" s="138" t="s">
        <v>1721</v>
      </c>
    </row>
    <row r="628" spans="1:9" s="138" customFormat="1">
      <c r="A628" s="479">
        <v>50</v>
      </c>
      <c r="B628" s="221" t="s">
        <v>1014</v>
      </c>
      <c r="C628" s="215">
        <v>3</v>
      </c>
      <c r="D628" s="1531">
        <v>2150</v>
      </c>
      <c r="E628" s="1531">
        <v>6450</v>
      </c>
      <c r="F628" s="221" t="s">
        <v>472</v>
      </c>
      <c r="G628" s="498" t="s">
        <v>2038</v>
      </c>
      <c r="H628" s="498"/>
      <c r="I628" s="138" t="s">
        <v>1721</v>
      </c>
    </row>
    <row r="629" spans="1:9" s="138" customFormat="1">
      <c r="A629" s="479">
        <v>51</v>
      </c>
      <c r="B629" s="221" t="s">
        <v>1369</v>
      </c>
      <c r="C629" s="215">
        <v>1</v>
      </c>
      <c r="D629" s="1531">
        <v>6800</v>
      </c>
      <c r="E629" s="1531">
        <v>6800</v>
      </c>
      <c r="F629" s="221" t="s">
        <v>472</v>
      </c>
      <c r="G629" s="498" t="s">
        <v>2038</v>
      </c>
      <c r="H629" s="498"/>
      <c r="I629" s="138" t="s">
        <v>1721</v>
      </c>
    </row>
    <row r="630" spans="1:9" s="138" customFormat="1">
      <c r="A630" s="215">
        <v>52</v>
      </c>
      <c r="B630" s="221" t="s">
        <v>1367</v>
      </c>
      <c r="C630" s="215">
        <v>3</v>
      </c>
      <c r="D630" s="1531">
        <v>21900</v>
      </c>
      <c r="E630" s="1531">
        <v>65700</v>
      </c>
      <c r="F630" s="221" t="s">
        <v>1375</v>
      </c>
      <c r="G630" s="498" t="s">
        <v>2038</v>
      </c>
      <c r="H630" s="498"/>
      <c r="I630" s="138" t="s">
        <v>1721</v>
      </c>
    </row>
    <row r="631" spans="1:9" s="138" customFormat="1">
      <c r="A631" s="479">
        <v>53</v>
      </c>
      <c r="B631" s="221" t="s">
        <v>1376</v>
      </c>
      <c r="C631" s="215">
        <v>3</v>
      </c>
      <c r="D631" s="1531">
        <v>2150</v>
      </c>
      <c r="E631" s="1531">
        <v>6450</v>
      </c>
      <c r="F631" s="221" t="s">
        <v>1375</v>
      </c>
      <c r="G631" s="498" t="s">
        <v>2038</v>
      </c>
      <c r="H631" s="498"/>
      <c r="I631" s="138" t="s">
        <v>1721</v>
      </c>
    </row>
    <row r="632" spans="1:9" s="138" customFormat="1">
      <c r="A632" s="479">
        <v>54</v>
      </c>
      <c r="B632" s="221" t="s">
        <v>1377</v>
      </c>
      <c r="C632" s="215">
        <v>3</v>
      </c>
      <c r="D632" s="1531">
        <v>4400</v>
      </c>
      <c r="E632" s="1531">
        <v>13200</v>
      </c>
      <c r="F632" s="221" t="s">
        <v>1375</v>
      </c>
      <c r="G632" s="498" t="s">
        <v>2038</v>
      </c>
      <c r="H632" s="498"/>
      <c r="I632" s="138" t="s">
        <v>1721</v>
      </c>
    </row>
    <row r="633" spans="1:9" s="138" customFormat="1" ht="42" customHeight="1">
      <c r="A633" s="215">
        <v>55</v>
      </c>
      <c r="B633" s="2441" t="s">
        <v>1433</v>
      </c>
      <c r="C633" s="215">
        <v>12</v>
      </c>
      <c r="D633" s="408">
        <v>40540</v>
      </c>
      <c r="E633" s="408">
        <f>+C633*D633</f>
        <v>486480</v>
      </c>
      <c r="F633" s="216" t="s">
        <v>961</v>
      </c>
      <c r="G633" s="498" t="s">
        <v>2038</v>
      </c>
      <c r="H633" s="498"/>
      <c r="I633" s="138" t="s">
        <v>1721</v>
      </c>
    </row>
    <row r="634" spans="1:9" s="138" customFormat="1" ht="22.5" customHeight="1">
      <c r="A634" s="479">
        <v>56</v>
      </c>
      <c r="B634" s="251" t="s">
        <v>734</v>
      </c>
      <c r="C634" s="233">
        <v>1</v>
      </c>
      <c r="D634" s="403">
        <v>800000</v>
      </c>
      <c r="E634" s="403">
        <v>800000</v>
      </c>
      <c r="F634" s="1477" t="s">
        <v>584</v>
      </c>
      <c r="G634" s="498" t="s">
        <v>2038</v>
      </c>
      <c r="H634" s="498"/>
      <c r="I634" s="138" t="s">
        <v>1721</v>
      </c>
    </row>
    <row r="635" spans="1:9">
      <c r="A635" s="479">
        <v>57</v>
      </c>
      <c r="B635" s="684" t="s">
        <v>761</v>
      </c>
      <c r="C635" s="1488">
        <v>1</v>
      </c>
      <c r="D635" s="1491">
        <v>24300</v>
      </c>
      <c r="E635" s="588">
        <f t="shared" ref="E635:E645" si="23">+C635*D635</f>
        <v>24300</v>
      </c>
      <c r="F635" s="1477" t="s">
        <v>584</v>
      </c>
      <c r="G635" s="682" t="s">
        <v>2038</v>
      </c>
      <c r="H635" s="682"/>
      <c r="I635" s="138" t="s">
        <v>1721</v>
      </c>
    </row>
    <row r="636" spans="1:9">
      <c r="A636" s="215">
        <v>58</v>
      </c>
      <c r="B636" s="684" t="s">
        <v>762</v>
      </c>
      <c r="C636" s="1488">
        <v>1</v>
      </c>
      <c r="D636" s="1491">
        <v>10516</v>
      </c>
      <c r="E636" s="588">
        <f t="shared" si="23"/>
        <v>10516</v>
      </c>
      <c r="F636" s="1477" t="s">
        <v>584</v>
      </c>
      <c r="G636" s="682" t="s">
        <v>2038</v>
      </c>
      <c r="H636" s="682"/>
      <c r="I636" s="138" t="s">
        <v>1721</v>
      </c>
    </row>
    <row r="637" spans="1:9" s="138" customFormat="1" ht="24" customHeight="1">
      <c r="A637" s="479">
        <v>59</v>
      </c>
      <c r="B637" s="251" t="s">
        <v>648</v>
      </c>
      <c r="C637" s="490">
        <v>2</v>
      </c>
      <c r="D637" s="405">
        <v>40000</v>
      </c>
      <c r="E637" s="328">
        <f t="shared" si="23"/>
        <v>80000</v>
      </c>
      <c r="F637" s="1477" t="s">
        <v>584</v>
      </c>
      <c r="G637" s="498" t="s">
        <v>2038</v>
      </c>
      <c r="H637" s="498"/>
      <c r="I637" s="138" t="s">
        <v>1721</v>
      </c>
    </row>
    <row r="638" spans="1:9">
      <c r="A638" s="479">
        <v>60</v>
      </c>
      <c r="B638" s="684" t="s">
        <v>535</v>
      </c>
      <c r="C638" s="1488">
        <v>1</v>
      </c>
      <c r="D638" s="1489">
        <v>29000</v>
      </c>
      <c r="E638" s="588">
        <f t="shared" si="23"/>
        <v>29000</v>
      </c>
      <c r="F638" s="1477" t="s">
        <v>584</v>
      </c>
      <c r="G638" s="682" t="s">
        <v>2038</v>
      </c>
      <c r="H638" s="682"/>
      <c r="I638" s="138" t="s">
        <v>1721</v>
      </c>
    </row>
    <row r="639" spans="1:9">
      <c r="A639" s="215">
        <v>61</v>
      </c>
      <c r="B639" s="684" t="s">
        <v>752</v>
      </c>
      <c r="C639" s="1488">
        <v>5</v>
      </c>
      <c r="D639" s="1490">
        <v>23000</v>
      </c>
      <c r="E639" s="588">
        <f t="shared" si="23"/>
        <v>115000</v>
      </c>
      <c r="F639" s="1477" t="s">
        <v>584</v>
      </c>
      <c r="G639" s="682" t="s">
        <v>2038</v>
      </c>
      <c r="H639" s="682"/>
      <c r="I639" s="138" t="s">
        <v>1721</v>
      </c>
    </row>
    <row r="640" spans="1:9">
      <c r="A640" s="479">
        <v>62</v>
      </c>
      <c r="B640" s="684" t="s">
        <v>757</v>
      </c>
      <c r="C640" s="1488">
        <v>10</v>
      </c>
      <c r="D640" s="1490">
        <v>8900</v>
      </c>
      <c r="E640" s="588">
        <f t="shared" si="23"/>
        <v>89000</v>
      </c>
      <c r="F640" s="1477" t="s">
        <v>584</v>
      </c>
      <c r="G640" s="682" t="s">
        <v>2038</v>
      </c>
      <c r="H640" s="682"/>
      <c r="I640" s="138" t="s">
        <v>1721</v>
      </c>
    </row>
    <row r="641" spans="1:9">
      <c r="A641" s="479">
        <v>63</v>
      </c>
      <c r="B641" s="684" t="s">
        <v>766</v>
      </c>
      <c r="C641" s="1488">
        <v>2</v>
      </c>
      <c r="D641" s="1491">
        <v>919</v>
      </c>
      <c r="E641" s="588">
        <f t="shared" si="23"/>
        <v>1838</v>
      </c>
      <c r="F641" s="1477" t="s">
        <v>584</v>
      </c>
      <c r="G641" s="682" t="s">
        <v>2038</v>
      </c>
      <c r="H641" s="682"/>
      <c r="I641" s="138" t="s">
        <v>1721</v>
      </c>
    </row>
    <row r="642" spans="1:9">
      <c r="A642" s="215">
        <v>64</v>
      </c>
      <c r="B642" s="684" t="s">
        <v>769</v>
      </c>
      <c r="C642" s="1488">
        <v>2</v>
      </c>
      <c r="D642" s="1491">
        <v>1800</v>
      </c>
      <c r="E642" s="588">
        <f t="shared" si="23"/>
        <v>3600</v>
      </c>
      <c r="F642" s="1477" t="s">
        <v>584</v>
      </c>
      <c r="G642" s="682" t="s">
        <v>2038</v>
      </c>
      <c r="H642" s="682"/>
      <c r="I642" s="138" t="s">
        <v>1721</v>
      </c>
    </row>
    <row r="643" spans="1:9">
      <c r="A643" s="479">
        <v>65</v>
      </c>
      <c r="B643" s="686" t="s">
        <v>1025</v>
      </c>
      <c r="C643" s="1475">
        <v>6</v>
      </c>
      <c r="D643" s="1476">
        <v>6600</v>
      </c>
      <c r="E643" s="588">
        <f t="shared" si="23"/>
        <v>39600</v>
      </c>
      <c r="F643" s="686" t="s">
        <v>584</v>
      </c>
      <c r="G643" s="682" t="s">
        <v>2038</v>
      </c>
      <c r="H643" s="682"/>
      <c r="I643" s="138" t="s">
        <v>1721</v>
      </c>
    </row>
    <row r="644" spans="1:9">
      <c r="A644" s="479">
        <v>66</v>
      </c>
      <c r="B644" s="686" t="s">
        <v>1027</v>
      </c>
      <c r="C644" s="1475">
        <v>3</v>
      </c>
      <c r="D644" s="1476">
        <v>2650</v>
      </c>
      <c r="E644" s="588">
        <f t="shared" si="23"/>
        <v>7950</v>
      </c>
      <c r="F644" s="686" t="s">
        <v>584</v>
      </c>
      <c r="G644" s="682" t="s">
        <v>2038</v>
      </c>
      <c r="H644" s="682"/>
      <c r="I644" s="138" t="s">
        <v>1721</v>
      </c>
    </row>
    <row r="645" spans="1:9">
      <c r="A645" s="215">
        <v>67</v>
      </c>
      <c r="B645" s="688" t="s">
        <v>1184</v>
      </c>
      <c r="C645" s="1475">
        <v>1</v>
      </c>
      <c r="D645" s="1485">
        <v>9000000</v>
      </c>
      <c r="E645" s="1492">
        <f t="shared" si="23"/>
        <v>9000000</v>
      </c>
      <c r="F645" s="683" t="s">
        <v>532</v>
      </c>
      <c r="G645" s="682" t="s">
        <v>2038</v>
      </c>
      <c r="H645" s="682"/>
      <c r="I645" s="138" t="s">
        <v>1721</v>
      </c>
    </row>
    <row r="646" spans="1:9" s="138" customFormat="1">
      <c r="A646" s="479">
        <v>68</v>
      </c>
      <c r="B646" s="1642" t="s">
        <v>531</v>
      </c>
      <c r="C646" s="233">
        <v>1</v>
      </c>
      <c r="D646" s="403">
        <v>152000</v>
      </c>
      <c r="E646" s="404">
        <v>152000</v>
      </c>
      <c r="F646" s="1477" t="s">
        <v>532</v>
      </c>
      <c r="G646" s="682" t="s">
        <v>2038</v>
      </c>
      <c r="H646" s="682"/>
      <c r="I646" s="138" t="s">
        <v>1721</v>
      </c>
    </row>
    <row r="647" spans="1:9">
      <c r="A647" s="479">
        <v>69</v>
      </c>
      <c r="B647" s="684" t="s">
        <v>1185</v>
      </c>
      <c r="C647" s="1475">
        <v>1</v>
      </c>
      <c r="D647" s="1493">
        <v>250000</v>
      </c>
      <c r="E647" s="1492">
        <v>250000</v>
      </c>
      <c r="F647" s="683" t="s">
        <v>532</v>
      </c>
      <c r="G647" s="682" t="s">
        <v>2038</v>
      </c>
      <c r="H647" s="682"/>
      <c r="I647" s="138" t="s">
        <v>1721</v>
      </c>
    </row>
    <row r="648" spans="1:9" s="138" customFormat="1" ht="238.5" customHeight="1">
      <c r="A648" s="215">
        <v>70</v>
      </c>
      <c r="B648" s="251" t="s">
        <v>747</v>
      </c>
      <c r="C648" s="490">
        <v>1</v>
      </c>
      <c r="D648" s="405">
        <v>5000000</v>
      </c>
      <c r="E648" s="328">
        <f t="shared" ref="E648:E650" si="24">+C648*D648</f>
        <v>5000000</v>
      </c>
      <c r="F648" s="1477" t="s">
        <v>532</v>
      </c>
      <c r="G648" s="498" t="s">
        <v>2038</v>
      </c>
      <c r="H648" s="498"/>
      <c r="I648" s="138" t="s">
        <v>2582</v>
      </c>
    </row>
    <row r="649" spans="1:9" s="138" customFormat="1">
      <c r="A649" s="479">
        <v>71</v>
      </c>
      <c r="B649" s="251" t="s">
        <v>1272</v>
      </c>
      <c r="C649" s="490">
        <v>1</v>
      </c>
      <c r="D649" s="481">
        <v>500000</v>
      </c>
      <c r="E649" s="328">
        <f t="shared" si="24"/>
        <v>500000</v>
      </c>
      <c r="F649" s="1477" t="s">
        <v>532</v>
      </c>
      <c r="G649" s="498" t="s">
        <v>2038</v>
      </c>
      <c r="H649" s="498"/>
      <c r="I649" s="138" t="s">
        <v>1721</v>
      </c>
    </row>
    <row r="650" spans="1:9" s="138" customFormat="1">
      <c r="A650" s="479">
        <v>72</v>
      </c>
      <c r="B650" s="251" t="s">
        <v>768</v>
      </c>
      <c r="C650" s="490">
        <v>20</v>
      </c>
      <c r="D650" s="2406">
        <v>2500</v>
      </c>
      <c r="E650" s="328">
        <f t="shared" si="24"/>
        <v>50000</v>
      </c>
      <c r="F650" s="1477" t="s">
        <v>532</v>
      </c>
      <c r="G650" s="498" t="s">
        <v>2038</v>
      </c>
      <c r="H650" s="498"/>
      <c r="I650" s="138" t="s">
        <v>1721</v>
      </c>
    </row>
    <row r="651" spans="1:9" s="138" customFormat="1">
      <c r="A651" s="215">
        <v>73</v>
      </c>
      <c r="B651" s="251" t="s">
        <v>1432</v>
      </c>
      <c r="C651" s="490">
        <v>99</v>
      </c>
      <c r="D651" s="2407"/>
      <c r="E651" s="328">
        <v>487920</v>
      </c>
      <c r="F651" s="1477" t="s">
        <v>532</v>
      </c>
      <c r="G651" s="498" t="s">
        <v>2038</v>
      </c>
      <c r="H651" s="498"/>
      <c r="I651" s="138" t="s">
        <v>1721</v>
      </c>
    </row>
    <row r="652" spans="1:9" s="138" customFormat="1" ht="24.75" customHeight="1">
      <c r="A652" s="479">
        <v>74</v>
      </c>
      <c r="B652" s="251" t="s">
        <v>749</v>
      </c>
      <c r="C652" s="490">
        <v>1</v>
      </c>
      <c r="D652" s="454">
        <v>25800</v>
      </c>
      <c r="E652" s="328">
        <f>+C652*D652</f>
        <v>25800</v>
      </c>
      <c r="F652" s="1477" t="s">
        <v>532</v>
      </c>
      <c r="G652" s="498" t="s">
        <v>2038</v>
      </c>
      <c r="H652" s="498"/>
      <c r="I652" s="138" t="s">
        <v>1721</v>
      </c>
    </row>
    <row r="653" spans="1:9" s="138" customFormat="1">
      <c r="A653" s="479">
        <v>75</v>
      </c>
      <c r="B653" s="251" t="s">
        <v>1440</v>
      </c>
      <c r="C653" s="215">
        <v>1</v>
      </c>
      <c r="D653" s="1583">
        <v>4999040</v>
      </c>
      <c r="E653" s="328">
        <f>+C653*D653</f>
        <v>4999040</v>
      </c>
      <c r="F653" s="1477" t="s">
        <v>532</v>
      </c>
      <c r="G653" s="498" t="s">
        <v>2038</v>
      </c>
      <c r="H653" s="498"/>
      <c r="I653" s="138" t="s">
        <v>1721</v>
      </c>
    </row>
    <row r="654" spans="1:9">
      <c r="A654" s="215">
        <v>76</v>
      </c>
      <c r="B654" s="305" t="s">
        <v>1628</v>
      </c>
      <c r="C654" s="306">
        <v>10</v>
      </c>
      <c r="D654" s="1841">
        <v>6500</v>
      </c>
      <c r="E654" s="1904">
        <f t="shared" ref="E654:E664" si="25">C654*D654</f>
        <v>65000</v>
      </c>
      <c r="F654" s="1856" t="s">
        <v>1629</v>
      </c>
      <c r="G654" s="2494" t="s">
        <v>2038</v>
      </c>
      <c r="H654" s="2494"/>
    </row>
    <row r="655" spans="1:9">
      <c r="A655" s="479">
        <v>77</v>
      </c>
      <c r="B655" s="305" t="s">
        <v>1630</v>
      </c>
      <c r="C655" s="306">
        <v>25</v>
      </c>
      <c r="D655" s="1841">
        <v>7500</v>
      </c>
      <c r="E655" s="1904">
        <f t="shared" si="25"/>
        <v>187500</v>
      </c>
      <c r="F655" s="1856" t="s">
        <v>1629</v>
      </c>
      <c r="G655" s="2494" t="s">
        <v>2038</v>
      </c>
      <c r="H655" s="2494"/>
    </row>
    <row r="656" spans="1:9">
      <c r="A656" s="479">
        <v>78</v>
      </c>
      <c r="B656" s="305" t="s">
        <v>1631</v>
      </c>
      <c r="C656" s="306">
        <v>1</v>
      </c>
      <c r="D656" s="1904">
        <v>10000</v>
      </c>
      <c r="E656" s="1904">
        <f t="shared" si="25"/>
        <v>10000</v>
      </c>
      <c r="F656" s="305" t="s">
        <v>1632</v>
      </c>
      <c r="G656" s="2494" t="s">
        <v>2038</v>
      </c>
      <c r="H656" s="2494"/>
    </row>
    <row r="657" spans="1:10">
      <c r="A657" s="215">
        <v>79</v>
      </c>
      <c r="B657" s="305" t="s">
        <v>1633</v>
      </c>
      <c r="C657" s="306">
        <v>1</v>
      </c>
      <c r="D657" s="1841">
        <v>200000</v>
      </c>
      <c r="E657" s="1904">
        <f t="shared" si="25"/>
        <v>200000</v>
      </c>
      <c r="F657" s="1856" t="s">
        <v>1629</v>
      </c>
      <c r="G657" s="2494" t="s">
        <v>2038</v>
      </c>
      <c r="H657" s="2494"/>
    </row>
    <row r="658" spans="1:10">
      <c r="A658" s="479">
        <v>80</v>
      </c>
      <c r="B658" s="305" t="s">
        <v>1634</v>
      </c>
      <c r="C658" s="306">
        <v>70</v>
      </c>
      <c r="D658" s="1841">
        <v>36000</v>
      </c>
      <c r="E658" s="1904">
        <f t="shared" si="25"/>
        <v>2520000</v>
      </c>
      <c r="F658" s="1856" t="s">
        <v>1629</v>
      </c>
      <c r="G658" s="2494" t="s">
        <v>2038</v>
      </c>
      <c r="H658" s="2494"/>
    </row>
    <row r="659" spans="1:10">
      <c r="A659" s="479">
        <v>81</v>
      </c>
      <c r="B659" s="305" t="s">
        <v>1635</v>
      </c>
      <c r="C659" s="306">
        <v>1</v>
      </c>
      <c r="D659" s="1841">
        <v>1000000</v>
      </c>
      <c r="E659" s="1904">
        <f t="shared" si="25"/>
        <v>1000000</v>
      </c>
      <c r="F659" s="1856" t="s">
        <v>1629</v>
      </c>
      <c r="G659" s="2494" t="s">
        <v>2038</v>
      </c>
      <c r="H659" s="2494"/>
    </row>
    <row r="660" spans="1:10">
      <c r="A660" s="215">
        <v>82</v>
      </c>
      <c r="B660" s="390" t="s">
        <v>1636</v>
      </c>
      <c r="C660" s="479">
        <v>2</v>
      </c>
      <c r="D660" s="1983">
        <v>100000</v>
      </c>
      <c r="E660" s="1904">
        <f t="shared" si="25"/>
        <v>200000</v>
      </c>
      <c r="F660" s="2423" t="s">
        <v>1532</v>
      </c>
      <c r="G660" s="2494" t="s">
        <v>2038</v>
      </c>
      <c r="H660" s="2494"/>
    </row>
    <row r="661" spans="1:10">
      <c r="A661" s="479">
        <v>83</v>
      </c>
      <c r="B661" s="221" t="s">
        <v>1637</v>
      </c>
      <c r="C661" s="310">
        <v>4</v>
      </c>
      <c r="D661" s="1907">
        <v>6500</v>
      </c>
      <c r="E661" s="1904">
        <f t="shared" si="25"/>
        <v>26000</v>
      </c>
      <c r="F661" s="1908" t="s">
        <v>1629</v>
      </c>
      <c r="G661" s="2494" t="s">
        <v>2038</v>
      </c>
      <c r="H661" s="2494"/>
    </row>
    <row r="662" spans="1:10">
      <c r="A662" s="479">
        <v>84</v>
      </c>
      <c r="B662" s="305" t="s">
        <v>1638</v>
      </c>
      <c r="C662" s="306">
        <v>35</v>
      </c>
      <c r="D662" s="1841">
        <v>10700</v>
      </c>
      <c r="E662" s="1904">
        <f t="shared" si="25"/>
        <v>374500</v>
      </c>
      <c r="F662" s="1856" t="s">
        <v>1629</v>
      </c>
      <c r="G662" s="2494" t="s">
        <v>2038</v>
      </c>
      <c r="H662" s="2494"/>
    </row>
    <row r="663" spans="1:10">
      <c r="A663" s="215">
        <v>85</v>
      </c>
      <c r="B663" s="305" t="s">
        <v>1639</v>
      </c>
      <c r="C663" s="306">
        <v>1</v>
      </c>
      <c r="D663" s="1841">
        <v>2750000</v>
      </c>
      <c r="E663" s="1904">
        <f t="shared" si="25"/>
        <v>2750000</v>
      </c>
      <c r="F663" s="1856" t="s">
        <v>1629</v>
      </c>
      <c r="G663" s="2494" t="s">
        <v>2038</v>
      </c>
      <c r="H663" s="2494"/>
    </row>
    <row r="664" spans="1:10">
      <c r="A664" s="479">
        <v>86</v>
      </c>
      <c r="B664" s="305" t="s">
        <v>1641</v>
      </c>
      <c r="C664" s="306">
        <v>1</v>
      </c>
      <c r="D664" s="1841">
        <v>51360</v>
      </c>
      <c r="E664" s="1904">
        <f t="shared" si="25"/>
        <v>51360</v>
      </c>
      <c r="F664" s="305" t="s">
        <v>1571</v>
      </c>
      <c r="G664" s="2494" t="s">
        <v>2038</v>
      </c>
      <c r="H664" s="2494"/>
    </row>
    <row r="665" spans="1:10">
      <c r="A665" s="479">
        <v>87</v>
      </c>
      <c r="B665" s="2483" t="s">
        <v>1962</v>
      </c>
      <c r="C665" s="2484">
        <v>148</v>
      </c>
      <c r="D665" s="2484"/>
      <c r="E665" s="2485">
        <v>3200000</v>
      </c>
      <c r="F665" s="478" t="s">
        <v>416</v>
      </c>
      <c r="G665" s="2483" t="s">
        <v>2038</v>
      </c>
      <c r="H665" s="2483"/>
    </row>
    <row r="666" spans="1:10">
      <c r="A666" s="215">
        <v>88</v>
      </c>
      <c r="B666" s="2483" t="s">
        <v>1963</v>
      </c>
      <c r="C666" s="2484">
        <v>1</v>
      </c>
      <c r="D666" s="2484"/>
      <c r="E666" s="2485">
        <v>2600000</v>
      </c>
      <c r="F666" s="478" t="s">
        <v>416</v>
      </c>
      <c r="G666" s="2483" t="s">
        <v>2038</v>
      </c>
      <c r="H666" s="2483"/>
    </row>
    <row r="667" spans="1:10">
      <c r="A667" s="479">
        <v>89</v>
      </c>
      <c r="B667" s="2487" t="s">
        <v>1964</v>
      </c>
      <c r="C667" s="2484">
        <v>240</v>
      </c>
      <c r="D667" s="2484"/>
      <c r="E667" s="2485">
        <v>1000000</v>
      </c>
      <c r="F667" s="478" t="s">
        <v>416</v>
      </c>
      <c r="G667" s="2483" t="s">
        <v>2038</v>
      </c>
      <c r="H667" s="2483"/>
    </row>
    <row r="668" spans="1:10">
      <c r="A668" s="479">
        <v>90</v>
      </c>
      <c r="B668" s="2483" t="s">
        <v>1965</v>
      </c>
      <c r="C668" s="2484">
        <v>7</v>
      </c>
      <c r="D668" s="2485">
        <v>65000</v>
      </c>
      <c r="E668" s="2488">
        <f>+C668*D668</f>
        <v>455000</v>
      </c>
      <c r="F668" s="478" t="s">
        <v>416</v>
      </c>
      <c r="G668" s="2483" t="s">
        <v>2038</v>
      </c>
      <c r="H668" s="2483"/>
    </row>
    <row r="669" spans="1:10">
      <c r="A669" s="215">
        <v>91</v>
      </c>
      <c r="B669" s="478" t="s">
        <v>1754</v>
      </c>
      <c r="C669" s="479">
        <v>1</v>
      </c>
      <c r="D669" s="1537">
        <v>23114.1</v>
      </c>
      <c r="E669" s="1537">
        <v>23114.1</v>
      </c>
      <c r="F669" s="478" t="s">
        <v>416</v>
      </c>
      <c r="G669" s="2483" t="s">
        <v>2038</v>
      </c>
      <c r="H669" s="2483"/>
      <c r="I669" s="2461" t="s">
        <v>2346</v>
      </c>
      <c r="J669" s="19" t="s">
        <v>1905</v>
      </c>
    </row>
    <row r="670" spans="1:10">
      <c r="A670" s="479">
        <v>92</v>
      </c>
      <c r="B670" s="478" t="s">
        <v>1821</v>
      </c>
      <c r="C670" s="479">
        <v>15</v>
      </c>
      <c r="D670" s="1537">
        <v>2300.5</v>
      </c>
      <c r="E670" s="1537">
        <v>34507.5</v>
      </c>
      <c r="F670" s="478" t="s">
        <v>1889</v>
      </c>
      <c r="G670" s="2483" t="s">
        <v>2038</v>
      </c>
      <c r="H670" s="2483"/>
      <c r="I670" s="2461" t="s">
        <v>2398</v>
      </c>
      <c r="J670" s="19" t="s">
        <v>1905</v>
      </c>
    </row>
    <row r="671" spans="1:10">
      <c r="A671" s="479">
        <v>93</v>
      </c>
      <c r="B671" s="478" t="s">
        <v>1836</v>
      </c>
      <c r="C671" s="479">
        <v>3</v>
      </c>
      <c r="D671" s="1537">
        <v>5885</v>
      </c>
      <c r="E671" s="1537">
        <v>17655</v>
      </c>
      <c r="F671" s="478" t="s">
        <v>416</v>
      </c>
      <c r="G671" s="2483" t="s">
        <v>2038</v>
      </c>
      <c r="H671" s="2483"/>
      <c r="I671" s="2461" t="s">
        <v>2409</v>
      </c>
      <c r="J671" s="19" t="s">
        <v>1905</v>
      </c>
    </row>
    <row r="672" spans="1:10">
      <c r="A672" s="215">
        <v>94</v>
      </c>
      <c r="B672" s="478" t="s">
        <v>1838</v>
      </c>
      <c r="C672" s="479">
        <v>4</v>
      </c>
      <c r="D672" s="1537">
        <v>5638.9</v>
      </c>
      <c r="E672" s="1537">
        <v>22555.599999999999</v>
      </c>
      <c r="F672" s="478" t="s">
        <v>416</v>
      </c>
      <c r="G672" s="2483" t="s">
        <v>2038</v>
      </c>
      <c r="H672" s="2483"/>
      <c r="I672" s="2461" t="s">
        <v>2411</v>
      </c>
      <c r="J672" s="19" t="s">
        <v>1905</v>
      </c>
    </row>
    <row r="673" spans="1:10">
      <c r="A673" s="479">
        <v>95</v>
      </c>
      <c r="B673" s="478" t="s">
        <v>1845</v>
      </c>
      <c r="C673" s="479">
        <v>10</v>
      </c>
      <c r="D673" s="1537">
        <v>27820</v>
      </c>
      <c r="E673" s="1537">
        <v>278200</v>
      </c>
      <c r="F673" s="2482" t="s">
        <v>416</v>
      </c>
      <c r="G673" s="2483" t="s">
        <v>2038</v>
      </c>
      <c r="H673" s="2483"/>
      <c r="I673" s="2461" t="s">
        <v>2418</v>
      </c>
      <c r="J673" s="19" t="s">
        <v>1905</v>
      </c>
    </row>
    <row r="674" spans="1:10">
      <c r="A674" s="479">
        <v>96</v>
      </c>
      <c r="B674" s="478" t="s">
        <v>1858</v>
      </c>
      <c r="C674" s="479">
        <v>5</v>
      </c>
      <c r="D674" s="1537">
        <v>2889</v>
      </c>
      <c r="E674" s="1537">
        <v>14445</v>
      </c>
      <c r="F674" s="478" t="s">
        <v>416</v>
      </c>
      <c r="G674" s="2483" t="s">
        <v>2038</v>
      </c>
      <c r="H674" s="2483"/>
      <c r="I674" s="2461" t="s">
        <v>2435</v>
      </c>
      <c r="J674" s="19" t="s">
        <v>1905</v>
      </c>
    </row>
    <row r="675" spans="1:10">
      <c r="A675" s="215">
        <v>97</v>
      </c>
      <c r="B675" s="478" t="s">
        <v>1859</v>
      </c>
      <c r="C675" s="479">
        <v>1</v>
      </c>
      <c r="D675" s="1537">
        <v>5885</v>
      </c>
      <c r="E675" s="1537">
        <v>5885</v>
      </c>
      <c r="F675" s="478" t="s">
        <v>614</v>
      </c>
      <c r="G675" s="2483" t="s">
        <v>2038</v>
      </c>
      <c r="H675" s="2483"/>
      <c r="I675" s="2461" t="s">
        <v>2436</v>
      </c>
      <c r="J675" s="19" t="s">
        <v>1905</v>
      </c>
    </row>
    <row r="676" spans="1:10">
      <c r="A676" s="479">
        <v>98</v>
      </c>
      <c r="B676" s="478" t="s">
        <v>1860</v>
      </c>
      <c r="C676" s="479">
        <v>1</v>
      </c>
      <c r="D676" s="1537">
        <v>2300.5</v>
      </c>
      <c r="E676" s="1537">
        <v>2300.5</v>
      </c>
      <c r="F676" s="478" t="s">
        <v>614</v>
      </c>
      <c r="G676" s="2483" t="s">
        <v>2038</v>
      </c>
      <c r="H676" s="2483"/>
      <c r="I676" s="2461" t="s">
        <v>2436</v>
      </c>
      <c r="J676" s="19" t="s">
        <v>1905</v>
      </c>
    </row>
    <row r="677" spans="1:10">
      <c r="A677" s="479">
        <v>99</v>
      </c>
      <c r="B677" s="478" t="s">
        <v>969</v>
      </c>
      <c r="C677" s="479">
        <v>5</v>
      </c>
      <c r="D677" s="1537">
        <v>27820</v>
      </c>
      <c r="E677" s="1537">
        <v>139100</v>
      </c>
      <c r="F677" s="478" t="s">
        <v>416</v>
      </c>
      <c r="G677" s="2483" t="s">
        <v>2038</v>
      </c>
      <c r="H677" s="2483"/>
      <c r="I677" s="2461" t="s">
        <v>2442</v>
      </c>
      <c r="J677" s="19" t="s">
        <v>1905</v>
      </c>
    </row>
    <row r="678" spans="1:10">
      <c r="A678" s="215">
        <v>100</v>
      </c>
      <c r="B678" s="478" t="s">
        <v>1771</v>
      </c>
      <c r="C678" s="479">
        <v>1</v>
      </c>
      <c r="D678" s="1537">
        <v>444906</v>
      </c>
      <c r="E678" s="1537">
        <v>444906</v>
      </c>
      <c r="F678" s="478" t="s">
        <v>584</v>
      </c>
      <c r="G678" s="2483" t="s">
        <v>2038</v>
      </c>
      <c r="H678" s="2483"/>
      <c r="I678" s="2461" t="s">
        <v>2289</v>
      </c>
      <c r="J678" s="19" t="s">
        <v>1905</v>
      </c>
    </row>
    <row r="679" spans="1:10">
      <c r="A679" s="479">
        <v>101</v>
      </c>
      <c r="B679" s="478" t="s">
        <v>1800</v>
      </c>
      <c r="C679" s="479">
        <v>1</v>
      </c>
      <c r="D679" s="1537">
        <v>46855.3</v>
      </c>
      <c r="E679" s="1537">
        <v>46855.3</v>
      </c>
      <c r="F679" s="478" t="s">
        <v>614</v>
      </c>
      <c r="G679" s="2483" t="s">
        <v>2038</v>
      </c>
      <c r="H679" s="2483"/>
      <c r="I679" s="2461" t="s">
        <v>2379</v>
      </c>
      <c r="J679" s="19" t="s">
        <v>1905</v>
      </c>
    </row>
    <row r="680" spans="1:10">
      <c r="A680" s="479">
        <v>102</v>
      </c>
      <c r="B680" s="478" t="s">
        <v>1809</v>
      </c>
      <c r="C680" s="479">
        <v>4</v>
      </c>
      <c r="D680" s="1537">
        <v>3638</v>
      </c>
      <c r="E680" s="1537">
        <v>14552</v>
      </c>
      <c r="F680" s="478" t="s">
        <v>1885</v>
      </c>
      <c r="G680" s="2483" t="s">
        <v>2038</v>
      </c>
      <c r="H680" s="2483"/>
      <c r="I680" s="2461" t="s">
        <v>2389</v>
      </c>
      <c r="J680" s="19" t="s">
        <v>1905</v>
      </c>
    </row>
    <row r="681" spans="1:10">
      <c r="A681" s="215">
        <v>103</v>
      </c>
      <c r="B681" s="478" t="s">
        <v>1817</v>
      </c>
      <c r="C681" s="479">
        <v>20</v>
      </c>
      <c r="D681" s="1537">
        <v>1449</v>
      </c>
      <c r="E681" s="1537">
        <v>28980</v>
      </c>
      <c r="F681" s="478" t="s">
        <v>1887</v>
      </c>
      <c r="G681" s="2483" t="s">
        <v>2038</v>
      </c>
      <c r="H681" s="2483"/>
      <c r="I681" s="2461" t="s">
        <v>2392</v>
      </c>
      <c r="J681" s="19" t="s">
        <v>1905</v>
      </c>
    </row>
    <row r="682" spans="1:10">
      <c r="A682" s="479">
        <v>104</v>
      </c>
      <c r="B682" s="478" t="s">
        <v>1993</v>
      </c>
      <c r="C682" s="479">
        <v>2</v>
      </c>
      <c r="D682" s="1537">
        <v>81748</v>
      </c>
      <c r="E682" s="1537">
        <f>C682*D682</f>
        <v>163496</v>
      </c>
      <c r="F682" s="478" t="s">
        <v>416</v>
      </c>
      <c r="G682" s="2483" t="s">
        <v>2038</v>
      </c>
      <c r="H682" s="2483"/>
      <c r="I682" s="2461" t="s">
        <v>2451</v>
      </c>
      <c r="J682" s="19" t="s">
        <v>1905</v>
      </c>
    </row>
    <row r="683" spans="1:10">
      <c r="A683" s="479">
        <v>105</v>
      </c>
      <c r="B683" s="478" t="s">
        <v>1995</v>
      </c>
      <c r="C683" s="479">
        <v>2</v>
      </c>
      <c r="D683" s="1537">
        <v>27820</v>
      </c>
      <c r="E683" s="1537">
        <f>C683*D683</f>
        <v>55640</v>
      </c>
      <c r="F683" s="478" t="s">
        <v>416</v>
      </c>
      <c r="G683" s="2483" t="s">
        <v>2038</v>
      </c>
      <c r="H683" s="2483"/>
      <c r="I683" s="2461" t="s">
        <v>2453</v>
      </c>
      <c r="J683" s="19" t="s">
        <v>1905</v>
      </c>
    </row>
    <row r="684" spans="1:10">
      <c r="A684" s="215">
        <v>106</v>
      </c>
      <c r="B684" s="478" t="s">
        <v>1996</v>
      </c>
      <c r="C684" s="479">
        <v>10</v>
      </c>
      <c r="D684" s="1537">
        <v>5885</v>
      </c>
      <c r="E684" s="1537">
        <f>C684*D684</f>
        <v>58850</v>
      </c>
      <c r="F684" s="478" t="s">
        <v>416</v>
      </c>
      <c r="G684" s="2483" t="s">
        <v>2038</v>
      </c>
      <c r="H684" s="2483"/>
      <c r="I684" s="2461" t="s">
        <v>2454</v>
      </c>
      <c r="J684" s="19" t="s">
        <v>1905</v>
      </c>
    </row>
    <row r="685" spans="1:10">
      <c r="A685" s="479">
        <v>107</v>
      </c>
      <c r="B685" s="478" t="s">
        <v>1997</v>
      </c>
      <c r="C685" s="479">
        <v>2</v>
      </c>
      <c r="D685" s="1537">
        <v>10272</v>
      </c>
      <c r="E685" s="1537">
        <f>C685*D685</f>
        <v>20544</v>
      </c>
      <c r="F685" s="478" t="s">
        <v>416</v>
      </c>
      <c r="G685" s="2483" t="s">
        <v>2038</v>
      </c>
      <c r="H685" s="2483"/>
      <c r="I685" s="2461" t="s">
        <v>2455</v>
      </c>
      <c r="J685" s="19" t="s">
        <v>1905</v>
      </c>
    </row>
    <row r="686" spans="1:10">
      <c r="A686" s="479">
        <v>108</v>
      </c>
      <c r="B686" s="478" t="s">
        <v>915</v>
      </c>
      <c r="C686" s="479">
        <v>1</v>
      </c>
      <c r="D686" s="1537">
        <v>2878.3</v>
      </c>
      <c r="E686" s="1537">
        <f>C686*D686</f>
        <v>2878.3</v>
      </c>
      <c r="F686" s="478" t="s">
        <v>614</v>
      </c>
      <c r="G686" s="2483" t="s">
        <v>2038</v>
      </c>
      <c r="H686" s="2483"/>
      <c r="I686" s="2461" t="s">
        <v>2465</v>
      </c>
      <c r="J686" s="19" t="s">
        <v>1905</v>
      </c>
    </row>
    <row r="687" spans="1:10">
      <c r="A687" s="215">
        <v>109</v>
      </c>
      <c r="B687" s="478" t="s">
        <v>2043</v>
      </c>
      <c r="C687" s="479">
        <v>1</v>
      </c>
      <c r="D687" s="1537">
        <f>22000+4100+2200+300+300+2023</f>
        <v>30923</v>
      </c>
      <c r="E687" s="1537">
        <f t="shared" ref="E687:E692" si="26">+C687*D687</f>
        <v>30923</v>
      </c>
      <c r="F687" s="478" t="s">
        <v>1436</v>
      </c>
      <c r="G687" s="2483" t="s">
        <v>2038</v>
      </c>
      <c r="H687" s="2483"/>
      <c r="I687" s="2461" t="s">
        <v>2160</v>
      </c>
      <c r="J687" s="19" t="s">
        <v>490</v>
      </c>
    </row>
    <row r="688" spans="1:10">
      <c r="A688" s="479">
        <v>110</v>
      </c>
      <c r="B688" s="478" t="s">
        <v>2044</v>
      </c>
      <c r="C688" s="479">
        <v>1</v>
      </c>
      <c r="D688" s="1537">
        <f>27600+800+1000+2058</f>
        <v>31458</v>
      </c>
      <c r="E688" s="1537">
        <f t="shared" si="26"/>
        <v>31458</v>
      </c>
      <c r="F688" s="478" t="s">
        <v>1436</v>
      </c>
      <c r="G688" s="2483" t="s">
        <v>2038</v>
      </c>
      <c r="H688" s="2483"/>
      <c r="I688" s="2461" t="s">
        <v>2160</v>
      </c>
      <c r="J688" s="19" t="s">
        <v>490</v>
      </c>
    </row>
    <row r="689" spans="1:10">
      <c r="A689" s="479">
        <v>111</v>
      </c>
      <c r="B689" s="478" t="s">
        <v>2045</v>
      </c>
      <c r="C689" s="479">
        <v>9</v>
      </c>
      <c r="D689" s="1537">
        <v>2300.5</v>
      </c>
      <c r="E689" s="1537">
        <f t="shared" si="26"/>
        <v>20704.5</v>
      </c>
      <c r="F689" s="478" t="s">
        <v>416</v>
      </c>
      <c r="G689" s="2483" t="s">
        <v>2038</v>
      </c>
      <c r="H689" s="2483"/>
      <c r="I689" s="2461" t="s">
        <v>2161</v>
      </c>
      <c r="J689" s="19" t="s">
        <v>490</v>
      </c>
    </row>
    <row r="690" spans="1:10">
      <c r="A690" s="215">
        <v>112</v>
      </c>
      <c r="B690" s="478" t="s">
        <v>2046</v>
      </c>
      <c r="C690" s="479">
        <v>2</v>
      </c>
      <c r="D690" s="1537">
        <v>14980</v>
      </c>
      <c r="E690" s="1537">
        <f t="shared" si="26"/>
        <v>29960</v>
      </c>
      <c r="F690" s="478" t="s">
        <v>584</v>
      </c>
      <c r="G690" s="2483" t="s">
        <v>2038</v>
      </c>
      <c r="H690" s="2483"/>
      <c r="I690" s="2461" t="s">
        <v>2162</v>
      </c>
      <c r="J690" s="19" t="s">
        <v>490</v>
      </c>
    </row>
    <row r="691" spans="1:10">
      <c r="A691" s="479">
        <v>113</v>
      </c>
      <c r="B691" s="478" t="s">
        <v>2048</v>
      </c>
      <c r="C691" s="479">
        <v>6</v>
      </c>
      <c r="D691" s="1537">
        <v>23433</v>
      </c>
      <c r="E691" s="1537">
        <f t="shared" si="26"/>
        <v>140598</v>
      </c>
      <c r="F691" s="478" t="s">
        <v>2005</v>
      </c>
      <c r="G691" s="2483" t="s">
        <v>2038</v>
      </c>
      <c r="H691" s="2483"/>
      <c r="I691" s="2461" t="s">
        <v>2165</v>
      </c>
      <c r="J691" s="19" t="s">
        <v>490</v>
      </c>
    </row>
    <row r="692" spans="1:10">
      <c r="A692" s="479">
        <v>114</v>
      </c>
      <c r="B692" s="478" t="s">
        <v>2058</v>
      </c>
      <c r="C692" s="479">
        <v>1</v>
      </c>
      <c r="D692" s="1537">
        <v>15515</v>
      </c>
      <c r="E692" s="1537">
        <f t="shared" si="26"/>
        <v>15515</v>
      </c>
      <c r="F692" s="478" t="s">
        <v>416</v>
      </c>
      <c r="G692" s="2483" t="s">
        <v>2038</v>
      </c>
      <c r="H692" s="2483"/>
      <c r="I692" s="2461" t="s">
        <v>2172</v>
      </c>
      <c r="J692" s="19" t="s">
        <v>490</v>
      </c>
    </row>
    <row r="693" spans="1:10">
      <c r="A693" s="215">
        <v>115</v>
      </c>
      <c r="B693" s="478" t="s">
        <v>2059</v>
      </c>
      <c r="C693" s="479">
        <v>6</v>
      </c>
      <c r="D693" s="307"/>
      <c r="E693" s="307">
        <v>16627</v>
      </c>
      <c r="F693" s="478" t="s">
        <v>416</v>
      </c>
      <c r="G693" s="2483" t="s">
        <v>2038</v>
      </c>
      <c r="H693" s="2483"/>
      <c r="I693" s="2461" t="s">
        <v>2173</v>
      </c>
      <c r="J693" s="19" t="s">
        <v>490</v>
      </c>
    </row>
    <row r="694" spans="1:10">
      <c r="A694" s="479">
        <v>116</v>
      </c>
      <c r="B694" s="478" t="s">
        <v>1371</v>
      </c>
      <c r="C694" s="479">
        <v>1</v>
      </c>
      <c r="D694" s="1537">
        <v>272475.5</v>
      </c>
      <c r="E694" s="1537">
        <f>C694*D694</f>
        <v>272475.5</v>
      </c>
      <c r="F694" s="478" t="s">
        <v>416</v>
      </c>
      <c r="G694" s="2483" t="s">
        <v>2038</v>
      </c>
      <c r="H694" s="2483"/>
      <c r="I694" s="2462" t="s">
        <v>2178</v>
      </c>
      <c r="J694" s="19" t="s">
        <v>490</v>
      </c>
    </row>
    <row r="695" spans="1:10">
      <c r="A695" s="479">
        <v>117</v>
      </c>
      <c r="B695" s="478" t="s">
        <v>2084</v>
      </c>
      <c r="C695" s="479">
        <v>2</v>
      </c>
      <c r="D695" s="1537">
        <v>33705</v>
      </c>
      <c r="E695" s="1537">
        <f>C695*D695</f>
        <v>67410</v>
      </c>
      <c r="F695" s="478" t="s">
        <v>416</v>
      </c>
      <c r="G695" s="2483" t="s">
        <v>2038</v>
      </c>
      <c r="H695" s="2483"/>
      <c r="I695" s="2461" t="s">
        <v>2205</v>
      </c>
      <c r="J695" s="19" t="s">
        <v>490</v>
      </c>
    </row>
    <row r="696" spans="1:10">
      <c r="A696" s="215">
        <v>118</v>
      </c>
      <c r="B696" s="478" t="s">
        <v>2085</v>
      </c>
      <c r="C696" s="479">
        <v>1</v>
      </c>
      <c r="D696" s="1537">
        <v>46866</v>
      </c>
      <c r="E696" s="1537">
        <f>C696*D696</f>
        <v>46866</v>
      </c>
      <c r="F696" s="478" t="s">
        <v>416</v>
      </c>
      <c r="G696" s="2483" t="s">
        <v>2038</v>
      </c>
      <c r="H696" s="2483"/>
      <c r="I696" s="2461" t="s">
        <v>2206</v>
      </c>
      <c r="J696" s="19" t="s">
        <v>490</v>
      </c>
    </row>
    <row r="697" spans="1:10">
      <c r="A697" s="479">
        <v>119</v>
      </c>
      <c r="B697" s="478" t="s">
        <v>2045</v>
      </c>
      <c r="C697" s="479">
        <v>7</v>
      </c>
      <c r="D697" s="1537">
        <v>6741</v>
      </c>
      <c r="E697" s="1537">
        <f>C697*D697</f>
        <v>47187</v>
      </c>
      <c r="F697" s="478" t="s">
        <v>2312</v>
      </c>
      <c r="G697" s="2483" t="s">
        <v>2038</v>
      </c>
      <c r="H697" s="2483"/>
      <c r="I697" s="2461" t="s">
        <v>2208</v>
      </c>
      <c r="J697" s="19" t="s">
        <v>490</v>
      </c>
    </row>
    <row r="698" spans="1:10">
      <c r="A698" s="479">
        <v>120</v>
      </c>
      <c r="B698" s="478" t="s">
        <v>2088</v>
      </c>
      <c r="C698" s="479">
        <v>1</v>
      </c>
      <c r="D698" s="1537">
        <v>23005</v>
      </c>
      <c r="E698" s="1537">
        <f>C698*D698</f>
        <v>23005</v>
      </c>
      <c r="F698" s="478" t="s">
        <v>2312</v>
      </c>
      <c r="G698" s="2483" t="s">
        <v>2038</v>
      </c>
      <c r="H698" s="2483"/>
      <c r="I698" s="2461" t="s">
        <v>2213</v>
      </c>
      <c r="J698" s="19" t="s">
        <v>490</v>
      </c>
    </row>
    <row r="699" spans="1:10">
      <c r="A699" s="215">
        <v>121</v>
      </c>
      <c r="B699" s="478" t="s">
        <v>2102</v>
      </c>
      <c r="C699" s="479">
        <v>3</v>
      </c>
      <c r="D699" s="1537">
        <v>23005</v>
      </c>
      <c r="E699" s="1537">
        <f t="shared" ref="E699:E700" si="27">C699*D699</f>
        <v>69015</v>
      </c>
      <c r="F699" s="478" t="s">
        <v>416</v>
      </c>
      <c r="G699" s="2483" t="s">
        <v>2038</v>
      </c>
      <c r="H699" s="2483"/>
      <c r="I699" s="2461" t="s">
        <v>2227</v>
      </c>
      <c r="J699" s="19" t="s">
        <v>490</v>
      </c>
    </row>
    <row r="700" spans="1:10">
      <c r="A700" s="479">
        <v>122</v>
      </c>
      <c r="B700" s="478" t="s">
        <v>2103</v>
      </c>
      <c r="C700" s="479">
        <v>5</v>
      </c>
      <c r="D700" s="1537">
        <v>5022.58</v>
      </c>
      <c r="E700" s="1537">
        <f t="shared" si="27"/>
        <v>25112.9</v>
      </c>
      <c r="F700" s="478" t="s">
        <v>416</v>
      </c>
      <c r="G700" s="2483" t="s">
        <v>2038</v>
      </c>
      <c r="H700" s="2483"/>
      <c r="I700" s="2461" t="s">
        <v>2228</v>
      </c>
      <c r="J700" s="19" t="s">
        <v>490</v>
      </c>
    </row>
    <row r="701" spans="1:10">
      <c r="A701" s="479">
        <v>123</v>
      </c>
      <c r="B701" s="478" t="s">
        <v>2116</v>
      </c>
      <c r="C701" s="479">
        <v>2</v>
      </c>
      <c r="D701" s="1537">
        <v>10940.75</v>
      </c>
      <c r="E701" s="1537">
        <f t="shared" ref="E701" si="28">C701*D701</f>
        <v>21881.5</v>
      </c>
      <c r="F701" s="478" t="s">
        <v>2319</v>
      </c>
      <c r="G701" s="2483" t="s">
        <v>2038</v>
      </c>
      <c r="H701" s="2483"/>
      <c r="I701" s="2461" t="s">
        <v>2241</v>
      </c>
      <c r="J701" s="19" t="s">
        <v>490</v>
      </c>
    </row>
    <row r="702" spans="1:10">
      <c r="A702" s="215">
        <v>124</v>
      </c>
      <c r="B702" s="478" t="s">
        <v>969</v>
      </c>
      <c r="C702" s="479">
        <v>5</v>
      </c>
      <c r="D702" s="1537">
        <v>23433</v>
      </c>
      <c r="E702" s="1537">
        <f t="shared" ref="E702:E716" si="29">C702*D702</f>
        <v>117165</v>
      </c>
      <c r="F702" s="478" t="s">
        <v>416</v>
      </c>
      <c r="G702" s="2483" t="s">
        <v>2038</v>
      </c>
      <c r="H702" s="2483"/>
      <c r="I702" s="2461" t="s">
        <v>2249</v>
      </c>
      <c r="J702" s="19" t="s">
        <v>490</v>
      </c>
    </row>
    <row r="703" spans="1:10">
      <c r="A703" s="479">
        <v>125</v>
      </c>
      <c r="B703" s="478" t="s">
        <v>969</v>
      </c>
      <c r="C703" s="479">
        <v>15</v>
      </c>
      <c r="D703" s="1537">
        <f>24000+1680</f>
        <v>25680</v>
      </c>
      <c r="E703" s="1537">
        <f t="shared" si="29"/>
        <v>385200</v>
      </c>
      <c r="F703" s="478" t="s">
        <v>574</v>
      </c>
      <c r="G703" s="2483" t="s">
        <v>2038</v>
      </c>
      <c r="H703" s="2483"/>
      <c r="I703" s="2461" t="s">
        <v>2260</v>
      </c>
      <c r="J703" s="19" t="s">
        <v>490</v>
      </c>
    </row>
    <row r="704" spans="1:10">
      <c r="A704" s="479">
        <v>126</v>
      </c>
      <c r="B704" s="478" t="s">
        <v>2130</v>
      </c>
      <c r="C704" s="479">
        <v>15</v>
      </c>
      <c r="D704" s="1537">
        <f>2150+150.5</f>
        <v>2300.5</v>
      </c>
      <c r="E704" s="1537">
        <f t="shared" si="29"/>
        <v>34507.5</v>
      </c>
      <c r="F704" s="478" t="s">
        <v>574</v>
      </c>
      <c r="G704" s="2483" t="s">
        <v>2038</v>
      </c>
      <c r="H704" s="2483"/>
      <c r="I704" s="2461" t="s">
        <v>2260</v>
      </c>
      <c r="J704" s="19" t="s">
        <v>490</v>
      </c>
    </row>
    <row r="705" spans="1:10">
      <c r="A705" s="215">
        <v>127</v>
      </c>
      <c r="B705" s="478" t="s">
        <v>2131</v>
      </c>
      <c r="C705" s="479">
        <v>1</v>
      </c>
      <c r="D705" s="1537">
        <f>7200+504</f>
        <v>7704</v>
      </c>
      <c r="E705" s="1537">
        <f t="shared" si="29"/>
        <v>7704</v>
      </c>
      <c r="F705" s="478" t="s">
        <v>574</v>
      </c>
      <c r="G705" s="2483" t="s">
        <v>2038</v>
      </c>
      <c r="H705" s="2483"/>
      <c r="I705" s="2461" t="s">
        <v>2260</v>
      </c>
      <c r="J705" s="19" t="s">
        <v>490</v>
      </c>
    </row>
    <row r="706" spans="1:10">
      <c r="A706" s="479">
        <v>128</v>
      </c>
      <c r="B706" s="478" t="s">
        <v>2132</v>
      </c>
      <c r="C706" s="479">
        <v>2</v>
      </c>
      <c r="D706" s="1537">
        <f>5500+385</f>
        <v>5885</v>
      </c>
      <c r="E706" s="1537">
        <f t="shared" si="29"/>
        <v>11770</v>
      </c>
      <c r="F706" s="478" t="s">
        <v>574</v>
      </c>
      <c r="G706" s="2483" t="s">
        <v>2038</v>
      </c>
      <c r="H706" s="2483"/>
      <c r="I706" s="2461" t="s">
        <v>2260</v>
      </c>
      <c r="J706" s="19" t="s">
        <v>490</v>
      </c>
    </row>
    <row r="707" spans="1:10">
      <c r="A707" s="479">
        <v>129</v>
      </c>
      <c r="B707" s="478" t="s">
        <v>2133</v>
      </c>
      <c r="C707" s="479">
        <v>2</v>
      </c>
      <c r="D707" s="1537">
        <f>4500+315</f>
        <v>4815</v>
      </c>
      <c r="E707" s="1537">
        <f t="shared" si="29"/>
        <v>9630</v>
      </c>
      <c r="F707" s="478" t="s">
        <v>574</v>
      </c>
      <c r="G707" s="2483" t="s">
        <v>2038</v>
      </c>
      <c r="H707" s="2483"/>
      <c r="I707" s="2461" t="s">
        <v>2260</v>
      </c>
      <c r="J707" s="19" t="s">
        <v>490</v>
      </c>
    </row>
    <row r="708" spans="1:10">
      <c r="A708" s="215">
        <v>130</v>
      </c>
      <c r="B708" s="478" t="s">
        <v>2134</v>
      </c>
      <c r="C708" s="479">
        <v>6</v>
      </c>
      <c r="D708" s="1537">
        <f>7500+525</f>
        <v>8025</v>
      </c>
      <c r="E708" s="1537">
        <f t="shared" si="29"/>
        <v>48150</v>
      </c>
      <c r="F708" s="478" t="s">
        <v>574</v>
      </c>
      <c r="G708" s="2483" t="s">
        <v>2038</v>
      </c>
      <c r="H708" s="2483"/>
      <c r="I708" s="2461" t="s">
        <v>2260</v>
      </c>
      <c r="J708" s="19" t="s">
        <v>490</v>
      </c>
    </row>
    <row r="709" spans="1:10">
      <c r="A709" s="479">
        <v>131</v>
      </c>
      <c r="B709" s="478" t="s">
        <v>2135</v>
      </c>
      <c r="C709" s="479">
        <v>10</v>
      </c>
      <c r="D709" s="1537">
        <v>22470</v>
      </c>
      <c r="E709" s="1537">
        <f t="shared" si="29"/>
        <v>224700</v>
      </c>
      <c r="F709" s="478" t="s">
        <v>584</v>
      </c>
      <c r="G709" s="2483" t="s">
        <v>2038</v>
      </c>
      <c r="H709" s="2483"/>
      <c r="I709" s="2461" t="s">
        <v>2261</v>
      </c>
      <c r="J709" s="19" t="s">
        <v>490</v>
      </c>
    </row>
    <row r="710" spans="1:10">
      <c r="A710" s="479">
        <v>132</v>
      </c>
      <c r="B710" s="478" t="s">
        <v>2137</v>
      </c>
      <c r="C710" s="479">
        <v>3</v>
      </c>
      <c r="D710" s="1537">
        <v>24610</v>
      </c>
      <c r="E710" s="1537">
        <f t="shared" si="29"/>
        <v>73830</v>
      </c>
      <c r="F710" s="478" t="s">
        <v>416</v>
      </c>
      <c r="G710" s="2483" t="s">
        <v>2038</v>
      </c>
      <c r="H710" s="2483"/>
      <c r="I710" s="2461" t="s">
        <v>2267</v>
      </c>
      <c r="J710" s="19" t="s">
        <v>490</v>
      </c>
    </row>
    <row r="711" spans="1:10">
      <c r="A711" s="215">
        <v>133</v>
      </c>
      <c r="B711" s="478" t="s">
        <v>2045</v>
      </c>
      <c r="C711" s="479">
        <v>12</v>
      </c>
      <c r="D711" s="1537">
        <v>2300.5</v>
      </c>
      <c r="E711" s="1537">
        <f t="shared" si="29"/>
        <v>27606</v>
      </c>
      <c r="F711" s="478" t="s">
        <v>416</v>
      </c>
      <c r="G711" s="2483" t="s">
        <v>2038</v>
      </c>
      <c r="H711" s="2483"/>
      <c r="I711" s="2461" t="s">
        <v>2268</v>
      </c>
      <c r="J711" s="19" t="s">
        <v>490</v>
      </c>
    </row>
    <row r="712" spans="1:10">
      <c r="A712" s="479">
        <v>134</v>
      </c>
      <c r="B712" s="478" t="s">
        <v>2141</v>
      </c>
      <c r="C712" s="479">
        <v>10</v>
      </c>
      <c r="D712" s="1537">
        <v>5778</v>
      </c>
      <c r="E712" s="1537">
        <f t="shared" si="29"/>
        <v>57780</v>
      </c>
      <c r="F712" s="478" t="s">
        <v>416</v>
      </c>
      <c r="G712" s="2483" t="s">
        <v>2038</v>
      </c>
      <c r="H712" s="2483"/>
      <c r="I712" s="2461" t="s">
        <v>2275</v>
      </c>
      <c r="J712" s="19" t="s">
        <v>490</v>
      </c>
    </row>
    <row r="713" spans="1:10">
      <c r="A713" s="479">
        <v>135</v>
      </c>
      <c r="B713" s="478" t="s">
        <v>2142</v>
      </c>
      <c r="C713" s="479">
        <v>2</v>
      </c>
      <c r="D713" s="1537">
        <v>5671</v>
      </c>
      <c r="E713" s="1537">
        <f t="shared" si="29"/>
        <v>11342</v>
      </c>
      <c r="F713" s="478" t="s">
        <v>416</v>
      </c>
      <c r="G713" s="2483" t="s">
        <v>2038</v>
      </c>
      <c r="H713" s="2483"/>
      <c r="I713" s="2461" t="s">
        <v>2276</v>
      </c>
      <c r="J713" s="19" t="s">
        <v>490</v>
      </c>
    </row>
    <row r="714" spans="1:10">
      <c r="A714" s="215">
        <v>136</v>
      </c>
      <c r="B714" s="478" t="s">
        <v>2148</v>
      </c>
      <c r="C714" s="479">
        <v>5</v>
      </c>
      <c r="D714" s="1537">
        <v>4708</v>
      </c>
      <c r="E714" s="1537">
        <f t="shared" si="29"/>
        <v>23540</v>
      </c>
      <c r="F714" s="478" t="s">
        <v>2326</v>
      </c>
      <c r="G714" s="2483" t="s">
        <v>2038</v>
      </c>
      <c r="H714" s="2483"/>
      <c r="I714" s="2461"/>
      <c r="J714" s="19" t="s">
        <v>490</v>
      </c>
    </row>
    <row r="715" spans="1:10">
      <c r="A715" s="479">
        <v>137</v>
      </c>
      <c r="B715" s="478" t="s">
        <v>1771</v>
      </c>
      <c r="C715" s="479">
        <v>1</v>
      </c>
      <c r="D715" s="1537">
        <v>444906</v>
      </c>
      <c r="E715" s="1537">
        <f t="shared" si="29"/>
        <v>444906</v>
      </c>
      <c r="F715" s="478" t="s">
        <v>584</v>
      </c>
      <c r="G715" s="2483" t="s">
        <v>2038</v>
      </c>
      <c r="H715" s="2483"/>
      <c r="I715" s="2461" t="s">
        <v>2289</v>
      </c>
      <c r="J715" s="19" t="s">
        <v>490</v>
      </c>
    </row>
    <row r="716" spans="1:10">
      <c r="A716" s="479">
        <v>138</v>
      </c>
      <c r="B716" s="478" t="s">
        <v>2136</v>
      </c>
      <c r="C716" s="479">
        <v>1</v>
      </c>
      <c r="D716" s="1537">
        <v>14500</v>
      </c>
      <c r="E716" s="1537">
        <f t="shared" si="29"/>
        <v>14500</v>
      </c>
      <c r="F716" s="478" t="s">
        <v>471</v>
      </c>
      <c r="G716" s="2483" t="s">
        <v>2038</v>
      </c>
      <c r="H716" s="478"/>
      <c r="I716" s="2461" t="s">
        <v>2266</v>
      </c>
      <c r="J716" s="19" t="s">
        <v>490</v>
      </c>
    </row>
    <row r="717" spans="1:10" ht="21.75" thickBot="1">
      <c r="C717" s="1426"/>
      <c r="D717" s="2438"/>
      <c r="E717" s="2492">
        <f>SUM(E579:E716)</f>
        <v>55433574.466666661</v>
      </c>
      <c r="G717" s="2486"/>
      <c r="H717" s="2486"/>
    </row>
    <row r="718" spans="1:10" ht="21.75" thickTop="1">
      <c r="C718" s="1426"/>
      <c r="D718" s="2438"/>
      <c r="E718" s="2438"/>
      <c r="G718" s="2486"/>
      <c r="H718" s="2486"/>
    </row>
    <row r="719" spans="1:10">
      <c r="B719" s="2872" t="s">
        <v>1403</v>
      </c>
      <c r="C719" s="2872"/>
      <c r="D719" s="2872"/>
    </row>
    <row r="720" spans="1:10">
      <c r="A720" s="1478" t="s">
        <v>2</v>
      </c>
      <c r="B720" s="1478" t="s">
        <v>3</v>
      </c>
      <c r="C720" s="1478" t="s">
        <v>618</v>
      </c>
      <c r="D720" s="1478" t="s">
        <v>1410</v>
      </c>
      <c r="E720" s="1478" t="s">
        <v>1411</v>
      </c>
      <c r="F720" s="1478" t="s">
        <v>388</v>
      </c>
      <c r="G720" s="1478" t="s">
        <v>727</v>
      </c>
      <c r="H720" s="1478" t="s">
        <v>221</v>
      </c>
    </row>
    <row r="721" spans="1:10" s="138" customFormat="1" ht="42">
      <c r="A721" s="495">
        <v>1</v>
      </c>
      <c r="B721" s="1516" t="s">
        <v>733</v>
      </c>
      <c r="C721" s="495">
        <v>1</v>
      </c>
      <c r="D721" s="328">
        <v>2500000</v>
      </c>
      <c r="E721" s="1517">
        <f>+C721*D721</f>
        <v>2500000</v>
      </c>
      <c r="F721" s="1477" t="s">
        <v>1404</v>
      </c>
      <c r="G721" s="216" t="s">
        <v>2034</v>
      </c>
      <c r="H721" s="216"/>
      <c r="J721" s="138" t="s">
        <v>1724</v>
      </c>
    </row>
    <row r="722" spans="1:10" s="138" customFormat="1">
      <c r="A722" s="215">
        <v>2</v>
      </c>
      <c r="B722" s="498" t="s">
        <v>1726</v>
      </c>
      <c r="C722" s="495">
        <v>3</v>
      </c>
      <c r="D722" s="1474">
        <v>166500</v>
      </c>
      <c r="E722" s="1474">
        <f>+C722*D722</f>
        <v>499500</v>
      </c>
      <c r="F722" s="498" t="s">
        <v>1727</v>
      </c>
      <c r="G722" s="216" t="s">
        <v>2034</v>
      </c>
      <c r="H722" s="216"/>
    </row>
    <row r="723" spans="1:10">
      <c r="A723" s="479">
        <v>3</v>
      </c>
      <c r="B723" s="478" t="s">
        <v>2004</v>
      </c>
      <c r="C723" s="479">
        <v>5</v>
      </c>
      <c r="D723" s="1537">
        <v>16900</v>
      </c>
      <c r="E723" s="1537">
        <f t="shared" ref="E723" si="30">C723*D723</f>
        <v>84500</v>
      </c>
      <c r="F723" s="478" t="s">
        <v>471</v>
      </c>
      <c r="G723" s="216" t="s">
        <v>2034</v>
      </c>
      <c r="H723" s="478"/>
      <c r="I723" s="2461" t="s">
        <v>2464</v>
      </c>
      <c r="J723" s="19" t="s">
        <v>1905</v>
      </c>
    </row>
    <row r="724" spans="1:10" s="138" customFormat="1" ht="22.5" customHeight="1">
      <c r="A724" s="495">
        <v>4</v>
      </c>
      <c r="B724" s="216" t="s">
        <v>2078</v>
      </c>
      <c r="C724" s="215">
        <v>1</v>
      </c>
      <c r="D724" s="1538">
        <v>14600</v>
      </c>
      <c r="E724" s="1538">
        <f>C724*D724</f>
        <v>14600</v>
      </c>
      <c r="F724" s="216" t="s">
        <v>415</v>
      </c>
      <c r="G724" s="216" t="s">
        <v>728</v>
      </c>
      <c r="H724" s="216"/>
      <c r="I724" s="2462" t="s">
        <v>2196</v>
      </c>
      <c r="J724" s="138" t="s">
        <v>490</v>
      </c>
    </row>
    <row r="725" spans="1:10" s="138" customFormat="1" ht="22.5" customHeight="1">
      <c r="A725" s="215">
        <v>5</v>
      </c>
      <c r="B725" s="216" t="s">
        <v>2082</v>
      </c>
      <c r="C725" s="215">
        <v>2</v>
      </c>
      <c r="D725" s="1538">
        <v>17400</v>
      </c>
      <c r="E725" s="1538">
        <f>C725*D725</f>
        <v>34800</v>
      </c>
      <c r="F725" s="216" t="s">
        <v>415</v>
      </c>
      <c r="G725" s="216" t="s">
        <v>728</v>
      </c>
      <c r="H725" s="216"/>
      <c r="I725" s="2462" t="s">
        <v>2202</v>
      </c>
      <c r="J725" s="138" t="s">
        <v>490</v>
      </c>
    </row>
    <row r="726" spans="1:10" s="138" customFormat="1" ht="22.5" customHeight="1">
      <c r="A726" s="479">
        <v>6</v>
      </c>
      <c r="B726" s="216" t="s">
        <v>2078</v>
      </c>
      <c r="C726" s="215">
        <v>1</v>
      </c>
      <c r="D726" s="1538">
        <v>14600</v>
      </c>
      <c r="E726" s="1538">
        <f>C726*D726</f>
        <v>14600</v>
      </c>
      <c r="F726" s="216" t="s">
        <v>415</v>
      </c>
      <c r="G726" s="216" t="s">
        <v>728</v>
      </c>
      <c r="H726" s="216"/>
      <c r="I726" s="2462" t="s">
        <v>2202</v>
      </c>
      <c r="J726" s="138" t="s">
        <v>490</v>
      </c>
    </row>
    <row r="727" spans="1:10" ht="21.75" thickBot="1">
      <c r="B727" s="2873"/>
      <c r="C727" s="2873"/>
      <c r="D727" s="2873"/>
      <c r="E727" s="2458">
        <f>SUM(E721:E726)</f>
        <v>3148000</v>
      </c>
    </row>
    <row r="728" spans="1:10" ht="21.75" thickTop="1">
      <c r="B728" s="1597"/>
      <c r="C728" s="1597"/>
      <c r="D728" s="1597"/>
      <c r="E728" s="1925"/>
    </row>
    <row r="729" spans="1:10">
      <c r="A729" s="1510"/>
      <c r="B729" s="2442" t="s">
        <v>2503</v>
      </c>
      <c r="C729" s="1967"/>
      <c r="D729" s="1967"/>
      <c r="E729" s="1514"/>
      <c r="F729" s="1511"/>
      <c r="G729" s="1511"/>
      <c r="H729" s="1511"/>
    </row>
    <row r="730" spans="1:10">
      <c r="A730" s="2449" t="s">
        <v>2</v>
      </c>
      <c r="B730" s="2449" t="s">
        <v>3</v>
      </c>
      <c r="C730" s="2449" t="s">
        <v>618</v>
      </c>
      <c r="D730" s="2449" t="s">
        <v>1410</v>
      </c>
      <c r="E730" s="2449" t="s">
        <v>1411</v>
      </c>
      <c r="F730" s="2449" t="s">
        <v>388</v>
      </c>
      <c r="G730" s="2449" t="s">
        <v>727</v>
      </c>
      <c r="H730" s="1478" t="s">
        <v>221</v>
      </c>
      <c r="I730" s="2489" t="s">
        <v>2443</v>
      </c>
    </row>
    <row r="731" spans="1:10" s="478" customFormat="1">
      <c r="A731" s="479">
        <v>1</v>
      </c>
      <c r="B731" s="478" t="s">
        <v>1752</v>
      </c>
      <c r="C731" s="479">
        <v>1</v>
      </c>
      <c r="D731" s="1537">
        <v>9500</v>
      </c>
      <c r="E731" s="1537">
        <v>9500</v>
      </c>
      <c r="F731" s="478" t="s">
        <v>471</v>
      </c>
      <c r="G731" s="478" t="s">
        <v>2036</v>
      </c>
      <c r="I731" s="478" t="s">
        <v>2344</v>
      </c>
      <c r="J731" s="478" t="s">
        <v>1905</v>
      </c>
    </row>
    <row r="732" spans="1:10" s="478" customFormat="1">
      <c r="A732" s="479">
        <v>2</v>
      </c>
      <c r="B732" s="478" t="s">
        <v>1753</v>
      </c>
      <c r="C732" s="479">
        <v>1</v>
      </c>
      <c r="D732" s="1537">
        <v>44000</v>
      </c>
      <c r="E732" s="1537">
        <v>44000</v>
      </c>
      <c r="F732" s="478" t="s">
        <v>471</v>
      </c>
      <c r="G732" s="478" t="s">
        <v>2036</v>
      </c>
      <c r="I732" s="478" t="s">
        <v>2345</v>
      </c>
      <c r="J732" s="478" t="s">
        <v>1905</v>
      </c>
    </row>
    <row r="733" spans="1:10" s="478" customFormat="1">
      <c r="A733" s="479">
        <v>3</v>
      </c>
      <c r="B733" s="478" t="s">
        <v>2093</v>
      </c>
      <c r="C733" s="479">
        <v>1</v>
      </c>
      <c r="D733" s="1537">
        <v>71155</v>
      </c>
      <c r="E733" s="1537">
        <f t="shared" ref="E733" si="31">C733*D733</f>
        <v>71155</v>
      </c>
      <c r="F733" s="478" t="s">
        <v>471</v>
      </c>
      <c r="G733" s="478" t="s">
        <v>2036</v>
      </c>
      <c r="I733" s="478" t="s">
        <v>2220</v>
      </c>
      <c r="J733" s="478" t="s">
        <v>490</v>
      </c>
    </row>
    <row r="734" spans="1:10" s="478" customFormat="1">
      <c r="A734" s="479">
        <v>4</v>
      </c>
      <c r="B734" s="478" t="s">
        <v>1769</v>
      </c>
      <c r="C734" s="479">
        <v>1</v>
      </c>
      <c r="D734" s="1537">
        <v>35000</v>
      </c>
      <c r="E734" s="1537">
        <v>35000</v>
      </c>
      <c r="F734" s="478" t="s">
        <v>1436</v>
      </c>
      <c r="G734" s="478" t="s">
        <v>731</v>
      </c>
      <c r="I734" s="478" t="s">
        <v>2356</v>
      </c>
      <c r="J734" s="478" t="s">
        <v>1905</v>
      </c>
    </row>
    <row r="735" spans="1:10" s="478" customFormat="1">
      <c r="A735" s="479">
        <v>5</v>
      </c>
      <c r="B735" s="478" t="s">
        <v>893</v>
      </c>
      <c r="C735" s="479">
        <v>1</v>
      </c>
      <c r="D735" s="1537">
        <v>11663</v>
      </c>
      <c r="E735" s="1537">
        <f t="shared" ref="E735" si="32">C735*D735</f>
        <v>11663</v>
      </c>
      <c r="F735" s="478" t="s">
        <v>422</v>
      </c>
      <c r="G735" s="478" t="s">
        <v>731</v>
      </c>
      <c r="I735" s="478" t="s">
        <v>2251</v>
      </c>
      <c r="J735" s="478" t="s">
        <v>490</v>
      </c>
    </row>
    <row r="736" spans="1:10" s="478" customFormat="1">
      <c r="A736" s="479">
        <v>6</v>
      </c>
      <c r="B736" s="216" t="s">
        <v>2060</v>
      </c>
      <c r="C736" s="215">
        <v>1</v>
      </c>
      <c r="D736" s="1531">
        <v>5617.5</v>
      </c>
      <c r="E736" s="1531">
        <f>C736*D736</f>
        <v>5617.5</v>
      </c>
      <c r="F736" s="216" t="s">
        <v>2301</v>
      </c>
      <c r="G736" s="216" t="s">
        <v>2332</v>
      </c>
      <c r="H736" s="216"/>
      <c r="I736" s="216" t="s">
        <v>2174</v>
      </c>
      <c r="J736" s="478" t="s">
        <v>490</v>
      </c>
    </row>
    <row r="737" spans="1:10" s="478" customFormat="1">
      <c r="A737" s="479">
        <v>7</v>
      </c>
      <c r="B737" s="478" t="s">
        <v>2090</v>
      </c>
      <c r="C737" s="479">
        <v>1</v>
      </c>
      <c r="D737" s="1537">
        <v>11770</v>
      </c>
      <c r="E737" s="1537">
        <f>C737*D737</f>
        <v>11770</v>
      </c>
      <c r="F737" s="478" t="s">
        <v>1447</v>
      </c>
      <c r="G737" s="216" t="s">
        <v>2332</v>
      </c>
      <c r="H737" s="216"/>
      <c r="I737" s="478" t="s">
        <v>2217</v>
      </c>
      <c r="J737" s="478" t="s">
        <v>490</v>
      </c>
    </row>
    <row r="738" spans="1:10" s="478" customFormat="1">
      <c r="A738" s="479">
        <v>8</v>
      </c>
      <c r="B738" s="478" t="s">
        <v>2122</v>
      </c>
      <c r="C738" s="479">
        <v>1</v>
      </c>
      <c r="D738" s="1537">
        <v>35845</v>
      </c>
      <c r="E738" s="1537">
        <f>C738*D738</f>
        <v>35845</v>
      </c>
      <c r="F738" s="478" t="s">
        <v>2320</v>
      </c>
      <c r="G738" s="216" t="s">
        <v>2332</v>
      </c>
      <c r="H738" s="216"/>
      <c r="I738" s="478" t="s">
        <v>2252</v>
      </c>
      <c r="J738" s="478" t="s">
        <v>490</v>
      </c>
    </row>
    <row r="739" spans="1:10" s="138" customFormat="1" ht="42">
      <c r="A739" s="215">
        <v>9</v>
      </c>
      <c r="B739" s="221" t="s">
        <v>1389</v>
      </c>
      <c r="C739" s="215">
        <v>1</v>
      </c>
      <c r="D739" s="1531">
        <v>3890</v>
      </c>
      <c r="E739" s="1531">
        <v>3890</v>
      </c>
      <c r="F739" s="482" t="s">
        <v>1406</v>
      </c>
      <c r="G739" s="216" t="s">
        <v>2332</v>
      </c>
      <c r="H739" s="216"/>
      <c r="I739" s="138" t="s">
        <v>1721</v>
      </c>
    </row>
    <row r="740" spans="1:10" s="138" customFormat="1" ht="45.75" customHeight="1">
      <c r="A740" s="215">
        <v>10</v>
      </c>
      <c r="B740" s="221" t="s">
        <v>1390</v>
      </c>
      <c r="C740" s="215">
        <v>1</v>
      </c>
      <c r="D740" s="1531">
        <v>10050</v>
      </c>
      <c r="E740" s="1531">
        <v>10050</v>
      </c>
      <c r="F740" s="482" t="s">
        <v>1406</v>
      </c>
      <c r="G740" s="216" t="s">
        <v>2332</v>
      </c>
      <c r="H740" s="216"/>
      <c r="I740" s="138" t="s">
        <v>1721</v>
      </c>
    </row>
    <row r="741" spans="1:10" ht="21.75" thickBot="1">
      <c r="E741" s="2458">
        <f>SUM(E731:E740)</f>
        <v>238490.5</v>
      </c>
    </row>
    <row r="742" spans="1:10" ht="21.75" thickTop="1"/>
    <row r="744" spans="1:10">
      <c r="B744" s="1648" t="s">
        <v>1925</v>
      </c>
    </row>
    <row r="745" spans="1:10">
      <c r="A745" s="1478" t="s">
        <v>2</v>
      </c>
      <c r="B745" s="1478" t="s">
        <v>3</v>
      </c>
      <c r="C745" s="1478" t="s">
        <v>618</v>
      </c>
      <c r="D745" s="1478" t="s">
        <v>1410</v>
      </c>
      <c r="E745" s="1478" t="s">
        <v>1411</v>
      </c>
      <c r="F745" s="1478" t="s">
        <v>388</v>
      </c>
      <c r="G745" s="1478" t="s">
        <v>221</v>
      </c>
      <c r="H745" s="2403"/>
    </row>
    <row r="746" spans="1:10" ht="63">
      <c r="A746" s="215">
        <v>1</v>
      </c>
      <c r="B746" s="260" t="s">
        <v>1926</v>
      </c>
      <c r="C746" s="215">
        <v>6</v>
      </c>
      <c r="D746" s="408">
        <v>530000</v>
      </c>
      <c r="E746" s="1981">
        <f>+C746*D746</f>
        <v>3180000</v>
      </c>
      <c r="F746" s="221" t="s">
        <v>736</v>
      </c>
      <c r="G746" s="215"/>
      <c r="H746" s="1501"/>
    </row>
    <row r="747" spans="1:10">
      <c r="A747" s="215">
        <v>2</v>
      </c>
      <c r="B747" s="260" t="s">
        <v>1927</v>
      </c>
      <c r="C747" s="215">
        <v>1</v>
      </c>
      <c r="D747" s="408">
        <v>1799500</v>
      </c>
      <c r="E747" s="1981">
        <f t="shared" ref="E747:E756" si="33">+C747*D747</f>
        <v>1799500</v>
      </c>
      <c r="F747" s="221" t="s">
        <v>423</v>
      </c>
      <c r="G747" s="215"/>
      <c r="H747" s="1501"/>
    </row>
    <row r="748" spans="1:10" ht="63">
      <c r="A748" s="215">
        <v>3</v>
      </c>
      <c r="B748" s="260" t="s">
        <v>1939</v>
      </c>
      <c r="C748" s="215">
        <v>1</v>
      </c>
      <c r="D748" s="1979">
        <v>4800000</v>
      </c>
      <c r="E748" s="1981">
        <f t="shared" si="33"/>
        <v>4800000</v>
      </c>
      <c r="F748" s="221" t="s">
        <v>1934</v>
      </c>
      <c r="G748" s="1980" t="s">
        <v>1932</v>
      </c>
      <c r="H748" s="1501"/>
    </row>
    <row r="749" spans="1:10">
      <c r="A749" s="215">
        <v>4</v>
      </c>
      <c r="B749" s="1603" t="s">
        <v>1928</v>
      </c>
      <c r="C749" s="215">
        <v>1</v>
      </c>
      <c r="D749" s="408">
        <v>1585000</v>
      </c>
      <c r="E749" s="1981">
        <f t="shared" si="33"/>
        <v>1585000</v>
      </c>
      <c r="F749" s="221" t="s">
        <v>1935</v>
      </c>
      <c r="G749" s="215"/>
      <c r="H749" s="1501"/>
    </row>
    <row r="750" spans="1:10" ht="42">
      <c r="A750" s="215">
        <v>5</v>
      </c>
      <c r="B750" s="260" t="s">
        <v>1929</v>
      </c>
      <c r="C750" s="215">
        <v>1</v>
      </c>
      <c r="D750" s="257">
        <v>900000</v>
      </c>
      <c r="E750" s="1981">
        <f t="shared" si="33"/>
        <v>900000</v>
      </c>
      <c r="F750" s="221" t="s">
        <v>963</v>
      </c>
      <c r="G750" s="215"/>
      <c r="H750" s="1501"/>
    </row>
    <row r="751" spans="1:10" ht="42">
      <c r="A751" s="215">
        <v>6</v>
      </c>
      <c r="B751" s="260" t="s">
        <v>1940</v>
      </c>
      <c r="C751" s="215">
        <v>3</v>
      </c>
      <c r="D751" s="257">
        <v>160000</v>
      </c>
      <c r="E751" s="1981">
        <f t="shared" si="33"/>
        <v>480000</v>
      </c>
      <c r="F751" s="221" t="s">
        <v>963</v>
      </c>
      <c r="G751" s="215"/>
      <c r="H751" s="1501"/>
    </row>
    <row r="752" spans="1:10" ht="42">
      <c r="A752" s="215">
        <v>7</v>
      </c>
      <c r="B752" s="260" t="s">
        <v>1930</v>
      </c>
      <c r="C752" s="215">
        <v>1</v>
      </c>
      <c r="D752" s="257">
        <v>1500000</v>
      </c>
      <c r="E752" s="1981">
        <f t="shared" si="33"/>
        <v>1500000</v>
      </c>
      <c r="F752" s="221" t="s">
        <v>1936</v>
      </c>
      <c r="G752" s="215"/>
      <c r="H752" s="1501"/>
    </row>
    <row r="753" spans="1:9" ht="42">
      <c r="A753" s="215">
        <v>8</v>
      </c>
      <c r="B753" s="260" t="s">
        <v>1931</v>
      </c>
      <c r="C753" s="215">
        <v>1</v>
      </c>
      <c r="D753" s="257">
        <v>3000000</v>
      </c>
      <c r="E753" s="1981">
        <f t="shared" si="33"/>
        <v>3000000</v>
      </c>
      <c r="F753" s="221" t="s">
        <v>1937</v>
      </c>
      <c r="G753" s="215"/>
      <c r="H753" s="1501"/>
    </row>
    <row r="754" spans="1:9" ht="42">
      <c r="A754" s="215">
        <v>9</v>
      </c>
      <c r="B754" s="260" t="s">
        <v>1941</v>
      </c>
      <c r="C754" s="215">
        <v>1</v>
      </c>
      <c r="D754" s="408">
        <v>350000</v>
      </c>
      <c r="E754" s="1981">
        <f t="shared" si="33"/>
        <v>350000</v>
      </c>
      <c r="F754" s="221" t="s">
        <v>451</v>
      </c>
      <c r="G754" s="215"/>
      <c r="H754" s="1501"/>
    </row>
    <row r="755" spans="1:9" ht="42">
      <c r="A755" s="215">
        <v>10</v>
      </c>
      <c r="B755" s="260" t="s">
        <v>1942</v>
      </c>
      <c r="C755" s="215">
        <v>1</v>
      </c>
      <c r="D755" s="408">
        <v>150000</v>
      </c>
      <c r="E755" s="1981">
        <f t="shared" si="33"/>
        <v>150000</v>
      </c>
      <c r="F755" s="221" t="s">
        <v>1938</v>
      </c>
      <c r="G755" s="215"/>
      <c r="H755" s="1501"/>
    </row>
    <row r="756" spans="1:9">
      <c r="A756" s="215">
        <v>11</v>
      </c>
      <c r="B756" s="260" t="s">
        <v>842</v>
      </c>
      <c r="C756" s="215">
        <v>1</v>
      </c>
      <c r="D756" s="408">
        <v>180000</v>
      </c>
      <c r="E756" s="1981">
        <f t="shared" si="33"/>
        <v>180000</v>
      </c>
      <c r="F756" s="221" t="s">
        <v>736</v>
      </c>
      <c r="G756" s="215"/>
      <c r="H756" s="1501"/>
    </row>
    <row r="757" spans="1:9">
      <c r="E757" s="2491">
        <f>SUM(E746:E756)</f>
        <v>17924500</v>
      </c>
    </row>
    <row r="758" spans="1:9">
      <c r="B758" s="1648" t="s">
        <v>1948</v>
      </c>
      <c r="E758" s="1978"/>
    </row>
    <row r="759" spans="1:9">
      <c r="A759" s="1478" t="s">
        <v>2</v>
      </c>
      <c r="B759" s="1478" t="s">
        <v>3</v>
      </c>
      <c r="C759" s="1478" t="s">
        <v>618</v>
      </c>
      <c r="D759" s="1478" t="s">
        <v>1410</v>
      </c>
      <c r="E759" s="1478" t="s">
        <v>1411</v>
      </c>
      <c r="F759" s="1478" t="s">
        <v>388</v>
      </c>
      <c r="G759" s="1478" t="s">
        <v>221</v>
      </c>
      <c r="H759" s="2403"/>
    </row>
    <row r="760" spans="1:9">
      <c r="A760" s="479"/>
      <c r="B760" s="1982" t="s">
        <v>1943</v>
      </c>
      <c r="C760" s="1986">
        <v>1</v>
      </c>
      <c r="D760" s="1987">
        <v>369000</v>
      </c>
      <c r="E760" s="1983">
        <f>+D760*C760</f>
        <v>369000</v>
      </c>
      <c r="F760" s="478" t="s">
        <v>1947</v>
      </c>
      <c r="G760" s="478"/>
    </row>
    <row r="761" spans="1:9">
      <c r="A761" s="479"/>
      <c r="B761" s="1982" t="s">
        <v>1944</v>
      </c>
      <c r="C761" s="1986">
        <v>3</v>
      </c>
      <c r="D761" s="1987">
        <v>1670000</v>
      </c>
      <c r="E761" s="1983">
        <f t="shared" ref="E761:E762" si="34">+D761*C761</f>
        <v>5010000</v>
      </c>
      <c r="F761" s="478" t="s">
        <v>418</v>
      </c>
      <c r="G761" s="2490" t="s">
        <v>1945</v>
      </c>
    </row>
    <row r="762" spans="1:9">
      <c r="A762" s="479"/>
      <c r="B762" s="1982" t="s">
        <v>838</v>
      </c>
      <c r="C762" s="1986">
        <v>2</v>
      </c>
      <c r="D762" s="1987">
        <v>70500</v>
      </c>
      <c r="E762" s="1983">
        <f t="shared" si="34"/>
        <v>141000</v>
      </c>
      <c r="F762" s="478" t="s">
        <v>422</v>
      </c>
      <c r="G762" s="2490" t="s">
        <v>1946</v>
      </c>
    </row>
    <row r="763" spans="1:9">
      <c r="E763" s="1978">
        <f>SUM(E760:E762)</f>
        <v>5520000</v>
      </c>
    </row>
    <row r="764" spans="1:9">
      <c r="E764" s="1978"/>
    </row>
    <row r="765" spans="1:9" s="138" customFormat="1" ht="24" customHeight="1">
      <c r="A765" s="235" t="s">
        <v>2</v>
      </c>
      <c r="B765" s="235" t="s">
        <v>3</v>
      </c>
      <c r="C765" s="235" t="s">
        <v>618</v>
      </c>
      <c r="D765" s="235" t="s">
        <v>1410</v>
      </c>
      <c r="E765" s="235" t="s">
        <v>1411</v>
      </c>
      <c r="F765" s="235" t="s">
        <v>388</v>
      </c>
      <c r="G765" s="2405" t="s">
        <v>727</v>
      </c>
      <c r="H765" s="2405"/>
      <c r="I765" s="2404" t="s">
        <v>2294</v>
      </c>
    </row>
    <row r="766" spans="1:9" s="138" customFormat="1" ht="189">
      <c r="A766" s="2408">
        <v>9</v>
      </c>
      <c r="B766" s="2409" t="s">
        <v>1642</v>
      </c>
      <c r="C766" s="2408">
        <v>64</v>
      </c>
      <c r="D766" s="2410">
        <v>390</v>
      </c>
      <c r="E766" s="2411">
        <f t="shared" ref="E766:E776" si="35">+C766*D766</f>
        <v>24960</v>
      </c>
      <c r="F766" s="2412" t="s">
        <v>2021</v>
      </c>
      <c r="G766" s="2413" t="s">
        <v>1644</v>
      </c>
      <c r="H766" s="397"/>
    </row>
    <row r="767" spans="1:9" s="138" customFormat="1" ht="189">
      <c r="A767" s="2408">
        <v>10</v>
      </c>
      <c r="B767" s="2409" t="s">
        <v>1651</v>
      </c>
      <c r="C767" s="2408">
        <v>64</v>
      </c>
      <c r="D767" s="2410">
        <v>420</v>
      </c>
      <c r="E767" s="2411">
        <f t="shared" si="35"/>
        <v>26880</v>
      </c>
      <c r="F767" s="2412" t="s">
        <v>2022</v>
      </c>
      <c r="G767" s="2413" t="s">
        <v>1644</v>
      </c>
      <c r="H767" s="397"/>
    </row>
    <row r="768" spans="1:9" s="138" customFormat="1" ht="63">
      <c r="A768" s="2414">
        <v>27</v>
      </c>
      <c r="B768" s="2415" t="s">
        <v>1652</v>
      </c>
      <c r="C768" s="2414">
        <v>14</v>
      </c>
      <c r="D768" s="2416">
        <v>559</v>
      </c>
      <c r="E768" s="2416">
        <f t="shared" si="35"/>
        <v>7826</v>
      </c>
      <c r="F768" s="2417" t="s">
        <v>2024</v>
      </c>
      <c r="G768" s="2418" t="s">
        <v>1644</v>
      </c>
      <c r="H768" s="2477"/>
    </row>
    <row r="769" spans="1:8" s="138" customFormat="1" ht="168">
      <c r="A769" s="2414">
        <v>28</v>
      </c>
      <c r="B769" s="2415" t="s">
        <v>1655</v>
      </c>
      <c r="C769" s="2414">
        <v>78</v>
      </c>
      <c r="D769" s="2416">
        <v>375</v>
      </c>
      <c r="E769" s="2416">
        <f t="shared" si="35"/>
        <v>29250</v>
      </c>
      <c r="F769" s="2417" t="s">
        <v>2025</v>
      </c>
      <c r="G769" s="2418" t="s">
        <v>1644</v>
      </c>
      <c r="H769" s="2477"/>
    </row>
    <row r="770" spans="1:8" s="138" customFormat="1" ht="147">
      <c r="A770" s="2414">
        <v>29</v>
      </c>
      <c r="B770" s="2415" t="s">
        <v>1662</v>
      </c>
      <c r="C770" s="2414">
        <v>19</v>
      </c>
      <c r="D770" s="2416">
        <v>559</v>
      </c>
      <c r="E770" s="2416">
        <f t="shared" si="35"/>
        <v>10621</v>
      </c>
      <c r="F770" s="2417" t="s">
        <v>2026</v>
      </c>
      <c r="G770" s="2418" t="s">
        <v>1644</v>
      </c>
      <c r="H770" s="2477"/>
    </row>
    <row r="771" spans="1:8" s="138" customFormat="1" ht="126">
      <c r="A771" s="310">
        <v>30</v>
      </c>
      <c r="B771" s="309" t="s">
        <v>1668</v>
      </c>
      <c r="C771" s="310">
        <v>45</v>
      </c>
      <c r="D771" s="2419">
        <v>375</v>
      </c>
      <c r="E771" s="2419">
        <f t="shared" si="35"/>
        <v>16875</v>
      </c>
      <c r="F771" s="2420" t="s">
        <v>2027</v>
      </c>
      <c r="G771" s="2421" t="s">
        <v>1644</v>
      </c>
      <c r="H771" s="2477"/>
    </row>
    <row r="772" spans="1:8">
      <c r="A772" s="306">
        <v>31</v>
      </c>
      <c r="B772" s="305" t="s">
        <v>1672</v>
      </c>
      <c r="C772" s="306">
        <v>0</v>
      </c>
      <c r="D772" s="2422">
        <v>559</v>
      </c>
      <c r="E772" s="2422">
        <f t="shared" si="35"/>
        <v>0</v>
      </c>
      <c r="F772" s="1856"/>
      <c r="G772" s="2423" t="s">
        <v>1644</v>
      </c>
      <c r="H772" s="2478"/>
    </row>
    <row r="773" spans="1:8" s="138" customFormat="1" ht="84">
      <c r="A773" s="310">
        <v>32</v>
      </c>
      <c r="B773" s="2424" t="s">
        <v>1673</v>
      </c>
      <c r="C773" s="2425">
        <v>8</v>
      </c>
      <c r="D773" s="2426">
        <v>375</v>
      </c>
      <c r="E773" s="2426">
        <f t="shared" si="35"/>
        <v>3000</v>
      </c>
      <c r="F773" s="2427" t="s">
        <v>2028</v>
      </c>
      <c r="G773" s="2428" t="s">
        <v>1644</v>
      </c>
      <c r="H773" s="2477"/>
    </row>
    <row r="774" spans="1:8" s="138" customFormat="1" ht="168">
      <c r="A774" s="2429">
        <v>33</v>
      </c>
      <c r="B774" s="2415" t="s">
        <v>1676</v>
      </c>
      <c r="C774" s="2414">
        <v>30</v>
      </c>
      <c r="D774" s="2416">
        <v>4815</v>
      </c>
      <c r="E774" s="2416">
        <f t="shared" si="35"/>
        <v>144450</v>
      </c>
      <c r="F774" s="2417" t="s">
        <v>2029</v>
      </c>
      <c r="G774" s="2418" t="s">
        <v>1644</v>
      </c>
      <c r="H774" s="2477"/>
    </row>
    <row r="775" spans="1:8" s="138" customFormat="1" ht="147">
      <c r="A775" s="2414">
        <v>34</v>
      </c>
      <c r="B775" s="2430" t="s">
        <v>1680</v>
      </c>
      <c r="C775" s="2414">
        <v>22</v>
      </c>
      <c r="D775" s="2416">
        <v>450</v>
      </c>
      <c r="E775" s="2416">
        <f t="shared" si="35"/>
        <v>9900</v>
      </c>
      <c r="F775" s="2417" t="s">
        <v>2030</v>
      </c>
      <c r="G775" s="2418" t="s">
        <v>1644</v>
      </c>
      <c r="H775" s="2477"/>
    </row>
    <row r="776" spans="1:8">
      <c r="A776" s="1809">
        <v>35</v>
      </c>
      <c r="B776" s="1810" t="s">
        <v>1686</v>
      </c>
      <c r="C776" s="1809">
        <v>12</v>
      </c>
      <c r="D776" s="1855">
        <v>350</v>
      </c>
      <c r="E776" s="1855">
        <f t="shared" si="35"/>
        <v>4200</v>
      </c>
      <c r="F776" s="1812" t="s">
        <v>1532</v>
      </c>
      <c r="G776" s="1822" t="s">
        <v>1644</v>
      </c>
      <c r="H776" s="2479"/>
    </row>
    <row r="777" spans="1:8">
      <c r="A777" s="1814">
        <v>36</v>
      </c>
      <c r="B777" s="1815" t="s">
        <v>1687</v>
      </c>
      <c r="C777" s="1816">
        <v>1</v>
      </c>
      <c r="D777" s="2431">
        <v>1000</v>
      </c>
      <c r="E777" s="2431">
        <v>1000</v>
      </c>
      <c r="F777" s="1818" t="s">
        <v>1563</v>
      </c>
      <c r="G777" s="1819" t="s">
        <v>1644</v>
      </c>
      <c r="H777" s="397"/>
    </row>
    <row r="778" spans="1:8">
      <c r="A778" s="1838"/>
      <c r="B778" s="297" t="s">
        <v>479</v>
      </c>
      <c r="C778" s="1839">
        <v>8</v>
      </c>
      <c r="D778" s="1840">
        <v>2800</v>
      </c>
      <c r="E778" s="2422">
        <f>+C778*D778</f>
        <v>22400</v>
      </c>
      <c r="F778" s="478" t="s">
        <v>963</v>
      </c>
      <c r="G778" s="1843" t="s">
        <v>1688</v>
      </c>
      <c r="H778" s="397"/>
    </row>
    <row r="779" spans="1:8" s="138" customFormat="1" ht="63">
      <c r="A779" s="2414">
        <v>56</v>
      </c>
      <c r="B779" s="2415" t="s">
        <v>1689</v>
      </c>
      <c r="C779" s="2414">
        <v>8</v>
      </c>
      <c r="D779" s="2416">
        <v>2950</v>
      </c>
      <c r="E779" s="2416">
        <f>+C779*D779</f>
        <v>23600</v>
      </c>
      <c r="F779" s="2417" t="s">
        <v>2031</v>
      </c>
      <c r="G779" s="2418" t="s">
        <v>1688</v>
      </c>
      <c r="H779" s="2477"/>
    </row>
    <row r="780" spans="1:8" s="138" customFormat="1" ht="63">
      <c r="A780" s="2432">
        <v>57</v>
      </c>
      <c r="B780" s="2433" t="s">
        <v>1690</v>
      </c>
      <c r="C780" s="2432">
        <v>16</v>
      </c>
      <c r="D780" s="2434">
        <v>7760</v>
      </c>
      <c r="E780" s="2434">
        <f t="shared" ref="E780" si="36">+C780*D780</f>
        <v>124160</v>
      </c>
      <c r="F780" s="2435" t="s">
        <v>2032</v>
      </c>
      <c r="G780" s="2418" t="s">
        <v>1688</v>
      </c>
      <c r="H780" s="2477"/>
    </row>
    <row r="781" spans="1:8">
      <c r="A781" s="1809">
        <v>58</v>
      </c>
      <c r="B781" s="1810" t="s">
        <v>1077</v>
      </c>
      <c r="C781" s="1809">
        <v>4</v>
      </c>
      <c r="D781" s="1855">
        <v>10000</v>
      </c>
      <c r="E781" s="1855">
        <f>+C781*D781</f>
        <v>40000</v>
      </c>
      <c r="F781" s="1812" t="s">
        <v>1579</v>
      </c>
      <c r="G781" s="1822" t="s">
        <v>1688</v>
      </c>
      <c r="H781" s="2479"/>
    </row>
    <row r="782" spans="1:8">
      <c r="A782" s="1809">
        <v>59</v>
      </c>
      <c r="B782" s="1810" t="s">
        <v>1691</v>
      </c>
      <c r="C782" s="1809">
        <v>2</v>
      </c>
      <c r="D782" s="1855">
        <v>2500</v>
      </c>
      <c r="E782" s="1855">
        <f t="shared" ref="E782:E784" si="37">+C782*D782</f>
        <v>5000</v>
      </c>
      <c r="F782" s="1812" t="s">
        <v>1532</v>
      </c>
      <c r="G782" s="1822" t="s">
        <v>1688</v>
      </c>
      <c r="H782" s="2479"/>
    </row>
    <row r="783" spans="1:8">
      <c r="A783" s="1814">
        <v>60</v>
      </c>
      <c r="B783" s="1810" t="s">
        <v>1691</v>
      </c>
      <c r="C783" s="1809">
        <v>4</v>
      </c>
      <c r="D783" s="1855">
        <v>2500</v>
      </c>
      <c r="E783" s="1855">
        <f t="shared" si="37"/>
        <v>10000</v>
      </c>
      <c r="F783" s="1812" t="s">
        <v>1579</v>
      </c>
      <c r="G783" s="1822" t="s">
        <v>1688</v>
      </c>
      <c r="H783" s="2479"/>
    </row>
    <row r="784" spans="1:8">
      <c r="A784" s="1809">
        <v>61</v>
      </c>
      <c r="B784" s="1903" t="s">
        <v>1692</v>
      </c>
      <c r="C784" s="1809">
        <v>1</v>
      </c>
      <c r="D784" s="1821">
        <v>15000</v>
      </c>
      <c r="E784" s="1855">
        <f t="shared" si="37"/>
        <v>15000</v>
      </c>
      <c r="F784" s="1812" t="s">
        <v>1587</v>
      </c>
      <c r="G784" s="1822" t="s">
        <v>1688</v>
      </c>
      <c r="H784" s="2479"/>
    </row>
    <row r="785" spans="1:10">
      <c r="A785" s="1834">
        <v>74</v>
      </c>
      <c r="B785" s="1833" t="s">
        <v>1693</v>
      </c>
      <c r="C785" s="1834">
        <v>5</v>
      </c>
      <c r="D785" s="2436">
        <v>10000</v>
      </c>
      <c r="E785" s="2436">
        <f>+C785*D785</f>
        <v>50000</v>
      </c>
      <c r="F785" s="1850" t="s">
        <v>1694</v>
      </c>
      <c r="G785" s="1851" t="s">
        <v>1695</v>
      </c>
      <c r="H785" s="2478"/>
    </row>
    <row r="786" spans="1:10" s="138" customFormat="1" ht="42">
      <c r="A786" s="310">
        <v>75</v>
      </c>
      <c r="B786" s="309" t="s">
        <v>1696</v>
      </c>
      <c r="C786" s="310">
        <v>16</v>
      </c>
      <c r="D786" s="2419">
        <v>400</v>
      </c>
      <c r="E786" s="2419">
        <f t="shared" ref="E786" si="38">+C786*D786</f>
        <v>6400</v>
      </c>
      <c r="F786" s="2420" t="s">
        <v>2033</v>
      </c>
      <c r="G786" s="2421" t="s">
        <v>1695</v>
      </c>
      <c r="H786" s="2477"/>
    </row>
    <row r="787" spans="1:10">
      <c r="A787" s="306">
        <v>76</v>
      </c>
      <c r="B787" s="305" t="s">
        <v>1699</v>
      </c>
      <c r="C787" s="306">
        <v>3</v>
      </c>
      <c r="D787" s="2437">
        <v>759</v>
      </c>
      <c r="E787" s="2437">
        <f>C787*D787</f>
        <v>2277</v>
      </c>
      <c r="F787" s="1856" t="s">
        <v>1700</v>
      </c>
      <c r="G787" s="390" t="s">
        <v>1695</v>
      </c>
      <c r="H787" s="2479"/>
    </row>
    <row r="788" spans="1:10">
      <c r="A788" s="306">
        <v>77</v>
      </c>
      <c r="B788" s="305" t="s">
        <v>1701</v>
      </c>
      <c r="C788" s="306">
        <v>3</v>
      </c>
      <c r="D788" s="2437">
        <v>480</v>
      </c>
      <c r="E788" s="2437">
        <f t="shared" ref="E788:E790" si="39">C788*D788</f>
        <v>1440</v>
      </c>
      <c r="F788" s="1856" t="s">
        <v>1700</v>
      </c>
      <c r="G788" s="390" t="s">
        <v>1695</v>
      </c>
      <c r="H788" s="2479"/>
    </row>
    <row r="789" spans="1:10">
      <c r="A789" s="306">
        <v>78</v>
      </c>
      <c r="B789" s="305" t="s">
        <v>1322</v>
      </c>
      <c r="C789" s="306">
        <v>1</v>
      </c>
      <c r="D789" s="2422">
        <v>4200</v>
      </c>
      <c r="E789" s="2437">
        <f t="shared" si="39"/>
        <v>4200</v>
      </c>
      <c r="F789" s="1856" t="s">
        <v>1702</v>
      </c>
      <c r="G789" s="390" t="s">
        <v>1695</v>
      </c>
      <c r="H789" s="2479"/>
    </row>
    <row r="790" spans="1:10">
      <c r="A790" s="306">
        <v>79</v>
      </c>
      <c r="B790" s="305" t="s">
        <v>1322</v>
      </c>
      <c r="C790" s="306">
        <v>4</v>
      </c>
      <c r="D790" s="2422">
        <v>4200</v>
      </c>
      <c r="E790" s="2437">
        <f t="shared" si="39"/>
        <v>16800</v>
      </c>
      <c r="F790" s="1856" t="s">
        <v>1532</v>
      </c>
      <c r="G790" s="390" t="s">
        <v>1695</v>
      </c>
      <c r="H790" s="2479"/>
    </row>
    <row r="791" spans="1:10">
      <c r="A791" s="215">
        <v>1</v>
      </c>
      <c r="B791" s="498" t="s">
        <v>1703</v>
      </c>
      <c r="C791" s="310">
        <v>2</v>
      </c>
      <c r="D791" s="2419">
        <v>1190</v>
      </c>
      <c r="E791" s="2419">
        <v>2380</v>
      </c>
      <c r="F791" s="1908" t="s">
        <v>1563</v>
      </c>
      <c r="G791" s="221" t="s">
        <v>1695</v>
      </c>
      <c r="H791" s="397"/>
    </row>
    <row r="792" spans="1:10">
      <c r="A792" s="479"/>
      <c r="B792" s="478" t="s">
        <v>1844</v>
      </c>
      <c r="C792" s="479">
        <v>2</v>
      </c>
      <c r="D792" s="1537">
        <v>1190</v>
      </c>
      <c r="E792" s="1537">
        <v>2380</v>
      </c>
      <c r="F792" s="478" t="s">
        <v>1206</v>
      </c>
      <c r="G792" s="221" t="s">
        <v>1695</v>
      </c>
      <c r="H792" s="397"/>
      <c r="I792" s="2387" t="s">
        <v>2417</v>
      </c>
      <c r="J792" s="19" t="s">
        <v>1905</v>
      </c>
    </row>
  </sheetData>
  <mergeCells count="3">
    <mergeCell ref="A1:F1"/>
    <mergeCell ref="B719:D719"/>
    <mergeCell ref="B727:D727"/>
  </mergeCells>
  <dataValidations count="1">
    <dataValidation type="list" allowBlank="1" showErrorMessage="1" sqref="E474:E550 E552:E553 M554" xr:uid="{94E9E0F8-CE01-46C7-9378-4DF8FCE68615}">
      <formula1>$X$4:$X$11</formula1>
    </dataValidation>
  </dataValidations>
  <pageMargins left="0.27559055118110237" right="0.19685039370078741" top="0.62992125984251968" bottom="0.27559055118110237" header="0.31496062992125984" footer="0.11811023622047245"/>
  <pageSetup paperSize="9" scale="63" orientation="landscape" horizontalDpi="4294967293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21ACA-5069-4231-A1E4-B7D4974177F4}">
  <sheetPr>
    <tabColor rgb="FFFF0000"/>
  </sheetPr>
  <dimension ref="A1:AB256"/>
  <sheetViews>
    <sheetView view="pageBreakPreview" topLeftCell="A208" zoomScale="90" zoomScaleNormal="100" zoomScaleSheetLayoutView="90" workbookViewId="0">
      <selection activeCell="B4" sqref="B4"/>
    </sheetView>
  </sheetViews>
  <sheetFormatPr defaultColWidth="9.140625" defaultRowHeight="21"/>
  <cols>
    <col min="1" max="1" width="7" style="1426" customWidth="1"/>
    <col min="2" max="2" width="76.140625" style="19" customWidth="1"/>
    <col min="3" max="3" width="9.140625" style="19"/>
    <col min="4" max="4" width="16.42578125" style="19" customWidth="1"/>
    <col min="5" max="5" width="18.5703125" style="19" customWidth="1"/>
    <col min="6" max="6" width="40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393"/>
      <c r="H1" s="2393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>
      <c r="A2" s="1424"/>
      <c r="B2" s="1480"/>
      <c r="C2" s="1480"/>
      <c r="D2" s="1480"/>
      <c r="E2" s="1424"/>
      <c r="F2" s="1424"/>
      <c r="G2" s="1424"/>
      <c r="H2" s="1424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3"/>
      <c r="T2" s="1473"/>
      <c r="U2" s="1473"/>
      <c r="V2" s="1473"/>
      <c r="W2" s="1473"/>
      <c r="X2" s="1473"/>
      <c r="Y2" s="1473"/>
      <c r="Z2" s="1473"/>
      <c r="AA2" s="1473"/>
      <c r="AB2" s="1473"/>
    </row>
    <row r="3" spans="1:28">
      <c r="A3" s="2449" t="s">
        <v>2</v>
      </c>
      <c r="B3" s="2449" t="s">
        <v>3</v>
      </c>
      <c r="C3" s="2449" t="s">
        <v>618</v>
      </c>
      <c r="D3" s="2449" t="s">
        <v>1410</v>
      </c>
      <c r="E3" s="2449" t="s">
        <v>1411</v>
      </c>
      <c r="F3" s="2450" t="s">
        <v>388</v>
      </c>
      <c r="G3" s="2449" t="s">
        <v>727</v>
      </c>
      <c r="H3" s="1478" t="s">
        <v>221</v>
      </c>
      <c r="I3" s="1648" t="s">
        <v>2466</v>
      </c>
    </row>
    <row r="4" spans="1:28" s="216" customFormat="1">
      <c r="A4" s="215">
        <v>1</v>
      </c>
      <c r="B4" s="498" t="s">
        <v>2760</v>
      </c>
      <c r="C4" s="495">
        <v>1</v>
      </c>
      <c r="D4" s="1474">
        <v>1950000</v>
      </c>
      <c r="E4" s="1474">
        <f>C4*D4</f>
        <v>1950000</v>
      </c>
      <c r="F4" s="498" t="s">
        <v>2761</v>
      </c>
      <c r="G4" s="498" t="s">
        <v>464</v>
      </c>
      <c r="H4" s="498"/>
      <c r="I4" s="216" t="s">
        <v>2762</v>
      </c>
    </row>
    <row r="5" spans="1:28" s="216" customFormat="1">
      <c r="A5" s="215">
        <v>2</v>
      </c>
      <c r="B5" s="322" t="s">
        <v>580</v>
      </c>
      <c r="C5" s="233">
        <v>1</v>
      </c>
      <c r="D5" s="328">
        <v>250000</v>
      </c>
      <c r="E5" s="328">
        <f>C5*D5</f>
        <v>250000</v>
      </c>
      <c r="F5" s="322" t="s">
        <v>429</v>
      </c>
      <c r="G5" s="498" t="s">
        <v>464</v>
      </c>
      <c r="H5" s="498"/>
      <c r="I5" s="216" t="s">
        <v>1721</v>
      </c>
    </row>
    <row r="6" spans="1:28" s="216" customFormat="1">
      <c r="A6" s="215">
        <v>3</v>
      </c>
      <c r="B6" s="690" t="s">
        <v>2482</v>
      </c>
      <c r="C6" s="495">
        <v>1</v>
      </c>
      <c r="D6" s="1474">
        <v>200000</v>
      </c>
      <c r="E6" s="1474">
        <f t="shared" ref="E6:E16" si="0">+C6*D6</f>
        <v>200000</v>
      </c>
      <c r="F6" s="498" t="s">
        <v>2749</v>
      </c>
      <c r="G6" s="498" t="s">
        <v>464</v>
      </c>
      <c r="H6" s="498"/>
      <c r="I6" s="216" t="s">
        <v>1721</v>
      </c>
    </row>
    <row r="7" spans="1:28" s="216" customFormat="1">
      <c r="A7" s="215">
        <v>4</v>
      </c>
      <c r="B7" s="251" t="s">
        <v>737</v>
      </c>
      <c r="C7" s="233">
        <v>1</v>
      </c>
      <c r="D7" s="328">
        <v>150000</v>
      </c>
      <c r="E7" s="328">
        <f t="shared" si="0"/>
        <v>150000</v>
      </c>
      <c r="F7" s="322" t="s">
        <v>736</v>
      </c>
      <c r="G7" s="498" t="s">
        <v>464</v>
      </c>
      <c r="H7" s="498"/>
      <c r="I7" s="216" t="s">
        <v>1721</v>
      </c>
    </row>
    <row r="8" spans="1:28" s="216" customFormat="1">
      <c r="A8" s="215">
        <v>5</v>
      </c>
      <c r="B8" s="322" t="s">
        <v>738</v>
      </c>
      <c r="C8" s="233">
        <v>2</v>
      </c>
      <c r="D8" s="328">
        <v>550000</v>
      </c>
      <c r="E8" s="328">
        <f t="shared" si="0"/>
        <v>1100000</v>
      </c>
      <c r="F8" s="322" t="s">
        <v>736</v>
      </c>
      <c r="G8" s="498" t="s">
        <v>464</v>
      </c>
      <c r="H8" s="498"/>
      <c r="I8" s="216" t="s">
        <v>1721</v>
      </c>
    </row>
    <row r="9" spans="1:28" s="216" customFormat="1">
      <c r="A9" s="215">
        <v>6</v>
      </c>
      <c r="B9" s="322" t="s">
        <v>741</v>
      </c>
      <c r="C9" s="233">
        <v>1</v>
      </c>
      <c r="D9" s="328">
        <v>30000</v>
      </c>
      <c r="E9" s="1479">
        <f t="shared" si="0"/>
        <v>30000</v>
      </c>
      <c r="F9" s="251" t="s">
        <v>742</v>
      </c>
      <c r="G9" s="498" t="s">
        <v>464</v>
      </c>
      <c r="H9" s="498"/>
      <c r="I9" s="216" t="s">
        <v>1721</v>
      </c>
    </row>
    <row r="10" spans="1:28" s="216" customFormat="1" ht="42">
      <c r="A10" s="215">
        <v>7</v>
      </c>
      <c r="B10" s="251" t="s">
        <v>1004</v>
      </c>
      <c r="C10" s="233">
        <v>1</v>
      </c>
      <c r="D10" s="328">
        <v>2700000</v>
      </c>
      <c r="E10" s="328">
        <f t="shared" si="0"/>
        <v>2700000</v>
      </c>
      <c r="F10" s="322" t="s">
        <v>721</v>
      </c>
      <c r="G10" s="498" t="s">
        <v>464</v>
      </c>
      <c r="H10" s="498"/>
      <c r="I10" s="216" t="s">
        <v>1721</v>
      </c>
    </row>
    <row r="11" spans="1:28" s="216" customFormat="1">
      <c r="A11" s="215">
        <v>8</v>
      </c>
      <c r="B11" s="322" t="s">
        <v>800</v>
      </c>
      <c r="C11" s="233">
        <v>1</v>
      </c>
      <c r="D11" s="328">
        <v>650000</v>
      </c>
      <c r="E11" s="328">
        <f t="shared" si="0"/>
        <v>650000</v>
      </c>
      <c r="F11" s="322" t="s">
        <v>721</v>
      </c>
      <c r="G11" s="498" t="s">
        <v>464</v>
      </c>
      <c r="H11" s="498"/>
      <c r="I11" s="216" t="s">
        <v>1721</v>
      </c>
    </row>
    <row r="12" spans="1:28" s="216" customFormat="1">
      <c r="A12" s="215">
        <v>9</v>
      </c>
      <c r="B12" s="322" t="s">
        <v>801</v>
      </c>
      <c r="C12" s="233">
        <v>1</v>
      </c>
      <c r="D12" s="328">
        <v>1337500</v>
      </c>
      <c r="E12" s="328">
        <f t="shared" si="0"/>
        <v>1337500</v>
      </c>
      <c r="F12" s="322" t="s">
        <v>721</v>
      </c>
      <c r="G12" s="498" t="s">
        <v>464</v>
      </c>
      <c r="H12" s="498"/>
      <c r="I12" s="216" t="s">
        <v>1721</v>
      </c>
    </row>
    <row r="13" spans="1:28" s="216" customFormat="1">
      <c r="A13" s="215">
        <v>10</v>
      </c>
      <c r="B13" s="322" t="s">
        <v>802</v>
      </c>
      <c r="C13" s="233">
        <v>1</v>
      </c>
      <c r="D13" s="328">
        <v>448598.13</v>
      </c>
      <c r="E13" s="328">
        <f t="shared" si="0"/>
        <v>448598.13</v>
      </c>
      <c r="F13" s="322" t="s">
        <v>721</v>
      </c>
      <c r="G13" s="498" t="s">
        <v>464</v>
      </c>
      <c r="H13" s="498"/>
      <c r="I13" s="216" t="s">
        <v>1721</v>
      </c>
    </row>
    <row r="14" spans="1:28" s="216" customFormat="1">
      <c r="A14" s="215">
        <v>11</v>
      </c>
      <c r="B14" s="322" t="s">
        <v>799</v>
      </c>
      <c r="C14" s="233">
        <v>1</v>
      </c>
      <c r="D14" s="328">
        <v>4500000</v>
      </c>
      <c r="E14" s="328">
        <f t="shared" si="0"/>
        <v>4500000</v>
      </c>
      <c r="F14" s="322" t="s">
        <v>721</v>
      </c>
      <c r="G14" s="498" t="s">
        <v>464</v>
      </c>
      <c r="H14" s="498"/>
      <c r="I14" s="216" t="s">
        <v>1721</v>
      </c>
    </row>
    <row r="15" spans="1:28" s="216" customFormat="1">
      <c r="A15" s="215">
        <v>12</v>
      </c>
      <c r="B15" s="322" t="s">
        <v>190</v>
      </c>
      <c r="C15" s="233">
        <v>1</v>
      </c>
      <c r="D15" s="328">
        <v>579900</v>
      </c>
      <c r="E15" s="328">
        <f t="shared" si="0"/>
        <v>579900</v>
      </c>
      <c r="F15" s="322" t="s">
        <v>422</v>
      </c>
      <c r="G15" s="498" t="s">
        <v>464</v>
      </c>
      <c r="H15" s="498"/>
      <c r="I15" s="216" t="s">
        <v>1721</v>
      </c>
    </row>
    <row r="16" spans="1:28" s="216" customFormat="1">
      <c r="A16" s="215">
        <v>13</v>
      </c>
      <c r="B16" s="322" t="s">
        <v>1167</v>
      </c>
      <c r="C16" s="233">
        <v>1</v>
      </c>
      <c r="D16" s="328">
        <v>9800</v>
      </c>
      <c r="E16" s="328">
        <f t="shared" si="0"/>
        <v>9800</v>
      </c>
      <c r="F16" s="322" t="s">
        <v>650</v>
      </c>
      <c r="G16" s="498" t="s">
        <v>464</v>
      </c>
      <c r="H16" s="498"/>
      <c r="I16" s="216" t="s">
        <v>1721</v>
      </c>
    </row>
    <row r="17" spans="1:9" s="216" customFormat="1">
      <c r="A17" s="215">
        <v>14</v>
      </c>
      <c r="B17" s="690" t="s">
        <v>188</v>
      </c>
      <c r="C17" s="495">
        <v>1</v>
      </c>
      <c r="D17" s="1474">
        <v>400000</v>
      </c>
      <c r="E17" s="1474">
        <f>C17*D17</f>
        <v>400000</v>
      </c>
      <c r="F17" s="498" t="s">
        <v>421</v>
      </c>
      <c r="G17" s="498" t="s">
        <v>464</v>
      </c>
      <c r="H17" s="498"/>
      <c r="I17" s="216" t="s">
        <v>1721</v>
      </c>
    </row>
    <row r="18" spans="1:9" s="216" customFormat="1">
      <c r="A18" s="215">
        <v>15</v>
      </c>
      <c r="B18" s="690" t="s">
        <v>187</v>
      </c>
      <c r="C18" s="495">
        <v>1</v>
      </c>
      <c r="D18" s="1474">
        <v>100000</v>
      </c>
      <c r="E18" s="1474">
        <f>C18*D18</f>
        <v>100000</v>
      </c>
      <c r="F18" s="498" t="s">
        <v>421</v>
      </c>
      <c r="G18" s="498" t="s">
        <v>464</v>
      </c>
      <c r="H18" s="498"/>
      <c r="I18" s="216" t="s">
        <v>1721</v>
      </c>
    </row>
    <row r="19" spans="1:9" s="216" customFormat="1">
      <c r="A19" s="215">
        <v>16</v>
      </c>
      <c r="B19" s="498" t="s">
        <v>200</v>
      </c>
      <c r="C19" s="495">
        <v>1</v>
      </c>
      <c r="D19" s="1474">
        <v>65000</v>
      </c>
      <c r="E19" s="1474">
        <f>C19*D19</f>
        <v>65000</v>
      </c>
      <c r="F19" s="498" t="s">
        <v>461</v>
      </c>
      <c r="G19" s="498" t="s">
        <v>464</v>
      </c>
      <c r="H19" s="498"/>
      <c r="I19" s="216" t="s">
        <v>1721</v>
      </c>
    </row>
    <row r="20" spans="1:9" s="216" customFormat="1">
      <c r="A20" s="215">
        <v>17</v>
      </c>
      <c r="B20" s="2454" t="s">
        <v>481</v>
      </c>
      <c r="C20" s="495">
        <v>1</v>
      </c>
      <c r="D20" s="327">
        <v>50000</v>
      </c>
      <c r="E20" s="2455">
        <f>+C20*D20</f>
        <v>50000</v>
      </c>
      <c r="F20" s="1477" t="s">
        <v>445</v>
      </c>
      <c r="G20" s="498" t="s">
        <v>464</v>
      </c>
      <c r="H20" s="498"/>
      <c r="I20" s="216" t="s">
        <v>1721</v>
      </c>
    </row>
    <row r="21" spans="1:9" s="216" customFormat="1">
      <c r="A21" s="215">
        <v>18</v>
      </c>
      <c r="B21" s="2454" t="s">
        <v>480</v>
      </c>
      <c r="C21" s="495">
        <v>1</v>
      </c>
      <c r="D21" s="327">
        <v>40000</v>
      </c>
      <c r="E21" s="2455">
        <f>+C21*D21</f>
        <v>40000</v>
      </c>
      <c r="F21" s="1477" t="s">
        <v>445</v>
      </c>
      <c r="G21" s="498" t="s">
        <v>464</v>
      </c>
      <c r="H21" s="498"/>
      <c r="I21" s="216" t="s">
        <v>1721</v>
      </c>
    </row>
    <row r="22" spans="1:9" s="216" customFormat="1">
      <c r="A22" s="215">
        <v>19</v>
      </c>
      <c r="B22" s="498" t="s">
        <v>205</v>
      </c>
      <c r="C22" s="495">
        <v>1</v>
      </c>
      <c r="D22" s="1474">
        <v>31849</v>
      </c>
      <c r="E22" s="1474">
        <f>C22*D22</f>
        <v>31849</v>
      </c>
      <c r="F22" s="498" t="s">
        <v>462</v>
      </c>
      <c r="G22" s="498" t="s">
        <v>464</v>
      </c>
      <c r="H22" s="498"/>
      <c r="I22" s="216" t="s">
        <v>1721</v>
      </c>
    </row>
    <row r="23" spans="1:9" s="216" customFormat="1">
      <c r="A23" s="215">
        <v>20</v>
      </c>
      <c r="B23" s="2454" t="s">
        <v>482</v>
      </c>
      <c r="C23" s="495">
        <v>2</v>
      </c>
      <c r="D23" s="327">
        <v>9500</v>
      </c>
      <c r="E23" s="2455">
        <f>+C23*D23</f>
        <v>19000</v>
      </c>
      <c r="F23" s="1477" t="s">
        <v>445</v>
      </c>
      <c r="G23" s="498" t="s">
        <v>464</v>
      </c>
      <c r="H23" s="498"/>
      <c r="I23" s="216" t="s">
        <v>1721</v>
      </c>
    </row>
    <row r="24" spans="1:9" s="216" customFormat="1">
      <c r="A24" s="215">
        <v>21</v>
      </c>
      <c r="B24" s="690" t="s">
        <v>202</v>
      </c>
      <c r="C24" s="495">
        <v>10</v>
      </c>
      <c r="D24" s="1474">
        <v>5500</v>
      </c>
      <c r="E24" s="1474">
        <f>C24*D24</f>
        <v>55000</v>
      </c>
      <c r="F24" s="498" t="s">
        <v>2477</v>
      </c>
      <c r="G24" s="498" t="s">
        <v>464</v>
      </c>
      <c r="H24" s="498"/>
      <c r="I24" s="216" t="s">
        <v>1721</v>
      </c>
    </row>
    <row r="25" spans="1:9" s="216" customFormat="1">
      <c r="A25" s="215">
        <v>22</v>
      </c>
      <c r="B25" s="1477" t="s">
        <v>485</v>
      </c>
      <c r="C25" s="495">
        <v>2</v>
      </c>
      <c r="D25" s="327">
        <v>4950</v>
      </c>
      <c r="E25" s="2455">
        <f t="shared" ref="E25:E32" si="1">+C25*D25</f>
        <v>9900</v>
      </c>
      <c r="F25" s="1477" t="s">
        <v>445</v>
      </c>
      <c r="G25" s="498" t="s">
        <v>464</v>
      </c>
      <c r="H25" s="498"/>
      <c r="I25" s="216" t="s">
        <v>1721</v>
      </c>
    </row>
    <row r="26" spans="1:9" s="216" customFormat="1">
      <c r="A26" s="215">
        <v>23</v>
      </c>
      <c r="B26" s="2454" t="s">
        <v>479</v>
      </c>
      <c r="C26" s="495">
        <v>1</v>
      </c>
      <c r="D26" s="327">
        <v>2000</v>
      </c>
      <c r="E26" s="2455">
        <f t="shared" si="1"/>
        <v>2000</v>
      </c>
      <c r="F26" s="1477" t="s">
        <v>445</v>
      </c>
      <c r="G26" s="498" t="s">
        <v>464</v>
      </c>
      <c r="H26" s="498"/>
      <c r="I26" s="216" t="s">
        <v>1721</v>
      </c>
    </row>
    <row r="27" spans="1:9" s="216" customFormat="1">
      <c r="A27" s="215">
        <v>24</v>
      </c>
      <c r="B27" s="690" t="s">
        <v>654</v>
      </c>
      <c r="C27" s="495">
        <v>2</v>
      </c>
      <c r="D27" s="328">
        <v>130000</v>
      </c>
      <c r="E27" s="328">
        <f t="shared" si="1"/>
        <v>260000</v>
      </c>
      <c r="F27" s="1477" t="s">
        <v>655</v>
      </c>
      <c r="G27" s="498" t="s">
        <v>464</v>
      </c>
      <c r="H27" s="498"/>
      <c r="I27" s="216" t="s">
        <v>1721</v>
      </c>
    </row>
    <row r="28" spans="1:9" s="216" customFormat="1">
      <c r="A28" s="215">
        <v>25</v>
      </c>
      <c r="B28" s="487" t="s">
        <v>744</v>
      </c>
      <c r="C28" s="233">
        <v>1</v>
      </c>
      <c r="D28" s="328">
        <v>400000</v>
      </c>
      <c r="E28" s="481">
        <f t="shared" si="1"/>
        <v>400000</v>
      </c>
      <c r="F28" s="520" t="s">
        <v>745</v>
      </c>
      <c r="G28" s="498" t="s">
        <v>464</v>
      </c>
      <c r="H28" s="498"/>
      <c r="I28" s="216" t="s">
        <v>1721</v>
      </c>
    </row>
    <row r="29" spans="1:9" s="216" customFormat="1">
      <c r="A29" s="215">
        <v>26</v>
      </c>
      <c r="B29" s="322" t="s">
        <v>803</v>
      </c>
      <c r="C29" s="233">
        <v>1</v>
      </c>
      <c r="D29" s="2456">
        <v>310000</v>
      </c>
      <c r="E29" s="328">
        <f t="shared" si="1"/>
        <v>310000</v>
      </c>
      <c r="F29" s="322" t="s">
        <v>418</v>
      </c>
      <c r="G29" s="498" t="s">
        <v>464</v>
      </c>
      <c r="H29" s="498"/>
      <c r="I29" s="216" t="s">
        <v>1721</v>
      </c>
    </row>
    <row r="30" spans="1:9" s="216" customFormat="1">
      <c r="A30" s="215">
        <v>27</v>
      </c>
      <c r="B30" s="520" t="s">
        <v>813</v>
      </c>
      <c r="C30" s="233">
        <v>2</v>
      </c>
      <c r="D30" s="328">
        <v>5990</v>
      </c>
      <c r="E30" s="328">
        <f t="shared" si="1"/>
        <v>11980</v>
      </c>
      <c r="F30" s="520" t="s">
        <v>472</v>
      </c>
      <c r="G30" s="498" t="s">
        <v>464</v>
      </c>
      <c r="H30" s="498"/>
      <c r="I30" s="216" t="s">
        <v>1721</v>
      </c>
    </row>
    <row r="31" spans="1:9" s="216" customFormat="1">
      <c r="A31" s="215">
        <v>28</v>
      </c>
      <c r="B31" s="520" t="s">
        <v>840</v>
      </c>
      <c r="C31" s="233">
        <v>4</v>
      </c>
      <c r="D31" s="328">
        <v>33000</v>
      </c>
      <c r="E31" s="328">
        <f t="shared" si="1"/>
        <v>132000</v>
      </c>
      <c r="F31" s="520" t="s">
        <v>445</v>
      </c>
      <c r="G31" s="498" t="s">
        <v>464</v>
      </c>
      <c r="H31" s="498"/>
      <c r="I31" s="216" t="s">
        <v>1721</v>
      </c>
    </row>
    <row r="32" spans="1:9" s="216" customFormat="1">
      <c r="A32" s="215">
        <v>29</v>
      </c>
      <c r="B32" s="498" t="s">
        <v>987</v>
      </c>
      <c r="C32" s="495">
        <v>1</v>
      </c>
      <c r="D32" s="327">
        <v>2500000</v>
      </c>
      <c r="E32" s="328">
        <f t="shared" si="1"/>
        <v>2500000</v>
      </c>
      <c r="F32" s="322" t="s">
        <v>456</v>
      </c>
      <c r="G32" s="498" t="s">
        <v>464</v>
      </c>
      <c r="H32" s="498"/>
      <c r="I32" s="216" t="s">
        <v>1721</v>
      </c>
    </row>
    <row r="33" spans="1:9" s="216" customFormat="1">
      <c r="A33" s="215">
        <v>30</v>
      </c>
      <c r="B33" s="221" t="s">
        <v>1339</v>
      </c>
      <c r="C33" s="215">
        <v>1</v>
      </c>
      <c r="D33" s="1531">
        <v>19900</v>
      </c>
      <c r="E33" s="1531">
        <v>19900</v>
      </c>
      <c r="F33" s="221" t="s">
        <v>1305</v>
      </c>
      <c r="G33" s="498" t="s">
        <v>464</v>
      </c>
      <c r="H33" s="498"/>
      <c r="I33" s="216" t="s">
        <v>1721</v>
      </c>
    </row>
    <row r="34" spans="1:9" s="216" customFormat="1">
      <c r="A34" s="215">
        <v>31</v>
      </c>
      <c r="B34" s="221" t="s">
        <v>1340</v>
      </c>
      <c r="C34" s="215">
        <v>1</v>
      </c>
      <c r="D34" s="1531">
        <v>90000</v>
      </c>
      <c r="E34" s="1531">
        <v>90000</v>
      </c>
      <c r="F34" s="482" t="s">
        <v>2007</v>
      </c>
      <c r="G34" s="498" t="s">
        <v>464</v>
      </c>
      <c r="H34" s="498"/>
      <c r="I34" s="216" t="s">
        <v>1721</v>
      </c>
    </row>
    <row r="35" spans="1:9" s="216" customFormat="1">
      <c r="A35" s="215">
        <v>32</v>
      </c>
      <c r="B35" s="221" t="s">
        <v>1341</v>
      </c>
      <c r="C35" s="215">
        <v>1</v>
      </c>
      <c r="D35" s="1531">
        <v>50000</v>
      </c>
      <c r="E35" s="1531">
        <v>50000</v>
      </c>
      <c r="F35" s="482" t="s">
        <v>740</v>
      </c>
      <c r="G35" s="498" t="s">
        <v>464</v>
      </c>
      <c r="H35" s="498"/>
      <c r="I35" s="216" t="s">
        <v>1721</v>
      </c>
    </row>
    <row r="36" spans="1:9" s="216" customFormat="1">
      <c r="A36" s="215">
        <v>33</v>
      </c>
      <c r="B36" s="221" t="s">
        <v>1342</v>
      </c>
      <c r="C36" s="215">
        <v>1</v>
      </c>
      <c r="D36" s="1531">
        <v>15000</v>
      </c>
      <c r="E36" s="1531">
        <v>15000</v>
      </c>
      <c r="F36" s="221" t="s">
        <v>428</v>
      </c>
      <c r="G36" s="498" t="s">
        <v>464</v>
      </c>
      <c r="H36" s="498"/>
      <c r="I36" s="216" t="s">
        <v>1721</v>
      </c>
    </row>
    <row r="37" spans="1:9" s="216" customFormat="1">
      <c r="A37" s="215">
        <v>34</v>
      </c>
      <c r="B37" s="221" t="s">
        <v>1343</v>
      </c>
      <c r="C37" s="215">
        <v>1</v>
      </c>
      <c r="D37" s="1531">
        <v>642000</v>
      </c>
      <c r="E37" s="1531">
        <v>642000</v>
      </c>
      <c r="F37" s="221" t="s">
        <v>414</v>
      </c>
      <c r="G37" s="498" t="s">
        <v>464</v>
      </c>
      <c r="H37" s="498"/>
      <c r="I37" s="216" t="s">
        <v>1721</v>
      </c>
    </row>
    <row r="38" spans="1:9" s="216" customFormat="1">
      <c r="A38" s="215">
        <v>35</v>
      </c>
      <c r="B38" s="221" t="s">
        <v>1342</v>
      </c>
      <c r="C38" s="215">
        <v>1</v>
      </c>
      <c r="D38" s="1531">
        <v>15000</v>
      </c>
      <c r="E38" s="1531">
        <v>15000</v>
      </c>
      <c r="F38" s="221" t="s">
        <v>1344</v>
      </c>
      <c r="G38" s="498" t="s">
        <v>464</v>
      </c>
      <c r="H38" s="498"/>
      <c r="I38" s="216" t="s">
        <v>1721</v>
      </c>
    </row>
    <row r="39" spans="1:9" s="216" customFormat="1">
      <c r="A39" s="215">
        <v>36</v>
      </c>
      <c r="B39" s="221" t="s">
        <v>1342</v>
      </c>
      <c r="C39" s="215">
        <v>1</v>
      </c>
      <c r="D39" s="1531">
        <v>15000</v>
      </c>
      <c r="E39" s="1531">
        <v>15000</v>
      </c>
      <c r="F39" s="1649" t="s">
        <v>1345</v>
      </c>
      <c r="G39" s="498" t="s">
        <v>464</v>
      </c>
      <c r="H39" s="498"/>
      <c r="I39" s="216" t="s">
        <v>1721</v>
      </c>
    </row>
    <row r="40" spans="1:9" s="216" customFormat="1">
      <c r="A40" s="215">
        <v>37</v>
      </c>
      <c r="B40" s="221" t="s">
        <v>1340</v>
      </c>
      <c r="C40" s="215">
        <v>2</v>
      </c>
      <c r="D40" s="1531">
        <v>68500</v>
      </c>
      <c r="E40" s="1531">
        <v>137000</v>
      </c>
      <c r="F40" s="482" t="s">
        <v>2007</v>
      </c>
      <c r="G40" s="498" t="s">
        <v>464</v>
      </c>
      <c r="H40" s="498"/>
      <c r="I40" s="216" t="s">
        <v>1721</v>
      </c>
    </row>
    <row r="41" spans="1:9" s="216" customFormat="1">
      <c r="A41" s="215">
        <v>38</v>
      </c>
      <c r="B41" s="221" t="s">
        <v>846</v>
      </c>
      <c r="C41" s="215">
        <v>63</v>
      </c>
      <c r="D41" s="1531">
        <v>8400</v>
      </c>
      <c r="E41" s="1531">
        <v>529200</v>
      </c>
      <c r="F41" s="221" t="s">
        <v>861</v>
      </c>
      <c r="G41" s="498" t="s">
        <v>464</v>
      </c>
      <c r="H41" s="498"/>
      <c r="I41" s="216" t="s">
        <v>1721</v>
      </c>
    </row>
    <row r="42" spans="1:9" s="216" customFormat="1">
      <c r="A42" s="215">
        <v>39</v>
      </c>
      <c r="B42" s="221" t="s">
        <v>1346</v>
      </c>
      <c r="C42" s="215">
        <v>3</v>
      </c>
      <c r="D42" s="1531">
        <v>28600</v>
      </c>
      <c r="E42" s="1531">
        <v>85800</v>
      </c>
      <c r="F42" s="221" t="s">
        <v>861</v>
      </c>
      <c r="G42" s="498" t="s">
        <v>464</v>
      </c>
      <c r="H42" s="498"/>
      <c r="I42" s="216" t="s">
        <v>1721</v>
      </c>
    </row>
    <row r="43" spans="1:9" s="216" customFormat="1">
      <c r="A43" s="215">
        <v>40</v>
      </c>
      <c r="B43" s="221" t="s">
        <v>1347</v>
      </c>
      <c r="C43" s="215">
        <v>1</v>
      </c>
      <c r="D43" s="1531">
        <v>53500</v>
      </c>
      <c r="E43" s="1531">
        <v>53500</v>
      </c>
      <c r="F43" s="221" t="s">
        <v>736</v>
      </c>
      <c r="G43" s="498" t="s">
        <v>464</v>
      </c>
      <c r="H43" s="498"/>
      <c r="I43" s="216" t="s">
        <v>1721</v>
      </c>
    </row>
    <row r="44" spans="1:9" s="216" customFormat="1">
      <c r="A44" s="215">
        <v>41</v>
      </c>
      <c r="B44" s="221" t="s">
        <v>1348</v>
      </c>
      <c r="C44" s="215">
        <v>3</v>
      </c>
      <c r="D44" s="1531">
        <v>120000</v>
      </c>
      <c r="E44" s="1531">
        <v>360000</v>
      </c>
      <c r="F44" s="221" t="s">
        <v>423</v>
      </c>
      <c r="G44" s="498" t="s">
        <v>464</v>
      </c>
      <c r="H44" s="498"/>
      <c r="I44" s="216" t="s">
        <v>1721</v>
      </c>
    </row>
    <row r="45" spans="1:9" s="216" customFormat="1">
      <c r="A45" s="215">
        <v>42</v>
      </c>
      <c r="B45" s="221" t="s">
        <v>1349</v>
      </c>
      <c r="C45" s="215">
        <v>6</v>
      </c>
      <c r="D45" s="1531">
        <v>43000</v>
      </c>
      <c r="E45" s="1531">
        <v>258000</v>
      </c>
      <c r="F45" s="221" t="s">
        <v>1294</v>
      </c>
      <c r="G45" s="498" t="s">
        <v>464</v>
      </c>
      <c r="H45" s="498"/>
      <c r="I45" s="216" t="s">
        <v>1721</v>
      </c>
    </row>
    <row r="46" spans="1:9" s="216" customFormat="1">
      <c r="A46" s="215">
        <v>43</v>
      </c>
      <c r="B46" s="221" t="s">
        <v>1350</v>
      </c>
      <c r="C46" s="215">
        <v>1</v>
      </c>
      <c r="D46" s="1531">
        <v>24600</v>
      </c>
      <c r="E46" s="1531">
        <v>24600</v>
      </c>
      <c r="F46" s="221" t="s">
        <v>888</v>
      </c>
      <c r="G46" s="498" t="s">
        <v>464</v>
      </c>
      <c r="H46" s="498"/>
      <c r="I46" s="216" t="s">
        <v>1721</v>
      </c>
    </row>
    <row r="47" spans="1:9" s="216" customFormat="1">
      <c r="A47" s="215">
        <v>44</v>
      </c>
      <c r="B47" s="221" t="s">
        <v>1479</v>
      </c>
      <c r="C47" s="215">
        <v>1</v>
      </c>
      <c r="D47" s="1531">
        <v>12800</v>
      </c>
      <c r="E47" s="1531">
        <v>12800</v>
      </c>
      <c r="F47" s="221" t="s">
        <v>888</v>
      </c>
      <c r="G47" s="498" t="s">
        <v>464</v>
      </c>
      <c r="H47" s="498"/>
      <c r="I47" s="216" t="s">
        <v>1721</v>
      </c>
    </row>
    <row r="48" spans="1:9" s="216" customFormat="1">
      <c r="A48" s="215">
        <v>45</v>
      </c>
      <c r="B48" s="221" t="s">
        <v>1351</v>
      </c>
      <c r="C48" s="215">
        <v>1</v>
      </c>
      <c r="D48" s="1531">
        <v>278200</v>
      </c>
      <c r="E48" s="1531">
        <v>278200</v>
      </c>
      <c r="F48" s="221" t="s">
        <v>721</v>
      </c>
      <c r="G48" s="498" t="s">
        <v>464</v>
      </c>
      <c r="H48" s="498"/>
      <c r="I48" s="216" t="s">
        <v>1721</v>
      </c>
    </row>
    <row r="49" spans="1:9" s="216" customFormat="1">
      <c r="A49" s="215">
        <v>46</v>
      </c>
      <c r="B49" s="221" t="s">
        <v>1352</v>
      </c>
      <c r="C49" s="215">
        <v>2</v>
      </c>
      <c r="D49" s="1531">
        <v>48150</v>
      </c>
      <c r="E49" s="1531">
        <v>96300</v>
      </c>
      <c r="F49" s="221" t="s">
        <v>721</v>
      </c>
      <c r="G49" s="498" t="s">
        <v>464</v>
      </c>
      <c r="H49" s="498"/>
      <c r="I49" s="216" t="s">
        <v>1721</v>
      </c>
    </row>
    <row r="50" spans="1:9" s="216" customFormat="1">
      <c r="A50" s="215">
        <v>47</v>
      </c>
      <c r="B50" s="221" t="s">
        <v>1353</v>
      </c>
      <c r="C50" s="215">
        <v>1</v>
      </c>
      <c r="D50" s="1531">
        <v>39600</v>
      </c>
      <c r="E50" s="1531">
        <v>39600</v>
      </c>
      <c r="F50" s="1649" t="s">
        <v>1354</v>
      </c>
      <c r="G50" s="498" t="s">
        <v>464</v>
      </c>
      <c r="H50" s="498"/>
      <c r="I50" s="216" t="s">
        <v>1721</v>
      </c>
    </row>
    <row r="51" spans="1:9" s="216" customFormat="1">
      <c r="A51" s="215">
        <v>48</v>
      </c>
      <c r="B51" s="221" t="s">
        <v>1355</v>
      </c>
      <c r="C51" s="215">
        <v>1</v>
      </c>
      <c r="D51" s="1531">
        <v>42000</v>
      </c>
      <c r="E51" s="1531">
        <v>42000</v>
      </c>
      <c r="F51" s="221" t="s">
        <v>743</v>
      </c>
      <c r="G51" s="498" t="s">
        <v>464</v>
      </c>
      <c r="H51" s="498"/>
      <c r="I51" s="216" t="s">
        <v>1721</v>
      </c>
    </row>
    <row r="52" spans="1:9" s="216" customFormat="1">
      <c r="A52" s="215">
        <v>49</v>
      </c>
      <c r="B52" s="221" t="s">
        <v>1356</v>
      </c>
      <c r="C52" s="215">
        <v>1</v>
      </c>
      <c r="D52" s="1531">
        <v>250000</v>
      </c>
      <c r="E52" s="1531">
        <v>250000</v>
      </c>
      <c r="F52" s="221" t="s">
        <v>428</v>
      </c>
      <c r="G52" s="498" t="s">
        <v>464</v>
      </c>
      <c r="H52" s="498"/>
      <c r="I52" s="216" t="s">
        <v>1721</v>
      </c>
    </row>
    <row r="53" spans="1:9" s="216" customFormat="1">
      <c r="A53" s="215">
        <v>50</v>
      </c>
      <c r="B53" s="216" t="s">
        <v>1357</v>
      </c>
      <c r="C53" s="215">
        <v>1</v>
      </c>
      <c r="D53" s="408">
        <v>20000</v>
      </c>
      <c r="E53" s="408">
        <f>+C53*D53</f>
        <v>20000</v>
      </c>
      <c r="F53" s="260" t="s">
        <v>2007</v>
      </c>
      <c r="G53" s="498" t="s">
        <v>464</v>
      </c>
      <c r="H53" s="498"/>
      <c r="I53" s="216" t="s">
        <v>1721</v>
      </c>
    </row>
    <row r="54" spans="1:9" s="322" customFormat="1" ht="42">
      <c r="A54" s="215">
        <v>51</v>
      </c>
      <c r="B54" s="251" t="s">
        <v>1398</v>
      </c>
      <c r="C54" s="233">
        <v>2</v>
      </c>
      <c r="D54" s="418">
        <v>8500</v>
      </c>
      <c r="E54" s="418">
        <f>+C54*D54</f>
        <v>17000</v>
      </c>
      <c r="F54" s="251" t="s">
        <v>2007</v>
      </c>
      <c r="G54" s="498" t="s">
        <v>464</v>
      </c>
      <c r="H54" s="498"/>
      <c r="I54" s="216" t="s">
        <v>1721</v>
      </c>
    </row>
    <row r="55" spans="1:9" s="216" customFormat="1">
      <c r="A55" s="215">
        <v>52</v>
      </c>
      <c r="B55" s="216" t="s">
        <v>1392</v>
      </c>
      <c r="C55" s="215">
        <v>3</v>
      </c>
      <c r="D55" s="422">
        <v>2200000</v>
      </c>
      <c r="E55" s="422">
        <f>C55*D55</f>
        <v>6600000</v>
      </c>
      <c r="F55" s="216" t="s">
        <v>418</v>
      </c>
      <c r="G55" s="498" t="s">
        <v>464</v>
      </c>
      <c r="H55" s="498"/>
      <c r="I55" s="216" t="s">
        <v>1721</v>
      </c>
    </row>
    <row r="56" spans="1:9" s="216" customFormat="1">
      <c r="A56" s="215">
        <v>53</v>
      </c>
      <c r="B56" s="216" t="s">
        <v>1394</v>
      </c>
      <c r="C56" s="215">
        <v>1</v>
      </c>
      <c r="D56" s="424">
        <v>480000</v>
      </c>
      <c r="E56" s="422">
        <f t="shared" ref="E56:E61" si="2">+C56*D56</f>
        <v>480000</v>
      </c>
      <c r="F56" s="216" t="s">
        <v>574</v>
      </c>
      <c r="G56" s="498" t="s">
        <v>464</v>
      </c>
      <c r="H56" s="498"/>
      <c r="I56" s="216" t="s">
        <v>1721</v>
      </c>
    </row>
    <row r="57" spans="1:9" s="216" customFormat="1">
      <c r="A57" s="215">
        <v>54</v>
      </c>
      <c r="B57" s="216" t="s">
        <v>1395</v>
      </c>
      <c r="C57" s="215">
        <v>2</v>
      </c>
      <c r="D57" s="422">
        <v>86000</v>
      </c>
      <c r="E57" s="422">
        <f t="shared" si="2"/>
        <v>172000</v>
      </c>
      <c r="F57" s="216" t="s">
        <v>956</v>
      </c>
      <c r="G57" s="498" t="s">
        <v>464</v>
      </c>
      <c r="H57" s="498"/>
      <c r="I57" s="216" t="s">
        <v>1721</v>
      </c>
    </row>
    <row r="58" spans="1:9" s="216" customFormat="1">
      <c r="A58" s="215">
        <v>55</v>
      </c>
      <c r="B58" s="216" t="s">
        <v>196</v>
      </c>
      <c r="C58" s="215">
        <v>2</v>
      </c>
      <c r="D58" s="422">
        <v>63500</v>
      </c>
      <c r="E58" s="422">
        <f t="shared" si="2"/>
        <v>127000</v>
      </c>
      <c r="F58" s="216" t="s">
        <v>472</v>
      </c>
      <c r="G58" s="498" t="s">
        <v>464</v>
      </c>
      <c r="H58" s="498"/>
      <c r="I58" s="216" t="s">
        <v>1721</v>
      </c>
    </row>
    <row r="59" spans="1:9" s="216" customFormat="1">
      <c r="A59" s="215">
        <v>56</v>
      </c>
      <c r="B59" s="216" t="s">
        <v>1396</v>
      </c>
      <c r="C59" s="215">
        <v>1</v>
      </c>
      <c r="D59" s="422">
        <v>310300</v>
      </c>
      <c r="E59" s="422">
        <f t="shared" si="2"/>
        <v>310300</v>
      </c>
      <c r="F59" s="216" t="s">
        <v>721</v>
      </c>
      <c r="G59" s="498" t="s">
        <v>464</v>
      </c>
      <c r="H59" s="498"/>
      <c r="I59" s="216" t="s">
        <v>1721</v>
      </c>
    </row>
    <row r="60" spans="1:9" s="216" customFormat="1" ht="42">
      <c r="A60" s="215">
        <v>57</v>
      </c>
      <c r="B60" s="260" t="s">
        <v>1399</v>
      </c>
      <c r="C60" s="215">
        <v>1</v>
      </c>
      <c r="D60" s="422">
        <v>80250</v>
      </c>
      <c r="E60" s="422">
        <f t="shared" si="2"/>
        <v>80250</v>
      </c>
      <c r="F60" s="216" t="s">
        <v>721</v>
      </c>
      <c r="G60" s="498" t="s">
        <v>464</v>
      </c>
      <c r="H60" s="498"/>
      <c r="I60" s="216" t="s">
        <v>1721</v>
      </c>
    </row>
    <row r="61" spans="1:9" s="216" customFormat="1">
      <c r="A61" s="215">
        <v>58</v>
      </c>
      <c r="B61" s="216" t="s">
        <v>1397</v>
      </c>
      <c r="C61" s="215">
        <v>2</v>
      </c>
      <c r="D61" s="422">
        <v>29000</v>
      </c>
      <c r="E61" s="422">
        <f t="shared" si="2"/>
        <v>58000</v>
      </c>
      <c r="F61" s="216" t="s">
        <v>423</v>
      </c>
      <c r="G61" s="498" t="s">
        <v>464</v>
      </c>
      <c r="H61" s="498"/>
      <c r="I61" s="216" t="s">
        <v>1721</v>
      </c>
    </row>
    <row r="62" spans="1:9" s="216" customFormat="1" ht="23.25" customHeight="1">
      <c r="A62" s="215">
        <v>59</v>
      </c>
      <c r="B62" s="251" t="s">
        <v>1450</v>
      </c>
      <c r="C62" s="233">
        <v>1</v>
      </c>
      <c r="D62" s="250">
        <v>380000</v>
      </c>
      <c r="E62" s="328">
        <f t="shared" ref="E62:E66" si="3">D62</f>
        <v>380000</v>
      </c>
      <c r="F62" s="216" t="s">
        <v>721</v>
      </c>
      <c r="G62" s="498" t="s">
        <v>464</v>
      </c>
      <c r="H62" s="498"/>
      <c r="I62" s="216" t="s">
        <v>1721</v>
      </c>
    </row>
    <row r="63" spans="1:9" s="216" customFormat="1">
      <c r="A63" s="215">
        <v>60</v>
      </c>
      <c r="B63" s="1602" t="s">
        <v>1451</v>
      </c>
      <c r="C63" s="233">
        <v>1</v>
      </c>
      <c r="D63" s="250">
        <v>1605000</v>
      </c>
      <c r="E63" s="328">
        <f>D63</f>
        <v>1605000</v>
      </c>
      <c r="F63" s="216" t="s">
        <v>721</v>
      </c>
      <c r="G63" s="498" t="s">
        <v>464</v>
      </c>
      <c r="H63" s="498"/>
      <c r="I63" s="216" t="s">
        <v>1721</v>
      </c>
    </row>
    <row r="64" spans="1:9" s="216" customFormat="1" ht="24" customHeight="1">
      <c r="A64" s="215">
        <v>61</v>
      </c>
      <c r="B64" s="1603" t="s">
        <v>1452</v>
      </c>
      <c r="C64" s="233">
        <v>1</v>
      </c>
      <c r="D64" s="250">
        <v>950000</v>
      </c>
      <c r="E64" s="328">
        <f>D64</f>
        <v>950000</v>
      </c>
      <c r="F64" s="216" t="s">
        <v>721</v>
      </c>
      <c r="G64" s="498" t="s">
        <v>464</v>
      </c>
      <c r="H64" s="498"/>
      <c r="I64" s="216" t="s">
        <v>1721</v>
      </c>
    </row>
    <row r="65" spans="1:9" s="216" customFormat="1">
      <c r="A65" s="215">
        <v>62</v>
      </c>
      <c r="B65" s="1603" t="s">
        <v>1453</v>
      </c>
      <c r="C65" s="233">
        <v>1</v>
      </c>
      <c r="D65" s="250">
        <v>47910</v>
      </c>
      <c r="E65" s="328">
        <f>D65</f>
        <v>47910</v>
      </c>
      <c r="F65" s="216" t="s">
        <v>721</v>
      </c>
      <c r="G65" s="498" t="s">
        <v>464</v>
      </c>
      <c r="H65" s="498"/>
      <c r="I65" s="216" t="s">
        <v>1721</v>
      </c>
    </row>
    <row r="66" spans="1:9" s="216" customFormat="1">
      <c r="A66" s="215">
        <v>63</v>
      </c>
      <c r="B66" s="251" t="s">
        <v>2501</v>
      </c>
      <c r="C66" s="233">
        <v>1</v>
      </c>
      <c r="D66" s="250">
        <v>1600000</v>
      </c>
      <c r="E66" s="328">
        <f t="shared" si="3"/>
        <v>1600000</v>
      </c>
      <c r="F66" s="216" t="s">
        <v>721</v>
      </c>
      <c r="G66" s="498" t="s">
        <v>464</v>
      </c>
      <c r="H66" s="498"/>
      <c r="I66" s="216" t="s">
        <v>1721</v>
      </c>
    </row>
    <row r="67" spans="1:9" s="478" customFormat="1">
      <c r="A67" s="215">
        <v>64</v>
      </c>
      <c r="B67" s="390" t="s">
        <v>1293</v>
      </c>
      <c r="C67" s="479">
        <v>6</v>
      </c>
      <c r="D67" s="1537">
        <v>27500</v>
      </c>
      <c r="E67" s="1537">
        <v>165000</v>
      </c>
      <c r="F67" s="390" t="s">
        <v>1294</v>
      </c>
      <c r="G67" s="498" t="s">
        <v>464</v>
      </c>
      <c r="H67" s="498"/>
      <c r="I67" s="216" t="s">
        <v>1721</v>
      </c>
    </row>
    <row r="68" spans="1:9" s="478" customFormat="1">
      <c r="A68" s="215">
        <v>65</v>
      </c>
      <c r="B68" s="390" t="s">
        <v>1295</v>
      </c>
      <c r="C68" s="479">
        <v>2</v>
      </c>
      <c r="D68" s="1537">
        <v>19500</v>
      </c>
      <c r="E68" s="1537">
        <v>39000</v>
      </c>
      <c r="F68" s="390" t="s">
        <v>1294</v>
      </c>
      <c r="G68" s="498" t="s">
        <v>464</v>
      </c>
      <c r="H68" s="498"/>
      <c r="I68" s="216" t="s">
        <v>1721</v>
      </c>
    </row>
    <row r="69" spans="1:9" s="478" customFormat="1">
      <c r="A69" s="215">
        <v>66</v>
      </c>
      <c r="B69" s="390" t="s">
        <v>1296</v>
      </c>
      <c r="C69" s="479">
        <v>2</v>
      </c>
      <c r="D69" s="1537">
        <v>34000</v>
      </c>
      <c r="E69" s="1537">
        <v>68000</v>
      </c>
      <c r="F69" s="390" t="s">
        <v>1294</v>
      </c>
      <c r="G69" s="498" t="s">
        <v>464</v>
      </c>
      <c r="H69" s="498"/>
      <c r="I69" s="216" t="s">
        <v>1721</v>
      </c>
    </row>
    <row r="70" spans="1:9" s="478" customFormat="1">
      <c r="A70" s="215">
        <v>67</v>
      </c>
      <c r="B70" s="390" t="s">
        <v>1297</v>
      </c>
      <c r="C70" s="479">
        <v>6</v>
      </c>
      <c r="D70" s="1537">
        <v>18700</v>
      </c>
      <c r="E70" s="1537">
        <v>112200</v>
      </c>
      <c r="F70" s="390" t="s">
        <v>1294</v>
      </c>
      <c r="G70" s="498" t="s">
        <v>464</v>
      </c>
      <c r="H70" s="498"/>
      <c r="I70" s="216" t="s">
        <v>1721</v>
      </c>
    </row>
    <row r="71" spans="1:9" s="478" customFormat="1">
      <c r="A71" s="215">
        <v>68</v>
      </c>
      <c r="B71" s="390" t="s">
        <v>1298</v>
      </c>
      <c r="C71" s="479">
        <v>4</v>
      </c>
      <c r="D71" s="1537">
        <v>19500</v>
      </c>
      <c r="E71" s="1537">
        <v>78000</v>
      </c>
      <c r="F71" s="390" t="s">
        <v>1294</v>
      </c>
      <c r="G71" s="498" t="s">
        <v>464</v>
      </c>
      <c r="H71" s="498"/>
      <c r="I71" s="216" t="s">
        <v>1721</v>
      </c>
    </row>
    <row r="72" spans="1:9" s="478" customFormat="1">
      <c r="A72" s="215">
        <v>69</v>
      </c>
      <c r="B72" s="390" t="s">
        <v>1299</v>
      </c>
      <c r="C72" s="479">
        <v>6</v>
      </c>
      <c r="D72" s="1537">
        <v>43000</v>
      </c>
      <c r="E72" s="1537">
        <v>258000</v>
      </c>
      <c r="F72" s="390" t="s">
        <v>1294</v>
      </c>
      <c r="G72" s="498" t="s">
        <v>464</v>
      </c>
      <c r="H72" s="498"/>
      <c r="I72" s="216" t="s">
        <v>1721</v>
      </c>
    </row>
    <row r="73" spans="1:9" s="478" customFormat="1">
      <c r="A73" s="215">
        <v>70</v>
      </c>
      <c r="B73" s="390" t="s">
        <v>1300</v>
      </c>
      <c r="C73" s="479">
        <v>12</v>
      </c>
      <c r="D73" s="1537">
        <v>11700</v>
      </c>
      <c r="E73" s="1537">
        <v>140400</v>
      </c>
      <c r="F73" s="390" t="s">
        <v>1294</v>
      </c>
      <c r="G73" s="498" t="s">
        <v>464</v>
      </c>
      <c r="H73" s="498"/>
      <c r="I73" s="216" t="s">
        <v>1721</v>
      </c>
    </row>
    <row r="74" spans="1:9" s="478" customFormat="1">
      <c r="A74" s="215">
        <v>71</v>
      </c>
      <c r="B74" s="390" t="s">
        <v>1319</v>
      </c>
      <c r="C74" s="479">
        <v>12</v>
      </c>
      <c r="D74" s="1537">
        <v>12700</v>
      </c>
      <c r="E74" s="1537">
        <v>152400</v>
      </c>
      <c r="F74" s="390" t="s">
        <v>1320</v>
      </c>
      <c r="G74" s="498" t="s">
        <v>464</v>
      </c>
      <c r="H74" s="498"/>
      <c r="I74" s="216" t="s">
        <v>1721</v>
      </c>
    </row>
    <row r="75" spans="1:9" s="478" customFormat="1">
      <c r="A75" s="215">
        <v>72</v>
      </c>
      <c r="B75" s="390" t="s">
        <v>1321</v>
      </c>
      <c r="C75" s="479">
        <v>6</v>
      </c>
      <c r="D75" s="1537">
        <v>5400</v>
      </c>
      <c r="E75" s="1537">
        <v>32400</v>
      </c>
      <c r="F75" s="390" t="s">
        <v>1320</v>
      </c>
      <c r="G75" s="498" t="s">
        <v>464</v>
      </c>
      <c r="H75" s="498"/>
      <c r="I75" s="216" t="s">
        <v>1721</v>
      </c>
    </row>
    <row r="76" spans="1:9" s="478" customFormat="1">
      <c r="A76" s="215">
        <v>73</v>
      </c>
      <c r="B76" s="689" t="s">
        <v>476</v>
      </c>
      <c r="C76" s="1481">
        <v>1</v>
      </c>
      <c r="D76" s="1483">
        <v>15000</v>
      </c>
      <c r="E76" s="1484">
        <f t="shared" ref="E76:E83" si="4">+C76*D76</f>
        <v>15000</v>
      </c>
      <c r="F76" s="683" t="s">
        <v>445</v>
      </c>
      <c r="G76" s="498" t="s">
        <v>464</v>
      </c>
      <c r="H76" s="498"/>
      <c r="I76" s="216" t="s">
        <v>1721</v>
      </c>
    </row>
    <row r="77" spans="1:9" s="478" customFormat="1">
      <c r="A77" s="215">
        <v>74</v>
      </c>
      <c r="B77" s="683" t="s">
        <v>483</v>
      </c>
      <c r="C77" s="1481">
        <v>2</v>
      </c>
      <c r="D77" s="1483">
        <v>6500</v>
      </c>
      <c r="E77" s="1484">
        <f t="shared" si="4"/>
        <v>13000</v>
      </c>
      <c r="F77" s="683" t="s">
        <v>445</v>
      </c>
      <c r="G77" s="498" t="s">
        <v>464</v>
      </c>
      <c r="H77" s="498"/>
      <c r="I77" s="216" t="s">
        <v>1721</v>
      </c>
    </row>
    <row r="78" spans="1:9" s="478" customFormat="1">
      <c r="A78" s="215">
        <v>75</v>
      </c>
      <c r="B78" s="689" t="s">
        <v>477</v>
      </c>
      <c r="C78" s="1481">
        <v>1</v>
      </c>
      <c r="D78" s="1483">
        <v>10000</v>
      </c>
      <c r="E78" s="1484">
        <f t="shared" si="4"/>
        <v>10000</v>
      </c>
      <c r="F78" s="683" t="s">
        <v>445</v>
      </c>
      <c r="G78" s="498" t="s">
        <v>464</v>
      </c>
      <c r="H78" s="498"/>
      <c r="I78" s="216" t="s">
        <v>1721</v>
      </c>
    </row>
    <row r="79" spans="1:9" s="478" customFormat="1">
      <c r="A79" s="215">
        <v>76</v>
      </c>
      <c r="B79" s="682" t="s">
        <v>489</v>
      </c>
      <c r="C79" s="1481">
        <v>1</v>
      </c>
      <c r="D79" s="1483">
        <v>50000</v>
      </c>
      <c r="E79" s="1484">
        <f t="shared" si="4"/>
        <v>50000</v>
      </c>
      <c r="F79" s="683" t="s">
        <v>445</v>
      </c>
      <c r="G79" s="498" t="s">
        <v>464</v>
      </c>
      <c r="H79" s="498"/>
      <c r="I79" s="216" t="s">
        <v>1721</v>
      </c>
    </row>
    <row r="80" spans="1:9" s="478" customFormat="1">
      <c r="A80" s="215">
        <v>77</v>
      </c>
      <c r="B80" s="689" t="s">
        <v>2502</v>
      </c>
      <c r="C80" s="1481">
        <v>2</v>
      </c>
      <c r="D80" s="1483">
        <v>4500</v>
      </c>
      <c r="E80" s="1484">
        <f t="shared" si="4"/>
        <v>9000</v>
      </c>
      <c r="F80" s="683" t="s">
        <v>445</v>
      </c>
      <c r="G80" s="498" t="s">
        <v>464</v>
      </c>
      <c r="H80" s="498"/>
      <c r="I80" s="216" t="s">
        <v>1721</v>
      </c>
    </row>
    <row r="81" spans="1:10" s="478" customFormat="1">
      <c r="A81" s="215">
        <v>78</v>
      </c>
      <c r="B81" s="689" t="s">
        <v>484</v>
      </c>
      <c r="C81" s="1481">
        <v>2</v>
      </c>
      <c r="D81" s="1483">
        <v>3950</v>
      </c>
      <c r="E81" s="1484">
        <f t="shared" si="4"/>
        <v>7900</v>
      </c>
      <c r="F81" s="683" t="s">
        <v>445</v>
      </c>
      <c r="G81" s="498" t="s">
        <v>464</v>
      </c>
      <c r="H81" s="498"/>
      <c r="I81" s="216" t="s">
        <v>1721</v>
      </c>
    </row>
    <row r="82" spans="1:10" s="478" customFormat="1">
      <c r="A82" s="215">
        <v>79</v>
      </c>
      <c r="B82" s="685" t="s">
        <v>488</v>
      </c>
      <c r="C82" s="1481">
        <v>2</v>
      </c>
      <c r="D82" s="1483">
        <v>3950</v>
      </c>
      <c r="E82" s="1484">
        <f t="shared" si="4"/>
        <v>7900</v>
      </c>
      <c r="F82" s="683" t="s">
        <v>445</v>
      </c>
      <c r="G82" s="498" t="s">
        <v>464</v>
      </c>
      <c r="H82" s="498"/>
      <c r="I82" s="216" t="s">
        <v>1721</v>
      </c>
    </row>
    <row r="83" spans="1:10" s="478" customFormat="1">
      <c r="A83" s="215">
        <v>80</v>
      </c>
      <c r="B83" s="689" t="s">
        <v>478</v>
      </c>
      <c r="C83" s="1481">
        <v>1</v>
      </c>
      <c r="D83" s="1483">
        <v>4000</v>
      </c>
      <c r="E83" s="1484">
        <f t="shared" si="4"/>
        <v>4000</v>
      </c>
      <c r="F83" s="683" t="s">
        <v>445</v>
      </c>
      <c r="G83" s="498" t="s">
        <v>464</v>
      </c>
      <c r="H83" s="498"/>
      <c r="I83" s="216" t="s">
        <v>1721</v>
      </c>
    </row>
    <row r="84" spans="1:10" s="478" customFormat="1">
      <c r="A84" s="215">
        <v>81</v>
      </c>
      <c r="B84" s="390" t="s">
        <v>1324</v>
      </c>
      <c r="C84" s="479">
        <v>6</v>
      </c>
      <c r="D84" s="1537">
        <v>7500</v>
      </c>
      <c r="E84" s="1537">
        <v>45000</v>
      </c>
      <c r="F84" s="390" t="s">
        <v>1320</v>
      </c>
      <c r="G84" s="498" t="s">
        <v>464</v>
      </c>
      <c r="H84" s="498"/>
      <c r="I84" s="216" t="s">
        <v>1721</v>
      </c>
    </row>
    <row r="85" spans="1:10" s="478" customFormat="1">
      <c r="A85" s="215">
        <v>82</v>
      </c>
      <c r="B85" s="390" t="s">
        <v>1325</v>
      </c>
      <c r="C85" s="479">
        <v>6</v>
      </c>
      <c r="D85" s="1537">
        <v>2950</v>
      </c>
      <c r="E85" s="1537">
        <v>17700</v>
      </c>
      <c r="F85" s="390" t="s">
        <v>1320</v>
      </c>
      <c r="G85" s="498" t="s">
        <v>464</v>
      </c>
      <c r="H85" s="498"/>
      <c r="I85" s="216" t="s">
        <v>1721</v>
      </c>
    </row>
    <row r="86" spans="1:10" s="216" customFormat="1">
      <c r="A86" s="215">
        <v>83</v>
      </c>
      <c r="B86" s="221" t="s">
        <v>1303</v>
      </c>
      <c r="C86" s="215">
        <v>1</v>
      </c>
      <c r="D86" s="1538">
        <v>14400</v>
      </c>
      <c r="E86" s="1538">
        <v>14400</v>
      </c>
      <c r="F86" s="221" t="s">
        <v>958</v>
      </c>
      <c r="G86" s="498" t="s">
        <v>464</v>
      </c>
      <c r="H86" s="498"/>
      <c r="I86" s="216" t="s">
        <v>1721</v>
      </c>
    </row>
    <row r="87" spans="1:10" s="478" customFormat="1">
      <c r="A87" s="215">
        <v>84</v>
      </c>
      <c r="B87" s="390" t="s">
        <v>1331</v>
      </c>
      <c r="C87" s="479">
        <v>1</v>
      </c>
      <c r="D87" s="1537">
        <v>6955</v>
      </c>
      <c r="E87" s="1537">
        <v>6955</v>
      </c>
      <c r="F87" s="390" t="s">
        <v>614</v>
      </c>
      <c r="G87" s="498" t="s">
        <v>464</v>
      </c>
      <c r="H87" s="498"/>
      <c r="I87" s="216" t="s">
        <v>1721</v>
      </c>
    </row>
    <row r="88" spans="1:10" s="478" customFormat="1">
      <c r="A88" s="215">
        <v>85</v>
      </c>
      <c r="B88" s="478" t="s">
        <v>1337</v>
      </c>
      <c r="C88" s="479">
        <v>1</v>
      </c>
      <c r="D88" s="1535">
        <v>7400</v>
      </c>
      <c r="E88" s="1535">
        <f>+C88*D88</f>
        <v>7400</v>
      </c>
      <c r="F88" s="478" t="s">
        <v>614</v>
      </c>
      <c r="G88" s="498" t="s">
        <v>464</v>
      </c>
      <c r="H88" s="498"/>
      <c r="I88" s="216" t="s">
        <v>1721</v>
      </c>
    </row>
    <row r="89" spans="1:10" s="216" customFormat="1">
      <c r="A89" s="215">
        <v>86</v>
      </c>
      <c r="B89" s="251" t="s">
        <v>554</v>
      </c>
      <c r="C89" s="490">
        <v>1</v>
      </c>
      <c r="D89" s="468">
        <v>5100000</v>
      </c>
      <c r="E89" s="468">
        <f t="shared" ref="E89:E99" si="5">+C89*D89</f>
        <v>5100000</v>
      </c>
      <c r="F89" s="1477" t="s">
        <v>562</v>
      </c>
      <c r="G89" s="498" t="s">
        <v>464</v>
      </c>
      <c r="H89" s="498"/>
      <c r="I89" s="216" t="s">
        <v>490</v>
      </c>
      <c r="J89" s="216" t="s">
        <v>2467</v>
      </c>
    </row>
    <row r="90" spans="1:10" s="216" customFormat="1">
      <c r="A90" s="215">
        <v>87</v>
      </c>
      <c r="B90" s="251" t="s">
        <v>555</v>
      </c>
      <c r="C90" s="490">
        <v>1</v>
      </c>
      <c r="D90" s="468">
        <v>2800000</v>
      </c>
      <c r="E90" s="468">
        <f t="shared" si="5"/>
        <v>2800000</v>
      </c>
      <c r="F90" s="1477" t="s">
        <v>562</v>
      </c>
      <c r="G90" s="498" t="s">
        <v>464</v>
      </c>
      <c r="H90" s="498"/>
      <c r="I90" s="216" t="s">
        <v>490</v>
      </c>
      <c r="J90" s="216" t="s">
        <v>2467</v>
      </c>
    </row>
    <row r="91" spans="1:10" s="216" customFormat="1">
      <c r="A91" s="215">
        <v>88</v>
      </c>
      <c r="B91" s="251" t="s">
        <v>556</v>
      </c>
      <c r="C91" s="490">
        <v>1</v>
      </c>
      <c r="D91" s="468">
        <v>1400000</v>
      </c>
      <c r="E91" s="468">
        <f t="shared" si="5"/>
        <v>1400000</v>
      </c>
      <c r="F91" s="1477" t="s">
        <v>562</v>
      </c>
      <c r="G91" s="498" t="s">
        <v>464</v>
      </c>
      <c r="H91" s="498"/>
      <c r="I91" s="216" t="s">
        <v>490</v>
      </c>
      <c r="J91" s="216" t="s">
        <v>2467</v>
      </c>
    </row>
    <row r="92" spans="1:10" s="216" customFormat="1">
      <c r="A92" s="215">
        <v>89</v>
      </c>
      <c r="B92" s="251" t="s">
        <v>557</v>
      </c>
      <c r="C92" s="490">
        <v>2</v>
      </c>
      <c r="D92" s="468">
        <v>500000</v>
      </c>
      <c r="E92" s="468">
        <f t="shared" si="5"/>
        <v>1000000</v>
      </c>
      <c r="F92" s="1477" t="s">
        <v>562</v>
      </c>
      <c r="G92" s="498" t="s">
        <v>464</v>
      </c>
      <c r="H92" s="498"/>
      <c r="I92" s="216" t="s">
        <v>490</v>
      </c>
      <c r="J92" s="216" t="s">
        <v>2467</v>
      </c>
    </row>
    <row r="93" spans="1:10" s="216" customFormat="1">
      <c r="A93" s="215">
        <v>90</v>
      </c>
      <c r="B93" s="251" t="s">
        <v>558</v>
      </c>
      <c r="C93" s="490">
        <v>2</v>
      </c>
      <c r="D93" s="468">
        <v>370000</v>
      </c>
      <c r="E93" s="468">
        <f t="shared" si="5"/>
        <v>740000</v>
      </c>
      <c r="F93" s="1477" t="s">
        <v>562</v>
      </c>
      <c r="G93" s="498" t="s">
        <v>464</v>
      </c>
      <c r="H93" s="498"/>
      <c r="I93" s="216" t="s">
        <v>490</v>
      </c>
      <c r="J93" s="216" t="s">
        <v>2467</v>
      </c>
    </row>
    <row r="94" spans="1:10" s="216" customFormat="1">
      <c r="A94" s="215">
        <v>91</v>
      </c>
      <c r="B94" s="251" t="s">
        <v>1042</v>
      </c>
      <c r="C94" s="490">
        <v>1</v>
      </c>
      <c r="D94" s="468">
        <v>2200000</v>
      </c>
      <c r="E94" s="468">
        <f t="shared" si="5"/>
        <v>2200000</v>
      </c>
      <c r="F94" s="1477" t="s">
        <v>562</v>
      </c>
      <c r="G94" s="498" t="s">
        <v>464</v>
      </c>
      <c r="H94" s="498"/>
      <c r="I94" s="216" t="s">
        <v>490</v>
      </c>
      <c r="J94" s="216" t="s">
        <v>2467</v>
      </c>
    </row>
    <row r="95" spans="1:10" s="216" customFormat="1">
      <c r="A95" s="215">
        <v>92</v>
      </c>
      <c r="B95" s="251" t="s">
        <v>559</v>
      </c>
      <c r="C95" s="490">
        <v>1</v>
      </c>
      <c r="D95" s="468">
        <v>1800000</v>
      </c>
      <c r="E95" s="468">
        <f t="shared" si="5"/>
        <v>1800000</v>
      </c>
      <c r="F95" s="1477" t="s">
        <v>562</v>
      </c>
      <c r="G95" s="498" t="s">
        <v>464</v>
      </c>
      <c r="H95" s="498"/>
      <c r="I95" s="216" t="s">
        <v>490</v>
      </c>
      <c r="J95" s="216" t="s">
        <v>2467</v>
      </c>
    </row>
    <row r="96" spans="1:10" s="216" customFormat="1">
      <c r="A96" s="215">
        <v>93</v>
      </c>
      <c r="B96" s="251" t="s">
        <v>560</v>
      </c>
      <c r="C96" s="490">
        <v>1</v>
      </c>
      <c r="D96" s="468">
        <v>2000000</v>
      </c>
      <c r="E96" s="468">
        <f t="shared" si="5"/>
        <v>2000000</v>
      </c>
      <c r="F96" s="1477" t="s">
        <v>563</v>
      </c>
      <c r="G96" s="498" t="s">
        <v>464</v>
      </c>
      <c r="H96" s="498"/>
      <c r="I96" s="216" t="s">
        <v>490</v>
      </c>
      <c r="J96" s="216" t="s">
        <v>2467</v>
      </c>
    </row>
    <row r="97" spans="1:10" s="216" customFormat="1" ht="21.75" customHeight="1">
      <c r="A97" s="215">
        <v>94</v>
      </c>
      <c r="B97" s="251" t="s">
        <v>1032</v>
      </c>
      <c r="C97" s="490">
        <v>1</v>
      </c>
      <c r="D97" s="1764">
        <v>890000</v>
      </c>
      <c r="E97" s="468">
        <f t="shared" si="5"/>
        <v>890000</v>
      </c>
      <c r="F97" s="1477" t="s">
        <v>562</v>
      </c>
      <c r="G97" s="498" t="s">
        <v>464</v>
      </c>
      <c r="H97" s="498"/>
      <c r="I97" s="216" t="s">
        <v>490</v>
      </c>
      <c r="J97" s="216" t="s">
        <v>2467</v>
      </c>
    </row>
    <row r="98" spans="1:10" s="216" customFormat="1">
      <c r="A98" s="215">
        <v>95</v>
      </c>
      <c r="B98" s="251" t="s">
        <v>1033</v>
      </c>
      <c r="C98" s="490">
        <v>1</v>
      </c>
      <c r="D98" s="1764">
        <v>268000</v>
      </c>
      <c r="E98" s="468">
        <f t="shared" si="5"/>
        <v>268000</v>
      </c>
      <c r="F98" s="1477" t="s">
        <v>562</v>
      </c>
      <c r="G98" s="498" t="s">
        <v>464</v>
      </c>
      <c r="H98" s="498"/>
      <c r="I98" s="216" t="s">
        <v>490</v>
      </c>
      <c r="J98" s="216" t="s">
        <v>2467</v>
      </c>
    </row>
    <row r="99" spans="1:10" s="478" customFormat="1">
      <c r="A99" s="215">
        <v>96</v>
      </c>
      <c r="B99" s="684" t="s">
        <v>1034</v>
      </c>
      <c r="C99" s="1488">
        <v>1</v>
      </c>
      <c r="D99" s="1494">
        <v>1832600</v>
      </c>
      <c r="E99" s="467">
        <f t="shared" si="5"/>
        <v>1832600</v>
      </c>
      <c r="F99" s="683" t="s">
        <v>562</v>
      </c>
      <c r="G99" s="498" t="s">
        <v>464</v>
      </c>
      <c r="H99" s="498"/>
      <c r="I99" s="478" t="s">
        <v>1517</v>
      </c>
      <c r="J99" s="216" t="s">
        <v>2467</v>
      </c>
    </row>
    <row r="100" spans="1:10" s="478" customFormat="1">
      <c r="A100" s="215">
        <v>97</v>
      </c>
      <c r="B100" s="498" t="s">
        <v>1507</v>
      </c>
      <c r="C100" s="495">
        <v>1</v>
      </c>
      <c r="D100" s="1474">
        <v>498000</v>
      </c>
      <c r="E100" s="1474">
        <f>+C100*D100</f>
        <v>498000</v>
      </c>
      <c r="F100" s="498" t="s">
        <v>736</v>
      </c>
      <c r="G100" s="498" t="s">
        <v>464</v>
      </c>
      <c r="H100" s="498"/>
      <c r="J100" s="478" t="s">
        <v>1002</v>
      </c>
    </row>
    <row r="101" spans="1:10" s="478" customFormat="1">
      <c r="A101" s="215">
        <v>98</v>
      </c>
      <c r="B101" s="305" t="s">
        <v>1578</v>
      </c>
      <c r="C101" s="306">
        <v>10</v>
      </c>
      <c r="D101" s="2422">
        <v>8700</v>
      </c>
      <c r="E101" s="2422">
        <f>+C101*D101</f>
        <v>87000</v>
      </c>
      <c r="F101" s="305" t="s">
        <v>1579</v>
      </c>
      <c r="G101" s="498" t="s">
        <v>464</v>
      </c>
      <c r="H101" s="498"/>
      <c r="J101" s="478" t="s">
        <v>1002</v>
      </c>
    </row>
    <row r="102" spans="1:10" s="216" customFormat="1" ht="42">
      <c r="A102" s="215">
        <v>99</v>
      </c>
      <c r="B102" s="309" t="s">
        <v>1321</v>
      </c>
      <c r="C102" s="310">
        <v>5</v>
      </c>
      <c r="D102" s="2419">
        <v>5400</v>
      </c>
      <c r="E102" s="2419">
        <f>C102*D102</f>
        <v>27000</v>
      </c>
      <c r="F102" s="2420" t="s">
        <v>2016</v>
      </c>
      <c r="G102" s="498" t="s">
        <v>464</v>
      </c>
      <c r="H102" s="498"/>
      <c r="J102" s="478" t="s">
        <v>1002</v>
      </c>
    </row>
    <row r="103" spans="1:10" s="216" customFormat="1" ht="42">
      <c r="A103" s="215">
        <v>100</v>
      </c>
      <c r="B103" s="309" t="s">
        <v>1582</v>
      </c>
      <c r="C103" s="310">
        <v>8</v>
      </c>
      <c r="D103" s="2419">
        <v>12700</v>
      </c>
      <c r="E103" s="2419">
        <f>C103*D103</f>
        <v>101600</v>
      </c>
      <c r="F103" s="2420" t="s">
        <v>2017</v>
      </c>
      <c r="G103" s="498" t="s">
        <v>464</v>
      </c>
      <c r="H103" s="498"/>
      <c r="J103" s="478" t="s">
        <v>1002</v>
      </c>
    </row>
    <row r="104" spans="1:10" s="216" customFormat="1" ht="42">
      <c r="A104" s="215">
        <v>101</v>
      </c>
      <c r="B104" s="312" t="s">
        <v>2483</v>
      </c>
      <c r="C104" s="310">
        <v>8</v>
      </c>
      <c r="D104" s="2457">
        <v>7500</v>
      </c>
      <c r="E104" s="2419">
        <f>C104*D104</f>
        <v>60000</v>
      </c>
      <c r="F104" s="2420" t="s">
        <v>2017</v>
      </c>
      <c r="G104" s="498" t="s">
        <v>464</v>
      </c>
      <c r="H104" s="498"/>
      <c r="J104" s="478" t="s">
        <v>1002</v>
      </c>
    </row>
    <row r="105" spans="1:10" s="478" customFormat="1">
      <c r="A105" s="215">
        <v>102</v>
      </c>
      <c r="B105" s="305" t="s">
        <v>1585</v>
      </c>
      <c r="C105" s="306">
        <v>4</v>
      </c>
      <c r="D105" s="2422">
        <v>9700</v>
      </c>
      <c r="E105" s="2422">
        <f t="shared" ref="E105:E118" si="6">+C105*D105</f>
        <v>38800</v>
      </c>
      <c r="F105" s="1856" t="s">
        <v>1532</v>
      </c>
      <c r="G105" s="498" t="s">
        <v>464</v>
      </c>
      <c r="H105" s="498"/>
      <c r="J105" s="478" t="s">
        <v>1002</v>
      </c>
    </row>
    <row r="106" spans="1:10" s="478" customFormat="1">
      <c r="A106" s="215">
        <v>103</v>
      </c>
      <c r="B106" s="305" t="s">
        <v>1586</v>
      </c>
      <c r="C106" s="306">
        <v>2</v>
      </c>
      <c r="D106" s="2437">
        <v>15000</v>
      </c>
      <c r="E106" s="2437">
        <f t="shared" si="6"/>
        <v>30000</v>
      </c>
      <c r="F106" s="1856" t="s">
        <v>1587</v>
      </c>
      <c r="G106" s="498" t="s">
        <v>464</v>
      </c>
      <c r="H106" s="498"/>
      <c r="J106" s="478" t="s">
        <v>1002</v>
      </c>
    </row>
    <row r="107" spans="1:10" s="478" customFormat="1">
      <c r="A107" s="215">
        <v>104</v>
      </c>
      <c r="B107" s="305" t="s">
        <v>1588</v>
      </c>
      <c r="C107" s="306">
        <v>6</v>
      </c>
      <c r="D107" s="2422">
        <v>7275</v>
      </c>
      <c r="E107" s="2422">
        <f t="shared" si="6"/>
        <v>43650</v>
      </c>
      <c r="F107" s="1856" t="s">
        <v>1579</v>
      </c>
      <c r="G107" s="498" t="s">
        <v>464</v>
      </c>
      <c r="H107" s="498"/>
      <c r="J107" s="478" t="s">
        <v>1002</v>
      </c>
    </row>
    <row r="108" spans="1:10" s="478" customFormat="1">
      <c r="A108" s="215">
        <v>105</v>
      </c>
      <c r="B108" s="305" t="s">
        <v>1589</v>
      </c>
      <c r="C108" s="306">
        <v>1</v>
      </c>
      <c r="D108" s="2422">
        <v>18000</v>
      </c>
      <c r="E108" s="2422">
        <f t="shared" si="6"/>
        <v>18000</v>
      </c>
      <c r="F108" s="1856" t="s">
        <v>1579</v>
      </c>
      <c r="G108" s="498" t="s">
        <v>464</v>
      </c>
      <c r="H108" s="498"/>
      <c r="J108" s="478" t="s">
        <v>1002</v>
      </c>
    </row>
    <row r="109" spans="1:10" s="478" customFormat="1">
      <c r="A109" s="215">
        <v>106</v>
      </c>
      <c r="B109" s="305" t="s">
        <v>1590</v>
      </c>
      <c r="C109" s="306">
        <v>1</v>
      </c>
      <c r="D109" s="2422">
        <v>35000</v>
      </c>
      <c r="E109" s="2422">
        <f t="shared" si="6"/>
        <v>35000</v>
      </c>
      <c r="F109" s="1856" t="s">
        <v>1579</v>
      </c>
      <c r="G109" s="498" t="s">
        <v>464</v>
      </c>
      <c r="H109" s="498"/>
      <c r="J109" s="478" t="s">
        <v>1002</v>
      </c>
    </row>
    <row r="110" spans="1:10" s="478" customFormat="1">
      <c r="A110" s="215">
        <v>107</v>
      </c>
      <c r="B110" s="305" t="s">
        <v>1591</v>
      </c>
      <c r="C110" s="306">
        <v>5</v>
      </c>
      <c r="D110" s="2422">
        <v>35000</v>
      </c>
      <c r="E110" s="2422">
        <f t="shared" si="6"/>
        <v>175000</v>
      </c>
      <c r="F110" s="1856" t="s">
        <v>1592</v>
      </c>
      <c r="G110" s="498" t="s">
        <v>464</v>
      </c>
      <c r="H110" s="498"/>
      <c r="J110" s="478" t="s">
        <v>1002</v>
      </c>
    </row>
    <row r="111" spans="1:10" s="478" customFormat="1">
      <c r="A111" s="215">
        <v>108</v>
      </c>
      <c r="B111" s="305" t="s">
        <v>1593</v>
      </c>
      <c r="C111" s="306">
        <v>8</v>
      </c>
      <c r="D111" s="2422">
        <v>7566</v>
      </c>
      <c r="E111" s="2422">
        <f t="shared" si="6"/>
        <v>60528</v>
      </c>
      <c r="F111" s="1856" t="s">
        <v>1579</v>
      </c>
      <c r="G111" s="498" t="s">
        <v>464</v>
      </c>
      <c r="H111" s="498"/>
      <c r="J111" s="478" t="s">
        <v>1002</v>
      </c>
    </row>
    <row r="112" spans="1:10" s="478" customFormat="1">
      <c r="A112" s="215">
        <v>109</v>
      </c>
      <c r="B112" s="305" t="s">
        <v>1594</v>
      </c>
      <c r="C112" s="306">
        <v>2</v>
      </c>
      <c r="D112" s="2422">
        <v>16000</v>
      </c>
      <c r="E112" s="2422">
        <f t="shared" si="6"/>
        <v>32000</v>
      </c>
      <c r="F112" s="1856" t="s">
        <v>1579</v>
      </c>
      <c r="G112" s="498" t="s">
        <v>464</v>
      </c>
      <c r="H112" s="498"/>
      <c r="J112" s="478" t="s">
        <v>1002</v>
      </c>
    </row>
    <row r="113" spans="1:10" s="478" customFormat="1">
      <c r="A113" s="215">
        <v>110</v>
      </c>
      <c r="B113" s="305" t="s">
        <v>1595</v>
      </c>
      <c r="C113" s="306">
        <v>2</v>
      </c>
      <c r="D113" s="2422">
        <v>28000</v>
      </c>
      <c r="E113" s="2422">
        <f t="shared" si="6"/>
        <v>56000</v>
      </c>
      <c r="F113" s="1856" t="s">
        <v>1579</v>
      </c>
      <c r="G113" s="498" t="s">
        <v>464</v>
      </c>
      <c r="H113" s="498"/>
      <c r="J113" s="478" t="s">
        <v>1002</v>
      </c>
    </row>
    <row r="114" spans="1:10" s="478" customFormat="1">
      <c r="A114" s="215">
        <v>111</v>
      </c>
      <c r="B114" s="305" t="s">
        <v>1596</v>
      </c>
      <c r="C114" s="306">
        <v>4</v>
      </c>
      <c r="D114" s="2422">
        <v>6300</v>
      </c>
      <c r="E114" s="2422">
        <f t="shared" si="6"/>
        <v>25200</v>
      </c>
      <c r="F114" s="1856" t="s">
        <v>1579</v>
      </c>
      <c r="G114" s="498" t="s">
        <v>464</v>
      </c>
      <c r="H114" s="498"/>
      <c r="J114" s="478" t="s">
        <v>1002</v>
      </c>
    </row>
    <row r="115" spans="1:10" s="478" customFormat="1">
      <c r="A115" s="215">
        <v>112</v>
      </c>
      <c r="B115" s="305" t="s">
        <v>1597</v>
      </c>
      <c r="C115" s="306">
        <v>2</v>
      </c>
      <c r="D115" s="2422">
        <v>45000</v>
      </c>
      <c r="E115" s="2422">
        <f t="shared" si="6"/>
        <v>90000</v>
      </c>
      <c r="F115" s="1856" t="s">
        <v>1579</v>
      </c>
      <c r="G115" s="498" t="s">
        <v>464</v>
      </c>
      <c r="H115" s="498"/>
      <c r="J115" s="478" t="s">
        <v>1002</v>
      </c>
    </row>
    <row r="116" spans="1:10" s="478" customFormat="1">
      <c r="A116" s="215">
        <v>113</v>
      </c>
      <c r="B116" s="305" t="s">
        <v>1598</v>
      </c>
      <c r="C116" s="306">
        <v>1</v>
      </c>
      <c r="D116" s="2437">
        <v>260000</v>
      </c>
      <c r="E116" s="2422">
        <f t="shared" si="6"/>
        <v>260000</v>
      </c>
      <c r="F116" s="1856" t="s">
        <v>1532</v>
      </c>
      <c r="G116" s="498" t="s">
        <v>464</v>
      </c>
      <c r="H116" s="498"/>
      <c r="J116" s="478" t="s">
        <v>1002</v>
      </c>
    </row>
    <row r="117" spans="1:10" s="478" customFormat="1">
      <c r="A117" s="215">
        <v>114</v>
      </c>
      <c r="B117" s="305" t="s">
        <v>1599</v>
      </c>
      <c r="C117" s="306">
        <v>18</v>
      </c>
      <c r="D117" s="2422">
        <v>110000</v>
      </c>
      <c r="E117" s="2422">
        <f t="shared" si="6"/>
        <v>1980000</v>
      </c>
      <c r="F117" s="1856" t="s">
        <v>1579</v>
      </c>
      <c r="G117" s="498" t="s">
        <v>464</v>
      </c>
      <c r="H117" s="498"/>
      <c r="J117" s="478" t="s">
        <v>1002</v>
      </c>
    </row>
    <row r="118" spans="1:10" s="478" customFormat="1">
      <c r="A118" s="215">
        <v>115</v>
      </c>
      <c r="B118" s="305" t="s">
        <v>1600</v>
      </c>
      <c r="C118" s="306">
        <v>7</v>
      </c>
      <c r="D118" s="2422">
        <v>2619</v>
      </c>
      <c r="E118" s="2422">
        <f t="shared" si="6"/>
        <v>18333</v>
      </c>
      <c r="F118" s="1856" t="s">
        <v>1579</v>
      </c>
      <c r="G118" s="498" t="s">
        <v>464</v>
      </c>
      <c r="H118" s="498"/>
      <c r="J118" s="478" t="s">
        <v>1002</v>
      </c>
    </row>
    <row r="119" spans="1:10" s="478" customFormat="1">
      <c r="A119" s="215">
        <v>116</v>
      </c>
      <c r="B119" s="305" t="s">
        <v>1603</v>
      </c>
      <c r="C119" s="306">
        <v>1</v>
      </c>
      <c r="D119" s="2422">
        <v>3910850</v>
      </c>
      <c r="E119" s="2422">
        <v>3910850</v>
      </c>
      <c r="F119" s="1856" t="s">
        <v>1567</v>
      </c>
      <c r="G119" s="498" t="s">
        <v>464</v>
      </c>
      <c r="H119" s="498"/>
      <c r="J119" s="478" t="s">
        <v>1002</v>
      </c>
    </row>
    <row r="120" spans="1:10" s="478" customFormat="1">
      <c r="A120" s="215">
        <v>117</v>
      </c>
      <c r="B120" s="297" t="s">
        <v>1604</v>
      </c>
      <c r="C120" s="2451">
        <v>1</v>
      </c>
      <c r="D120" s="1840">
        <v>99000</v>
      </c>
      <c r="E120" s="2422">
        <f t="shared" ref="E120:E125" si="7">+C120*D120</f>
        <v>99000</v>
      </c>
      <c r="F120" s="478" t="s">
        <v>963</v>
      </c>
      <c r="G120" s="498" t="s">
        <v>464</v>
      </c>
      <c r="H120" s="498"/>
      <c r="J120" s="478" t="s">
        <v>1002</v>
      </c>
    </row>
    <row r="121" spans="1:10" s="478" customFormat="1">
      <c r="A121" s="215">
        <v>118</v>
      </c>
      <c r="B121" s="297" t="s">
        <v>1605</v>
      </c>
      <c r="C121" s="2451">
        <v>6</v>
      </c>
      <c r="D121" s="1840">
        <v>15000</v>
      </c>
      <c r="E121" s="2422">
        <f t="shared" si="7"/>
        <v>90000</v>
      </c>
      <c r="F121" s="478" t="s">
        <v>963</v>
      </c>
      <c r="G121" s="498" t="s">
        <v>464</v>
      </c>
      <c r="H121" s="498"/>
      <c r="J121" s="478" t="s">
        <v>1002</v>
      </c>
    </row>
    <row r="122" spans="1:10" s="478" customFormat="1">
      <c r="A122" s="215">
        <v>119</v>
      </c>
      <c r="B122" s="297" t="s">
        <v>1606</v>
      </c>
      <c r="C122" s="2451">
        <v>1</v>
      </c>
      <c r="D122" s="1840">
        <v>24600</v>
      </c>
      <c r="E122" s="2422">
        <f t="shared" si="7"/>
        <v>24600</v>
      </c>
      <c r="F122" s="478" t="s">
        <v>963</v>
      </c>
      <c r="G122" s="498" t="s">
        <v>464</v>
      </c>
      <c r="H122" s="498"/>
      <c r="J122" s="478" t="s">
        <v>1002</v>
      </c>
    </row>
    <row r="123" spans="1:10" s="478" customFormat="1">
      <c r="A123" s="215">
        <v>120</v>
      </c>
      <c r="B123" s="297" t="s">
        <v>1607</v>
      </c>
      <c r="C123" s="2451">
        <v>1</v>
      </c>
      <c r="D123" s="1840">
        <v>8600</v>
      </c>
      <c r="E123" s="2422">
        <f t="shared" si="7"/>
        <v>8600</v>
      </c>
      <c r="F123" s="478" t="s">
        <v>963</v>
      </c>
      <c r="G123" s="498" t="s">
        <v>464</v>
      </c>
      <c r="H123" s="498"/>
      <c r="J123" s="478" t="s">
        <v>1002</v>
      </c>
    </row>
    <row r="124" spans="1:10" s="478" customFormat="1">
      <c r="A124" s="215">
        <v>121</v>
      </c>
      <c r="B124" s="297" t="s">
        <v>1608</v>
      </c>
      <c r="C124" s="2451">
        <v>3</v>
      </c>
      <c r="D124" s="1840">
        <v>6000</v>
      </c>
      <c r="E124" s="2422">
        <f t="shared" si="7"/>
        <v>18000</v>
      </c>
      <c r="F124" s="478" t="s">
        <v>963</v>
      </c>
      <c r="G124" s="498" t="s">
        <v>464</v>
      </c>
      <c r="H124" s="498"/>
      <c r="J124" s="478" t="s">
        <v>1002</v>
      </c>
    </row>
    <row r="125" spans="1:10" s="478" customFormat="1">
      <c r="A125" s="215">
        <v>122</v>
      </c>
      <c r="B125" s="297" t="s">
        <v>1609</v>
      </c>
      <c r="C125" s="2451">
        <v>8</v>
      </c>
      <c r="D125" s="1840">
        <v>2000</v>
      </c>
      <c r="E125" s="2422">
        <f t="shared" si="7"/>
        <v>16000</v>
      </c>
      <c r="F125" s="478" t="s">
        <v>963</v>
      </c>
      <c r="G125" s="498" t="s">
        <v>464</v>
      </c>
      <c r="H125" s="498"/>
      <c r="J125" s="478" t="s">
        <v>1002</v>
      </c>
    </row>
    <row r="126" spans="1:10" s="478" customFormat="1">
      <c r="A126" s="215">
        <v>123</v>
      </c>
      <c r="B126" s="297" t="s">
        <v>1577</v>
      </c>
      <c r="C126" s="2451">
        <v>1</v>
      </c>
      <c r="D126" s="1840">
        <v>500000</v>
      </c>
      <c r="E126" s="2422">
        <f>+C126*D126</f>
        <v>500000</v>
      </c>
      <c r="F126" s="478" t="s">
        <v>422</v>
      </c>
      <c r="G126" s="498" t="s">
        <v>464</v>
      </c>
      <c r="H126" s="498"/>
      <c r="J126" s="478" t="s">
        <v>1002</v>
      </c>
    </row>
    <row r="127" spans="1:10" s="478" customFormat="1">
      <c r="A127" s="215">
        <v>124</v>
      </c>
      <c r="B127" s="478" t="s">
        <v>1745</v>
      </c>
      <c r="C127" s="479">
        <v>1</v>
      </c>
      <c r="D127" s="1537">
        <v>3800000</v>
      </c>
      <c r="E127" s="1537">
        <v>3800000</v>
      </c>
      <c r="F127" s="478" t="s">
        <v>614</v>
      </c>
      <c r="G127" s="498" t="s">
        <v>464</v>
      </c>
      <c r="H127" s="498"/>
      <c r="I127" s="478" t="s">
        <v>2337</v>
      </c>
      <c r="J127" s="478" t="s">
        <v>1905</v>
      </c>
    </row>
    <row r="128" spans="1:10" s="478" customFormat="1">
      <c r="A128" s="215">
        <v>125</v>
      </c>
      <c r="B128" s="478" t="s">
        <v>1746</v>
      </c>
      <c r="C128" s="479">
        <v>1</v>
      </c>
      <c r="D128" s="1537">
        <v>202658</v>
      </c>
      <c r="E128" s="1537">
        <v>202658</v>
      </c>
      <c r="F128" s="478" t="s">
        <v>1872</v>
      </c>
      <c r="G128" s="498" t="s">
        <v>464</v>
      </c>
      <c r="H128" s="498"/>
      <c r="I128" s="478" t="s">
        <v>2338</v>
      </c>
      <c r="J128" s="478" t="s">
        <v>1905</v>
      </c>
    </row>
    <row r="129" spans="1:10" s="478" customFormat="1">
      <c r="A129" s="215">
        <v>126</v>
      </c>
      <c r="B129" s="478" t="s">
        <v>200</v>
      </c>
      <c r="C129" s="479">
        <v>1</v>
      </c>
      <c r="D129" s="1537">
        <v>120000</v>
      </c>
      <c r="E129" s="1537">
        <v>120000</v>
      </c>
      <c r="F129" s="478" t="s">
        <v>1872</v>
      </c>
      <c r="G129" s="498" t="s">
        <v>464</v>
      </c>
      <c r="H129" s="498"/>
      <c r="I129" s="478" t="s">
        <v>2339</v>
      </c>
      <c r="J129" s="478" t="s">
        <v>1905</v>
      </c>
    </row>
    <row r="130" spans="1:10" s="478" customFormat="1">
      <c r="A130" s="215">
        <v>127</v>
      </c>
      <c r="B130" s="478" t="s">
        <v>1750</v>
      </c>
      <c r="C130" s="479">
        <v>2</v>
      </c>
      <c r="D130" s="1537">
        <v>160000</v>
      </c>
      <c r="E130" s="1537">
        <v>320000</v>
      </c>
      <c r="F130" s="478" t="s">
        <v>949</v>
      </c>
      <c r="G130" s="498" t="s">
        <v>464</v>
      </c>
      <c r="H130" s="498"/>
      <c r="I130" s="478" t="s">
        <v>2342</v>
      </c>
      <c r="J130" s="478" t="s">
        <v>1905</v>
      </c>
    </row>
    <row r="131" spans="1:10" s="478" customFormat="1">
      <c r="A131" s="215">
        <v>128</v>
      </c>
      <c r="B131" s="478" t="s">
        <v>1755</v>
      </c>
      <c r="C131" s="479">
        <v>1</v>
      </c>
      <c r="D131" s="1537">
        <v>15000</v>
      </c>
      <c r="E131" s="1537">
        <v>15000</v>
      </c>
      <c r="F131" s="478" t="s">
        <v>853</v>
      </c>
      <c r="G131" s="498" t="s">
        <v>464</v>
      </c>
      <c r="H131" s="498"/>
      <c r="I131" s="478" t="s">
        <v>2347</v>
      </c>
      <c r="J131" s="478" t="s">
        <v>1905</v>
      </c>
    </row>
    <row r="132" spans="1:10" s="478" customFormat="1">
      <c r="A132" s="215">
        <v>129</v>
      </c>
      <c r="B132" s="478" t="s">
        <v>1756</v>
      </c>
      <c r="C132" s="479">
        <v>1</v>
      </c>
      <c r="D132" s="1537">
        <v>30000</v>
      </c>
      <c r="E132" s="1537">
        <v>30000</v>
      </c>
      <c r="F132" s="478" t="s">
        <v>1875</v>
      </c>
      <c r="G132" s="498" t="s">
        <v>464</v>
      </c>
      <c r="H132" s="498"/>
      <c r="I132" s="478" t="s">
        <v>2348</v>
      </c>
      <c r="J132" s="478" t="s">
        <v>1905</v>
      </c>
    </row>
    <row r="133" spans="1:10" s="478" customFormat="1">
      <c r="A133" s="215">
        <v>130</v>
      </c>
      <c r="B133" s="478" t="s">
        <v>1757</v>
      </c>
      <c r="C133" s="479">
        <v>2</v>
      </c>
      <c r="D133" s="1537">
        <v>40000</v>
      </c>
      <c r="E133" s="1537">
        <v>80000</v>
      </c>
      <c r="F133" s="478" t="s">
        <v>472</v>
      </c>
      <c r="G133" s="498" t="s">
        <v>464</v>
      </c>
      <c r="H133" s="498"/>
      <c r="I133" s="478" t="s">
        <v>2349</v>
      </c>
      <c r="J133" s="478" t="s">
        <v>1905</v>
      </c>
    </row>
    <row r="134" spans="1:10" s="478" customFormat="1">
      <c r="A134" s="215">
        <v>131</v>
      </c>
      <c r="B134" s="478" t="s">
        <v>1759</v>
      </c>
      <c r="C134" s="479">
        <v>2</v>
      </c>
      <c r="D134" s="1537">
        <v>260000</v>
      </c>
      <c r="E134" s="1537">
        <v>520000</v>
      </c>
      <c r="F134" s="478" t="s">
        <v>1876</v>
      </c>
      <c r="G134" s="498" t="s">
        <v>464</v>
      </c>
      <c r="H134" s="498"/>
      <c r="I134" s="478" t="s">
        <v>2351</v>
      </c>
      <c r="J134" s="478" t="s">
        <v>1905</v>
      </c>
    </row>
    <row r="135" spans="1:10" s="478" customFormat="1">
      <c r="A135" s="215">
        <v>132</v>
      </c>
      <c r="B135" s="478" t="s">
        <v>1760</v>
      </c>
      <c r="C135" s="479">
        <v>1</v>
      </c>
      <c r="D135" s="1537">
        <v>45000</v>
      </c>
      <c r="E135" s="1537">
        <v>45000</v>
      </c>
      <c r="F135" s="478" t="s">
        <v>1876</v>
      </c>
      <c r="G135" s="498" t="s">
        <v>464</v>
      </c>
      <c r="H135" s="498"/>
      <c r="I135" s="478" t="s">
        <v>2351</v>
      </c>
      <c r="J135" s="478" t="s">
        <v>1905</v>
      </c>
    </row>
    <row r="136" spans="1:10" s="478" customFormat="1">
      <c r="A136" s="215">
        <v>133</v>
      </c>
      <c r="B136" s="478" t="s">
        <v>803</v>
      </c>
      <c r="C136" s="479">
        <v>1</v>
      </c>
      <c r="D136" s="1537">
        <v>305000</v>
      </c>
      <c r="E136" s="1537">
        <v>305000</v>
      </c>
      <c r="F136" s="478" t="s">
        <v>1876</v>
      </c>
      <c r="G136" s="498" t="s">
        <v>464</v>
      </c>
      <c r="H136" s="498"/>
      <c r="I136" s="478" t="s">
        <v>2351</v>
      </c>
      <c r="J136" s="478" t="s">
        <v>1905</v>
      </c>
    </row>
    <row r="137" spans="1:10" s="478" customFormat="1">
      <c r="A137" s="215">
        <v>134</v>
      </c>
      <c r="B137" s="478" t="s">
        <v>1762</v>
      </c>
      <c r="C137" s="479">
        <v>7</v>
      </c>
      <c r="D137" s="1537">
        <v>3638</v>
      </c>
      <c r="E137" s="1537">
        <v>25466</v>
      </c>
      <c r="F137" s="478" t="s">
        <v>888</v>
      </c>
      <c r="G137" s="498" t="s">
        <v>464</v>
      </c>
      <c r="H137" s="498"/>
      <c r="I137" s="478" t="s">
        <v>2352</v>
      </c>
      <c r="J137" s="478" t="s">
        <v>1905</v>
      </c>
    </row>
    <row r="138" spans="1:10" s="478" customFormat="1">
      <c r="A138" s="215">
        <v>135</v>
      </c>
      <c r="B138" s="478" t="s">
        <v>556</v>
      </c>
      <c r="C138" s="479">
        <v>3</v>
      </c>
      <c r="D138" s="1537">
        <v>150000</v>
      </c>
      <c r="E138" s="1537">
        <v>450000</v>
      </c>
      <c r="F138" s="478" t="s">
        <v>948</v>
      </c>
      <c r="G138" s="498" t="s">
        <v>464</v>
      </c>
      <c r="H138" s="498"/>
      <c r="I138" s="478" t="s">
        <v>2353</v>
      </c>
      <c r="J138" s="478" t="s">
        <v>1905</v>
      </c>
    </row>
    <row r="139" spans="1:10" s="478" customFormat="1">
      <c r="A139" s="215">
        <v>136</v>
      </c>
      <c r="B139" s="478" t="s">
        <v>1763</v>
      </c>
      <c r="C139" s="479">
        <v>4</v>
      </c>
      <c r="D139" s="1537">
        <v>39000</v>
      </c>
      <c r="E139" s="1537">
        <v>156000</v>
      </c>
      <c r="F139" s="478" t="s">
        <v>1877</v>
      </c>
      <c r="G139" s="498" t="s">
        <v>464</v>
      </c>
      <c r="H139" s="498"/>
      <c r="I139" s="478" t="s">
        <v>2354</v>
      </c>
      <c r="J139" s="478" t="s">
        <v>1905</v>
      </c>
    </row>
    <row r="140" spans="1:10" s="478" customFormat="1">
      <c r="A140" s="215">
        <v>137</v>
      </c>
      <c r="B140" s="478" t="s">
        <v>1764</v>
      </c>
      <c r="C140" s="479">
        <v>4</v>
      </c>
      <c r="D140" s="1537">
        <v>39000</v>
      </c>
      <c r="E140" s="1537">
        <v>156000</v>
      </c>
      <c r="F140" s="478" t="s">
        <v>1877</v>
      </c>
      <c r="G140" s="498" t="s">
        <v>464</v>
      </c>
      <c r="H140" s="498"/>
      <c r="I140" s="478" t="s">
        <v>2354</v>
      </c>
      <c r="J140" s="478" t="s">
        <v>1905</v>
      </c>
    </row>
    <row r="141" spans="1:10" s="478" customFormat="1">
      <c r="A141" s="215">
        <v>138</v>
      </c>
      <c r="B141" s="478" t="s">
        <v>1765</v>
      </c>
      <c r="C141" s="479">
        <v>7</v>
      </c>
      <c r="D141" s="1537"/>
      <c r="E141" s="1537">
        <v>44000</v>
      </c>
      <c r="F141" s="478" t="s">
        <v>1877</v>
      </c>
      <c r="G141" s="498" t="s">
        <v>464</v>
      </c>
      <c r="H141" s="498"/>
      <c r="I141" s="478" t="s">
        <v>2354</v>
      </c>
      <c r="J141" s="478" t="s">
        <v>1905</v>
      </c>
    </row>
    <row r="142" spans="1:10" s="478" customFormat="1">
      <c r="A142" s="215">
        <v>139</v>
      </c>
      <c r="B142" s="478" t="s">
        <v>1766</v>
      </c>
      <c r="C142" s="479">
        <v>8</v>
      </c>
      <c r="D142" s="1537">
        <v>17500</v>
      </c>
      <c r="E142" s="1537">
        <v>140000</v>
      </c>
      <c r="F142" s="478" t="s">
        <v>1877</v>
      </c>
      <c r="G142" s="498" t="s">
        <v>464</v>
      </c>
      <c r="H142" s="498"/>
      <c r="I142" s="478" t="s">
        <v>2354</v>
      </c>
      <c r="J142" s="478" t="s">
        <v>1905</v>
      </c>
    </row>
    <row r="143" spans="1:10" s="478" customFormat="1">
      <c r="A143" s="215">
        <v>140</v>
      </c>
      <c r="B143" s="478" t="s">
        <v>1767</v>
      </c>
      <c r="C143" s="479">
        <v>11</v>
      </c>
      <c r="D143" s="1537"/>
      <c r="E143" s="1537">
        <v>28700</v>
      </c>
      <c r="F143" s="478" t="s">
        <v>1877</v>
      </c>
      <c r="G143" s="498" t="s">
        <v>464</v>
      </c>
      <c r="H143" s="498"/>
      <c r="I143" s="478" t="s">
        <v>2354</v>
      </c>
      <c r="J143" s="478" t="s">
        <v>1905</v>
      </c>
    </row>
    <row r="144" spans="1:10" s="478" customFormat="1">
      <c r="A144" s="215">
        <v>141</v>
      </c>
      <c r="B144" s="478" t="s">
        <v>1077</v>
      </c>
      <c r="C144" s="479">
        <v>7</v>
      </c>
      <c r="D144" s="1537">
        <v>1000</v>
      </c>
      <c r="E144" s="1537">
        <v>7000</v>
      </c>
      <c r="F144" s="478" t="s">
        <v>1877</v>
      </c>
      <c r="G144" s="498" t="s">
        <v>464</v>
      </c>
      <c r="H144" s="498"/>
      <c r="I144" s="478" t="s">
        <v>2354</v>
      </c>
      <c r="J144" s="478" t="s">
        <v>1905</v>
      </c>
    </row>
    <row r="145" spans="1:10" s="478" customFormat="1">
      <c r="A145" s="215">
        <v>142</v>
      </c>
      <c r="B145" s="478" t="s">
        <v>1768</v>
      </c>
      <c r="C145" s="479">
        <v>4</v>
      </c>
      <c r="D145" s="1537">
        <v>80250</v>
      </c>
      <c r="E145" s="1537">
        <v>321000</v>
      </c>
      <c r="F145" s="478" t="s">
        <v>1877</v>
      </c>
      <c r="G145" s="498" t="s">
        <v>464</v>
      </c>
      <c r="H145" s="498"/>
      <c r="I145" s="478" t="s">
        <v>2355</v>
      </c>
      <c r="J145" s="478" t="s">
        <v>1905</v>
      </c>
    </row>
    <row r="146" spans="1:10" s="478" customFormat="1">
      <c r="A146" s="215">
        <v>143</v>
      </c>
      <c r="B146" s="478" t="s">
        <v>1772</v>
      </c>
      <c r="C146" s="479">
        <v>1</v>
      </c>
      <c r="D146" s="1537">
        <v>750000</v>
      </c>
      <c r="E146" s="1537">
        <v>750000</v>
      </c>
      <c r="F146" s="478" t="s">
        <v>1436</v>
      </c>
      <c r="G146" s="498" t="s">
        <v>464</v>
      </c>
      <c r="H146" s="498"/>
      <c r="I146" s="478" t="s">
        <v>2290</v>
      </c>
      <c r="J146" s="478" t="s">
        <v>1905</v>
      </c>
    </row>
    <row r="147" spans="1:10" s="478" customFormat="1">
      <c r="A147" s="215">
        <v>144</v>
      </c>
      <c r="B147" s="478" t="s">
        <v>1773</v>
      </c>
      <c r="C147" s="479">
        <v>1</v>
      </c>
      <c r="D147" s="1537">
        <v>1500000</v>
      </c>
      <c r="E147" s="1537">
        <v>1500000</v>
      </c>
      <c r="F147" s="478" t="s">
        <v>1436</v>
      </c>
      <c r="G147" s="498" t="s">
        <v>464</v>
      </c>
      <c r="H147" s="498"/>
      <c r="I147" s="478" t="s">
        <v>2291</v>
      </c>
      <c r="J147" s="478" t="s">
        <v>1905</v>
      </c>
    </row>
    <row r="148" spans="1:10" s="478" customFormat="1">
      <c r="A148" s="215">
        <v>145</v>
      </c>
      <c r="B148" s="478" t="s">
        <v>1774</v>
      </c>
      <c r="C148" s="479">
        <v>10</v>
      </c>
      <c r="D148" s="1537">
        <v>180</v>
      </c>
      <c r="E148" s="1537">
        <v>1800</v>
      </c>
      <c r="F148" s="478" t="s">
        <v>650</v>
      </c>
      <c r="G148" s="498" t="s">
        <v>464</v>
      </c>
      <c r="H148" s="498"/>
      <c r="I148" s="478" t="s">
        <v>2358</v>
      </c>
      <c r="J148" s="478" t="s">
        <v>1905</v>
      </c>
    </row>
    <row r="149" spans="1:10" s="478" customFormat="1">
      <c r="A149" s="215">
        <v>146</v>
      </c>
      <c r="B149" s="478" t="s">
        <v>1775</v>
      </c>
      <c r="C149" s="479">
        <v>50</v>
      </c>
      <c r="D149" s="1537">
        <v>180</v>
      </c>
      <c r="E149" s="1537">
        <v>9000</v>
      </c>
      <c r="F149" s="478" t="s">
        <v>650</v>
      </c>
      <c r="G149" s="498" t="s">
        <v>464</v>
      </c>
      <c r="H149" s="498"/>
      <c r="I149" s="478" t="s">
        <v>2358</v>
      </c>
      <c r="J149" s="478" t="s">
        <v>1905</v>
      </c>
    </row>
    <row r="150" spans="1:10" s="478" customFormat="1">
      <c r="A150" s="215">
        <v>147</v>
      </c>
      <c r="B150" s="478" t="s">
        <v>1776</v>
      </c>
      <c r="C150" s="479">
        <v>50</v>
      </c>
      <c r="D150" s="1537">
        <v>180</v>
      </c>
      <c r="E150" s="1537">
        <v>9000</v>
      </c>
      <c r="F150" s="478" t="s">
        <v>650</v>
      </c>
      <c r="G150" s="498" t="s">
        <v>464</v>
      </c>
      <c r="H150" s="498"/>
      <c r="I150" s="478" t="s">
        <v>2358</v>
      </c>
      <c r="J150" s="478" t="s">
        <v>1905</v>
      </c>
    </row>
    <row r="151" spans="1:10" s="478" customFormat="1">
      <c r="A151" s="215">
        <v>148</v>
      </c>
      <c r="B151" s="478" t="s">
        <v>1770</v>
      </c>
      <c r="C151" s="479">
        <v>1</v>
      </c>
      <c r="D151" s="1537">
        <v>243853</v>
      </c>
      <c r="E151" s="1537">
        <v>243853</v>
      </c>
      <c r="F151" s="478" t="s">
        <v>888</v>
      </c>
      <c r="G151" s="498" t="s">
        <v>464</v>
      </c>
      <c r="H151" s="498"/>
      <c r="I151" s="478" t="s">
        <v>2357</v>
      </c>
      <c r="J151" s="478" t="s">
        <v>1905</v>
      </c>
    </row>
    <row r="152" spans="1:10" s="478" customFormat="1">
      <c r="A152" s="215">
        <v>149</v>
      </c>
      <c r="B152" s="478" t="s">
        <v>1777</v>
      </c>
      <c r="C152" s="479">
        <v>1</v>
      </c>
      <c r="D152" s="1537">
        <v>3000000</v>
      </c>
      <c r="E152" s="1537">
        <v>3000000</v>
      </c>
      <c r="F152" s="478" t="s">
        <v>614</v>
      </c>
      <c r="G152" s="498" t="s">
        <v>464</v>
      </c>
      <c r="H152" s="498"/>
      <c r="J152" s="478" t="s">
        <v>1905</v>
      </c>
    </row>
    <row r="153" spans="1:10" s="478" customFormat="1">
      <c r="A153" s="215">
        <v>150</v>
      </c>
      <c r="B153" s="478" t="s">
        <v>1778</v>
      </c>
      <c r="C153" s="479">
        <v>1</v>
      </c>
      <c r="D153" s="1537">
        <v>800000</v>
      </c>
      <c r="E153" s="1537">
        <v>800000</v>
      </c>
      <c r="F153" s="478" t="s">
        <v>614</v>
      </c>
      <c r="G153" s="498" t="s">
        <v>464</v>
      </c>
      <c r="H153" s="498"/>
      <c r="J153" s="478" t="s">
        <v>1905</v>
      </c>
    </row>
    <row r="154" spans="1:10" s="478" customFormat="1">
      <c r="A154" s="215">
        <v>151</v>
      </c>
      <c r="B154" s="478" t="s">
        <v>1779</v>
      </c>
      <c r="C154" s="479">
        <v>1</v>
      </c>
      <c r="D154" s="1537">
        <v>162308.29999999999</v>
      </c>
      <c r="E154" s="1537">
        <v>162308.29999999999</v>
      </c>
      <c r="F154" s="478" t="s">
        <v>614</v>
      </c>
      <c r="G154" s="498" t="s">
        <v>464</v>
      </c>
      <c r="H154" s="498"/>
      <c r="J154" s="478" t="s">
        <v>1905</v>
      </c>
    </row>
    <row r="155" spans="1:10" s="478" customFormat="1">
      <c r="A155" s="215">
        <v>152</v>
      </c>
      <c r="B155" s="478" t="s">
        <v>1780</v>
      </c>
      <c r="C155" s="479">
        <v>1</v>
      </c>
      <c r="D155" s="1537">
        <v>450000</v>
      </c>
      <c r="E155" s="1537">
        <v>450000</v>
      </c>
      <c r="F155" s="478" t="s">
        <v>1879</v>
      </c>
      <c r="G155" s="498" t="s">
        <v>464</v>
      </c>
      <c r="H155" s="498"/>
      <c r="I155" s="478" t="s">
        <v>2359</v>
      </c>
      <c r="J155" s="478" t="s">
        <v>1905</v>
      </c>
    </row>
    <row r="156" spans="1:10" s="478" customFormat="1">
      <c r="A156" s="215">
        <v>153</v>
      </c>
      <c r="B156" s="478" t="s">
        <v>1781</v>
      </c>
      <c r="C156" s="479">
        <v>3</v>
      </c>
      <c r="D156" s="1537">
        <v>25000</v>
      </c>
      <c r="E156" s="1537">
        <v>75000</v>
      </c>
      <c r="F156" s="478" t="s">
        <v>426</v>
      </c>
      <c r="G156" s="498" t="s">
        <v>464</v>
      </c>
      <c r="H156" s="498"/>
      <c r="I156" s="478" t="s">
        <v>2360</v>
      </c>
      <c r="J156" s="478" t="s">
        <v>1905</v>
      </c>
    </row>
    <row r="157" spans="1:10" s="478" customFormat="1">
      <c r="A157" s="215">
        <v>154</v>
      </c>
      <c r="B157" s="478" t="s">
        <v>1783</v>
      </c>
      <c r="C157" s="479">
        <v>54</v>
      </c>
      <c r="D157" s="1537">
        <v>60000</v>
      </c>
      <c r="E157" s="1537">
        <v>3240000</v>
      </c>
      <c r="F157" s="478" t="s">
        <v>888</v>
      </c>
      <c r="G157" s="498" t="s">
        <v>464</v>
      </c>
      <c r="H157" s="498"/>
      <c r="I157" s="478" t="s">
        <v>2362</v>
      </c>
      <c r="J157" s="478" t="s">
        <v>1905</v>
      </c>
    </row>
    <row r="158" spans="1:10" s="478" customFormat="1">
      <c r="A158" s="215">
        <v>155</v>
      </c>
      <c r="B158" s="478" t="s">
        <v>1784</v>
      </c>
      <c r="C158" s="479">
        <v>2</v>
      </c>
      <c r="D158" s="1537">
        <v>14500</v>
      </c>
      <c r="E158" s="1537">
        <v>29000</v>
      </c>
      <c r="F158" s="478" t="s">
        <v>414</v>
      </c>
      <c r="G158" s="498" t="s">
        <v>464</v>
      </c>
      <c r="H158" s="498"/>
      <c r="J158" s="478" t="s">
        <v>1905</v>
      </c>
    </row>
    <row r="159" spans="1:10" s="478" customFormat="1">
      <c r="A159" s="215">
        <v>156</v>
      </c>
      <c r="B159" s="478" t="s">
        <v>1791</v>
      </c>
      <c r="C159" s="479">
        <v>1</v>
      </c>
      <c r="D159" s="1537">
        <v>280000</v>
      </c>
      <c r="E159" s="1537">
        <v>280000</v>
      </c>
      <c r="F159" s="478" t="s">
        <v>422</v>
      </c>
      <c r="G159" s="498" t="s">
        <v>464</v>
      </c>
      <c r="H159" s="498"/>
      <c r="I159" s="478" t="s">
        <v>2370</v>
      </c>
      <c r="J159" s="478" t="s">
        <v>1905</v>
      </c>
    </row>
    <row r="160" spans="1:10" s="478" customFormat="1">
      <c r="A160" s="215">
        <v>157</v>
      </c>
      <c r="B160" s="478" t="s">
        <v>1792</v>
      </c>
      <c r="C160" s="479">
        <v>1</v>
      </c>
      <c r="D160" s="1537">
        <v>150000</v>
      </c>
      <c r="E160" s="1537">
        <v>150000</v>
      </c>
      <c r="F160" s="478" t="s">
        <v>422</v>
      </c>
      <c r="G160" s="498" t="s">
        <v>464</v>
      </c>
      <c r="H160" s="498"/>
      <c r="I160" s="478" t="s">
        <v>2371</v>
      </c>
      <c r="J160" s="478" t="s">
        <v>1905</v>
      </c>
    </row>
    <row r="161" spans="1:10" s="478" customFormat="1">
      <c r="A161" s="215">
        <v>158</v>
      </c>
      <c r="B161" s="478" t="s">
        <v>1794</v>
      </c>
      <c r="C161" s="479">
        <v>1</v>
      </c>
      <c r="D161" s="1537">
        <v>149120.98000000001</v>
      </c>
      <c r="E161" s="1537">
        <v>149120.98000000001</v>
      </c>
      <c r="F161" s="478" t="s">
        <v>1436</v>
      </c>
      <c r="G161" s="498" t="s">
        <v>464</v>
      </c>
      <c r="H161" s="498"/>
      <c r="I161" s="478" t="s">
        <v>2373</v>
      </c>
      <c r="J161" s="478" t="s">
        <v>1905</v>
      </c>
    </row>
    <row r="162" spans="1:10" s="478" customFormat="1">
      <c r="A162" s="215">
        <v>159</v>
      </c>
      <c r="B162" s="478" t="s">
        <v>2468</v>
      </c>
      <c r="C162" s="479">
        <v>7</v>
      </c>
      <c r="D162" s="1537">
        <v>40000</v>
      </c>
      <c r="E162" s="1537">
        <v>280000</v>
      </c>
      <c r="F162" s="478" t="s">
        <v>418</v>
      </c>
      <c r="G162" s="498" t="s">
        <v>464</v>
      </c>
      <c r="H162" s="498"/>
      <c r="I162" s="478" t="s">
        <v>2377</v>
      </c>
      <c r="J162" s="478" t="s">
        <v>1905</v>
      </c>
    </row>
    <row r="163" spans="1:10" s="478" customFormat="1">
      <c r="A163" s="215">
        <v>160</v>
      </c>
      <c r="B163" s="478" t="s">
        <v>479</v>
      </c>
      <c r="C163" s="479">
        <v>7</v>
      </c>
      <c r="D163" s="1537">
        <v>2619</v>
      </c>
      <c r="E163" s="1537">
        <v>18333</v>
      </c>
      <c r="F163" s="478" t="s">
        <v>418</v>
      </c>
      <c r="G163" s="498" t="s">
        <v>464</v>
      </c>
      <c r="H163" s="498"/>
      <c r="I163" s="478" t="s">
        <v>2378</v>
      </c>
      <c r="J163" s="478" t="s">
        <v>1905</v>
      </c>
    </row>
    <row r="164" spans="1:10" s="478" customFormat="1">
      <c r="A164" s="215">
        <v>161</v>
      </c>
      <c r="B164" s="478" t="s">
        <v>1804</v>
      </c>
      <c r="C164" s="479">
        <v>1</v>
      </c>
      <c r="D164" s="1537">
        <v>60000</v>
      </c>
      <c r="E164" s="1537">
        <v>60000</v>
      </c>
      <c r="F164" s="478" t="s">
        <v>856</v>
      </c>
      <c r="G164" s="498" t="s">
        <v>464</v>
      </c>
      <c r="H164" s="498"/>
      <c r="I164" s="478" t="s">
        <v>2384</v>
      </c>
      <c r="J164" s="478" t="s">
        <v>1905</v>
      </c>
    </row>
    <row r="165" spans="1:10" s="478" customFormat="1">
      <c r="A165" s="215">
        <v>162</v>
      </c>
      <c r="B165" s="478" t="s">
        <v>1808</v>
      </c>
      <c r="C165" s="479">
        <v>1</v>
      </c>
      <c r="D165" s="1537">
        <v>3910850</v>
      </c>
      <c r="E165" s="1537">
        <v>3910850</v>
      </c>
      <c r="F165" s="478" t="s">
        <v>1885</v>
      </c>
      <c r="G165" s="498" t="s">
        <v>464</v>
      </c>
      <c r="H165" s="498"/>
      <c r="I165" s="478" t="s">
        <v>2388</v>
      </c>
      <c r="J165" s="478" t="s">
        <v>1905</v>
      </c>
    </row>
    <row r="166" spans="1:10" s="478" customFormat="1">
      <c r="A166" s="215">
        <v>163</v>
      </c>
      <c r="B166" s="478" t="s">
        <v>2484</v>
      </c>
      <c r="C166" s="479">
        <v>1</v>
      </c>
      <c r="D166" s="1537">
        <v>60000</v>
      </c>
      <c r="E166" s="1537">
        <v>60000</v>
      </c>
      <c r="F166" s="478" t="s">
        <v>956</v>
      </c>
      <c r="G166" s="498" t="s">
        <v>464</v>
      </c>
      <c r="H166" s="498"/>
      <c r="I166" s="478" t="s">
        <v>2406</v>
      </c>
      <c r="J166" s="478" t="s">
        <v>1905</v>
      </c>
    </row>
    <row r="167" spans="1:10" s="478" customFormat="1">
      <c r="A167" s="215">
        <v>164</v>
      </c>
      <c r="B167" s="478" t="s">
        <v>1834</v>
      </c>
      <c r="C167" s="479">
        <v>1</v>
      </c>
      <c r="D167" s="1537">
        <v>250000</v>
      </c>
      <c r="E167" s="1537">
        <v>250000</v>
      </c>
      <c r="F167" s="478" t="s">
        <v>1436</v>
      </c>
      <c r="G167" s="498" t="s">
        <v>464</v>
      </c>
      <c r="H167" s="498"/>
      <c r="I167" s="478" t="s">
        <v>2407</v>
      </c>
      <c r="J167" s="478" t="s">
        <v>1905</v>
      </c>
    </row>
    <row r="168" spans="1:10" s="478" customFormat="1">
      <c r="A168" s="215">
        <v>165</v>
      </c>
      <c r="B168" s="478" t="s">
        <v>1839</v>
      </c>
      <c r="C168" s="479">
        <v>1</v>
      </c>
      <c r="D168" s="1537">
        <v>38500</v>
      </c>
      <c r="E168" s="1537">
        <v>38500</v>
      </c>
      <c r="F168" s="478" t="s">
        <v>1894</v>
      </c>
      <c r="G168" s="498" t="s">
        <v>464</v>
      </c>
      <c r="H168" s="498"/>
      <c r="J168" s="478" t="s">
        <v>1905</v>
      </c>
    </row>
    <row r="169" spans="1:10" s="478" customFormat="1">
      <c r="A169" s="215">
        <v>166</v>
      </c>
      <c r="B169" s="478" t="s">
        <v>2469</v>
      </c>
      <c r="C169" s="479">
        <v>1</v>
      </c>
      <c r="D169" s="1537">
        <v>21485</v>
      </c>
      <c r="E169" s="1537">
        <v>21485</v>
      </c>
      <c r="F169" s="478" t="s">
        <v>1894</v>
      </c>
      <c r="G169" s="498" t="s">
        <v>464</v>
      </c>
      <c r="H169" s="498"/>
      <c r="J169" s="478" t="s">
        <v>1905</v>
      </c>
    </row>
    <row r="170" spans="1:10" s="478" customFormat="1">
      <c r="A170" s="215">
        <v>167</v>
      </c>
      <c r="B170" s="478" t="s">
        <v>1841</v>
      </c>
      <c r="C170" s="479">
        <v>1</v>
      </c>
      <c r="D170" s="1537">
        <v>193616.5</v>
      </c>
      <c r="E170" s="1537">
        <v>193616.5</v>
      </c>
      <c r="F170" s="478" t="s">
        <v>1895</v>
      </c>
      <c r="G170" s="498" t="s">
        <v>464</v>
      </c>
      <c r="H170" s="498"/>
      <c r="I170" s="478" t="s">
        <v>2413</v>
      </c>
      <c r="J170" s="478" t="s">
        <v>1905</v>
      </c>
    </row>
    <row r="171" spans="1:10" s="478" customFormat="1">
      <c r="A171" s="215">
        <v>168</v>
      </c>
      <c r="B171" s="478" t="s">
        <v>1843</v>
      </c>
      <c r="C171" s="479">
        <v>1</v>
      </c>
      <c r="D171" s="1537">
        <v>14500</v>
      </c>
      <c r="E171" s="1537">
        <v>14500</v>
      </c>
      <c r="F171" s="478" t="s">
        <v>414</v>
      </c>
      <c r="G171" s="498" t="s">
        <v>464</v>
      </c>
      <c r="H171" s="498"/>
      <c r="I171" s="478" t="s">
        <v>2416</v>
      </c>
      <c r="J171" s="478" t="s">
        <v>1905</v>
      </c>
    </row>
    <row r="172" spans="1:10" s="478" customFormat="1">
      <c r="A172" s="215">
        <v>169</v>
      </c>
      <c r="B172" s="478" t="s">
        <v>1846</v>
      </c>
      <c r="C172" s="479">
        <v>4</v>
      </c>
      <c r="D172" s="1537">
        <v>1200000</v>
      </c>
      <c r="E172" s="1537">
        <v>4800000</v>
      </c>
      <c r="F172" s="478" t="s">
        <v>1899</v>
      </c>
      <c r="G172" s="498" t="s">
        <v>464</v>
      </c>
      <c r="H172" s="498"/>
      <c r="I172" s="478" t="s">
        <v>2419</v>
      </c>
      <c r="J172" s="478" t="s">
        <v>1905</v>
      </c>
    </row>
    <row r="173" spans="1:10" s="478" customFormat="1">
      <c r="A173" s="215">
        <v>170</v>
      </c>
      <c r="B173" s="478" t="s">
        <v>1847</v>
      </c>
      <c r="C173" s="479">
        <v>4</v>
      </c>
      <c r="D173" s="1537">
        <v>150000</v>
      </c>
      <c r="E173" s="1537">
        <v>600000</v>
      </c>
      <c r="F173" s="478" t="s">
        <v>1899</v>
      </c>
      <c r="G173" s="498" t="s">
        <v>464</v>
      </c>
      <c r="H173" s="498"/>
      <c r="I173" s="478" t="s">
        <v>2420</v>
      </c>
      <c r="J173" s="478" t="s">
        <v>1905</v>
      </c>
    </row>
    <row r="174" spans="1:10" s="478" customFormat="1">
      <c r="A174" s="215">
        <v>171</v>
      </c>
      <c r="B174" s="478" t="s">
        <v>1848</v>
      </c>
      <c r="C174" s="479">
        <v>1</v>
      </c>
      <c r="D174" s="1537">
        <v>11500</v>
      </c>
      <c r="E174" s="1537">
        <v>11500</v>
      </c>
      <c r="F174" s="478" t="s">
        <v>948</v>
      </c>
      <c r="G174" s="498" t="s">
        <v>464</v>
      </c>
      <c r="H174" s="498"/>
      <c r="I174" s="478" t="s">
        <v>2421</v>
      </c>
      <c r="J174" s="478" t="s">
        <v>1905</v>
      </c>
    </row>
    <row r="175" spans="1:10" s="216" customFormat="1" ht="42">
      <c r="A175" s="215">
        <v>172</v>
      </c>
      <c r="B175" s="260" t="s">
        <v>2485</v>
      </c>
      <c r="C175" s="215">
        <v>1</v>
      </c>
      <c r="D175" s="1538">
        <v>1200000</v>
      </c>
      <c r="E175" s="1538">
        <v>1200000</v>
      </c>
      <c r="F175" s="216" t="s">
        <v>888</v>
      </c>
      <c r="G175" s="498" t="s">
        <v>464</v>
      </c>
      <c r="H175" s="498"/>
      <c r="I175" s="216" t="s">
        <v>2422</v>
      </c>
      <c r="J175" s="216" t="s">
        <v>1905</v>
      </c>
    </row>
    <row r="176" spans="1:10" s="478" customFormat="1">
      <c r="A176" s="215">
        <v>173</v>
      </c>
      <c r="B176" s="478" t="s">
        <v>1854</v>
      </c>
      <c r="C176" s="479">
        <v>1</v>
      </c>
      <c r="D176" s="1537">
        <v>15000</v>
      </c>
      <c r="E176" s="1537">
        <v>15000</v>
      </c>
      <c r="F176" s="478" t="s">
        <v>743</v>
      </c>
      <c r="G176" s="498" t="s">
        <v>464</v>
      </c>
      <c r="H176" s="498"/>
      <c r="I176" s="478" t="s">
        <v>2428</v>
      </c>
      <c r="J176" s="478" t="s">
        <v>1905</v>
      </c>
    </row>
    <row r="177" spans="1:10" s="478" customFormat="1">
      <c r="A177" s="215">
        <v>174</v>
      </c>
      <c r="B177" s="478" t="s">
        <v>842</v>
      </c>
      <c r="C177" s="479">
        <v>2</v>
      </c>
      <c r="D177" s="1537">
        <v>180000</v>
      </c>
      <c r="E177" s="1537">
        <v>360000</v>
      </c>
      <c r="F177" s="478" t="s">
        <v>736</v>
      </c>
      <c r="G177" s="498" t="s">
        <v>464</v>
      </c>
      <c r="H177" s="498"/>
      <c r="I177" s="478" t="s">
        <v>2425</v>
      </c>
      <c r="J177" s="478" t="s">
        <v>1905</v>
      </c>
    </row>
    <row r="178" spans="1:10" s="216" customFormat="1" ht="42">
      <c r="A178" s="215">
        <v>175</v>
      </c>
      <c r="B178" s="260" t="s">
        <v>2485</v>
      </c>
      <c r="C178" s="215">
        <v>1</v>
      </c>
      <c r="D178" s="1538">
        <v>1200000</v>
      </c>
      <c r="E178" s="1538">
        <v>1200000</v>
      </c>
      <c r="F178" s="216" t="s">
        <v>948</v>
      </c>
      <c r="G178" s="498" t="s">
        <v>464</v>
      </c>
      <c r="H178" s="498"/>
      <c r="I178" s="216" t="s">
        <v>2433</v>
      </c>
      <c r="J178" s="216" t="s">
        <v>1905</v>
      </c>
    </row>
    <row r="179" spans="1:10" s="478" customFormat="1">
      <c r="A179" s="215">
        <v>176</v>
      </c>
      <c r="B179" s="478" t="s">
        <v>842</v>
      </c>
      <c r="C179" s="479">
        <v>1</v>
      </c>
      <c r="D179" s="1537">
        <v>180000</v>
      </c>
      <c r="E179" s="1537">
        <v>180000</v>
      </c>
      <c r="F179" s="478" t="s">
        <v>1902</v>
      </c>
      <c r="G179" s="498" t="s">
        <v>464</v>
      </c>
      <c r="H179" s="498"/>
      <c r="I179" s="478" t="s">
        <v>2434</v>
      </c>
      <c r="J179" s="478" t="s">
        <v>1905</v>
      </c>
    </row>
    <row r="180" spans="1:10" s="478" customFormat="1">
      <c r="A180" s="215">
        <v>177</v>
      </c>
      <c r="B180" s="478" t="s">
        <v>1861</v>
      </c>
      <c r="C180" s="479">
        <v>1</v>
      </c>
      <c r="D180" s="1537">
        <v>40000</v>
      </c>
      <c r="E180" s="1537">
        <v>40000</v>
      </c>
      <c r="F180" s="478" t="s">
        <v>1903</v>
      </c>
      <c r="G180" s="498" t="s">
        <v>464</v>
      </c>
      <c r="H180" s="498"/>
      <c r="I180" s="478" t="s">
        <v>2437</v>
      </c>
      <c r="J180" s="478" t="s">
        <v>1905</v>
      </c>
    </row>
    <row r="181" spans="1:10" s="478" customFormat="1">
      <c r="A181" s="215">
        <v>178</v>
      </c>
      <c r="B181" s="478" t="s">
        <v>1862</v>
      </c>
      <c r="C181" s="479">
        <v>2</v>
      </c>
      <c r="D181" s="1537">
        <v>2000</v>
      </c>
      <c r="E181" s="1537">
        <v>4000</v>
      </c>
      <c r="F181" s="478" t="s">
        <v>1904</v>
      </c>
      <c r="G181" s="498" t="s">
        <v>464</v>
      </c>
      <c r="H181" s="498"/>
      <c r="I181" s="478" t="s">
        <v>2438</v>
      </c>
      <c r="J181" s="478" t="s">
        <v>1905</v>
      </c>
    </row>
    <row r="182" spans="1:10" s="478" customFormat="1">
      <c r="A182" s="215">
        <v>179</v>
      </c>
      <c r="B182" s="478" t="s">
        <v>1863</v>
      </c>
      <c r="C182" s="479">
        <v>5</v>
      </c>
      <c r="D182" s="1537">
        <v>21000</v>
      </c>
      <c r="E182" s="1537">
        <v>105000</v>
      </c>
      <c r="F182" s="478" t="s">
        <v>1904</v>
      </c>
      <c r="G182" s="498" t="s">
        <v>464</v>
      </c>
      <c r="H182" s="498"/>
      <c r="I182" s="478" t="s">
        <v>2438</v>
      </c>
      <c r="J182" s="478" t="s">
        <v>1905</v>
      </c>
    </row>
    <row r="183" spans="1:10" s="478" customFormat="1">
      <c r="A183" s="215">
        <v>180</v>
      </c>
      <c r="B183" s="478" t="s">
        <v>1864</v>
      </c>
      <c r="C183" s="479">
        <v>4</v>
      </c>
      <c r="D183" s="1537">
        <v>12000</v>
      </c>
      <c r="E183" s="1537">
        <v>48000</v>
      </c>
      <c r="F183" s="478" t="s">
        <v>1904</v>
      </c>
      <c r="G183" s="498" t="s">
        <v>464</v>
      </c>
      <c r="H183" s="498"/>
      <c r="I183" s="478" t="s">
        <v>2438</v>
      </c>
      <c r="J183" s="478" t="s">
        <v>1905</v>
      </c>
    </row>
    <row r="184" spans="1:10" s="478" customFormat="1">
      <c r="A184" s="215">
        <v>181</v>
      </c>
      <c r="B184" s="478" t="s">
        <v>1865</v>
      </c>
      <c r="C184" s="479">
        <v>2</v>
      </c>
      <c r="D184" s="1537">
        <v>35000</v>
      </c>
      <c r="E184" s="1537">
        <v>70000</v>
      </c>
      <c r="F184" s="478" t="s">
        <v>1904</v>
      </c>
      <c r="G184" s="498" t="s">
        <v>464</v>
      </c>
      <c r="H184" s="498"/>
      <c r="I184" s="478" t="s">
        <v>2438</v>
      </c>
      <c r="J184" s="478" t="s">
        <v>1905</v>
      </c>
    </row>
    <row r="185" spans="1:10" s="478" customFormat="1">
      <c r="A185" s="215">
        <v>182</v>
      </c>
      <c r="B185" s="478" t="s">
        <v>1866</v>
      </c>
      <c r="C185" s="479">
        <v>2</v>
      </c>
      <c r="D185" s="1537">
        <v>50000</v>
      </c>
      <c r="E185" s="1537">
        <v>100000</v>
      </c>
      <c r="F185" s="478" t="s">
        <v>1904</v>
      </c>
      <c r="G185" s="498" t="s">
        <v>464</v>
      </c>
      <c r="H185" s="498"/>
      <c r="I185" s="478" t="s">
        <v>2438</v>
      </c>
      <c r="J185" s="478" t="s">
        <v>1905</v>
      </c>
    </row>
    <row r="186" spans="1:10" s="478" customFormat="1">
      <c r="A186" s="215">
        <v>183</v>
      </c>
      <c r="B186" s="478" t="s">
        <v>1867</v>
      </c>
      <c r="C186" s="479">
        <v>1</v>
      </c>
      <c r="D186" s="1537">
        <v>50000</v>
      </c>
      <c r="E186" s="1537">
        <v>50000</v>
      </c>
      <c r="F186" s="478" t="s">
        <v>1904</v>
      </c>
      <c r="G186" s="498" t="s">
        <v>464</v>
      </c>
      <c r="H186" s="498"/>
      <c r="I186" s="478" t="s">
        <v>2438</v>
      </c>
      <c r="J186" s="478" t="s">
        <v>1905</v>
      </c>
    </row>
    <row r="187" spans="1:10" s="478" customFormat="1">
      <c r="A187" s="215">
        <v>184</v>
      </c>
      <c r="B187" s="478" t="s">
        <v>1868</v>
      </c>
      <c r="C187" s="479">
        <v>1</v>
      </c>
      <c r="D187" s="1537">
        <v>65000</v>
      </c>
      <c r="E187" s="1537">
        <v>65000</v>
      </c>
      <c r="F187" s="478" t="s">
        <v>1904</v>
      </c>
      <c r="G187" s="498" t="s">
        <v>464</v>
      </c>
      <c r="H187" s="498"/>
      <c r="I187" s="478" t="s">
        <v>2438</v>
      </c>
      <c r="J187" s="478" t="s">
        <v>1905</v>
      </c>
    </row>
    <row r="188" spans="1:10" s="478" customFormat="1">
      <c r="A188" s="215">
        <v>185</v>
      </c>
      <c r="B188" s="478" t="s">
        <v>1869</v>
      </c>
      <c r="C188" s="479">
        <v>1</v>
      </c>
      <c r="D188" s="1537">
        <v>4000</v>
      </c>
      <c r="E188" s="1537">
        <v>4000</v>
      </c>
      <c r="F188" s="478" t="s">
        <v>1904</v>
      </c>
      <c r="G188" s="498" t="s">
        <v>464</v>
      </c>
      <c r="H188" s="498"/>
      <c r="I188" s="478" t="s">
        <v>2438</v>
      </c>
      <c r="J188" s="478" t="s">
        <v>1905</v>
      </c>
    </row>
    <row r="189" spans="1:10" s="478" customFormat="1">
      <c r="A189" s="215">
        <v>186</v>
      </c>
      <c r="B189" s="478" t="s">
        <v>1073</v>
      </c>
      <c r="C189" s="479">
        <v>1</v>
      </c>
      <c r="D189" s="1537">
        <v>10000</v>
      </c>
      <c r="E189" s="1537">
        <v>10000</v>
      </c>
      <c r="F189" s="478" t="s">
        <v>1904</v>
      </c>
      <c r="G189" s="498" t="s">
        <v>464</v>
      </c>
      <c r="H189" s="498"/>
      <c r="I189" s="478" t="s">
        <v>2438</v>
      </c>
      <c r="J189" s="478" t="s">
        <v>1905</v>
      </c>
    </row>
    <row r="190" spans="1:10" s="478" customFormat="1">
      <c r="A190" s="215">
        <v>187</v>
      </c>
      <c r="B190" s="478" t="s">
        <v>2001</v>
      </c>
      <c r="C190" s="479">
        <v>1</v>
      </c>
      <c r="D190" s="1537">
        <v>40000</v>
      </c>
      <c r="E190" s="1537">
        <f>C190*D190</f>
        <v>40000</v>
      </c>
      <c r="F190" s="478" t="s">
        <v>956</v>
      </c>
      <c r="G190" s="498" t="s">
        <v>464</v>
      </c>
      <c r="H190" s="498"/>
      <c r="I190" s="478" t="s">
        <v>2459</v>
      </c>
      <c r="J190" s="478" t="s">
        <v>1905</v>
      </c>
    </row>
    <row r="191" spans="1:10" s="478" customFormat="1">
      <c r="A191" s="215">
        <v>188</v>
      </c>
      <c r="B191" s="478" t="s">
        <v>2002</v>
      </c>
      <c r="C191" s="479">
        <v>1</v>
      </c>
      <c r="D191" s="1537">
        <v>300000</v>
      </c>
      <c r="E191" s="1537">
        <f>C191*D191</f>
        <v>300000</v>
      </c>
      <c r="F191" s="478" t="s">
        <v>2007</v>
      </c>
      <c r="G191" s="498" t="s">
        <v>464</v>
      </c>
      <c r="H191" s="498"/>
      <c r="I191" s="478" t="s">
        <v>2460</v>
      </c>
      <c r="J191" s="478" t="s">
        <v>1905</v>
      </c>
    </row>
    <row r="192" spans="1:10" s="478" customFormat="1">
      <c r="A192" s="215">
        <v>189</v>
      </c>
      <c r="B192" s="478" t="s">
        <v>2003</v>
      </c>
      <c r="C192" s="479">
        <v>1</v>
      </c>
      <c r="D192" s="1537">
        <v>25000</v>
      </c>
      <c r="E192" s="1537">
        <f>C192*D192</f>
        <v>25000</v>
      </c>
      <c r="F192" s="478" t="s">
        <v>2007</v>
      </c>
      <c r="G192" s="498" t="s">
        <v>464</v>
      </c>
      <c r="H192" s="498"/>
      <c r="I192" s="478" t="s">
        <v>2462</v>
      </c>
      <c r="J192" s="478" t="s">
        <v>1905</v>
      </c>
    </row>
    <row r="193" spans="1:10" s="478" customFormat="1">
      <c r="A193" s="215">
        <v>190</v>
      </c>
      <c r="B193" s="478" t="s">
        <v>2042</v>
      </c>
      <c r="C193" s="479">
        <v>1</v>
      </c>
      <c r="D193" s="1537">
        <v>36500</v>
      </c>
      <c r="E193" s="1537">
        <f>+C193*D193</f>
        <v>36500</v>
      </c>
      <c r="F193" s="478" t="s">
        <v>451</v>
      </c>
      <c r="G193" s="498" t="s">
        <v>464</v>
      </c>
      <c r="H193" s="498"/>
      <c r="I193" s="478" t="s">
        <v>2155</v>
      </c>
      <c r="J193" s="478" t="s">
        <v>490</v>
      </c>
    </row>
    <row r="194" spans="1:10" s="478" customFormat="1">
      <c r="A194" s="215">
        <v>191</v>
      </c>
      <c r="B194" s="478" t="s">
        <v>2055</v>
      </c>
      <c r="C194" s="479">
        <v>1</v>
      </c>
      <c r="D194" s="1537">
        <v>440000</v>
      </c>
      <c r="E194" s="2452">
        <f>+C194*D194</f>
        <v>440000</v>
      </c>
      <c r="F194" s="478" t="s">
        <v>414</v>
      </c>
      <c r="G194" s="498" t="s">
        <v>464</v>
      </c>
      <c r="H194" s="498"/>
      <c r="I194" s="478" t="s">
        <v>2169</v>
      </c>
      <c r="J194" s="478" t="s">
        <v>490</v>
      </c>
    </row>
    <row r="195" spans="1:10" s="478" customFormat="1">
      <c r="A195" s="215">
        <v>192</v>
      </c>
      <c r="B195" s="478" t="s">
        <v>2056</v>
      </c>
      <c r="C195" s="479">
        <v>2</v>
      </c>
      <c r="D195" s="1537">
        <v>15000</v>
      </c>
      <c r="E195" s="1537">
        <f>+C195*D195</f>
        <v>30000</v>
      </c>
      <c r="F195" s="478" t="s">
        <v>2299</v>
      </c>
      <c r="G195" s="498" t="s">
        <v>464</v>
      </c>
      <c r="H195" s="498"/>
      <c r="I195" s="478" t="s">
        <v>2170</v>
      </c>
      <c r="J195" s="478" t="s">
        <v>490</v>
      </c>
    </row>
    <row r="196" spans="1:10" s="478" customFormat="1">
      <c r="A196" s="215">
        <v>193</v>
      </c>
      <c r="B196" s="2453" t="s">
        <v>2053</v>
      </c>
      <c r="C196" s="306">
        <v>1</v>
      </c>
      <c r="D196" s="1536">
        <v>2000000</v>
      </c>
      <c r="E196" s="1536">
        <f>+C196*D196</f>
        <v>2000000</v>
      </c>
      <c r="F196" s="478" t="s">
        <v>1436</v>
      </c>
      <c r="G196" s="498" t="s">
        <v>464</v>
      </c>
      <c r="H196" s="498"/>
      <c r="I196" s="2453" t="s">
        <v>2167</v>
      </c>
      <c r="J196" s="478" t="s">
        <v>490</v>
      </c>
    </row>
    <row r="197" spans="1:10" s="478" customFormat="1">
      <c r="A197" s="215">
        <v>194</v>
      </c>
      <c r="B197" s="478" t="s">
        <v>2474</v>
      </c>
      <c r="C197" s="479">
        <v>10</v>
      </c>
      <c r="D197" s="1537">
        <v>50000</v>
      </c>
      <c r="E197" s="1537">
        <f t="shared" ref="E197:E224" si="8">C197*D197</f>
        <v>500000</v>
      </c>
      <c r="F197" s="478" t="s">
        <v>2304</v>
      </c>
      <c r="G197" s="498" t="s">
        <v>464</v>
      </c>
      <c r="H197" s="498"/>
      <c r="I197" s="478" t="s">
        <v>2181</v>
      </c>
      <c r="J197" s="478" t="s">
        <v>490</v>
      </c>
    </row>
    <row r="198" spans="1:10" s="478" customFormat="1">
      <c r="A198" s="215">
        <v>195</v>
      </c>
      <c r="B198" s="478" t="s">
        <v>2066</v>
      </c>
      <c r="C198" s="479">
        <v>1</v>
      </c>
      <c r="D198" s="1537">
        <v>7500</v>
      </c>
      <c r="E198" s="1537">
        <f t="shared" si="8"/>
        <v>7500</v>
      </c>
      <c r="F198" s="478" t="s">
        <v>2306</v>
      </c>
      <c r="G198" s="498" t="s">
        <v>464</v>
      </c>
      <c r="H198" s="498"/>
      <c r="I198" s="478" t="s">
        <v>2184</v>
      </c>
      <c r="J198" s="478" t="s">
        <v>490</v>
      </c>
    </row>
    <row r="199" spans="1:10" s="478" customFormat="1">
      <c r="A199" s="215">
        <v>196</v>
      </c>
      <c r="B199" s="478" t="s">
        <v>2068</v>
      </c>
      <c r="C199" s="479">
        <v>3</v>
      </c>
      <c r="D199" s="1537">
        <v>6000</v>
      </c>
      <c r="E199" s="1537">
        <f t="shared" si="8"/>
        <v>18000</v>
      </c>
      <c r="F199" s="216" t="s">
        <v>721</v>
      </c>
      <c r="G199" s="498" t="s">
        <v>464</v>
      </c>
      <c r="H199" s="498"/>
      <c r="I199" s="478" t="s">
        <v>2186</v>
      </c>
      <c r="J199" s="478" t="s">
        <v>490</v>
      </c>
    </row>
    <row r="200" spans="1:10" s="478" customFormat="1">
      <c r="A200" s="215">
        <v>197</v>
      </c>
      <c r="B200" s="478" t="s">
        <v>2071</v>
      </c>
      <c r="C200" s="479">
        <v>2</v>
      </c>
      <c r="D200" s="1537">
        <v>35000</v>
      </c>
      <c r="E200" s="1537">
        <f t="shared" si="8"/>
        <v>70000</v>
      </c>
      <c r="F200" s="478" t="s">
        <v>736</v>
      </c>
      <c r="G200" s="498" t="s">
        <v>464</v>
      </c>
      <c r="H200" s="498"/>
      <c r="I200" s="478" t="s">
        <v>2189</v>
      </c>
      <c r="J200" s="478" t="s">
        <v>490</v>
      </c>
    </row>
    <row r="201" spans="1:10" s="478" customFormat="1">
      <c r="A201" s="215">
        <v>198</v>
      </c>
      <c r="B201" s="478" t="s">
        <v>2073</v>
      </c>
      <c r="C201" s="479">
        <v>4</v>
      </c>
      <c r="D201" s="1537">
        <v>65000</v>
      </c>
      <c r="E201" s="1537">
        <f t="shared" si="8"/>
        <v>260000</v>
      </c>
      <c r="F201" s="478" t="s">
        <v>418</v>
      </c>
      <c r="G201" s="498" t="s">
        <v>464</v>
      </c>
      <c r="H201" s="498"/>
      <c r="I201" s="478" t="s">
        <v>2191</v>
      </c>
      <c r="J201" s="478" t="s">
        <v>490</v>
      </c>
    </row>
    <row r="202" spans="1:10" s="478" customFormat="1">
      <c r="A202" s="215">
        <v>199</v>
      </c>
      <c r="B202" s="478" t="s">
        <v>1039</v>
      </c>
      <c r="C202" s="479">
        <v>1</v>
      </c>
      <c r="D202" s="1537">
        <v>300000</v>
      </c>
      <c r="E202" s="1537">
        <f t="shared" si="8"/>
        <v>300000</v>
      </c>
      <c r="F202" s="478" t="s">
        <v>418</v>
      </c>
      <c r="G202" s="498" t="s">
        <v>464</v>
      </c>
      <c r="H202" s="498"/>
      <c r="I202" s="478" t="s">
        <v>2194</v>
      </c>
      <c r="J202" s="478" t="s">
        <v>490</v>
      </c>
    </row>
    <row r="203" spans="1:10" s="478" customFormat="1">
      <c r="A203" s="215">
        <v>200</v>
      </c>
      <c r="B203" s="478" t="s">
        <v>2079</v>
      </c>
      <c r="C203" s="479">
        <v>1</v>
      </c>
      <c r="D203" s="1537">
        <v>15000</v>
      </c>
      <c r="E203" s="1537">
        <f t="shared" si="8"/>
        <v>15000</v>
      </c>
      <c r="F203" s="478" t="s">
        <v>1345</v>
      </c>
      <c r="G203" s="498" t="s">
        <v>464</v>
      </c>
      <c r="H203" s="498"/>
      <c r="I203" s="478" t="s">
        <v>2197</v>
      </c>
      <c r="J203" s="478" t="s">
        <v>490</v>
      </c>
    </row>
    <row r="204" spans="1:10" s="478" customFormat="1">
      <c r="A204" s="215">
        <v>201</v>
      </c>
      <c r="B204" s="478" t="s">
        <v>2086</v>
      </c>
      <c r="C204" s="479">
        <v>4</v>
      </c>
      <c r="D204" s="1537">
        <v>125000</v>
      </c>
      <c r="E204" s="1537">
        <f t="shared" si="8"/>
        <v>500000</v>
      </c>
      <c r="F204" s="478" t="s">
        <v>888</v>
      </c>
      <c r="G204" s="498" t="s">
        <v>464</v>
      </c>
      <c r="H204" s="498"/>
      <c r="I204" s="478" t="s">
        <v>2209</v>
      </c>
      <c r="J204" s="478" t="s">
        <v>490</v>
      </c>
    </row>
    <row r="205" spans="1:10" s="478" customFormat="1">
      <c r="A205" s="215">
        <v>202</v>
      </c>
      <c r="B205" s="478" t="s">
        <v>2079</v>
      </c>
      <c r="C205" s="479">
        <v>4</v>
      </c>
      <c r="D205" s="1537">
        <v>15000</v>
      </c>
      <c r="E205" s="1537">
        <f t="shared" si="8"/>
        <v>60000</v>
      </c>
      <c r="F205" s="478" t="s">
        <v>888</v>
      </c>
      <c r="G205" s="498" t="s">
        <v>464</v>
      </c>
      <c r="H205" s="498"/>
      <c r="I205" s="478" t="s">
        <v>2210</v>
      </c>
      <c r="J205" s="478" t="s">
        <v>490</v>
      </c>
    </row>
    <row r="206" spans="1:10" s="478" customFormat="1">
      <c r="A206" s="215">
        <v>203</v>
      </c>
      <c r="B206" s="478" t="s">
        <v>2089</v>
      </c>
      <c r="C206" s="479">
        <v>1</v>
      </c>
      <c r="D206" s="1537">
        <v>5985000</v>
      </c>
      <c r="E206" s="1537">
        <f t="shared" si="8"/>
        <v>5985000</v>
      </c>
      <c r="F206" s="478" t="s">
        <v>721</v>
      </c>
      <c r="G206" s="498" t="s">
        <v>464</v>
      </c>
      <c r="H206" s="498"/>
      <c r="I206" s="478" t="s">
        <v>2216</v>
      </c>
      <c r="J206" s="478" t="s">
        <v>490</v>
      </c>
    </row>
    <row r="207" spans="1:10" s="478" customFormat="1">
      <c r="A207" s="215">
        <v>204</v>
      </c>
      <c r="B207" s="478" t="s">
        <v>2092</v>
      </c>
      <c r="C207" s="479">
        <v>1</v>
      </c>
      <c r="D207" s="1537">
        <v>16900</v>
      </c>
      <c r="E207" s="1537">
        <f t="shared" si="8"/>
        <v>16900</v>
      </c>
      <c r="F207" s="478" t="s">
        <v>1872</v>
      </c>
      <c r="G207" s="498" t="s">
        <v>464</v>
      </c>
      <c r="H207" s="498"/>
      <c r="I207" s="478" t="s">
        <v>2219</v>
      </c>
      <c r="J207" s="478" t="s">
        <v>490</v>
      </c>
    </row>
    <row r="208" spans="1:10" s="478" customFormat="1">
      <c r="A208" s="215">
        <v>205</v>
      </c>
      <c r="B208" s="478" t="s">
        <v>2094</v>
      </c>
      <c r="C208" s="479">
        <v>2</v>
      </c>
      <c r="D208" s="1537">
        <v>450000</v>
      </c>
      <c r="E208" s="1537">
        <f t="shared" si="8"/>
        <v>900000</v>
      </c>
      <c r="F208" s="478" t="s">
        <v>444</v>
      </c>
      <c r="G208" s="498" t="s">
        <v>464</v>
      </c>
      <c r="H208" s="498"/>
      <c r="I208" s="478" t="s">
        <v>2221</v>
      </c>
      <c r="J208" s="478" t="s">
        <v>490</v>
      </c>
    </row>
    <row r="209" spans="1:10" s="478" customFormat="1">
      <c r="A209" s="215">
        <v>206</v>
      </c>
      <c r="B209" s="478" t="s">
        <v>1915</v>
      </c>
      <c r="C209" s="479">
        <v>1</v>
      </c>
      <c r="D209" s="1537">
        <v>50000</v>
      </c>
      <c r="E209" s="1537">
        <f t="shared" si="8"/>
        <v>50000</v>
      </c>
      <c r="F209" s="478" t="s">
        <v>2313</v>
      </c>
      <c r="G209" s="498" t="s">
        <v>464</v>
      </c>
      <c r="H209" s="498"/>
      <c r="I209" s="478" t="s">
        <v>2214</v>
      </c>
      <c r="J209" s="478" t="s">
        <v>490</v>
      </c>
    </row>
    <row r="210" spans="1:10" s="478" customFormat="1">
      <c r="A210" s="215">
        <v>207</v>
      </c>
      <c r="B210" s="478" t="s">
        <v>2096</v>
      </c>
      <c r="C210" s="479">
        <v>2</v>
      </c>
      <c r="D210" s="1537">
        <v>33705</v>
      </c>
      <c r="E210" s="1537">
        <f t="shared" si="8"/>
        <v>67410</v>
      </c>
      <c r="F210" s="478" t="s">
        <v>2315</v>
      </c>
      <c r="G210" s="498" t="s">
        <v>464</v>
      </c>
      <c r="H210" s="498"/>
      <c r="I210" s="478" t="s">
        <v>2223</v>
      </c>
      <c r="J210" s="478" t="s">
        <v>490</v>
      </c>
    </row>
    <row r="211" spans="1:10" s="478" customFormat="1">
      <c r="A211" s="215">
        <v>208</v>
      </c>
      <c r="B211" s="478" t="s">
        <v>2104</v>
      </c>
      <c r="C211" s="479">
        <v>1</v>
      </c>
      <c r="D211" s="1537">
        <v>38413</v>
      </c>
      <c r="E211" s="1537">
        <f t="shared" si="8"/>
        <v>38413</v>
      </c>
      <c r="F211" s="478" t="s">
        <v>1436</v>
      </c>
      <c r="G211" s="498" t="s">
        <v>464</v>
      </c>
      <c r="H211" s="498"/>
      <c r="I211" s="478" t="s">
        <v>2230</v>
      </c>
      <c r="J211" s="478" t="s">
        <v>490</v>
      </c>
    </row>
    <row r="212" spans="1:10" s="478" customFormat="1">
      <c r="A212" s="215">
        <v>209</v>
      </c>
      <c r="B212" s="478" t="s">
        <v>2115</v>
      </c>
      <c r="C212" s="479">
        <v>1</v>
      </c>
      <c r="D212" s="1537">
        <v>65000</v>
      </c>
      <c r="E212" s="1537">
        <f t="shared" si="8"/>
        <v>65000</v>
      </c>
      <c r="F212" s="478" t="s">
        <v>2318</v>
      </c>
      <c r="G212" s="498" t="s">
        <v>464</v>
      </c>
      <c r="H212" s="498"/>
      <c r="I212" s="478" t="s">
        <v>2240</v>
      </c>
      <c r="J212" s="478" t="s">
        <v>490</v>
      </c>
    </row>
    <row r="213" spans="1:10" s="478" customFormat="1">
      <c r="A213" s="215">
        <v>210</v>
      </c>
      <c r="B213" s="478" t="s">
        <v>2121</v>
      </c>
      <c r="C213" s="479">
        <v>1</v>
      </c>
      <c r="D213" s="1537">
        <v>45900</v>
      </c>
      <c r="E213" s="1537">
        <f t="shared" si="8"/>
        <v>45900</v>
      </c>
      <c r="F213" s="478" t="s">
        <v>422</v>
      </c>
      <c r="G213" s="498" t="s">
        <v>464</v>
      </c>
      <c r="H213" s="498"/>
      <c r="I213" s="478" t="s">
        <v>2250</v>
      </c>
      <c r="J213" s="478" t="s">
        <v>490</v>
      </c>
    </row>
    <row r="214" spans="1:10" s="478" customFormat="1">
      <c r="A214" s="215">
        <v>211</v>
      </c>
      <c r="B214" s="478" t="s">
        <v>448</v>
      </c>
      <c r="C214" s="479">
        <v>1</v>
      </c>
      <c r="D214" s="1537">
        <v>202658</v>
      </c>
      <c r="E214" s="1537">
        <f t="shared" si="8"/>
        <v>202658</v>
      </c>
      <c r="F214" s="478" t="s">
        <v>1278</v>
      </c>
      <c r="G214" s="498" t="s">
        <v>464</v>
      </c>
      <c r="H214" s="498"/>
      <c r="I214" s="478" t="s">
        <v>2248</v>
      </c>
      <c r="J214" s="478" t="s">
        <v>490</v>
      </c>
    </row>
    <row r="215" spans="1:10" s="478" customFormat="1">
      <c r="A215" s="215">
        <v>212</v>
      </c>
      <c r="B215" s="478" t="s">
        <v>2125</v>
      </c>
      <c r="C215" s="479">
        <v>1</v>
      </c>
      <c r="D215" s="1537">
        <v>40000</v>
      </c>
      <c r="E215" s="1537">
        <f t="shared" si="8"/>
        <v>40000</v>
      </c>
      <c r="F215" s="478" t="s">
        <v>445</v>
      </c>
      <c r="G215" s="498" t="s">
        <v>464</v>
      </c>
      <c r="H215" s="498"/>
      <c r="I215" s="478" t="s">
        <v>2256</v>
      </c>
      <c r="J215" s="478" t="s">
        <v>490</v>
      </c>
    </row>
    <row r="216" spans="1:10" s="478" customFormat="1">
      <c r="A216" s="215">
        <v>213</v>
      </c>
      <c r="B216" s="478" t="s">
        <v>2126</v>
      </c>
      <c r="C216" s="479">
        <v>2</v>
      </c>
      <c r="D216" s="1537">
        <v>6000</v>
      </c>
      <c r="E216" s="1537">
        <f t="shared" si="8"/>
        <v>12000</v>
      </c>
      <c r="F216" s="478" t="s">
        <v>1436</v>
      </c>
      <c r="G216" s="498" t="s">
        <v>464</v>
      </c>
      <c r="H216" s="498"/>
      <c r="I216" s="478" t="s">
        <v>2257</v>
      </c>
      <c r="J216" s="478" t="s">
        <v>490</v>
      </c>
    </row>
    <row r="217" spans="1:10" s="478" customFormat="1">
      <c r="A217" s="215">
        <v>214</v>
      </c>
      <c r="B217" s="478" t="s">
        <v>2127</v>
      </c>
      <c r="C217" s="479">
        <v>1</v>
      </c>
      <c r="D217" s="1537">
        <v>14600</v>
      </c>
      <c r="E217" s="1537">
        <f t="shared" si="8"/>
        <v>14600</v>
      </c>
      <c r="F217" s="478" t="s">
        <v>1436</v>
      </c>
      <c r="G217" s="498" t="s">
        <v>464</v>
      </c>
      <c r="H217" s="498"/>
      <c r="I217" s="478" t="s">
        <v>2257</v>
      </c>
      <c r="J217" s="478" t="s">
        <v>490</v>
      </c>
    </row>
    <row r="218" spans="1:10" s="478" customFormat="1">
      <c r="A218" s="215">
        <v>215</v>
      </c>
      <c r="B218" s="478" t="s">
        <v>2475</v>
      </c>
      <c r="C218" s="479">
        <v>1</v>
      </c>
      <c r="D218" s="1537">
        <v>7500</v>
      </c>
      <c r="E218" s="1537">
        <f t="shared" si="8"/>
        <v>7500</v>
      </c>
      <c r="F218" s="478" t="s">
        <v>851</v>
      </c>
      <c r="G218" s="498" t="s">
        <v>464</v>
      </c>
      <c r="H218" s="498"/>
      <c r="I218" s="478" t="s">
        <v>2263</v>
      </c>
      <c r="J218" s="478" t="s">
        <v>490</v>
      </c>
    </row>
    <row r="219" spans="1:10" s="478" customFormat="1">
      <c r="A219" s="215">
        <v>216</v>
      </c>
      <c r="B219" s="478" t="s">
        <v>2001</v>
      </c>
      <c r="C219" s="479">
        <v>1</v>
      </c>
      <c r="D219" s="1537">
        <v>40000</v>
      </c>
      <c r="E219" s="1537">
        <f t="shared" si="8"/>
        <v>40000</v>
      </c>
      <c r="F219" s="478" t="s">
        <v>851</v>
      </c>
      <c r="G219" s="498" t="s">
        <v>464</v>
      </c>
      <c r="H219" s="498"/>
      <c r="I219" s="478" t="s">
        <v>2264</v>
      </c>
      <c r="J219" s="478" t="s">
        <v>490</v>
      </c>
    </row>
    <row r="220" spans="1:10" s="478" customFormat="1">
      <c r="A220" s="215">
        <v>217</v>
      </c>
      <c r="B220" s="478" t="s">
        <v>2139</v>
      </c>
      <c r="C220" s="479">
        <v>1</v>
      </c>
      <c r="D220" s="1537">
        <v>150000</v>
      </c>
      <c r="E220" s="1537">
        <f t="shared" si="8"/>
        <v>150000</v>
      </c>
      <c r="F220" s="478" t="s">
        <v>2321</v>
      </c>
      <c r="G220" s="498" t="s">
        <v>464</v>
      </c>
      <c r="H220" s="498"/>
      <c r="I220" s="478" t="s">
        <v>2271</v>
      </c>
      <c r="J220" s="478" t="s">
        <v>490</v>
      </c>
    </row>
    <row r="221" spans="1:10" s="478" customFormat="1">
      <c r="A221" s="215">
        <v>218</v>
      </c>
      <c r="B221" s="478" t="s">
        <v>1357</v>
      </c>
      <c r="C221" s="479">
        <v>1</v>
      </c>
      <c r="D221" s="1537">
        <v>20000</v>
      </c>
      <c r="E221" s="1537">
        <f t="shared" si="8"/>
        <v>20000</v>
      </c>
      <c r="F221" s="478" t="s">
        <v>2325</v>
      </c>
      <c r="G221" s="498" t="s">
        <v>464</v>
      </c>
      <c r="H221" s="498"/>
      <c r="J221" s="478" t="s">
        <v>490</v>
      </c>
    </row>
    <row r="222" spans="1:10" s="478" customFormat="1">
      <c r="A222" s="215">
        <v>219</v>
      </c>
      <c r="B222" s="478" t="s">
        <v>1772</v>
      </c>
      <c r="C222" s="479">
        <v>1</v>
      </c>
      <c r="D222" s="1537">
        <v>750000</v>
      </c>
      <c r="E222" s="1537">
        <f t="shared" si="8"/>
        <v>750000</v>
      </c>
      <c r="F222" s="478" t="s">
        <v>1436</v>
      </c>
      <c r="G222" s="498" t="s">
        <v>464</v>
      </c>
      <c r="H222" s="498"/>
      <c r="I222" s="478" t="s">
        <v>2290</v>
      </c>
      <c r="J222" s="478" t="s">
        <v>490</v>
      </c>
    </row>
    <row r="223" spans="1:10" s="478" customFormat="1">
      <c r="A223" s="215">
        <v>220</v>
      </c>
      <c r="B223" s="478" t="s">
        <v>1773</v>
      </c>
      <c r="C223" s="479">
        <v>1</v>
      </c>
      <c r="D223" s="1537">
        <v>1500000</v>
      </c>
      <c r="E223" s="1537">
        <f t="shared" si="8"/>
        <v>1500000</v>
      </c>
      <c r="F223" s="478" t="s">
        <v>1436</v>
      </c>
      <c r="G223" s="498" t="s">
        <v>464</v>
      </c>
      <c r="H223" s="498"/>
      <c r="I223" s="478" t="s">
        <v>2291</v>
      </c>
      <c r="J223" s="478" t="s">
        <v>490</v>
      </c>
    </row>
    <row r="224" spans="1:10" s="478" customFormat="1">
      <c r="A224" s="215">
        <v>221</v>
      </c>
      <c r="B224" s="478" t="s">
        <v>2151</v>
      </c>
      <c r="C224" s="479">
        <v>1</v>
      </c>
      <c r="D224" s="1537">
        <v>440000</v>
      </c>
      <c r="E224" s="1537">
        <f t="shared" si="8"/>
        <v>440000</v>
      </c>
      <c r="F224" s="478" t="s">
        <v>414</v>
      </c>
      <c r="G224" s="498" t="s">
        <v>464</v>
      </c>
      <c r="H224" s="498"/>
      <c r="I224" s="478" t="s">
        <v>2169</v>
      </c>
      <c r="J224" s="478" t="s">
        <v>490</v>
      </c>
    </row>
    <row r="225" spans="1:10" s="478" customFormat="1">
      <c r="A225" s="215">
        <v>222</v>
      </c>
      <c r="B225" s="478" t="s">
        <v>1819</v>
      </c>
      <c r="C225" s="479">
        <v>8</v>
      </c>
      <c r="D225" s="1537">
        <v>2500</v>
      </c>
      <c r="E225" s="1537">
        <v>20000</v>
      </c>
      <c r="F225" s="478" t="s">
        <v>423</v>
      </c>
      <c r="G225" s="498" t="s">
        <v>464</v>
      </c>
      <c r="H225" s="498"/>
      <c r="I225" s="478" t="s">
        <v>2395</v>
      </c>
      <c r="J225" s="478" t="s">
        <v>1905</v>
      </c>
    </row>
    <row r="226" spans="1:10" s="478" customFormat="1">
      <c r="A226" s="215">
        <v>223</v>
      </c>
      <c r="B226" s="478" t="s">
        <v>1994</v>
      </c>
      <c r="C226" s="479">
        <v>2</v>
      </c>
      <c r="D226" s="1537">
        <v>1600000</v>
      </c>
      <c r="E226" s="1537">
        <f>C226*D226</f>
        <v>3200000</v>
      </c>
      <c r="F226" s="478" t="s">
        <v>2006</v>
      </c>
      <c r="G226" s="478" t="s">
        <v>464</v>
      </c>
      <c r="I226" s="478" t="s">
        <v>2452</v>
      </c>
      <c r="J226" s="478" t="s">
        <v>1905</v>
      </c>
    </row>
    <row r="227" spans="1:10" s="478" customFormat="1">
      <c r="A227" s="215">
        <v>224</v>
      </c>
      <c r="B227" s="478" t="s">
        <v>2143</v>
      </c>
      <c r="C227" s="479">
        <v>2</v>
      </c>
      <c r="D227" s="1537">
        <v>14500</v>
      </c>
      <c r="E227" s="1537">
        <f>C227*D227</f>
        <v>29000</v>
      </c>
      <c r="F227" s="478" t="s">
        <v>414</v>
      </c>
      <c r="G227" s="478" t="s">
        <v>464</v>
      </c>
      <c r="I227" s="478" t="s">
        <v>2277</v>
      </c>
      <c r="J227" s="478" t="s">
        <v>490</v>
      </c>
    </row>
    <row r="228" spans="1:10" s="478" customFormat="1">
      <c r="A228" s="215">
        <v>225</v>
      </c>
      <c r="B228" s="478" t="s">
        <v>2140</v>
      </c>
      <c r="C228" s="479">
        <v>1</v>
      </c>
      <c r="D228" s="1537">
        <v>13000</v>
      </c>
      <c r="E228" s="1537">
        <f>C228*D228</f>
        <v>13000</v>
      </c>
      <c r="F228" s="478" t="s">
        <v>414</v>
      </c>
      <c r="G228" s="478" t="s">
        <v>464</v>
      </c>
      <c r="I228" s="478" t="s">
        <v>2273</v>
      </c>
      <c r="J228" s="478" t="s">
        <v>490</v>
      </c>
    </row>
    <row r="229" spans="1:10" ht="29.25" customHeight="1" thickBot="1">
      <c r="A229" s="1501"/>
      <c r="C229" s="1426"/>
      <c r="D229" s="2438"/>
      <c r="E229" s="2458">
        <f>SUM(E4:E228)</f>
        <v>112875374.91</v>
      </c>
    </row>
    <row r="230" spans="1:10" ht="29.25" customHeight="1" thickTop="1">
      <c r="A230" s="1501"/>
      <c r="C230" s="1426"/>
      <c r="D230" s="2438"/>
      <c r="E230" s="3118"/>
    </row>
    <row r="231" spans="1:10" ht="29.25" customHeight="1">
      <c r="A231" s="1501"/>
      <c r="C231" s="1426"/>
      <c r="D231" s="2438"/>
      <c r="E231" s="3118"/>
    </row>
    <row r="232" spans="1:10" ht="29.25" customHeight="1">
      <c r="A232" s="1501"/>
      <c r="C232" s="1426"/>
      <c r="D232" s="2438"/>
      <c r="E232" s="3118"/>
    </row>
    <row r="233" spans="1:10" ht="21" customHeight="1">
      <c r="A233" s="3119" t="s">
        <v>1906</v>
      </c>
      <c r="B233" s="3120"/>
      <c r="C233" s="3120"/>
      <c r="D233" s="3120"/>
      <c r="E233" s="3120"/>
      <c r="F233" s="3120"/>
      <c r="G233" s="3120"/>
      <c r="H233" s="3121"/>
      <c r="I233" s="1486"/>
    </row>
    <row r="234" spans="1:10">
      <c r="A234" s="215">
        <v>1</v>
      </c>
      <c r="B234" s="478" t="s">
        <v>1907</v>
      </c>
      <c r="C234" s="479">
        <v>4</v>
      </c>
      <c r="D234" s="1537">
        <v>3200</v>
      </c>
      <c r="E234" s="1537">
        <v>12800</v>
      </c>
      <c r="F234" s="478" t="s">
        <v>574</v>
      </c>
      <c r="G234" s="478" t="s">
        <v>464</v>
      </c>
      <c r="H234" s="478"/>
      <c r="I234" s="2460" t="s">
        <v>2444</v>
      </c>
      <c r="J234" s="2445" t="s">
        <v>1906</v>
      </c>
    </row>
    <row r="235" spans="1:10">
      <c r="A235" s="215">
        <v>2</v>
      </c>
      <c r="B235" s="478" t="s">
        <v>1908</v>
      </c>
      <c r="C235" s="479">
        <v>2</v>
      </c>
      <c r="D235" s="1537">
        <v>90900</v>
      </c>
      <c r="E235" s="1537">
        <v>181800</v>
      </c>
      <c r="F235" s="478" t="s">
        <v>574</v>
      </c>
      <c r="G235" s="478" t="s">
        <v>464</v>
      </c>
      <c r="H235" s="478"/>
      <c r="I235" s="2461" t="s">
        <v>2444</v>
      </c>
      <c r="J235" s="2445" t="s">
        <v>1906</v>
      </c>
    </row>
    <row r="236" spans="1:10" s="138" customFormat="1" ht="42">
      <c r="A236" s="215">
        <v>3</v>
      </c>
      <c r="B236" s="260" t="s">
        <v>2494</v>
      </c>
      <c r="C236" s="215">
        <v>1</v>
      </c>
      <c r="D236" s="1538">
        <v>250000</v>
      </c>
      <c r="E236" s="1538">
        <v>250000</v>
      </c>
      <c r="F236" s="216" t="s">
        <v>574</v>
      </c>
      <c r="G236" s="216" t="s">
        <v>464</v>
      </c>
      <c r="H236" s="216"/>
      <c r="I236" s="2462" t="s">
        <v>2444</v>
      </c>
      <c r="J236" s="2446" t="s">
        <v>1906</v>
      </c>
    </row>
    <row r="237" spans="1:10">
      <c r="A237" s="215">
        <v>4</v>
      </c>
      <c r="B237" s="478" t="s">
        <v>1910</v>
      </c>
      <c r="C237" s="479">
        <v>1</v>
      </c>
      <c r="D237" s="1537">
        <v>98600</v>
      </c>
      <c r="E237" s="1537">
        <v>98600</v>
      </c>
      <c r="F237" s="478" t="s">
        <v>574</v>
      </c>
      <c r="G237" s="478" t="s">
        <v>464</v>
      </c>
      <c r="H237" s="478"/>
      <c r="I237" s="2461" t="s">
        <v>2444</v>
      </c>
      <c r="J237" s="2445" t="s">
        <v>1906</v>
      </c>
    </row>
    <row r="238" spans="1:10">
      <c r="A238" s="215">
        <v>5</v>
      </c>
      <c r="B238" s="478" t="s">
        <v>1911</v>
      </c>
      <c r="C238" s="479">
        <v>1</v>
      </c>
      <c r="D238" s="1537">
        <v>91400</v>
      </c>
      <c r="E238" s="1537">
        <v>91400</v>
      </c>
      <c r="F238" s="478" t="s">
        <v>574</v>
      </c>
      <c r="G238" s="478" t="s">
        <v>464</v>
      </c>
      <c r="H238" s="478"/>
      <c r="I238" s="2461" t="s">
        <v>2444</v>
      </c>
      <c r="J238" s="2445" t="s">
        <v>1906</v>
      </c>
    </row>
    <row r="239" spans="1:10">
      <c r="A239" s="215">
        <v>6</v>
      </c>
      <c r="B239" s="478" t="s">
        <v>1912</v>
      </c>
      <c r="C239" s="479">
        <v>5</v>
      </c>
      <c r="D239" s="1537">
        <v>32000</v>
      </c>
      <c r="E239" s="1537">
        <v>160000</v>
      </c>
      <c r="F239" s="478" t="s">
        <v>574</v>
      </c>
      <c r="G239" s="478" t="s">
        <v>464</v>
      </c>
      <c r="H239" s="478"/>
      <c r="I239" s="2461" t="s">
        <v>2444</v>
      </c>
      <c r="J239" s="2445" t="s">
        <v>1906</v>
      </c>
    </row>
    <row r="240" spans="1:10">
      <c r="A240" s="215">
        <v>7</v>
      </c>
      <c r="B240" s="478" t="s">
        <v>1913</v>
      </c>
      <c r="C240" s="479">
        <v>5</v>
      </c>
      <c r="D240" s="1537">
        <v>32000</v>
      </c>
      <c r="E240" s="1537">
        <v>160000</v>
      </c>
      <c r="F240" s="478" t="s">
        <v>574</v>
      </c>
      <c r="G240" s="478" t="s">
        <v>464</v>
      </c>
      <c r="H240" s="478"/>
      <c r="I240" s="2461" t="s">
        <v>2444</v>
      </c>
      <c r="J240" s="2445" t="s">
        <v>1906</v>
      </c>
    </row>
    <row r="241" spans="1:10">
      <c r="A241" s="215">
        <v>8</v>
      </c>
      <c r="B241" s="478" t="s">
        <v>1914</v>
      </c>
      <c r="C241" s="479">
        <v>2</v>
      </c>
      <c r="D241" s="1537">
        <v>7700</v>
      </c>
      <c r="E241" s="1537">
        <v>15400</v>
      </c>
      <c r="F241" s="478" t="s">
        <v>574</v>
      </c>
      <c r="G241" s="478" t="s">
        <v>464</v>
      </c>
      <c r="H241" s="478"/>
      <c r="I241" s="2461" t="s">
        <v>2444</v>
      </c>
      <c r="J241" s="2445" t="s">
        <v>1906</v>
      </c>
    </row>
    <row r="242" spans="1:10">
      <c r="A242" s="215">
        <v>9</v>
      </c>
      <c r="B242" s="478" t="s">
        <v>1915</v>
      </c>
      <c r="C242" s="479">
        <v>1</v>
      </c>
      <c r="D242" s="1537">
        <v>50000</v>
      </c>
      <c r="E242" s="1537">
        <v>50000</v>
      </c>
      <c r="F242" s="478" t="s">
        <v>1922</v>
      </c>
      <c r="G242" s="478" t="s">
        <v>464</v>
      </c>
      <c r="H242" s="478"/>
      <c r="I242" s="2461" t="s">
        <v>2445</v>
      </c>
      <c r="J242" s="2445" t="s">
        <v>1906</v>
      </c>
    </row>
    <row r="243" spans="1:10">
      <c r="A243" s="215">
        <v>10</v>
      </c>
      <c r="B243" s="478" t="s">
        <v>1916</v>
      </c>
      <c r="C243" s="479">
        <v>1</v>
      </c>
      <c r="D243" s="1537">
        <v>40000</v>
      </c>
      <c r="E243" s="1537">
        <v>40000</v>
      </c>
      <c r="F243" s="478" t="s">
        <v>1893</v>
      </c>
      <c r="G243" s="478" t="s">
        <v>464</v>
      </c>
      <c r="H243" s="478"/>
      <c r="I243" s="2461" t="s">
        <v>2446</v>
      </c>
      <c r="J243" s="2445" t="s">
        <v>1906</v>
      </c>
    </row>
    <row r="244" spans="1:10">
      <c r="A244" s="215">
        <v>11</v>
      </c>
      <c r="B244" s="478" t="s">
        <v>1917</v>
      </c>
      <c r="C244" s="479">
        <v>1</v>
      </c>
      <c r="D244" s="1537">
        <v>150000</v>
      </c>
      <c r="E244" s="1537">
        <v>150000</v>
      </c>
      <c r="F244" s="478" t="s">
        <v>888</v>
      </c>
      <c r="G244" s="478" t="s">
        <v>464</v>
      </c>
      <c r="H244" s="478"/>
      <c r="I244" s="2461" t="s">
        <v>2447</v>
      </c>
      <c r="J244" s="2445" t="s">
        <v>1906</v>
      </c>
    </row>
    <row r="245" spans="1:10">
      <c r="A245" s="215">
        <v>12</v>
      </c>
      <c r="B245" s="478" t="s">
        <v>2450</v>
      </c>
      <c r="C245" s="479">
        <v>1</v>
      </c>
      <c r="D245" s="1537">
        <v>50000</v>
      </c>
      <c r="E245" s="1537">
        <v>50000</v>
      </c>
      <c r="F245" s="478" t="s">
        <v>888</v>
      </c>
      <c r="G245" s="478" t="s">
        <v>464</v>
      </c>
      <c r="H245" s="478"/>
      <c r="I245" s="2461" t="s">
        <v>2447</v>
      </c>
      <c r="J245" s="2445" t="s">
        <v>1906</v>
      </c>
    </row>
    <row r="246" spans="1:10">
      <c r="A246" s="215">
        <v>13</v>
      </c>
      <c r="B246" s="478" t="s">
        <v>1919</v>
      </c>
      <c r="C246" s="479">
        <v>1</v>
      </c>
      <c r="D246" s="1537">
        <v>400000</v>
      </c>
      <c r="E246" s="1537">
        <v>400000</v>
      </c>
      <c r="F246" s="478" t="s">
        <v>614</v>
      </c>
      <c r="G246" s="478" t="s">
        <v>464</v>
      </c>
      <c r="H246" s="478"/>
      <c r="I246" s="2461"/>
      <c r="J246" s="2445" t="s">
        <v>1906</v>
      </c>
    </row>
    <row r="247" spans="1:10">
      <c r="A247" s="215">
        <v>14</v>
      </c>
      <c r="B247" s="478" t="s">
        <v>1920</v>
      </c>
      <c r="C247" s="479">
        <v>1</v>
      </c>
      <c r="D247" s="1537">
        <v>80000</v>
      </c>
      <c r="E247" s="1537">
        <v>80000</v>
      </c>
      <c r="F247" s="478" t="s">
        <v>888</v>
      </c>
      <c r="G247" s="478" t="s">
        <v>464</v>
      </c>
      <c r="H247" s="478"/>
      <c r="I247" s="2461" t="s">
        <v>2448</v>
      </c>
      <c r="J247" s="2445" t="s">
        <v>1906</v>
      </c>
    </row>
    <row r="248" spans="1:10">
      <c r="A248" s="215">
        <v>15</v>
      </c>
      <c r="B248" s="478" t="s">
        <v>2001</v>
      </c>
      <c r="C248" s="479">
        <v>1</v>
      </c>
      <c r="D248" s="1537">
        <v>40000</v>
      </c>
      <c r="E248" s="1537">
        <f>+C248*D248</f>
        <v>40000</v>
      </c>
      <c r="F248" s="478" t="s">
        <v>2297</v>
      </c>
      <c r="G248" s="478" t="s">
        <v>464</v>
      </c>
      <c r="H248" s="478"/>
      <c r="I248" s="2461" t="s">
        <v>2163</v>
      </c>
      <c r="J248" s="2445" t="s">
        <v>1906</v>
      </c>
    </row>
    <row r="249" spans="1:10">
      <c r="A249" s="215">
        <v>16</v>
      </c>
      <c r="B249" s="478" t="s">
        <v>2123</v>
      </c>
      <c r="C249" s="479">
        <v>1</v>
      </c>
      <c r="D249" s="1537">
        <v>15000</v>
      </c>
      <c r="E249" s="1537">
        <f>C249*D249</f>
        <v>15000</v>
      </c>
      <c r="F249" s="478" t="s">
        <v>888</v>
      </c>
      <c r="G249" s="478" t="s">
        <v>464</v>
      </c>
      <c r="H249" s="478"/>
      <c r="I249" s="2461" t="s">
        <v>2253</v>
      </c>
      <c r="J249" s="2445" t="s">
        <v>1906</v>
      </c>
    </row>
    <row r="250" spans="1:10" s="138" customFormat="1" ht="42">
      <c r="A250" s="215">
        <v>17</v>
      </c>
      <c r="B250" s="260" t="s">
        <v>2486</v>
      </c>
      <c r="C250" s="215">
        <v>3</v>
      </c>
      <c r="D250" s="1538">
        <v>25000</v>
      </c>
      <c r="E250" s="1538">
        <f>C250*D250</f>
        <v>75000</v>
      </c>
      <c r="F250" s="216" t="s">
        <v>888</v>
      </c>
      <c r="G250" s="216" t="s">
        <v>464</v>
      </c>
      <c r="H250" s="216"/>
      <c r="I250" s="2462" t="s">
        <v>2254</v>
      </c>
      <c r="J250" s="2446" t="s">
        <v>1906</v>
      </c>
    </row>
    <row r="251" spans="1:10">
      <c r="A251" s="215">
        <v>18</v>
      </c>
      <c r="B251" s="478" t="s">
        <v>1861</v>
      </c>
      <c r="C251" s="479">
        <v>1</v>
      </c>
      <c r="D251" s="1537">
        <v>40000</v>
      </c>
      <c r="E251" s="1537">
        <f>C251*D251</f>
        <v>40000</v>
      </c>
      <c r="F251" s="478" t="s">
        <v>888</v>
      </c>
      <c r="G251" s="478" t="s">
        <v>464</v>
      </c>
      <c r="H251" s="478"/>
      <c r="I251" s="2461" t="s">
        <v>2254</v>
      </c>
      <c r="J251" s="2445" t="s">
        <v>1906</v>
      </c>
    </row>
    <row r="252" spans="1:10" s="138" customFormat="1" ht="42">
      <c r="A252" s="215">
        <v>19</v>
      </c>
      <c r="B252" s="260" t="s">
        <v>2487</v>
      </c>
      <c r="C252" s="215">
        <v>1</v>
      </c>
      <c r="D252" s="1538">
        <v>100000</v>
      </c>
      <c r="E252" s="1538">
        <f>C252*D252</f>
        <v>100000</v>
      </c>
      <c r="F252" s="216" t="s">
        <v>963</v>
      </c>
      <c r="G252" s="216" t="s">
        <v>464</v>
      </c>
      <c r="H252" s="216"/>
      <c r="I252" s="2462" t="s">
        <v>2456</v>
      </c>
      <c r="J252" s="138" t="s">
        <v>1906</v>
      </c>
    </row>
    <row r="253" spans="1:10">
      <c r="A253" s="215">
        <v>20</v>
      </c>
      <c r="B253" s="478" t="s">
        <v>2091</v>
      </c>
      <c r="C253" s="479">
        <v>1</v>
      </c>
      <c r="D253" s="1537">
        <v>21500</v>
      </c>
      <c r="E253" s="1537">
        <f>C253*D253</f>
        <v>21500</v>
      </c>
      <c r="F253" s="478" t="s">
        <v>1447</v>
      </c>
      <c r="G253" s="478" t="s">
        <v>464</v>
      </c>
      <c r="H253" s="478"/>
      <c r="I253" s="2461" t="s">
        <v>2218</v>
      </c>
      <c r="J253" s="19" t="s">
        <v>490</v>
      </c>
    </row>
    <row r="254" spans="1:10">
      <c r="A254" s="215">
        <v>21</v>
      </c>
      <c r="B254" s="478" t="s">
        <v>1921</v>
      </c>
      <c r="C254" s="479">
        <v>1</v>
      </c>
      <c r="D254" s="1537">
        <v>28355</v>
      </c>
      <c r="E254" s="1537">
        <v>28355</v>
      </c>
      <c r="F254" s="478" t="s">
        <v>1923</v>
      </c>
      <c r="G254" s="478" t="s">
        <v>730</v>
      </c>
      <c r="H254" s="478"/>
      <c r="I254" s="2461" t="s">
        <v>2449</v>
      </c>
      <c r="J254" s="2445" t="s">
        <v>1906</v>
      </c>
    </row>
    <row r="255" spans="1:10" ht="21.75" thickBot="1">
      <c r="C255" s="1426"/>
      <c r="D255" s="2438"/>
      <c r="E255" s="2463">
        <f>SUM(E234:E254)</f>
        <v>2059855</v>
      </c>
      <c r="G255" s="1870"/>
      <c r="H255" s="1870"/>
    </row>
    <row r="256" spans="1:10" ht="21.75" thickTop="1">
      <c r="C256" s="1426"/>
      <c r="D256" s="2438"/>
      <c r="E256" s="2438"/>
      <c r="G256" s="1870"/>
      <c r="H256" s="1870"/>
    </row>
  </sheetData>
  <mergeCells count="2">
    <mergeCell ref="A1:F1"/>
    <mergeCell ref="A233:H233"/>
  </mergeCells>
  <pageMargins left="0.27559055118110237" right="0.19685039370078741" top="0.62992125984251968" bottom="0.27559055118110237" header="0.31496062992125984" footer="0.11811023622047245"/>
  <pageSetup paperSize="9" scale="63" firstPageNumber="28" orientation="landscape" useFirstPageNumber="1" horizontalDpi="4294967293" verticalDpi="0" r:id="rId1"/>
  <headerFooter>
    <oddFooter>&amp;C&amp;9&amp;P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751B-8615-4672-A971-FC4BB10FEE8C}">
  <sheetPr>
    <tabColor rgb="FFFF0000"/>
  </sheetPr>
  <dimension ref="A1:AB46"/>
  <sheetViews>
    <sheetView view="pageBreakPreview" zoomScale="90" zoomScaleNormal="100" zoomScaleSheetLayoutView="90" workbookViewId="0">
      <selection activeCell="G10" sqref="G10"/>
    </sheetView>
  </sheetViews>
  <sheetFormatPr defaultColWidth="9.140625" defaultRowHeight="21"/>
  <cols>
    <col min="1" max="1" width="7" style="1426" customWidth="1"/>
    <col min="2" max="2" width="56.28515625" style="19" customWidth="1"/>
    <col min="3" max="3" width="9.140625" style="19"/>
    <col min="4" max="4" width="16.42578125" style="19" customWidth="1"/>
    <col min="5" max="5" width="18.5703125" style="19" customWidth="1"/>
    <col min="6" max="6" width="40.42578125" style="19" customWidth="1"/>
    <col min="7" max="7" width="29.5703125" style="19" customWidth="1"/>
    <col min="8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865"/>
      <c r="H1" s="286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>
      <c r="B2" s="1648" t="s">
        <v>2493</v>
      </c>
      <c r="C2" s="1426"/>
      <c r="D2" s="2438"/>
      <c r="E2" s="2438"/>
    </row>
    <row r="3" spans="1:28">
      <c r="A3" s="1478" t="s">
        <v>2</v>
      </c>
      <c r="B3" s="1478" t="s">
        <v>3</v>
      </c>
      <c r="C3" s="1478" t="s">
        <v>618</v>
      </c>
      <c r="D3" s="1478" t="s">
        <v>1410</v>
      </c>
      <c r="E3" s="1478" t="s">
        <v>1411</v>
      </c>
      <c r="F3" s="1478" t="s">
        <v>388</v>
      </c>
      <c r="G3" s="1478" t="s">
        <v>727</v>
      </c>
      <c r="H3" s="1478" t="s">
        <v>221</v>
      </c>
    </row>
    <row r="4" spans="1:28" s="138" customFormat="1" ht="22.5" customHeight="1">
      <c r="A4" s="215">
        <v>1</v>
      </c>
      <c r="B4" s="322" t="s">
        <v>887</v>
      </c>
      <c r="C4" s="233">
        <v>2</v>
      </c>
      <c r="D4" s="328">
        <v>2290</v>
      </c>
      <c r="E4" s="328">
        <f>+C4*D4</f>
        <v>4580</v>
      </c>
      <c r="F4" s="322" t="s">
        <v>456</v>
      </c>
      <c r="G4" s="322" t="s">
        <v>2039</v>
      </c>
      <c r="H4" s="322"/>
      <c r="I4" s="138" t="s">
        <v>1721</v>
      </c>
    </row>
    <row r="5" spans="1:28" s="138" customFormat="1" ht="22.5" customHeight="1">
      <c r="A5" s="215">
        <v>2</v>
      </c>
      <c r="B5" s="322" t="s">
        <v>882</v>
      </c>
      <c r="C5" s="233">
        <v>2</v>
      </c>
      <c r="D5" s="328">
        <v>8690</v>
      </c>
      <c r="E5" s="328">
        <f>+C5*D5</f>
        <v>17380</v>
      </c>
      <c r="F5" s="322" t="s">
        <v>456</v>
      </c>
      <c r="G5" s="322" t="s">
        <v>2039</v>
      </c>
      <c r="H5" s="322"/>
      <c r="I5" s="138" t="s">
        <v>1721</v>
      </c>
    </row>
    <row r="6" spans="1:28" s="138" customFormat="1" ht="22.5" customHeight="1">
      <c r="A6" s="215">
        <v>3</v>
      </c>
      <c r="B6" s="322" t="s">
        <v>869</v>
      </c>
      <c r="C6" s="233">
        <v>19</v>
      </c>
      <c r="D6" s="700">
        <v>3524.58</v>
      </c>
      <c r="E6" s="328">
        <f>+C6*D6</f>
        <v>66967.02</v>
      </c>
      <c r="F6" s="322" t="s">
        <v>456</v>
      </c>
      <c r="G6" s="322" t="s">
        <v>2039</v>
      </c>
      <c r="H6" s="322"/>
      <c r="I6" s="138" t="s">
        <v>1721</v>
      </c>
    </row>
    <row r="7" spans="1:28" s="138" customFormat="1" ht="22.5" customHeight="1">
      <c r="A7" s="215">
        <v>4</v>
      </c>
      <c r="B7" s="322" t="s">
        <v>870</v>
      </c>
      <c r="C7" s="233">
        <v>40</v>
      </c>
      <c r="D7" s="328">
        <v>2477.5</v>
      </c>
      <c r="E7" s="328">
        <f>+C7*D7</f>
        <v>99100</v>
      </c>
      <c r="F7" s="322" t="s">
        <v>850</v>
      </c>
      <c r="G7" s="322" t="s">
        <v>2039</v>
      </c>
      <c r="H7" s="322"/>
      <c r="I7" s="138" t="s">
        <v>1721</v>
      </c>
    </row>
    <row r="8" spans="1:28" s="138" customFormat="1" ht="22.5" customHeight="1">
      <c r="A8" s="215">
        <v>5</v>
      </c>
      <c r="B8" s="216" t="s">
        <v>1264</v>
      </c>
      <c r="C8" s="215">
        <v>1</v>
      </c>
      <c r="D8" s="408">
        <v>3900</v>
      </c>
      <c r="E8" s="408">
        <f>+C8*D8</f>
        <v>3900</v>
      </c>
      <c r="F8" s="216" t="s">
        <v>1265</v>
      </c>
      <c r="G8" s="322" t="s">
        <v>2039</v>
      </c>
      <c r="H8" s="322"/>
      <c r="I8" s="138" t="s">
        <v>1721</v>
      </c>
    </row>
    <row r="9" spans="1:28" s="138" customFormat="1" ht="22.5" customHeight="1">
      <c r="A9" s="215">
        <v>6</v>
      </c>
      <c r="B9" s="221" t="s">
        <v>1379</v>
      </c>
      <c r="C9" s="215">
        <v>1</v>
      </c>
      <c r="D9" s="1531">
        <v>6790</v>
      </c>
      <c r="E9" s="1531">
        <v>6790</v>
      </c>
      <c r="F9" s="221" t="s">
        <v>1278</v>
      </c>
      <c r="G9" s="322" t="s">
        <v>2039</v>
      </c>
      <c r="H9" s="322"/>
      <c r="I9" s="138" t="s">
        <v>1721</v>
      </c>
    </row>
    <row r="10" spans="1:28" s="138" customFormat="1" ht="22.5" customHeight="1">
      <c r="A10" s="215">
        <v>7</v>
      </c>
      <c r="B10" s="221" t="s">
        <v>1380</v>
      </c>
      <c r="C10" s="215">
        <v>1</v>
      </c>
      <c r="D10" s="1531">
        <v>1590</v>
      </c>
      <c r="E10" s="1531">
        <v>1590</v>
      </c>
      <c r="F10" s="221" t="s">
        <v>1384</v>
      </c>
      <c r="G10" s="322" t="s">
        <v>2039</v>
      </c>
      <c r="H10" s="322"/>
      <c r="I10" s="138" t="s">
        <v>1721</v>
      </c>
    </row>
    <row r="11" spans="1:28" s="138" customFormat="1" ht="22.5" customHeight="1">
      <c r="A11" s="215">
        <v>8</v>
      </c>
      <c r="B11" s="221" t="s">
        <v>1381</v>
      </c>
      <c r="C11" s="215">
        <v>1</v>
      </c>
      <c r="D11" s="1531">
        <v>5990</v>
      </c>
      <c r="E11" s="1531">
        <v>5990</v>
      </c>
      <c r="F11" s="221" t="s">
        <v>614</v>
      </c>
      <c r="G11" s="322" t="s">
        <v>2039</v>
      </c>
      <c r="H11" s="322"/>
      <c r="I11" s="138" t="s">
        <v>1721</v>
      </c>
    </row>
    <row r="12" spans="1:28" s="138" customFormat="1" ht="22.5" customHeight="1">
      <c r="A12" s="215">
        <v>9</v>
      </c>
      <c r="B12" s="251" t="s">
        <v>1266</v>
      </c>
      <c r="C12" s="233">
        <v>1</v>
      </c>
      <c r="D12" s="418">
        <v>103830</v>
      </c>
      <c r="E12" s="418">
        <f>+C12*D12</f>
        <v>103830</v>
      </c>
      <c r="F12" s="322" t="s">
        <v>456</v>
      </c>
      <c r="G12" s="322" t="s">
        <v>2039</v>
      </c>
      <c r="H12" s="322"/>
      <c r="I12" s="138" t="s">
        <v>1721</v>
      </c>
    </row>
    <row r="13" spans="1:28" s="138" customFormat="1" ht="22.5" customHeight="1">
      <c r="A13" s="215">
        <v>10</v>
      </c>
      <c r="B13" s="251" t="s">
        <v>1267</v>
      </c>
      <c r="C13" s="233">
        <v>1</v>
      </c>
      <c r="D13" s="418">
        <v>127200</v>
      </c>
      <c r="E13" s="418">
        <f>+C13*D13</f>
        <v>127200</v>
      </c>
      <c r="F13" s="322" t="s">
        <v>456</v>
      </c>
      <c r="G13" s="322" t="s">
        <v>2039</v>
      </c>
      <c r="H13" s="322"/>
      <c r="I13" s="138" t="s">
        <v>1721</v>
      </c>
    </row>
    <row r="14" spans="1:28" s="138" customFormat="1" ht="22.5" customHeight="1">
      <c r="A14" s="215">
        <v>11</v>
      </c>
      <c r="B14" s="251" t="s">
        <v>1268</v>
      </c>
      <c r="C14" s="233">
        <v>1</v>
      </c>
      <c r="D14" s="418">
        <v>527104</v>
      </c>
      <c r="E14" s="418">
        <f>+C14*D14</f>
        <v>527104</v>
      </c>
      <c r="F14" s="322" t="s">
        <v>456</v>
      </c>
      <c r="G14" s="322" t="s">
        <v>2039</v>
      </c>
      <c r="H14" s="322"/>
      <c r="I14" s="138" t="s">
        <v>1721</v>
      </c>
    </row>
    <row r="15" spans="1:28" s="138" customFormat="1" ht="22.5" customHeight="1">
      <c r="A15" s="215">
        <v>12</v>
      </c>
      <c r="B15" s="251" t="s">
        <v>1269</v>
      </c>
      <c r="C15" s="233">
        <v>1</v>
      </c>
      <c r="D15" s="418">
        <v>162320</v>
      </c>
      <c r="E15" s="418">
        <f>+C15*D15</f>
        <v>162320</v>
      </c>
      <c r="F15" s="322" t="s">
        <v>456</v>
      </c>
      <c r="G15" s="322" t="s">
        <v>2039</v>
      </c>
      <c r="H15" s="322"/>
      <c r="I15" s="138" t="s">
        <v>1721</v>
      </c>
    </row>
    <row r="16" spans="1:28" s="138" customFormat="1" ht="22.5" customHeight="1">
      <c r="A16" s="215">
        <v>13</v>
      </c>
      <c r="B16" s="221" t="s">
        <v>1611</v>
      </c>
      <c r="C16" s="215">
        <v>2</v>
      </c>
      <c r="D16" s="408">
        <v>8900</v>
      </c>
      <c r="E16" s="408">
        <f t="shared" ref="E16:E25" si="0">+C16*D16</f>
        <v>17800</v>
      </c>
      <c r="F16" s="2421" t="s">
        <v>1612</v>
      </c>
      <c r="G16" s="2421" t="s">
        <v>728</v>
      </c>
      <c r="H16" s="2421"/>
      <c r="I16" s="138" t="s">
        <v>2497</v>
      </c>
    </row>
    <row r="17" spans="1:10" s="138" customFormat="1" ht="22.5" customHeight="1">
      <c r="A17" s="215" t="s">
        <v>2495</v>
      </c>
      <c r="B17" s="221" t="s">
        <v>1614</v>
      </c>
      <c r="C17" s="215">
        <v>6</v>
      </c>
      <c r="D17" s="408">
        <v>4300</v>
      </c>
      <c r="E17" s="408">
        <f t="shared" si="0"/>
        <v>25800</v>
      </c>
      <c r="F17" s="221" t="s">
        <v>1532</v>
      </c>
      <c r="G17" s="2421" t="s">
        <v>728</v>
      </c>
      <c r="H17" s="2421"/>
      <c r="I17" s="138" t="s">
        <v>2497</v>
      </c>
    </row>
    <row r="18" spans="1:10" s="138" customFormat="1" ht="22.5" customHeight="1">
      <c r="A18" s="215" t="s">
        <v>2496</v>
      </c>
      <c r="B18" s="221" t="s">
        <v>1616</v>
      </c>
      <c r="C18" s="215">
        <f>4+2+2</f>
        <v>8</v>
      </c>
      <c r="D18" s="408">
        <v>9500</v>
      </c>
      <c r="E18" s="408">
        <f t="shared" si="0"/>
        <v>76000</v>
      </c>
      <c r="F18" s="2481" t="s">
        <v>2018</v>
      </c>
      <c r="G18" s="2421" t="s">
        <v>728</v>
      </c>
      <c r="H18" s="2421"/>
      <c r="I18" s="138" t="s">
        <v>2497</v>
      </c>
    </row>
    <row r="19" spans="1:10" s="138" customFormat="1" ht="22.5" customHeight="1">
      <c r="A19" s="215">
        <v>16</v>
      </c>
      <c r="B19" s="221" t="s">
        <v>1619</v>
      </c>
      <c r="C19" s="215">
        <v>4</v>
      </c>
      <c r="D19" s="408">
        <v>20000</v>
      </c>
      <c r="E19" s="408">
        <f t="shared" si="0"/>
        <v>80000</v>
      </c>
      <c r="F19" s="2481" t="s">
        <v>2019</v>
      </c>
      <c r="G19" s="2421" t="s">
        <v>728</v>
      </c>
      <c r="H19" s="2421"/>
      <c r="I19" s="138" t="s">
        <v>2497</v>
      </c>
    </row>
    <row r="20" spans="1:10" s="138" customFormat="1" ht="22.5" customHeight="1">
      <c r="A20" s="215">
        <v>17</v>
      </c>
      <c r="B20" s="221" t="s">
        <v>1620</v>
      </c>
      <c r="C20" s="215">
        <v>3</v>
      </c>
      <c r="D20" s="422">
        <v>5990</v>
      </c>
      <c r="E20" s="422">
        <f t="shared" si="0"/>
        <v>17970</v>
      </c>
      <c r="F20" s="2421" t="s">
        <v>1561</v>
      </c>
      <c r="G20" s="2421" t="s">
        <v>728</v>
      </c>
      <c r="H20" s="2421"/>
      <c r="I20" s="138" t="s">
        <v>2497</v>
      </c>
    </row>
    <row r="21" spans="1:10" s="138" customFormat="1" ht="22.5" customHeight="1">
      <c r="A21" s="215">
        <v>18</v>
      </c>
      <c r="B21" s="221" t="s">
        <v>1621</v>
      </c>
      <c r="C21" s="215">
        <v>1</v>
      </c>
      <c r="D21" s="408">
        <v>10590</v>
      </c>
      <c r="E21" s="408">
        <f t="shared" si="0"/>
        <v>10590</v>
      </c>
      <c r="F21" s="2421" t="s">
        <v>1532</v>
      </c>
      <c r="G21" s="2421" t="s">
        <v>728</v>
      </c>
      <c r="H21" s="2421"/>
      <c r="I21" s="138" t="s">
        <v>2497</v>
      </c>
    </row>
    <row r="22" spans="1:10" s="138" customFormat="1" ht="22.5" customHeight="1">
      <c r="A22" s="215">
        <v>19</v>
      </c>
      <c r="B22" s="221" t="s">
        <v>1622</v>
      </c>
      <c r="C22" s="215">
        <v>4</v>
      </c>
      <c r="D22" s="408">
        <v>6000</v>
      </c>
      <c r="E22" s="408">
        <f t="shared" si="0"/>
        <v>24000</v>
      </c>
      <c r="F22" s="2481" t="s">
        <v>2020</v>
      </c>
      <c r="G22" s="2421" t="s">
        <v>728</v>
      </c>
      <c r="H22" s="2421"/>
      <c r="I22" s="138" t="s">
        <v>2497</v>
      </c>
    </row>
    <row r="23" spans="1:10" s="138" customFormat="1" ht="22.5" customHeight="1">
      <c r="A23" s="215">
        <v>20</v>
      </c>
      <c r="B23" s="221" t="s">
        <v>1623</v>
      </c>
      <c r="C23" s="215">
        <v>3</v>
      </c>
      <c r="D23" s="422">
        <v>4900</v>
      </c>
      <c r="E23" s="422">
        <f t="shared" si="0"/>
        <v>14700</v>
      </c>
      <c r="F23" s="2421" t="s">
        <v>1561</v>
      </c>
      <c r="G23" s="2421" t="s">
        <v>728</v>
      </c>
      <c r="H23" s="2421"/>
      <c r="I23" s="138" t="s">
        <v>2497</v>
      </c>
    </row>
    <row r="24" spans="1:10" s="138" customFormat="1" ht="22.5" customHeight="1">
      <c r="A24" s="215">
        <v>21</v>
      </c>
      <c r="B24" s="221" t="s">
        <v>1624</v>
      </c>
      <c r="C24" s="215">
        <v>6</v>
      </c>
      <c r="D24" s="408">
        <v>8000</v>
      </c>
      <c r="E24" s="408">
        <f t="shared" si="0"/>
        <v>48000</v>
      </c>
      <c r="F24" s="2421" t="s">
        <v>1592</v>
      </c>
      <c r="G24" s="2421" t="s">
        <v>728</v>
      </c>
      <c r="H24" s="2421"/>
      <c r="I24" s="138" t="s">
        <v>2497</v>
      </c>
    </row>
    <row r="25" spans="1:10" s="138" customFormat="1" ht="22.5" customHeight="1">
      <c r="A25" s="215">
        <v>22</v>
      </c>
      <c r="B25" s="309" t="s">
        <v>1625</v>
      </c>
      <c r="C25" s="310">
        <v>1</v>
      </c>
      <c r="D25" s="1909">
        <v>8190</v>
      </c>
      <c r="E25" s="1909">
        <f t="shared" si="0"/>
        <v>8190</v>
      </c>
      <c r="F25" s="1908" t="s">
        <v>1563</v>
      </c>
      <c r="G25" s="221" t="s">
        <v>728</v>
      </c>
      <c r="H25" s="221"/>
      <c r="I25" s="138" t="s">
        <v>2497</v>
      </c>
    </row>
    <row r="26" spans="1:10" s="138" customFormat="1" ht="22.5" customHeight="1">
      <c r="A26" s="215">
        <v>23</v>
      </c>
      <c r="B26" s="309" t="s">
        <v>1626</v>
      </c>
      <c r="C26" s="310">
        <v>1</v>
      </c>
      <c r="D26" s="1907">
        <v>5500</v>
      </c>
      <c r="E26" s="1907">
        <v>5000</v>
      </c>
      <c r="F26" s="1908" t="s">
        <v>1563</v>
      </c>
      <c r="G26" s="221" t="s">
        <v>728</v>
      </c>
      <c r="H26" s="221"/>
      <c r="I26" s="138" t="s">
        <v>2497</v>
      </c>
    </row>
    <row r="27" spans="1:10" s="138" customFormat="1" ht="22.5" customHeight="1">
      <c r="A27" s="215">
        <v>24</v>
      </c>
      <c r="B27" s="309" t="s">
        <v>1627</v>
      </c>
      <c r="C27" s="310">
        <v>1</v>
      </c>
      <c r="D27" s="1907">
        <v>7800</v>
      </c>
      <c r="E27" s="1907">
        <v>7800</v>
      </c>
      <c r="F27" s="1908" t="s">
        <v>1567</v>
      </c>
      <c r="G27" s="221" t="s">
        <v>728</v>
      </c>
      <c r="H27" s="221"/>
    </row>
    <row r="28" spans="1:10" s="138" customFormat="1" ht="22.5" customHeight="1">
      <c r="A28" s="215">
        <v>25</v>
      </c>
      <c r="B28" s="216" t="s">
        <v>465</v>
      </c>
      <c r="C28" s="215">
        <v>18</v>
      </c>
      <c r="D28" s="1538">
        <v>2290</v>
      </c>
      <c r="E28" s="1538">
        <v>41220</v>
      </c>
      <c r="F28" s="216" t="s">
        <v>888</v>
      </c>
      <c r="G28" s="216" t="s">
        <v>728</v>
      </c>
      <c r="H28" s="216"/>
      <c r="I28" s="2462"/>
      <c r="J28" s="138" t="s">
        <v>1905</v>
      </c>
    </row>
    <row r="29" spans="1:10" s="138" customFormat="1" ht="22.5" customHeight="1">
      <c r="A29" s="215">
        <v>26</v>
      </c>
      <c r="B29" s="216" t="s">
        <v>1788</v>
      </c>
      <c r="C29" s="215">
        <v>40</v>
      </c>
      <c r="D29" s="1538">
        <v>4390</v>
      </c>
      <c r="E29" s="1538">
        <v>175600</v>
      </c>
      <c r="F29" s="216" t="s">
        <v>888</v>
      </c>
      <c r="G29" s="216" t="s">
        <v>728</v>
      </c>
      <c r="H29" s="216"/>
      <c r="I29" s="2462" t="s">
        <v>2367</v>
      </c>
      <c r="J29" s="138" t="s">
        <v>1905</v>
      </c>
    </row>
    <row r="30" spans="1:10" s="138" customFormat="1" ht="22.5" customHeight="1">
      <c r="A30" s="215">
        <v>27</v>
      </c>
      <c r="B30" s="216" t="s">
        <v>1789</v>
      </c>
      <c r="C30" s="215">
        <v>40</v>
      </c>
      <c r="D30" s="1538">
        <v>1590</v>
      </c>
      <c r="E30" s="1538">
        <v>63600</v>
      </c>
      <c r="F30" s="216" t="s">
        <v>888</v>
      </c>
      <c r="G30" s="216" t="s">
        <v>728</v>
      </c>
      <c r="H30" s="216"/>
      <c r="I30" s="2462" t="s">
        <v>2367</v>
      </c>
      <c r="J30" s="138" t="s">
        <v>1905</v>
      </c>
    </row>
    <row r="31" spans="1:10" s="138" customFormat="1" ht="22.5" customHeight="1">
      <c r="A31" s="215">
        <v>28</v>
      </c>
      <c r="B31" s="216" t="s">
        <v>465</v>
      </c>
      <c r="C31" s="215">
        <v>24</v>
      </c>
      <c r="D31" s="1538"/>
      <c r="E31" s="1538">
        <v>54959.99</v>
      </c>
      <c r="F31" s="216" t="s">
        <v>1872</v>
      </c>
      <c r="G31" s="216" t="s">
        <v>728</v>
      </c>
      <c r="H31" s="216"/>
      <c r="I31" s="2462" t="s">
        <v>2369</v>
      </c>
      <c r="J31" s="138" t="s">
        <v>1905</v>
      </c>
    </row>
    <row r="32" spans="1:10" s="138" customFormat="1" ht="22.5" customHeight="1">
      <c r="A32" s="215">
        <v>29</v>
      </c>
      <c r="B32" s="216" t="s">
        <v>1796</v>
      </c>
      <c r="C32" s="215">
        <v>1</v>
      </c>
      <c r="D32" s="1538">
        <v>4900</v>
      </c>
      <c r="E32" s="1538">
        <v>4900</v>
      </c>
      <c r="F32" s="216" t="s">
        <v>614</v>
      </c>
      <c r="G32" s="216" t="s">
        <v>728</v>
      </c>
      <c r="H32" s="216"/>
      <c r="I32" s="2462" t="s">
        <v>2374</v>
      </c>
      <c r="J32" s="138" t="s">
        <v>1905</v>
      </c>
    </row>
    <row r="33" spans="1:10" s="138" customFormat="1" ht="22.5" customHeight="1">
      <c r="A33" s="215">
        <v>30</v>
      </c>
      <c r="B33" s="216" t="s">
        <v>1334</v>
      </c>
      <c r="C33" s="215">
        <v>2</v>
      </c>
      <c r="D33" s="1538">
        <v>2033</v>
      </c>
      <c r="E33" s="1538">
        <v>4066</v>
      </c>
      <c r="F33" s="216" t="s">
        <v>614</v>
      </c>
      <c r="G33" s="216" t="s">
        <v>728</v>
      </c>
      <c r="H33" s="216"/>
      <c r="I33" s="2462" t="s">
        <v>2374</v>
      </c>
      <c r="J33" s="138" t="s">
        <v>1905</v>
      </c>
    </row>
    <row r="34" spans="1:10" s="138" customFormat="1" ht="22.5" customHeight="1">
      <c r="A34" s="215">
        <v>31</v>
      </c>
      <c r="B34" s="216" t="s">
        <v>1830</v>
      </c>
      <c r="C34" s="215">
        <v>1</v>
      </c>
      <c r="D34" s="1538">
        <v>12900</v>
      </c>
      <c r="E34" s="1538">
        <v>12900</v>
      </c>
      <c r="F34" s="216" t="s">
        <v>1891</v>
      </c>
      <c r="G34" s="216" t="s">
        <v>728</v>
      </c>
      <c r="H34" s="216"/>
      <c r="I34" s="2462" t="s">
        <v>2402</v>
      </c>
      <c r="J34" s="138" t="s">
        <v>1905</v>
      </c>
    </row>
    <row r="35" spans="1:10" s="138" customFormat="1" ht="22.5" customHeight="1">
      <c r="A35" s="215">
        <v>32</v>
      </c>
      <c r="B35" s="216" t="s">
        <v>2041</v>
      </c>
      <c r="C35" s="215">
        <v>8</v>
      </c>
      <c r="D35" s="1538">
        <v>4300</v>
      </c>
      <c r="E35" s="1538">
        <f>+C35*D35</f>
        <v>34400</v>
      </c>
      <c r="F35" s="216" t="s">
        <v>2295</v>
      </c>
      <c r="G35" s="216" t="s">
        <v>728</v>
      </c>
      <c r="H35" s="216"/>
      <c r="I35" s="2462" t="s">
        <v>2154</v>
      </c>
      <c r="J35" s="138" t="s">
        <v>490</v>
      </c>
    </row>
    <row r="36" spans="1:10" s="138" customFormat="1" ht="22.5" customHeight="1">
      <c r="A36" s="215">
        <v>33</v>
      </c>
      <c r="B36" s="216" t="s">
        <v>2065</v>
      </c>
      <c r="C36" s="215">
        <v>1</v>
      </c>
      <c r="D36" s="1538">
        <v>9290</v>
      </c>
      <c r="E36" s="1538">
        <f>C36*D36</f>
        <v>9290</v>
      </c>
      <c r="F36" s="216" t="s">
        <v>2336</v>
      </c>
      <c r="G36" s="216" t="s">
        <v>728</v>
      </c>
      <c r="H36" s="216"/>
      <c r="I36" s="2462" t="s">
        <v>2183</v>
      </c>
      <c r="J36" s="138" t="s">
        <v>490</v>
      </c>
    </row>
    <row r="37" spans="1:10" s="138" customFormat="1" ht="22.5" customHeight="1">
      <c r="A37" s="215">
        <v>34</v>
      </c>
      <c r="B37" s="216" t="s">
        <v>2072</v>
      </c>
      <c r="C37" s="215">
        <v>1</v>
      </c>
      <c r="D37" s="1538">
        <v>3900</v>
      </c>
      <c r="E37" s="1538">
        <f>C37*D37</f>
        <v>3900</v>
      </c>
      <c r="F37" s="216" t="s">
        <v>2308</v>
      </c>
      <c r="G37" s="216" t="s">
        <v>728</v>
      </c>
      <c r="H37" s="216"/>
      <c r="I37" s="2462" t="s">
        <v>2190</v>
      </c>
      <c r="J37" s="138" t="s">
        <v>490</v>
      </c>
    </row>
    <row r="38" spans="1:10" s="138" customFormat="1" ht="22.5" customHeight="1">
      <c r="A38" s="215">
        <v>35</v>
      </c>
      <c r="B38" s="216" t="s">
        <v>2077</v>
      </c>
      <c r="C38" s="215">
        <v>2</v>
      </c>
      <c r="D38" s="1538">
        <v>16900</v>
      </c>
      <c r="E38" s="1538">
        <f>C38*D38</f>
        <v>33800</v>
      </c>
      <c r="F38" s="216" t="s">
        <v>415</v>
      </c>
      <c r="G38" s="216" t="s">
        <v>728</v>
      </c>
      <c r="H38" s="216"/>
      <c r="I38" s="2462" t="s">
        <v>2196</v>
      </c>
      <c r="J38" s="138" t="s">
        <v>490</v>
      </c>
    </row>
    <row r="39" spans="1:10" s="138" customFormat="1" ht="22.5" customHeight="1">
      <c r="A39" s="215">
        <v>37</v>
      </c>
      <c r="B39" s="216" t="s">
        <v>2080</v>
      </c>
      <c r="C39" s="215">
        <v>1</v>
      </c>
      <c r="D39" s="1538">
        <v>9290</v>
      </c>
      <c r="E39" s="1538">
        <f>C39*D39</f>
        <v>9290</v>
      </c>
      <c r="F39" s="216" t="s">
        <v>1345</v>
      </c>
      <c r="G39" s="216" t="s">
        <v>728</v>
      </c>
      <c r="H39" s="216"/>
      <c r="I39" s="2462" t="s">
        <v>2198</v>
      </c>
      <c r="J39" s="138" t="s">
        <v>490</v>
      </c>
    </row>
    <row r="40" spans="1:10" s="138" customFormat="1" ht="22.5" customHeight="1">
      <c r="A40" s="215">
        <v>40</v>
      </c>
      <c r="B40" s="216" t="s">
        <v>2491</v>
      </c>
      <c r="C40" s="215">
        <v>2</v>
      </c>
      <c r="D40" s="1538">
        <v>9390</v>
      </c>
      <c r="E40" s="1538">
        <f>D40*C40</f>
        <v>18780</v>
      </c>
      <c r="F40" s="216" t="s">
        <v>1436</v>
      </c>
      <c r="G40" s="216" t="s">
        <v>728</v>
      </c>
      <c r="H40" s="216"/>
      <c r="I40" s="2462" t="s">
        <v>2244</v>
      </c>
      <c r="J40" s="138" t="s">
        <v>490</v>
      </c>
    </row>
    <row r="41" spans="1:10" s="138" customFormat="1" ht="22.5" customHeight="1">
      <c r="A41" s="215">
        <v>41</v>
      </c>
      <c r="B41" s="216" t="s">
        <v>2118</v>
      </c>
      <c r="C41" s="215">
        <v>1</v>
      </c>
      <c r="D41" s="1538">
        <v>1900</v>
      </c>
      <c r="E41" s="1538">
        <f>C41*D41</f>
        <v>1900</v>
      </c>
      <c r="F41" s="216" t="s">
        <v>1436</v>
      </c>
      <c r="G41" s="216" t="s">
        <v>728</v>
      </c>
      <c r="H41" s="216"/>
      <c r="I41" s="2462" t="s">
        <v>2244</v>
      </c>
      <c r="J41" s="138" t="s">
        <v>490</v>
      </c>
    </row>
    <row r="42" spans="1:10" s="138" customFormat="1" ht="22.5" customHeight="1">
      <c r="A42" s="215">
        <v>42</v>
      </c>
      <c r="B42" s="216" t="s">
        <v>2144</v>
      </c>
      <c r="C42" s="215">
        <v>1</v>
      </c>
      <c r="D42" s="1538">
        <v>7790</v>
      </c>
      <c r="E42" s="1538">
        <f>C42*D42</f>
        <v>7790</v>
      </c>
      <c r="F42" s="216" t="s">
        <v>2323</v>
      </c>
      <c r="G42" s="216" t="s">
        <v>728</v>
      </c>
      <c r="H42" s="216"/>
      <c r="I42" s="2462" t="s">
        <v>2278</v>
      </c>
      <c r="J42" s="138" t="s">
        <v>490</v>
      </c>
    </row>
    <row r="43" spans="1:10" s="138" customFormat="1" ht="22.5" customHeight="1">
      <c r="A43" s="215">
        <v>43</v>
      </c>
      <c r="B43" s="216" t="s">
        <v>465</v>
      </c>
      <c r="C43" s="215">
        <v>1</v>
      </c>
      <c r="D43" s="1538">
        <v>2290</v>
      </c>
      <c r="E43" s="1538">
        <f>C43*D43</f>
        <v>2290</v>
      </c>
      <c r="F43" s="216" t="s">
        <v>851</v>
      </c>
      <c r="G43" s="216" t="s">
        <v>728</v>
      </c>
      <c r="H43" s="216"/>
      <c r="I43" s="2462" t="s">
        <v>2286</v>
      </c>
      <c r="J43" s="138" t="s">
        <v>490</v>
      </c>
    </row>
    <row r="44" spans="1:10" s="138" customFormat="1" ht="22.5" customHeight="1">
      <c r="A44" s="215">
        <v>44</v>
      </c>
      <c r="B44" s="216" t="s">
        <v>2152</v>
      </c>
      <c r="C44" s="215">
        <v>1</v>
      </c>
      <c r="D44" s="1538">
        <v>9500</v>
      </c>
      <c r="E44" s="1538">
        <f t="shared" ref="E44" si="1">C44*D44</f>
        <v>9500</v>
      </c>
      <c r="F44" s="216" t="s">
        <v>2310</v>
      </c>
      <c r="G44" s="216" t="s">
        <v>728</v>
      </c>
      <c r="H44" s="216"/>
      <c r="I44" s="2462" t="s">
        <v>2293</v>
      </c>
      <c r="J44" s="138" t="s">
        <v>490</v>
      </c>
    </row>
    <row r="45" spans="1:10" s="138" customFormat="1" ht="22.5" customHeight="1" thickBot="1">
      <c r="A45" s="1501"/>
      <c r="C45" s="1501"/>
      <c r="D45" s="2448"/>
      <c r="E45" s="2465">
        <f>SUM(E4:E44)</f>
        <v>1950787.01</v>
      </c>
    </row>
    <row r="46" spans="1:10" ht="21.75" thickTop="1"/>
  </sheetData>
  <mergeCells count="1">
    <mergeCell ref="A1:H1"/>
  </mergeCells>
  <pageMargins left="0.3" right="0.19685039370078741" top="0.62992125984251968" bottom="0.27559055118110237" header="0.31496062992125984" footer="0.11811023622047245"/>
  <pageSetup paperSize="9" scale="68" firstPageNumber="35" orientation="landscape" useFirstPageNumber="1" horizontalDpi="4294967293" verticalDpi="0" r:id="rId1"/>
  <headerFooter>
    <oddFooter>&amp;C&amp;10&amp;P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BF56-771C-40D5-A81C-A6423F806A5A}">
  <sheetPr>
    <tabColor rgb="FFFF0000"/>
  </sheetPr>
  <dimension ref="A1:AB254"/>
  <sheetViews>
    <sheetView topLeftCell="A241" zoomScaleNormal="100" zoomScaleSheetLayoutView="90" workbookViewId="0">
      <selection activeCell="H16" sqref="H16"/>
    </sheetView>
  </sheetViews>
  <sheetFormatPr defaultColWidth="9.140625" defaultRowHeight="21"/>
  <cols>
    <col min="1" max="1" width="7" style="1426" customWidth="1"/>
    <col min="2" max="2" width="59.42578125" style="19" customWidth="1"/>
    <col min="3" max="3" width="9.140625" style="19"/>
    <col min="4" max="4" width="16.42578125" style="19" customWidth="1"/>
    <col min="5" max="5" width="18.5703125" style="19" customWidth="1"/>
    <col min="6" max="6" width="58.140625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865"/>
      <c r="H1" s="286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>
      <c r="A2" s="1424"/>
      <c r="B2" s="3130"/>
      <c r="C2" s="3130"/>
      <c r="D2" s="3130"/>
      <c r="E2" s="3131"/>
      <c r="F2" s="1424"/>
      <c r="G2" s="1424"/>
      <c r="H2" s="1424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3"/>
      <c r="T2" s="1473"/>
      <c r="U2" s="1473"/>
      <c r="V2" s="1473"/>
      <c r="W2" s="1473"/>
      <c r="X2" s="1473"/>
      <c r="Y2" s="1473"/>
      <c r="Z2" s="1473"/>
      <c r="AA2" s="1473"/>
      <c r="AB2" s="1473"/>
    </row>
    <row r="3" spans="1:28">
      <c r="A3" s="1509"/>
      <c r="B3" s="2464" t="s">
        <v>208</v>
      </c>
      <c r="C3" s="1509"/>
      <c r="D3" s="2444"/>
      <c r="E3" s="2444"/>
      <c r="F3" s="1486"/>
    </row>
    <row r="4" spans="1:28">
      <c r="A4" s="1478" t="s">
        <v>2</v>
      </c>
      <c r="B4" s="1478" t="s">
        <v>3</v>
      </c>
      <c r="C4" s="1478" t="s">
        <v>618</v>
      </c>
      <c r="D4" s="1478" t="s">
        <v>1410</v>
      </c>
      <c r="E4" s="1478" t="s">
        <v>1411</v>
      </c>
      <c r="F4" s="1478" t="s">
        <v>388</v>
      </c>
      <c r="G4" s="3122" t="s">
        <v>727</v>
      </c>
      <c r="H4" s="1478" t="s">
        <v>221</v>
      </c>
    </row>
    <row r="5" spans="1:28">
      <c r="A5" s="479">
        <v>1</v>
      </c>
      <c r="B5" s="305" t="s">
        <v>1378</v>
      </c>
      <c r="C5" s="306">
        <v>1</v>
      </c>
      <c r="D5" s="308">
        <v>5490</v>
      </c>
      <c r="E5" s="308">
        <v>5490</v>
      </c>
      <c r="F5" s="305" t="s">
        <v>470</v>
      </c>
      <c r="G5" s="3123" t="s">
        <v>729</v>
      </c>
      <c r="H5" s="686"/>
      <c r="I5" s="19" t="s">
        <v>1721</v>
      </c>
    </row>
    <row r="6" spans="1:28">
      <c r="A6" s="479">
        <v>2</v>
      </c>
      <c r="B6" s="305" t="s">
        <v>868</v>
      </c>
      <c r="C6" s="306">
        <v>1</v>
      </c>
      <c r="D6" s="308">
        <v>39630</v>
      </c>
      <c r="E6" s="308">
        <v>39630</v>
      </c>
      <c r="F6" s="1528" t="s">
        <v>1382</v>
      </c>
      <c r="G6" s="3123" t="s">
        <v>729</v>
      </c>
      <c r="H6" s="686"/>
      <c r="I6" s="19" t="s">
        <v>1721</v>
      </c>
    </row>
    <row r="7" spans="1:28" ht="18" customHeight="1">
      <c r="A7" s="479">
        <v>3</v>
      </c>
      <c r="B7" s="390" t="s">
        <v>1378</v>
      </c>
      <c r="C7" s="479">
        <v>1</v>
      </c>
      <c r="D7" s="307">
        <v>5490</v>
      </c>
      <c r="E7" s="307">
        <v>5490</v>
      </c>
      <c r="F7" s="389" t="s">
        <v>1383</v>
      </c>
      <c r="G7" s="3123" t="s">
        <v>729</v>
      </c>
      <c r="H7" s="686"/>
      <c r="I7" s="19" t="s">
        <v>1721</v>
      </c>
    </row>
    <row r="8" spans="1:28" s="138" customFormat="1">
      <c r="A8" s="215">
        <v>4</v>
      </c>
      <c r="B8" s="221" t="s">
        <v>868</v>
      </c>
      <c r="C8" s="215">
        <v>1</v>
      </c>
      <c r="D8" s="1531">
        <v>45600</v>
      </c>
      <c r="E8" s="1531">
        <v>45600</v>
      </c>
      <c r="F8" s="482" t="s">
        <v>2750</v>
      </c>
      <c r="G8" s="3124" t="s">
        <v>729</v>
      </c>
      <c r="H8" s="322"/>
      <c r="I8" s="138" t="s">
        <v>1721</v>
      </c>
    </row>
    <row r="9" spans="1:28">
      <c r="A9" s="479">
        <v>5</v>
      </c>
      <c r="B9" s="685" t="s">
        <v>203</v>
      </c>
      <c r="C9" s="1481">
        <v>71</v>
      </c>
      <c r="D9" s="1534">
        <v>7000</v>
      </c>
      <c r="E9" s="1534">
        <f>C9*D9</f>
        <v>497000</v>
      </c>
      <c r="F9" s="682" t="s">
        <v>456</v>
      </c>
      <c r="G9" s="3125" t="s">
        <v>729</v>
      </c>
      <c r="H9" s="682"/>
      <c r="I9" s="138" t="s">
        <v>1721</v>
      </c>
    </row>
    <row r="10" spans="1:28">
      <c r="A10" s="479">
        <v>6</v>
      </c>
      <c r="B10" s="686" t="s">
        <v>899</v>
      </c>
      <c r="C10" s="1475">
        <v>3</v>
      </c>
      <c r="D10" s="1476">
        <v>15200</v>
      </c>
      <c r="E10" s="1476">
        <f t="shared" ref="E10" si="0">+C10*D10</f>
        <v>45600</v>
      </c>
      <c r="F10" s="686" t="s">
        <v>888</v>
      </c>
      <c r="G10" s="3125" t="s">
        <v>729</v>
      </c>
      <c r="H10" s="682"/>
      <c r="I10" s="138" t="s">
        <v>1721</v>
      </c>
    </row>
    <row r="11" spans="1:28">
      <c r="A11" s="479">
        <v>7</v>
      </c>
      <c r="B11" s="686" t="s">
        <v>1006</v>
      </c>
      <c r="C11" s="1475">
        <v>1</v>
      </c>
      <c r="D11" s="1476">
        <v>2027.65</v>
      </c>
      <c r="E11" s="1476">
        <v>2027.65</v>
      </c>
      <c r="F11" s="686" t="s">
        <v>888</v>
      </c>
      <c r="G11" s="3125" t="s">
        <v>729</v>
      </c>
      <c r="H11" s="682"/>
      <c r="I11" s="138" t="s">
        <v>1721</v>
      </c>
    </row>
    <row r="12" spans="1:28">
      <c r="A12" s="479">
        <v>8</v>
      </c>
      <c r="B12" s="686" t="s">
        <v>903</v>
      </c>
      <c r="C12" s="1475">
        <v>1</v>
      </c>
      <c r="D12" s="1476">
        <v>2990</v>
      </c>
      <c r="E12" s="1476">
        <f>+C12*D12</f>
        <v>2990</v>
      </c>
      <c r="F12" s="686" t="s">
        <v>472</v>
      </c>
      <c r="G12" s="3125" t="s">
        <v>729</v>
      </c>
      <c r="H12" s="682"/>
      <c r="I12" s="138" t="s">
        <v>1721</v>
      </c>
    </row>
    <row r="13" spans="1:28">
      <c r="A13" s="479">
        <v>9</v>
      </c>
      <c r="B13" s="305" t="s">
        <v>902</v>
      </c>
      <c r="C13" s="306">
        <v>1</v>
      </c>
      <c r="D13" s="1536">
        <v>6100</v>
      </c>
      <c r="E13" s="1536">
        <v>6100</v>
      </c>
      <c r="F13" s="305" t="s">
        <v>418</v>
      </c>
      <c r="G13" s="3125" t="s">
        <v>729</v>
      </c>
      <c r="H13" s="682"/>
      <c r="I13" s="138" t="s">
        <v>1721</v>
      </c>
    </row>
    <row r="14" spans="1:28">
      <c r="A14" s="479">
        <v>10</v>
      </c>
      <c r="B14" s="305" t="s">
        <v>469</v>
      </c>
      <c r="C14" s="306">
        <v>1</v>
      </c>
      <c r="D14" s="1536">
        <v>2305.85</v>
      </c>
      <c r="E14" s="1536">
        <v>2305.85</v>
      </c>
      <c r="F14" s="305" t="s">
        <v>470</v>
      </c>
      <c r="G14" s="3125" t="s">
        <v>729</v>
      </c>
      <c r="H14" s="682"/>
      <c r="I14" s="138" t="s">
        <v>1721</v>
      </c>
    </row>
    <row r="15" spans="1:28">
      <c r="A15" s="479">
        <v>11</v>
      </c>
      <c r="B15" s="305" t="s">
        <v>1277</v>
      </c>
      <c r="C15" s="306">
        <v>1</v>
      </c>
      <c r="D15" s="1536">
        <v>1818.3</v>
      </c>
      <c r="E15" s="1536">
        <v>1818.3</v>
      </c>
      <c r="F15" s="305" t="s">
        <v>1278</v>
      </c>
      <c r="G15" s="3125" t="s">
        <v>729</v>
      </c>
      <c r="H15" s="682"/>
      <c r="I15" s="138" t="s">
        <v>1721</v>
      </c>
    </row>
    <row r="16" spans="1:28">
      <c r="A16" s="479">
        <v>12</v>
      </c>
      <c r="B16" s="390" t="s">
        <v>1279</v>
      </c>
      <c r="C16" s="479">
        <v>3</v>
      </c>
      <c r="D16" s="1537">
        <v>13500</v>
      </c>
      <c r="E16" s="1537">
        <f>C16*D16</f>
        <v>40500</v>
      </c>
      <c r="F16" s="390" t="s">
        <v>444</v>
      </c>
      <c r="G16" s="3125" t="s">
        <v>729</v>
      </c>
      <c r="H16" s="682"/>
      <c r="I16" s="138" t="s">
        <v>1721</v>
      </c>
    </row>
    <row r="17" spans="1:9">
      <c r="A17" s="479">
        <v>13</v>
      </c>
      <c r="B17" s="390" t="s">
        <v>1280</v>
      </c>
      <c r="C17" s="479">
        <v>2</v>
      </c>
      <c r="D17" s="1537">
        <v>6200</v>
      </c>
      <c r="E17" s="1537">
        <v>12400</v>
      </c>
      <c r="F17" s="390" t="s">
        <v>604</v>
      </c>
      <c r="G17" s="3125" t="s">
        <v>729</v>
      </c>
      <c r="H17" s="682"/>
      <c r="I17" s="138" t="s">
        <v>1721</v>
      </c>
    </row>
    <row r="18" spans="1:9" s="138" customFormat="1">
      <c r="A18" s="479">
        <v>14</v>
      </c>
      <c r="B18" s="221" t="s">
        <v>474</v>
      </c>
      <c r="C18" s="215">
        <v>2</v>
      </c>
      <c r="D18" s="1538">
        <v>2590</v>
      </c>
      <c r="E18" s="1538">
        <v>5180</v>
      </c>
      <c r="F18" s="482" t="s">
        <v>1477</v>
      </c>
      <c r="G18" s="3125" t="s">
        <v>729</v>
      </c>
      <c r="H18" s="682"/>
      <c r="I18" s="138" t="s">
        <v>1721</v>
      </c>
    </row>
    <row r="19" spans="1:9">
      <c r="A19" s="479">
        <v>15</v>
      </c>
      <c r="B19" s="390" t="s">
        <v>1281</v>
      </c>
      <c r="C19" s="479">
        <v>1</v>
      </c>
      <c r="D19" s="1537">
        <v>3200</v>
      </c>
      <c r="E19" s="1537">
        <v>3200</v>
      </c>
      <c r="F19" s="390" t="s">
        <v>614</v>
      </c>
      <c r="G19" s="3125" t="s">
        <v>729</v>
      </c>
      <c r="H19" s="682"/>
      <c r="I19" s="138" t="s">
        <v>1721</v>
      </c>
    </row>
    <row r="20" spans="1:9">
      <c r="A20" s="479">
        <v>16</v>
      </c>
      <c r="B20" s="390" t="s">
        <v>908</v>
      </c>
      <c r="C20" s="479">
        <v>1</v>
      </c>
      <c r="D20" s="1537">
        <v>4611.7</v>
      </c>
      <c r="E20" s="1537">
        <v>4611.7</v>
      </c>
      <c r="F20" s="390" t="s">
        <v>1282</v>
      </c>
      <c r="G20" s="3125" t="s">
        <v>729</v>
      </c>
      <c r="H20" s="682"/>
      <c r="I20" s="138" t="s">
        <v>1721</v>
      </c>
    </row>
    <row r="21" spans="1:9">
      <c r="A21" s="479">
        <v>17</v>
      </c>
      <c r="B21" s="390" t="s">
        <v>473</v>
      </c>
      <c r="C21" s="479">
        <v>1</v>
      </c>
      <c r="D21" s="1537">
        <v>3400</v>
      </c>
      <c r="E21" s="1537">
        <v>3400</v>
      </c>
      <c r="F21" s="390" t="s">
        <v>1283</v>
      </c>
      <c r="G21" s="3125" t="s">
        <v>729</v>
      </c>
      <c r="H21" s="682"/>
      <c r="I21" s="138" t="s">
        <v>1721</v>
      </c>
    </row>
    <row r="22" spans="1:9">
      <c r="A22" s="479">
        <v>18</v>
      </c>
      <c r="B22" s="390" t="s">
        <v>1284</v>
      </c>
      <c r="C22" s="479">
        <v>1</v>
      </c>
      <c r="D22" s="1537">
        <v>58500</v>
      </c>
      <c r="E22" s="1537">
        <v>58500</v>
      </c>
      <c r="F22" s="390" t="s">
        <v>1285</v>
      </c>
      <c r="G22" s="3125" t="s">
        <v>729</v>
      </c>
      <c r="H22" s="682"/>
      <c r="I22" s="138" t="s">
        <v>1721</v>
      </c>
    </row>
    <row r="23" spans="1:9">
      <c r="A23" s="479">
        <v>19</v>
      </c>
      <c r="B23" s="390" t="s">
        <v>1286</v>
      </c>
      <c r="C23" s="479">
        <v>1</v>
      </c>
      <c r="D23" s="1537">
        <v>2619.36</v>
      </c>
      <c r="E23" s="478">
        <v>2619.36</v>
      </c>
      <c r="F23" s="389" t="s">
        <v>1287</v>
      </c>
      <c r="G23" s="3125" t="s">
        <v>729</v>
      </c>
      <c r="H23" s="682"/>
      <c r="I23" s="138" t="s">
        <v>1721</v>
      </c>
    </row>
    <row r="24" spans="1:9">
      <c r="A24" s="479">
        <v>20</v>
      </c>
      <c r="B24" s="390" t="s">
        <v>469</v>
      </c>
      <c r="C24" s="479">
        <v>1</v>
      </c>
      <c r="D24" s="1537">
        <v>2305.85</v>
      </c>
      <c r="E24" s="1537">
        <v>2305.85</v>
      </c>
      <c r="F24" s="390" t="s">
        <v>855</v>
      </c>
      <c r="G24" s="3125" t="s">
        <v>729</v>
      </c>
      <c r="H24" s="682"/>
      <c r="I24" s="138" t="s">
        <v>1721</v>
      </c>
    </row>
    <row r="25" spans="1:9">
      <c r="A25" s="479">
        <v>21</v>
      </c>
      <c r="B25" s="390" t="s">
        <v>918</v>
      </c>
      <c r="C25" s="479">
        <v>1</v>
      </c>
      <c r="D25" s="1537">
        <v>1802.95</v>
      </c>
      <c r="E25" s="1537">
        <v>1802.95</v>
      </c>
      <c r="F25" s="390" t="s">
        <v>855</v>
      </c>
      <c r="G25" s="3125" t="s">
        <v>729</v>
      </c>
      <c r="H25" s="682"/>
      <c r="I25" s="138" t="s">
        <v>1721</v>
      </c>
    </row>
    <row r="26" spans="1:9">
      <c r="A26" s="479">
        <v>22</v>
      </c>
      <c r="B26" s="390" t="s">
        <v>1288</v>
      </c>
      <c r="C26" s="479">
        <v>10</v>
      </c>
      <c r="D26" s="1537">
        <v>1350</v>
      </c>
      <c r="E26" s="1537">
        <v>13500</v>
      </c>
      <c r="F26" s="390" t="s">
        <v>414</v>
      </c>
      <c r="G26" s="3125" t="s">
        <v>729</v>
      </c>
      <c r="H26" s="682"/>
      <c r="I26" s="138" t="s">
        <v>1721</v>
      </c>
    </row>
    <row r="27" spans="1:9">
      <c r="A27" s="479">
        <v>23</v>
      </c>
      <c r="B27" s="390" t="s">
        <v>919</v>
      </c>
      <c r="C27" s="479">
        <v>2</v>
      </c>
      <c r="D27" s="1537">
        <v>49500</v>
      </c>
      <c r="E27" s="1537">
        <v>99000</v>
      </c>
      <c r="F27" s="390" t="s">
        <v>472</v>
      </c>
      <c r="G27" s="3125" t="s">
        <v>729</v>
      </c>
      <c r="H27" s="682"/>
      <c r="I27" s="138" t="s">
        <v>1721</v>
      </c>
    </row>
    <row r="28" spans="1:9" s="138" customFormat="1">
      <c r="A28" s="479">
        <v>24</v>
      </c>
      <c r="B28" s="221" t="s">
        <v>868</v>
      </c>
      <c r="C28" s="215">
        <v>1</v>
      </c>
      <c r="D28" s="1538">
        <v>39630</v>
      </c>
      <c r="E28" s="1538">
        <v>39630</v>
      </c>
      <c r="F28" s="482" t="s">
        <v>2490</v>
      </c>
      <c r="G28" s="3126" t="s">
        <v>729</v>
      </c>
      <c r="H28" s="498"/>
      <c r="I28" s="138" t="s">
        <v>1721</v>
      </c>
    </row>
    <row r="29" spans="1:9" s="138" customFormat="1">
      <c r="A29" s="479">
        <v>25</v>
      </c>
      <c r="B29" s="221" t="s">
        <v>469</v>
      </c>
      <c r="C29" s="215">
        <v>1</v>
      </c>
      <c r="D29" s="1538">
        <v>2305.85</v>
      </c>
      <c r="E29" s="1538">
        <v>2305.85</v>
      </c>
      <c r="F29" s="221" t="s">
        <v>856</v>
      </c>
      <c r="G29" s="3125" t="s">
        <v>729</v>
      </c>
      <c r="H29" s="682"/>
      <c r="I29" s="138" t="s">
        <v>1721</v>
      </c>
    </row>
    <row r="30" spans="1:9" s="138" customFormat="1">
      <c r="A30" s="479">
        <v>26</v>
      </c>
      <c r="B30" s="221" t="s">
        <v>469</v>
      </c>
      <c r="C30" s="215">
        <v>2</v>
      </c>
      <c r="D30" s="1538">
        <v>2305.85</v>
      </c>
      <c r="E30" s="1538">
        <v>4611.7</v>
      </c>
      <c r="F30" s="221" t="s">
        <v>851</v>
      </c>
      <c r="G30" s="3125" t="s">
        <v>729</v>
      </c>
      <c r="H30" s="682"/>
      <c r="I30" s="138" t="s">
        <v>1721</v>
      </c>
    </row>
    <row r="31" spans="1:9" s="138" customFormat="1">
      <c r="A31" s="479">
        <v>27</v>
      </c>
      <c r="B31" s="221" t="s">
        <v>1289</v>
      </c>
      <c r="C31" s="215">
        <v>1</v>
      </c>
      <c r="D31" s="1538">
        <v>34775</v>
      </c>
      <c r="E31" s="1538">
        <v>34775</v>
      </c>
      <c r="F31" s="221" t="s">
        <v>414</v>
      </c>
      <c r="G31" s="3125" t="s">
        <v>729</v>
      </c>
      <c r="H31" s="682"/>
      <c r="I31" s="138" t="s">
        <v>1721</v>
      </c>
    </row>
    <row r="32" spans="1:9" s="138" customFormat="1">
      <c r="A32" s="479">
        <v>28</v>
      </c>
      <c r="B32" s="221" t="s">
        <v>1290</v>
      </c>
      <c r="C32" s="215">
        <v>7</v>
      </c>
      <c r="D32" s="1538">
        <v>3400</v>
      </c>
      <c r="E32" s="1538">
        <v>23800</v>
      </c>
      <c r="F32" s="482" t="s">
        <v>955</v>
      </c>
      <c r="G32" s="3126" t="s">
        <v>729</v>
      </c>
      <c r="H32" s="498"/>
      <c r="I32" s="138" t="s">
        <v>1721</v>
      </c>
    </row>
    <row r="33" spans="1:9">
      <c r="A33" s="479">
        <v>29</v>
      </c>
      <c r="B33" s="390" t="s">
        <v>908</v>
      </c>
      <c r="C33" s="479">
        <v>3</v>
      </c>
      <c r="D33" s="1537">
        <v>2305.85</v>
      </c>
      <c r="E33" s="1537">
        <v>6917.55</v>
      </c>
      <c r="F33" s="390" t="s">
        <v>948</v>
      </c>
      <c r="G33" s="3125" t="s">
        <v>729</v>
      </c>
      <c r="H33" s="682"/>
      <c r="I33" s="138" t="s">
        <v>1721</v>
      </c>
    </row>
    <row r="34" spans="1:9">
      <c r="A34" s="479">
        <v>30</v>
      </c>
      <c r="B34" s="390" t="s">
        <v>1291</v>
      </c>
      <c r="C34" s="479">
        <v>1</v>
      </c>
      <c r="D34" s="1537">
        <v>3400</v>
      </c>
      <c r="E34" s="1537">
        <v>3400</v>
      </c>
      <c r="F34" s="390" t="s">
        <v>614</v>
      </c>
      <c r="G34" s="3125" t="s">
        <v>729</v>
      </c>
      <c r="H34" s="682"/>
      <c r="I34" s="138" t="s">
        <v>1721</v>
      </c>
    </row>
    <row r="35" spans="1:9" s="138" customFormat="1">
      <c r="A35" s="479">
        <v>31</v>
      </c>
      <c r="B35" s="221" t="s">
        <v>908</v>
      </c>
      <c r="C35" s="215">
        <v>1</v>
      </c>
      <c r="D35" s="1538">
        <v>2305.85</v>
      </c>
      <c r="E35" s="1538">
        <v>2305.85</v>
      </c>
      <c r="F35" s="482" t="s">
        <v>2470</v>
      </c>
      <c r="G35" s="3125" t="s">
        <v>729</v>
      </c>
      <c r="H35" s="682"/>
      <c r="I35" s="138" t="s">
        <v>1721</v>
      </c>
    </row>
    <row r="36" spans="1:9" s="138" customFormat="1">
      <c r="A36" s="215">
        <v>32</v>
      </c>
      <c r="B36" s="221" t="s">
        <v>1292</v>
      </c>
      <c r="C36" s="215">
        <v>6</v>
      </c>
      <c r="D36" s="1538">
        <v>4050</v>
      </c>
      <c r="E36" s="1538">
        <v>24300</v>
      </c>
      <c r="F36" s="482" t="s">
        <v>2751</v>
      </c>
      <c r="G36" s="3126" t="s">
        <v>729</v>
      </c>
      <c r="H36" s="498"/>
      <c r="I36" s="138" t="s">
        <v>1721</v>
      </c>
    </row>
    <row r="37" spans="1:9">
      <c r="A37" s="479">
        <v>33</v>
      </c>
      <c r="B37" s="390" t="s">
        <v>1301</v>
      </c>
      <c r="C37" s="479">
        <v>2</v>
      </c>
      <c r="D37" s="1537">
        <v>6200</v>
      </c>
      <c r="E37" s="1537">
        <v>12400</v>
      </c>
      <c r="F37" s="390" t="s">
        <v>416</v>
      </c>
      <c r="G37" s="3125" t="s">
        <v>729</v>
      </c>
      <c r="H37" s="682"/>
      <c r="I37" s="138" t="s">
        <v>1721</v>
      </c>
    </row>
    <row r="38" spans="1:9" s="138" customFormat="1">
      <c r="A38" s="479">
        <v>34</v>
      </c>
      <c r="B38" s="221" t="s">
        <v>1302</v>
      </c>
      <c r="C38" s="215">
        <v>100</v>
      </c>
      <c r="D38" s="1538">
        <v>4900</v>
      </c>
      <c r="E38" s="1538">
        <v>490000</v>
      </c>
      <c r="F38" s="482" t="s">
        <v>2471</v>
      </c>
      <c r="G38" s="3125" t="s">
        <v>729</v>
      </c>
      <c r="H38" s="682"/>
      <c r="I38" s="138" t="s">
        <v>1721</v>
      </c>
    </row>
    <row r="39" spans="1:9" s="138" customFormat="1">
      <c r="A39" s="479">
        <v>35</v>
      </c>
      <c r="B39" s="221" t="s">
        <v>918</v>
      </c>
      <c r="C39" s="215">
        <v>5</v>
      </c>
      <c r="D39" s="1538">
        <v>1808.3</v>
      </c>
      <c r="E39" s="1538">
        <v>9041.5</v>
      </c>
      <c r="F39" s="482" t="s">
        <v>2488</v>
      </c>
      <c r="G39" s="3125" t="s">
        <v>729</v>
      </c>
      <c r="H39" s="682"/>
      <c r="I39" s="138" t="s">
        <v>1721</v>
      </c>
    </row>
    <row r="40" spans="1:9">
      <c r="A40" s="479">
        <v>36</v>
      </c>
      <c r="B40" s="390" t="s">
        <v>1310</v>
      </c>
      <c r="C40" s="479">
        <v>8</v>
      </c>
      <c r="D40" s="1537">
        <v>1350</v>
      </c>
      <c r="E40" s="1537">
        <v>10800</v>
      </c>
      <c r="F40" s="390" t="s">
        <v>418</v>
      </c>
      <c r="G40" s="3125" t="s">
        <v>729</v>
      </c>
      <c r="H40" s="682"/>
      <c r="I40" s="138" t="s">
        <v>1721</v>
      </c>
    </row>
    <row r="41" spans="1:9">
      <c r="A41" s="479">
        <v>37</v>
      </c>
      <c r="B41" s="390" t="s">
        <v>1311</v>
      </c>
      <c r="C41" s="479">
        <v>2</v>
      </c>
      <c r="D41" s="1537">
        <v>1890</v>
      </c>
      <c r="E41" s="1537">
        <v>3780</v>
      </c>
      <c r="F41" s="390" t="s">
        <v>858</v>
      </c>
      <c r="G41" s="3125" t="s">
        <v>729</v>
      </c>
      <c r="H41" s="682"/>
      <c r="I41" s="138" t="s">
        <v>1721</v>
      </c>
    </row>
    <row r="42" spans="1:9">
      <c r="A42" s="479">
        <v>38</v>
      </c>
      <c r="B42" s="390" t="s">
        <v>473</v>
      </c>
      <c r="C42" s="479">
        <v>3</v>
      </c>
      <c r="D42" s="1537">
        <v>2590</v>
      </c>
      <c r="E42" s="1537">
        <v>7770</v>
      </c>
      <c r="F42" s="390" t="s">
        <v>858</v>
      </c>
      <c r="G42" s="3125" t="s">
        <v>729</v>
      </c>
      <c r="H42" s="682"/>
      <c r="I42" s="138" t="s">
        <v>1721</v>
      </c>
    </row>
    <row r="43" spans="1:9">
      <c r="A43" s="479">
        <v>39</v>
      </c>
      <c r="B43" s="390" t="s">
        <v>1312</v>
      </c>
      <c r="C43" s="479">
        <v>1</v>
      </c>
      <c r="D43" s="1537">
        <v>1290</v>
      </c>
      <c r="E43" s="1537">
        <v>1290</v>
      </c>
      <c r="F43" s="390" t="s">
        <v>858</v>
      </c>
      <c r="G43" s="3125" t="s">
        <v>729</v>
      </c>
      <c r="H43" s="682"/>
      <c r="I43" s="138" t="s">
        <v>1721</v>
      </c>
    </row>
    <row r="44" spans="1:9">
      <c r="A44" s="479">
        <v>40</v>
      </c>
      <c r="B44" s="390" t="s">
        <v>1313</v>
      </c>
      <c r="C44" s="479">
        <v>2</v>
      </c>
      <c r="D44" s="1537">
        <v>3490</v>
      </c>
      <c r="E44" s="1537">
        <v>6980</v>
      </c>
      <c r="F44" s="390" t="s">
        <v>858</v>
      </c>
      <c r="G44" s="3125" t="s">
        <v>729</v>
      </c>
      <c r="H44" s="682"/>
      <c r="I44" s="138" t="s">
        <v>1721</v>
      </c>
    </row>
    <row r="45" spans="1:9">
      <c r="A45" s="479">
        <v>41</v>
      </c>
      <c r="B45" s="390" t="s">
        <v>1314</v>
      </c>
      <c r="C45" s="479">
        <v>1</v>
      </c>
      <c r="D45" s="1537">
        <v>4290</v>
      </c>
      <c r="E45" s="1537">
        <v>4290</v>
      </c>
      <c r="F45" s="390" t="s">
        <v>858</v>
      </c>
      <c r="G45" s="3125" t="s">
        <v>729</v>
      </c>
      <c r="H45" s="682"/>
      <c r="I45" s="138" t="s">
        <v>1721</v>
      </c>
    </row>
    <row r="46" spans="1:9">
      <c r="A46" s="479">
        <v>42</v>
      </c>
      <c r="B46" s="390" t="s">
        <v>1315</v>
      </c>
      <c r="C46" s="479">
        <v>2</v>
      </c>
      <c r="D46" s="1537">
        <v>15000</v>
      </c>
      <c r="E46" s="1537">
        <v>30000</v>
      </c>
      <c r="F46" s="390" t="s">
        <v>721</v>
      </c>
      <c r="G46" s="3125" t="s">
        <v>729</v>
      </c>
      <c r="H46" s="682"/>
      <c r="I46" s="138" t="s">
        <v>1721</v>
      </c>
    </row>
    <row r="47" spans="1:9">
      <c r="A47" s="479">
        <v>43</v>
      </c>
      <c r="B47" s="390" t="s">
        <v>1316</v>
      </c>
      <c r="C47" s="479">
        <v>2</v>
      </c>
      <c r="D47" s="1537">
        <v>2750</v>
      </c>
      <c r="E47" s="1537">
        <v>5500</v>
      </c>
      <c r="F47" s="390" t="s">
        <v>721</v>
      </c>
      <c r="G47" s="3125" t="s">
        <v>729</v>
      </c>
      <c r="H47" s="682"/>
      <c r="I47" s="138" t="s">
        <v>1721</v>
      </c>
    </row>
    <row r="48" spans="1:9">
      <c r="A48" s="479">
        <v>44</v>
      </c>
      <c r="B48" s="390" t="s">
        <v>1317</v>
      </c>
      <c r="C48" s="479">
        <v>4</v>
      </c>
      <c r="D48" s="1537">
        <v>1400</v>
      </c>
      <c r="E48" s="1537">
        <v>5600</v>
      </c>
      <c r="F48" s="390" t="s">
        <v>721</v>
      </c>
      <c r="G48" s="3125" t="s">
        <v>729</v>
      </c>
      <c r="H48" s="682"/>
      <c r="I48" s="138" t="s">
        <v>1721</v>
      </c>
    </row>
    <row r="49" spans="1:9">
      <c r="A49" s="479">
        <v>45</v>
      </c>
      <c r="B49" s="390" t="s">
        <v>1318</v>
      </c>
      <c r="C49" s="479">
        <v>3</v>
      </c>
      <c r="D49" s="1537">
        <v>1800</v>
      </c>
      <c r="E49" s="1537">
        <v>5400</v>
      </c>
      <c r="F49" s="390" t="s">
        <v>721</v>
      </c>
      <c r="G49" s="3125" t="s">
        <v>729</v>
      </c>
      <c r="H49" s="682"/>
      <c r="I49" s="138" t="s">
        <v>1721</v>
      </c>
    </row>
    <row r="50" spans="1:9">
      <c r="A50" s="479">
        <v>46</v>
      </c>
      <c r="B50" s="221" t="s">
        <v>1322</v>
      </c>
      <c r="C50" s="479">
        <v>6</v>
      </c>
      <c r="D50" s="1537">
        <v>4200</v>
      </c>
      <c r="E50" s="1537">
        <v>25200</v>
      </c>
      <c r="F50" s="390" t="s">
        <v>1320</v>
      </c>
      <c r="G50" s="3125" t="s">
        <v>729</v>
      </c>
      <c r="H50" s="682"/>
      <c r="I50" s="138" t="s">
        <v>1721</v>
      </c>
    </row>
    <row r="51" spans="1:9">
      <c r="A51" s="479">
        <v>47</v>
      </c>
      <c r="B51" s="390" t="s">
        <v>1323</v>
      </c>
      <c r="C51" s="479">
        <v>12</v>
      </c>
      <c r="D51" s="1537">
        <v>4800</v>
      </c>
      <c r="E51" s="1537">
        <v>57600</v>
      </c>
      <c r="F51" s="390" t="s">
        <v>1320</v>
      </c>
      <c r="G51" s="3125" t="s">
        <v>729</v>
      </c>
      <c r="H51" s="682"/>
      <c r="I51" s="138" t="s">
        <v>1721</v>
      </c>
    </row>
    <row r="52" spans="1:9">
      <c r="A52" s="479">
        <v>48</v>
      </c>
      <c r="B52" s="390" t="s">
        <v>1326</v>
      </c>
      <c r="C52" s="479">
        <v>6</v>
      </c>
      <c r="D52" s="1537">
        <v>5500</v>
      </c>
      <c r="E52" s="1537">
        <v>33000</v>
      </c>
      <c r="F52" s="390" t="s">
        <v>1320</v>
      </c>
      <c r="G52" s="3125" t="s">
        <v>729</v>
      </c>
      <c r="H52" s="682"/>
      <c r="I52" s="138" t="s">
        <v>1721</v>
      </c>
    </row>
    <row r="53" spans="1:9">
      <c r="A53" s="479">
        <v>49</v>
      </c>
      <c r="B53" s="390" t="s">
        <v>1327</v>
      </c>
      <c r="C53" s="479">
        <v>6</v>
      </c>
      <c r="D53" s="1537">
        <v>9700</v>
      </c>
      <c r="E53" s="1537">
        <v>58200</v>
      </c>
      <c r="F53" s="390" t="s">
        <v>1320</v>
      </c>
      <c r="G53" s="3125" t="s">
        <v>729</v>
      </c>
      <c r="H53" s="682"/>
      <c r="I53" s="138" t="s">
        <v>1721</v>
      </c>
    </row>
    <row r="54" spans="1:9" s="138" customFormat="1">
      <c r="A54" s="479">
        <v>50</v>
      </c>
      <c r="B54" s="221" t="s">
        <v>473</v>
      </c>
      <c r="C54" s="215">
        <v>1</v>
      </c>
      <c r="D54" s="1538">
        <v>3400</v>
      </c>
      <c r="E54" s="1538">
        <v>3400</v>
      </c>
      <c r="F54" s="482" t="s">
        <v>2473</v>
      </c>
      <c r="G54" s="3125" t="s">
        <v>729</v>
      </c>
      <c r="H54" s="682"/>
      <c r="I54" s="138" t="s">
        <v>1721</v>
      </c>
    </row>
    <row r="55" spans="1:9" s="138" customFormat="1">
      <c r="A55" s="479">
        <v>51</v>
      </c>
      <c r="B55" s="221" t="s">
        <v>1328</v>
      </c>
      <c r="C55" s="215">
        <v>3</v>
      </c>
      <c r="D55" s="1538">
        <v>49000</v>
      </c>
      <c r="E55" s="1538">
        <v>147000</v>
      </c>
      <c r="F55" s="482" t="s">
        <v>2750</v>
      </c>
      <c r="G55" s="3126" t="s">
        <v>729</v>
      </c>
      <c r="H55" s="498"/>
      <c r="I55" s="138" t="s">
        <v>1721</v>
      </c>
    </row>
    <row r="56" spans="1:9">
      <c r="A56" s="479">
        <v>52</v>
      </c>
      <c r="B56" s="390" t="s">
        <v>1329</v>
      </c>
      <c r="C56" s="479">
        <v>2</v>
      </c>
      <c r="D56" s="1537">
        <v>14500</v>
      </c>
      <c r="E56" s="1537">
        <v>29000</v>
      </c>
      <c r="F56" s="390" t="s">
        <v>888</v>
      </c>
      <c r="G56" s="3125" t="s">
        <v>729</v>
      </c>
      <c r="H56" s="682"/>
      <c r="I56" s="138" t="s">
        <v>1721</v>
      </c>
    </row>
    <row r="57" spans="1:9">
      <c r="A57" s="479">
        <v>53</v>
      </c>
      <c r="B57" s="390" t="s">
        <v>1330</v>
      </c>
      <c r="C57" s="479">
        <v>4</v>
      </c>
      <c r="D57" s="1537">
        <v>7600</v>
      </c>
      <c r="E57" s="1537">
        <v>30400</v>
      </c>
      <c r="F57" s="390" t="s">
        <v>961</v>
      </c>
      <c r="G57" s="3125" t="s">
        <v>729</v>
      </c>
      <c r="H57" s="682"/>
      <c r="I57" s="138" t="s">
        <v>1721</v>
      </c>
    </row>
    <row r="58" spans="1:9" s="138" customFormat="1">
      <c r="A58" s="479">
        <v>54</v>
      </c>
      <c r="B58" s="221" t="s">
        <v>1332</v>
      </c>
      <c r="C58" s="215">
        <v>1</v>
      </c>
      <c r="D58" s="1538">
        <v>315115</v>
      </c>
      <c r="E58" s="1538">
        <v>315115</v>
      </c>
      <c r="F58" s="482" t="s">
        <v>2750</v>
      </c>
      <c r="G58" s="3126" t="s">
        <v>729</v>
      </c>
      <c r="H58" s="498"/>
      <c r="I58" s="138" t="s">
        <v>1721</v>
      </c>
    </row>
    <row r="59" spans="1:9">
      <c r="A59" s="479">
        <v>55</v>
      </c>
      <c r="B59" s="478" t="s">
        <v>868</v>
      </c>
      <c r="C59" s="479">
        <v>1</v>
      </c>
      <c r="D59" s="1535">
        <v>45600</v>
      </c>
      <c r="E59" s="1535">
        <f>+C59*D59</f>
        <v>45600</v>
      </c>
      <c r="F59" s="478" t="s">
        <v>721</v>
      </c>
      <c r="G59" s="3125" t="s">
        <v>729</v>
      </c>
      <c r="H59" s="682"/>
      <c r="I59" s="138" t="s">
        <v>1721</v>
      </c>
    </row>
    <row r="60" spans="1:9">
      <c r="A60" s="479">
        <v>56</v>
      </c>
      <c r="B60" s="478" t="s">
        <v>1333</v>
      </c>
      <c r="C60" s="479">
        <v>1</v>
      </c>
      <c r="D60" s="478">
        <v>33600</v>
      </c>
      <c r="E60" s="1535">
        <f>+C60*D60</f>
        <v>33600</v>
      </c>
      <c r="F60" s="478" t="s">
        <v>721</v>
      </c>
      <c r="G60" s="3125" t="s">
        <v>729</v>
      </c>
      <c r="H60" s="682"/>
      <c r="I60" s="138" t="s">
        <v>1721</v>
      </c>
    </row>
    <row r="61" spans="1:9">
      <c r="A61" s="479">
        <v>57</v>
      </c>
      <c r="B61" s="390" t="s">
        <v>1335</v>
      </c>
      <c r="C61" s="479">
        <v>4</v>
      </c>
      <c r="D61" s="1537">
        <v>2590</v>
      </c>
      <c r="E61" s="1537">
        <v>10360</v>
      </c>
      <c r="F61" s="390" t="s">
        <v>444</v>
      </c>
      <c r="G61" s="3125" t="s">
        <v>729</v>
      </c>
      <c r="H61" s="682"/>
      <c r="I61" s="138" t="s">
        <v>1721</v>
      </c>
    </row>
    <row r="62" spans="1:9">
      <c r="A62" s="479">
        <v>58</v>
      </c>
      <c r="B62" s="478" t="s">
        <v>1336</v>
      </c>
      <c r="C62" s="479">
        <v>1</v>
      </c>
      <c r="D62" s="1535">
        <v>45000</v>
      </c>
      <c r="E62" s="1535">
        <f>+C62*D62</f>
        <v>45000</v>
      </c>
      <c r="F62" s="478" t="s">
        <v>444</v>
      </c>
      <c r="G62" s="3125" t="s">
        <v>729</v>
      </c>
      <c r="H62" s="682"/>
      <c r="I62" s="138" t="s">
        <v>1721</v>
      </c>
    </row>
    <row r="63" spans="1:9" ht="19.5" customHeight="1">
      <c r="A63" s="479">
        <v>59</v>
      </c>
      <c r="B63" s="216" t="s">
        <v>1393</v>
      </c>
      <c r="C63" s="215">
        <v>1</v>
      </c>
      <c r="D63" s="422">
        <v>6600</v>
      </c>
      <c r="E63" s="422">
        <f>+C63*D63</f>
        <v>6600</v>
      </c>
      <c r="F63" s="216" t="s">
        <v>614</v>
      </c>
      <c r="G63" s="3125" t="s">
        <v>729</v>
      </c>
      <c r="H63" s="682"/>
      <c r="I63" s="138" t="s">
        <v>1721</v>
      </c>
    </row>
    <row r="64" spans="1:9" ht="19.5" customHeight="1">
      <c r="A64" s="479">
        <v>60</v>
      </c>
      <c r="B64" s="489" t="s">
        <v>1457</v>
      </c>
      <c r="C64" s="1607">
        <v>200</v>
      </c>
      <c r="D64" s="1608">
        <v>10000</v>
      </c>
      <c r="E64" s="1609">
        <f t="shared" ref="E64:E66" si="1">C64*D64</f>
        <v>2000000</v>
      </c>
      <c r="F64" s="683" t="s">
        <v>532</v>
      </c>
      <c r="G64" s="3125" t="s">
        <v>729</v>
      </c>
      <c r="H64" s="682"/>
      <c r="I64" s="138" t="s">
        <v>1721</v>
      </c>
    </row>
    <row r="65" spans="1:9" ht="19.5" customHeight="1">
      <c r="A65" s="479">
        <v>61</v>
      </c>
      <c r="B65" s="489" t="s">
        <v>1455</v>
      </c>
      <c r="C65" s="1607">
        <v>100</v>
      </c>
      <c r="D65" s="1608">
        <v>15000</v>
      </c>
      <c r="E65" s="1609">
        <f t="shared" si="1"/>
        <v>1500000</v>
      </c>
      <c r="F65" s="683" t="s">
        <v>532</v>
      </c>
      <c r="G65" s="3125" t="s">
        <v>729</v>
      </c>
      <c r="H65" s="682"/>
      <c r="I65" s="138" t="s">
        <v>1721</v>
      </c>
    </row>
    <row r="66" spans="1:9" ht="19.5" customHeight="1">
      <c r="A66" s="479">
        <v>62</v>
      </c>
      <c r="B66" s="489" t="s">
        <v>1456</v>
      </c>
      <c r="C66" s="1607">
        <v>100</v>
      </c>
      <c r="D66" s="1608">
        <v>30000</v>
      </c>
      <c r="E66" s="1609">
        <f t="shared" si="1"/>
        <v>3000000</v>
      </c>
      <c r="F66" s="683" t="s">
        <v>532</v>
      </c>
      <c r="G66" s="3125" t="s">
        <v>729</v>
      </c>
      <c r="H66" s="682"/>
      <c r="I66" s="138" t="s">
        <v>1721</v>
      </c>
    </row>
    <row r="67" spans="1:9">
      <c r="A67" s="479">
        <v>63</v>
      </c>
      <c r="B67" s="390" t="s">
        <v>1373</v>
      </c>
      <c r="C67" s="479">
        <v>4</v>
      </c>
      <c r="D67" s="307">
        <v>3400</v>
      </c>
      <c r="E67" s="307">
        <v>13600</v>
      </c>
      <c r="F67" s="390" t="s">
        <v>961</v>
      </c>
      <c r="G67" s="3125" t="s">
        <v>729</v>
      </c>
      <c r="H67" s="682"/>
      <c r="I67" s="138" t="s">
        <v>1721</v>
      </c>
    </row>
    <row r="68" spans="1:9">
      <c r="A68" s="479">
        <v>64</v>
      </c>
      <c r="B68" s="390" t="s">
        <v>1374</v>
      </c>
      <c r="C68" s="479">
        <v>1</v>
      </c>
      <c r="D68" s="307">
        <v>5400</v>
      </c>
      <c r="E68" s="307">
        <v>5400</v>
      </c>
      <c r="F68" s="390" t="s">
        <v>961</v>
      </c>
      <c r="G68" s="3125" t="s">
        <v>729</v>
      </c>
      <c r="H68" s="682"/>
      <c r="I68" s="138" t="s">
        <v>1721</v>
      </c>
    </row>
    <row r="69" spans="1:9">
      <c r="A69" s="479">
        <v>65</v>
      </c>
      <c r="B69" s="478" t="s">
        <v>1334</v>
      </c>
      <c r="C69" s="479">
        <v>5</v>
      </c>
      <c r="D69" s="1535">
        <v>1808.3</v>
      </c>
      <c r="E69" s="1535">
        <f>+C69*D69</f>
        <v>9041.5</v>
      </c>
      <c r="F69" s="478" t="s">
        <v>422</v>
      </c>
      <c r="G69" s="3125" t="s">
        <v>729</v>
      </c>
      <c r="H69" s="682"/>
      <c r="I69" s="138" t="s">
        <v>1721</v>
      </c>
    </row>
    <row r="70" spans="1:9" s="138" customFormat="1" ht="42">
      <c r="A70" s="215">
        <v>66</v>
      </c>
      <c r="B70" s="309" t="s">
        <v>473</v>
      </c>
      <c r="C70" s="310">
        <v>74</v>
      </c>
      <c r="D70" s="2419">
        <v>3400</v>
      </c>
      <c r="E70" s="2419">
        <f t="shared" ref="E70:E81" si="2">+C70*D70</f>
        <v>251600</v>
      </c>
      <c r="F70" s="312" t="s">
        <v>2752</v>
      </c>
      <c r="G70" s="3127" t="s">
        <v>729</v>
      </c>
      <c r="H70" s="221"/>
    </row>
    <row r="71" spans="1:9" s="138" customFormat="1">
      <c r="A71" s="215">
        <v>67</v>
      </c>
      <c r="B71" s="309" t="s">
        <v>1524</v>
      </c>
      <c r="C71" s="310">
        <v>13</v>
      </c>
      <c r="D71" s="2419">
        <v>9700</v>
      </c>
      <c r="E71" s="2419">
        <f t="shared" si="2"/>
        <v>126100</v>
      </c>
      <c r="F71" s="2420" t="s">
        <v>2753</v>
      </c>
      <c r="G71" s="3127" t="s">
        <v>729</v>
      </c>
      <c r="H71" s="221"/>
    </row>
    <row r="72" spans="1:9" s="138" customFormat="1" ht="42">
      <c r="A72" s="215">
        <v>68</v>
      </c>
      <c r="B72" s="309" t="s">
        <v>1527</v>
      </c>
      <c r="C72" s="310">
        <v>44</v>
      </c>
      <c r="D72" s="2419">
        <v>12000</v>
      </c>
      <c r="E72" s="2419">
        <f t="shared" si="2"/>
        <v>528000</v>
      </c>
      <c r="F72" s="2420" t="s">
        <v>2754</v>
      </c>
      <c r="G72" s="3127" t="s">
        <v>729</v>
      </c>
      <c r="H72" s="221"/>
    </row>
    <row r="73" spans="1:9" s="138" customFormat="1">
      <c r="A73" s="215">
        <v>69</v>
      </c>
      <c r="B73" s="309" t="s">
        <v>1531</v>
      </c>
      <c r="C73" s="310">
        <v>10</v>
      </c>
      <c r="D73" s="2419">
        <v>150</v>
      </c>
      <c r="E73" s="2419">
        <f t="shared" si="2"/>
        <v>1500</v>
      </c>
      <c r="F73" s="1908" t="s">
        <v>1532</v>
      </c>
      <c r="G73" s="3127" t="s">
        <v>729</v>
      </c>
      <c r="H73" s="221"/>
    </row>
    <row r="74" spans="1:9" s="138" customFormat="1">
      <c r="A74" s="215">
        <v>70</v>
      </c>
      <c r="B74" s="309" t="s">
        <v>1533</v>
      </c>
      <c r="C74" s="310">
        <f>3+6</f>
        <v>9</v>
      </c>
      <c r="D74" s="2419">
        <v>3950</v>
      </c>
      <c r="E74" s="2419">
        <f t="shared" si="2"/>
        <v>35550</v>
      </c>
      <c r="F74" s="2420" t="s">
        <v>2755</v>
      </c>
      <c r="G74" s="3127" t="s">
        <v>729</v>
      </c>
      <c r="H74" s="221"/>
    </row>
    <row r="75" spans="1:9" s="138" customFormat="1">
      <c r="A75" s="215">
        <v>71</v>
      </c>
      <c r="B75" s="309" t="s">
        <v>1536</v>
      </c>
      <c r="C75" s="310">
        <v>4</v>
      </c>
      <c r="D75" s="2419">
        <v>45600</v>
      </c>
      <c r="E75" s="2419">
        <f t="shared" si="2"/>
        <v>182400</v>
      </c>
      <c r="F75" s="2420" t="s">
        <v>2756</v>
      </c>
      <c r="G75" s="3127" t="s">
        <v>729</v>
      </c>
      <c r="H75" s="221"/>
    </row>
    <row r="76" spans="1:9" s="138" customFormat="1">
      <c r="A76" s="215">
        <v>72</v>
      </c>
      <c r="B76" s="309" t="s">
        <v>1539</v>
      </c>
      <c r="C76" s="310">
        <v>3</v>
      </c>
      <c r="D76" s="2419">
        <v>12900</v>
      </c>
      <c r="E76" s="2419">
        <f t="shared" si="2"/>
        <v>38700</v>
      </c>
      <c r="F76" s="2420" t="s">
        <v>2757</v>
      </c>
      <c r="G76" s="3127" t="s">
        <v>729</v>
      </c>
      <c r="H76" s="221"/>
    </row>
    <row r="77" spans="1:9" s="138" customFormat="1" ht="48.75" customHeight="1">
      <c r="A77" s="215">
        <v>73</v>
      </c>
      <c r="B77" s="309" t="s">
        <v>1543</v>
      </c>
      <c r="C77" s="310">
        <v>21</v>
      </c>
      <c r="D77" s="2419">
        <v>6600</v>
      </c>
      <c r="E77" s="2419">
        <f t="shared" si="2"/>
        <v>138600</v>
      </c>
      <c r="F77" s="2420" t="s">
        <v>2758</v>
      </c>
      <c r="G77" s="221" t="s">
        <v>729</v>
      </c>
      <c r="H77" s="221"/>
    </row>
    <row r="78" spans="1:9" s="138" customFormat="1" ht="69" customHeight="1">
      <c r="A78" s="215">
        <v>74</v>
      </c>
      <c r="B78" s="309" t="s">
        <v>1549</v>
      </c>
      <c r="C78" s="310">
        <v>8</v>
      </c>
      <c r="D78" s="2419">
        <v>7600</v>
      </c>
      <c r="E78" s="2457">
        <f t="shared" si="2"/>
        <v>60800</v>
      </c>
      <c r="F78" s="2420" t="s">
        <v>2759</v>
      </c>
      <c r="G78" s="3127" t="s">
        <v>729</v>
      </c>
      <c r="H78" s="221"/>
    </row>
    <row r="79" spans="1:9" s="138" customFormat="1">
      <c r="A79" s="215">
        <v>75</v>
      </c>
      <c r="B79" s="309" t="s">
        <v>1554</v>
      </c>
      <c r="C79" s="310">
        <v>2</v>
      </c>
      <c r="D79" s="2419">
        <v>7600</v>
      </c>
      <c r="E79" s="2419">
        <f t="shared" si="2"/>
        <v>15200</v>
      </c>
      <c r="F79" s="1908" t="s">
        <v>1555</v>
      </c>
      <c r="G79" s="3127" t="s">
        <v>729</v>
      </c>
      <c r="H79" s="221"/>
    </row>
    <row r="80" spans="1:9" s="138" customFormat="1">
      <c r="A80" s="215">
        <v>76</v>
      </c>
      <c r="B80" s="309" t="s">
        <v>1556</v>
      </c>
      <c r="C80" s="310">
        <v>2</v>
      </c>
      <c r="D80" s="2419">
        <v>16900</v>
      </c>
      <c r="E80" s="2419">
        <f t="shared" si="2"/>
        <v>33800</v>
      </c>
      <c r="F80" s="1908" t="s">
        <v>2008</v>
      </c>
      <c r="G80" s="3127" t="s">
        <v>729</v>
      </c>
      <c r="H80" s="221"/>
    </row>
    <row r="81" spans="1:10" s="138" customFormat="1">
      <c r="A81" s="215">
        <v>77</v>
      </c>
      <c r="B81" s="1846" t="s">
        <v>2605</v>
      </c>
      <c r="C81" s="310">
        <v>3</v>
      </c>
      <c r="D81" s="2419">
        <v>12500</v>
      </c>
      <c r="E81" s="2419">
        <f t="shared" si="2"/>
        <v>37500</v>
      </c>
      <c r="F81" s="309" t="s">
        <v>1559</v>
      </c>
      <c r="G81" s="3127" t="s">
        <v>729</v>
      </c>
      <c r="H81" s="221"/>
    </row>
    <row r="82" spans="1:10">
      <c r="A82" s="479">
        <v>78</v>
      </c>
      <c r="B82" s="305" t="s">
        <v>1560</v>
      </c>
      <c r="C82" s="306">
        <v>2</v>
      </c>
      <c r="D82" s="1904">
        <v>3386</v>
      </c>
      <c r="E82" s="1904">
        <f>C82*D82</f>
        <v>6772</v>
      </c>
      <c r="F82" s="1856" t="s">
        <v>1561</v>
      </c>
      <c r="G82" s="3127" t="s">
        <v>729</v>
      </c>
      <c r="H82" s="221"/>
    </row>
    <row r="83" spans="1:10">
      <c r="A83" s="479">
        <v>79</v>
      </c>
      <c r="B83" s="309" t="s">
        <v>1562</v>
      </c>
      <c r="C83" s="310">
        <v>1</v>
      </c>
      <c r="D83" s="1907">
        <v>90000</v>
      </c>
      <c r="E83" s="1904">
        <f t="shared" ref="E83:E93" si="3">C83*D83</f>
        <v>90000</v>
      </c>
      <c r="F83" s="1908" t="s">
        <v>1563</v>
      </c>
      <c r="G83" s="3127" t="s">
        <v>729</v>
      </c>
      <c r="H83" s="221"/>
    </row>
    <row r="84" spans="1:10">
      <c r="A84" s="479">
        <v>80</v>
      </c>
      <c r="B84" s="305" t="s">
        <v>1564</v>
      </c>
      <c r="C84" s="306">
        <v>1</v>
      </c>
      <c r="D84" s="1841">
        <v>44000</v>
      </c>
      <c r="E84" s="1904">
        <f t="shared" si="3"/>
        <v>44000</v>
      </c>
      <c r="F84" s="1856" t="s">
        <v>1557</v>
      </c>
      <c r="G84" s="3127" t="s">
        <v>729</v>
      </c>
      <c r="H84" s="221"/>
    </row>
    <row r="85" spans="1:10">
      <c r="A85" s="479">
        <v>81</v>
      </c>
      <c r="B85" s="305" t="s">
        <v>1565</v>
      </c>
      <c r="C85" s="306">
        <v>4</v>
      </c>
      <c r="D85" s="2437">
        <v>8025</v>
      </c>
      <c r="E85" s="1904">
        <f t="shared" si="3"/>
        <v>32100</v>
      </c>
      <c r="F85" s="305" t="s">
        <v>1532</v>
      </c>
      <c r="G85" s="3127" t="s">
        <v>729</v>
      </c>
      <c r="H85" s="221"/>
    </row>
    <row r="86" spans="1:10">
      <c r="A86" s="479">
        <v>82</v>
      </c>
      <c r="B86" s="305" t="s">
        <v>1566</v>
      </c>
      <c r="C86" s="306">
        <v>1</v>
      </c>
      <c r="D86" s="1841">
        <v>2990</v>
      </c>
      <c r="E86" s="1904">
        <f t="shared" si="3"/>
        <v>2990</v>
      </c>
      <c r="F86" s="1856" t="s">
        <v>1567</v>
      </c>
      <c r="G86" s="3127" t="s">
        <v>729</v>
      </c>
      <c r="H86" s="221"/>
    </row>
    <row r="87" spans="1:10">
      <c r="A87" s="479">
        <v>83</v>
      </c>
      <c r="B87" s="305" t="s">
        <v>1568</v>
      </c>
      <c r="C87" s="306">
        <v>1</v>
      </c>
      <c r="D87" s="1841">
        <v>9000</v>
      </c>
      <c r="E87" s="1904">
        <f t="shared" si="3"/>
        <v>9000</v>
      </c>
      <c r="F87" s="1856" t="s">
        <v>1569</v>
      </c>
      <c r="G87" s="3127" t="s">
        <v>729</v>
      </c>
      <c r="H87" s="221"/>
    </row>
    <row r="88" spans="1:10">
      <c r="A88" s="479">
        <v>84</v>
      </c>
      <c r="B88" s="305" t="s">
        <v>1570</v>
      </c>
      <c r="C88" s="306">
        <v>3</v>
      </c>
      <c r="D88" s="1841">
        <v>9000</v>
      </c>
      <c r="E88" s="1904">
        <f t="shared" si="3"/>
        <v>27000</v>
      </c>
      <c r="F88" s="305" t="s">
        <v>1571</v>
      </c>
      <c r="G88" s="3127" t="s">
        <v>729</v>
      </c>
      <c r="H88" s="221"/>
    </row>
    <row r="89" spans="1:10">
      <c r="A89" s="479">
        <v>85</v>
      </c>
      <c r="B89" s="305" t="s">
        <v>1572</v>
      </c>
      <c r="C89" s="306">
        <v>10</v>
      </c>
      <c r="D89" s="1841">
        <v>2200</v>
      </c>
      <c r="E89" s="1904">
        <f t="shared" si="3"/>
        <v>22000</v>
      </c>
      <c r="F89" s="305" t="s">
        <v>1532</v>
      </c>
      <c r="G89" s="3127" t="s">
        <v>729</v>
      </c>
      <c r="H89" s="221"/>
    </row>
    <row r="90" spans="1:10">
      <c r="A90" s="479">
        <v>86</v>
      </c>
      <c r="B90" s="305" t="s">
        <v>1573</v>
      </c>
      <c r="C90" s="306">
        <v>10</v>
      </c>
      <c r="D90" s="1841">
        <v>2200</v>
      </c>
      <c r="E90" s="1904">
        <f t="shared" si="3"/>
        <v>22000</v>
      </c>
      <c r="F90" s="1856" t="s">
        <v>1532</v>
      </c>
      <c r="G90" s="3127" t="s">
        <v>729</v>
      </c>
      <c r="H90" s="221"/>
    </row>
    <row r="91" spans="1:10">
      <c r="A91" s="479">
        <v>87</v>
      </c>
      <c r="B91" s="305" t="s">
        <v>474</v>
      </c>
      <c r="C91" s="306">
        <v>1</v>
      </c>
      <c r="D91" s="1841">
        <v>1873</v>
      </c>
      <c r="E91" s="1904">
        <f t="shared" si="3"/>
        <v>1873</v>
      </c>
      <c r="F91" s="1856" t="s">
        <v>1567</v>
      </c>
      <c r="G91" s="3127" t="s">
        <v>729</v>
      </c>
      <c r="H91" s="221"/>
    </row>
    <row r="92" spans="1:10">
      <c r="A92" s="479">
        <v>88</v>
      </c>
      <c r="B92" s="305" t="s">
        <v>1574</v>
      </c>
      <c r="C92" s="306">
        <v>2</v>
      </c>
      <c r="D92" s="1904">
        <v>45650</v>
      </c>
      <c r="E92" s="1904">
        <f t="shared" si="3"/>
        <v>91300</v>
      </c>
      <c r="F92" s="1856" t="s">
        <v>1532</v>
      </c>
      <c r="G92" s="3127" t="s">
        <v>729</v>
      </c>
      <c r="H92" s="221"/>
    </row>
    <row r="93" spans="1:10">
      <c r="A93" s="479">
        <v>89</v>
      </c>
      <c r="B93" s="305" t="s">
        <v>1575</v>
      </c>
      <c r="C93" s="306">
        <v>10</v>
      </c>
      <c r="D93" s="1904">
        <v>4370</v>
      </c>
      <c r="E93" s="1904">
        <f t="shared" si="3"/>
        <v>43700</v>
      </c>
      <c r="F93" s="1856" t="s">
        <v>1532</v>
      </c>
      <c r="G93" s="3127" t="s">
        <v>729</v>
      </c>
      <c r="H93" s="221"/>
    </row>
    <row r="94" spans="1:10">
      <c r="A94" s="479">
        <v>90</v>
      </c>
      <c r="B94" s="297" t="s">
        <v>1576</v>
      </c>
      <c r="C94" s="2451">
        <v>1</v>
      </c>
      <c r="D94" s="1840">
        <v>6500</v>
      </c>
      <c r="E94" s="1841">
        <f t="shared" ref="E94" si="4">+C94*D94</f>
        <v>6500</v>
      </c>
      <c r="F94" s="478" t="s">
        <v>963</v>
      </c>
      <c r="G94" s="3127" t="s">
        <v>729</v>
      </c>
      <c r="H94" s="221"/>
    </row>
    <row r="95" spans="1:10">
      <c r="A95" s="479">
        <v>91</v>
      </c>
      <c r="B95" s="297" t="s">
        <v>1610</v>
      </c>
      <c r="C95" s="2451">
        <v>24</v>
      </c>
      <c r="D95" s="1840">
        <v>750</v>
      </c>
      <c r="E95" s="1841">
        <f>+C95*D95</f>
        <v>18000</v>
      </c>
      <c r="F95" s="478" t="s">
        <v>963</v>
      </c>
      <c r="G95" s="3127" t="s">
        <v>729</v>
      </c>
      <c r="H95" s="221"/>
    </row>
    <row r="96" spans="1:10">
      <c r="A96" s="479">
        <v>92</v>
      </c>
      <c r="B96" s="478" t="s">
        <v>1748</v>
      </c>
      <c r="C96" s="479">
        <v>5</v>
      </c>
      <c r="D96" s="1537">
        <v>1290</v>
      </c>
      <c r="E96" s="1537">
        <v>6450</v>
      </c>
      <c r="F96" s="478" t="s">
        <v>1436</v>
      </c>
      <c r="G96" s="3128" t="s">
        <v>729</v>
      </c>
      <c r="H96" s="478"/>
      <c r="I96" s="2461" t="s">
        <v>2340</v>
      </c>
      <c r="J96" s="19" t="s">
        <v>1905</v>
      </c>
    </row>
    <row r="97" spans="1:10">
      <c r="A97" s="479">
        <v>93</v>
      </c>
      <c r="B97" s="478" t="s">
        <v>1749</v>
      </c>
      <c r="C97" s="479">
        <v>1</v>
      </c>
      <c r="D97" s="1537">
        <v>10100</v>
      </c>
      <c r="E97" s="1537">
        <v>10100</v>
      </c>
      <c r="F97" s="478" t="s">
        <v>946</v>
      </c>
      <c r="G97" s="3128" t="s">
        <v>729</v>
      </c>
      <c r="H97" s="478"/>
      <c r="I97" s="2461" t="s">
        <v>2341</v>
      </c>
      <c r="J97" s="19" t="s">
        <v>1905</v>
      </c>
    </row>
    <row r="98" spans="1:10">
      <c r="A98" s="479">
        <v>94</v>
      </c>
      <c r="B98" s="478" t="s">
        <v>1751</v>
      </c>
      <c r="C98" s="479">
        <v>1</v>
      </c>
      <c r="D98" s="1537">
        <v>4050</v>
      </c>
      <c r="E98" s="1537">
        <v>4050</v>
      </c>
      <c r="F98" s="478" t="s">
        <v>1874</v>
      </c>
      <c r="G98" s="3128" t="s">
        <v>729</v>
      </c>
      <c r="H98" s="478"/>
      <c r="I98" s="2461" t="s">
        <v>2343</v>
      </c>
      <c r="J98" s="19" t="s">
        <v>1905</v>
      </c>
    </row>
    <row r="99" spans="1:10">
      <c r="A99" s="479">
        <v>95</v>
      </c>
      <c r="B99" s="478" t="s">
        <v>474</v>
      </c>
      <c r="C99" s="479">
        <v>1</v>
      </c>
      <c r="D99" s="1537">
        <v>3390</v>
      </c>
      <c r="E99" s="1537">
        <v>3390</v>
      </c>
      <c r="F99" s="478" t="s">
        <v>426</v>
      </c>
      <c r="G99" s="3128" t="s">
        <v>729</v>
      </c>
      <c r="H99" s="478"/>
      <c r="I99" s="2461" t="s">
        <v>2350</v>
      </c>
      <c r="J99" s="19" t="s">
        <v>1905</v>
      </c>
    </row>
    <row r="100" spans="1:10">
      <c r="A100" s="479">
        <v>96</v>
      </c>
      <c r="B100" s="478" t="s">
        <v>1761</v>
      </c>
      <c r="C100" s="479">
        <v>1</v>
      </c>
      <c r="D100" s="1537">
        <v>10590</v>
      </c>
      <c r="E100" s="1537">
        <v>10590</v>
      </c>
      <c r="F100" s="478" t="s">
        <v>1876</v>
      </c>
      <c r="G100" s="3128" t="s">
        <v>729</v>
      </c>
      <c r="H100" s="478"/>
      <c r="I100" s="2461" t="s">
        <v>2351</v>
      </c>
      <c r="J100" s="19" t="s">
        <v>1905</v>
      </c>
    </row>
    <row r="101" spans="1:10">
      <c r="A101" s="479">
        <v>97</v>
      </c>
      <c r="B101" s="478" t="s">
        <v>1782</v>
      </c>
      <c r="C101" s="479">
        <v>1</v>
      </c>
      <c r="D101" s="1537">
        <v>5990</v>
      </c>
      <c r="E101" s="1537">
        <v>5990</v>
      </c>
      <c r="F101" s="478" t="s">
        <v>958</v>
      </c>
      <c r="G101" s="3128" t="s">
        <v>729</v>
      </c>
      <c r="H101" s="478"/>
      <c r="I101" s="2461" t="s">
        <v>2361</v>
      </c>
      <c r="J101" s="19" t="s">
        <v>1905</v>
      </c>
    </row>
    <row r="102" spans="1:10">
      <c r="A102" s="479">
        <v>98</v>
      </c>
      <c r="B102" s="478" t="s">
        <v>474</v>
      </c>
      <c r="C102" s="479">
        <v>1</v>
      </c>
      <c r="D102" s="1537">
        <v>1872.5</v>
      </c>
      <c r="E102" s="1537">
        <v>1872.5</v>
      </c>
      <c r="F102" s="478" t="s">
        <v>614</v>
      </c>
      <c r="G102" s="3128" t="s">
        <v>729</v>
      </c>
      <c r="H102" s="478"/>
      <c r="I102" s="2461" t="s">
        <v>2363</v>
      </c>
      <c r="J102" s="19" t="s">
        <v>1905</v>
      </c>
    </row>
    <row r="103" spans="1:10">
      <c r="A103" s="479">
        <v>99</v>
      </c>
      <c r="B103" s="478" t="s">
        <v>1785</v>
      </c>
      <c r="C103" s="479">
        <v>1</v>
      </c>
      <c r="D103" s="1537">
        <v>7600</v>
      </c>
      <c r="E103" s="1537">
        <v>7600</v>
      </c>
      <c r="F103" s="478" t="s">
        <v>1880</v>
      </c>
      <c r="G103" s="3128" t="s">
        <v>729</v>
      </c>
      <c r="H103" s="478"/>
      <c r="I103" s="2461" t="s">
        <v>2364</v>
      </c>
      <c r="J103" s="19" t="s">
        <v>1905</v>
      </c>
    </row>
    <row r="104" spans="1:10">
      <c r="A104" s="479">
        <v>100</v>
      </c>
      <c r="B104" s="478" t="s">
        <v>1786</v>
      </c>
      <c r="C104" s="479">
        <v>1</v>
      </c>
      <c r="D104" s="1537">
        <v>45600</v>
      </c>
      <c r="E104" s="1537">
        <v>45600</v>
      </c>
      <c r="F104" s="478" t="s">
        <v>414</v>
      </c>
      <c r="G104" s="3128" t="s">
        <v>729</v>
      </c>
      <c r="H104" s="478"/>
      <c r="I104" s="2461" t="s">
        <v>2365</v>
      </c>
      <c r="J104" s="19" t="s">
        <v>1905</v>
      </c>
    </row>
    <row r="105" spans="1:10">
      <c r="A105" s="479">
        <v>101</v>
      </c>
      <c r="B105" s="478" t="s">
        <v>1787</v>
      </c>
      <c r="C105" s="479">
        <v>40</v>
      </c>
      <c r="D105" s="1537">
        <v>9680</v>
      </c>
      <c r="E105" s="1537">
        <v>387200</v>
      </c>
      <c r="F105" s="478" t="s">
        <v>888</v>
      </c>
      <c r="G105" s="3128" t="s">
        <v>729</v>
      </c>
      <c r="H105" s="478"/>
      <c r="I105" s="2461" t="s">
        <v>2366</v>
      </c>
      <c r="J105" s="19" t="s">
        <v>1905</v>
      </c>
    </row>
    <row r="106" spans="1:10">
      <c r="A106" s="479">
        <v>102</v>
      </c>
      <c r="B106" s="478" t="s">
        <v>1790</v>
      </c>
      <c r="C106" s="479">
        <v>1</v>
      </c>
      <c r="D106" s="1537">
        <v>35990</v>
      </c>
      <c r="E106" s="1537">
        <v>35990</v>
      </c>
      <c r="F106" s="478" t="s">
        <v>946</v>
      </c>
      <c r="G106" s="3128" t="s">
        <v>729</v>
      </c>
      <c r="H106" s="478"/>
      <c r="I106" s="2461" t="s">
        <v>2368</v>
      </c>
      <c r="J106" s="19" t="s">
        <v>1905</v>
      </c>
    </row>
    <row r="107" spans="1:10">
      <c r="A107" s="479">
        <v>103</v>
      </c>
      <c r="B107" s="478" t="s">
        <v>1793</v>
      </c>
      <c r="C107" s="479">
        <v>1</v>
      </c>
      <c r="D107" s="1537">
        <v>4600</v>
      </c>
      <c r="E107" s="1537">
        <v>4600</v>
      </c>
      <c r="F107" s="478" t="s">
        <v>1882</v>
      </c>
      <c r="G107" s="3128" t="s">
        <v>729</v>
      </c>
      <c r="H107" s="478"/>
      <c r="I107" s="2461" t="s">
        <v>2372</v>
      </c>
      <c r="J107" s="19" t="s">
        <v>1905</v>
      </c>
    </row>
    <row r="108" spans="1:10">
      <c r="A108" s="479">
        <v>104</v>
      </c>
      <c r="B108" s="478" t="s">
        <v>1795</v>
      </c>
      <c r="C108" s="479">
        <v>1</v>
      </c>
      <c r="D108" s="1537">
        <v>5990</v>
      </c>
      <c r="E108" s="1537">
        <v>5990</v>
      </c>
      <c r="F108" s="478" t="s">
        <v>614</v>
      </c>
      <c r="G108" s="3128" t="s">
        <v>729</v>
      </c>
      <c r="H108" s="478"/>
      <c r="I108" s="2461" t="s">
        <v>2374</v>
      </c>
      <c r="J108" s="19" t="s">
        <v>1905</v>
      </c>
    </row>
    <row r="109" spans="1:10">
      <c r="A109" s="479">
        <v>105</v>
      </c>
      <c r="B109" s="478" t="s">
        <v>474</v>
      </c>
      <c r="C109" s="479">
        <v>1</v>
      </c>
      <c r="D109" s="1537">
        <v>2355</v>
      </c>
      <c r="E109" s="1537">
        <v>2355</v>
      </c>
      <c r="F109" s="478" t="s">
        <v>982</v>
      </c>
      <c r="G109" s="3128" t="s">
        <v>729</v>
      </c>
      <c r="H109" s="478"/>
      <c r="I109" s="2461" t="s">
        <v>2375</v>
      </c>
      <c r="J109" s="19" t="s">
        <v>1905</v>
      </c>
    </row>
    <row r="110" spans="1:10">
      <c r="A110" s="479">
        <v>106</v>
      </c>
      <c r="B110" s="478" t="s">
        <v>1798</v>
      </c>
      <c r="C110" s="479">
        <v>52</v>
      </c>
      <c r="D110" s="1537">
        <v>9469.5</v>
      </c>
      <c r="E110" s="1537">
        <v>492414</v>
      </c>
      <c r="F110" s="478" t="s">
        <v>1872</v>
      </c>
      <c r="G110" s="3128" t="s">
        <v>729</v>
      </c>
      <c r="H110" s="478"/>
      <c r="I110" s="2461" t="s">
        <v>2376</v>
      </c>
      <c r="J110" s="19" t="s">
        <v>1905</v>
      </c>
    </row>
    <row r="111" spans="1:10">
      <c r="A111" s="479">
        <v>107</v>
      </c>
      <c r="B111" s="478" t="s">
        <v>1801</v>
      </c>
      <c r="C111" s="479">
        <v>1</v>
      </c>
      <c r="D111" s="1537">
        <v>3100</v>
      </c>
      <c r="E111" s="1537">
        <v>3100</v>
      </c>
      <c r="F111" s="478" t="s">
        <v>888</v>
      </c>
      <c r="G111" s="3128" t="s">
        <v>729</v>
      </c>
      <c r="H111" s="478"/>
      <c r="I111" s="2461" t="s">
        <v>2380</v>
      </c>
      <c r="J111" s="19" t="s">
        <v>1905</v>
      </c>
    </row>
    <row r="112" spans="1:10">
      <c r="A112" s="479">
        <v>108</v>
      </c>
      <c r="B112" s="478" t="s">
        <v>1802</v>
      </c>
      <c r="C112" s="479">
        <v>1</v>
      </c>
      <c r="D112" s="1537">
        <v>5898</v>
      </c>
      <c r="E112" s="1537">
        <v>5898</v>
      </c>
      <c r="F112" s="478" t="s">
        <v>1883</v>
      </c>
      <c r="G112" s="3128" t="s">
        <v>729</v>
      </c>
      <c r="H112" s="478"/>
      <c r="I112" s="2461" t="s">
        <v>2381</v>
      </c>
      <c r="J112" s="19" t="s">
        <v>1905</v>
      </c>
    </row>
    <row r="113" spans="1:10">
      <c r="A113" s="479">
        <v>109</v>
      </c>
      <c r="B113" s="478" t="s">
        <v>1803</v>
      </c>
      <c r="C113" s="479">
        <v>2</v>
      </c>
      <c r="D113" s="1537">
        <v>1808.3</v>
      </c>
      <c r="E113" s="1537">
        <v>3616.6</v>
      </c>
      <c r="F113" s="478" t="s">
        <v>1278</v>
      </c>
      <c r="G113" s="3128" t="s">
        <v>729</v>
      </c>
      <c r="H113" s="478"/>
      <c r="I113" s="2461" t="s">
        <v>2382</v>
      </c>
      <c r="J113" s="19" t="s">
        <v>1905</v>
      </c>
    </row>
    <row r="114" spans="1:10">
      <c r="A114" s="479">
        <v>110</v>
      </c>
      <c r="B114" s="478" t="s">
        <v>908</v>
      </c>
      <c r="C114" s="479">
        <v>1</v>
      </c>
      <c r="D114" s="1537">
        <v>2305.85</v>
      </c>
      <c r="E114" s="1537">
        <v>2305.85</v>
      </c>
      <c r="F114" s="478" t="s">
        <v>463</v>
      </c>
      <c r="G114" s="3128" t="s">
        <v>729</v>
      </c>
      <c r="H114" s="478"/>
      <c r="I114" s="2461" t="s">
        <v>2383</v>
      </c>
      <c r="J114" s="19" t="s">
        <v>1905</v>
      </c>
    </row>
    <row r="115" spans="1:10">
      <c r="A115" s="479">
        <v>111</v>
      </c>
      <c r="B115" s="478" t="s">
        <v>1805</v>
      </c>
      <c r="C115" s="479">
        <v>1</v>
      </c>
      <c r="D115" s="1537">
        <v>3070</v>
      </c>
      <c r="E115" s="1537">
        <v>3070</v>
      </c>
      <c r="F115" s="478" t="s">
        <v>471</v>
      </c>
      <c r="G115" s="3128" t="s">
        <v>729</v>
      </c>
      <c r="H115" s="478"/>
      <c r="I115" s="2461" t="s">
        <v>2385</v>
      </c>
      <c r="J115" s="19" t="s">
        <v>1905</v>
      </c>
    </row>
    <row r="116" spans="1:10">
      <c r="A116" s="479">
        <v>112</v>
      </c>
      <c r="B116" s="478" t="s">
        <v>1806</v>
      </c>
      <c r="C116" s="479">
        <v>1</v>
      </c>
      <c r="D116" s="1537">
        <v>45600</v>
      </c>
      <c r="E116" s="1537">
        <v>45600</v>
      </c>
      <c r="F116" s="478" t="s">
        <v>431</v>
      </c>
      <c r="G116" s="3128" t="s">
        <v>729</v>
      </c>
      <c r="H116" s="478"/>
      <c r="I116" s="2461" t="s">
        <v>2386</v>
      </c>
      <c r="J116" s="19" t="s">
        <v>1905</v>
      </c>
    </row>
    <row r="117" spans="1:10">
      <c r="A117" s="479">
        <v>113</v>
      </c>
      <c r="B117" s="478" t="s">
        <v>1807</v>
      </c>
      <c r="C117" s="479">
        <v>1</v>
      </c>
      <c r="D117" s="1537">
        <v>2305.85</v>
      </c>
      <c r="E117" s="1537">
        <v>2305.85</v>
      </c>
      <c r="F117" s="478" t="s">
        <v>1884</v>
      </c>
      <c r="G117" s="3128" t="s">
        <v>729</v>
      </c>
      <c r="H117" s="478"/>
      <c r="I117" s="2461" t="s">
        <v>2387</v>
      </c>
      <c r="J117" s="19" t="s">
        <v>1905</v>
      </c>
    </row>
    <row r="118" spans="1:10">
      <c r="A118" s="479">
        <v>114</v>
      </c>
      <c r="B118" s="478" t="s">
        <v>1810</v>
      </c>
      <c r="C118" s="479">
        <v>4</v>
      </c>
      <c r="D118" s="1537">
        <v>350</v>
      </c>
      <c r="E118" s="1537">
        <v>1400</v>
      </c>
      <c r="F118" s="478" t="s">
        <v>1885</v>
      </c>
      <c r="G118" s="3128" t="s">
        <v>729</v>
      </c>
      <c r="H118" s="478"/>
      <c r="I118" s="2461" t="s">
        <v>2390</v>
      </c>
      <c r="J118" s="19" t="s">
        <v>1905</v>
      </c>
    </row>
    <row r="119" spans="1:10">
      <c r="A119" s="479">
        <v>115</v>
      </c>
      <c r="B119" s="478" t="s">
        <v>1811</v>
      </c>
      <c r="C119" s="479">
        <v>3</v>
      </c>
      <c r="D119" s="1537">
        <v>3200</v>
      </c>
      <c r="E119" s="1537">
        <v>9600</v>
      </c>
      <c r="F119" s="478" t="s">
        <v>1885</v>
      </c>
      <c r="G119" s="3128" t="s">
        <v>729</v>
      </c>
      <c r="H119" s="478"/>
      <c r="I119" s="2461" t="s">
        <v>2390</v>
      </c>
      <c r="J119" s="19" t="s">
        <v>1905</v>
      </c>
    </row>
    <row r="120" spans="1:10">
      <c r="A120" s="479">
        <v>116</v>
      </c>
      <c r="B120" s="478" t="s">
        <v>2481</v>
      </c>
      <c r="C120" s="479">
        <v>1</v>
      </c>
      <c r="D120" s="1537">
        <v>2990</v>
      </c>
      <c r="E120" s="1537">
        <v>2990</v>
      </c>
      <c r="F120" s="478" t="s">
        <v>1885</v>
      </c>
      <c r="G120" s="3128" t="s">
        <v>729</v>
      </c>
      <c r="H120" s="478"/>
      <c r="I120" s="2461" t="s">
        <v>2390</v>
      </c>
      <c r="J120" s="19" t="s">
        <v>1905</v>
      </c>
    </row>
    <row r="121" spans="1:10">
      <c r="A121" s="479">
        <v>117</v>
      </c>
      <c r="B121" s="478" t="s">
        <v>1813</v>
      </c>
      <c r="C121" s="479">
        <v>1</v>
      </c>
      <c r="D121" s="1537">
        <v>4500</v>
      </c>
      <c r="E121" s="1537">
        <v>4500</v>
      </c>
      <c r="F121" s="478" t="s">
        <v>1885</v>
      </c>
      <c r="G121" s="3128" t="s">
        <v>729</v>
      </c>
      <c r="H121" s="478"/>
      <c r="I121" s="2461" t="s">
        <v>2390</v>
      </c>
      <c r="J121" s="19" t="s">
        <v>1905</v>
      </c>
    </row>
    <row r="122" spans="1:10">
      <c r="A122" s="479">
        <v>118</v>
      </c>
      <c r="B122" s="478" t="s">
        <v>1814</v>
      </c>
      <c r="C122" s="479">
        <v>4</v>
      </c>
      <c r="D122" s="1537">
        <v>450</v>
      </c>
      <c r="E122" s="1537">
        <v>1800</v>
      </c>
      <c r="F122" s="478" t="s">
        <v>1886</v>
      </c>
      <c r="G122" s="3128" t="s">
        <v>729</v>
      </c>
      <c r="H122" s="478"/>
      <c r="I122" s="2461" t="s">
        <v>2391</v>
      </c>
      <c r="J122" s="19" t="s">
        <v>1905</v>
      </c>
    </row>
    <row r="123" spans="1:10">
      <c r="A123" s="479">
        <v>119</v>
      </c>
      <c r="B123" s="478" t="s">
        <v>1815</v>
      </c>
      <c r="C123" s="479">
        <v>6</v>
      </c>
      <c r="D123" s="1537">
        <v>280</v>
      </c>
      <c r="E123" s="1537">
        <v>1680</v>
      </c>
      <c r="F123" s="478" t="s">
        <v>1886</v>
      </c>
      <c r="G123" s="3128" t="s">
        <v>729</v>
      </c>
      <c r="H123" s="478"/>
      <c r="I123" s="2461" t="s">
        <v>2391</v>
      </c>
      <c r="J123" s="19" t="s">
        <v>1905</v>
      </c>
    </row>
    <row r="124" spans="1:10">
      <c r="A124" s="479">
        <v>120</v>
      </c>
      <c r="B124" s="478" t="s">
        <v>1816</v>
      </c>
      <c r="C124" s="479">
        <v>4</v>
      </c>
      <c r="D124" s="1537">
        <v>1016.5</v>
      </c>
      <c r="E124" s="1537">
        <v>4066</v>
      </c>
      <c r="F124" s="478" t="s">
        <v>1886</v>
      </c>
      <c r="G124" s="3128" t="s">
        <v>729</v>
      </c>
      <c r="H124" s="478"/>
      <c r="I124" s="2461" t="s">
        <v>2391</v>
      </c>
      <c r="J124" s="19" t="s">
        <v>1905</v>
      </c>
    </row>
    <row r="125" spans="1:10">
      <c r="A125" s="479">
        <v>121</v>
      </c>
      <c r="B125" s="478" t="s">
        <v>1818</v>
      </c>
      <c r="C125" s="479">
        <v>1</v>
      </c>
      <c r="D125" s="1537">
        <v>1390</v>
      </c>
      <c r="E125" s="1537">
        <v>1390</v>
      </c>
      <c r="F125" s="478" t="s">
        <v>423</v>
      </c>
      <c r="G125" s="3128" t="s">
        <v>729</v>
      </c>
      <c r="H125" s="478"/>
      <c r="I125" s="2461" t="s">
        <v>2393</v>
      </c>
      <c r="J125" s="19" t="s">
        <v>1905</v>
      </c>
    </row>
    <row r="126" spans="1:10">
      <c r="A126" s="479">
        <v>122</v>
      </c>
      <c r="B126" s="478" t="s">
        <v>473</v>
      </c>
      <c r="C126" s="479">
        <v>4</v>
      </c>
      <c r="D126" s="1537">
        <v>3400</v>
      </c>
      <c r="E126" s="1537">
        <v>13600</v>
      </c>
      <c r="F126" s="478" t="s">
        <v>423</v>
      </c>
      <c r="G126" s="3128" t="s">
        <v>729</v>
      </c>
      <c r="H126" s="478"/>
      <c r="I126" s="2461" t="s">
        <v>2394</v>
      </c>
      <c r="J126" s="19" t="s">
        <v>1905</v>
      </c>
    </row>
    <row r="127" spans="1:10">
      <c r="A127" s="479">
        <v>123</v>
      </c>
      <c r="B127" s="478" t="s">
        <v>1951</v>
      </c>
      <c r="C127" s="479">
        <v>7</v>
      </c>
      <c r="D127" s="1537">
        <v>5890</v>
      </c>
      <c r="E127" s="1537">
        <v>41230</v>
      </c>
      <c r="F127" s="478" t="s">
        <v>1888</v>
      </c>
      <c r="G127" s="3128" t="s">
        <v>729</v>
      </c>
      <c r="H127" s="478"/>
      <c r="I127" s="2461" t="s">
        <v>2396</v>
      </c>
      <c r="J127" s="19" t="s">
        <v>1905</v>
      </c>
    </row>
    <row r="128" spans="1:10">
      <c r="A128" s="479">
        <v>124</v>
      </c>
      <c r="B128" s="478" t="s">
        <v>1820</v>
      </c>
      <c r="C128" s="479">
        <v>2</v>
      </c>
      <c r="D128" s="1537">
        <v>2188</v>
      </c>
      <c r="E128" s="1537">
        <v>4376</v>
      </c>
      <c r="F128" s="478" t="s">
        <v>1888</v>
      </c>
      <c r="G128" s="3128" t="s">
        <v>729</v>
      </c>
      <c r="H128" s="478"/>
      <c r="I128" s="2461" t="s">
        <v>2396</v>
      </c>
      <c r="J128" s="19" t="s">
        <v>1905</v>
      </c>
    </row>
    <row r="129" spans="1:10">
      <c r="A129" s="479">
        <v>125</v>
      </c>
      <c r="B129" s="478" t="s">
        <v>469</v>
      </c>
      <c r="C129" s="479">
        <v>1</v>
      </c>
      <c r="D129" s="1537">
        <v>2305.85</v>
      </c>
      <c r="E129" s="1537">
        <v>2305.85</v>
      </c>
      <c r="F129" s="478" t="s">
        <v>426</v>
      </c>
      <c r="G129" s="3128" t="s">
        <v>729</v>
      </c>
      <c r="H129" s="478"/>
      <c r="I129" s="2461" t="s">
        <v>2397</v>
      </c>
      <c r="J129" s="19" t="s">
        <v>1905</v>
      </c>
    </row>
    <row r="130" spans="1:10">
      <c r="A130" s="479">
        <v>126</v>
      </c>
      <c r="B130" s="478" t="s">
        <v>1822</v>
      </c>
      <c r="C130" s="479">
        <v>5</v>
      </c>
      <c r="D130" s="1537">
        <v>3650</v>
      </c>
      <c r="E130" s="1537">
        <v>18250</v>
      </c>
      <c r="F130" s="478" t="s">
        <v>961</v>
      </c>
      <c r="G130" s="3128" t="s">
        <v>729</v>
      </c>
      <c r="H130" s="478"/>
      <c r="I130" s="2461" t="s">
        <v>2399</v>
      </c>
      <c r="J130" s="19" t="s">
        <v>1905</v>
      </c>
    </row>
    <row r="131" spans="1:10">
      <c r="A131" s="479">
        <v>127</v>
      </c>
      <c r="B131" s="478" t="s">
        <v>1823</v>
      </c>
      <c r="C131" s="479">
        <v>10</v>
      </c>
      <c r="D131" s="1537">
        <v>2200</v>
      </c>
      <c r="E131" s="1537">
        <v>22000</v>
      </c>
      <c r="F131" s="478" t="s">
        <v>961</v>
      </c>
      <c r="G131" s="3128" t="s">
        <v>729</v>
      </c>
      <c r="H131" s="478"/>
      <c r="I131" s="2461" t="s">
        <v>2399</v>
      </c>
      <c r="J131" s="19" t="s">
        <v>1905</v>
      </c>
    </row>
    <row r="132" spans="1:10">
      <c r="A132" s="479">
        <v>128</v>
      </c>
      <c r="B132" s="478" t="s">
        <v>1824</v>
      </c>
      <c r="C132" s="479">
        <v>1</v>
      </c>
      <c r="D132" s="1537">
        <v>10500</v>
      </c>
      <c r="E132" s="1537">
        <v>10500</v>
      </c>
      <c r="F132" s="478" t="s">
        <v>1436</v>
      </c>
      <c r="G132" s="3128" t="s">
        <v>729</v>
      </c>
      <c r="H132" s="478"/>
      <c r="I132" s="2461" t="s">
        <v>2400</v>
      </c>
      <c r="J132" s="19" t="s">
        <v>1905</v>
      </c>
    </row>
    <row r="133" spans="1:10">
      <c r="A133" s="479">
        <v>129</v>
      </c>
      <c r="B133" s="478" t="s">
        <v>1825</v>
      </c>
      <c r="C133" s="479">
        <v>6</v>
      </c>
      <c r="D133" s="1537">
        <v>940</v>
      </c>
      <c r="E133" s="1537">
        <v>5640</v>
      </c>
      <c r="F133" s="478" t="s">
        <v>1436</v>
      </c>
      <c r="G133" s="3128" t="s">
        <v>729</v>
      </c>
      <c r="H133" s="478"/>
      <c r="I133" s="2461" t="s">
        <v>2400</v>
      </c>
      <c r="J133" s="19" t="s">
        <v>1905</v>
      </c>
    </row>
    <row r="134" spans="1:10">
      <c r="A134" s="479">
        <v>130</v>
      </c>
      <c r="B134" s="478" t="s">
        <v>2480</v>
      </c>
      <c r="C134" s="479">
        <v>2</v>
      </c>
      <c r="D134" s="1537">
        <v>1800</v>
      </c>
      <c r="E134" s="1537">
        <v>3600</v>
      </c>
      <c r="F134" s="478" t="s">
        <v>1436</v>
      </c>
      <c r="G134" s="3128" t="s">
        <v>729</v>
      </c>
      <c r="H134" s="478"/>
      <c r="I134" s="2461" t="s">
        <v>2400</v>
      </c>
      <c r="J134" s="19" t="s">
        <v>1905</v>
      </c>
    </row>
    <row r="135" spans="1:10">
      <c r="A135" s="479">
        <v>131</v>
      </c>
      <c r="B135" s="478" t="s">
        <v>1827</v>
      </c>
      <c r="C135" s="479">
        <v>2</v>
      </c>
      <c r="D135" s="1537">
        <v>6900</v>
      </c>
      <c r="E135" s="1537">
        <v>13800</v>
      </c>
      <c r="F135" s="478" t="s">
        <v>1436</v>
      </c>
      <c r="G135" s="3128" t="s">
        <v>729</v>
      </c>
      <c r="H135" s="478"/>
      <c r="I135" s="2461" t="s">
        <v>2400</v>
      </c>
      <c r="J135" s="19" t="s">
        <v>1905</v>
      </c>
    </row>
    <row r="136" spans="1:10">
      <c r="A136" s="479">
        <v>132</v>
      </c>
      <c r="B136" s="478" t="s">
        <v>1828</v>
      </c>
      <c r="C136" s="479">
        <v>1</v>
      </c>
      <c r="D136" s="1537">
        <v>33975</v>
      </c>
      <c r="E136" s="1537">
        <v>33975</v>
      </c>
      <c r="F136" s="478" t="s">
        <v>1436</v>
      </c>
      <c r="G136" s="3128" t="s">
        <v>729</v>
      </c>
      <c r="H136" s="478"/>
      <c r="I136" s="2461" t="s">
        <v>2400</v>
      </c>
      <c r="J136" s="19" t="s">
        <v>1905</v>
      </c>
    </row>
    <row r="137" spans="1:10">
      <c r="A137" s="479">
        <v>133</v>
      </c>
      <c r="B137" s="478" t="s">
        <v>474</v>
      </c>
      <c r="C137" s="479">
        <v>1</v>
      </c>
      <c r="D137" s="1537">
        <v>2354</v>
      </c>
      <c r="E137" s="1537">
        <v>2354</v>
      </c>
      <c r="F137" s="478" t="s">
        <v>1890</v>
      </c>
      <c r="G137" s="3128" t="s">
        <v>729</v>
      </c>
      <c r="H137" s="478"/>
      <c r="I137" s="2461" t="s">
        <v>2401</v>
      </c>
      <c r="J137" s="19" t="s">
        <v>1905</v>
      </c>
    </row>
    <row r="138" spans="1:10">
      <c r="A138" s="479">
        <v>134</v>
      </c>
      <c r="B138" s="478" t="s">
        <v>1785</v>
      </c>
      <c r="C138" s="479">
        <v>1</v>
      </c>
      <c r="D138" s="1537">
        <v>12900</v>
      </c>
      <c r="E138" s="1537">
        <v>12900</v>
      </c>
      <c r="F138" s="478" t="s">
        <v>1891</v>
      </c>
      <c r="G138" s="3128" t="s">
        <v>729</v>
      </c>
      <c r="H138" s="478"/>
      <c r="I138" s="2461" t="s">
        <v>2402</v>
      </c>
      <c r="J138" s="19" t="s">
        <v>1905</v>
      </c>
    </row>
    <row r="139" spans="1:10">
      <c r="A139" s="479">
        <v>135</v>
      </c>
      <c r="B139" s="478" t="s">
        <v>1829</v>
      </c>
      <c r="C139" s="479">
        <v>5</v>
      </c>
      <c r="D139" s="1537">
        <v>6400</v>
      </c>
      <c r="E139" s="1537">
        <v>32000</v>
      </c>
      <c r="F139" s="478" t="s">
        <v>1891</v>
      </c>
      <c r="G139" s="3128" t="s">
        <v>729</v>
      </c>
      <c r="H139" s="478"/>
      <c r="I139" s="2461" t="s">
        <v>2402</v>
      </c>
      <c r="J139" s="19" t="s">
        <v>1905</v>
      </c>
    </row>
    <row r="140" spans="1:10">
      <c r="A140" s="479">
        <v>136</v>
      </c>
      <c r="B140" s="478" t="s">
        <v>2479</v>
      </c>
      <c r="C140" s="479">
        <v>1</v>
      </c>
      <c r="D140" s="1537">
        <v>16900</v>
      </c>
      <c r="E140" s="1537">
        <v>16900</v>
      </c>
      <c r="F140" s="478" t="s">
        <v>1891</v>
      </c>
      <c r="G140" s="3128" t="s">
        <v>729</v>
      </c>
      <c r="H140" s="478"/>
      <c r="I140" s="2461" t="s">
        <v>2402</v>
      </c>
      <c r="J140" s="19" t="s">
        <v>1905</v>
      </c>
    </row>
    <row r="141" spans="1:10">
      <c r="A141" s="479">
        <v>137</v>
      </c>
      <c r="B141" s="478" t="s">
        <v>1832</v>
      </c>
      <c r="C141" s="479">
        <v>1</v>
      </c>
      <c r="D141" s="1537">
        <v>6200</v>
      </c>
      <c r="E141" s="1537">
        <v>6200</v>
      </c>
      <c r="F141" s="478" t="s">
        <v>1478</v>
      </c>
      <c r="G141" s="3128" t="s">
        <v>729</v>
      </c>
      <c r="H141" s="478"/>
      <c r="I141" s="2461" t="s">
        <v>2403</v>
      </c>
      <c r="J141" s="19" t="s">
        <v>1905</v>
      </c>
    </row>
    <row r="142" spans="1:10">
      <c r="A142" s="479">
        <v>138</v>
      </c>
      <c r="B142" s="478" t="s">
        <v>474</v>
      </c>
      <c r="C142" s="479">
        <v>1</v>
      </c>
      <c r="D142" s="1537">
        <v>2354</v>
      </c>
      <c r="E142" s="1537">
        <v>2354</v>
      </c>
      <c r="F142" s="478" t="s">
        <v>1892</v>
      </c>
      <c r="G142" s="3128" t="s">
        <v>729</v>
      </c>
      <c r="H142" s="478"/>
      <c r="I142" s="2461" t="s">
        <v>2404</v>
      </c>
      <c r="J142" s="19" t="s">
        <v>1905</v>
      </c>
    </row>
    <row r="143" spans="1:10">
      <c r="A143" s="479">
        <v>139</v>
      </c>
      <c r="B143" s="478" t="s">
        <v>1806</v>
      </c>
      <c r="C143" s="479">
        <v>10</v>
      </c>
      <c r="D143" s="1537">
        <v>45600</v>
      </c>
      <c r="E143" s="1537">
        <v>456000</v>
      </c>
      <c r="F143" s="478" t="s">
        <v>888</v>
      </c>
      <c r="G143" s="3128" t="s">
        <v>729</v>
      </c>
      <c r="H143" s="478"/>
      <c r="I143" s="2461" t="s">
        <v>2405</v>
      </c>
      <c r="J143" s="19" t="s">
        <v>1905</v>
      </c>
    </row>
    <row r="144" spans="1:10">
      <c r="A144" s="479">
        <v>140</v>
      </c>
      <c r="B144" s="478" t="s">
        <v>1835</v>
      </c>
      <c r="C144" s="479">
        <v>13</v>
      </c>
      <c r="D144" s="1537"/>
      <c r="E144" s="1537">
        <v>46000</v>
      </c>
      <c r="F144" s="478" t="s">
        <v>416</v>
      </c>
      <c r="G144" s="3128" t="s">
        <v>729</v>
      </c>
      <c r="H144" s="478"/>
      <c r="I144" s="2461" t="s">
        <v>2408</v>
      </c>
      <c r="J144" s="19" t="s">
        <v>1905</v>
      </c>
    </row>
    <row r="145" spans="1:10">
      <c r="A145" s="479">
        <v>141</v>
      </c>
      <c r="B145" s="478" t="s">
        <v>1837</v>
      </c>
      <c r="C145" s="479">
        <v>4</v>
      </c>
      <c r="D145" s="1537">
        <v>6690</v>
      </c>
      <c r="E145" s="1537">
        <v>26760</v>
      </c>
      <c r="F145" s="478" t="s">
        <v>1893</v>
      </c>
      <c r="G145" s="3128" t="s">
        <v>729</v>
      </c>
      <c r="H145" s="478"/>
      <c r="I145" s="2461" t="s">
        <v>2410</v>
      </c>
      <c r="J145" s="19" t="s">
        <v>1905</v>
      </c>
    </row>
    <row r="146" spans="1:10">
      <c r="A146" s="479">
        <v>142</v>
      </c>
      <c r="B146" s="478" t="s">
        <v>1806</v>
      </c>
      <c r="C146" s="479">
        <v>1</v>
      </c>
      <c r="D146" s="1537">
        <v>45600</v>
      </c>
      <c r="E146" s="1537">
        <v>45600</v>
      </c>
      <c r="F146" s="478" t="s">
        <v>416</v>
      </c>
      <c r="G146" s="3128" t="s">
        <v>729</v>
      </c>
      <c r="H146" s="478"/>
      <c r="I146" s="2461" t="s">
        <v>2412</v>
      </c>
      <c r="J146" s="19" t="s">
        <v>1905</v>
      </c>
    </row>
    <row r="147" spans="1:10">
      <c r="A147" s="479">
        <v>143</v>
      </c>
      <c r="B147" s="478" t="s">
        <v>1842</v>
      </c>
      <c r="C147" s="479">
        <v>1</v>
      </c>
      <c r="D147" s="1537">
        <v>66896</v>
      </c>
      <c r="E147" s="1537">
        <v>66896</v>
      </c>
      <c r="F147" s="478" t="s">
        <v>1896</v>
      </c>
      <c r="G147" s="3128" t="s">
        <v>729</v>
      </c>
      <c r="H147" s="478"/>
      <c r="I147" s="2461" t="s">
        <v>2414</v>
      </c>
      <c r="J147" s="19" t="s">
        <v>1905</v>
      </c>
    </row>
    <row r="148" spans="1:10">
      <c r="A148" s="479">
        <v>144</v>
      </c>
      <c r="B148" s="478" t="s">
        <v>474</v>
      </c>
      <c r="C148" s="479">
        <v>1</v>
      </c>
      <c r="D148" s="1537">
        <v>2354</v>
      </c>
      <c r="E148" s="1537">
        <v>2354</v>
      </c>
      <c r="F148" s="478" t="s">
        <v>1897</v>
      </c>
      <c r="G148" s="3128" t="s">
        <v>729</v>
      </c>
      <c r="H148" s="478"/>
      <c r="I148" s="2461" t="s">
        <v>2415</v>
      </c>
      <c r="J148" s="19" t="s">
        <v>1905</v>
      </c>
    </row>
    <row r="149" spans="1:10">
      <c r="A149" s="479">
        <v>145</v>
      </c>
      <c r="B149" s="478" t="s">
        <v>1850</v>
      </c>
      <c r="C149" s="479">
        <v>2</v>
      </c>
      <c r="D149" s="1537">
        <v>4050</v>
      </c>
      <c r="E149" s="1537">
        <v>8100</v>
      </c>
      <c r="F149" s="478" t="s">
        <v>961</v>
      </c>
      <c r="G149" s="3128" t="s">
        <v>729</v>
      </c>
      <c r="H149" s="478"/>
      <c r="I149" s="2461" t="s">
        <v>2423</v>
      </c>
      <c r="J149" s="19" t="s">
        <v>1905</v>
      </c>
    </row>
    <row r="150" spans="1:10">
      <c r="A150" s="479">
        <v>146</v>
      </c>
      <c r="B150" s="478" t="s">
        <v>1851</v>
      </c>
      <c r="C150" s="479">
        <v>3</v>
      </c>
      <c r="D150" s="1537">
        <v>11770</v>
      </c>
      <c r="E150" s="1537">
        <v>35310</v>
      </c>
      <c r="F150" s="478" t="s">
        <v>1900</v>
      </c>
      <c r="G150" s="3128" t="s">
        <v>729</v>
      </c>
      <c r="H150" s="478"/>
      <c r="I150" s="2461" t="s">
        <v>2424</v>
      </c>
      <c r="J150" s="19" t="s">
        <v>1905</v>
      </c>
    </row>
    <row r="151" spans="1:10">
      <c r="A151" s="479">
        <v>147</v>
      </c>
      <c r="B151" s="478" t="s">
        <v>1852</v>
      </c>
      <c r="C151" s="479">
        <v>1</v>
      </c>
      <c r="D151" s="1537">
        <v>5498</v>
      </c>
      <c r="E151" s="1537">
        <v>5498</v>
      </c>
      <c r="F151" s="478" t="s">
        <v>1265</v>
      </c>
      <c r="G151" s="3128" t="s">
        <v>729</v>
      </c>
      <c r="H151" s="478"/>
      <c r="I151" s="2461" t="s">
        <v>2426</v>
      </c>
      <c r="J151" s="19" t="s">
        <v>1905</v>
      </c>
    </row>
    <row r="152" spans="1:10">
      <c r="A152" s="479">
        <v>148</v>
      </c>
      <c r="B152" s="478" t="s">
        <v>1853</v>
      </c>
      <c r="C152" s="479">
        <v>6</v>
      </c>
      <c r="D152" s="1537">
        <v>8990</v>
      </c>
      <c r="E152" s="1537">
        <v>53940</v>
      </c>
      <c r="F152" s="478" t="s">
        <v>961</v>
      </c>
      <c r="G152" s="3128" t="s">
        <v>729</v>
      </c>
      <c r="H152" s="478"/>
      <c r="I152" s="2461" t="s">
        <v>2427</v>
      </c>
      <c r="J152" s="19" t="s">
        <v>1905</v>
      </c>
    </row>
    <row r="153" spans="1:10">
      <c r="A153" s="479">
        <v>149</v>
      </c>
      <c r="B153" s="478" t="s">
        <v>474</v>
      </c>
      <c r="C153" s="479">
        <v>1</v>
      </c>
      <c r="D153" s="1537">
        <v>2354</v>
      </c>
      <c r="E153" s="1537">
        <v>2354</v>
      </c>
      <c r="F153" s="478" t="s">
        <v>743</v>
      </c>
      <c r="G153" s="3128" t="s">
        <v>729</v>
      </c>
      <c r="H153" s="478"/>
      <c r="I153" s="2461" t="s">
        <v>2429</v>
      </c>
      <c r="J153" s="19" t="s">
        <v>1905</v>
      </c>
    </row>
    <row r="154" spans="1:10">
      <c r="A154" s="479">
        <v>150</v>
      </c>
      <c r="B154" s="478" t="s">
        <v>1855</v>
      </c>
      <c r="C154" s="479">
        <v>5</v>
      </c>
      <c r="D154" s="1537">
        <v>4690</v>
      </c>
      <c r="E154" s="1537">
        <v>23450</v>
      </c>
      <c r="F154" s="478" t="s">
        <v>1901</v>
      </c>
      <c r="G154" s="3128" t="s">
        <v>729</v>
      </c>
      <c r="H154" s="478"/>
      <c r="I154" s="2461" t="s">
        <v>2430</v>
      </c>
      <c r="J154" s="19" t="s">
        <v>1905</v>
      </c>
    </row>
    <row r="155" spans="1:10">
      <c r="A155" s="479">
        <v>151</v>
      </c>
      <c r="B155" s="478" t="s">
        <v>1856</v>
      </c>
      <c r="C155" s="479">
        <v>1</v>
      </c>
      <c r="D155" s="1537">
        <v>32500</v>
      </c>
      <c r="E155" s="1537">
        <v>32500</v>
      </c>
      <c r="F155" s="478" t="s">
        <v>471</v>
      </c>
      <c r="G155" s="3128" t="s">
        <v>729</v>
      </c>
      <c r="H155" s="478"/>
      <c r="I155" s="2461" t="s">
        <v>2431</v>
      </c>
      <c r="J155" s="19" t="s">
        <v>1905</v>
      </c>
    </row>
    <row r="156" spans="1:10">
      <c r="A156" s="479">
        <v>152</v>
      </c>
      <c r="B156" s="478" t="s">
        <v>1857</v>
      </c>
      <c r="C156" s="479">
        <v>2</v>
      </c>
      <c r="D156" s="1537">
        <v>170000</v>
      </c>
      <c r="E156" s="1537">
        <v>340000</v>
      </c>
      <c r="F156" s="478" t="s">
        <v>471</v>
      </c>
      <c r="G156" s="3128" t="s">
        <v>729</v>
      </c>
      <c r="H156" s="478"/>
      <c r="I156" s="2461" t="s">
        <v>2432</v>
      </c>
      <c r="J156" s="19" t="s">
        <v>1905</v>
      </c>
    </row>
    <row r="157" spans="1:10">
      <c r="A157" s="479">
        <v>153</v>
      </c>
      <c r="B157" s="478" t="s">
        <v>1870</v>
      </c>
      <c r="C157" s="479">
        <v>1</v>
      </c>
      <c r="D157" s="1537">
        <v>23968</v>
      </c>
      <c r="E157" s="1537">
        <v>23968</v>
      </c>
      <c r="F157" s="478" t="s">
        <v>471</v>
      </c>
      <c r="G157" s="3128" t="s">
        <v>729</v>
      </c>
      <c r="H157" s="478"/>
      <c r="I157" s="2461" t="s">
        <v>2439</v>
      </c>
      <c r="J157" s="19" t="s">
        <v>1905</v>
      </c>
    </row>
    <row r="158" spans="1:10">
      <c r="A158" s="479">
        <v>154</v>
      </c>
      <c r="B158" s="478" t="s">
        <v>2478</v>
      </c>
      <c r="C158" s="479">
        <v>2</v>
      </c>
      <c r="D158" s="1537">
        <v>7600</v>
      </c>
      <c r="E158" s="1537">
        <v>15200</v>
      </c>
      <c r="F158" s="478" t="s">
        <v>1629</v>
      </c>
      <c r="G158" s="3128" t="s">
        <v>729</v>
      </c>
      <c r="H158" s="478"/>
      <c r="I158" s="2461" t="s">
        <v>2440</v>
      </c>
      <c r="J158" s="19" t="s">
        <v>1905</v>
      </c>
    </row>
    <row r="159" spans="1:10">
      <c r="A159" s="479">
        <v>155</v>
      </c>
      <c r="B159" s="478" t="s">
        <v>473</v>
      </c>
      <c r="C159" s="479">
        <v>2</v>
      </c>
      <c r="D159" s="1537">
        <v>3400</v>
      </c>
      <c r="E159" s="1537">
        <v>6800</v>
      </c>
      <c r="F159" s="478" t="s">
        <v>1629</v>
      </c>
      <c r="G159" s="3128" t="s">
        <v>729</v>
      </c>
      <c r="H159" s="478"/>
      <c r="I159" s="2461" t="s">
        <v>2440</v>
      </c>
      <c r="J159" s="19" t="s">
        <v>1905</v>
      </c>
    </row>
    <row r="160" spans="1:10">
      <c r="A160" s="479">
        <v>156</v>
      </c>
      <c r="B160" s="478" t="s">
        <v>1924</v>
      </c>
      <c r="C160" s="479">
        <v>2</v>
      </c>
      <c r="D160" s="1537">
        <v>2990</v>
      </c>
      <c r="E160" s="1537">
        <v>5980</v>
      </c>
      <c r="F160" s="478" t="s">
        <v>1629</v>
      </c>
      <c r="G160" s="3128" t="s">
        <v>729</v>
      </c>
      <c r="H160" s="478"/>
      <c r="I160" s="2461" t="s">
        <v>2440</v>
      </c>
      <c r="J160" s="19" t="s">
        <v>1905</v>
      </c>
    </row>
    <row r="161" spans="1:10">
      <c r="A161" s="479">
        <v>157</v>
      </c>
      <c r="B161" s="478" t="s">
        <v>474</v>
      </c>
      <c r="C161" s="479">
        <v>1</v>
      </c>
      <c r="D161" s="1537">
        <v>2354</v>
      </c>
      <c r="E161" s="1537">
        <v>2354</v>
      </c>
      <c r="F161" s="478" t="s">
        <v>416</v>
      </c>
      <c r="G161" s="3128" t="s">
        <v>729</v>
      </c>
      <c r="H161" s="478"/>
      <c r="I161" s="2461" t="s">
        <v>2441</v>
      </c>
      <c r="J161" s="19" t="s">
        <v>1905</v>
      </c>
    </row>
    <row r="162" spans="1:10">
      <c r="A162" s="479">
        <v>158</v>
      </c>
      <c r="B162" s="478" t="s">
        <v>1999</v>
      </c>
      <c r="C162" s="479">
        <v>1</v>
      </c>
      <c r="D162" s="1537">
        <v>4990</v>
      </c>
      <c r="E162" s="1537">
        <f>C162*D162</f>
        <v>4990</v>
      </c>
      <c r="F162" s="478" t="s">
        <v>1265</v>
      </c>
      <c r="G162" s="3128" t="s">
        <v>729</v>
      </c>
      <c r="H162" s="478"/>
      <c r="I162" s="2461" t="s">
        <v>2457</v>
      </c>
      <c r="J162" s="19" t="s">
        <v>1905</v>
      </c>
    </row>
    <row r="163" spans="1:10">
      <c r="A163" s="479">
        <v>159</v>
      </c>
      <c r="B163" s="478" t="s">
        <v>2000</v>
      </c>
      <c r="C163" s="479">
        <v>1</v>
      </c>
      <c r="D163" s="1537">
        <v>53200</v>
      </c>
      <c r="E163" s="1537">
        <f>C163*D163</f>
        <v>53200</v>
      </c>
      <c r="F163" s="478" t="s">
        <v>614</v>
      </c>
      <c r="G163" s="3128" t="s">
        <v>729</v>
      </c>
      <c r="H163" s="478"/>
      <c r="I163" s="2461" t="s">
        <v>2458</v>
      </c>
      <c r="J163" s="19" t="s">
        <v>1905</v>
      </c>
    </row>
    <row r="164" spans="1:10">
      <c r="A164" s="479">
        <v>160</v>
      </c>
      <c r="B164" s="478" t="s">
        <v>1806</v>
      </c>
      <c r="C164" s="479">
        <v>1</v>
      </c>
      <c r="D164" s="1537">
        <v>45600</v>
      </c>
      <c r="E164" s="1537">
        <f>C164*D164</f>
        <v>45600</v>
      </c>
      <c r="F164" s="478" t="s">
        <v>2007</v>
      </c>
      <c r="G164" s="3128" t="s">
        <v>729</v>
      </c>
      <c r="H164" s="478"/>
      <c r="I164" s="2461" t="s">
        <v>2461</v>
      </c>
      <c r="J164" s="19" t="s">
        <v>1905</v>
      </c>
    </row>
    <row r="165" spans="1:10">
      <c r="A165" s="479">
        <v>161</v>
      </c>
      <c r="B165" s="478" t="s">
        <v>1806</v>
      </c>
      <c r="C165" s="479">
        <v>1</v>
      </c>
      <c r="D165" s="1537">
        <v>45600</v>
      </c>
      <c r="E165" s="1537">
        <f>C165*D165</f>
        <v>45600</v>
      </c>
      <c r="F165" s="478" t="s">
        <v>471</v>
      </c>
      <c r="G165" s="3128" t="s">
        <v>729</v>
      </c>
      <c r="H165" s="478"/>
      <c r="I165" s="2461" t="s">
        <v>2463</v>
      </c>
      <c r="J165" s="19" t="s">
        <v>1905</v>
      </c>
    </row>
    <row r="166" spans="1:10">
      <c r="A166" s="479">
        <v>162</v>
      </c>
      <c r="B166" s="478" t="s">
        <v>2040</v>
      </c>
      <c r="C166" s="479">
        <v>1</v>
      </c>
      <c r="D166" s="1537">
        <v>4900</v>
      </c>
      <c r="E166" s="1537">
        <f t="shared" ref="E166:E175" si="5">+C166*D166</f>
        <v>4900</v>
      </c>
      <c r="F166" s="478" t="s">
        <v>614</v>
      </c>
      <c r="G166" s="3128" t="s">
        <v>729</v>
      </c>
      <c r="H166" s="478"/>
      <c r="I166" s="2461" t="s">
        <v>2153</v>
      </c>
      <c r="J166" s="19" t="s">
        <v>490</v>
      </c>
    </row>
    <row r="167" spans="1:10">
      <c r="A167" s="479">
        <v>163</v>
      </c>
      <c r="B167" s="478" t="s">
        <v>473</v>
      </c>
      <c r="C167" s="479">
        <v>100</v>
      </c>
      <c r="D167" s="1537">
        <v>2290</v>
      </c>
      <c r="E167" s="1537">
        <f t="shared" si="5"/>
        <v>229000</v>
      </c>
      <c r="F167" s="478" t="s">
        <v>471</v>
      </c>
      <c r="G167" s="3128" t="s">
        <v>729</v>
      </c>
      <c r="H167" s="478"/>
      <c r="I167" s="2461" t="s">
        <v>2156</v>
      </c>
      <c r="J167" s="19" t="s">
        <v>490</v>
      </c>
    </row>
    <row r="168" spans="1:10">
      <c r="A168" s="479">
        <v>164</v>
      </c>
      <c r="B168" s="478" t="s">
        <v>474</v>
      </c>
      <c r="C168" s="479">
        <v>2</v>
      </c>
      <c r="D168" s="1537">
        <v>2354</v>
      </c>
      <c r="E168" s="1537">
        <f t="shared" si="5"/>
        <v>4708</v>
      </c>
      <c r="F168" s="478" t="s">
        <v>2007</v>
      </c>
      <c r="G168" s="3128" t="s">
        <v>729</v>
      </c>
      <c r="H168" s="478"/>
      <c r="I168" s="2461" t="s">
        <v>2157</v>
      </c>
      <c r="J168" s="19" t="s">
        <v>490</v>
      </c>
    </row>
    <row r="169" spans="1:10">
      <c r="A169" s="479">
        <v>165</v>
      </c>
      <c r="B169" s="478" t="s">
        <v>918</v>
      </c>
      <c r="C169" s="479">
        <v>1</v>
      </c>
      <c r="D169" s="1537">
        <v>1808.3</v>
      </c>
      <c r="E169" s="1537">
        <f t="shared" si="5"/>
        <v>1808.3</v>
      </c>
      <c r="F169" s="478" t="s">
        <v>743</v>
      </c>
      <c r="G169" s="3128" t="s">
        <v>729</v>
      </c>
      <c r="H169" s="478"/>
      <c r="I169" s="2461" t="s">
        <v>2158</v>
      </c>
      <c r="J169" s="19" t="s">
        <v>490</v>
      </c>
    </row>
    <row r="170" spans="1:10">
      <c r="A170" s="479">
        <v>166</v>
      </c>
      <c r="B170" s="478" t="s">
        <v>474</v>
      </c>
      <c r="C170" s="479">
        <v>1</v>
      </c>
      <c r="D170" s="1537">
        <v>2354</v>
      </c>
      <c r="E170" s="1537">
        <f t="shared" si="5"/>
        <v>2354</v>
      </c>
      <c r="F170" s="478" t="s">
        <v>2296</v>
      </c>
      <c r="G170" s="3128" t="s">
        <v>729</v>
      </c>
      <c r="H170" s="478"/>
      <c r="I170" s="2461" t="s">
        <v>2159</v>
      </c>
      <c r="J170" s="19" t="s">
        <v>490</v>
      </c>
    </row>
    <row r="171" spans="1:10">
      <c r="A171" s="479">
        <v>167</v>
      </c>
      <c r="B171" s="478" t="s">
        <v>2049</v>
      </c>
      <c r="C171" s="479">
        <v>4</v>
      </c>
      <c r="D171" s="1537">
        <v>2690</v>
      </c>
      <c r="E171" s="1537">
        <f t="shared" si="5"/>
        <v>10760</v>
      </c>
      <c r="F171" s="478" t="s">
        <v>1436</v>
      </c>
      <c r="G171" s="3128" t="s">
        <v>729</v>
      </c>
      <c r="H171" s="478"/>
      <c r="I171" s="2461" t="s">
        <v>2166</v>
      </c>
      <c r="J171" s="19" t="s">
        <v>490</v>
      </c>
    </row>
    <row r="172" spans="1:10">
      <c r="A172" s="479">
        <v>168</v>
      </c>
      <c r="B172" s="478" t="s">
        <v>2050</v>
      </c>
      <c r="C172" s="479">
        <v>1</v>
      </c>
      <c r="D172" s="1537">
        <v>20900</v>
      </c>
      <c r="E172" s="1537">
        <f t="shared" si="5"/>
        <v>20900</v>
      </c>
      <c r="F172" s="478" t="s">
        <v>1436</v>
      </c>
      <c r="G172" s="3128" t="s">
        <v>729</v>
      </c>
      <c r="H172" s="478"/>
      <c r="I172" s="2461" t="s">
        <v>2166</v>
      </c>
      <c r="J172" s="19" t="s">
        <v>490</v>
      </c>
    </row>
    <row r="173" spans="1:10">
      <c r="A173" s="479">
        <v>169</v>
      </c>
      <c r="B173" s="478" t="s">
        <v>2051</v>
      </c>
      <c r="C173" s="479">
        <v>4</v>
      </c>
      <c r="D173" s="1537">
        <v>7500</v>
      </c>
      <c r="E173" s="1537">
        <f t="shared" si="5"/>
        <v>30000</v>
      </c>
      <c r="F173" s="478" t="s">
        <v>1436</v>
      </c>
      <c r="G173" s="3128" t="s">
        <v>729</v>
      </c>
      <c r="H173" s="478"/>
      <c r="I173" s="2461" t="s">
        <v>2166</v>
      </c>
      <c r="J173" s="19" t="s">
        <v>490</v>
      </c>
    </row>
    <row r="174" spans="1:10">
      <c r="A174" s="479">
        <v>170</v>
      </c>
      <c r="B174" s="478" t="s">
        <v>2052</v>
      </c>
      <c r="C174" s="479">
        <v>4</v>
      </c>
      <c r="D174" s="1537">
        <v>9900</v>
      </c>
      <c r="E174" s="1537">
        <f t="shared" si="5"/>
        <v>39600</v>
      </c>
      <c r="F174" s="478" t="s">
        <v>1436</v>
      </c>
      <c r="G174" s="3128" t="s">
        <v>729</v>
      </c>
      <c r="H174" s="478"/>
      <c r="I174" s="2461" t="s">
        <v>2166</v>
      </c>
      <c r="J174" s="19" t="s">
        <v>490</v>
      </c>
    </row>
    <row r="175" spans="1:10">
      <c r="A175" s="479">
        <v>171</v>
      </c>
      <c r="B175" s="478" t="s">
        <v>2054</v>
      </c>
      <c r="C175" s="479">
        <v>2</v>
      </c>
      <c r="D175" s="1537">
        <v>6289.5</v>
      </c>
      <c r="E175" s="1537">
        <f t="shared" si="5"/>
        <v>12579</v>
      </c>
      <c r="F175" s="478" t="s">
        <v>471</v>
      </c>
      <c r="G175" s="3128" t="s">
        <v>729</v>
      </c>
      <c r="H175" s="478"/>
      <c r="I175" s="2461" t="s">
        <v>2168</v>
      </c>
      <c r="J175" s="19" t="s">
        <v>490</v>
      </c>
    </row>
    <row r="176" spans="1:10">
      <c r="A176" s="479">
        <v>172</v>
      </c>
      <c r="B176" s="478" t="s">
        <v>2057</v>
      </c>
      <c r="C176" s="479">
        <v>3</v>
      </c>
      <c r="D176" s="1537">
        <v>3400</v>
      </c>
      <c r="E176" s="2466"/>
      <c r="F176" s="478" t="s">
        <v>2300</v>
      </c>
      <c r="G176" s="3128" t="s">
        <v>729</v>
      </c>
      <c r="H176" s="478"/>
      <c r="I176" s="2461" t="s">
        <v>2171</v>
      </c>
      <c r="J176" s="19" t="s">
        <v>490</v>
      </c>
    </row>
    <row r="177" spans="1:10">
      <c r="A177" s="479">
        <v>173</v>
      </c>
      <c r="B177" s="478" t="s">
        <v>2061</v>
      </c>
      <c r="C177" s="479">
        <v>1</v>
      </c>
      <c r="D177" s="1537">
        <v>4900</v>
      </c>
      <c r="E177" s="1537">
        <f t="shared" ref="E177:E211" si="6">C177*D177</f>
        <v>4900</v>
      </c>
      <c r="F177" s="478" t="s">
        <v>1278</v>
      </c>
      <c r="G177" s="3128" t="s">
        <v>729</v>
      </c>
      <c r="H177" s="478"/>
      <c r="I177" s="2462" t="s">
        <v>2175</v>
      </c>
      <c r="J177" s="19" t="s">
        <v>490</v>
      </c>
    </row>
    <row r="178" spans="1:10">
      <c r="A178" s="479">
        <v>174</v>
      </c>
      <c r="B178" s="478" t="s">
        <v>474</v>
      </c>
      <c r="C178" s="479">
        <v>1</v>
      </c>
      <c r="D178" s="1537">
        <v>2354</v>
      </c>
      <c r="E178" s="1537">
        <f t="shared" si="6"/>
        <v>2354</v>
      </c>
      <c r="F178" s="478" t="s">
        <v>2302</v>
      </c>
      <c r="G178" s="3128" t="s">
        <v>729</v>
      </c>
      <c r="H178" s="478"/>
      <c r="I178" s="2462" t="s">
        <v>2176</v>
      </c>
      <c r="J178" s="19" t="s">
        <v>490</v>
      </c>
    </row>
    <row r="179" spans="1:10">
      <c r="A179" s="479">
        <v>175</v>
      </c>
      <c r="B179" s="478" t="s">
        <v>893</v>
      </c>
      <c r="C179" s="479">
        <v>1</v>
      </c>
      <c r="D179" s="1537">
        <v>11663</v>
      </c>
      <c r="E179" s="1537">
        <f t="shared" si="6"/>
        <v>11663</v>
      </c>
      <c r="F179" s="478" t="s">
        <v>2335</v>
      </c>
      <c r="G179" s="3128" t="s">
        <v>729</v>
      </c>
      <c r="H179" s="478"/>
      <c r="I179" s="2462" t="s">
        <v>2177</v>
      </c>
      <c r="J179" s="19" t="s">
        <v>490</v>
      </c>
    </row>
    <row r="180" spans="1:10">
      <c r="A180" s="479">
        <v>176</v>
      </c>
      <c r="B180" s="478" t="s">
        <v>2062</v>
      </c>
      <c r="C180" s="479">
        <v>1</v>
      </c>
      <c r="D180" s="1537">
        <v>72760</v>
      </c>
      <c r="E180" s="1537">
        <f t="shared" si="6"/>
        <v>72760</v>
      </c>
      <c r="F180" s="478" t="s">
        <v>2303</v>
      </c>
      <c r="G180" s="3128" t="s">
        <v>729</v>
      </c>
      <c r="H180" s="478"/>
      <c r="I180" s="2462" t="s">
        <v>2179</v>
      </c>
      <c r="J180" s="19" t="s">
        <v>490</v>
      </c>
    </row>
    <row r="181" spans="1:10">
      <c r="A181" s="479">
        <v>177</v>
      </c>
      <c r="B181" s="478" t="s">
        <v>2063</v>
      </c>
      <c r="C181" s="479">
        <v>1</v>
      </c>
      <c r="D181" s="1537">
        <v>3500</v>
      </c>
      <c r="E181" s="1537">
        <f t="shared" si="6"/>
        <v>3500</v>
      </c>
      <c r="F181" s="478" t="s">
        <v>422</v>
      </c>
      <c r="G181" s="3128" t="s">
        <v>729</v>
      </c>
      <c r="H181" s="478"/>
      <c r="I181" s="2462" t="s">
        <v>2180</v>
      </c>
      <c r="J181" s="19" t="s">
        <v>490</v>
      </c>
    </row>
    <row r="182" spans="1:10">
      <c r="A182" s="479">
        <v>178</v>
      </c>
      <c r="B182" s="478" t="s">
        <v>2064</v>
      </c>
      <c r="C182" s="479">
        <v>1</v>
      </c>
      <c r="D182" s="1537">
        <v>110490</v>
      </c>
      <c r="E182" s="1537">
        <f t="shared" si="6"/>
        <v>110490</v>
      </c>
      <c r="F182" s="478" t="s">
        <v>2305</v>
      </c>
      <c r="G182" s="3128" t="s">
        <v>729</v>
      </c>
      <c r="H182" s="478"/>
      <c r="I182" s="2461" t="s">
        <v>2182</v>
      </c>
      <c r="J182" s="19" t="s">
        <v>490</v>
      </c>
    </row>
    <row r="183" spans="1:10">
      <c r="A183" s="479">
        <v>179</v>
      </c>
      <c r="B183" s="478" t="s">
        <v>2067</v>
      </c>
      <c r="C183" s="479">
        <v>10</v>
      </c>
      <c r="D183" s="1537">
        <v>45600</v>
      </c>
      <c r="E183" s="1537">
        <f t="shared" si="6"/>
        <v>456000</v>
      </c>
      <c r="F183" s="478" t="s">
        <v>888</v>
      </c>
      <c r="G183" s="3128" t="s">
        <v>729</v>
      </c>
      <c r="H183" s="478"/>
      <c r="I183" s="2461" t="s">
        <v>2185</v>
      </c>
      <c r="J183" s="19" t="s">
        <v>490</v>
      </c>
    </row>
    <row r="184" spans="1:10">
      <c r="A184" s="479">
        <v>180</v>
      </c>
      <c r="B184" s="603" t="s">
        <v>473</v>
      </c>
      <c r="C184" s="479">
        <v>4</v>
      </c>
      <c r="D184" s="1537">
        <v>3400</v>
      </c>
      <c r="E184" s="1537">
        <f t="shared" si="6"/>
        <v>13600</v>
      </c>
      <c r="F184" s="478" t="s">
        <v>2307</v>
      </c>
      <c r="G184" s="3128" t="s">
        <v>729</v>
      </c>
      <c r="H184" s="478"/>
      <c r="I184" s="2461" t="s">
        <v>2187</v>
      </c>
      <c r="J184" s="19" t="s">
        <v>490</v>
      </c>
    </row>
    <row r="185" spans="1:10">
      <c r="A185" s="479">
        <v>181</v>
      </c>
      <c r="B185" s="478" t="s">
        <v>2069</v>
      </c>
      <c r="C185" s="479">
        <v>1</v>
      </c>
      <c r="D185" s="1537">
        <v>7600</v>
      </c>
      <c r="E185" s="1537">
        <f t="shared" si="6"/>
        <v>7600</v>
      </c>
      <c r="F185" s="478" t="s">
        <v>584</v>
      </c>
      <c r="G185" s="3128" t="s">
        <v>729</v>
      </c>
      <c r="H185" s="478"/>
      <c r="I185" s="2461" t="s">
        <v>2188</v>
      </c>
      <c r="J185" s="19" t="s">
        <v>490</v>
      </c>
    </row>
    <row r="186" spans="1:10">
      <c r="A186" s="479">
        <v>182</v>
      </c>
      <c r="B186" s="478" t="s">
        <v>473</v>
      </c>
      <c r="C186" s="479">
        <v>1</v>
      </c>
      <c r="D186" s="1537">
        <v>4500</v>
      </c>
      <c r="E186" s="1537">
        <f t="shared" si="6"/>
        <v>4500</v>
      </c>
      <c r="F186" s="478" t="s">
        <v>584</v>
      </c>
      <c r="G186" s="3128" t="s">
        <v>729</v>
      </c>
      <c r="H186" s="478"/>
      <c r="I186" s="2461" t="s">
        <v>2188</v>
      </c>
      <c r="J186" s="19" t="s">
        <v>490</v>
      </c>
    </row>
    <row r="187" spans="1:10">
      <c r="A187" s="479">
        <v>183</v>
      </c>
      <c r="B187" s="478" t="s">
        <v>2070</v>
      </c>
      <c r="C187" s="479">
        <v>1</v>
      </c>
      <c r="D187" s="1537">
        <v>2990</v>
      </c>
      <c r="E187" s="1537">
        <f t="shared" si="6"/>
        <v>2990</v>
      </c>
      <c r="F187" s="478" t="s">
        <v>584</v>
      </c>
      <c r="G187" s="3128" t="s">
        <v>729</v>
      </c>
      <c r="H187" s="478"/>
      <c r="I187" s="2461" t="s">
        <v>2188</v>
      </c>
      <c r="J187" s="19" t="s">
        <v>490</v>
      </c>
    </row>
    <row r="188" spans="1:10">
      <c r="A188" s="479">
        <v>184</v>
      </c>
      <c r="B188" s="478" t="s">
        <v>2074</v>
      </c>
      <c r="C188" s="479">
        <v>2</v>
      </c>
      <c r="D188" s="1537">
        <v>6800</v>
      </c>
      <c r="E188" s="1537">
        <f t="shared" si="6"/>
        <v>13600</v>
      </c>
      <c r="F188" s="478" t="s">
        <v>472</v>
      </c>
      <c r="G188" s="3128" t="s">
        <v>729</v>
      </c>
      <c r="H188" s="478"/>
      <c r="I188" s="2461" t="s">
        <v>2192</v>
      </c>
      <c r="J188" s="19" t="s">
        <v>490</v>
      </c>
    </row>
    <row r="189" spans="1:10">
      <c r="A189" s="479">
        <v>185</v>
      </c>
      <c r="B189" s="478" t="s">
        <v>2492</v>
      </c>
      <c r="C189" s="479">
        <v>3</v>
      </c>
      <c r="D189" s="1537">
        <v>3000</v>
      </c>
      <c r="E189" s="1537">
        <f t="shared" si="6"/>
        <v>9000</v>
      </c>
      <c r="F189" s="478" t="s">
        <v>472</v>
      </c>
      <c r="G189" s="3128" t="s">
        <v>729</v>
      </c>
      <c r="H189" s="478"/>
      <c r="I189" s="2461" t="s">
        <v>2192</v>
      </c>
      <c r="J189" s="19" t="s">
        <v>490</v>
      </c>
    </row>
    <row r="190" spans="1:10">
      <c r="A190" s="479">
        <v>186</v>
      </c>
      <c r="B190" s="478" t="s">
        <v>2075</v>
      </c>
      <c r="C190" s="479">
        <v>1</v>
      </c>
      <c r="D190" s="1537">
        <v>6400</v>
      </c>
      <c r="E190" s="1537">
        <f t="shared" si="6"/>
        <v>6400</v>
      </c>
      <c r="F190" s="478" t="s">
        <v>472</v>
      </c>
      <c r="G190" s="3128" t="s">
        <v>729</v>
      </c>
      <c r="H190" s="478"/>
      <c r="I190" s="2461" t="s">
        <v>2192</v>
      </c>
      <c r="J190" s="19" t="s">
        <v>490</v>
      </c>
    </row>
    <row r="191" spans="1:10">
      <c r="A191" s="479">
        <v>187</v>
      </c>
      <c r="B191" s="603" t="s">
        <v>1290</v>
      </c>
      <c r="C191" s="479">
        <v>1</v>
      </c>
      <c r="D191" s="1537">
        <v>3400</v>
      </c>
      <c r="E191" s="1537">
        <f t="shared" si="6"/>
        <v>3400</v>
      </c>
      <c r="F191" s="478" t="s">
        <v>949</v>
      </c>
      <c r="G191" s="3128" t="s">
        <v>729</v>
      </c>
      <c r="H191" s="478"/>
      <c r="I191" s="2461" t="s">
        <v>2193</v>
      </c>
      <c r="J191" s="19" t="s">
        <v>490</v>
      </c>
    </row>
    <row r="192" spans="1:10">
      <c r="A192" s="479">
        <v>188</v>
      </c>
      <c r="B192" s="478" t="s">
        <v>2076</v>
      </c>
      <c r="C192" s="479">
        <v>1</v>
      </c>
      <c r="D192" s="1537">
        <v>4050</v>
      </c>
      <c r="E192" s="1537">
        <f t="shared" si="6"/>
        <v>4050</v>
      </c>
      <c r="F192" s="478" t="s">
        <v>2334</v>
      </c>
      <c r="G192" s="3128" t="s">
        <v>729</v>
      </c>
      <c r="H192" s="478"/>
      <c r="I192" s="2461" t="s">
        <v>2195</v>
      </c>
      <c r="J192" s="19" t="s">
        <v>490</v>
      </c>
    </row>
    <row r="193" spans="1:10">
      <c r="A193" s="479">
        <v>189</v>
      </c>
      <c r="B193" s="478" t="s">
        <v>474</v>
      </c>
      <c r="C193" s="479">
        <v>2</v>
      </c>
      <c r="D193" s="1537">
        <v>2354</v>
      </c>
      <c r="E193" s="1537">
        <f t="shared" si="6"/>
        <v>4708</v>
      </c>
      <c r="F193" s="478" t="s">
        <v>2309</v>
      </c>
      <c r="G193" s="3128" t="s">
        <v>729</v>
      </c>
      <c r="H193" s="478"/>
      <c r="I193" s="2461" t="s">
        <v>2199</v>
      </c>
      <c r="J193" s="19" t="s">
        <v>490</v>
      </c>
    </row>
    <row r="194" spans="1:10">
      <c r="A194" s="479">
        <v>190</v>
      </c>
      <c r="B194" s="478" t="s">
        <v>2081</v>
      </c>
      <c r="C194" s="479">
        <v>1</v>
      </c>
      <c r="D194" s="1537">
        <v>39630</v>
      </c>
      <c r="E194" s="1537">
        <f t="shared" si="6"/>
        <v>39630</v>
      </c>
      <c r="F194" s="478" t="s">
        <v>2310</v>
      </c>
      <c r="G194" s="3128" t="s">
        <v>729</v>
      </c>
      <c r="H194" s="478"/>
      <c r="I194" s="2461" t="s">
        <v>2200</v>
      </c>
      <c r="J194" s="19" t="s">
        <v>490</v>
      </c>
    </row>
    <row r="195" spans="1:10">
      <c r="A195" s="479">
        <v>191</v>
      </c>
      <c r="B195" s="478" t="s">
        <v>917</v>
      </c>
      <c r="C195" s="479">
        <v>2</v>
      </c>
      <c r="D195" s="1537">
        <v>2354</v>
      </c>
      <c r="E195" s="1537">
        <f t="shared" si="6"/>
        <v>4708</v>
      </c>
      <c r="F195" s="478" t="s">
        <v>614</v>
      </c>
      <c r="G195" s="3128" t="s">
        <v>729</v>
      </c>
      <c r="H195" s="478"/>
      <c r="I195" s="2461" t="s">
        <v>2201</v>
      </c>
      <c r="J195" s="19" t="s">
        <v>490</v>
      </c>
    </row>
    <row r="196" spans="1:10">
      <c r="A196" s="479">
        <v>192</v>
      </c>
      <c r="B196" s="478" t="s">
        <v>2083</v>
      </c>
      <c r="C196" s="479">
        <v>1</v>
      </c>
      <c r="D196" s="1537">
        <v>5039</v>
      </c>
      <c r="E196" s="1537">
        <f t="shared" si="6"/>
        <v>5039</v>
      </c>
      <c r="F196" s="478" t="s">
        <v>2311</v>
      </c>
      <c r="G196" s="3128" t="s">
        <v>729</v>
      </c>
      <c r="H196" s="478"/>
      <c r="I196" s="2461" t="s">
        <v>2203</v>
      </c>
      <c r="J196" s="19" t="s">
        <v>490</v>
      </c>
    </row>
    <row r="197" spans="1:10">
      <c r="A197" s="479">
        <v>193</v>
      </c>
      <c r="B197" s="478" t="s">
        <v>473</v>
      </c>
      <c r="C197" s="479">
        <v>2</v>
      </c>
      <c r="D197" s="1537">
        <v>540</v>
      </c>
      <c r="E197" s="1537">
        <f t="shared" si="6"/>
        <v>1080</v>
      </c>
      <c r="F197" s="478" t="s">
        <v>1278</v>
      </c>
      <c r="G197" s="3128" t="s">
        <v>729</v>
      </c>
      <c r="H197" s="478"/>
      <c r="I197" s="2461" t="s">
        <v>2204</v>
      </c>
      <c r="J197" s="19" t="s">
        <v>490</v>
      </c>
    </row>
    <row r="198" spans="1:10">
      <c r="A198" s="479">
        <v>194</v>
      </c>
      <c r="B198" s="478" t="s">
        <v>2067</v>
      </c>
      <c r="C198" s="479">
        <v>2</v>
      </c>
      <c r="D198" s="1537">
        <v>45600</v>
      </c>
      <c r="E198" s="1537">
        <f t="shared" si="6"/>
        <v>91200</v>
      </c>
      <c r="F198" s="478" t="s">
        <v>956</v>
      </c>
      <c r="G198" s="3128" t="s">
        <v>729</v>
      </c>
      <c r="H198" s="478"/>
      <c r="I198" s="2461" t="s">
        <v>2211</v>
      </c>
      <c r="J198" s="19" t="s">
        <v>490</v>
      </c>
    </row>
    <row r="199" spans="1:10">
      <c r="A199" s="479">
        <v>195</v>
      </c>
      <c r="B199" s="478" t="s">
        <v>2087</v>
      </c>
      <c r="C199" s="479">
        <v>1</v>
      </c>
      <c r="D199" s="1537">
        <v>8990</v>
      </c>
      <c r="E199" s="1537">
        <f t="shared" si="6"/>
        <v>8990</v>
      </c>
      <c r="F199" s="478" t="s">
        <v>2333</v>
      </c>
      <c r="G199" s="3128" t="s">
        <v>729</v>
      </c>
      <c r="H199" s="478"/>
      <c r="I199" s="2461" t="s">
        <v>2212</v>
      </c>
      <c r="J199" s="19" t="s">
        <v>490</v>
      </c>
    </row>
    <row r="200" spans="1:10">
      <c r="A200" s="479">
        <v>196</v>
      </c>
      <c r="B200" s="478" t="s">
        <v>501</v>
      </c>
      <c r="C200" s="479">
        <v>1</v>
      </c>
      <c r="D200" s="1537">
        <v>6200</v>
      </c>
      <c r="E200" s="1537">
        <f t="shared" si="6"/>
        <v>6200</v>
      </c>
      <c r="F200" s="478" t="s">
        <v>1278</v>
      </c>
      <c r="G200" s="3128" t="s">
        <v>729</v>
      </c>
      <c r="H200" s="478"/>
      <c r="I200" s="2461" t="s">
        <v>2207</v>
      </c>
      <c r="J200" s="19" t="s">
        <v>490</v>
      </c>
    </row>
    <row r="201" spans="1:10">
      <c r="A201" s="479">
        <v>197</v>
      </c>
      <c r="B201" s="478" t="s">
        <v>469</v>
      </c>
      <c r="C201" s="479">
        <v>4</v>
      </c>
      <c r="D201" s="1537">
        <v>2305.85</v>
      </c>
      <c r="E201" s="1537">
        <f t="shared" si="6"/>
        <v>9223.4</v>
      </c>
      <c r="F201" s="478" t="s">
        <v>2313</v>
      </c>
      <c r="G201" s="3128" t="s">
        <v>729</v>
      </c>
      <c r="H201" s="478"/>
      <c r="I201" s="2461" t="s">
        <v>2215</v>
      </c>
      <c r="J201" s="19" t="s">
        <v>490</v>
      </c>
    </row>
    <row r="202" spans="1:10">
      <c r="A202" s="479">
        <v>198</v>
      </c>
      <c r="B202" s="478" t="s">
        <v>2097</v>
      </c>
      <c r="C202" s="479">
        <v>1</v>
      </c>
      <c r="D202" s="1537">
        <v>15000</v>
      </c>
      <c r="E202" s="1537">
        <f t="shared" si="6"/>
        <v>15000</v>
      </c>
      <c r="F202" s="478" t="s">
        <v>1436</v>
      </c>
      <c r="G202" s="3128" t="s">
        <v>729</v>
      </c>
      <c r="H202" s="478"/>
      <c r="I202" s="2461" t="s">
        <v>2224</v>
      </c>
      <c r="J202" s="19" t="s">
        <v>490</v>
      </c>
    </row>
    <row r="203" spans="1:10">
      <c r="A203" s="479">
        <v>199</v>
      </c>
      <c r="B203" s="478" t="s">
        <v>2098</v>
      </c>
      <c r="C203" s="479">
        <v>1</v>
      </c>
      <c r="D203" s="1537">
        <v>2750</v>
      </c>
      <c r="E203" s="1537">
        <f t="shared" si="6"/>
        <v>2750</v>
      </c>
      <c r="F203" s="478" t="s">
        <v>1436</v>
      </c>
      <c r="G203" s="3128" t="s">
        <v>729</v>
      </c>
      <c r="H203" s="478"/>
      <c r="I203" s="2461" t="s">
        <v>2224</v>
      </c>
      <c r="J203" s="19" t="s">
        <v>490</v>
      </c>
    </row>
    <row r="204" spans="1:10">
      <c r="A204" s="479">
        <v>200</v>
      </c>
      <c r="B204" s="478" t="s">
        <v>2099</v>
      </c>
      <c r="C204" s="479">
        <v>1</v>
      </c>
      <c r="D204" s="1537">
        <v>7800</v>
      </c>
      <c r="E204" s="1537">
        <f t="shared" si="6"/>
        <v>7800</v>
      </c>
      <c r="F204" s="478" t="s">
        <v>1436</v>
      </c>
      <c r="G204" s="3128" t="s">
        <v>729</v>
      </c>
      <c r="H204" s="478"/>
      <c r="I204" s="2461" t="s">
        <v>2224</v>
      </c>
      <c r="J204" s="19" t="s">
        <v>490</v>
      </c>
    </row>
    <row r="205" spans="1:10">
      <c r="A205" s="479">
        <v>201</v>
      </c>
      <c r="B205" s="478" t="s">
        <v>919</v>
      </c>
      <c r="C205" s="479">
        <v>1</v>
      </c>
      <c r="D205" s="1537">
        <v>36200</v>
      </c>
      <c r="E205" s="1537">
        <f t="shared" si="6"/>
        <v>36200</v>
      </c>
      <c r="F205" s="478" t="s">
        <v>614</v>
      </c>
      <c r="G205" s="3128" t="s">
        <v>729</v>
      </c>
      <c r="H205" s="478"/>
      <c r="I205" s="2461" t="s">
        <v>2225</v>
      </c>
      <c r="J205" s="19" t="s">
        <v>490</v>
      </c>
    </row>
    <row r="206" spans="1:10">
      <c r="A206" s="479">
        <v>202</v>
      </c>
      <c r="B206" s="478" t="s">
        <v>2100</v>
      </c>
      <c r="C206" s="479">
        <v>1</v>
      </c>
      <c r="D206" s="1537">
        <v>19100</v>
      </c>
      <c r="E206" s="1537">
        <f t="shared" si="6"/>
        <v>19100</v>
      </c>
      <c r="F206" s="478" t="s">
        <v>2316</v>
      </c>
      <c r="G206" s="3128" t="s">
        <v>729</v>
      </c>
      <c r="H206" s="478"/>
      <c r="I206" s="2461" t="s">
        <v>2226</v>
      </c>
      <c r="J206" s="19" t="s">
        <v>490</v>
      </c>
    </row>
    <row r="207" spans="1:10">
      <c r="A207" s="479">
        <v>203</v>
      </c>
      <c r="B207" s="478" t="s">
        <v>2101</v>
      </c>
      <c r="C207" s="479">
        <v>2</v>
      </c>
      <c r="D207" s="1537">
        <v>3790</v>
      </c>
      <c r="E207" s="1537">
        <f t="shared" si="6"/>
        <v>7580</v>
      </c>
      <c r="F207" s="478" t="s">
        <v>2316</v>
      </c>
      <c r="G207" s="3128" t="s">
        <v>729</v>
      </c>
      <c r="H207" s="478"/>
      <c r="I207" s="2461" t="s">
        <v>2226</v>
      </c>
      <c r="J207" s="19" t="s">
        <v>490</v>
      </c>
    </row>
    <row r="208" spans="1:10">
      <c r="A208" s="479">
        <v>204</v>
      </c>
      <c r="B208" s="603" t="s">
        <v>473</v>
      </c>
      <c r="C208" s="479">
        <v>2</v>
      </c>
      <c r="D208" s="1537">
        <v>2300</v>
      </c>
      <c r="E208" s="1537">
        <f t="shared" si="6"/>
        <v>4600</v>
      </c>
      <c r="F208" s="478" t="s">
        <v>475</v>
      </c>
      <c r="G208" s="3128" t="s">
        <v>729</v>
      </c>
      <c r="H208" s="478"/>
      <c r="I208" s="2461" t="s">
        <v>2229</v>
      </c>
      <c r="J208" s="19" t="s">
        <v>490</v>
      </c>
    </row>
    <row r="209" spans="1:10">
      <c r="A209" s="479">
        <v>205</v>
      </c>
      <c r="B209" s="478" t="s">
        <v>2105</v>
      </c>
      <c r="C209" s="479">
        <v>1</v>
      </c>
      <c r="D209" s="1537">
        <v>12900</v>
      </c>
      <c r="E209" s="1537">
        <f t="shared" si="6"/>
        <v>12900</v>
      </c>
      <c r="F209" s="478" t="s">
        <v>1436</v>
      </c>
      <c r="G209" s="3128" t="s">
        <v>729</v>
      </c>
      <c r="H209" s="478"/>
      <c r="I209" s="2461" t="s">
        <v>2231</v>
      </c>
      <c r="J209" s="19" t="s">
        <v>490</v>
      </c>
    </row>
    <row r="210" spans="1:10">
      <c r="A210" s="479">
        <v>206</v>
      </c>
      <c r="B210" s="478" t="s">
        <v>2106</v>
      </c>
      <c r="C210" s="479">
        <v>1</v>
      </c>
      <c r="D210" s="1537">
        <v>2990</v>
      </c>
      <c r="E210" s="1537">
        <f t="shared" si="6"/>
        <v>2990</v>
      </c>
      <c r="F210" s="478" t="s">
        <v>1436</v>
      </c>
      <c r="G210" s="3128" t="s">
        <v>729</v>
      </c>
      <c r="H210" s="478"/>
      <c r="I210" s="2461" t="s">
        <v>2231</v>
      </c>
      <c r="J210" s="19" t="s">
        <v>490</v>
      </c>
    </row>
    <row r="211" spans="1:10">
      <c r="A211" s="479">
        <v>207</v>
      </c>
      <c r="B211" s="478" t="s">
        <v>2107</v>
      </c>
      <c r="C211" s="479">
        <v>1</v>
      </c>
      <c r="D211" s="1537">
        <v>17850</v>
      </c>
      <c r="E211" s="1537">
        <f t="shared" si="6"/>
        <v>17850</v>
      </c>
      <c r="F211" s="478" t="s">
        <v>1436</v>
      </c>
      <c r="G211" s="3128" t="s">
        <v>729</v>
      </c>
      <c r="H211" s="478"/>
      <c r="I211" s="2461" t="s">
        <v>2232</v>
      </c>
      <c r="J211" s="19" t="s">
        <v>490</v>
      </c>
    </row>
    <row r="212" spans="1:10">
      <c r="A212" s="479">
        <v>208</v>
      </c>
      <c r="B212" s="478" t="s">
        <v>473</v>
      </c>
      <c r="C212" s="479">
        <v>1</v>
      </c>
      <c r="D212" s="1537">
        <v>4900</v>
      </c>
      <c r="E212" s="1537">
        <f>D212*C212</f>
        <v>4900</v>
      </c>
      <c r="F212" s="478" t="s">
        <v>1900</v>
      </c>
      <c r="G212" s="3128" t="s">
        <v>729</v>
      </c>
      <c r="H212" s="478"/>
      <c r="I212" s="2461" t="s">
        <v>2233</v>
      </c>
      <c r="J212" s="19" t="s">
        <v>490</v>
      </c>
    </row>
    <row r="213" spans="1:10">
      <c r="A213" s="479">
        <v>209</v>
      </c>
      <c r="B213" s="478" t="s">
        <v>1810</v>
      </c>
      <c r="C213" s="479">
        <v>11</v>
      </c>
      <c r="D213" s="1537">
        <v>350</v>
      </c>
      <c r="E213" s="1537">
        <f t="shared" ref="E213:E250" si="7">C213*D213</f>
        <v>3850</v>
      </c>
      <c r="F213" s="478" t="s">
        <v>614</v>
      </c>
      <c r="G213" s="3128" t="s">
        <v>729</v>
      </c>
      <c r="H213" s="478"/>
      <c r="I213" s="2461" t="s">
        <v>2234</v>
      </c>
      <c r="J213" s="19" t="s">
        <v>490</v>
      </c>
    </row>
    <row r="214" spans="1:10">
      <c r="A214" s="479">
        <v>210</v>
      </c>
      <c r="B214" s="478" t="s">
        <v>2108</v>
      </c>
      <c r="C214" s="479">
        <v>8</v>
      </c>
      <c r="D214" s="1537">
        <v>1890</v>
      </c>
      <c r="E214" s="1537">
        <f t="shared" si="7"/>
        <v>15120</v>
      </c>
      <c r="F214" s="478" t="s">
        <v>614</v>
      </c>
      <c r="G214" s="3128" t="s">
        <v>729</v>
      </c>
      <c r="H214" s="478"/>
      <c r="I214" s="2461" t="s">
        <v>2234</v>
      </c>
      <c r="J214" s="19" t="s">
        <v>490</v>
      </c>
    </row>
    <row r="215" spans="1:10">
      <c r="A215" s="479">
        <v>211</v>
      </c>
      <c r="B215" s="478" t="s">
        <v>2109</v>
      </c>
      <c r="C215" s="479">
        <v>4</v>
      </c>
      <c r="D215" s="1537">
        <v>3200</v>
      </c>
      <c r="E215" s="1537">
        <f t="shared" si="7"/>
        <v>12800</v>
      </c>
      <c r="F215" s="478" t="s">
        <v>614</v>
      </c>
      <c r="G215" s="3128" t="s">
        <v>729</v>
      </c>
      <c r="H215" s="478"/>
      <c r="I215" s="2461" t="s">
        <v>2234</v>
      </c>
      <c r="J215" s="19" t="s">
        <v>490</v>
      </c>
    </row>
    <row r="216" spans="1:10">
      <c r="A216" s="479">
        <v>212</v>
      </c>
      <c r="B216" s="478" t="s">
        <v>2110</v>
      </c>
      <c r="C216" s="479">
        <v>1</v>
      </c>
      <c r="D216" s="1537">
        <v>6600</v>
      </c>
      <c r="E216" s="1537">
        <f t="shared" si="7"/>
        <v>6600</v>
      </c>
      <c r="F216" s="478" t="s">
        <v>614</v>
      </c>
      <c r="G216" s="3128" t="s">
        <v>729</v>
      </c>
      <c r="H216" s="478"/>
      <c r="I216" s="2461" t="s">
        <v>2235</v>
      </c>
      <c r="J216" s="19" t="s">
        <v>490</v>
      </c>
    </row>
    <row r="217" spans="1:10">
      <c r="A217" s="479">
        <v>213</v>
      </c>
      <c r="B217" s="478" t="s">
        <v>2111</v>
      </c>
      <c r="C217" s="479">
        <v>1</v>
      </c>
      <c r="D217" s="1537">
        <v>83460</v>
      </c>
      <c r="E217" s="1537">
        <f t="shared" si="7"/>
        <v>83460</v>
      </c>
      <c r="F217" s="478" t="s">
        <v>414</v>
      </c>
      <c r="G217" s="3128" t="s">
        <v>729</v>
      </c>
      <c r="H217" s="478"/>
      <c r="I217" s="2461" t="s">
        <v>2236</v>
      </c>
      <c r="J217" s="19" t="s">
        <v>490</v>
      </c>
    </row>
    <row r="218" spans="1:10">
      <c r="A218" s="479">
        <v>214</v>
      </c>
      <c r="B218" s="478" t="s">
        <v>2112</v>
      </c>
      <c r="C218" s="479">
        <v>1</v>
      </c>
      <c r="D218" s="1537">
        <v>69000</v>
      </c>
      <c r="E218" s="1537">
        <f t="shared" si="7"/>
        <v>69000</v>
      </c>
      <c r="F218" s="478" t="s">
        <v>2317</v>
      </c>
      <c r="G218" s="3128" t="s">
        <v>729</v>
      </c>
      <c r="H218" s="478"/>
      <c r="I218" s="2461" t="s">
        <v>2237</v>
      </c>
      <c r="J218" s="19" t="s">
        <v>490</v>
      </c>
    </row>
    <row r="219" spans="1:10">
      <c r="A219" s="479">
        <v>215</v>
      </c>
      <c r="B219" s="478" t="s">
        <v>2117</v>
      </c>
      <c r="C219" s="479">
        <v>1</v>
      </c>
      <c r="D219" s="1537">
        <v>28500</v>
      </c>
      <c r="E219" s="1537">
        <f t="shared" si="7"/>
        <v>28500</v>
      </c>
      <c r="F219" s="478" t="s">
        <v>962</v>
      </c>
      <c r="G219" s="3128" t="s">
        <v>729</v>
      </c>
      <c r="H219" s="478"/>
      <c r="I219" s="2461" t="s">
        <v>2242</v>
      </c>
      <c r="J219" s="19" t="s">
        <v>490</v>
      </c>
    </row>
    <row r="220" spans="1:10">
      <c r="A220" s="479">
        <v>216</v>
      </c>
      <c r="B220" s="603" t="s">
        <v>473</v>
      </c>
      <c r="C220" s="479">
        <v>1</v>
      </c>
      <c r="D220" s="1537">
        <v>3400</v>
      </c>
      <c r="E220" s="1537">
        <f t="shared" si="7"/>
        <v>3400</v>
      </c>
      <c r="F220" s="478" t="s">
        <v>961</v>
      </c>
      <c r="G220" s="3128" t="s">
        <v>729</v>
      </c>
      <c r="H220" s="478"/>
      <c r="I220" s="2461" t="s">
        <v>2243</v>
      </c>
      <c r="J220" s="19" t="s">
        <v>490</v>
      </c>
    </row>
    <row r="221" spans="1:10">
      <c r="A221" s="479">
        <v>217</v>
      </c>
      <c r="B221" s="478" t="s">
        <v>2119</v>
      </c>
      <c r="C221" s="479">
        <v>1</v>
      </c>
      <c r="D221" s="1537">
        <v>13300</v>
      </c>
      <c r="E221" s="1537">
        <f t="shared" si="7"/>
        <v>13300</v>
      </c>
      <c r="F221" s="478" t="s">
        <v>426</v>
      </c>
      <c r="G221" s="3128" t="s">
        <v>729</v>
      </c>
      <c r="H221" s="478"/>
      <c r="I221" s="2461" t="s">
        <v>2245</v>
      </c>
      <c r="J221" s="19" t="s">
        <v>490</v>
      </c>
    </row>
    <row r="222" spans="1:10">
      <c r="A222" s="479">
        <v>218</v>
      </c>
      <c r="B222" s="478" t="s">
        <v>2120</v>
      </c>
      <c r="C222" s="479">
        <v>4</v>
      </c>
      <c r="D222" s="1537">
        <v>6500</v>
      </c>
      <c r="E222" s="1537">
        <f t="shared" si="7"/>
        <v>26000</v>
      </c>
      <c r="F222" s="478" t="s">
        <v>431</v>
      </c>
      <c r="G222" s="3128" t="s">
        <v>729</v>
      </c>
      <c r="H222" s="478"/>
      <c r="I222" s="2461" t="s">
        <v>2246</v>
      </c>
      <c r="J222" s="19" t="s">
        <v>490</v>
      </c>
    </row>
    <row r="223" spans="1:10">
      <c r="A223" s="479">
        <v>219</v>
      </c>
      <c r="B223" s="478" t="s">
        <v>469</v>
      </c>
      <c r="C223" s="479">
        <v>2</v>
      </c>
      <c r="D223" s="1537">
        <v>2193.5</v>
      </c>
      <c r="E223" s="1537">
        <f t="shared" si="7"/>
        <v>4387</v>
      </c>
      <c r="F223" s="478" t="s">
        <v>855</v>
      </c>
      <c r="G223" s="3128" t="s">
        <v>729</v>
      </c>
      <c r="H223" s="478"/>
      <c r="I223" s="2461" t="s">
        <v>2247</v>
      </c>
      <c r="J223" s="19" t="s">
        <v>490</v>
      </c>
    </row>
    <row r="224" spans="1:10">
      <c r="A224" s="479">
        <v>220</v>
      </c>
      <c r="B224" s="478" t="s">
        <v>2124</v>
      </c>
      <c r="C224" s="479">
        <v>4</v>
      </c>
      <c r="D224" s="1537">
        <v>1390</v>
      </c>
      <c r="E224" s="1537">
        <f t="shared" si="7"/>
        <v>5560</v>
      </c>
      <c r="F224" s="478" t="s">
        <v>431</v>
      </c>
      <c r="G224" s="3128" t="s">
        <v>729</v>
      </c>
      <c r="H224" s="478"/>
      <c r="I224" s="2461" t="s">
        <v>2255</v>
      </c>
      <c r="J224" s="19" t="s">
        <v>490</v>
      </c>
    </row>
    <row r="225" spans="1:10">
      <c r="A225" s="479">
        <v>221</v>
      </c>
      <c r="B225" s="478" t="s">
        <v>2128</v>
      </c>
      <c r="C225" s="479">
        <v>1</v>
      </c>
      <c r="D225" s="1537">
        <v>9500</v>
      </c>
      <c r="E225" s="1537">
        <f t="shared" si="7"/>
        <v>9500</v>
      </c>
      <c r="F225" s="478" t="s">
        <v>2319</v>
      </c>
      <c r="G225" s="3128" t="s">
        <v>729</v>
      </c>
      <c r="H225" s="478"/>
      <c r="I225" s="2461" t="s">
        <v>2258</v>
      </c>
      <c r="J225" s="19" t="s">
        <v>490</v>
      </c>
    </row>
    <row r="226" spans="1:10">
      <c r="A226" s="479">
        <v>222</v>
      </c>
      <c r="B226" s="478" t="s">
        <v>2129</v>
      </c>
      <c r="C226" s="479">
        <v>1</v>
      </c>
      <c r="D226" s="1537">
        <v>4900</v>
      </c>
      <c r="E226" s="1537">
        <f t="shared" si="7"/>
        <v>4900</v>
      </c>
      <c r="F226" s="478" t="s">
        <v>732</v>
      </c>
      <c r="G226" s="3128" t="s">
        <v>729</v>
      </c>
      <c r="H226" s="478"/>
      <c r="I226" s="2461" t="s">
        <v>2259</v>
      </c>
      <c r="J226" s="19" t="s">
        <v>490</v>
      </c>
    </row>
    <row r="227" spans="1:10">
      <c r="A227" s="479">
        <v>223</v>
      </c>
      <c r="B227" s="478" t="s">
        <v>474</v>
      </c>
      <c r="C227" s="479">
        <v>1</v>
      </c>
      <c r="D227" s="1537">
        <v>2354</v>
      </c>
      <c r="E227" s="1537">
        <f t="shared" si="7"/>
        <v>2354</v>
      </c>
      <c r="F227" s="478" t="s">
        <v>451</v>
      </c>
      <c r="G227" s="3128" t="s">
        <v>729</v>
      </c>
      <c r="H227" s="478"/>
      <c r="I227" s="2461" t="s">
        <v>2262</v>
      </c>
      <c r="J227" s="19" t="s">
        <v>490</v>
      </c>
    </row>
    <row r="228" spans="1:10">
      <c r="A228" s="479">
        <v>224</v>
      </c>
      <c r="B228" s="478" t="s">
        <v>1842</v>
      </c>
      <c r="C228" s="479">
        <v>1</v>
      </c>
      <c r="D228" s="1537">
        <v>56500</v>
      </c>
      <c r="E228" s="1537">
        <f t="shared" si="7"/>
        <v>56500</v>
      </c>
      <c r="F228" s="478" t="s">
        <v>472</v>
      </c>
      <c r="G228" s="3128" t="s">
        <v>729</v>
      </c>
      <c r="H228" s="478"/>
      <c r="I228" s="2461" t="s">
        <v>2265</v>
      </c>
      <c r="J228" s="19" t="s">
        <v>490</v>
      </c>
    </row>
    <row r="229" spans="1:10">
      <c r="A229" s="479">
        <v>225</v>
      </c>
      <c r="B229" s="478" t="s">
        <v>469</v>
      </c>
      <c r="C229" s="479">
        <v>1</v>
      </c>
      <c r="D229" s="1537">
        <v>2305.85</v>
      </c>
      <c r="E229" s="1537">
        <f t="shared" si="7"/>
        <v>2305.85</v>
      </c>
      <c r="F229" s="478" t="s">
        <v>948</v>
      </c>
      <c r="G229" s="3128" t="s">
        <v>729</v>
      </c>
      <c r="H229" s="478"/>
      <c r="I229" s="2461" t="s">
        <v>2269</v>
      </c>
      <c r="J229" s="19" t="s">
        <v>490</v>
      </c>
    </row>
    <row r="230" spans="1:10">
      <c r="A230" s="479">
        <v>226</v>
      </c>
      <c r="B230" s="2482" t="s">
        <v>2138</v>
      </c>
      <c r="C230" s="479">
        <v>6</v>
      </c>
      <c r="D230" s="1537">
        <v>4050</v>
      </c>
      <c r="E230" s="1537">
        <f t="shared" si="7"/>
        <v>24300</v>
      </c>
      <c r="F230" s="478" t="s">
        <v>1872</v>
      </c>
      <c r="G230" s="3128" t="s">
        <v>729</v>
      </c>
      <c r="H230" s="478"/>
      <c r="I230" s="2461" t="s">
        <v>2270</v>
      </c>
      <c r="J230" s="19" t="s">
        <v>490</v>
      </c>
    </row>
    <row r="231" spans="1:10">
      <c r="A231" s="479">
        <v>227</v>
      </c>
      <c r="B231" s="478" t="s">
        <v>1795</v>
      </c>
      <c r="C231" s="479">
        <v>1</v>
      </c>
      <c r="D231" s="1537">
        <v>5990</v>
      </c>
      <c r="E231" s="1537">
        <f t="shared" si="7"/>
        <v>5990</v>
      </c>
      <c r="F231" s="478" t="s">
        <v>2322</v>
      </c>
      <c r="G231" s="3128" t="s">
        <v>729</v>
      </c>
      <c r="H231" s="478"/>
      <c r="I231" s="2461" t="s">
        <v>2272</v>
      </c>
      <c r="J231" s="19" t="s">
        <v>490</v>
      </c>
    </row>
    <row r="232" spans="1:10">
      <c r="A232" s="479">
        <v>228</v>
      </c>
      <c r="B232" s="478" t="s">
        <v>469</v>
      </c>
      <c r="C232" s="479">
        <v>9</v>
      </c>
      <c r="D232" s="1537">
        <v>2204.1999999999998</v>
      </c>
      <c r="E232" s="1537">
        <f t="shared" si="7"/>
        <v>19837.8</v>
      </c>
      <c r="F232" s="478" t="s">
        <v>853</v>
      </c>
      <c r="G232" s="3128" t="s">
        <v>729</v>
      </c>
      <c r="H232" s="478"/>
      <c r="I232" s="2461" t="s">
        <v>2279</v>
      </c>
      <c r="J232" s="19" t="s">
        <v>490</v>
      </c>
    </row>
    <row r="233" spans="1:10">
      <c r="A233" s="479">
        <v>229</v>
      </c>
      <c r="B233" s="478" t="s">
        <v>910</v>
      </c>
      <c r="C233" s="479">
        <v>3</v>
      </c>
      <c r="D233" s="1537">
        <v>6300</v>
      </c>
      <c r="E233" s="1537">
        <f t="shared" si="7"/>
        <v>18900</v>
      </c>
      <c r="F233" s="478" t="s">
        <v>2324</v>
      </c>
      <c r="G233" s="3128" t="s">
        <v>729</v>
      </c>
      <c r="H233" s="478"/>
      <c r="I233" s="2461" t="s">
        <v>2280</v>
      </c>
      <c r="J233" s="19" t="s">
        <v>490</v>
      </c>
    </row>
    <row r="234" spans="1:10">
      <c r="A234" s="479">
        <v>230</v>
      </c>
      <c r="B234" s="478" t="s">
        <v>2145</v>
      </c>
      <c r="C234" s="479">
        <v>2</v>
      </c>
      <c r="D234" s="1537">
        <v>7600</v>
      </c>
      <c r="E234" s="1537">
        <f t="shared" si="7"/>
        <v>15200</v>
      </c>
      <c r="F234" s="478" t="s">
        <v>961</v>
      </c>
      <c r="G234" s="3128" t="s">
        <v>729</v>
      </c>
      <c r="H234" s="478"/>
      <c r="I234" s="2461" t="s">
        <v>2281</v>
      </c>
      <c r="J234" s="19" t="s">
        <v>490</v>
      </c>
    </row>
    <row r="235" spans="1:10">
      <c r="A235" s="479">
        <v>231</v>
      </c>
      <c r="B235" s="478" t="s">
        <v>2146</v>
      </c>
      <c r="C235" s="479">
        <v>2</v>
      </c>
      <c r="D235" s="1537">
        <v>3400</v>
      </c>
      <c r="E235" s="1537">
        <f t="shared" si="7"/>
        <v>6800</v>
      </c>
      <c r="F235" s="478" t="s">
        <v>961</v>
      </c>
      <c r="G235" s="3128" t="s">
        <v>729</v>
      </c>
      <c r="H235" s="478"/>
      <c r="I235" s="2461" t="s">
        <v>2281</v>
      </c>
      <c r="J235" s="19" t="s">
        <v>490</v>
      </c>
    </row>
    <row r="236" spans="1:10">
      <c r="A236" s="479">
        <v>232</v>
      </c>
      <c r="B236" s="478" t="s">
        <v>474</v>
      </c>
      <c r="C236" s="479">
        <v>1</v>
      </c>
      <c r="D236" s="1537">
        <v>2354</v>
      </c>
      <c r="E236" s="1537">
        <f t="shared" si="7"/>
        <v>2354</v>
      </c>
      <c r="F236" s="478" t="s">
        <v>1900</v>
      </c>
      <c r="G236" s="3128" t="s">
        <v>729</v>
      </c>
      <c r="H236" s="478"/>
      <c r="I236" s="2461" t="s">
        <v>2282</v>
      </c>
      <c r="J236" s="19" t="s">
        <v>490</v>
      </c>
    </row>
    <row r="237" spans="1:10">
      <c r="A237" s="479">
        <v>233</v>
      </c>
      <c r="B237" s="478" t="s">
        <v>474</v>
      </c>
      <c r="C237" s="479">
        <v>1</v>
      </c>
      <c r="D237" s="1537">
        <v>2354</v>
      </c>
      <c r="E237" s="1537">
        <f t="shared" si="7"/>
        <v>2354</v>
      </c>
      <c r="F237" s="478" t="s">
        <v>475</v>
      </c>
      <c r="G237" s="3128" t="s">
        <v>729</v>
      </c>
      <c r="H237" s="478"/>
      <c r="I237" s="2461"/>
      <c r="J237" s="19" t="s">
        <v>490</v>
      </c>
    </row>
    <row r="238" spans="1:10">
      <c r="A238" s="479">
        <v>234</v>
      </c>
      <c r="B238" s="478" t="s">
        <v>2147</v>
      </c>
      <c r="C238" s="479">
        <v>4</v>
      </c>
      <c r="D238" s="1537">
        <v>6900</v>
      </c>
      <c r="E238" s="1537">
        <f t="shared" si="7"/>
        <v>27600</v>
      </c>
      <c r="F238" s="478" t="s">
        <v>424</v>
      </c>
      <c r="G238" s="3128" t="s">
        <v>729</v>
      </c>
      <c r="H238" s="478"/>
      <c r="I238" s="2461" t="s">
        <v>2283</v>
      </c>
      <c r="J238" s="19" t="s">
        <v>490</v>
      </c>
    </row>
    <row r="239" spans="1:10">
      <c r="A239" s="479">
        <v>235</v>
      </c>
      <c r="B239" s="478" t="s">
        <v>473</v>
      </c>
      <c r="C239" s="479">
        <v>6</v>
      </c>
      <c r="D239" s="1537">
        <v>3400</v>
      </c>
      <c r="E239" s="1537">
        <f t="shared" si="7"/>
        <v>20400</v>
      </c>
      <c r="F239" s="478" t="s">
        <v>2327</v>
      </c>
      <c r="G239" s="3128" t="s">
        <v>729</v>
      </c>
      <c r="H239" s="478"/>
      <c r="I239" s="2461"/>
      <c r="J239" s="19" t="s">
        <v>490</v>
      </c>
    </row>
    <row r="240" spans="1:10">
      <c r="A240" s="479">
        <v>236</v>
      </c>
      <c r="B240" s="478" t="s">
        <v>473</v>
      </c>
      <c r="C240" s="479">
        <v>2</v>
      </c>
      <c r="D240" s="1537">
        <v>3400</v>
      </c>
      <c r="E240" s="1537">
        <f t="shared" si="7"/>
        <v>6800</v>
      </c>
      <c r="F240" s="478" t="s">
        <v>2328</v>
      </c>
      <c r="G240" s="3128" t="s">
        <v>729</v>
      </c>
      <c r="H240" s="478"/>
      <c r="I240" s="2461"/>
      <c r="J240" s="19" t="s">
        <v>490</v>
      </c>
    </row>
    <row r="241" spans="1:10">
      <c r="A241" s="479">
        <v>237</v>
      </c>
      <c r="B241" s="478" t="s">
        <v>473</v>
      </c>
      <c r="C241" s="479">
        <v>10</v>
      </c>
      <c r="D241" s="1537">
        <v>3400</v>
      </c>
      <c r="E241" s="1537">
        <f t="shared" si="7"/>
        <v>34000</v>
      </c>
      <c r="F241" s="478" t="s">
        <v>2329</v>
      </c>
      <c r="G241" s="3128" t="s">
        <v>729</v>
      </c>
      <c r="H241" s="478"/>
      <c r="I241" s="2461"/>
      <c r="J241" s="19" t="s">
        <v>490</v>
      </c>
    </row>
    <row r="242" spans="1:10">
      <c r="A242" s="479">
        <v>238</v>
      </c>
      <c r="B242" s="478" t="s">
        <v>918</v>
      </c>
      <c r="C242" s="479">
        <v>1</v>
      </c>
      <c r="D242" s="1537">
        <v>1808.3</v>
      </c>
      <c r="E242" s="1537">
        <f t="shared" si="7"/>
        <v>1808.3</v>
      </c>
      <c r="F242" s="478" t="s">
        <v>743</v>
      </c>
      <c r="G242" s="3128" t="s">
        <v>729</v>
      </c>
      <c r="H242" s="478"/>
      <c r="I242" s="2461" t="s">
        <v>2287</v>
      </c>
      <c r="J242" s="19" t="s">
        <v>490</v>
      </c>
    </row>
    <row r="243" spans="1:10">
      <c r="A243" s="479">
        <v>239</v>
      </c>
      <c r="B243" s="478" t="s">
        <v>908</v>
      </c>
      <c r="C243" s="479">
        <v>1</v>
      </c>
      <c r="D243" s="1537">
        <v>2305.85</v>
      </c>
      <c r="E243" s="1537">
        <f t="shared" si="7"/>
        <v>2305.85</v>
      </c>
      <c r="F243" s="478" t="s">
        <v>2330</v>
      </c>
      <c r="G243" s="3128" t="s">
        <v>729</v>
      </c>
      <c r="H243" s="478"/>
      <c r="I243" s="2461" t="s">
        <v>2288</v>
      </c>
      <c r="J243" s="19" t="s">
        <v>490</v>
      </c>
    </row>
    <row r="244" spans="1:10">
      <c r="A244" s="479">
        <v>240</v>
      </c>
      <c r="B244" s="478" t="s">
        <v>2150</v>
      </c>
      <c r="C244" s="479">
        <v>1</v>
      </c>
      <c r="D244" s="1537">
        <v>4050</v>
      </c>
      <c r="E244" s="1537">
        <f t="shared" si="7"/>
        <v>4050</v>
      </c>
      <c r="F244" s="478" t="s">
        <v>2331</v>
      </c>
      <c r="G244" s="3128" t="s">
        <v>729</v>
      </c>
      <c r="H244" s="478"/>
      <c r="I244" s="2461" t="s">
        <v>2292</v>
      </c>
      <c r="J244" s="19" t="s">
        <v>490</v>
      </c>
    </row>
    <row r="245" spans="1:10">
      <c r="A245" s="479">
        <v>241</v>
      </c>
      <c r="B245" s="390" t="s">
        <v>2149</v>
      </c>
      <c r="C245" s="479">
        <v>1</v>
      </c>
      <c r="D245" s="1537">
        <v>2305.85</v>
      </c>
      <c r="E245" s="1537">
        <f t="shared" si="7"/>
        <v>2305.85</v>
      </c>
      <c r="F245" s="478" t="s">
        <v>1938</v>
      </c>
      <c r="G245" s="3128" t="s">
        <v>729</v>
      </c>
      <c r="H245" s="478"/>
      <c r="I245" s="2461" t="s">
        <v>2284</v>
      </c>
      <c r="J245" s="19" t="s">
        <v>490</v>
      </c>
    </row>
    <row r="246" spans="1:10">
      <c r="A246" s="479">
        <v>242</v>
      </c>
      <c r="B246" s="390" t="s">
        <v>2149</v>
      </c>
      <c r="C246" s="479">
        <v>1</v>
      </c>
      <c r="D246" s="1537">
        <v>2305.85</v>
      </c>
      <c r="E246" s="1537">
        <f t="shared" si="7"/>
        <v>2305.85</v>
      </c>
      <c r="F246" s="478" t="s">
        <v>952</v>
      </c>
      <c r="G246" s="3128" t="s">
        <v>729</v>
      </c>
      <c r="H246" s="478"/>
      <c r="I246" s="2461" t="s">
        <v>2285</v>
      </c>
      <c r="J246" s="19" t="s">
        <v>490</v>
      </c>
    </row>
    <row r="247" spans="1:10">
      <c r="A247" s="479">
        <v>243</v>
      </c>
      <c r="B247" s="478" t="s">
        <v>474</v>
      </c>
      <c r="C247" s="479">
        <v>1</v>
      </c>
      <c r="D247" s="1537">
        <v>2200</v>
      </c>
      <c r="E247" s="1537">
        <f t="shared" si="7"/>
        <v>2200</v>
      </c>
      <c r="F247" s="478" t="s">
        <v>2310</v>
      </c>
      <c r="G247" s="3128" t="s">
        <v>729</v>
      </c>
      <c r="H247" s="478"/>
      <c r="I247" s="2461" t="s">
        <v>2274</v>
      </c>
      <c r="J247" s="19" t="s">
        <v>490</v>
      </c>
    </row>
    <row r="248" spans="1:10">
      <c r="A248" s="479">
        <v>244</v>
      </c>
      <c r="B248" s="478" t="s">
        <v>473</v>
      </c>
      <c r="C248" s="479">
        <v>100</v>
      </c>
      <c r="D248" s="1537">
        <v>2290</v>
      </c>
      <c r="E248" s="1537">
        <f t="shared" si="7"/>
        <v>229000</v>
      </c>
      <c r="F248" s="478" t="s">
        <v>471</v>
      </c>
      <c r="G248" s="3128" t="s">
        <v>729</v>
      </c>
      <c r="H248" s="478"/>
      <c r="I248" s="2461"/>
      <c r="J248" s="19" t="s">
        <v>490</v>
      </c>
    </row>
    <row r="249" spans="1:10">
      <c r="A249" s="479">
        <v>245</v>
      </c>
      <c r="B249" s="478" t="s">
        <v>2113</v>
      </c>
      <c r="C249" s="479">
        <v>1</v>
      </c>
      <c r="D249" s="1537">
        <v>43000</v>
      </c>
      <c r="E249" s="1537">
        <f t="shared" si="7"/>
        <v>43000</v>
      </c>
      <c r="F249" s="478" t="s">
        <v>471</v>
      </c>
      <c r="G249" s="3128" t="s">
        <v>729</v>
      </c>
      <c r="H249" s="478"/>
      <c r="I249" s="2461" t="s">
        <v>2238</v>
      </c>
      <c r="J249" s="19" t="s">
        <v>490</v>
      </c>
    </row>
    <row r="250" spans="1:10">
      <c r="A250" s="479">
        <v>246</v>
      </c>
      <c r="B250" s="478" t="s">
        <v>2114</v>
      </c>
      <c r="C250" s="479">
        <v>1</v>
      </c>
      <c r="D250" s="1537">
        <v>11480</v>
      </c>
      <c r="E250" s="1537">
        <f t="shared" si="7"/>
        <v>11480</v>
      </c>
      <c r="F250" s="478" t="s">
        <v>471</v>
      </c>
      <c r="G250" s="3128" t="s">
        <v>729</v>
      </c>
      <c r="H250" s="478"/>
      <c r="I250" s="2461" t="s">
        <v>2239</v>
      </c>
      <c r="J250" s="19" t="s">
        <v>490</v>
      </c>
    </row>
    <row r="251" spans="1:10">
      <c r="A251" s="479">
        <v>247</v>
      </c>
      <c r="B251" s="478" t="s">
        <v>2047</v>
      </c>
      <c r="C251" s="479">
        <v>3</v>
      </c>
      <c r="D251" s="1537">
        <v>1490</v>
      </c>
      <c r="E251" s="1537">
        <f t="shared" ref="E251" si="8">+C251*D251</f>
        <v>4470</v>
      </c>
      <c r="F251" s="478" t="s">
        <v>2298</v>
      </c>
      <c r="G251" s="3128" t="s">
        <v>729</v>
      </c>
      <c r="H251" s="478"/>
      <c r="I251" s="2461" t="s">
        <v>2164</v>
      </c>
      <c r="J251" s="19" t="s">
        <v>490</v>
      </c>
    </row>
    <row r="252" spans="1:10">
      <c r="A252" s="479">
        <v>248</v>
      </c>
      <c r="B252" s="2387" t="s">
        <v>2095</v>
      </c>
      <c r="C252" s="1499">
        <v>18</v>
      </c>
      <c r="D252" s="2389">
        <f>E252/C252</f>
        <v>2331.411111111111</v>
      </c>
      <c r="E252" s="2389">
        <v>41965.4</v>
      </c>
      <c r="F252" s="2387" t="s">
        <v>2314</v>
      </c>
      <c r="G252" s="3129" t="s">
        <v>729</v>
      </c>
      <c r="H252" s="478"/>
      <c r="I252" s="2461" t="s">
        <v>2222</v>
      </c>
      <c r="J252" s="19" t="s">
        <v>490</v>
      </c>
    </row>
    <row r="253" spans="1:10" ht="21.75" thickBot="1">
      <c r="E253" s="2458">
        <f>SUM(E5:E252)</f>
        <v>15841851.859999999</v>
      </c>
    </row>
    <row r="254" spans="1:10" ht="21.75" thickTop="1">
      <c r="C254" s="1426"/>
      <c r="D254" s="2438"/>
    </row>
  </sheetData>
  <mergeCells count="1">
    <mergeCell ref="A1:H1"/>
  </mergeCells>
  <dataValidations count="1">
    <dataValidation type="list" allowBlank="1" showErrorMessage="1" sqref="E176:E252 E254" xr:uid="{4441D672-7CE5-4756-97D1-8BD9C2FBD6EC}">
      <formula1>#REF!</formula1>
    </dataValidation>
  </dataValidations>
  <pageMargins left="0.27559055118110237" right="0.19685039370078741" top="0.62992125984251968" bottom="0.27559055118110237" header="0.31496062992125984" footer="0.11811023622047245"/>
  <pageSetup paperSize="9" scale="63" firstPageNumber="37" orientation="landscape" useFirstPageNumber="1" horizontalDpi="4294967293" verticalDpi="0" r:id="rId1"/>
  <headerFooter>
    <oddFooter>&amp;C&amp;P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C21B-8DEB-490B-8A9B-77792B50BA0A}">
  <sheetPr>
    <tabColor rgb="FFFF0000"/>
  </sheetPr>
  <dimension ref="A1:AB26"/>
  <sheetViews>
    <sheetView view="pageBreakPreview" zoomScale="90" zoomScaleNormal="100" zoomScaleSheetLayoutView="90" workbookViewId="0">
      <selection activeCell="F26" sqref="F26"/>
    </sheetView>
  </sheetViews>
  <sheetFormatPr defaultColWidth="9.140625" defaultRowHeight="21"/>
  <cols>
    <col min="1" max="1" width="7" style="1426" customWidth="1"/>
    <col min="2" max="2" width="83.28515625" style="19" customWidth="1"/>
    <col min="3" max="3" width="9.140625" style="19"/>
    <col min="4" max="4" width="16.42578125" style="19" customWidth="1"/>
    <col min="5" max="5" width="18.5703125" style="19" customWidth="1"/>
    <col min="6" max="6" width="29.7109375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393"/>
      <c r="H1" s="2393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>
      <c r="A2" s="1424"/>
      <c r="B2" s="3130"/>
      <c r="C2" s="3130"/>
      <c r="D2" s="3130"/>
      <c r="E2" s="1424"/>
      <c r="F2" s="1424"/>
      <c r="G2" s="1424"/>
      <c r="H2" s="1424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3"/>
      <c r="T2" s="1473"/>
      <c r="U2" s="1473"/>
      <c r="V2" s="1473"/>
      <c r="W2" s="1473"/>
      <c r="X2" s="1473"/>
      <c r="Y2" s="1473"/>
      <c r="Z2" s="1473"/>
      <c r="AA2" s="1473"/>
      <c r="AB2" s="1473"/>
    </row>
    <row r="3" spans="1:28">
      <c r="A3" s="3132" t="s">
        <v>2035</v>
      </c>
      <c r="B3" s="3132"/>
      <c r="C3" s="3132"/>
      <c r="D3" s="3132"/>
      <c r="E3" s="3132"/>
      <c r="F3" s="3132"/>
      <c r="G3" s="3132"/>
      <c r="H3" s="3132"/>
    </row>
    <row r="4" spans="1:28">
      <c r="A4" s="1478" t="s">
        <v>2</v>
      </c>
      <c r="B4" s="1478" t="s">
        <v>3</v>
      </c>
      <c r="C4" s="1478" t="s">
        <v>618</v>
      </c>
      <c r="D4" s="1478" t="s">
        <v>1410</v>
      </c>
      <c r="E4" s="1478" t="s">
        <v>1411</v>
      </c>
      <c r="F4" s="1478" t="s">
        <v>388</v>
      </c>
      <c r="G4" s="1478" t="s">
        <v>727</v>
      </c>
      <c r="H4" s="1478" t="s">
        <v>221</v>
      </c>
      <c r="I4" s="1426"/>
      <c r="J4" s="1648"/>
      <c r="K4" s="1426"/>
      <c r="L4" s="2438"/>
      <c r="M4" s="2438"/>
    </row>
    <row r="5" spans="1:28">
      <c r="A5" s="479">
        <v>1</v>
      </c>
      <c r="B5" s="309" t="s">
        <v>1385</v>
      </c>
      <c r="C5" s="310">
        <v>20</v>
      </c>
      <c r="D5" s="311">
        <v>3100</v>
      </c>
      <c r="E5" s="311">
        <v>62000</v>
      </c>
      <c r="F5" s="309" t="s">
        <v>444</v>
      </c>
      <c r="G5" s="216" t="s">
        <v>2035</v>
      </c>
      <c r="H5" s="216"/>
      <c r="I5" s="19" t="s">
        <v>1721</v>
      </c>
    </row>
    <row r="6" spans="1:28">
      <c r="A6" s="479">
        <v>2</v>
      </c>
      <c r="B6" s="309" t="s">
        <v>1386</v>
      </c>
      <c r="C6" s="310">
        <v>2</v>
      </c>
      <c r="D6" s="311">
        <v>5500</v>
      </c>
      <c r="E6" s="311">
        <v>11000</v>
      </c>
      <c r="F6" s="309" t="s">
        <v>444</v>
      </c>
      <c r="G6" s="216" t="s">
        <v>2035</v>
      </c>
      <c r="H6" s="216"/>
      <c r="I6" s="19" t="s">
        <v>1721</v>
      </c>
    </row>
    <row r="7" spans="1:28">
      <c r="A7" s="479">
        <v>3</v>
      </c>
      <c r="B7" s="309" t="s">
        <v>1387</v>
      </c>
      <c r="C7" s="310">
        <v>22</v>
      </c>
      <c r="D7" s="311">
        <v>100</v>
      </c>
      <c r="E7" s="311">
        <v>2200</v>
      </c>
      <c r="F7" s="309" t="s">
        <v>444</v>
      </c>
      <c r="G7" s="216" t="s">
        <v>2035</v>
      </c>
      <c r="H7" s="216"/>
      <c r="I7" s="19" t="s">
        <v>1721</v>
      </c>
    </row>
    <row r="8" spans="1:28">
      <c r="A8" s="479">
        <v>4</v>
      </c>
      <c r="B8" s="390" t="s">
        <v>1388</v>
      </c>
      <c r="C8" s="479">
        <v>1</v>
      </c>
      <c r="D8" s="307">
        <v>6698</v>
      </c>
      <c r="E8" s="307">
        <v>6698</v>
      </c>
      <c r="F8" s="390" t="s">
        <v>721</v>
      </c>
      <c r="G8" s="216" t="s">
        <v>2035</v>
      </c>
      <c r="H8" s="216"/>
      <c r="I8" s="19" t="s">
        <v>1721</v>
      </c>
    </row>
    <row r="9" spans="1:28">
      <c r="A9" s="479">
        <v>7</v>
      </c>
      <c r="B9" s="305" t="s">
        <v>1338</v>
      </c>
      <c r="C9" s="306">
        <v>1</v>
      </c>
      <c r="D9" s="1536">
        <v>6200</v>
      </c>
      <c r="E9" s="1536">
        <v>6200</v>
      </c>
      <c r="F9" s="305" t="s">
        <v>1276</v>
      </c>
      <c r="G9" s="216" t="s">
        <v>2035</v>
      </c>
      <c r="H9" s="216"/>
      <c r="I9" s="138" t="s">
        <v>1721</v>
      </c>
    </row>
    <row r="10" spans="1:28">
      <c r="A10" s="479">
        <v>8</v>
      </c>
      <c r="B10" s="305" t="s">
        <v>501</v>
      </c>
      <c r="C10" s="306">
        <v>1</v>
      </c>
      <c r="D10" s="1536">
        <v>6200</v>
      </c>
      <c r="E10" s="1536">
        <v>6200</v>
      </c>
      <c r="F10" s="305" t="s">
        <v>470</v>
      </c>
      <c r="G10" s="216" t="s">
        <v>2035</v>
      </c>
      <c r="H10" s="216"/>
      <c r="I10" s="138" t="s">
        <v>1721</v>
      </c>
    </row>
    <row r="11" spans="1:28">
      <c r="A11" s="479">
        <v>9</v>
      </c>
      <c r="B11" s="390" t="s">
        <v>501</v>
      </c>
      <c r="C11" s="479">
        <v>1</v>
      </c>
      <c r="D11" s="1537">
        <v>6200</v>
      </c>
      <c r="E11" s="1537">
        <v>6200</v>
      </c>
      <c r="F11" s="390" t="s">
        <v>1278</v>
      </c>
      <c r="G11" s="216" t="s">
        <v>2035</v>
      </c>
      <c r="H11" s="216"/>
      <c r="I11" s="138" t="s">
        <v>1721</v>
      </c>
    </row>
    <row r="12" spans="1:28">
      <c r="A12" s="479">
        <v>10</v>
      </c>
      <c r="B12" s="390" t="s">
        <v>501</v>
      </c>
      <c r="C12" s="479">
        <v>1</v>
      </c>
      <c r="D12" s="1537">
        <v>6200</v>
      </c>
      <c r="E12" s="1537">
        <v>6200</v>
      </c>
      <c r="F12" s="390" t="s">
        <v>743</v>
      </c>
      <c r="G12" s="216" t="s">
        <v>2035</v>
      </c>
      <c r="H12" s="216"/>
      <c r="I12" s="138" t="s">
        <v>1721</v>
      </c>
    </row>
    <row r="13" spans="1:28">
      <c r="A13" s="479">
        <v>11</v>
      </c>
      <c r="B13" s="390" t="s">
        <v>474</v>
      </c>
      <c r="C13" s="479">
        <v>1</v>
      </c>
      <c r="D13" s="1537">
        <v>2590</v>
      </c>
      <c r="E13" s="1537">
        <v>2590</v>
      </c>
      <c r="F13" s="390" t="s">
        <v>472</v>
      </c>
      <c r="G13" s="216" t="s">
        <v>2035</v>
      </c>
      <c r="H13" s="216"/>
      <c r="I13" s="138" t="s">
        <v>1721</v>
      </c>
    </row>
    <row r="14" spans="1:28">
      <c r="A14" s="479">
        <v>12</v>
      </c>
      <c r="B14" s="390" t="s">
        <v>501</v>
      </c>
      <c r="C14" s="479">
        <v>1</v>
      </c>
      <c r="D14" s="1537">
        <v>6200</v>
      </c>
      <c r="E14" s="1537">
        <v>6200</v>
      </c>
      <c r="F14" s="390" t="s">
        <v>1278</v>
      </c>
      <c r="G14" s="216" t="s">
        <v>2035</v>
      </c>
      <c r="H14" s="216"/>
      <c r="I14" s="138" t="s">
        <v>1721</v>
      </c>
    </row>
    <row r="15" spans="1:28" s="138" customFormat="1">
      <c r="A15" s="479">
        <v>13</v>
      </c>
      <c r="B15" s="221" t="s">
        <v>474</v>
      </c>
      <c r="C15" s="215">
        <v>1</v>
      </c>
      <c r="D15" s="1538">
        <v>2590</v>
      </c>
      <c r="E15" s="1538">
        <v>2590</v>
      </c>
      <c r="F15" s="482" t="s">
        <v>740</v>
      </c>
      <c r="G15" s="216" t="s">
        <v>2035</v>
      </c>
      <c r="H15" s="216"/>
      <c r="I15" s="138" t="s">
        <v>1721</v>
      </c>
    </row>
    <row r="16" spans="1:28">
      <c r="A16" s="479">
        <v>14</v>
      </c>
      <c r="B16" s="390" t="s">
        <v>1304</v>
      </c>
      <c r="C16" s="479">
        <v>1</v>
      </c>
      <c r="D16" s="1537">
        <v>4699</v>
      </c>
      <c r="E16" s="1537">
        <v>4699</v>
      </c>
      <c r="F16" s="390" t="s">
        <v>1305</v>
      </c>
      <c r="G16" s="216" t="s">
        <v>2035</v>
      </c>
      <c r="H16" s="216"/>
      <c r="I16" s="138" t="s">
        <v>1721</v>
      </c>
    </row>
    <row r="17" spans="1:10">
      <c r="A17" s="479">
        <v>15</v>
      </c>
      <c r="B17" s="390" t="s">
        <v>1306</v>
      </c>
      <c r="C17" s="479">
        <v>1</v>
      </c>
      <c r="D17" s="1537">
        <v>2299</v>
      </c>
      <c r="E17" s="1537">
        <v>2299</v>
      </c>
      <c r="F17" s="390" t="s">
        <v>1305</v>
      </c>
      <c r="G17" s="216" t="s">
        <v>2035</v>
      </c>
      <c r="H17" s="216"/>
      <c r="I17" s="138" t="s">
        <v>1721</v>
      </c>
    </row>
    <row r="18" spans="1:10" s="138" customFormat="1">
      <c r="A18" s="479">
        <v>16</v>
      </c>
      <c r="B18" s="221" t="s">
        <v>1304</v>
      </c>
      <c r="C18" s="215">
        <v>1</v>
      </c>
      <c r="D18" s="1538">
        <v>4399</v>
      </c>
      <c r="E18" s="1538">
        <v>4399</v>
      </c>
      <c r="F18" s="1649" t="s">
        <v>1309</v>
      </c>
      <c r="G18" s="216" t="s">
        <v>2035</v>
      </c>
      <c r="H18" s="216"/>
      <c r="I18" s="138" t="s">
        <v>1721</v>
      </c>
    </row>
    <row r="19" spans="1:10">
      <c r="A19" s="479">
        <v>17</v>
      </c>
      <c r="B19" s="390" t="s">
        <v>1306</v>
      </c>
      <c r="C19" s="479">
        <v>1</v>
      </c>
      <c r="D19" s="1537">
        <v>2299</v>
      </c>
      <c r="E19" s="1537">
        <v>2299</v>
      </c>
      <c r="F19" s="389" t="s">
        <v>1309</v>
      </c>
      <c r="G19" s="216" t="s">
        <v>2035</v>
      </c>
      <c r="H19" s="216"/>
      <c r="I19" s="138" t="s">
        <v>1721</v>
      </c>
    </row>
    <row r="20" spans="1:10">
      <c r="A20" s="479">
        <v>18</v>
      </c>
      <c r="B20" s="390" t="s">
        <v>474</v>
      </c>
      <c r="C20" s="479">
        <v>1</v>
      </c>
      <c r="D20" s="1537">
        <v>2590</v>
      </c>
      <c r="E20" s="1537">
        <v>2590</v>
      </c>
      <c r="F20" s="390" t="s">
        <v>721</v>
      </c>
      <c r="G20" s="216" t="s">
        <v>2035</v>
      </c>
      <c r="H20" s="216"/>
      <c r="I20" s="138" t="s">
        <v>1721</v>
      </c>
    </row>
    <row r="21" spans="1:10" s="138" customFormat="1" ht="42">
      <c r="A21" s="215">
        <v>19</v>
      </c>
      <c r="B21" s="216" t="s">
        <v>474</v>
      </c>
      <c r="C21" s="215">
        <v>1</v>
      </c>
      <c r="D21" s="422">
        <v>2354</v>
      </c>
      <c r="E21" s="422">
        <f>+C21*D21</f>
        <v>2354</v>
      </c>
      <c r="F21" s="260" t="s">
        <v>1400</v>
      </c>
      <c r="G21" s="216" t="s">
        <v>2035</v>
      </c>
      <c r="H21" s="216"/>
      <c r="I21" s="138" t="s">
        <v>1721</v>
      </c>
    </row>
    <row r="22" spans="1:10" s="138" customFormat="1">
      <c r="A22" s="215">
        <v>20</v>
      </c>
      <c r="B22" s="221" t="s">
        <v>501</v>
      </c>
      <c r="C22" s="215">
        <v>1</v>
      </c>
      <c r="D22" s="1538">
        <v>17380</v>
      </c>
      <c r="E22" s="1538">
        <v>17380</v>
      </c>
      <c r="F22" s="221" t="s">
        <v>855</v>
      </c>
      <c r="G22" s="216" t="s">
        <v>2035</v>
      </c>
      <c r="H22" s="216"/>
      <c r="I22" s="138" t="s">
        <v>1721</v>
      </c>
    </row>
    <row r="23" spans="1:10" s="138" customFormat="1" ht="27.75" customHeight="1">
      <c r="A23" s="215">
        <v>21</v>
      </c>
      <c r="B23" s="260" t="s">
        <v>1510</v>
      </c>
      <c r="C23" s="215">
        <v>1</v>
      </c>
      <c r="D23" s="1758">
        <v>11877000</v>
      </c>
      <c r="E23" s="1975"/>
      <c r="F23" s="216" t="s">
        <v>1447</v>
      </c>
      <c r="G23" s="216" t="s">
        <v>2035</v>
      </c>
      <c r="H23" s="2495" t="s">
        <v>2498</v>
      </c>
    </row>
    <row r="24" spans="1:10" s="138" customFormat="1" ht="24" customHeight="1">
      <c r="A24" s="215">
        <v>22</v>
      </c>
      <c r="B24" s="260" t="s">
        <v>1958</v>
      </c>
      <c r="C24" s="215">
        <v>1</v>
      </c>
      <c r="D24" s="1758">
        <v>1900000</v>
      </c>
      <c r="E24" s="2467"/>
      <c r="F24" s="216" t="s">
        <v>1447</v>
      </c>
      <c r="G24" s="216" t="s">
        <v>2035</v>
      </c>
      <c r="H24" s="2495" t="s">
        <v>2498</v>
      </c>
    </row>
    <row r="25" spans="1:10" s="138" customFormat="1" ht="21.75" thickBot="1">
      <c r="A25" s="2469"/>
      <c r="B25" s="2470"/>
      <c r="C25" s="2469"/>
      <c r="D25" s="2471"/>
      <c r="E25" s="2465">
        <f>SUM(E5:E24)</f>
        <v>154098</v>
      </c>
      <c r="F25" s="1601"/>
      <c r="G25" s="1601"/>
      <c r="J25" s="2034"/>
    </row>
    <row r="26" spans="1:10" ht="21.75" thickTop="1"/>
  </sheetData>
  <mergeCells count="2">
    <mergeCell ref="A1:F1"/>
    <mergeCell ref="A3:H3"/>
  </mergeCells>
  <dataValidations count="1">
    <dataValidation type="list" allowBlank="1" showErrorMessage="1" sqref="M4" xr:uid="{3E9AF5EE-7261-4401-B5A8-2FD34BD28961}">
      <formula1>#REF!</formula1>
    </dataValidation>
  </dataValidations>
  <pageMargins left="0.27559055118110237" right="0.19685039370078741" top="0.62992125984251968" bottom="0.27559055118110237" header="0.31496062992125984" footer="0.11811023622047245"/>
  <pageSetup paperSize="9" scale="63" firstPageNumber="44" orientation="landscape" useFirstPageNumber="1" horizontalDpi="4294967293" verticalDpi="0" r:id="rId1"/>
  <headerFooter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2D82-4779-45CD-BE71-EB4FEB1A4DC1}">
  <sheetPr>
    <tabColor rgb="FFFF0000"/>
  </sheetPr>
  <dimension ref="A1:AB143"/>
  <sheetViews>
    <sheetView view="pageBreakPreview" topLeftCell="A121" zoomScale="90" zoomScaleNormal="100" zoomScaleSheetLayoutView="90" workbookViewId="0">
      <selection activeCell="F145" sqref="F145"/>
    </sheetView>
  </sheetViews>
  <sheetFormatPr defaultColWidth="9.140625" defaultRowHeight="21"/>
  <cols>
    <col min="1" max="1" width="7" style="1426" customWidth="1"/>
    <col min="2" max="2" width="76.140625" style="19" customWidth="1"/>
    <col min="3" max="3" width="9.140625" style="19"/>
    <col min="4" max="4" width="16.42578125" style="19" customWidth="1"/>
    <col min="5" max="5" width="18.5703125" style="19" customWidth="1"/>
    <col min="6" max="6" width="37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865"/>
      <c r="H1" s="286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 s="138" customFormat="1">
      <c r="A2" s="1501"/>
      <c r="B2" s="2468"/>
      <c r="C2" s="1501"/>
      <c r="D2" s="2394"/>
      <c r="E2" s="1606"/>
      <c r="J2" s="2034"/>
    </row>
    <row r="3" spans="1:28" s="138" customFormat="1">
      <c r="A3" s="2472"/>
      <c r="B3" s="2480" t="s">
        <v>2499</v>
      </c>
      <c r="C3" s="2472"/>
      <c r="D3" s="2473"/>
      <c r="E3" s="2474"/>
      <c r="F3" s="2475"/>
      <c r="J3" s="2034"/>
    </row>
    <row r="4" spans="1:28">
      <c r="A4" s="1478" t="s">
        <v>2</v>
      </c>
      <c r="B4" s="1478" t="s">
        <v>3</v>
      </c>
      <c r="C4" s="1478" t="s">
        <v>618</v>
      </c>
      <c r="D4" s="1478" t="s">
        <v>1410</v>
      </c>
      <c r="E4" s="1478" t="s">
        <v>1411</v>
      </c>
      <c r="F4" s="1478" t="s">
        <v>388</v>
      </c>
      <c r="G4" s="1478" t="s">
        <v>727</v>
      </c>
      <c r="H4" s="1478" t="s">
        <v>221</v>
      </c>
      <c r="I4" s="138"/>
    </row>
    <row r="5" spans="1:28" s="138" customFormat="1">
      <c r="A5" s="215">
        <v>1</v>
      </c>
      <c r="B5" s="221" t="s">
        <v>1307</v>
      </c>
      <c r="C5" s="215">
        <v>2</v>
      </c>
      <c r="D5" s="1538">
        <v>20502.5</v>
      </c>
      <c r="E5" s="1538">
        <v>41005</v>
      </c>
      <c r="F5" s="1649" t="s">
        <v>1308</v>
      </c>
      <c r="G5" s="498" t="s">
        <v>2038</v>
      </c>
      <c r="H5" s="498"/>
      <c r="I5" s="138" t="s">
        <v>1721</v>
      </c>
    </row>
    <row r="6" spans="1:28" s="138" customFormat="1">
      <c r="A6" s="479">
        <v>2</v>
      </c>
      <c r="B6" s="221" t="s">
        <v>468</v>
      </c>
      <c r="C6" s="215">
        <v>1</v>
      </c>
      <c r="D6" s="1538">
        <v>15700</v>
      </c>
      <c r="E6" s="1538">
        <f>D6*C6</f>
        <v>15700</v>
      </c>
      <c r="F6" s="221" t="s">
        <v>962</v>
      </c>
      <c r="G6" s="682" t="s">
        <v>2038</v>
      </c>
      <c r="H6" s="682"/>
      <c r="I6" s="138" t="s">
        <v>1721</v>
      </c>
    </row>
    <row r="7" spans="1:28" s="138" customFormat="1">
      <c r="A7" s="479">
        <v>3</v>
      </c>
      <c r="B7" s="221" t="s">
        <v>934</v>
      </c>
      <c r="C7" s="215">
        <v>1</v>
      </c>
      <c r="D7" s="1538">
        <v>18900</v>
      </c>
      <c r="E7" s="1538">
        <v>18900</v>
      </c>
      <c r="F7" s="482" t="s">
        <v>2472</v>
      </c>
      <c r="G7" s="682" t="s">
        <v>2038</v>
      </c>
      <c r="H7" s="682"/>
      <c r="I7" s="138" t="s">
        <v>1721</v>
      </c>
    </row>
    <row r="8" spans="1:28" s="138" customFormat="1">
      <c r="A8" s="215">
        <v>4</v>
      </c>
      <c r="B8" s="251" t="s">
        <v>534</v>
      </c>
      <c r="C8" s="490">
        <v>15</v>
      </c>
      <c r="D8" s="405">
        <v>7900</v>
      </c>
      <c r="E8" s="328">
        <f>+C8*D8</f>
        <v>118500</v>
      </c>
      <c r="F8" s="1477" t="s">
        <v>532</v>
      </c>
      <c r="G8" s="498" t="s">
        <v>2038</v>
      </c>
      <c r="H8" s="498"/>
      <c r="I8" s="138" t="s">
        <v>1721</v>
      </c>
    </row>
    <row r="9" spans="1:28">
      <c r="A9" s="479">
        <v>5</v>
      </c>
      <c r="B9" s="684" t="s">
        <v>536</v>
      </c>
      <c r="C9" s="1488">
        <v>50</v>
      </c>
      <c r="D9" s="1489">
        <v>4000</v>
      </c>
      <c r="E9" s="588">
        <f>+C9*D9</f>
        <v>200000</v>
      </c>
      <c r="F9" s="683" t="s">
        <v>532</v>
      </c>
      <c r="G9" s="682" t="s">
        <v>2038</v>
      </c>
      <c r="H9" s="682"/>
      <c r="I9" s="138" t="s">
        <v>1721</v>
      </c>
    </row>
    <row r="10" spans="1:28" s="138" customFormat="1" ht="42">
      <c r="A10" s="215">
        <v>6</v>
      </c>
      <c r="B10" s="487" t="s">
        <v>1190</v>
      </c>
      <c r="C10" s="233">
        <v>1</v>
      </c>
      <c r="D10" s="250">
        <v>9000000</v>
      </c>
      <c r="E10" s="404">
        <f>+C10*D10</f>
        <v>9000000</v>
      </c>
      <c r="F10" s="1477" t="s">
        <v>532</v>
      </c>
      <c r="G10" s="498" t="s">
        <v>2038</v>
      </c>
      <c r="H10" s="498"/>
      <c r="I10" s="138" t="s">
        <v>1721</v>
      </c>
    </row>
    <row r="11" spans="1:28" s="138" customFormat="1">
      <c r="A11" s="215">
        <v>7</v>
      </c>
      <c r="B11" s="251" t="s">
        <v>537</v>
      </c>
      <c r="C11" s="490">
        <v>100</v>
      </c>
      <c r="D11" s="405">
        <v>4000</v>
      </c>
      <c r="E11" s="328">
        <f>+C11*D11</f>
        <v>400000</v>
      </c>
      <c r="F11" s="1477" t="s">
        <v>532</v>
      </c>
      <c r="G11" s="498" t="s">
        <v>2038</v>
      </c>
      <c r="H11" s="498"/>
      <c r="I11" s="138" t="s">
        <v>1721</v>
      </c>
    </row>
    <row r="12" spans="1:28" s="138" customFormat="1">
      <c r="A12" s="479">
        <v>8</v>
      </c>
      <c r="B12" s="251" t="s">
        <v>538</v>
      </c>
      <c r="C12" s="490">
        <v>5</v>
      </c>
      <c r="D12" s="405">
        <v>37000</v>
      </c>
      <c r="E12" s="328">
        <f t="shared" ref="E12:E27" si="0">+C12*D12</f>
        <v>185000</v>
      </c>
      <c r="F12" s="1477" t="s">
        <v>532</v>
      </c>
      <c r="G12" s="498" t="s">
        <v>2038</v>
      </c>
      <c r="H12" s="498"/>
      <c r="I12" s="138" t="s">
        <v>1721</v>
      </c>
    </row>
    <row r="13" spans="1:28" s="138" customFormat="1">
      <c r="A13" s="479">
        <v>9</v>
      </c>
      <c r="B13" s="251" t="s">
        <v>540</v>
      </c>
      <c r="C13" s="490">
        <v>20</v>
      </c>
      <c r="D13" s="405">
        <v>13000</v>
      </c>
      <c r="E13" s="328">
        <f t="shared" si="0"/>
        <v>260000</v>
      </c>
      <c r="F13" s="1477" t="s">
        <v>532</v>
      </c>
      <c r="G13" s="498" t="s">
        <v>2038</v>
      </c>
      <c r="H13" s="498"/>
      <c r="I13" s="138" t="s">
        <v>1721</v>
      </c>
    </row>
    <row r="14" spans="1:28" s="138" customFormat="1">
      <c r="A14" s="215">
        <v>10</v>
      </c>
      <c r="B14" s="251" t="s">
        <v>748</v>
      </c>
      <c r="C14" s="490">
        <v>10</v>
      </c>
      <c r="D14" s="2439">
        <v>24000</v>
      </c>
      <c r="E14" s="328">
        <f t="shared" si="0"/>
        <v>240000</v>
      </c>
      <c r="F14" s="1477" t="s">
        <v>532</v>
      </c>
      <c r="G14" s="498" t="s">
        <v>2038</v>
      </c>
      <c r="H14" s="498"/>
      <c r="I14" s="138" t="s">
        <v>1721</v>
      </c>
    </row>
    <row r="15" spans="1:28" s="138" customFormat="1">
      <c r="A15" s="479">
        <v>11</v>
      </c>
      <c r="B15" s="251" t="s">
        <v>753</v>
      </c>
      <c r="C15" s="490">
        <v>10</v>
      </c>
      <c r="D15" s="2439">
        <v>6900</v>
      </c>
      <c r="E15" s="328">
        <f t="shared" si="0"/>
        <v>69000</v>
      </c>
      <c r="F15" s="1477" t="s">
        <v>532</v>
      </c>
      <c r="G15" s="498" t="s">
        <v>2038</v>
      </c>
      <c r="H15" s="498"/>
      <c r="I15" s="138" t="s">
        <v>1721</v>
      </c>
    </row>
    <row r="16" spans="1:28" s="138" customFormat="1">
      <c r="A16" s="479">
        <v>12</v>
      </c>
      <c r="B16" s="251" t="s">
        <v>534</v>
      </c>
      <c r="C16" s="490">
        <v>10</v>
      </c>
      <c r="D16" s="2439">
        <v>6700</v>
      </c>
      <c r="E16" s="328">
        <f t="shared" si="0"/>
        <v>67000</v>
      </c>
      <c r="F16" s="1477" t="s">
        <v>532</v>
      </c>
      <c r="G16" s="498" t="s">
        <v>2038</v>
      </c>
      <c r="H16" s="498"/>
      <c r="I16" s="138" t="s">
        <v>1721</v>
      </c>
    </row>
    <row r="17" spans="1:9" s="138" customFormat="1">
      <c r="A17" s="215">
        <v>13</v>
      </c>
      <c r="B17" s="251" t="s">
        <v>754</v>
      </c>
      <c r="C17" s="490">
        <v>10</v>
      </c>
      <c r="D17" s="2439">
        <v>8100</v>
      </c>
      <c r="E17" s="328">
        <f t="shared" si="0"/>
        <v>81000</v>
      </c>
      <c r="F17" s="1477" t="s">
        <v>532</v>
      </c>
      <c r="G17" s="498" t="s">
        <v>2038</v>
      </c>
      <c r="H17" s="498"/>
      <c r="I17" s="138" t="s">
        <v>1721</v>
      </c>
    </row>
    <row r="18" spans="1:9" s="138" customFormat="1">
      <c r="A18" s="479">
        <v>14</v>
      </c>
      <c r="B18" s="251" t="s">
        <v>755</v>
      </c>
      <c r="C18" s="490">
        <v>10</v>
      </c>
      <c r="D18" s="2439">
        <v>10000</v>
      </c>
      <c r="E18" s="328">
        <f t="shared" si="0"/>
        <v>100000</v>
      </c>
      <c r="F18" s="1477" t="s">
        <v>532</v>
      </c>
      <c r="G18" s="498" t="s">
        <v>2038</v>
      </c>
      <c r="H18" s="498"/>
      <c r="I18" s="138" t="s">
        <v>1721</v>
      </c>
    </row>
    <row r="19" spans="1:9" s="138" customFormat="1">
      <c r="A19" s="479">
        <v>15</v>
      </c>
      <c r="B19" s="251" t="s">
        <v>756</v>
      </c>
      <c r="C19" s="490">
        <v>30</v>
      </c>
      <c r="D19" s="2439">
        <v>2620</v>
      </c>
      <c r="E19" s="328">
        <f t="shared" si="0"/>
        <v>78600</v>
      </c>
      <c r="F19" s="1477" t="s">
        <v>532</v>
      </c>
      <c r="G19" s="498" t="s">
        <v>2038</v>
      </c>
      <c r="H19" s="498"/>
      <c r="I19" s="138" t="s">
        <v>1721</v>
      </c>
    </row>
    <row r="20" spans="1:9" s="138" customFormat="1">
      <c r="A20" s="215">
        <v>16</v>
      </c>
      <c r="B20" s="251" t="s">
        <v>759</v>
      </c>
      <c r="C20" s="490">
        <v>4</v>
      </c>
      <c r="D20" s="2440">
        <v>22000</v>
      </c>
      <c r="E20" s="328">
        <f t="shared" si="0"/>
        <v>88000</v>
      </c>
      <c r="F20" s="1477" t="s">
        <v>532</v>
      </c>
      <c r="G20" s="498" t="s">
        <v>2038</v>
      </c>
      <c r="H20" s="498"/>
      <c r="I20" s="138" t="s">
        <v>1721</v>
      </c>
    </row>
    <row r="21" spans="1:9" s="138" customFormat="1">
      <c r="A21" s="479">
        <v>17</v>
      </c>
      <c r="B21" s="322" t="s">
        <v>979</v>
      </c>
      <c r="C21" s="233">
        <v>2</v>
      </c>
      <c r="D21" s="328">
        <v>19973.333333333332</v>
      </c>
      <c r="E21" s="328">
        <f t="shared" si="0"/>
        <v>39946.666666666664</v>
      </c>
      <c r="F21" s="322" t="s">
        <v>584</v>
      </c>
      <c r="G21" s="498" t="s">
        <v>2038</v>
      </c>
      <c r="H21" s="498"/>
      <c r="I21" s="138" t="s">
        <v>1721</v>
      </c>
    </row>
    <row r="22" spans="1:9" s="138" customFormat="1">
      <c r="A22" s="479">
        <v>18</v>
      </c>
      <c r="B22" s="322" t="s">
        <v>1029</v>
      </c>
      <c r="C22" s="233">
        <v>5</v>
      </c>
      <c r="D22" s="328">
        <v>8100</v>
      </c>
      <c r="E22" s="328">
        <f t="shared" si="0"/>
        <v>40500</v>
      </c>
      <c r="F22" s="322" t="s">
        <v>584</v>
      </c>
      <c r="G22" s="498" t="s">
        <v>2038</v>
      </c>
      <c r="H22" s="498"/>
      <c r="I22" s="138" t="s">
        <v>1721</v>
      </c>
    </row>
    <row r="23" spans="1:9" s="138" customFormat="1">
      <c r="A23" s="215">
        <v>19</v>
      </c>
      <c r="B23" s="322" t="s">
        <v>966</v>
      </c>
      <c r="C23" s="233">
        <v>1</v>
      </c>
      <c r="D23" s="328">
        <v>1980</v>
      </c>
      <c r="E23" s="328">
        <f t="shared" si="0"/>
        <v>1980</v>
      </c>
      <c r="F23" s="322" t="s">
        <v>472</v>
      </c>
      <c r="G23" s="498" t="s">
        <v>2038</v>
      </c>
      <c r="H23" s="498"/>
      <c r="I23" s="138" t="s">
        <v>1721</v>
      </c>
    </row>
    <row r="24" spans="1:9" s="138" customFormat="1">
      <c r="A24" s="479">
        <v>20</v>
      </c>
      <c r="B24" s="322" t="s">
        <v>971</v>
      </c>
      <c r="C24" s="233">
        <v>8</v>
      </c>
      <c r="D24" s="328">
        <v>23125</v>
      </c>
      <c r="E24" s="328">
        <f t="shared" si="0"/>
        <v>185000</v>
      </c>
      <c r="F24" s="322" t="s">
        <v>416</v>
      </c>
      <c r="G24" s="498" t="s">
        <v>2038</v>
      </c>
      <c r="H24" s="498"/>
      <c r="I24" s="138" t="s">
        <v>1721</v>
      </c>
    </row>
    <row r="25" spans="1:9" s="138" customFormat="1">
      <c r="A25" s="479">
        <v>21</v>
      </c>
      <c r="B25" s="322" t="s">
        <v>973</v>
      </c>
      <c r="C25" s="233">
        <v>1</v>
      </c>
      <c r="D25" s="328">
        <v>10690</v>
      </c>
      <c r="E25" s="328">
        <f t="shared" si="0"/>
        <v>10690</v>
      </c>
      <c r="F25" s="322" t="s">
        <v>584</v>
      </c>
      <c r="G25" s="498" t="s">
        <v>2038</v>
      </c>
      <c r="H25" s="498"/>
      <c r="I25" s="138" t="s">
        <v>1721</v>
      </c>
    </row>
    <row r="26" spans="1:9" s="138" customFormat="1">
      <c r="A26" s="215">
        <v>22</v>
      </c>
      <c r="B26" s="322" t="s">
        <v>976</v>
      </c>
      <c r="C26" s="233">
        <v>1</v>
      </c>
      <c r="D26" s="328">
        <v>62076.05</v>
      </c>
      <c r="E26" s="328">
        <f t="shared" si="0"/>
        <v>62076.05</v>
      </c>
      <c r="F26" s="251" t="s">
        <v>584</v>
      </c>
      <c r="G26" s="498" t="s">
        <v>2038</v>
      </c>
      <c r="H26" s="498"/>
      <c r="I26" s="138" t="s">
        <v>1721</v>
      </c>
    </row>
    <row r="27" spans="1:9" s="138" customFormat="1">
      <c r="A27" s="479">
        <v>23</v>
      </c>
      <c r="B27" s="322" t="s">
        <v>977</v>
      </c>
      <c r="C27" s="233">
        <v>3</v>
      </c>
      <c r="D27" s="328">
        <v>15943</v>
      </c>
      <c r="E27" s="328">
        <f t="shared" si="0"/>
        <v>47829</v>
      </c>
      <c r="F27" s="322" t="s">
        <v>584</v>
      </c>
      <c r="G27" s="498" t="s">
        <v>2038</v>
      </c>
      <c r="H27" s="498"/>
      <c r="I27" s="138" t="s">
        <v>1721</v>
      </c>
    </row>
    <row r="28" spans="1:9" s="138" customFormat="1">
      <c r="A28" s="479">
        <v>24</v>
      </c>
      <c r="B28" s="221" t="s">
        <v>755</v>
      </c>
      <c r="C28" s="215">
        <v>10</v>
      </c>
      <c r="D28" s="1531">
        <v>7490</v>
      </c>
      <c r="E28" s="1531">
        <v>74900</v>
      </c>
      <c r="F28" s="221" t="s">
        <v>584</v>
      </c>
      <c r="G28" s="498" t="s">
        <v>2038</v>
      </c>
      <c r="H28" s="498"/>
      <c r="I28" s="138" t="s">
        <v>1721</v>
      </c>
    </row>
    <row r="29" spans="1:9" s="138" customFormat="1">
      <c r="A29" s="215">
        <v>25</v>
      </c>
      <c r="B29" s="221" t="s">
        <v>1358</v>
      </c>
      <c r="C29" s="215">
        <v>5</v>
      </c>
      <c r="D29" s="1531">
        <v>5900</v>
      </c>
      <c r="E29" s="1531">
        <v>29500</v>
      </c>
      <c r="F29" s="221" t="s">
        <v>584</v>
      </c>
      <c r="G29" s="498" t="s">
        <v>2038</v>
      </c>
      <c r="H29" s="498"/>
      <c r="I29" s="138" t="s">
        <v>1721</v>
      </c>
    </row>
    <row r="30" spans="1:9" s="138" customFormat="1" ht="40.5" customHeight="1">
      <c r="A30" s="479">
        <v>26</v>
      </c>
      <c r="B30" s="482" t="s">
        <v>1439</v>
      </c>
      <c r="C30" s="215">
        <v>1</v>
      </c>
      <c r="D30" s="1531">
        <v>10200</v>
      </c>
      <c r="E30" s="1531">
        <v>10200</v>
      </c>
      <c r="F30" s="221" t="s">
        <v>584</v>
      </c>
      <c r="G30" s="498" t="s">
        <v>2038</v>
      </c>
      <c r="H30" s="498"/>
      <c r="I30" s="138" t="s">
        <v>1721</v>
      </c>
    </row>
    <row r="31" spans="1:9">
      <c r="A31" s="479">
        <v>27</v>
      </c>
      <c r="B31" s="390" t="s">
        <v>1359</v>
      </c>
      <c r="C31" s="479">
        <v>1</v>
      </c>
      <c r="D31" s="307">
        <v>34800</v>
      </c>
      <c r="E31" s="307">
        <v>34800</v>
      </c>
      <c r="F31" s="390" t="s">
        <v>584</v>
      </c>
      <c r="G31" s="2493" t="s">
        <v>2038</v>
      </c>
      <c r="H31" s="2493"/>
      <c r="I31" s="19" t="s">
        <v>1721</v>
      </c>
    </row>
    <row r="32" spans="1:9">
      <c r="A32" s="215">
        <v>28</v>
      </c>
      <c r="B32" s="390" t="s">
        <v>1360</v>
      </c>
      <c r="C32" s="479">
        <v>1</v>
      </c>
      <c r="D32" s="307">
        <v>12412</v>
      </c>
      <c r="E32" s="307">
        <v>12412</v>
      </c>
      <c r="F32" s="2447" t="s">
        <v>2476</v>
      </c>
      <c r="G32" s="2493" t="s">
        <v>2038</v>
      </c>
      <c r="H32" s="2493"/>
      <c r="I32" s="19" t="s">
        <v>1721</v>
      </c>
    </row>
    <row r="33" spans="1:9">
      <c r="A33" s="479">
        <v>29</v>
      </c>
      <c r="B33" s="390" t="s">
        <v>1361</v>
      </c>
      <c r="C33" s="479">
        <v>3</v>
      </c>
      <c r="D33" s="307">
        <v>9062.9</v>
      </c>
      <c r="E33" s="307">
        <v>27188.7</v>
      </c>
      <c r="F33" s="390" t="s">
        <v>1362</v>
      </c>
      <c r="G33" s="2493" t="s">
        <v>2038</v>
      </c>
      <c r="H33" s="2493"/>
      <c r="I33" s="19" t="s">
        <v>1721</v>
      </c>
    </row>
    <row r="34" spans="1:9">
      <c r="A34" s="479">
        <v>30</v>
      </c>
      <c r="B34" s="390" t="s">
        <v>1363</v>
      </c>
      <c r="C34" s="479">
        <v>3</v>
      </c>
      <c r="D34" s="307">
        <v>17700</v>
      </c>
      <c r="E34" s="307">
        <v>53100</v>
      </c>
      <c r="F34" s="2447" t="s">
        <v>1436</v>
      </c>
      <c r="G34" s="2493" t="s">
        <v>2038</v>
      </c>
      <c r="H34" s="2493"/>
      <c r="I34" s="19" t="s">
        <v>1721</v>
      </c>
    </row>
    <row r="35" spans="1:9">
      <c r="A35" s="215">
        <v>31</v>
      </c>
      <c r="B35" s="390" t="s">
        <v>1364</v>
      </c>
      <c r="C35" s="479">
        <v>1</v>
      </c>
      <c r="D35" s="307">
        <v>7000</v>
      </c>
      <c r="E35" s="307">
        <v>7000</v>
      </c>
      <c r="F35" s="2447" t="s">
        <v>1436</v>
      </c>
      <c r="G35" s="2493" t="s">
        <v>2038</v>
      </c>
      <c r="H35" s="2493"/>
      <c r="I35" s="19" t="s">
        <v>1721</v>
      </c>
    </row>
    <row r="36" spans="1:9">
      <c r="A36" s="479">
        <v>32</v>
      </c>
      <c r="B36" s="390" t="s">
        <v>1365</v>
      </c>
      <c r="C36" s="479">
        <v>2</v>
      </c>
      <c r="D36" s="307">
        <v>5300</v>
      </c>
      <c r="E36" s="307">
        <v>10600</v>
      </c>
      <c r="F36" s="2447" t="s">
        <v>1436</v>
      </c>
      <c r="G36" s="2493" t="s">
        <v>2038</v>
      </c>
      <c r="H36" s="2493"/>
      <c r="I36" s="19" t="s">
        <v>1721</v>
      </c>
    </row>
    <row r="37" spans="1:9">
      <c r="A37" s="479">
        <v>33</v>
      </c>
      <c r="B37" s="390" t="s">
        <v>1366</v>
      </c>
      <c r="C37" s="479">
        <v>1</v>
      </c>
      <c r="D37" s="307">
        <v>2551955.35</v>
      </c>
      <c r="E37" s="307">
        <v>2551955.35</v>
      </c>
      <c r="F37" s="390" t="s">
        <v>888</v>
      </c>
      <c r="G37" s="2493" t="s">
        <v>2038</v>
      </c>
      <c r="H37" s="2493"/>
      <c r="I37" s="19" t="s">
        <v>1721</v>
      </c>
    </row>
    <row r="38" spans="1:9">
      <c r="A38" s="215">
        <v>34</v>
      </c>
      <c r="B38" s="390" t="s">
        <v>969</v>
      </c>
      <c r="C38" s="479">
        <v>1</v>
      </c>
      <c r="D38" s="307">
        <v>24500</v>
      </c>
      <c r="E38" s="307">
        <v>24500</v>
      </c>
      <c r="F38" s="390" t="s">
        <v>472</v>
      </c>
      <c r="G38" s="2493" t="s">
        <v>2038</v>
      </c>
      <c r="H38" s="2493"/>
      <c r="I38" s="19" t="s">
        <v>1721</v>
      </c>
    </row>
    <row r="39" spans="1:9">
      <c r="A39" s="479">
        <v>35</v>
      </c>
      <c r="B39" s="390" t="s">
        <v>1014</v>
      </c>
      <c r="C39" s="479">
        <v>1</v>
      </c>
      <c r="D39" s="307">
        <v>2320</v>
      </c>
      <c r="E39" s="307">
        <v>2320</v>
      </c>
      <c r="F39" s="390" t="s">
        <v>472</v>
      </c>
      <c r="G39" s="2493" t="s">
        <v>2038</v>
      </c>
      <c r="H39" s="2493"/>
      <c r="I39" s="19" t="s">
        <v>1721</v>
      </c>
    </row>
    <row r="40" spans="1:9">
      <c r="A40" s="479">
        <v>36</v>
      </c>
      <c r="B40" s="390" t="s">
        <v>466</v>
      </c>
      <c r="C40" s="479">
        <v>1</v>
      </c>
      <c r="D40" s="307">
        <v>6900</v>
      </c>
      <c r="E40" s="307">
        <v>6900</v>
      </c>
      <c r="F40" s="390" t="s">
        <v>472</v>
      </c>
      <c r="G40" s="2493" t="s">
        <v>2038</v>
      </c>
      <c r="H40" s="2493"/>
      <c r="I40" s="19" t="s">
        <v>1721</v>
      </c>
    </row>
    <row r="41" spans="1:9">
      <c r="A41" s="215">
        <v>37</v>
      </c>
      <c r="B41" s="390" t="s">
        <v>1367</v>
      </c>
      <c r="C41" s="479">
        <v>2</v>
      </c>
      <c r="D41" s="307">
        <v>24500</v>
      </c>
      <c r="E41" s="307">
        <v>49000</v>
      </c>
      <c r="F41" s="390" t="s">
        <v>962</v>
      </c>
      <c r="G41" s="2493" t="s">
        <v>2038</v>
      </c>
      <c r="H41" s="2493"/>
      <c r="I41" s="19" t="s">
        <v>1721</v>
      </c>
    </row>
    <row r="42" spans="1:9">
      <c r="A42" s="479">
        <v>38</v>
      </c>
      <c r="B42" s="390" t="s">
        <v>1368</v>
      </c>
      <c r="C42" s="479">
        <v>2</v>
      </c>
      <c r="D42" s="307">
        <v>2320</v>
      </c>
      <c r="E42" s="307">
        <v>4640</v>
      </c>
      <c r="F42" s="390" t="s">
        <v>962</v>
      </c>
      <c r="G42" s="2493" t="s">
        <v>2038</v>
      </c>
      <c r="H42" s="2493"/>
      <c r="I42" s="19" t="s">
        <v>1721</v>
      </c>
    </row>
    <row r="43" spans="1:9" s="138" customFormat="1" ht="42">
      <c r="A43" s="479">
        <v>39</v>
      </c>
      <c r="B43" s="482" t="s">
        <v>1438</v>
      </c>
      <c r="C43" s="215">
        <v>1</v>
      </c>
      <c r="D43" s="1531">
        <v>6900</v>
      </c>
      <c r="E43" s="1531">
        <v>6900</v>
      </c>
      <c r="F43" s="221" t="s">
        <v>962</v>
      </c>
      <c r="G43" s="498" t="s">
        <v>2038</v>
      </c>
      <c r="H43" s="498"/>
      <c r="I43" s="138" t="s">
        <v>1721</v>
      </c>
    </row>
    <row r="44" spans="1:9" s="138" customFormat="1">
      <c r="A44" s="215">
        <v>40</v>
      </c>
      <c r="B44" s="221" t="s">
        <v>969</v>
      </c>
      <c r="C44" s="215">
        <v>3</v>
      </c>
      <c r="D44" s="1531">
        <v>24500</v>
      </c>
      <c r="E44" s="1531">
        <v>73500</v>
      </c>
      <c r="F44" s="482" t="s">
        <v>1478</v>
      </c>
      <c r="G44" s="498" t="s">
        <v>2038</v>
      </c>
      <c r="H44" s="498"/>
      <c r="I44" s="138" t="s">
        <v>1721</v>
      </c>
    </row>
    <row r="45" spans="1:9" s="138" customFormat="1">
      <c r="A45" s="479">
        <v>41</v>
      </c>
      <c r="B45" s="221" t="s">
        <v>1368</v>
      </c>
      <c r="C45" s="215">
        <v>3</v>
      </c>
      <c r="D45" s="1531">
        <v>2320</v>
      </c>
      <c r="E45" s="1531">
        <v>6960</v>
      </c>
      <c r="F45" s="482" t="s">
        <v>1478</v>
      </c>
      <c r="G45" s="498" t="s">
        <v>2038</v>
      </c>
      <c r="H45" s="498"/>
      <c r="I45" s="138" t="s">
        <v>1721</v>
      </c>
    </row>
    <row r="46" spans="1:9" s="138" customFormat="1">
      <c r="A46" s="479">
        <v>42</v>
      </c>
      <c r="B46" s="221" t="s">
        <v>1369</v>
      </c>
      <c r="C46" s="215">
        <v>3</v>
      </c>
      <c r="D46" s="1531">
        <v>4850</v>
      </c>
      <c r="E46" s="1531">
        <v>14550</v>
      </c>
      <c r="F46" s="482" t="s">
        <v>1478</v>
      </c>
      <c r="G46" s="498" t="s">
        <v>2038</v>
      </c>
      <c r="H46" s="498"/>
      <c r="I46" s="138" t="s">
        <v>1721</v>
      </c>
    </row>
    <row r="47" spans="1:9" s="138" customFormat="1" ht="27" customHeight="1">
      <c r="A47" s="215">
        <v>43</v>
      </c>
      <c r="B47" s="482" t="s">
        <v>2489</v>
      </c>
      <c r="C47" s="215">
        <v>3</v>
      </c>
      <c r="D47" s="1531">
        <v>24500</v>
      </c>
      <c r="E47" s="1531">
        <v>73500</v>
      </c>
      <c r="F47" s="221" t="s">
        <v>949</v>
      </c>
      <c r="G47" s="498" t="s">
        <v>2038</v>
      </c>
      <c r="H47" s="498"/>
      <c r="I47" s="138" t="s">
        <v>1721</v>
      </c>
    </row>
    <row r="48" spans="1:9" s="138" customFormat="1">
      <c r="A48" s="479">
        <v>44</v>
      </c>
      <c r="B48" s="221" t="s">
        <v>1014</v>
      </c>
      <c r="C48" s="215">
        <v>3</v>
      </c>
      <c r="D48" s="1531">
        <v>2320</v>
      </c>
      <c r="E48" s="1531">
        <v>6960</v>
      </c>
      <c r="F48" s="221" t="s">
        <v>949</v>
      </c>
      <c r="G48" s="498" t="s">
        <v>2038</v>
      </c>
      <c r="H48" s="498"/>
      <c r="I48" s="138" t="s">
        <v>1721</v>
      </c>
    </row>
    <row r="49" spans="1:9" s="138" customFormat="1">
      <c r="A49" s="479">
        <v>45</v>
      </c>
      <c r="B49" s="221" t="s">
        <v>1370</v>
      </c>
      <c r="C49" s="215">
        <v>1</v>
      </c>
      <c r="D49" s="1531">
        <v>7390</v>
      </c>
      <c r="E49" s="1531">
        <v>7390</v>
      </c>
      <c r="F49" s="221" t="s">
        <v>949</v>
      </c>
      <c r="G49" s="498" t="s">
        <v>2038</v>
      </c>
      <c r="H49" s="498"/>
      <c r="I49" s="138" t="s">
        <v>1721</v>
      </c>
    </row>
    <row r="50" spans="1:9" s="138" customFormat="1">
      <c r="A50" s="215">
        <v>46</v>
      </c>
      <c r="B50" s="221" t="s">
        <v>1371</v>
      </c>
      <c r="C50" s="215">
        <v>1</v>
      </c>
      <c r="D50" s="1531">
        <v>207954.5</v>
      </c>
      <c r="E50" s="1531">
        <v>207954.5</v>
      </c>
      <c r="F50" s="221" t="s">
        <v>1372</v>
      </c>
      <c r="G50" s="498" t="s">
        <v>2038</v>
      </c>
      <c r="H50" s="498"/>
      <c r="I50" s="138" t="s">
        <v>1721</v>
      </c>
    </row>
    <row r="51" spans="1:9" s="138" customFormat="1">
      <c r="A51" s="479">
        <v>47</v>
      </c>
      <c r="B51" s="221" t="s">
        <v>1367</v>
      </c>
      <c r="C51" s="215">
        <v>4</v>
      </c>
      <c r="D51" s="1531">
        <v>23900</v>
      </c>
      <c r="E51" s="1531">
        <v>95600</v>
      </c>
      <c r="F51" s="221" t="s">
        <v>961</v>
      </c>
      <c r="G51" s="498" t="s">
        <v>2038</v>
      </c>
      <c r="H51" s="498"/>
      <c r="I51" s="138" t="s">
        <v>1721</v>
      </c>
    </row>
    <row r="52" spans="1:9" s="138" customFormat="1">
      <c r="A52" s="479">
        <v>48</v>
      </c>
      <c r="B52" s="221" t="s">
        <v>1014</v>
      </c>
      <c r="C52" s="215">
        <v>4</v>
      </c>
      <c r="D52" s="1531">
        <v>2320</v>
      </c>
      <c r="E52" s="1531">
        <v>9280</v>
      </c>
      <c r="F52" s="221" t="s">
        <v>961</v>
      </c>
      <c r="G52" s="498" t="s">
        <v>2038</v>
      </c>
      <c r="H52" s="498"/>
      <c r="I52" s="138" t="s">
        <v>1721</v>
      </c>
    </row>
    <row r="53" spans="1:9" s="138" customFormat="1">
      <c r="A53" s="215">
        <v>49</v>
      </c>
      <c r="B53" s="221" t="s">
        <v>969</v>
      </c>
      <c r="C53" s="215">
        <v>3</v>
      </c>
      <c r="D53" s="1531">
        <v>21900</v>
      </c>
      <c r="E53" s="1531">
        <v>65700</v>
      </c>
      <c r="F53" s="221" t="s">
        <v>472</v>
      </c>
      <c r="G53" s="498" t="s">
        <v>2038</v>
      </c>
      <c r="H53" s="498"/>
      <c r="I53" s="138" t="s">
        <v>1721</v>
      </c>
    </row>
    <row r="54" spans="1:9" s="138" customFormat="1">
      <c r="A54" s="479">
        <v>50</v>
      </c>
      <c r="B54" s="221" t="s">
        <v>1014</v>
      </c>
      <c r="C54" s="215">
        <v>3</v>
      </c>
      <c r="D54" s="1531">
        <v>2150</v>
      </c>
      <c r="E54" s="1531">
        <v>6450</v>
      </c>
      <c r="F54" s="221" t="s">
        <v>472</v>
      </c>
      <c r="G54" s="498" t="s">
        <v>2038</v>
      </c>
      <c r="H54" s="498"/>
      <c r="I54" s="138" t="s">
        <v>1721</v>
      </c>
    </row>
    <row r="55" spans="1:9" s="138" customFormat="1">
      <c r="A55" s="479">
        <v>51</v>
      </c>
      <c r="B55" s="221" t="s">
        <v>1369</v>
      </c>
      <c r="C55" s="215">
        <v>1</v>
      </c>
      <c r="D55" s="1531">
        <v>6800</v>
      </c>
      <c r="E55" s="1531">
        <v>6800</v>
      </c>
      <c r="F55" s="221" t="s">
        <v>472</v>
      </c>
      <c r="G55" s="498" t="s">
        <v>2038</v>
      </c>
      <c r="H55" s="498"/>
      <c r="I55" s="138" t="s">
        <v>1721</v>
      </c>
    </row>
    <row r="56" spans="1:9" s="138" customFormat="1">
      <c r="A56" s="215">
        <v>52</v>
      </c>
      <c r="B56" s="221" t="s">
        <v>1367</v>
      </c>
      <c r="C56" s="215">
        <v>3</v>
      </c>
      <c r="D56" s="1531">
        <v>21900</v>
      </c>
      <c r="E56" s="1531">
        <v>65700</v>
      </c>
      <c r="F56" s="221" t="s">
        <v>1375</v>
      </c>
      <c r="G56" s="498" t="s">
        <v>2038</v>
      </c>
      <c r="H56" s="498"/>
      <c r="I56" s="138" t="s">
        <v>1721</v>
      </c>
    </row>
    <row r="57" spans="1:9" s="138" customFormat="1">
      <c r="A57" s="479">
        <v>53</v>
      </c>
      <c r="B57" s="221" t="s">
        <v>1376</v>
      </c>
      <c r="C57" s="215">
        <v>3</v>
      </c>
      <c r="D57" s="1531">
        <v>2150</v>
      </c>
      <c r="E57" s="1531">
        <v>6450</v>
      </c>
      <c r="F57" s="221" t="s">
        <v>1375</v>
      </c>
      <c r="G57" s="498" t="s">
        <v>2038</v>
      </c>
      <c r="H57" s="498"/>
      <c r="I57" s="138" t="s">
        <v>1721</v>
      </c>
    </row>
    <row r="58" spans="1:9" s="138" customFormat="1">
      <c r="A58" s="479">
        <v>54</v>
      </c>
      <c r="B58" s="221" t="s">
        <v>1377</v>
      </c>
      <c r="C58" s="215">
        <v>3</v>
      </c>
      <c r="D58" s="1531">
        <v>4400</v>
      </c>
      <c r="E58" s="1531">
        <v>13200</v>
      </c>
      <c r="F58" s="221" t="s">
        <v>1375</v>
      </c>
      <c r="G58" s="498" t="s">
        <v>2038</v>
      </c>
      <c r="H58" s="498"/>
      <c r="I58" s="138" t="s">
        <v>1721</v>
      </c>
    </row>
    <row r="59" spans="1:9" s="138" customFormat="1" ht="24.75" customHeight="1">
      <c r="A59" s="215">
        <v>55</v>
      </c>
      <c r="B59" s="2441" t="s">
        <v>2765</v>
      </c>
      <c r="C59" s="215">
        <v>12</v>
      </c>
      <c r="D59" s="408">
        <v>40540</v>
      </c>
      <c r="E59" s="408">
        <f>+C59*D59</f>
        <v>486480</v>
      </c>
      <c r="F59" s="216" t="s">
        <v>961</v>
      </c>
      <c r="G59" s="498" t="s">
        <v>2038</v>
      </c>
      <c r="H59" s="498"/>
      <c r="I59" s="138" t="s">
        <v>1721</v>
      </c>
    </row>
    <row r="60" spans="1:9" s="138" customFormat="1" ht="22.5" customHeight="1">
      <c r="A60" s="479">
        <v>56</v>
      </c>
      <c r="B60" s="251" t="s">
        <v>734</v>
      </c>
      <c r="C60" s="233">
        <v>1</v>
      </c>
      <c r="D60" s="403">
        <v>800000</v>
      </c>
      <c r="E60" s="403">
        <v>800000</v>
      </c>
      <c r="F60" s="1477" t="s">
        <v>584</v>
      </c>
      <c r="G60" s="498" t="s">
        <v>2038</v>
      </c>
      <c r="H60" s="498"/>
      <c r="I60" s="138" t="s">
        <v>1721</v>
      </c>
    </row>
    <row r="61" spans="1:9">
      <c r="A61" s="479">
        <v>57</v>
      </c>
      <c r="B61" s="684" t="s">
        <v>761</v>
      </c>
      <c r="C61" s="1488">
        <v>1</v>
      </c>
      <c r="D61" s="1491">
        <v>24300</v>
      </c>
      <c r="E61" s="588">
        <f t="shared" ref="E61:E71" si="1">+C61*D61</f>
        <v>24300</v>
      </c>
      <c r="F61" s="1477" t="s">
        <v>584</v>
      </c>
      <c r="G61" s="682" t="s">
        <v>2038</v>
      </c>
      <c r="H61" s="682"/>
      <c r="I61" s="138" t="s">
        <v>1721</v>
      </c>
    </row>
    <row r="62" spans="1:9">
      <c r="A62" s="215">
        <v>58</v>
      </c>
      <c r="B62" s="684" t="s">
        <v>762</v>
      </c>
      <c r="C62" s="1488">
        <v>1</v>
      </c>
      <c r="D62" s="1491">
        <v>10516</v>
      </c>
      <c r="E62" s="588">
        <f t="shared" si="1"/>
        <v>10516</v>
      </c>
      <c r="F62" s="1477" t="s">
        <v>584</v>
      </c>
      <c r="G62" s="682" t="s">
        <v>2038</v>
      </c>
      <c r="H62" s="682"/>
      <c r="I62" s="138" t="s">
        <v>1721</v>
      </c>
    </row>
    <row r="63" spans="1:9" s="138" customFormat="1" ht="24" customHeight="1">
      <c r="A63" s="479">
        <v>59</v>
      </c>
      <c r="B63" s="251" t="s">
        <v>648</v>
      </c>
      <c r="C63" s="490">
        <v>2</v>
      </c>
      <c r="D63" s="405">
        <v>40000</v>
      </c>
      <c r="E63" s="328">
        <f t="shared" si="1"/>
        <v>80000</v>
      </c>
      <c r="F63" s="1477" t="s">
        <v>584</v>
      </c>
      <c r="G63" s="498" t="s">
        <v>2038</v>
      </c>
      <c r="H63" s="498"/>
      <c r="I63" s="138" t="s">
        <v>1721</v>
      </c>
    </row>
    <row r="64" spans="1:9">
      <c r="A64" s="479">
        <v>60</v>
      </c>
      <c r="B64" s="684" t="s">
        <v>535</v>
      </c>
      <c r="C64" s="1488">
        <v>1</v>
      </c>
      <c r="D64" s="1489">
        <v>29000</v>
      </c>
      <c r="E64" s="588">
        <f t="shared" si="1"/>
        <v>29000</v>
      </c>
      <c r="F64" s="1477" t="s">
        <v>584</v>
      </c>
      <c r="G64" s="682" t="s">
        <v>2038</v>
      </c>
      <c r="H64" s="682"/>
      <c r="I64" s="138" t="s">
        <v>1721</v>
      </c>
    </row>
    <row r="65" spans="1:9">
      <c r="A65" s="215">
        <v>61</v>
      </c>
      <c r="B65" s="684" t="s">
        <v>752</v>
      </c>
      <c r="C65" s="1488">
        <v>5</v>
      </c>
      <c r="D65" s="1490">
        <v>23000</v>
      </c>
      <c r="E65" s="588">
        <f t="shared" si="1"/>
        <v>115000</v>
      </c>
      <c r="F65" s="1477" t="s">
        <v>584</v>
      </c>
      <c r="G65" s="682" t="s">
        <v>2038</v>
      </c>
      <c r="H65" s="682"/>
      <c r="I65" s="138" t="s">
        <v>1721</v>
      </c>
    </row>
    <row r="66" spans="1:9">
      <c r="A66" s="479">
        <v>62</v>
      </c>
      <c r="B66" s="684" t="s">
        <v>757</v>
      </c>
      <c r="C66" s="1488">
        <v>10</v>
      </c>
      <c r="D66" s="1490">
        <v>8900</v>
      </c>
      <c r="E66" s="588">
        <f t="shared" si="1"/>
        <v>89000</v>
      </c>
      <c r="F66" s="1477" t="s">
        <v>584</v>
      </c>
      <c r="G66" s="682" t="s">
        <v>2038</v>
      </c>
      <c r="H66" s="682"/>
      <c r="I66" s="138" t="s">
        <v>1721</v>
      </c>
    </row>
    <row r="67" spans="1:9">
      <c r="A67" s="479">
        <v>63</v>
      </c>
      <c r="B67" s="684" t="s">
        <v>766</v>
      </c>
      <c r="C67" s="1488">
        <v>2</v>
      </c>
      <c r="D67" s="1491">
        <v>919</v>
      </c>
      <c r="E67" s="588">
        <f t="shared" si="1"/>
        <v>1838</v>
      </c>
      <c r="F67" s="1477" t="s">
        <v>584</v>
      </c>
      <c r="G67" s="682" t="s">
        <v>2038</v>
      </c>
      <c r="H67" s="682"/>
      <c r="I67" s="138" t="s">
        <v>1721</v>
      </c>
    </row>
    <row r="68" spans="1:9">
      <c r="A68" s="215">
        <v>64</v>
      </c>
      <c r="B68" s="684" t="s">
        <v>769</v>
      </c>
      <c r="C68" s="1488">
        <v>2</v>
      </c>
      <c r="D68" s="1491">
        <v>1800</v>
      </c>
      <c r="E68" s="588">
        <f t="shared" si="1"/>
        <v>3600</v>
      </c>
      <c r="F68" s="1477" t="s">
        <v>584</v>
      </c>
      <c r="G68" s="682" t="s">
        <v>2038</v>
      </c>
      <c r="H68" s="682"/>
      <c r="I68" s="138" t="s">
        <v>1721</v>
      </c>
    </row>
    <row r="69" spans="1:9">
      <c r="A69" s="479">
        <v>65</v>
      </c>
      <c r="B69" s="686" t="s">
        <v>1025</v>
      </c>
      <c r="C69" s="1475">
        <v>6</v>
      </c>
      <c r="D69" s="1476">
        <v>6600</v>
      </c>
      <c r="E69" s="588">
        <f t="shared" si="1"/>
        <v>39600</v>
      </c>
      <c r="F69" s="686" t="s">
        <v>584</v>
      </c>
      <c r="G69" s="682" t="s">
        <v>2038</v>
      </c>
      <c r="H69" s="682"/>
      <c r="I69" s="138" t="s">
        <v>1721</v>
      </c>
    </row>
    <row r="70" spans="1:9">
      <c r="A70" s="479">
        <v>66</v>
      </c>
      <c r="B70" s="686" t="s">
        <v>1027</v>
      </c>
      <c r="C70" s="1475">
        <v>3</v>
      </c>
      <c r="D70" s="1476">
        <v>2650</v>
      </c>
      <c r="E70" s="588">
        <f t="shared" si="1"/>
        <v>7950</v>
      </c>
      <c r="F70" s="686" t="s">
        <v>584</v>
      </c>
      <c r="G70" s="682" t="s">
        <v>2038</v>
      </c>
      <c r="H70" s="682"/>
      <c r="I70" s="138" t="s">
        <v>1721</v>
      </c>
    </row>
    <row r="71" spans="1:9">
      <c r="A71" s="215">
        <v>67</v>
      </c>
      <c r="B71" s="688" t="s">
        <v>1184</v>
      </c>
      <c r="C71" s="1475">
        <v>1</v>
      </c>
      <c r="D71" s="1485">
        <v>9000000</v>
      </c>
      <c r="E71" s="1492">
        <f t="shared" si="1"/>
        <v>9000000</v>
      </c>
      <c r="F71" s="683" t="s">
        <v>532</v>
      </c>
      <c r="G71" s="682" t="s">
        <v>2038</v>
      </c>
      <c r="H71" s="682"/>
      <c r="I71" s="138" t="s">
        <v>1721</v>
      </c>
    </row>
    <row r="72" spans="1:9" s="138" customFormat="1">
      <c r="A72" s="479">
        <v>68</v>
      </c>
      <c r="B72" s="1642" t="s">
        <v>531</v>
      </c>
      <c r="C72" s="233">
        <v>1</v>
      </c>
      <c r="D72" s="403">
        <v>152000</v>
      </c>
      <c r="E72" s="404">
        <v>152000</v>
      </c>
      <c r="F72" s="1477" t="s">
        <v>532</v>
      </c>
      <c r="G72" s="682" t="s">
        <v>2038</v>
      </c>
      <c r="H72" s="682"/>
      <c r="I72" s="138" t="s">
        <v>1721</v>
      </c>
    </row>
    <row r="73" spans="1:9">
      <c r="A73" s="479">
        <v>69</v>
      </c>
      <c r="B73" s="684" t="s">
        <v>1185</v>
      </c>
      <c r="C73" s="1475">
        <v>1</v>
      </c>
      <c r="D73" s="1493">
        <v>250000</v>
      </c>
      <c r="E73" s="1492">
        <v>250000</v>
      </c>
      <c r="F73" s="683" t="s">
        <v>532</v>
      </c>
      <c r="G73" s="682" t="s">
        <v>2038</v>
      </c>
      <c r="H73" s="682"/>
      <c r="I73" s="138" t="s">
        <v>1721</v>
      </c>
    </row>
    <row r="74" spans="1:9" s="138" customFormat="1">
      <c r="A74" s="479">
        <v>70</v>
      </c>
      <c r="B74" s="251" t="s">
        <v>1272</v>
      </c>
      <c r="C74" s="490">
        <v>1</v>
      </c>
      <c r="D74" s="481">
        <v>500000</v>
      </c>
      <c r="E74" s="328">
        <f t="shared" ref="E74:E75" si="2">+C74*D74</f>
        <v>500000</v>
      </c>
      <c r="F74" s="1477" t="s">
        <v>532</v>
      </c>
      <c r="G74" s="498" t="s">
        <v>2038</v>
      </c>
      <c r="H74" s="498"/>
      <c r="I74" s="138" t="s">
        <v>1721</v>
      </c>
    </row>
    <row r="75" spans="1:9" s="138" customFormat="1">
      <c r="A75" s="215">
        <v>71</v>
      </c>
      <c r="B75" s="251" t="s">
        <v>768</v>
      </c>
      <c r="C75" s="490">
        <v>20</v>
      </c>
      <c r="D75" s="2406">
        <v>2500</v>
      </c>
      <c r="E75" s="328">
        <f t="shared" si="2"/>
        <v>50000</v>
      </c>
      <c r="F75" s="1477" t="s">
        <v>532</v>
      </c>
      <c r="G75" s="498" t="s">
        <v>2038</v>
      </c>
      <c r="H75" s="498"/>
      <c r="I75" s="138" t="s">
        <v>1721</v>
      </c>
    </row>
    <row r="76" spans="1:9" s="138" customFormat="1">
      <c r="A76" s="479">
        <v>72</v>
      </c>
      <c r="B76" s="251" t="s">
        <v>1432</v>
      </c>
      <c r="C76" s="490">
        <v>99</v>
      </c>
      <c r="D76" s="2407"/>
      <c r="E76" s="328">
        <v>487920</v>
      </c>
      <c r="F76" s="1477" t="s">
        <v>532</v>
      </c>
      <c r="G76" s="498" t="s">
        <v>2038</v>
      </c>
      <c r="H76" s="498"/>
      <c r="I76" s="138" t="s">
        <v>1721</v>
      </c>
    </row>
    <row r="77" spans="1:9" s="138" customFormat="1" ht="24.75" customHeight="1">
      <c r="A77" s="479">
        <v>73</v>
      </c>
      <c r="B77" s="251" t="s">
        <v>749</v>
      </c>
      <c r="C77" s="490">
        <v>1</v>
      </c>
      <c r="D77" s="454">
        <v>25800</v>
      </c>
      <c r="E77" s="328">
        <f>+C77*D77</f>
        <v>25800</v>
      </c>
      <c r="F77" s="1477" t="s">
        <v>532</v>
      </c>
      <c r="G77" s="498" t="s">
        <v>2038</v>
      </c>
      <c r="H77" s="498"/>
      <c r="I77" s="138" t="s">
        <v>1721</v>
      </c>
    </row>
    <row r="78" spans="1:9" s="138" customFormat="1">
      <c r="A78" s="479">
        <v>74</v>
      </c>
      <c r="B78" s="251" t="s">
        <v>1440</v>
      </c>
      <c r="C78" s="215">
        <v>1</v>
      </c>
      <c r="D78" s="1583">
        <v>4999040</v>
      </c>
      <c r="E78" s="328">
        <f>+C78*D78</f>
        <v>4999040</v>
      </c>
      <c r="F78" s="1477" t="s">
        <v>532</v>
      </c>
      <c r="G78" s="498" t="s">
        <v>2038</v>
      </c>
      <c r="H78" s="498"/>
      <c r="I78" s="138" t="s">
        <v>1721</v>
      </c>
    </row>
    <row r="79" spans="1:9">
      <c r="A79" s="215">
        <v>75</v>
      </c>
      <c r="B79" s="305" t="s">
        <v>1628</v>
      </c>
      <c r="C79" s="306">
        <v>10</v>
      </c>
      <c r="D79" s="1841">
        <v>6500</v>
      </c>
      <c r="E79" s="1904">
        <f t="shared" ref="E79:E89" si="3">C79*D79</f>
        <v>65000</v>
      </c>
      <c r="F79" s="1856" t="s">
        <v>1629</v>
      </c>
      <c r="G79" s="685" t="s">
        <v>2038</v>
      </c>
      <c r="H79" s="2494"/>
    </row>
    <row r="80" spans="1:9">
      <c r="A80" s="479">
        <v>76</v>
      </c>
      <c r="B80" s="305" t="s">
        <v>1630</v>
      </c>
      <c r="C80" s="306">
        <v>25</v>
      </c>
      <c r="D80" s="1841">
        <v>7500</v>
      </c>
      <c r="E80" s="1904">
        <f t="shared" si="3"/>
        <v>187500</v>
      </c>
      <c r="F80" s="1856" t="s">
        <v>1629</v>
      </c>
      <c r="G80" s="685" t="s">
        <v>2038</v>
      </c>
      <c r="H80" s="2494"/>
    </row>
    <row r="81" spans="1:10">
      <c r="A81" s="479">
        <v>77</v>
      </c>
      <c r="B81" s="305" t="s">
        <v>1631</v>
      </c>
      <c r="C81" s="306">
        <v>1</v>
      </c>
      <c r="D81" s="1904">
        <v>10000</v>
      </c>
      <c r="E81" s="1904">
        <f t="shared" si="3"/>
        <v>10000</v>
      </c>
      <c r="F81" s="305" t="s">
        <v>1632</v>
      </c>
      <c r="G81" s="685" t="s">
        <v>2038</v>
      </c>
      <c r="H81" s="2494"/>
    </row>
    <row r="82" spans="1:10">
      <c r="A82" s="479">
        <v>78</v>
      </c>
      <c r="B82" s="305" t="s">
        <v>1633</v>
      </c>
      <c r="C82" s="306">
        <v>1</v>
      </c>
      <c r="D82" s="1841">
        <v>200000</v>
      </c>
      <c r="E82" s="1904">
        <f t="shared" si="3"/>
        <v>200000</v>
      </c>
      <c r="F82" s="1856" t="s">
        <v>1629</v>
      </c>
      <c r="G82" s="685" t="s">
        <v>2038</v>
      </c>
      <c r="H82" s="2494"/>
    </row>
    <row r="83" spans="1:10">
      <c r="A83" s="215">
        <v>79</v>
      </c>
      <c r="B83" s="305" t="s">
        <v>1634</v>
      </c>
      <c r="C83" s="306">
        <v>70</v>
      </c>
      <c r="D83" s="1841">
        <v>36000</v>
      </c>
      <c r="E83" s="1904">
        <f t="shared" si="3"/>
        <v>2520000</v>
      </c>
      <c r="F83" s="1856" t="s">
        <v>1629</v>
      </c>
      <c r="G83" s="685" t="s">
        <v>2038</v>
      </c>
      <c r="H83" s="2494"/>
    </row>
    <row r="84" spans="1:10">
      <c r="A84" s="479">
        <v>80</v>
      </c>
      <c r="B84" s="305" t="s">
        <v>1635</v>
      </c>
      <c r="C84" s="306">
        <v>1</v>
      </c>
      <c r="D84" s="1841">
        <v>1000000</v>
      </c>
      <c r="E84" s="1904">
        <f t="shared" si="3"/>
        <v>1000000</v>
      </c>
      <c r="F84" s="1856" t="s">
        <v>1629</v>
      </c>
      <c r="G84" s="685" t="s">
        <v>2038</v>
      </c>
      <c r="H84" s="2494"/>
    </row>
    <row r="85" spans="1:10">
      <c r="A85" s="479">
        <v>81</v>
      </c>
      <c r="B85" s="390" t="s">
        <v>1636</v>
      </c>
      <c r="C85" s="479">
        <v>2</v>
      </c>
      <c r="D85" s="1983">
        <v>100000</v>
      </c>
      <c r="E85" s="1904">
        <f t="shared" si="3"/>
        <v>200000</v>
      </c>
      <c r="F85" s="2423" t="s">
        <v>1532</v>
      </c>
      <c r="G85" s="685" t="s">
        <v>2038</v>
      </c>
      <c r="H85" s="2494"/>
    </row>
    <row r="86" spans="1:10">
      <c r="A86" s="479">
        <v>82</v>
      </c>
      <c r="B86" s="221" t="s">
        <v>1637</v>
      </c>
      <c r="C86" s="310">
        <v>4</v>
      </c>
      <c r="D86" s="1907">
        <v>6500</v>
      </c>
      <c r="E86" s="1904">
        <f t="shared" si="3"/>
        <v>26000</v>
      </c>
      <c r="F86" s="1908" t="s">
        <v>1629</v>
      </c>
      <c r="G86" s="685" t="s">
        <v>2038</v>
      </c>
      <c r="H86" s="2494"/>
    </row>
    <row r="87" spans="1:10">
      <c r="A87" s="215">
        <v>83</v>
      </c>
      <c r="B87" s="305" t="s">
        <v>1638</v>
      </c>
      <c r="C87" s="306">
        <v>35</v>
      </c>
      <c r="D87" s="1841">
        <v>10700</v>
      </c>
      <c r="E87" s="1904">
        <f t="shared" si="3"/>
        <v>374500</v>
      </c>
      <c r="F87" s="1856" t="s">
        <v>1629</v>
      </c>
      <c r="G87" s="685" t="s">
        <v>2038</v>
      </c>
      <c r="H87" s="2494"/>
    </row>
    <row r="88" spans="1:10">
      <c r="A88" s="479">
        <v>84</v>
      </c>
      <c r="B88" s="305" t="s">
        <v>1639</v>
      </c>
      <c r="C88" s="306">
        <v>1</v>
      </c>
      <c r="D88" s="1841">
        <v>2750000</v>
      </c>
      <c r="E88" s="1904">
        <f t="shared" si="3"/>
        <v>2750000</v>
      </c>
      <c r="F88" s="1856" t="s">
        <v>1629</v>
      </c>
      <c r="G88" s="685" t="s">
        <v>2038</v>
      </c>
      <c r="H88" s="2494"/>
    </row>
    <row r="89" spans="1:10">
      <c r="A89" s="479">
        <v>85</v>
      </c>
      <c r="B89" s="305" t="s">
        <v>1641</v>
      </c>
      <c r="C89" s="306">
        <v>1</v>
      </c>
      <c r="D89" s="1841">
        <v>51360</v>
      </c>
      <c r="E89" s="1904">
        <f t="shared" si="3"/>
        <v>51360</v>
      </c>
      <c r="F89" s="305" t="s">
        <v>1571</v>
      </c>
      <c r="G89" s="685" t="s">
        <v>2038</v>
      </c>
      <c r="H89" s="2494"/>
    </row>
    <row r="90" spans="1:10">
      <c r="A90" s="479">
        <v>86</v>
      </c>
      <c r="B90" s="2483" t="s">
        <v>1962</v>
      </c>
      <c r="C90" s="2484">
        <v>148</v>
      </c>
      <c r="D90" s="2484"/>
      <c r="E90" s="2485">
        <v>3200000</v>
      </c>
      <c r="F90" s="478" t="s">
        <v>416</v>
      </c>
      <c r="G90" s="2483" t="s">
        <v>2038</v>
      </c>
      <c r="H90" s="2483"/>
    </row>
    <row r="91" spans="1:10">
      <c r="A91" s="215">
        <v>87</v>
      </c>
      <c r="B91" s="2483" t="s">
        <v>1963</v>
      </c>
      <c r="C91" s="2484">
        <v>1</v>
      </c>
      <c r="D91" s="2484"/>
      <c r="E91" s="2485">
        <v>2600000</v>
      </c>
      <c r="F91" s="478" t="s">
        <v>416</v>
      </c>
      <c r="G91" s="2483" t="s">
        <v>2038</v>
      </c>
      <c r="H91" s="2483"/>
    </row>
    <row r="92" spans="1:10">
      <c r="A92" s="479">
        <v>88</v>
      </c>
      <c r="B92" s="2487" t="s">
        <v>1964</v>
      </c>
      <c r="C92" s="2484">
        <v>240</v>
      </c>
      <c r="D92" s="2484"/>
      <c r="E92" s="2485">
        <v>1000000</v>
      </c>
      <c r="F92" s="478" t="s">
        <v>416</v>
      </c>
      <c r="G92" s="2483" t="s">
        <v>2038</v>
      </c>
      <c r="H92" s="2483"/>
    </row>
    <row r="93" spans="1:10">
      <c r="A93" s="479">
        <v>89</v>
      </c>
      <c r="B93" s="2483" t="s">
        <v>2583</v>
      </c>
      <c r="C93" s="2484">
        <v>7</v>
      </c>
      <c r="D93" s="2485">
        <v>65000</v>
      </c>
      <c r="E93" s="2488">
        <f>+C93*D93</f>
        <v>455000</v>
      </c>
      <c r="F93" s="478" t="s">
        <v>416</v>
      </c>
      <c r="G93" s="2483" t="s">
        <v>2038</v>
      </c>
      <c r="H93" s="2483"/>
    </row>
    <row r="94" spans="1:10">
      <c r="A94" s="479">
        <v>90</v>
      </c>
      <c r="B94" s="478" t="s">
        <v>1754</v>
      </c>
      <c r="C94" s="479">
        <v>1</v>
      </c>
      <c r="D94" s="1537">
        <v>23114.1</v>
      </c>
      <c r="E94" s="1537">
        <v>23114.1</v>
      </c>
      <c r="F94" s="478" t="s">
        <v>416</v>
      </c>
      <c r="G94" s="2483" t="s">
        <v>2038</v>
      </c>
      <c r="H94" s="2483"/>
      <c r="I94" s="2461" t="s">
        <v>2346</v>
      </c>
      <c r="J94" s="19" t="s">
        <v>1905</v>
      </c>
    </row>
    <row r="95" spans="1:10">
      <c r="A95" s="215">
        <v>91</v>
      </c>
      <c r="B95" s="478" t="s">
        <v>1821</v>
      </c>
      <c r="C95" s="479">
        <v>15</v>
      </c>
      <c r="D95" s="1537">
        <v>2300.5</v>
      </c>
      <c r="E95" s="1537">
        <v>34507.5</v>
      </c>
      <c r="F95" s="478" t="s">
        <v>1889</v>
      </c>
      <c r="G95" s="2483" t="s">
        <v>2038</v>
      </c>
      <c r="H95" s="2483"/>
      <c r="I95" s="2461" t="s">
        <v>2398</v>
      </c>
      <c r="J95" s="19" t="s">
        <v>1905</v>
      </c>
    </row>
    <row r="96" spans="1:10">
      <c r="A96" s="479">
        <v>92</v>
      </c>
      <c r="B96" s="478" t="s">
        <v>1836</v>
      </c>
      <c r="C96" s="479">
        <v>3</v>
      </c>
      <c r="D96" s="1537">
        <v>5885</v>
      </c>
      <c r="E96" s="1537">
        <v>17655</v>
      </c>
      <c r="F96" s="478" t="s">
        <v>416</v>
      </c>
      <c r="G96" s="2483" t="s">
        <v>2038</v>
      </c>
      <c r="H96" s="2483"/>
      <c r="I96" s="2461" t="s">
        <v>2409</v>
      </c>
      <c r="J96" s="19" t="s">
        <v>1905</v>
      </c>
    </row>
    <row r="97" spans="1:10">
      <c r="A97" s="479">
        <v>93</v>
      </c>
      <c r="B97" s="478" t="s">
        <v>1838</v>
      </c>
      <c r="C97" s="479">
        <v>4</v>
      </c>
      <c r="D97" s="1537">
        <v>5638.9</v>
      </c>
      <c r="E97" s="1537">
        <v>22555.599999999999</v>
      </c>
      <c r="F97" s="478" t="s">
        <v>416</v>
      </c>
      <c r="G97" s="2483" t="s">
        <v>2038</v>
      </c>
      <c r="H97" s="2483"/>
      <c r="I97" s="2461" t="s">
        <v>2411</v>
      </c>
      <c r="J97" s="19" t="s">
        <v>1905</v>
      </c>
    </row>
    <row r="98" spans="1:10">
      <c r="A98" s="479">
        <v>94</v>
      </c>
      <c r="B98" s="478" t="s">
        <v>1845</v>
      </c>
      <c r="C98" s="479">
        <v>10</v>
      </c>
      <c r="D98" s="1537">
        <v>27820</v>
      </c>
      <c r="E98" s="1537">
        <v>278200</v>
      </c>
      <c r="F98" s="2482" t="s">
        <v>416</v>
      </c>
      <c r="G98" s="2483" t="s">
        <v>2038</v>
      </c>
      <c r="H98" s="2483"/>
      <c r="I98" s="2461" t="s">
        <v>2418</v>
      </c>
      <c r="J98" s="19" t="s">
        <v>1905</v>
      </c>
    </row>
    <row r="99" spans="1:10">
      <c r="A99" s="215">
        <v>95</v>
      </c>
      <c r="B99" s="478" t="s">
        <v>1858</v>
      </c>
      <c r="C99" s="479">
        <v>5</v>
      </c>
      <c r="D99" s="1537">
        <v>2889</v>
      </c>
      <c r="E99" s="1537">
        <v>14445</v>
      </c>
      <c r="F99" s="478" t="s">
        <v>416</v>
      </c>
      <c r="G99" s="2483" t="s">
        <v>2038</v>
      </c>
      <c r="H99" s="2483"/>
      <c r="I99" s="2461" t="s">
        <v>2435</v>
      </c>
      <c r="J99" s="19" t="s">
        <v>1905</v>
      </c>
    </row>
    <row r="100" spans="1:10">
      <c r="A100" s="479">
        <v>96</v>
      </c>
      <c r="B100" s="478" t="s">
        <v>1859</v>
      </c>
      <c r="C100" s="479">
        <v>1</v>
      </c>
      <c r="D100" s="1537">
        <v>5885</v>
      </c>
      <c r="E100" s="1537">
        <v>5885</v>
      </c>
      <c r="F100" s="478" t="s">
        <v>614</v>
      </c>
      <c r="G100" s="2483" t="s">
        <v>2038</v>
      </c>
      <c r="H100" s="2483"/>
      <c r="I100" s="2461" t="s">
        <v>2436</v>
      </c>
      <c r="J100" s="19" t="s">
        <v>1905</v>
      </c>
    </row>
    <row r="101" spans="1:10">
      <c r="A101" s="479">
        <v>97</v>
      </c>
      <c r="B101" s="478" t="s">
        <v>1860</v>
      </c>
      <c r="C101" s="479">
        <v>1</v>
      </c>
      <c r="D101" s="1537">
        <v>2300.5</v>
      </c>
      <c r="E101" s="1537">
        <v>2300.5</v>
      </c>
      <c r="F101" s="478" t="s">
        <v>614</v>
      </c>
      <c r="G101" s="2483" t="s">
        <v>2038</v>
      </c>
      <c r="H101" s="2483"/>
      <c r="I101" s="2461" t="s">
        <v>2436</v>
      </c>
      <c r="J101" s="19" t="s">
        <v>1905</v>
      </c>
    </row>
    <row r="102" spans="1:10">
      <c r="A102" s="479">
        <v>98</v>
      </c>
      <c r="B102" s="478" t="s">
        <v>969</v>
      </c>
      <c r="C102" s="479">
        <v>5</v>
      </c>
      <c r="D102" s="1537">
        <v>27820</v>
      </c>
      <c r="E102" s="1537">
        <v>139100</v>
      </c>
      <c r="F102" s="478" t="s">
        <v>416</v>
      </c>
      <c r="G102" s="2483" t="s">
        <v>2038</v>
      </c>
      <c r="H102" s="2483"/>
      <c r="I102" s="2461" t="s">
        <v>2442</v>
      </c>
      <c r="J102" s="19" t="s">
        <v>1905</v>
      </c>
    </row>
    <row r="103" spans="1:10">
      <c r="A103" s="215">
        <v>99</v>
      </c>
      <c r="B103" s="478" t="s">
        <v>1771</v>
      </c>
      <c r="C103" s="479">
        <v>1</v>
      </c>
      <c r="D103" s="1537">
        <v>444906</v>
      </c>
      <c r="E103" s="1537">
        <v>444906</v>
      </c>
      <c r="F103" s="478" t="s">
        <v>584</v>
      </c>
      <c r="G103" s="2483" t="s">
        <v>2038</v>
      </c>
      <c r="H103" s="2483"/>
      <c r="I103" s="2461" t="s">
        <v>2289</v>
      </c>
      <c r="J103" s="19" t="s">
        <v>1905</v>
      </c>
    </row>
    <row r="104" spans="1:10">
      <c r="A104" s="479">
        <v>100</v>
      </c>
      <c r="B104" s="478" t="s">
        <v>1800</v>
      </c>
      <c r="C104" s="479">
        <v>1</v>
      </c>
      <c r="D104" s="1537">
        <v>46855.3</v>
      </c>
      <c r="E104" s="1537">
        <v>46855.3</v>
      </c>
      <c r="F104" s="478" t="s">
        <v>614</v>
      </c>
      <c r="G104" s="2483" t="s">
        <v>2038</v>
      </c>
      <c r="H104" s="2483"/>
      <c r="I104" s="2461" t="s">
        <v>2379</v>
      </c>
      <c r="J104" s="19" t="s">
        <v>1905</v>
      </c>
    </row>
    <row r="105" spans="1:10">
      <c r="A105" s="479">
        <v>101</v>
      </c>
      <c r="B105" s="478" t="s">
        <v>1809</v>
      </c>
      <c r="C105" s="479">
        <v>4</v>
      </c>
      <c r="D105" s="1537">
        <v>3638</v>
      </c>
      <c r="E105" s="1537">
        <v>14552</v>
      </c>
      <c r="F105" s="478" t="s">
        <v>1885</v>
      </c>
      <c r="G105" s="2483" t="s">
        <v>2038</v>
      </c>
      <c r="H105" s="2483"/>
      <c r="I105" s="2461" t="s">
        <v>2389</v>
      </c>
      <c r="J105" s="19" t="s">
        <v>1905</v>
      </c>
    </row>
    <row r="106" spans="1:10">
      <c r="A106" s="479">
        <v>102</v>
      </c>
      <c r="B106" s="478" t="s">
        <v>1817</v>
      </c>
      <c r="C106" s="479">
        <v>20</v>
      </c>
      <c r="D106" s="1537">
        <v>1449</v>
      </c>
      <c r="E106" s="1537">
        <v>28980</v>
      </c>
      <c r="F106" s="478" t="s">
        <v>1887</v>
      </c>
      <c r="G106" s="2483" t="s">
        <v>2038</v>
      </c>
      <c r="H106" s="2483"/>
      <c r="I106" s="2461" t="s">
        <v>2392</v>
      </c>
      <c r="J106" s="19" t="s">
        <v>1905</v>
      </c>
    </row>
    <row r="107" spans="1:10">
      <c r="A107" s="215">
        <v>103</v>
      </c>
      <c r="B107" s="478" t="s">
        <v>1993</v>
      </c>
      <c r="C107" s="479">
        <v>2</v>
      </c>
      <c r="D107" s="1537">
        <v>81748</v>
      </c>
      <c r="E107" s="1537">
        <f>C107*D107</f>
        <v>163496</v>
      </c>
      <c r="F107" s="478" t="s">
        <v>416</v>
      </c>
      <c r="G107" s="2483" t="s">
        <v>2038</v>
      </c>
      <c r="H107" s="2483"/>
      <c r="I107" s="2461" t="s">
        <v>2451</v>
      </c>
      <c r="J107" s="19" t="s">
        <v>1905</v>
      </c>
    </row>
    <row r="108" spans="1:10">
      <c r="A108" s="479">
        <v>104</v>
      </c>
      <c r="B108" s="478" t="s">
        <v>1995</v>
      </c>
      <c r="C108" s="479">
        <v>2</v>
      </c>
      <c r="D108" s="1537">
        <v>27820</v>
      </c>
      <c r="E108" s="1537">
        <f>C108*D108</f>
        <v>55640</v>
      </c>
      <c r="F108" s="478" t="s">
        <v>416</v>
      </c>
      <c r="G108" s="2483" t="s">
        <v>2038</v>
      </c>
      <c r="H108" s="2483"/>
      <c r="I108" s="2461" t="s">
        <v>2453</v>
      </c>
      <c r="J108" s="19" t="s">
        <v>1905</v>
      </c>
    </row>
    <row r="109" spans="1:10">
      <c r="A109" s="479">
        <v>105</v>
      </c>
      <c r="B109" s="478" t="s">
        <v>1996</v>
      </c>
      <c r="C109" s="479">
        <v>10</v>
      </c>
      <c r="D109" s="1537">
        <v>5885</v>
      </c>
      <c r="E109" s="1537">
        <f>C109*D109</f>
        <v>58850</v>
      </c>
      <c r="F109" s="478" t="s">
        <v>416</v>
      </c>
      <c r="G109" s="2483" t="s">
        <v>2038</v>
      </c>
      <c r="H109" s="2483"/>
      <c r="I109" s="2461" t="s">
        <v>2454</v>
      </c>
      <c r="J109" s="19" t="s">
        <v>1905</v>
      </c>
    </row>
    <row r="110" spans="1:10">
      <c r="A110" s="479">
        <v>106</v>
      </c>
      <c r="B110" s="478" t="s">
        <v>1997</v>
      </c>
      <c r="C110" s="479">
        <v>2</v>
      </c>
      <c r="D110" s="1537">
        <v>10272</v>
      </c>
      <c r="E110" s="1537">
        <f>C110*D110</f>
        <v>20544</v>
      </c>
      <c r="F110" s="478" t="s">
        <v>416</v>
      </c>
      <c r="G110" s="2483" t="s">
        <v>2038</v>
      </c>
      <c r="H110" s="2483"/>
      <c r="I110" s="2461" t="s">
        <v>2455</v>
      </c>
      <c r="J110" s="19" t="s">
        <v>1905</v>
      </c>
    </row>
    <row r="111" spans="1:10">
      <c r="A111" s="215">
        <v>107</v>
      </c>
      <c r="B111" s="478" t="s">
        <v>915</v>
      </c>
      <c r="C111" s="479">
        <v>1</v>
      </c>
      <c r="D111" s="1537">
        <v>2878.3</v>
      </c>
      <c r="E111" s="1537">
        <f>C111*D111</f>
        <v>2878.3</v>
      </c>
      <c r="F111" s="478" t="s">
        <v>614</v>
      </c>
      <c r="G111" s="2483" t="s">
        <v>2038</v>
      </c>
      <c r="H111" s="2483"/>
      <c r="I111" s="2461" t="s">
        <v>2465</v>
      </c>
      <c r="J111" s="19" t="s">
        <v>1905</v>
      </c>
    </row>
    <row r="112" spans="1:10">
      <c r="A112" s="479">
        <v>108</v>
      </c>
      <c r="B112" s="478" t="s">
        <v>2043</v>
      </c>
      <c r="C112" s="479">
        <v>1</v>
      </c>
      <c r="D112" s="1537">
        <f>22000+4100+2200+300+300+2023</f>
        <v>30923</v>
      </c>
      <c r="E112" s="1537">
        <f t="shared" ref="E112:E117" si="4">+C112*D112</f>
        <v>30923</v>
      </c>
      <c r="F112" s="478" t="s">
        <v>1436</v>
      </c>
      <c r="G112" s="2483" t="s">
        <v>2038</v>
      </c>
      <c r="H112" s="2483"/>
      <c r="I112" s="2461" t="s">
        <v>2160</v>
      </c>
      <c r="J112" s="19" t="s">
        <v>490</v>
      </c>
    </row>
    <row r="113" spans="1:10">
      <c r="A113" s="479">
        <v>109</v>
      </c>
      <c r="B113" s="478" t="s">
        <v>2044</v>
      </c>
      <c r="C113" s="479">
        <v>1</v>
      </c>
      <c r="D113" s="1537">
        <f>27600+800+1000+2058</f>
        <v>31458</v>
      </c>
      <c r="E113" s="1537">
        <f t="shared" si="4"/>
        <v>31458</v>
      </c>
      <c r="F113" s="478" t="s">
        <v>1436</v>
      </c>
      <c r="G113" s="2483" t="s">
        <v>2038</v>
      </c>
      <c r="H113" s="2483"/>
      <c r="I113" s="2461" t="s">
        <v>2160</v>
      </c>
      <c r="J113" s="19" t="s">
        <v>490</v>
      </c>
    </row>
    <row r="114" spans="1:10">
      <c r="A114" s="479">
        <v>110</v>
      </c>
      <c r="B114" s="478" t="s">
        <v>2045</v>
      </c>
      <c r="C114" s="479">
        <v>9</v>
      </c>
      <c r="D114" s="1537">
        <v>2300.5</v>
      </c>
      <c r="E114" s="1537">
        <f t="shared" si="4"/>
        <v>20704.5</v>
      </c>
      <c r="F114" s="478" t="s">
        <v>416</v>
      </c>
      <c r="G114" s="2483" t="s">
        <v>2038</v>
      </c>
      <c r="H114" s="2483"/>
      <c r="I114" s="2461" t="s">
        <v>2161</v>
      </c>
      <c r="J114" s="19" t="s">
        <v>490</v>
      </c>
    </row>
    <row r="115" spans="1:10">
      <c r="A115" s="215">
        <v>111</v>
      </c>
      <c r="B115" s="478" t="s">
        <v>2046</v>
      </c>
      <c r="C115" s="479">
        <v>2</v>
      </c>
      <c r="D115" s="1537">
        <v>14980</v>
      </c>
      <c r="E115" s="1537">
        <f t="shared" si="4"/>
        <v>29960</v>
      </c>
      <c r="F115" s="478" t="s">
        <v>584</v>
      </c>
      <c r="G115" s="2483" t="s">
        <v>2038</v>
      </c>
      <c r="H115" s="2483"/>
      <c r="I115" s="2461" t="s">
        <v>2162</v>
      </c>
      <c r="J115" s="19" t="s">
        <v>490</v>
      </c>
    </row>
    <row r="116" spans="1:10">
      <c r="A116" s="479">
        <v>112</v>
      </c>
      <c r="B116" s="478" t="s">
        <v>2048</v>
      </c>
      <c r="C116" s="479">
        <v>6</v>
      </c>
      <c r="D116" s="1537">
        <v>23433</v>
      </c>
      <c r="E116" s="1537">
        <f t="shared" si="4"/>
        <v>140598</v>
      </c>
      <c r="F116" s="478" t="s">
        <v>2005</v>
      </c>
      <c r="G116" s="2483" t="s">
        <v>2038</v>
      </c>
      <c r="H116" s="2483"/>
      <c r="I116" s="2461" t="s">
        <v>2165</v>
      </c>
      <c r="J116" s="19" t="s">
        <v>490</v>
      </c>
    </row>
    <row r="117" spans="1:10">
      <c r="A117" s="479">
        <v>113</v>
      </c>
      <c r="B117" s="478" t="s">
        <v>2058</v>
      </c>
      <c r="C117" s="479">
        <v>1</v>
      </c>
      <c r="D117" s="1537">
        <v>15515</v>
      </c>
      <c r="E117" s="1537">
        <f t="shared" si="4"/>
        <v>15515</v>
      </c>
      <c r="F117" s="478" t="s">
        <v>416</v>
      </c>
      <c r="G117" s="2483" t="s">
        <v>2038</v>
      </c>
      <c r="H117" s="2483"/>
      <c r="I117" s="2461" t="s">
        <v>2172</v>
      </c>
      <c r="J117" s="19" t="s">
        <v>490</v>
      </c>
    </row>
    <row r="118" spans="1:10">
      <c r="A118" s="479">
        <v>114</v>
      </c>
      <c r="B118" s="478" t="s">
        <v>2059</v>
      </c>
      <c r="C118" s="479">
        <v>6</v>
      </c>
      <c r="D118" s="307"/>
      <c r="E118" s="307">
        <v>16627</v>
      </c>
      <c r="F118" s="478" t="s">
        <v>416</v>
      </c>
      <c r="G118" s="2483" t="s">
        <v>2038</v>
      </c>
      <c r="H118" s="2483"/>
      <c r="I118" s="2461" t="s">
        <v>2173</v>
      </c>
      <c r="J118" s="19" t="s">
        <v>490</v>
      </c>
    </row>
    <row r="119" spans="1:10">
      <c r="A119" s="215">
        <v>115</v>
      </c>
      <c r="B119" s="478" t="s">
        <v>1371</v>
      </c>
      <c r="C119" s="479">
        <v>1</v>
      </c>
      <c r="D119" s="1537">
        <v>272475.5</v>
      </c>
      <c r="E119" s="1537">
        <f>C119*D119</f>
        <v>272475.5</v>
      </c>
      <c r="F119" s="478" t="s">
        <v>416</v>
      </c>
      <c r="G119" s="2483" t="s">
        <v>2038</v>
      </c>
      <c r="H119" s="2483"/>
      <c r="I119" s="2462" t="s">
        <v>2178</v>
      </c>
      <c r="J119" s="19" t="s">
        <v>490</v>
      </c>
    </row>
    <row r="120" spans="1:10">
      <c r="A120" s="479">
        <v>116</v>
      </c>
      <c r="B120" s="478" t="s">
        <v>2084</v>
      </c>
      <c r="C120" s="479">
        <v>2</v>
      </c>
      <c r="D120" s="1537">
        <v>33705</v>
      </c>
      <c r="E120" s="1537">
        <f>C120*D120</f>
        <v>67410</v>
      </c>
      <c r="F120" s="478" t="s">
        <v>416</v>
      </c>
      <c r="G120" s="2483" t="s">
        <v>2038</v>
      </c>
      <c r="H120" s="2483"/>
      <c r="I120" s="2461" t="s">
        <v>2205</v>
      </c>
      <c r="J120" s="19" t="s">
        <v>490</v>
      </c>
    </row>
    <row r="121" spans="1:10">
      <c r="A121" s="479">
        <v>117</v>
      </c>
      <c r="B121" s="478" t="s">
        <v>2085</v>
      </c>
      <c r="C121" s="479">
        <v>1</v>
      </c>
      <c r="D121" s="1537">
        <v>46866</v>
      </c>
      <c r="E121" s="1537">
        <f>C121*D121</f>
        <v>46866</v>
      </c>
      <c r="F121" s="478" t="s">
        <v>416</v>
      </c>
      <c r="G121" s="2483" t="s">
        <v>2038</v>
      </c>
      <c r="H121" s="2483"/>
      <c r="I121" s="2461" t="s">
        <v>2206</v>
      </c>
      <c r="J121" s="19" t="s">
        <v>490</v>
      </c>
    </row>
    <row r="122" spans="1:10">
      <c r="A122" s="479">
        <v>118</v>
      </c>
      <c r="B122" s="478" t="s">
        <v>2045</v>
      </c>
      <c r="C122" s="479">
        <v>7</v>
      </c>
      <c r="D122" s="1537">
        <v>6741</v>
      </c>
      <c r="E122" s="1537">
        <f>C122*D122</f>
        <v>47187</v>
      </c>
      <c r="F122" s="478" t="s">
        <v>2312</v>
      </c>
      <c r="G122" s="2483" t="s">
        <v>2038</v>
      </c>
      <c r="H122" s="2483"/>
      <c r="I122" s="2461" t="s">
        <v>2208</v>
      </c>
      <c r="J122" s="19" t="s">
        <v>490</v>
      </c>
    </row>
    <row r="123" spans="1:10">
      <c r="A123" s="215">
        <v>119</v>
      </c>
      <c r="B123" s="478" t="s">
        <v>2088</v>
      </c>
      <c r="C123" s="479">
        <v>1</v>
      </c>
      <c r="D123" s="1537">
        <v>23005</v>
      </c>
      <c r="E123" s="1537">
        <f>C123*D123</f>
        <v>23005</v>
      </c>
      <c r="F123" s="478" t="s">
        <v>2312</v>
      </c>
      <c r="G123" s="2483" t="s">
        <v>2038</v>
      </c>
      <c r="H123" s="2483"/>
      <c r="I123" s="2461" t="s">
        <v>2213</v>
      </c>
      <c r="J123" s="19" t="s">
        <v>490</v>
      </c>
    </row>
    <row r="124" spans="1:10">
      <c r="A124" s="479">
        <v>120</v>
      </c>
      <c r="B124" s="478" t="s">
        <v>2102</v>
      </c>
      <c r="C124" s="479">
        <v>3</v>
      </c>
      <c r="D124" s="1537">
        <v>23005</v>
      </c>
      <c r="E124" s="1537">
        <f t="shared" ref="E124:E126" si="5">C124*D124</f>
        <v>69015</v>
      </c>
      <c r="F124" s="478" t="s">
        <v>416</v>
      </c>
      <c r="G124" s="2483" t="s">
        <v>2038</v>
      </c>
      <c r="H124" s="2483"/>
      <c r="I124" s="2461" t="s">
        <v>2227</v>
      </c>
      <c r="J124" s="19" t="s">
        <v>490</v>
      </c>
    </row>
    <row r="125" spans="1:10">
      <c r="A125" s="479">
        <v>121</v>
      </c>
      <c r="B125" s="478" t="s">
        <v>2103</v>
      </c>
      <c r="C125" s="479">
        <v>5</v>
      </c>
      <c r="D125" s="1537">
        <v>5022.58</v>
      </c>
      <c r="E125" s="1537">
        <f t="shared" si="5"/>
        <v>25112.9</v>
      </c>
      <c r="F125" s="478" t="s">
        <v>416</v>
      </c>
      <c r="G125" s="2483" t="s">
        <v>2038</v>
      </c>
      <c r="H125" s="2483"/>
      <c r="I125" s="2461" t="s">
        <v>2228</v>
      </c>
      <c r="J125" s="19" t="s">
        <v>490</v>
      </c>
    </row>
    <row r="126" spans="1:10">
      <c r="A126" s="479">
        <v>122</v>
      </c>
      <c r="B126" s="478" t="s">
        <v>2116</v>
      </c>
      <c r="C126" s="479">
        <v>2</v>
      </c>
      <c r="D126" s="1537">
        <v>10940.75</v>
      </c>
      <c r="E126" s="1537">
        <f t="shared" si="5"/>
        <v>21881.5</v>
      </c>
      <c r="F126" s="478" t="s">
        <v>2319</v>
      </c>
      <c r="G126" s="2483" t="s">
        <v>2038</v>
      </c>
      <c r="H126" s="2483"/>
      <c r="I126" s="2461" t="s">
        <v>2241</v>
      </c>
      <c r="J126" s="19" t="s">
        <v>490</v>
      </c>
    </row>
    <row r="127" spans="1:10">
      <c r="A127" s="215">
        <v>123</v>
      </c>
      <c r="B127" s="478" t="s">
        <v>969</v>
      </c>
      <c r="C127" s="479">
        <v>5</v>
      </c>
      <c r="D127" s="1537">
        <v>23433</v>
      </c>
      <c r="E127" s="1537">
        <f t="shared" ref="E127:E141" si="6">C127*D127</f>
        <v>117165</v>
      </c>
      <c r="F127" s="478" t="s">
        <v>416</v>
      </c>
      <c r="G127" s="2483" t="s">
        <v>2038</v>
      </c>
      <c r="H127" s="2483"/>
      <c r="I127" s="2461" t="s">
        <v>2249</v>
      </c>
      <c r="J127" s="19" t="s">
        <v>490</v>
      </c>
    </row>
    <row r="128" spans="1:10">
      <c r="A128" s="479">
        <v>124</v>
      </c>
      <c r="B128" s="478" t="s">
        <v>969</v>
      </c>
      <c r="C128" s="479">
        <v>15</v>
      </c>
      <c r="D128" s="1537">
        <f>24000+1680</f>
        <v>25680</v>
      </c>
      <c r="E128" s="1537">
        <f t="shared" si="6"/>
        <v>385200</v>
      </c>
      <c r="F128" s="478" t="s">
        <v>574</v>
      </c>
      <c r="G128" s="2483" t="s">
        <v>2038</v>
      </c>
      <c r="H128" s="2483"/>
      <c r="I128" s="2461" t="s">
        <v>2260</v>
      </c>
      <c r="J128" s="19" t="s">
        <v>490</v>
      </c>
    </row>
    <row r="129" spans="1:10">
      <c r="A129" s="479">
        <v>125</v>
      </c>
      <c r="B129" s="478" t="s">
        <v>2130</v>
      </c>
      <c r="C129" s="479">
        <v>15</v>
      </c>
      <c r="D129" s="1537">
        <f>2150+150.5</f>
        <v>2300.5</v>
      </c>
      <c r="E129" s="1537">
        <f t="shared" si="6"/>
        <v>34507.5</v>
      </c>
      <c r="F129" s="478" t="s">
        <v>574</v>
      </c>
      <c r="G129" s="2483" t="s">
        <v>2038</v>
      </c>
      <c r="H129" s="2483"/>
      <c r="I129" s="2461" t="s">
        <v>2260</v>
      </c>
      <c r="J129" s="19" t="s">
        <v>490</v>
      </c>
    </row>
    <row r="130" spans="1:10">
      <c r="A130" s="479">
        <v>126</v>
      </c>
      <c r="B130" s="478" t="s">
        <v>2131</v>
      </c>
      <c r="C130" s="479">
        <v>1</v>
      </c>
      <c r="D130" s="1537">
        <f>7200+504</f>
        <v>7704</v>
      </c>
      <c r="E130" s="1537">
        <f t="shared" si="6"/>
        <v>7704</v>
      </c>
      <c r="F130" s="478" t="s">
        <v>574</v>
      </c>
      <c r="G130" s="2483" t="s">
        <v>2038</v>
      </c>
      <c r="H130" s="2483"/>
      <c r="I130" s="2461" t="s">
        <v>2260</v>
      </c>
      <c r="J130" s="19" t="s">
        <v>490</v>
      </c>
    </row>
    <row r="131" spans="1:10">
      <c r="A131" s="215">
        <v>127</v>
      </c>
      <c r="B131" s="478" t="s">
        <v>2132</v>
      </c>
      <c r="C131" s="479">
        <v>2</v>
      </c>
      <c r="D131" s="1537">
        <f>5500+385</f>
        <v>5885</v>
      </c>
      <c r="E131" s="1537">
        <f t="shared" si="6"/>
        <v>11770</v>
      </c>
      <c r="F131" s="478" t="s">
        <v>574</v>
      </c>
      <c r="G131" s="2483" t="s">
        <v>2038</v>
      </c>
      <c r="H131" s="2483"/>
      <c r="I131" s="2461" t="s">
        <v>2260</v>
      </c>
      <c r="J131" s="19" t="s">
        <v>490</v>
      </c>
    </row>
    <row r="132" spans="1:10">
      <c r="A132" s="479">
        <v>128</v>
      </c>
      <c r="B132" s="478" t="s">
        <v>2133</v>
      </c>
      <c r="C132" s="479">
        <v>2</v>
      </c>
      <c r="D132" s="1537">
        <f>4500+315</f>
        <v>4815</v>
      </c>
      <c r="E132" s="1537">
        <f t="shared" si="6"/>
        <v>9630</v>
      </c>
      <c r="F132" s="478" t="s">
        <v>574</v>
      </c>
      <c r="G132" s="2483" t="s">
        <v>2038</v>
      </c>
      <c r="H132" s="2483"/>
      <c r="I132" s="2461" t="s">
        <v>2260</v>
      </c>
      <c r="J132" s="19" t="s">
        <v>490</v>
      </c>
    </row>
    <row r="133" spans="1:10">
      <c r="A133" s="479">
        <v>129</v>
      </c>
      <c r="B133" s="478" t="s">
        <v>2134</v>
      </c>
      <c r="C133" s="479">
        <v>6</v>
      </c>
      <c r="D133" s="1537">
        <f>7500+525</f>
        <v>8025</v>
      </c>
      <c r="E133" s="1537">
        <f t="shared" si="6"/>
        <v>48150</v>
      </c>
      <c r="F133" s="478" t="s">
        <v>574</v>
      </c>
      <c r="G133" s="2483" t="s">
        <v>2038</v>
      </c>
      <c r="H133" s="2483"/>
      <c r="I133" s="2461" t="s">
        <v>2260</v>
      </c>
      <c r="J133" s="19" t="s">
        <v>490</v>
      </c>
    </row>
    <row r="134" spans="1:10">
      <c r="A134" s="479">
        <v>130</v>
      </c>
      <c r="B134" s="478" t="s">
        <v>2135</v>
      </c>
      <c r="C134" s="479">
        <v>10</v>
      </c>
      <c r="D134" s="1537">
        <v>22470</v>
      </c>
      <c r="E134" s="1537">
        <f t="shared" si="6"/>
        <v>224700</v>
      </c>
      <c r="F134" s="478" t="s">
        <v>584</v>
      </c>
      <c r="G134" s="2483" t="s">
        <v>2038</v>
      </c>
      <c r="H134" s="2483"/>
      <c r="I134" s="2461" t="s">
        <v>2261</v>
      </c>
      <c r="J134" s="19" t="s">
        <v>490</v>
      </c>
    </row>
    <row r="135" spans="1:10">
      <c r="A135" s="215">
        <v>131</v>
      </c>
      <c r="B135" s="478" t="s">
        <v>2137</v>
      </c>
      <c r="C135" s="479">
        <v>3</v>
      </c>
      <c r="D135" s="1537">
        <v>24610</v>
      </c>
      <c r="E135" s="1537">
        <f t="shared" si="6"/>
        <v>73830</v>
      </c>
      <c r="F135" s="478" t="s">
        <v>416</v>
      </c>
      <c r="G135" s="2483" t="s">
        <v>2038</v>
      </c>
      <c r="H135" s="2483"/>
      <c r="I135" s="2461" t="s">
        <v>2267</v>
      </c>
      <c r="J135" s="19" t="s">
        <v>490</v>
      </c>
    </row>
    <row r="136" spans="1:10">
      <c r="A136" s="479">
        <v>132</v>
      </c>
      <c r="B136" s="478" t="s">
        <v>2045</v>
      </c>
      <c r="C136" s="479">
        <v>12</v>
      </c>
      <c r="D136" s="1537">
        <v>2300.5</v>
      </c>
      <c r="E136" s="1537">
        <f t="shared" si="6"/>
        <v>27606</v>
      </c>
      <c r="F136" s="478" t="s">
        <v>416</v>
      </c>
      <c r="G136" s="2483" t="s">
        <v>2038</v>
      </c>
      <c r="H136" s="2483"/>
      <c r="I136" s="2461" t="s">
        <v>2268</v>
      </c>
      <c r="J136" s="19" t="s">
        <v>490</v>
      </c>
    </row>
    <row r="137" spans="1:10">
      <c r="A137" s="479">
        <v>133</v>
      </c>
      <c r="B137" s="478" t="s">
        <v>2141</v>
      </c>
      <c r="C137" s="479">
        <v>10</v>
      </c>
      <c r="D137" s="1537">
        <v>5778</v>
      </c>
      <c r="E137" s="1537">
        <f t="shared" si="6"/>
        <v>57780</v>
      </c>
      <c r="F137" s="478" t="s">
        <v>416</v>
      </c>
      <c r="G137" s="2483" t="s">
        <v>2038</v>
      </c>
      <c r="H137" s="2483"/>
      <c r="I137" s="2461" t="s">
        <v>2275</v>
      </c>
      <c r="J137" s="19" t="s">
        <v>490</v>
      </c>
    </row>
    <row r="138" spans="1:10">
      <c r="A138" s="479">
        <v>134</v>
      </c>
      <c r="B138" s="478" t="s">
        <v>2142</v>
      </c>
      <c r="C138" s="479">
        <v>2</v>
      </c>
      <c r="D138" s="1537">
        <v>5671</v>
      </c>
      <c r="E138" s="1537">
        <f t="shared" si="6"/>
        <v>11342</v>
      </c>
      <c r="F138" s="478" t="s">
        <v>416</v>
      </c>
      <c r="G138" s="2483" t="s">
        <v>2038</v>
      </c>
      <c r="H138" s="2483"/>
      <c r="I138" s="2461" t="s">
        <v>2276</v>
      </c>
      <c r="J138" s="19" t="s">
        <v>490</v>
      </c>
    </row>
    <row r="139" spans="1:10">
      <c r="A139" s="215">
        <v>135</v>
      </c>
      <c r="B139" s="478" t="s">
        <v>2148</v>
      </c>
      <c r="C139" s="479">
        <v>5</v>
      </c>
      <c r="D139" s="1537">
        <v>4708</v>
      </c>
      <c r="E139" s="1537">
        <f t="shared" si="6"/>
        <v>23540</v>
      </c>
      <c r="F139" s="478" t="s">
        <v>2326</v>
      </c>
      <c r="G139" s="2483" t="s">
        <v>2038</v>
      </c>
      <c r="H139" s="2483"/>
      <c r="I139" s="2461"/>
      <c r="J139" s="19" t="s">
        <v>490</v>
      </c>
    </row>
    <row r="140" spans="1:10">
      <c r="A140" s="479">
        <v>136</v>
      </c>
      <c r="B140" s="478" t="s">
        <v>1771</v>
      </c>
      <c r="C140" s="479">
        <v>1</v>
      </c>
      <c r="D140" s="1537">
        <v>444906</v>
      </c>
      <c r="E140" s="1537">
        <f t="shared" si="6"/>
        <v>444906</v>
      </c>
      <c r="F140" s="478" t="s">
        <v>584</v>
      </c>
      <c r="G140" s="2483" t="s">
        <v>2038</v>
      </c>
      <c r="H140" s="2483"/>
      <c r="I140" s="2461" t="s">
        <v>2289</v>
      </c>
      <c r="J140" s="19" t="s">
        <v>490</v>
      </c>
    </row>
    <row r="141" spans="1:10">
      <c r="A141" s="479">
        <v>137</v>
      </c>
      <c r="B141" s="478" t="s">
        <v>2136</v>
      </c>
      <c r="C141" s="479">
        <v>1</v>
      </c>
      <c r="D141" s="1537">
        <v>14500</v>
      </c>
      <c r="E141" s="1537">
        <f t="shared" si="6"/>
        <v>14500</v>
      </c>
      <c r="F141" s="478" t="s">
        <v>471</v>
      </c>
      <c r="G141" s="2483" t="s">
        <v>2038</v>
      </c>
      <c r="H141" s="478"/>
      <c r="I141" s="2461" t="s">
        <v>2266</v>
      </c>
      <c r="J141" s="19" t="s">
        <v>490</v>
      </c>
    </row>
    <row r="142" spans="1:10" ht="21.75" thickBot="1">
      <c r="C142" s="1426"/>
      <c r="D142" s="2438"/>
      <c r="E142" s="2492">
        <f>SUM(E5:E141)</f>
        <v>50433574.466666661</v>
      </c>
      <c r="G142" s="2486"/>
      <c r="H142" s="2486"/>
    </row>
    <row r="143" spans="1:10" ht="21.75" thickTop="1">
      <c r="C143" s="1426"/>
      <c r="D143" s="2438"/>
      <c r="E143" s="2438"/>
      <c r="G143" s="2486"/>
      <c r="H143" s="2486"/>
    </row>
  </sheetData>
  <mergeCells count="1">
    <mergeCell ref="A1:H1"/>
  </mergeCells>
  <pageMargins left="0.27559055118110237" right="0.19685039370078741" top="0.62992125984251968" bottom="0.27559055118110237" header="0.31496062992125984" footer="0.11811023622047245"/>
  <pageSetup paperSize="9" scale="63" firstPageNumber="45" orientation="landscape" useFirstPageNumber="1" horizontalDpi="4294967293" verticalDpi="0" r:id="rId1"/>
  <headerFooter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76E9-5ADE-4FBF-BC78-B90025384325}">
  <sheetPr>
    <tabColor rgb="FFFF0000"/>
  </sheetPr>
  <dimension ref="A1:AB13"/>
  <sheetViews>
    <sheetView view="pageBreakPreview" zoomScale="90" zoomScaleNormal="100" zoomScaleSheetLayoutView="90" workbookViewId="0">
      <selection activeCell="F20" sqref="F20"/>
    </sheetView>
  </sheetViews>
  <sheetFormatPr defaultColWidth="9.140625" defaultRowHeight="21"/>
  <cols>
    <col min="1" max="1" width="7" style="1426" customWidth="1"/>
    <col min="2" max="2" width="76.140625" style="19" customWidth="1"/>
    <col min="3" max="3" width="9.140625" style="19"/>
    <col min="4" max="4" width="16.42578125" style="19" customWidth="1"/>
    <col min="5" max="5" width="18.5703125" style="19" customWidth="1"/>
    <col min="6" max="6" width="37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865"/>
      <c r="H1" s="2865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 s="138" customFormat="1">
      <c r="A2" s="1501"/>
      <c r="B2" s="2468"/>
      <c r="C2" s="1501"/>
      <c r="D2" s="2394"/>
      <c r="E2" s="1606"/>
      <c r="J2" s="2034"/>
    </row>
    <row r="3" spans="1:28">
      <c r="C3" s="1426"/>
      <c r="D3" s="2438"/>
      <c r="E3" s="2438"/>
      <c r="G3" s="2486"/>
      <c r="H3" s="2486"/>
    </row>
    <row r="4" spans="1:28">
      <c r="B4" s="2872" t="s">
        <v>2766</v>
      </c>
      <c r="C4" s="2872"/>
      <c r="D4" s="2872"/>
    </row>
    <row r="5" spans="1:28">
      <c r="A5" s="1478" t="s">
        <v>2</v>
      </c>
      <c r="B5" s="1478" t="s">
        <v>3</v>
      </c>
      <c r="C5" s="1478" t="s">
        <v>618</v>
      </c>
      <c r="D5" s="1478" t="s">
        <v>1410</v>
      </c>
      <c r="E5" s="1478" t="s">
        <v>1411</v>
      </c>
      <c r="F5" s="1478" t="s">
        <v>388</v>
      </c>
      <c r="G5" s="1478" t="s">
        <v>727</v>
      </c>
      <c r="H5" s="1478" t="s">
        <v>221</v>
      </c>
    </row>
    <row r="6" spans="1:28" s="138" customFormat="1" ht="42">
      <c r="A6" s="495">
        <v>1</v>
      </c>
      <c r="B6" s="1516" t="s">
        <v>733</v>
      </c>
      <c r="C6" s="495">
        <v>1</v>
      </c>
      <c r="D6" s="328">
        <v>2500000</v>
      </c>
      <c r="E6" s="1517">
        <f>+C6*D6</f>
        <v>2500000</v>
      </c>
      <c r="F6" s="1477" t="s">
        <v>1404</v>
      </c>
      <c r="G6" s="216" t="s">
        <v>2034</v>
      </c>
      <c r="H6" s="216"/>
      <c r="J6" s="138" t="s">
        <v>1724</v>
      </c>
    </row>
    <row r="7" spans="1:28" s="138" customFormat="1">
      <c r="A7" s="215">
        <v>2</v>
      </c>
      <c r="B7" s="498" t="s">
        <v>1726</v>
      </c>
      <c r="C7" s="495">
        <v>3</v>
      </c>
      <c r="D7" s="1474">
        <v>166500</v>
      </c>
      <c r="E7" s="1474">
        <f>+C7*D7</f>
        <v>499500</v>
      </c>
      <c r="F7" s="498" t="s">
        <v>1727</v>
      </c>
      <c r="G7" s="216" t="s">
        <v>2034</v>
      </c>
      <c r="H7" s="216"/>
    </row>
    <row r="8" spans="1:28">
      <c r="A8" s="479">
        <v>3</v>
      </c>
      <c r="B8" s="478" t="s">
        <v>2004</v>
      </c>
      <c r="C8" s="479">
        <v>5</v>
      </c>
      <c r="D8" s="1537">
        <v>16900</v>
      </c>
      <c r="E8" s="1537">
        <f t="shared" ref="E8" si="0">C8*D8</f>
        <v>84500</v>
      </c>
      <c r="F8" s="478" t="s">
        <v>471</v>
      </c>
      <c r="G8" s="216" t="s">
        <v>2034</v>
      </c>
      <c r="H8" s="478"/>
      <c r="I8" s="2461" t="s">
        <v>2464</v>
      </c>
      <c r="J8" s="19" t="s">
        <v>1905</v>
      </c>
    </row>
    <row r="9" spans="1:28" s="138" customFormat="1" ht="22.5" customHeight="1">
      <c r="A9" s="495">
        <v>4</v>
      </c>
      <c r="B9" s="216" t="s">
        <v>2078</v>
      </c>
      <c r="C9" s="215">
        <v>1</v>
      </c>
      <c r="D9" s="1538">
        <v>14600</v>
      </c>
      <c r="E9" s="1538">
        <f>C9*D9</f>
        <v>14600</v>
      </c>
      <c r="F9" s="216" t="s">
        <v>415</v>
      </c>
      <c r="G9" s="216" t="s">
        <v>2034</v>
      </c>
      <c r="H9" s="216"/>
      <c r="I9" s="2462" t="s">
        <v>2196</v>
      </c>
      <c r="J9" s="138" t="s">
        <v>490</v>
      </c>
    </row>
    <row r="10" spans="1:28" s="138" customFormat="1" ht="22.5" customHeight="1">
      <c r="A10" s="215">
        <v>5</v>
      </c>
      <c r="B10" s="216" t="s">
        <v>2082</v>
      </c>
      <c r="C10" s="215">
        <v>2</v>
      </c>
      <c r="D10" s="1538">
        <v>17400</v>
      </c>
      <c r="E10" s="1538">
        <f>C10*D10</f>
        <v>34800</v>
      </c>
      <c r="F10" s="216" t="s">
        <v>415</v>
      </c>
      <c r="G10" s="216" t="s">
        <v>2034</v>
      </c>
      <c r="H10" s="216"/>
      <c r="I10" s="2462" t="s">
        <v>2202</v>
      </c>
      <c r="J10" s="138" t="s">
        <v>490</v>
      </c>
    </row>
    <row r="11" spans="1:28" s="138" customFormat="1" ht="22.5" customHeight="1">
      <c r="A11" s="479">
        <v>6</v>
      </c>
      <c r="B11" s="216" t="s">
        <v>2078</v>
      </c>
      <c r="C11" s="215">
        <v>1</v>
      </c>
      <c r="D11" s="1538">
        <v>14600</v>
      </c>
      <c r="E11" s="1538">
        <f>C11*D11</f>
        <v>14600</v>
      </c>
      <c r="F11" s="216" t="s">
        <v>415</v>
      </c>
      <c r="G11" s="216" t="s">
        <v>2034</v>
      </c>
      <c r="H11" s="216"/>
      <c r="I11" s="2462" t="s">
        <v>2202</v>
      </c>
      <c r="J11" s="138" t="s">
        <v>490</v>
      </c>
    </row>
    <row r="12" spans="1:28" ht="21.75" thickBot="1">
      <c r="B12" s="2873"/>
      <c r="C12" s="2873"/>
      <c r="D12" s="2873"/>
      <c r="E12" s="2458">
        <f>SUM(E6:E11)</f>
        <v>3148000</v>
      </c>
    </row>
    <row r="13" spans="1:28" ht="21.75" thickTop="1">
      <c r="B13" s="1597"/>
      <c r="C13" s="1597"/>
      <c r="D13" s="1597"/>
      <c r="E13" s="1925"/>
    </row>
  </sheetData>
  <mergeCells count="3">
    <mergeCell ref="B4:D4"/>
    <mergeCell ref="B12:D12"/>
    <mergeCell ref="A1:H1"/>
  </mergeCells>
  <pageMargins left="0.27559055118110237" right="0.19685039370078741" top="0.62992125984251968" bottom="0.27559055118110237" header="0.31496062992125984" footer="0.11811023622047245"/>
  <pageSetup paperSize="9" scale="63" firstPageNumber="49" orientation="landscape" useFirstPageNumber="1" horizontalDpi="4294967293" verticalDpi="0" r:id="rId1"/>
  <headerFooter>
    <oddFooter>&amp;C&amp;P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FD9-4445-42FE-A16A-027158CCED10}">
  <sheetPr>
    <tabColor rgb="FFFF0000"/>
  </sheetPr>
  <dimension ref="A1:XFD67"/>
  <sheetViews>
    <sheetView view="pageBreakPreview" topLeftCell="A52" zoomScale="90" zoomScaleNormal="100" zoomScaleSheetLayoutView="90" workbookViewId="0">
      <selection activeCell="H41" sqref="H41"/>
    </sheetView>
  </sheetViews>
  <sheetFormatPr defaultColWidth="9.140625" defaultRowHeight="21"/>
  <cols>
    <col min="1" max="1" width="7" style="1426" customWidth="1"/>
    <col min="2" max="2" width="81.85546875" style="19" customWidth="1"/>
    <col min="3" max="3" width="9.140625" style="19"/>
    <col min="4" max="4" width="16.42578125" style="19" customWidth="1"/>
    <col min="5" max="5" width="18.5703125" style="19" customWidth="1"/>
    <col min="6" max="6" width="37" style="19" customWidth="1"/>
    <col min="7" max="8" width="28.28515625" style="19" customWidth="1"/>
    <col min="9" max="9" width="41.42578125" style="19" customWidth="1"/>
    <col min="10" max="10" width="45.42578125" style="19" customWidth="1"/>
    <col min="11" max="16384" width="9.140625" style="19"/>
  </cols>
  <sheetData>
    <row r="1" spans="1:28" ht="23.25">
      <c r="A1" s="2865" t="s">
        <v>1509</v>
      </c>
      <c r="B1" s="2865"/>
      <c r="C1" s="2865"/>
      <c r="D1" s="2865"/>
      <c r="E1" s="2865"/>
      <c r="F1" s="2865"/>
      <c r="G1" s="2393"/>
      <c r="H1" s="2393"/>
      <c r="I1" s="1775"/>
      <c r="J1" s="1775"/>
      <c r="K1" s="1775"/>
      <c r="L1" s="1775"/>
      <c r="M1" s="1775"/>
      <c r="N1" s="1775"/>
      <c r="O1" s="1775"/>
      <c r="P1" s="1775"/>
      <c r="Q1" s="1775"/>
      <c r="R1" s="1775"/>
      <c r="S1" s="1775"/>
      <c r="T1" s="1775"/>
      <c r="U1" s="1775"/>
      <c r="V1" s="1775"/>
      <c r="W1" s="1775"/>
      <c r="X1" s="1775"/>
      <c r="Y1" s="1775"/>
      <c r="Z1" s="1775"/>
      <c r="AA1" s="1775"/>
      <c r="AB1" s="1775"/>
    </row>
    <row r="2" spans="1:28" s="138" customFormat="1">
      <c r="A2" s="1501"/>
      <c r="B2" s="2468"/>
      <c r="C2" s="1501"/>
      <c r="D2" s="2394"/>
      <c r="E2" s="1606"/>
      <c r="J2" s="2034"/>
    </row>
    <row r="3" spans="1:28">
      <c r="A3" s="1510"/>
      <c r="B3" s="2442" t="s">
        <v>2503</v>
      </c>
      <c r="C3" s="1967"/>
      <c r="D3" s="1967"/>
      <c r="E3" s="1514"/>
      <c r="F3" s="1511"/>
      <c r="G3" s="1511"/>
      <c r="H3" s="1511"/>
    </row>
    <row r="4" spans="1:28">
      <c r="A4" s="2449" t="s">
        <v>2</v>
      </c>
      <c r="B4" s="2449" t="s">
        <v>3</v>
      </c>
      <c r="C4" s="2449" t="s">
        <v>618</v>
      </c>
      <c r="D4" s="2449" t="s">
        <v>1410</v>
      </c>
      <c r="E4" s="2449" t="s">
        <v>1411</v>
      </c>
      <c r="F4" s="2449" t="s">
        <v>388</v>
      </c>
      <c r="G4" s="2449" t="s">
        <v>727</v>
      </c>
      <c r="H4" s="1478" t="s">
        <v>221</v>
      </c>
      <c r="I4" s="2489" t="s">
        <v>2443</v>
      </c>
    </row>
    <row r="5" spans="1:28" s="478" customFormat="1">
      <c r="A5" s="479">
        <v>1</v>
      </c>
      <c r="B5" s="478" t="s">
        <v>1752</v>
      </c>
      <c r="C5" s="479">
        <v>1</v>
      </c>
      <c r="D5" s="1537">
        <v>9500</v>
      </c>
      <c r="E5" s="1537">
        <v>9500</v>
      </c>
      <c r="F5" s="478" t="s">
        <v>471</v>
      </c>
      <c r="G5" s="478" t="s">
        <v>2036</v>
      </c>
      <c r="I5" s="478" t="s">
        <v>2344</v>
      </c>
      <c r="J5" s="478" t="s">
        <v>1905</v>
      </c>
    </row>
    <row r="6" spans="1:28" s="478" customFormat="1">
      <c r="A6" s="479">
        <v>2</v>
      </c>
      <c r="B6" s="478" t="s">
        <v>1753</v>
      </c>
      <c r="C6" s="479">
        <v>1</v>
      </c>
      <c r="D6" s="1537">
        <v>44000</v>
      </c>
      <c r="E6" s="1537">
        <v>44000</v>
      </c>
      <c r="F6" s="478" t="s">
        <v>471</v>
      </c>
      <c r="G6" s="478" t="s">
        <v>2036</v>
      </c>
      <c r="I6" s="478" t="s">
        <v>2345</v>
      </c>
      <c r="J6" s="478" t="s">
        <v>1905</v>
      </c>
    </row>
    <row r="7" spans="1:28" s="478" customFormat="1">
      <c r="A7" s="479">
        <v>3</v>
      </c>
      <c r="B7" s="478" t="s">
        <v>2093</v>
      </c>
      <c r="C7" s="479">
        <v>1</v>
      </c>
      <c r="D7" s="1537">
        <v>71155</v>
      </c>
      <c r="E7" s="1537">
        <f t="shared" ref="E7" si="0">C7*D7</f>
        <v>71155</v>
      </c>
      <c r="F7" s="478" t="s">
        <v>471</v>
      </c>
      <c r="G7" s="478" t="s">
        <v>2036</v>
      </c>
      <c r="I7" s="478" t="s">
        <v>2220</v>
      </c>
      <c r="J7" s="478" t="s">
        <v>490</v>
      </c>
    </row>
    <row r="8" spans="1:28" s="478" customFormat="1">
      <c r="A8" s="479">
        <v>4</v>
      </c>
      <c r="B8" s="478" t="s">
        <v>1769</v>
      </c>
      <c r="C8" s="479">
        <v>1</v>
      </c>
      <c r="D8" s="1537">
        <v>35000</v>
      </c>
      <c r="E8" s="1537">
        <v>35000</v>
      </c>
      <c r="F8" s="478" t="s">
        <v>1436</v>
      </c>
      <c r="G8" s="478" t="s">
        <v>731</v>
      </c>
      <c r="I8" s="478" t="s">
        <v>2356</v>
      </c>
      <c r="J8" s="478" t="s">
        <v>1905</v>
      </c>
    </row>
    <row r="9" spans="1:28" s="478" customFormat="1">
      <c r="A9" s="479">
        <v>5</v>
      </c>
      <c r="B9" s="478" t="s">
        <v>893</v>
      </c>
      <c r="C9" s="479">
        <v>1</v>
      </c>
      <c r="D9" s="1537">
        <v>11663</v>
      </c>
      <c r="E9" s="1537">
        <f t="shared" ref="E9" si="1">C9*D9</f>
        <v>11663</v>
      </c>
      <c r="F9" s="478" t="s">
        <v>422</v>
      </c>
      <c r="G9" s="478" t="s">
        <v>731</v>
      </c>
      <c r="I9" s="478" t="s">
        <v>2251</v>
      </c>
      <c r="J9" s="478" t="s">
        <v>490</v>
      </c>
    </row>
    <row r="10" spans="1:28" s="478" customFormat="1">
      <c r="A10" s="479">
        <v>6</v>
      </c>
      <c r="B10" s="216" t="s">
        <v>2060</v>
      </c>
      <c r="C10" s="215">
        <v>1</v>
      </c>
      <c r="D10" s="1531">
        <v>5617.5</v>
      </c>
      <c r="E10" s="1531">
        <f>C10*D10</f>
        <v>5617.5</v>
      </c>
      <c r="F10" s="216" t="s">
        <v>2301</v>
      </c>
      <c r="G10" s="216" t="s">
        <v>2332</v>
      </c>
      <c r="H10" s="216"/>
      <c r="I10" s="216" t="s">
        <v>2174</v>
      </c>
      <c r="J10" s="478" t="s">
        <v>490</v>
      </c>
    </row>
    <row r="11" spans="1:28" s="478" customFormat="1">
      <c r="A11" s="479">
        <v>7</v>
      </c>
      <c r="B11" s="478" t="s">
        <v>2090</v>
      </c>
      <c r="C11" s="479">
        <v>1</v>
      </c>
      <c r="D11" s="1537">
        <v>11770</v>
      </c>
      <c r="E11" s="1537">
        <f>C11*D11</f>
        <v>11770</v>
      </c>
      <c r="F11" s="478" t="s">
        <v>1447</v>
      </c>
      <c r="G11" s="216" t="s">
        <v>2332</v>
      </c>
      <c r="H11" s="216"/>
      <c r="I11" s="478" t="s">
        <v>2217</v>
      </c>
      <c r="J11" s="478" t="s">
        <v>490</v>
      </c>
    </row>
    <row r="12" spans="1:28" s="478" customFormat="1">
      <c r="A12" s="479">
        <v>8</v>
      </c>
      <c r="B12" s="478" t="s">
        <v>2122</v>
      </c>
      <c r="C12" s="479">
        <v>1</v>
      </c>
      <c r="D12" s="1537">
        <v>35845</v>
      </c>
      <c r="E12" s="1537">
        <f>C12*D12</f>
        <v>35845</v>
      </c>
      <c r="F12" s="478" t="s">
        <v>2320</v>
      </c>
      <c r="G12" s="216" t="s">
        <v>2332</v>
      </c>
      <c r="H12" s="216"/>
      <c r="I12" s="478" t="s">
        <v>2252</v>
      </c>
      <c r="J12" s="478" t="s">
        <v>490</v>
      </c>
    </row>
    <row r="13" spans="1:28" s="138" customFormat="1" ht="22.5" customHeight="1">
      <c r="A13" s="215">
        <v>9</v>
      </c>
      <c r="B13" s="221" t="s">
        <v>1389</v>
      </c>
      <c r="C13" s="215">
        <v>1</v>
      </c>
      <c r="D13" s="1531">
        <v>3890</v>
      </c>
      <c r="E13" s="1531">
        <v>3890</v>
      </c>
      <c r="F13" s="482" t="s">
        <v>2770</v>
      </c>
      <c r="G13" s="216" t="s">
        <v>2332</v>
      </c>
      <c r="H13" s="216"/>
      <c r="I13" s="138" t="s">
        <v>1721</v>
      </c>
    </row>
    <row r="14" spans="1:28" s="138" customFormat="1" ht="24" customHeight="1">
      <c r="A14" s="215">
        <v>10</v>
      </c>
      <c r="B14" s="221" t="s">
        <v>1390</v>
      </c>
      <c r="C14" s="215">
        <v>1</v>
      </c>
      <c r="D14" s="1531">
        <v>10050</v>
      </c>
      <c r="E14" s="1531">
        <v>10050</v>
      </c>
      <c r="F14" s="482" t="s">
        <v>2770</v>
      </c>
      <c r="G14" s="216" t="s">
        <v>2332</v>
      </c>
      <c r="H14" s="216"/>
      <c r="I14" s="138" t="s">
        <v>1721</v>
      </c>
    </row>
    <row r="15" spans="1:28" ht="21.75" thickBot="1">
      <c r="E15" s="2458">
        <f>SUM(E5:E14)</f>
        <v>238490.5</v>
      </c>
    </row>
    <row r="16" spans="1:28" ht="21.75" thickTop="1"/>
    <row r="18" spans="1:8">
      <c r="B18" s="1648" t="s">
        <v>1925</v>
      </c>
    </row>
    <row r="19" spans="1:8">
      <c r="A19" s="1478" t="s">
        <v>2</v>
      </c>
      <c r="B19" s="1478" t="s">
        <v>3</v>
      </c>
      <c r="C19" s="1478" t="s">
        <v>618</v>
      </c>
      <c r="D19" s="1478" t="s">
        <v>1410</v>
      </c>
      <c r="E19" s="1478" t="s">
        <v>1411</v>
      </c>
      <c r="F19" s="1478" t="s">
        <v>388</v>
      </c>
      <c r="G19" s="1478" t="s">
        <v>221</v>
      </c>
      <c r="H19" s="2403"/>
    </row>
    <row r="20" spans="1:8" ht="42">
      <c r="A20" s="215">
        <v>1</v>
      </c>
      <c r="B20" s="260" t="s">
        <v>2769</v>
      </c>
      <c r="C20" s="215">
        <v>6</v>
      </c>
      <c r="D20" s="408">
        <v>530000</v>
      </c>
      <c r="E20" s="1981">
        <f>+C20*D20</f>
        <v>3180000</v>
      </c>
      <c r="F20" s="221" t="s">
        <v>736</v>
      </c>
      <c r="G20" s="215"/>
      <c r="H20" s="1501"/>
    </row>
    <row r="21" spans="1:8">
      <c r="A21" s="215">
        <v>2</v>
      </c>
      <c r="B21" s="260" t="s">
        <v>1927</v>
      </c>
      <c r="C21" s="215">
        <v>1</v>
      </c>
      <c r="D21" s="408">
        <v>1799500</v>
      </c>
      <c r="E21" s="1981">
        <f t="shared" ref="E21:E30" si="2">+C21*D21</f>
        <v>1799500</v>
      </c>
      <c r="F21" s="221" t="s">
        <v>423</v>
      </c>
      <c r="G21" s="215"/>
      <c r="H21" s="1501"/>
    </row>
    <row r="22" spans="1:8" ht="42">
      <c r="A22" s="215">
        <v>3</v>
      </c>
      <c r="B22" s="260" t="s">
        <v>2767</v>
      </c>
      <c r="C22" s="215">
        <v>1</v>
      </c>
      <c r="D22" s="1979">
        <v>4800000</v>
      </c>
      <c r="E22" s="1981">
        <f t="shared" si="2"/>
        <v>4800000</v>
      </c>
      <c r="F22" s="221" t="s">
        <v>1934</v>
      </c>
      <c r="G22" s="422" t="s">
        <v>1932</v>
      </c>
      <c r="H22" s="1501"/>
    </row>
    <row r="23" spans="1:8">
      <c r="A23" s="215">
        <v>4</v>
      </c>
      <c r="B23" s="1603" t="s">
        <v>1928</v>
      </c>
      <c r="C23" s="215">
        <v>1</v>
      </c>
      <c r="D23" s="408">
        <v>1585000</v>
      </c>
      <c r="E23" s="1981">
        <f t="shared" si="2"/>
        <v>1585000</v>
      </c>
      <c r="F23" s="221" t="s">
        <v>1935</v>
      </c>
      <c r="G23" s="215"/>
      <c r="H23" s="1501"/>
    </row>
    <row r="24" spans="1:8" ht="26.25" customHeight="1">
      <c r="A24" s="215">
        <v>5</v>
      </c>
      <c r="B24" s="260" t="s">
        <v>1929</v>
      </c>
      <c r="C24" s="215">
        <v>1</v>
      </c>
      <c r="D24" s="257">
        <v>900000</v>
      </c>
      <c r="E24" s="1981">
        <f t="shared" si="2"/>
        <v>900000</v>
      </c>
      <c r="F24" s="221" t="s">
        <v>963</v>
      </c>
      <c r="G24" s="215"/>
      <c r="H24" s="1501"/>
    </row>
    <row r="25" spans="1:8">
      <c r="A25" s="215">
        <v>6</v>
      </c>
      <c r="B25" s="260" t="s">
        <v>2771</v>
      </c>
      <c r="C25" s="215">
        <v>3</v>
      </c>
      <c r="D25" s="257">
        <v>160000</v>
      </c>
      <c r="E25" s="1981">
        <f t="shared" si="2"/>
        <v>480000</v>
      </c>
      <c r="F25" s="221" t="s">
        <v>963</v>
      </c>
      <c r="G25" s="215"/>
      <c r="H25" s="1501"/>
    </row>
    <row r="26" spans="1:8">
      <c r="A26" s="215">
        <v>7</v>
      </c>
      <c r="B26" s="260" t="s">
        <v>2768</v>
      </c>
      <c r="C26" s="215">
        <v>1</v>
      </c>
      <c r="D26" s="257">
        <v>1500000</v>
      </c>
      <c r="E26" s="1981">
        <f t="shared" si="2"/>
        <v>1500000</v>
      </c>
      <c r="F26" s="221" t="s">
        <v>1936</v>
      </c>
      <c r="G26" s="215"/>
      <c r="H26" s="1501"/>
    </row>
    <row r="27" spans="1:8" ht="25.5" customHeight="1">
      <c r="A27" s="215">
        <v>8</v>
      </c>
      <c r="B27" s="260" t="s">
        <v>1931</v>
      </c>
      <c r="C27" s="215">
        <v>1</v>
      </c>
      <c r="D27" s="257">
        <v>3000000</v>
      </c>
      <c r="E27" s="1981">
        <f t="shared" si="2"/>
        <v>3000000</v>
      </c>
      <c r="F27" s="221" t="s">
        <v>1937</v>
      </c>
      <c r="G27" s="215"/>
      <c r="H27" s="1501"/>
    </row>
    <row r="28" spans="1:8" ht="42">
      <c r="A28" s="215">
        <v>9</v>
      </c>
      <c r="B28" s="260" t="s">
        <v>2772</v>
      </c>
      <c r="C28" s="215">
        <v>1</v>
      </c>
      <c r="D28" s="408">
        <v>350000</v>
      </c>
      <c r="E28" s="1981">
        <f t="shared" si="2"/>
        <v>350000</v>
      </c>
      <c r="F28" s="221" t="s">
        <v>451</v>
      </c>
      <c r="G28" s="215"/>
      <c r="H28" s="1501"/>
    </row>
    <row r="29" spans="1:8">
      <c r="A29" s="215">
        <v>10</v>
      </c>
      <c r="B29" s="260" t="s">
        <v>2773</v>
      </c>
      <c r="C29" s="215">
        <v>1</v>
      </c>
      <c r="D29" s="408">
        <v>150000</v>
      </c>
      <c r="E29" s="1981">
        <f t="shared" si="2"/>
        <v>150000</v>
      </c>
      <c r="F29" s="221" t="s">
        <v>1938</v>
      </c>
      <c r="G29" s="215"/>
      <c r="H29" s="1501"/>
    </row>
    <row r="30" spans="1:8">
      <c r="A30" s="215">
        <v>11</v>
      </c>
      <c r="B30" s="260" t="s">
        <v>842</v>
      </c>
      <c r="C30" s="215">
        <v>1</v>
      </c>
      <c r="D30" s="408">
        <v>180000</v>
      </c>
      <c r="E30" s="1981">
        <f t="shared" si="2"/>
        <v>180000</v>
      </c>
      <c r="F30" s="221" t="s">
        <v>736</v>
      </c>
      <c r="G30" s="215"/>
      <c r="H30" s="1501"/>
    </row>
    <row r="31" spans="1:8">
      <c r="E31" s="2491">
        <f>SUM(E20:E30)</f>
        <v>17924500</v>
      </c>
    </row>
    <row r="32" spans="1:8">
      <c r="B32" s="1648" t="s">
        <v>1948</v>
      </c>
      <c r="E32" s="1978"/>
    </row>
    <row r="33" spans="1:9">
      <c r="A33" s="1478" t="s">
        <v>2</v>
      </c>
      <c r="B33" s="1478" t="s">
        <v>3</v>
      </c>
      <c r="C33" s="1478" t="s">
        <v>618</v>
      </c>
      <c r="D33" s="1478" t="s">
        <v>1410</v>
      </c>
      <c r="E33" s="1478" t="s">
        <v>1411</v>
      </c>
      <c r="F33" s="1478" t="s">
        <v>388</v>
      </c>
      <c r="G33" s="1478" t="s">
        <v>221</v>
      </c>
      <c r="H33" s="2403"/>
    </row>
    <row r="34" spans="1:9">
      <c r="A34" s="479"/>
      <c r="B34" s="1982" t="s">
        <v>1943</v>
      </c>
      <c r="C34" s="1986">
        <v>1</v>
      </c>
      <c r="D34" s="1987">
        <v>369000</v>
      </c>
      <c r="E34" s="1983">
        <f>+D34*C34</f>
        <v>369000</v>
      </c>
      <c r="F34" s="478" t="s">
        <v>1947</v>
      </c>
      <c r="G34" s="478"/>
    </row>
    <row r="35" spans="1:9">
      <c r="A35" s="479"/>
      <c r="B35" s="1982" t="s">
        <v>1944</v>
      </c>
      <c r="C35" s="1986">
        <v>3</v>
      </c>
      <c r="D35" s="1987">
        <v>1670000</v>
      </c>
      <c r="E35" s="1983">
        <f t="shared" ref="E35:E36" si="3">+D35*C35</f>
        <v>5010000</v>
      </c>
      <c r="F35" s="478" t="s">
        <v>418</v>
      </c>
      <c r="G35" s="2490" t="s">
        <v>1945</v>
      </c>
    </row>
    <row r="36" spans="1:9">
      <c r="A36" s="479"/>
      <c r="B36" s="1982" t="s">
        <v>838</v>
      </c>
      <c r="C36" s="1986">
        <v>2</v>
      </c>
      <c r="D36" s="1987">
        <v>70500</v>
      </c>
      <c r="E36" s="1983">
        <f t="shared" si="3"/>
        <v>141000</v>
      </c>
      <c r="F36" s="478" t="s">
        <v>422</v>
      </c>
      <c r="G36" s="2490" t="s">
        <v>1946</v>
      </c>
    </row>
    <row r="37" spans="1:9">
      <c r="E37" s="2491">
        <f>SUM(E34:E36)</f>
        <v>5520000</v>
      </c>
    </row>
    <row r="38" spans="1:9">
      <c r="E38" s="1978"/>
    </row>
    <row r="39" spans="1:9" s="138" customFormat="1" ht="24" customHeight="1">
      <c r="A39" s="235" t="s">
        <v>2</v>
      </c>
      <c r="B39" s="235" t="s">
        <v>3</v>
      </c>
      <c r="C39" s="235" t="s">
        <v>618</v>
      </c>
      <c r="D39" s="235" t="s">
        <v>1410</v>
      </c>
      <c r="E39" s="235" t="s">
        <v>1411</v>
      </c>
      <c r="F39" s="235" t="s">
        <v>388</v>
      </c>
      <c r="G39" s="237" t="s">
        <v>727</v>
      </c>
      <c r="H39" s="237" t="s">
        <v>221</v>
      </c>
      <c r="I39" s="3133" t="s">
        <v>2294</v>
      </c>
    </row>
    <row r="40" spans="1:9" s="138" customFormat="1" ht="189">
      <c r="A40" s="2408">
        <v>1</v>
      </c>
      <c r="B40" s="2409" t="s">
        <v>1642</v>
      </c>
      <c r="C40" s="2408">
        <v>64</v>
      </c>
      <c r="D40" s="2410">
        <v>390</v>
      </c>
      <c r="E40" s="2411">
        <f t="shared" ref="E40:E50" si="4">+C40*D40</f>
        <v>24960</v>
      </c>
      <c r="F40" s="2412" t="s">
        <v>2021</v>
      </c>
      <c r="G40" s="221" t="s">
        <v>1644</v>
      </c>
      <c r="H40" s="221"/>
    </row>
    <row r="41" spans="1:9" s="138" customFormat="1" ht="189">
      <c r="A41" s="2408">
        <v>2</v>
      </c>
      <c r="B41" s="2409" t="s">
        <v>1651</v>
      </c>
      <c r="C41" s="2408">
        <v>64</v>
      </c>
      <c r="D41" s="2410">
        <v>420</v>
      </c>
      <c r="E41" s="2411">
        <f t="shared" si="4"/>
        <v>26880</v>
      </c>
      <c r="F41" s="2412" t="s">
        <v>2022</v>
      </c>
      <c r="G41" s="221" t="s">
        <v>1644</v>
      </c>
      <c r="H41" s="221"/>
    </row>
    <row r="42" spans="1:9" s="138" customFormat="1" ht="63">
      <c r="A42" s="2414">
        <v>3</v>
      </c>
      <c r="B42" s="2415" t="s">
        <v>1652</v>
      </c>
      <c r="C42" s="2414">
        <v>14</v>
      </c>
      <c r="D42" s="2416">
        <v>559</v>
      </c>
      <c r="E42" s="2416">
        <f t="shared" si="4"/>
        <v>7826</v>
      </c>
      <c r="F42" s="2417" t="s">
        <v>2024</v>
      </c>
      <c r="G42" s="2428" t="s">
        <v>1644</v>
      </c>
      <c r="H42" s="2421"/>
    </row>
    <row r="43" spans="1:9" s="138" customFormat="1" ht="168">
      <c r="A43" s="2408">
        <v>4</v>
      </c>
      <c r="B43" s="2415" t="s">
        <v>1655</v>
      </c>
      <c r="C43" s="2414">
        <v>78</v>
      </c>
      <c r="D43" s="2416">
        <v>375</v>
      </c>
      <c r="E43" s="2416">
        <f t="shared" si="4"/>
        <v>29250</v>
      </c>
      <c r="F43" s="2417" t="s">
        <v>2025</v>
      </c>
      <c r="G43" s="2418" t="s">
        <v>1644</v>
      </c>
      <c r="H43" s="2421"/>
    </row>
    <row r="44" spans="1:9" s="138" customFormat="1" ht="147">
      <c r="A44" s="2408">
        <v>5</v>
      </c>
      <c r="B44" s="2415" t="s">
        <v>1662</v>
      </c>
      <c r="C44" s="2414">
        <v>19</v>
      </c>
      <c r="D44" s="2416">
        <v>559</v>
      </c>
      <c r="E44" s="2416">
        <f t="shared" si="4"/>
        <v>10621</v>
      </c>
      <c r="F44" s="2417" t="s">
        <v>2026</v>
      </c>
      <c r="G44" s="2418" t="s">
        <v>1644</v>
      </c>
      <c r="H44" s="2421"/>
    </row>
    <row r="45" spans="1:9" s="138" customFormat="1" ht="126">
      <c r="A45" s="2414">
        <v>6</v>
      </c>
      <c r="B45" s="309" t="s">
        <v>1668</v>
      </c>
      <c r="C45" s="310">
        <v>45</v>
      </c>
      <c r="D45" s="2419">
        <v>375</v>
      </c>
      <c r="E45" s="2419">
        <f t="shared" si="4"/>
        <v>16875</v>
      </c>
      <c r="F45" s="2420" t="s">
        <v>2027</v>
      </c>
      <c r="G45" s="2421" t="s">
        <v>1644</v>
      </c>
      <c r="H45" s="2421"/>
    </row>
    <row r="46" spans="1:9">
      <c r="A46" s="2408">
        <v>7</v>
      </c>
      <c r="B46" s="305" t="s">
        <v>1672</v>
      </c>
      <c r="C46" s="306">
        <v>0</v>
      </c>
      <c r="D46" s="2422">
        <v>559</v>
      </c>
      <c r="E46" s="2422">
        <f t="shared" si="4"/>
        <v>0</v>
      </c>
      <c r="F46" s="1856"/>
      <c r="G46" s="2423" t="s">
        <v>1644</v>
      </c>
      <c r="H46" s="2423"/>
    </row>
    <row r="47" spans="1:9" s="138" customFormat="1" ht="84">
      <c r="A47" s="2408">
        <v>8</v>
      </c>
      <c r="B47" s="2424" t="s">
        <v>1673</v>
      </c>
      <c r="C47" s="2425">
        <v>8</v>
      </c>
      <c r="D47" s="2426">
        <v>375</v>
      </c>
      <c r="E47" s="2426">
        <f t="shared" si="4"/>
        <v>3000</v>
      </c>
      <c r="F47" s="2427" t="s">
        <v>2028</v>
      </c>
      <c r="G47" s="2428" t="s">
        <v>1644</v>
      </c>
      <c r="H47" s="2421"/>
    </row>
    <row r="48" spans="1:9" s="138" customFormat="1" ht="168">
      <c r="A48" s="2414">
        <v>9</v>
      </c>
      <c r="B48" s="2415" t="s">
        <v>1676</v>
      </c>
      <c r="C48" s="2414">
        <v>30</v>
      </c>
      <c r="D48" s="2416">
        <v>4815</v>
      </c>
      <c r="E48" s="2416">
        <f t="shared" si="4"/>
        <v>144450</v>
      </c>
      <c r="F48" s="2417" t="s">
        <v>2029</v>
      </c>
      <c r="G48" s="2418" t="s">
        <v>1644</v>
      </c>
      <c r="H48" s="2421"/>
    </row>
    <row r="49" spans="1:16384" s="138" customFormat="1" ht="147">
      <c r="A49" s="2408">
        <v>10</v>
      </c>
      <c r="B49" s="2430" t="s">
        <v>1680</v>
      </c>
      <c r="C49" s="2414">
        <v>22</v>
      </c>
      <c r="D49" s="2416">
        <v>450</v>
      </c>
      <c r="E49" s="2416">
        <f t="shared" si="4"/>
        <v>9900</v>
      </c>
      <c r="F49" s="2417" t="s">
        <v>2030</v>
      </c>
      <c r="G49" s="2418" t="s">
        <v>1644</v>
      </c>
      <c r="H49" s="2421"/>
    </row>
    <row r="50" spans="1:16384">
      <c r="A50" s="2408">
        <v>11</v>
      </c>
      <c r="B50" s="1810" t="s">
        <v>1686</v>
      </c>
      <c r="C50" s="1809">
        <v>12</v>
      </c>
      <c r="D50" s="1855">
        <v>350</v>
      </c>
      <c r="E50" s="1855">
        <f t="shared" si="4"/>
        <v>4200</v>
      </c>
      <c r="F50" s="1812" t="s">
        <v>1532</v>
      </c>
      <c r="G50" s="1822" t="s">
        <v>1644</v>
      </c>
      <c r="H50" s="390"/>
    </row>
    <row r="51" spans="1:16384">
      <c r="A51" s="2414">
        <v>12</v>
      </c>
      <c r="B51" s="1815" t="s">
        <v>1687</v>
      </c>
      <c r="C51" s="1816">
        <v>1</v>
      </c>
      <c r="D51" s="2431">
        <v>1000</v>
      </c>
      <c r="E51" s="2431">
        <v>1000</v>
      </c>
      <c r="F51" s="1818" t="s">
        <v>1563</v>
      </c>
      <c r="G51" s="1819" t="s">
        <v>1644</v>
      </c>
      <c r="H51" s="221"/>
    </row>
    <row r="52" spans="1:16384">
      <c r="A52" s="2408">
        <v>13</v>
      </c>
      <c r="B52" s="297" t="s">
        <v>479</v>
      </c>
      <c r="C52" s="1839">
        <v>8</v>
      </c>
      <c r="D52" s="1840">
        <v>2800</v>
      </c>
      <c r="E52" s="2422">
        <f>+C52*D52</f>
        <v>22400</v>
      </c>
      <c r="F52" s="478" t="s">
        <v>963</v>
      </c>
      <c r="G52" s="1843" t="s">
        <v>1688</v>
      </c>
      <c r="H52" s="221"/>
    </row>
    <row r="53" spans="1:16384" s="138" customFormat="1" ht="63">
      <c r="A53" s="2408">
        <v>14</v>
      </c>
      <c r="B53" s="2415" t="s">
        <v>1689</v>
      </c>
      <c r="C53" s="2414">
        <v>8</v>
      </c>
      <c r="D53" s="2416">
        <v>2950</v>
      </c>
      <c r="E53" s="2416">
        <f>+C53*D53</f>
        <v>23600</v>
      </c>
      <c r="F53" s="2417" t="s">
        <v>2031</v>
      </c>
      <c r="G53" s="2418" t="s">
        <v>1688</v>
      </c>
      <c r="H53" s="2421"/>
    </row>
    <row r="54" spans="1:16384" s="138" customFormat="1" ht="63">
      <c r="A54" s="2414">
        <v>15</v>
      </c>
      <c r="B54" s="2433" t="s">
        <v>1690</v>
      </c>
      <c r="C54" s="2432">
        <v>16</v>
      </c>
      <c r="D54" s="2434">
        <v>7760</v>
      </c>
      <c r="E54" s="2434">
        <f t="shared" ref="E54" si="5">+C54*D54</f>
        <v>124160</v>
      </c>
      <c r="F54" s="2435" t="s">
        <v>2032</v>
      </c>
      <c r="G54" s="2418" t="s">
        <v>1688</v>
      </c>
      <c r="H54" s="2421"/>
    </row>
    <row r="55" spans="1:16384">
      <c r="A55" s="2408">
        <v>16</v>
      </c>
      <c r="B55" s="1810" t="s">
        <v>1077</v>
      </c>
      <c r="C55" s="1809">
        <v>4</v>
      </c>
      <c r="D55" s="1855">
        <v>10000</v>
      </c>
      <c r="E55" s="1855">
        <f>+C55*D55</f>
        <v>40000</v>
      </c>
      <c r="F55" s="1812" t="s">
        <v>1579</v>
      </c>
      <c r="G55" s="1822" t="s">
        <v>1688</v>
      </c>
      <c r="H55" s="390"/>
    </row>
    <row r="56" spans="1:16384">
      <c r="A56" s="2408">
        <v>17</v>
      </c>
      <c r="B56" s="1810" t="s">
        <v>1691</v>
      </c>
      <c r="C56" s="1809">
        <v>2</v>
      </c>
      <c r="D56" s="1855">
        <v>2500</v>
      </c>
      <c r="E56" s="1855">
        <f t="shared" ref="E56:E58" si="6">+C56*D56</f>
        <v>5000</v>
      </c>
      <c r="F56" s="1812" t="s">
        <v>1532</v>
      </c>
      <c r="G56" s="1822" t="s">
        <v>1688</v>
      </c>
      <c r="H56" s="390"/>
    </row>
    <row r="57" spans="1:16384">
      <c r="A57" s="2414">
        <v>18</v>
      </c>
      <c r="B57" s="1810" t="s">
        <v>1691</v>
      </c>
      <c r="C57" s="1809">
        <v>4</v>
      </c>
      <c r="D57" s="1855">
        <v>2500</v>
      </c>
      <c r="E57" s="1855">
        <f t="shared" si="6"/>
        <v>10000</v>
      </c>
      <c r="F57" s="1812" t="s">
        <v>1579</v>
      </c>
      <c r="G57" s="1822" t="s">
        <v>1688</v>
      </c>
      <c r="H57" s="390"/>
    </row>
    <row r="58" spans="1:16384">
      <c r="A58" s="2408">
        <v>19</v>
      </c>
      <c r="B58" s="1903" t="s">
        <v>1692</v>
      </c>
      <c r="C58" s="1809">
        <v>1</v>
      </c>
      <c r="D58" s="1821">
        <v>15000</v>
      </c>
      <c r="E58" s="1855">
        <f t="shared" si="6"/>
        <v>15000</v>
      </c>
      <c r="F58" s="1812" t="s">
        <v>1587</v>
      </c>
      <c r="G58" s="1822" t="s">
        <v>1688</v>
      </c>
      <c r="H58" s="390"/>
    </row>
    <row r="59" spans="1:16384">
      <c r="A59" s="2408">
        <v>20</v>
      </c>
      <c r="B59" s="1833" t="s">
        <v>1693</v>
      </c>
      <c r="C59" s="1834">
        <v>5</v>
      </c>
      <c r="D59" s="2436">
        <v>10000</v>
      </c>
      <c r="E59" s="2436">
        <f>+C59*D59</f>
        <v>50000</v>
      </c>
      <c r="F59" s="1850" t="s">
        <v>1694</v>
      </c>
      <c r="G59" s="1851" t="s">
        <v>1695</v>
      </c>
      <c r="H59" s="2423"/>
    </row>
    <row r="60" spans="1:16384" s="138" customFormat="1">
      <c r="A60" s="2414">
        <v>21</v>
      </c>
      <c r="B60" s="309" t="s">
        <v>1696</v>
      </c>
      <c r="C60" s="310">
        <v>16</v>
      </c>
      <c r="D60" s="2419">
        <v>400</v>
      </c>
      <c r="E60" s="2419">
        <f t="shared" ref="E60" si="7">+C60*D60</f>
        <v>6400</v>
      </c>
      <c r="F60" s="2420" t="s">
        <v>2774</v>
      </c>
      <c r="G60" s="2421" t="s">
        <v>1695</v>
      </c>
      <c r="H60" s="2421"/>
    </row>
    <row r="61" spans="1:16384" s="138" customFormat="1">
      <c r="A61" s="235" t="s">
        <v>2</v>
      </c>
      <c r="B61" s="235" t="s">
        <v>3</v>
      </c>
      <c r="C61" s="235" t="s">
        <v>618</v>
      </c>
      <c r="D61" s="235" t="s">
        <v>1410</v>
      </c>
      <c r="E61" s="235" t="s">
        <v>1411</v>
      </c>
      <c r="F61" s="235" t="s">
        <v>388</v>
      </c>
      <c r="G61" s="237" t="s">
        <v>727</v>
      </c>
      <c r="H61" s="237" t="s">
        <v>221</v>
      </c>
      <c r="I61" s="235" t="s">
        <v>2</v>
      </c>
      <c r="J61" s="235" t="s">
        <v>3</v>
      </c>
      <c r="K61" s="235" t="s">
        <v>618</v>
      </c>
      <c r="L61" s="235" t="s">
        <v>1410</v>
      </c>
      <c r="M61" s="235" t="s">
        <v>1411</v>
      </c>
      <c r="N61" s="235" t="s">
        <v>388</v>
      </c>
      <c r="O61" s="237" t="s">
        <v>727</v>
      </c>
      <c r="P61" s="237" t="s">
        <v>221</v>
      </c>
      <c r="Q61" s="235" t="s">
        <v>2</v>
      </c>
      <c r="R61" s="235" t="s">
        <v>3</v>
      </c>
      <c r="S61" s="235" t="s">
        <v>618</v>
      </c>
      <c r="T61" s="235" t="s">
        <v>1410</v>
      </c>
      <c r="U61" s="235" t="s">
        <v>1411</v>
      </c>
      <c r="V61" s="235" t="s">
        <v>388</v>
      </c>
      <c r="W61" s="237" t="s">
        <v>727</v>
      </c>
      <c r="X61" s="237" t="s">
        <v>221</v>
      </c>
      <c r="Y61" s="235" t="s">
        <v>2</v>
      </c>
      <c r="Z61" s="235" t="s">
        <v>3</v>
      </c>
      <c r="AA61" s="235" t="s">
        <v>618</v>
      </c>
      <c r="AB61" s="235" t="s">
        <v>1410</v>
      </c>
      <c r="AC61" s="235" t="s">
        <v>1411</v>
      </c>
      <c r="AD61" s="235" t="s">
        <v>388</v>
      </c>
      <c r="AE61" s="237" t="s">
        <v>727</v>
      </c>
      <c r="AF61" s="237" t="s">
        <v>221</v>
      </c>
      <c r="AG61" s="235" t="s">
        <v>2</v>
      </c>
      <c r="AH61" s="235" t="s">
        <v>3</v>
      </c>
      <c r="AI61" s="235" t="s">
        <v>618</v>
      </c>
      <c r="AJ61" s="235" t="s">
        <v>1410</v>
      </c>
      <c r="AK61" s="235" t="s">
        <v>1411</v>
      </c>
      <c r="AL61" s="235" t="s">
        <v>388</v>
      </c>
      <c r="AM61" s="237" t="s">
        <v>727</v>
      </c>
      <c r="AN61" s="237" t="s">
        <v>221</v>
      </c>
      <c r="AO61" s="235" t="s">
        <v>2</v>
      </c>
      <c r="AP61" s="235" t="s">
        <v>3</v>
      </c>
      <c r="AQ61" s="235" t="s">
        <v>618</v>
      </c>
      <c r="AR61" s="235" t="s">
        <v>1410</v>
      </c>
      <c r="AS61" s="235" t="s">
        <v>1411</v>
      </c>
      <c r="AT61" s="235" t="s">
        <v>388</v>
      </c>
      <c r="AU61" s="237" t="s">
        <v>727</v>
      </c>
      <c r="AV61" s="237" t="s">
        <v>221</v>
      </c>
      <c r="AW61" s="235" t="s">
        <v>2</v>
      </c>
      <c r="AX61" s="235" t="s">
        <v>3</v>
      </c>
      <c r="AY61" s="235" t="s">
        <v>618</v>
      </c>
      <c r="AZ61" s="235" t="s">
        <v>1410</v>
      </c>
      <c r="BA61" s="235" t="s">
        <v>1411</v>
      </c>
      <c r="BB61" s="235" t="s">
        <v>388</v>
      </c>
      <c r="BC61" s="237" t="s">
        <v>727</v>
      </c>
      <c r="BD61" s="237" t="s">
        <v>221</v>
      </c>
      <c r="BE61" s="235" t="s">
        <v>2</v>
      </c>
      <c r="BF61" s="235" t="s">
        <v>3</v>
      </c>
      <c r="BG61" s="235" t="s">
        <v>618</v>
      </c>
      <c r="BH61" s="235" t="s">
        <v>1410</v>
      </c>
      <c r="BI61" s="235" t="s">
        <v>1411</v>
      </c>
      <c r="BJ61" s="235" t="s">
        <v>388</v>
      </c>
      <c r="BK61" s="237" t="s">
        <v>727</v>
      </c>
      <c r="BL61" s="237" t="s">
        <v>221</v>
      </c>
      <c r="BM61" s="235" t="s">
        <v>2</v>
      </c>
      <c r="BN61" s="235" t="s">
        <v>3</v>
      </c>
      <c r="BO61" s="235" t="s">
        <v>618</v>
      </c>
      <c r="BP61" s="235" t="s">
        <v>1410</v>
      </c>
      <c r="BQ61" s="235" t="s">
        <v>1411</v>
      </c>
      <c r="BR61" s="235" t="s">
        <v>388</v>
      </c>
      <c r="BS61" s="237" t="s">
        <v>727</v>
      </c>
      <c r="BT61" s="237" t="s">
        <v>221</v>
      </c>
      <c r="BU61" s="235" t="s">
        <v>2</v>
      </c>
      <c r="BV61" s="235" t="s">
        <v>3</v>
      </c>
      <c r="BW61" s="235" t="s">
        <v>618</v>
      </c>
      <c r="BX61" s="235" t="s">
        <v>1410</v>
      </c>
      <c r="BY61" s="235" t="s">
        <v>1411</v>
      </c>
      <c r="BZ61" s="235" t="s">
        <v>388</v>
      </c>
      <c r="CA61" s="237" t="s">
        <v>727</v>
      </c>
      <c r="CB61" s="237" t="s">
        <v>221</v>
      </c>
      <c r="CC61" s="235" t="s">
        <v>2</v>
      </c>
      <c r="CD61" s="235" t="s">
        <v>3</v>
      </c>
      <c r="CE61" s="235" t="s">
        <v>618</v>
      </c>
      <c r="CF61" s="235" t="s">
        <v>1410</v>
      </c>
      <c r="CG61" s="235" t="s">
        <v>1411</v>
      </c>
      <c r="CH61" s="235" t="s">
        <v>388</v>
      </c>
      <c r="CI61" s="237" t="s">
        <v>727</v>
      </c>
      <c r="CJ61" s="237" t="s">
        <v>221</v>
      </c>
      <c r="CK61" s="235" t="s">
        <v>2</v>
      </c>
      <c r="CL61" s="235" t="s">
        <v>3</v>
      </c>
      <c r="CM61" s="235" t="s">
        <v>618</v>
      </c>
      <c r="CN61" s="235" t="s">
        <v>1410</v>
      </c>
      <c r="CO61" s="235" t="s">
        <v>1411</v>
      </c>
      <c r="CP61" s="235" t="s">
        <v>388</v>
      </c>
      <c r="CQ61" s="237" t="s">
        <v>727</v>
      </c>
      <c r="CR61" s="237" t="s">
        <v>221</v>
      </c>
      <c r="CS61" s="235" t="s">
        <v>2</v>
      </c>
      <c r="CT61" s="235" t="s">
        <v>3</v>
      </c>
      <c r="CU61" s="235" t="s">
        <v>618</v>
      </c>
      <c r="CV61" s="235" t="s">
        <v>1410</v>
      </c>
      <c r="CW61" s="235" t="s">
        <v>1411</v>
      </c>
      <c r="CX61" s="235" t="s">
        <v>388</v>
      </c>
      <c r="CY61" s="237" t="s">
        <v>727</v>
      </c>
      <c r="CZ61" s="237" t="s">
        <v>221</v>
      </c>
      <c r="DA61" s="235" t="s">
        <v>2</v>
      </c>
      <c r="DB61" s="235" t="s">
        <v>3</v>
      </c>
      <c r="DC61" s="235" t="s">
        <v>618</v>
      </c>
      <c r="DD61" s="235" t="s">
        <v>1410</v>
      </c>
      <c r="DE61" s="235" t="s">
        <v>1411</v>
      </c>
      <c r="DF61" s="235" t="s">
        <v>388</v>
      </c>
      <c r="DG61" s="237" t="s">
        <v>727</v>
      </c>
      <c r="DH61" s="237" t="s">
        <v>221</v>
      </c>
      <c r="DI61" s="235" t="s">
        <v>2</v>
      </c>
      <c r="DJ61" s="235" t="s">
        <v>3</v>
      </c>
      <c r="DK61" s="235" t="s">
        <v>618</v>
      </c>
      <c r="DL61" s="235" t="s">
        <v>1410</v>
      </c>
      <c r="DM61" s="235" t="s">
        <v>1411</v>
      </c>
      <c r="DN61" s="235" t="s">
        <v>388</v>
      </c>
      <c r="DO61" s="237" t="s">
        <v>727</v>
      </c>
      <c r="DP61" s="237" t="s">
        <v>221</v>
      </c>
      <c r="DQ61" s="235" t="s">
        <v>2</v>
      </c>
      <c r="DR61" s="235" t="s">
        <v>3</v>
      </c>
      <c r="DS61" s="235" t="s">
        <v>618</v>
      </c>
      <c r="DT61" s="235" t="s">
        <v>1410</v>
      </c>
      <c r="DU61" s="235" t="s">
        <v>1411</v>
      </c>
      <c r="DV61" s="235" t="s">
        <v>388</v>
      </c>
      <c r="DW61" s="237" t="s">
        <v>727</v>
      </c>
      <c r="DX61" s="237" t="s">
        <v>221</v>
      </c>
      <c r="DY61" s="235" t="s">
        <v>2</v>
      </c>
      <c r="DZ61" s="235" t="s">
        <v>3</v>
      </c>
      <c r="EA61" s="235" t="s">
        <v>618</v>
      </c>
      <c r="EB61" s="235" t="s">
        <v>1410</v>
      </c>
      <c r="EC61" s="235" t="s">
        <v>1411</v>
      </c>
      <c r="ED61" s="235" t="s">
        <v>388</v>
      </c>
      <c r="EE61" s="237" t="s">
        <v>727</v>
      </c>
      <c r="EF61" s="237" t="s">
        <v>221</v>
      </c>
      <c r="EG61" s="235" t="s">
        <v>2</v>
      </c>
      <c r="EH61" s="235" t="s">
        <v>3</v>
      </c>
      <c r="EI61" s="235" t="s">
        <v>618</v>
      </c>
      <c r="EJ61" s="235" t="s">
        <v>1410</v>
      </c>
      <c r="EK61" s="235" t="s">
        <v>1411</v>
      </c>
      <c r="EL61" s="235" t="s">
        <v>388</v>
      </c>
      <c r="EM61" s="237" t="s">
        <v>727</v>
      </c>
      <c r="EN61" s="237" t="s">
        <v>221</v>
      </c>
      <c r="EO61" s="235" t="s">
        <v>2</v>
      </c>
      <c r="EP61" s="235" t="s">
        <v>3</v>
      </c>
      <c r="EQ61" s="235" t="s">
        <v>618</v>
      </c>
      <c r="ER61" s="235" t="s">
        <v>1410</v>
      </c>
      <c r="ES61" s="235" t="s">
        <v>1411</v>
      </c>
      <c r="ET61" s="235" t="s">
        <v>388</v>
      </c>
      <c r="EU61" s="237" t="s">
        <v>727</v>
      </c>
      <c r="EV61" s="237" t="s">
        <v>221</v>
      </c>
      <c r="EW61" s="235" t="s">
        <v>2</v>
      </c>
      <c r="EX61" s="235" t="s">
        <v>3</v>
      </c>
      <c r="EY61" s="235" t="s">
        <v>618</v>
      </c>
      <c r="EZ61" s="235" t="s">
        <v>1410</v>
      </c>
      <c r="FA61" s="235" t="s">
        <v>1411</v>
      </c>
      <c r="FB61" s="235" t="s">
        <v>388</v>
      </c>
      <c r="FC61" s="237" t="s">
        <v>727</v>
      </c>
      <c r="FD61" s="237" t="s">
        <v>221</v>
      </c>
      <c r="FE61" s="235" t="s">
        <v>2</v>
      </c>
      <c r="FF61" s="235" t="s">
        <v>3</v>
      </c>
      <c r="FG61" s="235" t="s">
        <v>618</v>
      </c>
      <c r="FH61" s="235" t="s">
        <v>1410</v>
      </c>
      <c r="FI61" s="235" t="s">
        <v>1411</v>
      </c>
      <c r="FJ61" s="235" t="s">
        <v>388</v>
      </c>
      <c r="FK61" s="237" t="s">
        <v>727</v>
      </c>
      <c r="FL61" s="237" t="s">
        <v>221</v>
      </c>
      <c r="FM61" s="235" t="s">
        <v>2</v>
      </c>
      <c r="FN61" s="235" t="s">
        <v>3</v>
      </c>
      <c r="FO61" s="235" t="s">
        <v>618</v>
      </c>
      <c r="FP61" s="235" t="s">
        <v>1410</v>
      </c>
      <c r="FQ61" s="235" t="s">
        <v>1411</v>
      </c>
      <c r="FR61" s="235" t="s">
        <v>388</v>
      </c>
      <c r="FS61" s="237" t="s">
        <v>727</v>
      </c>
      <c r="FT61" s="237" t="s">
        <v>221</v>
      </c>
      <c r="FU61" s="235" t="s">
        <v>2</v>
      </c>
      <c r="FV61" s="235" t="s">
        <v>3</v>
      </c>
      <c r="FW61" s="235" t="s">
        <v>618</v>
      </c>
      <c r="FX61" s="235" t="s">
        <v>1410</v>
      </c>
      <c r="FY61" s="235" t="s">
        <v>1411</v>
      </c>
      <c r="FZ61" s="235" t="s">
        <v>388</v>
      </c>
      <c r="GA61" s="237" t="s">
        <v>727</v>
      </c>
      <c r="GB61" s="237" t="s">
        <v>221</v>
      </c>
      <c r="GC61" s="235" t="s">
        <v>2</v>
      </c>
      <c r="GD61" s="235" t="s">
        <v>3</v>
      </c>
      <c r="GE61" s="235" t="s">
        <v>618</v>
      </c>
      <c r="GF61" s="235" t="s">
        <v>1410</v>
      </c>
      <c r="GG61" s="235" t="s">
        <v>1411</v>
      </c>
      <c r="GH61" s="235" t="s">
        <v>388</v>
      </c>
      <c r="GI61" s="237" t="s">
        <v>727</v>
      </c>
      <c r="GJ61" s="237" t="s">
        <v>221</v>
      </c>
      <c r="GK61" s="235" t="s">
        <v>2</v>
      </c>
      <c r="GL61" s="235" t="s">
        <v>3</v>
      </c>
      <c r="GM61" s="235" t="s">
        <v>618</v>
      </c>
      <c r="GN61" s="235" t="s">
        <v>1410</v>
      </c>
      <c r="GO61" s="235" t="s">
        <v>1411</v>
      </c>
      <c r="GP61" s="235" t="s">
        <v>388</v>
      </c>
      <c r="GQ61" s="237" t="s">
        <v>727</v>
      </c>
      <c r="GR61" s="237" t="s">
        <v>221</v>
      </c>
      <c r="GS61" s="235" t="s">
        <v>2</v>
      </c>
      <c r="GT61" s="235" t="s">
        <v>3</v>
      </c>
      <c r="GU61" s="235" t="s">
        <v>618</v>
      </c>
      <c r="GV61" s="235" t="s">
        <v>1410</v>
      </c>
      <c r="GW61" s="235" t="s">
        <v>1411</v>
      </c>
      <c r="GX61" s="235" t="s">
        <v>388</v>
      </c>
      <c r="GY61" s="237" t="s">
        <v>727</v>
      </c>
      <c r="GZ61" s="237" t="s">
        <v>221</v>
      </c>
      <c r="HA61" s="235" t="s">
        <v>2</v>
      </c>
      <c r="HB61" s="235" t="s">
        <v>3</v>
      </c>
      <c r="HC61" s="235" t="s">
        <v>618</v>
      </c>
      <c r="HD61" s="235" t="s">
        <v>1410</v>
      </c>
      <c r="HE61" s="235" t="s">
        <v>1411</v>
      </c>
      <c r="HF61" s="235" t="s">
        <v>388</v>
      </c>
      <c r="HG61" s="237" t="s">
        <v>727</v>
      </c>
      <c r="HH61" s="237" t="s">
        <v>221</v>
      </c>
      <c r="HI61" s="235" t="s">
        <v>2</v>
      </c>
      <c r="HJ61" s="235" t="s">
        <v>3</v>
      </c>
      <c r="HK61" s="235" t="s">
        <v>618</v>
      </c>
      <c r="HL61" s="235" t="s">
        <v>1410</v>
      </c>
      <c r="HM61" s="235" t="s">
        <v>1411</v>
      </c>
      <c r="HN61" s="235" t="s">
        <v>388</v>
      </c>
      <c r="HO61" s="237" t="s">
        <v>727</v>
      </c>
      <c r="HP61" s="237" t="s">
        <v>221</v>
      </c>
      <c r="HQ61" s="235" t="s">
        <v>2</v>
      </c>
      <c r="HR61" s="235" t="s">
        <v>3</v>
      </c>
      <c r="HS61" s="235" t="s">
        <v>618</v>
      </c>
      <c r="HT61" s="235" t="s">
        <v>1410</v>
      </c>
      <c r="HU61" s="235" t="s">
        <v>1411</v>
      </c>
      <c r="HV61" s="235" t="s">
        <v>388</v>
      </c>
      <c r="HW61" s="237" t="s">
        <v>727</v>
      </c>
      <c r="HX61" s="237" t="s">
        <v>221</v>
      </c>
      <c r="HY61" s="235" t="s">
        <v>2</v>
      </c>
      <c r="HZ61" s="235" t="s">
        <v>3</v>
      </c>
      <c r="IA61" s="235" t="s">
        <v>618</v>
      </c>
      <c r="IB61" s="235" t="s">
        <v>1410</v>
      </c>
      <c r="IC61" s="235" t="s">
        <v>1411</v>
      </c>
      <c r="ID61" s="235" t="s">
        <v>388</v>
      </c>
      <c r="IE61" s="237" t="s">
        <v>727</v>
      </c>
      <c r="IF61" s="237" t="s">
        <v>221</v>
      </c>
      <c r="IG61" s="235" t="s">
        <v>2</v>
      </c>
      <c r="IH61" s="235" t="s">
        <v>3</v>
      </c>
      <c r="II61" s="235" t="s">
        <v>618</v>
      </c>
      <c r="IJ61" s="235" t="s">
        <v>1410</v>
      </c>
      <c r="IK61" s="235" t="s">
        <v>1411</v>
      </c>
      <c r="IL61" s="235" t="s">
        <v>388</v>
      </c>
      <c r="IM61" s="237" t="s">
        <v>727</v>
      </c>
      <c r="IN61" s="237" t="s">
        <v>221</v>
      </c>
      <c r="IO61" s="235" t="s">
        <v>2</v>
      </c>
      <c r="IP61" s="235" t="s">
        <v>3</v>
      </c>
      <c r="IQ61" s="235" t="s">
        <v>618</v>
      </c>
      <c r="IR61" s="235" t="s">
        <v>1410</v>
      </c>
      <c r="IS61" s="235" t="s">
        <v>1411</v>
      </c>
      <c r="IT61" s="235" t="s">
        <v>388</v>
      </c>
      <c r="IU61" s="237" t="s">
        <v>727</v>
      </c>
      <c r="IV61" s="237" t="s">
        <v>221</v>
      </c>
      <c r="IW61" s="235" t="s">
        <v>2</v>
      </c>
      <c r="IX61" s="235" t="s">
        <v>3</v>
      </c>
      <c r="IY61" s="235" t="s">
        <v>618</v>
      </c>
      <c r="IZ61" s="235" t="s">
        <v>1410</v>
      </c>
      <c r="JA61" s="235" t="s">
        <v>1411</v>
      </c>
      <c r="JB61" s="235" t="s">
        <v>388</v>
      </c>
      <c r="JC61" s="237" t="s">
        <v>727</v>
      </c>
      <c r="JD61" s="237" t="s">
        <v>221</v>
      </c>
      <c r="JE61" s="235" t="s">
        <v>2</v>
      </c>
      <c r="JF61" s="235" t="s">
        <v>3</v>
      </c>
      <c r="JG61" s="235" t="s">
        <v>618</v>
      </c>
      <c r="JH61" s="235" t="s">
        <v>1410</v>
      </c>
      <c r="JI61" s="235" t="s">
        <v>1411</v>
      </c>
      <c r="JJ61" s="235" t="s">
        <v>388</v>
      </c>
      <c r="JK61" s="237" t="s">
        <v>727</v>
      </c>
      <c r="JL61" s="237" t="s">
        <v>221</v>
      </c>
      <c r="JM61" s="235" t="s">
        <v>2</v>
      </c>
      <c r="JN61" s="235" t="s">
        <v>3</v>
      </c>
      <c r="JO61" s="235" t="s">
        <v>618</v>
      </c>
      <c r="JP61" s="235" t="s">
        <v>1410</v>
      </c>
      <c r="JQ61" s="235" t="s">
        <v>1411</v>
      </c>
      <c r="JR61" s="235" t="s">
        <v>388</v>
      </c>
      <c r="JS61" s="237" t="s">
        <v>727</v>
      </c>
      <c r="JT61" s="237" t="s">
        <v>221</v>
      </c>
      <c r="JU61" s="235" t="s">
        <v>2</v>
      </c>
      <c r="JV61" s="235" t="s">
        <v>3</v>
      </c>
      <c r="JW61" s="235" t="s">
        <v>618</v>
      </c>
      <c r="JX61" s="235" t="s">
        <v>1410</v>
      </c>
      <c r="JY61" s="235" t="s">
        <v>1411</v>
      </c>
      <c r="JZ61" s="235" t="s">
        <v>388</v>
      </c>
      <c r="KA61" s="237" t="s">
        <v>727</v>
      </c>
      <c r="KB61" s="237" t="s">
        <v>221</v>
      </c>
      <c r="KC61" s="235" t="s">
        <v>2</v>
      </c>
      <c r="KD61" s="235" t="s">
        <v>3</v>
      </c>
      <c r="KE61" s="235" t="s">
        <v>618</v>
      </c>
      <c r="KF61" s="235" t="s">
        <v>1410</v>
      </c>
      <c r="KG61" s="235" t="s">
        <v>1411</v>
      </c>
      <c r="KH61" s="235" t="s">
        <v>388</v>
      </c>
      <c r="KI61" s="237" t="s">
        <v>727</v>
      </c>
      <c r="KJ61" s="237" t="s">
        <v>221</v>
      </c>
      <c r="KK61" s="235" t="s">
        <v>2</v>
      </c>
      <c r="KL61" s="235" t="s">
        <v>3</v>
      </c>
      <c r="KM61" s="235" t="s">
        <v>618</v>
      </c>
      <c r="KN61" s="235" t="s">
        <v>1410</v>
      </c>
      <c r="KO61" s="235" t="s">
        <v>1411</v>
      </c>
      <c r="KP61" s="235" t="s">
        <v>388</v>
      </c>
      <c r="KQ61" s="237" t="s">
        <v>727</v>
      </c>
      <c r="KR61" s="237" t="s">
        <v>221</v>
      </c>
      <c r="KS61" s="235" t="s">
        <v>2</v>
      </c>
      <c r="KT61" s="235" t="s">
        <v>3</v>
      </c>
      <c r="KU61" s="235" t="s">
        <v>618</v>
      </c>
      <c r="KV61" s="235" t="s">
        <v>1410</v>
      </c>
      <c r="KW61" s="235" t="s">
        <v>1411</v>
      </c>
      <c r="KX61" s="235" t="s">
        <v>388</v>
      </c>
      <c r="KY61" s="237" t="s">
        <v>727</v>
      </c>
      <c r="KZ61" s="237" t="s">
        <v>221</v>
      </c>
      <c r="LA61" s="235" t="s">
        <v>2</v>
      </c>
      <c r="LB61" s="235" t="s">
        <v>3</v>
      </c>
      <c r="LC61" s="235" t="s">
        <v>618</v>
      </c>
      <c r="LD61" s="235" t="s">
        <v>1410</v>
      </c>
      <c r="LE61" s="235" t="s">
        <v>1411</v>
      </c>
      <c r="LF61" s="235" t="s">
        <v>388</v>
      </c>
      <c r="LG61" s="237" t="s">
        <v>727</v>
      </c>
      <c r="LH61" s="237" t="s">
        <v>221</v>
      </c>
      <c r="LI61" s="235" t="s">
        <v>2</v>
      </c>
      <c r="LJ61" s="235" t="s">
        <v>3</v>
      </c>
      <c r="LK61" s="235" t="s">
        <v>618</v>
      </c>
      <c r="LL61" s="235" t="s">
        <v>1410</v>
      </c>
      <c r="LM61" s="235" t="s">
        <v>1411</v>
      </c>
      <c r="LN61" s="235" t="s">
        <v>388</v>
      </c>
      <c r="LO61" s="237" t="s">
        <v>727</v>
      </c>
      <c r="LP61" s="237" t="s">
        <v>221</v>
      </c>
      <c r="LQ61" s="235" t="s">
        <v>2</v>
      </c>
      <c r="LR61" s="235" t="s">
        <v>3</v>
      </c>
      <c r="LS61" s="235" t="s">
        <v>618</v>
      </c>
      <c r="LT61" s="235" t="s">
        <v>1410</v>
      </c>
      <c r="LU61" s="235" t="s">
        <v>1411</v>
      </c>
      <c r="LV61" s="235" t="s">
        <v>388</v>
      </c>
      <c r="LW61" s="237" t="s">
        <v>727</v>
      </c>
      <c r="LX61" s="237" t="s">
        <v>221</v>
      </c>
      <c r="LY61" s="235" t="s">
        <v>2</v>
      </c>
      <c r="LZ61" s="235" t="s">
        <v>3</v>
      </c>
      <c r="MA61" s="235" t="s">
        <v>618</v>
      </c>
      <c r="MB61" s="235" t="s">
        <v>1410</v>
      </c>
      <c r="MC61" s="235" t="s">
        <v>1411</v>
      </c>
      <c r="MD61" s="235" t="s">
        <v>388</v>
      </c>
      <c r="ME61" s="237" t="s">
        <v>727</v>
      </c>
      <c r="MF61" s="237" t="s">
        <v>221</v>
      </c>
      <c r="MG61" s="235" t="s">
        <v>2</v>
      </c>
      <c r="MH61" s="235" t="s">
        <v>3</v>
      </c>
      <c r="MI61" s="235" t="s">
        <v>618</v>
      </c>
      <c r="MJ61" s="235" t="s">
        <v>1410</v>
      </c>
      <c r="MK61" s="235" t="s">
        <v>1411</v>
      </c>
      <c r="ML61" s="235" t="s">
        <v>388</v>
      </c>
      <c r="MM61" s="237" t="s">
        <v>727</v>
      </c>
      <c r="MN61" s="237" t="s">
        <v>221</v>
      </c>
      <c r="MO61" s="235" t="s">
        <v>2</v>
      </c>
      <c r="MP61" s="235" t="s">
        <v>3</v>
      </c>
      <c r="MQ61" s="235" t="s">
        <v>618</v>
      </c>
      <c r="MR61" s="235" t="s">
        <v>1410</v>
      </c>
      <c r="MS61" s="235" t="s">
        <v>1411</v>
      </c>
      <c r="MT61" s="235" t="s">
        <v>388</v>
      </c>
      <c r="MU61" s="237" t="s">
        <v>727</v>
      </c>
      <c r="MV61" s="237" t="s">
        <v>221</v>
      </c>
      <c r="MW61" s="235" t="s">
        <v>2</v>
      </c>
      <c r="MX61" s="235" t="s">
        <v>3</v>
      </c>
      <c r="MY61" s="235" t="s">
        <v>618</v>
      </c>
      <c r="MZ61" s="235" t="s">
        <v>1410</v>
      </c>
      <c r="NA61" s="235" t="s">
        <v>1411</v>
      </c>
      <c r="NB61" s="235" t="s">
        <v>388</v>
      </c>
      <c r="NC61" s="237" t="s">
        <v>727</v>
      </c>
      <c r="ND61" s="237" t="s">
        <v>221</v>
      </c>
      <c r="NE61" s="235" t="s">
        <v>2</v>
      </c>
      <c r="NF61" s="235" t="s">
        <v>3</v>
      </c>
      <c r="NG61" s="235" t="s">
        <v>618</v>
      </c>
      <c r="NH61" s="235" t="s">
        <v>1410</v>
      </c>
      <c r="NI61" s="235" t="s">
        <v>1411</v>
      </c>
      <c r="NJ61" s="235" t="s">
        <v>388</v>
      </c>
      <c r="NK61" s="237" t="s">
        <v>727</v>
      </c>
      <c r="NL61" s="237" t="s">
        <v>221</v>
      </c>
      <c r="NM61" s="235" t="s">
        <v>2</v>
      </c>
      <c r="NN61" s="235" t="s">
        <v>3</v>
      </c>
      <c r="NO61" s="235" t="s">
        <v>618</v>
      </c>
      <c r="NP61" s="235" t="s">
        <v>1410</v>
      </c>
      <c r="NQ61" s="235" t="s">
        <v>1411</v>
      </c>
      <c r="NR61" s="235" t="s">
        <v>388</v>
      </c>
      <c r="NS61" s="237" t="s">
        <v>727</v>
      </c>
      <c r="NT61" s="237" t="s">
        <v>221</v>
      </c>
      <c r="NU61" s="235" t="s">
        <v>2</v>
      </c>
      <c r="NV61" s="235" t="s">
        <v>3</v>
      </c>
      <c r="NW61" s="235" t="s">
        <v>618</v>
      </c>
      <c r="NX61" s="235" t="s">
        <v>1410</v>
      </c>
      <c r="NY61" s="235" t="s">
        <v>1411</v>
      </c>
      <c r="NZ61" s="235" t="s">
        <v>388</v>
      </c>
      <c r="OA61" s="237" t="s">
        <v>727</v>
      </c>
      <c r="OB61" s="237" t="s">
        <v>221</v>
      </c>
      <c r="OC61" s="235" t="s">
        <v>2</v>
      </c>
      <c r="OD61" s="235" t="s">
        <v>3</v>
      </c>
      <c r="OE61" s="235" t="s">
        <v>618</v>
      </c>
      <c r="OF61" s="235" t="s">
        <v>1410</v>
      </c>
      <c r="OG61" s="235" t="s">
        <v>1411</v>
      </c>
      <c r="OH61" s="235" t="s">
        <v>388</v>
      </c>
      <c r="OI61" s="237" t="s">
        <v>727</v>
      </c>
      <c r="OJ61" s="237" t="s">
        <v>221</v>
      </c>
      <c r="OK61" s="235" t="s">
        <v>2</v>
      </c>
      <c r="OL61" s="235" t="s">
        <v>3</v>
      </c>
      <c r="OM61" s="235" t="s">
        <v>618</v>
      </c>
      <c r="ON61" s="235" t="s">
        <v>1410</v>
      </c>
      <c r="OO61" s="235" t="s">
        <v>1411</v>
      </c>
      <c r="OP61" s="235" t="s">
        <v>388</v>
      </c>
      <c r="OQ61" s="237" t="s">
        <v>727</v>
      </c>
      <c r="OR61" s="237" t="s">
        <v>221</v>
      </c>
      <c r="OS61" s="235" t="s">
        <v>2</v>
      </c>
      <c r="OT61" s="235" t="s">
        <v>3</v>
      </c>
      <c r="OU61" s="235" t="s">
        <v>618</v>
      </c>
      <c r="OV61" s="235" t="s">
        <v>1410</v>
      </c>
      <c r="OW61" s="235" t="s">
        <v>1411</v>
      </c>
      <c r="OX61" s="235" t="s">
        <v>388</v>
      </c>
      <c r="OY61" s="237" t="s">
        <v>727</v>
      </c>
      <c r="OZ61" s="237" t="s">
        <v>221</v>
      </c>
      <c r="PA61" s="235" t="s">
        <v>2</v>
      </c>
      <c r="PB61" s="235" t="s">
        <v>3</v>
      </c>
      <c r="PC61" s="235" t="s">
        <v>618</v>
      </c>
      <c r="PD61" s="235" t="s">
        <v>1410</v>
      </c>
      <c r="PE61" s="235" t="s">
        <v>1411</v>
      </c>
      <c r="PF61" s="235" t="s">
        <v>388</v>
      </c>
      <c r="PG61" s="237" t="s">
        <v>727</v>
      </c>
      <c r="PH61" s="237" t="s">
        <v>221</v>
      </c>
      <c r="PI61" s="235" t="s">
        <v>2</v>
      </c>
      <c r="PJ61" s="235" t="s">
        <v>3</v>
      </c>
      <c r="PK61" s="235" t="s">
        <v>618</v>
      </c>
      <c r="PL61" s="235" t="s">
        <v>1410</v>
      </c>
      <c r="PM61" s="235" t="s">
        <v>1411</v>
      </c>
      <c r="PN61" s="235" t="s">
        <v>388</v>
      </c>
      <c r="PO61" s="237" t="s">
        <v>727</v>
      </c>
      <c r="PP61" s="237" t="s">
        <v>221</v>
      </c>
      <c r="PQ61" s="235" t="s">
        <v>2</v>
      </c>
      <c r="PR61" s="235" t="s">
        <v>3</v>
      </c>
      <c r="PS61" s="235" t="s">
        <v>618</v>
      </c>
      <c r="PT61" s="235" t="s">
        <v>1410</v>
      </c>
      <c r="PU61" s="235" t="s">
        <v>1411</v>
      </c>
      <c r="PV61" s="235" t="s">
        <v>388</v>
      </c>
      <c r="PW61" s="237" t="s">
        <v>727</v>
      </c>
      <c r="PX61" s="237" t="s">
        <v>221</v>
      </c>
      <c r="PY61" s="235" t="s">
        <v>2</v>
      </c>
      <c r="PZ61" s="235" t="s">
        <v>3</v>
      </c>
      <c r="QA61" s="235" t="s">
        <v>618</v>
      </c>
      <c r="QB61" s="235" t="s">
        <v>1410</v>
      </c>
      <c r="QC61" s="235" t="s">
        <v>1411</v>
      </c>
      <c r="QD61" s="235" t="s">
        <v>388</v>
      </c>
      <c r="QE61" s="237" t="s">
        <v>727</v>
      </c>
      <c r="QF61" s="237" t="s">
        <v>221</v>
      </c>
      <c r="QG61" s="235" t="s">
        <v>2</v>
      </c>
      <c r="QH61" s="235" t="s">
        <v>3</v>
      </c>
      <c r="QI61" s="235" t="s">
        <v>618</v>
      </c>
      <c r="QJ61" s="235" t="s">
        <v>1410</v>
      </c>
      <c r="QK61" s="235" t="s">
        <v>1411</v>
      </c>
      <c r="QL61" s="235" t="s">
        <v>388</v>
      </c>
      <c r="QM61" s="237" t="s">
        <v>727</v>
      </c>
      <c r="QN61" s="237" t="s">
        <v>221</v>
      </c>
      <c r="QO61" s="235" t="s">
        <v>2</v>
      </c>
      <c r="QP61" s="235" t="s">
        <v>3</v>
      </c>
      <c r="QQ61" s="235" t="s">
        <v>618</v>
      </c>
      <c r="QR61" s="235" t="s">
        <v>1410</v>
      </c>
      <c r="QS61" s="235" t="s">
        <v>1411</v>
      </c>
      <c r="QT61" s="235" t="s">
        <v>388</v>
      </c>
      <c r="QU61" s="237" t="s">
        <v>727</v>
      </c>
      <c r="QV61" s="237" t="s">
        <v>221</v>
      </c>
      <c r="QW61" s="235" t="s">
        <v>2</v>
      </c>
      <c r="QX61" s="235" t="s">
        <v>3</v>
      </c>
      <c r="QY61" s="235" t="s">
        <v>618</v>
      </c>
      <c r="QZ61" s="235" t="s">
        <v>1410</v>
      </c>
      <c r="RA61" s="235" t="s">
        <v>1411</v>
      </c>
      <c r="RB61" s="235" t="s">
        <v>388</v>
      </c>
      <c r="RC61" s="237" t="s">
        <v>727</v>
      </c>
      <c r="RD61" s="237" t="s">
        <v>221</v>
      </c>
      <c r="RE61" s="235" t="s">
        <v>2</v>
      </c>
      <c r="RF61" s="235" t="s">
        <v>3</v>
      </c>
      <c r="RG61" s="235" t="s">
        <v>618</v>
      </c>
      <c r="RH61" s="235" t="s">
        <v>1410</v>
      </c>
      <c r="RI61" s="235" t="s">
        <v>1411</v>
      </c>
      <c r="RJ61" s="235" t="s">
        <v>388</v>
      </c>
      <c r="RK61" s="237" t="s">
        <v>727</v>
      </c>
      <c r="RL61" s="237" t="s">
        <v>221</v>
      </c>
      <c r="RM61" s="235" t="s">
        <v>2</v>
      </c>
      <c r="RN61" s="235" t="s">
        <v>3</v>
      </c>
      <c r="RO61" s="235" t="s">
        <v>618</v>
      </c>
      <c r="RP61" s="235" t="s">
        <v>1410</v>
      </c>
      <c r="RQ61" s="235" t="s">
        <v>1411</v>
      </c>
      <c r="RR61" s="235" t="s">
        <v>388</v>
      </c>
      <c r="RS61" s="237" t="s">
        <v>727</v>
      </c>
      <c r="RT61" s="237" t="s">
        <v>221</v>
      </c>
      <c r="RU61" s="235" t="s">
        <v>2</v>
      </c>
      <c r="RV61" s="235" t="s">
        <v>3</v>
      </c>
      <c r="RW61" s="235" t="s">
        <v>618</v>
      </c>
      <c r="RX61" s="235" t="s">
        <v>1410</v>
      </c>
      <c r="RY61" s="235" t="s">
        <v>1411</v>
      </c>
      <c r="RZ61" s="235" t="s">
        <v>388</v>
      </c>
      <c r="SA61" s="237" t="s">
        <v>727</v>
      </c>
      <c r="SB61" s="237" t="s">
        <v>221</v>
      </c>
      <c r="SC61" s="235" t="s">
        <v>2</v>
      </c>
      <c r="SD61" s="235" t="s">
        <v>3</v>
      </c>
      <c r="SE61" s="235" t="s">
        <v>618</v>
      </c>
      <c r="SF61" s="235" t="s">
        <v>1410</v>
      </c>
      <c r="SG61" s="235" t="s">
        <v>1411</v>
      </c>
      <c r="SH61" s="235" t="s">
        <v>388</v>
      </c>
      <c r="SI61" s="237" t="s">
        <v>727</v>
      </c>
      <c r="SJ61" s="237" t="s">
        <v>221</v>
      </c>
      <c r="SK61" s="235" t="s">
        <v>2</v>
      </c>
      <c r="SL61" s="235" t="s">
        <v>3</v>
      </c>
      <c r="SM61" s="235" t="s">
        <v>618</v>
      </c>
      <c r="SN61" s="235" t="s">
        <v>1410</v>
      </c>
      <c r="SO61" s="235" t="s">
        <v>1411</v>
      </c>
      <c r="SP61" s="235" t="s">
        <v>388</v>
      </c>
      <c r="SQ61" s="237" t="s">
        <v>727</v>
      </c>
      <c r="SR61" s="237" t="s">
        <v>221</v>
      </c>
      <c r="SS61" s="235" t="s">
        <v>2</v>
      </c>
      <c r="ST61" s="235" t="s">
        <v>3</v>
      </c>
      <c r="SU61" s="235" t="s">
        <v>618</v>
      </c>
      <c r="SV61" s="235" t="s">
        <v>1410</v>
      </c>
      <c r="SW61" s="235" t="s">
        <v>1411</v>
      </c>
      <c r="SX61" s="235" t="s">
        <v>388</v>
      </c>
      <c r="SY61" s="237" t="s">
        <v>727</v>
      </c>
      <c r="SZ61" s="237" t="s">
        <v>221</v>
      </c>
      <c r="TA61" s="235" t="s">
        <v>2</v>
      </c>
      <c r="TB61" s="235" t="s">
        <v>3</v>
      </c>
      <c r="TC61" s="235" t="s">
        <v>618</v>
      </c>
      <c r="TD61" s="235" t="s">
        <v>1410</v>
      </c>
      <c r="TE61" s="235" t="s">
        <v>1411</v>
      </c>
      <c r="TF61" s="235" t="s">
        <v>388</v>
      </c>
      <c r="TG61" s="237" t="s">
        <v>727</v>
      </c>
      <c r="TH61" s="237" t="s">
        <v>221</v>
      </c>
      <c r="TI61" s="235" t="s">
        <v>2</v>
      </c>
      <c r="TJ61" s="235" t="s">
        <v>3</v>
      </c>
      <c r="TK61" s="235" t="s">
        <v>618</v>
      </c>
      <c r="TL61" s="235" t="s">
        <v>1410</v>
      </c>
      <c r="TM61" s="235" t="s">
        <v>1411</v>
      </c>
      <c r="TN61" s="235" t="s">
        <v>388</v>
      </c>
      <c r="TO61" s="237" t="s">
        <v>727</v>
      </c>
      <c r="TP61" s="237" t="s">
        <v>221</v>
      </c>
      <c r="TQ61" s="235" t="s">
        <v>2</v>
      </c>
      <c r="TR61" s="235" t="s">
        <v>3</v>
      </c>
      <c r="TS61" s="235" t="s">
        <v>618</v>
      </c>
      <c r="TT61" s="235" t="s">
        <v>1410</v>
      </c>
      <c r="TU61" s="235" t="s">
        <v>1411</v>
      </c>
      <c r="TV61" s="235" t="s">
        <v>388</v>
      </c>
      <c r="TW61" s="237" t="s">
        <v>727</v>
      </c>
      <c r="TX61" s="237" t="s">
        <v>221</v>
      </c>
      <c r="TY61" s="235" t="s">
        <v>2</v>
      </c>
      <c r="TZ61" s="235" t="s">
        <v>3</v>
      </c>
      <c r="UA61" s="235" t="s">
        <v>618</v>
      </c>
      <c r="UB61" s="235" t="s">
        <v>1410</v>
      </c>
      <c r="UC61" s="235" t="s">
        <v>1411</v>
      </c>
      <c r="UD61" s="235" t="s">
        <v>388</v>
      </c>
      <c r="UE61" s="237" t="s">
        <v>727</v>
      </c>
      <c r="UF61" s="237" t="s">
        <v>221</v>
      </c>
      <c r="UG61" s="235" t="s">
        <v>2</v>
      </c>
      <c r="UH61" s="235" t="s">
        <v>3</v>
      </c>
      <c r="UI61" s="235" t="s">
        <v>618</v>
      </c>
      <c r="UJ61" s="235" t="s">
        <v>1410</v>
      </c>
      <c r="UK61" s="235" t="s">
        <v>1411</v>
      </c>
      <c r="UL61" s="235" t="s">
        <v>388</v>
      </c>
      <c r="UM61" s="237" t="s">
        <v>727</v>
      </c>
      <c r="UN61" s="237" t="s">
        <v>221</v>
      </c>
      <c r="UO61" s="235" t="s">
        <v>2</v>
      </c>
      <c r="UP61" s="235" t="s">
        <v>3</v>
      </c>
      <c r="UQ61" s="235" t="s">
        <v>618</v>
      </c>
      <c r="UR61" s="235" t="s">
        <v>1410</v>
      </c>
      <c r="US61" s="235" t="s">
        <v>1411</v>
      </c>
      <c r="UT61" s="235" t="s">
        <v>388</v>
      </c>
      <c r="UU61" s="237" t="s">
        <v>727</v>
      </c>
      <c r="UV61" s="237" t="s">
        <v>221</v>
      </c>
      <c r="UW61" s="235" t="s">
        <v>2</v>
      </c>
      <c r="UX61" s="235" t="s">
        <v>3</v>
      </c>
      <c r="UY61" s="235" t="s">
        <v>618</v>
      </c>
      <c r="UZ61" s="235" t="s">
        <v>1410</v>
      </c>
      <c r="VA61" s="235" t="s">
        <v>1411</v>
      </c>
      <c r="VB61" s="235" t="s">
        <v>388</v>
      </c>
      <c r="VC61" s="237" t="s">
        <v>727</v>
      </c>
      <c r="VD61" s="237" t="s">
        <v>221</v>
      </c>
      <c r="VE61" s="235" t="s">
        <v>2</v>
      </c>
      <c r="VF61" s="235" t="s">
        <v>3</v>
      </c>
      <c r="VG61" s="235" t="s">
        <v>618</v>
      </c>
      <c r="VH61" s="235" t="s">
        <v>1410</v>
      </c>
      <c r="VI61" s="235" t="s">
        <v>1411</v>
      </c>
      <c r="VJ61" s="235" t="s">
        <v>388</v>
      </c>
      <c r="VK61" s="237" t="s">
        <v>727</v>
      </c>
      <c r="VL61" s="237" t="s">
        <v>221</v>
      </c>
      <c r="VM61" s="235" t="s">
        <v>2</v>
      </c>
      <c r="VN61" s="235" t="s">
        <v>3</v>
      </c>
      <c r="VO61" s="235" t="s">
        <v>618</v>
      </c>
      <c r="VP61" s="235" t="s">
        <v>1410</v>
      </c>
      <c r="VQ61" s="235" t="s">
        <v>1411</v>
      </c>
      <c r="VR61" s="235" t="s">
        <v>388</v>
      </c>
      <c r="VS61" s="237" t="s">
        <v>727</v>
      </c>
      <c r="VT61" s="237" t="s">
        <v>221</v>
      </c>
      <c r="VU61" s="235" t="s">
        <v>2</v>
      </c>
      <c r="VV61" s="235" t="s">
        <v>3</v>
      </c>
      <c r="VW61" s="235" t="s">
        <v>618</v>
      </c>
      <c r="VX61" s="235" t="s">
        <v>1410</v>
      </c>
      <c r="VY61" s="235" t="s">
        <v>1411</v>
      </c>
      <c r="VZ61" s="235" t="s">
        <v>388</v>
      </c>
      <c r="WA61" s="237" t="s">
        <v>727</v>
      </c>
      <c r="WB61" s="237" t="s">
        <v>221</v>
      </c>
      <c r="WC61" s="235" t="s">
        <v>2</v>
      </c>
      <c r="WD61" s="235" t="s">
        <v>3</v>
      </c>
      <c r="WE61" s="235" t="s">
        <v>618</v>
      </c>
      <c r="WF61" s="235" t="s">
        <v>1410</v>
      </c>
      <c r="WG61" s="235" t="s">
        <v>1411</v>
      </c>
      <c r="WH61" s="235" t="s">
        <v>388</v>
      </c>
      <c r="WI61" s="237" t="s">
        <v>727</v>
      </c>
      <c r="WJ61" s="237" t="s">
        <v>221</v>
      </c>
      <c r="WK61" s="235" t="s">
        <v>2</v>
      </c>
      <c r="WL61" s="235" t="s">
        <v>3</v>
      </c>
      <c r="WM61" s="235" t="s">
        <v>618</v>
      </c>
      <c r="WN61" s="235" t="s">
        <v>1410</v>
      </c>
      <c r="WO61" s="235" t="s">
        <v>1411</v>
      </c>
      <c r="WP61" s="235" t="s">
        <v>388</v>
      </c>
      <c r="WQ61" s="237" t="s">
        <v>727</v>
      </c>
      <c r="WR61" s="237" t="s">
        <v>221</v>
      </c>
      <c r="WS61" s="235" t="s">
        <v>2</v>
      </c>
      <c r="WT61" s="235" t="s">
        <v>3</v>
      </c>
      <c r="WU61" s="235" t="s">
        <v>618</v>
      </c>
      <c r="WV61" s="235" t="s">
        <v>1410</v>
      </c>
      <c r="WW61" s="235" t="s">
        <v>1411</v>
      </c>
      <c r="WX61" s="235" t="s">
        <v>388</v>
      </c>
      <c r="WY61" s="237" t="s">
        <v>727</v>
      </c>
      <c r="WZ61" s="237" t="s">
        <v>221</v>
      </c>
      <c r="XA61" s="235" t="s">
        <v>2</v>
      </c>
      <c r="XB61" s="235" t="s">
        <v>3</v>
      </c>
      <c r="XC61" s="235" t="s">
        <v>618</v>
      </c>
      <c r="XD61" s="235" t="s">
        <v>1410</v>
      </c>
      <c r="XE61" s="235" t="s">
        <v>1411</v>
      </c>
      <c r="XF61" s="235" t="s">
        <v>388</v>
      </c>
      <c r="XG61" s="237" t="s">
        <v>727</v>
      </c>
      <c r="XH61" s="237" t="s">
        <v>221</v>
      </c>
      <c r="XI61" s="235" t="s">
        <v>2</v>
      </c>
      <c r="XJ61" s="235" t="s">
        <v>3</v>
      </c>
      <c r="XK61" s="235" t="s">
        <v>618</v>
      </c>
      <c r="XL61" s="235" t="s">
        <v>1410</v>
      </c>
      <c r="XM61" s="235" t="s">
        <v>1411</v>
      </c>
      <c r="XN61" s="235" t="s">
        <v>388</v>
      </c>
      <c r="XO61" s="237" t="s">
        <v>727</v>
      </c>
      <c r="XP61" s="237" t="s">
        <v>221</v>
      </c>
      <c r="XQ61" s="235" t="s">
        <v>2</v>
      </c>
      <c r="XR61" s="235" t="s">
        <v>3</v>
      </c>
      <c r="XS61" s="235" t="s">
        <v>618</v>
      </c>
      <c r="XT61" s="235" t="s">
        <v>1410</v>
      </c>
      <c r="XU61" s="235" t="s">
        <v>1411</v>
      </c>
      <c r="XV61" s="235" t="s">
        <v>388</v>
      </c>
      <c r="XW61" s="237" t="s">
        <v>727</v>
      </c>
      <c r="XX61" s="237" t="s">
        <v>221</v>
      </c>
      <c r="XY61" s="235" t="s">
        <v>2</v>
      </c>
      <c r="XZ61" s="235" t="s">
        <v>3</v>
      </c>
      <c r="YA61" s="235" t="s">
        <v>618</v>
      </c>
      <c r="YB61" s="235" t="s">
        <v>1410</v>
      </c>
      <c r="YC61" s="235" t="s">
        <v>1411</v>
      </c>
      <c r="YD61" s="235" t="s">
        <v>388</v>
      </c>
      <c r="YE61" s="237" t="s">
        <v>727</v>
      </c>
      <c r="YF61" s="237" t="s">
        <v>221</v>
      </c>
      <c r="YG61" s="235" t="s">
        <v>2</v>
      </c>
      <c r="YH61" s="235" t="s">
        <v>3</v>
      </c>
      <c r="YI61" s="235" t="s">
        <v>618</v>
      </c>
      <c r="YJ61" s="235" t="s">
        <v>1410</v>
      </c>
      <c r="YK61" s="235" t="s">
        <v>1411</v>
      </c>
      <c r="YL61" s="235" t="s">
        <v>388</v>
      </c>
      <c r="YM61" s="237" t="s">
        <v>727</v>
      </c>
      <c r="YN61" s="237" t="s">
        <v>221</v>
      </c>
      <c r="YO61" s="235" t="s">
        <v>2</v>
      </c>
      <c r="YP61" s="235" t="s">
        <v>3</v>
      </c>
      <c r="YQ61" s="235" t="s">
        <v>618</v>
      </c>
      <c r="YR61" s="235" t="s">
        <v>1410</v>
      </c>
      <c r="YS61" s="235" t="s">
        <v>1411</v>
      </c>
      <c r="YT61" s="235" t="s">
        <v>388</v>
      </c>
      <c r="YU61" s="237" t="s">
        <v>727</v>
      </c>
      <c r="YV61" s="237" t="s">
        <v>221</v>
      </c>
      <c r="YW61" s="235" t="s">
        <v>2</v>
      </c>
      <c r="YX61" s="235" t="s">
        <v>3</v>
      </c>
      <c r="YY61" s="235" t="s">
        <v>618</v>
      </c>
      <c r="YZ61" s="235" t="s">
        <v>1410</v>
      </c>
      <c r="ZA61" s="235" t="s">
        <v>1411</v>
      </c>
      <c r="ZB61" s="235" t="s">
        <v>388</v>
      </c>
      <c r="ZC61" s="237" t="s">
        <v>727</v>
      </c>
      <c r="ZD61" s="237" t="s">
        <v>221</v>
      </c>
      <c r="ZE61" s="235" t="s">
        <v>2</v>
      </c>
      <c r="ZF61" s="235" t="s">
        <v>3</v>
      </c>
      <c r="ZG61" s="235" t="s">
        <v>618</v>
      </c>
      <c r="ZH61" s="235" t="s">
        <v>1410</v>
      </c>
      <c r="ZI61" s="235" t="s">
        <v>1411</v>
      </c>
      <c r="ZJ61" s="235" t="s">
        <v>388</v>
      </c>
      <c r="ZK61" s="237" t="s">
        <v>727</v>
      </c>
      <c r="ZL61" s="237" t="s">
        <v>221</v>
      </c>
      <c r="ZM61" s="235" t="s">
        <v>2</v>
      </c>
      <c r="ZN61" s="235" t="s">
        <v>3</v>
      </c>
      <c r="ZO61" s="235" t="s">
        <v>618</v>
      </c>
      <c r="ZP61" s="235" t="s">
        <v>1410</v>
      </c>
      <c r="ZQ61" s="235" t="s">
        <v>1411</v>
      </c>
      <c r="ZR61" s="235" t="s">
        <v>388</v>
      </c>
      <c r="ZS61" s="237" t="s">
        <v>727</v>
      </c>
      <c r="ZT61" s="237" t="s">
        <v>221</v>
      </c>
      <c r="ZU61" s="235" t="s">
        <v>2</v>
      </c>
      <c r="ZV61" s="235" t="s">
        <v>3</v>
      </c>
      <c r="ZW61" s="235" t="s">
        <v>618</v>
      </c>
      <c r="ZX61" s="235" t="s">
        <v>1410</v>
      </c>
      <c r="ZY61" s="235" t="s">
        <v>1411</v>
      </c>
      <c r="ZZ61" s="235" t="s">
        <v>388</v>
      </c>
      <c r="AAA61" s="237" t="s">
        <v>727</v>
      </c>
      <c r="AAB61" s="237" t="s">
        <v>221</v>
      </c>
      <c r="AAC61" s="235" t="s">
        <v>2</v>
      </c>
      <c r="AAD61" s="235" t="s">
        <v>3</v>
      </c>
      <c r="AAE61" s="235" t="s">
        <v>618</v>
      </c>
      <c r="AAF61" s="235" t="s">
        <v>1410</v>
      </c>
      <c r="AAG61" s="235" t="s">
        <v>1411</v>
      </c>
      <c r="AAH61" s="235" t="s">
        <v>388</v>
      </c>
      <c r="AAI61" s="237" t="s">
        <v>727</v>
      </c>
      <c r="AAJ61" s="237" t="s">
        <v>221</v>
      </c>
      <c r="AAK61" s="235" t="s">
        <v>2</v>
      </c>
      <c r="AAL61" s="235" t="s">
        <v>3</v>
      </c>
      <c r="AAM61" s="235" t="s">
        <v>618</v>
      </c>
      <c r="AAN61" s="235" t="s">
        <v>1410</v>
      </c>
      <c r="AAO61" s="235" t="s">
        <v>1411</v>
      </c>
      <c r="AAP61" s="235" t="s">
        <v>388</v>
      </c>
      <c r="AAQ61" s="237" t="s">
        <v>727</v>
      </c>
      <c r="AAR61" s="237" t="s">
        <v>221</v>
      </c>
      <c r="AAS61" s="235" t="s">
        <v>2</v>
      </c>
      <c r="AAT61" s="235" t="s">
        <v>3</v>
      </c>
      <c r="AAU61" s="235" t="s">
        <v>618</v>
      </c>
      <c r="AAV61" s="235" t="s">
        <v>1410</v>
      </c>
      <c r="AAW61" s="235" t="s">
        <v>1411</v>
      </c>
      <c r="AAX61" s="235" t="s">
        <v>388</v>
      </c>
      <c r="AAY61" s="237" t="s">
        <v>727</v>
      </c>
      <c r="AAZ61" s="237" t="s">
        <v>221</v>
      </c>
      <c r="ABA61" s="235" t="s">
        <v>2</v>
      </c>
      <c r="ABB61" s="235" t="s">
        <v>3</v>
      </c>
      <c r="ABC61" s="235" t="s">
        <v>618</v>
      </c>
      <c r="ABD61" s="235" t="s">
        <v>1410</v>
      </c>
      <c r="ABE61" s="235" t="s">
        <v>1411</v>
      </c>
      <c r="ABF61" s="235" t="s">
        <v>388</v>
      </c>
      <c r="ABG61" s="237" t="s">
        <v>727</v>
      </c>
      <c r="ABH61" s="237" t="s">
        <v>221</v>
      </c>
      <c r="ABI61" s="235" t="s">
        <v>2</v>
      </c>
      <c r="ABJ61" s="235" t="s">
        <v>3</v>
      </c>
      <c r="ABK61" s="235" t="s">
        <v>618</v>
      </c>
      <c r="ABL61" s="235" t="s">
        <v>1410</v>
      </c>
      <c r="ABM61" s="235" t="s">
        <v>1411</v>
      </c>
      <c r="ABN61" s="235" t="s">
        <v>388</v>
      </c>
      <c r="ABO61" s="237" t="s">
        <v>727</v>
      </c>
      <c r="ABP61" s="237" t="s">
        <v>221</v>
      </c>
      <c r="ABQ61" s="235" t="s">
        <v>2</v>
      </c>
      <c r="ABR61" s="235" t="s">
        <v>3</v>
      </c>
      <c r="ABS61" s="235" t="s">
        <v>618</v>
      </c>
      <c r="ABT61" s="235" t="s">
        <v>1410</v>
      </c>
      <c r="ABU61" s="235" t="s">
        <v>1411</v>
      </c>
      <c r="ABV61" s="235" t="s">
        <v>388</v>
      </c>
      <c r="ABW61" s="237" t="s">
        <v>727</v>
      </c>
      <c r="ABX61" s="237" t="s">
        <v>221</v>
      </c>
      <c r="ABY61" s="235" t="s">
        <v>2</v>
      </c>
      <c r="ABZ61" s="235" t="s">
        <v>3</v>
      </c>
      <c r="ACA61" s="235" t="s">
        <v>618</v>
      </c>
      <c r="ACB61" s="235" t="s">
        <v>1410</v>
      </c>
      <c r="ACC61" s="235" t="s">
        <v>1411</v>
      </c>
      <c r="ACD61" s="235" t="s">
        <v>388</v>
      </c>
      <c r="ACE61" s="237" t="s">
        <v>727</v>
      </c>
      <c r="ACF61" s="237" t="s">
        <v>221</v>
      </c>
      <c r="ACG61" s="235" t="s">
        <v>2</v>
      </c>
      <c r="ACH61" s="235" t="s">
        <v>3</v>
      </c>
      <c r="ACI61" s="235" t="s">
        <v>618</v>
      </c>
      <c r="ACJ61" s="235" t="s">
        <v>1410</v>
      </c>
      <c r="ACK61" s="235" t="s">
        <v>1411</v>
      </c>
      <c r="ACL61" s="235" t="s">
        <v>388</v>
      </c>
      <c r="ACM61" s="237" t="s">
        <v>727</v>
      </c>
      <c r="ACN61" s="237" t="s">
        <v>221</v>
      </c>
      <c r="ACO61" s="235" t="s">
        <v>2</v>
      </c>
      <c r="ACP61" s="235" t="s">
        <v>3</v>
      </c>
      <c r="ACQ61" s="235" t="s">
        <v>618</v>
      </c>
      <c r="ACR61" s="235" t="s">
        <v>1410</v>
      </c>
      <c r="ACS61" s="235" t="s">
        <v>1411</v>
      </c>
      <c r="ACT61" s="235" t="s">
        <v>388</v>
      </c>
      <c r="ACU61" s="237" t="s">
        <v>727</v>
      </c>
      <c r="ACV61" s="237" t="s">
        <v>221</v>
      </c>
      <c r="ACW61" s="235" t="s">
        <v>2</v>
      </c>
      <c r="ACX61" s="235" t="s">
        <v>3</v>
      </c>
      <c r="ACY61" s="235" t="s">
        <v>618</v>
      </c>
      <c r="ACZ61" s="235" t="s">
        <v>1410</v>
      </c>
      <c r="ADA61" s="235" t="s">
        <v>1411</v>
      </c>
      <c r="ADB61" s="235" t="s">
        <v>388</v>
      </c>
      <c r="ADC61" s="237" t="s">
        <v>727</v>
      </c>
      <c r="ADD61" s="237" t="s">
        <v>221</v>
      </c>
      <c r="ADE61" s="235" t="s">
        <v>2</v>
      </c>
      <c r="ADF61" s="235" t="s">
        <v>3</v>
      </c>
      <c r="ADG61" s="235" t="s">
        <v>618</v>
      </c>
      <c r="ADH61" s="235" t="s">
        <v>1410</v>
      </c>
      <c r="ADI61" s="235" t="s">
        <v>1411</v>
      </c>
      <c r="ADJ61" s="235" t="s">
        <v>388</v>
      </c>
      <c r="ADK61" s="237" t="s">
        <v>727</v>
      </c>
      <c r="ADL61" s="237" t="s">
        <v>221</v>
      </c>
      <c r="ADM61" s="235" t="s">
        <v>2</v>
      </c>
      <c r="ADN61" s="235" t="s">
        <v>3</v>
      </c>
      <c r="ADO61" s="235" t="s">
        <v>618</v>
      </c>
      <c r="ADP61" s="235" t="s">
        <v>1410</v>
      </c>
      <c r="ADQ61" s="235" t="s">
        <v>1411</v>
      </c>
      <c r="ADR61" s="235" t="s">
        <v>388</v>
      </c>
      <c r="ADS61" s="237" t="s">
        <v>727</v>
      </c>
      <c r="ADT61" s="237" t="s">
        <v>221</v>
      </c>
      <c r="ADU61" s="235" t="s">
        <v>2</v>
      </c>
      <c r="ADV61" s="235" t="s">
        <v>3</v>
      </c>
      <c r="ADW61" s="235" t="s">
        <v>618</v>
      </c>
      <c r="ADX61" s="235" t="s">
        <v>1410</v>
      </c>
      <c r="ADY61" s="235" t="s">
        <v>1411</v>
      </c>
      <c r="ADZ61" s="235" t="s">
        <v>388</v>
      </c>
      <c r="AEA61" s="237" t="s">
        <v>727</v>
      </c>
      <c r="AEB61" s="237" t="s">
        <v>221</v>
      </c>
      <c r="AEC61" s="235" t="s">
        <v>2</v>
      </c>
      <c r="AED61" s="235" t="s">
        <v>3</v>
      </c>
      <c r="AEE61" s="235" t="s">
        <v>618</v>
      </c>
      <c r="AEF61" s="235" t="s">
        <v>1410</v>
      </c>
      <c r="AEG61" s="235" t="s">
        <v>1411</v>
      </c>
      <c r="AEH61" s="235" t="s">
        <v>388</v>
      </c>
      <c r="AEI61" s="237" t="s">
        <v>727</v>
      </c>
      <c r="AEJ61" s="237" t="s">
        <v>221</v>
      </c>
      <c r="AEK61" s="235" t="s">
        <v>2</v>
      </c>
      <c r="AEL61" s="235" t="s">
        <v>3</v>
      </c>
      <c r="AEM61" s="235" t="s">
        <v>618</v>
      </c>
      <c r="AEN61" s="235" t="s">
        <v>1410</v>
      </c>
      <c r="AEO61" s="235" t="s">
        <v>1411</v>
      </c>
      <c r="AEP61" s="235" t="s">
        <v>388</v>
      </c>
      <c r="AEQ61" s="237" t="s">
        <v>727</v>
      </c>
      <c r="AER61" s="237" t="s">
        <v>221</v>
      </c>
      <c r="AES61" s="235" t="s">
        <v>2</v>
      </c>
      <c r="AET61" s="235" t="s">
        <v>3</v>
      </c>
      <c r="AEU61" s="235" t="s">
        <v>618</v>
      </c>
      <c r="AEV61" s="235" t="s">
        <v>1410</v>
      </c>
      <c r="AEW61" s="235" t="s">
        <v>1411</v>
      </c>
      <c r="AEX61" s="235" t="s">
        <v>388</v>
      </c>
      <c r="AEY61" s="237" t="s">
        <v>727</v>
      </c>
      <c r="AEZ61" s="237" t="s">
        <v>221</v>
      </c>
      <c r="AFA61" s="235" t="s">
        <v>2</v>
      </c>
      <c r="AFB61" s="235" t="s">
        <v>3</v>
      </c>
      <c r="AFC61" s="235" t="s">
        <v>618</v>
      </c>
      <c r="AFD61" s="235" t="s">
        <v>1410</v>
      </c>
      <c r="AFE61" s="235" t="s">
        <v>1411</v>
      </c>
      <c r="AFF61" s="235" t="s">
        <v>388</v>
      </c>
      <c r="AFG61" s="237" t="s">
        <v>727</v>
      </c>
      <c r="AFH61" s="237" t="s">
        <v>221</v>
      </c>
      <c r="AFI61" s="235" t="s">
        <v>2</v>
      </c>
      <c r="AFJ61" s="235" t="s">
        <v>3</v>
      </c>
      <c r="AFK61" s="235" t="s">
        <v>618</v>
      </c>
      <c r="AFL61" s="235" t="s">
        <v>1410</v>
      </c>
      <c r="AFM61" s="235" t="s">
        <v>1411</v>
      </c>
      <c r="AFN61" s="235" t="s">
        <v>388</v>
      </c>
      <c r="AFO61" s="237" t="s">
        <v>727</v>
      </c>
      <c r="AFP61" s="237" t="s">
        <v>221</v>
      </c>
      <c r="AFQ61" s="235" t="s">
        <v>2</v>
      </c>
      <c r="AFR61" s="235" t="s">
        <v>3</v>
      </c>
      <c r="AFS61" s="235" t="s">
        <v>618</v>
      </c>
      <c r="AFT61" s="235" t="s">
        <v>1410</v>
      </c>
      <c r="AFU61" s="235" t="s">
        <v>1411</v>
      </c>
      <c r="AFV61" s="235" t="s">
        <v>388</v>
      </c>
      <c r="AFW61" s="237" t="s">
        <v>727</v>
      </c>
      <c r="AFX61" s="237" t="s">
        <v>221</v>
      </c>
      <c r="AFY61" s="235" t="s">
        <v>2</v>
      </c>
      <c r="AFZ61" s="235" t="s">
        <v>3</v>
      </c>
      <c r="AGA61" s="235" t="s">
        <v>618</v>
      </c>
      <c r="AGB61" s="235" t="s">
        <v>1410</v>
      </c>
      <c r="AGC61" s="235" t="s">
        <v>1411</v>
      </c>
      <c r="AGD61" s="235" t="s">
        <v>388</v>
      </c>
      <c r="AGE61" s="237" t="s">
        <v>727</v>
      </c>
      <c r="AGF61" s="237" t="s">
        <v>221</v>
      </c>
      <c r="AGG61" s="235" t="s">
        <v>2</v>
      </c>
      <c r="AGH61" s="235" t="s">
        <v>3</v>
      </c>
      <c r="AGI61" s="235" t="s">
        <v>618</v>
      </c>
      <c r="AGJ61" s="235" t="s">
        <v>1410</v>
      </c>
      <c r="AGK61" s="235" t="s">
        <v>1411</v>
      </c>
      <c r="AGL61" s="235" t="s">
        <v>388</v>
      </c>
      <c r="AGM61" s="237" t="s">
        <v>727</v>
      </c>
      <c r="AGN61" s="237" t="s">
        <v>221</v>
      </c>
      <c r="AGO61" s="235" t="s">
        <v>2</v>
      </c>
      <c r="AGP61" s="235" t="s">
        <v>3</v>
      </c>
      <c r="AGQ61" s="235" t="s">
        <v>618</v>
      </c>
      <c r="AGR61" s="235" t="s">
        <v>1410</v>
      </c>
      <c r="AGS61" s="235" t="s">
        <v>1411</v>
      </c>
      <c r="AGT61" s="235" t="s">
        <v>388</v>
      </c>
      <c r="AGU61" s="237" t="s">
        <v>727</v>
      </c>
      <c r="AGV61" s="237" t="s">
        <v>221</v>
      </c>
      <c r="AGW61" s="235" t="s">
        <v>2</v>
      </c>
      <c r="AGX61" s="235" t="s">
        <v>3</v>
      </c>
      <c r="AGY61" s="235" t="s">
        <v>618</v>
      </c>
      <c r="AGZ61" s="235" t="s">
        <v>1410</v>
      </c>
      <c r="AHA61" s="235" t="s">
        <v>1411</v>
      </c>
      <c r="AHB61" s="235" t="s">
        <v>388</v>
      </c>
      <c r="AHC61" s="237" t="s">
        <v>727</v>
      </c>
      <c r="AHD61" s="237" t="s">
        <v>221</v>
      </c>
      <c r="AHE61" s="235" t="s">
        <v>2</v>
      </c>
      <c r="AHF61" s="235" t="s">
        <v>3</v>
      </c>
      <c r="AHG61" s="235" t="s">
        <v>618</v>
      </c>
      <c r="AHH61" s="235" t="s">
        <v>1410</v>
      </c>
      <c r="AHI61" s="235" t="s">
        <v>1411</v>
      </c>
      <c r="AHJ61" s="235" t="s">
        <v>388</v>
      </c>
      <c r="AHK61" s="237" t="s">
        <v>727</v>
      </c>
      <c r="AHL61" s="237" t="s">
        <v>221</v>
      </c>
      <c r="AHM61" s="235" t="s">
        <v>2</v>
      </c>
      <c r="AHN61" s="235" t="s">
        <v>3</v>
      </c>
      <c r="AHO61" s="235" t="s">
        <v>618</v>
      </c>
      <c r="AHP61" s="235" t="s">
        <v>1410</v>
      </c>
      <c r="AHQ61" s="235" t="s">
        <v>1411</v>
      </c>
      <c r="AHR61" s="235" t="s">
        <v>388</v>
      </c>
      <c r="AHS61" s="237" t="s">
        <v>727</v>
      </c>
      <c r="AHT61" s="237" t="s">
        <v>221</v>
      </c>
      <c r="AHU61" s="235" t="s">
        <v>2</v>
      </c>
      <c r="AHV61" s="235" t="s">
        <v>3</v>
      </c>
      <c r="AHW61" s="235" t="s">
        <v>618</v>
      </c>
      <c r="AHX61" s="235" t="s">
        <v>1410</v>
      </c>
      <c r="AHY61" s="235" t="s">
        <v>1411</v>
      </c>
      <c r="AHZ61" s="235" t="s">
        <v>388</v>
      </c>
      <c r="AIA61" s="237" t="s">
        <v>727</v>
      </c>
      <c r="AIB61" s="237" t="s">
        <v>221</v>
      </c>
      <c r="AIC61" s="235" t="s">
        <v>2</v>
      </c>
      <c r="AID61" s="235" t="s">
        <v>3</v>
      </c>
      <c r="AIE61" s="235" t="s">
        <v>618</v>
      </c>
      <c r="AIF61" s="235" t="s">
        <v>1410</v>
      </c>
      <c r="AIG61" s="235" t="s">
        <v>1411</v>
      </c>
      <c r="AIH61" s="235" t="s">
        <v>388</v>
      </c>
      <c r="AII61" s="237" t="s">
        <v>727</v>
      </c>
      <c r="AIJ61" s="237" t="s">
        <v>221</v>
      </c>
      <c r="AIK61" s="235" t="s">
        <v>2</v>
      </c>
      <c r="AIL61" s="235" t="s">
        <v>3</v>
      </c>
      <c r="AIM61" s="235" t="s">
        <v>618</v>
      </c>
      <c r="AIN61" s="235" t="s">
        <v>1410</v>
      </c>
      <c r="AIO61" s="235" t="s">
        <v>1411</v>
      </c>
      <c r="AIP61" s="235" t="s">
        <v>388</v>
      </c>
      <c r="AIQ61" s="237" t="s">
        <v>727</v>
      </c>
      <c r="AIR61" s="237" t="s">
        <v>221</v>
      </c>
      <c r="AIS61" s="235" t="s">
        <v>2</v>
      </c>
      <c r="AIT61" s="235" t="s">
        <v>3</v>
      </c>
      <c r="AIU61" s="235" t="s">
        <v>618</v>
      </c>
      <c r="AIV61" s="235" t="s">
        <v>1410</v>
      </c>
      <c r="AIW61" s="235" t="s">
        <v>1411</v>
      </c>
      <c r="AIX61" s="235" t="s">
        <v>388</v>
      </c>
      <c r="AIY61" s="237" t="s">
        <v>727</v>
      </c>
      <c r="AIZ61" s="237" t="s">
        <v>221</v>
      </c>
      <c r="AJA61" s="235" t="s">
        <v>2</v>
      </c>
      <c r="AJB61" s="235" t="s">
        <v>3</v>
      </c>
      <c r="AJC61" s="235" t="s">
        <v>618</v>
      </c>
      <c r="AJD61" s="235" t="s">
        <v>1410</v>
      </c>
      <c r="AJE61" s="235" t="s">
        <v>1411</v>
      </c>
      <c r="AJF61" s="235" t="s">
        <v>388</v>
      </c>
      <c r="AJG61" s="237" t="s">
        <v>727</v>
      </c>
      <c r="AJH61" s="237" t="s">
        <v>221</v>
      </c>
      <c r="AJI61" s="235" t="s">
        <v>2</v>
      </c>
      <c r="AJJ61" s="235" t="s">
        <v>3</v>
      </c>
      <c r="AJK61" s="235" t="s">
        <v>618</v>
      </c>
      <c r="AJL61" s="235" t="s">
        <v>1410</v>
      </c>
      <c r="AJM61" s="235" t="s">
        <v>1411</v>
      </c>
      <c r="AJN61" s="235" t="s">
        <v>388</v>
      </c>
      <c r="AJO61" s="237" t="s">
        <v>727</v>
      </c>
      <c r="AJP61" s="237" t="s">
        <v>221</v>
      </c>
      <c r="AJQ61" s="235" t="s">
        <v>2</v>
      </c>
      <c r="AJR61" s="235" t="s">
        <v>3</v>
      </c>
      <c r="AJS61" s="235" t="s">
        <v>618</v>
      </c>
      <c r="AJT61" s="235" t="s">
        <v>1410</v>
      </c>
      <c r="AJU61" s="235" t="s">
        <v>1411</v>
      </c>
      <c r="AJV61" s="235" t="s">
        <v>388</v>
      </c>
      <c r="AJW61" s="237" t="s">
        <v>727</v>
      </c>
      <c r="AJX61" s="237" t="s">
        <v>221</v>
      </c>
      <c r="AJY61" s="235" t="s">
        <v>2</v>
      </c>
      <c r="AJZ61" s="235" t="s">
        <v>3</v>
      </c>
      <c r="AKA61" s="235" t="s">
        <v>618</v>
      </c>
      <c r="AKB61" s="235" t="s">
        <v>1410</v>
      </c>
      <c r="AKC61" s="235" t="s">
        <v>1411</v>
      </c>
      <c r="AKD61" s="235" t="s">
        <v>388</v>
      </c>
      <c r="AKE61" s="237" t="s">
        <v>727</v>
      </c>
      <c r="AKF61" s="237" t="s">
        <v>221</v>
      </c>
      <c r="AKG61" s="235" t="s">
        <v>2</v>
      </c>
      <c r="AKH61" s="235" t="s">
        <v>3</v>
      </c>
      <c r="AKI61" s="235" t="s">
        <v>618</v>
      </c>
      <c r="AKJ61" s="235" t="s">
        <v>1410</v>
      </c>
      <c r="AKK61" s="235" t="s">
        <v>1411</v>
      </c>
      <c r="AKL61" s="235" t="s">
        <v>388</v>
      </c>
      <c r="AKM61" s="237" t="s">
        <v>727</v>
      </c>
      <c r="AKN61" s="237" t="s">
        <v>221</v>
      </c>
      <c r="AKO61" s="235" t="s">
        <v>2</v>
      </c>
      <c r="AKP61" s="235" t="s">
        <v>3</v>
      </c>
      <c r="AKQ61" s="235" t="s">
        <v>618</v>
      </c>
      <c r="AKR61" s="235" t="s">
        <v>1410</v>
      </c>
      <c r="AKS61" s="235" t="s">
        <v>1411</v>
      </c>
      <c r="AKT61" s="235" t="s">
        <v>388</v>
      </c>
      <c r="AKU61" s="237" t="s">
        <v>727</v>
      </c>
      <c r="AKV61" s="237" t="s">
        <v>221</v>
      </c>
      <c r="AKW61" s="235" t="s">
        <v>2</v>
      </c>
      <c r="AKX61" s="235" t="s">
        <v>3</v>
      </c>
      <c r="AKY61" s="235" t="s">
        <v>618</v>
      </c>
      <c r="AKZ61" s="235" t="s">
        <v>1410</v>
      </c>
      <c r="ALA61" s="235" t="s">
        <v>1411</v>
      </c>
      <c r="ALB61" s="235" t="s">
        <v>388</v>
      </c>
      <c r="ALC61" s="237" t="s">
        <v>727</v>
      </c>
      <c r="ALD61" s="237" t="s">
        <v>221</v>
      </c>
      <c r="ALE61" s="235" t="s">
        <v>2</v>
      </c>
      <c r="ALF61" s="235" t="s">
        <v>3</v>
      </c>
      <c r="ALG61" s="235" t="s">
        <v>618</v>
      </c>
      <c r="ALH61" s="235" t="s">
        <v>1410</v>
      </c>
      <c r="ALI61" s="235" t="s">
        <v>1411</v>
      </c>
      <c r="ALJ61" s="235" t="s">
        <v>388</v>
      </c>
      <c r="ALK61" s="237" t="s">
        <v>727</v>
      </c>
      <c r="ALL61" s="237" t="s">
        <v>221</v>
      </c>
      <c r="ALM61" s="235" t="s">
        <v>2</v>
      </c>
      <c r="ALN61" s="235" t="s">
        <v>3</v>
      </c>
      <c r="ALO61" s="235" t="s">
        <v>618</v>
      </c>
      <c r="ALP61" s="235" t="s">
        <v>1410</v>
      </c>
      <c r="ALQ61" s="235" t="s">
        <v>1411</v>
      </c>
      <c r="ALR61" s="235" t="s">
        <v>388</v>
      </c>
      <c r="ALS61" s="237" t="s">
        <v>727</v>
      </c>
      <c r="ALT61" s="237" t="s">
        <v>221</v>
      </c>
      <c r="ALU61" s="235" t="s">
        <v>2</v>
      </c>
      <c r="ALV61" s="235" t="s">
        <v>3</v>
      </c>
      <c r="ALW61" s="235" t="s">
        <v>618</v>
      </c>
      <c r="ALX61" s="235" t="s">
        <v>1410</v>
      </c>
      <c r="ALY61" s="235" t="s">
        <v>1411</v>
      </c>
      <c r="ALZ61" s="235" t="s">
        <v>388</v>
      </c>
      <c r="AMA61" s="237" t="s">
        <v>727</v>
      </c>
      <c r="AMB61" s="237" t="s">
        <v>221</v>
      </c>
      <c r="AMC61" s="235" t="s">
        <v>2</v>
      </c>
      <c r="AMD61" s="235" t="s">
        <v>3</v>
      </c>
      <c r="AME61" s="235" t="s">
        <v>618</v>
      </c>
      <c r="AMF61" s="235" t="s">
        <v>1410</v>
      </c>
      <c r="AMG61" s="235" t="s">
        <v>1411</v>
      </c>
      <c r="AMH61" s="235" t="s">
        <v>388</v>
      </c>
      <c r="AMI61" s="237" t="s">
        <v>727</v>
      </c>
      <c r="AMJ61" s="237" t="s">
        <v>221</v>
      </c>
      <c r="AMK61" s="235" t="s">
        <v>2</v>
      </c>
      <c r="AML61" s="235" t="s">
        <v>3</v>
      </c>
      <c r="AMM61" s="235" t="s">
        <v>618</v>
      </c>
      <c r="AMN61" s="235" t="s">
        <v>1410</v>
      </c>
      <c r="AMO61" s="235" t="s">
        <v>1411</v>
      </c>
      <c r="AMP61" s="235" t="s">
        <v>388</v>
      </c>
      <c r="AMQ61" s="237" t="s">
        <v>727</v>
      </c>
      <c r="AMR61" s="237" t="s">
        <v>221</v>
      </c>
      <c r="AMS61" s="235" t="s">
        <v>2</v>
      </c>
      <c r="AMT61" s="235" t="s">
        <v>3</v>
      </c>
      <c r="AMU61" s="235" t="s">
        <v>618</v>
      </c>
      <c r="AMV61" s="235" t="s">
        <v>1410</v>
      </c>
      <c r="AMW61" s="235" t="s">
        <v>1411</v>
      </c>
      <c r="AMX61" s="235" t="s">
        <v>388</v>
      </c>
      <c r="AMY61" s="237" t="s">
        <v>727</v>
      </c>
      <c r="AMZ61" s="237" t="s">
        <v>221</v>
      </c>
      <c r="ANA61" s="235" t="s">
        <v>2</v>
      </c>
      <c r="ANB61" s="235" t="s">
        <v>3</v>
      </c>
      <c r="ANC61" s="235" t="s">
        <v>618</v>
      </c>
      <c r="AND61" s="235" t="s">
        <v>1410</v>
      </c>
      <c r="ANE61" s="235" t="s">
        <v>1411</v>
      </c>
      <c r="ANF61" s="235" t="s">
        <v>388</v>
      </c>
      <c r="ANG61" s="237" t="s">
        <v>727</v>
      </c>
      <c r="ANH61" s="237" t="s">
        <v>221</v>
      </c>
      <c r="ANI61" s="235" t="s">
        <v>2</v>
      </c>
      <c r="ANJ61" s="235" t="s">
        <v>3</v>
      </c>
      <c r="ANK61" s="235" t="s">
        <v>618</v>
      </c>
      <c r="ANL61" s="235" t="s">
        <v>1410</v>
      </c>
      <c r="ANM61" s="235" t="s">
        <v>1411</v>
      </c>
      <c r="ANN61" s="235" t="s">
        <v>388</v>
      </c>
      <c r="ANO61" s="237" t="s">
        <v>727</v>
      </c>
      <c r="ANP61" s="237" t="s">
        <v>221</v>
      </c>
      <c r="ANQ61" s="235" t="s">
        <v>2</v>
      </c>
      <c r="ANR61" s="235" t="s">
        <v>3</v>
      </c>
      <c r="ANS61" s="235" t="s">
        <v>618</v>
      </c>
      <c r="ANT61" s="235" t="s">
        <v>1410</v>
      </c>
      <c r="ANU61" s="235" t="s">
        <v>1411</v>
      </c>
      <c r="ANV61" s="235" t="s">
        <v>388</v>
      </c>
      <c r="ANW61" s="237" t="s">
        <v>727</v>
      </c>
      <c r="ANX61" s="237" t="s">
        <v>221</v>
      </c>
      <c r="ANY61" s="235" t="s">
        <v>2</v>
      </c>
      <c r="ANZ61" s="235" t="s">
        <v>3</v>
      </c>
      <c r="AOA61" s="235" t="s">
        <v>618</v>
      </c>
      <c r="AOB61" s="235" t="s">
        <v>1410</v>
      </c>
      <c r="AOC61" s="235" t="s">
        <v>1411</v>
      </c>
      <c r="AOD61" s="235" t="s">
        <v>388</v>
      </c>
      <c r="AOE61" s="237" t="s">
        <v>727</v>
      </c>
      <c r="AOF61" s="237" t="s">
        <v>221</v>
      </c>
      <c r="AOG61" s="235" t="s">
        <v>2</v>
      </c>
      <c r="AOH61" s="235" t="s">
        <v>3</v>
      </c>
      <c r="AOI61" s="235" t="s">
        <v>618</v>
      </c>
      <c r="AOJ61" s="235" t="s">
        <v>1410</v>
      </c>
      <c r="AOK61" s="235" t="s">
        <v>1411</v>
      </c>
      <c r="AOL61" s="235" t="s">
        <v>388</v>
      </c>
      <c r="AOM61" s="237" t="s">
        <v>727</v>
      </c>
      <c r="AON61" s="237" t="s">
        <v>221</v>
      </c>
      <c r="AOO61" s="235" t="s">
        <v>2</v>
      </c>
      <c r="AOP61" s="235" t="s">
        <v>3</v>
      </c>
      <c r="AOQ61" s="235" t="s">
        <v>618</v>
      </c>
      <c r="AOR61" s="235" t="s">
        <v>1410</v>
      </c>
      <c r="AOS61" s="235" t="s">
        <v>1411</v>
      </c>
      <c r="AOT61" s="235" t="s">
        <v>388</v>
      </c>
      <c r="AOU61" s="237" t="s">
        <v>727</v>
      </c>
      <c r="AOV61" s="237" t="s">
        <v>221</v>
      </c>
      <c r="AOW61" s="235" t="s">
        <v>2</v>
      </c>
      <c r="AOX61" s="235" t="s">
        <v>3</v>
      </c>
      <c r="AOY61" s="235" t="s">
        <v>618</v>
      </c>
      <c r="AOZ61" s="235" t="s">
        <v>1410</v>
      </c>
      <c r="APA61" s="235" t="s">
        <v>1411</v>
      </c>
      <c r="APB61" s="235" t="s">
        <v>388</v>
      </c>
      <c r="APC61" s="237" t="s">
        <v>727</v>
      </c>
      <c r="APD61" s="237" t="s">
        <v>221</v>
      </c>
      <c r="APE61" s="235" t="s">
        <v>2</v>
      </c>
      <c r="APF61" s="235" t="s">
        <v>3</v>
      </c>
      <c r="APG61" s="235" t="s">
        <v>618</v>
      </c>
      <c r="APH61" s="235" t="s">
        <v>1410</v>
      </c>
      <c r="API61" s="235" t="s">
        <v>1411</v>
      </c>
      <c r="APJ61" s="235" t="s">
        <v>388</v>
      </c>
      <c r="APK61" s="237" t="s">
        <v>727</v>
      </c>
      <c r="APL61" s="237" t="s">
        <v>221</v>
      </c>
      <c r="APM61" s="235" t="s">
        <v>2</v>
      </c>
      <c r="APN61" s="235" t="s">
        <v>3</v>
      </c>
      <c r="APO61" s="235" t="s">
        <v>618</v>
      </c>
      <c r="APP61" s="235" t="s">
        <v>1410</v>
      </c>
      <c r="APQ61" s="235" t="s">
        <v>1411</v>
      </c>
      <c r="APR61" s="235" t="s">
        <v>388</v>
      </c>
      <c r="APS61" s="237" t="s">
        <v>727</v>
      </c>
      <c r="APT61" s="237" t="s">
        <v>221</v>
      </c>
      <c r="APU61" s="235" t="s">
        <v>2</v>
      </c>
      <c r="APV61" s="235" t="s">
        <v>3</v>
      </c>
      <c r="APW61" s="235" t="s">
        <v>618</v>
      </c>
      <c r="APX61" s="235" t="s">
        <v>1410</v>
      </c>
      <c r="APY61" s="235" t="s">
        <v>1411</v>
      </c>
      <c r="APZ61" s="235" t="s">
        <v>388</v>
      </c>
      <c r="AQA61" s="237" t="s">
        <v>727</v>
      </c>
      <c r="AQB61" s="237" t="s">
        <v>221</v>
      </c>
      <c r="AQC61" s="235" t="s">
        <v>2</v>
      </c>
      <c r="AQD61" s="235" t="s">
        <v>3</v>
      </c>
      <c r="AQE61" s="235" t="s">
        <v>618</v>
      </c>
      <c r="AQF61" s="235" t="s">
        <v>1410</v>
      </c>
      <c r="AQG61" s="235" t="s">
        <v>1411</v>
      </c>
      <c r="AQH61" s="235" t="s">
        <v>388</v>
      </c>
      <c r="AQI61" s="237" t="s">
        <v>727</v>
      </c>
      <c r="AQJ61" s="237" t="s">
        <v>221</v>
      </c>
      <c r="AQK61" s="235" t="s">
        <v>2</v>
      </c>
      <c r="AQL61" s="235" t="s">
        <v>3</v>
      </c>
      <c r="AQM61" s="235" t="s">
        <v>618</v>
      </c>
      <c r="AQN61" s="235" t="s">
        <v>1410</v>
      </c>
      <c r="AQO61" s="235" t="s">
        <v>1411</v>
      </c>
      <c r="AQP61" s="235" t="s">
        <v>388</v>
      </c>
      <c r="AQQ61" s="237" t="s">
        <v>727</v>
      </c>
      <c r="AQR61" s="237" t="s">
        <v>221</v>
      </c>
      <c r="AQS61" s="235" t="s">
        <v>2</v>
      </c>
      <c r="AQT61" s="235" t="s">
        <v>3</v>
      </c>
      <c r="AQU61" s="235" t="s">
        <v>618</v>
      </c>
      <c r="AQV61" s="235" t="s">
        <v>1410</v>
      </c>
      <c r="AQW61" s="235" t="s">
        <v>1411</v>
      </c>
      <c r="AQX61" s="235" t="s">
        <v>388</v>
      </c>
      <c r="AQY61" s="237" t="s">
        <v>727</v>
      </c>
      <c r="AQZ61" s="237" t="s">
        <v>221</v>
      </c>
      <c r="ARA61" s="235" t="s">
        <v>2</v>
      </c>
      <c r="ARB61" s="235" t="s">
        <v>3</v>
      </c>
      <c r="ARC61" s="235" t="s">
        <v>618</v>
      </c>
      <c r="ARD61" s="235" t="s">
        <v>1410</v>
      </c>
      <c r="ARE61" s="235" t="s">
        <v>1411</v>
      </c>
      <c r="ARF61" s="235" t="s">
        <v>388</v>
      </c>
      <c r="ARG61" s="237" t="s">
        <v>727</v>
      </c>
      <c r="ARH61" s="237" t="s">
        <v>221</v>
      </c>
      <c r="ARI61" s="235" t="s">
        <v>2</v>
      </c>
      <c r="ARJ61" s="235" t="s">
        <v>3</v>
      </c>
      <c r="ARK61" s="235" t="s">
        <v>618</v>
      </c>
      <c r="ARL61" s="235" t="s">
        <v>1410</v>
      </c>
      <c r="ARM61" s="235" t="s">
        <v>1411</v>
      </c>
      <c r="ARN61" s="235" t="s">
        <v>388</v>
      </c>
      <c r="ARO61" s="237" t="s">
        <v>727</v>
      </c>
      <c r="ARP61" s="237" t="s">
        <v>221</v>
      </c>
      <c r="ARQ61" s="235" t="s">
        <v>2</v>
      </c>
      <c r="ARR61" s="235" t="s">
        <v>3</v>
      </c>
      <c r="ARS61" s="235" t="s">
        <v>618</v>
      </c>
      <c r="ART61" s="235" t="s">
        <v>1410</v>
      </c>
      <c r="ARU61" s="235" t="s">
        <v>1411</v>
      </c>
      <c r="ARV61" s="235" t="s">
        <v>388</v>
      </c>
      <c r="ARW61" s="237" t="s">
        <v>727</v>
      </c>
      <c r="ARX61" s="237" t="s">
        <v>221</v>
      </c>
      <c r="ARY61" s="235" t="s">
        <v>2</v>
      </c>
      <c r="ARZ61" s="235" t="s">
        <v>3</v>
      </c>
      <c r="ASA61" s="235" t="s">
        <v>618</v>
      </c>
      <c r="ASB61" s="235" t="s">
        <v>1410</v>
      </c>
      <c r="ASC61" s="235" t="s">
        <v>1411</v>
      </c>
      <c r="ASD61" s="235" t="s">
        <v>388</v>
      </c>
      <c r="ASE61" s="237" t="s">
        <v>727</v>
      </c>
      <c r="ASF61" s="237" t="s">
        <v>221</v>
      </c>
      <c r="ASG61" s="235" t="s">
        <v>2</v>
      </c>
      <c r="ASH61" s="235" t="s">
        <v>3</v>
      </c>
      <c r="ASI61" s="235" t="s">
        <v>618</v>
      </c>
      <c r="ASJ61" s="235" t="s">
        <v>1410</v>
      </c>
      <c r="ASK61" s="235" t="s">
        <v>1411</v>
      </c>
      <c r="ASL61" s="235" t="s">
        <v>388</v>
      </c>
      <c r="ASM61" s="237" t="s">
        <v>727</v>
      </c>
      <c r="ASN61" s="237" t="s">
        <v>221</v>
      </c>
      <c r="ASO61" s="235" t="s">
        <v>2</v>
      </c>
      <c r="ASP61" s="235" t="s">
        <v>3</v>
      </c>
      <c r="ASQ61" s="235" t="s">
        <v>618</v>
      </c>
      <c r="ASR61" s="235" t="s">
        <v>1410</v>
      </c>
      <c r="ASS61" s="235" t="s">
        <v>1411</v>
      </c>
      <c r="AST61" s="235" t="s">
        <v>388</v>
      </c>
      <c r="ASU61" s="237" t="s">
        <v>727</v>
      </c>
      <c r="ASV61" s="237" t="s">
        <v>221</v>
      </c>
      <c r="ASW61" s="235" t="s">
        <v>2</v>
      </c>
      <c r="ASX61" s="235" t="s">
        <v>3</v>
      </c>
      <c r="ASY61" s="235" t="s">
        <v>618</v>
      </c>
      <c r="ASZ61" s="235" t="s">
        <v>1410</v>
      </c>
      <c r="ATA61" s="235" t="s">
        <v>1411</v>
      </c>
      <c r="ATB61" s="235" t="s">
        <v>388</v>
      </c>
      <c r="ATC61" s="237" t="s">
        <v>727</v>
      </c>
      <c r="ATD61" s="237" t="s">
        <v>221</v>
      </c>
      <c r="ATE61" s="235" t="s">
        <v>2</v>
      </c>
      <c r="ATF61" s="235" t="s">
        <v>3</v>
      </c>
      <c r="ATG61" s="235" t="s">
        <v>618</v>
      </c>
      <c r="ATH61" s="235" t="s">
        <v>1410</v>
      </c>
      <c r="ATI61" s="235" t="s">
        <v>1411</v>
      </c>
      <c r="ATJ61" s="235" t="s">
        <v>388</v>
      </c>
      <c r="ATK61" s="237" t="s">
        <v>727</v>
      </c>
      <c r="ATL61" s="237" t="s">
        <v>221</v>
      </c>
      <c r="ATM61" s="235" t="s">
        <v>2</v>
      </c>
      <c r="ATN61" s="235" t="s">
        <v>3</v>
      </c>
      <c r="ATO61" s="235" t="s">
        <v>618</v>
      </c>
      <c r="ATP61" s="235" t="s">
        <v>1410</v>
      </c>
      <c r="ATQ61" s="235" t="s">
        <v>1411</v>
      </c>
      <c r="ATR61" s="235" t="s">
        <v>388</v>
      </c>
      <c r="ATS61" s="237" t="s">
        <v>727</v>
      </c>
      <c r="ATT61" s="237" t="s">
        <v>221</v>
      </c>
      <c r="ATU61" s="235" t="s">
        <v>2</v>
      </c>
      <c r="ATV61" s="235" t="s">
        <v>3</v>
      </c>
      <c r="ATW61" s="235" t="s">
        <v>618</v>
      </c>
      <c r="ATX61" s="235" t="s">
        <v>1410</v>
      </c>
      <c r="ATY61" s="235" t="s">
        <v>1411</v>
      </c>
      <c r="ATZ61" s="235" t="s">
        <v>388</v>
      </c>
      <c r="AUA61" s="237" t="s">
        <v>727</v>
      </c>
      <c r="AUB61" s="237" t="s">
        <v>221</v>
      </c>
      <c r="AUC61" s="235" t="s">
        <v>2</v>
      </c>
      <c r="AUD61" s="235" t="s">
        <v>3</v>
      </c>
      <c r="AUE61" s="235" t="s">
        <v>618</v>
      </c>
      <c r="AUF61" s="235" t="s">
        <v>1410</v>
      </c>
      <c r="AUG61" s="235" t="s">
        <v>1411</v>
      </c>
      <c r="AUH61" s="235" t="s">
        <v>388</v>
      </c>
      <c r="AUI61" s="237" t="s">
        <v>727</v>
      </c>
      <c r="AUJ61" s="237" t="s">
        <v>221</v>
      </c>
      <c r="AUK61" s="235" t="s">
        <v>2</v>
      </c>
      <c r="AUL61" s="235" t="s">
        <v>3</v>
      </c>
      <c r="AUM61" s="235" t="s">
        <v>618</v>
      </c>
      <c r="AUN61" s="235" t="s">
        <v>1410</v>
      </c>
      <c r="AUO61" s="235" t="s">
        <v>1411</v>
      </c>
      <c r="AUP61" s="235" t="s">
        <v>388</v>
      </c>
      <c r="AUQ61" s="237" t="s">
        <v>727</v>
      </c>
      <c r="AUR61" s="237" t="s">
        <v>221</v>
      </c>
      <c r="AUS61" s="235" t="s">
        <v>2</v>
      </c>
      <c r="AUT61" s="235" t="s">
        <v>3</v>
      </c>
      <c r="AUU61" s="235" t="s">
        <v>618</v>
      </c>
      <c r="AUV61" s="235" t="s">
        <v>1410</v>
      </c>
      <c r="AUW61" s="235" t="s">
        <v>1411</v>
      </c>
      <c r="AUX61" s="235" t="s">
        <v>388</v>
      </c>
      <c r="AUY61" s="237" t="s">
        <v>727</v>
      </c>
      <c r="AUZ61" s="237" t="s">
        <v>221</v>
      </c>
      <c r="AVA61" s="235" t="s">
        <v>2</v>
      </c>
      <c r="AVB61" s="235" t="s">
        <v>3</v>
      </c>
      <c r="AVC61" s="235" t="s">
        <v>618</v>
      </c>
      <c r="AVD61" s="235" t="s">
        <v>1410</v>
      </c>
      <c r="AVE61" s="235" t="s">
        <v>1411</v>
      </c>
      <c r="AVF61" s="235" t="s">
        <v>388</v>
      </c>
      <c r="AVG61" s="237" t="s">
        <v>727</v>
      </c>
      <c r="AVH61" s="237" t="s">
        <v>221</v>
      </c>
      <c r="AVI61" s="235" t="s">
        <v>2</v>
      </c>
      <c r="AVJ61" s="235" t="s">
        <v>3</v>
      </c>
      <c r="AVK61" s="235" t="s">
        <v>618</v>
      </c>
      <c r="AVL61" s="235" t="s">
        <v>1410</v>
      </c>
      <c r="AVM61" s="235" t="s">
        <v>1411</v>
      </c>
      <c r="AVN61" s="235" t="s">
        <v>388</v>
      </c>
      <c r="AVO61" s="237" t="s">
        <v>727</v>
      </c>
      <c r="AVP61" s="237" t="s">
        <v>221</v>
      </c>
      <c r="AVQ61" s="235" t="s">
        <v>2</v>
      </c>
      <c r="AVR61" s="235" t="s">
        <v>3</v>
      </c>
      <c r="AVS61" s="235" t="s">
        <v>618</v>
      </c>
      <c r="AVT61" s="235" t="s">
        <v>1410</v>
      </c>
      <c r="AVU61" s="235" t="s">
        <v>1411</v>
      </c>
      <c r="AVV61" s="235" t="s">
        <v>388</v>
      </c>
      <c r="AVW61" s="237" t="s">
        <v>727</v>
      </c>
      <c r="AVX61" s="237" t="s">
        <v>221</v>
      </c>
      <c r="AVY61" s="235" t="s">
        <v>2</v>
      </c>
      <c r="AVZ61" s="235" t="s">
        <v>3</v>
      </c>
      <c r="AWA61" s="235" t="s">
        <v>618</v>
      </c>
      <c r="AWB61" s="235" t="s">
        <v>1410</v>
      </c>
      <c r="AWC61" s="235" t="s">
        <v>1411</v>
      </c>
      <c r="AWD61" s="235" t="s">
        <v>388</v>
      </c>
      <c r="AWE61" s="237" t="s">
        <v>727</v>
      </c>
      <c r="AWF61" s="237" t="s">
        <v>221</v>
      </c>
      <c r="AWG61" s="235" t="s">
        <v>2</v>
      </c>
      <c r="AWH61" s="235" t="s">
        <v>3</v>
      </c>
      <c r="AWI61" s="235" t="s">
        <v>618</v>
      </c>
      <c r="AWJ61" s="235" t="s">
        <v>1410</v>
      </c>
      <c r="AWK61" s="235" t="s">
        <v>1411</v>
      </c>
      <c r="AWL61" s="235" t="s">
        <v>388</v>
      </c>
      <c r="AWM61" s="237" t="s">
        <v>727</v>
      </c>
      <c r="AWN61" s="237" t="s">
        <v>221</v>
      </c>
      <c r="AWO61" s="235" t="s">
        <v>2</v>
      </c>
      <c r="AWP61" s="235" t="s">
        <v>3</v>
      </c>
      <c r="AWQ61" s="235" t="s">
        <v>618</v>
      </c>
      <c r="AWR61" s="235" t="s">
        <v>1410</v>
      </c>
      <c r="AWS61" s="235" t="s">
        <v>1411</v>
      </c>
      <c r="AWT61" s="235" t="s">
        <v>388</v>
      </c>
      <c r="AWU61" s="237" t="s">
        <v>727</v>
      </c>
      <c r="AWV61" s="237" t="s">
        <v>221</v>
      </c>
      <c r="AWW61" s="235" t="s">
        <v>2</v>
      </c>
      <c r="AWX61" s="235" t="s">
        <v>3</v>
      </c>
      <c r="AWY61" s="235" t="s">
        <v>618</v>
      </c>
      <c r="AWZ61" s="235" t="s">
        <v>1410</v>
      </c>
      <c r="AXA61" s="235" t="s">
        <v>1411</v>
      </c>
      <c r="AXB61" s="235" t="s">
        <v>388</v>
      </c>
      <c r="AXC61" s="237" t="s">
        <v>727</v>
      </c>
      <c r="AXD61" s="237" t="s">
        <v>221</v>
      </c>
      <c r="AXE61" s="235" t="s">
        <v>2</v>
      </c>
      <c r="AXF61" s="235" t="s">
        <v>3</v>
      </c>
      <c r="AXG61" s="235" t="s">
        <v>618</v>
      </c>
      <c r="AXH61" s="235" t="s">
        <v>1410</v>
      </c>
      <c r="AXI61" s="235" t="s">
        <v>1411</v>
      </c>
      <c r="AXJ61" s="235" t="s">
        <v>388</v>
      </c>
      <c r="AXK61" s="237" t="s">
        <v>727</v>
      </c>
      <c r="AXL61" s="237" t="s">
        <v>221</v>
      </c>
      <c r="AXM61" s="235" t="s">
        <v>2</v>
      </c>
      <c r="AXN61" s="235" t="s">
        <v>3</v>
      </c>
      <c r="AXO61" s="235" t="s">
        <v>618</v>
      </c>
      <c r="AXP61" s="235" t="s">
        <v>1410</v>
      </c>
      <c r="AXQ61" s="235" t="s">
        <v>1411</v>
      </c>
      <c r="AXR61" s="235" t="s">
        <v>388</v>
      </c>
      <c r="AXS61" s="237" t="s">
        <v>727</v>
      </c>
      <c r="AXT61" s="237" t="s">
        <v>221</v>
      </c>
      <c r="AXU61" s="235" t="s">
        <v>2</v>
      </c>
      <c r="AXV61" s="235" t="s">
        <v>3</v>
      </c>
      <c r="AXW61" s="235" t="s">
        <v>618</v>
      </c>
      <c r="AXX61" s="235" t="s">
        <v>1410</v>
      </c>
      <c r="AXY61" s="235" t="s">
        <v>1411</v>
      </c>
      <c r="AXZ61" s="235" t="s">
        <v>388</v>
      </c>
      <c r="AYA61" s="237" t="s">
        <v>727</v>
      </c>
      <c r="AYB61" s="237" t="s">
        <v>221</v>
      </c>
      <c r="AYC61" s="235" t="s">
        <v>2</v>
      </c>
      <c r="AYD61" s="235" t="s">
        <v>3</v>
      </c>
      <c r="AYE61" s="235" t="s">
        <v>618</v>
      </c>
      <c r="AYF61" s="235" t="s">
        <v>1410</v>
      </c>
      <c r="AYG61" s="235" t="s">
        <v>1411</v>
      </c>
      <c r="AYH61" s="235" t="s">
        <v>388</v>
      </c>
      <c r="AYI61" s="237" t="s">
        <v>727</v>
      </c>
      <c r="AYJ61" s="237" t="s">
        <v>221</v>
      </c>
      <c r="AYK61" s="235" t="s">
        <v>2</v>
      </c>
      <c r="AYL61" s="235" t="s">
        <v>3</v>
      </c>
      <c r="AYM61" s="235" t="s">
        <v>618</v>
      </c>
      <c r="AYN61" s="235" t="s">
        <v>1410</v>
      </c>
      <c r="AYO61" s="235" t="s">
        <v>1411</v>
      </c>
      <c r="AYP61" s="235" t="s">
        <v>388</v>
      </c>
      <c r="AYQ61" s="237" t="s">
        <v>727</v>
      </c>
      <c r="AYR61" s="237" t="s">
        <v>221</v>
      </c>
      <c r="AYS61" s="235" t="s">
        <v>2</v>
      </c>
      <c r="AYT61" s="235" t="s">
        <v>3</v>
      </c>
      <c r="AYU61" s="235" t="s">
        <v>618</v>
      </c>
      <c r="AYV61" s="235" t="s">
        <v>1410</v>
      </c>
      <c r="AYW61" s="235" t="s">
        <v>1411</v>
      </c>
      <c r="AYX61" s="235" t="s">
        <v>388</v>
      </c>
      <c r="AYY61" s="237" t="s">
        <v>727</v>
      </c>
      <c r="AYZ61" s="237" t="s">
        <v>221</v>
      </c>
      <c r="AZA61" s="235" t="s">
        <v>2</v>
      </c>
      <c r="AZB61" s="235" t="s">
        <v>3</v>
      </c>
      <c r="AZC61" s="235" t="s">
        <v>618</v>
      </c>
      <c r="AZD61" s="235" t="s">
        <v>1410</v>
      </c>
      <c r="AZE61" s="235" t="s">
        <v>1411</v>
      </c>
      <c r="AZF61" s="235" t="s">
        <v>388</v>
      </c>
      <c r="AZG61" s="237" t="s">
        <v>727</v>
      </c>
      <c r="AZH61" s="237" t="s">
        <v>221</v>
      </c>
      <c r="AZI61" s="235" t="s">
        <v>2</v>
      </c>
      <c r="AZJ61" s="235" t="s">
        <v>3</v>
      </c>
      <c r="AZK61" s="235" t="s">
        <v>618</v>
      </c>
      <c r="AZL61" s="235" t="s">
        <v>1410</v>
      </c>
      <c r="AZM61" s="235" t="s">
        <v>1411</v>
      </c>
      <c r="AZN61" s="235" t="s">
        <v>388</v>
      </c>
      <c r="AZO61" s="237" t="s">
        <v>727</v>
      </c>
      <c r="AZP61" s="237" t="s">
        <v>221</v>
      </c>
      <c r="AZQ61" s="235" t="s">
        <v>2</v>
      </c>
      <c r="AZR61" s="235" t="s">
        <v>3</v>
      </c>
      <c r="AZS61" s="235" t="s">
        <v>618</v>
      </c>
      <c r="AZT61" s="235" t="s">
        <v>1410</v>
      </c>
      <c r="AZU61" s="235" t="s">
        <v>1411</v>
      </c>
      <c r="AZV61" s="235" t="s">
        <v>388</v>
      </c>
      <c r="AZW61" s="237" t="s">
        <v>727</v>
      </c>
      <c r="AZX61" s="237" t="s">
        <v>221</v>
      </c>
      <c r="AZY61" s="235" t="s">
        <v>2</v>
      </c>
      <c r="AZZ61" s="235" t="s">
        <v>3</v>
      </c>
      <c r="BAA61" s="235" t="s">
        <v>618</v>
      </c>
      <c r="BAB61" s="235" t="s">
        <v>1410</v>
      </c>
      <c r="BAC61" s="235" t="s">
        <v>1411</v>
      </c>
      <c r="BAD61" s="235" t="s">
        <v>388</v>
      </c>
      <c r="BAE61" s="237" t="s">
        <v>727</v>
      </c>
      <c r="BAF61" s="237" t="s">
        <v>221</v>
      </c>
      <c r="BAG61" s="235" t="s">
        <v>2</v>
      </c>
      <c r="BAH61" s="235" t="s">
        <v>3</v>
      </c>
      <c r="BAI61" s="235" t="s">
        <v>618</v>
      </c>
      <c r="BAJ61" s="235" t="s">
        <v>1410</v>
      </c>
      <c r="BAK61" s="235" t="s">
        <v>1411</v>
      </c>
      <c r="BAL61" s="235" t="s">
        <v>388</v>
      </c>
      <c r="BAM61" s="237" t="s">
        <v>727</v>
      </c>
      <c r="BAN61" s="237" t="s">
        <v>221</v>
      </c>
      <c r="BAO61" s="235" t="s">
        <v>2</v>
      </c>
      <c r="BAP61" s="235" t="s">
        <v>3</v>
      </c>
      <c r="BAQ61" s="235" t="s">
        <v>618</v>
      </c>
      <c r="BAR61" s="235" t="s">
        <v>1410</v>
      </c>
      <c r="BAS61" s="235" t="s">
        <v>1411</v>
      </c>
      <c r="BAT61" s="235" t="s">
        <v>388</v>
      </c>
      <c r="BAU61" s="237" t="s">
        <v>727</v>
      </c>
      <c r="BAV61" s="237" t="s">
        <v>221</v>
      </c>
      <c r="BAW61" s="235" t="s">
        <v>2</v>
      </c>
      <c r="BAX61" s="235" t="s">
        <v>3</v>
      </c>
      <c r="BAY61" s="235" t="s">
        <v>618</v>
      </c>
      <c r="BAZ61" s="235" t="s">
        <v>1410</v>
      </c>
      <c r="BBA61" s="235" t="s">
        <v>1411</v>
      </c>
      <c r="BBB61" s="235" t="s">
        <v>388</v>
      </c>
      <c r="BBC61" s="237" t="s">
        <v>727</v>
      </c>
      <c r="BBD61" s="237" t="s">
        <v>221</v>
      </c>
      <c r="BBE61" s="235" t="s">
        <v>2</v>
      </c>
      <c r="BBF61" s="235" t="s">
        <v>3</v>
      </c>
      <c r="BBG61" s="235" t="s">
        <v>618</v>
      </c>
      <c r="BBH61" s="235" t="s">
        <v>1410</v>
      </c>
      <c r="BBI61" s="235" t="s">
        <v>1411</v>
      </c>
      <c r="BBJ61" s="235" t="s">
        <v>388</v>
      </c>
      <c r="BBK61" s="237" t="s">
        <v>727</v>
      </c>
      <c r="BBL61" s="237" t="s">
        <v>221</v>
      </c>
      <c r="BBM61" s="235" t="s">
        <v>2</v>
      </c>
      <c r="BBN61" s="235" t="s">
        <v>3</v>
      </c>
      <c r="BBO61" s="235" t="s">
        <v>618</v>
      </c>
      <c r="BBP61" s="235" t="s">
        <v>1410</v>
      </c>
      <c r="BBQ61" s="235" t="s">
        <v>1411</v>
      </c>
      <c r="BBR61" s="235" t="s">
        <v>388</v>
      </c>
      <c r="BBS61" s="237" t="s">
        <v>727</v>
      </c>
      <c r="BBT61" s="237" t="s">
        <v>221</v>
      </c>
      <c r="BBU61" s="235" t="s">
        <v>2</v>
      </c>
      <c r="BBV61" s="235" t="s">
        <v>3</v>
      </c>
      <c r="BBW61" s="235" t="s">
        <v>618</v>
      </c>
      <c r="BBX61" s="235" t="s">
        <v>1410</v>
      </c>
      <c r="BBY61" s="235" t="s">
        <v>1411</v>
      </c>
      <c r="BBZ61" s="235" t="s">
        <v>388</v>
      </c>
      <c r="BCA61" s="237" t="s">
        <v>727</v>
      </c>
      <c r="BCB61" s="237" t="s">
        <v>221</v>
      </c>
      <c r="BCC61" s="235" t="s">
        <v>2</v>
      </c>
      <c r="BCD61" s="235" t="s">
        <v>3</v>
      </c>
      <c r="BCE61" s="235" t="s">
        <v>618</v>
      </c>
      <c r="BCF61" s="235" t="s">
        <v>1410</v>
      </c>
      <c r="BCG61" s="235" t="s">
        <v>1411</v>
      </c>
      <c r="BCH61" s="235" t="s">
        <v>388</v>
      </c>
      <c r="BCI61" s="237" t="s">
        <v>727</v>
      </c>
      <c r="BCJ61" s="237" t="s">
        <v>221</v>
      </c>
      <c r="BCK61" s="235" t="s">
        <v>2</v>
      </c>
      <c r="BCL61" s="235" t="s">
        <v>3</v>
      </c>
      <c r="BCM61" s="235" t="s">
        <v>618</v>
      </c>
      <c r="BCN61" s="235" t="s">
        <v>1410</v>
      </c>
      <c r="BCO61" s="235" t="s">
        <v>1411</v>
      </c>
      <c r="BCP61" s="235" t="s">
        <v>388</v>
      </c>
      <c r="BCQ61" s="237" t="s">
        <v>727</v>
      </c>
      <c r="BCR61" s="237" t="s">
        <v>221</v>
      </c>
      <c r="BCS61" s="235" t="s">
        <v>2</v>
      </c>
      <c r="BCT61" s="235" t="s">
        <v>3</v>
      </c>
      <c r="BCU61" s="235" t="s">
        <v>618</v>
      </c>
      <c r="BCV61" s="235" t="s">
        <v>1410</v>
      </c>
      <c r="BCW61" s="235" t="s">
        <v>1411</v>
      </c>
      <c r="BCX61" s="235" t="s">
        <v>388</v>
      </c>
      <c r="BCY61" s="237" t="s">
        <v>727</v>
      </c>
      <c r="BCZ61" s="237" t="s">
        <v>221</v>
      </c>
      <c r="BDA61" s="235" t="s">
        <v>2</v>
      </c>
      <c r="BDB61" s="235" t="s">
        <v>3</v>
      </c>
      <c r="BDC61" s="235" t="s">
        <v>618</v>
      </c>
      <c r="BDD61" s="235" t="s">
        <v>1410</v>
      </c>
      <c r="BDE61" s="235" t="s">
        <v>1411</v>
      </c>
      <c r="BDF61" s="235" t="s">
        <v>388</v>
      </c>
      <c r="BDG61" s="237" t="s">
        <v>727</v>
      </c>
      <c r="BDH61" s="237" t="s">
        <v>221</v>
      </c>
      <c r="BDI61" s="235" t="s">
        <v>2</v>
      </c>
      <c r="BDJ61" s="235" t="s">
        <v>3</v>
      </c>
      <c r="BDK61" s="235" t="s">
        <v>618</v>
      </c>
      <c r="BDL61" s="235" t="s">
        <v>1410</v>
      </c>
      <c r="BDM61" s="235" t="s">
        <v>1411</v>
      </c>
      <c r="BDN61" s="235" t="s">
        <v>388</v>
      </c>
      <c r="BDO61" s="237" t="s">
        <v>727</v>
      </c>
      <c r="BDP61" s="237" t="s">
        <v>221</v>
      </c>
      <c r="BDQ61" s="235" t="s">
        <v>2</v>
      </c>
      <c r="BDR61" s="235" t="s">
        <v>3</v>
      </c>
      <c r="BDS61" s="235" t="s">
        <v>618</v>
      </c>
      <c r="BDT61" s="235" t="s">
        <v>1410</v>
      </c>
      <c r="BDU61" s="235" t="s">
        <v>1411</v>
      </c>
      <c r="BDV61" s="235" t="s">
        <v>388</v>
      </c>
      <c r="BDW61" s="237" t="s">
        <v>727</v>
      </c>
      <c r="BDX61" s="237" t="s">
        <v>221</v>
      </c>
      <c r="BDY61" s="235" t="s">
        <v>2</v>
      </c>
      <c r="BDZ61" s="235" t="s">
        <v>3</v>
      </c>
      <c r="BEA61" s="235" t="s">
        <v>618</v>
      </c>
      <c r="BEB61" s="235" t="s">
        <v>1410</v>
      </c>
      <c r="BEC61" s="235" t="s">
        <v>1411</v>
      </c>
      <c r="BED61" s="235" t="s">
        <v>388</v>
      </c>
      <c r="BEE61" s="237" t="s">
        <v>727</v>
      </c>
      <c r="BEF61" s="237" t="s">
        <v>221</v>
      </c>
      <c r="BEG61" s="235" t="s">
        <v>2</v>
      </c>
      <c r="BEH61" s="235" t="s">
        <v>3</v>
      </c>
      <c r="BEI61" s="235" t="s">
        <v>618</v>
      </c>
      <c r="BEJ61" s="235" t="s">
        <v>1410</v>
      </c>
      <c r="BEK61" s="235" t="s">
        <v>1411</v>
      </c>
      <c r="BEL61" s="235" t="s">
        <v>388</v>
      </c>
      <c r="BEM61" s="237" t="s">
        <v>727</v>
      </c>
      <c r="BEN61" s="237" t="s">
        <v>221</v>
      </c>
      <c r="BEO61" s="235" t="s">
        <v>2</v>
      </c>
      <c r="BEP61" s="235" t="s">
        <v>3</v>
      </c>
      <c r="BEQ61" s="235" t="s">
        <v>618</v>
      </c>
      <c r="BER61" s="235" t="s">
        <v>1410</v>
      </c>
      <c r="BES61" s="235" t="s">
        <v>1411</v>
      </c>
      <c r="BET61" s="235" t="s">
        <v>388</v>
      </c>
      <c r="BEU61" s="237" t="s">
        <v>727</v>
      </c>
      <c r="BEV61" s="237" t="s">
        <v>221</v>
      </c>
      <c r="BEW61" s="235" t="s">
        <v>2</v>
      </c>
      <c r="BEX61" s="235" t="s">
        <v>3</v>
      </c>
      <c r="BEY61" s="235" t="s">
        <v>618</v>
      </c>
      <c r="BEZ61" s="235" t="s">
        <v>1410</v>
      </c>
      <c r="BFA61" s="235" t="s">
        <v>1411</v>
      </c>
      <c r="BFB61" s="235" t="s">
        <v>388</v>
      </c>
      <c r="BFC61" s="237" t="s">
        <v>727</v>
      </c>
      <c r="BFD61" s="237" t="s">
        <v>221</v>
      </c>
      <c r="BFE61" s="235" t="s">
        <v>2</v>
      </c>
      <c r="BFF61" s="235" t="s">
        <v>3</v>
      </c>
      <c r="BFG61" s="235" t="s">
        <v>618</v>
      </c>
      <c r="BFH61" s="235" t="s">
        <v>1410</v>
      </c>
      <c r="BFI61" s="235" t="s">
        <v>1411</v>
      </c>
      <c r="BFJ61" s="235" t="s">
        <v>388</v>
      </c>
      <c r="BFK61" s="237" t="s">
        <v>727</v>
      </c>
      <c r="BFL61" s="237" t="s">
        <v>221</v>
      </c>
      <c r="BFM61" s="235" t="s">
        <v>2</v>
      </c>
      <c r="BFN61" s="235" t="s">
        <v>3</v>
      </c>
      <c r="BFO61" s="235" t="s">
        <v>618</v>
      </c>
      <c r="BFP61" s="235" t="s">
        <v>1410</v>
      </c>
      <c r="BFQ61" s="235" t="s">
        <v>1411</v>
      </c>
      <c r="BFR61" s="235" t="s">
        <v>388</v>
      </c>
      <c r="BFS61" s="237" t="s">
        <v>727</v>
      </c>
      <c r="BFT61" s="237" t="s">
        <v>221</v>
      </c>
      <c r="BFU61" s="235" t="s">
        <v>2</v>
      </c>
      <c r="BFV61" s="235" t="s">
        <v>3</v>
      </c>
      <c r="BFW61" s="235" t="s">
        <v>618</v>
      </c>
      <c r="BFX61" s="235" t="s">
        <v>1410</v>
      </c>
      <c r="BFY61" s="235" t="s">
        <v>1411</v>
      </c>
      <c r="BFZ61" s="235" t="s">
        <v>388</v>
      </c>
      <c r="BGA61" s="237" t="s">
        <v>727</v>
      </c>
      <c r="BGB61" s="237" t="s">
        <v>221</v>
      </c>
      <c r="BGC61" s="235" t="s">
        <v>2</v>
      </c>
      <c r="BGD61" s="235" t="s">
        <v>3</v>
      </c>
      <c r="BGE61" s="235" t="s">
        <v>618</v>
      </c>
      <c r="BGF61" s="235" t="s">
        <v>1410</v>
      </c>
      <c r="BGG61" s="235" t="s">
        <v>1411</v>
      </c>
      <c r="BGH61" s="235" t="s">
        <v>388</v>
      </c>
      <c r="BGI61" s="237" t="s">
        <v>727</v>
      </c>
      <c r="BGJ61" s="237" t="s">
        <v>221</v>
      </c>
      <c r="BGK61" s="235" t="s">
        <v>2</v>
      </c>
      <c r="BGL61" s="235" t="s">
        <v>3</v>
      </c>
      <c r="BGM61" s="235" t="s">
        <v>618</v>
      </c>
      <c r="BGN61" s="235" t="s">
        <v>1410</v>
      </c>
      <c r="BGO61" s="235" t="s">
        <v>1411</v>
      </c>
      <c r="BGP61" s="235" t="s">
        <v>388</v>
      </c>
      <c r="BGQ61" s="237" t="s">
        <v>727</v>
      </c>
      <c r="BGR61" s="237" t="s">
        <v>221</v>
      </c>
      <c r="BGS61" s="235" t="s">
        <v>2</v>
      </c>
      <c r="BGT61" s="235" t="s">
        <v>3</v>
      </c>
      <c r="BGU61" s="235" t="s">
        <v>618</v>
      </c>
      <c r="BGV61" s="235" t="s">
        <v>1410</v>
      </c>
      <c r="BGW61" s="235" t="s">
        <v>1411</v>
      </c>
      <c r="BGX61" s="235" t="s">
        <v>388</v>
      </c>
      <c r="BGY61" s="237" t="s">
        <v>727</v>
      </c>
      <c r="BGZ61" s="237" t="s">
        <v>221</v>
      </c>
      <c r="BHA61" s="235" t="s">
        <v>2</v>
      </c>
      <c r="BHB61" s="235" t="s">
        <v>3</v>
      </c>
      <c r="BHC61" s="235" t="s">
        <v>618</v>
      </c>
      <c r="BHD61" s="235" t="s">
        <v>1410</v>
      </c>
      <c r="BHE61" s="235" t="s">
        <v>1411</v>
      </c>
      <c r="BHF61" s="235" t="s">
        <v>388</v>
      </c>
      <c r="BHG61" s="237" t="s">
        <v>727</v>
      </c>
      <c r="BHH61" s="237" t="s">
        <v>221</v>
      </c>
      <c r="BHI61" s="235" t="s">
        <v>2</v>
      </c>
      <c r="BHJ61" s="235" t="s">
        <v>3</v>
      </c>
      <c r="BHK61" s="235" t="s">
        <v>618</v>
      </c>
      <c r="BHL61" s="235" t="s">
        <v>1410</v>
      </c>
      <c r="BHM61" s="235" t="s">
        <v>1411</v>
      </c>
      <c r="BHN61" s="235" t="s">
        <v>388</v>
      </c>
      <c r="BHO61" s="237" t="s">
        <v>727</v>
      </c>
      <c r="BHP61" s="237" t="s">
        <v>221</v>
      </c>
      <c r="BHQ61" s="235" t="s">
        <v>2</v>
      </c>
      <c r="BHR61" s="235" t="s">
        <v>3</v>
      </c>
      <c r="BHS61" s="235" t="s">
        <v>618</v>
      </c>
      <c r="BHT61" s="235" t="s">
        <v>1410</v>
      </c>
      <c r="BHU61" s="235" t="s">
        <v>1411</v>
      </c>
      <c r="BHV61" s="235" t="s">
        <v>388</v>
      </c>
      <c r="BHW61" s="237" t="s">
        <v>727</v>
      </c>
      <c r="BHX61" s="237" t="s">
        <v>221</v>
      </c>
      <c r="BHY61" s="235" t="s">
        <v>2</v>
      </c>
      <c r="BHZ61" s="235" t="s">
        <v>3</v>
      </c>
      <c r="BIA61" s="235" t="s">
        <v>618</v>
      </c>
      <c r="BIB61" s="235" t="s">
        <v>1410</v>
      </c>
      <c r="BIC61" s="235" t="s">
        <v>1411</v>
      </c>
      <c r="BID61" s="235" t="s">
        <v>388</v>
      </c>
      <c r="BIE61" s="237" t="s">
        <v>727</v>
      </c>
      <c r="BIF61" s="237" t="s">
        <v>221</v>
      </c>
      <c r="BIG61" s="235" t="s">
        <v>2</v>
      </c>
      <c r="BIH61" s="235" t="s">
        <v>3</v>
      </c>
      <c r="BII61" s="235" t="s">
        <v>618</v>
      </c>
      <c r="BIJ61" s="235" t="s">
        <v>1410</v>
      </c>
      <c r="BIK61" s="235" t="s">
        <v>1411</v>
      </c>
      <c r="BIL61" s="235" t="s">
        <v>388</v>
      </c>
      <c r="BIM61" s="237" t="s">
        <v>727</v>
      </c>
      <c r="BIN61" s="237" t="s">
        <v>221</v>
      </c>
      <c r="BIO61" s="235" t="s">
        <v>2</v>
      </c>
      <c r="BIP61" s="235" t="s">
        <v>3</v>
      </c>
      <c r="BIQ61" s="235" t="s">
        <v>618</v>
      </c>
      <c r="BIR61" s="235" t="s">
        <v>1410</v>
      </c>
      <c r="BIS61" s="235" t="s">
        <v>1411</v>
      </c>
      <c r="BIT61" s="235" t="s">
        <v>388</v>
      </c>
      <c r="BIU61" s="237" t="s">
        <v>727</v>
      </c>
      <c r="BIV61" s="237" t="s">
        <v>221</v>
      </c>
      <c r="BIW61" s="235" t="s">
        <v>2</v>
      </c>
      <c r="BIX61" s="235" t="s">
        <v>3</v>
      </c>
      <c r="BIY61" s="235" t="s">
        <v>618</v>
      </c>
      <c r="BIZ61" s="235" t="s">
        <v>1410</v>
      </c>
      <c r="BJA61" s="235" t="s">
        <v>1411</v>
      </c>
      <c r="BJB61" s="235" t="s">
        <v>388</v>
      </c>
      <c r="BJC61" s="237" t="s">
        <v>727</v>
      </c>
      <c r="BJD61" s="237" t="s">
        <v>221</v>
      </c>
      <c r="BJE61" s="235" t="s">
        <v>2</v>
      </c>
      <c r="BJF61" s="235" t="s">
        <v>3</v>
      </c>
      <c r="BJG61" s="235" t="s">
        <v>618</v>
      </c>
      <c r="BJH61" s="235" t="s">
        <v>1410</v>
      </c>
      <c r="BJI61" s="235" t="s">
        <v>1411</v>
      </c>
      <c r="BJJ61" s="235" t="s">
        <v>388</v>
      </c>
      <c r="BJK61" s="237" t="s">
        <v>727</v>
      </c>
      <c r="BJL61" s="237" t="s">
        <v>221</v>
      </c>
      <c r="BJM61" s="235" t="s">
        <v>2</v>
      </c>
      <c r="BJN61" s="235" t="s">
        <v>3</v>
      </c>
      <c r="BJO61" s="235" t="s">
        <v>618</v>
      </c>
      <c r="BJP61" s="235" t="s">
        <v>1410</v>
      </c>
      <c r="BJQ61" s="235" t="s">
        <v>1411</v>
      </c>
      <c r="BJR61" s="235" t="s">
        <v>388</v>
      </c>
      <c r="BJS61" s="237" t="s">
        <v>727</v>
      </c>
      <c r="BJT61" s="237" t="s">
        <v>221</v>
      </c>
      <c r="BJU61" s="235" t="s">
        <v>2</v>
      </c>
      <c r="BJV61" s="235" t="s">
        <v>3</v>
      </c>
      <c r="BJW61" s="235" t="s">
        <v>618</v>
      </c>
      <c r="BJX61" s="235" t="s">
        <v>1410</v>
      </c>
      <c r="BJY61" s="235" t="s">
        <v>1411</v>
      </c>
      <c r="BJZ61" s="235" t="s">
        <v>388</v>
      </c>
      <c r="BKA61" s="237" t="s">
        <v>727</v>
      </c>
      <c r="BKB61" s="237" t="s">
        <v>221</v>
      </c>
      <c r="BKC61" s="235" t="s">
        <v>2</v>
      </c>
      <c r="BKD61" s="235" t="s">
        <v>3</v>
      </c>
      <c r="BKE61" s="235" t="s">
        <v>618</v>
      </c>
      <c r="BKF61" s="235" t="s">
        <v>1410</v>
      </c>
      <c r="BKG61" s="235" t="s">
        <v>1411</v>
      </c>
      <c r="BKH61" s="235" t="s">
        <v>388</v>
      </c>
      <c r="BKI61" s="237" t="s">
        <v>727</v>
      </c>
      <c r="BKJ61" s="237" t="s">
        <v>221</v>
      </c>
      <c r="BKK61" s="235" t="s">
        <v>2</v>
      </c>
      <c r="BKL61" s="235" t="s">
        <v>3</v>
      </c>
      <c r="BKM61" s="235" t="s">
        <v>618</v>
      </c>
      <c r="BKN61" s="235" t="s">
        <v>1410</v>
      </c>
      <c r="BKO61" s="235" t="s">
        <v>1411</v>
      </c>
      <c r="BKP61" s="235" t="s">
        <v>388</v>
      </c>
      <c r="BKQ61" s="237" t="s">
        <v>727</v>
      </c>
      <c r="BKR61" s="237" t="s">
        <v>221</v>
      </c>
      <c r="BKS61" s="235" t="s">
        <v>2</v>
      </c>
      <c r="BKT61" s="235" t="s">
        <v>3</v>
      </c>
      <c r="BKU61" s="235" t="s">
        <v>618</v>
      </c>
      <c r="BKV61" s="235" t="s">
        <v>1410</v>
      </c>
      <c r="BKW61" s="235" t="s">
        <v>1411</v>
      </c>
      <c r="BKX61" s="235" t="s">
        <v>388</v>
      </c>
      <c r="BKY61" s="237" t="s">
        <v>727</v>
      </c>
      <c r="BKZ61" s="237" t="s">
        <v>221</v>
      </c>
      <c r="BLA61" s="235" t="s">
        <v>2</v>
      </c>
      <c r="BLB61" s="235" t="s">
        <v>3</v>
      </c>
      <c r="BLC61" s="235" t="s">
        <v>618</v>
      </c>
      <c r="BLD61" s="235" t="s">
        <v>1410</v>
      </c>
      <c r="BLE61" s="235" t="s">
        <v>1411</v>
      </c>
      <c r="BLF61" s="235" t="s">
        <v>388</v>
      </c>
      <c r="BLG61" s="237" t="s">
        <v>727</v>
      </c>
      <c r="BLH61" s="237" t="s">
        <v>221</v>
      </c>
      <c r="BLI61" s="235" t="s">
        <v>2</v>
      </c>
      <c r="BLJ61" s="235" t="s">
        <v>3</v>
      </c>
      <c r="BLK61" s="235" t="s">
        <v>618</v>
      </c>
      <c r="BLL61" s="235" t="s">
        <v>1410</v>
      </c>
      <c r="BLM61" s="235" t="s">
        <v>1411</v>
      </c>
      <c r="BLN61" s="235" t="s">
        <v>388</v>
      </c>
      <c r="BLO61" s="237" t="s">
        <v>727</v>
      </c>
      <c r="BLP61" s="237" t="s">
        <v>221</v>
      </c>
      <c r="BLQ61" s="235" t="s">
        <v>2</v>
      </c>
      <c r="BLR61" s="235" t="s">
        <v>3</v>
      </c>
      <c r="BLS61" s="235" t="s">
        <v>618</v>
      </c>
      <c r="BLT61" s="235" t="s">
        <v>1410</v>
      </c>
      <c r="BLU61" s="235" t="s">
        <v>1411</v>
      </c>
      <c r="BLV61" s="235" t="s">
        <v>388</v>
      </c>
      <c r="BLW61" s="237" t="s">
        <v>727</v>
      </c>
      <c r="BLX61" s="237" t="s">
        <v>221</v>
      </c>
      <c r="BLY61" s="235" t="s">
        <v>2</v>
      </c>
      <c r="BLZ61" s="235" t="s">
        <v>3</v>
      </c>
      <c r="BMA61" s="235" t="s">
        <v>618</v>
      </c>
      <c r="BMB61" s="235" t="s">
        <v>1410</v>
      </c>
      <c r="BMC61" s="235" t="s">
        <v>1411</v>
      </c>
      <c r="BMD61" s="235" t="s">
        <v>388</v>
      </c>
      <c r="BME61" s="237" t="s">
        <v>727</v>
      </c>
      <c r="BMF61" s="237" t="s">
        <v>221</v>
      </c>
      <c r="BMG61" s="235" t="s">
        <v>2</v>
      </c>
      <c r="BMH61" s="235" t="s">
        <v>3</v>
      </c>
      <c r="BMI61" s="235" t="s">
        <v>618</v>
      </c>
      <c r="BMJ61" s="235" t="s">
        <v>1410</v>
      </c>
      <c r="BMK61" s="235" t="s">
        <v>1411</v>
      </c>
      <c r="BML61" s="235" t="s">
        <v>388</v>
      </c>
      <c r="BMM61" s="237" t="s">
        <v>727</v>
      </c>
      <c r="BMN61" s="237" t="s">
        <v>221</v>
      </c>
      <c r="BMO61" s="235" t="s">
        <v>2</v>
      </c>
      <c r="BMP61" s="235" t="s">
        <v>3</v>
      </c>
      <c r="BMQ61" s="235" t="s">
        <v>618</v>
      </c>
      <c r="BMR61" s="235" t="s">
        <v>1410</v>
      </c>
      <c r="BMS61" s="235" t="s">
        <v>1411</v>
      </c>
      <c r="BMT61" s="235" t="s">
        <v>388</v>
      </c>
      <c r="BMU61" s="237" t="s">
        <v>727</v>
      </c>
      <c r="BMV61" s="237" t="s">
        <v>221</v>
      </c>
      <c r="BMW61" s="235" t="s">
        <v>2</v>
      </c>
      <c r="BMX61" s="235" t="s">
        <v>3</v>
      </c>
      <c r="BMY61" s="235" t="s">
        <v>618</v>
      </c>
      <c r="BMZ61" s="235" t="s">
        <v>1410</v>
      </c>
      <c r="BNA61" s="235" t="s">
        <v>1411</v>
      </c>
      <c r="BNB61" s="235" t="s">
        <v>388</v>
      </c>
      <c r="BNC61" s="237" t="s">
        <v>727</v>
      </c>
      <c r="BND61" s="237" t="s">
        <v>221</v>
      </c>
      <c r="BNE61" s="235" t="s">
        <v>2</v>
      </c>
      <c r="BNF61" s="235" t="s">
        <v>3</v>
      </c>
      <c r="BNG61" s="235" t="s">
        <v>618</v>
      </c>
      <c r="BNH61" s="235" t="s">
        <v>1410</v>
      </c>
      <c r="BNI61" s="235" t="s">
        <v>1411</v>
      </c>
      <c r="BNJ61" s="235" t="s">
        <v>388</v>
      </c>
      <c r="BNK61" s="237" t="s">
        <v>727</v>
      </c>
      <c r="BNL61" s="237" t="s">
        <v>221</v>
      </c>
      <c r="BNM61" s="235" t="s">
        <v>2</v>
      </c>
      <c r="BNN61" s="235" t="s">
        <v>3</v>
      </c>
      <c r="BNO61" s="235" t="s">
        <v>618</v>
      </c>
      <c r="BNP61" s="235" t="s">
        <v>1410</v>
      </c>
      <c r="BNQ61" s="235" t="s">
        <v>1411</v>
      </c>
      <c r="BNR61" s="235" t="s">
        <v>388</v>
      </c>
      <c r="BNS61" s="237" t="s">
        <v>727</v>
      </c>
      <c r="BNT61" s="237" t="s">
        <v>221</v>
      </c>
      <c r="BNU61" s="235" t="s">
        <v>2</v>
      </c>
      <c r="BNV61" s="235" t="s">
        <v>3</v>
      </c>
      <c r="BNW61" s="235" t="s">
        <v>618</v>
      </c>
      <c r="BNX61" s="235" t="s">
        <v>1410</v>
      </c>
      <c r="BNY61" s="235" t="s">
        <v>1411</v>
      </c>
      <c r="BNZ61" s="235" t="s">
        <v>388</v>
      </c>
      <c r="BOA61" s="237" t="s">
        <v>727</v>
      </c>
      <c r="BOB61" s="237" t="s">
        <v>221</v>
      </c>
      <c r="BOC61" s="235" t="s">
        <v>2</v>
      </c>
      <c r="BOD61" s="235" t="s">
        <v>3</v>
      </c>
      <c r="BOE61" s="235" t="s">
        <v>618</v>
      </c>
      <c r="BOF61" s="235" t="s">
        <v>1410</v>
      </c>
      <c r="BOG61" s="235" t="s">
        <v>1411</v>
      </c>
      <c r="BOH61" s="235" t="s">
        <v>388</v>
      </c>
      <c r="BOI61" s="237" t="s">
        <v>727</v>
      </c>
      <c r="BOJ61" s="237" t="s">
        <v>221</v>
      </c>
      <c r="BOK61" s="235" t="s">
        <v>2</v>
      </c>
      <c r="BOL61" s="235" t="s">
        <v>3</v>
      </c>
      <c r="BOM61" s="235" t="s">
        <v>618</v>
      </c>
      <c r="BON61" s="235" t="s">
        <v>1410</v>
      </c>
      <c r="BOO61" s="235" t="s">
        <v>1411</v>
      </c>
      <c r="BOP61" s="235" t="s">
        <v>388</v>
      </c>
      <c r="BOQ61" s="237" t="s">
        <v>727</v>
      </c>
      <c r="BOR61" s="237" t="s">
        <v>221</v>
      </c>
      <c r="BOS61" s="235" t="s">
        <v>2</v>
      </c>
      <c r="BOT61" s="235" t="s">
        <v>3</v>
      </c>
      <c r="BOU61" s="235" t="s">
        <v>618</v>
      </c>
      <c r="BOV61" s="235" t="s">
        <v>1410</v>
      </c>
      <c r="BOW61" s="235" t="s">
        <v>1411</v>
      </c>
      <c r="BOX61" s="235" t="s">
        <v>388</v>
      </c>
      <c r="BOY61" s="237" t="s">
        <v>727</v>
      </c>
      <c r="BOZ61" s="237" t="s">
        <v>221</v>
      </c>
      <c r="BPA61" s="235" t="s">
        <v>2</v>
      </c>
      <c r="BPB61" s="235" t="s">
        <v>3</v>
      </c>
      <c r="BPC61" s="235" t="s">
        <v>618</v>
      </c>
      <c r="BPD61" s="235" t="s">
        <v>1410</v>
      </c>
      <c r="BPE61" s="235" t="s">
        <v>1411</v>
      </c>
      <c r="BPF61" s="235" t="s">
        <v>388</v>
      </c>
      <c r="BPG61" s="237" t="s">
        <v>727</v>
      </c>
      <c r="BPH61" s="237" t="s">
        <v>221</v>
      </c>
      <c r="BPI61" s="235" t="s">
        <v>2</v>
      </c>
      <c r="BPJ61" s="235" t="s">
        <v>3</v>
      </c>
      <c r="BPK61" s="235" t="s">
        <v>618</v>
      </c>
      <c r="BPL61" s="235" t="s">
        <v>1410</v>
      </c>
      <c r="BPM61" s="235" t="s">
        <v>1411</v>
      </c>
      <c r="BPN61" s="235" t="s">
        <v>388</v>
      </c>
      <c r="BPO61" s="237" t="s">
        <v>727</v>
      </c>
      <c r="BPP61" s="237" t="s">
        <v>221</v>
      </c>
      <c r="BPQ61" s="235" t="s">
        <v>2</v>
      </c>
      <c r="BPR61" s="235" t="s">
        <v>3</v>
      </c>
      <c r="BPS61" s="235" t="s">
        <v>618</v>
      </c>
      <c r="BPT61" s="235" t="s">
        <v>1410</v>
      </c>
      <c r="BPU61" s="235" t="s">
        <v>1411</v>
      </c>
      <c r="BPV61" s="235" t="s">
        <v>388</v>
      </c>
      <c r="BPW61" s="237" t="s">
        <v>727</v>
      </c>
      <c r="BPX61" s="237" t="s">
        <v>221</v>
      </c>
      <c r="BPY61" s="235" t="s">
        <v>2</v>
      </c>
      <c r="BPZ61" s="235" t="s">
        <v>3</v>
      </c>
      <c r="BQA61" s="235" t="s">
        <v>618</v>
      </c>
      <c r="BQB61" s="235" t="s">
        <v>1410</v>
      </c>
      <c r="BQC61" s="235" t="s">
        <v>1411</v>
      </c>
      <c r="BQD61" s="235" t="s">
        <v>388</v>
      </c>
      <c r="BQE61" s="237" t="s">
        <v>727</v>
      </c>
      <c r="BQF61" s="237" t="s">
        <v>221</v>
      </c>
      <c r="BQG61" s="235" t="s">
        <v>2</v>
      </c>
      <c r="BQH61" s="235" t="s">
        <v>3</v>
      </c>
      <c r="BQI61" s="235" t="s">
        <v>618</v>
      </c>
      <c r="BQJ61" s="235" t="s">
        <v>1410</v>
      </c>
      <c r="BQK61" s="235" t="s">
        <v>1411</v>
      </c>
      <c r="BQL61" s="235" t="s">
        <v>388</v>
      </c>
      <c r="BQM61" s="237" t="s">
        <v>727</v>
      </c>
      <c r="BQN61" s="237" t="s">
        <v>221</v>
      </c>
      <c r="BQO61" s="235" t="s">
        <v>2</v>
      </c>
      <c r="BQP61" s="235" t="s">
        <v>3</v>
      </c>
      <c r="BQQ61" s="235" t="s">
        <v>618</v>
      </c>
      <c r="BQR61" s="235" t="s">
        <v>1410</v>
      </c>
      <c r="BQS61" s="235" t="s">
        <v>1411</v>
      </c>
      <c r="BQT61" s="235" t="s">
        <v>388</v>
      </c>
      <c r="BQU61" s="237" t="s">
        <v>727</v>
      </c>
      <c r="BQV61" s="237" t="s">
        <v>221</v>
      </c>
      <c r="BQW61" s="235" t="s">
        <v>2</v>
      </c>
      <c r="BQX61" s="235" t="s">
        <v>3</v>
      </c>
      <c r="BQY61" s="235" t="s">
        <v>618</v>
      </c>
      <c r="BQZ61" s="235" t="s">
        <v>1410</v>
      </c>
      <c r="BRA61" s="235" t="s">
        <v>1411</v>
      </c>
      <c r="BRB61" s="235" t="s">
        <v>388</v>
      </c>
      <c r="BRC61" s="237" t="s">
        <v>727</v>
      </c>
      <c r="BRD61" s="237" t="s">
        <v>221</v>
      </c>
      <c r="BRE61" s="235" t="s">
        <v>2</v>
      </c>
      <c r="BRF61" s="235" t="s">
        <v>3</v>
      </c>
      <c r="BRG61" s="235" t="s">
        <v>618</v>
      </c>
      <c r="BRH61" s="235" t="s">
        <v>1410</v>
      </c>
      <c r="BRI61" s="235" t="s">
        <v>1411</v>
      </c>
      <c r="BRJ61" s="235" t="s">
        <v>388</v>
      </c>
      <c r="BRK61" s="237" t="s">
        <v>727</v>
      </c>
      <c r="BRL61" s="237" t="s">
        <v>221</v>
      </c>
      <c r="BRM61" s="235" t="s">
        <v>2</v>
      </c>
      <c r="BRN61" s="235" t="s">
        <v>3</v>
      </c>
      <c r="BRO61" s="235" t="s">
        <v>618</v>
      </c>
      <c r="BRP61" s="235" t="s">
        <v>1410</v>
      </c>
      <c r="BRQ61" s="235" t="s">
        <v>1411</v>
      </c>
      <c r="BRR61" s="235" t="s">
        <v>388</v>
      </c>
      <c r="BRS61" s="237" t="s">
        <v>727</v>
      </c>
      <c r="BRT61" s="237" t="s">
        <v>221</v>
      </c>
      <c r="BRU61" s="235" t="s">
        <v>2</v>
      </c>
      <c r="BRV61" s="235" t="s">
        <v>3</v>
      </c>
      <c r="BRW61" s="235" t="s">
        <v>618</v>
      </c>
      <c r="BRX61" s="235" t="s">
        <v>1410</v>
      </c>
      <c r="BRY61" s="235" t="s">
        <v>1411</v>
      </c>
      <c r="BRZ61" s="235" t="s">
        <v>388</v>
      </c>
      <c r="BSA61" s="237" t="s">
        <v>727</v>
      </c>
      <c r="BSB61" s="237" t="s">
        <v>221</v>
      </c>
      <c r="BSC61" s="235" t="s">
        <v>2</v>
      </c>
      <c r="BSD61" s="235" t="s">
        <v>3</v>
      </c>
      <c r="BSE61" s="235" t="s">
        <v>618</v>
      </c>
      <c r="BSF61" s="235" t="s">
        <v>1410</v>
      </c>
      <c r="BSG61" s="235" t="s">
        <v>1411</v>
      </c>
      <c r="BSH61" s="235" t="s">
        <v>388</v>
      </c>
      <c r="BSI61" s="237" t="s">
        <v>727</v>
      </c>
      <c r="BSJ61" s="237" t="s">
        <v>221</v>
      </c>
      <c r="BSK61" s="235" t="s">
        <v>2</v>
      </c>
      <c r="BSL61" s="235" t="s">
        <v>3</v>
      </c>
      <c r="BSM61" s="235" t="s">
        <v>618</v>
      </c>
      <c r="BSN61" s="235" t="s">
        <v>1410</v>
      </c>
      <c r="BSO61" s="235" t="s">
        <v>1411</v>
      </c>
      <c r="BSP61" s="235" t="s">
        <v>388</v>
      </c>
      <c r="BSQ61" s="237" t="s">
        <v>727</v>
      </c>
      <c r="BSR61" s="237" t="s">
        <v>221</v>
      </c>
      <c r="BSS61" s="235" t="s">
        <v>2</v>
      </c>
      <c r="BST61" s="235" t="s">
        <v>3</v>
      </c>
      <c r="BSU61" s="235" t="s">
        <v>618</v>
      </c>
      <c r="BSV61" s="235" t="s">
        <v>1410</v>
      </c>
      <c r="BSW61" s="235" t="s">
        <v>1411</v>
      </c>
      <c r="BSX61" s="235" t="s">
        <v>388</v>
      </c>
      <c r="BSY61" s="237" t="s">
        <v>727</v>
      </c>
      <c r="BSZ61" s="237" t="s">
        <v>221</v>
      </c>
      <c r="BTA61" s="235" t="s">
        <v>2</v>
      </c>
      <c r="BTB61" s="235" t="s">
        <v>3</v>
      </c>
      <c r="BTC61" s="235" t="s">
        <v>618</v>
      </c>
      <c r="BTD61" s="235" t="s">
        <v>1410</v>
      </c>
      <c r="BTE61" s="235" t="s">
        <v>1411</v>
      </c>
      <c r="BTF61" s="235" t="s">
        <v>388</v>
      </c>
      <c r="BTG61" s="237" t="s">
        <v>727</v>
      </c>
      <c r="BTH61" s="237" t="s">
        <v>221</v>
      </c>
      <c r="BTI61" s="235" t="s">
        <v>2</v>
      </c>
      <c r="BTJ61" s="235" t="s">
        <v>3</v>
      </c>
      <c r="BTK61" s="235" t="s">
        <v>618</v>
      </c>
      <c r="BTL61" s="235" t="s">
        <v>1410</v>
      </c>
      <c r="BTM61" s="235" t="s">
        <v>1411</v>
      </c>
      <c r="BTN61" s="235" t="s">
        <v>388</v>
      </c>
      <c r="BTO61" s="237" t="s">
        <v>727</v>
      </c>
      <c r="BTP61" s="237" t="s">
        <v>221</v>
      </c>
      <c r="BTQ61" s="235" t="s">
        <v>2</v>
      </c>
      <c r="BTR61" s="235" t="s">
        <v>3</v>
      </c>
      <c r="BTS61" s="235" t="s">
        <v>618</v>
      </c>
      <c r="BTT61" s="235" t="s">
        <v>1410</v>
      </c>
      <c r="BTU61" s="235" t="s">
        <v>1411</v>
      </c>
      <c r="BTV61" s="235" t="s">
        <v>388</v>
      </c>
      <c r="BTW61" s="237" t="s">
        <v>727</v>
      </c>
      <c r="BTX61" s="237" t="s">
        <v>221</v>
      </c>
      <c r="BTY61" s="235" t="s">
        <v>2</v>
      </c>
      <c r="BTZ61" s="235" t="s">
        <v>3</v>
      </c>
      <c r="BUA61" s="235" t="s">
        <v>618</v>
      </c>
      <c r="BUB61" s="235" t="s">
        <v>1410</v>
      </c>
      <c r="BUC61" s="235" t="s">
        <v>1411</v>
      </c>
      <c r="BUD61" s="235" t="s">
        <v>388</v>
      </c>
      <c r="BUE61" s="237" t="s">
        <v>727</v>
      </c>
      <c r="BUF61" s="237" t="s">
        <v>221</v>
      </c>
      <c r="BUG61" s="235" t="s">
        <v>2</v>
      </c>
      <c r="BUH61" s="235" t="s">
        <v>3</v>
      </c>
      <c r="BUI61" s="235" t="s">
        <v>618</v>
      </c>
      <c r="BUJ61" s="235" t="s">
        <v>1410</v>
      </c>
      <c r="BUK61" s="235" t="s">
        <v>1411</v>
      </c>
      <c r="BUL61" s="235" t="s">
        <v>388</v>
      </c>
      <c r="BUM61" s="237" t="s">
        <v>727</v>
      </c>
      <c r="BUN61" s="237" t="s">
        <v>221</v>
      </c>
      <c r="BUO61" s="235" t="s">
        <v>2</v>
      </c>
      <c r="BUP61" s="235" t="s">
        <v>3</v>
      </c>
      <c r="BUQ61" s="235" t="s">
        <v>618</v>
      </c>
      <c r="BUR61" s="235" t="s">
        <v>1410</v>
      </c>
      <c r="BUS61" s="235" t="s">
        <v>1411</v>
      </c>
      <c r="BUT61" s="235" t="s">
        <v>388</v>
      </c>
      <c r="BUU61" s="237" t="s">
        <v>727</v>
      </c>
      <c r="BUV61" s="237" t="s">
        <v>221</v>
      </c>
      <c r="BUW61" s="235" t="s">
        <v>2</v>
      </c>
      <c r="BUX61" s="235" t="s">
        <v>3</v>
      </c>
      <c r="BUY61" s="235" t="s">
        <v>618</v>
      </c>
      <c r="BUZ61" s="235" t="s">
        <v>1410</v>
      </c>
      <c r="BVA61" s="235" t="s">
        <v>1411</v>
      </c>
      <c r="BVB61" s="235" t="s">
        <v>388</v>
      </c>
      <c r="BVC61" s="237" t="s">
        <v>727</v>
      </c>
      <c r="BVD61" s="237" t="s">
        <v>221</v>
      </c>
      <c r="BVE61" s="235" t="s">
        <v>2</v>
      </c>
      <c r="BVF61" s="235" t="s">
        <v>3</v>
      </c>
      <c r="BVG61" s="235" t="s">
        <v>618</v>
      </c>
      <c r="BVH61" s="235" t="s">
        <v>1410</v>
      </c>
      <c r="BVI61" s="235" t="s">
        <v>1411</v>
      </c>
      <c r="BVJ61" s="235" t="s">
        <v>388</v>
      </c>
      <c r="BVK61" s="237" t="s">
        <v>727</v>
      </c>
      <c r="BVL61" s="237" t="s">
        <v>221</v>
      </c>
      <c r="BVM61" s="235" t="s">
        <v>2</v>
      </c>
      <c r="BVN61" s="235" t="s">
        <v>3</v>
      </c>
      <c r="BVO61" s="235" t="s">
        <v>618</v>
      </c>
      <c r="BVP61" s="235" t="s">
        <v>1410</v>
      </c>
      <c r="BVQ61" s="235" t="s">
        <v>1411</v>
      </c>
      <c r="BVR61" s="235" t="s">
        <v>388</v>
      </c>
      <c r="BVS61" s="237" t="s">
        <v>727</v>
      </c>
      <c r="BVT61" s="237" t="s">
        <v>221</v>
      </c>
      <c r="BVU61" s="235" t="s">
        <v>2</v>
      </c>
      <c r="BVV61" s="235" t="s">
        <v>3</v>
      </c>
      <c r="BVW61" s="235" t="s">
        <v>618</v>
      </c>
      <c r="BVX61" s="235" t="s">
        <v>1410</v>
      </c>
      <c r="BVY61" s="235" t="s">
        <v>1411</v>
      </c>
      <c r="BVZ61" s="235" t="s">
        <v>388</v>
      </c>
      <c r="BWA61" s="237" t="s">
        <v>727</v>
      </c>
      <c r="BWB61" s="237" t="s">
        <v>221</v>
      </c>
      <c r="BWC61" s="235" t="s">
        <v>2</v>
      </c>
      <c r="BWD61" s="235" t="s">
        <v>3</v>
      </c>
      <c r="BWE61" s="235" t="s">
        <v>618</v>
      </c>
      <c r="BWF61" s="235" t="s">
        <v>1410</v>
      </c>
      <c r="BWG61" s="235" t="s">
        <v>1411</v>
      </c>
      <c r="BWH61" s="235" t="s">
        <v>388</v>
      </c>
      <c r="BWI61" s="237" t="s">
        <v>727</v>
      </c>
      <c r="BWJ61" s="237" t="s">
        <v>221</v>
      </c>
      <c r="BWK61" s="235" t="s">
        <v>2</v>
      </c>
      <c r="BWL61" s="235" t="s">
        <v>3</v>
      </c>
      <c r="BWM61" s="235" t="s">
        <v>618</v>
      </c>
      <c r="BWN61" s="235" t="s">
        <v>1410</v>
      </c>
      <c r="BWO61" s="235" t="s">
        <v>1411</v>
      </c>
      <c r="BWP61" s="235" t="s">
        <v>388</v>
      </c>
      <c r="BWQ61" s="237" t="s">
        <v>727</v>
      </c>
      <c r="BWR61" s="237" t="s">
        <v>221</v>
      </c>
      <c r="BWS61" s="235" t="s">
        <v>2</v>
      </c>
      <c r="BWT61" s="235" t="s">
        <v>3</v>
      </c>
      <c r="BWU61" s="235" t="s">
        <v>618</v>
      </c>
      <c r="BWV61" s="235" t="s">
        <v>1410</v>
      </c>
      <c r="BWW61" s="235" t="s">
        <v>1411</v>
      </c>
      <c r="BWX61" s="235" t="s">
        <v>388</v>
      </c>
      <c r="BWY61" s="237" t="s">
        <v>727</v>
      </c>
      <c r="BWZ61" s="237" t="s">
        <v>221</v>
      </c>
      <c r="BXA61" s="235" t="s">
        <v>2</v>
      </c>
      <c r="BXB61" s="235" t="s">
        <v>3</v>
      </c>
      <c r="BXC61" s="235" t="s">
        <v>618</v>
      </c>
      <c r="BXD61" s="235" t="s">
        <v>1410</v>
      </c>
      <c r="BXE61" s="235" t="s">
        <v>1411</v>
      </c>
      <c r="BXF61" s="235" t="s">
        <v>388</v>
      </c>
      <c r="BXG61" s="237" t="s">
        <v>727</v>
      </c>
      <c r="BXH61" s="237" t="s">
        <v>221</v>
      </c>
      <c r="BXI61" s="235" t="s">
        <v>2</v>
      </c>
      <c r="BXJ61" s="235" t="s">
        <v>3</v>
      </c>
      <c r="BXK61" s="235" t="s">
        <v>618</v>
      </c>
      <c r="BXL61" s="235" t="s">
        <v>1410</v>
      </c>
      <c r="BXM61" s="235" t="s">
        <v>1411</v>
      </c>
      <c r="BXN61" s="235" t="s">
        <v>388</v>
      </c>
      <c r="BXO61" s="237" t="s">
        <v>727</v>
      </c>
      <c r="BXP61" s="237" t="s">
        <v>221</v>
      </c>
      <c r="BXQ61" s="235" t="s">
        <v>2</v>
      </c>
      <c r="BXR61" s="235" t="s">
        <v>3</v>
      </c>
      <c r="BXS61" s="235" t="s">
        <v>618</v>
      </c>
      <c r="BXT61" s="235" t="s">
        <v>1410</v>
      </c>
      <c r="BXU61" s="235" t="s">
        <v>1411</v>
      </c>
      <c r="BXV61" s="235" t="s">
        <v>388</v>
      </c>
      <c r="BXW61" s="237" t="s">
        <v>727</v>
      </c>
      <c r="BXX61" s="237" t="s">
        <v>221</v>
      </c>
      <c r="BXY61" s="235" t="s">
        <v>2</v>
      </c>
      <c r="BXZ61" s="235" t="s">
        <v>3</v>
      </c>
      <c r="BYA61" s="235" t="s">
        <v>618</v>
      </c>
      <c r="BYB61" s="235" t="s">
        <v>1410</v>
      </c>
      <c r="BYC61" s="235" t="s">
        <v>1411</v>
      </c>
      <c r="BYD61" s="235" t="s">
        <v>388</v>
      </c>
      <c r="BYE61" s="237" t="s">
        <v>727</v>
      </c>
      <c r="BYF61" s="237" t="s">
        <v>221</v>
      </c>
      <c r="BYG61" s="235" t="s">
        <v>2</v>
      </c>
      <c r="BYH61" s="235" t="s">
        <v>3</v>
      </c>
      <c r="BYI61" s="235" t="s">
        <v>618</v>
      </c>
      <c r="BYJ61" s="235" t="s">
        <v>1410</v>
      </c>
      <c r="BYK61" s="235" t="s">
        <v>1411</v>
      </c>
      <c r="BYL61" s="235" t="s">
        <v>388</v>
      </c>
      <c r="BYM61" s="237" t="s">
        <v>727</v>
      </c>
      <c r="BYN61" s="237" t="s">
        <v>221</v>
      </c>
      <c r="BYO61" s="235" t="s">
        <v>2</v>
      </c>
      <c r="BYP61" s="235" t="s">
        <v>3</v>
      </c>
      <c r="BYQ61" s="235" t="s">
        <v>618</v>
      </c>
      <c r="BYR61" s="235" t="s">
        <v>1410</v>
      </c>
      <c r="BYS61" s="235" t="s">
        <v>1411</v>
      </c>
      <c r="BYT61" s="235" t="s">
        <v>388</v>
      </c>
      <c r="BYU61" s="237" t="s">
        <v>727</v>
      </c>
      <c r="BYV61" s="237" t="s">
        <v>221</v>
      </c>
      <c r="BYW61" s="235" t="s">
        <v>2</v>
      </c>
      <c r="BYX61" s="235" t="s">
        <v>3</v>
      </c>
      <c r="BYY61" s="235" t="s">
        <v>618</v>
      </c>
      <c r="BYZ61" s="235" t="s">
        <v>1410</v>
      </c>
      <c r="BZA61" s="235" t="s">
        <v>1411</v>
      </c>
      <c r="BZB61" s="235" t="s">
        <v>388</v>
      </c>
      <c r="BZC61" s="237" t="s">
        <v>727</v>
      </c>
      <c r="BZD61" s="237" t="s">
        <v>221</v>
      </c>
      <c r="BZE61" s="235" t="s">
        <v>2</v>
      </c>
      <c r="BZF61" s="235" t="s">
        <v>3</v>
      </c>
      <c r="BZG61" s="235" t="s">
        <v>618</v>
      </c>
      <c r="BZH61" s="235" t="s">
        <v>1410</v>
      </c>
      <c r="BZI61" s="235" t="s">
        <v>1411</v>
      </c>
      <c r="BZJ61" s="235" t="s">
        <v>388</v>
      </c>
      <c r="BZK61" s="237" t="s">
        <v>727</v>
      </c>
      <c r="BZL61" s="237" t="s">
        <v>221</v>
      </c>
      <c r="BZM61" s="235" t="s">
        <v>2</v>
      </c>
      <c r="BZN61" s="235" t="s">
        <v>3</v>
      </c>
      <c r="BZO61" s="235" t="s">
        <v>618</v>
      </c>
      <c r="BZP61" s="235" t="s">
        <v>1410</v>
      </c>
      <c r="BZQ61" s="235" t="s">
        <v>1411</v>
      </c>
      <c r="BZR61" s="235" t="s">
        <v>388</v>
      </c>
      <c r="BZS61" s="237" t="s">
        <v>727</v>
      </c>
      <c r="BZT61" s="237" t="s">
        <v>221</v>
      </c>
      <c r="BZU61" s="235" t="s">
        <v>2</v>
      </c>
      <c r="BZV61" s="235" t="s">
        <v>3</v>
      </c>
      <c r="BZW61" s="235" t="s">
        <v>618</v>
      </c>
      <c r="BZX61" s="235" t="s">
        <v>1410</v>
      </c>
      <c r="BZY61" s="235" t="s">
        <v>1411</v>
      </c>
      <c r="BZZ61" s="235" t="s">
        <v>388</v>
      </c>
      <c r="CAA61" s="237" t="s">
        <v>727</v>
      </c>
      <c r="CAB61" s="237" t="s">
        <v>221</v>
      </c>
      <c r="CAC61" s="235" t="s">
        <v>2</v>
      </c>
      <c r="CAD61" s="235" t="s">
        <v>3</v>
      </c>
      <c r="CAE61" s="235" t="s">
        <v>618</v>
      </c>
      <c r="CAF61" s="235" t="s">
        <v>1410</v>
      </c>
      <c r="CAG61" s="235" t="s">
        <v>1411</v>
      </c>
      <c r="CAH61" s="235" t="s">
        <v>388</v>
      </c>
      <c r="CAI61" s="237" t="s">
        <v>727</v>
      </c>
      <c r="CAJ61" s="237" t="s">
        <v>221</v>
      </c>
      <c r="CAK61" s="235" t="s">
        <v>2</v>
      </c>
      <c r="CAL61" s="235" t="s">
        <v>3</v>
      </c>
      <c r="CAM61" s="235" t="s">
        <v>618</v>
      </c>
      <c r="CAN61" s="235" t="s">
        <v>1410</v>
      </c>
      <c r="CAO61" s="235" t="s">
        <v>1411</v>
      </c>
      <c r="CAP61" s="235" t="s">
        <v>388</v>
      </c>
      <c r="CAQ61" s="237" t="s">
        <v>727</v>
      </c>
      <c r="CAR61" s="237" t="s">
        <v>221</v>
      </c>
      <c r="CAS61" s="235" t="s">
        <v>2</v>
      </c>
      <c r="CAT61" s="235" t="s">
        <v>3</v>
      </c>
      <c r="CAU61" s="235" t="s">
        <v>618</v>
      </c>
      <c r="CAV61" s="235" t="s">
        <v>1410</v>
      </c>
      <c r="CAW61" s="235" t="s">
        <v>1411</v>
      </c>
      <c r="CAX61" s="235" t="s">
        <v>388</v>
      </c>
      <c r="CAY61" s="237" t="s">
        <v>727</v>
      </c>
      <c r="CAZ61" s="237" t="s">
        <v>221</v>
      </c>
      <c r="CBA61" s="235" t="s">
        <v>2</v>
      </c>
      <c r="CBB61" s="235" t="s">
        <v>3</v>
      </c>
      <c r="CBC61" s="235" t="s">
        <v>618</v>
      </c>
      <c r="CBD61" s="235" t="s">
        <v>1410</v>
      </c>
      <c r="CBE61" s="235" t="s">
        <v>1411</v>
      </c>
      <c r="CBF61" s="235" t="s">
        <v>388</v>
      </c>
      <c r="CBG61" s="237" t="s">
        <v>727</v>
      </c>
      <c r="CBH61" s="237" t="s">
        <v>221</v>
      </c>
      <c r="CBI61" s="235" t="s">
        <v>2</v>
      </c>
      <c r="CBJ61" s="235" t="s">
        <v>3</v>
      </c>
      <c r="CBK61" s="235" t="s">
        <v>618</v>
      </c>
      <c r="CBL61" s="235" t="s">
        <v>1410</v>
      </c>
      <c r="CBM61" s="235" t="s">
        <v>1411</v>
      </c>
      <c r="CBN61" s="235" t="s">
        <v>388</v>
      </c>
      <c r="CBO61" s="237" t="s">
        <v>727</v>
      </c>
      <c r="CBP61" s="237" t="s">
        <v>221</v>
      </c>
      <c r="CBQ61" s="235" t="s">
        <v>2</v>
      </c>
      <c r="CBR61" s="235" t="s">
        <v>3</v>
      </c>
      <c r="CBS61" s="235" t="s">
        <v>618</v>
      </c>
      <c r="CBT61" s="235" t="s">
        <v>1410</v>
      </c>
      <c r="CBU61" s="235" t="s">
        <v>1411</v>
      </c>
      <c r="CBV61" s="235" t="s">
        <v>388</v>
      </c>
      <c r="CBW61" s="237" t="s">
        <v>727</v>
      </c>
      <c r="CBX61" s="237" t="s">
        <v>221</v>
      </c>
      <c r="CBY61" s="235" t="s">
        <v>2</v>
      </c>
      <c r="CBZ61" s="235" t="s">
        <v>3</v>
      </c>
      <c r="CCA61" s="235" t="s">
        <v>618</v>
      </c>
      <c r="CCB61" s="235" t="s">
        <v>1410</v>
      </c>
      <c r="CCC61" s="235" t="s">
        <v>1411</v>
      </c>
      <c r="CCD61" s="235" t="s">
        <v>388</v>
      </c>
      <c r="CCE61" s="237" t="s">
        <v>727</v>
      </c>
      <c r="CCF61" s="237" t="s">
        <v>221</v>
      </c>
      <c r="CCG61" s="235" t="s">
        <v>2</v>
      </c>
      <c r="CCH61" s="235" t="s">
        <v>3</v>
      </c>
      <c r="CCI61" s="235" t="s">
        <v>618</v>
      </c>
      <c r="CCJ61" s="235" t="s">
        <v>1410</v>
      </c>
      <c r="CCK61" s="235" t="s">
        <v>1411</v>
      </c>
      <c r="CCL61" s="235" t="s">
        <v>388</v>
      </c>
      <c r="CCM61" s="237" t="s">
        <v>727</v>
      </c>
      <c r="CCN61" s="237" t="s">
        <v>221</v>
      </c>
      <c r="CCO61" s="235" t="s">
        <v>2</v>
      </c>
      <c r="CCP61" s="235" t="s">
        <v>3</v>
      </c>
      <c r="CCQ61" s="235" t="s">
        <v>618</v>
      </c>
      <c r="CCR61" s="235" t="s">
        <v>1410</v>
      </c>
      <c r="CCS61" s="235" t="s">
        <v>1411</v>
      </c>
      <c r="CCT61" s="235" t="s">
        <v>388</v>
      </c>
      <c r="CCU61" s="237" t="s">
        <v>727</v>
      </c>
      <c r="CCV61" s="237" t="s">
        <v>221</v>
      </c>
      <c r="CCW61" s="235" t="s">
        <v>2</v>
      </c>
      <c r="CCX61" s="235" t="s">
        <v>3</v>
      </c>
      <c r="CCY61" s="235" t="s">
        <v>618</v>
      </c>
      <c r="CCZ61" s="235" t="s">
        <v>1410</v>
      </c>
      <c r="CDA61" s="235" t="s">
        <v>1411</v>
      </c>
      <c r="CDB61" s="235" t="s">
        <v>388</v>
      </c>
      <c r="CDC61" s="237" t="s">
        <v>727</v>
      </c>
      <c r="CDD61" s="237" t="s">
        <v>221</v>
      </c>
      <c r="CDE61" s="235" t="s">
        <v>2</v>
      </c>
      <c r="CDF61" s="235" t="s">
        <v>3</v>
      </c>
      <c r="CDG61" s="235" t="s">
        <v>618</v>
      </c>
      <c r="CDH61" s="235" t="s">
        <v>1410</v>
      </c>
      <c r="CDI61" s="235" t="s">
        <v>1411</v>
      </c>
      <c r="CDJ61" s="235" t="s">
        <v>388</v>
      </c>
      <c r="CDK61" s="237" t="s">
        <v>727</v>
      </c>
      <c r="CDL61" s="237" t="s">
        <v>221</v>
      </c>
      <c r="CDM61" s="235" t="s">
        <v>2</v>
      </c>
      <c r="CDN61" s="235" t="s">
        <v>3</v>
      </c>
      <c r="CDO61" s="235" t="s">
        <v>618</v>
      </c>
      <c r="CDP61" s="235" t="s">
        <v>1410</v>
      </c>
      <c r="CDQ61" s="235" t="s">
        <v>1411</v>
      </c>
      <c r="CDR61" s="235" t="s">
        <v>388</v>
      </c>
      <c r="CDS61" s="237" t="s">
        <v>727</v>
      </c>
      <c r="CDT61" s="237" t="s">
        <v>221</v>
      </c>
      <c r="CDU61" s="235" t="s">
        <v>2</v>
      </c>
      <c r="CDV61" s="235" t="s">
        <v>3</v>
      </c>
      <c r="CDW61" s="235" t="s">
        <v>618</v>
      </c>
      <c r="CDX61" s="235" t="s">
        <v>1410</v>
      </c>
      <c r="CDY61" s="235" t="s">
        <v>1411</v>
      </c>
      <c r="CDZ61" s="235" t="s">
        <v>388</v>
      </c>
      <c r="CEA61" s="237" t="s">
        <v>727</v>
      </c>
      <c r="CEB61" s="237" t="s">
        <v>221</v>
      </c>
      <c r="CEC61" s="235" t="s">
        <v>2</v>
      </c>
      <c r="CED61" s="235" t="s">
        <v>3</v>
      </c>
      <c r="CEE61" s="235" t="s">
        <v>618</v>
      </c>
      <c r="CEF61" s="235" t="s">
        <v>1410</v>
      </c>
      <c r="CEG61" s="235" t="s">
        <v>1411</v>
      </c>
      <c r="CEH61" s="235" t="s">
        <v>388</v>
      </c>
      <c r="CEI61" s="237" t="s">
        <v>727</v>
      </c>
      <c r="CEJ61" s="237" t="s">
        <v>221</v>
      </c>
      <c r="CEK61" s="235" t="s">
        <v>2</v>
      </c>
      <c r="CEL61" s="235" t="s">
        <v>3</v>
      </c>
      <c r="CEM61" s="235" t="s">
        <v>618</v>
      </c>
      <c r="CEN61" s="235" t="s">
        <v>1410</v>
      </c>
      <c r="CEO61" s="235" t="s">
        <v>1411</v>
      </c>
      <c r="CEP61" s="235" t="s">
        <v>388</v>
      </c>
      <c r="CEQ61" s="237" t="s">
        <v>727</v>
      </c>
      <c r="CER61" s="237" t="s">
        <v>221</v>
      </c>
      <c r="CES61" s="235" t="s">
        <v>2</v>
      </c>
      <c r="CET61" s="235" t="s">
        <v>3</v>
      </c>
      <c r="CEU61" s="235" t="s">
        <v>618</v>
      </c>
      <c r="CEV61" s="235" t="s">
        <v>1410</v>
      </c>
      <c r="CEW61" s="235" t="s">
        <v>1411</v>
      </c>
      <c r="CEX61" s="235" t="s">
        <v>388</v>
      </c>
      <c r="CEY61" s="237" t="s">
        <v>727</v>
      </c>
      <c r="CEZ61" s="237" t="s">
        <v>221</v>
      </c>
      <c r="CFA61" s="235" t="s">
        <v>2</v>
      </c>
      <c r="CFB61" s="235" t="s">
        <v>3</v>
      </c>
      <c r="CFC61" s="235" t="s">
        <v>618</v>
      </c>
      <c r="CFD61" s="235" t="s">
        <v>1410</v>
      </c>
      <c r="CFE61" s="235" t="s">
        <v>1411</v>
      </c>
      <c r="CFF61" s="235" t="s">
        <v>388</v>
      </c>
      <c r="CFG61" s="237" t="s">
        <v>727</v>
      </c>
      <c r="CFH61" s="237" t="s">
        <v>221</v>
      </c>
      <c r="CFI61" s="235" t="s">
        <v>2</v>
      </c>
      <c r="CFJ61" s="235" t="s">
        <v>3</v>
      </c>
      <c r="CFK61" s="235" t="s">
        <v>618</v>
      </c>
      <c r="CFL61" s="235" t="s">
        <v>1410</v>
      </c>
      <c r="CFM61" s="235" t="s">
        <v>1411</v>
      </c>
      <c r="CFN61" s="235" t="s">
        <v>388</v>
      </c>
      <c r="CFO61" s="237" t="s">
        <v>727</v>
      </c>
      <c r="CFP61" s="237" t="s">
        <v>221</v>
      </c>
      <c r="CFQ61" s="235" t="s">
        <v>2</v>
      </c>
      <c r="CFR61" s="235" t="s">
        <v>3</v>
      </c>
      <c r="CFS61" s="235" t="s">
        <v>618</v>
      </c>
      <c r="CFT61" s="235" t="s">
        <v>1410</v>
      </c>
      <c r="CFU61" s="235" t="s">
        <v>1411</v>
      </c>
      <c r="CFV61" s="235" t="s">
        <v>388</v>
      </c>
      <c r="CFW61" s="237" t="s">
        <v>727</v>
      </c>
      <c r="CFX61" s="237" t="s">
        <v>221</v>
      </c>
      <c r="CFY61" s="235" t="s">
        <v>2</v>
      </c>
      <c r="CFZ61" s="235" t="s">
        <v>3</v>
      </c>
      <c r="CGA61" s="235" t="s">
        <v>618</v>
      </c>
      <c r="CGB61" s="235" t="s">
        <v>1410</v>
      </c>
      <c r="CGC61" s="235" t="s">
        <v>1411</v>
      </c>
      <c r="CGD61" s="235" t="s">
        <v>388</v>
      </c>
      <c r="CGE61" s="237" t="s">
        <v>727</v>
      </c>
      <c r="CGF61" s="237" t="s">
        <v>221</v>
      </c>
      <c r="CGG61" s="235" t="s">
        <v>2</v>
      </c>
      <c r="CGH61" s="235" t="s">
        <v>3</v>
      </c>
      <c r="CGI61" s="235" t="s">
        <v>618</v>
      </c>
      <c r="CGJ61" s="235" t="s">
        <v>1410</v>
      </c>
      <c r="CGK61" s="235" t="s">
        <v>1411</v>
      </c>
      <c r="CGL61" s="235" t="s">
        <v>388</v>
      </c>
      <c r="CGM61" s="237" t="s">
        <v>727</v>
      </c>
      <c r="CGN61" s="237" t="s">
        <v>221</v>
      </c>
      <c r="CGO61" s="235" t="s">
        <v>2</v>
      </c>
      <c r="CGP61" s="235" t="s">
        <v>3</v>
      </c>
      <c r="CGQ61" s="235" t="s">
        <v>618</v>
      </c>
      <c r="CGR61" s="235" t="s">
        <v>1410</v>
      </c>
      <c r="CGS61" s="235" t="s">
        <v>1411</v>
      </c>
      <c r="CGT61" s="235" t="s">
        <v>388</v>
      </c>
      <c r="CGU61" s="237" t="s">
        <v>727</v>
      </c>
      <c r="CGV61" s="237" t="s">
        <v>221</v>
      </c>
      <c r="CGW61" s="235" t="s">
        <v>2</v>
      </c>
      <c r="CGX61" s="235" t="s">
        <v>3</v>
      </c>
      <c r="CGY61" s="235" t="s">
        <v>618</v>
      </c>
      <c r="CGZ61" s="235" t="s">
        <v>1410</v>
      </c>
      <c r="CHA61" s="235" t="s">
        <v>1411</v>
      </c>
      <c r="CHB61" s="235" t="s">
        <v>388</v>
      </c>
      <c r="CHC61" s="237" t="s">
        <v>727</v>
      </c>
      <c r="CHD61" s="237" t="s">
        <v>221</v>
      </c>
      <c r="CHE61" s="235" t="s">
        <v>2</v>
      </c>
      <c r="CHF61" s="235" t="s">
        <v>3</v>
      </c>
      <c r="CHG61" s="235" t="s">
        <v>618</v>
      </c>
      <c r="CHH61" s="235" t="s">
        <v>1410</v>
      </c>
      <c r="CHI61" s="235" t="s">
        <v>1411</v>
      </c>
      <c r="CHJ61" s="235" t="s">
        <v>388</v>
      </c>
      <c r="CHK61" s="237" t="s">
        <v>727</v>
      </c>
      <c r="CHL61" s="237" t="s">
        <v>221</v>
      </c>
      <c r="CHM61" s="235" t="s">
        <v>2</v>
      </c>
      <c r="CHN61" s="235" t="s">
        <v>3</v>
      </c>
      <c r="CHO61" s="235" t="s">
        <v>618</v>
      </c>
      <c r="CHP61" s="235" t="s">
        <v>1410</v>
      </c>
      <c r="CHQ61" s="235" t="s">
        <v>1411</v>
      </c>
      <c r="CHR61" s="235" t="s">
        <v>388</v>
      </c>
      <c r="CHS61" s="237" t="s">
        <v>727</v>
      </c>
      <c r="CHT61" s="237" t="s">
        <v>221</v>
      </c>
      <c r="CHU61" s="235" t="s">
        <v>2</v>
      </c>
      <c r="CHV61" s="235" t="s">
        <v>3</v>
      </c>
      <c r="CHW61" s="235" t="s">
        <v>618</v>
      </c>
      <c r="CHX61" s="235" t="s">
        <v>1410</v>
      </c>
      <c r="CHY61" s="235" t="s">
        <v>1411</v>
      </c>
      <c r="CHZ61" s="235" t="s">
        <v>388</v>
      </c>
      <c r="CIA61" s="237" t="s">
        <v>727</v>
      </c>
      <c r="CIB61" s="237" t="s">
        <v>221</v>
      </c>
      <c r="CIC61" s="235" t="s">
        <v>2</v>
      </c>
      <c r="CID61" s="235" t="s">
        <v>3</v>
      </c>
      <c r="CIE61" s="235" t="s">
        <v>618</v>
      </c>
      <c r="CIF61" s="235" t="s">
        <v>1410</v>
      </c>
      <c r="CIG61" s="235" t="s">
        <v>1411</v>
      </c>
      <c r="CIH61" s="235" t="s">
        <v>388</v>
      </c>
      <c r="CII61" s="237" t="s">
        <v>727</v>
      </c>
      <c r="CIJ61" s="237" t="s">
        <v>221</v>
      </c>
      <c r="CIK61" s="235" t="s">
        <v>2</v>
      </c>
      <c r="CIL61" s="235" t="s">
        <v>3</v>
      </c>
      <c r="CIM61" s="235" t="s">
        <v>618</v>
      </c>
      <c r="CIN61" s="235" t="s">
        <v>1410</v>
      </c>
      <c r="CIO61" s="235" t="s">
        <v>1411</v>
      </c>
      <c r="CIP61" s="235" t="s">
        <v>388</v>
      </c>
      <c r="CIQ61" s="237" t="s">
        <v>727</v>
      </c>
      <c r="CIR61" s="237" t="s">
        <v>221</v>
      </c>
      <c r="CIS61" s="235" t="s">
        <v>2</v>
      </c>
      <c r="CIT61" s="235" t="s">
        <v>3</v>
      </c>
      <c r="CIU61" s="235" t="s">
        <v>618</v>
      </c>
      <c r="CIV61" s="235" t="s">
        <v>1410</v>
      </c>
      <c r="CIW61" s="235" t="s">
        <v>1411</v>
      </c>
      <c r="CIX61" s="235" t="s">
        <v>388</v>
      </c>
      <c r="CIY61" s="237" t="s">
        <v>727</v>
      </c>
      <c r="CIZ61" s="237" t="s">
        <v>221</v>
      </c>
      <c r="CJA61" s="235" t="s">
        <v>2</v>
      </c>
      <c r="CJB61" s="235" t="s">
        <v>3</v>
      </c>
      <c r="CJC61" s="235" t="s">
        <v>618</v>
      </c>
      <c r="CJD61" s="235" t="s">
        <v>1410</v>
      </c>
      <c r="CJE61" s="235" t="s">
        <v>1411</v>
      </c>
      <c r="CJF61" s="235" t="s">
        <v>388</v>
      </c>
      <c r="CJG61" s="237" t="s">
        <v>727</v>
      </c>
      <c r="CJH61" s="237" t="s">
        <v>221</v>
      </c>
      <c r="CJI61" s="235" t="s">
        <v>2</v>
      </c>
      <c r="CJJ61" s="235" t="s">
        <v>3</v>
      </c>
      <c r="CJK61" s="235" t="s">
        <v>618</v>
      </c>
      <c r="CJL61" s="235" t="s">
        <v>1410</v>
      </c>
      <c r="CJM61" s="235" t="s">
        <v>1411</v>
      </c>
      <c r="CJN61" s="235" t="s">
        <v>388</v>
      </c>
      <c r="CJO61" s="237" t="s">
        <v>727</v>
      </c>
      <c r="CJP61" s="237" t="s">
        <v>221</v>
      </c>
      <c r="CJQ61" s="235" t="s">
        <v>2</v>
      </c>
      <c r="CJR61" s="235" t="s">
        <v>3</v>
      </c>
      <c r="CJS61" s="235" t="s">
        <v>618</v>
      </c>
      <c r="CJT61" s="235" t="s">
        <v>1410</v>
      </c>
      <c r="CJU61" s="235" t="s">
        <v>1411</v>
      </c>
      <c r="CJV61" s="235" t="s">
        <v>388</v>
      </c>
      <c r="CJW61" s="237" t="s">
        <v>727</v>
      </c>
      <c r="CJX61" s="237" t="s">
        <v>221</v>
      </c>
      <c r="CJY61" s="235" t="s">
        <v>2</v>
      </c>
      <c r="CJZ61" s="235" t="s">
        <v>3</v>
      </c>
      <c r="CKA61" s="235" t="s">
        <v>618</v>
      </c>
      <c r="CKB61" s="235" t="s">
        <v>1410</v>
      </c>
      <c r="CKC61" s="235" t="s">
        <v>1411</v>
      </c>
      <c r="CKD61" s="235" t="s">
        <v>388</v>
      </c>
      <c r="CKE61" s="237" t="s">
        <v>727</v>
      </c>
      <c r="CKF61" s="237" t="s">
        <v>221</v>
      </c>
      <c r="CKG61" s="235" t="s">
        <v>2</v>
      </c>
      <c r="CKH61" s="235" t="s">
        <v>3</v>
      </c>
      <c r="CKI61" s="235" t="s">
        <v>618</v>
      </c>
      <c r="CKJ61" s="235" t="s">
        <v>1410</v>
      </c>
      <c r="CKK61" s="235" t="s">
        <v>1411</v>
      </c>
      <c r="CKL61" s="235" t="s">
        <v>388</v>
      </c>
      <c r="CKM61" s="237" t="s">
        <v>727</v>
      </c>
      <c r="CKN61" s="237" t="s">
        <v>221</v>
      </c>
      <c r="CKO61" s="235" t="s">
        <v>2</v>
      </c>
      <c r="CKP61" s="235" t="s">
        <v>3</v>
      </c>
      <c r="CKQ61" s="235" t="s">
        <v>618</v>
      </c>
      <c r="CKR61" s="235" t="s">
        <v>1410</v>
      </c>
      <c r="CKS61" s="235" t="s">
        <v>1411</v>
      </c>
      <c r="CKT61" s="235" t="s">
        <v>388</v>
      </c>
      <c r="CKU61" s="237" t="s">
        <v>727</v>
      </c>
      <c r="CKV61" s="237" t="s">
        <v>221</v>
      </c>
      <c r="CKW61" s="235" t="s">
        <v>2</v>
      </c>
      <c r="CKX61" s="235" t="s">
        <v>3</v>
      </c>
      <c r="CKY61" s="235" t="s">
        <v>618</v>
      </c>
      <c r="CKZ61" s="235" t="s">
        <v>1410</v>
      </c>
      <c r="CLA61" s="235" t="s">
        <v>1411</v>
      </c>
      <c r="CLB61" s="235" t="s">
        <v>388</v>
      </c>
      <c r="CLC61" s="237" t="s">
        <v>727</v>
      </c>
      <c r="CLD61" s="237" t="s">
        <v>221</v>
      </c>
      <c r="CLE61" s="235" t="s">
        <v>2</v>
      </c>
      <c r="CLF61" s="235" t="s">
        <v>3</v>
      </c>
      <c r="CLG61" s="235" t="s">
        <v>618</v>
      </c>
      <c r="CLH61" s="235" t="s">
        <v>1410</v>
      </c>
      <c r="CLI61" s="235" t="s">
        <v>1411</v>
      </c>
      <c r="CLJ61" s="235" t="s">
        <v>388</v>
      </c>
      <c r="CLK61" s="237" t="s">
        <v>727</v>
      </c>
      <c r="CLL61" s="237" t="s">
        <v>221</v>
      </c>
      <c r="CLM61" s="235" t="s">
        <v>2</v>
      </c>
      <c r="CLN61" s="235" t="s">
        <v>3</v>
      </c>
      <c r="CLO61" s="235" t="s">
        <v>618</v>
      </c>
      <c r="CLP61" s="235" t="s">
        <v>1410</v>
      </c>
      <c r="CLQ61" s="235" t="s">
        <v>1411</v>
      </c>
      <c r="CLR61" s="235" t="s">
        <v>388</v>
      </c>
      <c r="CLS61" s="237" t="s">
        <v>727</v>
      </c>
      <c r="CLT61" s="237" t="s">
        <v>221</v>
      </c>
      <c r="CLU61" s="235" t="s">
        <v>2</v>
      </c>
      <c r="CLV61" s="235" t="s">
        <v>3</v>
      </c>
      <c r="CLW61" s="235" t="s">
        <v>618</v>
      </c>
      <c r="CLX61" s="235" t="s">
        <v>1410</v>
      </c>
      <c r="CLY61" s="235" t="s">
        <v>1411</v>
      </c>
      <c r="CLZ61" s="235" t="s">
        <v>388</v>
      </c>
      <c r="CMA61" s="237" t="s">
        <v>727</v>
      </c>
      <c r="CMB61" s="237" t="s">
        <v>221</v>
      </c>
      <c r="CMC61" s="235" t="s">
        <v>2</v>
      </c>
      <c r="CMD61" s="235" t="s">
        <v>3</v>
      </c>
      <c r="CME61" s="235" t="s">
        <v>618</v>
      </c>
      <c r="CMF61" s="235" t="s">
        <v>1410</v>
      </c>
      <c r="CMG61" s="235" t="s">
        <v>1411</v>
      </c>
      <c r="CMH61" s="235" t="s">
        <v>388</v>
      </c>
      <c r="CMI61" s="237" t="s">
        <v>727</v>
      </c>
      <c r="CMJ61" s="237" t="s">
        <v>221</v>
      </c>
      <c r="CMK61" s="235" t="s">
        <v>2</v>
      </c>
      <c r="CML61" s="235" t="s">
        <v>3</v>
      </c>
      <c r="CMM61" s="235" t="s">
        <v>618</v>
      </c>
      <c r="CMN61" s="235" t="s">
        <v>1410</v>
      </c>
      <c r="CMO61" s="235" t="s">
        <v>1411</v>
      </c>
      <c r="CMP61" s="235" t="s">
        <v>388</v>
      </c>
      <c r="CMQ61" s="237" t="s">
        <v>727</v>
      </c>
      <c r="CMR61" s="237" t="s">
        <v>221</v>
      </c>
      <c r="CMS61" s="235" t="s">
        <v>2</v>
      </c>
      <c r="CMT61" s="235" t="s">
        <v>3</v>
      </c>
      <c r="CMU61" s="235" t="s">
        <v>618</v>
      </c>
      <c r="CMV61" s="235" t="s">
        <v>1410</v>
      </c>
      <c r="CMW61" s="235" t="s">
        <v>1411</v>
      </c>
      <c r="CMX61" s="235" t="s">
        <v>388</v>
      </c>
      <c r="CMY61" s="237" t="s">
        <v>727</v>
      </c>
      <c r="CMZ61" s="237" t="s">
        <v>221</v>
      </c>
      <c r="CNA61" s="235" t="s">
        <v>2</v>
      </c>
      <c r="CNB61" s="235" t="s">
        <v>3</v>
      </c>
      <c r="CNC61" s="235" t="s">
        <v>618</v>
      </c>
      <c r="CND61" s="235" t="s">
        <v>1410</v>
      </c>
      <c r="CNE61" s="235" t="s">
        <v>1411</v>
      </c>
      <c r="CNF61" s="235" t="s">
        <v>388</v>
      </c>
      <c r="CNG61" s="237" t="s">
        <v>727</v>
      </c>
      <c r="CNH61" s="237" t="s">
        <v>221</v>
      </c>
      <c r="CNI61" s="235" t="s">
        <v>2</v>
      </c>
      <c r="CNJ61" s="235" t="s">
        <v>3</v>
      </c>
      <c r="CNK61" s="235" t="s">
        <v>618</v>
      </c>
      <c r="CNL61" s="235" t="s">
        <v>1410</v>
      </c>
      <c r="CNM61" s="235" t="s">
        <v>1411</v>
      </c>
      <c r="CNN61" s="235" t="s">
        <v>388</v>
      </c>
      <c r="CNO61" s="237" t="s">
        <v>727</v>
      </c>
      <c r="CNP61" s="237" t="s">
        <v>221</v>
      </c>
      <c r="CNQ61" s="235" t="s">
        <v>2</v>
      </c>
      <c r="CNR61" s="235" t="s">
        <v>3</v>
      </c>
      <c r="CNS61" s="235" t="s">
        <v>618</v>
      </c>
      <c r="CNT61" s="235" t="s">
        <v>1410</v>
      </c>
      <c r="CNU61" s="235" t="s">
        <v>1411</v>
      </c>
      <c r="CNV61" s="235" t="s">
        <v>388</v>
      </c>
      <c r="CNW61" s="237" t="s">
        <v>727</v>
      </c>
      <c r="CNX61" s="237" t="s">
        <v>221</v>
      </c>
      <c r="CNY61" s="235" t="s">
        <v>2</v>
      </c>
      <c r="CNZ61" s="235" t="s">
        <v>3</v>
      </c>
      <c r="COA61" s="235" t="s">
        <v>618</v>
      </c>
      <c r="COB61" s="235" t="s">
        <v>1410</v>
      </c>
      <c r="COC61" s="235" t="s">
        <v>1411</v>
      </c>
      <c r="COD61" s="235" t="s">
        <v>388</v>
      </c>
      <c r="COE61" s="237" t="s">
        <v>727</v>
      </c>
      <c r="COF61" s="237" t="s">
        <v>221</v>
      </c>
      <c r="COG61" s="235" t="s">
        <v>2</v>
      </c>
      <c r="COH61" s="235" t="s">
        <v>3</v>
      </c>
      <c r="COI61" s="235" t="s">
        <v>618</v>
      </c>
      <c r="COJ61" s="235" t="s">
        <v>1410</v>
      </c>
      <c r="COK61" s="235" t="s">
        <v>1411</v>
      </c>
      <c r="COL61" s="235" t="s">
        <v>388</v>
      </c>
      <c r="COM61" s="237" t="s">
        <v>727</v>
      </c>
      <c r="CON61" s="237" t="s">
        <v>221</v>
      </c>
      <c r="COO61" s="235" t="s">
        <v>2</v>
      </c>
      <c r="COP61" s="235" t="s">
        <v>3</v>
      </c>
      <c r="COQ61" s="235" t="s">
        <v>618</v>
      </c>
      <c r="COR61" s="235" t="s">
        <v>1410</v>
      </c>
      <c r="COS61" s="235" t="s">
        <v>1411</v>
      </c>
      <c r="COT61" s="235" t="s">
        <v>388</v>
      </c>
      <c r="COU61" s="237" t="s">
        <v>727</v>
      </c>
      <c r="COV61" s="237" t="s">
        <v>221</v>
      </c>
      <c r="COW61" s="235" t="s">
        <v>2</v>
      </c>
      <c r="COX61" s="235" t="s">
        <v>3</v>
      </c>
      <c r="COY61" s="235" t="s">
        <v>618</v>
      </c>
      <c r="COZ61" s="235" t="s">
        <v>1410</v>
      </c>
      <c r="CPA61" s="235" t="s">
        <v>1411</v>
      </c>
      <c r="CPB61" s="235" t="s">
        <v>388</v>
      </c>
      <c r="CPC61" s="237" t="s">
        <v>727</v>
      </c>
      <c r="CPD61" s="237" t="s">
        <v>221</v>
      </c>
      <c r="CPE61" s="235" t="s">
        <v>2</v>
      </c>
      <c r="CPF61" s="235" t="s">
        <v>3</v>
      </c>
      <c r="CPG61" s="235" t="s">
        <v>618</v>
      </c>
      <c r="CPH61" s="235" t="s">
        <v>1410</v>
      </c>
      <c r="CPI61" s="235" t="s">
        <v>1411</v>
      </c>
      <c r="CPJ61" s="235" t="s">
        <v>388</v>
      </c>
      <c r="CPK61" s="237" t="s">
        <v>727</v>
      </c>
      <c r="CPL61" s="237" t="s">
        <v>221</v>
      </c>
      <c r="CPM61" s="235" t="s">
        <v>2</v>
      </c>
      <c r="CPN61" s="235" t="s">
        <v>3</v>
      </c>
      <c r="CPO61" s="235" t="s">
        <v>618</v>
      </c>
      <c r="CPP61" s="235" t="s">
        <v>1410</v>
      </c>
      <c r="CPQ61" s="235" t="s">
        <v>1411</v>
      </c>
      <c r="CPR61" s="235" t="s">
        <v>388</v>
      </c>
      <c r="CPS61" s="237" t="s">
        <v>727</v>
      </c>
      <c r="CPT61" s="237" t="s">
        <v>221</v>
      </c>
      <c r="CPU61" s="235" t="s">
        <v>2</v>
      </c>
      <c r="CPV61" s="235" t="s">
        <v>3</v>
      </c>
      <c r="CPW61" s="235" t="s">
        <v>618</v>
      </c>
      <c r="CPX61" s="235" t="s">
        <v>1410</v>
      </c>
      <c r="CPY61" s="235" t="s">
        <v>1411</v>
      </c>
      <c r="CPZ61" s="235" t="s">
        <v>388</v>
      </c>
      <c r="CQA61" s="237" t="s">
        <v>727</v>
      </c>
      <c r="CQB61" s="237" t="s">
        <v>221</v>
      </c>
      <c r="CQC61" s="235" t="s">
        <v>2</v>
      </c>
      <c r="CQD61" s="235" t="s">
        <v>3</v>
      </c>
      <c r="CQE61" s="235" t="s">
        <v>618</v>
      </c>
      <c r="CQF61" s="235" t="s">
        <v>1410</v>
      </c>
      <c r="CQG61" s="235" t="s">
        <v>1411</v>
      </c>
      <c r="CQH61" s="235" t="s">
        <v>388</v>
      </c>
      <c r="CQI61" s="237" t="s">
        <v>727</v>
      </c>
      <c r="CQJ61" s="237" t="s">
        <v>221</v>
      </c>
      <c r="CQK61" s="235" t="s">
        <v>2</v>
      </c>
      <c r="CQL61" s="235" t="s">
        <v>3</v>
      </c>
      <c r="CQM61" s="235" t="s">
        <v>618</v>
      </c>
      <c r="CQN61" s="235" t="s">
        <v>1410</v>
      </c>
      <c r="CQO61" s="235" t="s">
        <v>1411</v>
      </c>
      <c r="CQP61" s="235" t="s">
        <v>388</v>
      </c>
      <c r="CQQ61" s="237" t="s">
        <v>727</v>
      </c>
      <c r="CQR61" s="237" t="s">
        <v>221</v>
      </c>
      <c r="CQS61" s="235" t="s">
        <v>2</v>
      </c>
      <c r="CQT61" s="235" t="s">
        <v>3</v>
      </c>
      <c r="CQU61" s="235" t="s">
        <v>618</v>
      </c>
      <c r="CQV61" s="235" t="s">
        <v>1410</v>
      </c>
      <c r="CQW61" s="235" t="s">
        <v>1411</v>
      </c>
      <c r="CQX61" s="235" t="s">
        <v>388</v>
      </c>
      <c r="CQY61" s="237" t="s">
        <v>727</v>
      </c>
      <c r="CQZ61" s="237" t="s">
        <v>221</v>
      </c>
      <c r="CRA61" s="235" t="s">
        <v>2</v>
      </c>
      <c r="CRB61" s="235" t="s">
        <v>3</v>
      </c>
      <c r="CRC61" s="235" t="s">
        <v>618</v>
      </c>
      <c r="CRD61" s="235" t="s">
        <v>1410</v>
      </c>
      <c r="CRE61" s="235" t="s">
        <v>1411</v>
      </c>
      <c r="CRF61" s="235" t="s">
        <v>388</v>
      </c>
      <c r="CRG61" s="237" t="s">
        <v>727</v>
      </c>
      <c r="CRH61" s="237" t="s">
        <v>221</v>
      </c>
      <c r="CRI61" s="235" t="s">
        <v>2</v>
      </c>
      <c r="CRJ61" s="235" t="s">
        <v>3</v>
      </c>
      <c r="CRK61" s="235" t="s">
        <v>618</v>
      </c>
      <c r="CRL61" s="235" t="s">
        <v>1410</v>
      </c>
      <c r="CRM61" s="235" t="s">
        <v>1411</v>
      </c>
      <c r="CRN61" s="235" t="s">
        <v>388</v>
      </c>
      <c r="CRO61" s="237" t="s">
        <v>727</v>
      </c>
      <c r="CRP61" s="237" t="s">
        <v>221</v>
      </c>
      <c r="CRQ61" s="235" t="s">
        <v>2</v>
      </c>
      <c r="CRR61" s="235" t="s">
        <v>3</v>
      </c>
      <c r="CRS61" s="235" t="s">
        <v>618</v>
      </c>
      <c r="CRT61" s="235" t="s">
        <v>1410</v>
      </c>
      <c r="CRU61" s="235" t="s">
        <v>1411</v>
      </c>
      <c r="CRV61" s="235" t="s">
        <v>388</v>
      </c>
      <c r="CRW61" s="237" t="s">
        <v>727</v>
      </c>
      <c r="CRX61" s="237" t="s">
        <v>221</v>
      </c>
      <c r="CRY61" s="235" t="s">
        <v>2</v>
      </c>
      <c r="CRZ61" s="235" t="s">
        <v>3</v>
      </c>
      <c r="CSA61" s="235" t="s">
        <v>618</v>
      </c>
      <c r="CSB61" s="235" t="s">
        <v>1410</v>
      </c>
      <c r="CSC61" s="235" t="s">
        <v>1411</v>
      </c>
      <c r="CSD61" s="235" t="s">
        <v>388</v>
      </c>
      <c r="CSE61" s="237" t="s">
        <v>727</v>
      </c>
      <c r="CSF61" s="237" t="s">
        <v>221</v>
      </c>
      <c r="CSG61" s="235" t="s">
        <v>2</v>
      </c>
      <c r="CSH61" s="235" t="s">
        <v>3</v>
      </c>
      <c r="CSI61" s="235" t="s">
        <v>618</v>
      </c>
      <c r="CSJ61" s="235" t="s">
        <v>1410</v>
      </c>
      <c r="CSK61" s="235" t="s">
        <v>1411</v>
      </c>
      <c r="CSL61" s="235" t="s">
        <v>388</v>
      </c>
      <c r="CSM61" s="237" t="s">
        <v>727</v>
      </c>
      <c r="CSN61" s="237" t="s">
        <v>221</v>
      </c>
      <c r="CSO61" s="235" t="s">
        <v>2</v>
      </c>
      <c r="CSP61" s="235" t="s">
        <v>3</v>
      </c>
      <c r="CSQ61" s="235" t="s">
        <v>618</v>
      </c>
      <c r="CSR61" s="235" t="s">
        <v>1410</v>
      </c>
      <c r="CSS61" s="235" t="s">
        <v>1411</v>
      </c>
      <c r="CST61" s="235" t="s">
        <v>388</v>
      </c>
      <c r="CSU61" s="237" t="s">
        <v>727</v>
      </c>
      <c r="CSV61" s="237" t="s">
        <v>221</v>
      </c>
      <c r="CSW61" s="235" t="s">
        <v>2</v>
      </c>
      <c r="CSX61" s="235" t="s">
        <v>3</v>
      </c>
      <c r="CSY61" s="235" t="s">
        <v>618</v>
      </c>
      <c r="CSZ61" s="235" t="s">
        <v>1410</v>
      </c>
      <c r="CTA61" s="235" t="s">
        <v>1411</v>
      </c>
      <c r="CTB61" s="235" t="s">
        <v>388</v>
      </c>
      <c r="CTC61" s="237" t="s">
        <v>727</v>
      </c>
      <c r="CTD61" s="237" t="s">
        <v>221</v>
      </c>
      <c r="CTE61" s="235" t="s">
        <v>2</v>
      </c>
      <c r="CTF61" s="235" t="s">
        <v>3</v>
      </c>
      <c r="CTG61" s="235" t="s">
        <v>618</v>
      </c>
      <c r="CTH61" s="235" t="s">
        <v>1410</v>
      </c>
      <c r="CTI61" s="235" t="s">
        <v>1411</v>
      </c>
      <c r="CTJ61" s="235" t="s">
        <v>388</v>
      </c>
      <c r="CTK61" s="237" t="s">
        <v>727</v>
      </c>
      <c r="CTL61" s="237" t="s">
        <v>221</v>
      </c>
      <c r="CTM61" s="235" t="s">
        <v>2</v>
      </c>
      <c r="CTN61" s="235" t="s">
        <v>3</v>
      </c>
      <c r="CTO61" s="235" t="s">
        <v>618</v>
      </c>
      <c r="CTP61" s="235" t="s">
        <v>1410</v>
      </c>
      <c r="CTQ61" s="235" t="s">
        <v>1411</v>
      </c>
      <c r="CTR61" s="235" t="s">
        <v>388</v>
      </c>
      <c r="CTS61" s="237" t="s">
        <v>727</v>
      </c>
      <c r="CTT61" s="237" t="s">
        <v>221</v>
      </c>
      <c r="CTU61" s="235" t="s">
        <v>2</v>
      </c>
      <c r="CTV61" s="235" t="s">
        <v>3</v>
      </c>
      <c r="CTW61" s="235" t="s">
        <v>618</v>
      </c>
      <c r="CTX61" s="235" t="s">
        <v>1410</v>
      </c>
      <c r="CTY61" s="235" t="s">
        <v>1411</v>
      </c>
      <c r="CTZ61" s="235" t="s">
        <v>388</v>
      </c>
      <c r="CUA61" s="237" t="s">
        <v>727</v>
      </c>
      <c r="CUB61" s="237" t="s">
        <v>221</v>
      </c>
      <c r="CUC61" s="235" t="s">
        <v>2</v>
      </c>
      <c r="CUD61" s="235" t="s">
        <v>3</v>
      </c>
      <c r="CUE61" s="235" t="s">
        <v>618</v>
      </c>
      <c r="CUF61" s="235" t="s">
        <v>1410</v>
      </c>
      <c r="CUG61" s="235" t="s">
        <v>1411</v>
      </c>
      <c r="CUH61" s="235" t="s">
        <v>388</v>
      </c>
      <c r="CUI61" s="237" t="s">
        <v>727</v>
      </c>
      <c r="CUJ61" s="237" t="s">
        <v>221</v>
      </c>
      <c r="CUK61" s="235" t="s">
        <v>2</v>
      </c>
      <c r="CUL61" s="235" t="s">
        <v>3</v>
      </c>
      <c r="CUM61" s="235" t="s">
        <v>618</v>
      </c>
      <c r="CUN61" s="235" t="s">
        <v>1410</v>
      </c>
      <c r="CUO61" s="235" t="s">
        <v>1411</v>
      </c>
      <c r="CUP61" s="235" t="s">
        <v>388</v>
      </c>
      <c r="CUQ61" s="237" t="s">
        <v>727</v>
      </c>
      <c r="CUR61" s="237" t="s">
        <v>221</v>
      </c>
      <c r="CUS61" s="235" t="s">
        <v>2</v>
      </c>
      <c r="CUT61" s="235" t="s">
        <v>3</v>
      </c>
      <c r="CUU61" s="235" t="s">
        <v>618</v>
      </c>
      <c r="CUV61" s="235" t="s">
        <v>1410</v>
      </c>
      <c r="CUW61" s="235" t="s">
        <v>1411</v>
      </c>
      <c r="CUX61" s="235" t="s">
        <v>388</v>
      </c>
      <c r="CUY61" s="237" t="s">
        <v>727</v>
      </c>
      <c r="CUZ61" s="237" t="s">
        <v>221</v>
      </c>
      <c r="CVA61" s="235" t="s">
        <v>2</v>
      </c>
      <c r="CVB61" s="235" t="s">
        <v>3</v>
      </c>
      <c r="CVC61" s="235" t="s">
        <v>618</v>
      </c>
      <c r="CVD61" s="235" t="s">
        <v>1410</v>
      </c>
      <c r="CVE61" s="235" t="s">
        <v>1411</v>
      </c>
      <c r="CVF61" s="235" t="s">
        <v>388</v>
      </c>
      <c r="CVG61" s="237" t="s">
        <v>727</v>
      </c>
      <c r="CVH61" s="237" t="s">
        <v>221</v>
      </c>
      <c r="CVI61" s="235" t="s">
        <v>2</v>
      </c>
      <c r="CVJ61" s="235" t="s">
        <v>3</v>
      </c>
      <c r="CVK61" s="235" t="s">
        <v>618</v>
      </c>
      <c r="CVL61" s="235" t="s">
        <v>1410</v>
      </c>
      <c r="CVM61" s="235" t="s">
        <v>1411</v>
      </c>
      <c r="CVN61" s="235" t="s">
        <v>388</v>
      </c>
      <c r="CVO61" s="237" t="s">
        <v>727</v>
      </c>
      <c r="CVP61" s="237" t="s">
        <v>221</v>
      </c>
      <c r="CVQ61" s="235" t="s">
        <v>2</v>
      </c>
      <c r="CVR61" s="235" t="s">
        <v>3</v>
      </c>
      <c r="CVS61" s="235" t="s">
        <v>618</v>
      </c>
      <c r="CVT61" s="235" t="s">
        <v>1410</v>
      </c>
      <c r="CVU61" s="235" t="s">
        <v>1411</v>
      </c>
      <c r="CVV61" s="235" t="s">
        <v>388</v>
      </c>
      <c r="CVW61" s="237" t="s">
        <v>727</v>
      </c>
      <c r="CVX61" s="237" t="s">
        <v>221</v>
      </c>
      <c r="CVY61" s="235" t="s">
        <v>2</v>
      </c>
      <c r="CVZ61" s="235" t="s">
        <v>3</v>
      </c>
      <c r="CWA61" s="235" t="s">
        <v>618</v>
      </c>
      <c r="CWB61" s="235" t="s">
        <v>1410</v>
      </c>
      <c r="CWC61" s="235" t="s">
        <v>1411</v>
      </c>
      <c r="CWD61" s="235" t="s">
        <v>388</v>
      </c>
      <c r="CWE61" s="237" t="s">
        <v>727</v>
      </c>
      <c r="CWF61" s="237" t="s">
        <v>221</v>
      </c>
      <c r="CWG61" s="235" t="s">
        <v>2</v>
      </c>
      <c r="CWH61" s="235" t="s">
        <v>3</v>
      </c>
      <c r="CWI61" s="235" t="s">
        <v>618</v>
      </c>
      <c r="CWJ61" s="235" t="s">
        <v>1410</v>
      </c>
      <c r="CWK61" s="235" t="s">
        <v>1411</v>
      </c>
      <c r="CWL61" s="235" t="s">
        <v>388</v>
      </c>
      <c r="CWM61" s="237" t="s">
        <v>727</v>
      </c>
      <c r="CWN61" s="237" t="s">
        <v>221</v>
      </c>
      <c r="CWO61" s="235" t="s">
        <v>2</v>
      </c>
      <c r="CWP61" s="235" t="s">
        <v>3</v>
      </c>
      <c r="CWQ61" s="235" t="s">
        <v>618</v>
      </c>
      <c r="CWR61" s="235" t="s">
        <v>1410</v>
      </c>
      <c r="CWS61" s="235" t="s">
        <v>1411</v>
      </c>
      <c r="CWT61" s="235" t="s">
        <v>388</v>
      </c>
      <c r="CWU61" s="237" t="s">
        <v>727</v>
      </c>
      <c r="CWV61" s="237" t="s">
        <v>221</v>
      </c>
      <c r="CWW61" s="235" t="s">
        <v>2</v>
      </c>
      <c r="CWX61" s="235" t="s">
        <v>3</v>
      </c>
      <c r="CWY61" s="235" t="s">
        <v>618</v>
      </c>
      <c r="CWZ61" s="235" t="s">
        <v>1410</v>
      </c>
      <c r="CXA61" s="235" t="s">
        <v>1411</v>
      </c>
      <c r="CXB61" s="235" t="s">
        <v>388</v>
      </c>
      <c r="CXC61" s="237" t="s">
        <v>727</v>
      </c>
      <c r="CXD61" s="237" t="s">
        <v>221</v>
      </c>
      <c r="CXE61" s="235" t="s">
        <v>2</v>
      </c>
      <c r="CXF61" s="235" t="s">
        <v>3</v>
      </c>
      <c r="CXG61" s="235" t="s">
        <v>618</v>
      </c>
      <c r="CXH61" s="235" t="s">
        <v>1410</v>
      </c>
      <c r="CXI61" s="235" t="s">
        <v>1411</v>
      </c>
      <c r="CXJ61" s="235" t="s">
        <v>388</v>
      </c>
      <c r="CXK61" s="237" t="s">
        <v>727</v>
      </c>
      <c r="CXL61" s="237" t="s">
        <v>221</v>
      </c>
      <c r="CXM61" s="235" t="s">
        <v>2</v>
      </c>
      <c r="CXN61" s="235" t="s">
        <v>3</v>
      </c>
      <c r="CXO61" s="235" t="s">
        <v>618</v>
      </c>
      <c r="CXP61" s="235" t="s">
        <v>1410</v>
      </c>
      <c r="CXQ61" s="235" t="s">
        <v>1411</v>
      </c>
      <c r="CXR61" s="235" t="s">
        <v>388</v>
      </c>
      <c r="CXS61" s="237" t="s">
        <v>727</v>
      </c>
      <c r="CXT61" s="237" t="s">
        <v>221</v>
      </c>
      <c r="CXU61" s="235" t="s">
        <v>2</v>
      </c>
      <c r="CXV61" s="235" t="s">
        <v>3</v>
      </c>
      <c r="CXW61" s="235" t="s">
        <v>618</v>
      </c>
      <c r="CXX61" s="235" t="s">
        <v>1410</v>
      </c>
      <c r="CXY61" s="235" t="s">
        <v>1411</v>
      </c>
      <c r="CXZ61" s="235" t="s">
        <v>388</v>
      </c>
      <c r="CYA61" s="237" t="s">
        <v>727</v>
      </c>
      <c r="CYB61" s="237" t="s">
        <v>221</v>
      </c>
      <c r="CYC61" s="235" t="s">
        <v>2</v>
      </c>
      <c r="CYD61" s="235" t="s">
        <v>3</v>
      </c>
      <c r="CYE61" s="235" t="s">
        <v>618</v>
      </c>
      <c r="CYF61" s="235" t="s">
        <v>1410</v>
      </c>
      <c r="CYG61" s="235" t="s">
        <v>1411</v>
      </c>
      <c r="CYH61" s="235" t="s">
        <v>388</v>
      </c>
      <c r="CYI61" s="237" t="s">
        <v>727</v>
      </c>
      <c r="CYJ61" s="237" t="s">
        <v>221</v>
      </c>
      <c r="CYK61" s="235" t="s">
        <v>2</v>
      </c>
      <c r="CYL61" s="235" t="s">
        <v>3</v>
      </c>
      <c r="CYM61" s="235" t="s">
        <v>618</v>
      </c>
      <c r="CYN61" s="235" t="s">
        <v>1410</v>
      </c>
      <c r="CYO61" s="235" t="s">
        <v>1411</v>
      </c>
      <c r="CYP61" s="235" t="s">
        <v>388</v>
      </c>
      <c r="CYQ61" s="237" t="s">
        <v>727</v>
      </c>
      <c r="CYR61" s="237" t="s">
        <v>221</v>
      </c>
      <c r="CYS61" s="235" t="s">
        <v>2</v>
      </c>
      <c r="CYT61" s="235" t="s">
        <v>3</v>
      </c>
      <c r="CYU61" s="235" t="s">
        <v>618</v>
      </c>
      <c r="CYV61" s="235" t="s">
        <v>1410</v>
      </c>
      <c r="CYW61" s="235" t="s">
        <v>1411</v>
      </c>
      <c r="CYX61" s="235" t="s">
        <v>388</v>
      </c>
      <c r="CYY61" s="237" t="s">
        <v>727</v>
      </c>
      <c r="CYZ61" s="237" t="s">
        <v>221</v>
      </c>
      <c r="CZA61" s="235" t="s">
        <v>2</v>
      </c>
      <c r="CZB61" s="235" t="s">
        <v>3</v>
      </c>
      <c r="CZC61" s="235" t="s">
        <v>618</v>
      </c>
      <c r="CZD61" s="235" t="s">
        <v>1410</v>
      </c>
      <c r="CZE61" s="235" t="s">
        <v>1411</v>
      </c>
      <c r="CZF61" s="235" t="s">
        <v>388</v>
      </c>
      <c r="CZG61" s="237" t="s">
        <v>727</v>
      </c>
      <c r="CZH61" s="237" t="s">
        <v>221</v>
      </c>
      <c r="CZI61" s="235" t="s">
        <v>2</v>
      </c>
      <c r="CZJ61" s="235" t="s">
        <v>3</v>
      </c>
      <c r="CZK61" s="235" t="s">
        <v>618</v>
      </c>
      <c r="CZL61" s="235" t="s">
        <v>1410</v>
      </c>
      <c r="CZM61" s="235" t="s">
        <v>1411</v>
      </c>
      <c r="CZN61" s="235" t="s">
        <v>388</v>
      </c>
      <c r="CZO61" s="237" t="s">
        <v>727</v>
      </c>
      <c r="CZP61" s="237" t="s">
        <v>221</v>
      </c>
      <c r="CZQ61" s="235" t="s">
        <v>2</v>
      </c>
      <c r="CZR61" s="235" t="s">
        <v>3</v>
      </c>
      <c r="CZS61" s="235" t="s">
        <v>618</v>
      </c>
      <c r="CZT61" s="235" t="s">
        <v>1410</v>
      </c>
      <c r="CZU61" s="235" t="s">
        <v>1411</v>
      </c>
      <c r="CZV61" s="235" t="s">
        <v>388</v>
      </c>
      <c r="CZW61" s="237" t="s">
        <v>727</v>
      </c>
      <c r="CZX61" s="237" t="s">
        <v>221</v>
      </c>
      <c r="CZY61" s="235" t="s">
        <v>2</v>
      </c>
      <c r="CZZ61" s="235" t="s">
        <v>3</v>
      </c>
      <c r="DAA61" s="235" t="s">
        <v>618</v>
      </c>
      <c r="DAB61" s="235" t="s">
        <v>1410</v>
      </c>
      <c r="DAC61" s="235" t="s">
        <v>1411</v>
      </c>
      <c r="DAD61" s="235" t="s">
        <v>388</v>
      </c>
      <c r="DAE61" s="237" t="s">
        <v>727</v>
      </c>
      <c r="DAF61" s="237" t="s">
        <v>221</v>
      </c>
      <c r="DAG61" s="235" t="s">
        <v>2</v>
      </c>
      <c r="DAH61" s="235" t="s">
        <v>3</v>
      </c>
      <c r="DAI61" s="235" t="s">
        <v>618</v>
      </c>
      <c r="DAJ61" s="235" t="s">
        <v>1410</v>
      </c>
      <c r="DAK61" s="235" t="s">
        <v>1411</v>
      </c>
      <c r="DAL61" s="235" t="s">
        <v>388</v>
      </c>
      <c r="DAM61" s="237" t="s">
        <v>727</v>
      </c>
      <c r="DAN61" s="237" t="s">
        <v>221</v>
      </c>
      <c r="DAO61" s="235" t="s">
        <v>2</v>
      </c>
      <c r="DAP61" s="235" t="s">
        <v>3</v>
      </c>
      <c r="DAQ61" s="235" t="s">
        <v>618</v>
      </c>
      <c r="DAR61" s="235" t="s">
        <v>1410</v>
      </c>
      <c r="DAS61" s="235" t="s">
        <v>1411</v>
      </c>
      <c r="DAT61" s="235" t="s">
        <v>388</v>
      </c>
      <c r="DAU61" s="237" t="s">
        <v>727</v>
      </c>
      <c r="DAV61" s="237" t="s">
        <v>221</v>
      </c>
      <c r="DAW61" s="235" t="s">
        <v>2</v>
      </c>
      <c r="DAX61" s="235" t="s">
        <v>3</v>
      </c>
      <c r="DAY61" s="235" t="s">
        <v>618</v>
      </c>
      <c r="DAZ61" s="235" t="s">
        <v>1410</v>
      </c>
      <c r="DBA61" s="235" t="s">
        <v>1411</v>
      </c>
      <c r="DBB61" s="235" t="s">
        <v>388</v>
      </c>
      <c r="DBC61" s="237" t="s">
        <v>727</v>
      </c>
      <c r="DBD61" s="237" t="s">
        <v>221</v>
      </c>
      <c r="DBE61" s="235" t="s">
        <v>2</v>
      </c>
      <c r="DBF61" s="235" t="s">
        <v>3</v>
      </c>
      <c r="DBG61" s="235" t="s">
        <v>618</v>
      </c>
      <c r="DBH61" s="235" t="s">
        <v>1410</v>
      </c>
      <c r="DBI61" s="235" t="s">
        <v>1411</v>
      </c>
      <c r="DBJ61" s="235" t="s">
        <v>388</v>
      </c>
      <c r="DBK61" s="237" t="s">
        <v>727</v>
      </c>
      <c r="DBL61" s="237" t="s">
        <v>221</v>
      </c>
      <c r="DBM61" s="235" t="s">
        <v>2</v>
      </c>
      <c r="DBN61" s="235" t="s">
        <v>3</v>
      </c>
      <c r="DBO61" s="235" t="s">
        <v>618</v>
      </c>
      <c r="DBP61" s="235" t="s">
        <v>1410</v>
      </c>
      <c r="DBQ61" s="235" t="s">
        <v>1411</v>
      </c>
      <c r="DBR61" s="235" t="s">
        <v>388</v>
      </c>
      <c r="DBS61" s="237" t="s">
        <v>727</v>
      </c>
      <c r="DBT61" s="237" t="s">
        <v>221</v>
      </c>
      <c r="DBU61" s="235" t="s">
        <v>2</v>
      </c>
      <c r="DBV61" s="235" t="s">
        <v>3</v>
      </c>
      <c r="DBW61" s="235" t="s">
        <v>618</v>
      </c>
      <c r="DBX61" s="235" t="s">
        <v>1410</v>
      </c>
      <c r="DBY61" s="235" t="s">
        <v>1411</v>
      </c>
      <c r="DBZ61" s="235" t="s">
        <v>388</v>
      </c>
      <c r="DCA61" s="237" t="s">
        <v>727</v>
      </c>
      <c r="DCB61" s="237" t="s">
        <v>221</v>
      </c>
      <c r="DCC61" s="235" t="s">
        <v>2</v>
      </c>
      <c r="DCD61" s="235" t="s">
        <v>3</v>
      </c>
      <c r="DCE61" s="235" t="s">
        <v>618</v>
      </c>
      <c r="DCF61" s="235" t="s">
        <v>1410</v>
      </c>
      <c r="DCG61" s="235" t="s">
        <v>1411</v>
      </c>
      <c r="DCH61" s="235" t="s">
        <v>388</v>
      </c>
      <c r="DCI61" s="237" t="s">
        <v>727</v>
      </c>
      <c r="DCJ61" s="237" t="s">
        <v>221</v>
      </c>
      <c r="DCK61" s="235" t="s">
        <v>2</v>
      </c>
      <c r="DCL61" s="235" t="s">
        <v>3</v>
      </c>
      <c r="DCM61" s="235" t="s">
        <v>618</v>
      </c>
      <c r="DCN61" s="235" t="s">
        <v>1410</v>
      </c>
      <c r="DCO61" s="235" t="s">
        <v>1411</v>
      </c>
      <c r="DCP61" s="235" t="s">
        <v>388</v>
      </c>
      <c r="DCQ61" s="237" t="s">
        <v>727</v>
      </c>
      <c r="DCR61" s="237" t="s">
        <v>221</v>
      </c>
      <c r="DCS61" s="235" t="s">
        <v>2</v>
      </c>
      <c r="DCT61" s="235" t="s">
        <v>3</v>
      </c>
      <c r="DCU61" s="235" t="s">
        <v>618</v>
      </c>
      <c r="DCV61" s="235" t="s">
        <v>1410</v>
      </c>
      <c r="DCW61" s="235" t="s">
        <v>1411</v>
      </c>
      <c r="DCX61" s="235" t="s">
        <v>388</v>
      </c>
      <c r="DCY61" s="237" t="s">
        <v>727</v>
      </c>
      <c r="DCZ61" s="237" t="s">
        <v>221</v>
      </c>
      <c r="DDA61" s="235" t="s">
        <v>2</v>
      </c>
      <c r="DDB61" s="235" t="s">
        <v>3</v>
      </c>
      <c r="DDC61" s="235" t="s">
        <v>618</v>
      </c>
      <c r="DDD61" s="235" t="s">
        <v>1410</v>
      </c>
      <c r="DDE61" s="235" t="s">
        <v>1411</v>
      </c>
      <c r="DDF61" s="235" t="s">
        <v>388</v>
      </c>
      <c r="DDG61" s="237" t="s">
        <v>727</v>
      </c>
      <c r="DDH61" s="237" t="s">
        <v>221</v>
      </c>
      <c r="DDI61" s="235" t="s">
        <v>2</v>
      </c>
      <c r="DDJ61" s="235" t="s">
        <v>3</v>
      </c>
      <c r="DDK61" s="235" t="s">
        <v>618</v>
      </c>
      <c r="DDL61" s="235" t="s">
        <v>1410</v>
      </c>
      <c r="DDM61" s="235" t="s">
        <v>1411</v>
      </c>
      <c r="DDN61" s="235" t="s">
        <v>388</v>
      </c>
      <c r="DDO61" s="237" t="s">
        <v>727</v>
      </c>
      <c r="DDP61" s="237" t="s">
        <v>221</v>
      </c>
      <c r="DDQ61" s="235" t="s">
        <v>2</v>
      </c>
      <c r="DDR61" s="235" t="s">
        <v>3</v>
      </c>
      <c r="DDS61" s="235" t="s">
        <v>618</v>
      </c>
      <c r="DDT61" s="235" t="s">
        <v>1410</v>
      </c>
      <c r="DDU61" s="235" t="s">
        <v>1411</v>
      </c>
      <c r="DDV61" s="235" t="s">
        <v>388</v>
      </c>
      <c r="DDW61" s="237" t="s">
        <v>727</v>
      </c>
      <c r="DDX61" s="237" t="s">
        <v>221</v>
      </c>
      <c r="DDY61" s="235" t="s">
        <v>2</v>
      </c>
      <c r="DDZ61" s="235" t="s">
        <v>3</v>
      </c>
      <c r="DEA61" s="235" t="s">
        <v>618</v>
      </c>
      <c r="DEB61" s="235" t="s">
        <v>1410</v>
      </c>
      <c r="DEC61" s="235" t="s">
        <v>1411</v>
      </c>
      <c r="DED61" s="235" t="s">
        <v>388</v>
      </c>
      <c r="DEE61" s="237" t="s">
        <v>727</v>
      </c>
      <c r="DEF61" s="237" t="s">
        <v>221</v>
      </c>
      <c r="DEG61" s="235" t="s">
        <v>2</v>
      </c>
      <c r="DEH61" s="235" t="s">
        <v>3</v>
      </c>
      <c r="DEI61" s="235" t="s">
        <v>618</v>
      </c>
      <c r="DEJ61" s="235" t="s">
        <v>1410</v>
      </c>
      <c r="DEK61" s="235" t="s">
        <v>1411</v>
      </c>
      <c r="DEL61" s="235" t="s">
        <v>388</v>
      </c>
      <c r="DEM61" s="237" t="s">
        <v>727</v>
      </c>
      <c r="DEN61" s="237" t="s">
        <v>221</v>
      </c>
      <c r="DEO61" s="235" t="s">
        <v>2</v>
      </c>
      <c r="DEP61" s="235" t="s">
        <v>3</v>
      </c>
      <c r="DEQ61" s="235" t="s">
        <v>618</v>
      </c>
      <c r="DER61" s="235" t="s">
        <v>1410</v>
      </c>
      <c r="DES61" s="235" t="s">
        <v>1411</v>
      </c>
      <c r="DET61" s="235" t="s">
        <v>388</v>
      </c>
      <c r="DEU61" s="237" t="s">
        <v>727</v>
      </c>
      <c r="DEV61" s="237" t="s">
        <v>221</v>
      </c>
      <c r="DEW61" s="235" t="s">
        <v>2</v>
      </c>
      <c r="DEX61" s="235" t="s">
        <v>3</v>
      </c>
      <c r="DEY61" s="235" t="s">
        <v>618</v>
      </c>
      <c r="DEZ61" s="235" t="s">
        <v>1410</v>
      </c>
      <c r="DFA61" s="235" t="s">
        <v>1411</v>
      </c>
      <c r="DFB61" s="235" t="s">
        <v>388</v>
      </c>
      <c r="DFC61" s="237" t="s">
        <v>727</v>
      </c>
      <c r="DFD61" s="237" t="s">
        <v>221</v>
      </c>
      <c r="DFE61" s="235" t="s">
        <v>2</v>
      </c>
      <c r="DFF61" s="235" t="s">
        <v>3</v>
      </c>
      <c r="DFG61" s="235" t="s">
        <v>618</v>
      </c>
      <c r="DFH61" s="235" t="s">
        <v>1410</v>
      </c>
      <c r="DFI61" s="235" t="s">
        <v>1411</v>
      </c>
      <c r="DFJ61" s="235" t="s">
        <v>388</v>
      </c>
      <c r="DFK61" s="237" t="s">
        <v>727</v>
      </c>
      <c r="DFL61" s="237" t="s">
        <v>221</v>
      </c>
      <c r="DFM61" s="235" t="s">
        <v>2</v>
      </c>
      <c r="DFN61" s="235" t="s">
        <v>3</v>
      </c>
      <c r="DFO61" s="235" t="s">
        <v>618</v>
      </c>
      <c r="DFP61" s="235" t="s">
        <v>1410</v>
      </c>
      <c r="DFQ61" s="235" t="s">
        <v>1411</v>
      </c>
      <c r="DFR61" s="235" t="s">
        <v>388</v>
      </c>
      <c r="DFS61" s="237" t="s">
        <v>727</v>
      </c>
      <c r="DFT61" s="237" t="s">
        <v>221</v>
      </c>
      <c r="DFU61" s="235" t="s">
        <v>2</v>
      </c>
      <c r="DFV61" s="235" t="s">
        <v>3</v>
      </c>
      <c r="DFW61" s="235" t="s">
        <v>618</v>
      </c>
      <c r="DFX61" s="235" t="s">
        <v>1410</v>
      </c>
      <c r="DFY61" s="235" t="s">
        <v>1411</v>
      </c>
      <c r="DFZ61" s="235" t="s">
        <v>388</v>
      </c>
      <c r="DGA61" s="237" t="s">
        <v>727</v>
      </c>
      <c r="DGB61" s="237" t="s">
        <v>221</v>
      </c>
      <c r="DGC61" s="235" t="s">
        <v>2</v>
      </c>
      <c r="DGD61" s="235" t="s">
        <v>3</v>
      </c>
      <c r="DGE61" s="235" t="s">
        <v>618</v>
      </c>
      <c r="DGF61" s="235" t="s">
        <v>1410</v>
      </c>
      <c r="DGG61" s="235" t="s">
        <v>1411</v>
      </c>
      <c r="DGH61" s="235" t="s">
        <v>388</v>
      </c>
      <c r="DGI61" s="237" t="s">
        <v>727</v>
      </c>
      <c r="DGJ61" s="237" t="s">
        <v>221</v>
      </c>
      <c r="DGK61" s="235" t="s">
        <v>2</v>
      </c>
      <c r="DGL61" s="235" t="s">
        <v>3</v>
      </c>
      <c r="DGM61" s="235" t="s">
        <v>618</v>
      </c>
      <c r="DGN61" s="235" t="s">
        <v>1410</v>
      </c>
      <c r="DGO61" s="235" t="s">
        <v>1411</v>
      </c>
      <c r="DGP61" s="235" t="s">
        <v>388</v>
      </c>
      <c r="DGQ61" s="237" t="s">
        <v>727</v>
      </c>
      <c r="DGR61" s="237" t="s">
        <v>221</v>
      </c>
      <c r="DGS61" s="235" t="s">
        <v>2</v>
      </c>
      <c r="DGT61" s="235" t="s">
        <v>3</v>
      </c>
      <c r="DGU61" s="235" t="s">
        <v>618</v>
      </c>
      <c r="DGV61" s="235" t="s">
        <v>1410</v>
      </c>
      <c r="DGW61" s="235" t="s">
        <v>1411</v>
      </c>
      <c r="DGX61" s="235" t="s">
        <v>388</v>
      </c>
      <c r="DGY61" s="237" t="s">
        <v>727</v>
      </c>
      <c r="DGZ61" s="237" t="s">
        <v>221</v>
      </c>
      <c r="DHA61" s="235" t="s">
        <v>2</v>
      </c>
      <c r="DHB61" s="235" t="s">
        <v>3</v>
      </c>
      <c r="DHC61" s="235" t="s">
        <v>618</v>
      </c>
      <c r="DHD61" s="235" t="s">
        <v>1410</v>
      </c>
      <c r="DHE61" s="235" t="s">
        <v>1411</v>
      </c>
      <c r="DHF61" s="235" t="s">
        <v>388</v>
      </c>
      <c r="DHG61" s="237" t="s">
        <v>727</v>
      </c>
      <c r="DHH61" s="237" t="s">
        <v>221</v>
      </c>
      <c r="DHI61" s="235" t="s">
        <v>2</v>
      </c>
      <c r="DHJ61" s="235" t="s">
        <v>3</v>
      </c>
      <c r="DHK61" s="235" t="s">
        <v>618</v>
      </c>
      <c r="DHL61" s="235" t="s">
        <v>1410</v>
      </c>
      <c r="DHM61" s="235" t="s">
        <v>1411</v>
      </c>
      <c r="DHN61" s="235" t="s">
        <v>388</v>
      </c>
      <c r="DHO61" s="237" t="s">
        <v>727</v>
      </c>
      <c r="DHP61" s="237" t="s">
        <v>221</v>
      </c>
      <c r="DHQ61" s="235" t="s">
        <v>2</v>
      </c>
      <c r="DHR61" s="235" t="s">
        <v>3</v>
      </c>
      <c r="DHS61" s="235" t="s">
        <v>618</v>
      </c>
      <c r="DHT61" s="235" t="s">
        <v>1410</v>
      </c>
      <c r="DHU61" s="235" t="s">
        <v>1411</v>
      </c>
      <c r="DHV61" s="235" t="s">
        <v>388</v>
      </c>
      <c r="DHW61" s="237" t="s">
        <v>727</v>
      </c>
      <c r="DHX61" s="237" t="s">
        <v>221</v>
      </c>
      <c r="DHY61" s="235" t="s">
        <v>2</v>
      </c>
      <c r="DHZ61" s="235" t="s">
        <v>3</v>
      </c>
      <c r="DIA61" s="235" t="s">
        <v>618</v>
      </c>
      <c r="DIB61" s="235" t="s">
        <v>1410</v>
      </c>
      <c r="DIC61" s="235" t="s">
        <v>1411</v>
      </c>
      <c r="DID61" s="235" t="s">
        <v>388</v>
      </c>
      <c r="DIE61" s="237" t="s">
        <v>727</v>
      </c>
      <c r="DIF61" s="237" t="s">
        <v>221</v>
      </c>
      <c r="DIG61" s="235" t="s">
        <v>2</v>
      </c>
      <c r="DIH61" s="235" t="s">
        <v>3</v>
      </c>
      <c r="DII61" s="235" t="s">
        <v>618</v>
      </c>
      <c r="DIJ61" s="235" t="s">
        <v>1410</v>
      </c>
      <c r="DIK61" s="235" t="s">
        <v>1411</v>
      </c>
      <c r="DIL61" s="235" t="s">
        <v>388</v>
      </c>
      <c r="DIM61" s="237" t="s">
        <v>727</v>
      </c>
      <c r="DIN61" s="237" t="s">
        <v>221</v>
      </c>
      <c r="DIO61" s="235" t="s">
        <v>2</v>
      </c>
      <c r="DIP61" s="235" t="s">
        <v>3</v>
      </c>
      <c r="DIQ61" s="235" t="s">
        <v>618</v>
      </c>
      <c r="DIR61" s="235" t="s">
        <v>1410</v>
      </c>
      <c r="DIS61" s="235" t="s">
        <v>1411</v>
      </c>
      <c r="DIT61" s="235" t="s">
        <v>388</v>
      </c>
      <c r="DIU61" s="237" t="s">
        <v>727</v>
      </c>
      <c r="DIV61" s="237" t="s">
        <v>221</v>
      </c>
      <c r="DIW61" s="235" t="s">
        <v>2</v>
      </c>
      <c r="DIX61" s="235" t="s">
        <v>3</v>
      </c>
      <c r="DIY61" s="235" t="s">
        <v>618</v>
      </c>
      <c r="DIZ61" s="235" t="s">
        <v>1410</v>
      </c>
      <c r="DJA61" s="235" t="s">
        <v>1411</v>
      </c>
      <c r="DJB61" s="235" t="s">
        <v>388</v>
      </c>
      <c r="DJC61" s="237" t="s">
        <v>727</v>
      </c>
      <c r="DJD61" s="237" t="s">
        <v>221</v>
      </c>
      <c r="DJE61" s="235" t="s">
        <v>2</v>
      </c>
      <c r="DJF61" s="235" t="s">
        <v>3</v>
      </c>
      <c r="DJG61" s="235" t="s">
        <v>618</v>
      </c>
      <c r="DJH61" s="235" t="s">
        <v>1410</v>
      </c>
      <c r="DJI61" s="235" t="s">
        <v>1411</v>
      </c>
      <c r="DJJ61" s="235" t="s">
        <v>388</v>
      </c>
      <c r="DJK61" s="237" t="s">
        <v>727</v>
      </c>
      <c r="DJL61" s="237" t="s">
        <v>221</v>
      </c>
      <c r="DJM61" s="235" t="s">
        <v>2</v>
      </c>
      <c r="DJN61" s="235" t="s">
        <v>3</v>
      </c>
      <c r="DJO61" s="235" t="s">
        <v>618</v>
      </c>
      <c r="DJP61" s="235" t="s">
        <v>1410</v>
      </c>
      <c r="DJQ61" s="235" t="s">
        <v>1411</v>
      </c>
      <c r="DJR61" s="235" t="s">
        <v>388</v>
      </c>
      <c r="DJS61" s="237" t="s">
        <v>727</v>
      </c>
      <c r="DJT61" s="237" t="s">
        <v>221</v>
      </c>
      <c r="DJU61" s="235" t="s">
        <v>2</v>
      </c>
      <c r="DJV61" s="235" t="s">
        <v>3</v>
      </c>
      <c r="DJW61" s="235" t="s">
        <v>618</v>
      </c>
      <c r="DJX61" s="235" t="s">
        <v>1410</v>
      </c>
      <c r="DJY61" s="235" t="s">
        <v>1411</v>
      </c>
      <c r="DJZ61" s="235" t="s">
        <v>388</v>
      </c>
      <c r="DKA61" s="237" t="s">
        <v>727</v>
      </c>
      <c r="DKB61" s="237" t="s">
        <v>221</v>
      </c>
      <c r="DKC61" s="235" t="s">
        <v>2</v>
      </c>
      <c r="DKD61" s="235" t="s">
        <v>3</v>
      </c>
      <c r="DKE61" s="235" t="s">
        <v>618</v>
      </c>
      <c r="DKF61" s="235" t="s">
        <v>1410</v>
      </c>
      <c r="DKG61" s="235" t="s">
        <v>1411</v>
      </c>
      <c r="DKH61" s="235" t="s">
        <v>388</v>
      </c>
      <c r="DKI61" s="237" t="s">
        <v>727</v>
      </c>
      <c r="DKJ61" s="237" t="s">
        <v>221</v>
      </c>
      <c r="DKK61" s="235" t="s">
        <v>2</v>
      </c>
      <c r="DKL61" s="235" t="s">
        <v>3</v>
      </c>
      <c r="DKM61" s="235" t="s">
        <v>618</v>
      </c>
      <c r="DKN61" s="235" t="s">
        <v>1410</v>
      </c>
      <c r="DKO61" s="235" t="s">
        <v>1411</v>
      </c>
      <c r="DKP61" s="235" t="s">
        <v>388</v>
      </c>
      <c r="DKQ61" s="237" t="s">
        <v>727</v>
      </c>
      <c r="DKR61" s="237" t="s">
        <v>221</v>
      </c>
      <c r="DKS61" s="235" t="s">
        <v>2</v>
      </c>
      <c r="DKT61" s="235" t="s">
        <v>3</v>
      </c>
      <c r="DKU61" s="235" t="s">
        <v>618</v>
      </c>
      <c r="DKV61" s="235" t="s">
        <v>1410</v>
      </c>
      <c r="DKW61" s="235" t="s">
        <v>1411</v>
      </c>
      <c r="DKX61" s="235" t="s">
        <v>388</v>
      </c>
      <c r="DKY61" s="237" t="s">
        <v>727</v>
      </c>
      <c r="DKZ61" s="237" t="s">
        <v>221</v>
      </c>
      <c r="DLA61" s="235" t="s">
        <v>2</v>
      </c>
      <c r="DLB61" s="235" t="s">
        <v>3</v>
      </c>
      <c r="DLC61" s="235" t="s">
        <v>618</v>
      </c>
      <c r="DLD61" s="235" t="s">
        <v>1410</v>
      </c>
      <c r="DLE61" s="235" t="s">
        <v>1411</v>
      </c>
      <c r="DLF61" s="235" t="s">
        <v>388</v>
      </c>
      <c r="DLG61" s="237" t="s">
        <v>727</v>
      </c>
      <c r="DLH61" s="237" t="s">
        <v>221</v>
      </c>
      <c r="DLI61" s="235" t="s">
        <v>2</v>
      </c>
      <c r="DLJ61" s="235" t="s">
        <v>3</v>
      </c>
      <c r="DLK61" s="235" t="s">
        <v>618</v>
      </c>
      <c r="DLL61" s="235" t="s">
        <v>1410</v>
      </c>
      <c r="DLM61" s="235" t="s">
        <v>1411</v>
      </c>
      <c r="DLN61" s="235" t="s">
        <v>388</v>
      </c>
      <c r="DLO61" s="237" t="s">
        <v>727</v>
      </c>
      <c r="DLP61" s="237" t="s">
        <v>221</v>
      </c>
      <c r="DLQ61" s="235" t="s">
        <v>2</v>
      </c>
      <c r="DLR61" s="235" t="s">
        <v>3</v>
      </c>
      <c r="DLS61" s="235" t="s">
        <v>618</v>
      </c>
      <c r="DLT61" s="235" t="s">
        <v>1410</v>
      </c>
      <c r="DLU61" s="235" t="s">
        <v>1411</v>
      </c>
      <c r="DLV61" s="235" t="s">
        <v>388</v>
      </c>
      <c r="DLW61" s="237" t="s">
        <v>727</v>
      </c>
      <c r="DLX61" s="237" t="s">
        <v>221</v>
      </c>
      <c r="DLY61" s="235" t="s">
        <v>2</v>
      </c>
      <c r="DLZ61" s="235" t="s">
        <v>3</v>
      </c>
      <c r="DMA61" s="235" t="s">
        <v>618</v>
      </c>
      <c r="DMB61" s="235" t="s">
        <v>1410</v>
      </c>
      <c r="DMC61" s="235" t="s">
        <v>1411</v>
      </c>
      <c r="DMD61" s="235" t="s">
        <v>388</v>
      </c>
      <c r="DME61" s="237" t="s">
        <v>727</v>
      </c>
      <c r="DMF61" s="237" t="s">
        <v>221</v>
      </c>
      <c r="DMG61" s="235" t="s">
        <v>2</v>
      </c>
      <c r="DMH61" s="235" t="s">
        <v>3</v>
      </c>
      <c r="DMI61" s="235" t="s">
        <v>618</v>
      </c>
      <c r="DMJ61" s="235" t="s">
        <v>1410</v>
      </c>
      <c r="DMK61" s="235" t="s">
        <v>1411</v>
      </c>
      <c r="DML61" s="235" t="s">
        <v>388</v>
      </c>
      <c r="DMM61" s="237" t="s">
        <v>727</v>
      </c>
      <c r="DMN61" s="237" t="s">
        <v>221</v>
      </c>
      <c r="DMO61" s="235" t="s">
        <v>2</v>
      </c>
      <c r="DMP61" s="235" t="s">
        <v>3</v>
      </c>
      <c r="DMQ61" s="235" t="s">
        <v>618</v>
      </c>
      <c r="DMR61" s="235" t="s">
        <v>1410</v>
      </c>
      <c r="DMS61" s="235" t="s">
        <v>1411</v>
      </c>
      <c r="DMT61" s="235" t="s">
        <v>388</v>
      </c>
      <c r="DMU61" s="237" t="s">
        <v>727</v>
      </c>
      <c r="DMV61" s="237" t="s">
        <v>221</v>
      </c>
      <c r="DMW61" s="235" t="s">
        <v>2</v>
      </c>
      <c r="DMX61" s="235" t="s">
        <v>3</v>
      </c>
      <c r="DMY61" s="235" t="s">
        <v>618</v>
      </c>
      <c r="DMZ61" s="235" t="s">
        <v>1410</v>
      </c>
      <c r="DNA61" s="235" t="s">
        <v>1411</v>
      </c>
      <c r="DNB61" s="235" t="s">
        <v>388</v>
      </c>
      <c r="DNC61" s="237" t="s">
        <v>727</v>
      </c>
      <c r="DND61" s="237" t="s">
        <v>221</v>
      </c>
      <c r="DNE61" s="235" t="s">
        <v>2</v>
      </c>
      <c r="DNF61" s="235" t="s">
        <v>3</v>
      </c>
      <c r="DNG61" s="235" t="s">
        <v>618</v>
      </c>
      <c r="DNH61" s="235" t="s">
        <v>1410</v>
      </c>
      <c r="DNI61" s="235" t="s">
        <v>1411</v>
      </c>
      <c r="DNJ61" s="235" t="s">
        <v>388</v>
      </c>
      <c r="DNK61" s="237" t="s">
        <v>727</v>
      </c>
      <c r="DNL61" s="237" t="s">
        <v>221</v>
      </c>
      <c r="DNM61" s="235" t="s">
        <v>2</v>
      </c>
      <c r="DNN61" s="235" t="s">
        <v>3</v>
      </c>
      <c r="DNO61" s="235" t="s">
        <v>618</v>
      </c>
      <c r="DNP61" s="235" t="s">
        <v>1410</v>
      </c>
      <c r="DNQ61" s="235" t="s">
        <v>1411</v>
      </c>
      <c r="DNR61" s="235" t="s">
        <v>388</v>
      </c>
      <c r="DNS61" s="237" t="s">
        <v>727</v>
      </c>
      <c r="DNT61" s="237" t="s">
        <v>221</v>
      </c>
      <c r="DNU61" s="235" t="s">
        <v>2</v>
      </c>
      <c r="DNV61" s="235" t="s">
        <v>3</v>
      </c>
      <c r="DNW61" s="235" t="s">
        <v>618</v>
      </c>
      <c r="DNX61" s="235" t="s">
        <v>1410</v>
      </c>
      <c r="DNY61" s="235" t="s">
        <v>1411</v>
      </c>
      <c r="DNZ61" s="235" t="s">
        <v>388</v>
      </c>
      <c r="DOA61" s="237" t="s">
        <v>727</v>
      </c>
      <c r="DOB61" s="237" t="s">
        <v>221</v>
      </c>
      <c r="DOC61" s="235" t="s">
        <v>2</v>
      </c>
      <c r="DOD61" s="235" t="s">
        <v>3</v>
      </c>
      <c r="DOE61" s="235" t="s">
        <v>618</v>
      </c>
      <c r="DOF61" s="235" t="s">
        <v>1410</v>
      </c>
      <c r="DOG61" s="235" t="s">
        <v>1411</v>
      </c>
      <c r="DOH61" s="235" t="s">
        <v>388</v>
      </c>
      <c r="DOI61" s="237" t="s">
        <v>727</v>
      </c>
      <c r="DOJ61" s="237" t="s">
        <v>221</v>
      </c>
      <c r="DOK61" s="235" t="s">
        <v>2</v>
      </c>
      <c r="DOL61" s="235" t="s">
        <v>3</v>
      </c>
      <c r="DOM61" s="235" t="s">
        <v>618</v>
      </c>
      <c r="DON61" s="235" t="s">
        <v>1410</v>
      </c>
      <c r="DOO61" s="235" t="s">
        <v>1411</v>
      </c>
      <c r="DOP61" s="235" t="s">
        <v>388</v>
      </c>
      <c r="DOQ61" s="237" t="s">
        <v>727</v>
      </c>
      <c r="DOR61" s="237" t="s">
        <v>221</v>
      </c>
      <c r="DOS61" s="235" t="s">
        <v>2</v>
      </c>
      <c r="DOT61" s="235" t="s">
        <v>3</v>
      </c>
      <c r="DOU61" s="235" t="s">
        <v>618</v>
      </c>
      <c r="DOV61" s="235" t="s">
        <v>1410</v>
      </c>
      <c r="DOW61" s="235" t="s">
        <v>1411</v>
      </c>
      <c r="DOX61" s="235" t="s">
        <v>388</v>
      </c>
      <c r="DOY61" s="237" t="s">
        <v>727</v>
      </c>
      <c r="DOZ61" s="237" t="s">
        <v>221</v>
      </c>
      <c r="DPA61" s="235" t="s">
        <v>2</v>
      </c>
      <c r="DPB61" s="235" t="s">
        <v>3</v>
      </c>
      <c r="DPC61" s="235" t="s">
        <v>618</v>
      </c>
      <c r="DPD61" s="235" t="s">
        <v>1410</v>
      </c>
      <c r="DPE61" s="235" t="s">
        <v>1411</v>
      </c>
      <c r="DPF61" s="235" t="s">
        <v>388</v>
      </c>
      <c r="DPG61" s="237" t="s">
        <v>727</v>
      </c>
      <c r="DPH61" s="237" t="s">
        <v>221</v>
      </c>
      <c r="DPI61" s="235" t="s">
        <v>2</v>
      </c>
      <c r="DPJ61" s="235" t="s">
        <v>3</v>
      </c>
      <c r="DPK61" s="235" t="s">
        <v>618</v>
      </c>
      <c r="DPL61" s="235" t="s">
        <v>1410</v>
      </c>
      <c r="DPM61" s="235" t="s">
        <v>1411</v>
      </c>
      <c r="DPN61" s="235" t="s">
        <v>388</v>
      </c>
      <c r="DPO61" s="237" t="s">
        <v>727</v>
      </c>
      <c r="DPP61" s="237" t="s">
        <v>221</v>
      </c>
      <c r="DPQ61" s="235" t="s">
        <v>2</v>
      </c>
      <c r="DPR61" s="235" t="s">
        <v>3</v>
      </c>
      <c r="DPS61" s="235" t="s">
        <v>618</v>
      </c>
      <c r="DPT61" s="235" t="s">
        <v>1410</v>
      </c>
      <c r="DPU61" s="235" t="s">
        <v>1411</v>
      </c>
      <c r="DPV61" s="235" t="s">
        <v>388</v>
      </c>
      <c r="DPW61" s="237" t="s">
        <v>727</v>
      </c>
      <c r="DPX61" s="237" t="s">
        <v>221</v>
      </c>
      <c r="DPY61" s="235" t="s">
        <v>2</v>
      </c>
      <c r="DPZ61" s="235" t="s">
        <v>3</v>
      </c>
      <c r="DQA61" s="235" t="s">
        <v>618</v>
      </c>
      <c r="DQB61" s="235" t="s">
        <v>1410</v>
      </c>
      <c r="DQC61" s="235" t="s">
        <v>1411</v>
      </c>
      <c r="DQD61" s="235" t="s">
        <v>388</v>
      </c>
      <c r="DQE61" s="237" t="s">
        <v>727</v>
      </c>
      <c r="DQF61" s="237" t="s">
        <v>221</v>
      </c>
      <c r="DQG61" s="235" t="s">
        <v>2</v>
      </c>
      <c r="DQH61" s="235" t="s">
        <v>3</v>
      </c>
      <c r="DQI61" s="235" t="s">
        <v>618</v>
      </c>
      <c r="DQJ61" s="235" t="s">
        <v>1410</v>
      </c>
      <c r="DQK61" s="235" t="s">
        <v>1411</v>
      </c>
      <c r="DQL61" s="235" t="s">
        <v>388</v>
      </c>
      <c r="DQM61" s="237" t="s">
        <v>727</v>
      </c>
      <c r="DQN61" s="237" t="s">
        <v>221</v>
      </c>
      <c r="DQO61" s="235" t="s">
        <v>2</v>
      </c>
      <c r="DQP61" s="235" t="s">
        <v>3</v>
      </c>
      <c r="DQQ61" s="235" t="s">
        <v>618</v>
      </c>
      <c r="DQR61" s="235" t="s">
        <v>1410</v>
      </c>
      <c r="DQS61" s="235" t="s">
        <v>1411</v>
      </c>
      <c r="DQT61" s="235" t="s">
        <v>388</v>
      </c>
      <c r="DQU61" s="237" t="s">
        <v>727</v>
      </c>
      <c r="DQV61" s="237" t="s">
        <v>221</v>
      </c>
      <c r="DQW61" s="235" t="s">
        <v>2</v>
      </c>
      <c r="DQX61" s="235" t="s">
        <v>3</v>
      </c>
      <c r="DQY61" s="235" t="s">
        <v>618</v>
      </c>
      <c r="DQZ61" s="235" t="s">
        <v>1410</v>
      </c>
      <c r="DRA61" s="235" t="s">
        <v>1411</v>
      </c>
      <c r="DRB61" s="235" t="s">
        <v>388</v>
      </c>
      <c r="DRC61" s="237" t="s">
        <v>727</v>
      </c>
      <c r="DRD61" s="237" t="s">
        <v>221</v>
      </c>
      <c r="DRE61" s="235" t="s">
        <v>2</v>
      </c>
      <c r="DRF61" s="235" t="s">
        <v>3</v>
      </c>
      <c r="DRG61" s="235" t="s">
        <v>618</v>
      </c>
      <c r="DRH61" s="235" t="s">
        <v>1410</v>
      </c>
      <c r="DRI61" s="235" t="s">
        <v>1411</v>
      </c>
      <c r="DRJ61" s="235" t="s">
        <v>388</v>
      </c>
      <c r="DRK61" s="237" t="s">
        <v>727</v>
      </c>
      <c r="DRL61" s="237" t="s">
        <v>221</v>
      </c>
      <c r="DRM61" s="235" t="s">
        <v>2</v>
      </c>
      <c r="DRN61" s="235" t="s">
        <v>3</v>
      </c>
      <c r="DRO61" s="235" t="s">
        <v>618</v>
      </c>
      <c r="DRP61" s="235" t="s">
        <v>1410</v>
      </c>
      <c r="DRQ61" s="235" t="s">
        <v>1411</v>
      </c>
      <c r="DRR61" s="235" t="s">
        <v>388</v>
      </c>
      <c r="DRS61" s="237" t="s">
        <v>727</v>
      </c>
      <c r="DRT61" s="237" t="s">
        <v>221</v>
      </c>
      <c r="DRU61" s="235" t="s">
        <v>2</v>
      </c>
      <c r="DRV61" s="235" t="s">
        <v>3</v>
      </c>
      <c r="DRW61" s="235" t="s">
        <v>618</v>
      </c>
      <c r="DRX61" s="235" t="s">
        <v>1410</v>
      </c>
      <c r="DRY61" s="235" t="s">
        <v>1411</v>
      </c>
      <c r="DRZ61" s="235" t="s">
        <v>388</v>
      </c>
      <c r="DSA61" s="237" t="s">
        <v>727</v>
      </c>
      <c r="DSB61" s="237" t="s">
        <v>221</v>
      </c>
      <c r="DSC61" s="235" t="s">
        <v>2</v>
      </c>
      <c r="DSD61" s="235" t="s">
        <v>3</v>
      </c>
      <c r="DSE61" s="235" t="s">
        <v>618</v>
      </c>
      <c r="DSF61" s="235" t="s">
        <v>1410</v>
      </c>
      <c r="DSG61" s="235" t="s">
        <v>1411</v>
      </c>
      <c r="DSH61" s="235" t="s">
        <v>388</v>
      </c>
      <c r="DSI61" s="237" t="s">
        <v>727</v>
      </c>
      <c r="DSJ61" s="237" t="s">
        <v>221</v>
      </c>
      <c r="DSK61" s="235" t="s">
        <v>2</v>
      </c>
      <c r="DSL61" s="235" t="s">
        <v>3</v>
      </c>
      <c r="DSM61" s="235" t="s">
        <v>618</v>
      </c>
      <c r="DSN61" s="235" t="s">
        <v>1410</v>
      </c>
      <c r="DSO61" s="235" t="s">
        <v>1411</v>
      </c>
      <c r="DSP61" s="235" t="s">
        <v>388</v>
      </c>
      <c r="DSQ61" s="237" t="s">
        <v>727</v>
      </c>
      <c r="DSR61" s="237" t="s">
        <v>221</v>
      </c>
      <c r="DSS61" s="235" t="s">
        <v>2</v>
      </c>
      <c r="DST61" s="235" t="s">
        <v>3</v>
      </c>
      <c r="DSU61" s="235" t="s">
        <v>618</v>
      </c>
      <c r="DSV61" s="235" t="s">
        <v>1410</v>
      </c>
      <c r="DSW61" s="235" t="s">
        <v>1411</v>
      </c>
      <c r="DSX61" s="235" t="s">
        <v>388</v>
      </c>
      <c r="DSY61" s="237" t="s">
        <v>727</v>
      </c>
      <c r="DSZ61" s="237" t="s">
        <v>221</v>
      </c>
      <c r="DTA61" s="235" t="s">
        <v>2</v>
      </c>
      <c r="DTB61" s="235" t="s">
        <v>3</v>
      </c>
      <c r="DTC61" s="235" t="s">
        <v>618</v>
      </c>
      <c r="DTD61" s="235" t="s">
        <v>1410</v>
      </c>
      <c r="DTE61" s="235" t="s">
        <v>1411</v>
      </c>
      <c r="DTF61" s="235" t="s">
        <v>388</v>
      </c>
      <c r="DTG61" s="237" t="s">
        <v>727</v>
      </c>
      <c r="DTH61" s="237" t="s">
        <v>221</v>
      </c>
      <c r="DTI61" s="235" t="s">
        <v>2</v>
      </c>
      <c r="DTJ61" s="235" t="s">
        <v>3</v>
      </c>
      <c r="DTK61" s="235" t="s">
        <v>618</v>
      </c>
      <c r="DTL61" s="235" t="s">
        <v>1410</v>
      </c>
      <c r="DTM61" s="235" t="s">
        <v>1411</v>
      </c>
      <c r="DTN61" s="235" t="s">
        <v>388</v>
      </c>
      <c r="DTO61" s="237" t="s">
        <v>727</v>
      </c>
      <c r="DTP61" s="237" t="s">
        <v>221</v>
      </c>
      <c r="DTQ61" s="235" t="s">
        <v>2</v>
      </c>
      <c r="DTR61" s="235" t="s">
        <v>3</v>
      </c>
      <c r="DTS61" s="235" t="s">
        <v>618</v>
      </c>
      <c r="DTT61" s="235" t="s">
        <v>1410</v>
      </c>
      <c r="DTU61" s="235" t="s">
        <v>1411</v>
      </c>
      <c r="DTV61" s="235" t="s">
        <v>388</v>
      </c>
      <c r="DTW61" s="237" t="s">
        <v>727</v>
      </c>
      <c r="DTX61" s="237" t="s">
        <v>221</v>
      </c>
      <c r="DTY61" s="235" t="s">
        <v>2</v>
      </c>
      <c r="DTZ61" s="235" t="s">
        <v>3</v>
      </c>
      <c r="DUA61" s="235" t="s">
        <v>618</v>
      </c>
      <c r="DUB61" s="235" t="s">
        <v>1410</v>
      </c>
      <c r="DUC61" s="235" t="s">
        <v>1411</v>
      </c>
      <c r="DUD61" s="235" t="s">
        <v>388</v>
      </c>
      <c r="DUE61" s="237" t="s">
        <v>727</v>
      </c>
      <c r="DUF61" s="237" t="s">
        <v>221</v>
      </c>
      <c r="DUG61" s="235" t="s">
        <v>2</v>
      </c>
      <c r="DUH61" s="235" t="s">
        <v>3</v>
      </c>
      <c r="DUI61" s="235" t="s">
        <v>618</v>
      </c>
      <c r="DUJ61" s="235" t="s">
        <v>1410</v>
      </c>
      <c r="DUK61" s="235" t="s">
        <v>1411</v>
      </c>
      <c r="DUL61" s="235" t="s">
        <v>388</v>
      </c>
      <c r="DUM61" s="237" t="s">
        <v>727</v>
      </c>
      <c r="DUN61" s="237" t="s">
        <v>221</v>
      </c>
      <c r="DUO61" s="235" t="s">
        <v>2</v>
      </c>
      <c r="DUP61" s="235" t="s">
        <v>3</v>
      </c>
      <c r="DUQ61" s="235" t="s">
        <v>618</v>
      </c>
      <c r="DUR61" s="235" t="s">
        <v>1410</v>
      </c>
      <c r="DUS61" s="235" t="s">
        <v>1411</v>
      </c>
      <c r="DUT61" s="235" t="s">
        <v>388</v>
      </c>
      <c r="DUU61" s="237" t="s">
        <v>727</v>
      </c>
      <c r="DUV61" s="237" t="s">
        <v>221</v>
      </c>
      <c r="DUW61" s="235" t="s">
        <v>2</v>
      </c>
      <c r="DUX61" s="235" t="s">
        <v>3</v>
      </c>
      <c r="DUY61" s="235" t="s">
        <v>618</v>
      </c>
      <c r="DUZ61" s="235" t="s">
        <v>1410</v>
      </c>
      <c r="DVA61" s="235" t="s">
        <v>1411</v>
      </c>
      <c r="DVB61" s="235" t="s">
        <v>388</v>
      </c>
      <c r="DVC61" s="237" t="s">
        <v>727</v>
      </c>
      <c r="DVD61" s="237" t="s">
        <v>221</v>
      </c>
      <c r="DVE61" s="235" t="s">
        <v>2</v>
      </c>
      <c r="DVF61" s="235" t="s">
        <v>3</v>
      </c>
      <c r="DVG61" s="235" t="s">
        <v>618</v>
      </c>
      <c r="DVH61" s="235" t="s">
        <v>1410</v>
      </c>
      <c r="DVI61" s="235" t="s">
        <v>1411</v>
      </c>
      <c r="DVJ61" s="235" t="s">
        <v>388</v>
      </c>
      <c r="DVK61" s="237" t="s">
        <v>727</v>
      </c>
      <c r="DVL61" s="237" t="s">
        <v>221</v>
      </c>
      <c r="DVM61" s="235" t="s">
        <v>2</v>
      </c>
      <c r="DVN61" s="235" t="s">
        <v>3</v>
      </c>
      <c r="DVO61" s="235" t="s">
        <v>618</v>
      </c>
      <c r="DVP61" s="235" t="s">
        <v>1410</v>
      </c>
      <c r="DVQ61" s="235" t="s">
        <v>1411</v>
      </c>
      <c r="DVR61" s="235" t="s">
        <v>388</v>
      </c>
      <c r="DVS61" s="237" t="s">
        <v>727</v>
      </c>
      <c r="DVT61" s="237" t="s">
        <v>221</v>
      </c>
      <c r="DVU61" s="235" t="s">
        <v>2</v>
      </c>
      <c r="DVV61" s="235" t="s">
        <v>3</v>
      </c>
      <c r="DVW61" s="235" t="s">
        <v>618</v>
      </c>
      <c r="DVX61" s="235" t="s">
        <v>1410</v>
      </c>
      <c r="DVY61" s="235" t="s">
        <v>1411</v>
      </c>
      <c r="DVZ61" s="235" t="s">
        <v>388</v>
      </c>
      <c r="DWA61" s="237" t="s">
        <v>727</v>
      </c>
      <c r="DWB61" s="237" t="s">
        <v>221</v>
      </c>
      <c r="DWC61" s="235" t="s">
        <v>2</v>
      </c>
      <c r="DWD61" s="235" t="s">
        <v>3</v>
      </c>
      <c r="DWE61" s="235" t="s">
        <v>618</v>
      </c>
      <c r="DWF61" s="235" t="s">
        <v>1410</v>
      </c>
      <c r="DWG61" s="235" t="s">
        <v>1411</v>
      </c>
      <c r="DWH61" s="235" t="s">
        <v>388</v>
      </c>
      <c r="DWI61" s="237" t="s">
        <v>727</v>
      </c>
      <c r="DWJ61" s="237" t="s">
        <v>221</v>
      </c>
      <c r="DWK61" s="235" t="s">
        <v>2</v>
      </c>
      <c r="DWL61" s="235" t="s">
        <v>3</v>
      </c>
      <c r="DWM61" s="235" t="s">
        <v>618</v>
      </c>
      <c r="DWN61" s="235" t="s">
        <v>1410</v>
      </c>
      <c r="DWO61" s="235" t="s">
        <v>1411</v>
      </c>
      <c r="DWP61" s="235" t="s">
        <v>388</v>
      </c>
      <c r="DWQ61" s="237" t="s">
        <v>727</v>
      </c>
      <c r="DWR61" s="237" t="s">
        <v>221</v>
      </c>
      <c r="DWS61" s="235" t="s">
        <v>2</v>
      </c>
      <c r="DWT61" s="235" t="s">
        <v>3</v>
      </c>
      <c r="DWU61" s="235" t="s">
        <v>618</v>
      </c>
      <c r="DWV61" s="235" t="s">
        <v>1410</v>
      </c>
      <c r="DWW61" s="235" t="s">
        <v>1411</v>
      </c>
      <c r="DWX61" s="235" t="s">
        <v>388</v>
      </c>
      <c r="DWY61" s="237" t="s">
        <v>727</v>
      </c>
      <c r="DWZ61" s="237" t="s">
        <v>221</v>
      </c>
      <c r="DXA61" s="235" t="s">
        <v>2</v>
      </c>
      <c r="DXB61" s="235" t="s">
        <v>3</v>
      </c>
      <c r="DXC61" s="235" t="s">
        <v>618</v>
      </c>
      <c r="DXD61" s="235" t="s">
        <v>1410</v>
      </c>
      <c r="DXE61" s="235" t="s">
        <v>1411</v>
      </c>
      <c r="DXF61" s="235" t="s">
        <v>388</v>
      </c>
      <c r="DXG61" s="237" t="s">
        <v>727</v>
      </c>
      <c r="DXH61" s="237" t="s">
        <v>221</v>
      </c>
      <c r="DXI61" s="235" t="s">
        <v>2</v>
      </c>
      <c r="DXJ61" s="235" t="s">
        <v>3</v>
      </c>
      <c r="DXK61" s="235" t="s">
        <v>618</v>
      </c>
      <c r="DXL61" s="235" t="s">
        <v>1410</v>
      </c>
      <c r="DXM61" s="235" t="s">
        <v>1411</v>
      </c>
      <c r="DXN61" s="235" t="s">
        <v>388</v>
      </c>
      <c r="DXO61" s="237" t="s">
        <v>727</v>
      </c>
      <c r="DXP61" s="237" t="s">
        <v>221</v>
      </c>
      <c r="DXQ61" s="235" t="s">
        <v>2</v>
      </c>
      <c r="DXR61" s="235" t="s">
        <v>3</v>
      </c>
      <c r="DXS61" s="235" t="s">
        <v>618</v>
      </c>
      <c r="DXT61" s="235" t="s">
        <v>1410</v>
      </c>
      <c r="DXU61" s="235" t="s">
        <v>1411</v>
      </c>
      <c r="DXV61" s="235" t="s">
        <v>388</v>
      </c>
      <c r="DXW61" s="237" t="s">
        <v>727</v>
      </c>
      <c r="DXX61" s="237" t="s">
        <v>221</v>
      </c>
      <c r="DXY61" s="235" t="s">
        <v>2</v>
      </c>
      <c r="DXZ61" s="235" t="s">
        <v>3</v>
      </c>
      <c r="DYA61" s="235" t="s">
        <v>618</v>
      </c>
      <c r="DYB61" s="235" t="s">
        <v>1410</v>
      </c>
      <c r="DYC61" s="235" t="s">
        <v>1411</v>
      </c>
      <c r="DYD61" s="235" t="s">
        <v>388</v>
      </c>
      <c r="DYE61" s="237" t="s">
        <v>727</v>
      </c>
      <c r="DYF61" s="237" t="s">
        <v>221</v>
      </c>
      <c r="DYG61" s="235" t="s">
        <v>2</v>
      </c>
      <c r="DYH61" s="235" t="s">
        <v>3</v>
      </c>
      <c r="DYI61" s="235" t="s">
        <v>618</v>
      </c>
      <c r="DYJ61" s="235" t="s">
        <v>1410</v>
      </c>
      <c r="DYK61" s="235" t="s">
        <v>1411</v>
      </c>
      <c r="DYL61" s="235" t="s">
        <v>388</v>
      </c>
      <c r="DYM61" s="237" t="s">
        <v>727</v>
      </c>
      <c r="DYN61" s="237" t="s">
        <v>221</v>
      </c>
      <c r="DYO61" s="235" t="s">
        <v>2</v>
      </c>
      <c r="DYP61" s="235" t="s">
        <v>3</v>
      </c>
      <c r="DYQ61" s="235" t="s">
        <v>618</v>
      </c>
      <c r="DYR61" s="235" t="s">
        <v>1410</v>
      </c>
      <c r="DYS61" s="235" t="s">
        <v>1411</v>
      </c>
      <c r="DYT61" s="235" t="s">
        <v>388</v>
      </c>
      <c r="DYU61" s="237" t="s">
        <v>727</v>
      </c>
      <c r="DYV61" s="237" t="s">
        <v>221</v>
      </c>
      <c r="DYW61" s="235" t="s">
        <v>2</v>
      </c>
      <c r="DYX61" s="235" t="s">
        <v>3</v>
      </c>
      <c r="DYY61" s="235" t="s">
        <v>618</v>
      </c>
      <c r="DYZ61" s="235" t="s">
        <v>1410</v>
      </c>
      <c r="DZA61" s="235" t="s">
        <v>1411</v>
      </c>
      <c r="DZB61" s="235" t="s">
        <v>388</v>
      </c>
      <c r="DZC61" s="237" t="s">
        <v>727</v>
      </c>
      <c r="DZD61" s="237" t="s">
        <v>221</v>
      </c>
      <c r="DZE61" s="235" t="s">
        <v>2</v>
      </c>
      <c r="DZF61" s="235" t="s">
        <v>3</v>
      </c>
      <c r="DZG61" s="235" t="s">
        <v>618</v>
      </c>
      <c r="DZH61" s="235" t="s">
        <v>1410</v>
      </c>
      <c r="DZI61" s="235" t="s">
        <v>1411</v>
      </c>
      <c r="DZJ61" s="235" t="s">
        <v>388</v>
      </c>
      <c r="DZK61" s="237" t="s">
        <v>727</v>
      </c>
      <c r="DZL61" s="237" t="s">
        <v>221</v>
      </c>
      <c r="DZM61" s="235" t="s">
        <v>2</v>
      </c>
      <c r="DZN61" s="235" t="s">
        <v>3</v>
      </c>
      <c r="DZO61" s="235" t="s">
        <v>618</v>
      </c>
      <c r="DZP61" s="235" t="s">
        <v>1410</v>
      </c>
      <c r="DZQ61" s="235" t="s">
        <v>1411</v>
      </c>
      <c r="DZR61" s="235" t="s">
        <v>388</v>
      </c>
      <c r="DZS61" s="237" t="s">
        <v>727</v>
      </c>
      <c r="DZT61" s="237" t="s">
        <v>221</v>
      </c>
      <c r="DZU61" s="235" t="s">
        <v>2</v>
      </c>
      <c r="DZV61" s="235" t="s">
        <v>3</v>
      </c>
      <c r="DZW61" s="235" t="s">
        <v>618</v>
      </c>
      <c r="DZX61" s="235" t="s">
        <v>1410</v>
      </c>
      <c r="DZY61" s="235" t="s">
        <v>1411</v>
      </c>
      <c r="DZZ61" s="235" t="s">
        <v>388</v>
      </c>
      <c r="EAA61" s="237" t="s">
        <v>727</v>
      </c>
      <c r="EAB61" s="237" t="s">
        <v>221</v>
      </c>
      <c r="EAC61" s="235" t="s">
        <v>2</v>
      </c>
      <c r="EAD61" s="235" t="s">
        <v>3</v>
      </c>
      <c r="EAE61" s="235" t="s">
        <v>618</v>
      </c>
      <c r="EAF61" s="235" t="s">
        <v>1410</v>
      </c>
      <c r="EAG61" s="235" t="s">
        <v>1411</v>
      </c>
      <c r="EAH61" s="235" t="s">
        <v>388</v>
      </c>
      <c r="EAI61" s="237" t="s">
        <v>727</v>
      </c>
      <c r="EAJ61" s="237" t="s">
        <v>221</v>
      </c>
      <c r="EAK61" s="235" t="s">
        <v>2</v>
      </c>
      <c r="EAL61" s="235" t="s">
        <v>3</v>
      </c>
      <c r="EAM61" s="235" t="s">
        <v>618</v>
      </c>
      <c r="EAN61" s="235" t="s">
        <v>1410</v>
      </c>
      <c r="EAO61" s="235" t="s">
        <v>1411</v>
      </c>
      <c r="EAP61" s="235" t="s">
        <v>388</v>
      </c>
      <c r="EAQ61" s="237" t="s">
        <v>727</v>
      </c>
      <c r="EAR61" s="237" t="s">
        <v>221</v>
      </c>
      <c r="EAS61" s="235" t="s">
        <v>2</v>
      </c>
      <c r="EAT61" s="235" t="s">
        <v>3</v>
      </c>
      <c r="EAU61" s="235" t="s">
        <v>618</v>
      </c>
      <c r="EAV61" s="235" t="s">
        <v>1410</v>
      </c>
      <c r="EAW61" s="235" t="s">
        <v>1411</v>
      </c>
      <c r="EAX61" s="235" t="s">
        <v>388</v>
      </c>
      <c r="EAY61" s="237" t="s">
        <v>727</v>
      </c>
      <c r="EAZ61" s="237" t="s">
        <v>221</v>
      </c>
      <c r="EBA61" s="235" t="s">
        <v>2</v>
      </c>
      <c r="EBB61" s="235" t="s">
        <v>3</v>
      </c>
      <c r="EBC61" s="235" t="s">
        <v>618</v>
      </c>
      <c r="EBD61" s="235" t="s">
        <v>1410</v>
      </c>
      <c r="EBE61" s="235" t="s">
        <v>1411</v>
      </c>
      <c r="EBF61" s="235" t="s">
        <v>388</v>
      </c>
      <c r="EBG61" s="237" t="s">
        <v>727</v>
      </c>
      <c r="EBH61" s="237" t="s">
        <v>221</v>
      </c>
      <c r="EBI61" s="235" t="s">
        <v>2</v>
      </c>
      <c r="EBJ61" s="235" t="s">
        <v>3</v>
      </c>
      <c r="EBK61" s="235" t="s">
        <v>618</v>
      </c>
      <c r="EBL61" s="235" t="s">
        <v>1410</v>
      </c>
      <c r="EBM61" s="235" t="s">
        <v>1411</v>
      </c>
      <c r="EBN61" s="235" t="s">
        <v>388</v>
      </c>
      <c r="EBO61" s="237" t="s">
        <v>727</v>
      </c>
      <c r="EBP61" s="237" t="s">
        <v>221</v>
      </c>
      <c r="EBQ61" s="235" t="s">
        <v>2</v>
      </c>
      <c r="EBR61" s="235" t="s">
        <v>3</v>
      </c>
      <c r="EBS61" s="235" t="s">
        <v>618</v>
      </c>
      <c r="EBT61" s="235" t="s">
        <v>1410</v>
      </c>
      <c r="EBU61" s="235" t="s">
        <v>1411</v>
      </c>
      <c r="EBV61" s="235" t="s">
        <v>388</v>
      </c>
      <c r="EBW61" s="237" t="s">
        <v>727</v>
      </c>
      <c r="EBX61" s="237" t="s">
        <v>221</v>
      </c>
      <c r="EBY61" s="235" t="s">
        <v>2</v>
      </c>
      <c r="EBZ61" s="235" t="s">
        <v>3</v>
      </c>
      <c r="ECA61" s="235" t="s">
        <v>618</v>
      </c>
      <c r="ECB61" s="235" t="s">
        <v>1410</v>
      </c>
      <c r="ECC61" s="235" t="s">
        <v>1411</v>
      </c>
      <c r="ECD61" s="235" t="s">
        <v>388</v>
      </c>
      <c r="ECE61" s="237" t="s">
        <v>727</v>
      </c>
      <c r="ECF61" s="237" t="s">
        <v>221</v>
      </c>
      <c r="ECG61" s="235" t="s">
        <v>2</v>
      </c>
      <c r="ECH61" s="235" t="s">
        <v>3</v>
      </c>
      <c r="ECI61" s="235" t="s">
        <v>618</v>
      </c>
      <c r="ECJ61" s="235" t="s">
        <v>1410</v>
      </c>
      <c r="ECK61" s="235" t="s">
        <v>1411</v>
      </c>
      <c r="ECL61" s="235" t="s">
        <v>388</v>
      </c>
      <c r="ECM61" s="237" t="s">
        <v>727</v>
      </c>
      <c r="ECN61" s="237" t="s">
        <v>221</v>
      </c>
      <c r="ECO61" s="235" t="s">
        <v>2</v>
      </c>
      <c r="ECP61" s="235" t="s">
        <v>3</v>
      </c>
      <c r="ECQ61" s="235" t="s">
        <v>618</v>
      </c>
      <c r="ECR61" s="235" t="s">
        <v>1410</v>
      </c>
      <c r="ECS61" s="235" t="s">
        <v>1411</v>
      </c>
      <c r="ECT61" s="235" t="s">
        <v>388</v>
      </c>
      <c r="ECU61" s="237" t="s">
        <v>727</v>
      </c>
      <c r="ECV61" s="237" t="s">
        <v>221</v>
      </c>
      <c r="ECW61" s="235" t="s">
        <v>2</v>
      </c>
      <c r="ECX61" s="235" t="s">
        <v>3</v>
      </c>
      <c r="ECY61" s="235" t="s">
        <v>618</v>
      </c>
      <c r="ECZ61" s="235" t="s">
        <v>1410</v>
      </c>
      <c r="EDA61" s="235" t="s">
        <v>1411</v>
      </c>
      <c r="EDB61" s="235" t="s">
        <v>388</v>
      </c>
      <c r="EDC61" s="237" t="s">
        <v>727</v>
      </c>
      <c r="EDD61" s="237" t="s">
        <v>221</v>
      </c>
      <c r="EDE61" s="235" t="s">
        <v>2</v>
      </c>
      <c r="EDF61" s="235" t="s">
        <v>3</v>
      </c>
      <c r="EDG61" s="235" t="s">
        <v>618</v>
      </c>
      <c r="EDH61" s="235" t="s">
        <v>1410</v>
      </c>
      <c r="EDI61" s="235" t="s">
        <v>1411</v>
      </c>
      <c r="EDJ61" s="235" t="s">
        <v>388</v>
      </c>
      <c r="EDK61" s="237" t="s">
        <v>727</v>
      </c>
      <c r="EDL61" s="237" t="s">
        <v>221</v>
      </c>
      <c r="EDM61" s="235" t="s">
        <v>2</v>
      </c>
      <c r="EDN61" s="235" t="s">
        <v>3</v>
      </c>
      <c r="EDO61" s="235" t="s">
        <v>618</v>
      </c>
      <c r="EDP61" s="235" t="s">
        <v>1410</v>
      </c>
      <c r="EDQ61" s="235" t="s">
        <v>1411</v>
      </c>
      <c r="EDR61" s="235" t="s">
        <v>388</v>
      </c>
      <c r="EDS61" s="237" t="s">
        <v>727</v>
      </c>
      <c r="EDT61" s="237" t="s">
        <v>221</v>
      </c>
      <c r="EDU61" s="235" t="s">
        <v>2</v>
      </c>
      <c r="EDV61" s="235" t="s">
        <v>3</v>
      </c>
      <c r="EDW61" s="235" t="s">
        <v>618</v>
      </c>
      <c r="EDX61" s="235" t="s">
        <v>1410</v>
      </c>
      <c r="EDY61" s="235" t="s">
        <v>1411</v>
      </c>
      <c r="EDZ61" s="235" t="s">
        <v>388</v>
      </c>
      <c r="EEA61" s="237" t="s">
        <v>727</v>
      </c>
      <c r="EEB61" s="237" t="s">
        <v>221</v>
      </c>
      <c r="EEC61" s="235" t="s">
        <v>2</v>
      </c>
      <c r="EED61" s="235" t="s">
        <v>3</v>
      </c>
      <c r="EEE61" s="235" t="s">
        <v>618</v>
      </c>
      <c r="EEF61" s="235" t="s">
        <v>1410</v>
      </c>
      <c r="EEG61" s="235" t="s">
        <v>1411</v>
      </c>
      <c r="EEH61" s="235" t="s">
        <v>388</v>
      </c>
      <c r="EEI61" s="237" t="s">
        <v>727</v>
      </c>
      <c r="EEJ61" s="237" t="s">
        <v>221</v>
      </c>
      <c r="EEK61" s="235" t="s">
        <v>2</v>
      </c>
      <c r="EEL61" s="235" t="s">
        <v>3</v>
      </c>
      <c r="EEM61" s="235" t="s">
        <v>618</v>
      </c>
      <c r="EEN61" s="235" t="s">
        <v>1410</v>
      </c>
      <c r="EEO61" s="235" t="s">
        <v>1411</v>
      </c>
      <c r="EEP61" s="235" t="s">
        <v>388</v>
      </c>
      <c r="EEQ61" s="237" t="s">
        <v>727</v>
      </c>
      <c r="EER61" s="237" t="s">
        <v>221</v>
      </c>
      <c r="EES61" s="235" t="s">
        <v>2</v>
      </c>
      <c r="EET61" s="235" t="s">
        <v>3</v>
      </c>
      <c r="EEU61" s="235" t="s">
        <v>618</v>
      </c>
      <c r="EEV61" s="235" t="s">
        <v>1410</v>
      </c>
      <c r="EEW61" s="235" t="s">
        <v>1411</v>
      </c>
      <c r="EEX61" s="235" t="s">
        <v>388</v>
      </c>
      <c r="EEY61" s="237" t="s">
        <v>727</v>
      </c>
      <c r="EEZ61" s="237" t="s">
        <v>221</v>
      </c>
      <c r="EFA61" s="235" t="s">
        <v>2</v>
      </c>
      <c r="EFB61" s="235" t="s">
        <v>3</v>
      </c>
      <c r="EFC61" s="235" t="s">
        <v>618</v>
      </c>
      <c r="EFD61" s="235" t="s">
        <v>1410</v>
      </c>
      <c r="EFE61" s="235" t="s">
        <v>1411</v>
      </c>
      <c r="EFF61" s="235" t="s">
        <v>388</v>
      </c>
      <c r="EFG61" s="237" t="s">
        <v>727</v>
      </c>
      <c r="EFH61" s="237" t="s">
        <v>221</v>
      </c>
      <c r="EFI61" s="235" t="s">
        <v>2</v>
      </c>
      <c r="EFJ61" s="235" t="s">
        <v>3</v>
      </c>
      <c r="EFK61" s="235" t="s">
        <v>618</v>
      </c>
      <c r="EFL61" s="235" t="s">
        <v>1410</v>
      </c>
      <c r="EFM61" s="235" t="s">
        <v>1411</v>
      </c>
      <c r="EFN61" s="235" t="s">
        <v>388</v>
      </c>
      <c r="EFO61" s="237" t="s">
        <v>727</v>
      </c>
      <c r="EFP61" s="237" t="s">
        <v>221</v>
      </c>
      <c r="EFQ61" s="235" t="s">
        <v>2</v>
      </c>
      <c r="EFR61" s="235" t="s">
        <v>3</v>
      </c>
      <c r="EFS61" s="235" t="s">
        <v>618</v>
      </c>
      <c r="EFT61" s="235" t="s">
        <v>1410</v>
      </c>
      <c r="EFU61" s="235" t="s">
        <v>1411</v>
      </c>
      <c r="EFV61" s="235" t="s">
        <v>388</v>
      </c>
      <c r="EFW61" s="237" t="s">
        <v>727</v>
      </c>
      <c r="EFX61" s="237" t="s">
        <v>221</v>
      </c>
      <c r="EFY61" s="235" t="s">
        <v>2</v>
      </c>
      <c r="EFZ61" s="235" t="s">
        <v>3</v>
      </c>
      <c r="EGA61" s="235" t="s">
        <v>618</v>
      </c>
      <c r="EGB61" s="235" t="s">
        <v>1410</v>
      </c>
      <c r="EGC61" s="235" t="s">
        <v>1411</v>
      </c>
      <c r="EGD61" s="235" t="s">
        <v>388</v>
      </c>
      <c r="EGE61" s="237" t="s">
        <v>727</v>
      </c>
      <c r="EGF61" s="237" t="s">
        <v>221</v>
      </c>
      <c r="EGG61" s="235" t="s">
        <v>2</v>
      </c>
      <c r="EGH61" s="235" t="s">
        <v>3</v>
      </c>
      <c r="EGI61" s="235" t="s">
        <v>618</v>
      </c>
      <c r="EGJ61" s="235" t="s">
        <v>1410</v>
      </c>
      <c r="EGK61" s="235" t="s">
        <v>1411</v>
      </c>
      <c r="EGL61" s="235" t="s">
        <v>388</v>
      </c>
      <c r="EGM61" s="237" t="s">
        <v>727</v>
      </c>
      <c r="EGN61" s="237" t="s">
        <v>221</v>
      </c>
      <c r="EGO61" s="235" t="s">
        <v>2</v>
      </c>
      <c r="EGP61" s="235" t="s">
        <v>3</v>
      </c>
      <c r="EGQ61" s="235" t="s">
        <v>618</v>
      </c>
      <c r="EGR61" s="235" t="s">
        <v>1410</v>
      </c>
      <c r="EGS61" s="235" t="s">
        <v>1411</v>
      </c>
      <c r="EGT61" s="235" t="s">
        <v>388</v>
      </c>
      <c r="EGU61" s="237" t="s">
        <v>727</v>
      </c>
      <c r="EGV61" s="237" t="s">
        <v>221</v>
      </c>
      <c r="EGW61" s="235" t="s">
        <v>2</v>
      </c>
      <c r="EGX61" s="235" t="s">
        <v>3</v>
      </c>
      <c r="EGY61" s="235" t="s">
        <v>618</v>
      </c>
      <c r="EGZ61" s="235" t="s">
        <v>1410</v>
      </c>
      <c r="EHA61" s="235" t="s">
        <v>1411</v>
      </c>
      <c r="EHB61" s="235" t="s">
        <v>388</v>
      </c>
      <c r="EHC61" s="237" t="s">
        <v>727</v>
      </c>
      <c r="EHD61" s="237" t="s">
        <v>221</v>
      </c>
      <c r="EHE61" s="235" t="s">
        <v>2</v>
      </c>
      <c r="EHF61" s="235" t="s">
        <v>3</v>
      </c>
      <c r="EHG61" s="235" t="s">
        <v>618</v>
      </c>
      <c r="EHH61" s="235" t="s">
        <v>1410</v>
      </c>
      <c r="EHI61" s="235" t="s">
        <v>1411</v>
      </c>
      <c r="EHJ61" s="235" t="s">
        <v>388</v>
      </c>
      <c r="EHK61" s="237" t="s">
        <v>727</v>
      </c>
      <c r="EHL61" s="237" t="s">
        <v>221</v>
      </c>
      <c r="EHM61" s="235" t="s">
        <v>2</v>
      </c>
      <c r="EHN61" s="235" t="s">
        <v>3</v>
      </c>
      <c r="EHO61" s="235" t="s">
        <v>618</v>
      </c>
      <c r="EHP61" s="235" t="s">
        <v>1410</v>
      </c>
      <c r="EHQ61" s="235" t="s">
        <v>1411</v>
      </c>
      <c r="EHR61" s="235" t="s">
        <v>388</v>
      </c>
      <c r="EHS61" s="237" t="s">
        <v>727</v>
      </c>
      <c r="EHT61" s="237" t="s">
        <v>221</v>
      </c>
      <c r="EHU61" s="235" t="s">
        <v>2</v>
      </c>
      <c r="EHV61" s="235" t="s">
        <v>3</v>
      </c>
      <c r="EHW61" s="235" t="s">
        <v>618</v>
      </c>
      <c r="EHX61" s="235" t="s">
        <v>1410</v>
      </c>
      <c r="EHY61" s="235" t="s">
        <v>1411</v>
      </c>
      <c r="EHZ61" s="235" t="s">
        <v>388</v>
      </c>
      <c r="EIA61" s="237" t="s">
        <v>727</v>
      </c>
      <c r="EIB61" s="237" t="s">
        <v>221</v>
      </c>
      <c r="EIC61" s="235" t="s">
        <v>2</v>
      </c>
      <c r="EID61" s="235" t="s">
        <v>3</v>
      </c>
      <c r="EIE61" s="235" t="s">
        <v>618</v>
      </c>
      <c r="EIF61" s="235" t="s">
        <v>1410</v>
      </c>
      <c r="EIG61" s="235" t="s">
        <v>1411</v>
      </c>
      <c r="EIH61" s="235" t="s">
        <v>388</v>
      </c>
      <c r="EII61" s="237" t="s">
        <v>727</v>
      </c>
      <c r="EIJ61" s="237" t="s">
        <v>221</v>
      </c>
      <c r="EIK61" s="235" t="s">
        <v>2</v>
      </c>
      <c r="EIL61" s="235" t="s">
        <v>3</v>
      </c>
      <c r="EIM61" s="235" t="s">
        <v>618</v>
      </c>
      <c r="EIN61" s="235" t="s">
        <v>1410</v>
      </c>
      <c r="EIO61" s="235" t="s">
        <v>1411</v>
      </c>
      <c r="EIP61" s="235" t="s">
        <v>388</v>
      </c>
      <c r="EIQ61" s="237" t="s">
        <v>727</v>
      </c>
      <c r="EIR61" s="237" t="s">
        <v>221</v>
      </c>
      <c r="EIS61" s="235" t="s">
        <v>2</v>
      </c>
      <c r="EIT61" s="235" t="s">
        <v>3</v>
      </c>
      <c r="EIU61" s="235" t="s">
        <v>618</v>
      </c>
      <c r="EIV61" s="235" t="s">
        <v>1410</v>
      </c>
      <c r="EIW61" s="235" t="s">
        <v>1411</v>
      </c>
      <c r="EIX61" s="235" t="s">
        <v>388</v>
      </c>
      <c r="EIY61" s="237" t="s">
        <v>727</v>
      </c>
      <c r="EIZ61" s="237" t="s">
        <v>221</v>
      </c>
      <c r="EJA61" s="235" t="s">
        <v>2</v>
      </c>
      <c r="EJB61" s="235" t="s">
        <v>3</v>
      </c>
      <c r="EJC61" s="235" t="s">
        <v>618</v>
      </c>
      <c r="EJD61" s="235" t="s">
        <v>1410</v>
      </c>
      <c r="EJE61" s="235" t="s">
        <v>1411</v>
      </c>
      <c r="EJF61" s="235" t="s">
        <v>388</v>
      </c>
      <c r="EJG61" s="237" t="s">
        <v>727</v>
      </c>
      <c r="EJH61" s="237" t="s">
        <v>221</v>
      </c>
      <c r="EJI61" s="235" t="s">
        <v>2</v>
      </c>
      <c r="EJJ61" s="235" t="s">
        <v>3</v>
      </c>
      <c r="EJK61" s="235" t="s">
        <v>618</v>
      </c>
      <c r="EJL61" s="235" t="s">
        <v>1410</v>
      </c>
      <c r="EJM61" s="235" t="s">
        <v>1411</v>
      </c>
      <c r="EJN61" s="235" t="s">
        <v>388</v>
      </c>
      <c r="EJO61" s="237" t="s">
        <v>727</v>
      </c>
      <c r="EJP61" s="237" t="s">
        <v>221</v>
      </c>
      <c r="EJQ61" s="235" t="s">
        <v>2</v>
      </c>
      <c r="EJR61" s="235" t="s">
        <v>3</v>
      </c>
      <c r="EJS61" s="235" t="s">
        <v>618</v>
      </c>
      <c r="EJT61" s="235" t="s">
        <v>1410</v>
      </c>
      <c r="EJU61" s="235" t="s">
        <v>1411</v>
      </c>
      <c r="EJV61" s="235" t="s">
        <v>388</v>
      </c>
      <c r="EJW61" s="237" t="s">
        <v>727</v>
      </c>
      <c r="EJX61" s="237" t="s">
        <v>221</v>
      </c>
      <c r="EJY61" s="235" t="s">
        <v>2</v>
      </c>
      <c r="EJZ61" s="235" t="s">
        <v>3</v>
      </c>
      <c r="EKA61" s="235" t="s">
        <v>618</v>
      </c>
      <c r="EKB61" s="235" t="s">
        <v>1410</v>
      </c>
      <c r="EKC61" s="235" t="s">
        <v>1411</v>
      </c>
      <c r="EKD61" s="235" t="s">
        <v>388</v>
      </c>
      <c r="EKE61" s="237" t="s">
        <v>727</v>
      </c>
      <c r="EKF61" s="237" t="s">
        <v>221</v>
      </c>
      <c r="EKG61" s="235" t="s">
        <v>2</v>
      </c>
      <c r="EKH61" s="235" t="s">
        <v>3</v>
      </c>
      <c r="EKI61" s="235" t="s">
        <v>618</v>
      </c>
      <c r="EKJ61" s="235" t="s">
        <v>1410</v>
      </c>
      <c r="EKK61" s="235" t="s">
        <v>1411</v>
      </c>
      <c r="EKL61" s="235" t="s">
        <v>388</v>
      </c>
      <c r="EKM61" s="237" t="s">
        <v>727</v>
      </c>
      <c r="EKN61" s="237" t="s">
        <v>221</v>
      </c>
      <c r="EKO61" s="235" t="s">
        <v>2</v>
      </c>
      <c r="EKP61" s="235" t="s">
        <v>3</v>
      </c>
      <c r="EKQ61" s="235" t="s">
        <v>618</v>
      </c>
      <c r="EKR61" s="235" t="s">
        <v>1410</v>
      </c>
      <c r="EKS61" s="235" t="s">
        <v>1411</v>
      </c>
      <c r="EKT61" s="235" t="s">
        <v>388</v>
      </c>
      <c r="EKU61" s="237" t="s">
        <v>727</v>
      </c>
      <c r="EKV61" s="237" t="s">
        <v>221</v>
      </c>
      <c r="EKW61" s="235" t="s">
        <v>2</v>
      </c>
      <c r="EKX61" s="235" t="s">
        <v>3</v>
      </c>
      <c r="EKY61" s="235" t="s">
        <v>618</v>
      </c>
      <c r="EKZ61" s="235" t="s">
        <v>1410</v>
      </c>
      <c r="ELA61" s="235" t="s">
        <v>1411</v>
      </c>
      <c r="ELB61" s="235" t="s">
        <v>388</v>
      </c>
      <c r="ELC61" s="237" t="s">
        <v>727</v>
      </c>
      <c r="ELD61" s="237" t="s">
        <v>221</v>
      </c>
      <c r="ELE61" s="235" t="s">
        <v>2</v>
      </c>
      <c r="ELF61" s="235" t="s">
        <v>3</v>
      </c>
      <c r="ELG61" s="235" t="s">
        <v>618</v>
      </c>
      <c r="ELH61" s="235" t="s">
        <v>1410</v>
      </c>
      <c r="ELI61" s="235" t="s">
        <v>1411</v>
      </c>
      <c r="ELJ61" s="235" t="s">
        <v>388</v>
      </c>
      <c r="ELK61" s="237" t="s">
        <v>727</v>
      </c>
      <c r="ELL61" s="237" t="s">
        <v>221</v>
      </c>
      <c r="ELM61" s="235" t="s">
        <v>2</v>
      </c>
      <c r="ELN61" s="235" t="s">
        <v>3</v>
      </c>
      <c r="ELO61" s="235" t="s">
        <v>618</v>
      </c>
      <c r="ELP61" s="235" t="s">
        <v>1410</v>
      </c>
      <c r="ELQ61" s="235" t="s">
        <v>1411</v>
      </c>
      <c r="ELR61" s="235" t="s">
        <v>388</v>
      </c>
      <c r="ELS61" s="237" t="s">
        <v>727</v>
      </c>
      <c r="ELT61" s="237" t="s">
        <v>221</v>
      </c>
      <c r="ELU61" s="235" t="s">
        <v>2</v>
      </c>
      <c r="ELV61" s="235" t="s">
        <v>3</v>
      </c>
      <c r="ELW61" s="235" t="s">
        <v>618</v>
      </c>
      <c r="ELX61" s="235" t="s">
        <v>1410</v>
      </c>
      <c r="ELY61" s="235" t="s">
        <v>1411</v>
      </c>
      <c r="ELZ61" s="235" t="s">
        <v>388</v>
      </c>
      <c r="EMA61" s="237" t="s">
        <v>727</v>
      </c>
      <c r="EMB61" s="237" t="s">
        <v>221</v>
      </c>
      <c r="EMC61" s="235" t="s">
        <v>2</v>
      </c>
      <c r="EMD61" s="235" t="s">
        <v>3</v>
      </c>
      <c r="EME61" s="235" t="s">
        <v>618</v>
      </c>
      <c r="EMF61" s="235" t="s">
        <v>1410</v>
      </c>
      <c r="EMG61" s="235" t="s">
        <v>1411</v>
      </c>
      <c r="EMH61" s="235" t="s">
        <v>388</v>
      </c>
      <c r="EMI61" s="237" t="s">
        <v>727</v>
      </c>
      <c r="EMJ61" s="237" t="s">
        <v>221</v>
      </c>
      <c r="EMK61" s="235" t="s">
        <v>2</v>
      </c>
      <c r="EML61" s="235" t="s">
        <v>3</v>
      </c>
      <c r="EMM61" s="235" t="s">
        <v>618</v>
      </c>
      <c r="EMN61" s="235" t="s">
        <v>1410</v>
      </c>
      <c r="EMO61" s="235" t="s">
        <v>1411</v>
      </c>
      <c r="EMP61" s="235" t="s">
        <v>388</v>
      </c>
      <c r="EMQ61" s="237" t="s">
        <v>727</v>
      </c>
      <c r="EMR61" s="237" t="s">
        <v>221</v>
      </c>
      <c r="EMS61" s="235" t="s">
        <v>2</v>
      </c>
      <c r="EMT61" s="235" t="s">
        <v>3</v>
      </c>
      <c r="EMU61" s="235" t="s">
        <v>618</v>
      </c>
      <c r="EMV61" s="235" t="s">
        <v>1410</v>
      </c>
      <c r="EMW61" s="235" t="s">
        <v>1411</v>
      </c>
      <c r="EMX61" s="235" t="s">
        <v>388</v>
      </c>
      <c r="EMY61" s="237" t="s">
        <v>727</v>
      </c>
      <c r="EMZ61" s="237" t="s">
        <v>221</v>
      </c>
      <c r="ENA61" s="235" t="s">
        <v>2</v>
      </c>
      <c r="ENB61" s="235" t="s">
        <v>3</v>
      </c>
      <c r="ENC61" s="235" t="s">
        <v>618</v>
      </c>
      <c r="END61" s="235" t="s">
        <v>1410</v>
      </c>
      <c r="ENE61" s="235" t="s">
        <v>1411</v>
      </c>
      <c r="ENF61" s="235" t="s">
        <v>388</v>
      </c>
      <c r="ENG61" s="237" t="s">
        <v>727</v>
      </c>
      <c r="ENH61" s="237" t="s">
        <v>221</v>
      </c>
      <c r="ENI61" s="235" t="s">
        <v>2</v>
      </c>
      <c r="ENJ61" s="235" t="s">
        <v>3</v>
      </c>
      <c r="ENK61" s="235" t="s">
        <v>618</v>
      </c>
      <c r="ENL61" s="235" t="s">
        <v>1410</v>
      </c>
      <c r="ENM61" s="235" t="s">
        <v>1411</v>
      </c>
      <c r="ENN61" s="235" t="s">
        <v>388</v>
      </c>
      <c r="ENO61" s="237" t="s">
        <v>727</v>
      </c>
      <c r="ENP61" s="237" t="s">
        <v>221</v>
      </c>
      <c r="ENQ61" s="235" t="s">
        <v>2</v>
      </c>
      <c r="ENR61" s="235" t="s">
        <v>3</v>
      </c>
      <c r="ENS61" s="235" t="s">
        <v>618</v>
      </c>
      <c r="ENT61" s="235" t="s">
        <v>1410</v>
      </c>
      <c r="ENU61" s="235" t="s">
        <v>1411</v>
      </c>
      <c r="ENV61" s="235" t="s">
        <v>388</v>
      </c>
      <c r="ENW61" s="237" t="s">
        <v>727</v>
      </c>
      <c r="ENX61" s="237" t="s">
        <v>221</v>
      </c>
      <c r="ENY61" s="235" t="s">
        <v>2</v>
      </c>
      <c r="ENZ61" s="235" t="s">
        <v>3</v>
      </c>
      <c r="EOA61" s="235" t="s">
        <v>618</v>
      </c>
      <c r="EOB61" s="235" t="s">
        <v>1410</v>
      </c>
      <c r="EOC61" s="235" t="s">
        <v>1411</v>
      </c>
      <c r="EOD61" s="235" t="s">
        <v>388</v>
      </c>
      <c r="EOE61" s="237" t="s">
        <v>727</v>
      </c>
      <c r="EOF61" s="237" t="s">
        <v>221</v>
      </c>
      <c r="EOG61" s="235" t="s">
        <v>2</v>
      </c>
      <c r="EOH61" s="235" t="s">
        <v>3</v>
      </c>
      <c r="EOI61" s="235" t="s">
        <v>618</v>
      </c>
      <c r="EOJ61" s="235" t="s">
        <v>1410</v>
      </c>
      <c r="EOK61" s="235" t="s">
        <v>1411</v>
      </c>
      <c r="EOL61" s="235" t="s">
        <v>388</v>
      </c>
      <c r="EOM61" s="237" t="s">
        <v>727</v>
      </c>
      <c r="EON61" s="237" t="s">
        <v>221</v>
      </c>
      <c r="EOO61" s="235" t="s">
        <v>2</v>
      </c>
      <c r="EOP61" s="235" t="s">
        <v>3</v>
      </c>
      <c r="EOQ61" s="235" t="s">
        <v>618</v>
      </c>
      <c r="EOR61" s="235" t="s">
        <v>1410</v>
      </c>
      <c r="EOS61" s="235" t="s">
        <v>1411</v>
      </c>
      <c r="EOT61" s="235" t="s">
        <v>388</v>
      </c>
      <c r="EOU61" s="237" t="s">
        <v>727</v>
      </c>
      <c r="EOV61" s="237" t="s">
        <v>221</v>
      </c>
      <c r="EOW61" s="235" t="s">
        <v>2</v>
      </c>
      <c r="EOX61" s="235" t="s">
        <v>3</v>
      </c>
      <c r="EOY61" s="235" t="s">
        <v>618</v>
      </c>
      <c r="EOZ61" s="235" t="s">
        <v>1410</v>
      </c>
      <c r="EPA61" s="235" t="s">
        <v>1411</v>
      </c>
      <c r="EPB61" s="235" t="s">
        <v>388</v>
      </c>
      <c r="EPC61" s="237" t="s">
        <v>727</v>
      </c>
      <c r="EPD61" s="237" t="s">
        <v>221</v>
      </c>
      <c r="EPE61" s="235" t="s">
        <v>2</v>
      </c>
      <c r="EPF61" s="235" t="s">
        <v>3</v>
      </c>
      <c r="EPG61" s="235" t="s">
        <v>618</v>
      </c>
      <c r="EPH61" s="235" t="s">
        <v>1410</v>
      </c>
      <c r="EPI61" s="235" t="s">
        <v>1411</v>
      </c>
      <c r="EPJ61" s="235" t="s">
        <v>388</v>
      </c>
      <c r="EPK61" s="237" t="s">
        <v>727</v>
      </c>
      <c r="EPL61" s="237" t="s">
        <v>221</v>
      </c>
      <c r="EPM61" s="235" t="s">
        <v>2</v>
      </c>
      <c r="EPN61" s="235" t="s">
        <v>3</v>
      </c>
      <c r="EPO61" s="235" t="s">
        <v>618</v>
      </c>
      <c r="EPP61" s="235" t="s">
        <v>1410</v>
      </c>
      <c r="EPQ61" s="235" t="s">
        <v>1411</v>
      </c>
      <c r="EPR61" s="235" t="s">
        <v>388</v>
      </c>
      <c r="EPS61" s="237" t="s">
        <v>727</v>
      </c>
      <c r="EPT61" s="237" t="s">
        <v>221</v>
      </c>
      <c r="EPU61" s="235" t="s">
        <v>2</v>
      </c>
      <c r="EPV61" s="235" t="s">
        <v>3</v>
      </c>
      <c r="EPW61" s="235" t="s">
        <v>618</v>
      </c>
      <c r="EPX61" s="235" t="s">
        <v>1410</v>
      </c>
      <c r="EPY61" s="235" t="s">
        <v>1411</v>
      </c>
      <c r="EPZ61" s="235" t="s">
        <v>388</v>
      </c>
      <c r="EQA61" s="237" t="s">
        <v>727</v>
      </c>
      <c r="EQB61" s="237" t="s">
        <v>221</v>
      </c>
      <c r="EQC61" s="235" t="s">
        <v>2</v>
      </c>
      <c r="EQD61" s="235" t="s">
        <v>3</v>
      </c>
      <c r="EQE61" s="235" t="s">
        <v>618</v>
      </c>
      <c r="EQF61" s="235" t="s">
        <v>1410</v>
      </c>
      <c r="EQG61" s="235" t="s">
        <v>1411</v>
      </c>
      <c r="EQH61" s="235" t="s">
        <v>388</v>
      </c>
      <c r="EQI61" s="237" t="s">
        <v>727</v>
      </c>
      <c r="EQJ61" s="237" t="s">
        <v>221</v>
      </c>
      <c r="EQK61" s="235" t="s">
        <v>2</v>
      </c>
      <c r="EQL61" s="235" t="s">
        <v>3</v>
      </c>
      <c r="EQM61" s="235" t="s">
        <v>618</v>
      </c>
      <c r="EQN61" s="235" t="s">
        <v>1410</v>
      </c>
      <c r="EQO61" s="235" t="s">
        <v>1411</v>
      </c>
      <c r="EQP61" s="235" t="s">
        <v>388</v>
      </c>
      <c r="EQQ61" s="237" t="s">
        <v>727</v>
      </c>
      <c r="EQR61" s="237" t="s">
        <v>221</v>
      </c>
      <c r="EQS61" s="235" t="s">
        <v>2</v>
      </c>
      <c r="EQT61" s="235" t="s">
        <v>3</v>
      </c>
      <c r="EQU61" s="235" t="s">
        <v>618</v>
      </c>
      <c r="EQV61" s="235" t="s">
        <v>1410</v>
      </c>
      <c r="EQW61" s="235" t="s">
        <v>1411</v>
      </c>
      <c r="EQX61" s="235" t="s">
        <v>388</v>
      </c>
      <c r="EQY61" s="237" t="s">
        <v>727</v>
      </c>
      <c r="EQZ61" s="237" t="s">
        <v>221</v>
      </c>
      <c r="ERA61" s="235" t="s">
        <v>2</v>
      </c>
      <c r="ERB61" s="235" t="s">
        <v>3</v>
      </c>
      <c r="ERC61" s="235" t="s">
        <v>618</v>
      </c>
      <c r="ERD61" s="235" t="s">
        <v>1410</v>
      </c>
      <c r="ERE61" s="235" t="s">
        <v>1411</v>
      </c>
      <c r="ERF61" s="235" t="s">
        <v>388</v>
      </c>
      <c r="ERG61" s="237" t="s">
        <v>727</v>
      </c>
      <c r="ERH61" s="237" t="s">
        <v>221</v>
      </c>
      <c r="ERI61" s="235" t="s">
        <v>2</v>
      </c>
      <c r="ERJ61" s="235" t="s">
        <v>3</v>
      </c>
      <c r="ERK61" s="235" t="s">
        <v>618</v>
      </c>
      <c r="ERL61" s="235" t="s">
        <v>1410</v>
      </c>
      <c r="ERM61" s="235" t="s">
        <v>1411</v>
      </c>
      <c r="ERN61" s="235" t="s">
        <v>388</v>
      </c>
      <c r="ERO61" s="237" t="s">
        <v>727</v>
      </c>
      <c r="ERP61" s="237" t="s">
        <v>221</v>
      </c>
      <c r="ERQ61" s="235" t="s">
        <v>2</v>
      </c>
      <c r="ERR61" s="235" t="s">
        <v>3</v>
      </c>
      <c r="ERS61" s="235" t="s">
        <v>618</v>
      </c>
      <c r="ERT61" s="235" t="s">
        <v>1410</v>
      </c>
      <c r="ERU61" s="235" t="s">
        <v>1411</v>
      </c>
      <c r="ERV61" s="235" t="s">
        <v>388</v>
      </c>
      <c r="ERW61" s="237" t="s">
        <v>727</v>
      </c>
      <c r="ERX61" s="237" t="s">
        <v>221</v>
      </c>
      <c r="ERY61" s="235" t="s">
        <v>2</v>
      </c>
      <c r="ERZ61" s="235" t="s">
        <v>3</v>
      </c>
      <c r="ESA61" s="235" t="s">
        <v>618</v>
      </c>
      <c r="ESB61" s="235" t="s">
        <v>1410</v>
      </c>
      <c r="ESC61" s="235" t="s">
        <v>1411</v>
      </c>
      <c r="ESD61" s="235" t="s">
        <v>388</v>
      </c>
      <c r="ESE61" s="237" t="s">
        <v>727</v>
      </c>
      <c r="ESF61" s="237" t="s">
        <v>221</v>
      </c>
      <c r="ESG61" s="235" t="s">
        <v>2</v>
      </c>
      <c r="ESH61" s="235" t="s">
        <v>3</v>
      </c>
      <c r="ESI61" s="235" t="s">
        <v>618</v>
      </c>
      <c r="ESJ61" s="235" t="s">
        <v>1410</v>
      </c>
      <c r="ESK61" s="235" t="s">
        <v>1411</v>
      </c>
      <c r="ESL61" s="235" t="s">
        <v>388</v>
      </c>
      <c r="ESM61" s="237" t="s">
        <v>727</v>
      </c>
      <c r="ESN61" s="237" t="s">
        <v>221</v>
      </c>
      <c r="ESO61" s="235" t="s">
        <v>2</v>
      </c>
      <c r="ESP61" s="235" t="s">
        <v>3</v>
      </c>
      <c r="ESQ61" s="235" t="s">
        <v>618</v>
      </c>
      <c r="ESR61" s="235" t="s">
        <v>1410</v>
      </c>
      <c r="ESS61" s="235" t="s">
        <v>1411</v>
      </c>
      <c r="EST61" s="235" t="s">
        <v>388</v>
      </c>
      <c r="ESU61" s="237" t="s">
        <v>727</v>
      </c>
      <c r="ESV61" s="237" t="s">
        <v>221</v>
      </c>
      <c r="ESW61" s="235" t="s">
        <v>2</v>
      </c>
      <c r="ESX61" s="235" t="s">
        <v>3</v>
      </c>
      <c r="ESY61" s="235" t="s">
        <v>618</v>
      </c>
      <c r="ESZ61" s="235" t="s">
        <v>1410</v>
      </c>
      <c r="ETA61" s="235" t="s">
        <v>1411</v>
      </c>
      <c r="ETB61" s="235" t="s">
        <v>388</v>
      </c>
      <c r="ETC61" s="237" t="s">
        <v>727</v>
      </c>
      <c r="ETD61" s="237" t="s">
        <v>221</v>
      </c>
      <c r="ETE61" s="235" t="s">
        <v>2</v>
      </c>
      <c r="ETF61" s="235" t="s">
        <v>3</v>
      </c>
      <c r="ETG61" s="235" t="s">
        <v>618</v>
      </c>
      <c r="ETH61" s="235" t="s">
        <v>1410</v>
      </c>
      <c r="ETI61" s="235" t="s">
        <v>1411</v>
      </c>
      <c r="ETJ61" s="235" t="s">
        <v>388</v>
      </c>
      <c r="ETK61" s="237" t="s">
        <v>727</v>
      </c>
      <c r="ETL61" s="237" t="s">
        <v>221</v>
      </c>
      <c r="ETM61" s="235" t="s">
        <v>2</v>
      </c>
      <c r="ETN61" s="235" t="s">
        <v>3</v>
      </c>
      <c r="ETO61" s="235" t="s">
        <v>618</v>
      </c>
      <c r="ETP61" s="235" t="s">
        <v>1410</v>
      </c>
      <c r="ETQ61" s="235" t="s">
        <v>1411</v>
      </c>
      <c r="ETR61" s="235" t="s">
        <v>388</v>
      </c>
      <c r="ETS61" s="237" t="s">
        <v>727</v>
      </c>
      <c r="ETT61" s="237" t="s">
        <v>221</v>
      </c>
      <c r="ETU61" s="235" t="s">
        <v>2</v>
      </c>
      <c r="ETV61" s="235" t="s">
        <v>3</v>
      </c>
      <c r="ETW61" s="235" t="s">
        <v>618</v>
      </c>
      <c r="ETX61" s="235" t="s">
        <v>1410</v>
      </c>
      <c r="ETY61" s="235" t="s">
        <v>1411</v>
      </c>
      <c r="ETZ61" s="235" t="s">
        <v>388</v>
      </c>
      <c r="EUA61" s="237" t="s">
        <v>727</v>
      </c>
      <c r="EUB61" s="237" t="s">
        <v>221</v>
      </c>
      <c r="EUC61" s="235" t="s">
        <v>2</v>
      </c>
      <c r="EUD61" s="235" t="s">
        <v>3</v>
      </c>
      <c r="EUE61" s="235" t="s">
        <v>618</v>
      </c>
      <c r="EUF61" s="235" t="s">
        <v>1410</v>
      </c>
      <c r="EUG61" s="235" t="s">
        <v>1411</v>
      </c>
      <c r="EUH61" s="235" t="s">
        <v>388</v>
      </c>
      <c r="EUI61" s="237" t="s">
        <v>727</v>
      </c>
      <c r="EUJ61" s="237" t="s">
        <v>221</v>
      </c>
      <c r="EUK61" s="235" t="s">
        <v>2</v>
      </c>
      <c r="EUL61" s="235" t="s">
        <v>3</v>
      </c>
      <c r="EUM61" s="235" t="s">
        <v>618</v>
      </c>
      <c r="EUN61" s="235" t="s">
        <v>1410</v>
      </c>
      <c r="EUO61" s="235" t="s">
        <v>1411</v>
      </c>
      <c r="EUP61" s="235" t="s">
        <v>388</v>
      </c>
      <c r="EUQ61" s="237" t="s">
        <v>727</v>
      </c>
      <c r="EUR61" s="237" t="s">
        <v>221</v>
      </c>
      <c r="EUS61" s="235" t="s">
        <v>2</v>
      </c>
      <c r="EUT61" s="235" t="s">
        <v>3</v>
      </c>
      <c r="EUU61" s="235" t="s">
        <v>618</v>
      </c>
      <c r="EUV61" s="235" t="s">
        <v>1410</v>
      </c>
      <c r="EUW61" s="235" t="s">
        <v>1411</v>
      </c>
      <c r="EUX61" s="235" t="s">
        <v>388</v>
      </c>
      <c r="EUY61" s="237" t="s">
        <v>727</v>
      </c>
      <c r="EUZ61" s="237" t="s">
        <v>221</v>
      </c>
      <c r="EVA61" s="235" t="s">
        <v>2</v>
      </c>
      <c r="EVB61" s="235" t="s">
        <v>3</v>
      </c>
      <c r="EVC61" s="235" t="s">
        <v>618</v>
      </c>
      <c r="EVD61" s="235" t="s">
        <v>1410</v>
      </c>
      <c r="EVE61" s="235" t="s">
        <v>1411</v>
      </c>
      <c r="EVF61" s="235" t="s">
        <v>388</v>
      </c>
      <c r="EVG61" s="237" t="s">
        <v>727</v>
      </c>
      <c r="EVH61" s="237" t="s">
        <v>221</v>
      </c>
      <c r="EVI61" s="235" t="s">
        <v>2</v>
      </c>
      <c r="EVJ61" s="235" t="s">
        <v>3</v>
      </c>
      <c r="EVK61" s="235" t="s">
        <v>618</v>
      </c>
      <c r="EVL61" s="235" t="s">
        <v>1410</v>
      </c>
      <c r="EVM61" s="235" t="s">
        <v>1411</v>
      </c>
      <c r="EVN61" s="235" t="s">
        <v>388</v>
      </c>
      <c r="EVO61" s="237" t="s">
        <v>727</v>
      </c>
      <c r="EVP61" s="237" t="s">
        <v>221</v>
      </c>
      <c r="EVQ61" s="235" t="s">
        <v>2</v>
      </c>
      <c r="EVR61" s="235" t="s">
        <v>3</v>
      </c>
      <c r="EVS61" s="235" t="s">
        <v>618</v>
      </c>
      <c r="EVT61" s="235" t="s">
        <v>1410</v>
      </c>
      <c r="EVU61" s="235" t="s">
        <v>1411</v>
      </c>
      <c r="EVV61" s="235" t="s">
        <v>388</v>
      </c>
      <c r="EVW61" s="237" t="s">
        <v>727</v>
      </c>
      <c r="EVX61" s="237" t="s">
        <v>221</v>
      </c>
      <c r="EVY61" s="235" t="s">
        <v>2</v>
      </c>
      <c r="EVZ61" s="235" t="s">
        <v>3</v>
      </c>
      <c r="EWA61" s="235" t="s">
        <v>618</v>
      </c>
      <c r="EWB61" s="235" t="s">
        <v>1410</v>
      </c>
      <c r="EWC61" s="235" t="s">
        <v>1411</v>
      </c>
      <c r="EWD61" s="235" t="s">
        <v>388</v>
      </c>
      <c r="EWE61" s="237" t="s">
        <v>727</v>
      </c>
      <c r="EWF61" s="237" t="s">
        <v>221</v>
      </c>
      <c r="EWG61" s="235" t="s">
        <v>2</v>
      </c>
      <c r="EWH61" s="235" t="s">
        <v>3</v>
      </c>
      <c r="EWI61" s="235" t="s">
        <v>618</v>
      </c>
      <c r="EWJ61" s="235" t="s">
        <v>1410</v>
      </c>
      <c r="EWK61" s="235" t="s">
        <v>1411</v>
      </c>
      <c r="EWL61" s="235" t="s">
        <v>388</v>
      </c>
      <c r="EWM61" s="237" t="s">
        <v>727</v>
      </c>
      <c r="EWN61" s="237" t="s">
        <v>221</v>
      </c>
      <c r="EWO61" s="235" t="s">
        <v>2</v>
      </c>
      <c r="EWP61" s="235" t="s">
        <v>3</v>
      </c>
      <c r="EWQ61" s="235" t="s">
        <v>618</v>
      </c>
      <c r="EWR61" s="235" t="s">
        <v>1410</v>
      </c>
      <c r="EWS61" s="235" t="s">
        <v>1411</v>
      </c>
      <c r="EWT61" s="235" t="s">
        <v>388</v>
      </c>
      <c r="EWU61" s="237" t="s">
        <v>727</v>
      </c>
      <c r="EWV61" s="237" t="s">
        <v>221</v>
      </c>
      <c r="EWW61" s="235" t="s">
        <v>2</v>
      </c>
      <c r="EWX61" s="235" t="s">
        <v>3</v>
      </c>
      <c r="EWY61" s="235" t="s">
        <v>618</v>
      </c>
      <c r="EWZ61" s="235" t="s">
        <v>1410</v>
      </c>
      <c r="EXA61" s="235" t="s">
        <v>1411</v>
      </c>
      <c r="EXB61" s="235" t="s">
        <v>388</v>
      </c>
      <c r="EXC61" s="237" t="s">
        <v>727</v>
      </c>
      <c r="EXD61" s="237" t="s">
        <v>221</v>
      </c>
      <c r="EXE61" s="235" t="s">
        <v>2</v>
      </c>
      <c r="EXF61" s="235" t="s">
        <v>3</v>
      </c>
      <c r="EXG61" s="235" t="s">
        <v>618</v>
      </c>
      <c r="EXH61" s="235" t="s">
        <v>1410</v>
      </c>
      <c r="EXI61" s="235" t="s">
        <v>1411</v>
      </c>
      <c r="EXJ61" s="235" t="s">
        <v>388</v>
      </c>
      <c r="EXK61" s="237" t="s">
        <v>727</v>
      </c>
      <c r="EXL61" s="237" t="s">
        <v>221</v>
      </c>
      <c r="EXM61" s="235" t="s">
        <v>2</v>
      </c>
      <c r="EXN61" s="235" t="s">
        <v>3</v>
      </c>
      <c r="EXO61" s="235" t="s">
        <v>618</v>
      </c>
      <c r="EXP61" s="235" t="s">
        <v>1410</v>
      </c>
      <c r="EXQ61" s="235" t="s">
        <v>1411</v>
      </c>
      <c r="EXR61" s="235" t="s">
        <v>388</v>
      </c>
      <c r="EXS61" s="237" t="s">
        <v>727</v>
      </c>
      <c r="EXT61" s="237" t="s">
        <v>221</v>
      </c>
      <c r="EXU61" s="235" t="s">
        <v>2</v>
      </c>
      <c r="EXV61" s="235" t="s">
        <v>3</v>
      </c>
      <c r="EXW61" s="235" t="s">
        <v>618</v>
      </c>
      <c r="EXX61" s="235" t="s">
        <v>1410</v>
      </c>
      <c r="EXY61" s="235" t="s">
        <v>1411</v>
      </c>
      <c r="EXZ61" s="235" t="s">
        <v>388</v>
      </c>
      <c r="EYA61" s="237" t="s">
        <v>727</v>
      </c>
      <c r="EYB61" s="237" t="s">
        <v>221</v>
      </c>
      <c r="EYC61" s="235" t="s">
        <v>2</v>
      </c>
      <c r="EYD61" s="235" t="s">
        <v>3</v>
      </c>
      <c r="EYE61" s="235" t="s">
        <v>618</v>
      </c>
      <c r="EYF61" s="235" t="s">
        <v>1410</v>
      </c>
      <c r="EYG61" s="235" t="s">
        <v>1411</v>
      </c>
      <c r="EYH61" s="235" t="s">
        <v>388</v>
      </c>
      <c r="EYI61" s="237" t="s">
        <v>727</v>
      </c>
      <c r="EYJ61" s="237" t="s">
        <v>221</v>
      </c>
      <c r="EYK61" s="235" t="s">
        <v>2</v>
      </c>
      <c r="EYL61" s="235" t="s">
        <v>3</v>
      </c>
      <c r="EYM61" s="235" t="s">
        <v>618</v>
      </c>
      <c r="EYN61" s="235" t="s">
        <v>1410</v>
      </c>
      <c r="EYO61" s="235" t="s">
        <v>1411</v>
      </c>
      <c r="EYP61" s="235" t="s">
        <v>388</v>
      </c>
      <c r="EYQ61" s="237" t="s">
        <v>727</v>
      </c>
      <c r="EYR61" s="237" t="s">
        <v>221</v>
      </c>
      <c r="EYS61" s="235" t="s">
        <v>2</v>
      </c>
      <c r="EYT61" s="235" t="s">
        <v>3</v>
      </c>
      <c r="EYU61" s="235" t="s">
        <v>618</v>
      </c>
      <c r="EYV61" s="235" t="s">
        <v>1410</v>
      </c>
      <c r="EYW61" s="235" t="s">
        <v>1411</v>
      </c>
      <c r="EYX61" s="235" t="s">
        <v>388</v>
      </c>
      <c r="EYY61" s="237" t="s">
        <v>727</v>
      </c>
      <c r="EYZ61" s="237" t="s">
        <v>221</v>
      </c>
      <c r="EZA61" s="235" t="s">
        <v>2</v>
      </c>
      <c r="EZB61" s="235" t="s">
        <v>3</v>
      </c>
      <c r="EZC61" s="235" t="s">
        <v>618</v>
      </c>
      <c r="EZD61" s="235" t="s">
        <v>1410</v>
      </c>
      <c r="EZE61" s="235" t="s">
        <v>1411</v>
      </c>
      <c r="EZF61" s="235" t="s">
        <v>388</v>
      </c>
      <c r="EZG61" s="237" t="s">
        <v>727</v>
      </c>
      <c r="EZH61" s="237" t="s">
        <v>221</v>
      </c>
      <c r="EZI61" s="235" t="s">
        <v>2</v>
      </c>
      <c r="EZJ61" s="235" t="s">
        <v>3</v>
      </c>
      <c r="EZK61" s="235" t="s">
        <v>618</v>
      </c>
      <c r="EZL61" s="235" t="s">
        <v>1410</v>
      </c>
      <c r="EZM61" s="235" t="s">
        <v>1411</v>
      </c>
      <c r="EZN61" s="235" t="s">
        <v>388</v>
      </c>
      <c r="EZO61" s="237" t="s">
        <v>727</v>
      </c>
      <c r="EZP61" s="237" t="s">
        <v>221</v>
      </c>
      <c r="EZQ61" s="235" t="s">
        <v>2</v>
      </c>
      <c r="EZR61" s="235" t="s">
        <v>3</v>
      </c>
      <c r="EZS61" s="235" t="s">
        <v>618</v>
      </c>
      <c r="EZT61" s="235" t="s">
        <v>1410</v>
      </c>
      <c r="EZU61" s="235" t="s">
        <v>1411</v>
      </c>
      <c r="EZV61" s="235" t="s">
        <v>388</v>
      </c>
      <c r="EZW61" s="237" t="s">
        <v>727</v>
      </c>
      <c r="EZX61" s="237" t="s">
        <v>221</v>
      </c>
      <c r="EZY61" s="235" t="s">
        <v>2</v>
      </c>
      <c r="EZZ61" s="235" t="s">
        <v>3</v>
      </c>
      <c r="FAA61" s="235" t="s">
        <v>618</v>
      </c>
      <c r="FAB61" s="235" t="s">
        <v>1410</v>
      </c>
      <c r="FAC61" s="235" t="s">
        <v>1411</v>
      </c>
      <c r="FAD61" s="235" t="s">
        <v>388</v>
      </c>
      <c r="FAE61" s="237" t="s">
        <v>727</v>
      </c>
      <c r="FAF61" s="237" t="s">
        <v>221</v>
      </c>
      <c r="FAG61" s="235" t="s">
        <v>2</v>
      </c>
      <c r="FAH61" s="235" t="s">
        <v>3</v>
      </c>
      <c r="FAI61" s="235" t="s">
        <v>618</v>
      </c>
      <c r="FAJ61" s="235" t="s">
        <v>1410</v>
      </c>
      <c r="FAK61" s="235" t="s">
        <v>1411</v>
      </c>
      <c r="FAL61" s="235" t="s">
        <v>388</v>
      </c>
      <c r="FAM61" s="237" t="s">
        <v>727</v>
      </c>
      <c r="FAN61" s="237" t="s">
        <v>221</v>
      </c>
      <c r="FAO61" s="235" t="s">
        <v>2</v>
      </c>
      <c r="FAP61" s="235" t="s">
        <v>3</v>
      </c>
      <c r="FAQ61" s="235" t="s">
        <v>618</v>
      </c>
      <c r="FAR61" s="235" t="s">
        <v>1410</v>
      </c>
      <c r="FAS61" s="235" t="s">
        <v>1411</v>
      </c>
      <c r="FAT61" s="235" t="s">
        <v>388</v>
      </c>
      <c r="FAU61" s="237" t="s">
        <v>727</v>
      </c>
      <c r="FAV61" s="237" t="s">
        <v>221</v>
      </c>
      <c r="FAW61" s="235" t="s">
        <v>2</v>
      </c>
      <c r="FAX61" s="235" t="s">
        <v>3</v>
      </c>
      <c r="FAY61" s="235" t="s">
        <v>618</v>
      </c>
      <c r="FAZ61" s="235" t="s">
        <v>1410</v>
      </c>
      <c r="FBA61" s="235" t="s">
        <v>1411</v>
      </c>
      <c r="FBB61" s="235" t="s">
        <v>388</v>
      </c>
      <c r="FBC61" s="237" t="s">
        <v>727</v>
      </c>
      <c r="FBD61" s="237" t="s">
        <v>221</v>
      </c>
      <c r="FBE61" s="235" t="s">
        <v>2</v>
      </c>
      <c r="FBF61" s="235" t="s">
        <v>3</v>
      </c>
      <c r="FBG61" s="235" t="s">
        <v>618</v>
      </c>
      <c r="FBH61" s="235" t="s">
        <v>1410</v>
      </c>
      <c r="FBI61" s="235" t="s">
        <v>1411</v>
      </c>
      <c r="FBJ61" s="235" t="s">
        <v>388</v>
      </c>
      <c r="FBK61" s="237" t="s">
        <v>727</v>
      </c>
      <c r="FBL61" s="237" t="s">
        <v>221</v>
      </c>
      <c r="FBM61" s="235" t="s">
        <v>2</v>
      </c>
      <c r="FBN61" s="235" t="s">
        <v>3</v>
      </c>
      <c r="FBO61" s="235" t="s">
        <v>618</v>
      </c>
      <c r="FBP61" s="235" t="s">
        <v>1410</v>
      </c>
      <c r="FBQ61" s="235" t="s">
        <v>1411</v>
      </c>
      <c r="FBR61" s="235" t="s">
        <v>388</v>
      </c>
      <c r="FBS61" s="237" t="s">
        <v>727</v>
      </c>
      <c r="FBT61" s="237" t="s">
        <v>221</v>
      </c>
      <c r="FBU61" s="235" t="s">
        <v>2</v>
      </c>
      <c r="FBV61" s="235" t="s">
        <v>3</v>
      </c>
      <c r="FBW61" s="235" t="s">
        <v>618</v>
      </c>
      <c r="FBX61" s="235" t="s">
        <v>1410</v>
      </c>
      <c r="FBY61" s="235" t="s">
        <v>1411</v>
      </c>
      <c r="FBZ61" s="235" t="s">
        <v>388</v>
      </c>
      <c r="FCA61" s="237" t="s">
        <v>727</v>
      </c>
      <c r="FCB61" s="237" t="s">
        <v>221</v>
      </c>
      <c r="FCC61" s="235" t="s">
        <v>2</v>
      </c>
      <c r="FCD61" s="235" t="s">
        <v>3</v>
      </c>
      <c r="FCE61" s="235" t="s">
        <v>618</v>
      </c>
      <c r="FCF61" s="235" t="s">
        <v>1410</v>
      </c>
      <c r="FCG61" s="235" t="s">
        <v>1411</v>
      </c>
      <c r="FCH61" s="235" t="s">
        <v>388</v>
      </c>
      <c r="FCI61" s="237" t="s">
        <v>727</v>
      </c>
      <c r="FCJ61" s="237" t="s">
        <v>221</v>
      </c>
      <c r="FCK61" s="235" t="s">
        <v>2</v>
      </c>
      <c r="FCL61" s="235" t="s">
        <v>3</v>
      </c>
      <c r="FCM61" s="235" t="s">
        <v>618</v>
      </c>
      <c r="FCN61" s="235" t="s">
        <v>1410</v>
      </c>
      <c r="FCO61" s="235" t="s">
        <v>1411</v>
      </c>
      <c r="FCP61" s="235" t="s">
        <v>388</v>
      </c>
      <c r="FCQ61" s="237" t="s">
        <v>727</v>
      </c>
      <c r="FCR61" s="237" t="s">
        <v>221</v>
      </c>
      <c r="FCS61" s="235" t="s">
        <v>2</v>
      </c>
      <c r="FCT61" s="235" t="s">
        <v>3</v>
      </c>
      <c r="FCU61" s="235" t="s">
        <v>618</v>
      </c>
      <c r="FCV61" s="235" t="s">
        <v>1410</v>
      </c>
      <c r="FCW61" s="235" t="s">
        <v>1411</v>
      </c>
      <c r="FCX61" s="235" t="s">
        <v>388</v>
      </c>
      <c r="FCY61" s="237" t="s">
        <v>727</v>
      </c>
      <c r="FCZ61" s="237" t="s">
        <v>221</v>
      </c>
      <c r="FDA61" s="235" t="s">
        <v>2</v>
      </c>
      <c r="FDB61" s="235" t="s">
        <v>3</v>
      </c>
      <c r="FDC61" s="235" t="s">
        <v>618</v>
      </c>
      <c r="FDD61" s="235" t="s">
        <v>1410</v>
      </c>
      <c r="FDE61" s="235" t="s">
        <v>1411</v>
      </c>
      <c r="FDF61" s="235" t="s">
        <v>388</v>
      </c>
      <c r="FDG61" s="237" t="s">
        <v>727</v>
      </c>
      <c r="FDH61" s="237" t="s">
        <v>221</v>
      </c>
      <c r="FDI61" s="235" t="s">
        <v>2</v>
      </c>
      <c r="FDJ61" s="235" t="s">
        <v>3</v>
      </c>
      <c r="FDK61" s="235" t="s">
        <v>618</v>
      </c>
      <c r="FDL61" s="235" t="s">
        <v>1410</v>
      </c>
      <c r="FDM61" s="235" t="s">
        <v>1411</v>
      </c>
      <c r="FDN61" s="235" t="s">
        <v>388</v>
      </c>
      <c r="FDO61" s="237" t="s">
        <v>727</v>
      </c>
      <c r="FDP61" s="237" t="s">
        <v>221</v>
      </c>
      <c r="FDQ61" s="235" t="s">
        <v>2</v>
      </c>
      <c r="FDR61" s="235" t="s">
        <v>3</v>
      </c>
      <c r="FDS61" s="235" t="s">
        <v>618</v>
      </c>
      <c r="FDT61" s="235" t="s">
        <v>1410</v>
      </c>
      <c r="FDU61" s="235" t="s">
        <v>1411</v>
      </c>
      <c r="FDV61" s="235" t="s">
        <v>388</v>
      </c>
      <c r="FDW61" s="237" t="s">
        <v>727</v>
      </c>
      <c r="FDX61" s="237" t="s">
        <v>221</v>
      </c>
      <c r="FDY61" s="235" t="s">
        <v>2</v>
      </c>
      <c r="FDZ61" s="235" t="s">
        <v>3</v>
      </c>
      <c r="FEA61" s="235" t="s">
        <v>618</v>
      </c>
      <c r="FEB61" s="235" t="s">
        <v>1410</v>
      </c>
      <c r="FEC61" s="235" t="s">
        <v>1411</v>
      </c>
      <c r="FED61" s="235" t="s">
        <v>388</v>
      </c>
      <c r="FEE61" s="237" t="s">
        <v>727</v>
      </c>
      <c r="FEF61" s="237" t="s">
        <v>221</v>
      </c>
      <c r="FEG61" s="235" t="s">
        <v>2</v>
      </c>
      <c r="FEH61" s="235" t="s">
        <v>3</v>
      </c>
      <c r="FEI61" s="235" t="s">
        <v>618</v>
      </c>
      <c r="FEJ61" s="235" t="s">
        <v>1410</v>
      </c>
      <c r="FEK61" s="235" t="s">
        <v>1411</v>
      </c>
      <c r="FEL61" s="235" t="s">
        <v>388</v>
      </c>
      <c r="FEM61" s="237" t="s">
        <v>727</v>
      </c>
      <c r="FEN61" s="237" t="s">
        <v>221</v>
      </c>
      <c r="FEO61" s="235" t="s">
        <v>2</v>
      </c>
      <c r="FEP61" s="235" t="s">
        <v>3</v>
      </c>
      <c r="FEQ61" s="235" t="s">
        <v>618</v>
      </c>
      <c r="FER61" s="235" t="s">
        <v>1410</v>
      </c>
      <c r="FES61" s="235" t="s">
        <v>1411</v>
      </c>
      <c r="FET61" s="235" t="s">
        <v>388</v>
      </c>
      <c r="FEU61" s="237" t="s">
        <v>727</v>
      </c>
      <c r="FEV61" s="237" t="s">
        <v>221</v>
      </c>
      <c r="FEW61" s="235" t="s">
        <v>2</v>
      </c>
      <c r="FEX61" s="235" t="s">
        <v>3</v>
      </c>
      <c r="FEY61" s="235" t="s">
        <v>618</v>
      </c>
      <c r="FEZ61" s="235" t="s">
        <v>1410</v>
      </c>
      <c r="FFA61" s="235" t="s">
        <v>1411</v>
      </c>
      <c r="FFB61" s="235" t="s">
        <v>388</v>
      </c>
      <c r="FFC61" s="237" t="s">
        <v>727</v>
      </c>
      <c r="FFD61" s="237" t="s">
        <v>221</v>
      </c>
      <c r="FFE61" s="235" t="s">
        <v>2</v>
      </c>
      <c r="FFF61" s="235" t="s">
        <v>3</v>
      </c>
      <c r="FFG61" s="235" t="s">
        <v>618</v>
      </c>
      <c r="FFH61" s="235" t="s">
        <v>1410</v>
      </c>
      <c r="FFI61" s="235" t="s">
        <v>1411</v>
      </c>
      <c r="FFJ61" s="235" t="s">
        <v>388</v>
      </c>
      <c r="FFK61" s="237" t="s">
        <v>727</v>
      </c>
      <c r="FFL61" s="237" t="s">
        <v>221</v>
      </c>
      <c r="FFM61" s="235" t="s">
        <v>2</v>
      </c>
      <c r="FFN61" s="235" t="s">
        <v>3</v>
      </c>
      <c r="FFO61" s="235" t="s">
        <v>618</v>
      </c>
      <c r="FFP61" s="235" t="s">
        <v>1410</v>
      </c>
      <c r="FFQ61" s="235" t="s">
        <v>1411</v>
      </c>
      <c r="FFR61" s="235" t="s">
        <v>388</v>
      </c>
      <c r="FFS61" s="237" t="s">
        <v>727</v>
      </c>
      <c r="FFT61" s="237" t="s">
        <v>221</v>
      </c>
      <c r="FFU61" s="235" t="s">
        <v>2</v>
      </c>
      <c r="FFV61" s="235" t="s">
        <v>3</v>
      </c>
      <c r="FFW61" s="235" t="s">
        <v>618</v>
      </c>
      <c r="FFX61" s="235" t="s">
        <v>1410</v>
      </c>
      <c r="FFY61" s="235" t="s">
        <v>1411</v>
      </c>
      <c r="FFZ61" s="235" t="s">
        <v>388</v>
      </c>
      <c r="FGA61" s="237" t="s">
        <v>727</v>
      </c>
      <c r="FGB61" s="237" t="s">
        <v>221</v>
      </c>
      <c r="FGC61" s="235" t="s">
        <v>2</v>
      </c>
      <c r="FGD61" s="235" t="s">
        <v>3</v>
      </c>
      <c r="FGE61" s="235" t="s">
        <v>618</v>
      </c>
      <c r="FGF61" s="235" t="s">
        <v>1410</v>
      </c>
      <c r="FGG61" s="235" t="s">
        <v>1411</v>
      </c>
      <c r="FGH61" s="235" t="s">
        <v>388</v>
      </c>
      <c r="FGI61" s="237" t="s">
        <v>727</v>
      </c>
      <c r="FGJ61" s="237" t="s">
        <v>221</v>
      </c>
      <c r="FGK61" s="235" t="s">
        <v>2</v>
      </c>
      <c r="FGL61" s="235" t="s">
        <v>3</v>
      </c>
      <c r="FGM61" s="235" t="s">
        <v>618</v>
      </c>
      <c r="FGN61" s="235" t="s">
        <v>1410</v>
      </c>
      <c r="FGO61" s="235" t="s">
        <v>1411</v>
      </c>
      <c r="FGP61" s="235" t="s">
        <v>388</v>
      </c>
      <c r="FGQ61" s="237" t="s">
        <v>727</v>
      </c>
      <c r="FGR61" s="237" t="s">
        <v>221</v>
      </c>
      <c r="FGS61" s="235" t="s">
        <v>2</v>
      </c>
      <c r="FGT61" s="235" t="s">
        <v>3</v>
      </c>
      <c r="FGU61" s="235" t="s">
        <v>618</v>
      </c>
      <c r="FGV61" s="235" t="s">
        <v>1410</v>
      </c>
      <c r="FGW61" s="235" t="s">
        <v>1411</v>
      </c>
      <c r="FGX61" s="235" t="s">
        <v>388</v>
      </c>
      <c r="FGY61" s="237" t="s">
        <v>727</v>
      </c>
      <c r="FGZ61" s="237" t="s">
        <v>221</v>
      </c>
      <c r="FHA61" s="235" t="s">
        <v>2</v>
      </c>
      <c r="FHB61" s="235" t="s">
        <v>3</v>
      </c>
      <c r="FHC61" s="235" t="s">
        <v>618</v>
      </c>
      <c r="FHD61" s="235" t="s">
        <v>1410</v>
      </c>
      <c r="FHE61" s="235" t="s">
        <v>1411</v>
      </c>
      <c r="FHF61" s="235" t="s">
        <v>388</v>
      </c>
      <c r="FHG61" s="237" t="s">
        <v>727</v>
      </c>
      <c r="FHH61" s="237" t="s">
        <v>221</v>
      </c>
      <c r="FHI61" s="235" t="s">
        <v>2</v>
      </c>
      <c r="FHJ61" s="235" t="s">
        <v>3</v>
      </c>
      <c r="FHK61" s="235" t="s">
        <v>618</v>
      </c>
      <c r="FHL61" s="235" t="s">
        <v>1410</v>
      </c>
      <c r="FHM61" s="235" t="s">
        <v>1411</v>
      </c>
      <c r="FHN61" s="235" t="s">
        <v>388</v>
      </c>
      <c r="FHO61" s="237" t="s">
        <v>727</v>
      </c>
      <c r="FHP61" s="237" t="s">
        <v>221</v>
      </c>
      <c r="FHQ61" s="235" t="s">
        <v>2</v>
      </c>
      <c r="FHR61" s="235" t="s">
        <v>3</v>
      </c>
      <c r="FHS61" s="235" t="s">
        <v>618</v>
      </c>
      <c r="FHT61" s="235" t="s">
        <v>1410</v>
      </c>
      <c r="FHU61" s="235" t="s">
        <v>1411</v>
      </c>
      <c r="FHV61" s="235" t="s">
        <v>388</v>
      </c>
      <c r="FHW61" s="237" t="s">
        <v>727</v>
      </c>
      <c r="FHX61" s="237" t="s">
        <v>221</v>
      </c>
      <c r="FHY61" s="235" t="s">
        <v>2</v>
      </c>
      <c r="FHZ61" s="235" t="s">
        <v>3</v>
      </c>
      <c r="FIA61" s="235" t="s">
        <v>618</v>
      </c>
      <c r="FIB61" s="235" t="s">
        <v>1410</v>
      </c>
      <c r="FIC61" s="235" t="s">
        <v>1411</v>
      </c>
      <c r="FID61" s="235" t="s">
        <v>388</v>
      </c>
      <c r="FIE61" s="237" t="s">
        <v>727</v>
      </c>
      <c r="FIF61" s="237" t="s">
        <v>221</v>
      </c>
      <c r="FIG61" s="235" t="s">
        <v>2</v>
      </c>
      <c r="FIH61" s="235" t="s">
        <v>3</v>
      </c>
      <c r="FII61" s="235" t="s">
        <v>618</v>
      </c>
      <c r="FIJ61" s="235" t="s">
        <v>1410</v>
      </c>
      <c r="FIK61" s="235" t="s">
        <v>1411</v>
      </c>
      <c r="FIL61" s="235" t="s">
        <v>388</v>
      </c>
      <c r="FIM61" s="237" t="s">
        <v>727</v>
      </c>
      <c r="FIN61" s="237" t="s">
        <v>221</v>
      </c>
      <c r="FIO61" s="235" t="s">
        <v>2</v>
      </c>
      <c r="FIP61" s="235" t="s">
        <v>3</v>
      </c>
      <c r="FIQ61" s="235" t="s">
        <v>618</v>
      </c>
      <c r="FIR61" s="235" t="s">
        <v>1410</v>
      </c>
      <c r="FIS61" s="235" t="s">
        <v>1411</v>
      </c>
      <c r="FIT61" s="235" t="s">
        <v>388</v>
      </c>
      <c r="FIU61" s="237" t="s">
        <v>727</v>
      </c>
      <c r="FIV61" s="237" t="s">
        <v>221</v>
      </c>
      <c r="FIW61" s="235" t="s">
        <v>2</v>
      </c>
      <c r="FIX61" s="235" t="s">
        <v>3</v>
      </c>
      <c r="FIY61" s="235" t="s">
        <v>618</v>
      </c>
      <c r="FIZ61" s="235" t="s">
        <v>1410</v>
      </c>
      <c r="FJA61" s="235" t="s">
        <v>1411</v>
      </c>
      <c r="FJB61" s="235" t="s">
        <v>388</v>
      </c>
      <c r="FJC61" s="237" t="s">
        <v>727</v>
      </c>
      <c r="FJD61" s="237" t="s">
        <v>221</v>
      </c>
      <c r="FJE61" s="235" t="s">
        <v>2</v>
      </c>
      <c r="FJF61" s="235" t="s">
        <v>3</v>
      </c>
      <c r="FJG61" s="235" t="s">
        <v>618</v>
      </c>
      <c r="FJH61" s="235" t="s">
        <v>1410</v>
      </c>
      <c r="FJI61" s="235" t="s">
        <v>1411</v>
      </c>
      <c r="FJJ61" s="235" t="s">
        <v>388</v>
      </c>
      <c r="FJK61" s="237" t="s">
        <v>727</v>
      </c>
      <c r="FJL61" s="237" t="s">
        <v>221</v>
      </c>
      <c r="FJM61" s="235" t="s">
        <v>2</v>
      </c>
      <c r="FJN61" s="235" t="s">
        <v>3</v>
      </c>
      <c r="FJO61" s="235" t="s">
        <v>618</v>
      </c>
      <c r="FJP61" s="235" t="s">
        <v>1410</v>
      </c>
      <c r="FJQ61" s="235" t="s">
        <v>1411</v>
      </c>
      <c r="FJR61" s="235" t="s">
        <v>388</v>
      </c>
      <c r="FJS61" s="237" t="s">
        <v>727</v>
      </c>
      <c r="FJT61" s="237" t="s">
        <v>221</v>
      </c>
      <c r="FJU61" s="235" t="s">
        <v>2</v>
      </c>
      <c r="FJV61" s="235" t="s">
        <v>3</v>
      </c>
      <c r="FJW61" s="235" t="s">
        <v>618</v>
      </c>
      <c r="FJX61" s="235" t="s">
        <v>1410</v>
      </c>
      <c r="FJY61" s="235" t="s">
        <v>1411</v>
      </c>
      <c r="FJZ61" s="235" t="s">
        <v>388</v>
      </c>
      <c r="FKA61" s="237" t="s">
        <v>727</v>
      </c>
      <c r="FKB61" s="237" t="s">
        <v>221</v>
      </c>
      <c r="FKC61" s="235" t="s">
        <v>2</v>
      </c>
      <c r="FKD61" s="235" t="s">
        <v>3</v>
      </c>
      <c r="FKE61" s="235" t="s">
        <v>618</v>
      </c>
      <c r="FKF61" s="235" t="s">
        <v>1410</v>
      </c>
      <c r="FKG61" s="235" t="s">
        <v>1411</v>
      </c>
      <c r="FKH61" s="235" t="s">
        <v>388</v>
      </c>
      <c r="FKI61" s="237" t="s">
        <v>727</v>
      </c>
      <c r="FKJ61" s="237" t="s">
        <v>221</v>
      </c>
      <c r="FKK61" s="235" t="s">
        <v>2</v>
      </c>
      <c r="FKL61" s="235" t="s">
        <v>3</v>
      </c>
      <c r="FKM61" s="235" t="s">
        <v>618</v>
      </c>
      <c r="FKN61" s="235" t="s">
        <v>1410</v>
      </c>
      <c r="FKO61" s="235" t="s">
        <v>1411</v>
      </c>
      <c r="FKP61" s="235" t="s">
        <v>388</v>
      </c>
      <c r="FKQ61" s="237" t="s">
        <v>727</v>
      </c>
      <c r="FKR61" s="237" t="s">
        <v>221</v>
      </c>
      <c r="FKS61" s="235" t="s">
        <v>2</v>
      </c>
      <c r="FKT61" s="235" t="s">
        <v>3</v>
      </c>
      <c r="FKU61" s="235" t="s">
        <v>618</v>
      </c>
      <c r="FKV61" s="235" t="s">
        <v>1410</v>
      </c>
      <c r="FKW61" s="235" t="s">
        <v>1411</v>
      </c>
      <c r="FKX61" s="235" t="s">
        <v>388</v>
      </c>
      <c r="FKY61" s="237" t="s">
        <v>727</v>
      </c>
      <c r="FKZ61" s="237" t="s">
        <v>221</v>
      </c>
      <c r="FLA61" s="235" t="s">
        <v>2</v>
      </c>
      <c r="FLB61" s="235" t="s">
        <v>3</v>
      </c>
      <c r="FLC61" s="235" t="s">
        <v>618</v>
      </c>
      <c r="FLD61" s="235" t="s">
        <v>1410</v>
      </c>
      <c r="FLE61" s="235" t="s">
        <v>1411</v>
      </c>
      <c r="FLF61" s="235" t="s">
        <v>388</v>
      </c>
      <c r="FLG61" s="237" t="s">
        <v>727</v>
      </c>
      <c r="FLH61" s="237" t="s">
        <v>221</v>
      </c>
      <c r="FLI61" s="235" t="s">
        <v>2</v>
      </c>
      <c r="FLJ61" s="235" t="s">
        <v>3</v>
      </c>
      <c r="FLK61" s="235" t="s">
        <v>618</v>
      </c>
      <c r="FLL61" s="235" t="s">
        <v>1410</v>
      </c>
      <c r="FLM61" s="235" t="s">
        <v>1411</v>
      </c>
      <c r="FLN61" s="235" t="s">
        <v>388</v>
      </c>
      <c r="FLO61" s="237" t="s">
        <v>727</v>
      </c>
      <c r="FLP61" s="237" t="s">
        <v>221</v>
      </c>
      <c r="FLQ61" s="235" t="s">
        <v>2</v>
      </c>
      <c r="FLR61" s="235" t="s">
        <v>3</v>
      </c>
      <c r="FLS61" s="235" t="s">
        <v>618</v>
      </c>
      <c r="FLT61" s="235" t="s">
        <v>1410</v>
      </c>
      <c r="FLU61" s="235" t="s">
        <v>1411</v>
      </c>
      <c r="FLV61" s="235" t="s">
        <v>388</v>
      </c>
      <c r="FLW61" s="237" t="s">
        <v>727</v>
      </c>
      <c r="FLX61" s="237" t="s">
        <v>221</v>
      </c>
      <c r="FLY61" s="235" t="s">
        <v>2</v>
      </c>
      <c r="FLZ61" s="235" t="s">
        <v>3</v>
      </c>
      <c r="FMA61" s="235" t="s">
        <v>618</v>
      </c>
      <c r="FMB61" s="235" t="s">
        <v>1410</v>
      </c>
      <c r="FMC61" s="235" t="s">
        <v>1411</v>
      </c>
      <c r="FMD61" s="235" t="s">
        <v>388</v>
      </c>
      <c r="FME61" s="237" t="s">
        <v>727</v>
      </c>
      <c r="FMF61" s="237" t="s">
        <v>221</v>
      </c>
      <c r="FMG61" s="235" t="s">
        <v>2</v>
      </c>
      <c r="FMH61" s="235" t="s">
        <v>3</v>
      </c>
      <c r="FMI61" s="235" t="s">
        <v>618</v>
      </c>
      <c r="FMJ61" s="235" t="s">
        <v>1410</v>
      </c>
      <c r="FMK61" s="235" t="s">
        <v>1411</v>
      </c>
      <c r="FML61" s="235" t="s">
        <v>388</v>
      </c>
      <c r="FMM61" s="237" t="s">
        <v>727</v>
      </c>
      <c r="FMN61" s="237" t="s">
        <v>221</v>
      </c>
      <c r="FMO61" s="235" t="s">
        <v>2</v>
      </c>
      <c r="FMP61" s="235" t="s">
        <v>3</v>
      </c>
      <c r="FMQ61" s="235" t="s">
        <v>618</v>
      </c>
      <c r="FMR61" s="235" t="s">
        <v>1410</v>
      </c>
      <c r="FMS61" s="235" t="s">
        <v>1411</v>
      </c>
      <c r="FMT61" s="235" t="s">
        <v>388</v>
      </c>
      <c r="FMU61" s="237" t="s">
        <v>727</v>
      </c>
      <c r="FMV61" s="237" t="s">
        <v>221</v>
      </c>
      <c r="FMW61" s="235" t="s">
        <v>2</v>
      </c>
      <c r="FMX61" s="235" t="s">
        <v>3</v>
      </c>
      <c r="FMY61" s="235" t="s">
        <v>618</v>
      </c>
      <c r="FMZ61" s="235" t="s">
        <v>1410</v>
      </c>
      <c r="FNA61" s="235" t="s">
        <v>1411</v>
      </c>
      <c r="FNB61" s="235" t="s">
        <v>388</v>
      </c>
      <c r="FNC61" s="237" t="s">
        <v>727</v>
      </c>
      <c r="FND61" s="237" t="s">
        <v>221</v>
      </c>
      <c r="FNE61" s="235" t="s">
        <v>2</v>
      </c>
      <c r="FNF61" s="235" t="s">
        <v>3</v>
      </c>
      <c r="FNG61" s="235" t="s">
        <v>618</v>
      </c>
      <c r="FNH61" s="235" t="s">
        <v>1410</v>
      </c>
      <c r="FNI61" s="235" t="s">
        <v>1411</v>
      </c>
      <c r="FNJ61" s="235" t="s">
        <v>388</v>
      </c>
      <c r="FNK61" s="237" t="s">
        <v>727</v>
      </c>
      <c r="FNL61" s="237" t="s">
        <v>221</v>
      </c>
      <c r="FNM61" s="235" t="s">
        <v>2</v>
      </c>
      <c r="FNN61" s="235" t="s">
        <v>3</v>
      </c>
      <c r="FNO61" s="235" t="s">
        <v>618</v>
      </c>
      <c r="FNP61" s="235" t="s">
        <v>1410</v>
      </c>
      <c r="FNQ61" s="235" t="s">
        <v>1411</v>
      </c>
      <c r="FNR61" s="235" t="s">
        <v>388</v>
      </c>
      <c r="FNS61" s="237" t="s">
        <v>727</v>
      </c>
      <c r="FNT61" s="237" t="s">
        <v>221</v>
      </c>
      <c r="FNU61" s="235" t="s">
        <v>2</v>
      </c>
      <c r="FNV61" s="235" t="s">
        <v>3</v>
      </c>
      <c r="FNW61" s="235" t="s">
        <v>618</v>
      </c>
      <c r="FNX61" s="235" t="s">
        <v>1410</v>
      </c>
      <c r="FNY61" s="235" t="s">
        <v>1411</v>
      </c>
      <c r="FNZ61" s="235" t="s">
        <v>388</v>
      </c>
      <c r="FOA61" s="237" t="s">
        <v>727</v>
      </c>
      <c r="FOB61" s="237" t="s">
        <v>221</v>
      </c>
      <c r="FOC61" s="235" t="s">
        <v>2</v>
      </c>
      <c r="FOD61" s="235" t="s">
        <v>3</v>
      </c>
      <c r="FOE61" s="235" t="s">
        <v>618</v>
      </c>
      <c r="FOF61" s="235" t="s">
        <v>1410</v>
      </c>
      <c r="FOG61" s="235" t="s">
        <v>1411</v>
      </c>
      <c r="FOH61" s="235" t="s">
        <v>388</v>
      </c>
      <c r="FOI61" s="237" t="s">
        <v>727</v>
      </c>
      <c r="FOJ61" s="237" t="s">
        <v>221</v>
      </c>
      <c r="FOK61" s="235" t="s">
        <v>2</v>
      </c>
      <c r="FOL61" s="235" t="s">
        <v>3</v>
      </c>
      <c r="FOM61" s="235" t="s">
        <v>618</v>
      </c>
      <c r="FON61" s="235" t="s">
        <v>1410</v>
      </c>
      <c r="FOO61" s="235" t="s">
        <v>1411</v>
      </c>
      <c r="FOP61" s="235" t="s">
        <v>388</v>
      </c>
      <c r="FOQ61" s="237" t="s">
        <v>727</v>
      </c>
      <c r="FOR61" s="237" t="s">
        <v>221</v>
      </c>
      <c r="FOS61" s="235" t="s">
        <v>2</v>
      </c>
      <c r="FOT61" s="235" t="s">
        <v>3</v>
      </c>
      <c r="FOU61" s="235" t="s">
        <v>618</v>
      </c>
      <c r="FOV61" s="235" t="s">
        <v>1410</v>
      </c>
      <c r="FOW61" s="235" t="s">
        <v>1411</v>
      </c>
      <c r="FOX61" s="235" t="s">
        <v>388</v>
      </c>
      <c r="FOY61" s="237" t="s">
        <v>727</v>
      </c>
      <c r="FOZ61" s="237" t="s">
        <v>221</v>
      </c>
      <c r="FPA61" s="235" t="s">
        <v>2</v>
      </c>
      <c r="FPB61" s="235" t="s">
        <v>3</v>
      </c>
      <c r="FPC61" s="235" t="s">
        <v>618</v>
      </c>
      <c r="FPD61" s="235" t="s">
        <v>1410</v>
      </c>
      <c r="FPE61" s="235" t="s">
        <v>1411</v>
      </c>
      <c r="FPF61" s="235" t="s">
        <v>388</v>
      </c>
      <c r="FPG61" s="237" t="s">
        <v>727</v>
      </c>
      <c r="FPH61" s="237" t="s">
        <v>221</v>
      </c>
      <c r="FPI61" s="235" t="s">
        <v>2</v>
      </c>
      <c r="FPJ61" s="235" t="s">
        <v>3</v>
      </c>
      <c r="FPK61" s="235" t="s">
        <v>618</v>
      </c>
      <c r="FPL61" s="235" t="s">
        <v>1410</v>
      </c>
      <c r="FPM61" s="235" t="s">
        <v>1411</v>
      </c>
      <c r="FPN61" s="235" t="s">
        <v>388</v>
      </c>
      <c r="FPO61" s="237" t="s">
        <v>727</v>
      </c>
      <c r="FPP61" s="237" t="s">
        <v>221</v>
      </c>
      <c r="FPQ61" s="235" t="s">
        <v>2</v>
      </c>
      <c r="FPR61" s="235" t="s">
        <v>3</v>
      </c>
      <c r="FPS61" s="235" t="s">
        <v>618</v>
      </c>
      <c r="FPT61" s="235" t="s">
        <v>1410</v>
      </c>
      <c r="FPU61" s="235" t="s">
        <v>1411</v>
      </c>
      <c r="FPV61" s="235" t="s">
        <v>388</v>
      </c>
      <c r="FPW61" s="237" t="s">
        <v>727</v>
      </c>
      <c r="FPX61" s="237" t="s">
        <v>221</v>
      </c>
      <c r="FPY61" s="235" t="s">
        <v>2</v>
      </c>
      <c r="FPZ61" s="235" t="s">
        <v>3</v>
      </c>
      <c r="FQA61" s="235" t="s">
        <v>618</v>
      </c>
      <c r="FQB61" s="235" t="s">
        <v>1410</v>
      </c>
      <c r="FQC61" s="235" t="s">
        <v>1411</v>
      </c>
      <c r="FQD61" s="235" t="s">
        <v>388</v>
      </c>
      <c r="FQE61" s="237" t="s">
        <v>727</v>
      </c>
      <c r="FQF61" s="237" t="s">
        <v>221</v>
      </c>
      <c r="FQG61" s="235" t="s">
        <v>2</v>
      </c>
      <c r="FQH61" s="235" t="s">
        <v>3</v>
      </c>
      <c r="FQI61" s="235" t="s">
        <v>618</v>
      </c>
      <c r="FQJ61" s="235" t="s">
        <v>1410</v>
      </c>
      <c r="FQK61" s="235" t="s">
        <v>1411</v>
      </c>
      <c r="FQL61" s="235" t="s">
        <v>388</v>
      </c>
      <c r="FQM61" s="237" t="s">
        <v>727</v>
      </c>
      <c r="FQN61" s="237" t="s">
        <v>221</v>
      </c>
      <c r="FQO61" s="235" t="s">
        <v>2</v>
      </c>
      <c r="FQP61" s="235" t="s">
        <v>3</v>
      </c>
      <c r="FQQ61" s="235" t="s">
        <v>618</v>
      </c>
      <c r="FQR61" s="235" t="s">
        <v>1410</v>
      </c>
      <c r="FQS61" s="235" t="s">
        <v>1411</v>
      </c>
      <c r="FQT61" s="235" t="s">
        <v>388</v>
      </c>
      <c r="FQU61" s="237" t="s">
        <v>727</v>
      </c>
      <c r="FQV61" s="237" t="s">
        <v>221</v>
      </c>
      <c r="FQW61" s="235" t="s">
        <v>2</v>
      </c>
      <c r="FQX61" s="235" t="s">
        <v>3</v>
      </c>
      <c r="FQY61" s="235" t="s">
        <v>618</v>
      </c>
      <c r="FQZ61" s="235" t="s">
        <v>1410</v>
      </c>
      <c r="FRA61" s="235" t="s">
        <v>1411</v>
      </c>
      <c r="FRB61" s="235" t="s">
        <v>388</v>
      </c>
      <c r="FRC61" s="237" t="s">
        <v>727</v>
      </c>
      <c r="FRD61" s="237" t="s">
        <v>221</v>
      </c>
      <c r="FRE61" s="235" t="s">
        <v>2</v>
      </c>
      <c r="FRF61" s="235" t="s">
        <v>3</v>
      </c>
      <c r="FRG61" s="235" t="s">
        <v>618</v>
      </c>
      <c r="FRH61" s="235" t="s">
        <v>1410</v>
      </c>
      <c r="FRI61" s="235" t="s">
        <v>1411</v>
      </c>
      <c r="FRJ61" s="235" t="s">
        <v>388</v>
      </c>
      <c r="FRK61" s="237" t="s">
        <v>727</v>
      </c>
      <c r="FRL61" s="237" t="s">
        <v>221</v>
      </c>
      <c r="FRM61" s="235" t="s">
        <v>2</v>
      </c>
      <c r="FRN61" s="235" t="s">
        <v>3</v>
      </c>
      <c r="FRO61" s="235" t="s">
        <v>618</v>
      </c>
      <c r="FRP61" s="235" t="s">
        <v>1410</v>
      </c>
      <c r="FRQ61" s="235" t="s">
        <v>1411</v>
      </c>
      <c r="FRR61" s="235" t="s">
        <v>388</v>
      </c>
      <c r="FRS61" s="237" t="s">
        <v>727</v>
      </c>
      <c r="FRT61" s="237" t="s">
        <v>221</v>
      </c>
      <c r="FRU61" s="235" t="s">
        <v>2</v>
      </c>
      <c r="FRV61" s="235" t="s">
        <v>3</v>
      </c>
      <c r="FRW61" s="235" t="s">
        <v>618</v>
      </c>
      <c r="FRX61" s="235" t="s">
        <v>1410</v>
      </c>
      <c r="FRY61" s="235" t="s">
        <v>1411</v>
      </c>
      <c r="FRZ61" s="235" t="s">
        <v>388</v>
      </c>
      <c r="FSA61" s="237" t="s">
        <v>727</v>
      </c>
      <c r="FSB61" s="237" t="s">
        <v>221</v>
      </c>
      <c r="FSC61" s="235" t="s">
        <v>2</v>
      </c>
      <c r="FSD61" s="235" t="s">
        <v>3</v>
      </c>
      <c r="FSE61" s="235" t="s">
        <v>618</v>
      </c>
      <c r="FSF61" s="235" t="s">
        <v>1410</v>
      </c>
      <c r="FSG61" s="235" t="s">
        <v>1411</v>
      </c>
      <c r="FSH61" s="235" t="s">
        <v>388</v>
      </c>
      <c r="FSI61" s="237" t="s">
        <v>727</v>
      </c>
      <c r="FSJ61" s="237" t="s">
        <v>221</v>
      </c>
      <c r="FSK61" s="235" t="s">
        <v>2</v>
      </c>
      <c r="FSL61" s="235" t="s">
        <v>3</v>
      </c>
      <c r="FSM61" s="235" t="s">
        <v>618</v>
      </c>
      <c r="FSN61" s="235" t="s">
        <v>1410</v>
      </c>
      <c r="FSO61" s="235" t="s">
        <v>1411</v>
      </c>
      <c r="FSP61" s="235" t="s">
        <v>388</v>
      </c>
      <c r="FSQ61" s="237" t="s">
        <v>727</v>
      </c>
      <c r="FSR61" s="237" t="s">
        <v>221</v>
      </c>
      <c r="FSS61" s="235" t="s">
        <v>2</v>
      </c>
      <c r="FST61" s="235" t="s">
        <v>3</v>
      </c>
      <c r="FSU61" s="235" t="s">
        <v>618</v>
      </c>
      <c r="FSV61" s="235" t="s">
        <v>1410</v>
      </c>
      <c r="FSW61" s="235" t="s">
        <v>1411</v>
      </c>
      <c r="FSX61" s="235" t="s">
        <v>388</v>
      </c>
      <c r="FSY61" s="237" t="s">
        <v>727</v>
      </c>
      <c r="FSZ61" s="237" t="s">
        <v>221</v>
      </c>
      <c r="FTA61" s="235" t="s">
        <v>2</v>
      </c>
      <c r="FTB61" s="235" t="s">
        <v>3</v>
      </c>
      <c r="FTC61" s="235" t="s">
        <v>618</v>
      </c>
      <c r="FTD61" s="235" t="s">
        <v>1410</v>
      </c>
      <c r="FTE61" s="235" t="s">
        <v>1411</v>
      </c>
      <c r="FTF61" s="235" t="s">
        <v>388</v>
      </c>
      <c r="FTG61" s="237" t="s">
        <v>727</v>
      </c>
      <c r="FTH61" s="237" t="s">
        <v>221</v>
      </c>
      <c r="FTI61" s="235" t="s">
        <v>2</v>
      </c>
      <c r="FTJ61" s="235" t="s">
        <v>3</v>
      </c>
      <c r="FTK61" s="235" t="s">
        <v>618</v>
      </c>
      <c r="FTL61" s="235" t="s">
        <v>1410</v>
      </c>
      <c r="FTM61" s="235" t="s">
        <v>1411</v>
      </c>
      <c r="FTN61" s="235" t="s">
        <v>388</v>
      </c>
      <c r="FTO61" s="237" t="s">
        <v>727</v>
      </c>
      <c r="FTP61" s="237" t="s">
        <v>221</v>
      </c>
      <c r="FTQ61" s="235" t="s">
        <v>2</v>
      </c>
      <c r="FTR61" s="235" t="s">
        <v>3</v>
      </c>
      <c r="FTS61" s="235" t="s">
        <v>618</v>
      </c>
      <c r="FTT61" s="235" t="s">
        <v>1410</v>
      </c>
      <c r="FTU61" s="235" t="s">
        <v>1411</v>
      </c>
      <c r="FTV61" s="235" t="s">
        <v>388</v>
      </c>
      <c r="FTW61" s="237" t="s">
        <v>727</v>
      </c>
      <c r="FTX61" s="237" t="s">
        <v>221</v>
      </c>
      <c r="FTY61" s="235" t="s">
        <v>2</v>
      </c>
      <c r="FTZ61" s="235" t="s">
        <v>3</v>
      </c>
      <c r="FUA61" s="235" t="s">
        <v>618</v>
      </c>
      <c r="FUB61" s="235" t="s">
        <v>1410</v>
      </c>
      <c r="FUC61" s="235" t="s">
        <v>1411</v>
      </c>
      <c r="FUD61" s="235" t="s">
        <v>388</v>
      </c>
      <c r="FUE61" s="237" t="s">
        <v>727</v>
      </c>
      <c r="FUF61" s="237" t="s">
        <v>221</v>
      </c>
      <c r="FUG61" s="235" t="s">
        <v>2</v>
      </c>
      <c r="FUH61" s="235" t="s">
        <v>3</v>
      </c>
      <c r="FUI61" s="235" t="s">
        <v>618</v>
      </c>
      <c r="FUJ61" s="235" t="s">
        <v>1410</v>
      </c>
      <c r="FUK61" s="235" t="s">
        <v>1411</v>
      </c>
      <c r="FUL61" s="235" t="s">
        <v>388</v>
      </c>
      <c r="FUM61" s="237" t="s">
        <v>727</v>
      </c>
      <c r="FUN61" s="237" t="s">
        <v>221</v>
      </c>
      <c r="FUO61" s="235" t="s">
        <v>2</v>
      </c>
      <c r="FUP61" s="235" t="s">
        <v>3</v>
      </c>
      <c r="FUQ61" s="235" t="s">
        <v>618</v>
      </c>
      <c r="FUR61" s="235" t="s">
        <v>1410</v>
      </c>
      <c r="FUS61" s="235" t="s">
        <v>1411</v>
      </c>
      <c r="FUT61" s="235" t="s">
        <v>388</v>
      </c>
      <c r="FUU61" s="237" t="s">
        <v>727</v>
      </c>
      <c r="FUV61" s="237" t="s">
        <v>221</v>
      </c>
      <c r="FUW61" s="235" t="s">
        <v>2</v>
      </c>
      <c r="FUX61" s="235" t="s">
        <v>3</v>
      </c>
      <c r="FUY61" s="235" t="s">
        <v>618</v>
      </c>
      <c r="FUZ61" s="235" t="s">
        <v>1410</v>
      </c>
      <c r="FVA61" s="235" t="s">
        <v>1411</v>
      </c>
      <c r="FVB61" s="235" t="s">
        <v>388</v>
      </c>
      <c r="FVC61" s="237" t="s">
        <v>727</v>
      </c>
      <c r="FVD61" s="237" t="s">
        <v>221</v>
      </c>
      <c r="FVE61" s="235" t="s">
        <v>2</v>
      </c>
      <c r="FVF61" s="235" t="s">
        <v>3</v>
      </c>
      <c r="FVG61" s="235" t="s">
        <v>618</v>
      </c>
      <c r="FVH61" s="235" t="s">
        <v>1410</v>
      </c>
      <c r="FVI61" s="235" t="s">
        <v>1411</v>
      </c>
      <c r="FVJ61" s="235" t="s">
        <v>388</v>
      </c>
      <c r="FVK61" s="237" t="s">
        <v>727</v>
      </c>
      <c r="FVL61" s="237" t="s">
        <v>221</v>
      </c>
      <c r="FVM61" s="235" t="s">
        <v>2</v>
      </c>
      <c r="FVN61" s="235" t="s">
        <v>3</v>
      </c>
      <c r="FVO61" s="235" t="s">
        <v>618</v>
      </c>
      <c r="FVP61" s="235" t="s">
        <v>1410</v>
      </c>
      <c r="FVQ61" s="235" t="s">
        <v>1411</v>
      </c>
      <c r="FVR61" s="235" t="s">
        <v>388</v>
      </c>
      <c r="FVS61" s="237" t="s">
        <v>727</v>
      </c>
      <c r="FVT61" s="237" t="s">
        <v>221</v>
      </c>
      <c r="FVU61" s="235" t="s">
        <v>2</v>
      </c>
      <c r="FVV61" s="235" t="s">
        <v>3</v>
      </c>
      <c r="FVW61" s="235" t="s">
        <v>618</v>
      </c>
      <c r="FVX61" s="235" t="s">
        <v>1410</v>
      </c>
      <c r="FVY61" s="235" t="s">
        <v>1411</v>
      </c>
      <c r="FVZ61" s="235" t="s">
        <v>388</v>
      </c>
      <c r="FWA61" s="237" t="s">
        <v>727</v>
      </c>
      <c r="FWB61" s="237" t="s">
        <v>221</v>
      </c>
      <c r="FWC61" s="235" t="s">
        <v>2</v>
      </c>
      <c r="FWD61" s="235" t="s">
        <v>3</v>
      </c>
      <c r="FWE61" s="235" t="s">
        <v>618</v>
      </c>
      <c r="FWF61" s="235" t="s">
        <v>1410</v>
      </c>
      <c r="FWG61" s="235" t="s">
        <v>1411</v>
      </c>
      <c r="FWH61" s="235" t="s">
        <v>388</v>
      </c>
      <c r="FWI61" s="237" t="s">
        <v>727</v>
      </c>
      <c r="FWJ61" s="237" t="s">
        <v>221</v>
      </c>
      <c r="FWK61" s="235" t="s">
        <v>2</v>
      </c>
      <c r="FWL61" s="235" t="s">
        <v>3</v>
      </c>
      <c r="FWM61" s="235" t="s">
        <v>618</v>
      </c>
      <c r="FWN61" s="235" t="s">
        <v>1410</v>
      </c>
      <c r="FWO61" s="235" t="s">
        <v>1411</v>
      </c>
      <c r="FWP61" s="235" t="s">
        <v>388</v>
      </c>
      <c r="FWQ61" s="237" t="s">
        <v>727</v>
      </c>
      <c r="FWR61" s="237" t="s">
        <v>221</v>
      </c>
      <c r="FWS61" s="235" t="s">
        <v>2</v>
      </c>
      <c r="FWT61" s="235" t="s">
        <v>3</v>
      </c>
      <c r="FWU61" s="235" t="s">
        <v>618</v>
      </c>
      <c r="FWV61" s="235" t="s">
        <v>1410</v>
      </c>
      <c r="FWW61" s="235" t="s">
        <v>1411</v>
      </c>
      <c r="FWX61" s="235" t="s">
        <v>388</v>
      </c>
      <c r="FWY61" s="237" t="s">
        <v>727</v>
      </c>
      <c r="FWZ61" s="237" t="s">
        <v>221</v>
      </c>
      <c r="FXA61" s="235" t="s">
        <v>2</v>
      </c>
      <c r="FXB61" s="235" t="s">
        <v>3</v>
      </c>
      <c r="FXC61" s="235" t="s">
        <v>618</v>
      </c>
      <c r="FXD61" s="235" t="s">
        <v>1410</v>
      </c>
      <c r="FXE61" s="235" t="s">
        <v>1411</v>
      </c>
      <c r="FXF61" s="235" t="s">
        <v>388</v>
      </c>
      <c r="FXG61" s="237" t="s">
        <v>727</v>
      </c>
      <c r="FXH61" s="237" t="s">
        <v>221</v>
      </c>
      <c r="FXI61" s="235" t="s">
        <v>2</v>
      </c>
      <c r="FXJ61" s="235" t="s">
        <v>3</v>
      </c>
      <c r="FXK61" s="235" t="s">
        <v>618</v>
      </c>
      <c r="FXL61" s="235" t="s">
        <v>1410</v>
      </c>
      <c r="FXM61" s="235" t="s">
        <v>1411</v>
      </c>
      <c r="FXN61" s="235" t="s">
        <v>388</v>
      </c>
      <c r="FXO61" s="237" t="s">
        <v>727</v>
      </c>
      <c r="FXP61" s="237" t="s">
        <v>221</v>
      </c>
      <c r="FXQ61" s="235" t="s">
        <v>2</v>
      </c>
      <c r="FXR61" s="235" t="s">
        <v>3</v>
      </c>
      <c r="FXS61" s="235" t="s">
        <v>618</v>
      </c>
      <c r="FXT61" s="235" t="s">
        <v>1410</v>
      </c>
      <c r="FXU61" s="235" t="s">
        <v>1411</v>
      </c>
      <c r="FXV61" s="235" t="s">
        <v>388</v>
      </c>
      <c r="FXW61" s="237" t="s">
        <v>727</v>
      </c>
      <c r="FXX61" s="237" t="s">
        <v>221</v>
      </c>
      <c r="FXY61" s="235" t="s">
        <v>2</v>
      </c>
      <c r="FXZ61" s="235" t="s">
        <v>3</v>
      </c>
      <c r="FYA61" s="235" t="s">
        <v>618</v>
      </c>
      <c r="FYB61" s="235" t="s">
        <v>1410</v>
      </c>
      <c r="FYC61" s="235" t="s">
        <v>1411</v>
      </c>
      <c r="FYD61" s="235" t="s">
        <v>388</v>
      </c>
      <c r="FYE61" s="237" t="s">
        <v>727</v>
      </c>
      <c r="FYF61" s="237" t="s">
        <v>221</v>
      </c>
      <c r="FYG61" s="235" t="s">
        <v>2</v>
      </c>
      <c r="FYH61" s="235" t="s">
        <v>3</v>
      </c>
      <c r="FYI61" s="235" t="s">
        <v>618</v>
      </c>
      <c r="FYJ61" s="235" t="s">
        <v>1410</v>
      </c>
      <c r="FYK61" s="235" t="s">
        <v>1411</v>
      </c>
      <c r="FYL61" s="235" t="s">
        <v>388</v>
      </c>
      <c r="FYM61" s="237" t="s">
        <v>727</v>
      </c>
      <c r="FYN61" s="237" t="s">
        <v>221</v>
      </c>
      <c r="FYO61" s="235" t="s">
        <v>2</v>
      </c>
      <c r="FYP61" s="235" t="s">
        <v>3</v>
      </c>
      <c r="FYQ61" s="235" t="s">
        <v>618</v>
      </c>
      <c r="FYR61" s="235" t="s">
        <v>1410</v>
      </c>
      <c r="FYS61" s="235" t="s">
        <v>1411</v>
      </c>
      <c r="FYT61" s="235" t="s">
        <v>388</v>
      </c>
      <c r="FYU61" s="237" t="s">
        <v>727</v>
      </c>
      <c r="FYV61" s="237" t="s">
        <v>221</v>
      </c>
      <c r="FYW61" s="235" t="s">
        <v>2</v>
      </c>
      <c r="FYX61" s="235" t="s">
        <v>3</v>
      </c>
      <c r="FYY61" s="235" t="s">
        <v>618</v>
      </c>
      <c r="FYZ61" s="235" t="s">
        <v>1410</v>
      </c>
      <c r="FZA61" s="235" t="s">
        <v>1411</v>
      </c>
      <c r="FZB61" s="235" t="s">
        <v>388</v>
      </c>
      <c r="FZC61" s="237" t="s">
        <v>727</v>
      </c>
      <c r="FZD61" s="237" t="s">
        <v>221</v>
      </c>
      <c r="FZE61" s="235" t="s">
        <v>2</v>
      </c>
      <c r="FZF61" s="235" t="s">
        <v>3</v>
      </c>
      <c r="FZG61" s="235" t="s">
        <v>618</v>
      </c>
      <c r="FZH61" s="235" t="s">
        <v>1410</v>
      </c>
      <c r="FZI61" s="235" t="s">
        <v>1411</v>
      </c>
      <c r="FZJ61" s="235" t="s">
        <v>388</v>
      </c>
      <c r="FZK61" s="237" t="s">
        <v>727</v>
      </c>
      <c r="FZL61" s="237" t="s">
        <v>221</v>
      </c>
      <c r="FZM61" s="235" t="s">
        <v>2</v>
      </c>
      <c r="FZN61" s="235" t="s">
        <v>3</v>
      </c>
      <c r="FZO61" s="235" t="s">
        <v>618</v>
      </c>
      <c r="FZP61" s="235" t="s">
        <v>1410</v>
      </c>
      <c r="FZQ61" s="235" t="s">
        <v>1411</v>
      </c>
      <c r="FZR61" s="235" t="s">
        <v>388</v>
      </c>
      <c r="FZS61" s="237" t="s">
        <v>727</v>
      </c>
      <c r="FZT61" s="237" t="s">
        <v>221</v>
      </c>
      <c r="FZU61" s="235" t="s">
        <v>2</v>
      </c>
      <c r="FZV61" s="235" t="s">
        <v>3</v>
      </c>
      <c r="FZW61" s="235" t="s">
        <v>618</v>
      </c>
      <c r="FZX61" s="235" t="s">
        <v>1410</v>
      </c>
      <c r="FZY61" s="235" t="s">
        <v>1411</v>
      </c>
      <c r="FZZ61" s="235" t="s">
        <v>388</v>
      </c>
      <c r="GAA61" s="237" t="s">
        <v>727</v>
      </c>
      <c r="GAB61" s="237" t="s">
        <v>221</v>
      </c>
      <c r="GAC61" s="235" t="s">
        <v>2</v>
      </c>
      <c r="GAD61" s="235" t="s">
        <v>3</v>
      </c>
      <c r="GAE61" s="235" t="s">
        <v>618</v>
      </c>
      <c r="GAF61" s="235" t="s">
        <v>1410</v>
      </c>
      <c r="GAG61" s="235" t="s">
        <v>1411</v>
      </c>
      <c r="GAH61" s="235" t="s">
        <v>388</v>
      </c>
      <c r="GAI61" s="237" t="s">
        <v>727</v>
      </c>
      <c r="GAJ61" s="237" t="s">
        <v>221</v>
      </c>
      <c r="GAK61" s="235" t="s">
        <v>2</v>
      </c>
      <c r="GAL61" s="235" t="s">
        <v>3</v>
      </c>
      <c r="GAM61" s="235" t="s">
        <v>618</v>
      </c>
      <c r="GAN61" s="235" t="s">
        <v>1410</v>
      </c>
      <c r="GAO61" s="235" t="s">
        <v>1411</v>
      </c>
      <c r="GAP61" s="235" t="s">
        <v>388</v>
      </c>
      <c r="GAQ61" s="237" t="s">
        <v>727</v>
      </c>
      <c r="GAR61" s="237" t="s">
        <v>221</v>
      </c>
      <c r="GAS61" s="235" t="s">
        <v>2</v>
      </c>
      <c r="GAT61" s="235" t="s">
        <v>3</v>
      </c>
      <c r="GAU61" s="235" t="s">
        <v>618</v>
      </c>
      <c r="GAV61" s="235" t="s">
        <v>1410</v>
      </c>
      <c r="GAW61" s="235" t="s">
        <v>1411</v>
      </c>
      <c r="GAX61" s="235" t="s">
        <v>388</v>
      </c>
      <c r="GAY61" s="237" t="s">
        <v>727</v>
      </c>
      <c r="GAZ61" s="237" t="s">
        <v>221</v>
      </c>
      <c r="GBA61" s="235" t="s">
        <v>2</v>
      </c>
      <c r="GBB61" s="235" t="s">
        <v>3</v>
      </c>
      <c r="GBC61" s="235" t="s">
        <v>618</v>
      </c>
      <c r="GBD61" s="235" t="s">
        <v>1410</v>
      </c>
      <c r="GBE61" s="235" t="s">
        <v>1411</v>
      </c>
      <c r="GBF61" s="235" t="s">
        <v>388</v>
      </c>
      <c r="GBG61" s="237" t="s">
        <v>727</v>
      </c>
      <c r="GBH61" s="237" t="s">
        <v>221</v>
      </c>
      <c r="GBI61" s="235" t="s">
        <v>2</v>
      </c>
      <c r="GBJ61" s="235" t="s">
        <v>3</v>
      </c>
      <c r="GBK61" s="235" t="s">
        <v>618</v>
      </c>
      <c r="GBL61" s="235" t="s">
        <v>1410</v>
      </c>
      <c r="GBM61" s="235" t="s">
        <v>1411</v>
      </c>
      <c r="GBN61" s="235" t="s">
        <v>388</v>
      </c>
      <c r="GBO61" s="237" t="s">
        <v>727</v>
      </c>
      <c r="GBP61" s="237" t="s">
        <v>221</v>
      </c>
      <c r="GBQ61" s="235" t="s">
        <v>2</v>
      </c>
      <c r="GBR61" s="235" t="s">
        <v>3</v>
      </c>
      <c r="GBS61" s="235" t="s">
        <v>618</v>
      </c>
      <c r="GBT61" s="235" t="s">
        <v>1410</v>
      </c>
      <c r="GBU61" s="235" t="s">
        <v>1411</v>
      </c>
      <c r="GBV61" s="235" t="s">
        <v>388</v>
      </c>
      <c r="GBW61" s="237" t="s">
        <v>727</v>
      </c>
      <c r="GBX61" s="237" t="s">
        <v>221</v>
      </c>
      <c r="GBY61" s="235" t="s">
        <v>2</v>
      </c>
      <c r="GBZ61" s="235" t="s">
        <v>3</v>
      </c>
      <c r="GCA61" s="235" t="s">
        <v>618</v>
      </c>
      <c r="GCB61" s="235" t="s">
        <v>1410</v>
      </c>
      <c r="GCC61" s="235" t="s">
        <v>1411</v>
      </c>
      <c r="GCD61" s="235" t="s">
        <v>388</v>
      </c>
      <c r="GCE61" s="237" t="s">
        <v>727</v>
      </c>
      <c r="GCF61" s="237" t="s">
        <v>221</v>
      </c>
      <c r="GCG61" s="235" t="s">
        <v>2</v>
      </c>
      <c r="GCH61" s="235" t="s">
        <v>3</v>
      </c>
      <c r="GCI61" s="235" t="s">
        <v>618</v>
      </c>
      <c r="GCJ61" s="235" t="s">
        <v>1410</v>
      </c>
      <c r="GCK61" s="235" t="s">
        <v>1411</v>
      </c>
      <c r="GCL61" s="235" t="s">
        <v>388</v>
      </c>
      <c r="GCM61" s="237" t="s">
        <v>727</v>
      </c>
      <c r="GCN61" s="237" t="s">
        <v>221</v>
      </c>
      <c r="GCO61" s="235" t="s">
        <v>2</v>
      </c>
      <c r="GCP61" s="235" t="s">
        <v>3</v>
      </c>
      <c r="GCQ61" s="235" t="s">
        <v>618</v>
      </c>
      <c r="GCR61" s="235" t="s">
        <v>1410</v>
      </c>
      <c r="GCS61" s="235" t="s">
        <v>1411</v>
      </c>
      <c r="GCT61" s="235" t="s">
        <v>388</v>
      </c>
      <c r="GCU61" s="237" t="s">
        <v>727</v>
      </c>
      <c r="GCV61" s="237" t="s">
        <v>221</v>
      </c>
      <c r="GCW61" s="235" t="s">
        <v>2</v>
      </c>
      <c r="GCX61" s="235" t="s">
        <v>3</v>
      </c>
      <c r="GCY61" s="235" t="s">
        <v>618</v>
      </c>
      <c r="GCZ61" s="235" t="s">
        <v>1410</v>
      </c>
      <c r="GDA61" s="235" t="s">
        <v>1411</v>
      </c>
      <c r="GDB61" s="235" t="s">
        <v>388</v>
      </c>
      <c r="GDC61" s="237" t="s">
        <v>727</v>
      </c>
      <c r="GDD61" s="237" t="s">
        <v>221</v>
      </c>
      <c r="GDE61" s="235" t="s">
        <v>2</v>
      </c>
      <c r="GDF61" s="235" t="s">
        <v>3</v>
      </c>
      <c r="GDG61" s="235" t="s">
        <v>618</v>
      </c>
      <c r="GDH61" s="235" t="s">
        <v>1410</v>
      </c>
      <c r="GDI61" s="235" t="s">
        <v>1411</v>
      </c>
      <c r="GDJ61" s="235" t="s">
        <v>388</v>
      </c>
      <c r="GDK61" s="237" t="s">
        <v>727</v>
      </c>
      <c r="GDL61" s="237" t="s">
        <v>221</v>
      </c>
      <c r="GDM61" s="235" t="s">
        <v>2</v>
      </c>
      <c r="GDN61" s="235" t="s">
        <v>3</v>
      </c>
      <c r="GDO61" s="235" t="s">
        <v>618</v>
      </c>
      <c r="GDP61" s="235" t="s">
        <v>1410</v>
      </c>
      <c r="GDQ61" s="235" t="s">
        <v>1411</v>
      </c>
      <c r="GDR61" s="235" t="s">
        <v>388</v>
      </c>
      <c r="GDS61" s="237" t="s">
        <v>727</v>
      </c>
      <c r="GDT61" s="237" t="s">
        <v>221</v>
      </c>
      <c r="GDU61" s="235" t="s">
        <v>2</v>
      </c>
      <c r="GDV61" s="235" t="s">
        <v>3</v>
      </c>
      <c r="GDW61" s="235" t="s">
        <v>618</v>
      </c>
      <c r="GDX61" s="235" t="s">
        <v>1410</v>
      </c>
      <c r="GDY61" s="235" t="s">
        <v>1411</v>
      </c>
      <c r="GDZ61" s="235" t="s">
        <v>388</v>
      </c>
      <c r="GEA61" s="237" t="s">
        <v>727</v>
      </c>
      <c r="GEB61" s="237" t="s">
        <v>221</v>
      </c>
      <c r="GEC61" s="235" t="s">
        <v>2</v>
      </c>
      <c r="GED61" s="235" t="s">
        <v>3</v>
      </c>
      <c r="GEE61" s="235" t="s">
        <v>618</v>
      </c>
      <c r="GEF61" s="235" t="s">
        <v>1410</v>
      </c>
      <c r="GEG61" s="235" t="s">
        <v>1411</v>
      </c>
      <c r="GEH61" s="235" t="s">
        <v>388</v>
      </c>
      <c r="GEI61" s="237" t="s">
        <v>727</v>
      </c>
      <c r="GEJ61" s="237" t="s">
        <v>221</v>
      </c>
      <c r="GEK61" s="235" t="s">
        <v>2</v>
      </c>
      <c r="GEL61" s="235" t="s">
        <v>3</v>
      </c>
      <c r="GEM61" s="235" t="s">
        <v>618</v>
      </c>
      <c r="GEN61" s="235" t="s">
        <v>1410</v>
      </c>
      <c r="GEO61" s="235" t="s">
        <v>1411</v>
      </c>
      <c r="GEP61" s="235" t="s">
        <v>388</v>
      </c>
      <c r="GEQ61" s="237" t="s">
        <v>727</v>
      </c>
      <c r="GER61" s="237" t="s">
        <v>221</v>
      </c>
      <c r="GES61" s="235" t="s">
        <v>2</v>
      </c>
      <c r="GET61" s="235" t="s">
        <v>3</v>
      </c>
      <c r="GEU61" s="235" t="s">
        <v>618</v>
      </c>
      <c r="GEV61" s="235" t="s">
        <v>1410</v>
      </c>
      <c r="GEW61" s="235" t="s">
        <v>1411</v>
      </c>
      <c r="GEX61" s="235" t="s">
        <v>388</v>
      </c>
      <c r="GEY61" s="237" t="s">
        <v>727</v>
      </c>
      <c r="GEZ61" s="237" t="s">
        <v>221</v>
      </c>
      <c r="GFA61" s="235" t="s">
        <v>2</v>
      </c>
      <c r="GFB61" s="235" t="s">
        <v>3</v>
      </c>
      <c r="GFC61" s="235" t="s">
        <v>618</v>
      </c>
      <c r="GFD61" s="235" t="s">
        <v>1410</v>
      </c>
      <c r="GFE61" s="235" t="s">
        <v>1411</v>
      </c>
      <c r="GFF61" s="235" t="s">
        <v>388</v>
      </c>
      <c r="GFG61" s="237" t="s">
        <v>727</v>
      </c>
      <c r="GFH61" s="237" t="s">
        <v>221</v>
      </c>
      <c r="GFI61" s="235" t="s">
        <v>2</v>
      </c>
      <c r="GFJ61" s="235" t="s">
        <v>3</v>
      </c>
      <c r="GFK61" s="235" t="s">
        <v>618</v>
      </c>
      <c r="GFL61" s="235" t="s">
        <v>1410</v>
      </c>
      <c r="GFM61" s="235" t="s">
        <v>1411</v>
      </c>
      <c r="GFN61" s="235" t="s">
        <v>388</v>
      </c>
      <c r="GFO61" s="237" t="s">
        <v>727</v>
      </c>
      <c r="GFP61" s="237" t="s">
        <v>221</v>
      </c>
      <c r="GFQ61" s="235" t="s">
        <v>2</v>
      </c>
      <c r="GFR61" s="235" t="s">
        <v>3</v>
      </c>
      <c r="GFS61" s="235" t="s">
        <v>618</v>
      </c>
      <c r="GFT61" s="235" t="s">
        <v>1410</v>
      </c>
      <c r="GFU61" s="235" t="s">
        <v>1411</v>
      </c>
      <c r="GFV61" s="235" t="s">
        <v>388</v>
      </c>
      <c r="GFW61" s="237" t="s">
        <v>727</v>
      </c>
      <c r="GFX61" s="237" t="s">
        <v>221</v>
      </c>
      <c r="GFY61" s="235" t="s">
        <v>2</v>
      </c>
      <c r="GFZ61" s="235" t="s">
        <v>3</v>
      </c>
      <c r="GGA61" s="235" t="s">
        <v>618</v>
      </c>
      <c r="GGB61" s="235" t="s">
        <v>1410</v>
      </c>
      <c r="GGC61" s="235" t="s">
        <v>1411</v>
      </c>
      <c r="GGD61" s="235" t="s">
        <v>388</v>
      </c>
      <c r="GGE61" s="237" t="s">
        <v>727</v>
      </c>
      <c r="GGF61" s="237" t="s">
        <v>221</v>
      </c>
      <c r="GGG61" s="235" t="s">
        <v>2</v>
      </c>
      <c r="GGH61" s="235" t="s">
        <v>3</v>
      </c>
      <c r="GGI61" s="235" t="s">
        <v>618</v>
      </c>
      <c r="GGJ61" s="235" t="s">
        <v>1410</v>
      </c>
      <c r="GGK61" s="235" t="s">
        <v>1411</v>
      </c>
      <c r="GGL61" s="235" t="s">
        <v>388</v>
      </c>
      <c r="GGM61" s="237" t="s">
        <v>727</v>
      </c>
      <c r="GGN61" s="237" t="s">
        <v>221</v>
      </c>
      <c r="GGO61" s="235" t="s">
        <v>2</v>
      </c>
      <c r="GGP61" s="235" t="s">
        <v>3</v>
      </c>
      <c r="GGQ61" s="235" t="s">
        <v>618</v>
      </c>
      <c r="GGR61" s="235" t="s">
        <v>1410</v>
      </c>
      <c r="GGS61" s="235" t="s">
        <v>1411</v>
      </c>
      <c r="GGT61" s="235" t="s">
        <v>388</v>
      </c>
      <c r="GGU61" s="237" t="s">
        <v>727</v>
      </c>
      <c r="GGV61" s="237" t="s">
        <v>221</v>
      </c>
      <c r="GGW61" s="235" t="s">
        <v>2</v>
      </c>
      <c r="GGX61" s="235" t="s">
        <v>3</v>
      </c>
      <c r="GGY61" s="235" t="s">
        <v>618</v>
      </c>
      <c r="GGZ61" s="235" t="s">
        <v>1410</v>
      </c>
      <c r="GHA61" s="235" t="s">
        <v>1411</v>
      </c>
      <c r="GHB61" s="235" t="s">
        <v>388</v>
      </c>
      <c r="GHC61" s="237" t="s">
        <v>727</v>
      </c>
      <c r="GHD61" s="237" t="s">
        <v>221</v>
      </c>
      <c r="GHE61" s="235" t="s">
        <v>2</v>
      </c>
      <c r="GHF61" s="235" t="s">
        <v>3</v>
      </c>
      <c r="GHG61" s="235" t="s">
        <v>618</v>
      </c>
      <c r="GHH61" s="235" t="s">
        <v>1410</v>
      </c>
      <c r="GHI61" s="235" t="s">
        <v>1411</v>
      </c>
      <c r="GHJ61" s="235" t="s">
        <v>388</v>
      </c>
      <c r="GHK61" s="237" t="s">
        <v>727</v>
      </c>
      <c r="GHL61" s="237" t="s">
        <v>221</v>
      </c>
      <c r="GHM61" s="235" t="s">
        <v>2</v>
      </c>
      <c r="GHN61" s="235" t="s">
        <v>3</v>
      </c>
      <c r="GHO61" s="235" t="s">
        <v>618</v>
      </c>
      <c r="GHP61" s="235" t="s">
        <v>1410</v>
      </c>
      <c r="GHQ61" s="235" t="s">
        <v>1411</v>
      </c>
      <c r="GHR61" s="235" t="s">
        <v>388</v>
      </c>
      <c r="GHS61" s="237" t="s">
        <v>727</v>
      </c>
      <c r="GHT61" s="237" t="s">
        <v>221</v>
      </c>
      <c r="GHU61" s="235" t="s">
        <v>2</v>
      </c>
      <c r="GHV61" s="235" t="s">
        <v>3</v>
      </c>
      <c r="GHW61" s="235" t="s">
        <v>618</v>
      </c>
      <c r="GHX61" s="235" t="s">
        <v>1410</v>
      </c>
      <c r="GHY61" s="235" t="s">
        <v>1411</v>
      </c>
      <c r="GHZ61" s="235" t="s">
        <v>388</v>
      </c>
      <c r="GIA61" s="237" t="s">
        <v>727</v>
      </c>
      <c r="GIB61" s="237" t="s">
        <v>221</v>
      </c>
      <c r="GIC61" s="235" t="s">
        <v>2</v>
      </c>
      <c r="GID61" s="235" t="s">
        <v>3</v>
      </c>
      <c r="GIE61" s="235" t="s">
        <v>618</v>
      </c>
      <c r="GIF61" s="235" t="s">
        <v>1410</v>
      </c>
      <c r="GIG61" s="235" t="s">
        <v>1411</v>
      </c>
      <c r="GIH61" s="235" t="s">
        <v>388</v>
      </c>
      <c r="GII61" s="237" t="s">
        <v>727</v>
      </c>
      <c r="GIJ61" s="237" t="s">
        <v>221</v>
      </c>
      <c r="GIK61" s="235" t="s">
        <v>2</v>
      </c>
      <c r="GIL61" s="235" t="s">
        <v>3</v>
      </c>
      <c r="GIM61" s="235" t="s">
        <v>618</v>
      </c>
      <c r="GIN61" s="235" t="s">
        <v>1410</v>
      </c>
      <c r="GIO61" s="235" t="s">
        <v>1411</v>
      </c>
      <c r="GIP61" s="235" t="s">
        <v>388</v>
      </c>
      <c r="GIQ61" s="237" t="s">
        <v>727</v>
      </c>
      <c r="GIR61" s="237" t="s">
        <v>221</v>
      </c>
      <c r="GIS61" s="235" t="s">
        <v>2</v>
      </c>
      <c r="GIT61" s="235" t="s">
        <v>3</v>
      </c>
      <c r="GIU61" s="235" t="s">
        <v>618</v>
      </c>
      <c r="GIV61" s="235" t="s">
        <v>1410</v>
      </c>
      <c r="GIW61" s="235" t="s">
        <v>1411</v>
      </c>
      <c r="GIX61" s="235" t="s">
        <v>388</v>
      </c>
      <c r="GIY61" s="237" t="s">
        <v>727</v>
      </c>
      <c r="GIZ61" s="237" t="s">
        <v>221</v>
      </c>
      <c r="GJA61" s="235" t="s">
        <v>2</v>
      </c>
      <c r="GJB61" s="235" t="s">
        <v>3</v>
      </c>
      <c r="GJC61" s="235" t="s">
        <v>618</v>
      </c>
      <c r="GJD61" s="235" t="s">
        <v>1410</v>
      </c>
      <c r="GJE61" s="235" t="s">
        <v>1411</v>
      </c>
      <c r="GJF61" s="235" t="s">
        <v>388</v>
      </c>
      <c r="GJG61" s="237" t="s">
        <v>727</v>
      </c>
      <c r="GJH61" s="237" t="s">
        <v>221</v>
      </c>
      <c r="GJI61" s="235" t="s">
        <v>2</v>
      </c>
      <c r="GJJ61" s="235" t="s">
        <v>3</v>
      </c>
      <c r="GJK61" s="235" t="s">
        <v>618</v>
      </c>
      <c r="GJL61" s="235" t="s">
        <v>1410</v>
      </c>
      <c r="GJM61" s="235" t="s">
        <v>1411</v>
      </c>
      <c r="GJN61" s="235" t="s">
        <v>388</v>
      </c>
      <c r="GJO61" s="237" t="s">
        <v>727</v>
      </c>
      <c r="GJP61" s="237" t="s">
        <v>221</v>
      </c>
      <c r="GJQ61" s="235" t="s">
        <v>2</v>
      </c>
      <c r="GJR61" s="235" t="s">
        <v>3</v>
      </c>
      <c r="GJS61" s="235" t="s">
        <v>618</v>
      </c>
      <c r="GJT61" s="235" t="s">
        <v>1410</v>
      </c>
      <c r="GJU61" s="235" t="s">
        <v>1411</v>
      </c>
      <c r="GJV61" s="235" t="s">
        <v>388</v>
      </c>
      <c r="GJW61" s="237" t="s">
        <v>727</v>
      </c>
      <c r="GJX61" s="237" t="s">
        <v>221</v>
      </c>
      <c r="GJY61" s="235" t="s">
        <v>2</v>
      </c>
      <c r="GJZ61" s="235" t="s">
        <v>3</v>
      </c>
      <c r="GKA61" s="235" t="s">
        <v>618</v>
      </c>
      <c r="GKB61" s="235" t="s">
        <v>1410</v>
      </c>
      <c r="GKC61" s="235" t="s">
        <v>1411</v>
      </c>
      <c r="GKD61" s="235" t="s">
        <v>388</v>
      </c>
      <c r="GKE61" s="237" t="s">
        <v>727</v>
      </c>
      <c r="GKF61" s="237" t="s">
        <v>221</v>
      </c>
      <c r="GKG61" s="235" t="s">
        <v>2</v>
      </c>
      <c r="GKH61" s="235" t="s">
        <v>3</v>
      </c>
      <c r="GKI61" s="235" t="s">
        <v>618</v>
      </c>
      <c r="GKJ61" s="235" t="s">
        <v>1410</v>
      </c>
      <c r="GKK61" s="235" t="s">
        <v>1411</v>
      </c>
      <c r="GKL61" s="235" t="s">
        <v>388</v>
      </c>
      <c r="GKM61" s="237" t="s">
        <v>727</v>
      </c>
      <c r="GKN61" s="237" t="s">
        <v>221</v>
      </c>
      <c r="GKO61" s="235" t="s">
        <v>2</v>
      </c>
      <c r="GKP61" s="235" t="s">
        <v>3</v>
      </c>
      <c r="GKQ61" s="235" t="s">
        <v>618</v>
      </c>
      <c r="GKR61" s="235" t="s">
        <v>1410</v>
      </c>
      <c r="GKS61" s="235" t="s">
        <v>1411</v>
      </c>
      <c r="GKT61" s="235" t="s">
        <v>388</v>
      </c>
      <c r="GKU61" s="237" t="s">
        <v>727</v>
      </c>
      <c r="GKV61" s="237" t="s">
        <v>221</v>
      </c>
      <c r="GKW61" s="235" t="s">
        <v>2</v>
      </c>
      <c r="GKX61" s="235" t="s">
        <v>3</v>
      </c>
      <c r="GKY61" s="235" t="s">
        <v>618</v>
      </c>
      <c r="GKZ61" s="235" t="s">
        <v>1410</v>
      </c>
      <c r="GLA61" s="235" t="s">
        <v>1411</v>
      </c>
      <c r="GLB61" s="235" t="s">
        <v>388</v>
      </c>
      <c r="GLC61" s="237" t="s">
        <v>727</v>
      </c>
      <c r="GLD61" s="237" t="s">
        <v>221</v>
      </c>
      <c r="GLE61" s="235" t="s">
        <v>2</v>
      </c>
      <c r="GLF61" s="235" t="s">
        <v>3</v>
      </c>
      <c r="GLG61" s="235" t="s">
        <v>618</v>
      </c>
      <c r="GLH61" s="235" t="s">
        <v>1410</v>
      </c>
      <c r="GLI61" s="235" t="s">
        <v>1411</v>
      </c>
      <c r="GLJ61" s="235" t="s">
        <v>388</v>
      </c>
      <c r="GLK61" s="237" t="s">
        <v>727</v>
      </c>
      <c r="GLL61" s="237" t="s">
        <v>221</v>
      </c>
      <c r="GLM61" s="235" t="s">
        <v>2</v>
      </c>
      <c r="GLN61" s="235" t="s">
        <v>3</v>
      </c>
      <c r="GLO61" s="235" t="s">
        <v>618</v>
      </c>
      <c r="GLP61" s="235" t="s">
        <v>1410</v>
      </c>
      <c r="GLQ61" s="235" t="s">
        <v>1411</v>
      </c>
      <c r="GLR61" s="235" t="s">
        <v>388</v>
      </c>
      <c r="GLS61" s="237" t="s">
        <v>727</v>
      </c>
      <c r="GLT61" s="237" t="s">
        <v>221</v>
      </c>
      <c r="GLU61" s="235" t="s">
        <v>2</v>
      </c>
      <c r="GLV61" s="235" t="s">
        <v>3</v>
      </c>
      <c r="GLW61" s="235" t="s">
        <v>618</v>
      </c>
      <c r="GLX61" s="235" t="s">
        <v>1410</v>
      </c>
      <c r="GLY61" s="235" t="s">
        <v>1411</v>
      </c>
      <c r="GLZ61" s="235" t="s">
        <v>388</v>
      </c>
      <c r="GMA61" s="237" t="s">
        <v>727</v>
      </c>
      <c r="GMB61" s="237" t="s">
        <v>221</v>
      </c>
      <c r="GMC61" s="235" t="s">
        <v>2</v>
      </c>
      <c r="GMD61" s="235" t="s">
        <v>3</v>
      </c>
      <c r="GME61" s="235" t="s">
        <v>618</v>
      </c>
      <c r="GMF61" s="235" t="s">
        <v>1410</v>
      </c>
      <c r="GMG61" s="235" t="s">
        <v>1411</v>
      </c>
      <c r="GMH61" s="235" t="s">
        <v>388</v>
      </c>
      <c r="GMI61" s="237" t="s">
        <v>727</v>
      </c>
      <c r="GMJ61" s="237" t="s">
        <v>221</v>
      </c>
      <c r="GMK61" s="235" t="s">
        <v>2</v>
      </c>
      <c r="GML61" s="235" t="s">
        <v>3</v>
      </c>
      <c r="GMM61" s="235" t="s">
        <v>618</v>
      </c>
      <c r="GMN61" s="235" t="s">
        <v>1410</v>
      </c>
      <c r="GMO61" s="235" t="s">
        <v>1411</v>
      </c>
      <c r="GMP61" s="235" t="s">
        <v>388</v>
      </c>
      <c r="GMQ61" s="237" t="s">
        <v>727</v>
      </c>
      <c r="GMR61" s="237" t="s">
        <v>221</v>
      </c>
      <c r="GMS61" s="235" t="s">
        <v>2</v>
      </c>
      <c r="GMT61" s="235" t="s">
        <v>3</v>
      </c>
      <c r="GMU61" s="235" t="s">
        <v>618</v>
      </c>
      <c r="GMV61" s="235" t="s">
        <v>1410</v>
      </c>
      <c r="GMW61" s="235" t="s">
        <v>1411</v>
      </c>
      <c r="GMX61" s="235" t="s">
        <v>388</v>
      </c>
      <c r="GMY61" s="237" t="s">
        <v>727</v>
      </c>
      <c r="GMZ61" s="237" t="s">
        <v>221</v>
      </c>
      <c r="GNA61" s="235" t="s">
        <v>2</v>
      </c>
      <c r="GNB61" s="235" t="s">
        <v>3</v>
      </c>
      <c r="GNC61" s="235" t="s">
        <v>618</v>
      </c>
      <c r="GND61" s="235" t="s">
        <v>1410</v>
      </c>
      <c r="GNE61" s="235" t="s">
        <v>1411</v>
      </c>
      <c r="GNF61" s="235" t="s">
        <v>388</v>
      </c>
      <c r="GNG61" s="237" t="s">
        <v>727</v>
      </c>
      <c r="GNH61" s="237" t="s">
        <v>221</v>
      </c>
      <c r="GNI61" s="235" t="s">
        <v>2</v>
      </c>
      <c r="GNJ61" s="235" t="s">
        <v>3</v>
      </c>
      <c r="GNK61" s="235" t="s">
        <v>618</v>
      </c>
      <c r="GNL61" s="235" t="s">
        <v>1410</v>
      </c>
      <c r="GNM61" s="235" t="s">
        <v>1411</v>
      </c>
      <c r="GNN61" s="235" t="s">
        <v>388</v>
      </c>
      <c r="GNO61" s="237" t="s">
        <v>727</v>
      </c>
      <c r="GNP61" s="237" t="s">
        <v>221</v>
      </c>
      <c r="GNQ61" s="235" t="s">
        <v>2</v>
      </c>
      <c r="GNR61" s="235" t="s">
        <v>3</v>
      </c>
      <c r="GNS61" s="235" t="s">
        <v>618</v>
      </c>
      <c r="GNT61" s="235" t="s">
        <v>1410</v>
      </c>
      <c r="GNU61" s="235" t="s">
        <v>1411</v>
      </c>
      <c r="GNV61" s="235" t="s">
        <v>388</v>
      </c>
      <c r="GNW61" s="237" t="s">
        <v>727</v>
      </c>
      <c r="GNX61" s="237" t="s">
        <v>221</v>
      </c>
      <c r="GNY61" s="235" t="s">
        <v>2</v>
      </c>
      <c r="GNZ61" s="235" t="s">
        <v>3</v>
      </c>
      <c r="GOA61" s="235" t="s">
        <v>618</v>
      </c>
      <c r="GOB61" s="235" t="s">
        <v>1410</v>
      </c>
      <c r="GOC61" s="235" t="s">
        <v>1411</v>
      </c>
      <c r="GOD61" s="235" t="s">
        <v>388</v>
      </c>
      <c r="GOE61" s="237" t="s">
        <v>727</v>
      </c>
      <c r="GOF61" s="237" t="s">
        <v>221</v>
      </c>
      <c r="GOG61" s="235" t="s">
        <v>2</v>
      </c>
      <c r="GOH61" s="235" t="s">
        <v>3</v>
      </c>
      <c r="GOI61" s="235" t="s">
        <v>618</v>
      </c>
      <c r="GOJ61" s="235" t="s">
        <v>1410</v>
      </c>
      <c r="GOK61" s="235" t="s">
        <v>1411</v>
      </c>
      <c r="GOL61" s="235" t="s">
        <v>388</v>
      </c>
      <c r="GOM61" s="237" t="s">
        <v>727</v>
      </c>
      <c r="GON61" s="237" t="s">
        <v>221</v>
      </c>
      <c r="GOO61" s="235" t="s">
        <v>2</v>
      </c>
      <c r="GOP61" s="235" t="s">
        <v>3</v>
      </c>
      <c r="GOQ61" s="235" t="s">
        <v>618</v>
      </c>
      <c r="GOR61" s="235" t="s">
        <v>1410</v>
      </c>
      <c r="GOS61" s="235" t="s">
        <v>1411</v>
      </c>
      <c r="GOT61" s="235" t="s">
        <v>388</v>
      </c>
      <c r="GOU61" s="237" t="s">
        <v>727</v>
      </c>
      <c r="GOV61" s="237" t="s">
        <v>221</v>
      </c>
      <c r="GOW61" s="235" t="s">
        <v>2</v>
      </c>
      <c r="GOX61" s="235" t="s">
        <v>3</v>
      </c>
      <c r="GOY61" s="235" t="s">
        <v>618</v>
      </c>
      <c r="GOZ61" s="235" t="s">
        <v>1410</v>
      </c>
      <c r="GPA61" s="235" t="s">
        <v>1411</v>
      </c>
      <c r="GPB61" s="235" t="s">
        <v>388</v>
      </c>
      <c r="GPC61" s="237" t="s">
        <v>727</v>
      </c>
      <c r="GPD61" s="237" t="s">
        <v>221</v>
      </c>
      <c r="GPE61" s="235" t="s">
        <v>2</v>
      </c>
      <c r="GPF61" s="235" t="s">
        <v>3</v>
      </c>
      <c r="GPG61" s="235" t="s">
        <v>618</v>
      </c>
      <c r="GPH61" s="235" t="s">
        <v>1410</v>
      </c>
      <c r="GPI61" s="235" t="s">
        <v>1411</v>
      </c>
      <c r="GPJ61" s="235" t="s">
        <v>388</v>
      </c>
      <c r="GPK61" s="237" t="s">
        <v>727</v>
      </c>
      <c r="GPL61" s="237" t="s">
        <v>221</v>
      </c>
      <c r="GPM61" s="235" t="s">
        <v>2</v>
      </c>
      <c r="GPN61" s="235" t="s">
        <v>3</v>
      </c>
      <c r="GPO61" s="235" t="s">
        <v>618</v>
      </c>
      <c r="GPP61" s="235" t="s">
        <v>1410</v>
      </c>
      <c r="GPQ61" s="235" t="s">
        <v>1411</v>
      </c>
      <c r="GPR61" s="235" t="s">
        <v>388</v>
      </c>
      <c r="GPS61" s="237" t="s">
        <v>727</v>
      </c>
      <c r="GPT61" s="237" t="s">
        <v>221</v>
      </c>
      <c r="GPU61" s="235" t="s">
        <v>2</v>
      </c>
      <c r="GPV61" s="235" t="s">
        <v>3</v>
      </c>
      <c r="GPW61" s="235" t="s">
        <v>618</v>
      </c>
      <c r="GPX61" s="235" t="s">
        <v>1410</v>
      </c>
      <c r="GPY61" s="235" t="s">
        <v>1411</v>
      </c>
      <c r="GPZ61" s="235" t="s">
        <v>388</v>
      </c>
      <c r="GQA61" s="237" t="s">
        <v>727</v>
      </c>
      <c r="GQB61" s="237" t="s">
        <v>221</v>
      </c>
      <c r="GQC61" s="235" t="s">
        <v>2</v>
      </c>
      <c r="GQD61" s="235" t="s">
        <v>3</v>
      </c>
      <c r="GQE61" s="235" t="s">
        <v>618</v>
      </c>
      <c r="GQF61" s="235" t="s">
        <v>1410</v>
      </c>
      <c r="GQG61" s="235" t="s">
        <v>1411</v>
      </c>
      <c r="GQH61" s="235" t="s">
        <v>388</v>
      </c>
      <c r="GQI61" s="237" t="s">
        <v>727</v>
      </c>
      <c r="GQJ61" s="237" t="s">
        <v>221</v>
      </c>
      <c r="GQK61" s="235" t="s">
        <v>2</v>
      </c>
      <c r="GQL61" s="235" t="s">
        <v>3</v>
      </c>
      <c r="GQM61" s="235" t="s">
        <v>618</v>
      </c>
      <c r="GQN61" s="235" t="s">
        <v>1410</v>
      </c>
      <c r="GQO61" s="235" t="s">
        <v>1411</v>
      </c>
      <c r="GQP61" s="235" t="s">
        <v>388</v>
      </c>
      <c r="GQQ61" s="237" t="s">
        <v>727</v>
      </c>
      <c r="GQR61" s="237" t="s">
        <v>221</v>
      </c>
      <c r="GQS61" s="235" t="s">
        <v>2</v>
      </c>
      <c r="GQT61" s="235" t="s">
        <v>3</v>
      </c>
      <c r="GQU61" s="235" t="s">
        <v>618</v>
      </c>
      <c r="GQV61" s="235" t="s">
        <v>1410</v>
      </c>
      <c r="GQW61" s="235" t="s">
        <v>1411</v>
      </c>
      <c r="GQX61" s="235" t="s">
        <v>388</v>
      </c>
      <c r="GQY61" s="237" t="s">
        <v>727</v>
      </c>
      <c r="GQZ61" s="237" t="s">
        <v>221</v>
      </c>
      <c r="GRA61" s="235" t="s">
        <v>2</v>
      </c>
      <c r="GRB61" s="235" t="s">
        <v>3</v>
      </c>
      <c r="GRC61" s="235" t="s">
        <v>618</v>
      </c>
      <c r="GRD61" s="235" t="s">
        <v>1410</v>
      </c>
      <c r="GRE61" s="235" t="s">
        <v>1411</v>
      </c>
      <c r="GRF61" s="235" t="s">
        <v>388</v>
      </c>
      <c r="GRG61" s="237" t="s">
        <v>727</v>
      </c>
      <c r="GRH61" s="237" t="s">
        <v>221</v>
      </c>
      <c r="GRI61" s="235" t="s">
        <v>2</v>
      </c>
      <c r="GRJ61" s="235" t="s">
        <v>3</v>
      </c>
      <c r="GRK61" s="235" t="s">
        <v>618</v>
      </c>
      <c r="GRL61" s="235" t="s">
        <v>1410</v>
      </c>
      <c r="GRM61" s="235" t="s">
        <v>1411</v>
      </c>
      <c r="GRN61" s="235" t="s">
        <v>388</v>
      </c>
      <c r="GRO61" s="237" t="s">
        <v>727</v>
      </c>
      <c r="GRP61" s="237" t="s">
        <v>221</v>
      </c>
      <c r="GRQ61" s="235" t="s">
        <v>2</v>
      </c>
      <c r="GRR61" s="235" t="s">
        <v>3</v>
      </c>
      <c r="GRS61" s="235" t="s">
        <v>618</v>
      </c>
      <c r="GRT61" s="235" t="s">
        <v>1410</v>
      </c>
      <c r="GRU61" s="235" t="s">
        <v>1411</v>
      </c>
      <c r="GRV61" s="235" t="s">
        <v>388</v>
      </c>
      <c r="GRW61" s="237" t="s">
        <v>727</v>
      </c>
      <c r="GRX61" s="237" t="s">
        <v>221</v>
      </c>
      <c r="GRY61" s="235" t="s">
        <v>2</v>
      </c>
      <c r="GRZ61" s="235" t="s">
        <v>3</v>
      </c>
      <c r="GSA61" s="235" t="s">
        <v>618</v>
      </c>
      <c r="GSB61" s="235" t="s">
        <v>1410</v>
      </c>
      <c r="GSC61" s="235" t="s">
        <v>1411</v>
      </c>
      <c r="GSD61" s="235" t="s">
        <v>388</v>
      </c>
      <c r="GSE61" s="237" t="s">
        <v>727</v>
      </c>
      <c r="GSF61" s="237" t="s">
        <v>221</v>
      </c>
      <c r="GSG61" s="235" t="s">
        <v>2</v>
      </c>
      <c r="GSH61" s="235" t="s">
        <v>3</v>
      </c>
      <c r="GSI61" s="235" t="s">
        <v>618</v>
      </c>
      <c r="GSJ61" s="235" t="s">
        <v>1410</v>
      </c>
      <c r="GSK61" s="235" t="s">
        <v>1411</v>
      </c>
      <c r="GSL61" s="235" t="s">
        <v>388</v>
      </c>
      <c r="GSM61" s="237" t="s">
        <v>727</v>
      </c>
      <c r="GSN61" s="237" t="s">
        <v>221</v>
      </c>
      <c r="GSO61" s="235" t="s">
        <v>2</v>
      </c>
      <c r="GSP61" s="235" t="s">
        <v>3</v>
      </c>
      <c r="GSQ61" s="235" t="s">
        <v>618</v>
      </c>
      <c r="GSR61" s="235" t="s">
        <v>1410</v>
      </c>
      <c r="GSS61" s="235" t="s">
        <v>1411</v>
      </c>
      <c r="GST61" s="235" t="s">
        <v>388</v>
      </c>
      <c r="GSU61" s="237" t="s">
        <v>727</v>
      </c>
      <c r="GSV61" s="237" t="s">
        <v>221</v>
      </c>
      <c r="GSW61" s="235" t="s">
        <v>2</v>
      </c>
      <c r="GSX61" s="235" t="s">
        <v>3</v>
      </c>
      <c r="GSY61" s="235" t="s">
        <v>618</v>
      </c>
      <c r="GSZ61" s="235" t="s">
        <v>1410</v>
      </c>
      <c r="GTA61" s="235" t="s">
        <v>1411</v>
      </c>
      <c r="GTB61" s="235" t="s">
        <v>388</v>
      </c>
      <c r="GTC61" s="237" t="s">
        <v>727</v>
      </c>
      <c r="GTD61" s="237" t="s">
        <v>221</v>
      </c>
      <c r="GTE61" s="235" t="s">
        <v>2</v>
      </c>
      <c r="GTF61" s="235" t="s">
        <v>3</v>
      </c>
      <c r="GTG61" s="235" t="s">
        <v>618</v>
      </c>
      <c r="GTH61" s="235" t="s">
        <v>1410</v>
      </c>
      <c r="GTI61" s="235" t="s">
        <v>1411</v>
      </c>
      <c r="GTJ61" s="235" t="s">
        <v>388</v>
      </c>
      <c r="GTK61" s="237" t="s">
        <v>727</v>
      </c>
      <c r="GTL61" s="237" t="s">
        <v>221</v>
      </c>
      <c r="GTM61" s="235" t="s">
        <v>2</v>
      </c>
      <c r="GTN61" s="235" t="s">
        <v>3</v>
      </c>
      <c r="GTO61" s="235" t="s">
        <v>618</v>
      </c>
      <c r="GTP61" s="235" t="s">
        <v>1410</v>
      </c>
      <c r="GTQ61" s="235" t="s">
        <v>1411</v>
      </c>
      <c r="GTR61" s="235" t="s">
        <v>388</v>
      </c>
      <c r="GTS61" s="237" t="s">
        <v>727</v>
      </c>
      <c r="GTT61" s="237" t="s">
        <v>221</v>
      </c>
      <c r="GTU61" s="235" t="s">
        <v>2</v>
      </c>
      <c r="GTV61" s="235" t="s">
        <v>3</v>
      </c>
      <c r="GTW61" s="235" t="s">
        <v>618</v>
      </c>
      <c r="GTX61" s="235" t="s">
        <v>1410</v>
      </c>
      <c r="GTY61" s="235" t="s">
        <v>1411</v>
      </c>
      <c r="GTZ61" s="235" t="s">
        <v>388</v>
      </c>
      <c r="GUA61" s="237" t="s">
        <v>727</v>
      </c>
      <c r="GUB61" s="237" t="s">
        <v>221</v>
      </c>
      <c r="GUC61" s="235" t="s">
        <v>2</v>
      </c>
      <c r="GUD61" s="235" t="s">
        <v>3</v>
      </c>
      <c r="GUE61" s="235" t="s">
        <v>618</v>
      </c>
      <c r="GUF61" s="235" t="s">
        <v>1410</v>
      </c>
      <c r="GUG61" s="235" t="s">
        <v>1411</v>
      </c>
      <c r="GUH61" s="235" t="s">
        <v>388</v>
      </c>
      <c r="GUI61" s="237" t="s">
        <v>727</v>
      </c>
      <c r="GUJ61" s="237" t="s">
        <v>221</v>
      </c>
      <c r="GUK61" s="235" t="s">
        <v>2</v>
      </c>
      <c r="GUL61" s="235" t="s">
        <v>3</v>
      </c>
      <c r="GUM61" s="235" t="s">
        <v>618</v>
      </c>
      <c r="GUN61" s="235" t="s">
        <v>1410</v>
      </c>
      <c r="GUO61" s="235" t="s">
        <v>1411</v>
      </c>
      <c r="GUP61" s="235" t="s">
        <v>388</v>
      </c>
      <c r="GUQ61" s="237" t="s">
        <v>727</v>
      </c>
      <c r="GUR61" s="237" t="s">
        <v>221</v>
      </c>
      <c r="GUS61" s="235" t="s">
        <v>2</v>
      </c>
      <c r="GUT61" s="235" t="s">
        <v>3</v>
      </c>
      <c r="GUU61" s="235" t="s">
        <v>618</v>
      </c>
      <c r="GUV61" s="235" t="s">
        <v>1410</v>
      </c>
      <c r="GUW61" s="235" t="s">
        <v>1411</v>
      </c>
      <c r="GUX61" s="235" t="s">
        <v>388</v>
      </c>
      <c r="GUY61" s="237" t="s">
        <v>727</v>
      </c>
      <c r="GUZ61" s="237" t="s">
        <v>221</v>
      </c>
      <c r="GVA61" s="235" t="s">
        <v>2</v>
      </c>
      <c r="GVB61" s="235" t="s">
        <v>3</v>
      </c>
      <c r="GVC61" s="235" t="s">
        <v>618</v>
      </c>
      <c r="GVD61" s="235" t="s">
        <v>1410</v>
      </c>
      <c r="GVE61" s="235" t="s">
        <v>1411</v>
      </c>
      <c r="GVF61" s="235" t="s">
        <v>388</v>
      </c>
      <c r="GVG61" s="237" t="s">
        <v>727</v>
      </c>
      <c r="GVH61" s="237" t="s">
        <v>221</v>
      </c>
      <c r="GVI61" s="235" t="s">
        <v>2</v>
      </c>
      <c r="GVJ61" s="235" t="s">
        <v>3</v>
      </c>
      <c r="GVK61" s="235" t="s">
        <v>618</v>
      </c>
      <c r="GVL61" s="235" t="s">
        <v>1410</v>
      </c>
      <c r="GVM61" s="235" t="s">
        <v>1411</v>
      </c>
      <c r="GVN61" s="235" t="s">
        <v>388</v>
      </c>
      <c r="GVO61" s="237" t="s">
        <v>727</v>
      </c>
      <c r="GVP61" s="237" t="s">
        <v>221</v>
      </c>
      <c r="GVQ61" s="235" t="s">
        <v>2</v>
      </c>
      <c r="GVR61" s="235" t="s">
        <v>3</v>
      </c>
      <c r="GVS61" s="235" t="s">
        <v>618</v>
      </c>
      <c r="GVT61" s="235" t="s">
        <v>1410</v>
      </c>
      <c r="GVU61" s="235" t="s">
        <v>1411</v>
      </c>
      <c r="GVV61" s="235" t="s">
        <v>388</v>
      </c>
      <c r="GVW61" s="237" t="s">
        <v>727</v>
      </c>
      <c r="GVX61" s="237" t="s">
        <v>221</v>
      </c>
      <c r="GVY61" s="235" t="s">
        <v>2</v>
      </c>
      <c r="GVZ61" s="235" t="s">
        <v>3</v>
      </c>
      <c r="GWA61" s="235" t="s">
        <v>618</v>
      </c>
      <c r="GWB61" s="235" t="s">
        <v>1410</v>
      </c>
      <c r="GWC61" s="235" t="s">
        <v>1411</v>
      </c>
      <c r="GWD61" s="235" t="s">
        <v>388</v>
      </c>
      <c r="GWE61" s="237" t="s">
        <v>727</v>
      </c>
      <c r="GWF61" s="237" t="s">
        <v>221</v>
      </c>
      <c r="GWG61" s="235" t="s">
        <v>2</v>
      </c>
      <c r="GWH61" s="235" t="s">
        <v>3</v>
      </c>
      <c r="GWI61" s="235" t="s">
        <v>618</v>
      </c>
      <c r="GWJ61" s="235" t="s">
        <v>1410</v>
      </c>
      <c r="GWK61" s="235" t="s">
        <v>1411</v>
      </c>
      <c r="GWL61" s="235" t="s">
        <v>388</v>
      </c>
      <c r="GWM61" s="237" t="s">
        <v>727</v>
      </c>
      <c r="GWN61" s="237" t="s">
        <v>221</v>
      </c>
      <c r="GWO61" s="235" t="s">
        <v>2</v>
      </c>
      <c r="GWP61" s="235" t="s">
        <v>3</v>
      </c>
      <c r="GWQ61" s="235" t="s">
        <v>618</v>
      </c>
      <c r="GWR61" s="235" t="s">
        <v>1410</v>
      </c>
      <c r="GWS61" s="235" t="s">
        <v>1411</v>
      </c>
      <c r="GWT61" s="235" t="s">
        <v>388</v>
      </c>
      <c r="GWU61" s="237" t="s">
        <v>727</v>
      </c>
      <c r="GWV61" s="237" t="s">
        <v>221</v>
      </c>
      <c r="GWW61" s="235" t="s">
        <v>2</v>
      </c>
      <c r="GWX61" s="235" t="s">
        <v>3</v>
      </c>
      <c r="GWY61" s="235" t="s">
        <v>618</v>
      </c>
      <c r="GWZ61" s="235" t="s">
        <v>1410</v>
      </c>
      <c r="GXA61" s="235" t="s">
        <v>1411</v>
      </c>
      <c r="GXB61" s="235" t="s">
        <v>388</v>
      </c>
      <c r="GXC61" s="237" t="s">
        <v>727</v>
      </c>
      <c r="GXD61" s="237" t="s">
        <v>221</v>
      </c>
      <c r="GXE61" s="235" t="s">
        <v>2</v>
      </c>
      <c r="GXF61" s="235" t="s">
        <v>3</v>
      </c>
      <c r="GXG61" s="235" t="s">
        <v>618</v>
      </c>
      <c r="GXH61" s="235" t="s">
        <v>1410</v>
      </c>
      <c r="GXI61" s="235" t="s">
        <v>1411</v>
      </c>
      <c r="GXJ61" s="235" t="s">
        <v>388</v>
      </c>
      <c r="GXK61" s="237" t="s">
        <v>727</v>
      </c>
      <c r="GXL61" s="237" t="s">
        <v>221</v>
      </c>
      <c r="GXM61" s="235" t="s">
        <v>2</v>
      </c>
      <c r="GXN61" s="235" t="s">
        <v>3</v>
      </c>
      <c r="GXO61" s="235" t="s">
        <v>618</v>
      </c>
      <c r="GXP61" s="235" t="s">
        <v>1410</v>
      </c>
      <c r="GXQ61" s="235" t="s">
        <v>1411</v>
      </c>
      <c r="GXR61" s="235" t="s">
        <v>388</v>
      </c>
      <c r="GXS61" s="237" t="s">
        <v>727</v>
      </c>
      <c r="GXT61" s="237" t="s">
        <v>221</v>
      </c>
      <c r="GXU61" s="235" t="s">
        <v>2</v>
      </c>
      <c r="GXV61" s="235" t="s">
        <v>3</v>
      </c>
      <c r="GXW61" s="235" t="s">
        <v>618</v>
      </c>
      <c r="GXX61" s="235" t="s">
        <v>1410</v>
      </c>
      <c r="GXY61" s="235" t="s">
        <v>1411</v>
      </c>
      <c r="GXZ61" s="235" t="s">
        <v>388</v>
      </c>
      <c r="GYA61" s="237" t="s">
        <v>727</v>
      </c>
      <c r="GYB61" s="237" t="s">
        <v>221</v>
      </c>
      <c r="GYC61" s="235" t="s">
        <v>2</v>
      </c>
      <c r="GYD61" s="235" t="s">
        <v>3</v>
      </c>
      <c r="GYE61" s="235" t="s">
        <v>618</v>
      </c>
      <c r="GYF61" s="235" t="s">
        <v>1410</v>
      </c>
      <c r="GYG61" s="235" t="s">
        <v>1411</v>
      </c>
      <c r="GYH61" s="235" t="s">
        <v>388</v>
      </c>
      <c r="GYI61" s="237" t="s">
        <v>727</v>
      </c>
      <c r="GYJ61" s="237" t="s">
        <v>221</v>
      </c>
      <c r="GYK61" s="235" t="s">
        <v>2</v>
      </c>
      <c r="GYL61" s="235" t="s">
        <v>3</v>
      </c>
      <c r="GYM61" s="235" t="s">
        <v>618</v>
      </c>
      <c r="GYN61" s="235" t="s">
        <v>1410</v>
      </c>
      <c r="GYO61" s="235" t="s">
        <v>1411</v>
      </c>
      <c r="GYP61" s="235" t="s">
        <v>388</v>
      </c>
      <c r="GYQ61" s="237" t="s">
        <v>727</v>
      </c>
      <c r="GYR61" s="237" t="s">
        <v>221</v>
      </c>
      <c r="GYS61" s="235" t="s">
        <v>2</v>
      </c>
      <c r="GYT61" s="235" t="s">
        <v>3</v>
      </c>
      <c r="GYU61" s="235" t="s">
        <v>618</v>
      </c>
      <c r="GYV61" s="235" t="s">
        <v>1410</v>
      </c>
      <c r="GYW61" s="235" t="s">
        <v>1411</v>
      </c>
      <c r="GYX61" s="235" t="s">
        <v>388</v>
      </c>
      <c r="GYY61" s="237" t="s">
        <v>727</v>
      </c>
      <c r="GYZ61" s="237" t="s">
        <v>221</v>
      </c>
      <c r="GZA61" s="235" t="s">
        <v>2</v>
      </c>
      <c r="GZB61" s="235" t="s">
        <v>3</v>
      </c>
      <c r="GZC61" s="235" t="s">
        <v>618</v>
      </c>
      <c r="GZD61" s="235" t="s">
        <v>1410</v>
      </c>
      <c r="GZE61" s="235" t="s">
        <v>1411</v>
      </c>
      <c r="GZF61" s="235" t="s">
        <v>388</v>
      </c>
      <c r="GZG61" s="237" t="s">
        <v>727</v>
      </c>
      <c r="GZH61" s="237" t="s">
        <v>221</v>
      </c>
      <c r="GZI61" s="235" t="s">
        <v>2</v>
      </c>
      <c r="GZJ61" s="235" t="s">
        <v>3</v>
      </c>
      <c r="GZK61" s="235" t="s">
        <v>618</v>
      </c>
      <c r="GZL61" s="235" t="s">
        <v>1410</v>
      </c>
      <c r="GZM61" s="235" t="s">
        <v>1411</v>
      </c>
      <c r="GZN61" s="235" t="s">
        <v>388</v>
      </c>
      <c r="GZO61" s="237" t="s">
        <v>727</v>
      </c>
      <c r="GZP61" s="237" t="s">
        <v>221</v>
      </c>
      <c r="GZQ61" s="235" t="s">
        <v>2</v>
      </c>
      <c r="GZR61" s="235" t="s">
        <v>3</v>
      </c>
      <c r="GZS61" s="235" t="s">
        <v>618</v>
      </c>
      <c r="GZT61" s="235" t="s">
        <v>1410</v>
      </c>
      <c r="GZU61" s="235" t="s">
        <v>1411</v>
      </c>
      <c r="GZV61" s="235" t="s">
        <v>388</v>
      </c>
      <c r="GZW61" s="237" t="s">
        <v>727</v>
      </c>
      <c r="GZX61" s="237" t="s">
        <v>221</v>
      </c>
      <c r="GZY61" s="235" t="s">
        <v>2</v>
      </c>
      <c r="GZZ61" s="235" t="s">
        <v>3</v>
      </c>
      <c r="HAA61" s="235" t="s">
        <v>618</v>
      </c>
      <c r="HAB61" s="235" t="s">
        <v>1410</v>
      </c>
      <c r="HAC61" s="235" t="s">
        <v>1411</v>
      </c>
      <c r="HAD61" s="235" t="s">
        <v>388</v>
      </c>
      <c r="HAE61" s="237" t="s">
        <v>727</v>
      </c>
      <c r="HAF61" s="237" t="s">
        <v>221</v>
      </c>
      <c r="HAG61" s="235" t="s">
        <v>2</v>
      </c>
      <c r="HAH61" s="235" t="s">
        <v>3</v>
      </c>
      <c r="HAI61" s="235" t="s">
        <v>618</v>
      </c>
      <c r="HAJ61" s="235" t="s">
        <v>1410</v>
      </c>
      <c r="HAK61" s="235" t="s">
        <v>1411</v>
      </c>
      <c r="HAL61" s="235" t="s">
        <v>388</v>
      </c>
      <c r="HAM61" s="237" t="s">
        <v>727</v>
      </c>
      <c r="HAN61" s="237" t="s">
        <v>221</v>
      </c>
      <c r="HAO61" s="235" t="s">
        <v>2</v>
      </c>
      <c r="HAP61" s="235" t="s">
        <v>3</v>
      </c>
      <c r="HAQ61" s="235" t="s">
        <v>618</v>
      </c>
      <c r="HAR61" s="235" t="s">
        <v>1410</v>
      </c>
      <c r="HAS61" s="235" t="s">
        <v>1411</v>
      </c>
      <c r="HAT61" s="235" t="s">
        <v>388</v>
      </c>
      <c r="HAU61" s="237" t="s">
        <v>727</v>
      </c>
      <c r="HAV61" s="237" t="s">
        <v>221</v>
      </c>
      <c r="HAW61" s="235" t="s">
        <v>2</v>
      </c>
      <c r="HAX61" s="235" t="s">
        <v>3</v>
      </c>
      <c r="HAY61" s="235" t="s">
        <v>618</v>
      </c>
      <c r="HAZ61" s="235" t="s">
        <v>1410</v>
      </c>
      <c r="HBA61" s="235" t="s">
        <v>1411</v>
      </c>
      <c r="HBB61" s="235" t="s">
        <v>388</v>
      </c>
      <c r="HBC61" s="237" t="s">
        <v>727</v>
      </c>
      <c r="HBD61" s="237" t="s">
        <v>221</v>
      </c>
      <c r="HBE61" s="235" t="s">
        <v>2</v>
      </c>
      <c r="HBF61" s="235" t="s">
        <v>3</v>
      </c>
      <c r="HBG61" s="235" t="s">
        <v>618</v>
      </c>
      <c r="HBH61" s="235" t="s">
        <v>1410</v>
      </c>
      <c r="HBI61" s="235" t="s">
        <v>1411</v>
      </c>
      <c r="HBJ61" s="235" t="s">
        <v>388</v>
      </c>
      <c r="HBK61" s="237" t="s">
        <v>727</v>
      </c>
      <c r="HBL61" s="237" t="s">
        <v>221</v>
      </c>
      <c r="HBM61" s="235" t="s">
        <v>2</v>
      </c>
      <c r="HBN61" s="235" t="s">
        <v>3</v>
      </c>
      <c r="HBO61" s="235" t="s">
        <v>618</v>
      </c>
      <c r="HBP61" s="235" t="s">
        <v>1410</v>
      </c>
      <c r="HBQ61" s="235" t="s">
        <v>1411</v>
      </c>
      <c r="HBR61" s="235" t="s">
        <v>388</v>
      </c>
      <c r="HBS61" s="237" t="s">
        <v>727</v>
      </c>
      <c r="HBT61" s="237" t="s">
        <v>221</v>
      </c>
      <c r="HBU61" s="235" t="s">
        <v>2</v>
      </c>
      <c r="HBV61" s="235" t="s">
        <v>3</v>
      </c>
      <c r="HBW61" s="235" t="s">
        <v>618</v>
      </c>
      <c r="HBX61" s="235" t="s">
        <v>1410</v>
      </c>
      <c r="HBY61" s="235" t="s">
        <v>1411</v>
      </c>
      <c r="HBZ61" s="235" t="s">
        <v>388</v>
      </c>
      <c r="HCA61" s="237" t="s">
        <v>727</v>
      </c>
      <c r="HCB61" s="237" t="s">
        <v>221</v>
      </c>
      <c r="HCC61" s="235" t="s">
        <v>2</v>
      </c>
      <c r="HCD61" s="235" t="s">
        <v>3</v>
      </c>
      <c r="HCE61" s="235" t="s">
        <v>618</v>
      </c>
      <c r="HCF61" s="235" t="s">
        <v>1410</v>
      </c>
      <c r="HCG61" s="235" t="s">
        <v>1411</v>
      </c>
      <c r="HCH61" s="235" t="s">
        <v>388</v>
      </c>
      <c r="HCI61" s="237" t="s">
        <v>727</v>
      </c>
      <c r="HCJ61" s="237" t="s">
        <v>221</v>
      </c>
      <c r="HCK61" s="235" t="s">
        <v>2</v>
      </c>
      <c r="HCL61" s="235" t="s">
        <v>3</v>
      </c>
      <c r="HCM61" s="235" t="s">
        <v>618</v>
      </c>
      <c r="HCN61" s="235" t="s">
        <v>1410</v>
      </c>
      <c r="HCO61" s="235" t="s">
        <v>1411</v>
      </c>
      <c r="HCP61" s="235" t="s">
        <v>388</v>
      </c>
      <c r="HCQ61" s="237" t="s">
        <v>727</v>
      </c>
      <c r="HCR61" s="237" t="s">
        <v>221</v>
      </c>
      <c r="HCS61" s="235" t="s">
        <v>2</v>
      </c>
      <c r="HCT61" s="235" t="s">
        <v>3</v>
      </c>
      <c r="HCU61" s="235" t="s">
        <v>618</v>
      </c>
      <c r="HCV61" s="235" t="s">
        <v>1410</v>
      </c>
      <c r="HCW61" s="235" t="s">
        <v>1411</v>
      </c>
      <c r="HCX61" s="235" t="s">
        <v>388</v>
      </c>
      <c r="HCY61" s="237" t="s">
        <v>727</v>
      </c>
      <c r="HCZ61" s="237" t="s">
        <v>221</v>
      </c>
      <c r="HDA61" s="235" t="s">
        <v>2</v>
      </c>
      <c r="HDB61" s="235" t="s">
        <v>3</v>
      </c>
      <c r="HDC61" s="235" t="s">
        <v>618</v>
      </c>
      <c r="HDD61" s="235" t="s">
        <v>1410</v>
      </c>
      <c r="HDE61" s="235" t="s">
        <v>1411</v>
      </c>
      <c r="HDF61" s="235" t="s">
        <v>388</v>
      </c>
      <c r="HDG61" s="237" t="s">
        <v>727</v>
      </c>
      <c r="HDH61" s="237" t="s">
        <v>221</v>
      </c>
      <c r="HDI61" s="235" t="s">
        <v>2</v>
      </c>
      <c r="HDJ61" s="235" t="s">
        <v>3</v>
      </c>
      <c r="HDK61" s="235" t="s">
        <v>618</v>
      </c>
      <c r="HDL61" s="235" t="s">
        <v>1410</v>
      </c>
      <c r="HDM61" s="235" t="s">
        <v>1411</v>
      </c>
      <c r="HDN61" s="235" t="s">
        <v>388</v>
      </c>
      <c r="HDO61" s="237" t="s">
        <v>727</v>
      </c>
      <c r="HDP61" s="237" t="s">
        <v>221</v>
      </c>
      <c r="HDQ61" s="235" t="s">
        <v>2</v>
      </c>
      <c r="HDR61" s="235" t="s">
        <v>3</v>
      </c>
      <c r="HDS61" s="235" t="s">
        <v>618</v>
      </c>
      <c r="HDT61" s="235" t="s">
        <v>1410</v>
      </c>
      <c r="HDU61" s="235" t="s">
        <v>1411</v>
      </c>
      <c r="HDV61" s="235" t="s">
        <v>388</v>
      </c>
      <c r="HDW61" s="237" t="s">
        <v>727</v>
      </c>
      <c r="HDX61" s="237" t="s">
        <v>221</v>
      </c>
      <c r="HDY61" s="235" t="s">
        <v>2</v>
      </c>
      <c r="HDZ61" s="235" t="s">
        <v>3</v>
      </c>
      <c r="HEA61" s="235" t="s">
        <v>618</v>
      </c>
      <c r="HEB61" s="235" t="s">
        <v>1410</v>
      </c>
      <c r="HEC61" s="235" t="s">
        <v>1411</v>
      </c>
      <c r="HED61" s="235" t="s">
        <v>388</v>
      </c>
      <c r="HEE61" s="237" t="s">
        <v>727</v>
      </c>
      <c r="HEF61" s="237" t="s">
        <v>221</v>
      </c>
      <c r="HEG61" s="235" t="s">
        <v>2</v>
      </c>
      <c r="HEH61" s="235" t="s">
        <v>3</v>
      </c>
      <c r="HEI61" s="235" t="s">
        <v>618</v>
      </c>
      <c r="HEJ61" s="235" t="s">
        <v>1410</v>
      </c>
      <c r="HEK61" s="235" t="s">
        <v>1411</v>
      </c>
      <c r="HEL61" s="235" t="s">
        <v>388</v>
      </c>
      <c r="HEM61" s="237" t="s">
        <v>727</v>
      </c>
      <c r="HEN61" s="237" t="s">
        <v>221</v>
      </c>
      <c r="HEO61" s="235" t="s">
        <v>2</v>
      </c>
      <c r="HEP61" s="235" t="s">
        <v>3</v>
      </c>
      <c r="HEQ61" s="235" t="s">
        <v>618</v>
      </c>
      <c r="HER61" s="235" t="s">
        <v>1410</v>
      </c>
      <c r="HES61" s="235" t="s">
        <v>1411</v>
      </c>
      <c r="HET61" s="235" t="s">
        <v>388</v>
      </c>
      <c r="HEU61" s="237" t="s">
        <v>727</v>
      </c>
      <c r="HEV61" s="237" t="s">
        <v>221</v>
      </c>
      <c r="HEW61" s="235" t="s">
        <v>2</v>
      </c>
      <c r="HEX61" s="235" t="s">
        <v>3</v>
      </c>
      <c r="HEY61" s="235" t="s">
        <v>618</v>
      </c>
      <c r="HEZ61" s="235" t="s">
        <v>1410</v>
      </c>
      <c r="HFA61" s="235" t="s">
        <v>1411</v>
      </c>
      <c r="HFB61" s="235" t="s">
        <v>388</v>
      </c>
      <c r="HFC61" s="237" t="s">
        <v>727</v>
      </c>
      <c r="HFD61" s="237" t="s">
        <v>221</v>
      </c>
      <c r="HFE61" s="235" t="s">
        <v>2</v>
      </c>
      <c r="HFF61" s="235" t="s">
        <v>3</v>
      </c>
      <c r="HFG61" s="235" t="s">
        <v>618</v>
      </c>
      <c r="HFH61" s="235" t="s">
        <v>1410</v>
      </c>
      <c r="HFI61" s="235" t="s">
        <v>1411</v>
      </c>
      <c r="HFJ61" s="235" t="s">
        <v>388</v>
      </c>
      <c r="HFK61" s="237" t="s">
        <v>727</v>
      </c>
      <c r="HFL61" s="237" t="s">
        <v>221</v>
      </c>
      <c r="HFM61" s="235" t="s">
        <v>2</v>
      </c>
      <c r="HFN61" s="235" t="s">
        <v>3</v>
      </c>
      <c r="HFO61" s="235" t="s">
        <v>618</v>
      </c>
      <c r="HFP61" s="235" t="s">
        <v>1410</v>
      </c>
      <c r="HFQ61" s="235" t="s">
        <v>1411</v>
      </c>
      <c r="HFR61" s="235" t="s">
        <v>388</v>
      </c>
      <c r="HFS61" s="237" t="s">
        <v>727</v>
      </c>
      <c r="HFT61" s="237" t="s">
        <v>221</v>
      </c>
      <c r="HFU61" s="235" t="s">
        <v>2</v>
      </c>
      <c r="HFV61" s="235" t="s">
        <v>3</v>
      </c>
      <c r="HFW61" s="235" t="s">
        <v>618</v>
      </c>
      <c r="HFX61" s="235" t="s">
        <v>1410</v>
      </c>
      <c r="HFY61" s="235" t="s">
        <v>1411</v>
      </c>
      <c r="HFZ61" s="235" t="s">
        <v>388</v>
      </c>
      <c r="HGA61" s="237" t="s">
        <v>727</v>
      </c>
      <c r="HGB61" s="237" t="s">
        <v>221</v>
      </c>
      <c r="HGC61" s="235" t="s">
        <v>2</v>
      </c>
      <c r="HGD61" s="235" t="s">
        <v>3</v>
      </c>
      <c r="HGE61" s="235" t="s">
        <v>618</v>
      </c>
      <c r="HGF61" s="235" t="s">
        <v>1410</v>
      </c>
      <c r="HGG61" s="235" t="s">
        <v>1411</v>
      </c>
      <c r="HGH61" s="235" t="s">
        <v>388</v>
      </c>
      <c r="HGI61" s="237" t="s">
        <v>727</v>
      </c>
      <c r="HGJ61" s="237" t="s">
        <v>221</v>
      </c>
      <c r="HGK61" s="235" t="s">
        <v>2</v>
      </c>
      <c r="HGL61" s="235" t="s">
        <v>3</v>
      </c>
      <c r="HGM61" s="235" t="s">
        <v>618</v>
      </c>
      <c r="HGN61" s="235" t="s">
        <v>1410</v>
      </c>
      <c r="HGO61" s="235" t="s">
        <v>1411</v>
      </c>
      <c r="HGP61" s="235" t="s">
        <v>388</v>
      </c>
      <c r="HGQ61" s="237" t="s">
        <v>727</v>
      </c>
      <c r="HGR61" s="237" t="s">
        <v>221</v>
      </c>
      <c r="HGS61" s="235" t="s">
        <v>2</v>
      </c>
      <c r="HGT61" s="235" t="s">
        <v>3</v>
      </c>
      <c r="HGU61" s="235" t="s">
        <v>618</v>
      </c>
      <c r="HGV61" s="235" t="s">
        <v>1410</v>
      </c>
      <c r="HGW61" s="235" t="s">
        <v>1411</v>
      </c>
      <c r="HGX61" s="235" t="s">
        <v>388</v>
      </c>
      <c r="HGY61" s="237" t="s">
        <v>727</v>
      </c>
      <c r="HGZ61" s="237" t="s">
        <v>221</v>
      </c>
      <c r="HHA61" s="235" t="s">
        <v>2</v>
      </c>
      <c r="HHB61" s="235" t="s">
        <v>3</v>
      </c>
      <c r="HHC61" s="235" t="s">
        <v>618</v>
      </c>
      <c r="HHD61" s="235" t="s">
        <v>1410</v>
      </c>
      <c r="HHE61" s="235" t="s">
        <v>1411</v>
      </c>
      <c r="HHF61" s="235" t="s">
        <v>388</v>
      </c>
      <c r="HHG61" s="237" t="s">
        <v>727</v>
      </c>
      <c r="HHH61" s="237" t="s">
        <v>221</v>
      </c>
      <c r="HHI61" s="235" t="s">
        <v>2</v>
      </c>
      <c r="HHJ61" s="235" t="s">
        <v>3</v>
      </c>
      <c r="HHK61" s="235" t="s">
        <v>618</v>
      </c>
      <c r="HHL61" s="235" t="s">
        <v>1410</v>
      </c>
      <c r="HHM61" s="235" t="s">
        <v>1411</v>
      </c>
      <c r="HHN61" s="235" t="s">
        <v>388</v>
      </c>
      <c r="HHO61" s="237" t="s">
        <v>727</v>
      </c>
      <c r="HHP61" s="237" t="s">
        <v>221</v>
      </c>
      <c r="HHQ61" s="235" t="s">
        <v>2</v>
      </c>
      <c r="HHR61" s="235" t="s">
        <v>3</v>
      </c>
      <c r="HHS61" s="235" t="s">
        <v>618</v>
      </c>
      <c r="HHT61" s="235" t="s">
        <v>1410</v>
      </c>
      <c r="HHU61" s="235" t="s">
        <v>1411</v>
      </c>
      <c r="HHV61" s="235" t="s">
        <v>388</v>
      </c>
      <c r="HHW61" s="237" t="s">
        <v>727</v>
      </c>
      <c r="HHX61" s="237" t="s">
        <v>221</v>
      </c>
      <c r="HHY61" s="235" t="s">
        <v>2</v>
      </c>
      <c r="HHZ61" s="235" t="s">
        <v>3</v>
      </c>
      <c r="HIA61" s="235" t="s">
        <v>618</v>
      </c>
      <c r="HIB61" s="235" t="s">
        <v>1410</v>
      </c>
      <c r="HIC61" s="235" t="s">
        <v>1411</v>
      </c>
      <c r="HID61" s="235" t="s">
        <v>388</v>
      </c>
      <c r="HIE61" s="237" t="s">
        <v>727</v>
      </c>
      <c r="HIF61" s="237" t="s">
        <v>221</v>
      </c>
      <c r="HIG61" s="235" t="s">
        <v>2</v>
      </c>
      <c r="HIH61" s="235" t="s">
        <v>3</v>
      </c>
      <c r="HII61" s="235" t="s">
        <v>618</v>
      </c>
      <c r="HIJ61" s="235" t="s">
        <v>1410</v>
      </c>
      <c r="HIK61" s="235" t="s">
        <v>1411</v>
      </c>
      <c r="HIL61" s="235" t="s">
        <v>388</v>
      </c>
      <c r="HIM61" s="237" t="s">
        <v>727</v>
      </c>
      <c r="HIN61" s="237" t="s">
        <v>221</v>
      </c>
      <c r="HIO61" s="235" t="s">
        <v>2</v>
      </c>
      <c r="HIP61" s="235" t="s">
        <v>3</v>
      </c>
      <c r="HIQ61" s="235" t="s">
        <v>618</v>
      </c>
      <c r="HIR61" s="235" t="s">
        <v>1410</v>
      </c>
      <c r="HIS61" s="235" t="s">
        <v>1411</v>
      </c>
      <c r="HIT61" s="235" t="s">
        <v>388</v>
      </c>
      <c r="HIU61" s="237" t="s">
        <v>727</v>
      </c>
      <c r="HIV61" s="237" t="s">
        <v>221</v>
      </c>
      <c r="HIW61" s="235" t="s">
        <v>2</v>
      </c>
      <c r="HIX61" s="235" t="s">
        <v>3</v>
      </c>
      <c r="HIY61" s="235" t="s">
        <v>618</v>
      </c>
      <c r="HIZ61" s="235" t="s">
        <v>1410</v>
      </c>
      <c r="HJA61" s="235" t="s">
        <v>1411</v>
      </c>
      <c r="HJB61" s="235" t="s">
        <v>388</v>
      </c>
      <c r="HJC61" s="237" t="s">
        <v>727</v>
      </c>
      <c r="HJD61" s="237" t="s">
        <v>221</v>
      </c>
      <c r="HJE61" s="235" t="s">
        <v>2</v>
      </c>
      <c r="HJF61" s="235" t="s">
        <v>3</v>
      </c>
      <c r="HJG61" s="235" t="s">
        <v>618</v>
      </c>
      <c r="HJH61" s="235" t="s">
        <v>1410</v>
      </c>
      <c r="HJI61" s="235" t="s">
        <v>1411</v>
      </c>
      <c r="HJJ61" s="235" t="s">
        <v>388</v>
      </c>
      <c r="HJK61" s="237" t="s">
        <v>727</v>
      </c>
      <c r="HJL61" s="237" t="s">
        <v>221</v>
      </c>
      <c r="HJM61" s="235" t="s">
        <v>2</v>
      </c>
      <c r="HJN61" s="235" t="s">
        <v>3</v>
      </c>
      <c r="HJO61" s="235" t="s">
        <v>618</v>
      </c>
      <c r="HJP61" s="235" t="s">
        <v>1410</v>
      </c>
      <c r="HJQ61" s="235" t="s">
        <v>1411</v>
      </c>
      <c r="HJR61" s="235" t="s">
        <v>388</v>
      </c>
      <c r="HJS61" s="237" t="s">
        <v>727</v>
      </c>
      <c r="HJT61" s="237" t="s">
        <v>221</v>
      </c>
      <c r="HJU61" s="235" t="s">
        <v>2</v>
      </c>
      <c r="HJV61" s="235" t="s">
        <v>3</v>
      </c>
      <c r="HJW61" s="235" t="s">
        <v>618</v>
      </c>
      <c r="HJX61" s="235" t="s">
        <v>1410</v>
      </c>
      <c r="HJY61" s="235" t="s">
        <v>1411</v>
      </c>
      <c r="HJZ61" s="235" t="s">
        <v>388</v>
      </c>
      <c r="HKA61" s="237" t="s">
        <v>727</v>
      </c>
      <c r="HKB61" s="237" t="s">
        <v>221</v>
      </c>
      <c r="HKC61" s="235" t="s">
        <v>2</v>
      </c>
      <c r="HKD61" s="235" t="s">
        <v>3</v>
      </c>
      <c r="HKE61" s="235" t="s">
        <v>618</v>
      </c>
      <c r="HKF61" s="235" t="s">
        <v>1410</v>
      </c>
      <c r="HKG61" s="235" t="s">
        <v>1411</v>
      </c>
      <c r="HKH61" s="235" t="s">
        <v>388</v>
      </c>
      <c r="HKI61" s="237" t="s">
        <v>727</v>
      </c>
      <c r="HKJ61" s="237" t="s">
        <v>221</v>
      </c>
      <c r="HKK61" s="235" t="s">
        <v>2</v>
      </c>
      <c r="HKL61" s="235" t="s">
        <v>3</v>
      </c>
      <c r="HKM61" s="235" t="s">
        <v>618</v>
      </c>
      <c r="HKN61" s="235" t="s">
        <v>1410</v>
      </c>
      <c r="HKO61" s="235" t="s">
        <v>1411</v>
      </c>
      <c r="HKP61" s="235" t="s">
        <v>388</v>
      </c>
      <c r="HKQ61" s="237" t="s">
        <v>727</v>
      </c>
      <c r="HKR61" s="237" t="s">
        <v>221</v>
      </c>
      <c r="HKS61" s="235" t="s">
        <v>2</v>
      </c>
      <c r="HKT61" s="235" t="s">
        <v>3</v>
      </c>
      <c r="HKU61" s="235" t="s">
        <v>618</v>
      </c>
      <c r="HKV61" s="235" t="s">
        <v>1410</v>
      </c>
      <c r="HKW61" s="235" t="s">
        <v>1411</v>
      </c>
      <c r="HKX61" s="235" t="s">
        <v>388</v>
      </c>
      <c r="HKY61" s="237" t="s">
        <v>727</v>
      </c>
      <c r="HKZ61" s="237" t="s">
        <v>221</v>
      </c>
      <c r="HLA61" s="235" t="s">
        <v>2</v>
      </c>
      <c r="HLB61" s="235" t="s">
        <v>3</v>
      </c>
      <c r="HLC61" s="235" t="s">
        <v>618</v>
      </c>
      <c r="HLD61" s="235" t="s">
        <v>1410</v>
      </c>
      <c r="HLE61" s="235" t="s">
        <v>1411</v>
      </c>
      <c r="HLF61" s="235" t="s">
        <v>388</v>
      </c>
      <c r="HLG61" s="237" t="s">
        <v>727</v>
      </c>
      <c r="HLH61" s="237" t="s">
        <v>221</v>
      </c>
      <c r="HLI61" s="235" t="s">
        <v>2</v>
      </c>
      <c r="HLJ61" s="235" t="s">
        <v>3</v>
      </c>
      <c r="HLK61" s="235" t="s">
        <v>618</v>
      </c>
      <c r="HLL61" s="235" t="s">
        <v>1410</v>
      </c>
      <c r="HLM61" s="235" t="s">
        <v>1411</v>
      </c>
      <c r="HLN61" s="235" t="s">
        <v>388</v>
      </c>
      <c r="HLO61" s="237" t="s">
        <v>727</v>
      </c>
      <c r="HLP61" s="237" t="s">
        <v>221</v>
      </c>
      <c r="HLQ61" s="235" t="s">
        <v>2</v>
      </c>
      <c r="HLR61" s="235" t="s">
        <v>3</v>
      </c>
      <c r="HLS61" s="235" t="s">
        <v>618</v>
      </c>
      <c r="HLT61" s="235" t="s">
        <v>1410</v>
      </c>
      <c r="HLU61" s="235" t="s">
        <v>1411</v>
      </c>
      <c r="HLV61" s="235" t="s">
        <v>388</v>
      </c>
      <c r="HLW61" s="237" t="s">
        <v>727</v>
      </c>
      <c r="HLX61" s="237" t="s">
        <v>221</v>
      </c>
      <c r="HLY61" s="235" t="s">
        <v>2</v>
      </c>
      <c r="HLZ61" s="235" t="s">
        <v>3</v>
      </c>
      <c r="HMA61" s="235" t="s">
        <v>618</v>
      </c>
      <c r="HMB61" s="235" t="s">
        <v>1410</v>
      </c>
      <c r="HMC61" s="235" t="s">
        <v>1411</v>
      </c>
      <c r="HMD61" s="235" t="s">
        <v>388</v>
      </c>
      <c r="HME61" s="237" t="s">
        <v>727</v>
      </c>
      <c r="HMF61" s="237" t="s">
        <v>221</v>
      </c>
      <c r="HMG61" s="235" t="s">
        <v>2</v>
      </c>
      <c r="HMH61" s="235" t="s">
        <v>3</v>
      </c>
      <c r="HMI61" s="235" t="s">
        <v>618</v>
      </c>
      <c r="HMJ61" s="235" t="s">
        <v>1410</v>
      </c>
      <c r="HMK61" s="235" t="s">
        <v>1411</v>
      </c>
      <c r="HML61" s="235" t="s">
        <v>388</v>
      </c>
      <c r="HMM61" s="237" t="s">
        <v>727</v>
      </c>
      <c r="HMN61" s="237" t="s">
        <v>221</v>
      </c>
      <c r="HMO61" s="235" t="s">
        <v>2</v>
      </c>
      <c r="HMP61" s="235" t="s">
        <v>3</v>
      </c>
      <c r="HMQ61" s="235" t="s">
        <v>618</v>
      </c>
      <c r="HMR61" s="235" t="s">
        <v>1410</v>
      </c>
      <c r="HMS61" s="235" t="s">
        <v>1411</v>
      </c>
      <c r="HMT61" s="235" t="s">
        <v>388</v>
      </c>
      <c r="HMU61" s="237" t="s">
        <v>727</v>
      </c>
      <c r="HMV61" s="237" t="s">
        <v>221</v>
      </c>
      <c r="HMW61" s="235" t="s">
        <v>2</v>
      </c>
      <c r="HMX61" s="235" t="s">
        <v>3</v>
      </c>
      <c r="HMY61" s="235" t="s">
        <v>618</v>
      </c>
      <c r="HMZ61" s="235" t="s">
        <v>1410</v>
      </c>
      <c r="HNA61" s="235" t="s">
        <v>1411</v>
      </c>
      <c r="HNB61" s="235" t="s">
        <v>388</v>
      </c>
      <c r="HNC61" s="237" t="s">
        <v>727</v>
      </c>
      <c r="HND61" s="237" t="s">
        <v>221</v>
      </c>
      <c r="HNE61" s="235" t="s">
        <v>2</v>
      </c>
      <c r="HNF61" s="235" t="s">
        <v>3</v>
      </c>
      <c r="HNG61" s="235" t="s">
        <v>618</v>
      </c>
      <c r="HNH61" s="235" t="s">
        <v>1410</v>
      </c>
      <c r="HNI61" s="235" t="s">
        <v>1411</v>
      </c>
      <c r="HNJ61" s="235" t="s">
        <v>388</v>
      </c>
      <c r="HNK61" s="237" t="s">
        <v>727</v>
      </c>
      <c r="HNL61" s="237" t="s">
        <v>221</v>
      </c>
      <c r="HNM61" s="235" t="s">
        <v>2</v>
      </c>
      <c r="HNN61" s="235" t="s">
        <v>3</v>
      </c>
      <c r="HNO61" s="235" t="s">
        <v>618</v>
      </c>
      <c r="HNP61" s="235" t="s">
        <v>1410</v>
      </c>
      <c r="HNQ61" s="235" t="s">
        <v>1411</v>
      </c>
      <c r="HNR61" s="235" t="s">
        <v>388</v>
      </c>
      <c r="HNS61" s="237" t="s">
        <v>727</v>
      </c>
      <c r="HNT61" s="237" t="s">
        <v>221</v>
      </c>
      <c r="HNU61" s="235" t="s">
        <v>2</v>
      </c>
      <c r="HNV61" s="235" t="s">
        <v>3</v>
      </c>
      <c r="HNW61" s="235" t="s">
        <v>618</v>
      </c>
      <c r="HNX61" s="235" t="s">
        <v>1410</v>
      </c>
      <c r="HNY61" s="235" t="s">
        <v>1411</v>
      </c>
      <c r="HNZ61" s="235" t="s">
        <v>388</v>
      </c>
      <c r="HOA61" s="237" t="s">
        <v>727</v>
      </c>
      <c r="HOB61" s="237" t="s">
        <v>221</v>
      </c>
      <c r="HOC61" s="235" t="s">
        <v>2</v>
      </c>
      <c r="HOD61" s="235" t="s">
        <v>3</v>
      </c>
      <c r="HOE61" s="235" t="s">
        <v>618</v>
      </c>
      <c r="HOF61" s="235" t="s">
        <v>1410</v>
      </c>
      <c r="HOG61" s="235" t="s">
        <v>1411</v>
      </c>
      <c r="HOH61" s="235" t="s">
        <v>388</v>
      </c>
      <c r="HOI61" s="237" t="s">
        <v>727</v>
      </c>
      <c r="HOJ61" s="237" t="s">
        <v>221</v>
      </c>
      <c r="HOK61" s="235" t="s">
        <v>2</v>
      </c>
      <c r="HOL61" s="235" t="s">
        <v>3</v>
      </c>
      <c r="HOM61" s="235" t="s">
        <v>618</v>
      </c>
      <c r="HON61" s="235" t="s">
        <v>1410</v>
      </c>
      <c r="HOO61" s="235" t="s">
        <v>1411</v>
      </c>
      <c r="HOP61" s="235" t="s">
        <v>388</v>
      </c>
      <c r="HOQ61" s="237" t="s">
        <v>727</v>
      </c>
      <c r="HOR61" s="237" t="s">
        <v>221</v>
      </c>
      <c r="HOS61" s="235" t="s">
        <v>2</v>
      </c>
      <c r="HOT61" s="235" t="s">
        <v>3</v>
      </c>
      <c r="HOU61" s="235" t="s">
        <v>618</v>
      </c>
      <c r="HOV61" s="235" t="s">
        <v>1410</v>
      </c>
      <c r="HOW61" s="235" t="s">
        <v>1411</v>
      </c>
      <c r="HOX61" s="235" t="s">
        <v>388</v>
      </c>
      <c r="HOY61" s="237" t="s">
        <v>727</v>
      </c>
      <c r="HOZ61" s="237" t="s">
        <v>221</v>
      </c>
      <c r="HPA61" s="235" t="s">
        <v>2</v>
      </c>
      <c r="HPB61" s="235" t="s">
        <v>3</v>
      </c>
      <c r="HPC61" s="235" t="s">
        <v>618</v>
      </c>
      <c r="HPD61" s="235" t="s">
        <v>1410</v>
      </c>
      <c r="HPE61" s="235" t="s">
        <v>1411</v>
      </c>
      <c r="HPF61" s="235" t="s">
        <v>388</v>
      </c>
      <c r="HPG61" s="237" t="s">
        <v>727</v>
      </c>
      <c r="HPH61" s="237" t="s">
        <v>221</v>
      </c>
      <c r="HPI61" s="235" t="s">
        <v>2</v>
      </c>
      <c r="HPJ61" s="235" t="s">
        <v>3</v>
      </c>
      <c r="HPK61" s="235" t="s">
        <v>618</v>
      </c>
      <c r="HPL61" s="235" t="s">
        <v>1410</v>
      </c>
      <c r="HPM61" s="235" t="s">
        <v>1411</v>
      </c>
      <c r="HPN61" s="235" t="s">
        <v>388</v>
      </c>
      <c r="HPO61" s="237" t="s">
        <v>727</v>
      </c>
      <c r="HPP61" s="237" t="s">
        <v>221</v>
      </c>
      <c r="HPQ61" s="235" t="s">
        <v>2</v>
      </c>
      <c r="HPR61" s="235" t="s">
        <v>3</v>
      </c>
      <c r="HPS61" s="235" t="s">
        <v>618</v>
      </c>
      <c r="HPT61" s="235" t="s">
        <v>1410</v>
      </c>
      <c r="HPU61" s="235" t="s">
        <v>1411</v>
      </c>
      <c r="HPV61" s="235" t="s">
        <v>388</v>
      </c>
      <c r="HPW61" s="237" t="s">
        <v>727</v>
      </c>
      <c r="HPX61" s="237" t="s">
        <v>221</v>
      </c>
      <c r="HPY61" s="235" t="s">
        <v>2</v>
      </c>
      <c r="HPZ61" s="235" t="s">
        <v>3</v>
      </c>
      <c r="HQA61" s="235" t="s">
        <v>618</v>
      </c>
      <c r="HQB61" s="235" t="s">
        <v>1410</v>
      </c>
      <c r="HQC61" s="235" t="s">
        <v>1411</v>
      </c>
      <c r="HQD61" s="235" t="s">
        <v>388</v>
      </c>
      <c r="HQE61" s="237" t="s">
        <v>727</v>
      </c>
      <c r="HQF61" s="237" t="s">
        <v>221</v>
      </c>
      <c r="HQG61" s="235" t="s">
        <v>2</v>
      </c>
      <c r="HQH61" s="235" t="s">
        <v>3</v>
      </c>
      <c r="HQI61" s="235" t="s">
        <v>618</v>
      </c>
      <c r="HQJ61" s="235" t="s">
        <v>1410</v>
      </c>
      <c r="HQK61" s="235" t="s">
        <v>1411</v>
      </c>
      <c r="HQL61" s="235" t="s">
        <v>388</v>
      </c>
      <c r="HQM61" s="237" t="s">
        <v>727</v>
      </c>
      <c r="HQN61" s="237" t="s">
        <v>221</v>
      </c>
      <c r="HQO61" s="235" t="s">
        <v>2</v>
      </c>
      <c r="HQP61" s="235" t="s">
        <v>3</v>
      </c>
      <c r="HQQ61" s="235" t="s">
        <v>618</v>
      </c>
      <c r="HQR61" s="235" t="s">
        <v>1410</v>
      </c>
      <c r="HQS61" s="235" t="s">
        <v>1411</v>
      </c>
      <c r="HQT61" s="235" t="s">
        <v>388</v>
      </c>
      <c r="HQU61" s="237" t="s">
        <v>727</v>
      </c>
      <c r="HQV61" s="237" t="s">
        <v>221</v>
      </c>
      <c r="HQW61" s="235" t="s">
        <v>2</v>
      </c>
      <c r="HQX61" s="235" t="s">
        <v>3</v>
      </c>
      <c r="HQY61" s="235" t="s">
        <v>618</v>
      </c>
      <c r="HQZ61" s="235" t="s">
        <v>1410</v>
      </c>
      <c r="HRA61" s="235" t="s">
        <v>1411</v>
      </c>
      <c r="HRB61" s="235" t="s">
        <v>388</v>
      </c>
      <c r="HRC61" s="237" t="s">
        <v>727</v>
      </c>
      <c r="HRD61" s="237" t="s">
        <v>221</v>
      </c>
      <c r="HRE61" s="235" t="s">
        <v>2</v>
      </c>
      <c r="HRF61" s="235" t="s">
        <v>3</v>
      </c>
      <c r="HRG61" s="235" t="s">
        <v>618</v>
      </c>
      <c r="HRH61" s="235" t="s">
        <v>1410</v>
      </c>
      <c r="HRI61" s="235" t="s">
        <v>1411</v>
      </c>
      <c r="HRJ61" s="235" t="s">
        <v>388</v>
      </c>
      <c r="HRK61" s="237" t="s">
        <v>727</v>
      </c>
      <c r="HRL61" s="237" t="s">
        <v>221</v>
      </c>
      <c r="HRM61" s="235" t="s">
        <v>2</v>
      </c>
      <c r="HRN61" s="235" t="s">
        <v>3</v>
      </c>
      <c r="HRO61" s="235" t="s">
        <v>618</v>
      </c>
      <c r="HRP61" s="235" t="s">
        <v>1410</v>
      </c>
      <c r="HRQ61" s="235" t="s">
        <v>1411</v>
      </c>
      <c r="HRR61" s="235" t="s">
        <v>388</v>
      </c>
      <c r="HRS61" s="237" t="s">
        <v>727</v>
      </c>
      <c r="HRT61" s="237" t="s">
        <v>221</v>
      </c>
      <c r="HRU61" s="235" t="s">
        <v>2</v>
      </c>
      <c r="HRV61" s="235" t="s">
        <v>3</v>
      </c>
      <c r="HRW61" s="235" t="s">
        <v>618</v>
      </c>
      <c r="HRX61" s="235" t="s">
        <v>1410</v>
      </c>
      <c r="HRY61" s="235" t="s">
        <v>1411</v>
      </c>
      <c r="HRZ61" s="235" t="s">
        <v>388</v>
      </c>
      <c r="HSA61" s="237" t="s">
        <v>727</v>
      </c>
      <c r="HSB61" s="237" t="s">
        <v>221</v>
      </c>
      <c r="HSC61" s="235" t="s">
        <v>2</v>
      </c>
      <c r="HSD61" s="235" t="s">
        <v>3</v>
      </c>
      <c r="HSE61" s="235" t="s">
        <v>618</v>
      </c>
      <c r="HSF61" s="235" t="s">
        <v>1410</v>
      </c>
      <c r="HSG61" s="235" t="s">
        <v>1411</v>
      </c>
      <c r="HSH61" s="235" t="s">
        <v>388</v>
      </c>
      <c r="HSI61" s="237" t="s">
        <v>727</v>
      </c>
      <c r="HSJ61" s="237" t="s">
        <v>221</v>
      </c>
      <c r="HSK61" s="235" t="s">
        <v>2</v>
      </c>
      <c r="HSL61" s="235" t="s">
        <v>3</v>
      </c>
      <c r="HSM61" s="235" t="s">
        <v>618</v>
      </c>
      <c r="HSN61" s="235" t="s">
        <v>1410</v>
      </c>
      <c r="HSO61" s="235" t="s">
        <v>1411</v>
      </c>
      <c r="HSP61" s="235" t="s">
        <v>388</v>
      </c>
      <c r="HSQ61" s="237" t="s">
        <v>727</v>
      </c>
      <c r="HSR61" s="237" t="s">
        <v>221</v>
      </c>
      <c r="HSS61" s="235" t="s">
        <v>2</v>
      </c>
      <c r="HST61" s="235" t="s">
        <v>3</v>
      </c>
      <c r="HSU61" s="235" t="s">
        <v>618</v>
      </c>
      <c r="HSV61" s="235" t="s">
        <v>1410</v>
      </c>
      <c r="HSW61" s="235" t="s">
        <v>1411</v>
      </c>
      <c r="HSX61" s="235" t="s">
        <v>388</v>
      </c>
      <c r="HSY61" s="237" t="s">
        <v>727</v>
      </c>
      <c r="HSZ61" s="237" t="s">
        <v>221</v>
      </c>
      <c r="HTA61" s="235" t="s">
        <v>2</v>
      </c>
      <c r="HTB61" s="235" t="s">
        <v>3</v>
      </c>
      <c r="HTC61" s="235" t="s">
        <v>618</v>
      </c>
      <c r="HTD61" s="235" t="s">
        <v>1410</v>
      </c>
      <c r="HTE61" s="235" t="s">
        <v>1411</v>
      </c>
      <c r="HTF61" s="235" t="s">
        <v>388</v>
      </c>
      <c r="HTG61" s="237" t="s">
        <v>727</v>
      </c>
      <c r="HTH61" s="237" t="s">
        <v>221</v>
      </c>
      <c r="HTI61" s="235" t="s">
        <v>2</v>
      </c>
      <c r="HTJ61" s="235" t="s">
        <v>3</v>
      </c>
      <c r="HTK61" s="235" t="s">
        <v>618</v>
      </c>
      <c r="HTL61" s="235" t="s">
        <v>1410</v>
      </c>
      <c r="HTM61" s="235" t="s">
        <v>1411</v>
      </c>
      <c r="HTN61" s="235" t="s">
        <v>388</v>
      </c>
      <c r="HTO61" s="237" t="s">
        <v>727</v>
      </c>
      <c r="HTP61" s="237" t="s">
        <v>221</v>
      </c>
      <c r="HTQ61" s="235" t="s">
        <v>2</v>
      </c>
      <c r="HTR61" s="235" t="s">
        <v>3</v>
      </c>
      <c r="HTS61" s="235" t="s">
        <v>618</v>
      </c>
      <c r="HTT61" s="235" t="s">
        <v>1410</v>
      </c>
      <c r="HTU61" s="235" t="s">
        <v>1411</v>
      </c>
      <c r="HTV61" s="235" t="s">
        <v>388</v>
      </c>
      <c r="HTW61" s="237" t="s">
        <v>727</v>
      </c>
      <c r="HTX61" s="237" t="s">
        <v>221</v>
      </c>
      <c r="HTY61" s="235" t="s">
        <v>2</v>
      </c>
      <c r="HTZ61" s="235" t="s">
        <v>3</v>
      </c>
      <c r="HUA61" s="235" t="s">
        <v>618</v>
      </c>
      <c r="HUB61" s="235" t="s">
        <v>1410</v>
      </c>
      <c r="HUC61" s="235" t="s">
        <v>1411</v>
      </c>
      <c r="HUD61" s="235" t="s">
        <v>388</v>
      </c>
      <c r="HUE61" s="237" t="s">
        <v>727</v>
      </c>
      <c r="HUF61" s="237" t="s">
        <v>221</v>
      </c>
      <c r="HUG61" s="235" t="s">
        <v>2</v>
      </c>
      <c r="HUH61" s="235" t="s">
        <v>3</v>
      </c>
      <c r="HUI61" s="235" t="s">
        <v>618</v>
      </c>
      <c r="HUJ61" s="235" t="s">
        <v>1410</v>
      </c>
      <c r="HUK61" s="235" t="s">
        <v>1411</v>
      </c>
      <c r="HUL61" s="235" t="s">
        <v>388</v>
      </c>
      <c r="HUM61" s="237" t="s">
        <v>727</v>
      </c>
      <c r="HUN61" s="237" t="s">
        <v>221</v>
      </c>
      <c r="HUO61" s="235" t="s">
        <v>2</v>
      </c>
      <c r="HUP61" s="235" t="s">
        <v>3</v>
      </c>
      <c r="HUQ61" s="235" t="s">
        <v>618</v>
      </c>
      <c r="HUR61" s="235" t="s">
        <v>1410</v>
      </c>
      <c r="HUS61" s="235" t="s">
        <v>1411</v>
      </c>
      <c r="HUT61" s="235" t="s">
        <v>388</v>
      </c>
      <c r="HUU61" s="237" t="s">
        <v>727</v>
      </c>
      <c r="HUV61" s="237" t="s">
        <v>221</v>
      </c>
      <c r="HUW61" s="235" t="s">
        <v>2</v>
      </c>
      <c r="HUX61" s="235" t="s">
        <v>3</v>
      </c>
      <c r="HUY61" s="235" t="s">
        <v>618</v>
      </c>
      <c r="HUZ61" s="235" t="s">
        <v>1410</v>
      </c>
      <c r="HVA61" s="235" t="s">
        <v>1411</v>
      </c>
      <c r="HVB61" s="235" t="s">
        <v>388</v>
      </c>
      <c r="HVC61" s="237" t="s">
        <v>727</v>
      </c>
      <c r="HVD61" s="237" t="s">
        <v>221</v>
      </c>
      <c r="HVE61" s="235" t="s">
        <v>2</v>
      </c>
      <c r="HVF61" s="235" t="s">
        <v>3</v>
      </c>
      <c r="HVG61" s="235" t="s">
        <v>618</v>
      </c>
      <c r="HVH61" s="235" t="s">
        <v>1410</v>
      </c>
      <c r="HVI61" s="235" t="s">
        <v>1411</v>
      </c>
      <c r="HVJ61" s="235" t="s">
        <v>388</v>
      </c>
      <c r="HVK61" s="237" t="s">
        <v>727</v>
      </c>
      <c r="HVL61" s="237" t="s">
        <v>221</v>
      </c>
      <c r="HVM61" s="235" t="s">
        <v>2</v>
      </c>
      <c r="HVN61" s="235" t="s">
        <v>3</v>
      </c>
      <c r="HVO61" s="235" t="s">
        <v>618</v>
      </c>
      <c r="HVP61" s="235" t="s">
        <v>1410</v>
      </c>
      <c r="HVQ61" s="235" t="s">
        <v>1411</v>
      </c>
      <c r="HVR61" s="235" t="s">
        <v>388</v>
      </c>
      <c r="HVS61" s="237" t="s">
        <v>727</v>
      </c>
      <c r="HVT61" s="237" t="s">
        <v>221</v>
      </c>
      <c r="HVU61" s="235" t="s">
        <v>2</v>
      </c>
      <c r="HVV61" s="235" t="s">
        <v>3</v>
      </c>
      <c r="HVW61" s="235" t="s">
        <v>618</v>
      </c>
      <c r="HVX61" s="235" t="s">
        <v>1410</v>
      </c>
      <c r="HVY61" s="235" t="s">
        <v>1411</v>
      </c>
      <c r="HVZ61" s="235" t="s">
        <v>388</v>
      </c>
      <c r="HWA61" s="237" t="s">
        <v>727</v>
      </c>
      <c r="HWB61" s="237" t="s">
        <v>221</v>
      </c>
      <c r="HWC61" s="235" t="s">
        <v>2</v>
      </c>
      <c r="HWD61" s="235" t="s">
        <v>3</v>
      </c>
      <c r="HWE61" s="235" t="s">
        <v>618</v>
      </c>
      <c r="HWF61" s="235" t="s">
        <v>1410</v>
      </c>
      <c r="HWG61" s="235" t="s">
        <v>1411</v>
      </c>
      <c r="HWH61" s="235" t="s">
        <v>388</v>
      </c>
      <c r="HWI61" s="237" t="s">
        <v>727</v>
      </c>
      <c r="HWJ61" s="237" t="s">
        <v>221</v>
      </c>
      <c r="HWK61" s="235" t="s">
        <v>2</v>
      </c>
      <c r="HWL61" s="235" t="s">
        <v>3</v>
      </c>
      <c r="HWM61" s="235" t="s">
        <v>618</v>
      </c>
      <c r="HWN61" s="235" t="s">
        <v>1410</v>
      </c>
      <c r="HWO61" s="235" t="s">
        <v>1411</v>
      </c>
      <c r="HWP61" s="235" t="s">
        <v>388</v>
      </c>
      <c r="HWQ61" s="237" t="s">
        <v>727</v>
      </c>
      <c r="HWR61" s="237" t="s">
        <v>221</v>
      </c>
      <c r="HWS61" s="235" t="s">
        <v>2</v>
      </c>
      <c r="HWT61" s="235" t="s">
        <v>3</v>
      </c>
      <c r="HWU61" s="235" t="s">
        <v>618</v>
      </c>
      <c r="HWV61" s="235" t="s">
        <v>1410</v>
      </c>
      <c r="HWW61" s="235" t="s">
        <v>1411</v>
      </c>
      <c r="HWX61" s="235" t="s">
        <v>388</v>
      </c>
      <c r="HWY61" s="237" t="s">
        <v>727</v>
      </c>
      <c r="HWZ61" s="237" t="s">
        <v>221</v>
      </c>
      <c r="HXA61" s="235" t="s">
        <v>2</v>
      </c>
      <c r="HXB61" s="235" t="s">
        <v>3</v>
      </c>
      <c r="HXC61" s="235" t="s">
        <v>618</v>
      </c>
      <c r="HXD61" s="235" t="s">
        <v>1410</v>
      </c>
      <c r="HXE61" s="235" t="s">
        <v>1411</v>
      </c>
      <c r="HXF61" s="235" t="s">
        <v>388</v>
      </c>
      <c r="HXG61" s="237" t="s">
        <v>727</v>
      </c>
      <c r="HXH61" s="237" t="s">
        <v>221</v>
      </c>
      <c r="HXI61" s="235" t="s">
        <v>2</v>
      </c>
      <c r="HXJ61" s="235" t="s">
        <v>3</v>
      </c>
      <c r="HXK61" s="235" t="s">
        <v>618</v>
      </c>
      <c r="HXL61" s="235" t="s">
        <v>1410</v>
      </c>
      <c r="HXM61" s="235" t="s">
        <v>1411</v>
      </c>
      <c r="HXN61" s="235" t="s">
        <v>388</v>
      </c>
      <c r="HXO61" s="237" t="s">
        <v>727</v>
      </c>
      <c r="HXP61" s="237" t="s">
        <v>221</v>
      </c>
      <c r="HXQ61" s="235" t="s">
        <v>2</v>
      </c>
      <c r="HXR61" s="235" t="s">
        <v>3</v>
      </c>
      <c r="HXS61" s="235" t="s">
        <v>618</v>
      </c>
      <c r="HXT61" s="235" t="s">
        <v>1410</v>
      </c>
      <c r="HXU61" s="235" t="s">
        <v>1411</v>
      </c>
      <c r="HXV61" s="235" t="s">
        <v>388</v>
      </c>
      <c r="HXW61" s="237" t="s">
        <v>727</v>
      </c>
      <c r="HXX61" s="237" t="s">
        <v>221</v>
      </c>
      <c r="HXY61" s="235" t="s">
        <v>2</v>
      </c>
      <c r="HXZ61" s="235" t="s">
        <v>3</v>
      </c>
      <c r="HYA61" s="235" t="s">
        <v>618</v>
      </c>
      <c r="HYB61" s="235" t="s">
        <v>1410</v>
      </c>
      <c r="HYC61" s="235" t="s">
        <v>1411</v>
      </c>
      <c r="HYD61" s="235" t="s">
        <v>388</v>
      </c>
      <c r="HYE61" s="237" t="s">
        <v>727</v>
      </c>
      <c r="HYF61" s="237" t="s">
        <v>221</v>
      </c>
      <c r="HYG61" s="235" t="s">
        <v>2</v>
      </c>
      <c r="HYH61" s="235" t="s">
        <v>3</v>
      </c>
      <c r="HYI61" s="235" t="s">
        <v>618</v>
      </c>
      <c r="HYJ61" s="235" t="s">
        <v>1410</v>
      </c>
      <c r="HYK61" s="235" t="s">
        <v>1411</v>
      </c>
      <c r="HYL61" s="235" t="s">
        <v>388</v>
      </c>
      <c r="HYM61" s="237" t="s">
        <v>727</v>
      </c>
      <c r="HYN61" s="237" t="s">
        <v>221</v>
      </c>
      <c r="HYO61" s="235" t="s">
        <v>2</v>
      </c>
      <c r="HYP61" s="235" t="s">
        <v>3</v>
      </c>
      <c r="HYQ61" s="235" t="s">
        <v>618</v>
      </c>
      <c r="HYR61" s="235" t="s">
        <v>1410</v>
      </c>
      <c r="HYS61" s="235" t="s">
        <v>1411</v>
      </c>
      <c r="HYT61" s="235" t="s">
        <v>388</v>
      </c>
      <c r="HYU61" s="237" t="s">
        <v>727</v>
      </c>
      <c r="HYV61" s="237" t="s">
        <v>221</v>
      </c>
      <c r="HYW61" s="235" t="s">
        <v>2</v>
      </c>
      <c r="HYX61" s="235" t="s">
        <v>3</v>
      </c>
      <c r="HYY61" s="235" t="s">
        <v>618</v>
      </c>
      <c r="HYZ61" s="235" t="s">
        <v>1410</v>
      </c>
      <c r="HZA61" s="235" t="s">
        <v>1411</v>
      </c>
      <c r="HZB61" s="235" t="s">
        <v>388</v>
      </c>
      <c r="HZC61" s="237" t="s">
        <v>727</v>
      </c>
      <c r="HZD61" s="237" t="s">
        <v>221</v>
      </c>
      <c r="HZE61" s="235" t="s">
        <v>2</v>
      </c>
      <c r="HZF61" s="235" t="s">
        <v>3</v>
      </c>
      <c r="HZG61" s="235" t="s">
        <v>618</v>
      </c>
      <c r="HZH61" s="235" t="s">
        <v>1410</v>
      </c>
      <c r="HZI61" s="235" t="s">
        <v>1411</v>
      </c>
      <c r="HZJ61" s="235" t="s">
        <v>388</v>
      </c>
      <c r="HZK61" s="237" t="s">
        <v>727</v>
      </c>
      <c r="HZL61" s="237" t="s">
        <v>221</v>
      </c>
      <c r="HZM61" s="235" t="s">
        <v>2</v>
      </c>
      <c r="HZN61" s="235" t="s">
        <v>3</v>
      </c>
      <c r="HZO61" s="235" t="s">
        <v>618</v>
      </c>
      <c r="HZP61" s="235" t="s">
        <v>1410</v>
      </c>
      <c r="HZQ61" s="235" t="s">
        <v>1411</v>
      </c>
      <c r="HZR61" s="235" t="s">
        <v>388</v>
      </c>
      <c r="HZS61" s="237" t="s">
        <v>727</v>
      </c>
      <c r="HZT61" s="237" t="s">
        <v>221</v>
      </c>
      <c r="HZU61" s="235" t="s">
        <v>2</v>
      </c>
      <c r="HZV61" s="235" t="s">
        <v>3</v>
      </c>
      <c r="HZW61" s="235" t="s">
        <v>618</v>
      </c>
      <c r="HZX61" s="235" t="s">
        <v>1410</v>
      </c>
      <c r="HZY61" s="235" t="s">
        <v>1411</v>
      </c>
      <c r="HZZ61" s="235" t="s">
        <v>388</v>
      </c>
      <c r="IAA61" s="237" t="s">
        <v>727</v>
      </c>
      <c r="IAB61" s="237" t="s">
        <v>221</v>
      </c>
      <c r="IAC61" s="235" t="s">
        <v>2</v>
      </c>
      <c r="IAD61" s="235" t="s">
        <v>3</v>
      </c>
      <c r="IAE61" s="235" t="s">
        <v>618</v>
      </c>
      <c r="IAF61" s="235" t="s">
        <v>1410</v>
      </c>
      <c r="IAG61" s="235" t="s">
        <v>1411</v>
      </c>
      <c r="IAH61" s="235" t="s">
        <v>388</v>
      </c>
      <c r="IAI61" s="237" t="s">
        <v>727</v>
      </c>
      <c r="IAJ61" s="237" t="s">
        <v>221</v>
      </c>
      <c r="IAK61" s="235" t="s">
        <v>2</v>
      </c>
      <c r="IAL61" s="235" t="s">
        <v>3</v>
      </c>
      <c r="IAM61" s="235" t="s">
        <v>618</v>
      </c>
      <c r="IAN61" s="235" t="s">
        <v>1410</v>
      </c>
      <c r="IAO61" s="235" t="s">
        <v>1411</v>
      </c>
      <c r="IAP61" s="235" t="s">
        <v>388</v>
      </c>
      <c r="IAQ61" s="237" t="s">
        <v>727</v>
      </c>
      <c r="IAR61" s="237" t="s">
        <v>221</v>
      </c>
      <c r="IAS61" s="235" t="s">
        <v>2</v>
      </c>
      <c r="IAT61" s="235" t="s">
        <v>3</v>
      </c>
      <c r="IAU61" s="235" t="s">
        <v>618</v>
      </c>
      <c r="IAV61" s="235" t="s">
        <v>1410</v>
      </c>
      <c r="IAW61" s="235" t="s">
        <v>1411</v>
      </c>
      <c r="IAX61" s="235" t="s">
        <v>388</v>
      </c>
      <c r="IAY61" s="237" t="s">
        <v>727</v>
      </c>
      <c r="IAZ61" s="237" t="s">
        <v>221</v>
      </c>
      <c r="IBA61" s="235" t="s">
        <v>2</v>
      </c>
      <c r="IBB61" s="235" t="s">
        <v>3</v>
      </c>
      <c r="IBC61" s="235" t="s">
        <v>618</v>
      </c>
      <c r="IBD61" s="235" t="s">
        <v>1410</v>
      </c>
      <c r="IBE61" s="235" t="s">
        <v>1411</v>
      </c>
      <c r="IBF61" s="235" t="s">
        <v>388</v>
      </c>
      <c r="IBG61" s="237" t="s">
        <v>727</v>
      </c>
      <c r="IBH61" s="237" t="s">
        <v>221</v>
      </c>
      <c r="IBI61" s="235" t="s">
        <v>2</v>
      </c>
      <c r="IBJ61" s="235" t="s">
        <v>3</v>
      </c>
      <c r="IBK61" s="235" t="s">
        <v>618</v>
      </c>
      <c r="IBL61" s="235" t="s">
        <v>1410</v>
      </c>
      <c r="IBM61" s="235" t="s">
        <v>1411</v>
      </c>
      <c r="IBN61" s="235" t="s">
        <v>388</v>
      </c>
      <c r="IBO61" s="237" t="s">
        <v>727</v>
      </c>
      <c r="IBP61" s="237" t="s">
        <v>221</v>
      </c>
      <c r="IBQ61" s="235" t="s">
        <v>2</v>
      </c>
      <c r="IBR61" s="235" t="s">
        <v>3</v>
      </c>
      <c r="IBS61" s="235" t="s">
        <v>618</v>
      </c>
      <c r="IBT61" s="235" t="s">
        <v>1410</v>
      </c>
      <c r="IBU61" s="235" t="s">
        <v>1411</v>
      </c>
      <c r="IBV61" s="235" t="s">
        <v>388</v>
      </c>
      <c r="IBW61" s="237" t="s">
        <v>727</v>
      </c>
      <c r="IBX61" s="237" t="s">
        <v>221</v>
      </c>
      <c r="IBY61" s="235" t="s">
        <v>2</v>
      </c>
      <c r="IBZ61" s="235" t="s">
        <v>3</v>
      </c>
      <c r="ICA61" s="235" t="s">
        <v>618</v>
      </c>
      <c r="ICB61" s="235" t="s">
        <v>1410</v>
      </c>
      <c r="ICC61" s="235" t="s">
        <v>1411</v>
      </c>
      <c r="ICD61" s="235" t="s">
        <v>388</v>
      </c>
      <c r="ICE61" s="237" t="s">
        <v>727</v>
      </c>
      <c r="ICF61" s="237" t="s">
        <v>221</v>
      </c>
      <c r="ICG61" s="235" t="s">
        <v>2</v>
      </c>
      <c r="ICH61" s="235" t="s">
        <v>3</v>
      </c>
      <c r="ICI61" s="235" t="s">
        <v>618</v>
      </c>
      <c r="ICJ61" s="235" t="s">
        <v>1410</v>
      </c>
      <c r="ICK61" s="235" t="s">
        <v>1411</v>
      </c>
      <c r="ICL61" s="235" t="s">
        <v>388</v>
      </c>
      <c r="ICM61" s="237" t="s">
        <v>727</v>
      </c>
      <c r="ICN61" s="237" t="s">
        <v>221</v>
      </c>
      <c r="ICO61" s="235" t="s">
        <v>2</v>
      </c>
      <c r="ICP61" s="235" t="s">
        <v>3</v>
      </c>
      <c r="ICQ61" s="235" t="s">
        <v>618</v>
      </c>
      <c r="ICR61" s="235" t="s">
        <v>1410</v>
      </c>
      <c r="ICS61" s="235" t="s">
        <v>1411</v>
      </c>
      <c r="ICT61" s="235" t="s">
        <v>388</v>
      </c>
      <c r="ICU61" s="237" t="s">
        <v>727</v>
      </c>
      <c r="ICV61" s="237" t="s">
        <v>221</v>
      </c>
      <c r="ICW61" s="235" t="s">
        <v>2</v>
      </c>
      <c r="ICX61" s="235" t="s">
        <v>3</v>
      </c>
      <c r="ICY61" s="235" t="s">
        <v>618</v>
      </c>
      <c r="ICZ61" s="235" t="s">
        <v>1410</v>
      </c>
      <c r="IDA61" s="235" t="s">
        <v>1411</v>
      </c>
      <c r="IDB61" s="235" t="s">
        <v>388</v>
      </c>
      <c r="IDC61" s="237" t="s">
        <v>727</v>
      </c>
      <c r="IDD61" s="237" t="s">
        <v>221</v>
      </c>
      <c r="IDE61" s="235" t="s">
        <v>2</v>
      </c>
      <c r="IDF61" s="235" t="s">
        <v>3</v>
      </c>
      <c r="IDG61" s="235" t="s">
        <v>618</v>
      </c>
      <c r="IDH61" s="235" t="s">
        <v>1410</v>
      </c>
      <c r="IDI61" s="235" t="s">
        <v>1411</v>
      </c>
      <c r="IDJ61" s="235" t="s">
        <v>388</v>
      </c>
      <c r="IDK61" s="237" t="s">
        <v>727</v>
      </c>
      <c r="IDL61" s="237" t="s">
        <v>221</v>
      </c>
      <c r="IDM61" s="235" t="s">
        <v>2</v>
      </c>
      <c r="IDN61" s="235" t="s">
        <v>3</v>
      </c>
      <c r="IDO61" s="235" t="s">
        <v>618</v>
      </c>
      <c r="IDP61" s="235" t="s">
        <v>1410</v>
      </c>
      <c r="IDQ61" s="235" t="s">
        <v>1411</v>
      </c>
      <c r="IDR61" s="235" t="s">
        <v>388</v>
      </c>
      <c r="IDS61" s="237" t="s">
        <v>727</v>
      </c>
      <c r="IDT61" s="237" t="s">
        <v>221</v>
      </c>
      <c r="IDU61" s="235" t="s">
        <v>2</v>
      </c>
      <c r="IDV61" s="235" t="s">
        <v>3</v>
      </c>
      <c r="IDW61" s="235" t="s">
        <v>618</v>
      </c>
      <c r="IDX61" s="235" t="s">
        <v>1410</v>
      </c>
      <c r="IDY61" s="235" t="s">
        <v>1411</v>
      </c>
      <c r="IDZ61" s="235" t="s">
        <v>388</v>
      </c>
      <c r="IEA61" s="237" t="s">
        <v>727</v>
      </c>
      <c r="IEB61" s="237" t="s">
        <v>221</v>
      </c>
      <c r="IEC61" s="235" t="s">
        <v>2</v>
      </c>
      <c r="IED61" s="235" t="s">
        <v>3</v>
      </c>
      <c r="IEE61" s="235" t="s">
        <v>618</v>
      </c>
      <c r="IEF61" s="235" t="s">
        <v>1410</v>
      </c>
      <c r="IEG61" s="235" t="s">
        <v>1411</v>
      </c>
      <c r="IEH61" s="235" t="s">
        <v>388</v>
      </c>
      <c r="IEI61" s="237" t="s">
        <v>727</v>
      </c>
      <c r="IEJ61" s="237" t="s">
        <v>221</v>
      </c>
      <c r="IEK61" s="235" t="s">
        <v>2</v>
      </c>
      <c r="IEL61" s="235" t="s">
        <v>3</v>
      </c>
      <c r="IEM61" s="235" t="s">
        <v>618</v>
      </c>
      <c r="IEN61" s="235" t="s">
        <v>1410</v>
      </c>
      <c r="IEO61" s="235" t="s">
        <v>1411</v>
      </c>
      <c r="IEP61" s="235" t="s">
        <v>388</v>
      </c>
      <c r="IEQ61" s="237" t="s">
        <v>727</v>
      </c>
      <c r="IER61" s="237" t="s">
        <v>221</v>
      </c>
      <c r="IES61" s="235" t="s">
        <v>2</v>
      </c>
      <c r="IET61" s="235" t="s">
        <v>3</v>
      </c>
      <c r="IEU61" s="235" t="s">
        <v>618</v>
      </c>
      <c r="IEV61" s="235" t="s">
        <v>1410</v>
      </c>
      <c r="IEW61" s="235" t="s">
        <v>1411</v>
      </c>
      <c r="IEX61" s="235" t="s">
        <v>388</v>
      </c>
      <c r="IEY61" s="237" t="s">
        <v>727</v>
      </c>
      <c r="IEZ61" s="237" t="s">
        <v>221</v>
      </c>
      <c r="IFA61" s="235" t="s">
        <v>2</v>
      </c>
      <c r="IFB61" s="235" t="s">
        <v>3</v>
      </c>
      <c r="IFC61" s="235" t="s">
        <v>618</v>
      </c>
      <c r="IFD61" s="235" t="s">
        <v>1410</v>
      </c>
      <c r="IFE61" s="235" t="s">
        <v>1411</v>
      </c>
      <c r="IFF61" s="235" t="s">
        <v>388</v>
      </c>
      <c r="IFG61" s="237" t="s">
        <v>727</v>
      </c>
      <c r="IFH61" s="237" t="s">
        <v>221</v>
      </c>
      <c r="IFI61" s="235" t="s">
        <v>2</v>
      </c>
      <c r="IFJ61" s="235" t="s">
        <v>3</v>
      </c>
      <c r="IFK61" s="235" t="s">
        <v>618</v>
      </c>
      <c r="IFL61" s="235" t="s">
        <v>1410</v>
      </c>
      <c r="IFM61" s="235" t="s">
        <v>1411</v>
      </c>
      <c r="IFN61" s="235" t="s">
        <v>388</v>
      </c>
      <c r="IFO61" s="237" t="s">
        <v>727</v>
      </c>
      <c r="IFP61" s="237" t="s">
        <v>221</v>
      </c>
      <c r="IFQ61" s="235" t="s">
        <v>2</v>
      </c>
      <c r="IFR61" s="235" t="s">
        <v>3</v>
      </c>
      <c r="IFS61" s="235" t="s">
        <v>618</v>
      </c>
      <c r="IFT61" s="235" t="s">
        <v>1410</v>
      </c>
      <c r="IFU61" s="235" t="s">
        <v>1411</v>
      </c>
      <c r="IFV61" s="235" t="s">
        <v>388</v>
      </c>
      <c r="IFW61" s="237" t="s">
        <v>727</v>
      </c>
      <c r="IFX61" s="237" t="s">
        <v>221</v>
      </c>
      <c r="IFY61" s="235" t="s">
        <v>2</v>
      </c>
      <c r="IFZ61" s="235" t="s">
        <v>3</v>
      </c>
      <c r="IGA61" s="235" t="s">
        <v>618</v>
      </c>
      <c r="IGB61" s="235" t="s">
        <v>1410</v>
      </c>
      <c r="IGC61" s="235" t="s">
        <v>1411</v>
      </c>
      <c r="IGD61" s="235" t="s">
        <v>388</v>
      </c>
      <c r="IGE61" s="237" t="s">
        <v>727</v>
      </c>
      <c r="IGF61" s="237" t="s">
        <v>221</v>
      </c>
      <c r="IGG61" s="235" t="s">
        <v>2</v>
      </c>
      <c r="IGH61" s="235" t="s">
        <v>3</v>
      </c>
      <c r="IGI61" s="235" t="s">
        <v>618</v>
      </c>
      <c r="IGJ61" s="235" t="s">
        <v>1410</v>
      </c>
      <c r="IGK61" s="235" t="s">
        <v>1411</v>
      </c>
      <c r="IGL61" s="235" t="s">
        <v>388</v>
      </c>
      <c r="IGM61" s="237" t="s">
        <v>727</v>
      </c>
      <c r="IGN61" s="237" t="s">
        <v>221</v>
      </c>
      <c r="IGO61" s="235" t="s">
        <v>2</v>
      </c>
      <c r="IGP61" s="235" t="s">
        <v>3</v>
      </c>
      <c r="IGQ61" s="235" t="s">
        <v>618</v>
      </c>
      <c r="IGR61" s="235" t="s">
        <v>1410</v>
      </c>
      <c r="IGS61" s="235" t="s">
        <v>1411</v>
      </c>
      <c r="IGT61" s="235" t="s">
        <v>388</v>
      </c>
      <c r="IGU61" s="237" t="s">
        <v>727</v>
      </c>
      <c r="IGV61" s="237" t="s">
        <v>221</v>
      </c>
      <c r="IGW61" s="235" t="s">
        <v>2</v>
      </c>
      <c r="IGX61" s="235" t="s">
        <v>3</v>
      </c>
      <c r="IGY61" s="235" t="s">
        <v>618</v>
      </c>
      <c r="IGZ61" s="235" t="s">
        <v>1410</v>
      </c>
      <c r="IHA61" s="235" t="s">
        <v>1411</v>
      </c>
      <c r="IHB61" s="235" t="s">
        <v>388</v>
      </c>
      <c r="IHC61" s="237" t="s">
        <v>727</v>
      </c>
      <c r="IHD61" s="237" t="s">
        <v>221</v>
      </c>
      <c r="IHE61" s="235" t="s">
        <v>2</v>
      </c>
      <c r="IHF61" s="235" t="s">
        <v>3</v>
      </c>
      <c r="IHG61" s="235" t="s">
        <v>618</v>
      </c>
      <c r="IHH61" s="235" t="s">
        <v>1410</v>
      </c>
      <c r="IHI61" s="235" t="s">
        <v>1411</v>
      </c>
      <c r="IHJ61" s="235" t="s">
        <v>388</v>
      </c>
      <c r="IHK61" s="237" t="s">
        <v>727</v>
      </c>
      <c r="IHL61" s="237" t="s">
        <v>221</v>
      </c>
      <c r="IHM61" s="235" t="s">
        <v>2</v>
      </c>
      <c r="IHN61" s="235" t="s">
        <v>3</v>
      </c>
      <c r="IHO61" s="235" t="s">
        <v>618</v>
      </c>
      <c r="IHP61" s="235" t="s">
        <v>1410</v>
      </c>
      <c r="IHQ61" s="235" t="s">
        <v>1411</v>
      </c>
      <c r="IHR61" s="235" t="s">
        <v>388</v>
      </c>
      <c r="IHS61" s="237" t="s">
        <v>727</v>
      </c>
      <c r="IHT61" s="237" t="s">
        <v>221</v>
      </c>
      <c r="IHU61" s="235" t="s">
        <v>2</v>
      </c>
      <c r="IHV61" s="235" t="s">
        <v>3</v>
      </c>
      <c r="IHW61" s="235" t="s">
        <v>618</v>
      </c>
      <c r="IHX61" s="235" t="s">
        <v>1410</v>
      </c>
      <c r="IHY61" s="235" t="s">
        <v>1411</v>
      </c>
      <c r="IHZ61" s="235" t="s">
        <v>388</v>
      </c>
      <c r="IIA61" s="237" t="s">
        <v>727</v>
      </c>
      <c r="IIB61" s="237" t="s">
        <v>221</v>
      </c>
      <c r="IIC61" s="235" t="s">
        <v>2</v>
      </c>
      <c r="IID61" s="235" t="s">
        <v>3</v>
      </c>
      <c r="IIE61" s="235" t="s">
        <v>618</v>
      </c>
      <c r="IIF61" s="235" t="s">
        <v>1410</v>
      </c>
      <c r="IIG61" s="235" t="s">
        <v>1411</v>
      </c>
      <c r="IIH61" s="235" t="s">
        <v>388</v>
      </c>
      <c r="III61" s="237" t="s">
        <v>727</v>
      </c>
      <c r="IIJ61" s="237" t="s">
        <v>221</v>
      </c>
      <c r="IIK61" s="235" t="s">
        <v>2</v>
      </c>
      <c r="IIL61" s="235" t="s">
        <v>3</v>
      </c>
      <c r="IIM61" s="235" t="s">
        <v>618</v>
      </c>
      <c r="IIN61" s="235" t="s">
        <v>1410</v>
      </c>
      <c r="IIO61" s="235" t="s">
        <v>1411</v>
      </c>
      <c r="IIP61" s="235" t="s">
        <v>388</v>
      </c>
      <c r="IIQ61" s="237" t="s">
        <v>727</v>
      </c>
      <c r="IIR61" s="237" t="s">
        <v>221</v>
      </c>
      <c r="IIS61" s="235" t="s">
        <v>2</v>
      </c>
      <c r="IIT61" s="235" t="s">
        <v>3</v>
      </c>
      <c r="IIU61" s="235" t="s">
        <v>618</v>
      </c>
      <c r="IIV61" s="235" t="s">
        <v>1410</v>
      </c>
      <c r="IIW61" s="235" t="s">
        <v>1411</v>
      </c>
      <c r="IIX61" s="235" t="s">
        <v>388</v>
      </c>
      <c r="IIY61" s="237" t="s">
        <v>727</v>
      </c>
      <c r="IIZ61" s="237" t="s">
        <v>221</v>
      </c>
      <c r="IJA61" s="235" t="s">
        <v>2</v>
      </c>
      <c r="IJB61" s="235" t="s">
        <v>3</v>
      </c>
      <c r="IJC61" s="235" t="s">
        <v>618</v>
      </c>
      <c r="IJD61" s="235" t="s">
        <v>1410</v>
      </c>
      <c r="IJE61" s="235" t="s">
        <v>1411</v>
      </c>
      <c r="IJF61" s="235" t="s">
        <v>388</v>
      </c>
      <c r="IJG61" s="237" t="s">
        <v>727</v>
      </c>
      <c r="IJH61" s="237" t="s">
        <v>221</v>
      </c>
      <c r="IJI61" s="235" t="s">
        <v>2</v>
      </c>
      <c r="IJJ61" s="235" t="s">
        <v>3</v>
      </c>
      <c r="IJK61" s="235" t="s">
        <v>618</v>
      </c>
      <c r="IJL61" s="235" t="s">
        <v>1410</v>
      </c>
      <c r="IJM61" s="235" t="s">
        <v>1411</v>
      </c>
      <c r="IJN61" s="235" t="s">
        <v>388</v>
      </c>
      <c r="IJO61" s="237" t="s">
        <v>727</v>
      </c>
      <c r="IJP61" s="237" t="s">
        <v>221</v>
      </c>
      <c r="IJQ61" s="235" t="s">
        <v>2</v>
      </c>
      <c r="IJR61" s="235" t="s">
        <v>3</v>
      </c>
      <c r="IJS61" s="235" t="s">
        <v>618</v>
      </c>
      <c r="IJT61" s="235" t="s">
        <v>1410</v>
      </c>
      <c r="IJU61" s="235" t="s">
        <v>1411</v>
      </c>
      <c r="IJV61" s="235" t="s">
        <v>388</v>
      </c>
      <c r="IJW61" s="237" t="s">
        <v>727</v>
      </c>
      <c r="IJX61" s="237" t="s">
        <v>221</v>
      </c>
      <c r="IJY61" s="235" t="s">
        <v>2</v>
      </c>
      <c r="IJZ61" s="235" t="s">
        <v>3</v>
      </c>
      <c r="IKA61" s="235" t="s">
        <v>618</v>
      </c>
      <c r="IKB61" s="235" t="s">
        <v>1410</v>
      </c>
      <c r="IKC61" s="235" t="s">
        <v>1411</v>
      </c>
      <c r="IKD61" s="235" t="s">
        <v>388</v>
      </c>
      <c r="IKE61" s="237" t="s">
        <v>727</v>
      </c>
      <c r="IKF61" s="237" t="s">
        <v>221</v>
      </c>
      <c r="IKG61" s="235" t="s">
        <v>2</v>
      </c>
      <c r="IKH61" s="235" t="s">
        <v>3</v>
      </c>
      <c r="IKI61" s="235" t="s">
        <v>618</v>
      </c>
      <c r="IKJ61" s="235" t="s">
        <v>1410</v>
      </c>
      <c r="IKK61" s="235" t="s">
        <v>1411</v>
      </c>
      <c r="IKL61" s="235" t="s">
        <v>388</v>
      </c>
      <c r="IKM61" s="237" t="s">
        <v>727</v>
      </c>
      <c r="IKN61" s="237" t="s">
        <v>221</v>
      </c>
      <c r="IKO61" s="235" t="s">
        <v>2</v>
      </c>
      <c r="IKP61" s="235" t="s">
        <v>3</v>
      </c>
      <c r="IKQ61" s="235" t="s">
        <v>618</v>
      </c>
      <c r="IKR61" s="235" t="s">
        <v>1410</v>
      </c>
      <c r="IKS61" s="235" t="s">
        <v>1411</v>
      </c>
      <c r="IKT61" s="235" t="s">
        <v>388</v>
      </c>
      <c r="IKU61" s="237" t="s">
        <v>727</v>
      </c>
      <c r="IKV61" s="237" t="s">
        <v>221</v>
      </c>
      <c r="IKW61" s="235" t="s">
        <v>2</v>
      </c>
      <c r="IKX61" s="235" t="s">
        <v>3</v>
      </c>
      <c r="IKY61" s="235" t="s">
        <v>618</v>
      </c>
      <c r="IKZ61" s="235" t="s">
        <v>1410</v>
      </c>
      <c r="ILA61" s="235" t="s">
        <v>1411</v>
      </c>
      <c r="ILB61" s="235" t="s">
        <v>388</v>
      </c>
      <c r="ILC61" s="237" t="s">
        <v>727</v>
      </c>
      <c r="ILD61" s="237" t="s">
        <v>221</v>
      </c>
      <c r="ILE61" s="235" t="s">
        <v>2</v>
      </c>
      <c r="ILF61" s="235" t="s">
        <v>3</v>
      </c>
      <c r="ILG61" s="235" t="s">
        <v>618</v>
      </c>
      <c r="ILH61" s="235" t="s">
        <v>1410</v>
      </c>
      <c r="ILI61" s="235" t="s">
        <v>1411</v>
      </c>
      <c r="ILJ61" s="235" t="s">
        <v>388</v>
      </c>
      <c r="ILK61" s="237" t="s">
        <v>727</v>
      </c>
      <c r="ILL61" s="237" t="s">
        <v>221</v>
      </c>
      <c r="ILM61" s="235" t="s">
        <v>2</v>
      </c>
      <c r="ILN61" s="235" t="s">
        <v>3</v>
      </c>
      <c r="ILO61" s="235" t="s">
        <v>618</v>
      </c>
      <c r="ILP61" s="235" t="s">
        <v>1410</v>
      </c>
      <c r="ILQ61" s="235" t="s">
        <v>1411</v>
      </c>
      <c r="ILR61" s="235" t="s">
        <v>388</v>
      </c>
      <c r="ILS61" s="237" t="s">
        <v>727</v>
      </c>
      <c r="ILT61" s="237" t="s">
        <v>221</v>
      </c>
      <c r="ILU61" s="235" t="s">
        <v>2</v>
      </c>
      <c r="ILV61" s="235" t="s">
        <v>3</v>
      </c>
      <c r="ILW61" s="235" t="s">
        <v>618</v>
      </c>
      <c r="ILX61" s="235" t="s">
        <v>1410</v>
      </c>
      <c r="ILY61" s="235" t="s">
        <v>1411</v>
      </c>
      <c r="ILZ61" s="235" t="s">
        <v>388</v>
      </c>
      <c r="IMA61" s="237" t="s">
        <v>727</v>
      </c>
      <c r="IMB61" s="237" t="s">
        <v>221</v>
      </c>
      <c r="IMC61" s="235" t="s">
        <v>2</v>
      </c>
      <c r="IMD61" s="235" t="s">
        <v>3</v>
      </c>
      <c r="IME61" s="235" t="s">
        <v>618</v>
      </c>
      <c r="IMF61" s="235" t="s">
        <v>1410</v>
      </c>
      <c r="IMG61" s="235" t="s">
        <v>1411</v>
      </c>
      <c r="IMH61" s="235" t="s">
        <v>388</v>
      </c>
      <c r="IMI61" s="237" t="s">
        <v>727</v>
      </c>
      <c r="IMJ61" s="237" t="s">
        <v>221</v>
      </c>
      <c r="IMK61" s="235" t="s">
        <v>2</v>
      </c>
      <c r="IML61" s="235" t="s">
        <v>3</v>
      </c>
      <c r="IMM61" s="235" t="s">
        <v>618</v>
      </c>
      <c r="IMN61" s="235" t="s">
        <v>1410</v>
      </c>
      <c r="IMO61" s="235" t="s">
        <v>1411</v>
      </c>
      <c r="IMP61" s="235" t="s">
        <v>388</v>
      </c>
      <c r="IMQ61" s="237" t="s">
        <v>727</v>
      </c>
      <c r="IMR61" s="237" t="s">
        <v>221</v>
      </c>
      <c r="IMS61" s="235" t="s">
        <v>2</v>
      </c>
      <c r="IMT61" s="235" t="s">
        <v>3</v>
      </c>
      <c r="IMU61" s="235" t="s">
        <v>618</v>
      </c>
      <c r="IMV61" s="235" t="s">
        <v>1410</v>
      </c>
      <c r="IMW61" s="235" t="s">
        <v>1411</v>
      </c>
      <c r="IMX61" s="235" t="s">
        <v>388</v>
      </c>
      <c r="IMY61" s="237" t="s">
        <v>727</v>
      </c>
      <c r="IMZ61" s="237" t="s">
        <v>221</v>
      </c>
      <c r="INA61" s="235" t="s">
        <v>2</v>
      </c>
      <c r="INB61" s="235" t="s">
        <v>3</v>
      </c>
      <c r="INC61" s="235" t="s">
        <v>618</v>
      </c>
      <c r="IND61" s="235" t="s">
        <v>1410</v>
      </c>
      <c r="INE61" s="235" t="s">
        <v>1411</v>
      </c>
      <c r="INF61" s="235" t="s">
        <v>388</v>
      </c>
      <c r="ING61" s="237" t="s">
        <v>727</v>
      </c>
      <c r="INH61" s="237" t="s">
        <v>221</v>
      </c>
      <c r="INI61" s="235" t="s">
        <v>2</v>
      </c>
      <c r="INJ61" s="235" t="s">
        <v>3</v>
      </c>
      <c r="INK61" s="235" t="s">
        <v>618</v>
      </c>
      <c r="INL61" s="235" t="s">
        <v>1410</v>
      </c>
      <c r="INM61" s="235" t="s">
        <v>1411</v>
      </c>
      <c r="INN61" s="235" t="s">
        <v>388</v>
      </c>
      <c r="INO61" s="237" t="s">
        <v>727</v>
      </c>
      <c r="INP61" s="237" t="s">
        <v>221</v>
      </c>
      <c r="INQ61" s="235" t="s">
        <v>2</v>
      </c>
      <c r="INR61" s="235" t="s">
        <v>3</v>
      </c>
      <c r="INS61" s="235" t="s">
        <v>618</v>
      </c>
      <c r="INT61" s="235" t="s">
        <v>1410</v>
      </c>
      <c r="INU61" s="235" t="s">
        <v>1411</v>
      </c>
      <c r="INV61" s="235" t="s">
        <v>388</v>
      </c>
      <c r="INW61" s="237" t="s">
        <v>727</v>
      </c>
      <c r="INX61" s="237" t="s">
        <v>221</v>
      </c>
      <c r="INY61" s="235" t="s">
        <v>2</v>
      </c>
      <c r="INZ61" s="235" t="s">
        <v>3</v>
      </c>
      <c r="IOA61" s="235" t="s">
        <v>618</v>
      </c>
      <c r="IOB61" s="235" t="s">
        <v>1410</v>
      </c>
      <c r="IOC61" s="235" t="s">
        <v>1411</v>
      </c>
      <c r="IOD61" s="235" t="s">
        <v>388</v>
      </c>
      <c r="IOE61" s="237" t="s">
        <v>727</v>
      </c>
      <c r="IOF61" s="237" t="s">
        <v>221</v>
      </c>
      <c r="IOG61" s="235" t="s">
        <v>2</v>
      </c>
      <c r="IOH61" s="235" t="s">
        <v>3</v>
      </c>
      <c r="IOI61" s="235" t="s">
        <v>618</v>
      </c>
      <c r="IOJ61" s="235" t="s">
        <v>1410</v>
      </c>
      <c r="IOK61" s="235" t="s">
        <v>1411</v>
      </c>
      <c r="IOL61" s="235" t="s">
        <v>388</v>
      </c>
      <c r="IOM61" s="237" t="s">
        <v>727</v>
      </c>
      <c r="ION61" s="237" t="s">
        <v>221</v>
      </c>
      <c r="IOO61" s="235" t="s">
        <v>2</v>
      </c>
      <c r="IOP61" s="235" t="s">
        <v>3</v>
      </c>
      <c r="IOQ61" s="235" t="s">
        <v>618</v>
      </c>
      <c r="IOR61" s="235" t="s">
        <v>1410</v>
      </c>
      <c r="IOS61" s="235" t="s">
        <v>1411</v>
      </c>
      <c r="IOT61" s="235" t="s">
        <v>388</v>
      </c>
      <c r="IOU61" s="237" t="s">
        <v>727</v>
      </c>
      <c r="IOV61" s="237" t="s">
        <v>221</v>
      </c>
      <c r="IOW61" s="235" t="s">
        <v>2</v>
      </c>
      <c r="IOX61" s="235" t="s">
        <v>3</v>
      </c>
      <c r="IOY61" s="235" t="s">
        <v>618</v>
      </c>
      <c r="IOZ61" s="235" t="s">
        <v>1410</v>
      </c>
      <c r="IPA61" s="235" t="s">
        <v>1411</v>
      </c>
      <c r="IPB61" s="235" t="s">
        <v>388</v>
      </c>
      <c r="IPC61" s="237" t="s">
        <v>727</v>
      </c>
      <c r="IPD61" s="237" t="s">
        <v>221</v>
      </c>
      <c r="IPE61" s="235" t="s">
        <v>2</v>
      </c>
      <c r="IPF61" s="235" t="s">
        <v>3</v>
      </c>
      <c r="IPG61" s="235" t="s">
        <v>618</v>
      </c>
      <c r="IPH61" s="235" t="s">
        <v>1410</v>
      </c>
      <c r="IPI61" s="235" t="s">
        <v>1411</v>
      </c>
      <c r="IPJ61" s="235" t="s">
        <v>388</v>
      </c>
      <c r="IPK61" s="237" t="s">
        <v>727</v>
      </c>
      <c r="IPL61" s="237" t="s">
        <v>221</v>
      </c>
      <c r="IPM61" s="235" t="s">
        <v>2</v>
      </c>
      <c r="IPN61" s="235" t="s">
        <v>3</v>
      </c>
      <c r="IPO61" s="235" t="s">
        <v>618</v>
      </c>
      <c r="IPP61" s="235" t="s">
        <v>1410</v>
      </c>
      <c r="IPQ61" s="235" t="s">
        <v>1411</v>
      </c>
      <c r="IPR61" s="235" t="s">
        <v>388</v>
      </c>
      <c r="IPS61" s="237" t="s">
        <v>727</v>
      </c>
      <c r="IPT61" s="237" t="s">
        <v>221</v>
      </c>
      <c r="IPU61" s="235" t="s">
        <v>2</v>
      </c>
      <c r="IPV61" s="235" t="s">
        <v>3</v>
      </c>
      <c r="IPW61" s="235" t="s">
        <v>618</v>
      </c>
      <c r="IPX61" s="235" t="s">
        <v>1410</v>
      </c>
      <c r="IPY61" s="235" t="s">
        <v>1411</v>
      </c>
      <c r="IPZ61" s="235" t="s">
        <v>388</v>
      </c>
      <c r="IQA61" s="237" t="s">
        <v>727</v>
      </c>
      <c r="IQB61" s="237" t="s">
        <v>221</v>
      </c>
      <c r="IQC61" s="235" t="s">
        <v>2</v>
      </c>
      <c r="IQD61" s="235" t="s">
        <v>3</v>
      </c>
      <c r="IQE61" s="235" t="s">
        <v>618</v>
      </c>
      <c r="IQF61" s="235" t="s">
        <v>1410</v>
      </c>
      <c r="IQG61" s="235" t="s">
        <v>1411</v>
      </c>
      <c r="IQH61" s="235" t="s">
        <v>388</v>
      </c>
      <c r="IQI61" s="237" t="s">
        <v>727</v>
      </c>
      <c r="IQJ61" s="237" t="s">
        <v>221</v>
      </c>
      <c r="IQK61" s="235" t="s">
        <v>2</v>
      </c>
      <c r="IQL61" s="235" t="s">
        <v>3</v>
      </c>
      <c r="IQM61" s="235" t="s">
        <v>618</v>
      </c>
      <c r="IQN61" s="235" t="s">
        <v>1410</v>
      </c>
      <c r="IQO61" s="235" t="s">
        <v>1411</v>
      </c>
      <c r="IQP61" s="235" t="s">
        <v>388</v>
      </c>
      <c r="IQQ61" s="237" t="s">
        <v>727</v>
      </c>
      <c r="IQR61" s="237" t="s">
        <v>221</v>
      </c>
      <c r="IQS61" s="235" t="s">
        <v>2</v>
      </c>
      <c r="IQT61" s="235" t="s">
        <v>3</v>
      </c>
      <c r="IQU61" s="235" t="s">
        <v>618</v>
      </c>
      <c r="IQV61" s="235" t="s">
        <v>1410</v>
      </c>
      <c r="IQW61" s="235" t="s">
        <v>1411</v>
      </c>
      <c r="IQX61" s="235" t="s">
        <v>388</v>
      </c>
      <c r="IQY61" s="237" t="s">
        <v>727</v>
      </c>
      <c r="IQZ61" s="237" t="s">
        <v>221</v>
      </c>
      <c r="IRA61" s="235" t="s">
        <v>2</v>
      </c>
      <c r="IRB61" s="235" t="s">
        <v>3</v>
      </c>
      <c r="IRC61" s="235" t="s">
        <v>618</v>
      </c>
      <c r="IRD61" s="235" t="s">
        <v>1410</v>
      </c>
      <c r="IRE61" s="235" t="s">
        <v>1411</v>
      </c>
      <c r="IRF61" s="235" t="s">
        <v>388</v>
      </c>
      <c r="IRG61" s="237" t="s">
        <v>727</v>
      </c>
      <c r="IRH61" s="237" t="s">
        <v>221</v>
      </c>
      <c r="IRI61" s="235" t="s">
        <v>2</v>
      </c>
      <c r="IRJ61" s="235" t="s">
        <v>3</v>
      </c>
      <c r="IRK61" s="235" t="s">
        <v>618</v>
      </c>
      <c r="IRL61" s="235" t="s">
        <v>1410</v>
      </c>
      <c r="IRM61" s="235" t="s">
        <v>1411</v>
      </c>
      <c r="IRN61" s="235" t="s">
        <v>388</v>
      </c>
      <c r="IRO61" s="237" t="s">
        <v>727</v>
      </c>
      <c r="IRP61" s="237" t="s">
        <v>221</v>
      </c>
      <c r="IRQ61" s="235" t="s">
        <v>2</v>
      </c>
      <c r="IRR61" s="235" t="s">
        <v>3</v>
      </c>
      <c r="IRS61" s="235" t="s">
        <v>618</v>
      </c>
      <c r="IRT61" s="235" t="s">
        <v>1410</v>
      </c>
      <c r="IRU61" s="235" t="s">
        <v>1411</v>
      </c>
      <c r="IRV61" s="235" t="s">
        <v>388</v>
      </c>
      <c r="IRW61" s="237" t="s">
        <v>727</v>
      </c>
      <c r="IRX61" s="237" t="s">
        <v>221</v>
      </c>
      <c r="IRY61" s="235" t="s">
        <v>2</v>
      </c>
      <c r="IRZ61" s="235" t="s">
        <v>3</v>
      </c>
      <c r="ISA61" s="235" t="s">
        <v>618</v>
      </c>
      <c r="ISB61" s="235" t="s">
        <v>1410</v>
      </c>
      <c r="ISC61" s="235" t="s">
        <v>1411</v>
      </c>
      <c r="ISD61" s="235" t="s">
        <v>388</v>
      </c>
      <c r="ISE61" s="237" t="s">
        <v>727</v>
      </c>
      <c r="ISF61" s="237" t="s">
        <v>221</v>
      </c>
      <c r="ISG61" s="235" t="s">
        <v>2</v>
      </c>
      <c r="ISH61" s="235" t="s">
        <v>3</v>
      </c>
      <c r="ISI61" s="235" t="s">
        <v>618</v>
      </c>
      <c r="ISJ61" s="235" t="s">
        <v>1410</v>
      </c>
      <c r="ISK61" s="235" t="s">
        <v>1411</v>
      </c>
      <c r="ISL61" s="235" t="s">
        <v>388</v>
      </c>
      <c r="ISM61" s="237" t="s">
        <v>727</v>
      </c>
      <c r="ISN61" s="237" t="s">
        <v>221</v>
      </c>
      <c r="ISO61" s="235" t="s">
        <v>2</v>
      </c>
      <c r="ISP61" s="235" t="s">
        <v>3</v>
      </c>
      <c r="ISQ61" s="235" t="s">
        <v>618</v>
      </c>
      <c r="ISR61" s="235" t="s">
        <v>1410</v>
      </c>
      <c r="ISS61" s="235" t="s">
        <v>1411</v>
      </c>
      <c r="IST61" s="235" t="s">
        <v>388</v>
      </c>
      <c r="ISU61" s="237" t="s">
        <v>727</v>
      </c>
      <c r="ISV61" s="237" t="s">
        <v>221</v>
      </c>
      <c r="ISW61" s="235" t="s">
        <v>2</v>
      </c>
      <c r="ISX61" s="235" t="s">
        <v>3</v>
      </c>
      <c r="ISY61" s="235" t="s">
        <v>618</v>
      </c>
      <c r="ISZ61" s="235" t="s">
        <v>1410</v>
      </c>
      <c r="ITA61" s="235" t="s">
        <v>1411</v>
      </c>
      <c r="ITB61" s="235" t="s">
        <v>388</v>
      </c>
      <c r="ITC61" s="237" t="s">
        <v>727</v>
      </c>
      <c r="ITD61" s="237" t="s">
        <v>221</v>
      </c>
      <c r="ITE61" s="235" t="s">
        <v>2</v>
      </c>
      <c r="ITF61" s="235" t="s">
        <v>3</v>
      </c>
      <c r="ITG61" s="235" t="s">
        <v>618</v>
      </c>
      <c r="ITH61" s="235" t="s">
        <v>1410</v>
      </c>
      <c r="ITI61" s="235" t="s">
        <v>1411</v>
      </c>
      <c r="ITJ61" s="235" t="s">
        <v>388</v>
      </c>
      <c r="ITK61" s="237" t="s">
        <v>727</v>
      </c>
      <c r="ITL61" s="237" t="s">
        <v>221</v>
      </c>
      <c r="ITM61" s="235" t="s">
        <v>2</v>
      </c>
      <c r="ITN61" s="235" t="s">
        <v>3</v>
      </c>
      <c r="ITO61" s="235" t="s">
        <v>618</v>
      </c>
      <c r="ITP61" s="235" t="s">
        <v>1410</v>
      </c>
      <c r="ITQ61" s="235" t="s">
        <v>1411</v>
      </c>
      <c r="ITR61" s="235" t="s">
        <v>388</v>
      </c>
      <c r="ITS61" s="237" t="s">
        <v>727</v>
      </c>
      <c r="ITT61" s="237" t="s">
        <v>221</v>
      </c>
      <c r="ITU61" s="235" t="s">
        <v>2</v>
      </c>
      <c r="ITV61" s="235" t="s">
        <v>3</v>
      </c>
      <c r="ITW61" s="235" t="s">
        <v>618</v>
      </c>
      <c r="ITX61" s="235" t="s">
        <v>1410</v>
      </c>
      <c r="ITY61" s="235" t="s">
        <v>1411</v>
      </c>
      <c r="ITZ61" s="235" t="s">
        <v>388</v>
      </c>
      <c r="IUA61" s="237" t="s">
        <v>727</v>
      </c>
      <c r="IUB61" s="237" t="s">
        <v>221</v>
      </c>
      <c r="IUC61" s="235" t="s">
        <v>2</v>
      </c>
      <c r="IUD61" s="235" t="s">
        <v>3</v>
      </c>
      <c r="IUE61" s="235" t="s">
        <v>618</v>
      </c>
      <c r="IUF61" s="235" t="s">
        <v>1410</v>
      </c>
      <c r="IUG61" s="235" t="s">
        <v>1411</v>
      </c>
      <c r="IUH61" s="235" t="s">
        <v>388</v>
      </c>
      <c r="IUI61" s="237" t="s">
        <v>727</v>
      </c>
      <c r="IUJ61" s="237" t="s">
        <v>221</v>
      </c>
      <c r="IUK61" s="235" t="s">
        <v>2</v>
      </c>
      <c r="IUL61" s="235" t="s">
        <v>3</v>
      </c>
      <c r="IUM61" s="235" t="s">
        <v>618</v>
      </c>
      <c r="IUN61" s="235" t="s">
        <v>1410</v>
      </c>
      <c r="IUO61" s="235" t="s">
        <v>1411</v>
      </c>
      <c r="IUP61" s="235" t="s">
        <v>388</v>
      </c>
      <c r="IUQ61" s="237" t="s">
        <v>727</v>
      </c>
      <c r="IUR61" s="237" t="s">
        <v>221</v>
      </c>
      <c r="IUS61" s="235" t="s">
        <v>2</v>
      </c>
      <c r="IUT61" s="235" t="s">
        <v>3</v>
      </c>
      <c r="IUU61" s="235" t="s">
        <v>618</v>
      </c>
      <c r="IUV61" s="235" t="s">
        <v>1410</v>
      </c>
      <c r="IUW61" s="235" t="s">
        <v>1411</v>
      </c>
      <c r="IUX61" s="235" t="s">
        <v>388</v>
      </c>
      <c r="IUY61" s="237" t="s">
        <v>727</v>
      </c>
      <c r="IUZ61" s="237" t="s">
        <v>221</v>
      </c>
      <c r="IVA61" s="235" t="s">
        <v>2</v>
      </c>
      <c r="IVB61" s="235" t="s">
        <v>3</v>
      </c>
      <c r="IVC61" s="235" t="s">
        <v>618</v>
      </c>
      <c r="IVD61" s="235" t="s">
        <v>1410</v>
      </c>
      <c r="IVE61" s="235" t="s">
        <v>1411</v>
      </c>
      <c r="IVF61" s="235" t="s">
        <v>388</v>
      </c>
      <c r="IVG61" s="237" t="s">
        <v>727</v>
      </c>
      <c r="IVH61" s="237" t="s">
        <v>221</v>
      </c>
      <c r="IVI61" s="235" t="s">
        <v>2</v>
      </c>
      <c r="IVJ61" s="235" t="s">
        <v>3</v>
      </c>
      <c r="IVK61" s="235" t="s">
        <v>618</v>
      </c>
      <c r="IVL61" s="235" t="s">
        <v>1410</v>
      </c>
      <c r="IVM61" s="235" t="s">
        <v>1411</v>
      </c>
      <c r="IVN61" s="235" t="s">
        <v>388</v>
      </c>
      <c r="IVO61" s="237" t="s">
        <v>727</v>
      </c>
      <c r="IVP61" s="237" t="s">
        <v>221</v>
      </c>
      <c r="IVQ61" s="235" t="s">
        <v>2</v>
      </c>
      <c r="IVR61" s="235" t="s">
        <v>3</v>
      </c>
      <c r="IVS61" s="235" t="s">
        <v>618</v>
      </c>
      <c r="IVT61" s="235" t="s">
        <v>1410</v>
      </c>
      <c r="IVU61" s="235" t="s">
        <v>1411</v>
      </c>
      <c r="IVV61" s="235" t="s">
        <v>388</v>
      </c>
      <c r="IVW61" s="237" t="s">
        <v>727</v>
      </c>
      <c r="IVX61" s="237" t="s">
        <v>221</v>
      </c>
      <c r="IVY61" s="235" t="s">
        <v>2</v>
      </c>
      <c r="IVZ61" s="235" t="s">
        <v>3</v>
      </c>
      <c r="IWA61" s="235" t="s">
        <v>618</v>
      </c>
      <c r="IWB61" s="235" t="s">
        <v>1410</v>
      </c>
      <c r="IWC61" s="235" t="s">
        <v>1411</v>
      </c>
      <c r="IWD61" s="235" t="s">
        <v>388</v>
      </c>
      <c r="IWE61" s="237" t="s">
        <v>727</v>
      </c>
      <c r="IWF61" s="237" t="s">
        <v>221</v>
      </c>
      <c r="IWG61" s="235" t="s">
        <v>2</v>
      </c>
      <c r="IWH61" s="235" t="s">
        <v>3</v>
      </c>
      <c r="IWI61" s="235" t="s">
        <v>618</v>
      </c>
      <c r="IWJ61" s="235" t="s">
        <v>1410</v>
      </c>
      <c r="IWK61" s="235" t="s">
        <v>1411</v>
      </c>
      <c r="IWL61" s="235" t="s">
        <v>388</v>
      </c>
      <c r="IWM61" s="237" t="s">
        <v>727</v>
      </c>
      <c r="IWN61" s="237" t="s">
        <v>221</v>
      </c>
      <c r="IWO61" s="235" t="s">
        <v>2</v>
      </c>
      <c r="IWP61" s="235" t="s">
        <v>3</v>
      </c>
      <c r="IWQ61" s="235" t="s">
        <v>618</v>
      </c>
      <c r="IWR61" s="235" t="s">
        <v>1410</v>
      </c>
      <c r="IWS61" s="235" t="s">
        <v>1411</v>
      </c>
      <c r="IWT61" s="235" t="s">
        <v>388</v>
      </c>
      <c r="IWU61" s="237" t="s">
        <v>727</v>
      </c>
      <c r="IWV61" s="237" t="s">
        <v>221</v>
      </c>
      <c r="IWW61" s="235" t="s">
        <v>2</v>
      </c>
      <c r="IWX61" s="235" t="s">
        <v>3</v>
      </c>
      <c r="IWY61" s="235" t="s">
        <v>618</v>
      </c>
      <c r="IWZ61" s="235" t="s">
        <v>1410</v>
      </c>
      <c r="IXA61" s="235" t="s">
        <v>1411</v>
      </c>
      <c r="IXB61" s="235" t="s">
        <v>388</v>
      </c>
      <c r="IXC61" s="237" t="s">
        <v>727</v>
      </c>
      <c r="IXD61" s="237" t="s">
        <v>221</v>
      </c>
      <c r="IXE61" s="235" t="s">
        <v>2</v>
      </c>
      <c r="IXF61" s="235" t="s">
        <v>3</v>
      </c>
      <c r="IXG61" s="235" t="s">
        <v>618</v>
      </c>
      <c r="IXH61" s="235" t="s">
        <v>1410</v>
      </c>
      <c r="IXI61" s="235" t="s">
        <v>1411</v>
      </c>
      <c r="IXJ61" s="235" t="s">
        <v>388</v>
      </c>
      <c r="IXK61" s="237" t="s">
        <v>727</v>
      </c>
      <c r="IXL61" s="237" t="s">
        <v>221</v>
      </c>
      <c r="IXM61" s="235" t="s">
        <v>2</v>
      </c>
      <c r="IXN61" s="235" t="s">
        <v>3</v>
      </c>
      <c r="IXO61" s="235" t="s">
        <v>618</v>
      </c>
      <c r="IXP61" s="235" t="s">
        <v>1410</v>
      </c>
      <c r="IXQ61" s="235" t="s">
        <v>1411</v>
      </c>
      <c r="IXR61" s="235" t="s">
        <v>388</v>
      </c>
      <c r="IXS61" s="237" t="s">
        <v>727</v>
      </c>
      <c r="IXT61" s="237" t="s">
        <v>221</v>
      </c>
      <c r="IXU61" s="235" t="s">
        <v>2</v>
      </c>
      <c r="IXV61" s="235" t="s">
        <v>3</v>
      </c>
      <c r="IXW61" s="235" t="s">
        <v>618</v>
      </c>
      <c r="IXX61" s="235" t="s">
        <v>1410</v>
      </c>
      <c r="IXY61" s="235" t="s">
        <v>1411</v>
      </c>
      <c r="IXZ61" s="235" t="s">
        <v>388</v>
      </c>
      <c r="IYA61" s="237" t="s">
        <v>727</v>
      </c>
      <c r="IYB61" s="237" t="s">
        <v>221</v>
      </c>
      <c r="IYC61" s="235" t="s">
        <v>2</v>
      </c>
      <c r="IYD61" s="235" t="s">
        <v>3</v>
      </c>
      <c r="IYE61" s="235" t="s">
        <v>618</v>
      </c>
      <c r="IYF61" s="235" t="s">
        <v>1410</v>
      </c>
      <c r="IYG61" s="235" t="s">
        <v>1411</v>
      </c>
      <c r="IYH61" s="235" t="s">
        <v>388</v>
      </c>
      <c r="IYI61" s="237" t="s">
        <v>727</v>
      </c>
      <c r="IYJ61" s="237" t="s">
        <v>221</v>
      </c>
      <c r="IYK61" s="235" t="s">
        <v>2</v>
      </c>
      <c r="IYL61" s="235" t="s">
        <v>3</v>
      </c>
      <c r="IYM61" s="235" t="s">
        <v>618</v>
      </c>
      <c r="IYN61" s="235" t="s">
        <v>1410</v>
      </c>
      <c r="IYO61" s="235" t="s">
        <v>1411</v>
      </c>
      <c r="IYP61" s="235" t="s">
        <v>388</v>
      </c>
      <c r="IYQ61" s="237" t="s">
        <v>727</v>
      </c>
      <c r="IYR61" s="237" t="s">
        <v>221</v>
      </c>
      <c r="IYS61" s="235" t="s">
        <v>2</v>
      </c>
      <c r="IYT61" s="235" t="s">
        <v>3</v>
      </c>
      <c r="IYU61" s="235" t="s">
        <v>618</v>
      </c>
      <c r="IYV61" s="235" t="s">
        <v>1410</v>
      </c>
      <c r="IYW61" s="235" t="s">
        <v>1411</v>
      </c>
      <c r="IYX61" s="235" t="s">
        <v>388</v>
      </c>
      <c r="IYY61" s="237" t="s">
        <v>727</v>
      </c>
      <c r="IYZ61" s="237" t="s">
        <v>221</v>
      </c>
      <c r="IZA61" s="235" t="s">
        <v>2</v>
      </c>
      <c r="IZB61" s="235" t="s">
        <v>3</v>
      </c>
      <c r="IZC61" s="235" t="s">
        <v>618</v>
      </c>
      <c r="IZD61" s="235" t="s">
        <v>1410</v>
      </c>
      <c r="IZE61" s="235" t="s">
        <v>1411</v>
      </c>
      <c r="IZF61" s="235" t="s">
        <v>388</v>
      </c>
      <c r="IZG61" s="237" t="s">
        <v>727</v>
      </c>
      <c r="IZH61" s="237" t="s">
        <v>221</v>
      </c>
      <c r="IZI61" s="235" t="s">
        <v>2</v>
      </c>
      <c r="IZJ61" s="235" t="s">
        <v>3</v>
      </c>
      <c r="IZK61" s="235" t="s">
        <v>618</v>
      </c>
      <c r="IZL61" s="235" t="s">
        <v>1410</v>
      </c>
      <c r="IZM61" s="235" t="s">
        <v>1411</v>
      </c>
      <c r="IZN61" s="235" t="s">
        <v>388</v>
      </c>
      <c r="IZO61" s="237" t="s">
        <v>727</v>
      </c>
      <c r="IZP61" s="237" t="s">
        <v>221</v>
      </c>
      <c r="IZQ61" s="235" t="s">
        <v>2</v>
      </c>
      <c r="IZR61" s="235" t="s">
        <v>3</v>
      </c>
      <c r="IZS61" s="235" t="s">
        <v>618</v>
      </c>
      <c r="IZT61" s="235" t="s">
        <v>1410</v>
      </c>
      <c r="IZU61" s="235" t="s">
        <v>1411</v>
      </c>
      <c r="IZV61" s="235" t="s">
        <v>388</v>
      </c>
      <c r="IZW61" s="237" t="s">
        <v>727</v>
      </c>
      <c r="IZX61" s="237" t="s">
        <v>221</v>
      </c>
      <c r="IZY61" s="235" t="s">
        <v>2</v>
      </c>
      <c r="IZZ61" s="235" t="s">
        <v>3</v>
      </c>
      <c r="JAA61" s="235" t="s">
        <v>618</v>
      </c>
      <c r="JAB61" s="235" t="s">
        <v>1410</v>
      </c>
      <c r="JAC61" s="235" t="s">
        <v>1411</v>
      </c>
      <c r="JAD61" s="235" t="s">
        <v>388</v>
      </c>
      <c r="JAE61" s="237" t="s">
        <v>727</v>
      </c>
      <c r="JAF61" s="237" t="s">
        <v>221</v>
      </c>
      <c r="JAG61" s="235" t="s">
        <v>2</v>
      </c>
      <c r="JAH61" s="235" t="s">
        <v>3</v>
      </c>
      <c r="JAI61" s="235" t="s">
        <v>618</v>
      </c>
      <c r="JAJ61" s="235" t="s">
        <v>1410</v>
      </c>
      <c r="JAK61" s="235" t="s">
        <v>1411</v>
      </c>
      <c r="JAL61" s="235" t="s">
        <v>388</v>
      </c>
      <c r="JAM61" s="237" t="s">
        <v>727</v>
      </c>
      <c r="JAN61" s="237" t="s">
        <v>221</v>
      </c>
      <c r="JAO61" s="235" t="s">
        <v>2</v>
      </c>
      <c r="JAP61" s="235" t="s">
        <v>3</v>
      </c>
      <c r="JAQ61" s="235" t="s">
        <v>618</v>
      </c>
      <c r="JAR61" s="235" t="s">
        <v>1410</v>
      </c>
      <c r="JAS61" s="235" t="s">
        <v>1411</v>
      </c>
      <c r="JAT61" s="235" t="s">
        <v>388</v>
      </c>
      <c r="JAU61" s="237" t="s">
        <v>727</v>
      </c>
      <c r="JAV61" s="237" t="s">
        <v>221</v>
      </c>
      <c r="JAW61" s="235" t="s">
        <v>2</v>
      </c>
      <c r="JAX61" s="235" t="s">
        <v>3</v>
      </c>
      <c r="JAY61" s="235" t="s">
        <v>618</v>
      </c>
      <c r="JAZ61" s="235" t="s">
        <v>1410</v>
      </c>
      <c r="JBA61" s="235" t="s">
        <v>1411</v>
      </c>
      <c r="JBB61" s="235" t="s">
        <v>388</v>
      </c>
      <c r="JBC61" s="237" t="s">
        <v>727</v>
      </c>
      <c r="JBD61" s="237" t="s">
        <v>221</v>
      </c>
      <c r="JBE61" s="235" t="s">
        <v>2</v>
      </c>
      <c r="JBF61" s="235" t="s">
        <v>3</v>
      </c>
      <c r="JBG61" s="235" t="s">
        <v>618</v>
      </c>
      <c r="JBH61" s="235" t="s">
        <v>1410</v>
      </c>
      <c r="JBI61" s="235" t="s">
        <v>1411</v>
      </c>
      <c r="JBJ61" s="235" t="s">
        <v>388</v>
      </c>
      <c r="JBK61" s="237" t="s">
        <v>727</v>
      </c>
      <c r="JBL61" s="237" t="s">
        <v>221</v>
      </c>
      <c r="JBM61" s="235" t="s">
        <v>2</v>
      </c>
      <c r="JBN61" s="235" t="s">
        <v>3</v>
      </c>
      <c r="JBO61" s="235" t="s">
        <v>618</v>
      </c>
      <c r="JBP61" s="235" t="s">
        <v>1410</v>
      </c>
      <c r="JBQ61" s="235" t="s">
        <v>1411</v>
      </c>
      <c r="JBR61" s="235" t="s">
        <v>388</v>
      </c>
      <c r="JBS61" s="237" t="s">
        <v>727</v>
      </c>
      <c r="JBT61" s="237" t="s">
        <v>221</v>
      </c>
      <c r="JBU61" s="235" t="s">
        <v>2</v>
      </c>
      <c r="JBV61" s="235" t="s">
        <v>3</v>
      </c>
      <c r="JBW61" s="235" t="s">
        <v>618</v>
      </c>
      <c r="JBX61" s="235" t="s">
        <v>1410</v>
      </c>
      <c r="JBY61" s="235" t="s">
        <v>1411</v>
      </c>
      <c r="JBZ61" s="235" t="s">
        <v>388</v>
      </c>
      <c r="JCA61" s="237" t="s">
        <v>727</v>
      </c>
      <c r="JCB61" s="237" t="s">
        <v>221</v>
      </c>
      <c r="JCC61" s="235" t="s">
        <v>2</v>
      </c>
      <c r="JCD61" s="235" t="s">
        <v>3</v>
      </c>
      <c r="JCE61" s="235" t="s">
        <v>618</v>
      </c>
      <c r="JCF61" s="235" t="s">
        <v>1410</v>
      </c>
      <c r="JCG61" s="235" t="s">
        <v>1411</v>
      </c>
      <c r="JCH61" s="235" t="s">
        <v>388</v>
      </c>
      <c r="JCI61" s="237" t="s">
        <v>727</v>
      </c>
      <c r="JCJ61" s="237" t="s">
        <v>221</v>
      </c>
      <c r="JCK61" s="235" t="s">
        <v>2</v>
      </c>
      <c r="JCL61" s="235" t="s">
        <v>3</v>
      </c>
      <c r="JCM61" s="235" t="s">
        <v>618</v>
      </c>
      <c r="JCN61" s="235" t="s">
        <v>1410</v>
      </c>
      <c r="JCO61" s="235" t="s">
        <v>1411</v>
      </c>
      <c r="JCP61" s="235" t="s">
        <v>388</v>
      </c>
      <c r="JCQ61" s="237" t="s">
        <v>727</v>
      </c>
      <c r="JCR61" s="237" t="s">
        <v>221</v>
      </c>
      <c r="JCS61" s="235" t="s">
        <v>2</v>
      </c>
      <c r="JCT61" s="235" t="s">
        <v>3</v>
      </c>
      <c r="JCU61" s="235" t="s">
        <v>618</v>
      </c>
      <c r="JCV61" s="235" t="s">
        <v>1410</v>
      </c>
      <c r="JCW61" s="235" t="s">
        <v>1411</v>
      </c>
      <c r="JCX61" s="235" t="s">
        <v>388</v>
      </c>
      <c r="JCY61" s="237" t="s">
        <v>727</v>
      </c>
      <c r="JCZ61" s="237" t="s">
        <v>221</v>
      </c>
      <c r="JDA61" s="235" t="s">
        <v>2</v>
      </c>
      <c r="JDB61" s="235" t="s">
        <v>3</v>
      </c>
      <c r="JDC61" s="235" t="s">
        <v>618</v>
      </c>
      <c r="JDD61" s="235" t="s">
        <v>1410</v>
      </c>
      <c r="JDE61" s="235" t="s">
        <v>1411</v>
      </c>
      <c r="JDF61" s="235" t="s">
        <v>388</v>
      </c>
      <c r="JDG61" s="237" t="s">
        <v>727</v>
      </c>
      <c r="JDH61" s="237" t="s">
        <v>221</v>
      </c>
      <c r="JDI61" s="235" t="s">
        <v>2</v>
      </c>
      <c r="JDJ61" s="235" t="s">
        <v>3</v>
      </c>
      <c r="JDK61" s="235" t="s">
        <v>618</v>
      </c>
      <c r="JDL61" s="235" t="s">
        <v>1410</v>
      </c>
      <c r="JDM61" s="235" t="s">
        <v>1411</v>
      </c>
      <c r="JDN61" s="235" t="s">
        <v>388</v>
      </c>
      <c r="JDO61" s="237" t="s">
        <v>727</v>
      </c>
      <c r="JDP61" s="237" t="s">
        <v>221</v>
      </c>
      <c r="JDQ61" s="235" t="s">
        <v>2</v>
      </c>
      <c r="JDR61" s="235" t="s">
        <v>3</v>
      </c>
      <c r="JDS61" s="235" t="s">
        <v>618</v>
      </c>
      <c r="JDT61" s="235" t="s">
        <v>1410</v>
      </c>
      <c r="JDU61" s="235" t="s">
        <v>1411</v>
      </c>
      <c r="JDV61" s="235" t="s">
        <v>388</v>
      </c>
      <c r="JDW61" s="237" t="s">
        <v>727</v>
      </c>
      <c r="JDX61" s="237" t="s">
        <v>221</v>
      </c>
      <c r="JDY61" s="235" t="s">
        <v>2</v>
      </c>
      <c r="JDZ61" s="235" t="s">
        <v>3</v>
      </c>
      <c r="JEA61" s="235" t="s">
        <v>618</v>
      </c>
      <c r="JEB61" s="235" t="s">
        <v>1410</v>
      </c>
      <c r="JEC61" s="235" t="s">
        <v>1411</v>
      </c>
      <c r="JED61" s="235" t="s">
        <v>388</v>
      </c>
      <c r="JEE61" s="237" t="s">
        <v>727</v>
      </c>
      <c r="JEF61" s="237" t="s">
        <v>221</v>
      </c>
      <c r="JEG61" s="235" t="s">
        <v>2</v>
      </c>
      <c r="JEH61" s="235" t="s">
        <v>3</v>
      </c>
      <c r="JEI61" s="235" t="s">
        <v>618</v>
      </c>
      <c r="JEJ61" s="235" t="s">
        <v>1410</v>
      </c>
      <c r="JEK61" s="235" t="s">
        <v>1411</v>
      </c>
      <c r="JEL61" s="235" t="s">
        <v>388</v>
      </c>
      <c r="JEM61" s="237" t="s">
        <v>727</v>
      </c>
      <c r="JEN61" s="237" t="s">
        <v>221</v>
      </c>
      <c r="JEO61" s="235" t="s">
        <v>2</v>
      </c>
      <c r="JEP61" s="235" t="s">
        <v>3</v>
      </c>
      <c r="JEQ61" s="235" t="s">
        <v>618</v>
      </c>
      <c r="JER61" s="235" t="s">
        <v>1410</v>
      </c>
      <c r="JES61" s="235" t="s">
        <v>1411</v>
      </c>
      <c r="JET61" s="235" t="s">
        <v>388</v>
      </c>
      <c r="JEU61" s="237" t="s">
        <v>727</v>
      </c>
      <c r="JEV61" s="237" t="s">
        <v>221</v>
      </c>
      <c r="JEW61" s="235" t="s">
        <v>2</v>
      </c>
      <c r="JEX61" s="235" t="s">
        <v>3</v>
      </c>
      <c r="JEY61" s="235" t="s">
        <v>618</v>
      </c>
      <c r="JEZ61" s="235" t="s">
        <v>1410</v>
      </c>
      <c r="JFA61" s="235" t="s">
        <v>1411</v>
      </c>
      <c r="JFB61" s="235" t="s">
        <v>388</v>
      </c>
      <c r="JFC61" s="237" t="s">
        <v>727</v>
      </c>
      <c r="JFD61" s="237" t="s">
        <v>221</v>
      </c>
      <c r="JFE61" s="235" t="s">
        <v>2</v>
      </c>
      <c r="JFF61" s="235" t="s">
        <v>3</v>
      </c>
      <c r="JFG61" s="235" t="s">
        <v>618</v>
      </c>
      <c r="JFH61" s="235" t="s">
        <v>1410</v>
      </c>
      <c r="JFI61" s="235" t="s">
        <v>1411</v>
      </c>
      <c r="JFJ61" s="235" t="s">
        <v>388</v>
      </c>
      <c r="JFK61" s="237" t="s">
        <v>727</v>
      </c>
      <c r="JFL61" s="237" t="s">
        <v>221</v>
      </c>
      <c r="JFM61" s="235" t="s">
        <v>2</v>
      </c>
      <c r="JFN61" s="235" t="s">
        <v>3</v>
      </c>
      <c r="JFO61" s="235" t="s">
        <v>618</v>
      </c>
      <c r="JFP61" s="235" t="s">
        <v>1410</v>
      </c>
      <c r="JFQ61" s="235" t="s">
        <v>1411</v>
      </c>
      <c r="JFR61" s="235" t="s">
        <v>388</v>
      </c>
      <c r="JFS61" s="237" t="s">
        <v>727</v>
      </c>
      <c r="JFT61" s="237" t="s">
        <v>221</v>
      </c>
      <c r="JFU61" s="235" t="s">
        <v>2</v>
      </c>
      <c r="JFV61" s="235" t="s">
        <v>3</v>
      </c>
      <c r="JFW61" s="235" t="s">
        <v>618</v>
      </c>
      <c r="JFX61" s="235" t="s">
        <v>1410</v>
      </c>
      <c r="JFY61" s="235" t="s">
        <v>1411</v>
      </c>
      <c r="JFZ61" s="235" t="s">
        <v>388</v>
      </c>
      <c r="JGA61" s="237" t="s">
        <v>727</v>
      </c>
      <c r="JGB61" s="237" t="s">
        <v>221</v>
      </c>
      <c r="JGC61" s="235" t="s">
        <v>2</v>
      </c>
      <c r="JGD61" s="235" t="s">
        <v>3</v>
      </c>
      <c r="JGE61" s="235" t="s">
        <v>618</v>
      </c>
      <c r="JGF61" s="235" t="s">
        <v>1410</v>
      </c>
      <c r="JGG61" s="235" t="s">
        <v>1411</v>
      </c>
      <c r="JGH61" s="235" t="s">
        <v>388</v>
      </c>
      <c r="JGI61" s="237" t="s">
        <v>727</v>
      </c>
      <c r="JGJ61" s="237" t="s">
        <v>221</v>
      </c>
      <c r="JGK61" s="235" t="s">
        <v>2</v>
      </c>
      <c r="JGL61" s="235" t="s">
        <v>3</v>
      </c>
      <c r="JGM61" s="235" t="s">
        <v>618</v>
      </c>
      <c r="JGN61" s="235" t="s">
        <v>1410</v>
      </c>
      <c r="JGO61" s="235" t="s">
        <v>1411</v>
      </c>
      <c r="JGP61" s="235" t="s">
        <v>388</v>
      </c>
      <c r="JGQ61" s="237" t="s">
        <v>727</v>
      </c>
      <c r="JGR61" s="237" t="s">
        <v>221</v>
      </c>
      <c r="JGS61" s="235" t="s">
        <v>2</v>
      </c>
      <c r="JGT61" s="235" t="s">
        <v>3</v>
      </c>
      <c r="JGU61" s="235" t="s">
        <v>618</v>
      </c>
      <c r="JGV61" s="235" t="s">
        <v>1410</v>
      </c>
      <c r="JGW61" s="235" t="s">
        <v>1411</v>
      </c>
      <c r="JGX61" s="235" t="s">
        <v>388</v>
      </c>
      <c r="JGY61" s="237" t="s">
        <v>727</v>
      </c>
      <c r="JGZ61" s="237" t="s">
        <v>221</v>
      </c>
      <c r="JHA61" s="235" t="s">
        <v>2</v>
      </c>
      <c r="JHB61" s="235" t="s">
        <v>3</v>
      </c>
      <c r="JHC61" s="235" t="s">
        <v>618</v>
      </c>
      <c r="JHD61" s="235" t="s">
        <v>1410</v>
      </c>
      <c r="JHE61" s="235" t="s">
        <v>1411</v>
      </c>
      <c r="JHF61" s="235" t="s">
        <v>388</v>
      </c>
      <c r="JHG61" s="237" t="s">
        <v>727</v>
      </c>
      <c r="JHH61" s="237" t="s">
        <v>221</v>
      </c>
      <c r="JHI61" s="235" t="s">
        <v>2</v>
      </c>
      <c r="JHJ61" s="235" t="s">
        <v>3</v>
      </c>
      <c r="JHK61" s="235" t="s">
        <v>618</v>
      </c>
      <c r="JHL61" s="235" t="s">
        <v>1410</v>
      </c>
      <c r="JHM61" s="235" t="s">
        <v>1411</v>
      </c>
      <c r="JHN61" s="235" t="s">
        <v>388</v>
      </c>
      <c r="JHO61" s="237" t="s">
        <v>727</v>
      </c>
      <c r="JHP61" s="237" t="s">
        <v>221</v>
      </c>
      <c r="JHQ61" s="235" t="s">
        <v>2</v>
      </c>
      <c r="JHR61" s="235" t="s">
        <v>3</v>
      </c>
      <c r="JHS61" s="235" t="s">
        <v>618</v>
      </c>
      <c r="JHT61" s="235" t="s">
        <v>1410</v>
      </c>
      <c r="JHU61" s="235" t="s">
        <v>1411</v>
      </c>
      <c r="JHV61" s="235" t="s">
        <v>388</v>
      </c>
      <c r="JHW61" s="237" t="s">
        <v>727</v>
      </c>
      <c r="JHX61" s="237" t="s">
        <v>221</v>
      </c>
      <c r="JHY61" s="235" t="s">
        <v>2</v>
      </c>
      <c r="JHZ61" s="235" t="s">
        <v>3</v>
      </c>
      <c r="JIA61" s="235" t="s">
        <v>618</v>
      </c>
      <c r="JIB61" s="235" t="s">
        <v>1410</v>
      </c>
      <c r="JIC61" s="235" t="s">
        <v>1411</v>
      </c>
      <c r="JID61" s="235" t="s">
        <v>388</v>
      </c>
      <c r="JIE61" s="237" t="s">
        <v>727</v>
      </c>
      <c r="JIF61" s="237" t="s">
        <v>221</v>
      </c>
      <c r="JIG61" s="235" t="s">
        <v>2</v>
      </c>
      <c r="JIH61" s="235" t="s">
        <v>3</v>
      </c>
      <c r="JII61" s="235" t="s">
        <v>618</v>
      </c>
      <c r="JIJ61" s="235" t="s">
        <v>1410</v>
      </c>
      <c r="JIK61" s="235" t="s">
        <v>1411</v>
      </c>
      <c r="JIL61" s="235" t="s">
        <v>388</v>
      </c>
      <c r="JIM61" s="237" t="s">
        <v>727</v>
      </c>
      <c r="JIN61" s="237" t="s">
        <v>221</v>
      </c>
      <c r="JIO61" s="235" t="s">
        <v>2</v>
      </c>
      <c r="JIP61" s="235" t="s">
        <v>3</v>
      </c>
      <c r="JIQ61" s="235" t="s">
        <v>618</v>
      </c>
      <c r="JIR61" s="235" t="s">
        <v>1410</v>
      </c>
      <c r="JIS61" s="235" t="s">
        <v>1411</v>
      </c>
      <c r="JIT61" s="235" t="s">
        <v>388</v>
      </c>
      <c r="JIU61" s="237" t="s">
        <v>727</v>
      </c>
      <c r="JIV61" s="237" t="s">
        <v>221</v>
      </c>
      <c r="JIW61" s="235" t="s">
        <v>2</v>
      </c>
      <c r="JIX61" s="235" t="s">
        <v>3</v>
      </c>
      <c r="JIY61" s="235" t="s">
        <v>618</v>
      </c>
      <c r="JIZ61" s="235" t="s">
        <v>1410</v>
      </c>
      <c r="JJA61" s="235" t="s">
        <v>1411</v>
      </c>
      <c r="JJB61" s="235" t="s">
        <v>388</v>
      </c>
      <c r="JJC61" s="237" t="s">
        <v>727</v>
      </c>
      <c r="JJD61" s="237" t="s">
        <v>221</v>
      </c>
      <c r="JJE61" s="235" t="s">
        <v>2</v>
      </c>
      <c r="JJF61" s="235" t="s">
        <v>3</v>
      </c>
      <c r="JJG61" s="235" t="s">
        <v>618</v>
      </c>
      <c r="JJH61" s="235" t="s">
        <v>1410</v>
      </c>
      <c r="JJI61" s="235" t="s">
        <v>1411</v>
      </c>
      <c r="JJJ61" s="235" t="s">
        <v>388</v>
      </c>
      <c r="JJK61" s="237" t="s">
        <v>727</v>
      </c>
      <c r="JJL61" s="237" t="s">
        <v>221</v>
      </c>
      <c r="JJM61" s="235" t="s">
        <v>2</v>
      </c>
      <c r="JJN61" s="235" t="s">
        <v>3</v>
      </c>
      <c r="JJO61" s="235" t="s">
        <v>618</v>
      </c>
      <c r="JJP61" s="235" t="s">
        <v>1410</v>
      </c>
      <c r="JJQ61" s="235" t="s">
        <v>1411</v>
      </c>
      <c r="JJR61" s="235" t="s">
        <v>388</v>
      </c>
      <c r="JJS61" s="237" t="s">
        <v>727</v>
      </c>
      <c r="JJT61" s="237" t="s">
        <v>221</v>
      </c>
      <c r="JJU61" s="235" t="s">
        <v>2</v>
      </c>
      <c r="JJV61" s="235" t="s">
        <v>3</v>
      </c>
      <c r="JJW61" s="235" t="s">
        <v>618</v>
      </c>
      <c r="JJX61" s="235" t="s">
        <v>1410</v>
      </c>
      <c r="JJY61" s="235" t="s">
        <v>1411</v>
      </c>
      <c r="JJZ61" s="235" t="s">
        <v>388</v>
      </c>
      <c r="JKA61" s="237" t="s">
        <v>727</v>
      </c>
      <c r="JKB61" s="237" t="s">
        <v>221</v>
      </c>
      <c r="JKC61" s="235" t="s">
        <v>2</v>
      </c>
      <c r="JKD61" s="235" t="s">
        <v>3</v>
      </c>
      <c r="JKE61" s="235" t="s">
        <v>618</v>
      </c>
      <c r="JKF61" s="235" t="s">
        <v>1410</v>
      </c>
      <c r="JKG61" s="235" t="s">
        <v>1411</v>
      </c>
      <c r="JKH61" s="235" t="s">
        <v>388</v>
      </c>
      <c r="JKI61" s="237" t="s">
        <v>727</v>
      </c>
      <c r="JKJ61" s="237" t="s">
        <v>221</v>
      </c>
      <c r="JKK61" s="235" t="s">
        <v>2</v>
      </c>
      <c r="JKL61" s="235" t="s">
        <v>3</v>
      </c>
      <c r="JKM61" s="235" t="s">
        <v>618</v>
      </c>
      <c r="JKN61" s="235" t="s">
        <v>1410</v>
      </c>
      <c r="JKO61" s="235" t="s">
        <v>1411</v>
      </c>
      <c r="JKP61" s="235" t="s">
        <v>388</v>
      </c>
      <c r="JKQ61" s="237" t="s">
        <v>727</v>
      </c>
      <c r="JKR61" s="237" t="s">
        <v>221</v>
      </c>
      <c r="JKS61" s="235" t="s">
        <v>2</v>
      </c>
      <c r="JKT61" s="235" t="s">
        <v>3</v>
      </c>
      <c r="JKU61" s="235" t="s">
        <v>618</v>
      </c>
      <c r="JKV61" s="235" t="s">
        <v>1410</v>
      </c>
      <c r="JKW61" s="235" t="s">
        <v>1411</v>
      </c>
      <c r="JKX61" s="235" t="s">
        <v>388</v>
      </c>
      <c r="JKY61" s="237" t="s">
        <v>727</v>
      </c>
      <c r="JKZ61" s="237" t="s">
        <v>221</v>
      </c>
      <c r="JLA61" s="235" t="s">
        <v>2</v>
      </c>
      <c r="JLB61" s="235" t="s">
        <v>3</v>
      </c>
      <c r="JLC61" s="235" t="s">
        <v>618</v>
      </c>
      <c r="JLD61" s="235" t="s">
        <v>1410</v>
      </c>
      <c r="JLE61" s="235" t="s">
        <v>1411</v>
      </c>
      <c r="JLF61" s="235" t="s">
        <v>388</v>
      </c>
      <c r="JLG61" s="237" t="s">
        <v>727</v>
      </c>
      <c r="JLH61" s="237" t="s">
        <v>221</v>
      </c>
      <c r="JLI61" s="235" t="s">
        <v>2</v>
      </c>
      <c r="JLJ61" s="235" t="s">
        <v>3</v>
      </c>
      <c r="JLK61" s="235" t="s">
        <v>618</v>
      </c>
      <c r="JLL61" s="235" t="s">
        <v>1410</v>
      </c>
      <c r="JLM61" s="235" t="s">
        <v>1411</v>
      </c>
      <c r="JLN61" s="235" t="s">
        <v>388</v>
      </c>
      <c r="JLO61" s="237" t="s">
        <v>727</v>
      </c>
      <c r="JLP61" s="237" t="s">
        <v>221</v>
      </c>
      <c r="JLQ61" s="235" t="s">
        <v>2</v>
      </c>
      <c r="JLR61" s="235" t="s">
        <v>3</v>
      </c>
      <c r="JLS61" s="235" t="s">
        <v>618</v>
      </c>
      <c r="JLT61" s="235" t="s">
        <v>1410</v>
      </c>
      <c r="JLU61" s="235" t="s">
        <v>1411</v>
      </c>
      <c r="JLV61" s="235" t="s">
        <v>388</v>
      </c>
      <c r="JLW61" s="237" t="s">
        <v>727</v>
      </c>
      <c r="JLX61" s="237" t="s">
        <v>221</v>
      </c>
      <c r="JLY61" s="235" t="s">
        <v>2</v>
      </c>
      <c r="JLZ61" s="235" t="s">
        <v>3</v>
      </c>
      <c r="JMA61" s="235" t="s">
        <v>618</v>
      </c>
      <c r="JMB61" s="235" t="s">
        <v>1410</v>
      </c>
      <c r="JMC61" s="235" t="s">
        <v>1411</v>
      </c>
      <c r="JMD61" s="235" t="s">
        <v>388</v>
      </c>
      <c r="JME61" s="237" t="s">
        <v>727</v>
      </c>
      <c r="JMF61" s="237" t="s">
        <v>221</v>
      </c>
      <c r="JMG61" s="235" t="s">
        <v>2</v>
      </c>
      <c r="JMH61" s="235" t="s">
        <v>3</v>
      </c>
      <c r="JMI61" s="235" t="s">
        <v>618</v>
      </c>
      <c r="JMJ61" s="235" t="s">
        <v>1410</v>
      </c>
      <c r="JMK61" s="235" t="s">
        <v>1411</v>
      </c>
      <c r="JML61" s="235" t="s">
        <v>388</v>
      </c>
      <c r="JMM61" s="237" t="s">
        <v>727</v>
      </c>
      <c r="JMN61" s="237" t="s">
        <v>221</v>
      </c>
      <c r="JMO61" s="235" t="s">
        <v>2</v>
      </c>
      <c r="JMP61" s="235" t="s">
        <v>3</v>
      </c>
      <c r="JMQ61" s="235" t="s">
        <v>618</v>
      </c>
      <c r="JMR61" s="235" t="s">
        <v>1410</v>
      </c>
      <c r="JMS61" s="235" t="s">
        <v>1411</v>
      </c>
      <c r="JMT61" s="235" t="s">
        <v>388</v>
      </c>
      <c r="JMU61" s="237" t="s">
        <v>727</v>
      </c>
      <c r="JMV61" s="237" t="s">
        <v>221</v>
      </c>
      <c r="JMW61" s="235" t="s">
        <v>2</v>
      </c>
      <c r="JMX61" s="235" t="s">
        <v>3</v>
      </c>
      <c r="JMY61" s="235" t="s">
        <v>618</v>
      </c>
      <c r="JMZ61" s="235" t="s">
        <v>1410</v>
      </c>
      <c r="JNA61" s="235" t="s">
        <v>1411</v>
      </c>
      <c r="JNB61" s="235" t="s">
        <v>388</v>
      </c>
      <c r="JNC61" s="237" t="s">
        <v>727</v>
      </c>
      <c r="JND61" s="237" t="s">
        <v>221</v>
      </c>
      <c r="JNE61" s="235" t="s">
        <v>2</v>
      </c>
      <c r="JNF61" s="235" t="s">
        <v>3</v>
      </c>
      <c r="JNG61" s="235" t="s">
        <v>618</v>
      </c>
      <c r="JNH61" s="235" t="s">
        <v>1410</v>
      </c>
      <c r="JNI61" s="235" t="s">
        <v>1411</v>
      </c>
      <c r="JNJ61" s="235" t="s">
        <v>388</v>
      </c>
      <c r="JNK61" s="237" t="s">
        <v>727</v>
      </c>
      <c r="JNL61" s="237" t="s">
        <v>221</v>
      </c>
      <c r="JNM61" s="235" t="s">
        <v>2</v>
      </c>
      <c r="JNN61" s="235" t="s">
        <v>3</v>
      </c>
      <c r="JNO61" s="235" t="s">
        <v>618</v>
      </c>
      <c r="JNP61" s="235" t="s">
        <v>1410</v>
      </c>
      <c r="JNQ61" s="235" t="s">
        <v>1411</v>
      </c>
      <c r="JNR61" s="235" t="s">
        <v>388</v>
      </c>
      <c r="JNS61" s="237" t="s">
        <v>727</v>
      </c>
      <c r="JNT61" s="237" t="s">
        <v>221</v>
      </c>
      <c r="JNU61" s="235" t="s">
        <v>2</v>
      </c>
      <c r="JNV61" s="235" t="s">
        <v>3</v>
      </c>
      <c r="JNW61" s="235" t="s">
        <v>618</v>
      </c>
      <c r="JNX61" s="235" t="s">
        <v>1410</v>
      </c>
      <c r="JNY61" s="235" t="s">
        <v>1411</v>
      </c>
      <c r="JNZ61" s="235" t="s">
        <v>388</v>
      </c>
      <c r="JOA61" s="237" t="s">
        <v>727</v>
      </c>
      <c r="JOB61" s="237" t="s">
        <v>221</v>
      </c>
      <c r="JOC61" s="235" t="s">
        <v>2</v>
      </c>
      <c r="JOD61" s="235" t="s">
        <v>3</v>
      </c>
      <c r="JOE61" s="235" t="s">
        <v>618</v>
      </c>
      <c r="JOF61" s="235" t="s">
        <v>1410</v>
      </c>
      <c r="JOG61" s="235" t="s">
        <v>1411</v>
      </c>
      <c r="JOH61" s="235" t="s">
        <v>388</v>
      </c>
      <c r="JOI61" s="237" t="s">
        <v>727</v>
      </c>
      <c r="JOJ61" s="237" t="s">
        <v>221</v>
      </c>
      <c r="JOK61" s="235" t="s">
        <v>2</v>
      </c>
      <c r="JOL61" s="235" t="s">
        <v>3</v>
      </c>
      <c r="JOM61" s="235" t="s">
        <v>618</v>
      </c>
      <c r="JON61" s="235" t="s">
        <v>1410</v>
      </c>
      <c r="JOO61" s="235" t="s">
        <v>1411</v>
      </c>
      <c r="JOP61" s="235" t="s">
        <v>388</v>
      </c>
      <c r="JOQ61" s="237" t="s">
        <v>727</v>
      </c>
      <c r="JOR61" s="237" t="s">
        <v>221</v>
      </c>
      <c r="JOS61" s="235" t="s">
        <v>2</v>
      </c>
      <c r="JOT61" s="235" t="s">
        <v>3</v>
      </c>
      <c r="JOU61" s="235" t="s">
        <v>618</v>
      </c>
      <c r="JOV61" s="235" t="s">
        <v>1410</v>
      </c>
      <c r="JOW61" s="235" t="s">
        <v>1411</v>
      </c>
      <c r="JOX61" s="235" t="s">
        <v>388</v>
      </c>
      <c r="JOY61" s="237" t="s">
        <v>727</v>
      </c>
      <c r="JOZ61" s="237" t="s">
        <v>221</v>
      </c>
      <c r="JPA61" s="235" t="s">
        <v>2</v>
      </c>
      <c r="JPB61" s="235" t="s">
        <v>3</v>
      </c>
      <c r="JPC61" s="235" t="s">
        <v>618</v>
      </c>
      <c r="JPD61" s="235" t="s">
        <v>1410</v>
      </c>
      <c r="JPE61" s="235" t="s">
        <v>1411</v>
      </c>
      <c r="JPF61" s="235" t="s">
        <v>388</v>
      </c>
      <c r="JPG61" s="237" t="s">
        <v>727</v>
      </c>
      <c r="JPH61" s="237" t="s">
        <v>221</v>
      </c>
      <c r="JPI61" s="235" t="s">
        <v>2</v>
      </c>
      <c r="JPJ61" s="235" t="s">
        <v>3</v>
      </c>
      <c r="JPK61" s="235" t="s">
        <v>618</v>
      </c>
      <c r="JPL61" s="235" t="s">
        <v>1410</v>
      </c>
      <c r="JPM61" s="235" t="s">
        <v>1411</v>
      </c>
      <c r="JPN61" s="235" t="s">
        <v>388</v>
      </c>
      <c r="JPO61" s="237" t="s">
        <v>727</v>
      </c>
      <c r="JPP61" s="237" t="s">
        <v>221</v>
      </c>
      <c r="JPQ61" s="235" t="s">
        <v>2</v>
      </c>
      <c r="JPR61" s="235" t="s">
        <v>3</v>
      </c>
      <c r="JPS61" s="235" t="s">
        <v>618</v>
      </c>
      <c r="JPT61" s="235" t="s">
        <v>1410</v>
      </c>
      <c r="JPU61" s="235" t="s">
        <v>1411</v>
      </c>
      <c r="JPV61" s="235" t="s">
        <v>388</v>
      </c>
      <c r="JPW61" s="237" t="s">
        <v>727</v>
      </c>
      <c r="JPX61" s="237" t="s">
        <v>221</v>
      </c>
      <c r="JPY61" s="235" t="s">
        <v>2</v>
      </c>
      <c r="JPZ61" s="235" t="s">
        <v>3</v>
      </c>
      <c r="JQA61" s="235" t="s">
        <v>618</v>
      </c>
      <c r="JQB61" s="235" t="s">
        <v>1410</v>
      </c>
      <c r="JQC61" s="235" t="s">
        <v>1411</v>
      </c>
      <c r="JQD61" s="235" t="s">
        <v>388</v>
      </c>
      <c r="JQE61" s="237" t="s">
        <v>727</v>
      </c>
      <c r="JQF61" s="237" t="s">
        <v>221</v>
      </c>
      <c r="JQG61" s="235" t="s">
        <v>2</v>
      </c>
      <c r="JQH61" s="235" t="s">
        <v>3</v>
      </c>
      <c r="JQI61" s="235" t="s">
        <v>618</v>
      </c>
      <c r="JQJ61" s="235" t="s">
        <v>1410</v>
      </c>
      <c r="JQK61" s="235" t="s">
        <v>1411</v>
      </c>
      <c r="JQL61" s="235" t="s">
        <v>388</v>
      </c>
      <c r="JQM61" s="237" t="s">
        <v>727</v>
      </c>
      <c r="JQN61" s="237" t="s">
        <v>221</v>
      </c>
      <c r="JQO61" s="235" t="s">
        <v>2</v>
      </c>
      <c r="JQP61" s="235" t="s">
        <v>3</v>
      </c>
      <c r="JQQ61" s="235" t="s">
        <v>618</v>
      </c>
      <c r="JQR61" s="235" t="s">
        <v>1410</v>
      </c>
      <c r="JQS61" s="235" t="s">
        <v>1411</v>
      </c>
      <c r="JQT61" s="235" t="s">
        <v>388</v>
      </c>
      <c r="JQU61" s="237" t="s">
        <v>727</v>
      </c>
      <c r="JQV61" s="237" t="s">
        <v>221</v>
      </c>
      <c r="JQW61" s="235" t="s">
        <v>2</v>
      </c>
      <c r="JQX61" s="235" t="s">
        <v>3</v>
      </c>
      <c r="JQY61" s="235" t="s">
        <v>618</v>
      </c>
      <c r="JQZ61" s="235" t="s">
        <v>1410</v>
      </c>
      <c r="JRA61" s="235" t="s">
        <v>1411</v>
      </c>
      <c r="JRB61" s="235" t="s">
        <v>388</v>
      </c>
      <c r="JRC61" s="237" t="s">
        <v>727</v>
      </c>
      <c r="JRD61" s="237" t="s">
        <v>221</v>
      </c>
      <c r="JRE61" s="235" t="s">
        <v>2</v>
      </c>
      <c r="JRF61" s="235" t="s">
        <v>3</v>
      </c>
      <c r="JRG61" s="235" t="s">
        <v>618</v>
      </c>
      <c r="JRH61" s="235" t="s">
        <v>1410</v>
      </c>
      <c r="JRI61" s="235" t="s">
        <v>1411</v>
      </c>
      <c r="JRJ61" s="235" t="s">
        <v>388</v>
      </c>
      <c r="JRK61" s="237" t="s">
        <v>727</v>
      </c>
      <c r="JRL61" s="237" t="s">
        <v>221</v>
      </c>
      <c r="JRM61" s="235" t="s">
        <v>2</v>
      </c>
      <c r="JRN61" s="235" t="s">
        <v>3</v>
      </c>
      <c r="JRO61" s="235" t="s">
        <v>618</v>
      </c>
      <c r="JRP61" s="235" t="s">
        <v>1410</v>
      </c>
      <c r="JRQ61" s="235" t="s">
        <v>1411</v>
      </c>
      <c r="JRR61" s="235" t="s">
        <v>388</v>
      </c>
      <c r="JRS61" s="237" t="s">
        <v>727</v>
      </c>
      <c r="JRT61" s="237" t="s">
        <v>221</v>
      </c>
      <c r="JRU61" s="235" t="s">
        <v>2</v>
      </c>
      <c r="JRV61" s="235" t="s">
        <v>3</v>
      </c>
      <c r="JRW61" s="235" t="s">
        <v>618</v>
      </c>
      <c r="JRX61" s="235" t="s">
        <v>1410</v>
      </c>
      <c r="JRY61" s="235" t="s">
        <v>1411</v>
      </c>
      <c r="JRZ61" s="235" t="s">
        <v>388</v>
      </c>
      <c r="JSA61" s="237" t="s">
        <v>727</v>
      </c>
      <c r="JSB61" s="237" t="s">
        <v>221</v>
      </c>
      <c r="JSC61" s="235" t="s">
        <v>2</v>
      </c>
      <c r="JSD61" s="235" t="s">
        <v>3</v>
      </c>
      <c r="JSE61" s="235" t="s">
        <v>618</v>
      </c>
      <c r="JSF61" s="235" t="s">
        <v>1410</v>
      </c>
      <c r="JSG61" s="235" t="s">
        <v>1411</v>
      </c>
      <c r="JSH61" s="235" t="s">
        <v>388</v>
      </c>
      <c r="JSI61" s="237" t="s">
        <v>727</v>
      </c>
      <c r="JSJ61" s="237" t="s">
        <v>221</v>
      </c>
      <c r="JSK61" s="235" t="s">
        <v>2</v>
      </c>
      <c r="JSL61" s="235" t="s">
        <v>3</v>
      </c>
      <c r="JSM61" s="235" t="s">
        <v>618</v>
      </c>
      <c r="JSN61" s="235" t="s">
        <v>1410</v>
      </c>
      <c r="JSO61" s="235" t="s">
        <v>1411</v>
      </c>
      <c r="JSP61" s="235" t="s">
        <v>388</v>
      </c>
      <c r="JSQ61" s="237" t="s">
        <v>727</v>
      </c>
      <c r="JSR61" s="237" t="s">
        <v>221</v>
      </c>
      <c r="JSS61" s="235" t="s">
        <v>2</v>
      </c>
      <c r="JST61" s="235" t="s">
        <v>3</v>
      </c>
      <c r="JSU61" s="235" t="s">
        <v>618</v>
      </c>
      <c r="JSV61" s="235" t="s">
        <v>1410</v>
      </c>
      <c r="JSW61" s="235" t="s">
        <v>1411</v>
      </c>
      <c r="JSX61" s="235" t="s">
        <v>388</v>
      </c>
      <c r="JSY61" s="237" t="s">
        <v>727</v>
      </c>
      <c r="JSZ61" s="237" t="s">
        <v>221</v>
      </c>
      <c r="JTA61" s="235" t="s">
        <v>2</v>
      </c>
      <c r="JTB61" s="235" t="s">
        <v>3</v>
      </c>
      <c r="JTC61" s="235" t="s">
        <v>618</v>
      </c>
      <c r="JTD61" s="235" t="s">
        <v>1410</v>
      </c>
      <c r="JTE61" s="235" t="s">
        <v>1411</v>
      </c>
      <c r="JTF61" s="235" t="s">
        <v>388</v>
      </c>
      <c r="JTG61" s="237" t="s">
        <v>727</v>
      </c>
      <c r="JTH61" s="237" t="s">
        <v>221</v>
      </c>
      <c r="JTI61" s="235" t="s">
        <v>2</v>
      </c>
      <c r="JTJ61" s="235" t="s">
        <v>3</v>
      </c>
      <c r="JTK61" s="235" t="s">
        <v>618</v>
      </c>
      <c r="JTL61" s="235" t="s">
        <v>1410</v>
      </c>
      <c r="JTM61" s="235" t="s">
        <v>1411</v>
      </c>
      <c r="JTN61" s="235" t="s">
        <v>388</v>
      </c>
      <c r="JTO61" s="237" t="s">
        <v>727</v>
      </c>
      <c r="JTP61" s="237" t="s">
        <v>221</v>
      </c>
      <c r="JTQ61" s="235" t="s">
        <v>2</v>
      </c>
      <c r="JTR61" s="235" t="s">
        <v>3</v>
      </c>
      <c r="JTS61" s="235" t="s">
        <v>618</v>
      </c>
      <c r="JTT61" s="235" t="s">
        <v>1410</v>
      </c>
      <c r="JTU61" s="235" t="s">
        <v>1411</v>
      </c>
      <c r="JTV61" s="235" t="s">
        <v>388</v>
      </c>
      <c r="JTW61" s="237" t="s">
        <v>727</v>
      </c>
      <c r="JTX61" s="237" t="s">
        <v>221</v>
      </c>
      <c r="JTY61" s="235" t="s">
        <v>2</v>
      </c>
      <c r="JTZ61" s="235" t="s">
        <v>3</v>
      </c>
      <c r="JUA61" s="235" t="s">
        <v>618</v>
      </c>
      <c r="JUB61" s="235" t="s">
        <v>1410</v>
      </c>
      <c r="JUC61" s="235" t="s">
        <v>1411</v>
      </c>
      <c r="JUD61" s="235" t="s">
        <v>388</v>
      </c>
      <c r="JUE61" s="237" t="s">
        <v>727</v>
      </c>
      <c r="JUF61" s="237" t="s">
        <v>221</v>
      </c>
      <c r="JUG61" s="235" t="s">
        <v>2</v>
      </c>
      <c r="JUH61" s="235" t="s">
        <v>3</v>
      </c>
      <c r="JUI61" s="235" t="s">
        <v>618</v>
      </c>
      <c r="JUJ61" s="235" t="s">
        <v>1410</v>
      </c>
      <c r="JUK61" s="235" t="s">
        <v>1411</v>
      </c>
      <c r="JUL61" s="235" t="s">
        <v>388</v>
      </c>
      <c r="JUM61" s="237" t="s">
        <v>727</v>
      </c>
      <c r="JUN61" s="237" t="s">
        <v>221</v>
      </c>
      <c r="JUO61" s="235" t="s">
        <v>2</v>
      </c>
      <c r="JUP61" s="235" t="s">
        <v>3</v>
      </c>
      <c r="JUQ61" s="235" t="s">
        <v>618</v>
      </c>
      <c r="JUR61" s="235" t="s">
        <v>1410</v>
      </c>
      <c r="JUS61" s="235" t="s">
        <v>1411</v>
      </c>
      <c r="JUT61" s="235" t="s">
        <v>388</v>
      </c>
      <c r="JUU61" s="237" t="s">
        <v>727</v>
      </c>
      <c r="JUV61" s="237" t="s">
        <v>221</v>
      </c>
      <c r="JUW61" s="235" t="s">
        <v>2</v>
      </c>
      <c r="JUX61" s="235" t="s">
        <v>3</v>
      </c>
      <c r="JUY61" s="235" t="s">
        <v>618</v>
      </c>
      <c r="JUZ61" s="235" t="s">
        <v>1410</v>
      </c>
      <c r="JVA61" s="235" t="s">
        <v>1411</v>
      </c>
      <c r="JVB61" s="235" t="s">
        <v>388</v>
      </c>
      <c r="JVC61" s="237" t="s">
        <v>727</v>
      </c>
      <c r="JVD61" s="237" t="s">
        <v>221</v>
      </c>
      <c r="JVE61" s="235" t="s">
        <v>2</v>
      </c>
      <c r="JVF61" s="235" t="s">
        <v>3</v>
      </c>
      <c r="JVG61" s="235" t="s">
        <v>618</v>
      </c>
      <c r="JVH61" s="235" t="s">
        <v>1410</v>
      </c>
      <c r="JVI61" s="235" t="s">
        <v>1411</v>
      </c>
      <c r="JVJ61" s="235" t="s">
        <v>388</v>
      </c>
      <c r="JVK61" s="237" t="s">
        <v>727</v>
      </c>
      <c r="JVL61" s="237" t="s">
        <v>221</v>
      </c>
      <c r="JVM61" s="235" t="s">
        <v>2</v>
      </c>
      <c r="JVN61" s="235" t="s">
        <v>3</v>
      </c>
      <c r="JVO61" s="235" t="s">
        <v>618</v>
      </c>
      <c r="JVP61" s="235" t="s">
        <v>1410</v>
      </c>
      <c r="JVQ61" s="235" t="s">
        <v>1411</v>
      </c>
      <c r="JVR61" s="235" t="s">
        <v>388</v>
      </c>
      <c r="JVS61" s="237" t="s">
        <v>727</v>
      </c>
      <c r="JVT61" s="237" t="s">
        <v>221</v>
      </c>
      <c r="JVU61" s="235" t="s">
        <v>2</v>
      </c>
      <c r="JVV61" s="235" t="s">
        <v>3</v>
      </c>
      <c r="JVW61" s="235" t="s">
        <v>618</v>
      </c>
      <c r="JVX61" s="235" t="s">
        <v>1410</v>
      </c>
      <c r="JVY61" s="235" t="s">
        <v>1411</v>
      </c>
      <c r="JVZ61" s="235" t="s">
        <v>388</v>
      </c>
      <c r="JWA61" s="237" t="s">
        <v>727</v>
      </c>
      <c r="JWB61" s="237" t="s">
        <v>221</v>
      </c>
      <c r="JWC61" s="235" t="s">
        <v>2</v>
      </c>
      <c r="JWD61" s="235" t="s">
        <v>3</v>
      </c>
      <c r="JWE61" s="235" t="s">
        <v>618</v>
      </c>
      <c r="JWF61" s="235" t="s">
        <v>1410</v>
      </c>
      <c r="JWG61" s="235" t="s">
        <v>1411</v>
      </c>
      <c r="JWH61" s="235" t="s">
        <v>388</v>
      </c>
      <c r="JWI61" s="237" t="s">
        <v>727</v>
      </c>
      <c r="JWJ61" s="237" t="s">
        <v>221</v>
      </c>
      <c r="JWK61" s="235" t="s">
        <v>2</v>
      </c>
      <c r="JWL61" s="235" t="s">
        <v>3</v>
      </c>
      <c r="JWM61" s="235" t="s">
        <v>618</v>
      </c>
      <c r="JWN61" s="235" t="s">
        <v>1410</v>
      </c>
      <c r="JWO61" s="235" t="s">
        <v>1411</v>
      </c>
      <c r="JWP61" s="235" t="s">
        <v>388</v>
      </c>
      <c r="JWQ61" s="237" t="s">
        <v>727</v>
      </c>
      <c r="JWR61" s="237" t="s">
        <v>221</v>
      </c>
      <c r="JWS61" s="235" t="s">
        <v>2</v>
      </c>
      <c r="JWT61" s="235" t="s">
        <v>3</v>
      </c>
      <c r="JWU61" s="235" t="s">
        <v>618</v>
      </c>
      <c r="JWV61" s="235" t="s">
        <v>1410</v>
      </c>
      <c r="JWW61" s="235" t="s">
        <v>1411</v>
      </c>
      <c r="JWX61" s="235" t="s">
        <v>388</v>
      </c>
      <c r="JWY61" s="237" t="s">
        <v>727</v>
      </c>
      <c r="JWZ61" s="237" t="s">
        <v>221</v>
      </c>
      <c r="JXA61" s="235" t="s">
        <v>2</v>
      </c>
      <c r="JXB61" s="235" t="s">
        <v>3</v>
      </c>
      <c r="JXC61" s="235" t="s">
        <v>618</v>
      </c>
      <c r="JXD61" s="235" t="s">
        <v>1410</v>
      </c>
      <c r="JXE61" s="235" t="s">
        <v>1411</v>
      </c>
      <c r="JXF61" s="235" t="s">
        <v>388</v>
      </c>
      <c r="JXG61" s="237" t="s">
        <v>727</v>
      </c>
      <c r="JXH61" s="237" t="s">
        <v>221</v>
      </c>
      <c r="JXI61" s="235" t="s">
        <v>2</v>
      </c>
      <c r="JXJ61" s="235" t="s">
        <v>3</v>
      </c>
      <c r="JXK61" s="235" t="s">
        <v>618</v>
      </c>
      <c r="JXL61" s="235" t="s">
        <v>1410</v>
      </c>
      <c r="JXM61" s="235" t="s">
        <v>1411</v>
      </c>
      <c r="JXN61" s="235" t="s">
        <v>388</v>
      </c>
      <c r="JXO61" s="237" t="s">
        <v>727</v>
      </c>
      <c r="JXP61" s="237" t="s">
        <v>221</v>
      </c>
      <c r="JXQ61" s="235" t="s">
        <v>2</v>
      </c>
      <c r="JXR61" s="235" t="s">
        <v>3</v>
      </c>
      <c r="JXS61" s="235" t="s">
        <v>618</v>
      </c>
      <c r="JXT61" s="235" t="s">
        <v>1410</v>
      </c>
      <c r="JXU61" s="235" t="s">
        <v>1411</v>
      </c>
      <c r="JXV61" s="235" t="s">
        <v>388</v>
      </c>
      <c r="JXW61" s="237" t="s">
        <v>727</v>
      </c>
      <c r="JXX61" s="237" t="s">
        <v>221</v>
      </c>
      <c r="JXY61" s="235" t="s">
        <v>2</v>
      </c>
      <c r="JXZ61" s="235" t="s">
        <v>3</v>
      </c>
      <c r="JYA61" s="235" t="s">
        <v>618</v>
      </c>
      <c r="JYB61" s="235" t="s">
        <v>1410</v>
      </c>
      <c r="JYC61" s="235" t="s">
        <v>1411</v>
      </c>
      <c r="JYD61" s="235" t="s">
        <v>388</v>
      </c>
      <c r="JYE61" s="237" t="s">
        <v>727</v>
      </c>
      <c r="JYF61" s="237" t="s">
        <v>221</v>
      </c>
      <c r="JYG61" s="235" t="s">
        <v>2</v>
      </c>
      <c r="JYH61" s="235" t="s">
        <v>3</v>
      </c>
      <c r="JYI61" s="235" t="s">
        <v>618</v>
      </c>
      <c r="JYJ61" s="235" t="s">
        <v>1410</v>
      </c>
      <c r="JYK61" s="235" t="s">
        <v>1411</v>
      </c>
      <c r="JYL61" s="235" t="s">
        <v>388</v>
      </c>
      <c r="JYM61" s="237" t="s">
        <v>727</v>
      </c>
      <c r="JYN61" s="237" t="s">
        <v>221</v>
      </c>
      <c r="JYO61" s="235" t="s">
        <v>2</v>
      </c>
      <c r="JYP61" s="235" t="s">
        <v>3</v>
      </c>
      <c r="JYQ61" s="235" t="s">
        <v>618</v>
      </c>
      <c r="JYR61" s="235" t="s">
        <v>1410</v>
      </c>
      <c r="JYS61" s="235" t="s">
        <v>1411</v>
      </c>
      <c r="JYT61" s="235" t="s">
        <v>388</v>
      </c>
      <c r="JYU61" s="237" t="s">
        <v>727</v>
      </c>
      <c r="JYV61" s="237" t="s">
        <v>221</v>
      </c>
      <c r="JYW61" s="235" t="s">
        <v>2</v>
      </c>
      <c r="JYX61" s="235" t="s">
        <v>3</v>
      </c>
      <c r="JYY61" s="235" t="s">
        <v>618</v>
      </c>
      <c r="JYZ61" s="235" t="s">
        <v>1410</v>
      </c>
      <c r="JZA61" s="235" t="s">
        <v>1411</v>
      </c>
      <c r="JZB61" s="235" t="s">
        <v>388</v>
      </c>
      <c r="JZC61" s="237" t="s">
        <v>727</v>
      </c>
      <c r="JZD61" s="237" t="s">
        <v>221</v>
      </c>
      <c r="JZE61" s="235" t="s">
        <v>2</v>
      </c>
      <c r="JZF61" s="235" t="s">
        <v>3</v>
      </c>
      <c r="JZG61" s="235" t="s">
        <v>618</v>
      </c>
      <c r="JZH61" s="235" t="s">
        <v>1410</v>
      </c>
      <c r="JZI61" s="235" t="s">
        <v>1411</v>
      </c>
      <c r="JZJ61" s="235" t="s">
        <v>388</v>
      </c>
      <c r="JZK61" s="237" t="s">
        <v>727</v>
      </c>
      <c r="JZL61" s="237" t="s">
        <v>221</v>
      </c>
      <c r="JZM61" s="235" t="s">
        <v>2</v>
      </c>
      <c r="JZN61" s="235" t="s">
        <v>3</v>
      </c>
      <c r="JZO61" s="235" t="s">
        <v>618</v>
      </c>
      <c r="JZP61" s="235" t="s">
        <v>1410</v>
      </c>
      <c r="JZQ61" s="235" t="s">
        <v>1411</v>
      </c>
      <c r="JZR61" s="235" t="s">
        <v>388</v>
      </c>
      <c r="JZS61" s="237" t="s">
        <v>727</v>
      </c>
      <c r="JZT61" s="237" t="s">
        <v>221</v>
      </c>
      <c r="JZU61" s="235" t="s">
        <v>2</v>
      </c>
      <c r="JZV61" s="235" t="s">
        <v>3</v>
      </c>
      <c r="JZW61" s="235" t="s">
        <v>618</v>
      </c>
      <c r="JZX61" s="235" t="s">
        <v>1410</v>
      </c>
      <c r="JZY61" s="235" t="s">
        <v>1411</v>
      </c>
      <c r="JZZ61" s="235" t="s">
        <v>388</v>
      </c>
      <c r="KAA61" s="237" t="s">
        <v>727</v>
      </c>
      <c r="KAB61" s="237" t="s">
        <v>221</v>
      </c>
      <c r="KAC61" s="235" t="s">
        <v>2</v>
      </c>
      <c r="KAD61" s="235" t="s">
        <v>3</v>
      </c>
      <c r="KAE61" s="235" t="s">
        <v>618</v>
      </c>
      <c r="KAF61" s="235" t="s">
        <v>1410</v>
      </c>
      <c r="KAG61" s="235" t="s">
        <v>1411</v>
      </c>
      <c r="KAH61" s="235" t="s">
        <v>388</v>
      </c>
      <c r="KAI61" s="237" t="s">
        <v>727</v>
      </c>
      <c r="KAJ61" s="237" t="s">
        <v>221</v>
      </c>
      <c r="KAK61" s="235" t="s">
        <v>2</v>
      </c>
      <c r="KAL61" s="235" t="s">
        <v>3</v>
      </c>
      <c r="KAM61" s="235" t="s">
        <v>618</v>
      </c>
      <c r="KAN61" s="235" t="s">
        <v>1410</v>
      </c>
      <c r="KAO61" s="235" t="s">
        <v>1411</v>
      </c>
      <c r="KAP61" s="235" t="s">
        <v>388</v>
      </c>
      <c r="KAQ61" s="237" t="s">
        <v>727</v>
      </c>
      <c r="KAR61" s="237" t="s">
        <v>221</v>
      </c>
      <c r="KAS61" s="235" t="s">
        <v>2</v>
      </c>
      <c r="KAT61" s="235" t="s">
        <v>3</v>
      </c>
      <c r="KAU61" s="235" t="s">
        <v>618</v>
      </c>
      <c r="KAV61" s="235" t="s">
        <v>1410</v>
      </c>
      <c r="KAW61" s="235" t="s">
        <v>1411</v>
      </c>
      <c r="KAX61" s="235" t="s">
        <v>388</v>
      </c>
      <c r="KAY61" s="237" t="s">
        <v>727</v>
      </c>
      <c r="KAZ61" s="237" t="s">
        <v>221</v>
      </c>
      <c r="KBA61" s="235" t="s">
        <v>2</v>
      </c>
      <c r="KBB61" s="235" t="s">
        <v>3</v>
      </c>
      <c r="KBC61" s="235" t="s">
        <v>618</v>
      </c>
      <c r="KBD61" s="235" t="s">
        <v>1410</v>
      </c>
      <c r="KBE61" s="235" t="s">
        <v>1411</v>
      </c>
      <c r="KBF61" s="235" t="s">
        <v>388</v>
      </c>
      <c r="KBG61" s="237" t="s">
        <v>727</v>
      </c>
      <c r="KBH61" s="237" t="s">
        <v>221</v>
      </c>
      <c r="KBI61" s="235" t="s">
        <v>2</v>
      </c>
      <c r="KBJ61" s="235" t="s">
        <v>3</v>
      </c>
      <c r="KBK61" s="235" t="s">
        <v>618</v>
      </c>
      <c r="KBL61" s="235" t="s">
        <v>1410</v>
      </c>
      <c r="KBM61" s="235" t="s">
        <v>1411</v>
      </c>
      <c r="KBN61" s="235" t="s">
        <v>388</v>
      </c>
      <c r="KBO61" s="237" t="s">
        <v>727</v>
      </c>
      <c r="KBP61" s="237" t="s">
        <v>221</v>
      </c>
      <c r="KBQ61" s="235" t="s">
        <v>2</v>
      </c>
      <c r="KBR61" s="235" t="s">
        <v>3</v>
      </c>
      <c r="KBS61" s="235" t="s">
        <v>618</v>
      </c>
      <c r="KBT61" s="235" t="s">
        <v>1410</v>
      </c>
      <c r="KBU61" s="235" t="s">
        <v>1411</v>
      </c>
      <c r="KBV61" s="235" t="s">
        <v>388</v>
      </c>
      <c r="KBW61" s="237" t="s">
        <v>727</v>
      </c>
      <c r="KBX61" s="237" t="s">
        <v>221</v>
      </c>
      <c r="KBY61" s="235" t="s">
        <v>2</v>
      </c>
      <c r="KBZ61" s="235" t="s">
        <v>3</v>
      </c>
      <c r="KCA61" s="235" t="s">
        <v>618</v>
      </c>
      <c r="KCB61" s="235" t="s">
        <v>1410</v>
      </c>
      <c r="KCC61" s="235" t="s">
        <v>1411</v>
      </c>
      <c r="KCD61" s="235" t="s">
        <v>388</v>
      </c>
      <c r="KCE61" s="237" t="s">
        <v>727</v>
      </c>
      <c r="KCF61" s="237" t="s">
        <v>221</v>
      </c>
      <c r="KCG61" s="235" t="s">
        <v>2</v>
      </c>
      <c r="KCH61" s="235" t="s">
        <v>3</v>
      </c>
      <c r="KCI61" s="235" t="s">
        <v>618</v>
      </c>
      <c r="KCJ61" s="235" t="s">
        <v>1410</v>
      </c>
      <c r="KCK61" s="235" t="s">
        <v>1411</v>
      </c>
      <c r="KCL61" s="235" t="s">
        <v>388</v>
      </c>
      <c r="KCM61" s="237" t="s">
        <v>727</v>
      </c>
      <c r="KCN61" s="237" t="s">
        <v>221</v>
      </c>
      <c r="KCO61" s="235" t="s">
        <v>2</v>
      </c>
      <c r="KCP61" s="235" t="s">
        <v>3</v>
      </c>
      <c r="KCQ61" s="235" t="s">
        <v>618</v>
      </c>
      <c r="KCR61" s="235" t="s">
        <v>1410</v>
      </c>
      <c r="KCS61" s="235" t="s">
        <v>1411</v>
      </c>
      <c r="KCT61" s="235" t="s">
        <v>388</v>
      </c>
      <c r="KCU61" s="237" t="s">
        <v>727</v>
      </c>
      <c r="KCV61" s="237" t="s">
        <v>221</v>
      </c>
      <c r="KCW61" s="235" t="s">
        <v>2</v>
      </c>
      <c r="KCX61" s="235" t="s">
        <v>3</v>
      </c>
      <c r="KCY61" s="235" t="s">
        <v>618</v>
      </c>
      <c r="KCZ61" s="235" t="s">
        <v>1410</v>
      </c>
      <c r="KDA61" s="235" t="s">
        <v>1411</v>
      </c>
      <c r="KDB61" s="235" t="s">
        <v>388</v>
      </c>
      <c r="KDC61" s="237" t="s">
        <v>727</v>
      </c>
      <c r="KDD61" s="237" t="s">
        <v>221</v>
      </c>
      <c r="KDE61" s="235" t="s">
        <v>2</v>
      </c>
      <c r="KDF61" s="235" t="s">
        <v>3</v>
      </c>
      <c r="KDG61" s="235" t="s">
        <v>618</v>
      </c>
      <c r="KDH61" s="235" t="s">
        <v>1410</v>
      </c>
      <c r="KDI61" s="235" t="s">
        <v>1411</v>
      </c>
      <c r="KDJ61" s="235" t="s">
        <v>388</v>
      </c>
      <c r="KDK61" s="237" t="s">
        <v>727</v>
      </c>
      <c r="KDL61" s="237" t="s">
        <v>221</v>
      </c>
      <c r="KDM61" s="235" t="s">
        <v>2</v>
      </c>
      <c r="KDN61" s="235" t="s">
        <v>3</v>
      </c>
      <c r="KDO61" s="235" t="s">
        <v>618</v>
      </c>
      <c r="KDP61" s="235" t="s">
        <v>1410</v>
      </c>
      <c r="KDQ61" s="235" t="s">
        <v>1411</v>
      </c>
      <c r="KDR61" s="235" t="s">
        <v>388</v>
      </c>
      <c r="KDS61" s="237" t="s">
        <v>727</v>
      </c>
      <c r="KDT61" s="237" t="s">
        <v>221</v>
      </c>
      <c r="KDU61" s="235" t="s">
        <v>2</v>
      </c>
      <c r="KDV61" s="235" t="s">
        <v>3</v>
      </c>
      <c r="KDW61" s="235" t="s">
        <v>618</v>
      </c>
      <c r="KDX61" s="235" t="s">
        <v>1410</v>
      </c>
      <c r="KDY61" s="235" t="s">
        <v>1411</v>
      </c>
      <c r="KDZ61" s="235" t="s">
        <v>388</v>
      </c>
      <c r="KEA61" s="237" t="s">
        <v>727</v>
      </c>
      <c r="KEB61" s="237" t="s">
        <v>221</v>
      </c>
      <c r="KEC61" s="235" t="s">
        <v>2</v>
      </c>
      <c r="KED61" s="235" t="s">
        <v>3</v>
      </c>
      <c r="KEE61" s="235" t="s">
        <v>618</v>
      </c>
      <c r="KEF61" s="235" t="s">
        <v>1410</v>
      </c>
      <c r="KEG61" s="235" t="s">
        <v>1411</v>
      </c>
      <c r="KEH61" s="235" t="s">
        <v>388</v>
      </c>
      <c r="KEI61" s="237" t="s">
        <v>727</v>
      </c>
      <c r="KEJ61" s="237" t="s">
        <v>221</v>
      </c>
      <c r="KEK61" s="235" t="s">
        <v>2</v>
      </c>
      <c r="KEL61" s="235" t="s">
        <v>3</v>
      </c>
      <c r="KEM61" s="235" t="s">
        <v>618</v>
      </c>
      <c r="KEN61" s="235" t="s">
        <v>1410</v>
      </c>
      <c r="KEO61" s="235" t="s">
        <v>1411</v>
      </c>
      <c r="KEP61" s="235" t="s">
        <v>388</v>
      </c>
      <c r="KEQ61" s="237" t="s">
        <v>727</v>
      </c>
      <c r="KER61" s="237" t="s">
        <v>221</v>
      </c>
      <c r="KES61" s="235" t="s">
        <v>2</v>
      </c>
      <c r="KET61" s="235" t="s">
        <v>3</v>
      </c>
      <c r="KEU61" s="235" t="s">
        <v>618</v>
      </c>
      <c r="KEV61" s="235" t="s">
        <v>1410</v>
      </c>
      <c r="KEW61" s="235" t="s">
        <v>1411</v>
      </c>
      <c r="KEX61" s="235" t="s">
        <v>388</v>
      </c>
      <c r="KEY61" s="237" t="s">
        <v>727</v>
      </c>
      <c r="KEZ61" s="237" t="s">
        <v>221</v>
      </c>
      <c r="KFA61" s="235" t="s">
        <v>2</v>
      </c>
      <c r="KFB61" s="235" t="s">
        <v>3</v>
      </c>
      <c r="KFC61" s="235" t="s">
        <v>618</v>
      </c>
      <c r="KFD61" s="235" t="s">
        <v>1410</v>
      </c>
      <c r="KFE61" s="235" t="s">
        <v>1411</v>
      </c>
      <c r="KFF61" s="235" t="s">
        <v>388</v>
      </c>
      <c r="KFG61" s="237" t="s">
        <v>727</v>
      </c>
      <c r="KFH61" s="237" t="s">
        <v>221</v>
      </c>
      <c r="KFI61" s="235" t="s">
        <v>2</v>
      </c>
      <c r="KFJ61" s="235" t="s">
        <v>3</v>
      </c>
      <c r="KFK61" s="235" t="s">
        <v>618</v>
      </c>
      <c r="KFL61" s="235" t="s">
        <v>1410</v>
      </c>
      <c r="KFM61" s="235" t="s">
        <v>1411</v>
      </c>
      <c r="KFN61" s="235" t="s">
        <v>388</v>
      </c>
      <c r="KFO61" s="237" t="s">
        <v>727</v>
      </c>
      <c r="KFP61" s="237" t="s">
        <v>221</v>
      </c>
      <c r="KFQ61" s="235" t="s">
        <v>2</v>
      </c>
      <c r="KFR61" s="235" t="s">
        <v>3</v>
      </c>
      <c r="KFS61" s="235" t="s">
        <v>618</v>
      </c>
      <c r="KFT61" s="235" t="s">
        <v>1410</v>
      </c>
      <c r="KFU61" s="235" t="s">
        <v>1411</v>
      </c>
      <c r="KFV61" s="235" t="s">
        <v>388</v>
      </c>
      <c r="KFW61" s="237" t="s">
        <v>727</v>
      </c>
      <c r="KFX61" s="237" t="s">
        <v>221</v>
      </c>
      <c r="KFY61" s="235" t="s">
        <v>2</v>
      </c>
      <c r="KFZ61" s="235" t="s">
        <v>3</v>
      </c>
      <c r="KGA61" s="235" t="s">
        <v>618</v>
      </c>
      <c r="KGB61" s="235" t="s">
        <v>1410</v>
      </c>
      <c r="KGC61" s="235" t="s">
        <v>1411</v>
      </c>
      <c r="KGD61" s="235" t="s">
        <v>388</v>
      </c>
      <c r="KGE61" s="237" t="s">
        <v>727</v>
      </c>
      <c r="KGF61" s="237" t="s">
        <v>221</v>
      </c>
      <c r="KGG61" s="235" t="s">
        <v>2</v>
      </c>
      <c r="KGH61" s="235" t="s">
        <v>3</v>
      </c>
      <c r="KGI61" s="235" t="s">
        <v>618</v>
      </c>
      <c r="KGJ61" s="235" t="s">
        <v>1410</v>
      </c>
      <c r="KGK61" s="235" t="s">
        <v>1411</v>
      </c>
      <c r="KGL61" s="235" t="s">
        <v>388</v>
      </c>
      <c r="KGM61" s="237" t="s">
        <v>727</v>
      </c>
      <c r="KGN61" s="237" t="s">
        <v>221</v>
      </c>
      <c r="KGO61" s="235" t="s">
        <v>2</v>
      </c>
      <c r="KGP61" s="235" t="s">
        <v>3</v>
      </c>
      <c r="KGQ61" s="235" t="s">
        <v>618</v>
      </c>
      <c r="KGR61" s="235" t="s">
        <v>1410</v>
      </c>
      <c r="KGS61" s="235" t="s">
        <v>1411</v>
      </c>
      <c r="KGT61" s="235" t="s">
        <v>388</v>
      </c>
      <c r="KGU61" s="237" t="s">
        <v>727</v>
      </c>
      <c r="KGV61" s="237" t="s">
        <v>221</v>
      </c>
      <c r="KGW61" s="235" t="s">
        <v>2</v>
      </c>
      <c r="KGX61" s="235" t="s">
        <v>3</v>
      </c>
      <c r="KGY61" s="235" t="s">
        <v>618</v>
      </c>
      <c r="KGZ61" s="235" t="s">
        <v>1410</v>
      </c>
      <c r="KHA61" s="235" t="s">
        <v>1411</v>
      </c>
      <c r="KHB61" s="235" t="s">
        <v>388</v>
      </c>
      <c r="KHC61" s="237" t="s">
        <v>727</v>
      </c>
      <c r="KHD61" s="237" t="s">
        <v>221</v>
      </c>
      <c r="KHE61" s="235" t="s">
        <v>2</v>
      </c>
      <c r="KHF61" s="235" t="s">
        <v>3</v>
      </c>
      <c r="KHG61" s="235" t="s">
        <v>618</v>
      </c>
      <c r="KHH61" s="235" t="s">
        <v>1410</v>
      </c>
      <c r="KHI61" s="235" t="s">
        <v>1411</v>
      </c>
      <c r="KHJ61" s="235" t="s">
        <v>388</v>
      </c>
      <c r="KHK61" s="237" t="s">
        <v>727</v>
      </c>
      <c r="KHL61" s="237" t="s">
        <v>221</v>
      </c>
      <c r="KHM61" s="235" t="s">
        <v>2</v>
      </c>
      <c r="KHN61" s="235" t="s">
        <v>3</v>
      </c>
      <c r="KHO61" s="235" t="s">
        <v>618</v>
      </c>
      <c r="KHP61" s="235" t="s">
        <v>1410</v>
      </c>
      <c r="KHQ61" s="235" t="s">
        <v>1411</v>
      </c>
      <c r="KHR61" s="235" t="s">
        <v>388</v>
      </c>
      <c r="KHS61" s="237" t="s">
        <v>727</v>
      </c>
      <c r="KHT61" s="237" t="s">
        <v>221</v>
      </c>
      <c r="KHU61" s="235" t="s">
        <v>2</v>
      </c>
      <c r="KHV61" s="235" t="s">
        <v>3</v>
      </c>
      <c r="KHW61" s="235" t="s">
        <v>618</v>
      </c>
      <c r="KHX61" s="235" t="s">
        <v>1410</v>
      </c>
      <c r="KHY61" s="235" t="s">
        <v>1411</v>
      </c>
      <c r="KHZ61" s="235" t="s">
        <v>388</v>
      </c>
      <c r="KIA61" s="237" t="s">
        <v>727</v>
      </c>
      <c r="KIB61" s="237" t="s">
        <v>221</v>
      </c>
      <c r="KIC61" s="235" t="s">
        <v>2</v>
      </c>
      <c r="KID61" s="235" t="s">
        <v>3</v>
      </c>
      <c r="KIE61" s="235" t="s">
        <v>618</v>
      </c>
      <c r="KIF61" s="235" t="s">
        <v>1410</v>
      </c>
      <c r="KIG61" s="235" t="s">
        <v>1411</v>
      </c>
      <c r="KIH61" s="235" t="s">
        <v>388</v>
      </c>
      <c r="KII61" s="237" t="s">
        <v>727</v>
      </c>
      <c r="KIJ61" s="237" t="s">
        <v>221</v>
      </c>
      <c r="KIK61" s="235" t="s">
        <v>2</v>
      </c>
      <c r="KIL61" s="235" t="s">
        <v>3</v>
      </c>
      <c r="KIM61" s="235" t="s">
        <v>618</v>
      </c>
      <c r="KIN61" s="235" t="s">
        <v>1410</v>
      </c>
      <c r="KIO61" s="235" t="s">
        <v>1411</v>
      </c>
      <c r="KIP61" s="235" t="s">
        <v>388</v>
      </c>
      <c r="KIQ61" s="237" t="s">
        <v>727</v>
      </c>
      <c r="KIR61" s="237" t="s">
        <v>221</v>
      </c>
      <c r="KIS61" s="235" t="s">
        <v>2</v>
      </c>
      <c r="KIT61" s="235" t="s">
        <v>3</v>
      </c>
      <c r="KIU61" s="235" t="s">
        <v>618</v>
      </c>
      <c r="KIV61" s="235" t="s">
        <v>1410</v>
      </c>
      <c r="KIW61" s="235" t="s">
        <v>1411</v>
      </c>
      <c r="KIX61" s="235" t="s">
        <v>388</v>
      </c>
      <c r="KIY61" s="237" t="s">
        <v>727</v>
      </c>
      <c r="KIZ61" s="237" t="s">
        <v>221</v>
      </c>
      <c r="KJA61" s="235" t="s">
        <v>2</v>
      </c>
      <c r="KJB61" s="235" t="s">
        <v>3</v>
      </c>
      <c r="KJC61" s="235" t="s">
        <v>618</v>
      </c>
      <c r="KJD61" s="235" t="s">
        <v>1410</v>
      </c>
      <c r="KJE61" s="235" t="s">
        <v>1411</v>
      </c>
      <c r="KJF61" s="235" t="s">
        <v>388</v>
      </c>
      <c r="KJG61" s="237" t="s">
        <v>727</v>
      </c>
      <c r="KJH61" s="237" t="s">
        <v>221</v>
      </c>
      <c r="KJI61" s="235" t="s">
        <v>2</v>
      </c>
      <c r="KJJ61" s="235" t="s">
        <v>3</v>
      </c>
      <c r="KJK61" s="235" t="s">
        <v>618</v>
      </c>
      <c r="KJL61" s="235" t="s">
        <v>1410</v>
      </c>
      <c r="KJM61" s="235" t="s">
        <v>1411</v>
      </c>
      <c r="KJN61" s="235" t="s">
        <v>388</v>
      </c>
      <c r="KJO61" s="237" t="s">
        <v>727</v>
      </c>
      <c r="KJP61" s="237" t="s">
        <v>221</v>
      </c>
      <c r="KJQ61" s="235" t="s">
        <v>2</v>
      </c>
      <c r="KJR61" s="235" t="s">
        <v>3</v>
      </c>
      <c r="KJS61" s="235" t="s">
        <v>618</v>
      </c>
      <c r="KJT61" s="235" t="s">
        <v>1410</v>
      </c>
      <c r="KJU61" s="235" t="s">
        <v>1411</v>
      </c>
      <c r="KJV61" s="235" t="s">
        <v>388</v>
      </c>
      <c r="KJW61" s="237" t="s">
        <v>727</v>
      </c>
      <c r="KJX61" s="237" t="s">
        <v>221</v>
      </c>
      <c r="KJY61" s="235" t="s">
        <v>2</v>
      </c>
      <c r="KJZ61" s="235" t="s">
        <v>3</v>
      </c>
      <c r="KKA61" s="235" t="s">
        <v>618</v>
      </c>
      <c r="KKB61" s="235" t="s">
        <v>1410</v>
      </c>
      <c r="KKC61" s="235" t="s">
        <v>1411</v>
      </c>
      <c r="KKD61" s="235" t="s">
        <v>388</v>
      </c>
      <c r="KKE61" s="237" t="s">
        <v>727</v>
      </c>
      <c r="KKF61" s="237" t="s">
        <v>221</v>
      </c>
      <c r="KKG61" s="235" t="s">
        <v>2</v>
      </c>
      <c r="KKH61" s="235" t="s">
        <v>3</v>
      </c>
      <c r="KKI61" s="235" t="s">
        <v>618</v>
      </c>
      <c r="KKJ61" s="235" t="s">
        <v>1410</v>
      </c>
      <c r="KKK61" s="235" t="s">
        <v>1411</v>
      </c>
      <c r="KKL61" s="235" t="s">
        <v>388</v>
      </c>
      <c r="KKM61" s="237" t="s">
        <v>727</v>
      </c>
      <c r="KKN61" s="237" t="s">
        <v>221</v>
      </c>
      <c r="KKO61" s="235" t="s">
        <v>2</v>
      </c>
      <c r="KKP61" s="235" t="s">
        <v>3</v>
      </c>
      <c r="KKQ61" s="235" t="s">
        <v>618</v>
      </c>
      <c r="KKR61" s="235" t="s">
        <v>1410</v>
      </c>
      <c r="KKS61" s="235" t="s">
        <v>1411</v>
      </c>
      <c r="KKT61" s="235" t="s">
        <v>388</v>
      </c>
      <c r="KKU61" s="237" t="s">
        <v>727</v>
      </c>
      <c r="KKV61" s="237" t="s">
        <v>221</v>
      </c>
      <c r="KKW61" s="235" t="s">
        <v>2</v>
      </c>
      <c r="KKX61" s="235" t="s">
        <v>3</v>
      </c>
      <c r="KKY61" s="235" t="s">
        <v>618</v>
      </c>
      <c r="KKZ61" s="235" t="s">
        <v>1410</v>
      </c>
      <c r="KLA61" s="235" t="s">
        <v>1411</v>
      </c>
      <c r="KLB61" s="235" t="s">
        <v>388</v>
      </c>
      <c r="KLC61" s="237" t="s">
        <v>727</v>
      </c>
      <c r="KLD61" s="237" t="s">
        <v>221</v>
      </c>
      <c r="KLE61" s="235" t="s">
        <v>2</v>
      </c>
      <c r="KLF61" s="235" t="s">
        <v>3</v>
      </c>
      <c r="KLG61" s="235" t="s">
        <v>618</v>
      </c>
      <c r="KLH61" s="235" t="s">
        <v>1410</v>
      </c>
      <c r="KLI61" s="235" t="s">
        <v>1411</v>
      </c>
      <c r="KLJ61" s="235" t="s">
        <v>388</v>
      </c>
      <c r="KLK61" s="237" t="s">
        <v>727</v>
      </c>
      <c r="KLL61" s="237" t="s">
        <v>221</v>
      </c>
      <c r="KLM61" s="235" t="s">
        <v>2</v>
      </c>
      <c r="KLN61" s="235" t="s">
        <v>3</v>
      </c>
      <c r="KLO61" s="235" t="s">
        <v>618</v>
      </c>
      <c r="KLP61" s="235" t="s">
        <v>1410</v>
      </c>
      <c r="KLQ61" s="235" t="s">
        <v>1411</v>
      </c>
      <c r="KLR61" s="235" t="s">
        <v>388</v>
      </c>
      <c r="KLS61" s="237" t="s">
        <v>727</v>
      </c>
      <c r="KLT61" s="237" t="s">
        <v>221</v>
      </c>
      <c r="KLU61" s="235" t="s">
        <v>2</v>
      </c>
      <c r="KLV61" s="235" t="s">
        <v>3</v>
      </c>
      <c r="KLW61" s="235" t="s">
        <v>618</v>
      </c>
      <c r="KLX61" s="235" t="s">
        <v>1410</v>
      </c>
      <c r="KLY61" s="235" t="s">
        <v>1411</v>
      </c>
      <c r="KLZ61" s="235" t="s">
        <v>388</v>
      </c>
      <c r="KMA61" s="237" t="s">
        <v>727</v>
      </c>
      <c r="KMB61" s="237" t="s">
        <v>221</v>
      </c>
      <c r="KMC61" s="235" t="s">
        <v>2</v>
      </c>
      <c r="KMD61" s="235" t="s">
        <v>3</v>
      </c>
      <c r="KME61" s="235" t="s">
        <v>618</v>
      </c>
      <c r="KMF61" s="235" t="s">
        <v>1410</v>
      </c>
      <c r="KMG61" s="235" t="s">
        <v>1411</v>
      </c>
      <c r="KMH61" s="235" t="s">
        <v>388</v>
      </c>
      <c r="KMI61" s="237" t="s">
        <v>727</v>
      </c>
      <c r="KMJ61" s="237" t="s">
        <v>221</v>
      </c>
      <c r="KMK61" s="235" t="s">
        <v>2</v>
      </c>
      <c r="KML61" s="235" t="s">
        <v>3</v>
      </c>
      <c r="KMM61" s="235" t="s">
        <v>618</v>
      </c>
      <c r="KMN61" s="235" t="s">
        <v>1410</v>
      </c>
      <c r="KMO61" s="235" t="s">
        <v>1411</v>
      </c>
      <c r="KMP61" s="235" t="s">
        <v>388</v>
      </c>
      <c r="KMQ61" s="237" t="s">
        <v>727</v>
      </c>
      <c r="KMR61" s="237" t="s">
        <v>221</v>
      </c>
      <c r="KMS61" s="235" t="s">
        <v>2</v>
      </c>
      <c r="KMT61" s="235" t="s">
        <v>3</v>
      </c>
      <c r="KMU61" s="235" t="s">
        <v>618</v>
      </c>
      <c r="KMV61" s="235" t="s">
        <v>1410</v>
      </c>
      <c r="KMW61" s="235" t="s">
        <v>1411</v>
      </c>
      <c r="KMX61" s="235" t="s">
        <v>388</v>
      </c>
      <c r="KMY61" s="237" t="s">
        <v>727</v>
      </c>
      <c r="KMZ61" s="237" t="s">
        <v>221</v>
      </c>
      <c r="KNA61" s="235" t="s">
        <v>2</v>
      </c>
      <c r="KNB61" s="235" t="s">
        <v>3</v>
      </c>
      <c r="KNC61" s="235" t="s">
        <v>618</v>
      </c>
      <c r="KND61" s="235" t="s">
        <v>1410</v>
      </c>
      <c r="KNE61" s="235" t="s">
        <v>1411</v>
      </c>
      <c r="KNF61" s="235" t="s">
        <v>388</v>
      </c>
      <c r="KNG61" s="237" t="s">
        <v>727</v>
      </c>
      <c r="KNH61" s="237" t="s">
        <v>221</v>
      </c>
      <c r="KNI61" s="235" t="s">
        <v>2</v>
      </c>
      <c r="KNJ61" s="235" t="s">
        <v>3</v>
      </c>
      <c r="KNK61" s="235" t="s">
        <v>618</v>
      </c>
      <c r="KNL61" s="235" t="s">
        <v>1410</v>
      </c>
      <c r="KNM61" s="235" t="s">
        <v>1411</v>
      </c>
      <c r="KNN61" s="235" t="s">
        <v>388</v>
      </c>
      <c r="KNO61" s="237" t="s">
        <v>727</v>
      </c>
      <c r="KNP61" s="237" t="s">
        <v>221</v>
      </c>
      <c r="KNQ61" s="235" t="s">
        <v>2</v>
      </c>
      <c r="KNR61" s="235" t="s">
        <v>3</v>
      </c>
      <c r="KNS61" s="235" t="s">
        <v>618</v>
      </c>
      <c r="KNT61" s="235" t="s">
        <v>1410</v>
      </c>
      <c r="KNU61" s="235" t="s">
        <v>1411</v>
      </c>
      <c r="KNV61" s="235" t="s">
        <v>388</v>
      </c>
      <c r="KNW61" s="237" t="s">
        <v>727</v>
      </c>
      <c r="KNX61" s="237" t="s">
        <v>221</v>
      </c>
      <c r="KNY61" s="235" t="s">
        <v>2</v>
      </c>
      <c r="KNZ61" s="235" t="s">
        <v>3</v>
      </c>
      <c r="KOA61" s="235" t="s">
        <v>618</v>
      </c>
      <c r="KOB61" s="235" t="s">
        <v>1410</v>
      </c>
      <c r="KOC61" s="235" t="s">
        <v>1411</v>
      </c>
      <c r="KOD61" s="235" t="s">
        <v>388</v>
      </c>
      <c r="KOE61" s="237" t="s">
        <v>727</v>
      </c>
      <c r="KOF61" s="237" t="s">
        <v>221</v>
      </c>
      <c r="KOG61" s="235" t="s">
        <v>2</v>
      </c>
      <c r="KOH61" s="235" t="s">
        <v>3</v>
      </c>
      <c r="KOI61" s="235" t="s">
        <v>618</v>
      </c>
      <c r="KOJ61" s="235" t="s">
        <v>1410</v>
      </c>
      <c r="KOK61" s="235" t="s">
        <v>1411</v>
      </c>
      <c r="KOL61" s="235" t="s">
        <v>388</v>
      </c>
      <c r="KOM61" s="237" t="s">
        <v>727</v>
      </c>
      <c r="KON61" s="237" t="s">
        <v>221</v>
      </c>
      <c r="KOO61" s="235" t="s">
        <v>2</v>
      </c>
      <c r="KOP61" s="235" t="s">
        <v>3</v>
      </c>
      <c r="KOQ61" s="235" t="s">
        <v>618</v>
      </c>
      <c r="KOR61" s="235" t="s">
        <v>1410</v>
      </c>
      <c r="KOS61" s="235" t="s">
        <v>1411</v>
      </c>
      <c r="KOT61" s="235" t="s">
        <v>388</v>
      </c>
      <c r="KOU61" s="237" t="s">
        <v>727</v>
      </c>
      <c r="KOV61" s="237" t="s">
        <v>221</v>
      </c>
      <c r="KOW61" s="235" t="s">
        <v>2</v>
      </c>
      <c r="KOX61" s="235" t="s">
        <v>3</v>
      </c>
      <c r="KOY61" s="235" t="s">
        <v>618</v>
      </c>
      <c r="KOZ61" s="235" t="s">
        <v>1410</v>
      </c>
      <c r="KPA61" s="235" t="s">
        <v>1411</v>
      </c>
      <c r="KPB61" s="235" t="s">
        <v>388</v>
      </c>
      <c r="KPC61" s="237" t="s">
        <v>727</v>
      </c>
      <c r="KPD61" s="237" t="s">
        <v>221</v>
      </c>
      <c r="KPE61" s="235" t="s">
        <v>2</v>
      </c>
      <c r="KPF61" s="235" t="s">
        <v>3</v>
      </c>
      <c r="KPG61" s="235" t="s">
        <v>618</v>
      </c>
      <c r="KPH61" s="235" t="s">
        <v>1410</v>
      </c>
      <c r="KPI61" s="235" t="s">
        <v>1411</v>
      </c>
      <c r="KPJ61" s="235" t="s">
        <v>388</v>
      </c>
      <c r="KPK61" s="237" t="s">
        <v>727</v>
      </c>
      <c r="KPL61" s="237" t="s">
        <v>221</v>
      </c>
      <c r="KPM61" s="235" t="s">
        <v>2</v>
      </c>
      <c r="KPN61" s="235" t="s">
        <v>3</v>
      </c>
      <c r="KPO61" s="235" t="s">
        <v>618</v>
      </c>
      <c r="KPP61" s="235" t="s">
        <v>1410</v>
      </c>
      <c r="KPQ61" s="235" t="s">
        <v>1411</v>
      </c>
      <c r="KPR61" s="235" t="s">
        <v>388</v>
      </c>
      <c r="KPS61" s="237" t="s">
        <v>727</v>
      </c>
      <c r="KPT61" s="237" t="s">
        <v>221</v>
      </c>
      <c r="KPU61" s="235" t="s">
        <v>2</v>
      </c>
      <c r="KPV61" s="235" t="s">
        <v>3</v>
      </c>
      <c r="KPW61" s="235" t="s">
        <v>618</v>
      </c>
      <c r="KPX61" s="235" t="s">
        <v>1410</v>
      </c>
      <c r="KPY61" s="235" t="s">
        <v>1411</v>
      </c>
      <c r="KPZ61" s="235" t="s">
        <v>388</v>
      </c>
      <c r="KQA61" s="237" t="s">
        <v>727</v>
      </c>
      <c r="KQB61" s="237" t="s">
        <v>221</v>
      </c>
      <c r="KQC61" s="235" t="s">
        <v>2</v>
      </c>
      <c r="KQD61" s="235" t="s">
        <v>3</v>
      </c>
      <c r="KQE61" s="235" t="s">
        <v>618</v>
      </c>
      <c r="KQF61" s="235" t="s">
        <v>1410</v>
      </c>
      <c r="KQG61" s="235" t="s">
        <v>1411</v>
      </c>
      <c r="KQH61" s="235" t="s">
        <v>388</v>
      </c>
      <c r="KQI61" s="237" t="s">
        <v>727</v>
      </c>
      <c r="KQJ61" s="237" t="s">
        <v>221</v>
      </c>
      <c r="KQK61" s="235" t="s">
        <v>2</v>
      </c>
      <c r="KQL61" s="235" t="s">
        <v>3</v>
      </c>
      <c r="KQM61" s="235" t="s">
        <v>618</v>
      </c>
      <c r="KQN61" s="235" t="s">
        <v>1410</v>
      </c>
      <c r="KQO61" s="235" t="s">
        <v>1411</v>
      </c>
      <c r="KQP61" s="235" t="s">
        <v>388</v>
      </c>
      <c r="KQQ61" s="237" t="s">
        <v>727</v>
      </c>
      <c r="KQR61" s="237" t="s">
        <v>221</v>
      </c>
      <c r="KQS61" s="235" t="s">
        <v>2</v>
      </c>
      <c r="KQT61" s="235" t="s">
        <v>3</v>
      </c>
      <c r="KQU61" s="235" t="s">
        <v>618</v>
      </c>
      <c r="KQV61" s="235" t="s">
        <v>1410</v>
      </c>
      <c r="KQW61" s="235" t="s">
        <v>1411</v>
      </c>
      <c r="KQX61" s="235" t="s">
        <v>388</v>
      </c>
      <c r="KQY61" s="237" t="s">
        <v>727</v>
      </c>
      <c r="KQZ61" s="237" t="s">
        <v>221</v>
      </c>
      <c r="KRA61" s="235" t="s">
        <v>2</v>
      </c>
      <c r="KRB61" s="235" t="s">
        <v>3</v>
      </c>
      <c r="KRC61" s="235" t="s">
        <v>618</v>
      </c>
      <c r="KRD61" s="235" t="s">
        <v>1410</v>
      </c>
      <c r="KRE61" s="235" t="s">
        <v>1411</v>
      </c>
      <c r="KRF61" s="235" t="s">
        <v>388</v>
      </c>
      <c r="KRG61" s="237" t="s">
        <v>727</v>
      </c>
      <c r="KRH61" s="237" t="s">
        <v>221</v>
      </c>
      <c r="KRI61" s="235" t="s">
        <v>2</v>
      </c>
      <c r="KRJ61" s="235" t="s">
        <v>3</v>
      </c>
      <c r="KRK61" s="235" t="s">
        <v>618</v>
      </c>
      <c r="KRL61" s="235" t="s">
        <v>1410</v>
      </c>
      <c r="KRM61" s="235" t="s">
        <v>1411</v>
      </c>
      <c r="KRN61" s="235" t="s">
        <v>388</v>
      </c>
      <c r="KRO61" s="237" t="s">
        <v>727</v>
      </c>
      <c r="KRP61" s="237" t="s">
        <v>221</v>
      </c>
      <c r="KRQ61" s="235" t="s">
        <v>2</v>
      </c>
      <c r="KRR61" s="235" t="s">
        <v>3</v>
      </c>
      <c r="KRS61" s="235" t="s">
        <v>618</v>
      </c>
      <c r="KRT61" s="235" t="s">
        <v>1410</v>
      </c>
      <c r="KRU61" s="235" t="s">
        <v>1411</v>
      </c>
      <c r="KRV61" s="235" t="s">
        <v>388</v>
      </c>
      <c r="KRW61" s="237" t="s">
        <v>727</v>
      </c>
      <c r="KRX61" s="237" t="s">
        <v>221</v>
      </c>
      <c r="KRY61" s="235" t="s">
        <v>2</v>
      </c>
      <c r="KRZ61" s="235" t="s">
        <v>3</v>
      </c>
      <c r="KSA61" s="235" t="s">
        <v>618</v>
      </c>
      <c r="KSB61" s="235" t="s">
        <v>1410</v>
      </c>
      <c r="KSC61" s="235" t="s">
        <v>1411</v>
      </c>
      <c r="KSD61" s="235" t="s">
        <v>388</v>
      </c>
      <c r="KSE61" s="237" t="s">
        <v>727</v>
      </c>
      <c r="KSF61" s="237" t="s">
        <v>221</v>
      </c>
      <c r="KSG61" s="235" t="s">
        <v>2</v>
      </c>
      <c r="KSH61" s="235" t="s">
        <v>3</v>
      </c>
      <c r="KSI61" s="235" t="s">
        <v>618</v>
      </c>
      <c r="KSJ61" s="235" t="s">
        <v>1410</v>
      </c>
      <c r="KSK61" s="235" t="s">
        <v>1411</v>
      </c>
      <c r="KSL61" s="235" t="s">
        <v>388</v>
      </c>
      <c r="KSM61" s="237" t="s">
        <v>727</v>
      </c>
      <c r="KSN61" s="237" t="s">
        <v>221</v>
      </c>
      <c r="KSO61" s="235" t="s">
        <v>2</v>
      </c>
      <c r="KSP61" s="235" t="s">
        <v>3</v>
      </c>
      <c r="KSQ61" s="235" t="s">
        <v>618</v>
      </c>
      <c r="KSR61" s="235" t="s">
        <v>1410</v>
      </c>
      <c r="KSS61" s="235" t="s">
        <v>1411</v>
      </c>
      <c r="KST61" s="235" t="s">
        <v>388</v>
      </c>
      <c r="KSU61" s="237" t="s">
        <v>727</v>
      </c>
      <c r="KSV61" s="237" t="s">
        <v>221</v>
      </c>
      <c r="KSW61" s="235" t="s">
        <v>2</v>
      </c>
      <c r="KSX61" s="235" t="s">
        <v>3</v>
      </c>
      <c r="KSY61" s="235" t="s">
        <v>618</v>
      </c>
      <c r="KSZ61" s="235" t="s">
        <v>1410</v>
      </c>
      <c r="KTA61" s="235" t="s">
        <v>1411</v>
      </c>
      <c r="KTB61" s="235" t="s">
        <v>388</v>
      </c>
      <c r="KTC61" s="237" t="s">
        <v>727</v>
      </c>
      <c r="KTD61" s="237" t="s">
        <v>221</v>
      </c>
      <c r="KTE61" s="235" t="s">
        <v>2</v>
      </c>
      <c r="KTF61" s="235" t="s">
        <v>3</v>
      </c>
      <c r="KTG61" s="235" t="s">
        <v>618</v>
      </c>
      <c r="KTH61" s="235" t="s">
        <v>1410</v>
      </c>
      <c r="KTI61" s="235" t="s">
        <v>1411</v>
      </c>
      <c r="KTJ61" s="235" t="s">
        <v>388</v>
      </c>
      <c r="KTK61" s="237" t="s">
        <v>727</v>
      </c>
      <c r="KTL61" s="237" t="s">
        <v>221</v>
      </c>
      <c r="KTM61" s="235" t="s">
        <v>2</v>
      </c>
      <c r="KTN61" s="235" t="s">
        <v>3</v>
      </c>
      <c r="KTO61" s="235" t="s">
        <v>618</v>
      </c>
      <c r="KTP61" s="235" t="s">
        <v>1410</v>
      </c>
      <c r="KTQ61" s="235" t="s">
        <v>1411</v>
      </c>
      <c r="KTR61" s="235" t="s">
        <v>388</v>
      </c>
      <c r="KTS61" s="237" t="s">
        <v>727</v>
      </c>
      <c r="KTT61" s="237" t="s">
        <v>221</v>
      </c>
      <c r="KTU61" s="235" t="s">
        <v>2</v>
      </c>
      <c r="KTV61" s="235" t="s">
        <v>3</v>
      </c>
      <c r="KTW61" s="235" t="s">
        <v>618</v>
      </c>
      <c r="KTX61" s="235" t="s">
        <v>1410</v>
      </c>
      <c r="KTY61" s="235" t="s">
        <v>1411</v>
      </c>
      <c r="KTZ61" s="235" t="s">
        <v>388</v>
      </c>
      <c r="KUA61" s="237" t="s">
        <v>727</v>
      </c>
      <c r="KUB61" s="237" t="s">
        <v>221</v>
      </c>
      <c r="KUC61" s="235" t="s">
        <v>2</v>
      </c>
      <c r="KUD61" s="235" t="s">
        <v>3</v>
      </c>
      <c r="KUE61" s="235" t="s">
        <v>618</v>
      </c>
      <c r="KUF61" s="235" t="s">
        <v>1410</v>
      </c>
      <c r="KUG61" s="235" t="s">
        <v>1411</v>
      </c>
      <c r="KUH61" s="235" t="s">
        <v>388</v>
      </c>
      <c r="KUI61" s="237" t="s">
        <v>727</v>
      </c>
      <c r="KUJ61" s="237" t="s">
        <v>221</v>
      </c>
      <c r="KUK61" s="235" t="s">
        <v>2</v>
      </c>
      <c r="KUL61" s="235" t="s">
        <v>3</v>
      </c>
      <c r="KUM61" s="235" t="s">
        <v>618</v>
      </c>
      <c r="KUN61" s="235" t="s">
        <v>1410</v>
      </c>
      <c r="KUO61" s="235" t="s">
        <v>1411</v>
      </c>
      <c r="KUP61" s="235" t="s">
        <v>388</v>
      </c>
      <c r="KUQ61" s="237" t="s">
        <v>727</v>
      </c>
      <c r="KUR61" s="237" t="s">
        <v>221</v>
      </c>
      <c r="KUS61" s="235" t="s">
        <v>2</v>
      </c>
      <c r="KUT61" s="235" t="s">
        <v>3</v>
      </c>
      <c r="KUU61" s="235" t="s">
        <v>618</v>
      </c>
      <c r="KUV61" s="235" t="s">
        <v>1410</v>
      </c>
      <c r="KUW61" s="235" t="s">
        <v>1411</v>
      </c>
      <c r="KUX61" s="235" t="s">
        <v>388</v>
      </c>
      <c r="KUY61" s="237" t="s">
        <v>727</v>
      </c>
      <c r="KUZ61" s="237" t="s">
        <v>221</v>
      </c>
      <c r="KVA61" s="235" t="s">
        <v>2</v>
      </c>
      <c r="KVB61" s="235" t="s">
        <v>3</v>
      </c>
      <c r="KVC61" s="235" t="s">
        <v>618</v>
      </c>
      <c r="KVD61" s="235" t="s">
        <v>1410</v>
      </c>
      <c r="KVE61" s="235" t="s">
        <v>1411</v>
      </c>
      <c r="KVF61" s="235" t="s">
        <v>388</v>
      </c>
      <c r="KVG61" s="237" t="s">
        <v>727</v>
      </c>
      <c r="KVH61" s="237" t="s">
        <v>221</v>
      </c>
      <c r="KVI61" s="235" t="s">
        <v>2</v>
      </c>
      <c r="KVJ61" s="235" t="s">
        <v>3</v>
      </c>
      <c r="KVK61" s="235" t="s">
        <v>618</v>
      </c>
      <c r="KVL61" s="235" t="s">
        <v>1410</v>
      </c>
      <c r="KVM61" s="235" t="s">
        <v>1411</v>
      </c>
      <c r="KVN61" s="235" t="s">
        <v>388</v>
      </c>
      <c r="KVO61" s="237" t="s">
        <v>727</v>
      </c>
      <c r="KVP61" s="237" t="s">
        <v>221</v>
      </c>
      <c r="KVQ61" s="235" t="s">
        <v>2</v>
      </c>
      <c r="KVR61" s="235" t="s">
        <v>3</v>
      </c>
      <c r="KVS61" s="235" t="s">
        <v>618</v>
      </c>
      <c r="KVT61" s="235" t="s">
        <v>1410</v>
      </c>
      <c r="KVU61" s="235" t="s">
        <v>1411</v>
      </c>
      <c r="KVV61" s="235" t="s">
        <v>388</v>
      </c>
      <c r="KVW61" s="237" t="s">
        <v>727</v>
      </c>
      <c r="KVX61" s="237" t="s">
        <v>221</v>
      </c>
      <c r="KVY61" s="235" t="s">
        <v>2</v>
      </c>
      <c r="KVZ61" s="235" t="s">
        <v>3</v>
      </c>
      <c r="KWA61" s="235" t="s">
        <v>618</v>
      </c>
      <c r="KWB61" s="235" t="s">
        <v>1410</v>
      </c>
      <c r="KWC61" s="235" t="s">
        <v>1411</v>
      </c>
      <c r="KWD61" s="235" t="s">
        <v>388</v>
      </c>
      <c r="KWE61" s="237" t="s">
        <v>727</v>
      </c>
      <c r="KWF61" s="237" t="s">
        <v>221</v>
      </c>
      <c r="KWG61" s="235" t="s">
        <v>2</v>
      </c>
      <c r="KWH61" s="235" t="s">
        <v>3</v>
      </c>
      <c r="KWI61" s="235" t="s">
        <v>618</v>
      </c>
      <c r="KWJ61" s="235" t="s">
        <v>1410</v>
      </c>
      <c r="KWK61" s="235" t="s">
        <v>1411</v>
      </c>
      <c r="KWL61" s="235" t="s">
        <v>388</v>
      </c>
      <c r="KWM61" s="237" t="s">
        <v>727</v>
      </c>
      <c r="KWN61" s="237" t="s">
        <v>221</v>
      </c>
      <c r="KWO61" s="235" t="s">
        <v>2</v>
      </c>
      <c r="KWP61" s="235" t="s">
        <v>3</v>
      </c>
      <c r="KWQ61" s="235" t="s">
        <v>618</v>
      </c>
      <c r="KWR61" s="235" t="s">
        <v>1410</v>
      </c>
      <c r="KWS61" s="235" t="s">
        <v>1411</v>
      </c>
      <c r="KWT61" s="235" t="s">
        <v>388</v>
      </c>
      <c r="KWU61" s="237" t="s">
        <v>727</v>
      </c>
      <c r="KWV61" s="237" t="s">
        <v>221</v>
      </c>
      <c r="KWW61" s="235" t="s">
        <v>2</v>
      </c>
      <c r="KWX61" s="235" t="s">
        <v>3</v>
      </c>
      <c r="KWY61" s="235" t="s">
        <v>618</v>
      </c>
      <c r="KWZ61" s="235" t="s">
        <v>1410</v>
      </c>
      <c r="KXA61" s="235" t="s">
        <v>1411</v>
      </c>
      <c r="KXB61" s="235" t="s">
        <v>388</v>
      </c>
      <c r="KXC61" s="237" t="s">
        <v>727</v>
      </c>
      <c r="KXD61" s="237" t="s">
        <v>221</v>
      </c>
      <c r="KXE61" s="235" t="s">
        <v>2</v>
      </c>
      <c r="KXF61" s="235" t="s">
        <v>3</v>
      </c>
      <c r="KXG61" s="235" t="s">
        <v>618</v>
      </c>
      <c r="KXH61" s="235" t="s">
        <v>1410</v>
      </c>
      <c r="KXI61" s="235" t="s">
        <v>1411</v>
      </c>
      <c r="KXJ61" s="235" t="s">
        <v>388</v>
      </c>
      <c r="KXK61" s="237" t="s">
        <v>727</v>
      </c>
      <c r="KXL61" s="237" t="s">
        <v>221</v>
      </c>
      <c r="KXM61" s="235" t="s">
        <v>2</v>
      </c>
      <c r="KXN61" s="235" t="s">
        <v>3</v>
      </c>
      <c r="KXO61" s="235" t="s">
        <v>618</v>
      </c>
      <c r="KXP61" s="235" t="s">
        <v>1410</v>
      </c>
      <c r="KXQ61" s="235" t="s">
        <v>1411</v>
      </c>
      <c r="KXR61" s="235" t="s">
        <v>388</v>
      </c>
      <c r="KXS61" s="237" t="s">
        <v>727</v>
      </c>
      <c r="KXT61" s="237" t="s">
        <v>221</v>
      </c>
      <c r="KXU61" s="235" t="s">
        <v>2</v>
      </c>
      <c r="KXV61" s="235" t="s">
        <v>3</v>
      </c>
      <c r="KXW61" s="235" t="s">
        <v>618</v>
      </c>
      <c r="KXX61" s="235" t="s">
        <v>1410</v>
      </c>
      <c r="KXY61" s="235" t="s">
        <v>1411</v>
      </c>
      <c r="KXZ61" s="235" t="s">
        <v>388</v>
      </c>
      <c r="KYA61" s="237" t="s">
        <v>727</v>
      </c>
      <c r="KYB61" s="237" t="s">
        <v>221</v>
      </c>
      <c r="KYC61" s="235" t="s">
        <v>2</v>
      </c>
      <c r="KYD61" s="235" t="s">
        <v>3</v>
      </c>
      <c r="KYE61" s="235" t="s">
        <v>618</v>
      </c>
      <c r="KYF61" s="235" t="s">
        <v>1410</v>
      </c>
      <c r="KYG61" s="235" t="s">
        <v>1411</v>
      </c>
      <c r="KYH61" s="235" t="s">
        <v>388</v>
      </c>
      <c r="KYI61" s="237" t="s">
        <v>727</v>
      </c>
      <c r="KYJ61" s="237" t="s">
        <v>221</v>
      </c>
      <c r="KYK61" s="235" t="s">
        <v>2</v>
      </c>
      <c r="KYL61" s="235" t="s">
        <v>3</v>
      </c>
      <c r="KYM61" s="235" t="s">
        <v>618</v>
      </c>
      <c r="KYN61" s="235" t="s">
        <v>1410</v>
      </c>
      <c r="KYO61" s="235" t="s">
        <v>1411</v>
      </c>
      <c r="KYP61" s="235" t="s">
        <v>388</v>
      </c>
      <c r="KYQ61" s="237" t="s">
        <v>727</v>
      </c>
      <c r="KYR61" s="237" t="s">
        <v>221</v>
      </c>
      <c r="KYS61" s="235" t="s">
        <v>2</v>
      </c>
      <c r="KYT61" s="235" t="s">
        <v>3</v>
      </c>
      <c r="KYU61" s="235" t="s">
        <v>618</v>
      </c>
      <c r="KYV61" s="235" t="s">
        <v>1410</v>
      </c>
      <c r="KYW61" s="235" t="s">
        <v>1411</v>
      </c>
      <c r="KYX61" s="235" t="s">
        <v>388</v>
      </c>
      <c r="KYY61" s="237" t="s">
        <v>727</v>
      </c>
      <c r="KYZ61" s="237" t="s">
        <v>221</v>
      </c>
      <c r="KZA61" s="235" t="s">
        <v>2</v>
      </c>
      <c r="KZB61" s="235" t="s">
        <v>3</v>
      </c>
      <c r="KZC61" s="235" t="s">
        <v>618</v>
      </c>
      <c r="KZD61" s="235" t="s">
        <v>1410</v>
      </c>
      <c r="KZE61" s="235" t="s">
        <v>1411</v>
      </c>
      <c r="KZF61" s="235" t="s">
        <v>388</v>
      </c>
      <c r="KZG61" s="237" t="s">
        <v>727</v>
      </c>
      <c r="KZH61" s="237" t="s">
        <v>221</v>
      </c>
      <c r="KZI61" s="235" t="s">
        <v>2</v>
      </c>
      <c r="KZJ61" s="235" t="s">
        <v>3</v>
      </c>
      <c r="KZK61" s="235" t="s">
        <v>618</v>
      </c>
      <c r="KZL61" s="235" t="s">
        <v>1410</v>
      </c>
      <c r="KZM61" s="235" t="s">
        <v>1411</v>
      </c>
      <c r="KZN61" s="235" t="s">
        <v>388</v>
      </c>
      <c r="KZO61" s="237" t="s">
        <v>727</v>
      </c>
      <c r="KZP61" s="237" t="s">
        <v>221</v>
      </c>
      <c r="KZQ61" s="235" t="s">
        <v>2</v>
      </c>
      <c r="KZR61" s="235" t="s">
        <v>3</v>
      </c>
      <c r="KZS61" s="235" t="s">
        <v>618</v>
      </c>
      <c r="KZT61" s="235" t="s">
        <v>1410</v>
      </c>
      <c r="KZU61" s="235" t="s">
        <v>1411</v>
      </c>
      <c r="KZV61" s="235" t="s">
        <v>388</v>
      </c>
      <c r="KZW61" s="237" t="s">
        <v>727</v>
      </c>
      <c r="KZX61" s="237" t="s">
        <v>221</v>
      </c>
      <c r="KZY61" s="235" t="s">
        <v>2</v>
      </c>
      <c r="KZZ61" s="235" t="s">
        <v>3</v>
      </c>
      <c r="LAA61" s="235" t="s">
        <v>618</v>
      </c>
      <c r="LAB61" s="235" t="s">
        <v>1410</v>
      </c>
      <c r="LAC61" s="235" t="s">
        <v>1411</v>
      </c>
      <c r="LAD61" s="235" t="s">
        <v>388</v>
      </c>
      <c r="LAE61" s="237" t="s">
        <v>727</v>
      </c>
      <c r="LAF61" s="237" t="s">
        <v>221</v>
      </c>
      <c r="LAG61" s="235" t="s">
        <v>2</v>
      </c>
      <c r="LAH61" s="235" t="s">
        <v>3</v>
      </c>
      <c r="LAI61" s="235" t="s">
        <v>618</v>
      </c>
      <c r="LAJ61" s="235" t="s">
        <v>1410</v>
      </c>
      <c r="LAK61" s="235" t="s">
        <v>1411</v>
      </c>
      <c r="LAL61" s="235" t="s">
        <v>388</v>
      </c>
      <c r="LAM61" s="237" t="s">
        <v>727</v>
      </c>
      <c r="LAN61" s="237" t="s">
        <v>221</v>
      </c>
      <c r="LAO61" s="235" t="s">
        <v>2</v>
      </c>
      <c r="LAP61" s="235" t="s">
        <v>3</v>
      </c>
      <c r="LAQ61" s="235" t="s">
        <v>618</v>
      </c>
      <c r="LAR61" s="235" t="s">
        <v>1410</v>
      </c>
      <c r="LAS61" s="235" t="s">
        <v>1411</v>
      </c>
      <c r="LAT61" s="235" t="s">
        <v>388</v>
      </c>
      <c r="LAU61" s="237" t="s">
        <v>727</v>
      </c>
      <c r="LAV61" s="237" t="s">
        <v>221</v>
      </c>
      <c r="LAW61" s="235" t="s">
        <v>2</v>
      </c>
      <c r="LAX61" s="235" t="s">
        <v>3</v>
      </c>
      <c r="LAY61" s="235" t="s">
        <v>618</v>
      </c>
      <c r="LAZ61" s="235" t="s">
        <v>1410</v>
      </c>
      <c r="LBA61" s="235" t="s">
        <v>1411</v>
      </c>
      <c r="LBB61" s="235" t="s">
        <v>388</v>
      </c>
      <c r="LBC61" s="237" t="s">
        <v>727</v>
      </c>
      <c r="LBD61" s="237" t="s">
        <v>221</v>
      </c>
      <c r="LBE61" s="235" t="s">
        <v>2</v>
      </c>
      <c r="LBF61" s="235" t="s">
        <v>3</v>
      </c>
      <c r="LBG61" s="235" t="s">
        <v>618</v>
      </c>
      <c r="LBH61" s="235" t="s">
        <v>1410</v>
      </c>
      <c r="LBI61" s="235" t="s">
        <v>1411</v>
      </c>
      <c r="LBJ61" s="235" t="s">
        <v>388</v>
      </c>
      <c r="LBK61" s="237" t="s">
        <v>727</v>
      </c>
      <c r="LBL61" s="237" t="s">
        <v>221</v>
      </c>
      <c r="LBM61" s="235" t="s">
        <v>2</v>
      </c>
      <c r="LBN61" s="235" t="s">
        <v>3</v>
      </c>
      <c r="LBO61" s="235" t="s">
        <v>618</v>
      </c>
      <c r="LBP61" s="235" t="s">
        <v>1410</v>
      </c>
      <c r="LBQ61" s="235" t="s">
        <v>1411</v>
      </c>
      <c r="LBR61" s="235" t="s">
        <v>388</v>
      </c>
      <c r="LBS61" s="237" t="s">
        <v>727</v>
      </c>
      <c r="LBT61" s="237" t="s">
        <v>221</v>
      </c>
      <c r="LBU61" s="235" t="s">
        <v>2</v>
      </c>
      <c r="LBV61" s="235" t="s">
        <v>3</v>
      </c>
      <c r="LBW61" s="235" t="s">
        <v>618</v>
      </c>
      <c r="LBX61" s="235" t="s">
        <v>1410</v>
      </c>
      <c r="LBY61" s="235" t="s">
        <v>1411</v>
      </c>
      <c r="LBZ61" s="235" t="s">
        <v>388</v>
      </c>
      <c r="LCA61" s="237" t="s">
        <v>727</v>
      </c>
      <c r="LCB61" s="237" t="s">
        <v>221</v>
      </c>
      <c r="LCC61" s="235" t="s">
        <v>2</v>
      </c>
      <c r="LCD61" s="235" t="s">
        <v>3</v>
      </c>
      <c r="LCE61" s="235" t="s">
        <v>618</v>
      </c>
      <c r="LCF61" s="235" t="s">
        <v>1410</v>
      </c>
      <c r="LCG61" s="235" t="s">
        <v>1411</v>
      </c>
      <c r="LCH61" s="235" t="s">
        <v>388</v>
      </c>
      <c r="LCI61" s="237" t="s">
        <v>727</v>
      </c>
      <c r="LCJ61" s="237" t="s">
        <v>221</v>
      </c>
      <c r="LCK61" s="235" t="s">
        <v>2</v>
      </c>
      <c r="LCL61" s="235" t="s">
        <v>3</v>
      </c>
      <c r="LCM61" s="235" t="s">
        <v>618</v>
      </c>
      <c r="LCN61" s="235" t="s">
        <v>1410</v>
      </c>
      <c r="LCO61" s="235" t="s">
        <v>1411</v>
      </c>
      <c r="LCP61" s="235" t="s">
        <v>388</v>
      </c>
      <c r="LCQ61" s="237" t="s">
        <v>727</v>
      </c>
      <c r="LCR61" s="237" t="s">
        <v>221</v>
      </c>
      <c r="LCS61" s="235" t="s">
        <v>2</v>
      </c>
      <c r="LCT61" s="235" t="s">
        <v>3</v>
      </c>
      <c r="LCU61" s="235" t="s">
        <v>618</v>
      </c>
      <c r="LCV61" s="235" t="s">
        <v>1410</v>
      </c>
      <c r="LCW61" s="235" t="s">
        <v>1411</v>
      </c>
      <c r="LCX61" s="235" t="s">
        <v>388</v>
      </c>
      <c r="LCY61" s="237" t="s">
        <v>727</v>
      </c>
      <c r="LCZ61" s="237" t="s">
        <v>221</v>
      </c>
      <c r="LDA61" s="235" t="s">
        <v>2</v>
      </c>
      <c r="LDB61" s="235" t="s">
        <v>3</v>
      </c>
      <c r="LDC61" s="235" t="s">
        <v>618</v>
      </c>
      <c r="LDD61" s="235" t="s">
        <v>1410</v>
      </c>
      <c r="LDE61" s="235" t="s">
        <v>1411</v>
      </c>
      <c r="LDF61" s="235" t="s">
        <v>388</v>
      </c>
      <c r="LDG61" s="237" t="s">
        <v>727</v>
      </c>
      <c r="LDH61" s="237" t="s">
        <v>221</v>
      </c>
      <c r="LDI61" s="235" t="s">
        <v>2</v>
      </c>
      <c r="LDJ61" s="235" t="s">
        <v>3</v>
      </c>
      <c r="LDK61" s="235" t="s">
        <v>618</v>
      </c>
      <c r="LDL61" s="235" t="s">
        <v>1410</v>
      </c>
      <c r="LDM61" s="235" t="s">
        <v>1411</v>
      </c>
      <c r="LDN61" s="235" t="s">
        <v>388</v>
      </c>
      <c r="LDO61" s="237" t="s">
        <v>727</v>
      </c>
      <c r="LDP61" s="237" t="s">
        <v>221</v>
      </c>
      <c r="LDQ61" s="235" t="s">
        <v>2</v>
      </c>
      <c r="LDR61" s="235" t="s">
        <v>3</v>
      </c>
      <c r="LDS61" s="235" t="s">
        <v>618</v>
      </c>
      <c r="LDT61" s="235" t="s">
        <v>1410</v>
      </c>
      <c r="LDU61" s="235" t="s">
        <v>1411</v>
      </c>
      <c r="LDV61" s="235" t="s">
        <v>388</v>
      </c>
      <c r="LDW61" s="237" t="s">
        <v>727</v>
      </c>
      <c r="LDX61" s="237" t="s">
        <v>221</v>
      </c>
      <c r="LDY61" s="235" t="s">
        <v>2</v>
      </c>
      <c r="LDZ61" s="235" t="s">
        <v>3</v>
      </c>
      <c r="LEA61" s="235" t="s">
        <v>618</v>
      </c>
      <c r="LEB61" s="235" t="s">
        <v>1410</v>
      </c>
      <c r="LEC61" s="235" t="s">
        <v>1411</v>
      </c>
      <c r="LED61" s="235" t="s">
        <v>388</v>
      </c>
      <c r="LEE61" s="237" t="s">
        <v>727</v>
      </c>
      <c r="LEF61" s="237" t="s">
        <v>221</v>
      </c>
      <c r="LEG61" s="235" t="s">
        <v>2</v>
      </c>
      <c r="LEH61" s="235" t="s">
        <v>3</v>
      </c>
      <c r="LEI61" s="235" t="s">
        <v>618</v>
      </c>
      <c r="LEJ61" s="235" t="s">
        <v>1410</v>
      </c>
      <c r="LEK61" s="235" t="s">
        <v>1411</v>
      </c>
      <c r="LEL61" s="235" t="s">
        <v>388</v>
      </c>
      <c r="LEM61" s="237" t="s">
        <v>727</v>
      </c>
      <c r="LEN61" s="237" t="s">
        <v>221</v>
      </c>
      <c r="LEO61" s="235" t="s">
        <v>2</v>
      </c>
      <c r="LEP61" s="235" t="s">
        <v>3</v>
      </c>
      <c r="LEQ61" s="235" t="s">
        <v>618</v>
      </c>
      <c r="LER61" s="235" t="s">
        <v>1410</v>
      </c>
      <c r="LES61" s="235" t="s">
        <v>1411</v>
      </c>
      <c r="LET61" s="235" t="s">
        <v>388</v>
      </c>
      <c r="LEU61" s="237" t="s">
        <v>727</v>
      </c>
      <c r="LEV61" s="237" t="s">
        <v>221</v>
      </c>
      <c r="LEW61" s="235" t="s">
        <v>2</v>
      </c>
      <c r="LEX61" s="235" t="s">
        <v>3</v>
      </c>
      <c r="LEY61" s="235" t="s">
        <v>618</v>
      </c>
      <c r="LEZ61" s="235" t="s">
        <v>1410</v>
      </c>
      <c r="LFA61" s="235" t="s">
        <v>1411</v>
      </c>
      <c r="LFB61" s="235" t="s">
        <v>388</v>
      </c>
      <c r="LFC61" s="237" t="s">
        <v>727</v>
      </c>
      <c r="LFD61" s="237" t="s">
        <v>221</v>
      </c>
      <c r="LFE61" s="235" t="s">
        <v>2</v>
      </c>
      <c r="LFF61" s="235" t="s">
        <v>3</v>
      </c>
      <c r="LFG61" s="235" t="s">
        <v>618</v>
      </c>
      <c r="LFH61" s="235" t="s">
        <v>1410</v>
      </c>
      <c r="LFI61" s="235" t="s">
        <v>1411</v>
      </c>
      <c r="LFJ61" s="235" t="s">
        <v>388</v>
      </c>
      <c r="LFK61" s="237" t="s">
        <v>727</v>
      </c>
      <c r="LFL61" s="237" t="s">
        <v>221</v>
      </c>
      <c r="LFM61" s="235" t="s">
        <v>2</v>
      </c>
      <c r="LFN61" s="235" t="s">
        <v>3</v>
      </c>
      <c r="LFO61" s="235" t="s">
        <v>618</v>
      </c>
      <c r="LFP61" s="235" t="s">
        <v>1410</v>
      </c>
      <c r="LFQ61" s="235" t="s">
        <v>1411</v>
      </c>
      <c r="LFR61" s="235" t="s">
        <v>388</v>
      </c>
      <c r="LFS61" s="237" t="s">
        <v>727</v>
      </c>
      <c r="LFT61" s="237" t="s">
        <v>221</v>
      </c>
      <c r="LFU61" s="235" t="s">
        <v>2</v>
      </c>
      <c r="LFV61" s="235" t="s">
        <v>3</v>
      </c>
      <c r="LFW61" s="235" t="s">
        <v>618</v>
      </c>
      <c r="LFX61" s="235" t="s">
        <v>1410</v>
      </c>
      <c r="LFY61" s="235" t="s">
        <v>1411</v>
      </c>
      <c r="LFZ61" s="235" t="s">
        <v>388</v>
      </c>
      <c r="LGA61" s="237" t="s">
        <v>727</v>
      </c>
      <c r="LGB61" s="237" t="s">
        <v>221</v>
      </c>
      <c r="LGC61" s="235" t="s">
        <v>2</v>
      </c>
      <c r="LGD61" s="235" t="s">
        <v>3</v>
      </c>
      <c r="LGE61" s="235" t="s">
        <v>618</v>
      </c>
      <c r="LGF61" s="235" t="s">
        <v>1410</v>
      </c>
      <c r="LGG61" s="235" t="s">
        <v>1411</v>
      </c>
      <c r="LGH61" s="235" t="s">
        <v>388</v>
      </c>
      <c r="LGI61" s="237" t="s">
        <v>727</v>
      </c>
      <c r="LGJ61" s="237" t="s">
        <v>221</v>
      </c>
      <c r="LGK61" s="235" t="s">
        <v>2</v>
      </c>
      <c r="LGL61" s="235" t="s">
        <v>3</v>
      </c>
      <c r="LGM61" s="235" t="s">
        <v>618</v>
      </c>
      <c r="LGN61" s="235" t="s">
        <v>1410</v>
      </c>
      <c r="LGO61" s="235" t="s">
        <v>1411</v>
      </c>
      <c r="LGP61" s="235" t="s">
        <v>388</v>
      </c>
      <c r="LGQ61" s="237" t="s">
        <v>727</v>
      </c>
      <c r="LGR61" s="237" t="s">
        <v>221</v>
      </c>
      <c r="LGS61" s="235" t="s">
        <v>2</v>
      </c>
      <c r="LGT61" s="235" t="s">
        <v>3</v>
      </c>
      <c r="LGU61" s="235" t="s">
        <v>618</v>
      </c>
      <c r="LGV61" s="235" t="s">
        <v>1410</v>
      </c>
      <c r="LGW61" s="235" t="s">
        <v>1411</v>
      </c>
      <c r="LGX61" s="235" t="s">
        <v>388</v>
      </c>
      <c r="LGY61" s="237" t="s">
        <v>727</v>
      </c>
      <c r="LGZ61" s="237" t="s">
        <v>221</v>
      </c>
      <c r="LHA61" s="235" t="s">
        <v>2</v>
      </c>
      <c r="LHB61" s="235" t="s">
        <v>3</v>
      </c>
      <c r="LHC61" s="235" t="s">
        <v>618</v>
      </c>
      <c r="LHD61" s="235" t="s">
        <v>1410</v>
      </c>
      <c r="LHE61" s="235" t="s">
        <v>1411</v>
      </c>
      <c r="LHF61" s="235" t="s">
        <v>388</v>
      </c>
      <c r="LHG61" s="237" t="s">
        <v>727</v>
      </c>
      <c r="LHH61" s="237" t="s">
        <v>221</v>
      </c>
      <c r="LHI61" s="235" t="s">
        <v>2</v>
      </c>
      <c r="LHJ61" s="235" t="s">
        <v>3</v>
      </c>
      <c r="LHK61" s="235" t="s">
        <v>618</v>
      </c>
      <c r="LHL61" s="235" t="s">
        <v>1410</v>
      </c>
      <c r="LHM61" s="235" t="s">
        <v>1411</v>
      </c>
      <c r="LHN61" s="235" t="s">
        <v>388</v>
      </c>
      <c r="LHO61" s="237" t="s">
        <v>727</v>
      </c>
      <c r="LHP61" s="237" t="s">
        <v>221</v>
      </c>
      <c r="LHQ61" s="235" t="s">
        <v>2</v>
      </c>
      <c r="LHR61" s="235" t="s">
        <v>3</v>
      </c>
      <c r="LHS61" s="235" t="s">
        <v>618</v>
      </c>
      <c r="LHT61" s="235" t="s">
        <v>1410</v>
      </c>
      <c r="LHU61" s="235" t="s">
        <v>1411</v>
      </c>
      <c r="LHV61" s="235" t="s">
        <v>388</v>
      </c>
      <c r="LHW61" s="237" t="s">
        <v>727</v>
      </c>
      <c r="LHX61" s="237" t="s">
        <v>221</v>
      </c>
      <c r="LHY61" s="235" t="s">
        <v>2</v>
      </c>
      <c r="LHZ61" s="235" t="s">
        <v>3</v>
      </c>
      <c r="LIA61" s="235" t="s">
        <v>618</v>
      </c>
      <c r="LIB61" s="235" t="s">
        <v>1410</v>
      </c>
      <c r="LIC61" s="235" t="s">
        <v>1411</v>
      </c>
      <c r="LID61" s="235" t="s">
        <v>388</v>
      </c>
      <c r="LIE61" s="237" t="s">
        <v>727</v>
      </c>
      <c r="LIF61" s="237" t="s">
        <v>221</v>
      </c>
      <c r="LIG61" s="235" t="s">
        <v>2</v>
      </c>
      <c r="LIH61" s="235" t="s">
        <v>3</v>
      </c>
      <c r="LII61" s="235" t="s">
        <v>618</v>
      </c>
      <c r="LIJ61" s="235" t="s">
        <v>1410</v>
      </c>
      <c r="LIK61" s="235" t="s">
        <v>1411</v>
      </c>
      <c r="LIL61" s="235" t="s">
        <v>388</v>
      </c>
      <c r="LIM61" s="237" t="s">
        <v>727</v>
      </c>
      <c r="LIN61" s="237" t="s">
        <v>221</v>
      </c>
      <c r="LIO61" s="235" t="s">
        <v>2</v>
      </c>
      <c r="LIP61" s="235" t="s">
        <v>3</v>
      </c>
      <c r="LIQ61" s="235" t="s">
        <v>618</v>
      </c>
      <c r="LIR61" s="235" t="s">
        <v>1410</v>
      </c>
      <c r="LIS61" s="235" t="s">
        <v>1411</v>
      </c>
      <c r="LIT61" s="235" t="s">
        <v>388</v>
      </c>
      <c r="LIU61" s="237" t="s">
        <v>727</v>
      </c>
      <c r="LIV61" s="237" t="s">
        <v>221</v>
      </c>
      <c r="LIW61" s="235" t="s">
        <v>2</v>
      </c>
      <c r="LIX61" s="235" t="s">
        <v>3</v>
      </c>
      <c r="LIY61" s="235" t="s">
        <v>618</v>
      </c>
      <c r="LIZ61" s="235" t="s">
        <v>1410</v>
      </c>
      <c r="LJA61" s="235" t="s">
        <v>1411</v>
      </c>
      <c r="LJB61" s="235" t="s">
        <v>388</v>
      </c>
      <c r="LJC61" s="237" t="s">
        <v>727</v>
      </c>
      <c r="LJD61" s="237" t="s">
        <v>221</v>
      </c>
      <c r="LJE61" s="235" t="s">
        <v>2</v>
      </c>
      <c r="LJF61" s="235" t="s">
        <v>3</v>
      </c>
      <c r="LJG61" s="235" t="s">
        <v>618</v>
      </c>
      <c r="LJH61" s="235" t="s">
        <v>1410</v>
      </c>
      <c r="LJI61" s="235" t="s">
        <v>1411</v>
      </c>
      <c r="LJJ61" s="235" t="s">
        <v>388</v>
      </c>
      <c r="LJK61" s="237" t="s">
        <v>727</v>
      </c>
      <c r="LJL61" s="237" t="s">
        <v>221</v>
      </c>
      <c r="LJM61" s="235" t="s">
        <v>2</v>
      </c>
      <c r="LJN61" s="235" t="s">
        <v>3</v>
      </c>
      <c r="LJO61" s="235" t="s">
        <v>618</v>
      </c>
      <c r="LJP61" s="235" t="s">
        <v>1410</v>
      </c>
      <c r="LJQ61" s="235" t="s">
        <v>1411</v>
      </c>
      <c r="LJR61" s="235" t="s">
        <v>388</v>
      </c>
      <c r="LJS61" s="237" t="s">
        <v>727</v>
      </c>
      <c r="LJT61" s="237" t="s">
        <v>221</v>
      </c>
      <c r="LJU61" s="235" t="s">
        <v>2</v>
      </c>
      <c r="LJV61" s="235" t="s">
        <v>3</v>
      </c>
      <c r="LJW61" s="235" t="s">
        <v>618</v>
      </c>
      <c r="LJX61" s="235" t="s">
        <v>1410</v>
      </c>
      <c r="LJY61" s="235" t="s">
        <v>1411</v>
      </c>
      <c r="LJZ61" s="235" t="s">
        <v>388</v>
      </c>
      <c r="LKA61" s="237" t="s">
        <v>727</v>
      </c>
      <c r="LKB61" s="237" t="s">
        <v>221</v>
      </c>
      <c r="LKC61" s="235" t="s">
        <v>2</v>
      </c>
      <c r="LKD61" s="235" t="s">
        <v>3</v>
      </c>
      <c r="LKE61" s="235" t="s">
        <v>618</v>
      </c>
      <c r="LKF61" s="235" t="s">
        <v>1410</v>
      </c>
      <c r="LKG61" s="235" t="s">
        <v>1411</v>
      </c>
      <c r="LKH61" s="235" t="s">
        <v>388</v>
      </c>
      <c r="LKI61" s="237" t="s">
        <v>727</v>
      </c>
      <c r="LKJ61" s="237" t="s">
        <v>221</v>
      </c>
      <c r="LKK61" s="235" t="s">
        <v>2</v>
      </c>
      <c r="LKL61" s="235" t="s">
        <v>3</v>
      </c>
      <c r="LKM61" s="235" t="s">
        <v>618</v>
      </c>
      <c r="LKN61" s="235" t="s">
        <v>1410</v>
      </c>
      <c r="LKO61" s="235" t="s">
        <v>1411</v>
      </c>
      <c r="LKP61" s="235" t="s">
        <v>388</v>
      </c>
      <c r="LKQ61" s="237" t="s">
        <v>727</v>
      </c>
      <c r="LKR61" s="237" t="s">
        <v>221</v>
      </c>
      <c r="LKS61" s="235" t="s">
        <v>2</v>
      </c>
      <c r="LKT61" s="235" t="s">
        <v>3</v>
      </c>
      <c r="LKU61" s="235" t="s">
        <v>618</v>
      </c>
      <c r="LKV61" s="235" t="s">
        <v>1410</v>
      </c>
      <c r="LKW61" s="235" t="s">
        <v>1411</v>
      </c>
      <c r="LKX61" s="235" t="s">
        <v>388</v>
      </c>
      <c r="LKY61" s="237" t="s">
        <v>727</v>
      </c>
      <c r="LKZ61" s="237" t="s">
        <v>221</v>
      </c>
      <c r="LLA61" s="235" t="s">
        <v>2</v>
      </c>
      <c r="LLB61" s="235" t="s">
        <v>3</v>
      </c>
      <c r="LLC61" s="235" t="s">
        <v>618</v>
      </c>
      <c r="LLD61" s="235" t="s">
        <v>1410</v>
      </c>
      <c r="LLE61" s="235" t="s">
        <v>1411</v>
      </c>
      <c r="LLF61" s="235" t="s">
        <v>388</v>
      </c>
      <c r="LLG61" s="237" t="s">
        <v>727</v>
      </c>
      <c r="LLH61" s="237" t="s">
        <v>221</v>
      </c>
      <c r="LLI61" s="235" t="s">
        <v>2</v>
      </c>
      <c r="LLJ61" s="235" t="s">
        <v>3</v>
      </c>
      <c r="LLK61" s="235" t="s">
        <v>618</v>
      </c>
      <c r="LLL61" s="235" t="s">
        <v>1410</v>
      </c>
      <c r="LLM61" s="235" t="s">
        <v>1411</v>
      </c>
      <c r="LLN61" s="235" t="s">
        <v>388</v>
      </c>
      <c r="LLO61" s="237" t="s">
        <v>727</v>
      </c>
      <c r="LLP61" s="237" t="s">
        <v>221</v>
      </c>
      <c r="LLQ61" s="235" t="s">
        <v>2</v>
      </c>
      <c r="LLR61" s="235" t="s">
        <v>3</v>
      </c>
      <c r="LLS61" s="235" t="s">
        <v>618</v>
      </c>
      <c r="LLT61" s="235" t="s">
        <v>1410</v>
      </c>
      <c r="LLU61" s="235" t="s">
        <v>1411</v>
      </c>
      <c r="LLV61" s="235" t="s">
        <v>388</v>
      </c>
      <c r="LLW61" s="237" t="s">
        <v>727</v>
      </c>
      <c r="LLX61" s="237" t="s">
        <v>221</v>
      </c>
      <c r="LLY61" s="235" t="s">
        <v>2</v>
      </c>
      <c r="LLZ61" s="235" t="s">
        <v>3</v>
      </c>
      <c r="LMA61" s="235" t="s">
        <v>618</v>
      </c>
      <c r="LMB61" s="235" t="s">
        <v>1410</v>
      </c>
      <c r="LMC61" s="235" t="s">
        <v>1411</v>
      </c>
      <c r="LMD61" s="235" t="s">
        <v>388</v>
      </c>
      <c r="LME61" s="237" t="s">
        <v>727</v>
      </c>
      <c r="LMF61" s="237" t="s">
        <v>221</v>
      </c>
      <c r="LMG61" s="235" t="s">
        <v>2</v>
      </c>
      <c r="LMH61" s="235" t="s">
        <v>3</v>
      </c>
      <c r="LMI61" s="235" t="s">
        <v>618</v>
      </c>
      <c r="LMJ61" s="235" t="s">
        <v>1410</v>
      </c>
      <c r="LMK61" s="235" t="s">
        <v>1411</v>
      </c>
      <c r="LML61" s="235" t="s">
        <v>388</v>
      </c>
      <c r="LMM61" s="237" t="s">
        <v>727</v>
      </c>
      <c r="LMN61" s="237" t="s">
        <v>221</v>
      </c>
      <c r="LMO61" s="235" t="s">
        <v>2</v>
      </c>
      <c r="LMP61" s="235" t="s">
        <v>3</v>
      </c>
      <c r="LMQ61" s="235" t="s">
        <v>618</v>
      </c>
      <c r="LMR61" s="235" t="s">
        <v>1410</v>
      </c>
      <c r="LMS61" s="235" t="s">
        <v>1411</v>
      </c>
      <c r="LMT61" s="235" t="s">
        <v>388</v>
      </c>
      <c r="LMU61" s="237" t="s">
        <v>727</v>
      </c>
      <c r="LMV61" s="237" t="s">
        <v>221</v>
      </c>
      <c r="LMW61" s="235" t="s">
        <v>2</v>
      </c>
      <c r="LMX61" s="235" t="s">
        <v>3</v>
      </c>
      <c r="LMY61" s="235" t="s">
        <v>618</v>
      </c>
      <c r="LMZ61" s="235" t="s">
        <v>1410</v>
      </c>
      <c r="LNA61" s="235" t="s">
        <v>1411</v>
      </c>
      <c r="LNB61" s="235" t="s">
        <v>388</v>
      </c>
      <c r="LNC61" s="237" t="s">
        <v>727</v>
      </c>
      <c r="LND61" s="237" t="s">
        <v>221</v>
      </c>
      <c r="LNE61" s="235" t="s">
        <v>2</v>
      </c>
      <c r="LNF61" s="235" t="s">
        <v>3</v>
      </c>
      <c r="LNG61" s="235" t="s">
        <v>618</v>
      </c>
      <c r="LNH61" s="235" t="s">
        <v>1410</v>
      </c>
      <c r="LNI61" s="235" t="s">
        <v>1411</v>
      </c>
      <c r="LNJ61" s="235" t="s">
        <v>388</v>
      </c>
      <c r="LNK61" s="237" t="s">
        <v>727</v>
      </c>
      <c r="LNL61" s="237" t="s">
        <v>221</v>
      </c>
      <c r="LNM61" s="235" t="s">
        <v>2</v>
      </c>
      <c r="LNN61" s="235" t="s">
        <v>3</v>
      </c>
      <c r="LNO61" s="235" t="s">
        <v>618</v>
      </c>
      <c r="LNP61" s="235" t="s">
        <v>1410</v>
      </c>
      <c r="LNQ61" s="235" t="s">
        <v>1411</v>
      </c>
      <c r="LNR61" s="235" t="s">
        <v>388</v>
      </c>
      <c r="LNS61" s="237" t="s">
        <v>727</v>
      </c>
      <c r="LNT61" s="237" t="s">
        <v>221</v>
      </c>
      <c r="LNU61" s="235" t="s">
        <v>2</v>
      </c>
      <c r="LNV61" s="235" t="s">
        <v>3</v>
      </c>
      <c r="LNW61" s="235" t="s">
        <v>618</v>
      </c>
      <c r="LNX61" s="235" t="s">
        <v>1410</v>
      </c>
      <c r="LNY61" s="235" t="s">
        <v>1411</v>
      </c>
      <c r="LNZ61" s="235" t="s">
        <v>388</v>
      </c>
      <c r="LOA61" s="237" t="s">
        <v>727</v>
      </c>
      <c r="LOB61" s="237" t="s">
        <v>221</v>
      </c>
      <c r="LOC61" s="235" t="s">
        <v>2</v>
      </c>
      <c r="LOD61" s="235" t="s">
        <v>3</v>
      </c>
      <c r="LOE61" s="235" t="s">
        <v>618</v>
      </c>
      <c r="LOF61" s="235" t="s">
        <v>1410</v>
      </c>
      <c r="LOG61" s="235" t="s">
        <v>1411</v>
      </c>
      <c r="LOH61" s="235" t="s">
        <v>388</v>
      </c>
      <c r="LOI61" s="237" t="s">
        <v>727</v>
      </c>
      <c r="LOJ61" s="237" t="s">
        <v>221</v>
      </c>
      <c r="LOK61" s="235" t="s">
        <v>2</v>
      </c>
      <c r="LOL61" s="235" t="s">
        <v>3</v>
      </c>
      <c r="LOM61" s="235" t="s">
        <v>618</v>
      </c>
      <c r="LON61" s="235" t="s">
        <v>1410</v>
      </c>
      <c r="LOO61" s="235" t="s">
        <v>1411</v>
      </c>
      <c r="LOP61" s="235" t="s">
        <v>388</v>
      </c>
      <c r="LOQ61" s="237" t="s">
        <v>727</v>
      </c>
      <c r="LOR61" s="237" t="s">
        <v>221</v>
      </c>
      <c r="LOS61" s="235" t="s">
        <v>2</v>
      </c>
      <c r="LOT61" s="235" t="s">
        <v>3</v>
      </c>
      <c r="LOU61" s="235" t="s">
        <v>618</v>
      </c>
      <c r="LOV61" s="235" t="s">
        <v>1410</v>
      </c>
      <c r="LOW61" s="235" t="s">
        <v>1411</v>
      </c>
      <c r="LOX61" s="235" t="s">
        <v>388</v>
      </c>
      <c r="LOY61" s="237" t="s">
        <v>727</v>
      </c>
      <c r="LOZ61" s="237" t="s">
        <v>221</v>
      </c>
      <c r="LPA61" s="235" t="s">
        <v>2</v>
      </c>
      <c r="LPB61" s="235" t="s">
        <v>3</v>
      </c>
      <c r="LPC61" s="235" t="s">
        <v>618</v>
      </c>
      <c r="LPD61" s="235" t="s">
        <v>1410</v>
      </c>
      <c r="LPE61" s="235" t="s">
        <v>1411</v>
      </c>
      <c r="LPF61" s="235" t="s">
        <v>388</v>
      </c>
      <c r="LPG61" s="237" t="s">
        <v>727</v>
      </c>
      <c r="LPH61" s="237" t="s">
        <v>221</v>
      </c>
      <c r="LPI61" s="235" t="s">
        <v>2</v>
      </c>
      <c r="LPJ61" s="235" t="s">
        <v>3</v>
      </c>
      <c r="LPK61" s="235" t="s">
        <v>618</v>
      </c>
      <c r="LPL61" s="235" t="s">
        <v>1410</v>
      </c>
      <c r="LPM61" s="235" t="s">
        <v>1411</v>
      </c>
      <c r="LPN61" s="235" t="s">
        <v>388</v>
      </c>
      <c r="LPO61" s="237" t="s">
        <v>727</v>
      </c>
      <c r="LPP61" s="237" t="s">
        <v>221</v>
      </c>
      <c r="LPQ61" s="235" t="s">
        <v>2</v>
      </c>
      <c r="LPR61" s="235" t="s">
        <v>3</v>
      </c>
      <c r="LPS61" s="235" t="s">
        <v>618</v>
      </c>
      <c r="LPT61" s="235" t="s">
        <v>1410</v>
      </c>
      <c r="LPU61" s="235" t="s">
        <v>1411</v>
      </c>
      <c r="LPV61" s="235" t="s">
        <v>388</v>
      </c>
      <c r="LPW61" s="237" t="s">
        <v>727</v>
      </c>
      <c r="LPX61" s="237" t="s">
        <v>221</v>
      </c>
      <c r="LPY61" s="235" t="s">
        <v>2</v>
      </c>
      <c r="LPZ61" s="235" t="s">
        <v>3</v>
      </c>
      <c r="LQA61" s="235" t="s">
        <v>618</v>
      </c>
      <c r="LQB61" s="235" t="s">
        <v>1410</v>
      </c>
      <c r="LQC61" s="235" t="s">
        <v>1411</v>
      </c>
      <c r="LQD61" s="235" t="s">
        <v>388</v>
      </c>
      <c r="LQE61" s="237" t="s">
        <v>727</v>
      </c>
      <c r="LQF61" s="237" t="s">
        <v>221</v>
      </c>
      <c r="LQG61" s="235" t="s">
        <v>2</v>
      </c>
      <c r="LQH61" s="235" t="s">
        <v>3</v>
      </c>
      <c r="LQI61" s="235" t="s">
        <v>618</v>
      </c>
      <c r="LQJ61" s="235" t="s">
        <v>1410</v>
      </c>
      <c r="LQK61" s="235" t="s">
        <v>1411</v>
      </c>
      <c r="LQL61" s="235" t="s">
        <v>388</v>
      </c>
      <c r="LQM61" s="237" t="s">
        <v>727</v>
      </c>
      <c r="LQN61" s="237" t="s">
        <v>221</v>
      </c>
      <c r="LQO61" s="235" t="s">
        <v>2</v>
      </c>
      <c r="LQP61" s="235" t="s">
        <v>3</v>
      </c>
      <c r="LQQ61" s="235" t="s">
        <v>618</v>
      </c>
      <c r="LQR61" s="235" t="s">
        <v>1410</v>
      </c>
      <c r="LQS61" s="235" t="s">
        <v>1411</v>
      </c>
      <c r="LQT61" s="235" t="s">
        <v>388</v>
      </c>
      <c r="LQU61" s="237" t="s">
        <v>727</v>
      </c>
      <c r="LQV61" s="237" t="s">
        <v>221</v>
      </c>
      <c r="LQW61" s="235" t="s">
        <v>2</v>
      </c>
      <c r="LQX61" s="235" t="s">
        <v>3</v>
      </c>
      <c r="LQY61" s="235" t="s">
        <v>618</v>
      </c>
      <c r="LQZ61" s="235" t="s">
        <v>1410</v>
      </c>
      <c r="LRA61" s="235" t="s">
        <v>1411</v>
      </c>
      <c r="LRB61" s="235" t="s">
        <v>388</v>
      </c>
      <c r="LRC61" s="237" t="s">
        <v>727</v>
      </c>
      <c r="LRD61" s="237" t="s">
        <v>221</v>
      </c>
      <c r="LRE61" s="235" t="s">
        <v>2</v>
      </c>
      <c r="LRF61" s="235" t="s">
        <v>3</v>
      </c>
      <c r="LRG61" s="235" t="s">
        <v>618</v>
      </c>
      <c r="LRH61" s="235" t="s">
        <v>1410</v>
      </c>
      <c r="LRI61" s="235" t="s">
        <v>1411</v>
      </c>
      <c r="LRJ61" s="235" t="s">
        <v>388</v>
      </c>
      <c r="LRK61" s="237" t="s">
        <v>727</v>
      </c>
      <c r="LRL61" s="237" t="s">
        <v>221</v>
      </c>
      <c r="LRM61" s="235" t="s">
        <v>2</v>
      </c>
      <c r="LRN61" s="235" t="s">
        <v>3</v>
      </c>
      <c r="LRO61" s="235" t="s">
        <v>618</v>
      </c>
      <c r="LRP61" s="235" t="s">
        <v>1410</v>
      </c>
      <c r="LRQ61" s="235" t="s">
        <v>1411</v>
      </c>
      <c r="LRR61" s="235" t="s">
        <v>388</v>
      </c>
      <c r="LRS61" s="237" t="s">
        <v>727</v>
      </c>
      <c r="LRT61" s="237" t="s">
        <v>221</v>
      </c>
      <c r="LRU61" s="235" t="s">
        <v>2</v>
      </c>
      <c r="LRV61" s="235" t="s">
        <v>3</v>
      </c>
      <c r="LRW61" s="235" t="s">
        <v>618</v>
      </c>
      <c r="LRX61" s="235" t="s">
        <v>1410</v>
      </c>
      <c r="LRY61" s="235" t="s">
        <v>1411</v>
      </c>
      <c r="LRZ61" s="235" t="s">
        <v>388</v>
      </c>
      <c r="LSA61" s="237" t="s">
        <v>727</v>
      </c>
      <c r="LSB61" s="237" t="s">
        <v>221</v>
      </c>
      <c r="LSC61" s="235" t="s">
        <v>2</v>
      </c>
      <c r="LSD61" s="235" t="s">
        <v>3</v>
      </c>
      <c r="LSE61" s="235" t="s">
        <v>618</v>
      </c>
      <c r="LSF61" s="235" t="s">
        <v>1410</v>
      </c>
      <c r="LSG61" s="235" t="s">
        <v>1411</v>
      </c>
      <c r="LSH61" s="235" t="s">
        <v>388</v>
      </c>
      <c r="LSI61" s="237" t="s">
        <v>727</v>
      </c>
      <c r="LSJ61" s="237" t="s">
        <v>221</v>
      </c>
      <c r="LSK61" s="235" t="s">
        <v>2</v>
      </c>
      <c r="LSL61" s="235" t="s">
        <v>3</v>
      </c>
      <c r="LSM61" s="235" t="s">
        <v>618</v>
      </c>
      <c r="LSN61" s="235" t="s">
        <v>1410</v>
      </c>
      <c r="LSO61" s="235" t="s">
        <v>1411</v>
      </c>
      <c r="LSP61" s="235" t="s">
        <v>388</v>
      </c>
      <c r="LSQ61" s="237" t="s">
        <v>727</v>
      </c>
      <c r="LSR61" s="237" t="s">
        <v>221</v>
      </c>
      <c r="LSS61" s="235" t="s">
        <v>2</v>
      </c>
      <c r="LST61" s="235" t="s">
        <v>3</v>
      </c>
      <c r="LSU61" s="235" t="s">
        <v>618</v>
      </c>
      <c r="LSV61" s="235" t="s">
        <v>1410</v>
      </c>
      <c r="LSW61" s="235" t="s">
        <v>1411</v>
      </c>
      <c r="LSX61" s="235" t="s">
        <v>388</v>
      </c>
      <c r="LSY61" s="237" t="s">
        <v>727</v>
      </c>
      <c r="LSZ61" s="237" t="s">
        <v>221</v>
      </c>
      <c r="LTA61" s="235" t="s">
        <v>2</v>
      </c>
      <c r="LTB61" s="235" t="s">
        <v>3</v>
      </c>
      <c r="LTC61" s="235" t="s">
        <v>618</v>
      </c>
      <c r="LTD61" s="235" t="s">
        <v>1410</v>
      </c>
      <c r="LTE61" s="235" t="s">
        <v>1411</v>
      </c>
      <c r="LTF61" s="235" t="s">
        <v>388</v>
      </c>
      <c r="LTG61" s="237" t="s">
        <v>727</v>
      </c>
      <c r="LTH61" s="237" t="s">
        <v>221</v>
      </c>
      <c r="LTI61" s="235" t="s">
        <v>2</v>
      </c>
      <c r="LTJ61" s="235" t="s">
        <v>3</v>
      </c>
      <c r="LTK61" s="235" t="s">
        <v>618</v>
      </c>
      <c r="LTL61" s="235" t="s">
        <v>1410</v>
      </c>
      <c r="LTM61" s="235" t="s">
        <v>1411</v>
      </c>
      <c r="LTN61" s="235" t="s">
        <v>388</v>
      </c>
      <c r="LTO61" s="237" t="s">
        <v>727</v>
      </c>
      <c r="LTP61" s="237" t="s">
        <v>221</v>
      </c>
      <c r="LTQ61" s="235" t="s">
        <v>2</v>
      </c>
      <c r="LTR61" s="235" t="s">
        <v>3</v>
      </c>
      <c r="LTS61" s="235" t="s">
        <v>618</v>
      </c>
      <c r="LTT61" s="235" t="s">
        <v>1410</v>
      </c>
      <c r="LTU61" s="235" t="s">
        <v>1411</v>
      </c>
      <c r="LTV61" s="235" t="s">
        <v>388</v>
      </c>
      <c r="LTW61" s="237" t="s">
        <v>727</v>
      </c>
      <c r="LTX61" s="237" t="s">
        <v>221</v>
      </c>
      <c r="LTY61" s="235" t="s">
        <v>2</v>
      </c>
      <c r="LTZ61" s="235" t="s">
        <v>3</v>
      </c>
      <c r="LUA61" s="235" t="s">
        <v>618</v>
      </c>
      <c r="LUB61" s="235" t="s">
        <v>1410</v>
      </c>
      <c r="LUC61" s="235" t="s">
        <v>1411</v>
      </c>
      <c r="LUD61" s="235" t="s">
        <v>388</v>
      </c>
      <c r="LUE61" s="237" t="s">
        <v>727</v>
      </c>
      <c r="LUF61" s="237" t="s">
        <v>221</v>
      </c>
      <c r="LUG61" s="235" t="s">
        <v>2</v>
      </c>
      <c r="LUH61" s="235" t="s">
        <v>3</v>
      </c>
      <c r="LUI61" s="235" t="s">
        <v>618</v>
      </c>
      <c r="LUJ61" s="235" t="s">
        <v>1410</v>
      </c>
      <c r="LUK61" s="235" t="s">
        <v>1411</v>
      </c>
      <c r="LUL61" s="235" t="s">
        <v>388</v>
      </c>
      <c r="LUM61" s="237" t="s">
        <v>727</v>
      </c>
      <c r="LUN61" s="237" t="s">
        <v>221</v>
      </c>
      <c r="LUO61" s="235" t="s">
        <v>2</v>
      </c>
      <c r="LUP61" s="235" t="s">
        <v>3</v>
      </c>
      <c r="LUQ61" s="235" t="s">
        <v>618</v>
      </c>
      <c r="LUR61" s="235" t="s">
        <v>1410</v>
      </c>
      <c r="LUS61" s="235" t="s">
        <v>1411</v>
      </c>
      <c r="LUT61" s="235" t="s">
        <v>388</v>
      </c>
      <c r="LUU61" s="237" t="s">
        <v>727</v>
      </c>
      <c r="LUV61" s="237" t="s">
        <v>221</v>
      </c>
      <c r="LUW61" s="235" t="s">
        <v>2</v>
      </c>
      <c r="LUX61" s="235" t="s">
        <v>3</v>
      </c>
      <c r="LUY61" s="235" t="s">
        <v>618</v>
      </c>
      <c r="LUZ61" s="235" t="s">
        <v>1410</v>
      </c>
      <c r="LVA61" s="235" t="s">
        <v>1411</v>
      </c>
      <c r="LVB61" s="235" t="s">
        <v>388</v>
      </c>
      <c r="LVC61" s="237" t="s">
        <v>727</v>
      </c>
      <c r="LVD61" s="237" t="s">
        <v>221</v>
      </c>
      <c r="LVE61" s="235" t="s">
        <v>2</v>
      </c>
      <c r="LVF61" s="235" t="s">
        <v>3</v>
      </c>
      <c r="LVG61" s="235" t="s">
        <v>618</v>
      </c>
      <c r="LVH61" s="235" t="s">
        <v>1410</v>
      </c>
      <c r="LVI61" s="235" t="s">
        <v>1411</v>
      </c>
      <c r="LVJ61" s="235" t="s">
        <v>388</v>
      </c>
      <c r="LVK61" s="237" t="s">
        <v>727</v>
      </c>
      <c r="LVL61" s="237" t="s">
        <v>221</v>
      </c>
      <c r="LVM61" s="235" t="s">
        <v>2</v>
      </c>
      <c r="LVN61" s="235" t="s">
        <v>3</v>
      </c>
      <c r="LVO61" s="235" t="s">
        <v>618</v>
      </c>
      <c r="LVP61" s="235" t="s">
        <v>1410</v>
      </c>
      <c r="LVQ61" s="235" t="s">
        <v>1411</v>
      </c>
      <c r="LVR61" s="235" t="s">
        <v>388</v>
      </c>
      <c r="LVS61" s="237" t="s">
        <v>727</v>
      </c>
      <c r="LVT61" s="237" t="s">
        <v>221</v>
      </c>
      <c r="LVU61" s="235" t="s">
        <v>2</v>
      </c>
      <c r="LVV61" s="235" t="s">
        <v>3</v>
      </c>
      <c r="LVW61" s="235" t="s">
        <v>618</v>
      </c>
      <c r="LVX61" s="235" t="s">
        <v>1410</v>
      </c>
      <c r="LVY61" s="235" t="s">
        <v>1411</v>
      </c>
      <c r="LVZ61" s="235" t="s">
        <v>388</v>
      </c>
      <c r="LWA61" s="237" t="s">
        <v>727</v>
      </c>
      <c r="LWB61" s="237" t="s">
        <v>221</v>
      </c>
      <c r="LWC61" s="235" t="s">
        <v>2</v>
      </c>
      <c r="LWD61" s="235" t="s">
        <v>3</v>
      </c>
      <c r="LWE61" s="235" t="s">
        <v>618</v>
      </c>
      <c r="LWF61" s="235" t="s">
        <v>1410</v>
      </c>
      <c r="LWG61" s="235" t="s">
        <v>1411</v>
      </c>
      <c r="LWH61" s="235" t="s">
        <v>388</v>
      </c>
      <c r="LWI61" s="237" t="s">
        <v>727</v>
      </c>
      <c r="LWJ61" s="237" t="s">
        <v>221</v>
      </c>
      <c r="LWK61" s="235" t="s">
        <v>2</v>
      </c>
      <c r="LWL61" s="235" t="s">
        <v>3</v>
      </c>
      <c r="LWM61" s="235" t="s">
        <v>618</v>
      </c>
      <c r="LWN61" s="235" t="s">
        <v>1410</v>
      </c>
      <c r="LWO61" s="235" t="s">
        <v>1411</v>
      </c>
      <c r="LWP61" s="235" t="s">
        <v>388</v>
      </c>
      <c r="LWQ61" s="237" t="s">
        <v>727</v>
      </c>
      <c r="LWR61" s="237" t="s">
        <v>221</v>
      </c>
      <c r="LWS61" s="235" t="s">
        <v>2</v>
      </c>
      <c r="LWT61" s="235" t="s">
        <v>3</v>
      </c>
      <c r="LWU61" s="235" t="s">
        <v>618</v>
      </c>
      <c r="LWV61" s="235" t="s">
        <v>1410</v>
      </c>
      <c r="LWW61" s="235" t="s">
        <v>1411</v>
      </c>
      <c r="LWX61" s="235" t="s">
        <v>388</v>
      </c>
      <c r="LWY61" s="237" t="s">
        <v>727</v>
      </c>
      <c r="LWZ61" s="237" t="s">
        <v>221</v>
      </c>
      <c r="LXA61" s="235" t="s">
        <v>2</v>
      </c>
      <c r="LXB61" s="235" t="s">
        <v>3</v>
      </c>
      <c r="LXC61" s="235" t="s">
        <v>618</v>
      </c>
      <c r="LXD61" s="235" t="s">
        <v>1410</v>
      </c>
      <c r="LXE61" s="235" t="s">
        <v>1411</v>
      </c>
      <c r="LXF61" s="235" t="s">
        <v>388</v>
      </c>
      <c r="LXG61" s="237" t="s">
        <v>727</v>
      </c>
      <c r="LXH61" s="237" t="s">
        <v>221</v>
      </c>
      <c r="LXI61" s="235" t="s">
        <v>2</v>
      </c>
      <c r="LXJ61" s="235" t="s">
        <v>3</v>
      </c>
      <c r="LXK61" s="235" t="s">
        <v>618</v>
      </c>
      <c r="LXL61" s="235" t="s">
        <v>1410</v>
      </c>
      <c r="LXM61" s="235" t="s">
        <v>1411</v>
      </c>
      <c r="LXN61" s="235" t="s">
        <v>388</v>
      </c>
      <c r="LXO61" s="237" t="s">
        <v>727</v>
      </c>
      <c r="LXP61" s="237" t="s">
        <v>221</v>
      </c>
      <c r="LXQ61" s="235" t="s">
        <v>2</v>
      </c>
      <c r="LXR61" s="235" t="s">
        <v>3</v>
      </c>
      <c r="LXS61" s="235" t="s">
        <v>618</v>
      </c>
      <c r="LXT61" s="235" t="s">
        <v>1410</v>
      </c>
      <c r="LXU61" s="235" t="s">
        <v>1411</v>
      </c>
      <c r="LXV61" s="235" t="s">
        <v>388</v>
      </c>
      <c r="LXW61" s="237" t="s">
        <v>727</v>
      </c>
      <c r="LXX61" s="237" t="s">
        <v>221</v>
      </c>
      <c r="LXY61" s="235" t="s">
        <v>2</v>
      </c>
      <c r="LXZ61" s="235" t="s">
        <v>3</v>
      </c>
      <c r="LYA61" s="235" t="s">
        <v>618</v>
      </c>
      <c r="LYB61" s="235" t="s">
        <v>1410</v>
      </c>
      <c r="LYC61" s="235" t="s">
        <v>1411</v>
      </c>
      <c r="LYD61" s="235" t="s">
        <v>388</v>
      </c>
      <c r="LYE61" s="237" t="s">
        <v>727</v>
      </c>
      <c r="LYF61" s="237" t="s">
        <v>221</v>
      </c>
      <c r="LYG61" s="235" t="s">
        <v>2</v>
      </c>
      <c r="LYH61" s="235" t="s">
        <v>3</v>
      </c>
      <c r="LYI61" s="235" t="s">
        <v>618</v>
      </c>
      <c r="LYJ61" s="235" t="s">
        <v>1410</v>
      </c>
      <c r="LYK61" s="235" t="s">
        <v>1411</v>
      </c>
      <c r="LYL61" s="235" t="s">
        <v>388</v>
      </c>
      <c r="LYM61" s="237" t="s">
        <v>727</v>
      </c>
      <c r="LYN61" s="237" t="s">
        <v>221</v>
      </c>
      <c r="LYO61" s="235" t="s">
        <v>2</v>
      </c>
      <c r="LYP61" s="235" t="s">
        <v>3</v>
      </c>
      <c r="LYQ61" s="235" t="s">
        <v>618</v>
      </c>
      <c r="LYR61" s="235" t="s">
        <v>1410</v>
      </c>
      <c r="LYS61" s="235" t="s">
        <v>1411</v>
      </c>
      <c r="LYT61" s="235" t="s">
        <v>388</v>
      </c>
      <c r="LYU61" s="237" t="s">
        <v>727</v>
      </c>
      <c r="LYV61" s="237" t="s">
        <v>221</v>
      </c>
      <c r="LYW61" s="235" t="s">
        <v>2</v>
      </c>
      <c r="LYX61" s="235" t="s">
        <v>3</v>
      </c>
      <c r="LYY61" s="235" t="s">
        <v>618</v>
      </c>
      <c r="LYZ61" s="235" t="s">
        <v>1410</v>
      </c>
      <c r="LZA61" s="235" t="s">
        <v>1411</v>
      </c>
      <c r="LZB61" s="235" t="s">
        <v>388</v>
      </c>
      <c r="LZC61" s="237" t="s">
        <v>727</v>
      </c>
      <c r="LZD61" s="237" t="s">
        <v>221</v>
      </c>
      <c r="LZE61" s="235" t="s">
        <v>2</v>
      </c>
      <c r="LZF61" s="235" t="s">
        <v>3</v>
      </c>
      <c r="LZG61" s="235" t="s">
        <v>618</v>
      </c>
      <c r="LZH61" s="235" t="s">
        <v>1410</v>
      </c>
      <c r="LZI61" s="235" t="s">
        <v>1411</v>
      </c>
      <c r="LZJ61" s="235" t="s">
        <v>388</v>
      </c>
      <c r="LZK61" s="237" t="s">
        <v>727</v>
      </c>
      <c r="LZL61" s="237" t="s">
        <v>221</v>
      </c>
      <c r="LZM61" s="235" t="s">
        <v>2</v>
      </c>
      <c r="LZN61" s="235" t="s">
        <v>3</v>
      </c>
      <c r="LZO61" s="235" t="s">
        <v>618</v>
      </c>
      <c r="LZP61" s="235" t="s">
        <v>1410</v>
      </c>
      <c r="LZQ61" s="235" t="s">
        <v>1411</v>
      </c>
      <c r="LZR61" s="235" t="s">
        <v>388</v>
      </c>
      <c r="LZS61" s="237" t="s">
        <v>727</v>
      </c>
      <c r="LZT61" s="237" t="s">
        <v>221</v>
      </c>
      <c r="LZU61" s="235" t="s">
        <v>2</v>
      </c>
      <c r="LZV61" s="235" t="s">
        <v>3</v>
      </c>
      <c r="LZW61" s="235" t="s">
        <v>618</v>
      </c>
      <c r="LZX61" s="235" t="s">
        <v>1410</v>
      </c>
      <c r="LZY61" s="235" t="s">
        <v>1411</v>
      </c>
      <c r="LZZ61" s="235" t="s">
        <v>388</v>
      </c>
      <c r="MAA61" s="237" t="s">
        <v>727</v>
      </c>
      <c r="MAB61" s="237" t="s">
        <v>221</v>
      </c>
      <c r="MAC61" s="235" t="s">
        <v>2</v>
      </c>
      <c r="MAD61" s="235" t="s">
        <v>3</v>
      </c>
      <c r="MAE61" s="235" t="s">
        <v>618</v>
      </c>
      <c r="MAF61" s="235" t="s">
        <v>1410</v>
      </c>
      <c r="MAG61" s="235" t="s">
        <v>1411</v>
      </c>
      <c r="MAH61" s="235" t="s">
        <v>388</v>
      </c>
      <c r="MAI61" s="237" t="s">
        <v>727</v>
      </c>
      <c r="MAJ61" s="237" t="s">
        <v>221</v>
      </c>
      <c r="MAK61" s="235" t="s">
        <v>2</v>
      </c>
      <c r="MAL61" s="235" t="s">
        <v>3</v>
      </c>
      <c r="MAM61" s="235" t="s">
        <v>618</v>
      </c>
      <c r="MAN61" s="235" t="s">
        <v>1410</v>
      </c>
      <c r="MAO61" s="235" t="s">
        <v>1411</v>
      </c>
      <c r="MAP61" s="235" t="s">
        <v>388</v>
      </c>
      <c r="MAQ61" s="237" t="s">
        <v>727</v>
      </c>
      <c r="MAR61" s="237" t="s">
        <v>221</v>
      </c>
      <c r="MAS61" s="235" t="s">
        <v>2</v>
      </c>
      <c r="MAT61" s="235" t="s">
        <v>3</v>
      </c>
      <c r="MAU61" s="235" t="s">
        <v>618</v>
      </c>
      <c r="MAV61" s="235" t="s">
        <v>1410</v>
      </c>
      <c r="MAW61" s="235" t="s">
        <v>1411</v>
      </c>
      <c r="MAX61" s="235" t="s">
        <v>388</v>
      </c>
      <c r="MAY61" s="237" t="s">
        <v>727</v>
      </c>
      <c r="MAZ61" s="237" t="s">
        <v>221</v>
      </c>
      <c r="MBA61" s="235" t="s">
        <v>2</v>
      </c>
      <c r="MBB61" s="235" t="s">
        <v>3</v>
      </c>
      <c r="MBC61" s="235" t="s">
        <v>618</v>
      </c>
      <c r="MBD61" s="235" t="s">
        <v>1410</v>
      </c>
      <c r="MBE61" s="235" t="s">
        <v>1411</v>
      </c>
      <c r="MBF61" s="235" t="s">
        <v>388</v>
      </c>
      <c r="MBG61" s="237" t="s">
        <v>727</v>
      </c>
      <c r="MBH61" s="237" t="s">
        <v>221</v>
      </c>
      <c r="MBI61" s="235" t="s">
        <v>2</v>
      </c>
      <c r="MBJ61" s="235" t="s">
        <v>3</v>
      </c>
      <c r="MBK61" s="235" t="s">
        <v>618</v>
      </c>
      <c r="MBL61" s="235" t="s">
        <v>1410</v>
      </c>
      <c r="MBM61" s="235" t="s">
        <v>1411</v>
      </c>
      <c r="MBN61" s="235" t="s">
        <v>388</v>
      </c>
      <c r="MBO61" s="237" t="s">
        <v>727</v>
      </c>
      <c r="MBP61" s="237" t="s">
        <v>221</v>
      </c>
      <c r="MBQ61" s="235" t="s">
        <v>2</v>
      </c>
      <c r="MBR61" s="235" t="s">
        <v>3</v>
      </c>
      <c r="MBS61" s="235" t="s">
        <v>618</v>
      </c>
      <c r="MBT61" s="235" t="s">
        <v>1410</v>
      </c>
      <c r="MBU61" s="235" t="s">
        <v>1411</v>
      </c>
      <c r="MBV61" s="235" t="s">
        <v>388</v>
      </c>
      <c r="MBW61" s="237" t="s">
        <v>727</v>
      </c>
      <c r="MBX61" s="237" t="s">
        <v>221</v>
      </c>
      <c r="MBY61" s="235" t="s">
        <v>2</v>
      </c>
      <c r="MBZ61" s="235" t="s">
        <v>3</v>
      </c>
      <c r="MCA61" s="235" t="s">
        <v>618</v>
      </c>
      <c r="MCB61" s="235" t="s">
        <v>1410</v>
      </c>
      <c r="MCC61" s="235" t="s">
        <v>1411</v>
      </c>
      <c r="MCD61" s="235" t="s">
        <v>388</v>
      </c>
      <c r="MCE61" s="237" t="s">
        <v>727</v>
      </c>
      <c r="MCF61" s="237" t="s">
        <v>221</v>
      </c>
      <c r="MCG61" s="235" t="s">
        <v>2</v>
      </c>
      <c r="MCH61" s="235" t="s">
        <v>3</v>
      </c>
      <c r="MCI61" s="235" t="s">
        <v>618</v>
      </c>
      <c r="MCJ61" s="235" t="s">
        <v>1410</v>
      </c>
      <c r="MCK61" s="235" t="s">
        <v>1411</v>
      </c>
      <c r="MCL61" s="235" t="s">
        <v>388</v>
      </c>
      <c r="MCM61" s="237" t="s">
        <v>727</v>
      </c>
      <c r="MCN61" s="237" t="s">
        <v>221</v>
      </c>
      <c r="MCO61" s="235" t="s">
        <v>2</v>
      </c>
      <c r="MCP61" s="235" t="s">
        <v>3</v>
      </c>
      <c r="MCQ61" s="235" t="s">
        <v>618</v>
      </c>
      <c r="MCR61" s="235" t="s">
        <v>1410</v>
      </c>
      <c r="MCS61" s="235" t="s">
        <v>1411</v>
      </c>
      <c r="MCT61" s="235" t="s">
        <v>388</v>
      </c>
      <c r="MCU61" s="237" t="s">
        <v>727</v>
      </c>
      <c r="MCV61" s="237" t="s">
        <v>221</v>
      </c>
      <c r="MCW61" s="235" t="s">
        <v>2</v>
      </c>
      <c r="MCX61" s="235" t="s">
        <v>3</v>
      </c>
      <c r="MCY61" s="235" t="s">
        <v>618</v>
      </c>
      <c r="MCZ61" s="235" t="s">
        <v>1410</v>
      </c>
      <c r="MDA61" s="235" t="s">
        <v>1411</v>
      </c>
      <c r="MDB61" s="235" t="s">
        <v>388</v>
      </c>
      <c r="MDC61" s="237" t="s">
        <v>727</v>
      </c>
      <c r="MDD61" s="237" t="s">
        <v>221</v>
      </c>
      <c r="MDE61" s="235" t="s">
        <v>2</v>
      </c>
      <c r="MDF61" s="235" t="s">
        <v>3</v>
      </c>
      <c r="MDG61" s="235" t="s">
        <v>618</v>
      </c>
      <c r="MDH61" s="235" t="s">
        <v>1410</v>
      </c>
      <c r="MDI61" s="235" t="s">
        <v>1411</v>
      </c>
      <c r="MDJ61" s="235" t="s">
        <v>388</v>
      </c>
      <c r="MDK61" s="237" t="s">
        <v>727</v>
      </c>
      <c r="MDL61" s="237" t="s">
        <v>221</v>
      </c>
      <c r="MDM61" s="235" t="s">
        <v>2</v>
      </c>
      <c r="MDN61" s="235" t="s">
        <v>3</v>
      </c>
      <c r="MDO61" s="235" t="s">
        <v>618</v>
      </c>
      <c r="MDP61" s="235" t="s">
        <v>1410</v>
      </c>
      <c r="MDQ61" s="235" t="s">
        <v>1411</v>
      </c>
      <c r="MDR61" s="235" t="s">
        <v>388</v>
      </c>
      <c r="MDS61" s="237" t="s">
        <v>727</v>
      </c>
      <c r="MDT61" s="237" t="s">
        <v>221</v>
      </c>
      <c r="MDU61" s="235" t="s">
        <v>2</v>
      </c>
      <c r="MDV61" s="235" t="s">
        <v>3</v>
      </c>
      <c r="MDW61" s="235" t="s">
        <v>618</v>
      </c>
      <c r="MDX61" s="235" t="s">
        <v>1410</v>
      </c>
      <c r="MDY61" s="235" t="s">
        <v>1411</v>
      </c>
      <c r="MDZ61" s="235" t="s">
        <v>388</v>
      </c>
      <c r="MEA61" s="237" t="s">
        <v>727</v>
      </c>
      <c r="MEB61" s="237" t="s">
        <v>221</v>
      </c>
      <c r="MEC61" s="235" t="s">
        <v>2</v>
      </c>
      <c r="MED61" s="235" t="s">
        <v>3</v>
      </c>
      <c r="MEE61" s="235" t="s">
        <v>618</v>
      </c>
      <c r="MEF61" s="235" t="s">
        <v>1410</v>
      </c>
      <c r="MEG61" s="235" t="s">
        <v>1411</v>
      </c>
      <c r="MEH61" s="235" t="s">
        <v>388</v>
      </c>
      <c r="MEI61" s="237" t="s">
        <v>727</v>
      </c>
      <c r="MEJ61" s="237" t="s">
        <v>221</v>
      </c>
      <c r="MEK61" s="235" t="s">
        <v>2</v>
      </c>
      <c r="MEL61" s="235" t="s">
        <v>3</v>
      </c>
      <c r="MEM61" s="235" t="s">
        <v>618</v>
      </c>
      <c r="MEN61" s="235" t="s">
        <v>1410</v>
      </c>
      <c r="MEO61" s="235" t="s">
        <v>1411</v>
      </c>
      <c r="MEP61" s="235" t="s">
        <v>388</v>
      </c>
      <c r="MEQ61" s="237" t="s">
        <v>727</v>
      </c>
      <c r="MER61" s="237" t="s">
        <v>221</v>
      </c>
      <c r="MES61" s="235" t="s">
        <v>2</v>
      </c>
      <c r="MET61" s="235" t="s">
        <v>3</v>
      </c>
      <c r="MEU61" s="235" t="s">
        <v>618</v>
      </c>
      <c r="MEV61" s="235" t="s">
        <v>1410</v>
      </c>
      <c r="MEW61" s="235" t="s">
        <v>1411</v>
      </c>
      <c r="MEX61" s="235" t="s">
        <v>388</v>
      </c>
      <c r="MEY61" s="237" t="s">
        <v>727</v>
      </c>
      <c r="MEZ61" s="237" t="s">
        <v>221</v>
      </c>
      <c r="MFA61" s="235" t="s">
        <v>2</v>
      </c>
      <c r="MFB61" s="235" t="s">
        <v>3</v>
      </c>
      <c r="MFC61" s="235" t="s">
        <v>618</v>
      </c>
      <c r="MFD61" s="235" t="s">
        <v>1410</v>
      </c>
      <c r="MFE61" s="235" t="s">
        <v>1411</v>
      </c>
      <c r="MFF61" s="235" t="s">
        <v>388</v>
      </c>
      <c r="MFG61" s="237" t="s">
        <v>727</v>
      </c>
      <c r="MFH61" s="237" t="s">
        <v>221</v>
      </c>
      <c r="MFI61" s="235" t="s">
        <v>2</v>
      </c>
      <c r="MFJ61" s="235" t="s">
        <v>3</v>
      </c>
      <c r="MFK61" s="235" t="s">
        <v>618</v>
      </c>
      <c r="MFL61" s="235" t="s">
        <v>1410</v>
      </c>
      <c r="MFM61" s="235" t="s">
        <v>1411</v>
      </c>
      <c r="MFN61" s="235" t="s">
        <v>388</v>
      </c>
      <c r="MFO61" s="237" t="s">
        <v>727</v>
      </c>
      <c r="MFP61" s="237" t="s">
        <v>221</v>
      </c>
      <c r="MFQ61" s="235" t="s">
        <v>2</v>
      </c>
      <c r="MFR61" s="235" t="s">
        <v>3</v>
      </c>
      <c r="MFS61" s="235" t="s">
        <v>618</v>
      </c>
      <c r="MFT61" s="235" t="s">
        <v>1410</v>
      </c>
      <c r="MFU61" s="235" t="s">
        <v>1411</v>
      </c>
      <c r="MFV61" s="235" t="s">
        <v>388</v>
      </c>
      <c r="MFW61" s="237" t="s">
        <v>727</v>
      </c>
      <c r="MFX61" s="237" t="s">
        <v>221</v>
      </c>
      <c r="MFY61" s="235" t="s">
        <v>2</v>
      </c>
      <c r="MFZ61" s="235" t="s">
        <v>3</v>
      </c>
      <c r="MGA61" s="235" t="s">
        <v>618</v>
      </c>
      <c r="MGB61" s="235" t="s">
        <v>1410</v>
      </c>
      <c r="MGC61" s="235" t="s">
        <v>1411</v>
      </c>
      <c r="MGD61" s="235" t="s">
        <v>388</v>
      </c>
      <c r="MGE61" s="237" t="s">
        <v>727</v>
      </c>
      <c r="MGF61" s="237" t="s">
        <v>221</v>
      </c>
      <c r="MGG61" s="235" t="s">
        <v>2</v>
      </c>
      <c r="MGH61" s="235" t="s">
        <v>3</v>
      </c>
      <c r="MGI61" s="235" t="s">
        <v>618</v>
      </c>
      <c r="MGJ61" s="235" t="s">
        <v>1410</v>
      </c>
      <c r="MGK61" s="235" t="s">
        <v>1411</v>
      </c>
      <c r="MGL61" s="235" t="s">
        <v>388</v>
      </c>
      <c r="MGM61" s="237" t="s">
        <v>727</v>
      </c>
      <c r="MGN61" s="237" t="s">
        <v>221</v>
      </c>
      <c r="MGO61" s="235" t="s">
        <v>2</v>
      </c>
      <c r="MGP61" s="235" t="s">
        <v>3</v>
      </c>
      <c r="MGQ61" s="235" t="s">
        <v>618</v>
      </c>
      <c r="MGR61" s="235" t="s">
        <v>1410</v>
      </c>
      <c r="MGS61" s="235" t="s">
        <v>1411</v>
      </c>
      <c r="MGT61" s="235" t="s">
        <v>388</v>
      </c>
      <c r="MGU61" s="237" t="s">
        <v>727</v>
      </c>
      <c r="MGV61" s="237" t="s">
        <v>221</v>
      </c>
      <c r="MGW61" s="235" t="s">
        <v>2</v>
      </c>
      <c r="MGX61" s="235" t="s">
        <v>3</v>
      </c>
      <c r="MGY61" s="235" t="s">
        <v>618</v>
      </c>
      <c r="MGZ61" s="235" t="s">
        <v>1410</v>
      </c>
      <c r="MHA61" s="235" t="s">
        <v>1411</v>
      </c>
      <c r="MHB61" s="235" t="s">
        <v>388</v>
      </c>
      <c r="MHC61" s="237" t="s">
        <v>727</v>
      </c>
      <c r="MHD61" s="237" t="s">
        <v>221</v>
      </c>
      <c r="MHE61" s="235" t="s">
        <v>2</v>
      </c>
      <c r="MHF61" s="235" t="s">
        <v>3</v>
      </c>
      <c r="MHG61" s="235" t="s">
        <v>618</v>
      </c>
      <c r="MHH61" s="235" t="s">
        <v>1410</v>
      </c>
      <c r="MHI61" s="235" t="s">
        <v>1411</v>
      </c>
      <c r="MHJ61" s="235" t="s">
        <v>388</v>
      </c>
      <c r="MHK61" s="237" t="s">
        <v>727</v>
      </c>
      <c r="MHL61" s="237" t="s">
        <v>221</v>
      </c>
      <c r="MHM61" s="235" t="s">
        <v>2</v>
      </c>
      <c r="MHN61" s="235" t="s">
        <v>3</v>
      </c>
      <c r="MHO61" s="235" t="s">
        <v>618</v>
      </c>
      <c r="MHP61" s="235" t="s">
        <v>1410</v>
      </c>
      <c r="MHQ61" s="235" t="s">
        <v>1411</v>
      </c>
      <c r="MHR61" s="235" t="s">
        <v>388</v>
      </c>
      <c r="MHS61" s="237" t="s">
        <v>727</v>
      </c>
      <c r="MHT61" s="237" t="s">
        <v>221</v>
      </c>
      <c r="MHU61" s="235" t="s">
        <v>2</v>
      </c>
      <c r="MHV61" s="235" t="s">
        <v>3</v>
      </c>
      <c r="MHW61" s="235" t="s">
        <v>618</v>
      </c>
      <c r="MHX61" s="235" t="s">
        <v>1410</v>
      </c>
      <c r="MHY61" s="235" t="s">
        <v>1411</v>
      </c>
      <c r="MHZ61" s="235" t="s">
        <v>388</v>
      </c>
      <c r="MIA61" s="237" t="s">
        <v>727</v>
      </c>
      <c r="MIB61" s="237" t="s">
        <v>221</v>
      </c>
      <c r="MIC61" s="235" t="s">
        <v>2</v>
      </c>
      <c r="MID61" s="235" t="s">
        <v>3</v>
      </c>
      <c r="MIE61" s="235" t="s">
        <v>618</v>
      </c>
      <c r="MIF61" s="235" t="s">
        <v>1410</v>
      </c>
      <c r="MIG61" s="235" t="s">
        <v>1411</v>
      </c>
      <c r="MIH61" s="235" t="s">
        <v>388</v>
      </c>
      <c r="MII61" s="237" t="s">
        <v>727</v>
      </c>
      <c r="MIJ61" s="237" t="s">
        <v>221</v>
      </c>
      <c r="MIK61" s="235" t="s">
        <v>2</v>
      </c>
      <c r="MIL61" s="235" t="s">
        <v>3</v>
      </c>
      <c r="MIM61" s="235" t="s">
        <v>618</v>
      </c>
      <c r="MIN61" s="235" t="s">
        <v>1410</v>
      </c>
      <c r="MIO61" s="235" t="s">
        <v>1411</v>
      </c>
      <c r="MIP61" s="235" t="s">
        <v>388</v>
      </c>
      <c r="MIQ61" s="237" t="s">
        <v>727</v>
      </c>
      <c r="MIR61" s="237" t="s">
        <v>221</v>
      </c>
      <c r="MIS61" s="235" t="s">
        <v>2</v>
      </c>
      <c r="MIT61" s="235" t="s">
        <v>3</v>
      </c>
      <c r="MIU61" s="235" t="s">
        <v>618</v>
      </c>
      <c r="MIV61" s="235" t="s">
        <v>1410</v>
      </c>
      <c r="MIW61" s="235" t="s">
        <v>1411</v>
      </c>
      <c r="MIX61" s="235" t="s">
        <v>388</v>
      </c>
      <c r="MIY61" s="237" t="s">
        <v>727</v>
      </c>
      <c r="MIZ61" s="237" t="s">
        <v>221</v>
      </c>
      <c r="MJA61" s="235" t="s">
        <v>2</v>
      </c>
      <c r="MJB61" s="235" t="s">
        <v>3</v>
      </c>
      <c r="MJC61" s="235" t="s">
        <v>618</v>
      </c>
      <c r="MJD61" s="235" t="s">
        <v>1410</v>
      </c>
      <c r="MJE61" s="235" t="s">
        <v>1411</v>
      </c>
      <c r="MJF61" s="235" t="s">
        <v>388</v>
      </c>
      <c r="MJG61" s="237" t="s">
        <v>727</v>
      </c>
      <c r="MJH61" s="237" t="s">
        <v>221</v>
      </c>
      <c r="MJI61" s="235" t="s">
        <v>2</v>
      </c>
      <c r="MJJ61" s="235" t="s">
        <v>3</v>
      </c>
      <c r="MJK61" s="235" t="s">
        <v>618</v>
      </c>
      <c r="MJL61" s="235" t="s">
        <v>1410</v>
      </c>
      <c r="MJM61" s="235" t="s">
        <v>1411</v>
      </c>
      <c r="MJN61" s="235" t="s">
        <v>388</v>
      </c>
      <c r="MJO61" s="237" t="s">
        <v>727</v>
      </c>
      <c r="MJP61" s="237" t="s">
        <v>221</v>
      </c>
      <c r="MJQ61" s="235" t="s">
        <v>2</v>
      </c>
      <c r="MJR61" s="235" t="s">
        <v>3</v>
      </c>
      <c r="MJS61" s="235" t="s">
        <v>618</v>
      </c>
      <c r="MJT61" s="235" t="s">
        <v>1410</v>
      </c>
      <c r="MJU61" s="235" t="s">
        <v>1411</v>
      </c>
      <c r="MJV61" s="235" t="s">
        <v>388</v>
      </c>
      <c r="MJW61" s="237" t="s">
        <v>727</v>
      </c>
      <c r="MJX61" s="237" t="s">
        <v>221</v>
      </c>
      <c r="MJY61" s="235" t="s">
        <v>2</v>
      </c>
      <c r="MJZ61" s="235" t="s">
        <v>3</v>
      </c>
      <c r="MKA61" s="235" t="s">
        <v>618</v>
      </c>
      <c r="MKB61" s="235" t="s">
        <v>1410</v>
      </c>
      <c r="MKC61" s="235" t="s">
        <v>1411</v>
      </c>
      <c r="MKD61" s="235" t="s">
        <v>388</v>
      </c>
      <c r="MKE61" s="237" t="s">
        <v>727</v>
      </c>
      <c r="MKF61" s="237" t="s">
        <v>221</v>
      </c>
      <c r="MKG61" s="235" t="s">
        <v>2</v>
      </c>
      <c r="MKH61" s="235" t="s">
        <v>3</v>
      </c>
      <c r="MKI61" s="235" t="s">
        <v>618</v>
      </c>
      <c r="MKJ61" s="235" t="s">
        <v>1410</v>
      </c>
      <c r="MKK61" s="235" t="s">
        <v>1411</v>
      </c>
      <c r="MKL61" s="235" t="s">
        <v>388</v>
      </c>
      <c r="MKM61" s="237" t="s">
        <v>727</v>
      </c>
      <c r="MKN61" s="237" t="s">
        <v>221</v>
      </c>
      <c r="MKO61" s="235" t="s">
        <v>2</v>
      </c>
      <c r="MKP61" s="235" t="s">
        <v>3</v>
      </c>
      <c r="MKQ61" s="235" t="s">
        <v>618</v>
      </c>
      <c r="MKR61" s="235" t="s">
        <v>1410</v>
      </c>
      <c r="MKS61" s="235" t="s">
        <v>1411</v>
      </c>
      <c r="MKT61" s="235" t="s">
        <v>388</v>
      </c>
      <c r="MKU61" s="237" t="s">
        <v>727</v>
      </c>
      <c r="MKV61" s="237" t="s">
        <v>221</v>
      </c>
      <c r="MKW61" s="235" t="s">
        <v>2</v>
      </c>
      <c r="MKX61" s="235" t="s">
        <v>3</v>
      </c>
      <c r="MKY61" s="235" t="s">
        <v>618</v>
      </c>
      <c r="MKZ61" s="235" t="s">
        <v>1410</v>
      </c>
      <c r="MLA61" s="235" t="s">
        <v>1411</v>
      </c>
      <c r="MLB61" s="235" t="s">
        <v>388</v>
      </c>
      <c r="MLC61" s="237" t="s">
        <v>727</v>
      </c>
      <c r="MLD61" s="237" t="s">
        <v>221</v>
      </c>
      <c r="MLE61" s="235" t="s">
        <v>2</v>
      </c>
      <c r="MLF61" s="235" t="s">
        <v>3</v>
      </c>
      <c r="MLG61" s="235" t="s">
        <v>618</v>
      </c>
      <c r="MLH61" s="235" t="s">
        <v>1410</v>
      </c>
      <c r="MLI61" s="235" t="s">
        <v>1411</v>
      </c>
      <c r="MLJ61" s="235" t="s">
        <v>388</v>
      </c>
      <c r="MLK61" s="237" t="s">
        <v>727</v>
      </c>
      <c r="MLL61" s="237" t="s">
        <v>221</v>
      </c>
      <c r="MLM61" s="235" t="s">
        <v>2</v>
      </c>
      <c r="MLN61" s="235" t="s">
        <v>3</v>
      </c>
      <c r="MLO61" s="235" t="s">
        <v>618</v>
      </c>
      <c r="MLP61" s="235" t="s">
        <v>1410</v>
      </c>
      <c r="MLQ61" s="235" t="s">
        <v>1411</v>
      </c>
      <c r="MLR61" s="235" t="s">
        <v>388</v>
      </c>
      <c r="MLS61" s="237" t="s">
        <v>727</v>
      </c>
      <c r="MLT61" s="237" t="s">
        <v>221</v>
      </c>
      <c r="MLU61" s="235" t="s">
        <v>2</v>
      </c>
      <c r="MLV61" s="235" t="s">
        <v>3</v>
      </c>
      <c r="MLW61" s="235" t="s">
        <v>618</v>
      </c>
      <c r="MLX61" s="235" t="s">
        <v>1410</v>
      </c>
      <c r="MLY61" s="235" t="s">
        <v>1411</v>
      </c>
      <c r="MLZ61" s="235" t="s">
        <v>388</v>
      </c>
      <c r="MMA61" s="237" t="s">
        <v>727</v>
      </c>
      <c r="MMB61" s="237" t="s">
        <v>221</v>
      </c>
      <c r="MMC61" s="235" t="s">
        <v>2</v>
      </c>
      <c r="MMD61" s="235" t="s">
        <v>3</v>
      </c>
      <c r="MME61" s="235" t="s">
        <v>618</v>
      </c>
      <c r="MMF61" s="235" t="s">
        <v>1410</v>
      </c>
      <c r="MMG61" s="235" t="s">
        <v>1411</v>
      </c>
      <c r="MMH61" s="235" t="s">
        <v>388</v>
      </c>
      <c r="MMI61" s="237" t="s">
        <v>727</v>
      </c>
      <c r="MMJ61" s="237" t="s">
        <v>221</v>
      </c>
      <c r="MMK61" s="235" t="s">
        <v>2</v>
      </c>
      <c r="MML61" s="235" t="s">
        <v>3</v>
      </c>
      <c r="MMM61" s="235" t="s">
        <v>618</v>
      </c>
      <c r="MMN61" s="235" t="s">
        <v>1410</v>
      </c>
      <c r="MMO61" s="235" t="s">
        <v>1411</v>
      </c>
      <c r="MMP61" s="235" t="s">
        <v>388</v>
      </c>
      <c r="MMQ61" s="237" t="s">
        <v>727</v>
      </c>
      <c r="MMR61" s="237" t="s">
        <v>221</v>
      </c>
      <c r="MMS61" s="235" t="s">
        <v>2</v>
      </c>
      <c r="MMT61" s="235" t="s">
        <v>3</v>
      </c>
      <c r="MMU61" s="235" t="s">
        <v>618</v>
      </c>
      <c r="MMV61" s="235" t="s">
        <v>1410</v>
      </c>
      <c r="MMW61" s="235" t="s">
        <v>1411</v>
      </c>
      <c r="MMX61" s="235" t="s">
        <v>388</v>
      </c>
      <c r="MMY61" s="237" t="s">
        <v>727</v>
      </c>
      <c r="MMZ61" s="237" t="s">
        <v>221</v>
      </c>
      <c r="MNA61" s="235" t="s">
        <v>2</v>
      </c>
      <c r="MNB61" s="235" t="s">
        <v>3</v>
      </c>
      <c r="MNC61" s="235" t="s">
        <v>618</v>
      </c>
      <c r="MND61" s="235" t="s">
        <v>1410</v>
      </c>
      <c r="MNE61" s="235" t="s">
        <v>1411</v>
      </c>
      <c r="MNF61" s="235" t="s">
        <v>388</v>
      </c>
      <c r="MNG61" s="237" t="s">
        <v>727</v>
      </c>
      <c r="MNH61" s="237" t="s">
        <v>221</v>
      </c>
      <c r="MNI61" s="235" t="s">
        <v>2</v>
      </c>
      <c r="MNJ61" s="235" t="s">
        <v>3</v>
      </c>
      <c r="MNK61" s="235" t="s">
        <v>618</v>
      </c>
      <c r="MNL61" s="235" t="s">
        <v>1410</v>
      </c>
      <c r="MNM61" s="235" t="s">
        <v>1411</v>
      </c>
      <c r="MNN61" s="235" t="s">
        <v>388</v>
      </c>
      <c r="MNO61" s="237" t="s">
        <v>727</v>
      </c>
      <c r="MNP61" s="237" t="s">
        <v>221</v>
      </c>
      <c r="MNQ61" s="235" t="s">
        <v>2</v>
      </c>
      <c r="MNR61" s="235" t="s">
        <v>3</v>
      </c>
      <c r="MNS61" s="235" t="s">
        <v>618</v>
      </c>
      <c r="MNT61" s="235" t="s">
        <v>1410</v>
      </c>
      <c r="MNU61" s="235" t="s">
        <v>1411</v>
      </c>
      <c r="MNV61" s="235" t="s">
        <v>388</v>
      </c>
      <c r="MNW61" s="237" t="s">
        <v>727</v>
      </c>
      <c r="MNX61" s="237" t="s">
        <v>221</v>
      </c>
      <c r="MNY61" s="235" t="s">
        <v>2</v>
      </c>
      <c r="MNZ61" s="235" t="s">
        <v>3</v>
      </c>
      <c r="MOA61" s="235" t="s">
        <v>618</v>
      </c>
      <c r="MOB61" s="235" t="s">
        <v>1410</v>
      </c>
      <c r="MOC61" s="235" t="s">
        <v>1411</v>
      </c>
      <c r="MOD61" s="235" t="s">
        <v>388</v>
      </c>
      <c r="MOE61" s="237" t="s">
        <v>727</v>
      </c>
      <c r="MOF61" s="237" t="s">
        <v>221</v>
      </c>
      <c r="MOG61" s="235" t="s">
        <v>2</v>
      </c>
      <c r="MOH61" s="235" t="s">
        <v>3</v>
      </c>
      <c r="MOI61" s="235" t="s">
        <v>618</v>
      </c>
      <c r="MOJ61" s="235" t="s">
        <v>1410</v>
      </c>
      <c r="MOK61" s="235" t="s">
        <v>1411</v>
      </c>
      <c r="MOL61" s="235" t="s">
        <v>388</v>
      </c>
      <c r="MOM61" s="237" t="s">
        <v>727</v>
      </c>
      <c r="MON61" s="237" t="s">
        <v>221</v>
      </c>
      <c r="MOO61" s="235" t="s">
        <v>2</v>
      </c>
      <c r="MOP61" s="235" t="s">
        <v>3</v>
      </c>
      <c r="MOQ61" s="235" t="s">
        <v>618</v>
      </c>
      <c r="MOR61" s="235" t="s">
        <v>1410</v>
      </c>
      <c r="MOS61" s="235" t="s">
        <v>1411</v>
      </c>
      <c r="MOT61" s="235" t="s">
        <v>388</v>
      </c>
      <c r="MOU61" s="237" t="s">
        <v>727</v>
      </c>
      <c r="MOV61" s="237" t="s">
        <v>221</v>
      </c>
      <c r="MOW61" s="235" t="s">
        <v>2</v>
      </c>
      <c r="MOX61" s="235" t="s">
        <v>3</v>
      </c>
      <c r="MOY61" s="235" t="s">
        <v>618</v>
      </c>
      <c r="MOZ61" s="235" t="s">
        <v>1410</v>
      </c>
      <c r="MPA61" s="235" t="s">
        <v>1411</v>
      </c>
      <c r="MPB61" s="235" t="s">
        <v>388</v>
      </c>
      <c r="MPC61" s="237" t="s">
        <v>727</v>
      </c>
      <c r="MPD61" s="237" t="s">
        <v>221</v>
      </c>
      <c r="MPE61" s="235" t="s">
        <v>2</v>
      </c>
      <c r="MPF61" s="235" t="s">
        <v>3</v>
      </c>
      <c r="MPG61" s="235" t="s">
        <v>618</v>
      </c>
      <c r="MPH61" s="235" t="s">
        <v>1410</v>
      </c>
      <c r="MPI61" s="235" t="s">
        <v>1411</v>
      </c>
      <c r="MPJ61" s="235" t="s">
        <v>388</v>
      </c>
      <c r="MPK61" s="237" t="s">
        <v>727</v>
      </c>
      <c r="MPL61" s="237" t="s">
        <v>221</v>
      </c>
      <c r="MPM61" s="235" t="s">
        <v>2</v>
      </c>
      <c r="MPN61" s="235" t="s">
        <v>3</v>
      </c>
      <c r="MPO61" s="235" t="s">
        <v>618</v>
      </c>
      <c r="MPP61" s="235" t="s">
        <v>1410</v>
      </c>
      <c r="MPQ61" s="235" t="s">
        <v>1411</v>
      </c>
      <c r="MPR61" s="235" t="s">
        <v>388</v>
      </c>
      <c r="MPS61" s="237" t="s">
        <v>727</v>
      </c>
      <c r="MPT61" s="237" t="s">
        <v>221</v>
      </c>
      <c r="MPU61" s="235" t="s">
        <v>2</v>
      </c>
      <c r="MPV61" s="235" t="s">
        <v>3</v>
      </c>
      <c r="MPW61" s="235" t="s">
        <v>618</v>
      </c>
      <c r="MPX61" s="235" t="s">
        <v>1410</v>
      </c>
      <c r="MPY61" s="235" t="s">
        <v>1411</v>
      </c>
      <c r="MPZ61" s="235" t="s">
        <v>388</v>
      </c>
      <c r="MQA61" s="237" t="s">
        <v>727</v>
      </c>
      <c r="MQB61" s="237" t="s">
        <v>221</v>
      </c>
      <c r="MQC61" s="235" t="s">
        <v>2</v>
      </c>
      <c r="MQD61" s="235" t="s">
        <v>3</v>
      </c>
      <c r="MQE61" s="235" t="s">
        <v>618</v>
      </c>
      <c r="MQF61" s="235" t="s">
        <v>1410</v>
      </c>
      <c r="MQG61" s="235" t="s">
        <v>1411</v>
      </c>
      <c r="MQH61" s="235" t="s">
        <v>388</v>
      </c>
      <c r="MQI61" s="237" t="s">
        <v>727</v>
      </c>
      <c r="MQJ61" s="237" t="s">
        <v>221</v>
      </c>
      <c r="MQK61" s="235" t="s">
        <v>2</v>
      </c>
      <c r="MQL61" s="235" t="s">
        <v>3</v>
      </c>
      <c r="MQM61" s="235" t="s">
        <v>618</v>
      </c>
      <c r="MQN61" s="235" t="s">
        <v>1410</v>
      </c>
      <c r="MQO61" s="235" t="s">
        <v>1411</v>
      </c>
      <c r="MQP61" s="235" t="s">
        <v>388</v>
      </c>
      <c r="MQQ61" s="237" t="s">
        <v>727</v>
      </c>
      <c r="MQR61" s="237" t="s">
        <v>221</v>
      </c>
      <c r="MQS61" s="235" t="s">
        <v>2</v>
      </c>
      <c r="MQT61" s="235" t="s">
        <v>3</v>
      </c>
      <c r="MQU61" s="235" t="s">
        <v>618</v>
      </c>
      <c r="MQV61" s="235" t="s">
        <v>1410</v>
      </c>
      <c r="MQW61" s="235" t="s">
        <v>1411</v>
      </c>
      <c r="MQX61" s="235" t="s">
        <v>388</v>
      </c>
      <c r="MQY61" s="237" t="s">
        <v>727</v>
      </c>
      <c r="MQZ61" s="237" t="s">
        <v>221</v>
      </c>
      <c r="MRA61" s="235" t="s">
        <v>2</v>
      </c>
      <c r="MRB61" s="235" t="s">
        <v>3</v>
      </c>
      <c r="MRC61" s="235" t="s">
        <v>618</v>
      </c>
      <c r="MRD61" s="235" t="s">
        <v>1410</v>
      </c>
      <c r="MRE61" s="235" t="s">
        <v>1411</v>
      </c>
      <c r="MRF61" s="235" t="s">
        <v>388</v>
      </c>
      <c r="MRG61" s="237" t="s">
        <v>727</v>
      </c>
      <c r="MRH61" s="237" t="s">
        <v>221</v>
      </c>
      <c r="MRI61" s="235" t="s">
        <v>2</v>
      </c>
      <c r="MRJ61" s="235" t="s">
        <v>3</v>
      </c>
      <c r="MRK61" s="235" t="s">
        <v>618</v>
      </c>
      <c r="MRL61" s="235" t="s">
        <v>1410</v>
      </c>
      <c r="MRM61" s="235" t="s">
        <v>1411</v>
      </c>
      <c r="MRN61" s="235" t="s">
        <v>388</v>
      </c>
      <c r="MRO61" s="237" t="s">
        <v>727</v>
      </c>
      <c r="MRP61" s="237" t="s">
        <v>221</v>
      </c>
      <c r="MRQ61" s="235" t="s">
        <v>2</v>
      </c>
      <c r="MRR61" s="235" t="s">
        <v>3</v>
      </c>
      <c r="MRS61" s="235" t="s">
        <v>618</v>
      </c>
      <c r="MRT61" s="235" t="s">
        <v>1410</v>
      </c>
      <c r="MRU61" s="235" t="s">
        <v>1411</v>
      </c>
      <c r="MRV61" s="235" t="s">
        <v>388</v>
      </c>
      <c r="MRW61" s="237" t="s">
        <v>727</v>
      </c>
      <c r="MRX61" s="237" t="s">
        <v>221</v>
      </c>
      <c r="MRY61" s="235" t="s">
        <v>2</v>
      </c>
      <c r="MRZ61" s="235" t="s">
        <v>3</v>
      </c>
      <c r="MSA61" s="235" t="s">
        <v>618</v>
      </c>
      <c r="MSB61" s="235" t="s">
        <v>1410</v>
      </c>
      <c r="MSC61" s="235" t="s">
        <v>1411</v>
      </c>
      <c r="MSD61" s="235" t="s">
        <v>388</v>
      </c>
      <c r="MSE61" s="237" t="s">
        <v>727</v>
      </c>
      <c r="MSF61" s="237" t="s">
        <v>221</v>
      </c>
      <c r="MSG61" s="235" t="s">
        <v>2</v>
      </c>
      <c r="MSH61" s="235" t="s">
        <v>3</v>
      </c>
      <c r="MSI61" s="235" t="s">
        <v>618</v>
      </c>
      <c r="MSJ61" s="235" t="s">
        <v>1410</v>
      </c>
      <c r="MSK61" s="235" t="s">
        <v>1411</v>
      </c>
      <c r="MSL61" s="235" t="s">
        <v>388</v>
      </c>
      <c r="MSM61" s="237" t="s">
        <v>727</v>
      </c>
      <c r="MSN61" s="237" t="s">
        <v>221</v>
      </c>
      <c r="MSO61" s="235" t="s">
        <v>2</v>
      </c>
      <c r="MSP61" s="235" t="s">
        <v>3</v>
      </c>
      <c r="MSQ61" s="235" t="s">
        <v>618</v>
      </c>
      <c r="MSR61" s="235" t="s">
        <v>1410</v>
      </c>
      <c r="MSS61" s="235" t="s">
        <v>1411</v>
      </c>
      <c r="MST61" s="235" t="s">
        <v>388</v>
      </c>
      <c r="MSU61" s="237" t="s">
        <v>727</v>
      </c>
      <c r="MSV61" s="237" t="s">
        <v>221</v>
      </c>
      <c r="MSW61" s="235" t="s">
        <v>2</v>
      </c>
      <c r="MSX61" s="235" t="s">
        <v>3</v>
      </c>
      <c r="MSY61" s="235" t="s">
        <v>618</v>
      </c>
      <c r="MSZ61" s="235" t="s">
        <v>1410</v>
      </c>
      <c r="MTA61" s="235" t="s">
        <v>1411</v>
      </c>
      <c r="MTB61" s="235" t="s">
        <v>388</v>
      </c>
      <c r="MTC61" s="237" t="s">
        <v>727</v>
      </c>
      <c r="MTD61" s="237" t="s">
        <v>221</v>
      </c>
      <c r="MTE61" s="235" t="s">
        <v>2</v>
      </c>
      <c r="MTF61" s="235" t="s">
        <v>3</v>
      </c>
      <c r="MTG61" s="235" t="s">
        <v>618</v>
      </c>
      <c r="MTH61" s="235" t="s">
        <v>1410</v>
      </c>
      <c r="MTI61" s="235" t="s">
        <v>1411</v>
      </c>
      <c r="MTJ61" s="235" t="s">
        <v>388</v>
      </c>
      <c r="MTK61" s="237" t="s">
        <v>727</v>
      </c>
      <c r="MTL61" s="237" t="s">
        <v>221</v>
      </c>
      <c r="MTM61" s="235" t="s">
        <v>2</v>
      </c>
      <c r="MTN61" s="235" t="s">
        <v>3</v>
      </c>
      <c r="MTO61" s="235" t="s">
        <v>618</v>
      </c>
      <c r="MTP61" s="235" t="s">
        <v>1410</v>
      </c>
      <c r="MTQ61" s="235" t="s">
        <v>1411</v>
      </c>
      <c r="MTR61" s="235" t="s">
        <v>388</v>
      </c>
      <c r="MTS61" s="237" t="s">
        <v>727</v>
      </c>
      <c r="MTT61" s="237" t="s">
        <v>221</v>
      </c>
      <c r="MTU61" s="235" t="s">
        <v>2</v>
      </c>
      <c r="MTV61" s="235" t="s">
        <v>3</v>
      </c>
      <c r="MTW61" s="235" t="s">
        <v>618</v>
      </c>
      <c r="MTX61" s="235" t="s">
        <v>1410</v>
      </c>
      <c r="MTY61" s="235" t="s">
        <v>1411</v>
      </c>
      <c r="MTZ61" s="235" t="s">
        <v>388</v>
      </c>
      <c r="MUA61" s="237" t="s">
        <v>727</v>
      </c>
      <c r="MUB61" s="237" t="s">
        <v>221</v>
      </c>
      <c r="MUC61" s="235" t="s">
        <v>2</v>
      </c>
      <c r="MUD61" s="235" t="s">
        <v>3</v>
      </c>
      <c r="MUE61" s="235" t="s">
        <v>618</v>
      </c>
      <c r="MUF61" s="235" t="s">
        <v>1410</v>
      </c>
      <c r="MUG61" s="235" t="s">
        <v>1411</v>
      </c>
      <c r="MUH61" s="235" t="s">
        <v>388</v>
      </c>
      <c r="MUI61" s="237" t="s">
        <v>727</v>
      </c>
      <c r="MUJ61" s="237" t="s">
        <v>221</v>
      </c>
      <c r="MUK61" s="235" t="s">
        <v>2</v>
      </c>
      <c r="MUL61" s="235" t="s">
        <v>3</v>
      </c>
      <c r="MUM61" s="235" t="s">
        <v>618</v>
      </c>
      <c r="MUN61" s="235" t="s">
        <v>1410</v>
      </c>
      <c r="MUO61" s="235" t="s">
        <v>1411</v>
      </c>
      <c r="MUP61" s="235" t="s">
        <v>388</v>
      </c>
      <c r="MUQ61" s="237" t="s">
        <v>727</v>
      </c>
      <c r="MUR61" s="237" t="s">
        <v>221</v>
      </c>
      <c r="MUS61" s="235" t="s">
        <v>2</v>
      </c>
      <c r="MUT61" s="235" t="s">
        <v>3</v>
      </c>
      <c r="MUU61" s="235" t="s">
        <v>618</v>
      </c>
      <c r="MUV61" s="235" t="s">
        <v>1410</v>
      </c>
      <c r="MUW61" s="235" t="s">
        <v>1411</v>
      </c>
      <c r="MUX61" s="235" t="s">
        <v>388</v>
      </c>
      <c r="MUY61" s="237" t="s">
        <v>727</v>
      </c>
      <c r="MUZ61" s="237" t="s">
        <v>221</v>
      </c>
      <c r="MVA61" s="235" t="s">
        <v>2</v>
      </c>
      <c r="MVB61" s="235" t="s">
        <v>3</v>
      </c>
      <c r="MVC61" s="235" t="s">
        <v>618</v>
      </c>
      <c r="MVD61" s="235" t="s">
        <v>1410</v>
      </c>
      <c r="MVE61" s="235" t="s">
        <v>1411</v>
      </c>
      <c r="MVF61" s="235" t="s">
        <v>388</v>
      </c>
      <c r="MVG61" s="237" t="s">
        <v>727</v>
      </c>
      <c r="MVH61" s="237" t="s">
        <v>221</v>
      </c>
      <c r="MVI61" s="235" t="s">
        <v>2</v>
      </c>
      <c r="MVJ61" s="235" t="s">
        <v>3</v>
      </c>
      <c r="MVK61" s="235" t="s">
        <v>618</v>
      </c>
      <c r="MVL61" s="235" t="s">
        <v>1410</v>
      </c>
      <c r="MVM61" s="235" t="s">
        <v>1411</v>
      </c>
      <c r="MVN61" s="235" t="s">
        <v>388</v>
      </c>
      <c r="MVO61" s="237" t="s">
        <v>727</v>
      </c>
      <c r="MVP61" s="237" t="s">
        <v>221</v>
      </c>
      <c r="MVQ61" s="235" t="s">
        <v>2</v>
      </c>
      <c r="MVR61" s="235" t="s">
        <v>3</v>
      </c>
      <c r="MVS61" s="235" t="s">
        <v>618</v>
      </c>
      <c r="MVT61" s="235" t="s">
        <v>1410</v>
      </c>
      <c r="MVU61" s="235" t="s">
        <v>1411</v>
      </c>
      <c r="MVV61" s="235" t="s">
        <v>388</v>
      </c>
      <c r="MVW61" s="237" t="s">
        <v>727</v>
      </c>
      <c r="MVX61" s="237" t="s">
        <v>221</v>
      </c>
      <c r="MVY61" s="235" t="s">
        <v>2</v>
      </c>
      <c r="MVZ61" s="235" t="s">
        <v>3</v>
      </c>
      <c r="MWA61" s="235" t="s">
        <v>618</v>
      </c>
      <c r="MWB61" s="235" t="s">
        <v>1410</v>
      </c>
      <c r="MWC61" s="235" t="s">
        <v>1411</v>
      </c>
      <c r="MWD61" s="235" t="s">
        <v>388</v>
      </c>
      <c r="MWE61" s="237" t="s">
        <v>727</v>
      </c>
      <c r="MWF61" s="237" t="s">
        <v>221</v>
      </c>
      <c r="MWG61" s="235" t="s">
        <v>2</v>
      </c>
      <c r="MWH61" s="235" t="s">
        <v>3</v>
      </c>
      <c r="MWI61" s="235" t="s">
        <v>618</v>
      </c>
      <c r="MWJ61" s="235" t="s">
        <v>1410</v>
      </c>
      <c r="MWK61" s="235" t="s">
        <v>1411</v>
      </c>
      <c r="MWL61" s="235" t="s">
        <v>388</v>
      </c>
      <c r="MWM61" s="237" t="s">
        <v>727</v>
      </c>
      <c r="MWN61" s="237" t="s">
        <v>221</v>
      </c>
      <c r="MWO61" s="235" t="s">
        <v>2</v>
      </c>
      <c r="MWP61" s="235" t="s">
        <v>3</v>
      </c>
      <c r="MWQ61" s="235" t="s">
        <v>618</v>
      </c>
      <c r="MWR61" s="235" t="s">
        <v>1410</v>
      </c>
      <c r="MWS61" s="235" t="s">
        <v>1411</v>
      </c>
      <c r="MWT61" s="235" t="s">
        <v>388</v>
      </c>
      <c r="MWU61" s="237" t="s">
        <v>727</v>
      </c>
      <c r="MWV61" s="237" t="s">
        <v>221</v>
      </c>
      <c r="MWW61" s="235" t="s">
        <v>2</v>
      </c>
      <c r="MWX61" s="235" t="s">
        <v>3</v>
      </c>
      <c r="MWY61" s="235" t="s">
        <v>618</v>
      </c>
      <c r="MWZ61" s="235" t="s">
        <v>1410</v>
      </c>
      <c r="MXA61" s="235" t="s">
        <v>1411</v>
      </c>
      <c r="MXB61" s="235" t="s">
        <v>388</v>
      </c>
      <c r="MXC61" s="237" t="s">
        <v>727</v>
      </c>
      <c r="MXD61" s="237" t="s">
        <v>221</v>
      </c>
      <c r="MXE61" s="235" t="s">
        <v>2</v>
      </c>
      <c r="MXF61" s="235" t="s">
        <v>3</v>
      </c>
      <c r="MXG61" s="235" t="s">
        <v>618</v>
      </c>
      <c r="MXH61" s="235" t="s">
        <v>1410</v>
      </c>
      <c r="MXI61" s="235" t="s">
        <v>1411</v>
      </c>
      <c r="MXJ61" s="235" t="s">
        <v>388</v>
      </c>
      <c r="MXK61" s="237" t="s">
        <v>727</v>
      </c>
      <c r="MXL61" s="237" t="s">
        <v>221</v>
      </c>
      <c r="MXM61" s="235" t="s">
        <v>2</v>
      </c>
      <c r="MXN61" s="235" t="s">
        <v>3</v>
      </c>
      <c r="MXO61" s="235" t="s">
        <v>618</v>
      </c>
      <c r="MXP61" s="235" t="s">
        <v>1410</v>
      </c>
      <c r="MXQ61" s="235" t="s">
        <v>1411</v>
      </c>
      <c r="MXR61" s="235" t="s">
        <v>388</v>
      </c>
      <c r="MXS61" s="237" t="s">
        <v>727</v>
      </c>
      <c r="MXT61" s="237" t="s">
        <v>221</v>
      </c>
      <c r="MXU61" s="235" t="s">
        <v>2</v>
      </c>
      <c r="MXV61" s="235" t="s">
        <v>3</v>
      </c>
      <c r="MXW61" s="235" t="s">
        <v>618</v>
      </c>
      <c r="MXX61" s="235" t="s">
        <v>1410</v>
      </c>
      <c r="MXY61" s="235" t="s">
        <v>1411</v>
      </c>
      <c r="MXZ61" s="235" t="s">
        <v>388</v>
      </c>
      <c r="MYA61" s="237" t="s">
        <v>727</v>
      </c>
      <c r="MYB61" s="237" t="s">
        <v>221</v>
      </c>
      <c r="MYC61" s="235" t="s">
        <v>2</v>
      </c>
      <c r="MYD61" s="235" t="s">
        <v>3</v>
      </c>
      <c r="MYE61" s="235" t="s">
        <v>618</v>
      </c>
      <c r="MYF61" s="235" t="s">
        <v>1410</v>
      </c>
      <c r="MYG61" s="235" t="s">
        <v>1411</v>
      </c>
      <c r="MYH61" s="235" t="s">
        <v>388</v>
      </c>
      <c r="MYI61" s="237" t="s">
        <v>727</v>
      </c>
      <c r="MYJ61" s="237" t="s">
        <v>221</v>
      </c>
      <c r="MYK61" s="235" t="s">
        <v>2</v>
      </c>
      <c r="MYL61" s="235" t="s">
        <v>3</v>
      </c>
      <c r="MYM61" s="235" t="s">
        <v>618</v>
      </c>
      <c r="MYN61" s="235" t="s">
        <v>1410</v>
      </c>
      <c r="MYO61" s="235" t="s">
        <v>1411</v>
      </c>
      <c r="MYP61" s="235" t="s">
        <v>388</v>
      </c>
      <c r="MYQ61" s="237" t="s">
        <v>727</v>
      </c>
      <c r="MYR61" s="237" t="s">
        <v>221</v>
      </c>
      <c r="MYS61" s="235" t="s">
        <v>2</v>
      </c>
      <c r="MYT61" s="235" t="s">
        <v>3</v>
      </c>
      <c r="MYU61" s="235" t="s">
        <v>618</v>
      </c>
      <c r="MYV61" s="235" t="s">
        <v>1410</v>
      </c>
      <c r="MYW61" s="235" t="s">
        <v>1411</v>
      </c>
      <c r="MYX61" s="235" t="s">
        <v>388</v>
      </c>
      <c r="MYY61" s="237" t="s">
        <v>727</v>
      </c>
      <c r="MYZ61" s="237" t="s">
        <v>221</v>
      </c>
      <c r="MZA61" s="235" t="s">
        <v>2</v>
      </c>
      <c r="MZB61" s="235" t="s">
        <v>3</v>
      </c>
      <c r="MZC61" s="235" t="s">
        <v>618</v>
      </c>
      <c r="MZD61" s="235" t="s">
        <v>1410</v>
      </c>
      <c r="MZE61" s="235" t="s">
        <v>1411</v>
      </c>
      <c r="MZF61" s="235" t="s">
        <v>388</v>
      </c>
      <c r="MZG61" s="237" t="s">
        <v>727</v>
      </c>
      <c r="MZH61" s="237" t="s">
        <v>221</v>
      </c>
      <c r="MZI61" s="235" t="s">
        <v>2</v>
      </c>
      <c r="MZJ61" s="235" t="s">
        <v>3</v>
      </c>
      <c r="MZK61" s="235" t="s">
        <v>618</v>
      </c>
      <c r="MZL61" s="235" t="s">
        <v>1410</v>
      </c>
      <c r="MZM61" s="235" t="s">
        <v>1411</v>
      </c>
      <c r="MZN61" s="235" t="s">
        <v>388</v>
      </c>
      <c r="MZO61" s="237" t="s">
        <v>727</v>
      </c>
      <c r="MZP61" s="237" t="s">
        <v>221</v>
      </c>
      <c r="MZQ61" s="235" t="s">
        <v>2</v>
      </c>
      <c r="MZR61" s="235" t="s">
        <v>3</v>
      </c>
      <c r="MZS61" s="235" t="s">
        <v>618</v>
      </c>
      <c r="MZT61" s="235" t="s">
        <v>1410</v>
      </c>
      <c r="MZU61" s="235" t="s">
        <v>1411</v>
      </c>
      <c r="MZV61" s="235" t="s">
        <v>388</v>
      </c>
      <c r="MZW61" s="237" t="s">
        <v>727</v>
      </c>
      <c r="MZX61" s="237" t="s">
        <v>221</v>
      </c>
      <c r="MZY61" s="235" t="s">
        <v>2</v>
      </c>
      <c r="MZZ61" s="235" t="s">
        <v>3</v>
      </c>
      <c r="NAA61" s="235" t="s">
        <v>618</v>
      </c>
      <c r="NAB61" s="235" t="s">
        <v>1410</v>
      </c>
      <c r="NAC61" s="235" t="s">
        <v>1411</v>
      </c>
      <c r="NAD61" s="235" t="s">
        <v>388</v>
      </c>
      <c r="NAE61" s="237" t="s">
        <v>727</v>
      </c>
      <c r="NAF61" s="237" t="s">
        <v>221</v>
      </c>
      <c r="NAG61" s="235" t="s">
        <v>2</v>
      </c>
      <c r="NAH61" s="235" t="s">
        <v>3</v>
      </c>
      <c r="NAI61" s="235" t="s">
        <v>618</v>
      </c>
      <c r="NAJ61" s="235" t="s">
        <v>1410</v>
      </c>
      <c r="NAK61" s="235" t="s">
        <v>1411</v>
      </c>
      <c r="NAL61" s="235" t="s">
        <v>388</v>
      </c>
      <c r="NAM61" s="237" t="s">
        <v>727</v>
      </c>
      <c r="NAN61" s="237" t="s">
        <v>221</v>
      </c>
      <c r="NAO61" s="235" t="s">
        <v>2</v>
      </c>
      <c r="NAP61" s="235" t="s">
        <v>3</v>
      </c>
      <c r="NAQ61" s="235" t="s">
        <v>618</v>
      </c>
      <c r="NAR61" s="235" t="s">
        <v>1410</v>
      </c>
      <c r="NAS61" s="235" t="s">
        <v>1411</v>
      </c>
      <c r="NAT61" s="235" t="s">
        <v>388</v>
      </c>
      <c r="NAU61" s="237" t="s">
        <v>727</v>
      </c>
      <c r="NAV61" s="237" t="s">
        <v>221</v>
      </c>
      <c r="NAW61" s="235" t="s">
        <v>2</v>
      </c>
      <c r="NAX61" s="235" t="s">
        <v>3</v>
      </c>
      <c r="NAY61" s="235" t="s">
        <v>618</v>
      </c>
      <c r="NAZ61" s="235" t="s">
        <v>1410</v>
      </c>
      <c r="NBA61" s="235" t="s">
        <v>1411</v>
      </c>
      <c r="NBB61" s="235" t="s">
        <v>388</v>
      </c>
      <c r="NBC61" s="237" t="s">
        <v>727</v>
      </c>
      <c r="NBD61" s="237" t="s">
        <v>221</v>
      </c>
      <c r="NBE61" s="235" t="s">
        <v>2</v>
      </c>
      <c r="NBF61" s="235" t="s">
        <v>3</v>
      </c>
      <c r="NBG61" s="235" t="s">
        <v>618</v>
      </c>
      <c r="NBH61" s="235" t="s">
        <v>1410</v>
      </c>
      <c r="NBI61" s="235" t="s">
        <v>1411</v>
      </c>
      <c r="NBJ61" s="235" t="s">
        <v>388</v>
      </c>
      <c r="NBK61" s="237" t="s">
        <v>727</v>
      </c>
      <c r="NBL61" s="237" t="s">
        <v>221</v>
      </c>
      <c r="NBM61" s="235" t="s">
        <v>2</v>
      </c>
      <c r="NBN61" s="235" t="s">
        <v>3</v>
      </c>
      <c r="NBO61" s="235" t="s">
        <v>618</v>
      </c>
      <c r="NBP61" s="235" t="s">
        <v>1410</v>
      </c>
      <c r="NBQ61" s="235" t="s">
        <v>1411</v>
      </c>
      <c r="NBR61" s="235" t="s">
        <v>388</v>
      </c>
      <c r="NBS61" s="237" t="s">
        <v>727</v>
      </c>
      <c r="NBT61" s="237" t="s">
        <v>221</v>
      </c>
      <c r="NBU61" s="235" t="s">
        <v>2</v>
      </c>
      <c r="NBV61" s="235" t="s">
        <v>3</v>
      </c>
      <c r="NBW61" s="235" t="s">
        <v>618</v>
      </c>
      <c r="NBX61" s="235" t="s">
        <v>1410</v>
      </c>
      <c r="NBY61" s="235" t="s">
        <v>1411</v>
      </c>
      <c r="NBZ61" s="235" t="s">
        <v>388</v>
      </c>
      <c r="NCA61" s="237" t="s">
        <v>727</v>
      </c>
      <c r="NCB61" s="237" t="s">
        <v>221</v>
      </c>
      <c r="NCC61" s="235" t="s">
        <v>2</v>
      </c>
      <c r="NCD61" s="235" t="s">
        <v>3</v>
      </c>
      <c r="NCE61" s="235" t="s">
        <v>618</v>
      </c>
      <c r="NCF61" s="235" t="s">
        <v>1410</v>
      </c>
      <c r="NCG61" s="235" t="s">
        <v>1411</v>
      </c>
      <c r="NCH61" s="235" t="s">
        <v>388</v>
      </c>
      <c r="NCI61" s="237" t="s">
        <v>727</v>
      </c>
      <c r="NCJ61" s="237" t="s">
        <v>221</v>
      </c>
      <c r="NCK61" s="235" t="s">
        <v>2</v>
      </c>
      <c r="NCL61" s="235" t="s">
        <v>3</v>
      </c>
      <c r="NCM61" s="235" t="s">
        <v>618</v>
      </c>
      <c r="NCN61" s="235" t="s">
        <v>1410</v>
      </c>
      <c r="NCO61" s="235" t="s">
        <v>1411</v>
      </c>
      <c r="NCP61" s="235" t="s">
        <v>388</v>
      </c>
      <c r="NCQ61" s="237" t="s">
        <v>727</v>
      </c>
      <c r="NCR61" s="237" t="s">
        <v>221</v>
      </c>
      <c r="NCS61" s="235" t="s">
        <v>2</v>
      </c>
      <c r="NCT61" s="235" t="s">
        <v>3</v>
      </c>
      <c r="NCU61" s="235" t="s">
        <v>618</v>
      </c>
      <c r="NCV61" s="235" t="s">
        <v>1410</v>
      </c>
      <c r="NCW61" s="235" t="s">
        <v>1411</v>
      </c>
      <c r="NCX61" s="235" t="s">
        <v>388</v>
      </c>
      <c r="NCY61" s="237" t="s">
        <v>727</v>
      </c>
      <c r="NCZ61" s="237" t="s">
        <v>221</v>
      </c>
      <c r="NDA61" s="235" t="s">
        <v>2</v>
      </c>
      <c r="NDB61" s="235" t="s">
        <v>3</v>
      </c>
      <c r="NDC61" s="235" t="s">
        <v>618</v>
      </c>
      <c r="NDD61" s="235" t="s">
        <v>1410</v>
      </c>
      <c r="NDE61" s="235" t="s">
        <v>1411</v>
      </c>
      <c r="NDF61" s="235" t="s">
        <v>388</v>
      </c>
      <c r="NDG61" s="237" t="s">
        <v>727</v>
      </c>
      <c r="NDH61" s="237" t="s">
        <v>221</v>
      </c>
      <c r="NDI61" s="235" t="s">
        <v>2</v>
      </c>
      <c r="NDJ61" s="235" t="s">
        <v>3</v>
      </c>
      <c r="NDK61" s="235" t="s">
        <v>618</v>
      </c>
      <c r="NDL61" s="235" t="s">
        <v>1410</v>
      </c>
      <c r="NDM61" s="235" t="s">
        <v>1411</v>
      </c>
      <c r="NDN61" s="235" t="s">
        <v>388</v>
      </c>
      <c r="NDO61" s="237" t="s">
        <v>727</v>
      </c>
      <c r="NDP61" s="237" t="s">
        <v>221</v>
      </c>
      <c r="NDQ61" s="235" t="s">
        <v>2</v>
      </c>
      <c r="NDR61" s="235" t="s">
        <v>3</v>
      </c>
      <c r="NDS61" s="235" t="s">
        <v>618</v>
      </c>
      <c r="NDT61" s="235" t="s">
        <v>1410</v>
      </c>
      <c r="NDU61" s="235" t="s">
        <v>1411</v>
      </c>
      <c r="NDV61" s="235" t="s">
        <v>388</v>
      </c>
      <c r="NDW61" s="237" t="s">
        <v>727</v>
      </c>
      <c r="NDX61" s="237" t="s">
        <v>221</v>
      </c>
      <c r="NDY61" s="235" t="s">
        <v>2</v>
      </c>
      <c r="NDZ61" s="235" t="s">
        <v>3</v>
      </c>
      <c r="NEA61" s="235" t="s">
        <v>618</v>
      </c>
      <c r="NEB61" s="235" t="s">
        <v>1410</v>
      </c>
      <c r="NEC61" s="235" t="s">
        <v>1411</v>
      </c>
      <c r="NED61" s="235" t="s">
        <v>388</v>
      </c>
      <c r="NEE61" s="237" t="s">
        <v>727</v>
      </c>
      <c r="NEF61" s="237" t="s">
        <v>221</v>
      </c>
      <c r="NEG61" s="235" t="s">
        <v>2</v>
      </c>
      <c r="NEH61" s="235" t="s">
        <v>3</v>
      </c>
      <c r="NEI61" s="235" t="s">
        <v>618</v>
      </c>
      <c r="NEJ61" s="235" t="s">
        <v>1410</v>
      </c>
      <c r="NEK61" s="235" t="s">
        <v>1411</v>
      </c>
      <c r="NEL61" s="235" t="s">
        <v>388</v>
      </c>
      <c r="NEM61" s="237" t="s">
        <v>727</v>
      </c>
      <c r="NEN61" s="237" t="s">
        <v>221</v>
      </c>
      <c r="NEO61" s="235" t="s">
        <v>2</v>
      </c>
      <c r="NEP61" s="235" t="s">
        <v>3</v>
      </c>
      <c r="NEQ61" s="235" t="s">
        <v>618</v>
      </c>
      <c r="NER61" s="235" t="s">
        <v>1410</v>
      </c>
      <c r="NES61" s="235" t="s">
        <v>1411</v>
      </c>
      <c r="NET61" s="235" t="s">
        <v>388</v>
      </c>
      <c r="NEU61" s="237" t="s">
        <v>727</v>
      </c>
      <c r="NEV61" s="237" t="s">
        <v>221</v>
      </c>
      <c r="NEW61" s="235" t="s">
        <v>2</v>
      </c>
      <c r="NEX61" s="235" t="s">
        <v>3</v>
      </c>
      <c r="NEY61" s="235" t="s">
        <v>618</v>
      </c>
      <c r="NEZ61" s="235" t="s">
        <v>1410</v>
      </c>
      <c r="NFA61" s="235" t="s">
        <v>1411</v>
      </c>
      <c r="NFB61" s="235" t="s">
        <v>388</v>
      </c>
      <c r="NFC61" s="237" t="s">
        <v>727</v>
      </c>
      <c r="NFD61" s="237" t="s">
        <v>221</v>
      </c>
      <c r="NFE61" s="235" t="s">
        <v>2</v>
      </c>
      <c r="NFF61" s="235" t="s">
        <v>3</v>
      </c>
      <c r="NFG61" s="235" t="s">
        <v>618</v>
      </c>
      <c r="NFH61" s="235" t="s">
        <v>1410</v>
      </c>
      <c r="NFI61" s="235" t="s">
        <v>1411</v>
      </c>
      <c r="NFJ61" s="235" t="s">
        <v>388</v>
      </c>
      <c r="NFK61" s="237" t="s">
        <v>727</v>
      </c>
      <c r="NFL61" s="237" t="s">
        <v>221</v>
      </c>
      <c r="NFM61" s="235" t="s">
        <v>2</v>
      </c>
      <c r="NFN61" s="235" t="s">
        <v>3</v>
      </c>
      <c r="NFO61" s="235" t="s">
        <v>618</v>
      </c>
      <c r="NFP61" s="235" t="s">
        <v>1410</v>
      </c>
      <c r="NFQ61" s="235" t="s">
        <v>1411</v>
      </c>
      <c r="NFR61" s="235" t="s">
        <v>388</v>
      </c>
      <c r="NFS61" s="237" t="s">
        <v>727</v>
      </c>
      <c r="NFT61" s="237" t="s">
        <v>221</v>
      </c>
      <c r="NFU61" s="235" t="s">
        <v>2</v>
      </c>
      <c r="NFV61" s="235" t="s">
        <v>3</v>
      </c>
      <c r="NFW61" s="235" t="s">
        <v>618</v>
      </c>
      <c r="NFX61" s="235" t="s">
        <v>1410</v>
      </c>
      <c r="NFY61" s="235" t="s">
        <v>1411</v>
      </c>
      <c r="NFZ61" s="235" t="s">
        <v>388</v>
      </c>
      <c r="NGA61" s="237" t="s">
        <v>727</v>
      </c>
      <c r="NGB61" s="237" t="s">
        <v>221</v>
      </c>
      <c r="NGC61" s="235" t="s">
        <v>2</v>
      </c>
      <c r="NGD61" s="235" t="s">
        <v>3</v>
      </c>
      <c r="NGE61" s="235" t="s">
        <v>618</v>
      </c>
      <c r="NGF61" s="235" t="s">
        <v>1410</v>
      </c>
      <c r="NGG61" s="235" t="s">
        <v>1411</v>
      </c>
      <c r="NGH61" s="235" t="s">
        <v>388</v>
      </c>
      <c r="NGI61" s="237" t="s">
        <v>727</v>
      </c>
      <c r="NGJ61" s="237" t="s">
        <v>221</v>
      </c>
      <c r="NGK61" s="235" t="s">
        <v>2</v>
      </c>
      <c r="NGL61" s="235" t="s">
        <v>3</v>
      </c>
      <c r="NGM61" s="235" t="s">
        <v>618</v>
      </c>
      <c r="NGN61" s="235" t="s">
        <v>1410</v>
      </c>
      <c r="NGO61" s="235" t="s">
        <v>1411</v>
      </c>
      <c r="NGP61" s="235" t="s">
        <v>388</v>
      </c>
      <c r="NGQ61" s="237" t="s">
        <v>727</v>
      </c>
      <c r="NGR61" s="237" t="s">
        <v>221</v>
      </c>
      <c r="NGS61" s="235" t="s">
        <v>2</v>
      </c>
      <c r="NGT61" s="235" t="s">
        <v>3</v>
      </c>
      <c r="NGU61" s="235" t="s">
        <v>618</v>
      </c>
      <c r="NGV61" s="235" t="s">
        <v>1410</v>
      </c>
      <c r="NGW61" s="235" t="s">
        <v>1411</v>
      </c>
      <c r="NGX61" s="235" t="s">
        <v>388</v>
      </c>
      <c r="NGY61" s="237" t="s">
        <v>727</v>
      </c>
      <c r="NGZ61" s="237" t="s">
        <v>221</v>
      </c>
      <c r="NHA61" s="235" t="s">
        <v>2</v>
      </c>
      <c r="NHB61" s="235" t="s">
        <v>3</v>
      </c>
      <c r="NHC61" s="235" t="s">
        <v>618</v>
      </c>
      <c r="NHD61" s="235" t="s">
        <v>1410</v>
      </c>
      <c r="NHE61" s="235" t="s">
        <v>1411</v>
      </c>
      <c r="NHF61" s="235" t="s">
        <v>388</v>
      </c>
      <c r="NHG61" s="237" t="s">
        <v>727</v>
      </c>
      <c r="NHH61" s="237" t="s">
        <v>221</v>
      </c>
      <c r="NHI61" s="235" t="s">
        <v>2</v>
      </c>
      <c r="NHJ61" s="235" t="s">
        <v>3</v>
      </c>
      <c r="NHK61" s="235" t="s">
        <v>618</v>
      </c>
      <c r="NHL61" s="235" t="s">
        <v>1410</v>
      </c>
      <c r="NHM61" s="235" t="s">
        <v>1411</v>
      </c>
      <c r="NHN61" s="235" t="s">
        <v>388</v>
      </c>
      <c r="NHO61" s="237" t="s">
        <v>727</v>
      </c>
      <c r="NHP61" s="237" t="s">
        <v>221</v>
      </c>
      <c r="NHQ61" s="235" t="s">
        <v>2</v>
      </c>
      <c r="NHR61" s="235" t="s">
        <v>3</v>
      </c>
      <c r="NHS61" s="235" t="s">
        <v>618</v>
      </c>
      <c r="NHT61" s="235" t="s">
        <v>1410</v>
      </c>
      <c r="NHU61" s="235" t="s">
        <v>1411</v>
      </c>
      <c r="NHV61" s="235" t="s">
        <v>388</v>
      </c>
      <c r="NHW61" s="237" t="s">
        <v>727</v>
      </c>
      <c r="NHX61" s="237" t="s">
        <v>221</v>
      </c>
      <c r="NHY61" s="235" t="s">
        <v>2</v>
      </c>
      <c r="NHZ61" s="235" t="s">
        <v>3</v>
      </c>
      <c r="NIA61" s="235" t="s">
        <v>618</v>
      </c>
      <c r="NIB61" s="235" t="s">
        <v>1410</v>
      </c>
      <c r="NIC61" s="235" t="s">
        <v>1411</v>
      </c>
      <c r="NID61" s="235" t="s">
        <v>388</v>
      </c>
      <c r="NIE61" s="237" t="s">
        <v>727</v>
      </c>
      <c r="NIF61" s="237" t="s">
        <v>221</v>
      </c>
      <c r="NIG61" s="235" t="s">
        <v>2</v>
      </c>
      <c r="NIH61" s="235" t="s">
        <v>3</v>
      </c>
      <c r="NII61" s="235" t="s">
        <v>618</v>
      </c>
      <c r="NIJ61" s="235" t="s">
        <v>1410</v>
      </c>
      <c r="NIK61" s="235" t="s">
        <v>1411</v>
      </c>
      <c r="NIL61" s="235" t="s">
        <v>388</v>
      </c>
      <c r="NIM61" s="237" t="s">
        <v>727</v>
      </c>
      <c r="NIN61" s="237" t="s">
        <v>221</v>
      </c>
      <c r="NIO61" s="235" t="s">
        <v>2</v>
      </c>
      <c r="NIP61" s="235" t="s">
        <v>3</v>
      </c>
      <c r="NIQ61" s="235" t="s">
        <v>618</v>
      </c>
      <c r="NIR61" s="235" t="s">
        <v>1410</v>
      </c>
      <c r="NIS61" s="235" t="s">
        <v>1411</v>
      </c>
      <c r="NIT61" s="235" t="s">
        <v>388</v>
      </c>
      <c r="NIU61" s="237" t="s">
        <v>727</v>
      </c>
      <c r="NIV61" s="237" t="s">
        <v>221</v>
      </c>
      <c r="NIW61" s="235" t="s">
        <v>2</v>
      </c>
      <c r="NIX61" s="235" t="s">
        <v>3</v>
      </c>
      <c r="NIY61" s="235" t="s">
        <v>618</v>
      </c>
      <c r="NIZ61" s="235" t="s">
        <v>1410</v>
      </c>
      <c r="NJA61" s="235" t="s">
        <v>1411</v>
      </c>
      <c r="NJB61" s="235" t="s">
        <v>388</v>
      </c>
      <c r="NJC61" s="237" t="s">
        <v>727</v>
      </c>
      <c r="NJD61" s="237" t="s">
        <v>221</v>
      </c>
      <c r="NJE61" s="235" t="s">
        <v>2</v>
      </c>
      <c r="NJF61" s="235" t="s">
        <v>3</v>
      </c>
      <c r="NJG61" s="235" t="s">
        <v>618</v>
      </c>
      <c r="NJH61" s="235" t="s">
        <v>1410</v>
      </c>
      <c r="NJI61" s="235" t="s">
        <v>1411</v>
      </c>
      <c r="NJJ61" s="235" t="s">
        <v>388</v>
      </c>
      <c r="NJK61" s="237" t="s">
        <v>727</v>
      </c>
      <c r="NJL61" s="237" t="s">
        <v>221</v>
      </c>
      <c r="NJM61" s="235" t="s">
        <v>2</v>
      </c>
      <c r="NJN61" s="235" t="s">
        <v>3</v>
      </c>
      <c r="NJO61" s="235" t="s">
        <v>618</v>
      </c>
      <c r="NJP61" s="235" t="s">
        <v>1410</v>
      </c>
      <c r="NJQ61" s="235" t="s">
        <v>1411</v>
      </c>
      <c r="NJR61" s="235" t="s">
        <v>388</v>
      </c>
      <c r="NJS61" s="237" t="s">
        <v>727</v>
      </c>
      <c r="NJT61" s="237" t="s">
        <v>221</v>
      </c>
      <c r="NJU61" s="235" t="s">
        <v>2</v>
      </c>
      <c r="NJV61" s="235" t="s">
        <v>3</v>
      </c>
      <c r="NJW61" s="235" t="s">
        <v>618</v>
      </c>
      <c r="NJX61" s="235" t="s">
        <v>1410</v>
      </c>
      <c r="NJY61" s="235" t="s">
        <v>1411</v>
      </c>
      <c r="NJZ61" s="235" t="s">
        <v>388</v>
      </c>
      <c r="NKA61" s="237" t="s">
        <v>727</v>
      </c>
      <c r="NKB61" s="237" t="s">
        <v>221</v>
      </c>
      <c r="NKC61" s="235" t="s">
        <v>2</v>
      </c>
      <c r="NKD61" s="235" t="s">
        <v>3</v>
      </c>
      <c r="NKE61" s="235" t="s">
        <v>618</v>
      </c>
      <c r="NKF61" s="235" t="s">
        <v>1410</v>
      </c>
      <c r="NKG61" s="235" t="s">
        <v>1411</v>
      </c>
      <c r="NKH61" s="235" t="s">
        <v>388</v>
      </c>
      <c r="NKI61" s="237" t="s">
        <v>727</v>
      </c>
      <c r="NKJ61" s="237" t="s">
        <v>221</v>
      </c>
      <c r="NKK61" s="235" t="s">
        <v>2</v>
      </c>
      <c r="NKL61" s="235" t="s">
        <v>3</v>
      </c>
      <c r="NKM61" s="235" t="s">
        <v>618</v>
      </c>
      <c r="NKN61" s="235" t="s">
        <v>1410</v>
      </c>
      <c r="NKO61" s="235" t="s">
        <v>1411</v>
      </c>
      <c r="NKP61" s="235" t="s">
        <v>388</v>
      </c>
      <c r="NKQ61" s="237" t="s">
        <v>727</v>
      </c>
      <c r="NKR61" s="237" t="s">
        <v>221</v>
      </c>
      <c r="NKS61" s="235" t="s">
        <v>2</v>
      </c>
      <c r="NKT61" s="235" t="s">
        <v>3</v>
      </c>
      <c r="NKU61" s="235" t="s">
        <v>618</v>
      </c>
      <c r="NKV61" s="235" t="s">
        <v>1410</v>
      </c>
      <c r="NKW61" s="235" t="s">
        <v>1411</v>
      </c>
      <c r="NKX61" s="235" t="s">
        <v>388</v>
      </c>
      <c r="NKY61" s="237" t="s">
        <v>727</v>
      </c>
      <c r="NKZ61" s="237" t="s">
        <v>221</v>
      </c>
      <c r="NLA61" s="235" t="s">
        <v>2</v>
      </c>
      <c r="NLB61" s="235" t="s">
        <v>3</v>
      </c>
      <c r="NLC61" s="235" t="s">
        <v>618</v>
      </c>
      <c r="NLD61" s="235" t="s">
        <v>1410</v>
      </c>
      <c r="NLE61" s="235" t="s">
        <v>1411</v>
      </c>
      <c r="NLF61" s="235" t="s">
        <v>388</v>
      </c>
      <c r="NLG61" s="237" t="s">
        <v>727</v>
      </c>
      <c r="NLH61" s="237" t="s">
        <v>221</v>
      </c>
      <c r="NLI61" s="235" t="s">
        <v>2</v>
      </c>
      <c r="NLJ61" s="235" t="s">
        <v>3</v>
      </c>
      <c r="NLK61" s="235" t="s">
        <v>618</v>
      </c>
      <c r="NLL61" s="235" t="s">
        <v>1410</v>
      </c>
      <c r="NLM61" s="235" t="s">
        <v>1411</v>
      </c>
      <c r="NLN61" s="235" t="s">
        <v>388</v>
      </c>
      <c r="NLO61" s="237" t="s">
        <v>727</v>
      </c>
      <c r="NLP61" s="237" t="s">
        <v>221</v>
      </c>
      <c r="NLQ61" s="235" t="s">
        <v>2</v>
      </c>
      <c r="NLR61" s="235" t="s">
        <v>3</v>
      </c>
      <c r="NLS61" s="235" t="s">
        <v>618</v>
      </c>
      <c r="NLT61" s="235" t="s">
        <v>1410</v>
      </c>
      <c r="NLU61" s="235" t="s">
        <v>1411</v>
      </c>
      <c r="NLV61" s="235" t="s">
        <v>388</v>
      </c>
      <c r="NLW61" s="237" t="s">
        <v>727</v>
      </c>
      <c r="NLX61" s="237" t="s">
        <v>221</v>
      </c>
      <c r="NLY61" s="235" t="s">
        <v>2</v>
      </c>
      <c r="NLZ61" s="235" t="s">
        <v>3</v>
      </c>
      <c r="NMA61" s="235" t="s">
        <v>618</v>
      </c>
      <c r="NMB61" s="235" t="s">
        <v>1410</v>
      </c>
      <c r="NMC61" s="235" t="s">
        <v>1411</v>
      </c>
      <c r="NMD61" s="235" t="s">
        <v>388</v>
      </c>
      <c r="NME61" s="237" t="s">
        <v>727</v>
      </c>
      <c r="NMF61" s="237" t="s">
        <v>221</v>
      </c>
      <c r="NMG61" s="235" t="s">
        <v>2</v>
      </c>
      <c r="NMH61" s="235" t="s">
        <v>3</v>
      </c>
      <c r="NMI61" s="235" t="s">
        <v>618</v>
      </c>
      <c r="NMJ61" s="235" t="s">
        <v>1410</v>
      </c>
      <c r="NMK61" s="235" t="s">
        <v>1411</v>
      </c>
      <c r="NML61" s="235" t="s">
        <v>388</v>
      </c>
      <c r="NMM61" s="237" t="s">
        <v>727</v>
      </c>
      <c r="NMN61" s="237" t="s">
        <v>221</v>
      </c>
      <c r="NMO61" s="235" t="s">
        <v>2</v>
      </c>
      <c r="NMP61" s="235" t="s">
        <v>3</v>
      </c>
      <c r="NMQ61" s="235" t="s">
        <v>618</v>
      </c>
      <c r="NMR61" s="235" t="s">
        <v>1410</v>
      </c>
      <c r="NMS61" s="235" t="s">
        <v>1411</v>
      </c>
      <c r="NMT61" s="235" t="s">
        <v>388</v>
      </c>
      <c r="NMU61" s="237" t="s">
        <v>727</v>
      </c>
      <c r="NMV61" s="237" t="s">
        <v>221</v>
      </c>
      <c r="NMW61" s="235" t="s">
        <v>2</v>
      </c>
      <c r="NMX61" s="235" t="s">
        <v>3</v>
      </c>
      <c r="NMY61" s="235" t="s">
        <v>618</v>
      </c>
      <c r="NMZ61" s="235" t="s">
        <v>1410</v>
      </c>
      <c r="NNA61" s="235" t="s">
        <v>1411</v>
      </c>
      <c r="NNB61" s="235" t="s">
        <v>388</v>
      </c>
      <c r="NNC61" s="237" t="s">
        <v>727</v>
      </c>
      <c r="NND61" s="237" t="s">
        <v>221</v>
      </c>
      <c r="NNE61" s="235" t="s">
        <v>2</v>
      </c>
      <c r="NNF61" s="235" t="s">
        <v>3</v>
      </c>
      <c r="NNG61" s="235" t="s">
        <v>618</v>
      </c>
      <c r="NNH61" s="235" t="s">
        <v>1410</v>
      </c>
      <c r="NNI61" s="235" t="s">
        <v>1411</v>
      </c>
      <c r="NNJ61" s="235" t="s">
        <v>388</v>
      </c>
      <c r="NNK61" s="237" t="s">
        <v>727</v>
      </c>
      <c r="NNL61" s="237" t="s">
        <v>221</v>
      </c>
      <c r="NNM61" s="235" t="s">
        <v>2</v>
      </c>
      <c r="NNN61" s="235" t="s">
        <v>3</v>
      </c>
      <c r="NNO61" s="235" t="s">
        <v>618</v>
      </c>
      <c r="NNP61" s="235" t="s">
        <v>1410</v>
      </c>
      <c r="NNQ61" s="235" t="s">
        <v>1411</v>
      </c>
      <c r="NNR61" s="235" t="s">
        <v>388</v>
      </c>
      <c r="NNS61" s="237" t="s">
        <v>727</v>
      </c>
      <c r="NNT61" s="237" t="s">
        <v>221</v>
      </c>
      <c r="NNU61" s="235" t="s">
        <v>2</v>
      </c>
      <c r="NNV61" s="235" t="s">
        <v>3</v>
      </c>
      <c r="NNW61" s="235" t="s">
        <v>618</v>
      </c>
      <c r="NNX61" s="235" t="s">
        <v>1410</v>
      </c>
      <c r="NNY61" s="235" t="s">
        <v>1411</v>
      </c>
      <c r="NNZ61" s="235" t="s">
        <v>388</v>
      </c>
      <c r="NOA61" s="237" t="s">
        <v>727</v>
      </c>
      <c r="NOB61" s="237" t="s">
        <v>221</v>
      </c>
      <c r="NOC61" s="235" t="s">
        <v>2</v>
      </c>
      <c r="NOD61" s="235" t="s">
        <v>3</v>
      </c>
      <c r="NOE61" s="235" t="s">
        <v>618</v>
      </c>
      <c r="NOF61" s="235" t="s">
        <v>1410</v>
      </c>
      <c r="NOG61" s="235" t="s">
        <v>1411</v>
      </c>
      <c r="NOH61" s="235" t="s">
        <v>388</v>
      </c>
      <c r="NOI61" s="237" t="s">
        <v>727</v>
      </c>
      <c r="NOJ61" s="237" t="s">
        <v>221</v>
      </c>
      <c r="NOK61" s="235" t="s">
        <v>2</v>
      </c>
      <c r="NOL61" s="235" t="s">
        <v>3</v>
      </c>
      <c r="NOM61" s="235" t="s">
        <v>618</v>
      </c>
      <c r="NON61" s="235" t="s">
        <v>1410</v>
      </c>
      <c r="NOO61" s="235" t="s">
        <v>1411</v>
      </c>
      <c r="NOP61" s="235" t="s">
        <v>388</v>
      </c>
      <c r="NOQ61" s="237" t="s">
        <v>727</v>
      </c>
      <c r="NOR61" s="237" t="s">
        <v>221</v>
      </c>
      <c r="NOS61" s="235" t="s">
        <v>2</v>
      </c>
      <c r="NOT61" s="235" t="s">
        <v>3</v>
      </c>
      <c r="NOU61" s="235" t="s">
        <v>618</v>
      </c>
      <c r="NOV61" s="235" t="s">
        <v>1410</v>
      </c>
      <c r="NOW61" s="235" t="s">
        <v>1411</v>
      </c>
      <c r="NOX61" s="235" t="s">
        <v>388</v>
      </c>
      <c r="NOY61" s="237" t="s">
        <v>727</v>
      </c>
      <c r="NOZ61" s="237" t="s">
        <v>221</v>
      </c>
      <c r="NPA61" s="235" t="s">
        <v>2</v>
      </c>
      <c r="NPB61" s="235" t="s">
        <v>3</v>
      </c>
      <c r="NPC61" s="235" t="s">
        <v>618</v>
      </c>
      <c r="NPD61" s="235" t="s">
        <v>1410</v>
      </c>
      <c r="NPE61" s="235" t="s">
        <v>1411</v>
      </c>
      <c r="NPF61" s="235" t="s">
        <v>388</v>
      </c>
      <c r="NPG61" s="237" t="s">
        <v>727</v>
      </c>
      <c r="NPH61" s="237" t="s">
        <v>221</v>
      </c>
      <c r="NPI61" s="235" t="s">
        <v>2</v>
      </c>
      <c r="NPJ61" s="235" t="s">
        <v>3</v>
      </c>
      <c r="NPK61" s="235" t="s">
        <v>618</v>
      </c>
      <c r="NPL61" s="235" t="s">
        <v>1410</v>
      </c>
      <c r="NPM61" s="235" t="s">
        <v>1411</v>
      </c>
      <c r="NPN61" s="235" t="s">
        <v>388</v>
      </c>
      <c r="NPO61" s="237" t="s">
        <v>727</v>
      </c>
      <c r="NPP61" s="237" t="s">
        <v>221</v>
      </c>
      <c r="NPQ61" s="235" t="s">
        <v>2</v>
      </c>
      <c r="NPR61" s="235" t="s">
        <v>3</v>
      </c>
      <c r="NPS61" s="235" t="s">
        <v>618</v>
      </c>
      <c r="NPT61" s="235" t="s">
        <v>1410</v>
      </c>
      <c r="NPU61" s="235" t="s">
        <v>1411</v>
      </c>
      <c r="NPV61" s="235" t="s">
        <v>388</v>
      </c>
      <c r="NPW61" s="237" t="s">
        <v>727</v>
      </c>
      <c r="NPX61" s="237" t="s">
        <v>221</v>
      </c>
      <c r="NPY61" s="235" t="s">
        <v>2</v>
      </c>
      <c r="NPZ61" s="235" t="s">
        <v>3</v>
      </c>
      <c r="NQA61" s="235" t="s">
        <v>618</v>
      </c>
      <c r="NQB61" s="235" t="s">
        <v>1410</v>
      </c>
      <c r="NQC61" s="235" t="s">
        <v>1411</v>
      </c>
      <c r="NQD61" s="235" t="s">
        <v>388</v>
      </c>
      <c r="NQE61" s="237" t="s">
        <v>727</v>
      </c>
      <c r="NQF61" s="237" t="s">
        <v>221</v>
      </c>
      <c r="NQG61" s="235" t="s">
        <v>2</v>
      </c>
      <c r="NQH61" s="235" t="s">
        <v>3</v>
      </c>
      <c r="NQI61" s="235" t="s">
        <v>618</v>
      </c>
      <c r="NQJ61" s="235" t="s">
        <v>1410</v>
      </c>
      <c r="NQK61" s="235" t="s">
        <v>1411</v>
      </c>
      <c r="NQL61" s="235" t="s">
        <v>388</v>
      </c>
      <c r="NQM61" s="237" t="s">
        <v>727</v>
      </c>
      <c r="NQN61" s="237" t="s">
        <v>221</v>
      </c>
      <c r="NQO61" s="235" t="s">
        <v>2</v>
      </c>
      <c r="NQP61" s="235" t="s">
        <v>3</v>
      </c>
      <c r="NQQ61" s="235" t="s">
        <v>618</v>
      </c>
      <c r="NQR61" s="235" t="s">
        <v>1410</v>
      </c>
      <c r="NQS61" s="235" t="s">
        <v>1411</v>
      </c>
      <c r="NQT61" s="235" t="s">
        <v>388</v>
      </c>
      <c r="NQU61" s="237" t="s">
        <v>727</v>
      </c>
      <c r="NQV61" s="237" t="s">
        <v>221</v>
      </c>
      <c r="NQW61" s="235" t="s">
        <v>2</v>
      </c>
      <c r="NQX61" s="235" t="s">
        <v>3</v>
      </c>
      <c r="NQY61" s="235" t="s">
        <v>618</v>
      </c>
      <c r="NQZ61" s="235" t="s">
        <v>1410</v>
      </c>
      <c r="NRA61" s="235" t="s">
        <v>1411</v>
      </c>
      <c r="NRB61" s="235" t="s">
        <v>388</v>
      </c>
      <c r="NRC61" s="237" t="s">
        <v>727</v>
      </c>
      <c r="NRD61" s="237" t="s">
        <v>221</v>
      </c>
      <c r="NRE61" s="235" t="s">
        <v>2</v>
      </c>
      <c r="NRF61" s="235" t="s">
        <v>3</v>
      </c>
      <c r="NRG61" s="235" t="s">
        <v>618</v>
      </c>
      <c r="NRH61" s="235" t="s">
        <v>1410</v>
      </c>
      <c r="NRI61" s="235" t="s">
        <v>1411</v>
      </c>
      <c r="NRJ61" s="235" t="s">
        <v>388</v>
      </c>
      <c r="NRK61" s="237" t="s">
        <v>727</v>
      </c>
      <c r="NRL61" s="237" t="s">
        <v>221</v>
      </c>
      <c r="NRM61" s="235" t="s">
        <v>2</v>
      </c>
      <c r="NRN61" s="235" t="s">
        <v>3</v>
      </c>
      <c r="NRO61" s="235" t="s">
        <v>618</v>
      </c>
      <c r="NRP61" s="235" t="s">
        <v>1410</v>
      </c>
      <c r="NRQ61" s="235" t="s">
        <v>1411</v>
      </c>
      <c r="NRR61" s="235" t="s">
        <v>388</v>
      </c>
      <c r="NRS61" s="237" t="s">
        <v>727</v>
      </c>
      <c r="NRT61" s="237" t="s">
        <v>221</v>
      </c>
      <c r="NRU61" s="235" t="s">
        <v>2</v>
      </c>
      <c r="NRV61" s="235" t="s">
        <v>3</v>
      </c>
      <c r="NRW61" s="235" t="s">
        <v>618</v>
      </c>
      <c r="NRX61" s="235" t="s">
        <v>1410</v>
      </c>
      <c r="NRY61" s="235" t="s">
        <v>1411</v>
      </c>
      <c r="NRZ61" s="235" t="s">
        <v>388</v>
      </c>
      <c r="NSA61" s="237" t="s">
        <v>727</v>
      </c>
      <c r="NSB61" s="237" t="s">
        <v>221</v>
      </c>
      <c r="NSC61" s="235" t="s">
        <v>2</v>
      </c>
      <c r="NSD61" s="235" t="s">
        <v>3</v>
      </c>
      <c r="NSE61" s="235" t="s">
        <v>618</v>
      </c>
      <c r="NSF61" s="235" t="s">
        <v>1410</v>
      </c>
      <c r="NSG61" s="235" t="s">
        <v>1411</v>
      </c>
      <c r="NSH61" s="235" t="s">
        <v>388</v>
      </c>
      <c r="NSI61" s="237" t="s">
        <v>727</v>
      </c>
      <c r="NSJ61" s="237" t="s">
        <v>221</v>
      </c>
      <c r="NSK61" s="235" t="s">
        <v>2</v>
      </c>
      <c r="NSL61" s="235" t="s">
        <v>3</v>
      </c>
      <c r="NSM61" s="235" t="s">
        <v>618</v>
      </c>
      <c r="NSN61" s="235" t="s">
        <v>1410</v>
      </c>
      <c r="NSO61" s="235" t="s">
        <v>1411</v>
      </c>
      <c r="NSP61" s="235" t="s">
        <v>388</v>
      </c>
      <c r="NSQ61" s="237" t="s">
        <v>727</v>
      </c>
      <c r="NSR61" s="237" t="s">
        <v>221</v>
      </c>
      <c r="NSS61" s="235" t="s">
        <v>2</v>
      </c>
      <c r="NST61" s="235" t="s">
        <v>3</v>
      </c>
      <c r="NSU61" s="235" t="s">
        <v>618</v>
      </c>
      <c r="NSV61" s="235" t="s">
        <v>1410</v>
      </c>
      <c r="NSW61" s="235" t="s">
        <v>1411</v>
      </c>
      <c r="NSX61" s="235" t="s">
        <v>388</v>
      </c>
      <c r="NSY61" s="237" t="s">
        <v>727</v>
      </c>
      <c r="NSZ61" s="237" t="s">
        <v>221</v>
      </c>
      <c r="NTA61" s="235" t="s">
        <v>2</v>
      </c>
      <c r="NTB61" s="235" t="s">
        <v>3</v>
      </c>
      <c r="NTC61" s="235" t="s">
        <v>618</v>
      </c>
      <c r="NTD61" s="235" t="s">
        <v>1410</v>
      </c>
      <c r="NTE61" s="235" t="s">
        <v>1411</v>
      </c>
      <c r="NTF61" s="235" t="s">
        <v>388</v>
      </c>
      <c r="NTG61" s="237" t="s">
        <v>727</v>
      </c>
      <c r="NTH61" s="237" t="s">
        <v>221</v>
      </c>
      <c r="NTI61" s="235" t="s">
        <v>2</v>
      </c>
      <c r="NTJ61" s="235" t="s">
        <v>3</v>
      </c>
      <c r="NTK61" s="235" t="s">
        <v>618</v>
      </c>
      <c r="NTL61" s="235" t="s">
        <v>1410</v>
      </c>
      <c r="NTM61" s="235" t="s">
        <v>1411</v>
      </c>
      <c r="NTN61" s="235" t="s">
        <v>388</v>
      </c>
      <c r="NTO61" s="237" t="s">
        <v>727</v>
      </c>
      <c r="NTP61" s="237" t="s">
        <v>221</v>
      </c>
      <c r="NTQ61" s="235" t="s">
        <v>2</v>
      </c>
      <c r="NTR61" s="235" t="s">
        <v>3</v>
      </c>
      <c r="NTS61" s="235" t="s">
        <v>618</v>
      </c>
      <c r="NTT61" s="235" t="s">
        <v>1410</v>
      </c>
      <c r="NTU61" s="235" t="s">
        <v>1411</v>
      </c>
      <c r="NTV61" s="235" t="s">
        <v>388</v>
      </c>
      <c r="NTW61" s="237" t="s">
        <v>727</v>
      </c>
      <c r="NTX61" s="237" t="s">
        <v>221</v>
      </c>
      <c r="NTY61" s="235" t="s">
        <v>2</v>
      </c>
      <c r="NTZ61" s="235" t="s">
        <v>3</v>
      </c>
      <c r="NUA61" s="235" t="s">
        <v>618</v>
      </c>
      <c r="NUB61" s="235" t="s">
        <v>1410</v>
      </c>
      <c r="NUC61" s="235" t="s">
        <v>1411</v>
      </c>
      <c r="NUD61" s="235" t="s">
        <v>388</v>
      </c>
      <c r="NUE61" s="237" t="s">
        <v>727</v>
      </c>
      <c r="NUF61" s="237" t="s">
        <v>221</v>
      </c>
      <c r="NUG61" s="235" t="s">
        <v>2</v>
      </c>
      <c r="NUH61" s="235" t="s">
        <v>3</v>
      </c>
      <c r="NUI61" s="235" t="s">
        <v>618</v>
      </c>
      <c r="NUJ61" s="235" t="s">
        <v>1410</v>
      </c>
      <c r="NUK61" s="235" t="s">
        <v>1411</v>
      </c>
      <c r="NUL61" s="235" t="s">
        <v>388</v>
      </c>
      <c r="NUM61" s="237" t="s">
        <v>727</v>
      </c>
      <c r="NUN61" s="237" t="s">
        <v>221</v>
      </c>
      <c r="NUO61" s="235" t="s">
        <v>2</v>
      </c>
      <c r="NUP61" s="235" t="s">
        <v>3</v>
      </c>
      <c r="NUQ61" s="235" t="s">
        <v>618</v>
      </c>
      <c r="NUR61" s="235" t="s">
        <v>1410</v>
      </c>
      <c r="NUS61" s="235" t="s">
        <v>1411</v>
      </c>
      <c r="NUT61" s="235" t="s">
        <v>388</v>
      </c>
      <c r="NUU61" s="237" t="s">
        <v>727</v>
      </c>
      <c r="NUV61" s="237" t="s">
        <v>221</v>
      </c>
      <c r="NUW61" s="235" t="s">
        <v>2</v>
      </c>
      <c r="NUX61" s="235" t="s">
        <v>3</v>
      </c>
      <c r="NUY61" s="235" t="s">
        <v>618</v>
      </c>
      <c r="NUZ61" s="235" t="s">
        <v>1410</v>
      </c>
      <c r="NVA61" s="235" t="s">
        <v>1411</v>
      </c>
      <c r="NVB61" s="235" t="s">
        <v>388</v>
      </c>
      <c r="NVC61" s="237" t="s">
        <v>727</v>
      </c>
      <c r="NVD61" s="237" t="s">
        <v>221</v>
      </c>
      <c r="NVE61" s="235" t="s">
        <v>2</v>
      </c>
      <c r="NVF61" s="235" t="s">
        <v>3</v>
      </c>
      <c r="NVG61" s="235" t="s">
        <v>618</v>
      </c>
      <c r="NVH61" s="235" t="s">
        <v>1410</v>
      </c>
      <c r="NVI61" s="235" t="s">
        <v>1411</v>
      </c>
      <c r="NVJ61" s="235" t="s">
        <v>388</v>
      </c>
      <c r="NVK61" s="237" t="s">
        <v>727</v>
      </c>
      <c r="NVL61" s="237" t="s">
        <v>221</v>
      </c>
      <c r="NVM61" s="235" t="s">
        <v>2</v>
      </c>
      <c r="NVN61" s="235" t="s">
        <v>3</v>
      </c>
      <c r="NVO61" s="235" t="s">
        <v>618</v>
      </c>
      <c r="NVP61" s="235" t="s">
        <v>1410</v>
      </c>
      <c r="NVQ61" s="235" t="s">
        <v>1411</v>
      </c>
      <c r="NVR61" s="235" t="s">
        <v>388</v>
      </c>
      <c r="NVS61" s="237" t="s">
        <v>727</v>
      </c>
      <c r="NVT61" s="237" t="s">
        <v>221</v>
      </c>
      <c r="NVU61" s="235" t="s">
        <v>2</v>
      </c>
      <c r="NVV61" s="235" t="s">
        <v>3</v>
      </c>
      <c r="NVW61" s="235" t="s">
        <v>618</v>
      </c>
      <c r="NVX61" s="235" t="s">
        <v>1410</v>
      </c>
      <c r="NVY61" s="235" t="s">
        <v>1411</v>
      </c>
      <c r="NVZ61" s="235" t="s">
        <v>388</v>
      </c>
      <c r="NWA61" s="237" t="s">
        <v>727</v>
      </c>
      <c r="NWB61" s="237" t="s">
        <v>221</v>
      </c>
      <c r="NWC61" s="235" t="s">
        <v>2</v>
      </c>
      <c r="NWD61" s="235" t="s">
        <v>3</v>
      </c>
      <c r="NWE61" s="235" t="s">
        <v>618</v>
      </c>
      <c r="NWF61" s="235" t="s">
        <v>1410</v>
      </c>
      <c r="NWG61" s="235" t="s">
        <v>1411</v>
      </c>
      <c r="NWH61" s="235" t="s">
        <v>388</v>
      </c>
      <c r="NWI61" s="237" t="s">
        <v>727</v>
      </c>
      <c r="NWJ61" s="237" t="s">
        <v>221</v>
      </c>
      <c r="NWK61" s="235" t="s">
        <v>2</v>
      </c>
      <c r="NWL61" s="235" t="s">
        <v>3</v>
      </c>
      <c r="NWM61" s="235" t="s">
        <v>618</v>
      </c>
      <c r="NWN61" s="235" t="s">
        <v>1410</v>
      </c>
      <c r="NWO61" s="235" t="s">
        <v>1411</v>
      </c>
      <c r="NWP61" s="235" t="s">
        <v>388</v>
      </c>
      <c r="NWQ61" s="237" t="s">
        <v>727</v>
      </c>
      <c r="NWR61" s="237" t="s">
        <v>221</v>
      </c>
      <c r="NWS61" s="235" t="s">
        <v>2</v>
      </c>
      <c r="NWT61" s="235" t="s">
        <v>3</v>
      </c>
      <c r="NWU61" s="235" t="s">
        <v>618</v>
      </c>
      <c r="NWV61" s="235" t="s">
        <v>1410</v>
      </c>
      <c r="NWW61" s="235" t="s">
        <v>1411</v>
      </c>
      <c r="NWX61" s="235" t="s">
        <v>388</v>
      </c>
      <c r="NWY61" s="237" t="s">
        <v>727</v>
      </c>
      <c r="NWZ61" s="237" t="s">
        <v>221</v>
      </c>
      <c r="NXA61" s="235" t="s">
        <v>2</v>
      </c>
      <c r="NXB61" s="235" t="s">
        <v>3</v>
      </c>
      <c r="NXC61" s="235" t="s">
        <v>618</v>
      </c>
      <c r="NXD61" s="235" t="s">
        <v>1410</v>
      </c>
      <c r="NXE61" s="235" t="s">
        <v>1411</v>
      </c>
      <c r="NXF61" s="235" t="s">
        <v>388</v>
      </c>
      <c r="NXG61" s="237" t="s">
        <v>727</v>
      </c>
      <c r="NXH61" s="237" t="s">
        <v>221</v>
      </c>
      <c r="NXI61" s="235" t="s">
        <v>2</v>
      </c>
      <c r="NXJ61" s="235" t="s">
        <v>3</v>
      </c>
      <c r="NXK61" s="235" t="s">
        <v>618</v>
      </c>
      <c r="NXL61" s="235" t="s">
        <v>1410</v>
      </c>
      <c r="NXM61" s="235" t="s">
        <v>1411</v>
      </c>
      <c r="NXN61" s="235" t="s">
        <v>388</v>
      </c>
      <c r="NXO61" s="237" t="s">
        <v>727</v>
      </c>
      <c r="NXP61" s="237" t="s">
        <v>221</v>
      </c>
      <c r="NXQ61" s="235" t="s">
        <v>2</v>
      </c>
      <c r="NXR61" s="235" t="s">
        <v>3</v>
      </c>
      <c r="NXS61" s="235" t="s">
        <v>618</v>
      </c>
      <c r="NXT61" s="235" t="s">
        <v>1410</v>
      </c>
      <c r="NXU61" s="235" t="s">
        <v>1411</v>
      </c>
      <c r="NXV61" s="235" t="s">
        <v>388</v>
      </c>
      <c r="NXW61" s="237" t="s">
        <v>727</v>
      </c>
      <c r="NXX61" s="237" t="s">
        <v>221</v>
      </c>
      <c r="NXY61" s="235" t="s">
        <v>2</v>
      </c>
      <c r="NXZ61" s="235" t="s">
        <v>3</v>
      </c>
      <c r="NYA61" s="235" t="s">
        <v>618</v>
      </c>
      <c r="NYB61" s="235" t="s">
        <v>1410</v>
      </c>
      <c r="NYC61" s="235" t="s">
        <v>1411</v>
      </c>
      <c r="NYD61" s="235" t="s">
        <v>388</v>
      </c>
      <c r="NYE61" s="237" t="s">
        <v>727</v>
      </c>
      <c r="NYF61" s="237" t="s">
        <v>221</v>
      </c>
      <c r="NYG61" s="235" t="s">
        <v>2</v>
      </c>
      <c r="NYH61" s="235" t="s">
        <v>3</v>
      </c>
      <c r="NYI61" s="235" t="s">
        <v>618</v>
      </c>
      <c r="NYJ61" s="235" t="s">
        <v>1410</v>
      </c>
      <c r="NYK61" s="235" t="s">
        <v>1411</v>
      </c>
      <c r="NYL61" s="235" t="s">
        <v>388</v>
      </c>
      <c r="NYM61" s="237" t="s">
        <v>727</v>
      </c>
      <c r="NYN61" s="237" t="s">
        <v>221</v>
      </c>
      <c r="NYO61" s="235" t="s">
        <v>2</v>
      </c>
      <c r="NYP61" s="235" t="s">
        <v>3</v>
      </c>
      <c r="NYQ61" s="235" t="s">
        <v>618</v>
      </c>
      <c r="NYR61" s="235" t="s">
        <v>1410</v>
      </c>
      <c r="NYS61" s="235" t="s">
        <v>1411</v>
      </c>
      <c r="NYT61" s="235" t="s">
        <v>388</v>
      </c>
      <c r="NYU61" s="237" t="s">
        <v>727</v>
      </c>
      <c r="NYV61" s="237" t="s">
        <v>221</v>
      </c>
      <c r="NYW61" s="235" t="s">
        <v>2</v>
      </c>
      <c r="NYX61" s="235" t="s">
        <v>3</v>
      </c>
      <c r="NYY61" s="235" t="s">
        <v>618</v>
      </c>
      <c r="NYZ61" s="235" t="s">
        <v>1410</v>
      </c>
      <c r="NZA61" s="235" t="s">
        <v>1411</v>
      </c>
      <c r="NZB61" s="235" t="s">
        <v>388</v>
      </c>
      <c r="NZC61" s="237" t="s">
        <v>727</v>
      </c>
      <c r="NZD61" s="237" t="s">
        <v>221</v>
      </c>
      <c r="NZE61" s="235" t="s">
        <v>2</v>
      </c>
      <c r="NZF61" s="235" t="s">
        <v>3</v>
      </c>
      <c r="NZG61" s="235" t="s">
        <v>618</v>
      </c>
      <c r="NZH61" s="235" t="s">
        <v>1410</v>
      </c>
      <c r="NZI61" s="235" t="s">
        <v>1411</v>
      </c>
      <c r="NZJ61" s="235" t="s">
        <v>388</v>
      </c>
      <c r="NZK61" s="237" t="s">
        <v>727</v>
      </c>
      <c r="NZL61" s="237" t="s">
        <v>221</v>
      </c>
      <c r="NZM61" s="235" t="s">
        <v>2</v>
      </c>
      <c r="NZN61" s="235" t="s">
        <v>3</v>
      </c>
      <c r="NZO61" s="235" t="s">
        <v>618</v>
      </c>
      <c r="NZP61" s="235" t="s">
        <v>1410</v>
      </c>
      <c r="NZQ61" s="235" t="s">
        <v>1411</v>
      </c>
      <c r="NZR61" s="235" t="s">
        <v>388</v>
      </c>
      <c r="NZS61" s="237" t="s">
        <v>727</v>
      </c>
      <c r="NZT61" s="237" t="s">
        <v>221</v>
      </c>
      <c r="NZU61" s="235" t="s">
        <v>2</v>
      </c>
      <c r="NZV61" s="235" t="s">
        <v>3</v>
      </c>
      <c r="NZW61" s="235" t="s">
        <v>618</v>
      </c>
      <c r="NZX61" s="235" t="s">
        <v>1410</v>
      </c>
      <c r="NZY61" s="235" t="s">
        <v>1411</v>
      </c>
      <c r="NZZ61" s="235" t="s">
        <v>388</v>
      </c>
      <c r="OAA61" s="237" t="s">
        <v>727</v>
      </c>
      <c r="OAB61" s="237" t="s">
        <v>221</v>
      </c>
      <c r="OAC61" s="235" t="s">
        <v>2</v>
      </c>
      <c r="OAD61" s="235" t="s">
        <v>3</v>
      </c>
      <c r="OAE61" s="235" t="s">
        <v>618</v>
      </c>
      <c r="OAF61" s="235" t="s">
        <v>1410</v>
      </c>
      <c r="OAG61" s="235" t="s">
        <v>1411</v>
      </c>
      <c r="OAH61" s="235" t="s">
        <v>388</v>
      </c>
      <c r="OAI61" s="237" t="s">
        <v>727</v>
      </c>
      <c r="OAJ61" s="237" t="s">
        <v>221</v>
      </c>
      <c r="OAK61" s="235" t="s">
        <v>2</v>
      </c>
      <c r="OAL61" s="235" t="s">
        <v>3</v>
      </c>
      <c r="OAM61" s="235" t="s">
        <v>618</v>
      </c>
      <c r="OAN61" s="235" t="s">
        <v>1410</v>
      </c>
      <c r="OAO61" s="235" t="s">
        <v>1411</v>
      </c>
      <c r="OAP61" s="235" t="s">
        <v>388</v>
      </c>
      <c r="OAQ61" s="237" t="s">
        <v>727</v>
      </c>
      <c r="OAR61" s="237" t="s">
        <v>221</v>
      </c>
      <c r="OAS61" s="235" t="s">
        <v>2</v>
      </c>
      <c r="OAT61" s="235" t="s">
        <v>3</v>
      </c>
      <c r="OAU61" s="235" t="s">
        <v>618</v>
      </c>
      <c r="OAV61" s="235" t="s">
        <v>1410</v>
      </c>
      <c r="OAW61" s="235" t="s">
        <v>1411</v>
      </c>
      <c r="OAX61" s="235" t="s">
        <v>388</v>
      </c>
      <c r="OAY61" s="237" t="s">
        <v>727</v>
      </c>
      <c r="OAZ61" s="237" t="s">
        <v>221</v>
      </c>
      <c r="OBA61" s="235" t="s">
        <v>2</v>
      </c>
      <c r="OBB61" s="235" t="s">
        <v>3</v>
      </c>
      <c r="OBC61" s="235" t="s">
        <v>618</v>
      </c>
      <c r="OBD61" s="235" t="s">
        <v>1410</v>
      </c>
      <c r="OBE61" s="235" t="s">
        <v>1411</v>
      </c>
      <c r="OBF61" s="235" t="s">
        <v>388</v>
      </c>
      <c r="OBG61" s="237" t="s">
        <v>727</v>
      </c>
      <c r="OBH61" s="237" t="s">
        <v>221</v>
      </c>
      <c r="OBI61" s="235" t="s">
        <v>2</v>
      </c>
      <c r="OBJ61" s="235" t="s">
        <v>3</v>
      </c>
      <c r="OBK61" s="235" t="s">
        <v>618</v>
      </c>
      <c r="OBL61" s="235" t="s">
        <v>1410</v>
      </c>
      <c r="OBM61" s="235" t="s">
        <v>1411</v>
      </c>
      <c r="OBN61" s="235" t="s">
        <v>388</v>
      </c>
      <c r="OBO61" s="237" t="s">
        <v>727</v>
      </c>
      <c r="OBP61" s="237" t="s">
        <v>221</v>
      </c>
      <c r="OBQ61" s="235" t="s">
        <v>2</v>
      </c>
      <c r="OBR61" s="235" t="s">
        <v>3</v>
      </c>
      <c r="OBS61" s="235" t="s">
        <v>618</v>
      </c>
      <c r="OBT61" s="235" t="s">
        <v>1410</v>
      </c>
      <c r="OBU61" s="235" t="s">
        <v>1411</v>
      </c>
      <c r="OBV61" s="235" t="s">
        <v>388</v>
      </c>
      <c r="OBW61" s="237" t="s">
        <v>727</v>
      </c>
      <c r="OBX61" s="237" t="s">
        <v>221</v>
      </c>
      <c r="OBY61" s="235" t="s">
        <v>2</v>
      </c>
      <c r="OBZ61" s="235" t="s">
        <v>3</v>
      </c>
      <c r="OCA61" s="235" t="s">
        <v>618</v>
      </c>
      <c r="OCB61" s="235" t="s">
        <v>1410</v>
      </c>
      <c r="OCC61" s="235" t="s">
        <v>1411</v>
      </c>
      <c r="OCD61" s="235" t="s">
        <v>388</v>
      </c>
      <c r="OCE61" s="237" t="s">
        <v>727</v>
      </c>
      <c r="OCF61" s="237" t="s">
        <v>221</v>
      </c>
      <c r="OCG61" s="235" t="s">
        <v>2</v>
      </c>
      <c r="OCH61" s="235" t="s">
        <v>3</v>
      </c>
      <c r="OCI61" s="235" t="s">
        <v>618</v>
      </c>
      <c r="OCJ61" s="235" t="s">
        <v>1410</v>
      </c>
      <c r="OCK61" s="235" t="s">
        <v>1411</v>
      </c>
      <c r="OCL61" s="235" t="s">
        <v>388</v>
      </c>
      <c r="OCM61" s="237" t="s">
        <v>727</v>
      </c>
      <c r="OCN61" s="237" t="s">
        <v>221</v>
      </c>
      <c r="OCO61" s="235" t="s">
        <v>2</v>
      </c>
      <c r="OCP61" s="235" t="s">
        <v>3</v>
      </c>
      <c r="OCQ61" s="235" t="s">
        <v>618</v>
      </c>
      <c r="OCR61" s="235" t="s">
        <v>1410</v>
      </c>
      <c r="OCS61" s="235" t="s">
        <v>1411</v>
      </c>
      <c r="OCT61" s="235" t="s">
        <v>388</v>
      </c>
      <c r="OCU61" s="237" t="s">
        <v>727</v>
      </c>
      <c r="OCV61" s="237" t="s">
        <v>221</v>
      </c>
      <c r="OCW61" s="235" t="s">
        <v>2</v>
      </c>
      <c r="OCX61" s="235" t="s">
        <v>3</v>
      </c>
      <c r="OCY61" s="235" t="s">
        <v>618</v>
      </c>
      <c r="OCZ61" s="235" t="s">
        <v>1410</v>
      </c>
      <c r="ODA61" s="235" t="s">
        <v>1411</v>
      </c>
      <c r="ODB61" s="235" t="s">
        <v>388</v>
      </c>
      <c r="ODC61" s="237" t="s">
        <v>727</v>
      </c>
      <c r="ODD61" s="237" t="s">
        <v>221</v>
      </c>
      <c r="ODE61" s="235" t="s">
        <v>2</v>
      </c>
      <c r="ODF61" s="235" t="s">
        <v>3</v>
      </c>
      <c r="ODG61" s="235" t="s">
        <v>618</v>
      </c>
      <c r="ODH61" s="235" t="s">
        <v>1410</v>
      </c>
      <c r="ODI61" s="235" t="s">
        <v>1411</v>
      </c>
      <c r="ODJ61" s="235" t="s">
        <v>388</v>
      </c>
      <c r="ODK61" s="237" t="s">
        <v>727</v>
      </c>
      <c r="ODL61" s="237" t="s">
        <v>221</v>
      </c>
      <c r="ODM61" s="235" t="s">
        <v>2</v>
      </c>
      <c r="ODN61" s="235" t="s">
        <v>3</v>
      </c>
      <c r="ODO61" s="235" t="s">
        <v>618</v>
      </c>
      <c r="ODP61" s="235" t="s">
        <v>1410</v>
      </c>
      <c r="ODQ61" s="235" t="s">
        <v>1411</v>
      </c>
      <c r="ODR61" s="235" t="s">
        <v>388</v>
      </c>
      <c r="ODS61" s="237" t="s">
        <v>727</v>
      </c>
      <c r="ODT61" s="237" t="s">
        <v>221</v>
      </c>
      <c r="ODU61" s="235" t="s">
        <v>2</v>
      </c>
      <c r="ODV61" s="235" t="s">
        <v>3</v>
      </c>
      <c r="ODW61" s="235" t="s">
        <v>618</v>
      </c>
      <c r="ODX61" s="235" t="s">
        <v>1410</v>
      </c>
      <c r="ODY61" s="235" t="s">
        <v>1411</v>
      </c>
      <c r="ODZ61" s="235" t="s">
        <v>388</v>
      </c>
      <c r="OEA61" s="237" t="s">
        <v>727</v>
      </c>
      <c r="OEB61" s="237" t="s">
        <v>221</v>
      </c>
      <c r="OEC61" s="235" t="s">
        <v>2</v>
      </c>
      <c r="OED61" s="235" t="s">
        <v>3</v>
      </c>
      <c r="OEE61" s="235" t="s">
        <v>618</v>
      </c>
      <c r="OEF61" s="235" t="s">
        <v>1410</v>
      </c>
      <c r="OEG61" s="235" t="s">
        <v>1411</v>
      </c>
      <c r="OEH61" s="235" t="s">
        <v>388</v>
      </c>
      <c r="OEI61" s="237" t="s">
        <v>727</v>
      </c>
      <c r="OEJ61" s="237" t="s">
        <v>221</v>
      </c>
      <c r="OEK61" s="235" t="s">
        <v>2</v>
      </c>
      <c r="OEL61" s="235" t="s">
        <v>3</v>
      </c>
      <c r="OEM61" s="235" t="s">
        <v>618</v>
      </c>
      <c r="OEN61" s="235" t="s">
        <v>1410</v>
      </c>
      <c r="OEO61" s="235" t="s">
        <v>1411</v>
      </c>
      <c r="OEP61" s="235" t="s">
        <v>388</v>
      </c>
      <c r="OEQ61" s="237" t="s">
        <v>727</v>
      </c>
      <c r="OER61" s="237" t="s">
        <v>221</v>
      </c>
      <c r="OES61" s="235" t="s">
        <v>2</v>
      </c>
      <c r="OET61" s="235" t="s">
        <v>3</v>
      </c>
      <c r="OEU61" s="235" t="s">
        <v>618</v>
      </c>
      <c r="OEV61" s="235" t="s">
        <v>1410</v>
      </c>
      <c r="OEW61" s="235" t="s">
        <v>1411</v>
      </c>
      <c r="OEX61" s="235" t="s">
        <v>388</v>
      </c>
      <c r="OEY61" s="237" t="s">
        <v>727</v>
      </c>
      <c r="OEZ61" s="237" t="s">
        <v>221</v>
      </c>
      <c r="OFA61" s="235" t="s">
        <v>2</v>
      </c>
      <c r="OFB61" s="235" t="s">
        <v>3</v>
      </c>
      <c r="OFC61" s="235" t="s">
        <v>618</v>
      </c>
      <c r="OFD61" s="235" t="s">
        <v>1410</v>
      </c>
      <c r="OFE61" s="235" t="s">
        <v>1411</v>
      </c>
      <c r="OFF61" s="235" t="s">
        <v>388</v>
      </c>
      <c r="OFG61" s="237" t="s">
        <v>727</v>
      </c>
      <c r="OFH61" s="237" t="s">
        <v>221</v>
      </c>
      <c r="OFI61" s="235" t="s">
        <v>2</v>
      </c>
      <c r="OFJ61" s="235" t="s">
        <v>3</v>
      </c>
      <c r="OFK61" s="235" t="s">
        <v>618</v>
      </c>
      <c r="OFL61" s="235" t="s">
        <v>1410</v>
      </c>
      <c r="OFM61" s="235" t="s">
        <v>1411</v>
      </c>
      <c r="OFN61" s="235" t="s">
        <v>388</v>
      </c>
      <c r="OFO61" s="237" t="s">
        <v>727</v>
      </c>
      <c r="OFP61" s="237" t="s">
        <v>221</v>
      </c>
      <c r="OFQ61" s="235" t="s">
        <v>2</v>
      </c>
      <c r="OFR61" s="235" t="s">
        <v>3</v>
      </c>
      <c r="OFS61" s="235" t="s">
        <v>618</v>
      </c>
      <c r="OFT61" s="235" t="s">
        <v>1410</v>
      </c>
      <c r="OFU61" s="235" t="s">
        <v>1411</v>
      </c>
      <c r="OFV61" s="235" t="s">
        <v>388</v>
      </c>
      <c r="OFW61" s="237" t="s">
        <v>727</v>
      </c>
      <c r="OFX61" s="237" t="s">
        <v>221</v>
      </c>
      <c r="OFY61" s="235" t="s">
        <v>2</v>
      </c>
      <c r="OFZ61" s="235" t="s">
        <v>3</v>
      </c>
      <c r="OGA61" s="235" t="s">
        <v>618</v>
      </c>
      <c r="OGB61" s="235" t="s">
        <v>1410</v>
      </c>
      <c r="OGC61" s="235" t="s">
        <v>1411</v>
      </c>
      <c r="OGD61" s="235" t="s">
        <v>388</v>
      </c>
      <c r="OGE61" s="237" t="s">
        <v>727</v>
      </c>
      <c r="OGF61" s="237" t="s">
        <v>221</v>
      </c>
      <c r="OGG61" s="235" t="s">
        <v>2</v>
      </c>
      <c r="OGH61" s="235" t="s">
        <v>3</v>
      </c>
      <c r="OGI61" s="235" t="s">
        <v>618</v>
      </c>
      <c r="OGJ61" s="235" t="s">
        <v>1410</v>
      </c>
      <c r="OGK61" s="235" t="s">
        <v>1411</v>
      </c>
      <c r="OGL61" s="235" t="s">
        <v>388</v>
      </c>
      <c r="OGM61" s="237" t="s">
        <v>727</v>
      </c>
      <c r="OGN61" s="237" t="s">
        <v>221</v>
      </c>
      <c r="OGO61" s="235" t="s">
        <v>2</v>
      </c>
      <c r="OGP61" s="235" t="s">
        <v>3</v>
      </c>
      <c r="OGQ61" s="235" t="s">
        <v>618</v>
      </c>
      <c r="OGR61" s="235" t="s">
        <v>1410</v>
      </c>
      <c r="OGS61" s="235" t="s">
        <v>1411</v>
      </c>
      <c r="OGT61" s="235" t="s">
        <v>388</v>
      </c>
      <c r="OGU61" s="237" t="s">
        <v>727</v>
      </c>
      <c r="OGV61" s="237" t="s">
        <v>221</v>
      </c>
      <c r="OGW61" s="235" t="s">
        <v>2</v>
      </c>
      <c r="OGX61" s="235" t="s">
        <v>3</v>
      </c>
      <c r="OGY61" s="235" t="s">
        <v>618</v>
      </c>
      <c r="OGZ61" s="235" t="s">
        <v>1410</v>
      </c>
      <c r="OHA61" s="235" t="s">
        <v>1411</v>
      </c>
      <c r="OHB61" s="235" t="s">
        <v>388</v>
      </c>
      <c r="OHC61" s="237" t="s">
        <v>727</v>
      </c>
      <c r="OHD61" s="237" t="s">
        <v>221</v>
      </c>
      <c r="OHE61" s="235" t="s">
        <v>2</v>
      </c>
      <c r="OHF61" s="235" t="s">
        <v>3</v>
      </c>
      <c r="OHG61" s="235" t="s">
        <v>618</v>
      </c>
      <c r="OHH61" s="235" t="s">
        <v>1410</v>
      </c>
      <c r="OHI61" s="235" t="s">
        <v>1411</v>
      </c>
      <c r="OHJ61" s="235" t="s">
        <v>388</v>
      </c>
      <c r="OHK61" s="237" t="s">
        <v>727</v>
      </c>
      <c r="OHL61" s="237" t="s">
        <v>221</v>
      </c>
      <c r="OHM61" s="235" t="s">
        <v>2</v>
      </c>
      <c r="OHN61" s="235" t="s">
        <v>3</v>
      </c>
      <c r="OHO61" s="235" t="s">
        <v>618</v>
      </c>
      <c r="OHP61" s="235" t="s">
        <v>1410</v>
      </c>
      <c r="OHQ61" s="235" t="s">
        <v>1411</v>
      </c>
      <c r="OHR61" s="235" t="s">
        <v>388</v>
      </c>
      <c r="OHS61" s="237" t="s">
        <v>727</v>
      </c>
      <c r="OHT61" s="237" t="s">
        <v>221</v>
      </c>
      <c r="OHU61" s="235" t="s">
        <v>2</v>
      </c>
      <c r="OHV61" s="235" t="s">
        <v>3</v>
      </c>
      <c r="OHW61" s="235" t="s">
        <v>618</v>
      </c>
      <c r="OHX61" s="235" t="s">
        <v>1410</v>
      </c>
      <c r="OHY61" s="235" t="s">
        <v>1411</v>
      </c>
      <c r="OHZ61" s="235" t="s">
        <v>388</v>
      </c>
      <c r="OIA61" s="237" t="s">
        <v>727</v>
      </c>
      <c r="OIB61" s="237" t="s">
        <v>221</v>
      </c>
      <c r="OIC61" s="235" t="s">
        <v>2</v>
      </c>
      <c r="OID61" s="235" t="s">
        <v>3</v>
      </c>
      <c r="OIE61" s="235" t="s">
        <v>618</v>
      </c>
      <c r="OIF61" s="235" t="s">
        <v>1410</v>
      </c>
      <c r="OIG61" s="235" t="s">
        <v>1411</v>
      </c>
      <c r="OIH61" s="235" t="s">
        <v>388</v>
      </c>
      <c r="OII61" s="237" t="s">
        <v>727</v>
      </c>
      <c r="OIJ61" s="237" t="s">
        <v>221</v>
      </c>
      <c r="OIK61" s="235" t="s">
        <v>2</v>
      </c>
      <c r="OIL61" s="235" t="s">
        <v>3</v>
      </c>
      <c r="OIM61" s="235" t="s">
        <v>618</v>
      </c>
      <c r="OIN61" s="235" t="s">
        <v>1410</v>
      </c>
      <c r="OIO61" s="235" t="s">
        <v>1411</v>
      </c>
      <c r="OIP61" s="235" t="s">
        <v>388</v>
      </c>
      <c r="OIQ61" s="237" t="s">
        <v>727</v>
      </c>
      <c r="OIR61" s="237" t="s">
        <v>221</v>
      </c>
      <c r="OIS61" s="235" t="s">
        <v>2</v>
      </c>
      <c r="OIT61" s="235" t="s">
        <v>3</v>
      </c>
      <c r="OIU61" s="235" t="s">
        <v>618</v>
      </c>
      <c r="OIV61" s="235" t="s">
        <v>1410</v>
      </c>
      <c r="OIW61" s="235" t="s">
        <v>1411</v>
      </c>
      <c r="OIX61" s="235" t="s">
        <v>388</v>
      </c>
      <c r="OIY61" s="237" t="s">
        <v>727</v>
      </c>
      <c r="OIZ61" s="237" t="s">
        <v>221</v>
      </c>
      <c r="OJA61" s="235" t="s">
        <v>2</v>
      </c>
      <c r="OJB61" s="235" t="s">
        <v>3</v>
      </c>
      <c r="OJC61" s="235" t="s">
        <v>618</v>
      </c>
      <c r="OJD61" s="235" t="s">
        <v>1410</v>
      </c>
      <c r="OJE61" s="235" t="s">
        <v>1411</v>
      </c>
      <c r="OJF61" s="235" t="s">
        <v>388</v>
      </c>
      <c r="OJG61" s="237" t="s">
        <v>727</v>
      </c>
      <c r="OJH61" s="237" t="s">
        <v>221</v>
      </c>
      <c r="OJI61" s="235" t="s">
        <v>2</v>
      </c>
      <c r="OJJ61" s="235" t="s">
        <v>3</v>
      </c>
      <c r="OJK61" s="235" t="s">
        <v>618</v>
      </c>
      <c r="OJL61" s="235" t="s">
        <v>1410</v>
      </c>
      <c r="OJM61" s="235" t="s">
        <v>1411</v>
      </c>
      <c r="OJN61" s="235" t="s">
        <v>388</v>
      </c>
      <c r="OJO61" s="237" t="s">
        <v>727</v>
      </c>
      <c r="OJP61" s="237" t="s">
        <v>221</v>
      </c>
      <c r="OJQ61" s="235" t="s">
        <v>2</v>
      </c>
      <c r="OJR61" s="235" t="s">
        <v>3</v>
      </c>
      <c r="OJS61" s="235" t="s">
        <v>618</v>
      </c>
      <c r="OJT61" s="235" t="s">
        <v>1410</v>
      </c>
      <c r="OJU61" s="235" t="s">
        <v>1411</v>
      </c>
      <c r="OJV61" s="235" t="s">
        <v>388</v>
      </c>
      <c r="OJW61" s="237" t="s">
        <v>727</v>
      </c>
      <c r="OJX61" s="237" t="s">
        <v>221</v>
      </c>
      <c r="OJY61" s="235" t="s">
        <v>2</v>
      </c>
      <c r="OJZ61" s="235" t="s">
        <v>3</v>
      </c>
      <c r="OKA61" s="235" t="s">
        <v>618</v>
      </c>
      <c r="OKB61" s="235" t="s">
        <v>1410</v>
      </c>
      <c r="OKC61" s="235" t="s">
        <v>1411</v>
      </c>
      <c r="OKD61" s="235" t="s">
        <v>388</v>
      </c>
      <c r="OKE61" s="237" t="s">
        <v>727</v>
      </c>
      <c r="OKF61" s="237" t="s">
        <v>221</v>
      </c>
      <c r="OKG61" s="235" t="s">
        <v>2</v>
      </c>
      <c r="OKH61" s="235" t="s">
        <v>3</v>
      </c>
      <c r="OKI61" s="235" t="s">
        <v>618</v>
      </c>
      <c r="OKJ61" s="235" t="s">
        <v>1410</v>
      </c>
      <c r="OKK61" s="235" t="s">
        <v>1411</v>
      </c>
      <c r="OKL61" s="235" t="s">
        <v>388</v>
      </c>
      <c r="OKM61" s="237" t="s">
        <v>727</v>
      </c>
      <c r="OKN61" s="237" t="s">
        <v>221</v>
      </c>
      <c r="OKO61" s="235" t="s">
        <v>2</v>
      </c>
      <c r="OKP61" s="235" t="s">
        <v>3</v>
      </c>
      <c r="OKQ61" s="235" t="s">
        <v>618</v>
      </c>
      <c r="OKR61" s="235" t="s">
        <v>1410</v>
      </c>
      <c r="OKS61" s="235" t="s">
        <v>1411</v>
      </c>
      <c r="OKT61" s="235" t="s">
        <v>388</v>
      </c>
      <c r="OKU61" s="237" t="s">
        <v>727</v>
      </c>
      <c r="OKV61" s="237" t="s">
        <v>221</v>
      </c>
      <c r="OKW61" s="235" t="s">
        <v>2</v>
      </c>
      <c r="OKX61" s="235" t="s">
        <v>3</v>
      </c>
      <c r="OKY61" s="235" t="s">
        <v>618</v>
      </c>
      <c r="OKZ61" s="235" t="s">
        <v>1410</v>
      </c>
      <c r="OLA61" s="235" t="s">
        <v>1411</v>
      </c>
      <c r="OLB61" s="235" t="s">
        <v>388</v>
      </c>
      <c r="OLC61" s="237" t="s">
        <v>727</v>
      </c>
      <c r="OLD61" s="237" t="s">
        <v>221</v>
      </c>
      <c r="OLE61" s="235" t="s">
        <v>2</v>
      </c>
      <c r="OLF61" s="235" t="s">
        <v>3</v>
      </c>
      <c r="OLG61" s="235" t="s">
        <v>618</v>
      </c>
      <c r="OLH61" s="235" t="s">
        <v>1410</v>
      </c>
      <c r="OLI61" s="235" t="s">
        <v>1411</v>
      </c>
      <c r="OLJ61" s="235" t="s">
        <v>388</v>
      </c>
      <c r="OLK61" s="237" t="s">
        <v>727</v>
      </c>
      <c r="OLL61" s="237" t="s">
        <v>221</v>
      </c>
      <c r="OLM61" s="235" t="s">
        <v>2</v>
      </c>
      <c r="OLN61" s="235" t="s">
        <v>3</v>
      </c>
      <c r="OLO61" s="235" t="s">
        <v>618</v>
      </c>
      <c r="OLP61" s="235" t="s">
        <v>1410</v>
      </c>
      <c r="OLQ61" s="235" t="s">
        <v>1411</v>
      </c>
      <c r="OLR61" s="235" t="s">
        <v>388</v>
      </c>
      <c r="OLS61" s="237" t="s">
        <v>727</v>
      </c>
      <c r="OLT61" s="237" t="s">
        <v>221</v>
      </c>
      <c r="OLU61" s="235" t="s">
        <v>2</v>
      </c>
      <c r="OLV61" s="235" t="s">
        <v>3</v>
      </c>
      <c r="OLW61" s="235" t="s">
        <v>618</v>
      </c>
      <c r="OLX61" s="235" t="s">
        <v>1410</v>
      </c>
      <c r="OLY61" s="235" t="s">
        <v>1411</v>
      </c>
      <c r="OLZ61" s="235" t="s">
        <v>388</v>
      </c>
      <c r="OMA61" s="237" t="s">
        <v>727</v>
      </c>
      <c r="OMB61" s="237" t="s">
        <v>221</v>
      </c>
      <c r="OMC61" s="235" t="s">
        <v>2</v>
      </c>
      <c r="OMD61" s="235" t="s">
        <v>3</v>
      </c>
      <c r="OME61" s="235" t="s">
        <v>618</v>
      </c>
      <c r="OMF61" s="235" t="s">
        <v>1410</v>
      </c>
      <c r="OMG61" s="235" t="s">
        <v>1411</v>
      </c>
      <c r="OMH61" s="235" t="s">
        <v>388</v>
      </c>
      <c r="OMI61" s="237" t="s">
        <v>727</v>
      </c>
      <c r="OMJ61" s="237" t="s">
        <v>221</v>
      </c>
      <c r="OMK61" s="235" t="s">
        <v>2</v>
      </c>
      <c r="OML61" s="235" t="s">
        <v>3</v>
      </c>
      <c r="OMM61" s="235" t="s">
        <v>618</v>
      </c>
      <c r="OMN61" s="235" t="s">
        <v>1410</v>
      </c>
      <c r="OMO61" s="235" t="s">
        <v>1411</v>
      </c>
      <c r="OMP61" s="235" t="s">
        <v>388</v>
      </c>
      <c r="OMQ61" s="237" t="s">
        <v>727</v>
      </c>
      <c r="OMR61" s="237" t="s">
        <v>221</v>
      </c>
      <c r="OMS61" s="235" t="s">
        <v>2</v>
      </c>
      <c r="OMT61" s="235" t="s">
        <v>3</v>
      </c>
      <c r="OMU61" s="235" t="s">
        <v>618</v>
      </c>
      <c r="OMV61" s="235" t="s">
        <v>1410</v>
      </c>
      <c r="OMW61" s="235" t="s">
        <v>1411</v>
      </c>
      <c r="OMX61" s="235" t="s">
        <v>388</v>
      </c>
      <c r="OMY61" s="237" t="s">
        <v>727</v>
      </c>
      <c r="OMZ61" s="237" t="s">
        <v>221</v>
      </c>
      <c r="ONA61" s="235" t="s">
        <v>2</v>
      </c>
      <c r="ONB61" s="235" t="s">
        <v>3</v>
      </c>
      <c r="ONC61" s="235" t="s">
        <v>618</v>
      </c>
      <c r="OND61" s="235" t="s">
        <v>1410</v>
      </c>
      <c r="ONE61" s="235" t="s">
        <v>1411</v>
      </c>
      <c r="ONF61" s="235" t="s">
        <v>388</v>
      </c>
      <c r="ONG61" s="237" t="s">
        <v>727</v>
      </c>
      <c r="ONH61" s="237" t="s">
        <v>221</v>
      </c>
      <c r="ONI61" s="235" t="s">
        <v>2</v>
      </c>
      <c r="ONJ61" s="235" t="s">
        <v>3</v>
      </c>
      <c r="ONK61" s="235" t="s">
        <v>618</v>
      </c>
      <c r="ONL61" s="235" t="s">
        <v>1410</v>
      </c>
      <c r="ONM61" s="235" t="s">
        <v>1411</v>
      </c>
      <c r="ONN61" s="235" t="s">
        <v>388</v>
      </c>
      <c r="ONO61" s="237" t="s">
        <v>727</v>
      </c>
      <c r="ONP61" s="237" t="s">
        <v>221</v>
      </c>
      <c r="ONQ61" s="235" t="s">
        <v>2</v>
      </c>
      <c r="ONR61" s="235" t="s">
        <v>3</v>
      </c>
      <c r="ONS61" s="235" t="s">
        <v>618</v>
      </c>
      <c r="ONT61" s="235" t="s">
        <v>1410</v>
      </c>
      <c r="ONU61" s="235" t="s">
        <v>1411</v>
      </c>
      <c r="ONV61" s="235" t="s">
        <v>388</v>
      </c>
      <c r="ONW61" s="237" t="s">
        <v>727</v>
      </c>
      <c r="ONX61" s="237" t="s">
        <v>221</v>
      </c>
      <c r="ONY61" s="235" t="s">
        <v>2</v>
      </c>
      <c r="ONZ61" s="235" t="s">
        <v>3</v>
      </c>
      <c r="OOA61" s="235" t="s">
        <v>618</v>
      </c>
      <c r="OOB61" s="235" t="s">
        <v>1410</v>
      </c>
      <c r="OOC61" s="235" t="s">
        <v>1411</v>
      </c>
      <c r="OOD61" s="235" t="s">
        <v>388</v>
      </c>
      <c r="OOE61" s="237" t="s">
        <v>727</v>
      </c>
      <c r="OOF61" s="237" t="s">
        <v>221</v>
      </c>
      <c r="OOG61" s="235" t="s">
        <v>2</v>
      </c>
      <c r="OOH61" s="235" t="s">
        <v>3</v>
      </c>
      <c r="OOI61" s="235" t="s">
        <v>618</v>
      </c>
      <c r="OOJ61" s="235" t="s">
        <v>1410</v>
      </c>
      <c r="OOK61" s="235" t="s">
        <v>1411</v>
      </c>
      <c r="OOL61" s="235" t="s">
        <v>388</v>
      </c>
      <c r="OOM61" s="237" t="s">
        <v>727</v>
      </c>
      <c r="OON61" s="237" t="s">
        <v>221</v>
      </c>
      <c r="OOO61" s="235" t="s">
        <v>2</v>
      </c>
      <c r="OOP61" s="235" t="s">
        <v>3</v>
      </c>
      <c r="OOQ61" s="235" t="s">
        <v>618</v>
      </c>
      <c r="OOR61" s="235" t="s">
        <v>1410</v>
      </c>
      <c r="OOS61" s="235" t="s">
        <v>1411</v>
      </c>
      <c r="OOT61" s="235" t="s">
        <v>388</v>
      </c>
      <c r="OOU61" s="237" t="s">
        <v>727</v>
      </c>
      <c r="OOV61" s="237" t="s">
        <v>221</v>
      </c>
      <c r="OOW61" s="235" t="s">
        <v>2</v>
      </c>
      <c r="OOX61" s="235" t="s">
        <v>3</v>
      </c>
      <c r="OOY61" s="235" t="s">
        <v>618</v>
      </c>
      <c r="OOZ61" s="235" t="s">
        <v>1410</v>
      </c>
      <c r="OPA61" s="235" t="s">
        <v>1411</v>
      </c>
      <c r="OPB61" s="235" t="s">
        <v>388</v>
      </c>
      <c r="OPC61" s="237" t="s">
        <v>727</v>
      </c>
      <c r="OPD61" s="237" t="s">
        <v>221</v>
      </c>
      <c r="OPE61" s="235" t="s">
        <v>2</v>
      </c>
      <c r="OPF61" s="235" t="s">
        <v>3</v>
      </c>
      <c r="OPG61" s="235" t="s">
        <v>618</v>
      </c>
      <c r="OPH61" s="235" t="s">
        <v>1410</v>
      </c>
      <c r="OPI61" s="235" t="s">
        <v>1411</v>
      </c>
      <c r="OPJ61" s="235" t="s">
        <v>388</v>
      </c>
      <c r="OPK61" s="237" t="s">
        <v>727</v>
      </c>
      <c r="OPL61" s="237" t="s">
        <v>221</v>
      </c>
      <c r="OPM61" s="235" t="s">
        <v>2</v>
      </c>
      <c r="OPN61" s="235" t="s">
        <v>3</v>
      </c>
      <c r="OPO61" s="235" t="s">
        <v>618</v>
      </c>
      <c r="OPP61" s="235" t="s">
        <v>1410</v>
      </c>
      <c r="OPQ61" s="235" t="s">
        <v>1411</v>
      </c>
      <c r="OPR61" s="235" t="s">
        <v>388</v>
      </c>
      <c r="OPS61" s="237" t="s">
        <v>727</v>
      </c>
      <c r="OPT61" s="237" t="s">
        <v>221</v>
      </c>
      <c r="OPU61" s="235" t="s">
        <v>2</v>
      </c>
      <c r="OPV61" s="235" t="s">
        <v>3</v>
      </c>
      <c r="OPW61" s="235" t="s">
        <v>618</v>
      </c>
      <c r="OPX61" s="235" t="s">
        <v>1410</v>
      </c>
      <c r="OPY61" s="235" t="s">
        <v>1411</v>
      </c>
      <c r="OPZ61" s="235" t="s">
        <v>388</v>
      </c>
      <c r="OQA61" s="237" t="s">
        <v>727</v>
      </c>
      <c r="OQB61" s="237" t="s">
        <v>221</v>
      </c>
      <c r="OQC61" s="235" t="s">
        <v>2</v>
      </c>
      <c r="OQD61" s="235" t="s">
        <v>3</v>
      </c>
      <c r="OQE61" s="235" t="s">
        <v>618</v>
      </c>
      <c r="OQF61" s="235" t="s">
        <v>1410</v>
      </c>
      <c r="OQG61" s="235" t="s">
        <v>1411</v>
      </c>
      <c r="OQH61" s="235" t="s">
        <v>388</v>
      </c>
      <c r="OQI61" s="237" t="s">
        <v>727</v>
      </c>
      <c r="OQJ61" s="237" t="s">
        <v>221</v>
      </c>
      <c r="OQK61" s="235" t="s">
        <v>2</v>
      </c>
      <c r="OQL61" s="235" t="s">
        <v>3</v>
      </c>
      <c r="OQM61" s="235" t="s">
        <v>618</v>
      </c>
      <c r="OQN61" s="235" t="s">
        <v>1410</v>
      </c>
      <c r="OQO61" s="235" t="s">
        <v>1411</v>
      </c>
      <c r="OQP61" s="235" t="s">
        <v>388</v>
      </c>
      <c r="OQQ61" s="237" t="s">
        <v>727</v>
      </c>
      <c r="OQR61" s="237" t="s">
        <v>221</v>
      </c>
      <c r="OQS61" s="235" t="s">
        <v>2</v>
      </c>
      <c r="OQT61" s="235" t="s">
        <v>3</v>
      </c>
      <c r="OQU61" s="235" t="s">
        <v>618</v>
      </c>
      <c r="OQV61" s="235" t="s">
        <v>1410</v>
      </c>
      <c r="OQW61" s="235" t="s">
        <v>1411</v>
      </c>
      <c r="OQX61" s="235" t="s">
        <v>388</v>
      </c>
      <c r="OQY61" s="237" t="s">
        <v>727</v>
      </c>
      <c r="OQZ61" s="237" t="s">
        <v>221</v>
      </c>
      <c r="ORA61" s="235" t="s">
        <v>2</v>
      </c>
      <c r="ORB61" s="235" t="s">
        <v>3</v>
      </c>
      <c r="ORC61" s="235" t="s">
        <v>618</v>
      </c>
      <c r="ORD61" s="235" t="s">
        <v>1410</v>
      </c>
      <c r="ORE61" s="235" t="s">
        <v>1411</v>
      </c>
      <c r="ORF61" s="235" t="s">
        <v>388</v>
      </c>
      <c r="ORG61" s="237" t="s">
        <v>727</v>
      </c>
      <c r="ORH61" s="237" t="s">
        <v>221</v>
      </c>
      <c r="ORI61" s="235" t="s">
        <v>2</v>
      </c>
      <c r="ORJ61" s="235" t="s">
        <v>3</v>
      </c>
      <c r="ORK61" s="235" t="s">
        <v>618</v>
      </c>
      <c r="ORL61" s="235" t="s">
        <v>1410</v>
      </c>
      <c r="ORM61" s="235" t="s">
        <v>1411</v>
      </c>
      <c r="ORN61" s="235" t="s">
        <v>388</v>
      </c>
      <c r="ORO61" s="237" t="s">
        <v>727</v>
      </c>
      <c r="ORP61" s="237" t="s">
        <v>221</v>
      </c>
      <c r="ORQ61" s="235" t="s">
        <v>2</v>
      </c>
      <c r="ORR61" s="235" t="s">
        <v>3</v>
      </c>
      <c r="ORS61" s="235" t="s">
        <v>618</v>
      </c>
      <c r="ORT61" s="235" t="s">
        <v>1410</v>
      </c>
      <c r="ORU61" s="235" t="s">
        <v>1411</v>
      </c>
      <c r="ORV61" s="235" t="s">
        <v>388</v>
      </c>
      <c r="ORW61" s="237" t="s">
        <v>727</v>
      </c>
      <c r="ORX61" s="237" t="s">
        <v>221</v>
      </c>
      <c r="ORY61" s="235" t="s">
        <v>2</v>
      </c>
      <c r="ORZ61" s="235" t="s">
        <v>3</v>
      </c>
      <c r="OSA61" s="235" t="s">
        <v>618</v>
      </c>
      <c r="OSB61" s="235" t="s">
        <v>1410</v>
      </c>
      <c r="OSC61" s="235" t="s">
        <v>1411</v>
      </c>
      <c r="OSD61" s="235" t="s">
        <v>388</v>
      </c>
      <c r="OSE61" s="237" t="s">
        <v>727</v>
      </c>
      <c r="OSF61" s="237" t="s">
        <v>221</v>
      </c>
      <c r="OSG61" s="235" t="s">
        <v>2</v>
      </c>
      <c r="OSH61" s="235" t="s">
        <v>3</v>
      </c>
      <c r="OSI61" s="235" t="s">
        <v>618</v>
      </c>
      <c r="OSJ61" s="235" t="s">
        <v>1410</v>
      </c>
      <c r="OSK61" s="235" t="s">
        <v>1411</v>
      </c>
      <c r="OSL61" s="235" t="s">
        <v>388</v>
      </c>
      <c r="OSM61" s="237" t="s">
        <v>727</v>
      </c>
      <c r="OSN61" s="237" t="s">
        <v>221</v>
      </c>
      <c r="OSO61" s="235" t="s">
        <v>2</v>
      </c>
      <c r="OSP61" s="235" t="s">
        <v>3</v>
      </c>
      <c r="OSQ61" s="235" t="s">
        <v>618</v>
      </c>
      <c r="OSR61" s="235" t="s">
        <v>1410</v>
      </c>
      <c r="OSS61" s="235" t="s">
        <v>1411</v>
      </c>
      <c r="OST61" s="235" t="s">
        <v>388</v>
      </c>
      <c r="OSU61" s="237" t="s">
        <v>727</v>
      </c>
      <c r="OSV61" s="237" t="s">
        <v>221</v>
      </c>
      <c r="OSW61" s="235" t="s">
        <v>2</v>
      </c>
      <c r="OSX61" s="235" t="s">
        <v>3</v>
      </c>
      <c r="OSY61" s="235" t="s">
        <v>618</v>
      </c>
      <c r="OSZ61" s="235" t="s">
        <v>1410</v>
      </c>
      <c r="OTA61" s="235" t="s">
        <v>1411</v>
      </c>
      <c r="OTB61" s="235" t="s">
        <v>388</v>
      </c>
      <c r="OTC61" s="237" t="s">
        <v>727</v>
      </c>
      <c r="OTD61" s="237" t="s">
        <v>221</v>
      </c>
      <c r="OTE61" s="235" t="s">
        <v>2</v>
      </c>
      <c r="OTF61" s="235" t="s">
        <v>3</v>
      </c>
      <c r="OTG61" s="235" t="s">
        <v>618</v>
      </c>
      <c r="OTH61" s="235" t="s">
        <v>1410</v>
      </c>
      <c r="OTI61" s="235" t="s">
        <v>1411</v>
      </c>
      <c r="OTJ61" s="235" t="s">
        <v>388</v>
      </c>
      <c r="OTK61" s="237" t="s">
        <v>727</v>
      </c>
      <c r="OTL61" s="237" t="s">
        <v>221</v>
      </c>
      <c r="OTM61" s="235" t="s">
        <v>2</v>
      </c>
      <c r="OTN61" s="235" t="s">
        <v>3</v>
      </c>
      <c r="OTO61" s="235" t="s">
        <v>618</v>
      </c>
      <c r="OTP61" s="235" t="s">
        <v>1410</v>
      </c>
      <c r="OTQ61" s="235" t="s">
        <v>1411</v>
      </c>
      <c r="OTR61" s="235" t="s">
        <v>388</v>
      </c>
      <c r="OTS61" s="237" t="s">
        <v>727</v>
      </c>
      <c r="OTT61" s="237" t="s">
        <v>221</v>
      </c>
      <c r="OTU61" s="235" t="s">
        <v>2</v>
      </c>
      <c r="OTV61" s="235" t="s">
        <v>3</v>
      </c>
      <c r="OTW61" s="235" t="s">
        <v>618</v>
      </c>
      <c r="OTX61" s="235" t="s">
        <v>1410</v>
      </c>
      <c r="OTY61" s="235" t="s">
        <v>1411</v>
      </c>
      <c r="OTZ61" s="235" t="s">
        <v>388</v>
      </c>
      <c r="OUA61" s="237" t="s">
        <v>727</v>
      </c>
      <c r="OUB61" s="237" t="s">
        <v>221</v>
      </c>
      <c r="OUC61" s="235" t="s">
        <v>2</v>
      </c>
      <c r="OUD61" s="235" t="s">
        <v>3</v>
      </c>
      <c r="OUE61" s="235" t="s">
        <v>618</v>
      </c>
      <c r="OUF61" s="235" t="s">
        <v>1410</v>
      </c>
      <c r="OUG61" s="235" t="s">
        <v>1411</v>
      </c>
      <c r="OUH61" s="235" t="s">
        <v>388</v>
      </c>
      <c r="OUI61" s="237" t="s">
        <v>727</v>
      </c>
      <c r="OUJ61" s="237" t="s">
        <v>221</v>
      </c>
      <c r="OUK61" s="235" t="s">
        <v>2</v>
      </c>
      <c r="OUL61" s="235" t="s">
        <v>3</v>
      </c>
      <c r="OUM61" s="235" t="s">
        <v>618</v>
      </c>
      <c r="OUN61" s="235" t="s">
        <v>1410</v>
      </c>
      <c r="OUO61" s="235" t="s">
        <v>1411</v>
      </c>
      <c r="OUP61" s="235" t="s">
        <v>388</v>
      </c>
      <c r="OUQ61" s="237" t="s">
        <v>727</v>
      </c>
      <c r="OUR61" s="237" t="s">
        <v>221</v>
      </c>
      <c r="OUS61" s="235" t="s">
        <v>2</v>
      </c>
      <c r="OUT61" s="235" t="s">
        <v>3</v>
      </c>
      <c r="OUU61" s="235" t="s">
        <v>618</v>
      </c>
      <c r="OUV61" s="235" t="s">
        <v>1410</v>
      </c>
      <c r="OUW61" s="235" t="s">
        <v>1411</v>
      </c>
      <c r="OUX61" s="235" t="s">
        <v>388</v>
      </c>
      <c r="OUY61" s="237" t="s">
        <v>727</v>
      </c>
      <c r="OUZ61" s="237" t="s">
        <v>221</v>
      </c>
      <c r="OVA61" s="235" t="s">
        <v>2</v>
      </c>
      <c r="OVB61" s="235" t="s">
        <v>3</v>
      </c>
      <c r="OVC61" s="235" t="s">
        <v>618</v>
      </c>
      <c r="OVD61" s="235" t="s">
        <v>1410</v>
      </c>
      <c r="OVE61" s="235" t="s">
        <v>1411</v>
      </c>
      <c r="OVF61" s="235" t="s">
        <v>388</v>
      </c>
      <c r="OVG61" s="237" t="s">
        <v>727</v>
      </c>
      <c r="OVH61" s="237" t="s">
        <v>221</v>
      </c>
      <c r="OVI61" s="235" t="s">
        <v>2</v>
      </c>
      <c r="OVJ61" s="235" t="s">
        <v>3</v>
      </c>
      <c r="OVK61" s="235" t="s">
        <v>618</v>
      </c>
      <c r="OVL61" s="235" t="s">
        <v>1410</v>
      </c>
      <c r="OVM61" s="235" t="s">
        <v>1411</v>
      </c>
      <c r="OVN61" s="235" t="s">
        <v>388</v>
      </c>
      <c r="OVO61" s="237" t="s">
        <v>727</v>
      </c>
      <c r="OVP61" s="237" t="s">
        <v>221</v>
      </c>
      <c r="OVQ61" s="235" t="s">
        <v>2</v>
      </c>
      <c r="OVR61" s="235" t="s">
        <v>3</v>
      </c>
      <c r="OVS61" s="235" t="s">
        <v>618</v>
      </c>
      <c r="OVT61" s="235" t="s">
        <v>1410</v>
      </c>
      <c r="OVU61" s="235" t="s">
        <v>1411</v>
      </c>
      <c r="OVV61" s="235" t="s">
        <v>388</v>
      </c>
      <c r="OVW61" s="237" t="s">
        <v>727</v>
      </c>
      <c r="OVX61" s="237" t="s">
        <v>221</v>
      </c>
      <c r="OVY61" s="235" t="s">
        <v>2</v>
      </c>
      <c r="OVZ61" s="235" t="s">
        <v>3</v>
      </c>
      <c r="OWA61" s="235" t="s">
        <v>618</v>
      </c>
      <c r="OWB61" s="235" t="s">
        <v>1410</v>
      </c>
      <c r="OWC61" s="235" t="s">
        <v>1411</v>
      </c>
      <c r="OWD61" s="235" t="s">
        <v>388</v>
      </c>
      <c r="OWE61" s="237" t="s">
        <v>727</v>
      </c>
      <c r="OWF61" s="237" t="s">
        <v>221</v>
      </c>
      <c r="OWG61" s="235" t="s">
        <v>2</v>
      </c>
      <c r="OWH61" s="235" t="s">
        <v>3</v>
      </c>
      <c r="OWI61" s="235" t="s">
        <v>618</v>
      </c>
      <c r="OWJ61" s="235" t="s">
        <v>1410</v>
      </c>
      <c r="OWK61" s="235" t="s">
        <v>1411</v>
      </c>
      <c r="OWL61" s="235" t="s">
        <v>388</v>
      </c>
      <c r="OWM61" s="237" t="s">
        <v>727</v>
      </c>
      <c r="OWN61" s="237" t="s">
        <v>221</v>
      </c>
      <c r="OWO61" s="235" t="s">
        <v>2</v>
      </c>
      <c r="OWP61" s="235" t="s">
        <v>3</v>
      </c>
      <c r="OWQ61" s="235" t="s">
        <v>618</v>
      </c>
      <c r="OWR61" s="235" t="s">
        <v>1410</v>
      </c>
      <c r="OWS61" s="235" t="s">
        <v>1411</v>
      </c>
      <c r="OWT61" s="235" t="s">
        <v>388</v>
      </c>
      <c r="OWU61" s="237" t="s">
        <v>727</v>
      </c>
      <c r="OWV61" s="237" t="s">
        <v>221</v>
      </c>
      <c r="OWW61" s="235" t="s">
        <v>2</v>
      </c>
      <c r="OWX61" s="235" t="s">
        <v>3</v>
      </c>
      <c r="OWY61" s="235" t="s">
        <v>618</v>
      </c>
      <c r="OWZ61" s="235" t="s">
        <v>1410</v>
      </c>
      <c r="OXA61" s="235" t="s">
        <v>1411</v>
      </c>
      <c r="OXB61" s="235" t="s">
        <v>388</v>
      </c>
      <c r="OXC61" s="237" t="s">
        <v>727</v>
      </c>
      <c r="OXD61" s="237" t="s">
        <v>221</v>
      </c>
      <c r="OXE61" s="235" t="s">
        <v>2</v>
      </c>
      <c r="OXF61" s="235" t="s">
        <v>3</v>
      </c>
      <c r="OXG61" s="235" t="s">
        <v>618</v>
      </c>
      <c r="OXH61" s="235" t="s">
        <v>1410</v>
      </c>
      <c r="OXI61" s="235" t="s">
        <v>1411</v>
      </c>
      <c r="OXJ61" s="235" t="s">
        <v>388</v>
      </c>
      <c r="OXK61" s="237" t="s">
        <v>727</v>
      </c>
      <c r="OXL61" s="237" t="s">
        <v>221</v>
      </c>
      <c r="OXM61" s="235" t="s">
        <v>2</v>
      </c>
      <c r="OXN61" s="235" t="s">
        <v>3</v>
      </c>
      <c r="OXO61" s="235" t="s">
        <v>618</v>
      </c>
      <c r="OXP61" s="235" t="s">
        <v>1410</v>
      </c>
      <c r="OXQ61" s="235" t="s">
        <v>1411</v>
      </c>
      <c r="OXR61" s="235" t="s">
        <v>388</v>
      </c>
      <c r="OXS61" s="237" t="s">
        <v>727</v>
      </c>
      <c r="OXT61" s="237" t="s">
        <v>221</v>
      </c>
      <c r="OXU61" s="235" t="s">
        <v>2</v>
      </c>
      <c r="OXV61" s="235" t="s">
        <v>3</v>
      </c>
      <c r="OXW61" s="235" t="s">
        <v>618</v>
      </c>
      <c r="OXX61" s="235" t="s">
        <v>1410</v>
      </c>
      <c r="OXY61" s="235" t="s">
        <v>1411</v>
      </c>
      <c r="OXZ61" s="235" t="s">
        <v>388</v>
      </c>
      <c r="OYA61" s="237" t="s">
        <v>727</v>
      </c>
      <c r="OYB61" s="237" t="s">
        <v>221</v>
      </c>
      <c r="OYC61" s="235" t="s">
        <v>2</v>
      </c>
      <c r="OYD61" s="235" t="s">
        <v>3</v>
      </c>
      <c r="OYE61" s="235" t="s">
        <v>618</v>
      </c>
      <c r="OYF61" s="235" t="s">
        <v>1410</v>
      </c>
      <c r="OYG61" s="235" t="s">
        <v>1411</v>
      </c>
      <c r="OYH61" s="235" t="s">
        <v>388</v>
      </c>
      <c r="OYI61" s="237" t="s">
        <v>727</v>
      </c>
      <c r="OYJ61" s="237" t="s">
        <v>221</v>
      </c>
      <c r="OYK61" s="235" t="s">
        <v>2</v>
      </c>
      <c r="OYL61" s="235" t="s">
        <v>3</v>
      </c>
      <c r="OYM61" s="235" t="s">
        <v>618</v>
      </c>
      <c r="OYN61" s="235" t="s">
        <v>1410</v>
      </c>
      <c r="OYO61" s="235" t="s">
        <v>1411</v>
      </c>
      <c r="OYP61" s="235" t="s">
        <v>388</v>
      </c>
      <c r="OYQ61" s="237" t="s">
        <v>727</v>
      </c>
      <c r="OYR61" s="237" t="s">
        <v>221</v>
      </c>
      <c r="OYS61" s="235" t="s">
        <v>2</v>
      </c>
      <c r="OYT61" s="235" t="s">
        <v>3</v>
      </c>
      <c r="OYU61" s="235" t="s">
        <v>618</v>
      </c>
      <c r="OYV61" s="235" t="s">
        <v>1410</v>
      </c>
      <c r="OYW61" s="235" t="s">
        <v>1411</v>
      </c>
      <c r="OYX61" s="235" t="s">
        <v>388</v>
      </c>
      <c r="OYY61" s="237" t="s">
        <v>727</v>
      </c>
      <c r="OYZ61" s="237" t="s">
        <v>221</v>
      </c>
      <c r="OZA61" s="235" t="s">
        <v>2</v>
      </c>
      <c r="OZB61" s="235" t="s">
        <v>3</v>
      </c>
      <c r="OZC61" s="235" t="s">
        <v>618</v>
      </c>
      <c r="OZD61" s="235" t="s">
        <v>1410</v>
      </c>
      <c r="OZE61" s="235" t="s">
        <v>1411</v>
      </c>
      <c r="OZF61" s="235" t="s">
        <v>388</v>
      </c>
      <c r="OZG61" s="237" t="s">
        <v>727</v>
      </c>
      <c r="OZH61" s="237" t="s">
        <v>221</v>
      </c>
      <c r="OZI61" s="235" t="s">
        <v>2</v>
      </c>
      <c r="OZJ61" s="235" t="s">
        <v>3</v>
      </c>
      <c r="OZK61" s="235" t="s">
        <v>618</v>
      </c>
      <c r="OZL61" s="235" t="s">
        <v>1410</v>
      </c>
      <c r="OZM61" s="235" t="s">
        <v>1411</v>
      </c>
      <c r="OZN61" s="235" t="s">
        <v>388</v>
      </c>
      <c r="OZO61" s="237" t="s">
        <v>727</v>
      </c>
      <c r="OZP61" s="237" t="s">
        <v>221</v>
      </c>
      <c r="OZQ61" s="235" t="s">
        <v>2</v>
      </c>
      <c r="OZR61" s="235" t="s">
        <v>3</v>
      </c>
      <c r="OZS61" s="235" t="s">
        <v>618</v>
      </c>
      <c r="OZT61" s="235" t="s">
        <v>1410</v>
      </c>
      <c r="OZU61" s="235" t="s">
        <v>1411</v>
      </c>
      <c r="OZV61" s="235" t="s">
        <v>388</v>
      </c>
      <c r="OZW61" s="237" t="s">
        <v>727</v>
      </c>
      <c r="OZX61" s="237" t="s">
        <v>221</v>
      </c>
      <c r="OZY61" s="235" t="s">
        <v>2</v>
      </c>
      <c r="OZZ61" s="235" t="s">
        <v>3</v>
      </c>
      <c r="PAA61" s="235" t="s">
        <v>618</v>
      </c>
      <c r="PAB61" s="235" t="s">
        <v>1410</v>
      </c>
      <c r="PAC61" s="235" t="s">
        <v>1411</v>
      </c>
      <c r="PAD61" s="235" t="s">
        <v>388</v>
      </c>
      <c r="PAE61" s="237" t="s">
        <v>727</v>
      </c>
      <c r="PAF61" s="237" t="s">
        <v>221</v>
      </c>
      <c r="PAG61" s="235" t="s">
        <v>2</v>
      </c>
      <c r="PAH61" s="235" t="s">
        <v>3</v>
      </c>
      <c r="PAI61" s="235" t="s">
        <v>618</v>
      </c>
      <c r="PAJ61" s="235" t="s">
        <v>1410</v>
      </c>
      <c r="PAK61" s="235" t="s">
        <v>1411</v>
      </c>
      <c r="PAL61" s="235" t="s">
        <v>388</v>
      </c>
      <c r="PAM61" s="237" t="s">
        <v>727</v>
      </c>
      <c r="PAN61" s="237" t="s">
        <v>221</v>
      </c>
      <c r="PAO61" s="235" t="s">
        <v>2</v>
      </c>
      <c r="PAP61" s="235" t="s">
        <v>3</v>
      </c>
      <c r="PAQ61" s="235" t="s">
        <v>618</v>
      </c>
      <c r="PAR61" s="235" t="s">
        <v>1410</v>
      </c>
      <c r="PAS61" s="235" t="s">
        <v>1411</v>
      </c>
      <c r="PAT61" s="235" t="s">
        <v>388</v>
      </c>
      <c r="PAU61" s="237" t="s">
        <v>727</v>
      </c>
      <c r="PAV61" s="237" t="s">
        <v>221</v>
      </c>
      <c r="PAW61" s="235" t="s">
        <v>2</v>
      </c>
      <c r="PAX61" s="235" t="s">
        <v>3</v>
      </c>
      <c r="PAY61" s="235" t="s">
        <v>618</v>
      </c>
      <c r="PAZ61" s="235" t="s">
        <v>1410</v>
      </c>
      <c r="PBA61" s="235" t="s">
        <v>1411</v>
      </c>
      <c r="PBB61" s="235" t="s">
        <v>388</v>
      </c>
      <c r="PBC61" s="237" t="s">
        <v>727</v>
      </c>
      <c r="PBD61" s="237" t="s">
        <v>221</v>
      </c>
      <c r="PBE61" s="235" t="s">
        <v>2</v>
      </c>
      <c r="PBF61" s="235" t="s">
        <v>3</v>
      </c>
      <c r="PBG61" s="235" t="s">
        <v>618</v>
      </c>
      <c r="PBH61" s="235" t="s">
        <v>1410</v>
      </c>
      <c r="PBI61" s="235" t="s">
        <v>1411</v>
      </c>
      <c r="PBJ61" s="235" t="s">
        <v>388</v>
      </c>
      <c r="PBK61" s="237" t="s">
        <v>727</v>
      </c>
      <c r="PBL61" s="237" t="s">
        <v>221</v>
      </c>
      <c r="PBM61" s="235" t="s">
        <v>2</v>
      </c>
      <c r="PBN61" s="235" t="s">
        <v>3</v>
      </c>
      <c r="PBO61" s="235" t="s">
        <v>618</v>
      </c>
      <c r="PBP61" s="235" t="s">
        <v>1410</v>
      </c>
      <c r="PBQ61" s="235" t="s">
        <v>1411</v>
      </c>
      <c r="PBR61" s="235" t="s">
        <v>388</v>
      </c>
      <c r="PBS61" s="237" t="s">
        <v>727</v>
      </c>
      <c r="PBT61" s="237" t="s">
        <v>221</v>
      </c>
      <c r="PBU61" s="235" t="s">
        <v>2</v>
      </c>
      <c r="PBV61" s="235" t="s">
        <v>3</v>
      </c>
      <c r="PBW61" s="235" t="s">
        <v>618</v>
      </c>
      <c r="PBX61" s="235" t="s">
        <v>1410</v>
      </c>
      <c r="PBY61" s="235" t="s">
        <v>1411</v>
      </c>
      <c r="PBZ61" s="235" t="s">
        <v>388</v>
      </c>
      <c r="PCA61" s="237" t="s">
        <v>727</v>
      </c>
      <c r="PCB61" s="237" t="s">
        <v>221</v>
      </c>
      <c r="PCC61" s="235" t="s">
        <v>2</v>
      </c>
      <c r="PCD61" s="235" t="s">
        <v>3</v>
      </c>
      <c r="PCE61" s="235" t="s">
        <v>618</v>
      </c>
      <c r="PCF61" s="235" t="s">
        <v>1410</v>
      </c>
      <c r="PCG61" s="235" t="s">
        <v>1411</v>
      </c>
      <c r="PCH61" s="235" t="s">
        <v>388</v>
      </c>
      <c r="PCI61" s="237" t="s">
        <v>727</v>
      </c>
      <c r="PCJ61" s="237" t="s">
        <v>221</v>
      </c>
      <c r="PCK61" s="235" t="s">
        <v>2</v>
      </c>
      <c r="PCL61" s="235" t="s">
        <v>3</v>
      </c>
      <c r="PCM61" s="235" t="s">
        <v>618</v>
      </c>
      <c r="PCN61" s="235" t="s">
        <v>1410</v>
      </c>
      <c r="PCO61" s="235" t="s">
        <v>1411</v>
      </c>
      <c r="PCP61" s="235" t="s">
        <v>388</v>
      </c>
      <c r="PCQ61" s="237" t="s">
        <v>727</v>
      </c>
      <c r="PCR61" s="237" t="s">
        <v>221</v>
      </c>
      <c r="PCS61" s="235" t="s">
        <v>2</v>
      </c>
      <c r="PCT61" s="235" t="s">
        <v>3</v>
      </c>
      <c r="PCU61" s="235" t="s">
        <v>618</v>
      </c>
      <c r="PCV61" s="235" t="s">
        <v>1410</v>
      </c>
      <c r="PCW61" s="235" t="s">
        <v>1411</v>
      </c>
      <c r="PCX61" s="235" t="s">
        <v>388</v>
      </c>
      <c r="PCY61" s="237" t="s">
        <v>727</v>
      </c>
      <c r="PCZ61" s="237" t="s">
        <v>221</v>
      </c>
      <c r="PDA61" s="235" t="s">
        <v>2</v>
      </c>
      <c r="PDB61" s="235" t="s">
        <v>3</v>
      </c>
      <c r="PDC61" s="235" t="s">
        <v>618</v>
      </c>
      <c r="PDD61" s="235" t="s">
        <v>1410</v>
      </c>
      <c r="PDE61" s="235" t="s">
        <v>1411</v>
      </c>
      <c r="PDF61" s="235" t="s">
        <v>388</v>
      </c>
      <c r="PDG61" s="237" t="s">
        <v>727</v>
      </c>
      <c r="PDH61" s="237" t="s">
        <v>221</v>
      </c>
      <c r="PDI61" s="235" t="s">
        <v>2</v>
      </c>
      <c r="PDJ61" s="235" t="s">
        <v>3</v>
      </c>
      <c r="PDK61" s="235" t="s">
        <v>618</v>
      </c>
      <c r="PDL61" s="235" t="s">
        <v>1410</v>
      </c>
      <c r="PDM61" s="235" t="s">
        <v>1411</v>
      </c>
      <c r="PDN61" s="235" t="s">
        <v>388</v>
      </c>
      <c r="PDO61" s="237" t="s">
        <v>727</v>
      </c>
      <c r="PDP61" s="237" t="s">
        <v>221</v>
      </c>
      <c r="PDQ61" s="235" t="s">
        <v>2</v>
      </c>
      <c r="PDR61" s="235" t="s">
        <v>3</v>
      </c>
      <c r="PDS61" s="235" t="s">
        <v>618</v>
      </c>
      <c r="PDT61" s="235" t="s">
        <v>1410</v>
      </c>
      <c r="PDU61" s="235" t="s">
        <v>1411</v>
      </c>
      <c r="PDV61" s="235" t="s">
        <v>388</v>
      </c>
      <c r="PDW61" s="237" t="s">
        <v>727</v>
      </c>
      <c r="PDX61" s="237" t="s">
        <v>221</v>
      </c>
      <c r="PDY61" s="235" t="s">
        <v>2</v>
      </c>
      <c r="PDZ61" s="235" t="s">
        <v>3</v>
      </c>
      <c r="PEA61" s="235" t="s">
        <v>618</v>
      </c>
      <c r="PEB61" s="235" t="s">
        <v>1410</v>
      </c>
      <c r="PEC61" s="235" t="s">
        <v>1411</v>
      </c>
      <c r="PED61" s="235" t="s">
        <v>388</v>
      </c>
      <c r="PEE61" s="237" t="s">
        <v>727</v>
      </c>
      <c r="PEF61" s="237" t="s">
        <v>221</v>
      </c>
      <c r="PEG61" s="235" t="s">
        <v>2</v>
      </c>
      <c r="PEH61" s="235" t="s">
        <v>3</v>
      </c>
      <c r="PEI61" s="235" t="s">
        <v>618</v>
      </c>
      <c r="PEJ61" s="235" t="s">
        <v>1410</v>
      </c>
      <c r="PEK61" s="235" t="s">
        <v>1411</v>
      </c>
      <c r="PEL61" s="235" t="s">
        <v>388</v>
      </c>
      <c r="PEM61" s="237" t="s">
        <v>727</v>
      </c>
      <c r="PEN61" s="237" t="s">
        <v>221</v>
      </c>
      <c r="PEO61" s="235" t="s">
        <v>2</v>
      </c>
      <c r="PEP61" s="235" t="s">
        <v>3</v>
      </c>
      <c r="PEQ61" s="235" t="s">
        <v>618</v>
      </c>
      <c r="PER61" s="235" t="s">
        <v>1410</v>
      </c>
      <c r="PES61" s="235" t="s">
        <v>1411</v>
      </c>
      <c r="PET61" s="235" t="s">
        <v>388</v>
      </c>
      <c r="PEU61" s="237" t="s">
        <v>727</v>
      </c>
      <c r="PEV61" s="237" t="s">
        <v>221</v>
      </c>
      <c r="PEW61" s="235" t="s">
        <v>2</v>
      </c>
      <c r="PEX61" s="235" t="s">
        <v>3</v>
      </c>
      <c r="PEY61" s="235" t="s">
        <v>618</v>
      </c>
      <c r="PEZ61" s="235" t="s">
        <v>1410</v>
      </c>
      <c r="PFA61" s="235" t="s">
        <v>1411</v>
      </c>
      <c r="PFB61" s="235" t="s">
        <v>388</v>
      </c>
      <c r="PFC61" s="237" t="s">
        <v>727</v>
      </c>
      <c r="PFD61" s="237" t="s">
        <v>221</v>
      </c>
      <c r="PFE61" s="235" t="s">
        <v>2</v>
      </c>
      <c r="PFF61" s="235" t="s">
        <v>3</v>
      </c>
      <c r="PFG61" s="235" t="s">
        <v>618</v>
      </c>
      <c r="PFH61" s="235" t="s">
        <v>1410</v>
      </c>
      <c r="PFI61" s="235" t="s">
        <v>1411</v>
      </c>
      <c r="PFJ61" s="235" t="s">
        <v>388</v>
      </c>
      <c r="PFK61" s="237" t="s">
        <v>727</v>
      </c>
      <c r="PFL61" s="237" t="s">
        <v>221</v>
      </c>
      <c r="PFM61" s="235" t="s">
        <v>2</v>
      </c>
      <c r="PFN61" s="235" t="s">
        <v>3</v>
      </c>
      <c r="PFO61" s="235" t="s">
        <v>618</v>
      </c>
      <c r="PFP61" s="235" t="s">
        <v>1410</v>
      </c>
      <c r="PFQ61" s="235" t="s">
        <v>1411</v>
      </c>
      <c r="PFR61" s="235" t="s">
        <v>388</v>
      </c>
      <c r="PFS61" s="237" t="s">
        <v>727</v>
      </c>
      <c r="PFT61" s="237" t="s">
        <v>221</v>
      </c>
      <c r="PFU61" s="235" t="s">
        <v>2</v>
      </c>
      <c r="PFV61" s="235" t="s">
        <v>3</v>
      </c>
      <c r="PFW61" s="235" t="s">
        <v>618</v>
      </c>
      <c r="PFX61" s="235" t="s">
        <v>1410</v>
      </c>
      <c r="PFY61" s="235" t="s">
        <v>1411</v>
      </c>
      <c r="PFZ61" s="235" t="s">
        <v>388</v>
      </c>
      <c r="PGA61" s="237" t="s">
        <v>727</v>
      </c>
      <c r="PGB61" s="237" t="s">
        <v>221</v>
      </c>
      <c r="PGC61" s="235" t="s">
        <v>2</v>
      </c>
      <c r="PGD61" s="235" t="s">
        <v>3</v>
      </c>
      <c r="PGE61" s="235" t="s">
        <v>618</v>
      </c>
      <c r="PGF61" s="235" t="s">
        <v>1410</v>
      </c>
      <c r="PGG61" s="235" t="s">
        <v>1411</v>
      </c>
      <c r="PGH61" s="235" t="s">
        <v>388</v>
      </c>
      <c r="PGI61" s="237" t="s">
        <v>727</v>
      </c>
      <c r="PGJ61" s="237" t="s">
        <v>221</v>
      </c>
      <c r="PGK61" s="235" t="s">
        <v>2</v>
      </c>
      <c r="PGL61" s="235" t="s">
        <v>3</v>
      </c>
      <c r="PGM61" s="235" t="s">
        <v>618</v>
      </c>
      <c r="PGN61" s="235" t="s">
        <v>1410</v>
      </c>
      <c r="PGO61" s="235" t="s">
        <v>1411</v>
      </c>
      <c r="PGP61" s="235" t="s">
        <v>388</v>
      </c>
      <c r="PGQ61" s="237" t="s">
        <v>727</v>
      </c>
      <c r="PGR61" s="237" t="s">
        <v>221</v>
      </c>
      <c r="PGS61" s="235" t="s">
        <v>2</v>
      </c>
      <c r="PGT61" s="235" t="s">
        <v>3</v>
      </c>
      <c r="PGU61" s="235" t="s">
        <v>618</v>
      </c>
      <c r="PGV61" s="235" t="s">
        <v>1410</v>
      </c>
      <c r="PGW61" s="235" t="s">
        <v>1411</v>
      </c>
      <c r="PGX61" s="235" t="s">
        <v>388</v>
      </c>
      <c r="PGY61" s="237" t="s">
        <v>727</v>
      </c>
      <c r="PGZ61" s="237" t="s">
        <v>221</v>
      </c>
      <c r="PHA61" s="235" t="s">
        <v>2</v>
      </c>
      <c r="PHB61" s="235" t="s">
        <v>3</v>
      </c>
      <c r="PHC61" s="235" t="s">
        <v>618</v>
      </c>
      <c r="PHD61" s="235" t="s">
        <v>1410</v>
      </c>
      <c r="PHE61" s="235" t="s">
        <v>1411</v>
      </c>
      <c r="PHF61" s="235" t="s">
        <v>388</v>
      </c>
      <c r="PHG61" s="237" t="s">
        <v>727</v>
      </c>
      <c r="PHH61" s="237" t="s">
        <v>221</v>
      </c>
      <c r="PHI61" s="235" t="s">
        <v>2</v>
      </c>
      <c r="PHJ61" s="235" t="s">
        <v>3</v>
      </c>
      <c r="PHK61" s="235" t="s">
        <v>618</v>
      </c>
      <c r="PHL61" s="235" t="s">
        <v>1410</v>
      </c>
      <c r="PHM61" s="235" t="s">
        <v>1411</v>
      </c>
      <c r="PHN61" s="235" t="s">
        <v>388</v>
      </c>
      <c r="PHO61" s="237" t="s">
        <v>727</v>
      </c>
      <c r="PHP61" s="237" t="s">
        <v>221</v>
      </c>
      <c r="PHQ61" s="235" t="s">
        <v>2</v>
      </c>
      <c r="PHR61" s="235" t="s">
        <v>3</v>
      </c>
      <c r="PHS61" s="235" t="s">
        <v>618</v>
      </c>
      <c r="PHT61" s="235" t="s">
        <v>1410</v>
      </c>
      <c r="PHU61" s="235" t="s">
        <v>1411</v>
      </c>
      <c r="PHV61" s="235" t="s">
        <v>388</v>
      </c>
      <c r="PHW61" s="237" t="s">
        <v>727</v>
      </c>
      <c r="PHX61" s="237" t="s">
        <v>221</v>
      </c>
      <c r="PHY61" s="235" t="s">
        <v>2</v>
      </c>
      <c r="PHZ61" s="235" t="s">
        <v>3</v>
      </c>
      <c r="PIA61" s="235" t="s">
        <v>618</v>
      </c>
      <c r="PIB61" s="235" t="s">
        <v>1410</v>
      </c>
      <c r="PIC61" s="235" t="s">
        <v>1411</v>
      </c>
      <c r="PID61" s="235" t="s">
        <v>388</v>
      </c>
      <c r="PIE61" s="237" t="s">
        <v>727</v>
      </c>
      <c r="PIF61" s="237" t="s">
        <v>221</v>
      </c>
      <c r="PIG61" s="235" t="s">
        <v>2</v>
      </c>
      <c r="PIH61" s="235" t="s">
        <v>3</v>
      </c>
      <c r="PII61" s="235" t="s">
        <v>618</v>
      </c>
      <c r="PIJ61" s="235" t="s">
        <v>1410</v>
      </c>
      <c r="PIK61" s="235" t="s">
        <v>1411</v>
      </c>
      <c r="PIL61" s="235" t="s">
        <v>388</v>
      </c>
      <c r="PIM61" s="237" t="s">
        <v>727</v>
      </c>
      <c r="PIN61" s="237" t="s">
        <v>221</v>
      </c>
      <c r="PIO61" s="235" t="s">
        <v>2</v>
      </c>
      <c r="PIP61" s="235" t="s">
        <v>3</v>
      </c>
      <c r="PIQ61" s="235" t="s">
        <v>618</v>
      </c>
      <c r="PIR61" s="235" t="s">
        <v>1410</v>
      </c>
      <c r="PIS61" s="235" t="s">
        <v>1411</v>
      </c>
      <c r="PIT61" s="235" t="s">
        <v>388</v>
      </c>
      <c r="PIU61" s="237" t="s">
        <v>727</v>
      </c>
      <c r="PIV61" s="237" t="s">
        <v>221</v>
      </c>
      <c r="PIW61" s="235" t="s">
        <v>2</v>
      </c>
      <c r="PIX61" s="235" t="s">
        <v>3</v>
      </c>
      <c r="PIY61" s="235" t="s">
        <v>618</v>
      </c>
      <c r="PIZ61" s="235" t="s">
        <v>1410</v>
      </c>
      <c r="PJA61" s="235" t="s">
        <v>1411</v>
      </c>
      <c r="PJB61" s="235" t="s">
        <v>388</v>
      </c>
      <c r="PJC61" s="237" t="s">
        <v>727</v>
      </c>
      <c r="PJD61" s="237" t="s">
        <v>221</v>
      </c>
      <c r="PJE61" s="235" t="s">
        <v>2</v>
      </c>
      <c r="PJF61" s="235" t="s">
        <v>3</v>
      </c>
      <c r="PJG61" s="235" t="s">
        <v>618</v>
      </c>
      <c r="PJH61" s="235" t="s">
        <v>1410</v>
      </c>
      <c r="PJI61" s="235" t="s">
        <v>1411</v>
      </c>
      <c r="PJJ61" s="235" t="s">
        <v>388</v>
      </c>
      <c r="PJK61" s="237" t="s">
        <v>727</v>
      </c>
      <c r="PJL61" s="237" t="s">
        <v>221</v>
      </c>
      <c r="PJM61" s="235" t="s">
        <v>2</v>
      </c>
      <c r="PJN61" s="235" t="s">
        <v>3</v>
      </c>
      <c r="PJO61" s="235" t="s">
        <v>618</v>
      </c>
      <c r="PJP61" s="235" t="s">
        <v>1410</v>
      </c>
      <c r="PJQ61" s="235" t="s">
        <v>1411</v>
      </c>
      <c r="PJR61" s="235" t="s">
        <v>388</v>
      </c>
      <c r="PJS61" s="237" t="s">
        <v>727</v>
      </c>
      <c r="PJT61" s="237" t="s">
        <v>221</v>
      </c>
      <c r="PJU61" s="235" t="s">
        <v>2</v>
      </c>
      <c r="PJV61" s="235" t="s">
        <v>3</v>
      </c>
      <c r="PJW61" s="235" t="s">
        <v>618</v>
      </c>
      <c r="PJX61" s="235" t="s">
        <v>1410</v>
      </c>
      <c r="PJY61" s="235" t="s">
        <v>1411</v>
      </c>
      <c r="PJZ61" s="235" t="s">
        <v>388</v>
      </c>
      <c r="PKA61" s="237" t="s">
        <v>727</v>
      </c>
      <c r="PKB61" s="237" t="s">
        <v>221</v>
      </c>
      <c r="PKC61" s="235" t="s">
        <v>2</v>
      </c>
      <c r="PKD61" s="235" t="s">
        <v>3</v>
      </c>
      <c r="PKE61" s="235" t="s">
        <v>618</v>
      </c>
      <c r="PKF61" s="235" t="s">
        <v>1410</v>
      </c>
      <c r="PKG61" s="235" t="s">
        <v>1411</v>
      </c>
      <c r="PKH61" s="235" t="s">
        <v>388</v>
      </c>
      <c r="PKI61" s="237" t="s">
        <v>727</v>
      </c>
      <c r="PKJ61" s="237" t="s">
        <v>221</v>
      </c>
      <c r="PKK61" s="235" t="s">
        <v>2</v>
      </c>
      <c r="PKL61" s="235" t="s">
        <v>3</v>
      </c>
      <c r="PKM61" s="235" t="s">
        <v>618</v>
      </c>
      <c r="PKN61" s="235" t="s">
        <v>1410</v>
      </c>
      <c r="PKO61" s="235" t="s">
        <v>1411</v>
      </c>
      <c r="PKP61" s="235" t="s">
        <v>388</v>
      </c>
      <c r="PKQ61" s="237" t="s">
        <v>727</v>
      </c>
      <c r="PKR61" s="237" t="s">
        <v>221</v>
      </c>
      <c r="PKS61" s="235" t="s">
        <v>2</v>
      </c>
      <c r="PKT61" s="235" t="s">
        <v>3</v>
      </c>
      <c r="PKU61" s="235" t="s">
        <v>618</v>
      </c>
      <c r="PKV61" s="235" t="s">
        <v>1410</v>
      </c>
      <c r="PKW61" s="235" t="s">
        <v>1411</v>
      </c>
      <c r="PKX61" s="235" t="s">
        <v>388</v>
      </c>
      <c r="PKY61" s="237" t="s">
        <v>727</v>
      </c>
      <c r="PKZ61" s="237" t="s">
        <v>221</v>
      </c>
      <c r="PLA61" s="235" t="s">
        <v>2</v>
      </c>
      <c r="PLB61" s="235" t="s">
        <v>3</v>
      </c>
      <c r="PLC61" s="235" t="s">
        <v>618</v>
      </c>
      <c r="PLD61" s="235" t="s">
        <v>1410</v>
      </c>
      <c r="PLE61" s="235" t="s">
        <v>1411</v>
      </c>
      <c r="PLF61" s="235" t="s">
        <v>388</v>
      </c>
      <c r="PLG61" s="237" t="s">
        <v>727</v>
      </c>
      <c r="PLH61" s="237" t="s">
        <v>221</v>
      </c>
      <c r="PLI61" s="235" t="s">
        <v>2</v>
      </c>
      <c r="PLJ61" s="235" t="s">
        <v>3</v>
      </c>
      <c r="PLK61" s="235" t="s">
        <v>618</v>
      </c>
      <c r="PLL61" s="235" t="s">
        <v>1410</v>
      </c>
      <c r="PLM61" s="235" t="s">
        <v>1411</v>
      </c>
      <c r="PLN61" s="235" t="s">
        <v>388</v>
      </c>
      <c r="PLO61" s="237" t="s">
        <v>727</v>
      </c>
      <c r="PLP61" s="237" t="s">
        <v>221</v>
      </c>
      <c r="PLQ61" s="235" t="s">
        <v>2</v>
      </c>
      <c r="PLR61" s="235" t="s">
        <v>3</v>
      </c>
      <c r="PLS61" s="235" t="s">
        <v>618</v>
      </c>
      <c r="PLT61" s="235" t="s">
        <v>1410</v>
      </c>
      <c r="PLU61" s="235" t="s">
        <v>1411</v>
      </c>
      <c r="PLV61" s="235" t="s">
        <v>388</v>
      </c>
      <c r="PLW61" s="237" t="s">
        <v>727</v>
      </c>
      <c r="PLX61" s="237" t="s">
        <v>221</v>
      </c>
      <c r="PLY61" s="235" t="s">
        <v>2</v>
      </c>
      <c r="PLZ61" s="235" t="s">
        <v>3</v>
      </c>
      <c r="PMA61" s="235" t="s">
        <v>618</v>
      </c>
      <c r="PMB61" s="235" t="s">
        <v>1410</v>
      </c>
      <c r="PMC61" s="235" t="s">
        <v>1411</v>
      </c>
      <c r="PMD61" s="235" t="s">
        <v>388</v>
      </c>
      <c r="PME61" s="237" t="s">
        <v>727</v>
      </c>
      <c r="PMF61" s="237" t="s">
        <v>221</v>
      </c>
      <c r="PMG61" s="235" t="s">
        <v>2</v>
      </c>
      <c r="PMH61" s="235" t="s">
        <v>3</v>
      </c>
      <c r="PMI61" s="235" t="s">
        <v>618</v>
      </c>
      <c r="PMJ61" s="235" t="s">
        <v>1410</v>
      </c>
      <c r="PMK61" s="235" t="s">
        <v>1411</v>
      </c>
      <c r="PML61" s="235" t="s">
        <v>388</v>
      </c>
      <c r="PMM61" s="237" t="s">
        <v>727</v>
      </c>
      <c r="PMN61" s="237" t="s">
        <v>221</v>
      </c>
      <c r="PMO61" s="235" t="s">
        <v>2</v>
      </c>
      <c r="PMP61" s="235" t="s">
        <v>3</v>
      </c>
      <c r="PMQ61" s="235" t="s">
        <v>618</v>
      </c>
      <c r="PMR61" s="235" t="s">
        <v>1410</v>
      </c>
      <c r="PMS61" s="235" t="s">
        <v>1411</v>
      </c>
      <c r="PMT61" s="235" t="s">
        <v>388</v>
      </c>
      <c r="PMU61" s="237" t="s">
        <v>727</v>
      </c>
      <c r="PMV61" s="237" t="s">
        <v>221</v>
      </c>
      <c r="PMW61" s="235" t="s">
        <v>2</v>
      </c>
      <c r="PMX61" s="235" t="s">
        <v>3</v>
      </c>
      <c r="PMY61" s="235" t="s">
        <v>618</v>
      </c>
      <c r="PMZ61" s="235" t="s">
        <v>1410</v>
      </c>
      <c r="PNA61" s="235" t="s">
        <v>1411</v>
      </c>
      <c r="PNB61" s="235" t="s">
        <v>388</v>
      </c>
      <c r="PNC61" s="237" t="s">
        <v>727</v>
      </c>
      <c r="PND61" s="237" t="s">
        <v>221</v>
      </c>
      <c r="PNE61" s="235" t="s">
        <v>2</v>
      </c>
      <c r="PNF61" s="235" t="s">
        <v>3</v>
      </c>
      <c r="PNG61" s="235" t="s">
        <v>618</v>
      </c>
      <c r="PNH61" s="235" t="s">
        <v>1410</v>
      </c>
      <c r="PNI61" s="235" t="s">
        <v>1411</v>
      </c>
      <c r="PNJ61" s="235" t="s">
        <v>388</v>
      </c>
      <c r="PNK61" s="237" t="s">
        <v>727</v>
      </c>
      <c r="PNL61" s="237" t="s">
        <v>221</v>
      </c>
      <c r="PNM61" s="235" t="s">
        <v>2</v>
      </c>
      <c r="PNN61" s="235" t="s">
        <v>3</v>
      </c>
      <c r="PNO61" s="235" t="s">
        <v>618</v>
      </c>
      <c r="PNP61" s="235" t="s">
        <v>1410</v>
      </c>
      <c r="PNQ61" s="235" t="s">
        <v>1411</v>
      </c>
      <c r="PNR61" s="235" t="s">
        <v>388</v>
      </c>
      <c r="PNS61" s="237" t="s">
        <v>727</v>
      </c>
      <c r="PNT61" s="237" t="s">
        <v>221</v>
      </c>
      <c r="PNU61" s="235" t="s">
        <v>2</v>
      </c>
      <c r="PNV61" s="235" t="s">
        <v>3</v>
      </c>
      <c r="PNW61" s="235" t="s">
        <v>618</v>
      </c>
      <c r="PNX61" s="235" t="s">
        <v>1410</v>
      </c>
      <c r="PNY61" s="235" t="s">
        <v>1411</v>
      </c>
      <c r="PNZ61" s="235" t="s">
        <v>388</v>
      </c>
      <c r="POA61" s="237" t="s">
        <v>727</v>
      </c>
      <c r="POB61" s="237" t="s">
        <v>221</v>
      </c>
      <c r="POC61" s="235" t="s">
        <v>2</v>
      </c>
      <c r="POD61" s="235" t="s">
        <v>3</v>
      </c>
      <c r="POE61" s="235" t="s">
        <v>618</v>
      </c>
      <c r="POF61" s="235" t="s">
        <v>1410</v>
      </c>
      <c r="POG61" s="235" t="s">
        <v>1411</v>
      </c>
      <c r="POH61" s="235" t="s">
        <v>388</v>
      </c>
      <c r="POI61" s="237" t="s">
        <v>727</v>
      </c>
      <c r="POJ61" s="237" t="s">
        <v>221</v>
      </c>
      <c r="POK61" s="235" t="s">
        <v>2</v>
      </c>
      <c r="POL61" s="235" t="s">
        <v>3</v>
      </c>
      <c r="POM61" s="235" t="s">
        <v>618</v>
      </c>
      <c r="PON61" s="235" t="s">
        <v>1410</v>
      </c>
      <c r="POO61" s="235" t="s">
        <v>1411</v>
      </c>
      <c r="POP61" s="235" t="s">
        <v>388</v>
      </c>
      <c r="POQ61" s="237" t="s">
        <v>727</v>
      </c>
      <c r="POR61" s="237" t="s">
        <v>221</v>
      </c>
      <c r="POS61" s="235" t="s">
        <v>2</v>
      </c>
      <c r="POT61" s="235" t="s">
        <v>3</v>
      </c>
      <c r="POU61" s="235" t="s">
        <v>618</v>
      </c>
      <c r="POV61" s="235" t="s">
        <v>1410</v>
      </c>
      <c r="POW61" s="235" t="s">
        <v>1411</v>
      </c>
      <c r="POX61" s="235" t="s">
        <v>388</v>
      </c>
      <c r="POY61" s="237" t="s">
        <v>727</v>
      </c>
      <c r="POZ61" s="237" t="s">
        <v>221</v>
      </c>
      <c r="PPA61" s="235" t="s">
        <v>2</v>
      </c>
      <c r="PPB61" s="235" t="s">
        <v>3</v>
      </c>
      <c r="PPC61" s="235" t="s">
        <v>618</v>
      </c>
      <c r="PPD61" s="235" t="s">
        <v>1410</v>
      </c>
      <c r="PPE61" s="235" t="s">
        <v>1411</v>
      </c>
      <c r="PPF61" s="235" t="s">
        <v>388</v>
      </c>
      <c r="PPG61" s="237" t="s">
        <v>727</v>
      </c>
      <c r="PPH61" s="237" t="s">
        <v>221</v>
      </c>
      <c r="PPI61" s="235" t="s">
        <v>2</v>
      </c>
      <c r="PPJ61" s="235" t="s">
        <v>3</v>
      </c>
      <c r="PPK61" s="235" t="s">
        <v>618</v>
      </c>
      <c r="PPL61" s="235" t="s">
        <v>1410</v>
      </c>
      <c r="PPM61" s="235" t="s">
        <v>1411</v>
      </c>
      <c r="PPN61" s="235" t="s">
        <v>388</v>
      </c>
      <c r="PPO61" s="237" t="s">
        <v>727</v>
      </c>
      <c r="PPP61" s="237" t="s">
        <v>221</v>
      </c>
      <c r="PPQ61" s="235" t="s">
        <v>2</v>
      </c>
      <c r="PPR61" s="235" t="s">
        <v>3</v>
      </c>
      <c r="PPS61" s="235" t="s">
        <v>618</v>
      </c>
      <c r="PPT61" s="235" t="s">
        <v>1410</v>
      </c>
      <c r="PPU61" s="235" t="s">
        <v>1411</v>
      </c>
      <c r="PPV61" s="235" t="s">
        <v>388</v>
      </c>
      <c r="PPW61" s="237" t="s">
        <v>727</v>
      </c>
      <c r="PPX61" s="237" t="s">
        <v>221</v>
      </c>
      <c r="PPY61" s="235" t="s">
        <v>2</v>
      </c>
      <c r="PPZ61" s="235" t="s">
        <v>3</v>
      </c>
      <c r="PQA61" s="235" t="s">
        <v>618</v>
      </c>
      <c r="PQB61" s="235" t="s">
        <v>1410</v>
      </c>
      <c r="PQC61" s="235" t="s">
        <v>1411</v>
      </c>
      <c r="PQD61" s="235" t="s">
        <v>388</v>
      </c>
      <c r="PQE61" s="237" t="s">
        <v>727</v>
      </c>
      <c r="PQF61" s="237" t="s">
        <v>221</v>
      </c>
      <c r="PQG61" s="235" t="s">
        <v>2</v>
      </c>
      <c r="PQH61" s="235" t="s">
        <v>3</v>
      </c>
      <c r="PQI61" s="235" t="s">
        <v>618</v>
      </c>
      <c r="PQJ61" s="235" t="s">
        <v>1410</v>
      </c>
      <c r="PQK61" s="235" t="s">
        <v>1411</v>
      </c>
      <c r="PQL61" s="235" t="s">
        <v>388</v>
      </c>
      <c r="PQM61" s="237" t="s">
        <v>727</v>
      </c>
      <c r="PQN61" s="237" t="s">
        <v>221</v>
      </c>
      <c r="PQO61" s="235" t="s">
        <v>2</v>
      </c>
      <c r="PQP61" s="235" t="s">
        <v>3</v>
      </c>
      <c r="PQQ61" s="235" t="s">
        <v>618</v>
      </c>
      <c r="PQR61" s="235" t="s">
        <v>1410</v>
      </c>
      <c r="PQS61" s="235" t="s">
        <v>1411</v>
      </c>
      <c r="PQT61" s="235" t="s">
        <v>388</v>
      </c>
      <c r="PQU61" s="237" t="s">
        <v>727</v>
      </c>
      <c r="PQV61" s="237" t="s">
        <v>221</v>
      </c>
      <c r="PQW61" s="235" t="s">
        <v>2</v>
      </c>
      <c r="PQX61" s="235" t="s">
        <v>3</v>
      </c>
      <c r="PQY61" s="235" t="s">
        <v>618</v>
      </c>
      <c r="PQZ61" s="235" t="s">
        <v>1410</v>
      </c>
      <c r="PRA61" s="235" t="s">
        <v>1411</v>
      </c>
      <c r="PRB61" s="235" t="s">
        <v>388</v>
      </c>
      <c r="PRC61" s="237" t="s">
        <v>727</v>
      </c>
      <c r="PRD61" s="237" t="s">
        <v>221</v>
      </c>
      <c r="PRE61" s="235" t="s">
        <v>2</v>
      </c>
      <c r="PRF61" s="235" t="s">
        <v>3</v>
      </c>
      <c r="PRG61" s="235" t="s">
        <v>618</v>
      </c>
      <c r="PRH61" s="235" t="s">
        <v>1410</v>
      </c>
      <c r="PRI61" s="235" t="s">
        <v>1411</v>
      </c>
      <c r="PRJ61" s="235" t="s">
        <v>388</v>
      </c>
      <c r="PRK61" s="237" t="s">
        <v>727</v>
      </c>
      <c r="PRL61" s="237" t="s">
        <v>221</v>
      </c>
      <c r="PRM61" s="235" t="s">
        <v>2</v>
      </c>
      <c r="PRN61" s="235" t="s">
        <v>3</v>
      </c>
      <c r="PRO61" s="235" t="s">
        <v>618</v>
      </c>
      <c r="PRP61" s="235" t="s">
        <v>1410</v>
      </c>
      <c r="PRQ61" s="235" t="s">
        <v>1411</v>
      </c>
      <c r="PRR61" s="235" t="s">
        <v>388</v>
      </c>
      <c r="PRS61" s="237" t="s">
        <v>727</v>
      </c>
      <c r="PRT61" s="237" t="s">
        <v>221</v>
      </c>
      <c r="PRU61" s="235" t="s">
        <v>2</v>
      </c>
      <c r="PRV61" s="235" t="s">
        <v>3</v>
      </c>
      <c r="PRW61" s="235" t="s">
        <v>618</v>
      </c>
      <c r="PRX61" s="235" t="s">
        <v>1410</v>
      </c>
      <c r="PRY61" s="235" t="s">
        <v>1411</v>
      </c>
      <c r="PRZ61" s="235" t="s">
        <v>388</v>
      </c>
      <c r="PSA61" s="237" t="s">
        <v>727</v>
      </c>
      <c r="PSB61" s="237" t="s">
        <v>221</v>
      </c>
      <c r="PSC61" s="235" t="s">
        <v>2</v>
      </c>
      <c r="PSD61" s="235" t="s">
        <v>3</v>
      </c>
      <c r="PSE61" s="235" t="s">
        <v>618</v>
      </c>
      <c r="PSF61" s="235" t="s">
        <v>1410</v>
      </c>
      <c r="PSG61" s="235" t="s">
        <v>1411</v>
      </c>
      <c r="PSH61" s="235" t="s">
        <v>388</v>
      </c>
      <c r="PSI61" s="237" t="s">
        <v>727</v>
      </c>
      <c r="PSJ61" s="237" t="s">
        <v>221</v>
      </c>
      <c r="PSK61" s="235" t="s">
        <v>2</v>
      </c>
      <c r="PSL61" s="235" t="s">
        <v>3</v>
      </c>
      <c r="PSM61" s="235" t="s">
        <v>618</v>
      </c>
      <c r="PSN61" s="235" t="s">
        <v>1410</v>
      </c>
      <c r="PSO61" s="235" t="s">
        <v>1411</v>
      </c>
      <c r="PSP61" s="235" t="s">
        <v>388</v>
      </c>
      <c r="PSQ61" s="237" t="s">
        <v>727</v>
      </c>
      <c r="PSR61" s="237" t="s">
        <v>221</v>
      </c>
      <c r="PSS61" s="235" t="s">
        <v>2</v>
      </c>
      <c r="PST61" s="235" t="s">
        <v>3</v>
      </c>
      <c r="PSU61" s="235" t="s">
        <v>618</v>
      </c>
      <c r="PSV61" s="235" t="s">
        <v>1410</v>
      </c>
      <c r="PSW61" s="235" t="s">
        <v>1411</v>
      </c>
      <c r="PSX61" s="235" t="s">
        <v>388</v>
      </c>
      <c r="PSY61" s="237" t="s">
        <v>727</v>
      </c>
      <c r="PSZ61" s="237" t="s">
        <v>221</v>
      </c>
      <c r="PTA61" s="235" t="s">
        <v>2</v>
      </c>
      <c r="PTB61" s="235" t="s">
        <v>3</v>
      </c>
      <c r="PTC61" s="235" t="s">
        <v>618</v>
      </c>
      <c r="PTD61" s="235" t="s">
        <v>1410</v>
      </c>
      <c r="PTE61" s="235" t="s">
        <v>1411</v>
      </c>
      <c r="PTF61" s="235" t="s">
        <v>388</v>
      </c>
      <c r="PTG61" s="237" t="s">
        <v>727</v>
      </c>
      <c r="PTH61" s="237" t="s">
        <v>221</v>
      </c>
      <c r="PTI61" s="235" t="s">
        <v>2</v>
      </c>
      <c r="PTJ61" s="235" t="s">
        <v>3</v>
      </c>
      <c r="PTK61" s="235" t="s">
        <v>618</v>
      </c>
      <c r="PTL61" s="235" t="s">
        <v>1410</v>
      </c>
      <c r="PTM61" s="235" t="s">
        <v>1411</v>
      </c>
      <c r="PTN61" s="235" t="s">
        <v>388</v>
      </c>
      <c r="PTO61" s="237" t="s">
        <v>727</v>
      </c>
      <c r="PTP61" s="237" t="s">
        <v>221</v>
      </c>
      <c r="PTQ61" s="235" t="s">
        <v>2</v>
      </c>
      <c r="PTR61" s="235" t="s">
        <v>3</v>
      </c>
      <c r="PTS61" s="235" t="s">
        <v>618</v>
      </c>
      <c r="PTT61" s="235" t="s">
        <v>1410</v>
      </c>
      <c r="PTU61" s="235" t="s">
        <v>1411</v>
      </c>
      <c r="PTV61" s="235" t="s">
        <v>388</v>
      </c>
      <c r="PTW61" s="237" t="s">
        <v>727</v>
      </c>
      <c r="PTX61" s="237" t="s">
        <v>221</v>
      </c>
      <c r="PTY61" s="235" t="s">
        <v>2</v>
      </c>
      <c r="PTZ61" s="235" t="s">
        <v>3</v>
      </c>
      <c r="PUA61" s="235" t="s">
        <v>618</v>
      </c>
      <c r="PUB61" s="235" t="s">
        <v>1410</v>
      </c>
      <c r="PUC61" s="235" t="s">
        <v>1411</v>
      </c>
      <c r="PUD61" s="235" t="s">
        <v>388</v>
      </c>
      <c r="PUE61" s="237" t="s">
        <v>727</v>
      </c>
      <c r="PUF61" s="237" t="s">
        <v>221</v>
      </c>
      <c r="PUG61" s="235" t="s">
        <v>2</v>
      </c>
      <c r="PUH61" s="235" t="s">
        <v>3</v>
      </c>
      <c r="PUI61" s="235" t="s">
        <v>618</v>
      </c>
      <c r="PUJ61" s="235" t="s">
        <v>1410</v>
      </c>
      <c r="PUK61" s="235" t="s">
        <v>1411</v>
      </c>
      <c r="PUL61" s="235" t="s">
        <v>388</v>
      </c>
      <c r="PUM61" s="237" t="s">
        <v>727</v>
      </c>
      <c r="PUN61" s="237" t="s">
        <v>221</v>
      </c>
      <c r="PUO61" s="235" t="s">
        <v>2</v>
      </c>
      <c r="PUP61" s="235" t="s">
        <v>3</v>
      </c>
      <c r="PUQ61" s="235" t="s">
        <v>618</v>
      </c>
      <c r="PUR61" s="235" t="s">
        <v>1410</v>
      </c>
      <c r="PUS61" s="235" t="s">
        <v>1411</v>
      </c>
      <c r="PUT61" s="235" t="s">
        <v>388</v>
      </c>
      <c r="PUU61" s="237" t="s">
        <v>727</v>
      </c>
      <c r="PUV61" s="237" t="s">
        <v>221</v>
      </c>
      <c r="PUW61" s="235" t="s">
        <v>2</v>
      </c>
      <c r="PUX61" s="235" t="s">
        <v>3</v>
      </c>
      <c r="PUY61" s="235" t="s">
        <v>618</v>
      </c>
      <c r="PUZ61" s="235" t="s">
        <v>1410</v>
      </c>
      <c r="PVA61" s="235" t="s">
        <v>1411</v>
      </c>
      <c r="PVB61" s="235" t="s">
        <v>388</v>
      </c>
      <c r="PVC61" s="237" t="s">
        <v>727</v>
      </c>
      <c r="PVD61" s="237" t="s">
        <v>221</v>
      </c>
      <c r="PVE61" s="235" t="s">
        <v>2</v>
      </c>
      <c r="PVF61" s="235" t="s">
        <v>3</v>
      </c>
      <c r="PVG61" s="235" t="s">
        <v>618</v>
      </c>
      <c r="PVH61" s="235" t="s">
        <v>1410</v>
      </c>
      <c r="PVI61" s="235" t="s">
        <v>1411</v>
      </c>
      <c r="PVJ61" s="235" t="s">
        <v>388</v>
      </c>
      <c r="PVK61" s="237" t="s">
        <v>727</v>
      </c>
      <c r="PVL61" s="237" t="s">
        <v>221</v>
      </c>
      <c r="PVM61" s="235" t="s">
        <v>2</v>
      </c>
      <c r="PVN61" s="235" t="s">
        <v>3</v>
      </c>
      <c r="PVO61" s="235" t="s">
        <v>618</v>
      </c>
      <c r="PVP61" s="235" t="s">
        <v>1410</v>
      </c>
      <c r="PVQ61" s="235" t="s">
        <v>1411</v>
      </c>
      <c r="PVR61" s="235" t="s">
        <v>388</v>
      </c>
      <c r="PVS61" s="237" t="s">
        <v>727</v>
      </c>
      <c r="PVT61" s="237" t="s">
        <v>221</v>
      </c>
      <c r="PVU61" s="235" t="s">
        <v>2</v>
      </c>
      <c r="PVV61" s="235" t="s">
        <v>3</v>
      </c>
      <c r="PVW61" s="235" t="s">
        <v>618</v>
      </c>
      <c r="PVX61" s="235" t="s">
        <v>1410</v>
      </c>
      <c r="PVY61" s="235" t="s">
        <v>1411</v>
      </c>
      <c r="PVZ61" s="235" t="s">
        <v>388</v>
      </c>
      <c r="PWA61" s="237" t="s">
        <v>727</v>
      </c>
      <c r="PWB61" s="237" t="s">
        <v>221</v>
      </c>
      <c r="PWC61" s="235" t="s">
        <v>2</v>
      </c>
      <c r="PWD61" s="235" t="s">
        <v>3</v>
      </c>
      <c r="PWE61" s="235" t="s">
        <v>618</v>
      </c>
      <c r="PWF61" s="235" t="s">
        <v>1410</v>
      </c>
      <c r="PWG61" s="235" t="s">
        <v>1411</v>
      </c>
      <c r="PWH61" s="235" t="s">
        <v>388</v>
      </c>
      <c r="PWI61" s="237" t="s">
        <v>727</v>
      </c>
      <c r="PWJ61" s="237" t="s">
        <v>221</v>
      </c>
      <c r="PWK61" s="235" t="s">
        <v>2</v>
      </c>
      <c r="PWL61" s="235" t="s">
        <v>3</v>
      </c>
      <c r="PWM61" s="235" t="s">
        <v>618</v>
      </c>
      <c r="PWN61" s="235" t="s">
        <v>1410</v>
      </c>
      <c r="PWO61" s="235" t="s">
        <v>1411</v>
      </c>
      <c r="PWP61" s="235" t="s">
        <v>388</v>
      </c>
      <c r="PWQ61" s="237" t="s">
        <v>727</v>
      </c>
      <c r="PWR61" s="237" t="s">
        <v>221</v>
      </c>
      <c r="PWS61" s="235" t="s">
        <v>2</v>
      </c>
      <c r="PWT61" s="235" t="s">
        <v>3</v>
      </c>
      <c r="PWU61" s="235" t="s">
        <v>618</v>
      </c>
      <c r="PWV61" s="235" t="s">
        <v>1410</v>
      </c>
      <c r="PWW61" s="235" t="s">
        <v>1411</v>
      </c>
      <c r="PWX61" s="235" t="s">
        <v>388</v>
      </c>
      <c r="PWY61" s="237" t="s">
        <v>727</v>
      </c>
      <c r="PWZ61" s="237" t="s">
        <v>221</v>
      </c>
      <c r="PXA61" s="235" t="s">
        <v>2</v>
      </c>
      <c r="PXB61" s="235" t="s">
        <v>3</v>
      </c>
      <c r="PXC61" s="235" t="s">
        <v>618</v>
      </c>
      <c r="PXD61" s="235" t="s">
        <v>1410</v>
      </c>
      <c r="PXE61" s="235" t="s">
        <v>1411</v>
      </c>
      <c r="PXF61" s="235" t="s">
        <v>388</v>
      </c>
      <c r="PXG61" s="237" t="s">
        <v>727</v>
      </c>
      <c r="PXH61" s="237" t="s">
        <v>221</v>
      </c>
      <c r="PXI61" s="235" t="s">
        <v>2</v>
      </c>
      <c r="PXJ61" s="235" t="s">
        <v>3</v>
      </c>
      <c r="PXK61" s="235" t="s">
        <v>618</v>
      </c>
      <c r="PXL61" s="235" t="s">
        <v>1410</v>
      </c>
      <c r="PXM61" s="235" t="s">
        <v>1411</v>
      </c>
      <c r="PXN61" s="235" t="s">
        <v>388</v>
      </c>
      <c r="PXO61" s="237" t="s">
        <v>727</v>
      </c>
      <c r="PXP61" s="237" t="s">
        <v>221</v>
      </c>
      <c r="PXQ61" s="235" t="s">
        <v>2</v>
      </c>
      <c r="PXR61" s="235" t="s">
        <v>3</v>
      </c>
      <c r="PXS61" s="235" t="s">
        <v>618</v>
      </c>
      <c r="PXT61" s="235" t="s">
        <v>1410</v>
      </c>
      <c r="PXU61" s="235" t="s">
        <v>1411</v>
      </c>
      <c r="PXV61" s="235" t="s">
        <v>388</v>
      </c>
      <c r="PXW61" s="237" t="s">
        <v>727</v>
      </c>
      <c r="PXX61" s="237" t="s">
        <v>221</v>
      </c>
      <c r="PXY61" s="235" t="s">
        <v>2</v>
      </c>
      <c r="PXZ61" s="235" t="s">
        <v>3</v>
      </c>
      <c r="PYA61" s="235" t="s">
        <v>618</v>
      </c>
      <c r="PYB61" s="235" t="s">
        <v>1410</v>
      </c>
      <c r="PYC61" s="235" t="s">
        <v>1411</v>
      </c>
      <c r="PYD61" s="235" t="s">
        <v>388</v>
      </c>
      <c r="PYE61" s="237" t="s">
        <v>727</v>
      </c>
      <c r="PYF61" s="237" t="s">
        <v>221</v>
      </c>
      <c r="PYG61" s="235" t="s">
        <v>2</v>
      </c>
      <c r="PYH61" s="235" t="s">
        <v>3</v>
      </c>
      <c r="PYI61" s="235" t="s">
        <v>618</v>
      </c>
      <c r="PYJ61" s="235" t="s">
        <v>1410</v>
      </c>
      <c r="PYK61" s="235" t="s">
        <v>1411</v>
      </c>
      <c r="PYL61" s="235" t="s">
        <v>388</v>
      </c>
      <c r="PYM61" s="237" t="s">
        <v>727</v>
      </c>
      <c r="PYN61" s="237" t="s">
        <v>221</v>
      </c>
      <c r="PYO61" s="235" t="s">
        <v>2</v>
      </c>
      <c r="PYP61" s="235" t="s">
        <v>3</v>
      </c>
      <c r="PYQ61" s="235" t="s">
        <v>618</v>
      </c>
      <c r="PYR61" s="235" t="s">
        <v>1410</v>
      </c>
      <c r="PYS61" s="235" t="s">
        <v>1411</v>
      </c>
      <c r="PYT61" s="235" t="s">
        <v>388</v>
      </c>
      <c r="PYU61" s="237" t="s">
        <v>727</v>
      </c>
      <c r="PYV61" s="237" t="s">
        <v>221</v>
      </c>
      <c r="PYW61" s="235" t="s">
        <v>2</v>
      </c>
      <c r="PYX61" s="235" t="s">
        <v>3</v>
      </c>
      <c r="PYY61" s="235" t="s">
        <v>618</v>
      </c>
      <c r="PYZ61" s="235" t="s">
        <v>1410</v>
      </c>
      <c r="PZA61" s="235" t="s">
        <v>1411</v>
      </c>
      <c r="PZB61" s="235" t="s">
        <v>388</v>
      </c>
      <c r="PZC61" s="237" t="s">
        <v>727</v>
      </c>
      <c r="PZD61" s="237" t="s">
        <v>221</v>
      </c>
      <c r="PZE61" s="235" t="s">
        <v>2</v>
      </c>
      <c r="PZF61" s="235" t="s">
        <v>3</v>
      </c>
      <c r="PZG61" s="235" t="s">
        <v>618</v>
      </c>
      <c r="PZH61" s="235" t="s">
        <v>1410</v>
      </c>
      <c r="PZI61" s="235" t="s">
        <v>1411</v>
      </c>
      <c r="PZJ61" s="235" t="s">
        <v>388</v>
      </c>
      <c r="PZK61" s="237" t="s">
        <v>727</v>
      </c>
      <c r="PZL61" s="237" t="s">
        <v>221</v>
      </c>
      <c r="PZM61" s="235" t="s">
        <v>2</v>
      </c>
      <c r="PZN61" s="235" t="s">
        <v>3</v>
      </c>
      <c r="PZO61" s="235" t="s">
        <v>618</v>
      </c>
      <c r="PZP61" s="235" t="s">
        <v>1410</v>
      </c>
      <c r="PZQ61" s="235" t="s">
        <v>1411</v>
      </c>
      <c r="PZR61" s="235" t="s">
        <v>388</v>
      </c>
      <c r="PZS61" s="237" t="s">
        <v>727</v>
      </c>
      <c r="PZT61" s="237" t="s">
        <v>221</v>
      </c>
      <c r="PZU61" s="235" t="s">
        <v>2</v>
      </c>
      <c r="PZV61" s="235" t="s">
        <v>3</v>
      </c>
      <c r="PZW61" s="235" t="s">
        <v>618</v>
      </c>
      <c r="PZX61" s="235" t="s">
        <v>1410</v>
      </c>
      <c r="PZY61" s="235" t="s">
        <v>1411</v>
      </c>
      <c r="PZZ61" s="235" t="s">
        <v>388</v>
      </c>
      <c r="QAA61" s="237" t="s">
        <v>727</v>
      </c>
      <c r="QAB61" s="237" t="s">
        <v>221</v>
      </c>
      <c r="QAC61" s="235" t="s">
        <v>2</v>
      </c>
      <c r="QAD61" s="235" t="s">
        <v>3</v>
      </c>
      <c r="QAE61" s="235" t="s">
        <v>618</v>
      </c>
      <c r="QAF61" s="235" t="s">
        <v>1410</v>
      </c>
      <c r="QAG61" s="235" t="s">
        <v>1411</v>
      </c>
      <c r="QAH61" s="235" t="s">
        <v>388</v>
      </c>
      <c r="QAI61" s="237" t="s">
        <v>727</v>
      </c>
      <c r="QAJ61" s="237" t="s">
        <v>221</v>
      </c>
      <c r="QAK61" s="235" t="s">
        <v>2</v>
      </c>
      <c r="QAL61" s="235" t="s">
        <v>3</v>
      </c>
      <c r="QAM61" s="235" t="s">
        <v>618</v>
      </c>
      <c r="QAN61" s="235" t="s">
        <v>1410</v>
      </c>
      <c r="QAO61" s="235" t="s">
        <v>1411</v>
      </c>
      <c r="QAP61" s="235" t="s">
        <v>388</v>
      </c>
      <c r="QAQ61" s="237" t="s">
        <v>727</v>
      </c>
      <c r="QAR61" s="237" t="s">
        <v>221</v>
      </c>
      <c r="QAS61" s="235" t="s">
        <v>2</v>
      </c>
      <c r="QAT61" s="235" t="s">
        <v>3</v>
      </c>
      <c r="QAU61" s="235" t="s">
        <v>618</v>
      </c>
      <c r="QAV61" s="235" t="s">
        <v>1410</v>
      </c>
      <c r="QAW61" s="235" t="s">
        <v>1411</v>
      </c>
      <c r="QAX61" s="235" t="s">
        <v>388</v>
      </c>
      <c r="QAY61" s="237" t="s">
        <v>727</v>
      </c>
      <c r="QAZ61" s="237" t="s">
        <v>221</v>
      </c>
      <c r="QBA61" s="235" t="s">
        <v>2</v>
      </c>
      <c r="QBB61" s="235" t="s">
        <v>3</v>
      </c>
      <c r="QBC61" s="235" t="s">
        <v>618</v>
      </c>
      <c r="QBD61" s="235" t="s">
        <v>1410</v>
      </c>
      <c r="QBE61" s="235" t="s">
        <v>1411</v>
      </c>
      <c r="QBF61" s="235" t="s">
        <v>388</v>
      </c>
      <c r="QBG61" s="237" t="s">
        <v>727</v>
      </c>
      <c r="QBH61" s="237" t="s">
        <v>221</v>
      </c>
      <c r="QBI61" s="235" t="s">
        <v>2</v>
      </c>
      <c r="QBJ61" s="235" t="s">
        <v>3</v>
      </c>
      <c r="QBK61" s="235" t="s">
        <v>618</v>
      </c>
      <c r="QBL61" s="235" t="s">
        <v>1410</v>
      </c>
      <c r="QBM61" s="235" t="s">
        <v>1411</v>
      </c>
      <c r="QBN61" s="235" t="s">
        <v>388</v>
      </c>
      <c r="QBO61" s="237" t="s">
        <v>727</v>
      </c>
      <c r="QBP61" s="237" t="s">
        <v>221</v>
      </c>
      <c r="QBQ61" s="235" t="s">
        <v>2</v>
      </c>
      <c r="QBR61" s="235" t="s">
        <v>3</v>
      </c>
      <c r="QBS61" s="235" t="s">
        <v>618</v>
      </c>
      <c r="QBT61" s="235" t="s">
        <v>1410</v>
      </c>
      <c r="QBU61" s="235" t="s">
        <v>1411</v>
      </c>
      <c r="QBV61" s="235" t="s">
        <v>388</v>
      </c>
      <c r="QBW61" s="237" t="s">
        <v>727</v>
      </c>
      <c r="QBX61" s="237" t="s">
        <v>221</v>
      </c>
      <c r="QBY61" s="235" t="s">
        <v>2</v>
      </c>
      <c r="QBZ61" s="235" t="s">
        <v>3</v>
      </c>
      <c r="QCA61" s="235" t="s">
        <v>618</v>
      </c>
      <c r="QCB61" s="235" t="s">
        <v>1410</v>
      </c>
      <c r="QCC61" s="235" t="s">
        <v>1411</v>
      </c>
      <c r="QCD61" s="235" t="s">
        <v>388</v>
      </c>
      <c r="QCE61" s="237" t="s">
        <v>727</v>
      </c>
      <c r="QCF61" s="237" t="s">
        <v>221</v>
      </c>
      <c r="QCG61" s="235" t="s">
        <v>2</v>
      </c>
      <c r="QCH61" s="235" t="s">
        <v>3</v>
      </c>
      <c r="QCI61" s="235" t="s">
        <v>618</v>
      </c>
      <c r="QCJ61" s="235" t="s">
        <v>1410</v>
      </c>
      <c r="QCK61" s="235" t="s">
        <v>1411</v>
      </c>
      <c r="QCL61" s="235" t="s">
        <v>388</v>
      </c>
      <c r="QCM61" s="237" t="s">
        <v>727</v>
      </c>
      <c r="QCN61" s="237" t="s">
        <v>221</v>
      </c>
      <c r="QCO61" s="235" t="s">
        <v>2</v>
      </c>
      <c r="QCP61" s="235" t="s">
        <v>3</v>
      </c>
      <c r="QCQ61" s="235" t="s">
        <v>618</v>
      </c>
      <c r="QCR61" s="235" t="s">
        <v>1410</v>
      </c>
      <c r="QCS61" s="235" t="s">
        <v>1411</v>
      </c>
      <c r="QCT61" s="235" t="s">
        <v>388</v>
      </c>
      <c r="QCU61" s="237" t="s">
        <v>727</v>
      </c>
      <c r="QCV61" s="237" t="s">
        <v>221</v>
      </c>
      <c r="QCW61" s="235" t="s">
        <v>2</v>
      </c>
      <c r="QCX61" s="235" t="s">
        <v>3</v>
      </c>
      <c r="QCY61" s="235" t="s">
        <v>618</v>
      </c>
      <c r="QCZ61" s="235" t="s">
        <v>1410</v>
      </c>
      <c r="QDA61" s="235" t="s">
        <v>1411</v>
      </c>
      <c r="QDB61" s="235" t="s">
        <v>388</v>
      </c>
      <c r="QDC61" s="237" t="s">
        <v>727</v>
      </c>
      <c r="QDD61" s="237" t="s">
        <v>221</v>
      </c>
      <c r="QDE61" s="235" t="s">
        <v>2</v>
      </c>
      <c r="QDF61" s="235" t="s">
        <v>3</v>
      </c>
      <c r="QDG61" s="235" t="s">
        <v>618</v>
      </c>
      <c r="QDH61" s="235" t="s">
        <v>1410</v>
      </c>
      <c r="QDI61" s="235" t="s">
        <v>1411</v>
      </c>
      <c r="QDJ61" s="235" t="s">
        <v>388</v>
      </c>
      <c r="QDK61" s="237" t="s">
        <v>727</v>
      </c>
      <c r="QDL61" s="237" t="s">
        <v>221</v>
      </c>
      <c r="QDM61" s="235" t="s">
        <v>2</v>
      </c>
      <c r="QDN61" s="235" t="s">
        <v>3</v>
      </c>
      <c r="QDO61" s="235" t="s">
        <v>618</v>
      </c>
      <c r="QDP61" s="235" t="s">
        <v>1410</v>
      </c>
      <c r="QDQ61" s="235" t="s">
        <v>1411</v>
      </c>
      <c r="QDR61" s="235" t="s">
        <v>388</v>
      </c>
      <c r="QDS61" s="237" t="s">
        <v>727</v>
      </c>
      <c r="QDT61" s="237" t="s">
        <v>221</v>
      </c>
      <c r="QDU61" s="235" t="s">
        <v>2</v>
      </c>
      <c r="QDV61" s="235" t="s">
        <v>3</v>
      </c>
      <c r="QDW61" s="235" t="s">
        <v>618</v>
      </c>
      <c r="QDX61" s="235" t="s">
        <v>1410</v>
      </c>
      <c r="QDY61" s="235" t="s">
        <v>1411</v>
      </c>
      <c r="QDZ61" s="235" t="s">
        <v>388</v>
      </c>
      <c r="QEA61" s="237" t="s">
        <v>727</v>
      </c>
      <c r="QEB61" s="237" t="s">
        <v>221</v>
      </c>
      <c r="QEC61" s="235" t="s">
        <v>2</v>
      </c>
      <c r="QED61" s="235" t="s">
        <v>3</v>
      </c>
      <c r="QEE61" s="235" t="s">
        <v>618</v>
      </c>
      <c r="QEF61" s="235" t="s">
        <v>1410</v>
      </c>
      <c r="QEG61" s="235" t="s">
        <v>1411</v>
      </c>
      <c r="QEH61" s="235" t="s">
        <v>388</v>
      </c>
      <c r="QEI61" s="237" t="s">
        <v>727</v>
      </c>
      <c r="QEJ61" s="237" t="s">
        <v>221</v>
      </c>
      <c r="QEK61" s="235" t="s">
        <v>2</v>
      </c>
      <c r="QEL61" s="235" t="s">
        <v>3</v>
      </c>
      <c r="QEM61" s="235" t="s">
        <v>618</v>
      </c>
      <c r="QEN61" s="235" t="s">
        <v>1410</v>
      </c>
      <c r="QEO61" s="235" t="s">
        <v>1411</v>
      </c>
      <c r="QEP61" s="235" t="s">
        <v>388</v>
      </c>
      <c r="QEQ61" s="237" t="s">
        <v>727</v>
      </c>
      <c r="QER61" s="237" t="s">
        <v>221</v>
      </c>
      <c r="QES61" s="235" t="s">
        <v>2</v>
      </c>
      <c r="QET61" s="235" t="s">
        <v>3</v>
      </c>
      <c r="QEU61" s="235" t="s">
        <v>618</v>
      </c>
      <c r="QEV61" s="235" t="s">
        <v>1410</v>
      </c>
      <c r="QEW61" s="235" t="s">
        <v>1411</v>
      </c>
      <c r="QEX61" s="235" t="s">
        <v>388</v>
      </c>
      <c r="QEY61" s="237" t="s">
        <v>727</v>
      </c>
      <c r="QEZ61" s="237" t="s">
        <v>221</v>
      </c>
      <c r="QFA61" s="235" t="s">
        <v>2</v>
      </c>
      <c r="QFB61" s="235" t="s">
        <v>3</v>
      </c>
      <c r="QFC61" s="235" t="s">
        <v>618</v>
      </c>
      <c r="QFD61" s="235" t="s">
        <v>1410</v>
      </c>
      <c r="QFE61" s="235" t="s">
        <v>1411</v>
      </c>
      <c r="QFF61" s="235" t="s">
        <v>388</v>
      </c>
      <c r="QFG61" s="237" t="s">
        <v>727</v>
      </c>
      <c r="QFH61" s="237" t="s">
        <v>221</v>
      </c>
      <c r="QFI61" s="235" t="s">
        <v>2</v>
      </c>
      <c r="QFJ61" s="235" t="s">
        <v>3</v>
      </c>
      <c r="QFK61" s="235" t="s">
        <v>618</v>
      </c>
      <c r="QFL61" s="235" t="s">
        <v>1410</v>
      </c>
      <c r="QFM61" s="235" t="s">
        <v>1411</v>
      </c>
      <c r="QFN61" s="235" t="s">
        <v>388</v>
      </c>
      <c r="QFO61" s="237" t="s">
        <v>727</v>
      </c>
      <c r="QFP61" s="237" t="s">
        <v>221</v>
      </c>
      <c r="QFQ61" s="235" t="s">
        <v>2</v>
      </c>
      <c r="QFR61" s="235" t="s">
        <v>3</v>
      </c>
      <c r="QFS61" s="235" t="s">
        <v>618</v>
      </c>
      <c r="QFT61" s="235" t="s">
        <v>1410</v>
      </c>
      <c r="QFU61" s="235" t="s">
        <v>1411</v>
      </c>
      <c r="QFV61" s="235" t="s">
        <v>388</v>
      </c>
      <c r="QFW61" s="237" t="s">
        <v>727</v>
      </c>
      <c r="QFX61" s="237" t="s">
        <v>221</v>
      </c>
      <c r="QFY61" s="235" t="s">
        <v>2</v>
      </c>
      <c r="QFZ61" s="235" t="s">
        <v>3</v>
      </c>
      <c r="QGA61" s="235" t="s">
        <v>618</v>
      </c>
      <c r="QGB61" s="235" t="s">
        <v>1410</v>
      </c>
      <c r="QGC61" s="235" t="s">
        <v>1411</v>
      </c>
      <c r="QGD61" s="235" t="s">
        <v>388</v>
      </c>
      <c r="QGE61" s="237" t="s">
        <v>727</v>
      </c>
      <c r="QGF61" s="237" t="s">
        <v>221</v>
      </c>
      <c r="QGG61" s="235" t="s">
        <v>2</v>
      </c>
      <c r="QGH61" s="235" t="s">
        <v>3</v>
      </c>
      <c r="QGI61" s="235" t="s">
        <v>618</v>
      </c>
      <c r="QGJ61" s="235" t="s">
        <v>1410</v>
      </c>
      <c r="QGK61" s="235" t="s">
        <v>1411</v>
      </c>
      <c r="QGL61" s="235" t="s">
        <v>388</v>
      </c>
      <c r="QGM61" s="237" t="s">
        <v>727</v>
      </c>
      <c r="QGN61" s="237" t="s">
        <v>221</v>
      </c>
      <c r="QGO61" s="235" t="s">
        <v>2</v>
      </c>
      <c r="QGP61" s="235" t="s">
        <v>3</v>
      </c>
      <c r="QGQ61" s="235" t="s">
        <v>618</v>
      </c>
      <c r="QGR61" s="235" t="s">
        <v>1410</v>
      </c>
      <c r="QGS61" s="235" t="s">
        <v>1411</v>
      </c>
      <c r="QGT61" s="235" t="s">
        <v>388</v>
      </c>
      <c r="QGU61" s="237" t="s">
        <v>727</v>
      </c>
      <c r="QGV61" s="237" t="s">
        <v>221</v>
      </c>
      <c r="QGW61" s="235" t="s">
        <v>2</v>
      </c>
      <c r="QGX61" s="235" t="s">
        <v>3</v>
      </c>
      <c r="QGY61" s="235" t="s">
        <v>618</v>
      </c>
      <c r="QGZ61" s="235" t="s">
        <v>1410</v>
      </c>
      <c r="QHA61" s="235" t="s">
        <v>1411</v>
      </c>
      <c r="QHB61" s="235" t="s">
        <v>388</v>
      </c>
      <c r="QHC61" s="237" t="s">
        <v>727</v>
      </c>
      <c r="QHD61" s="237" t="s">
        <v>221</v>
      </c>
      <c r="QHE61" s="235" t="s">
        <v>2</v>
      </c>
      <c r="QHF61" s="235" t="s">
        <v>3</v>
      </c>
      <c r="QHG61" s="235" t="s">
        <v>618</v>
      </c>
      <c r="QHH61" s="235" t="s">
        <v>1410</v>
      </c>
      <c r="QHI61" s="235" t="s">
        <v>1411</v>
      </c>
      <c r="QHJ61" s="235" t="s">
        <v>388</v>
      </c>
      <c r="QHK61" s="237" t="s">
        <v>727</v>
      </c>
      <c r="QHL61" s="237" t="s">
        <v>221</v>
      </c>
      <c r="QHM61" s="235" t="s">
        <v>2</v>
      </c>
      <c r="QHN61" s="235" t="s">
        <v>3</v>
      </c>
      <c r="QHO61" s="235" t="s">
        <v>618</v>
      </c>
      <c r="QHP61" s="235" t="s">
        <v>1410</v>
      </c>
      <c r="QHQ61" s="235" t="s">
        <v>1411</v>
      </c>
      <c r="QHR61" s="235" t="s">
        <v>388</v>
      </c>
      <c r="QHS61" s="237" t="s">
        <v>727</v>
      </c>
      <c r="QHT61" s="237" t="s">
        <v>221</v>
      </c>
      <c r="QHU61" s="235" t="s">
        <v>2</v>
      </c>
      <c r="QHV61" s="235" t="s">
        <v>3</v>
      </c>
      <c r="QHW61" s="235" t="s">
        <v>618</v>
      </c>
      <c r="QHX61" s="235" t="s">
        <v>1410</v>
      </c>
      <c r="QHY61" s="235" t="s">
        <v>1411</v>
      </c>
      <c r="QHZ61" s="235" t="s">
        <v>388</v>
      </c>
      <c r="QIA61" s="237" t="s">
        <v>727</v>
      </c>
      <c r="QIB61" s="237" t="s">
        <v>221</v>
      </c>
      <c r="QIC61" s="235" t="s">
        <v>2</v>
      </c>
      <c r="QID61" s="235" t="s">
        <v>3</v>
      </c>
      <c r="QIE61" s="235" t="s">
        <v>618</v>
      </c>
      <c r="QIF61" s="235" t="s">
        <v>1410</v>
      </c>
      <c r="QIG61" s="235" t="s">
        <v>1411</v>
      </c>
      <c r="QIH61" s="235" t="s">
        <v>388</v>
      </c>
      <c r="QII61" s="237" t="s">
        <v>727</v>
      </c>
      <c r="QIJ61" s="237" t="s">
        <v>221</v>
      </c>
      <c r="QIK61" s="235" t="s">
        <v>2</v>
      </c>
      <c r="QIL61" s="235" t="s">
        <v>3</v>
      </c>
      <c r="QIM61" s="235" t="s">
        <v>618</v>
      </c>
      <c r="QIN61" s="235" t="s">
        <v>1410</v>
      </c>
      <c r="QIO61" s="235" t="s">
        <v>1411</v>
      </c>
      <c r="QIP61" s="235" t="s">
        <v>388</v>
      </c>
      <c r="QIQ61" s="237" t="s">
        <v>727</v>
      </c>
      <c r="QIR61" s="237" t="s">
        <v>221</v>
      </c>
      <c r="QIS61" s="235" t="s">
        <v>2</v>
      </c>
      <c r="QIT61" s="235" t="s">
        <v>3</v>
      </c>
      <c r="QIU61" s="235" t="s">
        <v>618</v>
      </c>
      <c r="QIV61" s="235" t="s">
        <v>1410</v>
      </c>
      <c r="QIW61" s="235" t="s">
        <v>1411</v>
      </c>
      <c r="QIX61" s="235" t="s">
        <v>388</v>
      </c>
      <c r="QIY61" s="237" t="s">
        <v>727</v>
      </c>
      <c r="QIZ61" s="237" t="s">
        <v>221</v>
      </c>
      <c r="QJA61" s="235" t="s">
        <v>2</v>
      </c>
      <c r="QJB61" s="235" t="s">
        <v>3</v>
      </c>
      <c r="QJC61" s="235" t="s">
        <v>618</v>
      </c>
      <c r="QJD61" s="235" t="s">
        <v>1410</v>
      </c>
      <c r="QJE61" s="235" t="s">
        <v>1411</v>
      </c>
      <c r="QJF61" s="235" t="s">
        <v>388</v>
      </c>
      <c r="QJG61" s="237" t="s">
        <v>727</v>
      </c>
      <c r="QJH61" s="237" t="s">
        <v>221</v>
      </c>
      <c r="QJI61" s="235" t="s">
        <v>2</v>
      </c>
      <c r="QJJ61" s="235" t="s">
        <v>3</v>
      </c>
      <c r="QJK61" s="235" t="s">
        <v>618</v>
      </c>
      <c r="QJL61" s="235" t="s">
        <v>1410</v>
      </c>
      <c r="QJM61" s="235" t="s">
        <v>1411</v>
      </c>
      <c r="QJN61" s="235" t="s">
        <v>388</v>
      </c>
      <c r="QJO61" s="237" t="s">
        <v>727</v>
      </c>
      <c r="QJP61" s="237" t="s">
        <v>221</v>
      </c>
      <c r="QJQ61" s="235" t="s">
        <v>2</v>
      </c>
      <c r="QJR61" s="235" t="s">
        <v>3</v>
      </c>
      <c r="QJS61" s="235" t="s">
        <v>618</v>
      </c>
      <c r="QJT61" s="235" t="s">
        <v>1410</v>
      </c>
      <c r="QJU61" s="235" t="s">
        <v>1411</v>
      </c>
      <c r="QJV61" s="235" t="s">
        <v>388</v>
      </c>
      <c r="QJW61" s="237" t="s">
        <v>727</v>
      </c>
      <c r="QJX61" s="237" t="s">
        <v>221</v>
      </c>
      <c r="QJY61" s="235" t="s">
        <v>2</v>
      </c>
      <c r="QJZ61" s="235" t="s">
        <v>3</v>
      </c>
      <c r="QKA61" s="235" t="s">
        <v>618</v>
      </c>
      <c r="QKB61" s="235" t="s">
        <v>1410</v>
      </c>
      <c r="QKC61" s="235" t="s">
        <v>1411</v>
      </c>
      <c r="QKD61" s="235" t="s">
        <v>388</v>
      </c>
      <c r="QKE61" s="237" t="s">
        <v>727</v>
      </c>
      <c r="QKF61" s="237" t="s">
        <v>221</v>
      </c>
      <c r="QKG61" s="235" t="s">
        <v>2</v>
      </c>
      <c r="QKH61" s="235" t="s">
        <v>3</v>
      </c>
      <c r="QKI61" s="235" t="s">
        <v>618</v>
      </c>
      <c r="QKJ61" s="235" t="s">
        <v>1410</v>
      </c>
      <c r="QKK61" s="235" t="s">
        <v>1411</v>
      </c>
      <c r="QKL61" s="235" t="s">
        <v>388</v>
      </c>
      <c r="QKM61" s="237" t="s">
        <v>727</v>
      </c>
      <c r="QKN61" s="237" t="s">
        <v>221</v>
      </c>
      <c r="QKO61" s="235" t="s">
        <v>2</v>
      </c>
      <c r="QKP61" s="235" t="s">
        <v>3</v>
      </c>
      <c r="QKQ61" s="235" t="s">
        <v>618</v>
      </c>
      <c r="QKR61" s="235" t="s">
        <v>1410</v>
      </c>
      <c r="QKS61" s="235" t="s">
        <v>1411</v>
      </c>
      <c r="QKT61" s="235" t="s">
        <v>388</v>
      </c>
      <c r="QKU61" s="237" t="s">
        <v>727</v>
      </c>
      <c r="QKV61" s="237" t="s">
        <v>221</v>
      </c>
      <c r="QKW61" s="235" t="s">
        <v>2</v>
      </c>
      <c r="QKX61" s="235" t="s">
        <v>3</v>
      </c>
      <c r="QKY61" s="235" t="s">
        <v>618</v>
      </c>
      <c r="QKZ61" s="235" t="s">
        <v>1410</v>
      </c>
      <c r="QLA61" s="235" t="s">
        <v>1411</v>
      </c>
      <c r="QLB61" s="235" t="s">
        <v>388</v>
      </c>
      <c r="QLC61" s="237" t="s">
        <v>727</v>
      </c>
      <c r="QLD61" s="237" t="s">
        <v>221</v>
      </c>
      <c r="QLE61" s="235" t="s">
        <v>2</v>
      </c>
      <c r="QLF61" s="235" t="s">
        <v>3</v>
      </c>
      <c r="QLG61" s="235" t="s">
        <v>618</v>
      </c>
      <c r="QLH61" s="235" t="s">
        <v>1410</v>
      </c>
      <c r="QLI61" s="235" t="s">
        <v>1411</v>
      </c>
      <c r="QLJ61" s="235" t="s">
        <v>388</v>
      </c>
      <c r="QLK61" s="237" t="s">
        <v>727</v>
      </c>
      <c r="QLL61" s="237" t="s">
        <v>221</v>
      </c>
      <c r="QLM61" s="235" t="s">
        <v>2</v>
      </c>
      <c r="QLN61" s="235" t="s">
        <v>3</v>
      </c>
      <c r="QLO61" s="235" t="s">
        <v>618</v>
      </c>
      <c r="QLP61" s="235" t="s">
        <v>1410</v>
      </c>
      <c r="QLQ61" s="235" t="s">
        <v>1411</v>
      </c>
      <c r="QLR61" s="235" t="s">
        <v>388</v>
      </c>
      <c r="QLS61" s="237" t="s">
        <v>727</v>
      </c>
      <c r="QLT61" s="237" t="s">
        <v>221</v>
      </c>
      <c r="QLU61" s="235" t="s">
        <v>2</v>
      </c>
      <c r="QLV61" s="235" t="s">
        <v>3</v>
      </c>
      <c r="QLW61" s="235" t="s">
        <v>618</v>
      </c>
      <c r="QLX61" s="235" t="s">
        <v>1410</v>
      </c>
      <c r="QLY61" s="235" t="s">
        <v>1411</v>
      </c>
      <c r="QLZ61" s="235" t="s">
        <v>388</v>
      </c>
      <c r="QMA61" s="237" t="s">
        <v>727</v>
      </c>
      <c r="QMB61" s="237" t="s">
        <v>221</v>
      </c>
      <c r="QMC61" s="235" t="s">
        <v>2</v>
      </c>
      <c r="QMD61" s="235" t="s">
        <v>3</v>
      </c>
      <c r="QME61" s="235" t="s">
        <v>618</v>
      </c>
      <c r="QMF61" s="235" t="s">
        <v>1410</v>
      </c>
      <c r="QMG61" s="235" t="s">
        <v>1411</v>
      </c>
      <c r="QMH61" s="235" t="s">
        <v>388</v>
      </c>
      <c r="QMI61" s="237" t="s">
        <v>727</v>
      </c>
      <c r="QMJ61" s="237" t="s">
        <v>221</v>
      </c>
      <c r="QMK61" s="235" t="s">
        <v>2</v>
      </c>
      <c r="QML61" s="235" t="s">
        <v>3</v>
      </c>
      <c r="QMM61" s="235" t="s">
        <v>618</v>
      </c>
      <c r="QMN61" s="235" t="s">
        <v>1410</v>
      </c>
      <c r="QMO61" s="235" t="s">
        <v>1411</v>
      </c>
      <c r="QMP61" s="235" t="s">
        <v>388</v>
      </c>
      <c r="QMQ61" s="237" t="s">
        <v>727</v>
      </c>
      <c r="QMR61" s="237" t="s">
        <v>221</v>
      </c>
      <c r="QMS61" s="235" t="s">
        <v>2</v>
      </c>
      <c r="QMT61" s="235" t="s">
        <v>3</v>
      </c>
      <c r="QMU61" s="235" t="s">
        <v>618</v>
      </c>
      <c r="QMV61" s="235" t="s">
        <v>1410</v>
      </c>
      <c r="QMW61" s="235" t="s">
        <v>1411</v>
      </c>
      <c r="QMX61" s="235" t="s">
        <v>388</v>
      </c>
      <c r="QMY61" s="237" t="s">
        <v>727</v>
      </c>
      <c r="QMZ61" s="237" t="s">
        <v>221</v>
      </c>
      <c r="QNA61" s="235" t="s">
        <v>2</v>
      </c>
      <c r="QNB61" s="235" t="s">
        <v>3</v>
      </c>
      <c r="QNC61" s="235" t="s">
        <v>618</v>
      </c>
      <c r="QND61" s="235" t="s">
        <v>1410</v>
      </c>
      <c r="QNE61" s="235" t="s">
        <v>1411</v>
      </c>
      <c r="QNF61" s="235" t="s">
        <v>388</v>
      </c>
      <c r="QNG61" s="237" t="s">
        <v>727</v>
      </c>
      <c r="QNH61" s="237" t="s">
        <v>221</v>
      </c>
      <c r="QNI61" s="235" t="s">
        <v>2</v>
      </c>
      <c r="QNJ61" s="235" t="s">
        <v>3</v>
      </c>
      <c r="QNK61" s="235" t="s">
        <v>618</v>
      </c>
      <c r="QNL61" s="235" t="s">
        <v>1410</v>
      </c>
      <c r="QNM61" s="235" t="s">
        <v>1411</v>
      </c>
      <c r="QNN61" s="235" t="s">
        <v>388</v>
      </c>
      <c r="QNO61" s="237" t="s">
        <v>727</v>
      </c>
      <c r="QNP61" s="237" t="s">
        <v>221</v>
      </c>
      <c r="QNQ61" s="235" t="s">
        <v>2</v>
      </c>
      <c r="QNR61" s="235" t="s">
        <v>3</v>
      </c>
      <c r="QNS61" s="235" t="s">
        <v>618</v>
      </c>
      <c r="QNT61" s="235" t="s">
        <v>1410</v>
      </c>
      <c r="QNU61" s="235" t="s">
        <v>1411</v>
      </c>
      <c r="QNV61" s="235" t="s">
        <v>388</v>
      </c>
      <c r="QNW61" s="237" t="s">
        <v>727</v>
      </c>
      <c r="QNX61" s="237" t="s">
        <v>221</v>
      </c>
      <c r="QNY61" s="235" t="s">
        <v>2</v>
      </c>
      <c r="QNZ61" s="235" t="s">
        <v>3</v>
      </c>
      <c r="QOA61" s="235" t="s">
        <v>618</v>
      </c>
      <c r="QOB61" s="235" t="s">
        <v>1410</v>
      </c>
      <c r="QOC61" s="235" t="s">
        <v>1411</v>
      </c>
      <c r="QOD61" s="235" t="s">
        <v>388</v>
      </c>
      <c r="QOE61" s="237" t="s">
        <v>727</v>
      </c>
      <c r="QOF61" s="237" t="s">
        <v>221</v>
      </c>
      <c r="QOG61" s="235" t="s">
        <v>2</v>
      </c>
      <c r="QOH61" s="235" t="s">
        <v>3</v>
      </c>
      <c r="QOI61" s="235" t="s">
        <v>618</v>
      </c>
      <c r="QOJ61" s="235" t="s">
        <v>1410</v>
      </c>
      <c r="QOK61" s="235" t="s">
        <v>1411</v>
      </c>
      <c r="QOL61" s="235" t="s">
        <v>388</v>
      </c>
      <c r="QOM61" s="237" t="s">
        <v>727</v>
      </c>
      <c r="QON61" s="237" t="s">
        <v>221</v>
      </c>
      <c r="QOO61" s="235" t="s">
        <v>2</v>
      </c>
      <c r="QOP61" s="235" t="s">
        <v>3</v>
      </c>
      <c r="QOQ61" s="235" t="s">
        <v>618</v>
      </c>
      <c r="QOR61" s="235" t="s">
        <v>1410</v>
      </c>
      <c r="QOS61" s="235" t="s">
        <v>1411</v>
      </c>
      <c r="QOT61" s="235" t="s">
        <v>388</v>
      </c>
      <c r="QOU61" s="237" t="s">
        <v>727</v>
      </c>
      <c r="QOV61" s="237" t="s">
        <v>221</v>
      </c>
      <c r="QOW61" s="235" t="s">
        <v>2</v>
      </c>
      <c r="QOX61" s="235" t="s">
        <v>3</v>
      </c>
      <c r="QOY61" s="235" t="s">
        <v>618</v>
      </c>
      <c r="QOZ61" s="235" t="s">
        <v>1410</v>
      </c>
      <c r="QPA61" s="235" t="s">
        <v>1411</v>
      </c>
      <c r="QPB61" s="235" t="s">
        <v>388</v>
      </c>
      <c r="QPC61" s="237" t="s">
        <v>727</v>
      </c>
      <c r="QPD61" s="237" t="s">
        <v>221</v>
      </c>
      <c r="QPE61" s="235" t="s">
        <v>2</v>
      </c>
      <c r="QPF61" s="235" t="s">
        <v>3</v>
      </c>
      <c r="QPG61" s="235" t="s">
        <v>618</v>
      </c>
      <c r="QPH61" s="235" t="s">
        <v>1410</v>
      </c>
      <c r="QPI61" s="235" t="s">
        <v>1411</v>
      </c>
      <c r="QPJ61" s="235" t="s">
        <v>388</v>
      </c>
      <c r="QPK61" s="237" t="s">
        <v>727</v>
      </c>
      <c r="QPL61" s="237" t="s">
        <v>221</v>
      </c>
      <c r="QPM61" s="235" t="s">
        <v>2</v>
      </c>
      <c r="QPN61" s="235" t="s">
        <v>3</v>
      </c>
      <c r="QPO61" s="235" t="s">
        <v>618</v>
      </c>
      <c r="QPP61" s="235" t="s">
        <v>1410</v>
      </c>
      <c r="QPQ61" s="235" t="s">
        <v>1411</v>
      </c>
      <c r="QPR61" s="235" t="s">
        <v>388</v>
      </c>
      <c r="QPS61" s="237" t="s">
        <v>727</v>
      </c>
      <c r="QPT61" s="237" t="s">
        <v>221</v>
      </c>
      <c r="QPU61" s="235" t="s">
        <v>2</v>
      </c>
      <c r="QPV61" s="235" t="s">
        <v>3</v>
      </c>
      <c r="QPW61" s="235" t="s">
        <v>618</v>
      </c>
      <c r="QPX61" s="235" t="s">
        <v>1410</v>
      </c>
      <c r="QPY61" s="235" t="s">
        <v>1411</v>
      </c>
      <c r="QPZ61" s="235" t="s">
        <v>388</v>
      </c>
      <c r="QQA61" s="237" t="s">
        <v>727</v>
      </c>
      <c r="QQB61" s="237" t="s">
        <v>221</v>
      </c>
      <c r="QQC61" s="235" t="s">
        <v>2</v>
      </c>
      <c r="QQD61" s="235" t="s">
        <v>3</v>
      </c>
      <c r="QQE61" s="235" t="s">
        <v>618</v>
      </c>
      <c r="QQF61" s="235" t="s">
        <v>1410</v>
      </c>
      <c r="QQG61" s="235" t="s">
        <v>1411</v>
      </c>
      <c r="QQH61" s="235" t="s">
        <v>388</v>
      </c>
      <c r="QQI61" s="237" t="s">
        <v>727</v>
      </c>
      <c r="QQJ61" s="237" t="s">
        <v>221</v>
      </c>
      <c r="QQK61" s="235" t="s">
        <v>2</v>
      </c>
      <c r="QQL61" s="235" t="s">
        <v>3</v>
      </c>
      <c r="QQM61" s="235" t="s">
        <v>618</v>
      </c>
      <c r="QQN61" s="235" t="s">
        <v>1410</v>
      </c>
      <c r="QQO61" s="235" t="s">
        <v>1411</v>
      </c>
      <c r="QQP61" s="235" t="s">
        <v>388</v>
      </c>
      <c r="QQQ61" s="237" t="s">
        <v>727</v>
      </c>
      <c r="QQR61" s="237" t="s">
        <v>221</v>
      </c>
      <c r="QQS61" s="235" t="s">
        <v>2</v>
      </c>
      <c r="QQT61" s="235" t="s">
        <v>3</v>
      </c>
      <c r="QQU61" s="235" t="s">
        <v>618</v>
      </c>
      <c r="QQV61" s="235" t="s">
        <v>1410</v>
      </c>
      <c r="QQW61" s="235" t="s">
        <v>1411</v>
      </c>
      <c r="QQX61" s="235" t="s">
        <v>388</v>
      </c>
      <c r="QQY61" s="237" t="s">
        <v>727</v>
      </c>
      <c r="QQZ61" s="237" t="s">
        <v>221</v>
      </c>
      <c r="QRA61" s="235" t="s">
        <v>2</v>
      </c>
      <c r="QRB61" s="235" t="s">
        <v>3</v>
      </c>
      <c r="QRC61" s="235" t="s">
        <v>618</v>
      </c>
      <c r="QRD61" s="235" t="s">
        <v>1410</v>
      </c>
      <c r="QRE61" s="235" t="s">
        <v>1411</v>
      </c>
      <c r="QRF61" s="235" t="s">
        <v>388</v>
      </c>
      <c r="QRG61" s="237" t="s">
        <v>727</v>
      </c>
      <c r="QRH61" s="237" t="s">
        <v>221</v>
      </c>
      <c r="QRI61" s="235" t="s">
        <v>2</v>
      </c>
      <c r="QRJ61" s="235" t="s">
        <v>3</v>
      </c>
      <c r="QRK61" s="235" t="s">
        <v>618</v>
      </c>
      <c r="QRL61" s="235" t="s">
        <v>1410</v>
      </c>
      <c r="QRM61" s="235" t="s">
        <v>1411</v>
      </c>
      <c r="QRN61" s="235" t="s">
        <v>388</v>
      </c>
      <c r="QRO61" s="237" t="s">
        <v>727</v>
      </c>
      <c r="QRP61" s="237" t="s">
        <v>221</v>
      </c>
      <c r="QRQ61" s="235" t="s">
        <v>2</v>
      </c>
      <c r="QRR61" s="235" t="s">
        <v>3</v>
      </c>
      <c r="QRS61" s="235" t="s">
        <v>618</v>
      </c>
      <c r="QRT61" s="235" t="s">
        <v>1410</v>
      </c>
      <c r="QRU61" s="235" t="s">
        <v>1411</v>
      </c>
      <c r="QRV61" s="235" t="s">
        <v>388</v>
      </c>
      <c r="QRW61" s="237" t="s">
        <v>727</v>
      </c>
      <c r="QRX61" s="237" t="s">
        <v>221</v>
      </c>
      <c r="QRY61" s="235" t="s">
        <v>2</v>
      </c>
      <c r="QRZ61" s="235" t="s">
        <v>3</v>
      </c>
      <c r="QSA61" s="235" t="s">
        <v>618</v>
      </c>
      <c r="QSB61" s="235" t="s">
        <v>1410</v>
      </c>
      <c r="QSC61" s="235" t="s">
        <v>1411</v>
      </c>
      <c r="QSD61" s="235" t="s">
        <v>388</v>
      </c>
      <c r="QSE61" s="237" t="s">
        <v>727</v>
      </c>
      <c r="QSF61" s="237" t="s">
        <v>221</v>
      </c>
      <c r="QSG61" s="235" t="s">
        <v>2</v>
      </c>
      <c r="QSH61" s="235" t="s">
        <v>3</v>
      </c>
      <c r="QSI61" s="235" t="s">
        <v>618</v>
      </c>
      <c r="QSJ61" s="235" t="s">
        <v>1410</v>
      </c>
      <c r="QSK61" s="235" t="s">
        <v>1411</v>
      </c>
      <c r="QSL61" s="235" t="s">
        <v>388</v>
      </c>
      <c r="QSM61" s="237" t="s">
        <v>727</v>
      </c>
      <c r="QSN61" s="237" t="s">
        <v>221</v>
      </c>
      <c r="QSO61" s="235" t="s">
        <v>2</v>
      </c>
      <c r="QSP61" s="235" t="s">
        <v>3</v>
      </c>
      <c r="QSQ61" s="235" t="s">
        <v>618</v>
      </c>
      <c r="QSR61" s="235" t="s">
        <v>1410</v>
      </c>
      <c r="QSS61" s="235" t="s">
        <v>1411</v>
      </c>
      <c r="QST61" s="235" t="s">
        <v>388</v>
      </c>
      <c r="QSU61" s="237" t="s">
        <v>727</v>
      </c>
      <c r="QSV61" s="237" t="s">
        <v>221</v>
      </c>
      <c r="QSW61" s="235" t="s">
        <v>2</v>
      </c>
      <c r="QSX61" s="235" t="s">
        <v>3</v>
      </c>
      <c r="QSY61" s="235" t="s">
        <v>618</v>
      </c>
      <c r="QSZ61" s="235" t="s">
        <v>1410</v>
      </c>
      <c r="QTA61" s="235" t="s">
        <v>1411</v>
      </c>
      <c r="QTB61" s="235" t="s">
        <v>388</v>
      </c>
      <c r="QTC61" s="237" t="s">
        <v>727</v>
      </c>
      <c r="QTD61" s="237" t="s">
        <v>221</v>
      </c>
      <c r="QTE61" s="235" t="s">
        <v>2</v>
      </c>
      <c r="QTF61" s="235" t="s">
        <v>3</v>
      </c>
      <c r="QTG61" s="235" t="s">
        <v>618</v>
      </c>
      <c r="QTH61" s="235" t="s">
        <v>1410</v>
      </c>
      <c r="QTI61" s="235" t="s">
        <v>1411</v>
      </c>
      <c r="QTJ61" s="235" t="s">
        <v>388</v>
      </c>
      <c r="QTK61" s="237" t="s">
        <v>727</v>
      </c>
      <c r="QTL61" s="237" t="s">
        <v>221</v>
      </c>
      <c r="QTM61" s="235" t="s">
        <v>2</v>
      </c>
      <c r="QTN61" s="235" t="s">
        <v>3</v>
      </c>
      <c r="QTO61" s="235" t="s">
        <v>618</v>
      </c>
      <c r="QTP61" s="235" t="s">
        <v>1410</v>
      </c>
      <c r="QTQ61" s="235" t="s">
        <v>1411</v>
      </c>
      <c r="QTR61" s="235" t="s">
        <v>388</v>
      </c>
      <c r="QTS61" s="237" t="s">
        <v>727</v>
      </c>
      <c r="QTT61" s="237" t="s">
        <v>221</v>
      </c>
      <c r="QTU61" s="235" t="s">
        <v>2</v>
      </c>
      <c r="QTV61" s="235" t="s">
        <v>3</v>
      </c>
      <c r="QTW61" s="235" t="s">
        <v>618</v>
      </c>
      <c r="QTX61" s="235" t="s">
        <v>1410</v>
      </c>
      <c r="QTY61" s="235" t="s">
        <v>1411</v>
      </c>
      <c r="QTZ61" s="235" t="s">
        <v>388</v>
      </c>
      <c r="QUA61" s="237" t="s">
        <v>727</v>
      </c>
      <c r="QUB61" s="237" t="s">
        <v>221</v>
      </c>
      <c r="QUC61" s="235" t="s">
        <v>2</v>
      </c>
      <c r="QUD61" s="235" t="s">
        <v>3</v>
      </c>
      <c r="QUE61" s="235" t="s">
        <v>618</v>
      </c>
      <c r="QUF61" s="235" t="s">
        <v>1410</v>
      </c>
      <c r="QUG61" s="235" t="s">
        <v>1411</v>
      </c>
      <c r="QUH61" s="235" t="s">
        <v>388</v>
      </c>
      <c r="QUI61" s="237" t="s">
        <v>727</v>
      </c>
      <c r="QUJ61" s="237" t="s">
        <v>221</v>
      </c>
      <c r="QUK61" s="235" t="s">
        <v>2</v>
      </c>
      <c r="QUL61" s="235" t="s">
        <v>3</v>
      </c>
      <c r="QUM61" s="235" t="s">
        <v>618</v>
      </c>
      <c r="QUN61" s="235" t="s">
        <v>1410</v>
      </c>
      <c r="QUO61" s="235" t="s">
        <v>1411</v>
      </c>
      <c r="QUP61" s="235" t="s">
        <v>388</v>
      </c>
      <c r="QUQ61" s="237" t="s">
        <v>727</v>
      </c>
      <c r="QUR61" s="237" t="s">
        <v>221</v>
      </c>
      <c r="QUS61" s="235" t="s">
        <v>2</v>
      </c>
      <c r="QUT61" s="235" t="s">
        <v>3</v>
      </c>
      <c r="QUU61" s="235" t="s">
        <v>618</v>
      </c>
      <c r="QUV61" s="235" t="s">
        <v>1410</v>
      </c>
      <c r="QUW61" s="235" t="s">
        <v>1411</v>
      </c>
      <c r="QUX61" s="235" t="s">
        <v>388</v>
      </c>
      <c r="QUY61" s="237" t="s">
        <v>727</v>
      </c>
      <c r="QUZ61" s="237" t="s">
        <v>221</v>
      </c>
      <c r="QVA61" s="235" t="s">
        <v>2</v>
      </c>
      <c r="QVB61" s="235" t="s">
        <v>3</v>
      </c>
      <c r="QVC61" s="235" t="s">
        <v>618</v>
      </c>
      <c r="QVD61" s="235" t="s">
        <v>1410</v>
      </c>
      <c r="QVE61" s="235" t="s">
        <v>1411</v>
      </c>
      <c r="QVF61" s="235" t="s">
        <v>388</v>
      </c>
      <c r="QVG61" s="237" t="s">
        <v>727</v>
      </c>
      <c r="QVH61" s="237" t="s">
        <v>221</v>
      </c>
      <c r="QVI61" s="235" t="s">
        <v>2</v>
      </c>
      <c r="QVJ61" s="235" t="s">
        <v>3</v>
      </c>
      <c r="QVK61" s="235" t="s">
        <v>618</v>
      </c>
      <c r="QVL61" s="235" t="s">
        <v>1410</v>
      </c>
      <c r="QVM61" s="235" t="s">
        <v>1411</v>
      </c>
      <c r="QVN61" s="235" t="s">
        <v>388</v>
      </c>
      <c r="QVO61" s="237" t="s">
        <v>727</v>
      </c>
      <c r="QVP61" s="237" t="s">
        <v>221</v>
      </c>
      <c r="QVQ61" s="235" t="s">
        <v>2</v>
      </c>
      <c r="QVR61" s="235" t="s">
        <v>3</v>
      </c>
      <c r="QVS61" s="235" t="s">
        <v>618</v>
      </c>
      <c r="QVT61" s="235" t="s">
        <v>1410</v>
      </c>
      <c r="QVU61" s="235" t="s">
        <v>1411</v>
      </c>
      <c r="QVV61" s="235" t="s">
        <v>388</v>
      </c>
      <c r="QVW61" s="237" t="s">
        <v>727</v>
      </c>
      <c r="QVX61" s="237" t="s">
        <v>221</v>
      </c>
      <c r="QVY61" s="235" t="s">
        <v>2</v>
      </c>
      <c r="QVZ61" s="235" t="s">
        <v>3</v>
      </c>
      <c r="QWA61" s="235" t="s">
        <v>618</v>
      </c>
      <c r="QWB61" s="235" t="s">
        <v>1410</v>
      </c>
      <c r="QWC61" s="235" t="s">
        <v>1411</v>
      </c>
      <c r="QWD61" s="235" t="s">
        <v>388</v>
      </c>
      <c r="QWE61" s="237" t="s">
        <v>727</v>
      </c>
      <c r="QWF61" s="237" t="s">
        <v>221</v>
      </c>
      <c r="QWG61" s="235" t="s">
        <v>2</v>
      </c>
      <c r="QWH61" s="235" t="s">
        <v>3</v>
      </c>
      <c r="QWI61" s="235" t="s">
        <v>618</v>
      </c>
      <c r="QWJ61" s="235" t="s">
        <v>1410</v>
      </c>
      <c r="QWK61" s="235" t="s">
        <v>1411</v>
      </c>
      <c r="QWL61" s="235" t="s">
        <v>388</v>
      </c>
      <c r="QWM61" s="237" t="s">
        <v>727</v>
      </c>
      <c r="QWN61" s="237" t="s">
        <v>221</v>
      </c>
      <c r="QWO61" s="235" t="s">
        <v>2</v>
      </c>
      <c r="QWP61" s="235" t="s">
        <v>3</v>
      </c>
      <c r="QWQ61" s="235" t="s">
        <v>618</v>
      </c>
      <c r="QWR61" s="235" t="s">
        <v>1410</v>
      </c>
      <c r="QWS61" s="235" t="s">
        <v>1411</v>
      </c>
      <c r="QWT61" s="235" t="s">
        <v>388</v>
      </c>
      <c r="QWU61" s="237" t="s">
        <v>727</v>
      </c>
      <c r="QWV61" s="237" t="s">
        <v>221</v>
      </c>
      <c r="QWW61" s="235" t="s">
        <v>2</v>
      </c>
      <c r="QWX61" s="235" t="s">
        <v>3</v>
      </c>
      <c r="QWY61" s="235" t="s">
        <v>618</v>
      </c>
      <c r="QWZ61" s="235" t="s">
        <v>1410</v>
      </c>
      <c r="QXA61" s="235" t="s">
        <v>1411</v>
      </c>
      <c r="QXB61" s="235" t="s">
        <v>388</v>
      </c>
      <c r="QXC61" s="237" t="s">
        <v>727</v>
      </c>
      <c r="QXD61" s="237" t="s">
        <v>221</v>
      </c>
      <c r="QXE61" s="235" t="s">
        <v>2</v>
      </c>
      <c r="QXF61" s="235" t="s">
        <v>3</v>
      </c>
      <c r="QXG61" s="235" t="s">
        <v>618</v>
      </c>
      <c r="QXH61" s="235" t="s">
        <v>1410</v>
      </c>
      <c r="QXI61" s="235" t="s">
        <v>1411</v>
      </c>
      <c r="QXJ61" s="235" t="s">
        <v>388</v>
      </c>
      <c r="QXK61" s="237" t="s">
        <v>727</v>
      </c>
      <c r="QXL61" s="237" t="s">
        <v>221</v>
      </c>
      <c r="QXM61" s="235" t="s">
        <v>2</v>
      </c>
      <c r="QXN61" s="235" t="s">
        <v>3</v>
      </c>
      <c r="QXO61" s="235" t="s">
        <v>618</v>
      </c>
      <c r="QXP61" s="235" t="s">
        <v>1410</v>
      </c>
      <c r="QXQ61" s="235" t="s">
        <v>1411</v>
      </c>
      <c r="QXR61" s="235" t="s">
        <v>388</v>
      </c>
      <c r="QXS61" s="237" t="s">
        <v>727</v>
      </c>
      <c r="QXT61" s="237" t="s">
        <v>221</v>
      </c>
      <c r="QXU61" s="235" t="s">
        <v>2</v>
      </c>
      <c r="QXV61" s="235" t="s">
        <v>3</v>
      </c>
      <c r="QXW61" s="235" t="s">
        <v>618</v>
      </c>
      <c r="QXX61" s="235" t="s">
        <v>1410</v>
      </c>
      <c r="QXY61" s="235" t="s">
        <v>1411</v>
      </c>
      <c r="QXZ61" s="235" t="s">
        <v>388</v>
      </c>
      <c r="QYA61" s="237" t="s">
        <v>727</v>
      </c>
      <c r="QYB61" s="237" t="s">
        <v>221</v>
      </c>
      <c r="QYC61" s="235" t="s">
        <v>2</v>
      </c>
      <c r="QYD61" s="235" t="s">
        <v>3</v>
      </c>
      <c r="QYE61" s="235" t="s">
        <v>618</v>
      </c>
      <c r="QYF61" s="235" t="s">
        <v>1410</v>
      </c>
      <c r="QYG61" s="235" t="s">
        <v>1411</v>
      </c>
      <c r="QYH61" s="235" t="s">
        <v>388</v>
      </c>
      <c r="QYI61" s="237" t="s">
        <v>727</v>
      </c>
      <c r="QYJ61" s="237" t="s">
        <v>221</v>
      </c>
      <c r="QYK61" s="235" t="s">
        <v>2</v>
      </c>
      <c r="QYL61" s="235" t="s">
        <v>3</v>
      </c>
      <c r="QYM61" s="235" t="s">
        <v>618</v>
      </c>
      <c r="QYN61" s="235" t="s">
        <v>1410</v>
      </c>
      <c r="QYO61" s="235" t="s">
        <v>1411</v>
      </c>
      <c r="QYP61" s="235" t="s">
        <v>388</v>
      </c>
      <c r="QYQ61" s="237" t="s">
        <v>727</v>
      </c>
      <c r="QYR61" s="237" t="s">
        <v>221</v>
      </c>
      <c r="QYS61" s="235" t="s">
        <v>2</v>
      </c>
      <c r="QYT61" s="235" t="s">
        <v>3</v>
      </c>
      <c r="QYU61" s="235" t="s">
        <v>618</v>
      </c>
      <c r="QYV61" s="235" t="s">
        <v>1410</v>
      </c>
      <c r="QYW61" s="235" t="s">
        <v>1411</v>
      </c>
      <c r="QYX61" s="235" t="s">
        <v>388</v>
      </c>
      <c r="QYY61" s="237" t="s">
        <v>727</v>
      </c>
      <c r="QYZ61" s="237" t="s">
        <v>221</v>
      </c>
      <c r="QZA61" s="235" t="s">
        <v>2</v>
      </c>
      <c r="QZB61" s="235" t="s">
        <v>3</v>
      </c>
      <c r="QZC61" s="235" t="s">
        <v>618</v>
      </c>
      <c r="QZD61" s="235" t="s">
        <v>1410</v>
      </c>
      <c r="QZE61" s="235" t="s">
        <v>1411</v>
      </c>
      <c r="QZF61" s="235" t="s">
        <v>388</v>
      </c>
      <c r="QZG61" s="237" t="s">
        <v>727</v>
      </c>
      <c r="QZH61" s="237" t="s">
        <v>221</v>
      </c>
      <c r="QZI61" s="235" t="s">
        <v>2</v>
      </c>
      <c r="QZJ61" s="235" t="s">
        <v>3</v>
      </c>
      <c r="QZK61" s="235" t="s">
        <v>618</v>
      </c>
      <c r="QZL61" s="235" t="s">
        <v>1410</v>
      </c>
      <c r="QZM61" s="235" t="s">
        <v>1411</v>
      </c>
      <c r="QZN61" s="235" t="s">
        <v>388</v>
      </c>
      <c r="QZO61" s="237" t="s">
        <v>727</v>
      </c>
      <c r="QZP61" s="237" t="s">
        <v>221</v>
      </c>
      <c r="QZQ61" s="235" t="s">
        <v>2</v>
      </c>
      <c r="QZR61" s="235" t="s">
        <v>3</v>
      </c>
      <c r="QZS61" s="235" t="s">
        <v>618</v>
      </c>
      <c r="QZT61" s="235" t="s">
        <v>1410</v>
      </c>
      <c r="QZU61" s="235" t="s">
        <v>1411</v>
      </c>
      <c r="QZV61" s="235" t="s">
        <v>388</v>
      </c>
      <c r="QZW61" s="237" t="s">
        <v>727</v>
      </c>
      <c r="QZX61" s="237" t="s">
        <v>221</v>
      </c>
      <c r="QZY61" s="235" t="s">
        <v>2</v>
      </c>
      <c r="QZZ61" s="235" t="s">
        <v>3</v>
      </c>
      <c r="RAA61" s="235" t="s">
        <v>618</v>
      </c>
      <c r="RAB61" s="235" t="s">
        <v>1410</v>
      </c>
      <c r="RAC61" s="235" t="s">
        <v>1411</v>
      </c>
      <c r="RAD61" s="235" t="s">
        <v>388</v>
      </c>
      <c r="RAE61" s="237" t="s">
        <v>727</v>
      </c>
      <c r="RAF61" s="237" t="s">
        <v>221</v>
      </c>
      <c r="RAG61" s="235" t="s">
        <v>2</v>
      </c>
      <c r="RAH61" s="235" t="s">
        <v>3</v>
      </c>
      <c r="RAI61" s="235" t="s">
        <v>618</v>
      </c>
      <c r="RAJ61" s="235" t="s">
        <v>1410</v>
      </c>
      <c r="RAK61" s="235" t="s">
        <v>1411</v>
      </c>
      <c r="RAL61" s="235" t="s">
        <v>388</v>
      </c>
      <c r="RAM61" s="237" t="s">
        <v>727</v>
      </c>
      <c r="RAN61" s="237" t="s">
        <v>221</v>
      </c>
      <c r="RAO61" s="235" t="s">
        <v>2</v>
      </c>
      <c r="RAP61" s="235" t="s">
        <v>3</v>
      </c>
      <c r="RAQ61" s="235" t="s">
        <v>618</v>
      </c>
      <c r="RAR61" s="235" t="s">
        <v>1410</v>
      </c>
      <c r="RAS61" s="235" t="s">
        <v>1411</v>
      </c>
      <c r="RAT61" s="235" t="s">
        <v>388</v>
      </c>
      <c r="RAU61" s="237" t="s">
        <v>727</v>
      </c>
      <c r="RAV61" s="237" t="s">
        <v>221</v>
      </c>
      <c r="RAW61" s="235" t="s">
        <v>2</v>
      </c>
      <c r="RAX61" s="235" t="s">
        <v>3</v>
      </c>
      <c r="RAY61" s="235" t="s">
        <v>618</v>
      </c>
      <c r="RAZ61" s="235" t="s">
        <v>1410</v>
      </c>
      <c r="RBA61" s="235" t="s">
        <v>1411</v>
      </c>
      <c r="RBB61" s="235" t="s">
        <v>388</v>
      </c>
      <c r="RBC61" s="237" t="s">
        <v>727</v>
      </c>
      <c r="RBD61" s="237" t="s">
        <v>221</v>
      </c>
      <c r="RBE61" s="235" t="s">
        <v>2</v>
      </c>
      <c r="RBF61" s="235" t="s">
        <v>3</v>
      </c>
      <c r="RBG61" s="235" t="s">
        <v>618</v>
      </c>
      <c r="RBH61" s="235" t="s">
        <v>1410</v>
      </c>
      <c r="RBI61" s="235" t="s">
        <v>1411</v>
      </c>
      <c r="RBJ61" s="235" t="s">
        <v>388</v>
      </c>
      <c r="RBK61" s="237" t="s">
        <v>727</v>
      </c>
      <c r="RBL61" s="237" t="s">
        <v>221</v>
      </c>
      <c r="RBM61" s="235" t="s">
        <v>2</v>
      </c>
      <c r="RBN61" s="235" t="s">
        <v>3</v>
      </c>
      <c r="RBO61" s="235" t="s">
        <v>618</v>
      </c>
      <c r="RBP61" s="235" t="s">
        <v>1410</v>
      </c>
      <c r="RBQ61" s="235" t="s">
        <v>1411</v>
      </c>
      <c r="RBR61" s="235" t="s">
        <v>388</v>
      </c>
      <c r="RBS61" s="237" t="s">
        <v>727</v>
      </c>
      <c r="RBT61" s="237" t="s">
        <v>221</v>
      </c>
      <c r="RBU61" s="235" t="s">
        <v>2</v>
      </c>
      <c r="RBV61" s="235" t="s">
        <v>3</v>
      </c>
      <c r="RBW61" s="235" t="s">
        <v>618</v>
      </c>
      <c r="RBX61" s="235" t="s">
        <v>1410</v>
      </c>
      <c r="RBY61" s="235" t="s">
        <v>1411</v>
      </c>
      <c r="RBZ61" s="235" t="s">
        <v>388</v>
      </c>
      <c r="RCA61" s="237" t="s">
        <v>727</v>
      </c>
      <c r="RCB61" s="237" t="s">
        <v>221</v>
      </c>
      <c r="RCC61" s="235" t="s">
        <v>2</v>
      </c>
      <c r="RCD61" s="235" t="s">
        <v>3</v>
      </c>
      <c r="RCE61" s="235" t="s">
        <v>618</v>
      </c>
      <c r="RCF61" s="235" t="s">
        <v>1410</v>
      </c>
      <c r="RCG61" s="235" t="s">
        <v>1411</v>
      </c>
      <c r="RCH61" s="235" t="s">
        <v>388</v>
      </c>
      <c r="RCI61" s="237" t="s">
        <v>727</v>
      </c>
      <c r="RCJ61" s="237" t="s">
        <v>221</v>
      </c>
      <c r="RCK61" s="235" t="s">
        <v>2</v>
      </c>
      <c r="RCL61" s="235" t="s">
        <v>3</v>
      </c>
      <c r="RCM61" s="235" t="s">
        <v>618</v>
      </c>
      <c r="RCN61" s="235" t="s">
        <v>1410</v>
      </c>
      <c r="RCO61" s="235" t="s">
        <v>1411</v>
      </c>
      <c r="RCP61" s="235" t="s">
        <v>388</v>
      </c>
      <c r="RCQ61" s="237" t="s">
        <v>727</v>
      </c>
      <c r="RCR61" s="237" t="s">
        <v>221</v>
      </c>
      <c r="RCS61" s="235" t="s">
        <v>2</v>
      </c>
      <c r="RCT61" s="235" t="s">
        <v>3</v>
      </c>
      <c r="RCU61" s="235" t="s">
        <v>618</v>
      </c>
      <c r="RCV61" s="235" t="s">
        <v>1410</v>
      </c>
      <c r="RCW61" s="235" t="s">
        <v>1411</v>
      </c>
      <c r="RCX61" s="235" t="s">
        <v>388</v>
      </c>
      <c r="RCY61" s="237" t="s">
        <v>727</v>
      </c>
      <c r="RCZ61" s="237" t="s">
        <v>221</v>
      </c>
      <c r="RDA61" s="235" t="s">
        <v>2</v>
      </c>
      <c r="RDB61" s="235" t="s">
        <v>3</v>
      </c>
      <c r="RDC61" s="235" t="s">
        <v>618</v>
      </c>
      <c r="RDD61" s="235" t="s">
        <v>1410</v>
      </c>
      <c r="RDE61" s="235" t="s">
        <v>1411</v>
      </c>
      <c r="RDF61" s="235" t="s">
        <v>388</v>
      </c>
      <c r="RDG61" s="237" t="s">
        <v>727</v>
      </c>
      <c r="RDH61" s="237" t="s">
        <v>221</v>
      </c>
      <c r="RDI61" s="235" t="s">
        <v>2</v>
      </c>
      <c r="RDJ61" s="235" t="s">
        <v>3</v>
      </c>
      <c r="RDK61" s="235" t="s">
        <v>618</v>
      </c>
      <c r="RDL61" s="235" t="s">
        <v>1410</v>
      </c>
      <c r="RDM61" s="235" t="s">
        <v>1411</v>
      </c>
      <c r="RDN61" s="235" t="s">
        <v>388</v>
      </c>
      <c r="RDO61" s="237" t="s">
        <v>727</v>
      </c>
      <c r="RDP61" s="237" t="s">
        <v>221</v>
      </c>
      <c r="RDQ61" s="235" t="s">
        <v>2</v>
      </c>
      <c r="RDR61" s="235" t="s">
        <v>3</v>
      </c>
      <c r="RDS61" s="235" t="s">
        <v>618</v>
      </c>
      <c r="RDT61" s="235" t="s">
        <v>1410</v>
      </c>
      <c r="RDU61" s="235" t="s">
        <v>1411</v>
      </c>
      <c r="RDV61" s="235" t="s">
        <v>388</v>
      </c>
      <c r="RDW61" s="237" t="s">
        <v>727</v>
      </c>
      <c r="RDX61" s="237" t="s">
        <v>221</v>
      </c>
      <c r="RDY61" s="235" t="s">
        <v>2</v>
      </c>
      <c r="RDZ61" s="235" t="s">
        <v>3</v>
      </c>
      <c r="REA61" s="235" t="s">
        <v>618</v>
      </c>
      <c r="REB61" s="235" t="s">
        <v>1410</v>
      </c>
      <c r="REC61" s="235" t="s">
        <v>1411</v>
      </c>
      <c r="RED61" s="235" t="s">
        <v>388</v>
      </c>
      <c r="REE61" s="237" t="s">
        <v>727</v>
      </c>
      <c r="REF61" s="237" t="s">
        <v>221</v>
      </c>
      <c r="REG61" s="235" t="s">
        <v>2</v>
      </c>
      <c r="REH61" s="235" t="s">
        <v>3</v>
      </c>
      <c r="REI61" s="235" t="s">
        <v>618</v>
      </c>
      <c r="REJ61" s="235" t="s">
        <v>1410</v>
      </c>
      <c r="REK61" s="235" t="s">
        <v>1411</v>
      </c>
      <c r="REL61" s="235" t="s">
        <v>388</v>
      </c>
      <c r="REM61" s="237" t="s">
        <v>727</v>
      </c>
      <c r="REN61" s="237" t="s">
        <v>221</v>
      </c>
      <c r="REO61" s="235" t="s">
        <v>2</v>
      </c>
      <c r="REP61" s="235" t="s">
        <v>3</v>
      </c>
      <c r="REQ61" s="235" t="s">
        <v>618</v>
      </c>
      <c r="RER61" s="235" t="s">
        <v>1410</v>
      </c>
      <c r="RES61" s="235" t="s">
        <v>1411</v>
      </c>
      <c r="RET61" s="235" t="s">
        <v>388</v>
      </c>
      <c r="REU61" s="237" t="s">
        <v>727</v>
      </c>
      <c r="REV61" s="237" t="s">
        <v>221</v>
      </c>
      <c r="REW61" s="235" t="s">
        <v>2</v>
      </c>
      <c r="REX61" s="235" t="s">
        <v>3</v>
      </c>
      <c r="REY61" s="235" t="s">
        <v>618</v>
      </c>
      <c r="REZ61" s="235" t="s">
        <v>1410</v>
      </c>
      <c r="RFA61" s="235" t="s">
        <v>1411</v>
      </c>
      <c r="RFB61" s="235" t="s">
        <v>388</v>
      </c>
      <c r="RFC61" s="237" t="s">
        <v>727</v>
      </c>
      <c r="RFD61" s="237" t="s">
        <v>221</v>
      </c>
      <c r="RFE61" s="235" t="s">
        <v>2</v>
      </c>
      <c r="RFF61" s="235" t="s">
        <v>3</v>
      </c>
      <c r="RFG61" s="235" t="s">
        <v>618</v>
      </c>
      <c r="RFH61" s="235" t="s">
        <v>1410</v>
      </c>
      <c r="RFI61" s="235" t="s">
        <v>1411</v>
      </c>
      <c r="RFJ61" s="235" t="s">
        <v>388</v>
      </c>
      <c r="RFK61" s="237" t="s">
        <v>727</v>
      </c>
      <c r="RFL61" s="237" t="s">
        <v>221</v>
      </c>
      <c r="RFM61" s="235" t="s">
        <v>2</v>
      </c>
      <c r="RFN61" s="235" t="s">
        <v>3</v>
      </c>
      <c r="RFO61" s="235" t="s">
        <v>618</v>
      </c>
      <c r="RFP61" s="235" t="s">
        <v>1410</v>
      </c>
      <c r="RFQ61" s="235" t="s">
        <v>1411</v>
      </c>
      <c r="RFR61" s="235" t="s">
        <v>388</v>
      </c>
      <c r="RFS61" s="237" t="s">
        <v>727</v>
      </c>
      <c r="RFT61" s="237" t="s">
        <v>221</v>
      </c>
      <c r="RFU61" s="235" t="s">
        <v>2</v>
      </c>
      <c r="RFV61" s="235" t="s">
        <v>3</v>
      </c>
      <c r="RFW61" s="235" t="s">
        <v>618</v>
      </c>
      <c r="RFX61" s="235" t="s">
        <v>1410</v>
      </c>
      <c r="RFY61" s="235" t="s">
        <v>1411</v>
      </c>
      <c r="RFZ61" s="235" t="s">
        <v>388</v>
      </c>
      <c r="RGA61" s="237" t="s">
        <v>727</v>
      </c>
      <c r="RGB61" s="237" t="s">
        <v>221</v>
      </c>
      <c r="RGC61" s="235" t="s">
        <v>2</v>
      </c>
      <c r="RGD61" s="235" t="s">
        <v>3</v>
      </c>
      <c r="RGE61" s="235" t="s">
        <v>618</v>
      </c>
      <c r="RGF61" s="235" t="s">
        <v>1410</v>
      </c>
      <c r="RGG61" s="235" t="s">
        <v>1411</v>
      </c>
      <c r="RGH61" s="235" t="s">
        <v>388</v>
      </c>
      <c r="RGI61" s="237" t="s">
        <v>727</v>
      </c>
      <c r="RGJ61" s="237" t="s">
        <v>221</v>
      </c>
      <c r="RGK61" s="235" t="s">
        <v>2</v>
      </c>
      <c r="RGL61" s="235" t="s">
        <v>3</v>
      </c>
      <c r="RGM61" s="235" t="s">
        <v>618</v>
      </c>
      <c r="RGN61" s="235" t="s">
        <v>1410</v>
      </c>
      <c r="RGO61" s="235" t="s">
        <v>1411</v>
      </c>
      <c r="RGP61" s="235" t="s">
        <v>388</v>
      </c>
      <c r="RGQ61" s="237" t="s">
        <v>727</v>
      </c>
      <c r="RGR61" s="237" t="s">
        <v>221</v>
      </c>
      <c r="RGS61" s="235" t="s">
        <v>2</v>
      </c>
      <c r="RGT61" s="235" t="s">
        <v>3</v>
      </c>
      <c r="RGU61" s="235" t="s">
        <v>618</v>
      </c>
      <c r="RGV61" s="235" t="s">
        <v>1410</v>
      </c>
      <c r="RGW61" s="235" t="s">
        <v>1411</v>
      </c>
      <c r="RGX61" s="235" t="s">
        <v>388</v>
      </c>
      <c r="RGY61" s="237" t="s">
        <v>727</v>
      </c>
      <c r="RGZ61" s="237" t="s">
        <v>221</v>
      </c>
      <c r="RHA61" s="235" t="s">
        <v>2</v>
      </c>
      <c r="RHB61" s="235" t="s">
        <v>3</v>
      </c>
      <c r="RHC61" s="235" t="s">
        <v>618</v>
      </c>
      <c r="RHD61" s="235" t="s">
        <v>1410</v>
      </c>
      <c r="RHE61" s="235" t="s">
        <v>1411</v>
      </c>
      <c r="RHF61" s="235" t="s">
        <v>388</v>
      </c>
      <c r="RHG61" s="237" t="s">
        <v>727</v>
      </c>
      <c r="RHH61" s="237" t="s">
        <v>221</v>
      </c>
      <c r="RHI61" s="235" t="s">
        <v>2</v>
      </c>
      <c r="RHJ61" s="235" t="s">
        <v>3</v>
      </c>
      <c r="RHK61" s="235" t="s">
        <v>618</v>
      </c>
      <c r="RHL61" s="235" t="s">
        <v>1410</v>
      </c>
      <c r="RHM61" s="235" t="s">
        <v>1411</v>
      </c>
      <c r="RHN61" s="235" t="s">
        <v>388</v>
      </c>
      <c r="RHO61" s="237" t="s">
        <v>727</v>
      </c>
      <c r="RHP61" s="237" t="s">
        <v>221</v>
      </c>
      <c r="RHQ61" s="235" t="s">
        <v>2</v>
      </c>
      <c r="RHR61" s="235" t="s">
        <v>3</v>
      </c>
      <c r="RHS61" s="235" t="s">
        <v>618</v>
      </c>
      <c r="RHT61" s="235" t="s">
        <v>1410</v>
      </c>
      <c r="RHU61" s="235" t="s">
        <v>1411</v>
      </c>
      <c r="RHV61" s="235" t="s">
        <v>388</v>
      </c>
      <c r="RHW61" s="237" t="s">
        <v>727</v>
      </c>
      <c r="RHX61" s="237" t="s">
        <v>221</v>
      </c>
      <c r="RHY61" s="235" t="s">
        <v>2</v>
      </c>
      <c r="RHZ61" s="235" t="s">
        <v>3</v>
      </c>
      <c r="RIA61" s="235" t="s">
        <v>618</v>
      </c>
      <c r="RIB61" s="235" t="s">
        <v>1410</v>
      </c>
      <c r="RIC61" s="235" t="s">
        <v>1411</v>
      </c>
      <c r="RID61" s="235" t="s">
        <v>388</v>
      </c>
      <c r="RIE61" s="237" t="s">
        <v>727</v>
      </c>
      <c r="RIF61" s="237" t="s">
        <v>221</v>
      </c>
      <c r="RIG61" s="235" t="s">
        <v>2</v>
      </c>
      <c r="RIH61" s="235" t="s">
        <v>3</v>
      </c>
      <c r="RII61" s="235" t="s">
        <v>618</v>
      </c>
      <c r="RIJ61" s="235" t="s">
        <v>1410</v>
      </c>
      <c r="RIK61" s="235" t="s">
        <v>1411</v>
      </c>
      <c r="RIL61" s="235" t="s">
        <v>388</v>
      </c>
      <c r="RIM61" s="237" t="s">
        <v>727</v>
      </c>
      <c r="RIN61" s="237" t="s">
        <v>221</v>
      </c>
      <c r="RIO61" s="235" t="s">
        <v>2</v>
      </c>
      <c r="RIP61" s="235" t="s">
        <v>3</v>
      </c>
      <c r="RIQ61" s="235" t="s">
        <v>618</v>
      </c>
      <c r="RIR61" s="235" t="s">
        <v>1410</v>
      </c>
      <c r="RIS61" s="235" t="s">
        <v>1411</v>
      </c>
      <c r="RIT61" s="235" t="s">
        <v>388</v>
      </c>
      <c r="RIU61" s="237" t="s">
        <v>727</v>
      </c>
      <c r="RIV61" s="237" t="s">
        <v>221</v>
      </c>
      <c r="RIW61" s="235" t="s">
        <v>2</v>
      </c>
      <c r="RIX61" s="235" t="s">
        <v>3</v>
      </c>
      <c r="RIY61" s="235" t="s">
        <v>618</v>
      </c>
      <c r="RIZ61" s="235" t="s">
        <v>1410</v>
      </c>
      <c r="RJA61" s="235" t="s">
        <v>1411</v>
      </c>
      <c r="RJB61" s="235" t="s">
        <v>388</v>
      </c>
      <c r="RJC61" s="237" t="s">
        <v>727</v>
      </c>
      <c r="RJD61" s="237" t="s">
        <v>221</v>
      </c>
      <c r="RJE61" s="235" t="s">
        <v>2</v>
      </c>
      <c r="RJF61" s="235" t="s">
        <v>3</v>
      </c>
      <c r="RJG61" s="235" t="s">
        <v>618</v>
      </c>
      <c r="RJH61" s="235" t="s">
        <v>1410</v>
      </c>
      <c r="RJI61" s="235" t="s">
        <v>1411</v>
      </c>
      <c r="RJJ61" s="235" t="s">
        <v>388</v>
      </c>
      <c r="RJK61" s="237" t="s">
        <v>727</v>
      </c>
      <c r="RJL61" s="237" t="s">
        <v>221</v>
      </c>
      <c r="RJM61" s="235" t="s">
        <v>2</v>
      </c>
      <c r="RJN61" s="235" t="s">
        <v>3</v>
      </c>
      <c r="RJO61" s="235" t="s">
        <v>618</v>
      </c>
      <c r="RJP61" s="235" t="s">
        <v>1410</v>
      </c>
      <c r="RJQ61" s="235" t="s">
        <v>1411</v>
      </c>
      <c r="RJR61" s="235" t="s">
        <v>388</v>
      </c>
      <c r="RJS61" s="237" t="s">
        <v>727</v>
      </c>
      <c r="RJT61" s="237" t="s">
        <v>221</v>
      </c>
      <c r="RJU61" s="235" t="s">
        <v>2</v>
      </c>
      <c r="RJV61" s="235" t="s">
        <v>3</v>
      </c>
      <c r="RJW61" s="235" t="s">
        <v>618</v>
      </c>
      <c r="RJX61" s="235" t="s">
        <v>1410</v>
      </c>
      <c r="RJY61" s="235" t="s">
        <v>1411</v>
      </c>
      <c r="RJZ61" s="235" t="s">
        <v>388</v>
      </c>
      <c r="RKA61" s="237" t="s">
        <v>727</v>
      </c>
      <c r="RKB61" s="237" t="s">
        <v>221</v>
      </c>
      <c r="RKC61" s="235" t="s">
        <v>2</v>
      </c>
      <c r="RKD61" s="235" t="s">
        <v>3</v>
      </c>
      <c r="RKE61" s="235" t="s">
        <v>618</v>
      </c>
      <c r="RKF61" s="235" t="s">
        <v>1410</v>
      </c>
      <c r="RKG61" s="235" t="s">
        <v>1411</v>
      </c>
      <c r="RKH61" s="235" t="s">
        <v>388</v>
      </c>
      <c r="RKI61" s="237" t="s">
        <v>727</v>
      </c>
      <c r="RKJ61" s="237" t="s">
        <v>221</v>
      </c>
      <c r="RKK61" s="235" t="s">
        <v>2</v>
      </c>
      <c r="RKL61" s="235" t="s">
        <v>3</v>
      </c>
      <c r="RKM61" s="235" t="s">
        <v>618</v>
      </c>
      <c r="RKN61" s="235" t="s">
        <v>1410</v>
      </c>
      <c r="RKO61" s="235" t="s">
        <v>1411</v>
      </c>
      <c r="RKP61" s="235" t="s">
        <v>388</v>
      </c>
      <c r="RKQ61" s="237" t="s">
        <v>727</v>
      </c>
      <c r="RKR61" s="237" t="s">
        <v>221</v>
      </c>
      <c r="RKS61" s="235" t="s">
        <v>2</v>
      </c>
      <c r="RKT61" s="235" t="s">
        <v>3</v>
      </c>
      <c r="RKU61" s="235" t="s">
        <v>618</v>
      </c>
      <c r="RKV61" s="235" t="s">
        <v>1410</v>
      </c>
      <c r="RKW61" s="235" t="s">
        <v>1411</v>
      </c>
      <c r="RKX61" s="235" t="s">
        <v>388</v>
      </c>
      <c r="RKY61" s="237" t="s">
        <v>727</v>
      </c>
      <c r="RKZ61" s="237" t="s">
        <v>221</v>
      </c>
      <c r="RLA61" s="235" t="s">
        <v>2</v>
      </c>
      <c r="RLB61" s="235" t="s">
        <v>3</v>
      </c>
      <c r="RLC61" s="235" t="s">
        <v>618</v>
      </c>
      <c r="RLD61" s="235" t="s">
        <v>1410</v>
      </c>
      <c r="RLE61" s="235" t="s">
        <v>1411</v>
      </c>
      <c r="RLF61" s="235" t="s">
        <v>388</v>
      </c>
      <c r="RLG61" s="237" t="s">
        <v>727</v>
      </c>
      <c r="RLH61" s="237" t="s">
        <v>221</v>
      </c>
      <c r="RLI61" s="235" t="s">
        <v>2</v>
      </c>
      <c r="RLJ61" s="235" t="s">
        <v>3</v>
      </c>
      <c r="RLK61" s="235" t="s">
        <v>618</v>
      </c>
      <c r="RLL61" s="235" t="s">
        <v>1410</v>
      </c>
      <c r="RLM61" s="235" t="s">
        <v>1411</v>
      </c>
      <c r="RLN61" s="235" t="s">
        <v>388</v>
      </c>
      <c r="RLO61" s="237" t="s">
        <v>727</v>
      </c>
      <c r="RLP61" s="237" t="s">
        <v>221</v>
      </c>
      <c r="RLQ61" s="235" t="s">
        <v>2</v>
      </c>
      <c r="RLR61" s="235" t="s">
        <v>3</v>
      </c>
      <c r="RLS61" s="235" t="s">
        <v>618</v>
      </c>
      <c r="RLT61" s="235" t="s">
        <v>1410</v>
      </c>
      <c r="RLU61" s="235" t="s">
        <v>1411</v>
      </c>
      <c r="RLV61" s="235" t="s">
        <v>388</v>
      </c>
      <c r="RLW61" s="237" t="s">
        <v>727</v>
      </c>
      <c r="RLX61" s="237" t="s">
        <v>221</v>
      </c>
      <c r="RLY61" s="235" t="s">
        <v>2</v>
      </c>
      <c r="RLZ61" s="235" t="s">
        <v>3</v>
      </c>
      <c r="RMA61" s="235" t="s">
        <v>618</v>
      </c>
      <c r="RMB61" s="235" t="s">
        <v>1410</v>
      </c>
      <c r="RMC61" s="235" t="s">
        <v>1411</v>
      </c>
      <c r="RMD61" s="235" t="s">
        <v>388</v>
      </c>
      <c r="RME61" s="237" t="s">
        <v>727</v>
      </c>
      <c r="RMF61" s="237" t="s">
        <v>221</v>
      </c>
      <c r="RMG61" s="235" t="s">
        <v>2</v>
      </c>
      <c r="RMH61" s="235" t="s">
        <v>3</v>
      </c>
      <c r="RMI61" s="235" t="s">
        <v>618</v>
      </c>
      <c r="RMJ61" s="235" t="s">
        <v>1410</v>
      </c>
      <c r="RMK61" s="235" t="s">
        <v>1411</v>
      </c>
      <c r="RML61" s="235" t="s">
        <v>388</v>
      </c>
      <c r="RMM61" s="237" t="s">
        <v>727</v>
      </c>
      <c r="RMN61" s="237" t="s">
        <v>221</v>
      </c>
      <c r="RMO61" s="235" t="s">
        <v>2</v>
      </c>
      <c r="RMP61" s="235" t="s">
        <v>3</v>
      </c>
      <c r="RMQ61" s="235" t="s">
        <v>618</v>
      </c>
      <c r="RMR61" s="235" t="s">
        <v>1410</v>
      </c>
      <c r="RMS61" s="235" t="s">
        <v>1411</v>
      </c>
      <c r="RMT61" s="235" t="s">
        <v>388</v>
      </c>
      <c r="RMU61" s="237" t="s">
        <v>727</v>
      </c>
      <c r="RMV61" s="237" t="s">
        <v>221</v>
      </c>
      <c r="RMW61" s="235" t="s">
        <v>2</v>
      </c>
      <c r="RMX61" s="235" t="s">
        <v>3</v>
      </c>
      <c r="RMY61" s="235" t="s">
        <v>618</v>
      </c>
      <c r="RMZ61" s="235" t="s">
        <v>1410</v>
      </c>
      <c r="RNA61" s="235" t="s">
        <v>1411</v>
      </c>
      <c r="RNB61" s="235" t="s">
        <v>388</v>
      </c>
      <c r="RNC61" s="237" t="s">
        <v>727</v>
      </c>
      <c r="RND61" s="237" t="s">
        <v>221</v>
      </c>
      <c r="RNE61" s="235" t="s">
        <v>2</v>
      </c>
      <c r="RNF61" s="235" t="s">
        <v>3</v>
      </c>
      <c r="RNG61" s="235" t="s">
        <v>618</v>
      </c>
      <c r="RNH61" s="235" t="s">
        <v>1410</v>
      </c>
      <c r="RNI61" s="235" t="s">
        <v>1411</v>
      </c>
      <c r="RNJ61" s="235" t="s">
        <v>388</v>
      </c>
      <c r="RNK61" s="237" t="s">
        <v>727</v>
      </c>
      <c r="RNL61" s="237" t="s">
        <v>221</v>
      </c>
      <c r="RNM61" s="235" t="s">
        <v>2</v>
      </c>
      <c r="RNN61" s="235" t="s">
        <v>3</v>
      </c>
      <c r="RNO61" s="235" t="s">
        <v>618</v>
      </c>
      <c r="RNP61" s="235" t="s">
        <v>1410</v>
      </c>
      <c r="RNQ61" s="235" t="s">
        <v>1411</v>
      </c>
      <c r="RNR61" s="235" t="s">
        <v>388</v>
      </c>
      <c r="RNS61" s="237" t="s">
        <v>727</v>
      </c>
      <c r="RNT61" s="237" t="s">
        <v>221</v>
      </c>
      <c r="RNU61" s="235" t="s">
        <v>2</v>
      </c>
      <c r="RNV61" s="235" t="s">
        <v>3</v>
      </c>
      <c r="RNW61" s="235" t="s">
        <v>618</v>
      </c>
      <c r="RNX61" s="235" t="s">
        <v>1410</v>
      </c>
      <c r="RNY61" s="235" t="s">
        <v>1411</v>
      </c>
      <c r="RNZ61" s="235" t="s">
        <v>388</v>
      </c>
      <c r="ROA61" s="237" t="s">
        <v>727</v>
      </c>
      <c r="ROB61" s="237" t="s">
        <v>221</v>
      </c>
      <c r="ROC61" s="235" t="s">
        <v>2</v>
      </c>
      <c r="ROD61" s="235" t="s">
        <v>3</v>
      </c>
      <c r="ROE61" s="235" t="s">
        <v>618</v>
      </c>
      <c r="ROF61" s="235" t="s">
        <v>1410</v>
      </c>
      <c r="ROG61" s="235" t="s">
        <v>1411</v>
      </c>
      <c r="ROH61" s="235" t="s">
        <v>388</v>
      </c>
      <c r="ROI61" s="237" t="s">
        <v>727</v>
      </c>
      <c r="ROJ61" s="237" t="s">
        <v>221</v>
      </c>
      <c r="ROK61" s="235" t="s">
        <v>2</v>
      </c>
      <c r="ROL61" s="235" t="s">
        <v>3</v>
      </c>
      <c r="ROM61" s="235" t="s">
        <v>618</v>
      </c>
      <c r="RON61" s="235" t="s">
        <v>1410</v>
      </c>
      <c r="ROO61" s="235" t="s">
        <v>1411</v>
      </c>
      <c r="ROP61" s="235" t="s">
        <v>388</v>
      </c>
      <c r="ROQ61" s="237" t="s">
        <v>727</v>
      </c>
      <c r="ROR61" s="237" t="s">
        <v>221</v>
      </c>
      <c r="ROS61" s="235" t="s">
        <v>2</v>
      </c>
      <c r="ROT61" s="235" t="s">
        <v>3</v>
      </c>
      <c r="ROU61" s="235" t="s">
        <v>618</v>
      </c>
      <c r="ROV61" s="235" t="s">
        <v>1410</v>
      </c>
      <c r="ROW61" s="235" t="s">
        <v>1411</v>
      </c>
      <c r="ROX61" s="235" t="s">
        <v>388</v>
      </c>
      <c r="ROY61" s="237" t="s">
        <v>727</v>
      </c>
      <c r="ROZ61" s="237" t="s">
        <v>221</v>
      </c>
      <c r="RPA61" s="235" t="s">
        <v>2</v>
      </c>
      <c r="RPB61" s="235" t="s">
        <v>3</v>
      </c>
      <c r="RPC61" s="235" t="s">
        <v>618</v>
      </c>
      <c r="RPD61" s="235" t="s">
        <v>1410</v>
      </c>
      <c r="RPE61" s="235" t="s">
        <v>1411</v>
      </c>
      <c r="RPF61" s="235" t="s">
        <v>388</v>
      </c>
      <c r="RPG61" s="237" t="s">
        <v>727</v>
      </c>
      <c r="RPH61" s="237" t="s">
        <v>221</v>
      </c>
      <c r="RPI61" s="235" t="s">
        <v>2</v>
      </c>
      <c r="RPJ61" s="235" t="s">
        <v>3</v>
      </c>
      <c r="RPK61" s="235" t="s">
        <v>618</v>
      </c>
      <c r="RPL61" s="235" t="s">
        <v>1410</v>
      </c>
      <c r="RPM61" s="235" t="s">
        <v>1411</v>
      </c>
      <c r="RPN61" s="235" t="s">
        <v>388</v>
      </c>
      <c r="RPO61" s="237" t="s">
        <v>727</v>
      </c>
      <c r="RPP61" s="237" t="s">
        <v>221</v>
      </c>
      <c r="RPQ61" s="235" t="s">
        <v>2</v>
      </c>
      <c r="RPR61" s="235" t="s">
        <v>3</v>
      </c>
      <c r="RPS61" s="235" t="s">
        <v>618</v>
      </c>
      <c r="RPT61" s="235" t="s">
        <v>1410</v>
      </c>
      <c r="RPU61" s="235" t="s">
        <v>1411</v>
      </c>
      <c r="RPV61" s="235" t="s">
        <v>388</v>
      </c>
      <c r="RPW61" s="237" t="s">
        <v>727</v>
      </c>
      <c r="RPX61" s="237" t="s">
        <v>221</v>
      </c>
      <c r="RPY61" s="235" t="s">
        <v>2</v>
      </c>
      <c r="RPZ61" s="235" t="s">
        <v>3</v>
      </c>
      <c r="RQA61" s="235" t="s">
        <v>618</v>
      </c>
      <c r="RQB61" s="235" t="s">
        <v>1410</v>
      </c>
      <c r="RQC61" s="235" t="s">
        <v>1411</v>
      </c>
      <c r="RQD61" s="235" t="s">
        <v>388</v>
      </c>
      <c r="RQE61" s="237" t="s">
        <v>727</v>
      </c>
      <c r="RQF61" s="237" t="s">
        <v>221</v>
      </c>
      <c r="RQG61" s="235" t="s">
        <v>2</v>
      </c>
      <c r="RQH61" s="235" t="s">
        <v>3</v>
      </c>
      <c r="RQI61" s="235" t="s">
        <v>618</v>
      </c>
      <c r="RQJ61" s="235" t="s">
        <v>1410</v>
      </c>
      <c r="RQK61" s="235" t="s">
        <v>1411</v>
      </c>
      <c r="RQL61" s="235" t="s">
        <v>388</v>
      </c>
      <c r="RQM61" s="237" t="s">
        <v>727</v>
      </c>
      <c r="RQN61" s="237" t="s">
        <v>221</v>
      </c>
      <c r="RQO61" s="235" t="s">
        <v>2</v>
      </c>
      <c r="RQP61" s="235" t="s">
        <v>3</v>
      </c>
      <c r="RQQ61" s="235" t="s">
        <v>618</v>
      </c>
      <c r="RQR61" s="235" t="s">
        <v>1410</v>
      </c>
      <c r="RQS61" s="235" t="s">
        <v>1411</v>
      </c>
      <c r="RQT61" s="235" t="s">
        <v>388</v>
      </c>
      <c r="RQU61" s="237" t="s">
        <v>727</v>
      </c>
      <c r="RQV61" s="237" t="s">
        <v>221</v>
      </c>
      <c r="RQW61" s="235" t="s">
        <v>2</v>
      </c>
      <c r="RQX61" s="235" t="s">
        <v>3</v>
      </c>
      <c r="RQY61" s="235" t="s">
        <v>618</v>
      </c>
      <c r="RQZ61" s="235" t="s">
        <v>1410</v>
      </c>
      <c r="RRA61" s="235" t="s">
        <v>1411</v>
      </c>
      <c r="RRB61" s="235" t="s">
        <v>388</v>
      </c>
      <c r="RRC61" s="237" t="s">
        <v>727</v>
      </c>
      <c r="RRD61" s="237" t="s">
        <v>221</v>
      </c>
      <c r="RRE61" s="235" t="s">
        <v>2</v>
      </c>
      <c r="RRF61" s="235" t="s">
        <v>3</v>
      </c>
      <c r="RRG61" s="235" t="s">
        <v>618</v>
      </c>
      <c r="RRH61" s="235" t="s">
        <v>1410</v>
      </c>
      <c r="RRI61" s="235" t="s">
        <v>1411</v>
      </c>
      <c r="RRJ61" s="235" t="s">
        <v>388</v>
      </c>
      <c r="RRK61" s="237" t="s">
        <v>727</v>
      </c>
      <c r="RRL61" s="237" t="s">
        <v>221</v>
      </c>
      <c r="RRM61" s="235" t="s">
        <v>2</v>
      </c>
      <c r="RRN61" s="235" t="s">
        <v>3</v>
      </c>
      <c r="RRO61" s="235" t="s">
        <v>618</v>
      </c>
      <c r="RRP61" s="235" t="s">
        <v>1410</v>
      </c>
      <c r="RRQ61" s="235" t="s">
        <v>1411</v>
      </c>
      <c r="RRR61" s="235" t="s">
        <v>388</v>
      </c>
      <c r="RRS61" s="237" t="s">
        <v>727</v>
      </c>
      <c r="RRT61" s="237" t="s">
        <v>221</v>
      </c>
      <c r="RRU61" s="235" t="s">
        <v>2</v>
      </c>
      <c r="RRV61" s="235" t="s">
        <v>3</v>
      </c>
      <c r="RRW61" s="235" t="s">
        <v>618</v>
      </c>
      <c r="RRX61" s="235" t="s">
        <v>1410</v>
      </c>
      <c r="RRY61" s="235" t="s">
        <v>1411</v>
      </c>
      <c r="RRZ61" s="235" t="s">
        <v>388</v>
      </c>
      <c r="RSA61" s="237" t="s">
        <v>727</v>
      </c>
      <c r="RSB61" s="237" t="s">
        <v>221</v>
      </c>
      <c r="RSC61" s="235" t="s">
        <v>2</v>
      </c>
      <c r="RSD61" s="235" t="s">
        <v>3</v>
      </c>
      <c r="RSE61" s="235" t="s">
        <v>618</v>
      </c>
      <c r="RSF61" s="235" t="s">
        <v>1410</v>
      </c>
      <c r="RSG61" s="235" t="s">
        <v>1411</v>
      </c>
      <c r="RSH61" s="235" t="s">
        <v>388</v>
      </c>
      <c r="RSI61" s="237" t="s">
        <v>727</v>
      </c>
      <c r="RSJ61" s="237" t="s">
        <v>221</v>
      </c>
      <c r="RSK61" s="235" t="s">
        <v>2</v>
      </c>
      <c r="RSL61" s="235" t="s">
        <v>3</v>
      </c>
      <c r="RSM61" s="235" t="s">
        <v>618</v>
      </c>
      <c r="RSN61" s="235" t="s">
        <v>1410</v>
      </c>
      <c r="RSO61" s="235" t="s">
        <v>1411</v>
      </c>
      <c r="RSP61" s="235" t="s">
        <v>388</v>
      </c>
      <c r="RSQ61" s="237" t="s">
        <v>727</v>
      </c>
      <c r="RSR61" s="237" t="s">
        <v>221</v>
      </c>
      <c r="RSS61" s="235" t="s">
        <v>2</v>
      </c>
      <c r="RST61" s="235" t="s">
        <v>3</v>
      </c>
      <c r="RSU61" s="235" t="s">
        <v>618</v>
      </c>
      <c r="RSV61" s="235" t="s">
        <v>1410</v>
      </c>
      <c r="RSW61" s="235" t="s">
        <v>1411</v>
      </c>
      <c r="RSX61" s="235" t="s">
        <v>388</v>
      </c>
      <c r="RSY61" s="237" t="s">
        <v>727</v>
      </c>
      <c r="RSZ61" s="237" t="s">
        <v>221</v>
      </c>
      <c r="RTA61" s="235" t="s">
        <v>2</v>
      </c>
      <c r="RTB61" s="235" t="s">
        <v>3</v>
      </c>
      <c r="RTC61" s="235" t="s">
        <v>618</v>
      </c>
      <c r="RTD61" s="235" t="s">
        <v>1410</v>
      </c>
      <c r="RTE61" s="235" t="s">
        <v>1411</v>
      </c>
      <c r="RTF61" s="235" t="s">
        <v>388</v>
      </c>
      <c r="RTG61" s="237" t="s">
        <v>727</v>
      </c>
      <c r="RTH61" s="237" t="s">
        <v>221</v>
      </c>
      <c r="RTI61" s="235" t="s">
        <v>2</v>
      </c>
      <c r="RTJ61" s="235" t="s">
        <v>3</v>
      </c>
      <c r="RTK61" s="235" t="s">
        <v>618</v>
      </c>
      <c r="RTL61" s="235" t="s">
        <v>1410</v>
      </c>
      <c r="RTM61" s="235" t="s">
        <v>1411</v>
      </c>
      <c r="RTN61" s="235" t="s">
        <v>388</v>
      </c>
      <c r="RTO61" s="237" t="s">
        <v>727</v>
      </c>
      <c r="RTP61" s="237" t="s">
        <v>221</v>
      </c>
      <c r="RTQ61" s="235" t="s">
        <v>2</v>
      </c>
      <c r="RTR61" s="235" t="s">
        <v>3</v>
      </c>
      <c r="RTS61" s="235" t="s">
        <v>618</v>
      </c>
      <c r="RTT61" s="235" t="s">
        <v>1410</v>
      </c>
      <c r="RTU61" s="235" t="s">
        <v>1411</v>
      </c>
      <c r="RTV61" s="235" t="s">
        <v>388</v>
      </c>
      <c r="RTW61" s="237" t="s">
        <v>727</v>
      </c>
      <c r="RTX61" s="237" t="s">
        <v>221</v>
      </c>
      <c r="RTY61" s="235" t="s">
        <v>2</v>
      </c>
      <c r="RTZ61" s="235" t="s">
        <v>3</v>
      </c>
      <c r="RUA61" s="235" t="s">
        <v>618</v>
      </c>
      <c r="RUB61" s="235" t="s">
        <v>1410</v>
      </c>
      <c r="RUC61" s="235" t="s">
        <v>1411</v>
      </c>
      <c r="RUD61" s="235" t="s">
        <v>388</v>
      </c>
      <c r="RUE61" s="237" t="s">
        <v>727</v>
      </c>
      <c r="RUF61" s="237" t="s">
        <v>221</v>
      </c>
      <c r="RUG61" s="235" t="s">
        <v>2</v>
      </c>
      <c r="RUH61" s="235" t="s">
        <v>3</v>
      </c>
      <c r="RUI61" s="235" t="s">
        <v>618</v>
      </c>
      <c r="RUJ61" s="235" t="s">
        <v>1410</v>
      </c>
      <c r="RUK61" s="235" t="s">
        <v>1411</v>
      </c>
      <c r="RUL61" s="235" t="s">
        <v>388</v>
      </c>
      <c r="RUM61" s="237" t="s">
        <v>727</v>
      </c>
      <c r="RUN61" s="237" t="s">
        <v>221</v>
      </c>
      <c r="RUO61" s="235" t="s">
        <v>2</v>
      </c>
      <c r="RUP61" s="235" t="s">
        <v>3</v>
      </c>
      <c r="RUQ61" s="235" t="s">
        <v>618</v>
      </c>
      <c r="RUR61" s="235" t="s">
        <v>1410</v>
      </c>
      <c r="RUS61" s="235" t="s">
        <v>1411</v>
      </c>
      <c r="RUT61" s="235" t="s">
        <v>388</v>
      </c>
      <c r="RUU61" s="237" t="s">
        <v>727</v>
      </c>
      <c r="RUV61" s="237" t="s">
        <v>221</v>
      </c>
      <c r="RUW61" s="235" t="s">
        <v>2</v>
      </c>
      <c r="RUX61" s="235" t="s">
        <v>3</v>
      </c>
      <c r="RUY61" s="235" t="s">
        <v>618</v>
      </c>
      <c r="RUZ61" s="235" t="s">
        <v>1410</v>
      </c>
      <c r="RVA61" s="235" t="s">
        <v>1411</v>
      </c>
      <c r="RVB61" s="235" t="s">
        <v>388</v>
      </c>
      <c r="RVC61" s="237" t="s">
        <v>727</v>
      </c>
      <c r="RVD61" s="237" t="s">
        <v>221</v>
      </c>
      <c r="RVE61" s="235" t="s">
        <v>2</v>
      </c>
      <c r="RVF61" s="235" t="s">
        <v>3</v>
      </c>
      <c r="RVG61" s="235" t="s">
        <v>618</v>
      </c>
      <c r="RVH61" s="235" t="s">
        <v>1410</v>
      </c>
      <c r="RVI61" s="235" t="s">
        <v>1411</v>
      </c>
      <c r="RVJ61" s="235" t="s">
        <v>388</v>
      </c>
      <c r="RVK61" s="237" t="s">
        <v>727</v>
      </c>
      <c r="RVL61" s="237" t="s">
        <v>221</v>
      </c>
      <c r="RVM61" s="235" t="s">
        <v>2</v>
      </c>
      <c r="RVN61" s="235" t="s">
        <v>3</v>
      </c>
      <c r="RVO61" s="235" t="s">
        <v>618</v>
      </c>
      <c r="RVP61" s="235" t="s">
        <v>1410</v>
      </c>
      <c r="RVQ61" s="235" t="s">
        <v>1411</v>
      </c>
      <c r="RVR61" s="235" t="s">
        <v>388</v>
      </c>
      <c r="RVS61" s="237" t="s">
        <v>727</v>
      </c>
      <c r="RVT61" s="237" t="s">
        <v>221</v>
      </c>
      <c r="RVU61" s="235" t="s">
        <v>2</v>
      </c>
      <c r="RVV61" s="235" t="s">
        <v>3</v>
      </c>
      <c r="RVW61" s="235" t="s">
        <v>618</v>
      </c>
      <c r="RVX61" s="235" t="s">
        <v>1410</v>
      </c>
      <c r="RVY61" s="235" t="s">
        <v>1411</v>
      </c>
      <c r="RVZ61" s="235" t="s">
        <v>388</v>
      </c>
      <c r="RWA61" s="237" t="s">
        <v>727</v>
      </c>
      <c r="RWB61" s="237" t="s">
        <v>221</v>
      </c>
      <c r="RWC61" s="235" t="s">
        <v>2</v>
      </c>
      <c r="RWD61" s="235" t="s">
        <v>3</v>
      </c>
      <c r="RWE61" s="235" t="s">
        <v>618</v>
      </c>
      <c r="RWF61" s="235" t="s">
        <v>1410</v>
      </c>
      <c r="RWG61" s="235" t="s">
        <v>1411</v>
      </c>
      <c r="RWH61" s="235" t="s">
        <v>388</v>
      </c>
      <c r="RWI61" s="237" t="s">
        <v>727</v>
      </c>
      <c r="RWJ61" s="237" t="s">
        <v>221</v>
      </c>
      <c r="RWK61" s="235" t="s">
        <v>2</v>
      </c>
      <c r="RWL61" s="235" t="s">
        <v>3</v>
      </c>
      <c r="RWM61" s="235" t="s">
        <v>618</v>
      </c>
      <c r="RWN61" s="235" t="s">
        <v>1410</v>
      </c>
      <c r="RWO61" s="235" t="s">
        <v>1411</v>
      </c>
      <c r="RWP61" s="235" t="s">
        <v>388</v>
      </c>
      <c r="RWQ61" s="237" t="s">
        <v>727</v>
      </c>
      <c r="RWR61" s="237" t="s">
        <v>221</v>
      </c>
      <c r="RWS61" s="235" t="s">
        <v>2</v>
      </c>
      <c r="RWT61" s="235" t="s">
        <v>3</v>
      </c>
      <c r="RWU61" s="235" t="s">
        <v>618</v>
      </c>
      <c r="RWV61" s="235" t="s">
        <v>1410</v>
      </c>
      <c r="RWW61" s="235" t="s">
        <v>1411</v>
      </c>
      <c r="RWX61" s="235" t="s">
        <v>388</v>
      </c>
      <c r="RWY61" s="237" t="s">
        <v>727</v>
      </c>
      <c r="RWZ61" s="237" t="s">
        <v>221</v>
      </c>
      <c r="RXA61" s="235" t="s">
        <v>2</v>
      </c>
      <c r="RXB61" s="235" t="s">
        <v>3</v>
      </c>
      <c r="RXC61" s="235" t="s">
        <v>618</v>
      </c>
      <c r="RXD61" s="235" t="s">
        <v>1410</v>
      </c>
      <c r="RXE61" s="235" t="s">
        <v>1411</v>
      </c>
      <c r="RXF61" s="235" t="s">
        <v>388</v>
      </c>
      <c r="RXG61" s="237" t="s">
        <v>727</v>
      </c>
      <c r="RXH61" s="237" t="s">
        <v>221</v>
      </c>
      <c r="RXI61" s="235" t="s">
        <v>2</v>
      </c>
      <c r="RXJ61" s="235" t="s">
        <v>3</v>
      </c>
      <c r="RXK61" s="235" t="s">
        <v>618</v>
      </c>
      <c r="RXL61" s="235" t="s">
        <v>1410</v>
      </c>
      <c r="RXM61" s="235" t="s">
        <v>1411</v>
      </c>
      <c r="RXN61" s="235" t="s">
        <v>388</v>
      </c>
      <c r="RXO61" s="237" t="s">
        <v>727</v>
      </c>
      <c r="RXP61" s="237" t="s">
        <v>221</v>
      </c>
      <c r="RXQ61" s="235" t="s">
        <v>2</v>
      </c>
      <c r="RXR61" s="235" t="s">
        <v>3</v>
      </c>
      <c r="RXS61" s="235" t="s">
        <v>618</v>
      </c>
      <c r="RXT61" s="235" t="s">
        <v>1410</v>
      </c>
      <c r="RXU61" s="235" t="s">
        <v>1411</v>
      </c>
      <c r="RXV61" s="235" t="s">
        <v>388</v>
      </c>
      <c r="RXW61" s="237" t="s">
        <v>727</v>
      </c>
      <c r="RXX61" s="237" t="s">
        <v>221</v>
      </c>
      <c r="RXY61" s="235" t="s">
        <v>2</v>
      </c>
      <c r="RXZ61" s="235" t="s">
        <v>3</v>
      </c>
      <c r="RYA61" s="235" t="s">
        <v>618</v>
      </c>
      <c r="RYB61" s="235" t="s">
        <v>1410</v>
      </c>
      <c r="RYC61" s="235" t="s">
        <v>1411</v>
      </c>
      <c r="RYD61" s="235" t="s">
        <v>388</v>
      </c>
      <c r="RYE61" s="237" t="s">
        <v>727</v>
      </c>
      <c r="RYF61" s="237" t="s">
        <v>221</v>
      </c>
      <c r="RYG61" s="235" t="s">
        <v>2</v>
      </c>
      <c r="RYH61" s="235" t="s">
        <v>3</v>
      </c>
      <c r="RYI61" s="235" t="s">
        <v>618</v>
      </c>
      <c r="RYJ61" s="235" t="s">
        <v>1410</v>
      </c>
      <c r="RYK61" s="235" t="s">
        <v>1411</v>
      </c>
      <c r="RYL61" s="235" t="s">
        <v>388</v>
      </c>
      <c r="RYM61" s="237" t="s">
        <v>727</v>
      </c>
      <c r="RYN61" s="237" t="s">
        <v>221</v>
      </c>
      <c r="RYO61" s="235" t="s">
        <v>2</v>
      </c>
      <c r="RYP61" s="235" t="s">
        <v>3</v>
      </c>
      <c r="RYQ61" s="235" t="s">
        <v>618</v>
      </c>
      <c r="RYR61" s="235" t="s">
        <v>1410</v>
      </c>
      <c r="RYS61" s="235" t="s">
        <v>1411</v>
      </c>
      <c r="RYT61" s="235" t="s">
        <v>388</v>
      </c>
      <c r="RYU61" s="237" t="s">
        <v>727</v>
      </c>
      <c r="RYV61" s="237" t="s">
        <v>221</v>
      </c>
      <c r="RYW61" s="235" t="s">
        <v>2</v>
      </c>
      <c r="RYX61" s="235" t="s">
        <v>3</v>
      </c>
      <c r="RYY61" s="235" t="s">
        <v>618</v>
      </c>
      <c r="RYZ61" s="235" t="s">
        <v>1410</v>
      </c>
      <c r="RZA61" s="235" t="s">
        <v>1411</v>
      </c>
      <c r="RZB61" s="235" t="s">
        <v>388</v>
      </c>
      <c r="RZC61" s="237" t="s">
        <v>727</v>
      </c>
      <c r="RZD61" s="237" t="s">
        <v>221</v>
      </c>
      <c r="RZE61" s="235" t="s">
        <v>2</v>
      </c>
      <c r="RZF61" s="235" t="s">
        <v>3</v>
      </c>
      <c r="RZG61" s="235" t="s">
        <v>618</v>
      </c>
      <c r="RZH61" s="235" t="s">
        <v>1410</v>
      </c>
      <c r="RZI61" s="235" t="s">
        <v>1411</v>
      </c>
      <c r="RZJ61" s="235" t="s">
        <v>388</v>
      </c>
      <c r="RZK61" s="237" t="s">
        <v>727</v>
      </c>
      <c r="RZL61" s="237" t="s">
        <v>221</v>
      </c>
      <c r="RZM61" s="235" t="s">
        <v>2</v>
      </c>
      <c r="RZN61" s="235" t="s">
        <v>3</v>
      </c>
      <c r="RZO61" s="235" t="s">
        <v>618</v>
      </c>
      <c r="RZP61" s="235" t="s">
        <v>1410</v>
      </c>
      <c r="RZQ61" s="235" t="s">
        <v>1411</v>
      </c>
      <c r="RZR61" s="235" t="s">
        <v>388</v>
      </c>
      <c r="RZS61" s="237" t="s">
        <v>727</v>
      </c>
      <c r="RZT61" s="237" t="s">
        <v>221</v>
      </c>
      <c r="RZU61" s="235" t="s">
        <v>2</v>
      </c>
      <c r="RZV61" s="235" t="s">
        <v>3</v>
      </c>
      <c r="RZW61" s="235" t="s">
        <v>618</v>
      </c>
      <c r="RZX61" s="235" t="s">
        <v>1410</v>
      </c>
      <c r="RZY61" s="235" t="s">
        <v>1411</v>
      </c>
      <c r="RZZ61" s="235" t="s">
        <v>388</v>
      </c>
      <c r="SAA61" s="237" t="s">
        <v>727</v>
      </c>
      <c r="SAB61" s="237" t="s">
        <v>221</v>
      </c>
      <c r="SAC61" s="235" t="s">
        <v>2</v>
      </c>
      <c r="SAD61" s="235" t="s">
        <v>3</v>
      </c>
      <c r="SAE61" s="235" t="s">
        <v>618</v>
      </c>
      <c r="SAF61" s="235" t="s">
        <v>1410</v>
      </c>
      <c r="SAG61" s="235" t="s">
        <v>1411</v>
      </c>
      <c r="SAH61" s="235" t="s">
        <v>388</v>
      </c>
      <c r="SAI61" s="237" t="s">
        <v>727</v>
      </c>
      <c r="SAJ61" s="237" t="s">
        <v>221</v>
      </c>
      <c r="SAK61" s="235" t="s">
        <v>2</v>
      </c>
      <c r="SAL61" s="235" t="s">
        <v>3</v>
      </c>
      <c r="SAM61" s="235" t="s">
        <v>618</v>
      </c>
      <c r="SAN61" s="235" t="s">
        <v>1410</v>
      </c>
      <c r="SAO61" s="235" t="s">
        <v>1411</v>
      </c>
      <c r="SAP61" s="235" t="s">
        <v>388</v>
      </c>
      <c r="SAQ61" s="237" t="s">
        <v>727</v>
      </c>
      <c r="SAR61" s="237" t="s">
        <v>221</v>
      </c>
      <c r="SAS61" s="235" t="s">
        <v>2</v>
      </c>
      <c r="SAT61" s="235" t="s">
        <v>3</v>
      </c>
      <c r="SAU61" s="235" t="s">
        <v>618</v>
      </c>
      <c r="SAV61" s="235" t="s">
        <v>1410</v>
      </c>
      <c r="SAW61" s="235" t="s">
        <v>1411</v>
      </c>
      <c r="SAX61" s="235" t="s">
        <v>388</v>
      </c>
      <c r="SAY61" s="237" t="s">
        <v>727</v>
      </c>
      <c r="SAZ61" s="237" t="s">
        <v>221</v>
      </c>
      <c r="SBA61" s="235" t="s">
        <v>2</v>
      </c>
      <c r="SBB61" s="235" t="s">
        <v>3</v>
      </c>
      <c r="SBC61" s="235" t="s">
        <v>618</v>
      </c>
      <c r="SBD61" s="235" t="s">
        <v>1410</v>
      </c>
      <c r="SBE61" s="235" t="s">
        <v>1411</v>
      </c>
      <c r="SBF61" s="235" t="s">
        <v>388</v>
      </c>
      <c r="SBG61" s="237" t="s">
        <v>727</v>
      </c>
      <c r="SBH61" s="237" t="s">
        <v>221</v>
      </c>
      <c r="SBI61" s="235" t="s">
        <v>2</v>
      </c>
      <c r="SBJ61" s="235" t="s">
        <v>3</v>
      </c>
      <c r="SBK61" s="235" t="s">
        <v>618</v>
      </c>
      <c r="SBL61" s="235" t="s">
        <v>1410</v>
      </c>
      <c r="SBM61" s="235" t="s">
        <v>1411</v>
      </c>
      <c r="SBN61" s="235" t="s">
        <v>388</v>
      </c>
      <c r="SBO61" s="237" t="s">
        <v>727</v>
      </c>
      <c r="SBP61" s="237" t="s">
        <v>221</v>
      </c>
      <c r="SBQ61" s="235" t="s">
        <v>2</v>
      </c>
      <c r="SBR61" s="235" t="s">
        <v>3</v>
      </c>
      <c r="SBS61" s="235" t="s">
        <v>618</v>
      </c>
      <c r="SBT61" s="235" t="s">
        <v>1410</v>
      </c>
      <c r="SBU61" s="235" t="s">
        <v>1411</v>
      </c>
      <c r="SBV61" s="235" t="s">
        <v>388</v>
      </c>
      <c r="SBW61" s="237" t="s">
        <v>727</v>
      </c>
      <c r="SBX61" s="237" t="s">
        <v>221</v>
      </c>
      <c r="SBY61" s="235" t="s">
        <v>2</v>
      </c>
      <c r="SBZ61" s="235" t="s">
        <v>3</v>
      </c>
      <c r="SCA61" s="235" t="s">
        <v>618</v>
      </c>
      <c r="SCB61" s="235" t="s">
        <v>1410</v>
      </c>
      <c r="SCC61" s="235" t="s">
        <v>1411</v>
      </c>
      <c r="SCD61" s="235" t="s">
        <v>388</v>
      </c>
      <c r="SCE61" s="237" t="s">
        <v>727</v>
      </c>
      <c r="SCF61" s="237" t="s">
        <v>221</v>
      </c>
      <c r="SCG61" s="235" t="s">
        <v>2</v>
      </c>
      <c r="SCH61" s="235" t="s">
        <v>3</v>
      </c>
      <c r="SCI61" s="235" t="s">
        <v>618</v>
      </c>
      <c r="SCJ61" s="235" t="s">
        <v>1410</v>
      </c>
      <c r="SCK61" s="235" t="s">
        <v>1411</v>
      </c>
      <c r="SCL61" s="235" t="s">
        <v>388</v>
      </c>
      <c r="SCM61" s="237" t="s">
        <v>727</v>
      </c>
      <c r="SCN61" s="237" t="s">
        <v>221</v>
      </c>
      <c r="SCO61" s="235" t="s">
        <v>2</v>
      </c>
      <c r="SCP61" s="235" t="s">
        <v>3</v>
      </c>
      <c r="SCQ61" s="235" t="s">
        <v>618</v>
      </c>
      <c r="SCR61" s="235" t="s">
        <v>1410</v>
      </c>
      <c r="SCS61" s="235" t="s">
        <v>1411</v>
      </c>
      <c r="SCT61" s="235" t="s">
        <v>388</v>
      </c>
      <c r="SCU61" s="237" t="s">
        <v>727</v>
      </c>
      <c r="SCV61" s="237" t="s">
        <v>221</v>
      </c>
      <c r="SCW61" s="235" t="s">
        <v>2</v>
      </c>
      <c r="SCX61" s="235" t="s">
        <v>3</v>
      </c>
      <c r="SCY61" s="235" t="s">
        <v>618</v>
      </c>
      <c r="SCZ61" s="235" t="s">
        <v>1410</v>
      </c>
      <c r="SDA61" s="235" t="s">
        <v>1411</v>
      </c>
      <c r="SDB61" s="235" t="s">
        <v>388</v>
      </c>
      <c r="SDC61" s="237" t="s">
        <v>727</v>
      </c>
      <c r="SDD61" s="237" t="s">
        <v>221</v>
      </c>
      <c r="SDE61" s="235" t="s">
        <v>2</v>
      </c>
      <c r="SDF61" s="235" t="s">
        <v>3</v>
      </c>
      <c r="SDG61" s="235" t="s">
        <v>618</v>
      </c>
      <c r="SDH61" s="235" t="s">
        <v>1410</v>
      </c>
      <c r="SDI61" s="235" t="s">
        <v>1411</v>
      </c>
      <c r="SDJ61" s="235" t="s">
        <v>388</v>
      </c>
      <c r="SDK61" s="237" t="s">
        <v>727</v>
      </c>
      <c r="SDL61" s="237" t="s">
        <v>221</v>
      </c>
      <c r="SDM61" s="235" t="s">
        <v>2</v>
      </c>
      <c r="SDN61" s="235" t="s">
        <v>3</v>
      </c>
      <c r="SDO61" s="235" t="s">
        <v>618</v>
      </c>
      <c r="SDP61" s="235" t="s">
        <v>1410</v>
      </c>
      <c r="SDQ61" s="235" t="s">
        <v>1411</v>
      </c>
      <c r="SDR61" s="235" t="s">
        <v>388</v>
      </c>
      <c r="SDS61" s="237" t="s">
        <v>727</v>
      </c>
      <c r="SDT61" s="237" t="s">
        <v>221</v>
      </c>
      <c r="SDU61" s="235" t="s">
        <v>2</v>
      </c>
      <c r="SDV61" s="235" t="s">
        <v>3</v>
      </c>
      <c r="SDW61" s="235" t="s">
        <v>618</v>
      </c>
      <c r="SDX61" s="235" t="s">
        <v>1410</v>
      </c>
      <c r="SDY61" s="235" t="s">
        <v>1411</v>
      </c>
      <c r="SDZ61" s="235" t="s">
        <v>388</v>
      </c>
      <c r="SEA61" s="237" t="s">
        <v>727</v>
      </c>
      <c r="SEB61" s="237" t="s">
        <v>221</v>
      </c>
      <c r="SEC61" s="235" t="s">
        <v>2</v>
      </c>
      <c r="SED61" s="235" t="s">
        <v>3</v>
      </c>
      <c r="SEE61" s="235" t="s">
        <v>618</v>
      </c>
      <c r="SEF61" s="235" t="s">
        <v>1410</v>
      </c>
      <c r="SEG61" s="235" t="s">
        <v>1411</v>
      </c>
      <c r="SEH61" s="235" t="s">
        <v>388</v>
      </c>
      <c r="SEI61" s="237" t="s">
        <v>727</v>
      </c>
      <c r="SEJ61" s="237" t="s">
        <v>221</v>
      </c>
      <c r="SEK61" s="235" t="s">
        <v>2</v>
      </c>
      <c r="SEL61" s="235" t="s">
        <v>3</v>
      </c>
      <c r="SEM61" s="235" t="s">
        <v>618</v>
      </c>
      <c r="SEN61" s="235" t="s">
        <v>1410</v>
      </c>
      <c r="SEO61" s="235" t="s">
        <v>1411</v>
      </c>
      <c r="SEP61" s="235" t="s">
        <v>388</v>
      </c>
      <c r="SEQ61" s="237" t="s">
        <v>727</v>
      </c>
      <c r="SER61" s="237" t="s">
        <v>221</v>
      </c>
      <c r="SES61" s="235" t="s">
        <v>2</v>
      </c>
      <c r="SET61" s="235" t="s">
        <v>3</v>
      </c>
      <c r="SEU61" s="235" t="s">
        <v>618</v>
      </c>
      <c r="SEV61" s="235" t="s">
        <v>1410</v>
      </c>
      <c r="SEW61" s="235" t="s">
        <v>1411</v>
      </c>
      <c r="SEX61" s="235" t="s">
        <v>388</v>
      </c>
      <c r="SEY61" s="237" t="s">
        <v>727</v>
      </c>
      <c r="SEZ61" s="237" t="s">
        <v>221</v>
      </c>
      <c r="SFA61" s="235" t="s">
        <v>2</v>
      </c>
      <c r="SFB61" s="235" t="s">
        <v>3</v>
      </c>
      <c r="SFC61" s="235" t="s">
        <v>618</v>
      </c>
      <c r="SFD61" s="235" t="s">
        <v>1410</v>
      </c>
      <c r="SFE61" s="235" t="s">
        <v>1411</v>
      </c>
      <c r="SFF61" s="235" t="s">
        <v>388</v>
      </c>
      <c r="SFG61" s="237" t="s">
        <v>727</v>
      </c>
      <c r="SFH61" s="237" t="s">
        <v>221</v>
      </c>
      <c r="SFI61" s="235" t="s">
        <v>2</v>
      </c>
      <c r="SFJ61" s="235" t="s">
        <v>3</v>
      </c>
      <c r="SFK61" s="235" t="s">
        <v>618</v>
      </c>
      <c r="SFL61" s="235" t="s">
        <v>1410</v>
      </c>
      <c r="SFM61" s="235" t="s">
        <v>1411</v>
      </c>
      <c r="SFN61" s="235" t="s">
        <v>388</v>
      </c>
      <c r="SFO61" s="237" t="s">
        <v>727</v>
      </c>
      <c r="SFP61" s="237" t="s">
        <v>221</v>
      </c>
      <c r="SFQ61" s="235" t="s">
        <v>2</v>
      </c>
      <c r="SFR61" s="235" t="s">
        <v>3</v>
      </c>
      <c r="SFS61" s="235" t="s">
        <v>618</v>
      </c>
      <c r="SFT61" s="235" t="s">
        <v>1410</v>
      </c>
      <c r="SFU61" s="235" t="s">
        <v>1411</v>
      </c>
      <c r="SFV61" s="235" t="s">
        <v>388</v>
      </c>
      <c r="SFW61" s="237" t="s">
        <v>727</v>
      </c>
      <c r="SFX61" s="237" t="s">
        <v>221</v>
      </c>
      <c r="SFY61" s="235" t="s">
        <v>2</v>
      </c>
      <c r="SFZ61" s="235" t="s">
        <v>3</v>
      </c>
      <c r="SGA61" s="235" t="s">
        <v>618</v>
      </c>
      <c r="SGB61" s="235" t="s">
        <v>1410</v>
      </c>
      <c r="SGC61" s="235" t="s">
        <v>1411</v>
      </c>
      <c r="SGD61" s="235" t="s">
        <v>388</v>
      </c>
      <c r="SGE61" s="237" t="s">
        <v>727</v>
      </c>
      <c r="SGF61" s="237" t="s">
        <v>221</v>
      </c>
      <c r="SGG61" s="235" t="s">
        <v>2</v>
      </c>
      <c r="SGH61" s="235" t="s">
        <v>3</v>
      </c>
      <c r="SGI61" s="235" t="s">
        <v>618</v>
      </c>
      <c r="SGJ61" s="235" t="s">
        <v>1410</v>
      </c>
      <c r="SGK61" s="235" t="s">
        <v>1411</v>
      </c>
      <c r="SGL61" s="235" t="s">
        <v>388</v>
      </c>
      <c r="SGM61" s="237" t="s">
        <v>727</v>
      </c>
      <c r="SGN61" s="237" t="s">
        <v>221</v>
      </c>
      <c r="SGO61" s="235" t="s">
        <v>2</v>
      </c>
      <c r="SGP61" s="235" t="s">
        <v>3</v>
      </c>
      <c r="SGQ61" s="235" t="s">
        <v>618</v>
      </c>
      <c r="SGR61" s="235" t="s">
        <v>1410</v>
      </c>
      <c r="SGS61" s="235" t="s">
        <v>1411</v>
      </c>
      <c r="SGT61" s="235" t="s">
        <v>388</v>
      </c>
      <c r="SGU61" s="237" t="s">
        <v>727</v>
      </c>
      <c r="SGV61" s="237" t="s">
        <v>221</v>
      </c>
      <c r="SGW61" s="235" t="s">
        <v>2</v>
      </c>
      <c r="SGX61" s="235" t="s">
        <v>3</v>
      </c>
      <c r="SGY61" s="235" t="s">
        <v>618</v>
      </c>
      <c r="SGZ61" s="235" t="s">
        <v>1410</v>
      </c>
      <c r="SHA61" s="235" t="s">
        <v>1411</v>
      </c>
      <c r="SHB61" s="235" t="s">
        <v>388</v>
      </c>
      <c r="SHC61" s="237" t="s">
        <v>727</v>
      </c>
      <c r="SHD61" s="237" t="s">
        <v>221</v>
      </c>
      <c r="SHE61" s="235" t="s">
        <v>2</v>
      </c>
      <c r="SHF61" s="235" t="s">
        <v>3</v>
      </c>
      <c r="SHG61" s="235" t="s">
        <v>618</v>
      </c>
      <c r="SHH61" s="235" t="s">
        <v>1410</v>
      </c>
      <c r="SHI61" s="235" t="s">
        <v>1411</v>
      </c>
      <c r="SHJ61" s="235" t="s">
        <v>388</v>
      </c>
      <c r="SHK61" s="237" t="s">
        <v>727</v>
      </c>
      <c r="SHL61" s="237" t="s">
        <v>221</v>
      </c>
      <c r="SHM61" s="235" t="s">
        <v>2</v>
      </c>
      <c r="SHN61" s="235" t="s">
        <v>3</v>
      </c>
      <c r="SHO61" s="235" t="s">
        <v>618</v>
      </c>
      <c r="SHP61" s="235" t="s">
        <v>1410</v>
      </c>
      <c r="SHQ61" s="235" t="s">
        <v>1411</v>
      </c>
      <c r="SHR61" s="235" t="s">
        <v>388</v>
      </c>
      <c r="SHS61" s="237" t="s">
        <v>727</v>
      </c>
      <c r="SHT61" s="237" t="s">
        <v>221</v>
      </c>
      <c r="SHU61" s="235" t="s">
        <v>2</v>
      </c>
      <c r="SHV61" s="235" t="s">
        <v>3</v>
      </c>
      <c r="SHW61" s="235" t="s">
        <v>618</v>
      </c>
      <c r="SHX61" s="235" t="s">
        <v>1410</v>
      </c>
      <c r="SHY61" s="235" t="s">
        <v>1411</v>
      </c>
      <c r="SHZ61" s="235" t="s">
        <v>388</v>
      </c>
      <c r="SIA61" s="237" t="s">
        <v>727</v>
      </c>
      <c r="SIB61" s="237" t="s">
        <v>221</v>
      </c>
      <c r="SIC61" s="235" t="s">
        <v>2</v>
      </c>
      <c r="SID61" s="235" t="s">
        <v>3</v>
      </c>
      <c r="SIE61" s="235" t="s">
        <v>618</v>
      </c>
      <c r="SIF61" s="235" t="s">
        <v>1410</v>
      </c>
      <c r="SIG61" s="235" t="s">
        <v>1411</v>
      </c>
      <c r="SIH61" s="235" t="s">
        <v>388</v>
      </c>
      <c r="SII61" s="237" t="s">
        <v>727</v>
      </c>
      <c r="SIJ61" s="237" t="s">
        <v>221</v>
      </c>
      <c r="SIK61" s="235" t="s">
        <v>2</v>
      </c>
      <c r="SIL61" s="235" t="s">
        <v>3</v>
      </c>
      <c r="SIM61" s="235" t="s">
        <v>618</v>
      </c>
      <c r="SIN61" s="235" t="s">
        <v>1410</v>
      </c>
      <c r="SIO61" s="235" t="s">
        <v>1411</v>
      </c>
      <c r="SIP61" s="235" t="s">
        <v>388</v>
      </c>
      <c r="SIQ61" s="237" t="s">
        <v>727</v>
      </c>
      <c r="SIR61" s="237" t="s">
        <v>221</v>
      </c>
      <c r="SIS61" s="235" t="s">
        <v>2</v>
      </c>
      <c r="SIT61" s="235" t="s">
        <v>3</v>
      </c>
      <c r="SIU61" s="235" t="s">
        <v>618</v>
      </c>
      <c r="SIV61" s="235" t="s">
        <v>1410</v>
      </c>
      <c r="SIW61" s="235" t="s">
        <v>1411</v>
      </c>
      <c r="SIX61" s="235" t="s">
        <v>388</v>
      </c>
      <c r="SIY61" s="237" t="s">
        <v>727</v>
      </c>
      <c r="SIZ61" s="237" t="s">
        <v>221</v>
      </c>
      <c r="SJA61" s="235" t="s">
        <v>2</v>
      </c>
      <c r="SJB61" s="235" t="s">
        <v>3</v>
      </c>
      <c r="SJC61" s="235" t="s">
        <v>618</v>
      </c>
      <c r="SJD61" s="235" t="s">
        <v>1410</v>
      </c>
      <c r="SJE61" s="235" t="s">
        <v>1411</v>
      </c>
      <c r="SJF61" s="235" t="s">
        <v>388</v>
      </c>
      <c r="SJG61" s="237" t="s">
        <v>727</v>
      </c>
      <c r="SJH61" s="237" t="s">
        <v>221</v>
      </c>
      <c r="SJI61" s="235" t="s">
        <v>2</v>
      </c>
      <c r="SJJ61" s="235" t="s">
        <v>3</v>
      </c>
      <c r="SJK61" s="235" t="s">
        <v>618</v>
      </c>
      <c r="SJL61" s="235" t="s">
        <v>1410</v>
      </c>
      <c r="SJM61" s="235" t="s">
        <v>1411</v>
      </c>
      <c r="SJN61" s="235" t="s">
        <v>388</v>
      </c>
      <c r="SJO61" s="237" t="s">
        <v>727</v>
      </c>
      <c r="SJP61" s="237" t="s">
        <v>221</v>
      </c>
      <c r="SJQ61" s="235" t="s">
        <v>2</v>
      </c>
      <c r="SJR61" s="235" t="s">
        <v>3</v>
      </c>
      <c r="SJS61" s="235" t="s">
        <v>618</v>
      </c>
      <c r="SJT61" s="235" t="s">
        <v>1410</v>
      </c>
      <c r="SJU61" s="235" t="s">
        <v>1411</v>
      </c>
      <c r="SJV61" s="235" t="s">
        <v>388</v>
      </c>
      <c r="SJW61" s="237" t="s">
        <v>727</v>
      </c>
      <c r="SJX61" s="237" t="s">
        <v>221</v>
      </c>
      <c r="SJY61" s="235" t="s">
        <v>2</v>
      </c>
      <c r="SJZ61" s="235" t="s">
        <v>3</v>
      </c>
      <c r="SKA61" s="235" t="s">
        <v>618</v>
      </c>
      <c r="SKB61" s="235" t="s">
        <v>1410</v>
      </c>
      <c r="SKC61" s="235" t="s">
        <v>1411</v>
      </c>
      <c r="SKD61" s="235" t="s">
        <v>388</v>
      </c>
      <c r="SKE61" s="237" t="s">
        <v>727</v>
      </c>
      <c r="SKF61" s="237" t="s">
        <v>221</v>
      </c>
      <c r="SKG61" s="235" t="s">
        <v>2</v>
      </c>
      <c r="SKH61" s="235" t="s">
        <v>3</v>
      </c>
      <c r="SKI61" s="235" t="s">
        <v>618</v>
      </c>
      <c r="SKJ61" s="235" t="s">
        <v>1410</v>
      </c>
      <c r="SKK61" s="235" t="s">
        <v>1411</v>
      </c>
      <c r="SKL61" s="235" t="s">
        <v>388</v>
      </c>
      <c r="SKM61" s="237" t="s">
        <v>727</v>
      </c>
      <c r="SKN61" s="237" t="s">
        <v>221</v>
      </c>
      <c r="SKO61" s="235" t="s">
        <v>2</v>
      </c>
      <c r="SKP61" s="235" t="s">
        <v>3</v>
      </c>
      <c r="SKQ61" s="235" t="s">
        <v>618</v>
      </c>
      <c r="SKR61" s="235" t="s">
        <v>1410</v>
      </c>
      <c r="SKS61" s="235" t="s">
        <v>1411</v>
      </c>
      <c r="SKT61" s="235" t="s">
        <v>388</v>
      </c>
      <c r="SKU61" s="237" t="s">
        <v>727</v>
      </c>
      <c r="SKV61" s="237" t="s">
        <v>221</v>
      </c>
      <c r="SKW61" s="235" t="s">
        <v>2</v>
      </c>
      <c r="SKX61" s="235" t="s">
        <v>3</v>
      </c>
      <c r="SKY61" s="235" t="s">
        <v>618</v>
      </c>
      <c r="SKZ61" s="235" t="s">
        <v>1410</v>
      </c>
      <c r="SLA61" s="235" t="s">
        <v>1411</v>
      </c>
      <c r="SLB61" s="235" t="s">
        <v>388</v>
      </c>
      <c r="SLC61" s="237" t="s">
        <v>727</v>
      </c>
      <c r="SLD61" s="237" t="s">
        <v>221</v>
      </c>
      <c r="SLE61" s="235" t="s">
        <v>2</v>
      </c>
      <c r="SLF61" s="235" t="s">
        <v>3</v>
      </c>
      <c r="SLG61" s="235" t="s">
        <v>618</v>
      </c>
      <c r="SLH61" s="235" t="s">
        <v>1410</v>
      </c>
      <c r="SLI61" s="235" t="s">
        <v>1411</v>
      </c>
      <c r="SLJ61" s="235" t="s">
        <v>388</v>
      </c>
      <c r="SLK61" s="237" t="s">
        <v>727</v>
      </c>
      <c r="SLL61" s="237" t="s">
        <v>221</v>
      </c>
      <c r="SLM61" s="235" t="s">
        <v>2</v>
      </c>
      <c r="SLN61" s="235" t="s">
        <v>3</v>
      </c>
      <c r="SLO61" s="235" t="s">
        <v>618</v>
      </c>
      <c r="SLP61" s="235" t="s">
        <v>1410</v>
      </c>
      <c r="SLQ61" s="235" t="s">
        <v>1411</v>
      </c>
      <c r="SLR61" s="235" t="s">
        <v>388</v>
      </c>
      <c r="SLS61" s="237" t="s">
        <v>727</v>
      </c>
      <c r="SLT61" s="237" t="s">
        <v>221</v>
      </c>
      <c r="SLU61" s="235" t="s">
        <v>2</v>
      </c>
      <c r="SLV61" s="235" t="s">
        <v>3</v>
      </c>
      <c r="SLW61" s="235" t="s">
        <v>618</v>
      </c>
      <c r="SLX61" s="235" t="s">
        <v>1410</v>
      </c>
      <c r="SLY61" s="235" t="s">
        <v>1411</v>
      </c>
      <c r="SLZ61" s="235" t="s">
        <v>388</v>
      </c>
      <c r="SMA61" s="237" t="s">
        <v>727</v>
      </c>
      <c r="SMB61" s="237" t="s">
        <v>221</v>
      </c>
      <c r="SMC61" s="235" t="s">
        <v>2</v>
      </c>
      <c r="SMD61" s="235" t="s">
        <v>3</v>
      </c>
      <c r="SME61" s="235" t="s">
        <v>618</v>
      </c>
      <c r="SMF61" s="235" t="s">
        <v>1410</v>
      </c>
      <c r="SMG61" s="235" t="s">
        <v>1411</v>
      </c>
      <c r="SMH61" s="235" t="s">
        <v>388</v>
      </c>
      <c r="SMI61" s="237" t="s">
        <v>727</v>
      </c>
      <c r="SMJ61" s="237" t="s">
        <v>221</v>
      </c>
      <c r="SMK61" s="235" t="s">
        <v>2</v>
      </c>
      <c r="SML61" s="235" t="s">
        <v>3</v>
      </c>
      <c r="SMM61" s="235" t="s">
        <v>618</v>
      </c>
      <c r="SMN61" s="235" t="s">
        <v>1410</v>
      </c>
      <c r="SMO61" s="235" t="s">
        <v>1411</v>
      </c>
      <c r="SMP61" s="235" t="s">
        <v>388</v>
      </c>
      <c r="SMQ61" s="237" t="s">
        <v>727</v>
      </c>
      <c r="SMR61" s="237" t="s">
        <v>221</v>
      </c>
      <c r="SMS61" s="235" t="s">
        <v>2</v>
      </c>
      <c r="SMT61" s="235" t="s">
        <v>3</v>
      </c>
      <c r="SMU61" s="235" t="s">
        <v>618</v>
      </c>
      <c r="SMV61" s="235" t="s">
        <v>1410</v>
      </c>
      <c r="SMW61" s="235" t="s">
        <v>1411</v>
      </c>
      <c r="SMX61" s="235" t="s">
        <v>388</v>
      </c>
      <c r="SMY61" s="237" t="s">
        <v>727</v>
      </c>
      <c r="SMZ61" s="237" t="s">
        <v>221</v>
      </c>
      <c r="SNA61" s="235" t="s">
        <v>2</v>
      </c>
      <c r="SNB61" s="235" t="s">
        <v>3</v>
      </c>
      <c r="SNC61" s="235" t="s">
        <v>618</v>
      </c>
      <c r="SND61" s="235" t="s">
        <v>1410</v>
      </c>
      <c r="SNE61" s="235" t="s">
        <v>1411</v>
      </c>
      <c r="SNF61" s="235" t="s">
        <v>388</v>
      </c>
      <c r="SNG61" s="237" t="s">
        <v>727</v>
      </c>
      <c r="SNH61" s="237" t="s">
        <v>221</v>
      </c>
      <c r="SNI61" s="235" t="s">
        <v>2</v>
      </c>
      <c r="SNJ61" s="235" t="s">
        <v>3</v>
      </c>
      <c r="SNK61" s="235" t="s">
        <v>618</v>
      </c>
      <c r="SNL61" s="235" t="s">
        <v>1410</v>
      </c>
      <c r="SNM61" s="235" t="s">
        <v>1411</v>
      </c>
      <c r="SNN61" s="235" t="s">
        <v>388</v>
      </c>
      <c r="SNO61" s="237" t="s">
        <v>727</v>
      </c>
      <c r="SNP61" s="237" t="s">
        <v>221</v>
      </c>
      <c r="SNQ61" s="235" t="s">
        <v>2</v>
      </c>
      <c r="SNR61" s="235" t="s">
        <v>3</v>
      </c>
      <c r="SNS61" s="235" t="s">
        <v>618</v>
      </c>
      <c r="SNT61" s="235" t="s">
        <v>1410</v>
      </c>
      <c r="SNU61" s="235" t="s">
        <v>1411</v>
      </c>
      <c r="SNV61" s="235" t="s">
        <v>388</v>
      </c>
      <c r="SNW61" s="237" t="s">
        <v>727</v>
      </c>
      <c r="SNX61" s="237" t="s">
        <v>221</v>
      </c>
      <c r="SNY61" s="235" t="s">
        <v>2</v>
      </c>
      <c r="SNZ61" s="235" t="s">
        <v>3</v>
      </c>
      <c r="SOA61" s="235" t="s">
        <v>618</v>
      </c>
      <c r="SOB61" s="235" t="s">
        <v>1410</v>
      </c>
      <c r="SOC61" s="235" t="s">
        <v>1411</v>
      </c>
      <c r="SOD61" s="235" t="s">
        <v>388</v>
      </c>
      <c r="SOE61" s="237" t="s">
        <v>727</v>
      </c>
      <c r="SOF61" s="237" t="s">
        <v>221</v>
      </c>
      <c r="SOG61" s="235" t="s">
        <v>2</v>
      </c>
      <c r="SOH61" s="235" t="s">
        <v>3</v>
      </c>
      <c r="SOI61" s="235" t="s">
        <v>618</v>
      </c>
      <c r="SOJ61" s="235" t="s">
        <v>1410</v>
      </c>
      <c r="SOK61" s="235" t="s">
        <v>1411</v>
      </c>
      <c r="SOL61" s="235" t="s">
        <v>388</v>
      </c>
      <c r="SOM61" s="237" t="s">
        <v>727</v>
      </c>
      <c r="SON61" s="237" t="s">
        <v>221</v>
      </c>
      <c r="SOO61" s="235" t="s">
        <v>2</v>
      </c>
      <c r="SOP61" s="235" t="s">
        <v>3</v>
      </c>
      <c r="SOQ61" s="235" t="s">
        <v>618</v>
      </c>
      <c r="SOR61" s="235" t="s">
        <v>1410</v>
      </c>
      <c r="SOS61" s="235" t="s">
        <v>1411</v>
      </c>
      <c r="SOT61" s="235" t="s">
        <v>388</v>
      </c>
      <c r="SOU61" s="237" t="s">
        <v>727</v>
      </c>
      <c r="SOV61" s="237" t="s">
        <v>221</v>
      </c>
      <c r="SOW61" s="235" t="s">
        <v>2</v>
      </c>
      <c r="SOX61" s="235" t="s">
        <v>3</v>
      </c>
      <c r="SOY61" s="235" t="s">
        <v>618</v>
      </c>
      <c r="SOZ61" s="235" t="s">
        <v>1410</v>
      </c>
      <c r="SPA61" s="235" t="s">
        <v>1411</v>
      </c>
      <c r="SPB61" s="235" t="s">
        <v>388</v>
      </c>
      <c r="SPC61" s="237" t="s">
        <v>727</v>
      </c>
      <c r="SPD61" s="237" t="s">
        <v>221</v>
      </c>
      <c r="SPE61" s="235" t="s">
        <v>2</v>
      </c>
      <c r="SPF61" s="235" t="s">
        <v>3</v>
      </c>
      <c r="SPG61" s="235" t="s">
        <v>618</v>
      </c>
      <c r="SPH61" s="235" t="s">
        <v>1410</v>
      </c>
      <c r="SPI61" s="235" t="s">
        <v>1411</v>
      </c>
      <c r="SPJ61" s="235" t="s">
        <v>388</v>
      </c>
      <c r="SPK61" s="237" t="s">
        <v>727</v>
      </c>
      <c r="SPL61" s="237" t="s">
        <v>221</v>
      </c>
      <c r="SPM61" s="235" t="s">
        <v>2</v>
      </c>
      <c r="SPN61" s="235" t="s">
        <v>3</v>
      </c>
      <c r="SPO61" s="235" t="s">
        <v>618</v>
      </c>
      <c r="SPP61" s="235" t="s">
        <v>1410</v>
      </c>
      <c r="SPQ61" s="235" t="s">
        <v>1411</v>
      </c>
      <c r="SPR61" s="235" t="s">
        <v>388</v>
      </c>
      <c r="SPS61" s="237" t="s">
        <v>727</v>
      </c>
      <c r="SPT61" s="237" t="s">
        <v>221</v>
      </c>
      <c r="SPU61" s="235" t="s">
        <v>2</v>
      </c>
      <c r="SPV61" s="235" t="s">
        <v>3</v>
      </c>
      <c r="SPW61" s="235" t="s">
        <v>618</v>
      </c>
      <c r="SPX61" s="235" t="s">
        <v>1410</v>
      </c>
      <c r="SPY61" s="235" t="s">
        <v>1411</v>
      </c>
      <c r="SPZ61" s="235" t="s">
        <v>388</v>
      </c>
      <c r="SQA61" s="237" t="s">
        <v>727</v>
      </c>
      <c r="SQB61" s="237" t="s">
        <v>221</v>
      </c>
      <c r="SQC61" s="235" t="s">
        <v>2</v>
      </c>
      <c r="SQD61" s="235" t="s">
        <v>3</v>
      </c>
      <c r="SQE61" s="235" t="s">
        <v>618</v>
      </c>
      <c r="SQF61" s="235" t="s">
        <v>1410</v>
      </c>
      <c r="SQG61" s="235" t="s">
        <v>1411</v>
      </c>
      <c r="SQH61" s="235" t="s">
        <v>388</v>
      </c>
      <c r="SQI61" s="237" t="s">
        <v>727</v>
      </c>
      <c r="SQJ61" s="237" t="s">
        <v>221</v>
      </c>
      <c r="SQK61" s="235" t="s">
        <v>2</v>
      </c>
      <c r="SQL61" s="235" t="s">
        <v>3</v>
      </c>
      <c r="SQM61" s="235" t="s">
        <v>618</v>
      </c>
      <c r="SQN61" s="235" t="s">
        <v>1410</v>
      </c>
      <c r="SQO61" s="235" t="s">
        <v>1411</v>
      </c>
      <c r="SQP61" s="235" t="s">
        <v>388</v>
      </c>
      <c r="SQQ61" s="237" t="s">
        <v>727</v>
      </c>
      <c r="SQR61" s="237" t="s">
        <v>221</v>
      </c>
      <c r="SQS61" s="235" t="s">
        <v>2</v>
      </c>
      <c r="SQT61" s="235" t="s">
        <v>3</v>
      </c>
      <c r="SQU61" s="235" t="s">
        <v>618</v>
      </c>
      <c r="SQV61" s="235" t="s">
        <v>1410</v>
      </c>
      <c r="SQW61" s="235" t="s">
        <v>1411</v>
      </c>
      <c r="SQX61" s="235" t="s">
        <v>388</v>
      </c>
      <c r="SQY61" s="237" t="s">
        <v>727</v>
      </c>
      <c r="SQZ61" s="237" t="s">
        <v>221</v>
      </c>
      <c r="SRA61" s="235" t="s">
        <v>2</v>
      </c>
      <c r="SRB61" s="235" t="s">
        <v>3</v>
      </c>
      <c r="SRC61" s="235" t="s">
        <v>618</v>
      </c>
      <c r="SRD61" s="235" t="s">
        <v>1410</v>
      </c>
      <c r="SRE61" s="235" t="s">
        <v>1411</v>
      </c>
      <c r="SRF61" s="235" t="s">
        <v>388</v>
      </c>
      <c r="SRG61" s="237" t="s">
        <v>727</v>
      </c>
      <c r="SRH61" s="237" t="s">
        <v>221</v>
      </c>
      <c r="SRI61" s="235" t="s">
        <v>2</v>
      </c>
      <c r="SRJ61" s="235" t="s">
        <v>3</v>
      </c>
      <c r="SRK61" s="235" t="s">
        <v>618</v>
      </c>
      <c r="SRL61" s="235" t="s">
        <v>1410</v>
      </c>
      <c r="SRM61" s="235" t="s">
        <v>1411</v>
      </c>
      <c r="SRN61" s="235" t="s">
        <v>388</v>
      </c>
      <c r="SRO61" s="237" t="s">
        <v>727</v>
      </c>
      <c r="SRP61" s="237" t="s">
        <v>221</v>
      </c>
      <c r="SRQ61" s="235" t="s">
        <v>2</v>
      </c>
      <c r="SRR61" s="235" t="s">
        <v>3</v>
      </c>
      <c r="SRS61" s="235" t="s">
        <v>618</v>
      </c>
      <c r="SRT61" s="235" t="s">
        <v>1410</v>
      </c>
      <c r="SRU61" s="235" t="s">
        <v>1411</v>
      </c>
      <c r="SRV61" s="235" t="s">
        <v>388</v>
      </c>
      <c r="SRW61" s="237" t="s">
        <v>727</v>
      </c>
      <c r="SRX61" s="237" t="s">
        <v>221</v>
      </c>
      <c r="SRY61" s="235" t="s">
        <v>2</v>
      </c>
      <c r="SRZ61" s="235" t="s">
        <v>3</v>
      </c>
      <c r="SSA61" s="235" t="s">
        <v>618</v>
      </c>
      <c r="SSB61" s="235" t="s">
        <v>1410</v>
      </c>
      <c r="SSC61" s="235" t="s">
        <v>1411</v>
      </c>
      <c r="SSD61" s="235" t="s">
        <v>388</v>
      </c>
      <c r="SSE61" s="237" t="s">
        <v>727</v>
      </c>
      <c r="SSF61" s="237" t="s">
        <v>221</v>
      </c>
      <c r="SSG61" s="235" t="s">
        <v>2</v>
      </c>
      <c r="SSH61" s="235" t="s">
        <v>3</v>
      </c>
      <c r="SSI61" s="235" t="s">
        <v>618</v>
      </c>
      <c r="SSJ61" s="235" t="s">
        <v>1410</v>
      </c>
      <c r="SSK61" s="235" t="s">
        <v>1411</v>
      </c>
      <c r="SSL61" s="235" t="s">
        <v>388</v>
      </c>
      <c r="SSM61" s="237" t="s">
        <v>727</v>
      </c>
      <c r="SSN61" s="237" t="s">
        <v>221</v>
      </c>
      <c r="SSO61" s="235" t="s">
        <v>2</v>
      </c>
      <c r="SSP61" s="235" t="s">
        <v>3</v>
      </c>
      <c r="SSQ61" s="235" t="s">
        <v>618</v>
      </c>
      <c r="SSR61" s="235" t="s">
        <v>1410</v>
      </c>
      <c r="SSS61" s="235" t="s">
        <v>1411</v>
      </c>
      <c r="SST61" s="235" t="s">
        <v>388</v>
      </c>
      <c r="SSU61" s="237" t="s">
        <v>727</v>
      </c>
      <c r="SSV61" s="237" t="s">
        <v>221</v>
      </c>
      <c r="SSW61" s="235" t="s">
        <v>2</v>
      </c>
      <c r="SSX61" s="235" t="s">
        <v>3</v>
      </c>
      <c r="SSY61" s="235" t="s">
        <v>618</v>
      </c>
      <c r="SSZ61" s="235" t="s">
        <v>1410</v>
      </c>
      <c r="STA61" s="235" t="s">
        <v>1411</v>
      </c>
      <c r="STB61" s="235" t="s">
        <v>388</v>
      </c>
      <c r="STC61" s="237" t="s">
        <v>727</v>
      </c>
      <c r="STD61" s="237" t="s">
        <v>221</v>
      </c>
      <c r="STE61" s="235" t="s">
        <v>2</v>
      </c>
      <c r="STF61" s="235" t="s">
        <v>3</v>
      </c>
      <c r="STG61" s="235" t="s">
        <v>618</v>
      </c>
      <c r="STH61" s="235" t="s">
        <v>1410</v>
      </c>
      <c r="STI61" s="235" t="s">
        <v>1411</v>
      </c>
      <c r="STJ61" s="235" t="s">
        <v>388</v>
      </c>
      <c r="STK61" s="237" t="s">
        <v>727</v>
      </c>
      <c r="STL61" s="237" t="s">
        <v>221</v>
      </c>
      <c r="STM61" s="235" t="s">
        <v>2</v>
      </c>
      <c r="STN61" s="235" t="s">
        <v>3</v>
      </c>
      <c r="STO61" s="235" t="s">
        <v>618</v>
      </c>
      <c r="STP61" s="235" t="s">
        <v>1410</v>
      </c>
      <c r="STQ61" s="235" t="s">
        <v>1411</v>
      </c>
      <c r="STR61" s="235" t="s">
        <v>388</v>
      </c>
      <c r="STS61" s="237" t="s">
        <v>727</v>
      </c>
      <c r="STT61" s="237" t="s">
        <v>221</v>
      </c>
      <c r="STU61" s="235" t="s">
        <v>2</v>
      </c>
      <c r="STV61" s="235" t="s">
        <v>3</v>
      </c>
      <c r="STW61" s="235" t="s">
        <v>618</v>
      </c>
      <c r="STX61" s="235" t="s">
        <v>1410</v>
      </c>
      <c r="STY61" s="235" t="s">
        <v>1411</v>
      </c>
      <c r="STZ61" s="235" t="s">
        <v>388</v>
      </c>
      <c r="SUA61" s="237" t="s">
        <v>727</v>
      </c>
      <c r="SUB61" s="237" t="s">
        <v>221</v>
      </c>
      <c r="SUC61" s="235" t="s">
        <v>2</v>
      </c>
      <c r="SUD61" s="235" t="s">
        <v>3</v>
      </c>
      <c r="SUE61" s="235" t="s">
        <v>618</v>
      </c>
      <c r="SUF61" s="235" t="s">
        <v>1410</v>
      </c>
      <c r="SUG61" s="235" t="s">
        <v>1411</v>
      </c>
      <c r="SUH61" s="235" t="s">
        <v>388</v>
      </c>
      <c r="SUI61" s="237" t="s">
        <v>727</v>
      </c>
      <c r="SUJ61" s="237" t="s">
        <v>221</v>
      </c>
      <c r="SUK61" s="235" t="s">
        <v>2</v>
      </c>
      <c r="SUL61" s="235" t="s">
        <v>3</v>
      </c>
      <c r="SUM61" s="235" t="s">
        <v>618</v>
      </c>
      <c r="SUN61" s="235" t="s">
        <v>1410</v>
      </c>
      <c r="SUO61" s="235" t="s">
        <v>1411</v>
      </c>
      <c r="SUP61" s="235" t="s">
        <v>388</v>
      </c>
      <c r="SUQ61" s="237" t="s">
        <v>727</v>
      </c>
      <c r="SUR61" s="237" t="s">
        <v>221</v>
      </c>
      <c r="SUS61" s="235" t="s">
        <v>2</v>
      </c>
      <c r="SUT61" s="235" t="s">
        <v>3</v>
      </c>
      <c r="SUU61" s="235" t="s">
        <v>618</v>
      </c>
      <c r="SUV61" s="235" t="s">
        <v>1410</v>
      </c>
      <c r="SUW61" s="235" t="s">
        <v>1411</v>
      </c>
      <c r="SUX61" s="235" t="s">
        <v>388</v>
      </c>
      <c r="SUY61" s="237" t="s">
        <v>727</v>
      </c>
      <c r="SUZ61" s="237" t="s">
        <v>221</v>
      </c>
      <c r="SVA61" s="235" t="s">
        <v>2</v>
      </c>
      <c r="SVB61" s="235" t="s">
        <v>3</v>
      </c>
      <c r="SVC61" s="235" t="s">
        <v>618</v>
      </c>
      <c r="SVD61" s="235" t="s">
        <v>1410</v>
      </c>
      <c r="SVE61" s="235" t="s">
        <v>1411</v>
      </c>
      <c r="SVF61" s="235" t="s">
        <v>388</v>
      </c>
      <c r="SVG61" s="237" t="s">
        <v>727</v>
      </c>
      <c r="SVH61" s="237" t="s">
        <v>221</v>
      </c>
      <c r="SVI61" s="235" t="s">
        <v>2</v>
      </c>
      <c r="SVJ61" s="235" t="s">
        <v>3</v>
      </c>
      <c r="SVK61" s="235" t="s">
        <v>618</v>
      </c>
      <c r="SVL61" s="235" t="s">
        <v>1410</v>
      </c>
      <c r="SVM61" s="235" t="s">
        <v>1411</v>
      </c>
      <c r="SVN61" s="235" t="s">
        <v>388</v>
      </c>
      <c r="SVO61" s="237" t="s">
        <v>727</v>
      </c>
      <c r="SVP61" s="237" t="s">
        <v>221</v>
      </c>
      <c r="SVQ61" s="235" t="s">
        <v>2</v>
      </c>
      <c r="SVR61" s="235" t="s">
        <v>3</v>
      </c>
      <c r="SVS61" s="235" t="s">
        <v>618</v>
      </c>
      <c r="SVT61" s="235" t="s">
        <v>1410</v>
      </c>
      <c r="SVU61" s="235" t="s">
        <v>1411</v>
      </c>
      <c r="SVV61" s="235" t="s">
        <v>388</v>
      </c>
      <c r="SVW61" s="237" t="s">
        <v>727</v>
      </c>
      <c r="SVX61" s="237" t="s">
        <v>221</v>
      </c>
      <c r="SVY61" s="235" t="s">
        <v>2</v>
      </c>
      <c r="SVZ61" s="235" t="s">
        <v>3</v>
      </c>
      <c r="SWA61" s="235" t="s">
        <v>618</v>
      </c>
      <c r="SWB61" s="235" t="s">
        <v>1410</v>
      </c>
      <c r="SWC61" s="235" t="s">
        <v>1411</v>
      </c>
      <c r="SWD61" s="235" t="s">
        <v>388</v>
      </c>
      <c r="SWE61" s="237" t="s">
        <v>727</v>
      </c>
      <c r="SWF61" s="237" t="s">
        <v>221</v>
      </c>
      <c r="SWG61" s="235" t="s">
        <v>2</v>
      </c>
      <c r="SWH61" s="235" t="s">
        <v>3</v>
      </c>
      <c r="SWI61" s="235" t="s">
        <v>618</v>
      </c>
      <c r="SWJ61" s="235" t="s">
        <v>1410</v>
      </c>
      <c r="SWK61" s="235" t="s">
        <v>1411</v>
      </c>
      <c r="SWL61" s="235" t="s">
        <v>388</v>
      </c>
      <c r="SWM61" s="237" t="s">
        <v>727</v>
      </c>
      <c r="SWN61" s="237" t="s">
        <v>221</v>
      </c>
      <c r="SWO61" s="235" t="s">
        <v>2</v>
      </c>
      <c r="SWP61" s="235" t="s">
        <v>3</v>
      </c>
      <c r="SWQ61" s="235" t="s">
        <v>618</v>
      </c>
      <c r="SWR61" s="235" t="s">
        <v>1410</v>
      </c>
      <c r="SWS61" s="235" t="s">
        <v>1411</v>
      </c>
      <c r="SWT61" s="235" t="s">
        <v>388</v>
      </c>
      <c r="SWU61" s="237" t="s">
        <v>727</v>
      </c>
      <c r="SWV61" s="237" t="s">
        <v>221</v>
      </c>
      <c r="SWW61" s="235" t="s">
        <v>2</v>
      </c>
      <c r="SWX61" s="235" t="s">
        <v>3</v>
      </c>
      <c r="SWY61" s="235" t="s">
        <v>618</v>
      </c>
      <c r="SWZ61" s="235" t="s">
        <v>1410</v>
      </c>
      <c r="SXA61" s="235" t="s">
        <v>1411</v>
      </c>
      <c r="SXB61" s="235" t="s">
        <v>388</v>
      </c>
      <c r="SXC61" s="237" t="s">
        <v>727</v>
      </c>
      <c r="SXD61" s="237" t="s">
        <v>221</v>
      </c>
      <c r="SXE61" s="235" t="s">
        <v>2</v>
      </c>
      <c r="SXF61" s="235" t="s">
        <v>3</v>
      </c>
      <c r="SXG61" s="235" t="s">
        <v>618</v>
      </c>
      <c r="SXH61" s="235" t="s">
        <v>1410</v>
      </c>
      <c r="SXI61" s="235" t="s">
        <v>1411</v>
      </c>
      <c r="SXJ61" s="235" t="s">
        <v>388</v>
      </c>
      <c r="SXK61" s="237" t="s">
        <v>727</v>
      </c>
      <c r="SXL61" s="237" t="s">
        <v>221</v>
      </c>
      <c r="SXM61" s="235" t="s">
        <v>2</v>
      </c>
      <c r="SXN61" s="235" t="s">
        <v>3</v>
      </c>
      <c r="SXO61" s="235" t="s">
        <v>618</v>
      </c>
      <c r="SXP61" s="235" t="s">
        <v>1410</v>
      </c>
      <c r="SXQ61" s="235" t="s">
        <v>1411</v>
      </c>
      <c r="SXR61" s="235" t="s">
        <v>388</v>
      </c>
      <c r="SXS61" s="237" t="s">
        <v>727</v>
      </c>
      <c r="SXT61" s="237" t="s">
        <v>221</v>
      </c>
      <c r="SXU61" s="235" t="s">
        <v>2</v>
      </c>
      <c r="SXV61" s="235" t="s">
        <v>3</v>
      </c>
      <c r="SXW61" s="235" t="s">
        <v>618</v>
      </c>
      <c r="SXX61" s="235" t="s">
        <v>1410</v>
      </c>
      <c r="SXY61" s="235" t="s">
        <v>1411</v>
      </c>
      <c r="SXZ61" s="235" t="s">
        <v>388</v>
      </c>
      <c r="SYA61" s="237" t="s">
        <v>727</v>
      </c>
      <c r="SYB61" s="237" t="s">
        <v>221</v>
      </c>
      <c r="SYC61" s="235" t="s">
        <v>2</v>
      </c>
      <c r="SYD61" s="235" t="s">
        <v>3</v>
      </c>
      <c r="SYE61" s="235" t="s">
        <v>618</v>
      </c>
      <c r="SYF61" s="235" t="s">
        <v>1410</v>
      </c>
      <c r="SYG61" s="235" t="s">
        <v>1411</v>
      </c>
      <c r="SYH61" s="235" t="s">
        <v>388</v>
      </c>
      <c r="SYI61" s="237" t="s">
        <v>727</v>
      </c>
      <c r="SYJ61" s="237" t="s">
        <v>221</v>
      </c>
      <c r="SYK61" s="235" t="s">
        <v>2</v>
      </c>
      <c r="SYL61" s="235" t="s">
        <v>3</v>
      </c>
      <c r="SYM61" s="235" t="s">
        <v>618</v>
      </c>
      <c r="SYN61" s="235" t="s">
        <v>1410</v>
      </c>
      <c r="SYO61" s="235" t="s">
        <v>1411</v>
      </c>
      <c r="SYP61" s="235" t="s">
        <v>388</v>
      </c>
      <c r="SYQ61" s="237" t="s">
        <v>727</v>
      </c>
      <c r="SYR61" s="237" t="s">
        <v>221</v>
      </c>
      <c r="SYS61" s="235" t="s">
        <v>2</v>
      </c>
      <c r="SYT61" s="235" t="s">
        <v>3</v>
      </c>
      <c r="SYU61" s="235" t="s">
        <v>618</v>
      </c>
      <c r="SYV61" s="235" t="s">
        <v>1410</v>
      </c>
      <c r="SYW61" s="235" t="s">
        <v>1411</v>
      </c>
      <c r="SYX61" s="235" t="s">
        <v>388</v>
      </c>
      <c r="SYY61" s="237" t="s">
        <v>727</v>
      </c>
      <c r="SYZ61" s="237" t="s">
        <v>221</v>
      </c>
      <c r="SZA61" s="235" t="s">
        <v>2</v>
      </c>
      <c r="SZB61" s="235" t="s">
        <v>3</v>
      </c>
      <c r="SZC61" s="235" t="s">
        <v>618</v>
      </c>
      <c r="SZD61" s="235" t="s">
        <v>1410</v>
      </c>
      <c r="SZE61" s="235" t="s">
        <v>1411</v>
      </c>
      <c r="SZF61" s="235" t="s">
        <v>388</v>
      </c>
      <c r="SZG61" s="237" t="s">
        <v>727</v>
      </c>
      <c r="SZH61" s="237" t="s">
        <v>221</v>
      </c>
      <c r="SZI61" s="235" t="s">
        <v>2</v>
      </c>
      <c r="SZJ61" s="235" t="s">
        <v>3</v>
      </c>
      <c r="SZK61" s="235" t="s">
        <v>618</v>
      </c>
      <c r="SZL61" s="235" t="s">
        <v>1410</v>
      </c>
      <c r="SZM61" s="235" t="s">
        <v>1411</v>
      </c>
      <c r="SZN61" s="235" t="s">
        <v>388</v>
      </c>
      <c r="SZO61" s="237" t="s">
        <v>727</v>
      </c>
      <c r="SZP61" s="237" t="s">
        <v>221</v>
      </c>
      <c r="SZQ61" s="235" t="s">
        <v>2</v>
      </c>
      <c r="SZR61" s="235" t="s">
        <v>3</v>
      </c>
      <c r="SZS61" s="235" t="s">
        <v>618</v>
      </c>
      <c r="SZT61" s="235" t="s">
        <v>1410</v>
      </c>
      <c r="SZU61" s="235" t="s">
        <v>1411</v>
      </c>
      <c r="SZV61" s="235" t="s">
        <v>388</v>
      </c>
      <c r="SZW61" s="237" t="s">
        <v>727</v>
      </c>
      <c r="SZX61" s="237" t="s">
        <v>221</v>
      </c>
      <c r="SZY61" s="235" t="s">
        <v>2</v>
      </c>
      <c r="SZZ61" s="235" t="s">
        <v>3</v>
      </c>
      <c r="TAA61" s="235" t="s">
        <v>618</v>
      </c>
      <c r="TAB61" s="235" t="s">
        <v>1410</v>
      </c>
      <c r="TAC61" s="235" t="s">
        <v>1411</v>
      </c>
      <c r="TAD61" s="235" t="s">
        <v>388</v>
      </c>
      <c r="TAE61" s="237" t="s">
        <v>727</v>
      </c>
      <c r="TAF61" s="237" t="s">
        <v>221</v>
      </c>
      <c r="TAG61" s="235" t="s">
        <v>2</v>
      </c>
      <c r="TAH61" s="235" t="s">
        <v>3</v>
      </c>
      <c r="TAI61" s="235" t="s">
        <v>618</v>
      </c>
      <c r="TAJ61" s="235" t="s">
        <v>1410</v>
      </c>
      <c r="TAK61" s="235" t="s">
        <v>1411</v>
      </c>
      <c r="TAL61" s="235" t="s">
        <v>388</v>
      </c>
      <c r="TAM61" s="237" t="s">
        <v>727</v>
      </c>
      <c r="TAN61" s="237" t="s">
        <v>221</v>
      </c>
      <c r="TAO61" s="235" t="s">
        <v>2</v>
      </c>
      <c r="TAP61" s="235" t="s">
        <v>3</v>
      </c>
      <c r="TAQ61" s="235" t="s">
        <v>618</v>
      </c>
      <c r="TAR61" s="235" t="s">
        <v>1410</v>
      </c>
      <c r="TAS61" s="235" t="s">
        <v>1411</v>
      </c>
      <c r="TAT61" s="235" t="s">
        <v>388</v>
      </c>
      <c r="TAU61" s="237" t="s">
        <v>727</v>
      </c>
      <c r="TAV61" s="237" t="s">
        <v>221</v>
      </c>
      <c r="TAW61" s="235" t="s">
        <v>2</v>
      </c>
      <c r="TAX61" s="235" t="s">
        <v>3</v>
      </c>
      <c r="TAY61" s="235" t="s">
        <v>618</v>
      </c>
      <c r="TAZ61" s="235" t="s">
        <v>1410</v>
      </c>
      <c r="TBA61" s="235" t="s">
        <v>1411</v>
      </c>
      <c r="TBB61" s="235" t="s">
        <v>388</v>
      </c>
      <c r="TBC61" s="237" t="s">
        <v>727</v>
      </c>
      <c r="TBD61" s="237" t="s">
        <v>221</v>
      </c>
      <c r="TBE61" s="235" t="s">
        <v>2</v>
      </c>
      <c r="TBF61" s="235" t="s">
        <v>3</v>
      </c>
      <c r="TBG61" s="235" t="s">
        <v>618</v>
      </c>
      <c r="TBH61" s="235" t="s">
        <v>1410</v>
      </c>
      <c r="TBI61" s="235" t="s">
        <v>1411</v>
      </c>
      <c r="TBJ61" s="235" t="s">
        <v>388</v>
      </c>
      <c r="TBK61" s="237" t="s">
        <v>727</v>
      </c>
      <c r="TBL61" s="237" t="s">
        <v>221</v>
      </c>
      <c r="TBM61" s="235" t="s">
        <v>2</v>
      </c>
      <c r="TBN61" s="235" t="s">
        <v>3</v>
      </c>
      <c r="TBO61" s="235" t="s">
        <v>618</v>
      </c>
      <c r="TBP61" s="235" t="s">
        <v>1410</v>
      </c>
      <c r="TBQ61" s="235" t="s">
        <v>1411</v>
      </c>
      <c r="TBR61" s="235" t="s">
        <v>388</v>
      </c>
      <c r="TBS61" s="237" t="s">
        <v>727</v>
      </c>
      <c r="TBT61" s="237" t="s">
        <v>221</v>
      </c>
      <c r="TBU61" s="235" t="s">
        <v>2</v>
      </c>
      <c r="TBV61" s="235" t="s">
        <v>3</v>
      </c>
      <c r="TBW61" s="235" t="s">
        <v>618</v>
      </c>
      <c r="TBX61" s="235" t="s">
        <v>1410</v>
      </c>
      <c r="TBY61" s="235" t="s">
        <v>1411</v>
      </c>
      <c r="TBZ61" s="235" t="s">
        <v>388</v>
      </c>
      <c r="TCA61" s="237" t="s">
        <v>727</v>
      </c>
      <c r="TCB61" s="237" t="s">
        <v>221</v>
      </c>
      <c r="TCC61" s="235" t="s">
        <v>2</v>
      </c>
      <c r="TCD61" s="235" t="s">
        <v>3</v>
      </c>
      <c r="TCE61" s="235" t="s">
        <v>618</v>
      </c>
      <c r="TCF61" s="235" t="s">
        <v>1410</v>
      </c>
      <c r="TCG61" s="235" t="s">
        <v>1411</v>
      </c>
      <c r="TCH61" s="235" t="s">
        <v>388</v>
      </c>
      <c r="TCI61" s="237" t="s">
        <v>727</v>
      </c>
      <c r="TCJ61" s="237" t="s">
        <v>221</v>
      </c>
      <c r="TCK61" s="235" t="s">
        <v>2</v>
      </c>
      <c r="TCL61" s="235" t="s">
        <v>3</v>
      </c>
      <c r="TCM61" s="235" t="s">
        <v>618</v>
      </c>
      <c r="TCN61" s="235" t="s">
        <v>1410</v>
      </c>
      <c r="TCO61" s="235" t="s">
        <v>1411</v>
      </c>
      <c r="TCP61" s="235" t="s">
        <v>388</v>
      </c>
      <c r="TCQ61" s="237" t="s">
        <v>727</v>
      </c>
      <c r="TCR61" s="237" t="s">
        <v>221</v>
      </c>
      <c r="TCS61" s="235" t="s">
        <v>2</v>
      </c>
      <c r="TCT61" s="235" t="s">
        <v>3</v>
      </c>
      <c r="TCU61" s="235" t="s">
        <v>618</v>
      </c>
      <c r="TCV61" s="235" t="s">
        <v>1410</v>
      </c>
      <c r="TCW61" s="235" t="s">
        <v>1411</v>
      </c>
      <c r="TCX61" s="235" t="s">
        <v>388</v>
      </c>
      <c r="TCY61" s="237" t="s">
        <v>727</v>
      </c>
      <c r="TCZ61" s="237" t="s">
        <v>221</v>
      </c>
      <c r="TDA61" s="235" t="s">
        <v>2</v>
      </c>
      <c r="TDB61" s="235" t="s">
        <v>3</v>
      </c>
      <c r="TDC61" s="235" t="s">
        <v>618</v>
      </c>
      <c r="TDD61" s="235" t="s">
        <v>1410</v>
      </c>
      <c r="TDE61" s="235" t="s">
        <v>1411</v>
      </c>
      <c r="TDF61" s="235" t="s">
        <v>388</v>
      </c>
      <c r="TDG61" s="237" t="s">
        <v>727</v>
      </c>
      <c r="TDH61" s="237" t="s">
        <v>221</v>
      </c>
      <c r="TDI61" s="235" t="s">
        <v>2</v>
      </c>
      <c r="TDJ61" s="235" t="s">
        <v>3</v>
      </c>
      <c r="TDK61" s="235" t="s">
        <v>618</v>
      </c>
      <c r="TDL61" s="235" t="s">
        <v>1410</v>
      </c>
      <c r="TDM61" s="235" t="s">
        <v>1411</v>
      </c>
      <c r="TDN61" s="235" t="s">
        <v>388</v>
      </c>
      <c r="TDO61" s="237" t="s">
        <v>727</v>
      </c>
      <c r="TDP61" s="237" t="s">
        <v>221</v>
      </c>
      <c r="TDQ61" s="235" t="s">
        <v>2</v>
      </c>
      <c r="TDR61" s="235" t="s">
        <v>3</v>
      </c>
      <c r="TDS61" s="235" t="s">
        <v>618</v>
      </c>
      <c r="TDT61" s="235" t="s">
        <v>1410</v>
      </c>
      <c r="TDU61" s="235" t="s">
        <v>1411</v>
      </c>
      <c r="TDV61" s="235" t="s">
        <v>388</v>
      </c>
      <c r="TDW61" s="237" t="s">
        <v>727</v>
      </c>
      <c r="TDX61" s="237" t="s">
        <v>221</v>
      </c>
      <c r="TDY61" s="235" t="s">
        <v>2</v>
      </c>
      <c r="TDZ61" s="235" t="s">
        <v>3</v>
      </c>
      <c r="TEA61" s="235" t="s">
        <v>618</v>
      </c>
      <c r="TEB61" s="235" t="s">
        <v>1410</v>
      </c>
      <c r="TEC61" s="235" t="s">
        <v>1411</v>
      </c>
      <c r="TED61" s="235" t="s">
        <v>388</v>
      </c>
      <c r="TEE61" s="237" t="s">
        <v>727</v>
      </c>
      <c r="TEF61" s="237" t="s">
        <v>221</v>
      </c>
      <c r="TEG61" s="235" t="s">
        <v>2</v>
      </c>
      <c r="TEH61" s="235" t="s">
        <v>3</v>
      </c>
      <c r="TEI61" s="235" t="s">
        <v>618</v>
      </c>
      <c r="TEJ61" s="235" t="s">
        <v>1410</v>
      </c>
      <c r="TEK61" s="235" t="s">
        <v>1411</v>
      </c>
      <c r="TEL61" s="235" t="s">
        <v>388</v>
      </c>
      <c r="TEM61" s="237" t="s">
        <v>727</v>
      </c>
      <c r="TEN61" s="237" t="s">
        <v>221</v>
      </c>
      <c r="TEO61" s="235" t="s">
        <v>2</v>
      </c>
      <c r="TEP61" s="235" t="s">
        <v>3</v>
      </c>
      <c r="TEQ61" s="235" t="s">
        <v>618</v>
      </c>
      <c r="TER61" s="235" t="s">
        <v>1410</v>
      </c>
      <c r="TES61" s="235" t="s">
        <v>1411</v>
      </c>
      <c r="TET61" s="235" t="s">
        <v>388</v>
      </c>
      <c r="TEU61" s="237" t="s">
        <v>727</v>
      </c>
      <c r="TEV61" s="237" t="s">
        <v>221</v>
      </c>
      <c r="TEW61" s="235" t="s">
        <v>2</v>
      </c>
      <c r="TEX61" s="235" t="s">
        <v>3</v>
      </c>
      <c r="TEY61" s="235" t="s">
        <v>618</v>
      </c>
      <c r="TEZ61" s="235" t="s">
        <v>1410</v>
      </c>
      <c r="TFA61" s="235" t="s">
        <v>1411</v>
      </c>
      <c r="TFB61" s="235" t="s">
        <v>388</v>
      </c>
      <c r="TFC61" s="237" t="s">
        <v>727</v>
      </c>
      <c r="TFD61" s="237" t="s">
        <v>221</v>
      </c>
      <c r="TFE61" s="235" t="s">
        <v>2</v>
      </c>
      <c r="TFF61" s="235" t="s">
        <v>3</v>
      </c>
      <c r="TFG61" s="235" t="s">
        <v>618</v>
      </c>
      <c r="TFH61" s="235" t="s">
        <v>1410</v>
      </c>
      <c r="TFI61" s="235" t="s">
        <v>1411</v>
      </c>
      <c r="TFJ61" s="235" t="s">
        <v>388</v>
      </c>
      <c r="TFK61" s="237" t="s">
        <v>727</v>
      </c>
      <c r="TFL61" s="237" t="s">
        <v>221</v>
      </c>
      <c r="TFM61" s="235" t="s">
        <v>2</v>
      </c>
      <c r="TFN61" s="235" t="s">
        <v>3</v>
      </c>
      <c r="TFO61" s="235" t="s">
        <v>618</v>
      </c>
      <c r="TFP61" s="235" t="s">
        <v>1410</v>
      </c>
      <c r="TFQ61" s="235" t="s">
        <v>1411</v>
      </c>
      <c r="TFR61" s="235" t="s">
        <v>388</v>
      </c>
      <c r="TFS61" s="237" t="s">
        <v>727</v>
      </c>
      <c r="TFT61" s="237" t="s">
        <v>221</v>
      </c>
      <c r="TFU61" s="235" t="s">
        <v>2</v>
      </c>
      <c r="TFV61" s="235" t="s">
        <v>3</v>
      </c>
      <c r="TFW61" s="235" t="s">
        <v>618</v>
      </c>
      <c r="TFX61" s="235" t="s">
        <v>1410</v>
      </c>
      <c r="TFY61" s="235" t="s">
        <v>1411</v>
      </c>
      <c r="TFZ61" s="235" t="s">
        <v>388</v>
      </c>
      <c r="TGA61" s="237" t="s">
        <v>727</v>
      </c>
      <c r="TGB61" s="237" t="s">
        <v>221</v>
      </c>
      <c r="TGC61" s="235" t="s">
        <v>2</v>
      </c>
      <c r="TGD61" s="235" t="s">
        <v>3</v>
      </c>
      <c r="TGE61" s="235" t="s">
        <v>618</v>
      </c>
      <c r="TGF61" s="235" t="s">
        <v>1410</v>
      </c>
      <c r="TGG61" s="235" t="s">
        <v>1411</v>
      </c>
      <c r="TGH61" s="235" t="s">
        <v>388</v>
      </c>
      <c r="TGI61" s="237" t="s">
        <v>727</v>
      </c>
      <c r="TGJ61" s="237" t="s">
        <v>221</v>
      </c>
      <c r="TGK61" s="235" t="s">
        <v>2</v>
      </c>
      <c r="TGL61" s="235" t="s">
        <v>3</v>
      </c>
      <c r="TGM61" s="235" t="s">
        <v>618</v>
      </c>
      <c r="TGN61" s="235" t="s">
        <v>1410</v>
      </c>
      <c r="TGO61" s="235" t="s">
        <v>1411</v>
      </c>
      <c r="TGP61" s="235" t="s">
        <v>388</v>
      </c>
      <c r="TGQ61" s="237" t="s">
        <v>727</v>
      </c>
      <c r="TGR61" s="237" t="s">
        <v>221</v>
      </c>
      <c r="TGS61" s="235" t="s">
        <v>2</v>
      </c>
      <c r="TGT61" s="235" t="s">
        <v>3</v>
      </c>
      <c r="TGU61" s="235" t="s">
        <v>618</v>
      </c>
      <c r="TGV61" s="235" t="s">
        <v>1410</v>
      </c>
      <c r="TGW61" s="235" t="s">
        <v>1411</v>
      </c>
      <c r="TGX61" s="235" t="s">
        <v>388</v>
      </c>
      <c r="TGY61" s="237" t="s">
        <v>727</v>
      </c>
      <c r="TGZ61" s="237" t="s">
        <v>221</v>
      </c>
      <c r="THA61" s="235" t="s">
        <v>2</v>
      </c>
      <c r="THB61" s="235" t="s">
        <v>3</v>
      </c>
      <c r="THC61" s="235" t="s">
        <v>618</v>
      </c>
      <c r="THD61" s="235" t="s">
        <v>1410</v>
      </c>
      <c r="THE61" s="235" t="s">
        <v>1411</v>
      </c>
      <c r="THF61" s="235" t="s">
        <v>388</v>
      </c>
      <c r="THG61" s="237" t="s">
        <v>727</v>
      </c>
      <c r="THH61" s="237" t="s">
        <v>221</v>
      </c>
      <c r="THI61" s="235" t="s">
        <v>2</v>
      </c>
      <c r="THJ61" s="235" t="s">
        <v>3</v>
      </c>
      <c r="THK61" s="235" t="s">
        <v>618</v>
      </c>
      <c r="THL61" s="235" t="s">
        <v>1410</v>
      </c>
      <c r="THM61" s="235" t="s">
        <v>1411</v>
      </c>
      <c r="THN61" s="235" t="s">
        <v>388</v>
      </c>
      <c r="THO61" s="237" t="s">
        <v>727</v>
      </c>
      <c r="THP61" s="237" t="s">
        <v>221</v>
      </c>
      <c r="THQ61" s="235" t="s">
        <v>2</v>
      </c>
      <c r="THR61" s="235" t="s">
        <v>3</v>
      </c>
      <c r="THS61" s="235" t="s">
        <v>618</v>
      </c>
      <c r="THT61" s="235" t="s">
        <v>1410</v>
      </c>
      <c r="THU61" s="235" t="s">
        <v>1411</v>
      </c>
      <c r="THV61" s="235" t="s">
        <v>388</v>
      </c>
      <c r="THW61" s="237" t="s">
        <v>727</v>
      </c>
      <c r="THX61" s="237" t="s">
        <v>221</v>
      </c>
      <c r="THY61" s="235" t="s">
        <v>2</v>
      </c>
      <c r="THZ61" s="235" t="s">
        <v>3</v>
      </c>
      <c r="TIA61" s="235" t="s">
        <v>618</v>
      </c>
      <c r="TIB61" s="235" t="s">
        <v>1410</v>
      </c>
      <c r="TIC61" s="235" t="s">
        <v>1411</v>
      </c>
      <c r="TID61" s="235" t="s">
        <v>388</v>
      </c>
      <c r="TIE61" s="237" t="s">
        <v>727</v>
      </c>
      <c r="TIF61" s="237" t="s">
        <v>221</v>
      </c>
      <c r="TIG61" s="235" t="s">
        <v>2</v>
      </c>
      <c r="TIH61" s="235" t="s">
        <v>3</v>
      </c>
      <c r="TII61" s="235" t="s">
        <v>618</v>
      </c>
      <c r="TIJ61" s="235" t="s">
        <v>1410</v>
      </c>
      <c r="TIK61" s="235" t="s">
        <v>1411</v>
      </c>
      <c r="TIL61" s="235" t="s">
        <v>388</v>
      </c>
      <c r="TIM61" s="237" t="s">
        <v>727</v>
      </c>
      <c r="TIN61" s="237" t="s">
        <v>221</v>
      </c>
      <c r="TIO61" s="235" t="s">
        <v>2</v>
      </c>
      <c r="TIP61" s="235" t="s">
        <v>3</v>
      </c>
      <c r="TIQ61" s="235" t="s">
        <v>618</v>
      </c>
      <c r="TIR61" s="235" t="s">
        <v>1410</v>
      </c>
      <c r="TIS61" s="235" t="s">
        <v>1411</v>
      </c>
      <c r="TIT61" s="235" t="s">
        <v>388</v>
      </c>
      <c r="TIU61" s="237" t="s">
        <v>727</v>
      </c>
      <c r="TIV61" s="237" t="s">
        <v>221</v>
      </c>
      <c r="TIW61" s="235" t="s">
        <v>2</v>
      </c>
      <c r="TIX61" s="235" t="s">
        <v>3</v>
      </c>
      <c r="TIY61" s="235" t="s">
        <v>618</v>
      </c>
      <c r="TIZ61" s="235" t="s">
        <v>1410</v>
      </c>
      <c r="TJA61" s="235" t="s">
        <v>1411</v>
      </c>
      <c r="TJB61" s="235" t="s">
        <v>388</v>
      </c>
      <c r="TJC61" s="237" t="s">
        <v>727</v>
      </c>
      <c r="TJD61" s="237" t="s">
        <v>221</v>
      </c>
      <c r="TJE61" s="235" t="s">
        <v>2</v>
      </c>
      <c r="TJF61" s="235" t="s">
        <v>3</v>
      </c>
      <c r="TJG61" s="235" t="s">
        <v>618</v>
      </c>
      <c r="TJH61" s="235" t="s">
        <v>1410</v>
      </c>
      <c r="TJI61" s="235" t="s">
        <v>1411</v>
      </c>
      <c r="TJJ61" s="235" t="s">
        <v>388</v>
      </c>
      <c r="TJK61" s="237" t="s">
        <v>727</v>
      </c>
      <c r="TJL61" s="237" t="s">
        <v>221</v>
      </c>
      <c r="TJM61" s="235" t="s">
        <v>2</v>
      </c>
      <c r="TJN61" s="235" t="s">
        <v>3</v>
      </c>
      <c r="TJO61" s="235" t="s">
        <v>618</v>
      </c>
      <c r="TJP61" s="235" t="s">
        <v>1410</v>
      </c>
      <c r="TJQ61" s="235" t="s">
        <v>1411</v>
      </c>
      <c r="TJR61" s="235" t="s">
        <v>388</v>
      </c>
      <c r="TJS61" s="237" t="s">
        <v>727</v>
      </c>
      <c r="TJT61" s="237" t="s">
        <v>221</v>
      </c>
      <c r="TJU61" s="235" t="s">
        <v>2</v>
      </c>
      <c r="TJV61" s="235" t="s">
        <v>3</v>
      </c>
      <c r="TJW61" s="235" t="s">
        <v>618</v>
      </c>
      <c r="TJX61" s="235" t="s">
        <v>1410</v>
      </c>
      <c r="TJY61" s="235" t="s">
        <v>1411</v>
      </c>
      <c r="TJZ61" s="235" t="s">
        <v>388</v>
      </c>
      <c r="TKA61" s="237" t="s">
        <v>727</v>
      </c>
      <c r="TKB61" s="237" t="s">
        <v>221</v>
      </c>
      <c r="TKC61" s="235" t="s">
        <v>2</v>
      </c>
      <c r="TKD61" s="235" t="s">
        <v>3</v>
      </c>
      <c r="TKE61" s="235" t="s">
        <v>618</v>
      </c>
      <c r="TKF61" s="235" t="s">
        <v>1410</v>
      </c>
      <c r="TKG61" s="235" t="s">
        <v>1411</v>
      </c>
      <c r="TKH61" s="235" t="s">
        <v>388</v>
      </c>
      <c r="TKI61" s="237" t="s">
        <v>727</v>
      </c>
      <c r="TKJ61" s="237" t="s">
        <v>221</v>
      </c>
      <c r="TKK61" s="235" t="s">
        <v>2</v>
      </c>
      <c r="TKL61" s="235" t="s">
        <v>3</v>
      </c>
      <c r="TKM61" s="235" t="s">
        <v>618</v>
      </c>
      <c r="TKN61" s="235" t="s">
        <v>1410</v>
      </c>
      <c r="TKO61" s="235" t="s">
        <v>1411</v>
      </c>
      <c r="TKP61" s="235" t="s">
        <v>388</v>
      </c>
      <c r="TKQ61" s="237" t="s">
        <v>727</v>
      </c>
      <c r="TKR61" s="237" t="s">
        <v>221</v>
      </c>
      <c r="TKS61" s="235" t="s">
        <v>2</v>
      </c>
      <c r="TKT61" s="235" t="s">
        <v>3</v>
      </c>
      <c r="TKU61" s="235" t="s">
        <v>618</v>
      </c>
      <c r="TKV61" s="235" t="s">
        <v>1410</v>
      </c>
      <c r="TKW61" s="235" t="s">
        <v>1411</v>
      </c>
      <c r="TKX61" s="235" t="s">
        <v>388</v>
      </c>
      <c r="TKY61" s="237" t="s">
        <v>727</v>
      </c>
      <c r="TKZ61" s="237" t="s">
        <v>221</v>
      </c>
      <c r="TLA61" s="235" t="s">
        <v>2</v>
      </c>
      <c r="TLB61" s="235" t="s">
        <v>3</v>
      </c>
      <c r="TLC61" s="235" t="s">
        <v>618</v>
      </c>
      <c r="TLD61" s="235" t="s">
        <v>1410</v>
      </c>
      <c r="TLE61" s="235" t="s">
        <v>1411</v>
      </c>
      <c r="TLF61" s="235" t="s">
        <v>388</v>
      </c>
      <c r="TLG61" s="237" t="s">
        <v>727</v>
      </c>
      <c r="TLH61" s="237" t="s">
        <v>221</v>
      </c>
      <c r="TLI61" s="235" t="s">
        <v>2</v>
      </c>
      <c r="TLJ61" s="235" t="s">
        <v>3</v>
      </c>
      <c r="TLK61" s="235" t="s">
        <v>618</v>
      </c>
      <c r="TLL61" s="235" t="s">
        <v>1410</v>
      </c>
      <c r="TLM61" s="235" t="s">
        <v>1411</v>
      </c>
      <c r="TLN61" s="235" t="s">
        <v>388</v>
      </c>
      <c r="TLO61" s="237" t="s">
        <v>727</v>
      </c>
      <c r="TLP61" s="237" t="s">
        <v>221</v>
      </c>
      <c r="TLQ61" s="235" t="s">
        <v>2</v>
      </c>
      <c r="TLR61" s="235" t="s">
        <v>3</v>
      </c>
      <c r="TLS61" s="235" t="s">
        <v>618</v>
      </c>
      <c r="TLT61" s="235" t="s">
        <v>1410</v>
      </c>
      <c r="TLU61" s="235" t="s">
        <v>1411</v>
      </c>
      <c r="TLV61" s="235" t="s">
        <v>388</v>
      </c>
      <c r="TLW61" s="237" t="s">
        <v>727</v>
      </c>
      <c r="TLX61" s="237" t="s">
        <v>221</v>
      </c>
      <c r="TLY61" s="235" t="s">
        <v>2</v>
      </c>
      <c r="TLZ61" s="235" t="s">
        <v>3</v>
      </c>
      <c r="TMA61" s="235" t="s">
        <v>618</v>
      </c>
      <c r="TMB61" s="235" t="s">
        <v>1410</v>
      </c>
      <c r="TMC61" s="235" t="s">
        <v>1411</v>
      </c>
      <c r="TMD61" s="235" t="s">
        <v>388</v>
      </c>
      <c r="TME61" s="237" t="s">
        <v>727</v>
      </c>
      <c r="TMF61" s="237" t="s">
        <v>221</v>
      </c>
      <c r="TMG61" s="235" t="s">
        <v>2</v>
      </c>
      <c r="TMH61" s="235" t="s">
        <v>3</v>
      </c>
      <c r="TMI61" s="235" t="s">
        <v>618</v>
      </c>
      <c r="TMJ61" s="235" t="s">
        <v>1410</v>
      </c>
      <c r="TMK61" s="235" t="s">
        <v>1411</v>
      </c>
      <c r="TML61" s="235" t="s">
        <v>388</v>
      </c>
      <c r="TMM61" s="237" t="s">
        <v>727</v>
      </c>
      <c r="TMN61" s="237" t="s">
        <v>221</v>
      </c>
      <c r="TMO61" s="235" t="s">
        <v>2</v>
      </c>
      <c r="TMP61" s="235" t="s">
        <v>3</v>
      </c>
      <c r="TMQ61" s="235" t="s">
        <v>618</v>
      </c>
      <c r="TMR61" s="235" t="s">
        <v>1410</v>
      </c>
      <c r="TMS61" s="235" t="s">
        <v>1411</v>
      </c>
      <c r="TMT61" s="235" t="s">
        <v>388</v>
      </c>
      <c r="TMU61" s="237" t="s">
        <v>727</v>
      </c>
      <c r="TMV61" s="237" t="s">
        <v>221</v>
      </c>
      <c r="TMW61" s="235" t="s">
        <v>2</v>
      </c>
      <c r="TMX61" s="235" t="s">
        <v>3</v>
      </c>
      <c r="TMY61" s="235" t="s">
        <v>618</v>
      </c>
      <c r="TMZ61" s="235" t="s">
        <v>1410</v>
      </c>
      <c r="TNA61" s="235" t="s">
        <v>1411</v>
      </c>
      <c r="TNB61" s="235" t="s">
        <v>388</v>
      </c>
      <c r="TNC61" s="237" t="s">
        <v>727</v>
      </c>
      <c r="TND61" s="237" t="s">
        <v>221</v>
      </c>
      <c r="TNE61" s="235" t="s">
        <v>2</v>
      </c>
      <c r="TNF61" s="235" t="s">
        <v>3</v>
      </c>
      <c r="TNG61" s="235" t="s">
        <v>618</v>
      </c>
      <c r="TNH61" s="235" t="s">
        <v>1410</v>
      </c>
      <c r="TNI61" s="235" t="s">
        <v>1411</v>
      </c>
      <c r="TNJ61" s="235" t="s">
        <v>388</v>
      </c>
      <c r="TNK61" s="237" t="s">
        <v>727</v>
      </c>
      <c r="TNL61" s="237" t="s">
        <v>221</v>
      </c>
      <c r="TNM61" s="235" t="s">
        <v>2</v>
      </c>
      <c r="TNN61" s="235" t="s">
        <v>3</v>
      </c>
      <c r="TNO61" s="235" t="s">
        <v>618</v>
      </c>
      <c r="TNP61" s="235" t="s">
        <v>1410</v>
      </c>
      <c r="TNQ61" s="235" t="s">
        <v>1411</v>
      </c>
      <c r="TNR61" s="235" t="s">
        <v>388</v>
      </c>
      <c r="TNS61" s="237" t="s">
        <v>727</v>
      </c>
      <c r="TNT61" s="237" t="s">
        <v>221</v>
      </c>
      <c r="TNU61" s="235" t="s">
        <v>2</v>
      </c>
      <c r="TNV61" s="235" t="s">
        <v>3</v>
      </c>
      <c r="TNW61" s="235" t="s">
        <v>618</v>
      </c>
      <c r="TNX61" s="235" t="s">
        <v>1410</v>
      </c>
      <c r="TNY61" s="235" t="s">
        <v>1411</v>
      </c>
      <c r="TNZ61" s="235" t="s">
        <v>388</v>
      </c>
      <c r="TOA61" s="237" t="s">
        <v>727</v>
      </c>
      <c r="TOB61" s="237" t="s">
        <v>221</v>
      </c>
      <c r="TOC61" s="235" t="s">
        <v>2</v>
      </c>
      <c r="TOD61" s="235" t="s">
        <v>3</v>
      </c>
      <c r="TOE61" s="235" t="s">
        <v>618</v>
      </c>
      <c r="TOF61" s="235" t="s">
        <v>1410</v>
      </c>
      <c r="TOG61" s="235" t="s">
        <v>1411</v>
      </c>
      <c r="TOH61" s="235" t="s">
        <v>388</v>
      </c>
      <c r="TOI61" s="237" t="s">
        <v>727</v>
      </c>
      <c r="TOJ61" s="237" t="s">
        <v>221</v>
      </c>
      <c r="TOK61" s="235" t="s">
        <v>2</v>
      </c>
      <c r="TOL61" s="235" t="s">
        <v>3</v>
      </c>
      <c r="TOM61" s="235" t="s">
        <v>618</v>
      </c>
      <c r="TON61" s="235" t="s">
        <v>1410</v>
      </c>
      <c r="TOO61" s="235" t="s">
        <v>1411</v>
      </c>
      <c r="TOP61" s="235" t="s">
        <v>388</v>
      </c>
      <c r="TOQ61" s="237" t="s">
        <v>727</v>
      </c>
      <c r="TOR61" s="237" t="s">
        <v>221</v>
      </c>
      <c r="TOS61" s="235" t="s">
        <v>2</v>
      </c>
      <c r="TOT61" s="235" t="s">
        <v>3</v>
      </c>
      <c r="TOU61" s="235" t="s">
        <v>618</v>
      </c>
      <c r="TOV61" s="235" t="s">
        <v>1410</v>
      </c>
      <c r="TOW61" s="235" t="s">
        <v>1411</v>
      </c>
      <c r="TOX61" s="235" t="s">
        <v>388</v>
      </c>
      <c r="TOY61" s="237" t="s">
        <v>727</v>
      </c>
      <c r="TOZ61" s="237" t="s">
        <v>221</v>
      </c>
      <c r="TPA61" s="235" t="s">
        <v>2</v>
      </c>
      <c r="TPB61" s="235" t="s">
        <v>3</v>
      </c>
      <c r="TPC61" s="235" t="s">
        <v>618</v>
      </c>
      <c r="TPD61" s="235" t="s">
        <v>1410</v>
      </c>
      <c r="TPE61" s="235" t="s">
        <v>1411</v>
      </c>
      <c r="TPF61" s="235" t="s">
        <v>388</v>
      </c>
      <c r="TPG61" s="237" t="s">
        <v>727</v>
      </c>
      <c r="TPH61" s="237" t="s">
        <v>221</v>
      </c>
      <c r="TPI61" s="235" t="s">
        <v>2</v>
      </c>
      <c r="TPJ61" s="235" t="s">
        <v>3</v>
      </c>
      <c r="TPK61" s="235" t="s">
        <v>618</v>
      </c>
      <c r="TPL61" s="235" t="s">
        <v>1410</v>
      </c>
      <c r="TPM61" s="235" t="s">
        <v>1411</v>
      </c>
      <c r="TPN61" s="235" t="s">
        <v>388</v>
      </c>
      <c r="TPO61" s="237" t="s">
        <v>727</v>
      </c>
      <c r="TPP61" s="237" t="s">
        <v>221</v>
      </c>
      <c r="TPQ61" s="235" t="s">
        <v>2</v>
      </c>
      <c r="TPR61" s="235" t="s">
        <v>3</v>
      </c>
      <c r="TPS61" s="235" t="s">
        <v>618</v>
      </c>
      <c r="TPT61" s="235" t="s">
        <v>1410</v>
      </c>
      <c r="TPU61" s="235" t="s">
        <v>1411</v>
      </c>
      <c r="TPV61" s="235" t="s">
        <v>388</v>
      </c>
      <c r="TPW61" s="237" t="s">
        <v>727</v>
      </c>
      <c r="TPX61" s="237" t="s">
        <v>221</v>
      </c>
      <c r="TPY61" s="235" t="s">
        <v>2</v>
      </c>
      <c r="TPZ61" s="235" t="s">
        <v>3</v>
      </c>
      <c r="TQA61" s="235" t="s">
        <v>618</v>
      </c>
      <c r="TQB61" s="235" t="s">
        <v>1410</v>
      </c>
      <c r="TQC61" s="235" t="s">
        <v>1411</v>
      </c>
      <c r="TQD61" s="235" t="s">
        <v>388</v>
      </c>
      <c r="TQE61" s="237" t="s">
        <v>727</v>
      </c>
      <c r="TQF61" s="237" t="s">
        <v>221</v>
      </c>
      <c r="TQG61" s="235" t="s">
        <v>2</v>
      </c>
      <c r="TQH61" s="235" t="s">
        <v>3</v>
      </c>
      <c r="TQI61" s="235" t="s">
        <v>618</v>
      </c>
      <c r="TQJ61" s="235" t="s">
        <v>1410</v>
      </c>
      <c r="TQK61" s="235" t="s">
        <v>1411</v>
      </c>
      <c r="TQL61" s="235" t="s">
        <v>388</v>
      </c>
      <c r="TQM61" s="237" t="s">
        <v>727</v>
      </c>
      <c r="TQN61" s="237" t="s">
        <v>221</v>
      </c>
      <c r="TQO61" s="235" t="s">
        <v>2</v>
      </c>
      <c r="TQP61" s="235" t="s">
        <v>3</v>
      </c>
      <c r="TQQ61" s="235" t="s">
        <v>618</v>
      </c>
      <c r="TQR61" s="235" t="s">
        <v>1410</v>
      </c>
      <c r="TQS61" s="235" t="s">
        <v>1411</v>
      </c>
      <c r="TQT61" s="235" t="s">
        <v>388</v>
      </c>
      <c r="TQU61" s="237" t="s">
        <v>727</v>
      </c>
      <c r="TQV61" s="237" t="s">
        <v>221</v>
      </c>
      <c r="TQW61" s="235" t="s">
        <v>2</v>
      </c>
      <c r="TQX61" s="235" t="s">
        <v>3</v>
      </c>
      <c r="TQY61" s="235" t="s">
        <v>618</v>
      </c>
      <c r="TQZ61" s="235" t="s">
        <v>1410</v>
      </c>
      <c r="TRA61" s="235" t="s">
        <v>1411</v>
      </c>
      <c r="TRB61" s="235" t="s">
        <v>388</v>
      </c>
      <c r="TRC61" s="237" t="s">
        <v>727</v>
      </c>
      <c r="TRD61" s="237" t="s">
        <v>221</v>
      </c>
      <c r="TRE61" s="235" t="s">
        <v>2</v>
      </c>
      <c r="TRF61" s="235" t="s">
        <v>3</v>
      </c>
      <c r="TRG61" s="235" t="s">
        <v>618</v>
      </c>
      <c r="TRH61" s="235" t="s">
        <v>1410</v>
      </c>
      <c r="TRI61" s="235" t="s">
        <v>1411</v>
      </c>
      <c r="TRJ61" s="235" t="s">
        <v>388</v>
      </c>
      <c r="TRK61" s="237" t="s">
        <v>727</v>
      </c>
      <c r="TRL61" s="237" t="s">
        <v>221</v>
      </c>
      <c r="TRM61" s="235" t="s">
        <v>2</v>
      </c>
      <c r="TRN61" s="235" t="s">
        <v>3</v>
      </c>
      <c r="TRO61" s="235" t="s">
        <v>618</v>
      </c>
      <c r="TRP61" s="235" t="s">
        <v>1410</v>
      </c>
      <c r="TRQ61" s="235" t="s">
        <v>1411</v>
      </c>
      <c r="TRR61" s="235" t="s">
        <v>388</v>
      </c>
      <c r="TRS61" s="237" t="s">
        <v>727</v>
      </c>
      <c r="TRT61" s="237" t="s">
        <v>221</v>
      </c>
      <c r="TRU61" s="235" t="s">
        <v>2</v>
      </c>
      <c r="TRV61" s="235" t="s">
        <v>3</v>
      </c>
      <c r="TRW61" s="235" t="s">
        <v>618</v>
      </c>
      <c r="TRX61" s="235" t="s">
        <v>1410</v>
      </c>
      <c r="TRY61" s="235" t="s">
        <v>1411</v>
      </c>
      <c r="TRZ61" s="235" t="s">
        <v>388</v>
      </c>
      <c r="TSA61" s="237" t="s">
        <v>727</v>
      </c>
      <c r="TSB61" s="237" t="s">
        <v>221</v>
      </c>
      <c r="TSC61" s="235" t="s">
        <v>2</v>
      </c>
      <c r="TSD61" s="235" t="s">
        <v>3</v>
      </c>
      <c r="TSE61" s="235" t="s">
        <v>618</v>
      </c>
      <c r="TSF61" s="235" t="s">
        <v>1410</v>
      </c>
      <c r="TSG61" s="235" t="s">
        <v>1411</v>
      </c>
      <c r="TSH61" s="235" t="s">
        <v>388</v>
      </c>
      <c r="TSI61" s="237" t="s">
        <v>727</v>
      </c>
      <c r="TSJ61" s="237" t="s">
        <v>221</v>
      </c>
      <c r="TSK61" s="235" t="s">
        <v>2</v>
      </c>
      <c r="TSL61" s="235" t="s">
        <v>3</v>
      </c>
      <c r="TSM61" s="235" t="s">
        <v>618</v>
      </c>
      <c r="TSN61" s="235" t="s">
        <v>1410</v>
      </c>
      <c r="TSO61" s="235" t="s">
        <v>1411</v>
      </c>
      <c r="TSP61" s="235" t="s">
        <v>388</v>
      </c>
      <c r="TSQ61" s="237" t="s">
        <v>727</v>
      </c>
      <c r="TSR61" s="237" t="s">
        <v>221</v>
      </c>
      <c r="TSS61" s="235" t="s">
        <v>2</v>
      </c>
      <c r="TST61" s="235" t="s">
        <v>3</v>
      </c>
      <c r="TSU61" s="235" t="s">
        <v>618</v>
      </c>
      <c r="TSV61" s="235" t="s">
        <v>1410</v>
      </c>
      <c r="TSW61" s="235" t="s">
        <v>1411</v>
      </c>
      <c r="TSX61" s="235" t="s">
        <v>388</v>
      </c>
      <c r="TSY61" s="237" t="s">
        <v>727</v>
      </c>
      <c r="TSZ61" s="237" t="s">
        <v>221</v>
      </c>
      <c r="TTA61" s="235" t="s">
        <v>2</v>
      </c>
      <c r="TTB61" s="235" t="s">
        <v>3</v>
      </c>
      <c r="TTC61" s="235" t="s">
        <v>618</v>
      </c>
      <c r="TTD61" s="235" t="s">
        <v>1410</v>
      </c>
      <c r="TTE61" s="235" t="s">
        <v>1411</v>
      </c>
      <c r="TTF61" s="235" t="s">
        <v>388</v>
      </c>
      <c r="TTG61" s="237" t="s">
        <v>727</v>
      </c>
      <c r="TTH61" s="237" t="s">
        <v>221</v>
      </c>
      <c r="TTI61" s="235" t="s">
        <v>2</v>
      </c>
      <c r="TTJ61" s="235" t="s">
        <v>3</v>
      </c>
      <c r="TTK61" s="235" t="s">
        <v>618</v>
      </c>
      <c r="TTL61" s="235" t="s">
        <v>1410</v>
      </c>
      <c r="TTM61" s="235" t="s">
        <v>1411</v>
      </c>
      <c r="TTN61" s="235" t="s">
        <v>388</v>
      </c>
      <c r="TTO61" s="237" t="s">
        <v>727</v>
      </c>
      <c r="TTP61" s="237" t="s">
        <v>221</v>
      </c>
      <c r="TTQ61" s="235" t="s">
        <v>2</v>
      </c>
      <c r="TTR61" s="235" t="s">
        <v>3</v>
      </c>
      <c r="TTS61" s="235" t="s">
        <v>618</v>
      </c>
      <c r="TTT61" s="235" t="s">
        <v>1410</v>
      </c>
      <c r="TTU61" s="235" t="s">
        <v>1411</v>
      </c>
      <c r="TTV61" s="235" t="s">
        <v>388</v>
      </c>
      <c r="TTW61" s="237" t="s">
        <v>727</v>
      </c>
      <c r="TTX61" s="237" t="s">
        <v>221</v>
      </c>
      <c r="TTY61" s="235" t="s">
        <v>2</v>
      </c>
      <c r="TTZ61" s="235" t="s">
        <v>3</v>
      </c>
      <c r="TUA61" s="235" t="s">
        <v>618</v>
      </c>
      <c r="TUB61" s="235" t="s">
        <v>1410</v>
      </c>
      <c r="TUC61" s="235" t="s">
        <v>1411</v>
      </c>
      <c r="TUD61" s="235" t="s">
        <v>388</v>
      </c>
      <c r="TUE61" s="237" t="s">
        <v>727</v>
      </c>
      <c r="TUF61" s="237" t="s">
        <v>221</v>
      </c>
      <c r="TUG61" s="235" t="s">
        <v>2</v>
      </c>
      <c r="TUH61" s="235" t="s">
        <v>3</v>
      </c>
      <c r="TUI61" s="235" t="s">
        <v>618</v>
      </c>
      <c r="TUJ61" s="235" t="s">
        <v>1410</v>
      </c>
      <c r="TUK61" s="235" t="s">
        <v>1411</v>
      </c>
      <c r="TUL61" s="235" t="s">
        <v>388</v>
      </c>
      <c r="TUM61" s="237" t="s">
        <v>727</v>
      </c>
      <c r="TUN61" s="237" t="s">
        <v>221</v>
      </c>
      <c r="TUO61" s="235" t="s">
        <v>2</v>
      </c>
      <c r="TUP61" s="235" t="s">
        <v>3</v>
      </c>
      <c r="TUQ61" s="235" t="s">
        <v>618</v>
      </c>
      <c r="TUR61" s="235" t="s">
        <v>1410</v>
      </c>
      <c r="TUS61" s="235" t="s">
        <v>1411</v>
      </c>
      <c r="TUT61" s="235" t="s">
        <v>388</v>
      </c>
      <c r="TUU61" s="237" t="s">
        <v>727</v>
      </c>
      <c r="TUV61" s="237" t="s">
        <v>221</v>
      </c>
      <c r="TUW61" s="235" t="s">
        <v>2</v>
      </c>
      <c r="TUX61" s="235" t="s">
        <v>3</v>
      </c>
      <c r="TUY61" s="235" t="s">
        <v>618</v>
      </c>
      <c r="TUZ61" s="235" t="s">
        <v>1410</v>
      </c>
      <c r="TVA61" s="235" t="s">
        <v>1411</v>
      </c>
      <c r="TVB61" s="235" t="s">
        <v>388</v>
      </c>
      <c r="TVC61" s="237" t="s">
        <v>727</v>
      </c>
      <c r="TVD61" s="237" t="s">
        <v>221</v>
      </c>
      <c r="TVE61" s="235" t="s">
        <v>2</v>
      </c>
      <c r="TVF61" s="235" t="s">
        <v>3</v>
      </c>
      <c r="TVG61" s="235" t="s">
        <v>618</v>
      </c>
      <c r="TVH61" s="235" t="s">
        <v>1410</v>
      </c>
      <c r="TVI61" s="235" t="s">
        <v>1411</v>
      </c>
      <c r="TVJ61" s="235" t="s">
        <v>388</v>
      </c>
      <c r="TVK61" s="237" t="s">
        <v>727</v>
      </c>
      <c r="TVL61" s="237" t="s">
        <v>221</v>
      </c>
      <c r="TVM61" s="235" t="s">
        <v>2</v>
      </c>
      <c r="TVN61" s="235" t="s">
        <v>3</v>
      </c>
      <c r="TVO61" s="235" t="s">
        <v>618</v>
      </c>
      <c r="TVP61" s="235" t="s">
        <v>1410</v>
      </c>
      <c r="TVQ61" s="235" t="s">
        <v>1411</v>
      </c>
      <c r="TVR61" s="235" t="s">
        <v>388</v>
      </c>
      <c r="TVS61" s="237" t="s">
        <v>727</v>
      </c>
      <c r="TVT61" s="237" t="s">
        <v>221</v>
      </c>
      <c r="TVU61" s="235" t="s">
        <v>2</v>
      </c>
      <c r="TVV61" s="235" t="s">
        <v>3</v>
      </c>
      <c r="TVW61" s="235" t="s">
        <v>618</v>
      </c>
      <c r="TVX61" s="235" t="s">
        <v>1410</v>
      </c>
      <c r="TVY61" s="235" t="s">
        <v>1411</v>
      </c>
      <c r="TVZ61" s="235" t="s">
        <v>388</v>
      </c>
      <c r="TWA61" s="237" t="s">
        <v>727</v>
      </c>
      <c r="TWB61" s="237" t="s">
        <v>221</v>
      </c>
      <c r="TWC61" s="235" t="s">
        <v>2</v>
      </c>
      <c r="TWD61" s="235" t="s">
        <v>3</v>
      </c>
      <c r="TWE61" s="235" t="s">
        <v>618</v>
      </c>
      <c r="TWF61" s="235" t="s">
        <v>1410</v>
      </c>
      <c r="TWG61" s="235" t="s">
        <v>1411</v>
      </c>
      <c r="TWH61" s="235" t="s">
        <v>388</v>
      </c>
      <c r="TWI61" s="237" t="s">
        <v>727</v>
      </c>
      <c r="TWJ61" s="237" t="s">
        <v>221</v>
      </c>
      <c r="TWK61" s="235" t="s">
        <v>2</v>
      </c>
      <c r="TWL61" s="235" t="s">
        <v>3</v>
      </c>
      <c r="TWM61" s="235" t="s">
        <v>618</v>
      </c>
      <c r="TWN61" s="235" t="s">
        <v>1410</v>
      </c>
      <c r="TWO61" s="235" t="s">
        <v>1411</v>
      </c>
      <c r="TWP61" s="235" t="s">
        <v>388</v>
      </c>
      <c r="TWQ61" s="237" t="s">
        <v>727</v>
      </c>
      <c r="TWR61" s="237" t="s">
        <v>221</v>
      </c>
      <c r="TWS61" s="235" t="s">
        <v>2</v>
      </c>
      <c r="TWT61" s="235" t="s">
        <v>3</v>
      </c>
      <c r="TWU61" s="235" t="s">
        <v>618</v>
      </c>
      <c r="TWV61" s="235" t="s">
        <v>1410</v>
      </c>
      <c r="TWW61" s="235" t="s">
        <v>1411</v>
      </c>
      <c r="TWX61" s="235" t="s">
        <v>388</v>
      </c>
      <c r="TWY61" s="237" t="s">
        <v>727</v>
      </c>
      <c r="TWZ61" s="237" t="s">
        <v>221</v>
      </c>
      <c r="TXA61" s="235" t="s">
        <v>2</v>
      </c>
      <c r="TXB61" s="235" t="s">
        <v>3</v>
      </c>
      <c r="TXC61" s="235" t="s">
        <v>618</v>
      </c>
      <c r="TXD61" s="235" t="s">
        <v>1410</v>
      </c>
      <c r="TXE61" s="235" t="s">
        <v>1411</v>
      </c>
      <c r="TXF61" s="235" t="s">
        <v>388</v>
      </c>
      <c r="TXG61" s="237" t="s">
        <v>727</v>
      </c>
      <c r="TXH61" s="237" t="s">
        <v>221</v>
      </c>
      <c r="TXI61" s="235" t="s">
        <v>2</v>
      </c>
      <c r="TXJ61" s="235" t="s">
        <v>3</v>
      </c>
      <c r="TXK61" s="235" t="s">
        <v>618</v>
      </c>
      <c r="TXL61" s="235" t="s">
        <v>1410</v>
      </c>
      <c r="TXM61" s="235" t="s">
        <v>1411</v>
      </c>
      <c r="TXN61" s="235" t="s">
        <v>388</v>
      </c>
      <c r="TXO61" s="237" t="s">
        <v>727</v>
      </c>
      <c r="TXP61" s="237" t="s">
        <v>221</v>
      </c>
      <c r="TXQ61" s="235" t="s">
        <v>2</v>
      </c>
      <c r="TXR61" s="235" t="s">
        <v>3</v>
      </c>
      <c r="TXS61" s="235" t="s">
        <v>618</v>
      </c>
      <c r="TXT61" s="235" t="s">
        <v>1410</v>
      </c>
      <c r="TXU61" s="235" t="s">
        <v>1411</v>
      </c>
      <c r="TXV61" s="235" t="s">
        <v>388</v>
      </c>
      <c r="TXW61" s="237" t="s">
        <v>727</v>
      </c>
      <c r="TXX61" s="237" t="s">
        <v>221</v>
      </c>
      <c r="TXY61" s="235" t="s">
        <v>2</v>
      </c>
      <c r="TXZ61" s="235" t="s">
        <v>3</v>
      </c>
      <c r="TYA61" s="235" t="s">
        <v>618</v>
      </c>
      <c r="TYB61" s="235" t="s">
        <v>1410</v>
      </c>
      <c r="TYC61" s="235" t="s">
        <v>1411</v>
      </c>
      <c r="TYD61" s="235" t="s">
        <v>388</v>
      </c>
      <c r="TYE61" s="237" t="s">
        <v>727</v>
      </c>
      <c r="TYF61" s="237" t="s">
        <v>221</v>
      </c>
      <c r="TYG61" s="235" t="s">
        <v>2</v>
      </c>
      <c r="TYH61" s="235" t="s">
        <v>3</v>
      </c>
      <c r="TYI61" s="235" t="s">
        <v>618</v>
      </c>
      <c r="TYJ61" s="235" t="s">
        <v>1410</v>
      </c>
      <c r="TYK61" s="235" t="s">
        <v>1411</v>
      </c>
      <c r="TYL61" s="235" t="s">
        <v>388</v>
      </c>
      <c r="TYM61" s="237" t="s">
        <v>727</v>
      </c>
      <c r="TYN61" s="237" t="s">
        <v>221</v>
      </c>
      <c r="TYO61" s="235" t="s">
        <v>2</v>
      </c>
      <c r="TYP61" s="235" t="s">
        <v>3</v>
      </c>
      <c r="TYQ61" s="235" t="s">
        <v>618</v>
      </c>
      <c r="TYR61" s="235" t="s">
        <v>1410</v>
      </c>
      <c r="TYS61" s="235" t="s">
        <v>1411</v>
      </c>
      <c r="TYT61" s="235" t="s">
        <v>388</v>
      </c>
      <c r="TYU61" s="237" t="s">
        <v>727</v>
      </c>
      <c r="TYV61" s="237" t="s">
        <v>221</v>
      </c>
      <c r="TYW61" s="235" t="s">
        <v>2</v>
      </c>
      <c r="TYX61" s="235" t="s">
        <v>3</v>
      </c>
      <c r="TYY61" s="235" t="s">
        <v>618</v>
      </c>
      <c r="TYZ61" s="235" t="s">
        <v>1410</v>
      </c>
      <c r="TZA61" s="235" t="s">
        <v>1411</v>
      </c>
      <c r="TZB61" s="235" t="s">
        <v>388</v>
      </c>
      <c r="TZC61" s="237" t="s">
        <v>727</v>
      </c>
      <c r="TZD61" s="237" t="s">
        <v>221</v>
      </c>
      <c r="TZE61" s="235" t="s">
        <v>2</v>
      </c>
      <c r="TZF61" s="235" t="s">
        <v>3</v>
      </c>
      <c r="TZG61" s="235" t="s">
        <v>618</v>
      </c>
      <c r="TZH61" s="235" t="s">
        <v>1410</v>
      </c>
      <c r="TZI61" s="235" t="s">
        <v>1411</v>
      </c>
      <c r="TZJ61" s="235" t="s">
        <v>388</v>
      </c>
      <c r="TZK61" s="237" t="s">
        <v>727</v>
      </c>
      <c r="TZL61" s="237" t="s">
        <v>221</v>
      </c>
      <c r="TZM61" s="235" t="s">
        <v>2</v>
      </c>
      <c r="TZN61" s="235" t="s">
        <v>3</v>
      </c>
      <c r="TZO61" s="235" t="s">
        <v>618</v>
      </c>
      <c r="TZP61" s="235" t="s">
        <v>1410</v>
      </c>
      <c r="TZQ61" s="235" t="s">
        <v>1411</v>
      </c>
      <c r="TZR61" s="235" t="s">
        <v>388</v>
      </c>
      <c r="TZS61" s="237" t="s">
        <v>727</v>
      </c>
      <c r="TZT61" s="237" t="s">
        <v>221</v>
      </c>
      <c r="TZU61" s="235" t="s">
        <v>2</v>
      </c>
      <c r="TZV61" s="235" t="s">
        <v>3</v>
      </c>
      <c r="TZW61" s="235" t="s">
        <v>618</v>
      </c>
      <c r="TZX61" s="235" t="s">
        <v>1410</v>
      </c>
      <c r="TZY61" s="235" t="s">
        <v>1411</v>
      </c>
      <c r="TZZ61" s="235" t="s">
        <v>388</v>
      </c>
      <c r="UAA61" s="237" t="s">
        <v>727</v>
      </c>
      <c r="UAB61" s="237" t="s">
        <v>221</v>
      </c>
      <c r="UAC61" s="235" t="s">
        <v>2</v>
      </c>
      <c r="UAD61" s="235" t="s">
        <v>3</v>
      </c>
      <c r="UAE61" s="235" t="s">
        <v>618</v>
      </c>
      <c r="UAF61" s="235" t="s">
        <v>1410</v>
      </c>
      <c r="UAG61" s="235" t="s">
        <v>1411</v>
      </c>
      <c r="UAH61" s="235" t="s">
        <v>388</v>
      </c>
      <c r="UAI61" s="237" t="s">
        <v>727</v>
      </c>
      <c r="UAJ61" s="237" t="s">
        <v>221</v>
      </c>
      <c r="UAK61" s="235" t="s">
        <v>2</v>
      </c>
      <c r="UAL61" s="235" t="s">
        <v>3</v>
      </c>
      <c r="UAM61" s="235" t="s">
        <v>618</v>
      </c>
      <c r="UAN61" s="235" t="s">
        <v>1410</v>
      </c>
      <c r="UAO61" s="235" t="s">
        <v>1411</v>
      </c>
      <c r="UAP61" s="235" t="s">
        <v>388</v>
      </c>
      <c r="UAQ61" s="237" t="s">
        <v>727</v>
      </c>
      <c r="UAR61" s="237" t="s">
        <v>221</v>
      </c>
      <c r="UAS61" s="235" t="s">
        <v>2</v>
      </c>
      <c r="UAT61" s="235" t="s">
        <v>3</v>
      </c>
      <c r="UAU61" s="235" t="s">
        <v>618</v>
      </c>
      <c r="UAV61" s="235" t="s">
        <v>1410</v>
      </c>
      <c r="UAW61" s="235" t="s">
        <v>1411</v>
      </c>
      <c r="UAX61" s="235" t="s">
        <v>388</v>
      </c>
      <c r="UAY61" s="237" t="s">
        <v>727</v>
      </c>
      <c r="UAZ61" s="237" t="s">
        <v>221</v>
      </c>
      <c r="UBA61" s="235" t="s">
        <v>2</v>
      </c>
      <c r="UBB61" s="235" t="s">
        <v>3</v>
      </c>
      <c r="UBC61" s="235" t="s">
        <v>618</v>
      </c>
      <c r="UBD61" s="235" t="s">
        <v>1410</v>
      </c>
      <c r="UBE61" s="235" t="s">
        <v>1411</v>
      </c>
      <c r="UBF61" s="235" t="s">
        <v>388</v>
      </c>
      <c r="UBG61" s="237" t="s">
        <v>727</v>
      </c>
      <c r="UBH61" s="237" t="s">
        <v>221</v>
      </c>
      <c r="UBI61" s="235" t="s">
        <v>2</v>
      </c>
      <c r="UBJ61" s="235" t="s">
        <v>3</v>
      </c>
      <c r="UBK61" s="235" t="s">
        <v>618</v>
      </c>
      <c r="UBL61" s="235" t="s">
        <v>1410</v>
      </c>
      <c r="UBM61" s="235" t="s">
        <v>1411</v>
      </c>
      <c r="UBN61" s="235" t="s">
        <v>388</v>
      </c>
      <c r="UBO61" s="237" t="s">
        <v>727</v>
      </c>
      <c r="UBP61" s="237" t="s">
        <v>221</v>
      </c>
      <c r="UBQ61" s="235" t="s">
        <v>2</v>
      </c>
      <c r="UBR61" s="235" t="s">
        <v>3</v>
      </c>
      <c r="UBS61" s="235" t="s">
        <v>618</v>
      </c>
      <c r="UBT61" s="235" t="s">
        <v>1410</v>
      </c>
      <c r="UBU61" s="235" t="s">
        <v>1411</v>
      </c>
      <c r="UBV61" s="235" t="s">
        <v>388</v>
      </c>
      <c r="UBW61" s="237" t="s">
        <v>727</v>
      </c>
      <c r="UBX61" s="237" t="s">
        <v>221</v>
      </c>
      <c r="UBY61" s="235" t="s">
        <v>2</v>
      </c>
      <c r="UBZ61" s="235" t="s">
        <v>3</v>
      </c>
      <c r="UCA61" s="235" t="s">
        <v>618</v>
      </c>
      <c r="UCB61" s="235" t="s">
        <v>1410</v>
      </c>
      <c r="UCC61" s="235" t="s">
        <v>1411</v>
      </c>
      <c r="UCD61" s="235" t="s">
        <v>388</v>
      </c>
      <c r="UCE61" s="237" t="s">
        <v>727</v>
      </c>
      <c r="UCF61" s="237" t="s">
        <v>221</v>
      </c>
      <c r="UCG61" s="235" t="s">
        <v>2</v>
      </c>
      <c r="UCH61" s="235" t="s">
        <v>3</v>
      </c>
      <c r="UCI61" s="235" t="s">
        <v>618</v>
      </c>
      <c r="UCJ61" s="235" t="s">
        <v>1410</v>
      </c>
      <c r="UCK61" s="235" t="s">
        <v>1411</v>
      </c>
      <c r="UCL61" s="235" t="s">
        <v>388</v>
      </c>
      <c r="UCM61" s="237" t="s">
        <v>727</v>
      </c>
      <c r="UCN61" s="237" t="s">
        <v>221</v>
      </c>
      <c r="UCO61" s="235" t="s">
        <v>2</v>
      </c>
      <c r="UCP61" s="235" t="s">
        <v>3</v>
      </c>
      <c r="UCQ61" s="235" t="s">
        <v>618</v>
      </c>
      <c r="UCR61" s="235" t="s">
        <v>1410</v>
      </c>
      <c r="UCS61" s="235" t="s">
        <v>1411</v>
      </c>
      <c r="UCT61" s="235" t="s">
        <v>388</v>
      </c>
      <c r="UCU61" s="237" t="s">
        <v>727</v>
      </c>
      <c r="UCV61" s="237" t="s">
        <v>221</v>
      </c>
      <c r="UCW61" s="235" t="s">
        <v>2</v>
      </c>
      <c r="UCX61" s="235" t="s">
        <v>3</v>
      </c>
      <c r="UCY61" s="235" t="s">
        <v>618</v>
      </c>
      <c r="UCZ61" s="235" t="s">
        <v>1410</v>
      </c>
      <c r="UDA61" s="235" t="s">
        <v>1411</v>
      </c>
      <c r="UDB61" s="235" t="s">
        <v>388</v>
      </c>
      <c r="UDC61" s="237" t="s">
        <v>727</v>
      </c>
      <c r="UDD61" s="237" t="s">
        <v>221</v>
      </c>
      <c r="UDE61" s="235" t="s">
        <v>2</v>
      </c>
      <c r="UDF61" s="235" t="s">
        <v>3</v>
      </c>
      <c r="UDG61" s="235" t="s">
        <v>618</v>
      </c>
      <c r="UDH61" s="235" t="s">
        <v>1410</v>
      </c>
      <c r="UDI61" s="235" t="s">
        <v>1411</v>
      </c>
      <c r="UDJ61" s="235" t="s">
        <v>388</v>
      </c>
      <c r="UDK61" s="237" t="s">
        <v>727</v>
      </c>
      <c r="UDL61" s="237" t="s">
        <v>221</v>
      </c>
      <c r="UDM61" s="235" t="s">
        <v>2</v>
      </c>
      <c r="UDN61" s="235" t="s">
        <v>3</v>
      </c>
      <c r="UDO61" s="235" t="s">
        <v>618</v>
      </c>
      <c r="UDP61" s="235" t="s">
        <v>1410</v>
      </c>
      <c r="UDQ61" s="235" t="s">
        <v>1411</v>
      </c>
      <c r="UDR61" s="235" t="s">
        <v>388</v>
      </c>
      <c r="UDS61" s="237" t="s">
        <v>727</v>
      </c>
      <c r="UDT61" s="237" t="s">
        <v>221</v>
      </c>
      <c r="UDU61" s="235" t="s">
        <v>2</v>
      </c>
      <c r="UDV61" s="235" t="s">
        <v>3</v>
      </c>
      <c r="UDW61" s="235" t="s">
        <v>618</v>
      </c>
      <c r="UDX61" s="235" t="s">
        <v>1410</v>
      </c>
      <c r="UDY61" s="235" t="s">
        <v>1411</v>
      </c>
      <c r="UDZ61" s="235" t="s">
        <v>388</v>
      </c>
      <c r="UEA61" s="237" t="s">
        <v>727</v>
      </c>
      <c r="UEB61" s="237" t="s">
        <v>221</v>
      </c>
      <c r="UEC61" s="235" t="s">
        <v>2</v>
      </c>
      <c r="UED61" s="235" t="s">
        <v>3</v>
      </c>
      <c r="UEE61" s="235" t="s">
        <v>618</v>
      </c>
      <c r="UEF61" s="235" t="s">
        <v>1410</v>
      </c>
      <c r="UEG61" s="235" t="s">
        <v>1411</v>
      </c>
      <c r="UEH61" s="235" t="s">
        <v>388</v>
      </c>
      <c r="UEI61" s="237" t="s">
        <v>727</v>
      </c>
      <c r="UEJ61" s="237" t="s">
        <v>221</v>
      </c>
      <c r="UEK61" s="235" t="s">
        <v>2</v>
      </c>
      <c r="UEL61" s="235" t="s">
        <v>3</v>
      </c>
      <c r="UEM61" s="235" t="s">
        <v>618</v>
      </c>
      <c r="UEN61" s="235" t="s">
        <v>1410</v>
      </c>
      <c r="UEO61" s="235" t="s">
        <v>1411</v>
      </c>
      <c r="UEP61" s="235" t="s">
        <v>388</v>
      </c>
      <c r="UEQ61" s="237" t="s">
        <v>727</v>
      </c>
      <c r="UER61" s="237" t="s">
        <v>221</v>
      </c>
      <c r="UES61" s="235" t="s">
        <v>2</v>
      </c>
      <c r="UET61" s="235" t="s">
        <v>3</v>
      </c>
      <c r="UEU61" s="235" t="s">
        <v>618</v>
      </c>
      <c r="UEV61" s="235" t="s">
        <v>1410</v>
      </c>
      <c r="UEW61" s="235" t="s">
        <v>1411</v>
      </c>
      <c r="UEX61" s="235" t="s">
        <v>388</v>
      </c>
      <c r="UEY61" s="237" t="s">
        <v>727</v>
      </c>
      <c r="UEZ61" s="237" t="s">
        <v>221</v>
      </c>
      <c r="UFA61" s="235" t="s">
        <v>2</v>
      </c>
      <c r="UFB61" s="235" t="s">
        <v>3</v>
      </c>
      <c r="UFC61" s="235" t="s">
        <v>618</v>
      </c>
      <c r="UFD61" s="235" t="s">
        <v>1410</v>
      </c>
      <c r="UFE61" s="235" t="s">
        <v>1411</v>
      </c>
      <c r="UFF61" s="235" t="s">
        <v>388</v>
      </c>
      <c r="UFG61" s="237" t="s">
        <v>727</v>
      </c>
      <c r="UFH61" s="237" t="s">
        <v>221</v>
      </c>
      <c r="UFI61" s="235" t="s">
        <v>2</v>
      </c>
      <c r="UFJ61" s="235" t="s">
        <v>3</v>
      </c>
      <c r="UFK61" s="235" t="s">
        <v>618</v>
      </c>
      <c r="UFL61" s="235" t="s">
        <v>1410</v>
      </c>
      <c r="UFM61" s="235" t="s">
        <v>1411</v>
      </c>
      <c r="UFN61" s="235" t="s">
        <v>388</v>
      </c>
      <c r="UFO61" s="237" t="s">
        <v>727</v>
      </c>
      <c r="UFP61" s="237" t="s">
        <v>221</v>
      </c>
      <c r="UFQ61" s="235" t="s">
        <v>2</v>
      </c>
      <c r="UFR61" s="235" t="s">
        <v>3</v>
      </c>
      <c r="UFS61" s="235" t="s">
        <v>618</v>
      </c>
      <c r="UFT61" s="235" t="s">
        <v>1410</v>
      </c>
      <c r="UFU61" s="235" t="s">
        <v>1411</v>
      </c>
      <c r="UFV61" s="235" t="s">
        <v>388</v>
      </c>
      <c r="UFW61" s="237" t="s">
        <v>727</v>
      </c>
      <c r="UFX61" s="237" t="s">
        <v>221</v>
      </c>
      <c r="UFY61" s="235" t="s">
        <v>2</v>
      </c>
      <c r="UFZ61" s="235" t="s">
        <v>3</v>
      </c>
      <c r="UGA61" s="235" t="s">
        <v>618</v>
      </c>
      <c r="UGB61" s="235" t="s">
        <v>1410</v>
      </c>
      <c r="UGC61" s="235" t="s">
        <v>1411</v>
      </c>
      <c r="UGD61" s="235" t="s">
        <v>388</v>
      </c>
      <c r="UGE61" s="237" t="s">
        <v>727</v>
      </c>
      <c r="UGF61" s="237" t="s">
        <v>221</v>
      </c>
      <c r="UGG61" s="235" t="s">
        <v>2</v>
      </c>
      <c r="UGH61" s="235" t="s">
        <v>3</v>
      </c>
      <c r="UGI61" s="235" t="s">
        <v>618</v>
      </c>
      <c r="UGJ61" s="235" t="s">
        <v>1410</v>
      </c>
      <c r="UGK61" s="235" t="s">
        <v>1411</v>
      </c>
      <c r="UGL61" s="235" t="s">
        <v>388</v>
      </c>
      <c r="UGM61" s="237" t="s">
        <v>727</v>
      </c>
      <c r="UGN61" s="237" t="s">
        <v>221</v>
      </c>
      <c r="UGO61" s="235" t="s">
        <v>2</v>
      </c>
      <c r="UGP61" s="235" t="s">
        <v>3</v>
      </c>
      <c r="UGQ61" s="235" t="s">
        <v>618</v>
      </c>
      <c r="UGR61" s="235" t="s">
        <v>1410</v>
      </c>
      <c r="UGS61" s="235" t="s">
        <v>1411</v>
      </c>
      <c r="UGT61" s="235" t="s">
        <v>388</v>
      </c>
      <c r="UGU61" s="237" t="s">
        <v>727</v>
      </c>
      <c r="UGV61" s="237" t="s">
        <v>221</v>
      </c>
      <c r="UGW61" s="235" t="s">
        <v>2</v>
      </c>
      <c r="UGX61" s="235" t="s">
        <v>3</v>
      </c>
      <c r="UGY61" s="235" t="s">
        <v>618</v>
      </c>
      <c r="UGZ61" s="235" t="s">
        <v>1410</v>
      </c>
      <c r="UHA61" s="235" t="s">
        <v>1411</v>
      </c>
      <c r="UHB61" s="235" t="s">
        <v>388</v>
      </c>
      <c r="UHC61" s="237" t="s">
        <v>727</v>
      </c>
      <c r="UHD61" s="237" t="s">
        <v>221</v>
      </c>
      <c r="UHE61" s="235" t="s">
        <v>2</v>
      </c>
      <c r="UHF61" s="235" t="s">
        <v>3</v>
      </c>
      <c r="UHG61" s="235" t="s">
        <v>618</v>
      </c>
      <c r="UHH61" s="235" t="s">
        <v>1410</v>
      </c>
      <c r="UHI61" s="235" t="s">
        <v>1411</v>
      </c>
      <c r="UHJ61" s="235" t="s">
        <v>388</v>
      </c>
      <c r="UHK61" s="237" t="s">
        <v>727</v>
      </c>
      <c r="UHL61" s="237" t="s">
        <v>221</v>
      </c>
      <c r="UHM61" s="235" t="s">
        <v>2</v>
      </c>
      <c r="UHN61" s="235" t="s">
        <v>3</v>
      </c>
      <c r="UHO61" s="235" t="s">
        <v>618</v>
      </c>
      <c r="UHP61" s="235" t="s">
        <v>1410</v>
      </c>
      <c r="UHQ61" s="235" t="s">
        <v>1411</v>
      </c>
      <c r="UHR61" s="235" t="s">
        <v>388</v>
      </c>
      <c r="UHS61" s="237" t="s">
        <v>727</v>
      </c>
      <c r="UHT61" s="237" t="s">
        <v>221</v>
      </c>
      <c r="UHU61" s="235" t="s">
        <v>2</v>
      </c>
      <c r="UHV61" s="235" t="s">
        <v>3</v>
      </c>
      <c r="UHW61" s="235" t="s">
        <v>618</v>
      </c>
      <c r="UHX61" s="235" t="s">
        <v>1410</v>
      </c>
      <c r="UHY61" s="235" t="s">
        <v>1411</v>
      </c>
      <c r="UHZ61" s="235" t="s">
        <v>388</v>
      </c>
      <c r="UIA61" s="237" t="s">
        <v>727</v>
      </c>
      <c r="UIB61" s="237" t="s">
        <v>221</v>
      </c>
      <c r="UIC61" s="235" t="s">
        <v>2</v>
      </c>
      <c r="UID61" s="235" t="s">
        <v>3</v>
      </c>
      <c r="UIE61" s="235" t="s">
        <v>618</v>
      </c>
      <c r="UIF61" s="235" t="s">
        <v>1410</v>
      </c>
      <c r="UIG61" s="235" t="s">
        <v>1411</v>
      </c>
      <c r="UIH61" s="235" t="s">
        <v>388</v>
      </c>
      <c r="UII61" s="237" t="s">
        <v>727</v>
      </c>
      <c r="UIJ61" s="237" t="s">
        <v>221</v>
      </c>
      <c r="UIK61" s="235" t="s">
        <v>2</v>
      </c>
      <c r="UIL61" s="235" t="s">
        <v>3</v>
      </c>
      <c r="UIM61" s="235" t="s">
        <v>618</v>
      </c>
      <c r="UIN61" s="235" t="s">
        <v>1410</v>
      </c>
      <c r="UIO61" s="235" t="s">
        <v>1411</v>
      </c>
      <c r="UIP61" s="235" t="s">
        <v>388</v>
      </c>
      <c r="UIQ61" s="237" t="s">
        <v>727</v>
      </c>
      <c r="UIR61" s="237" t="s">
        <v>221</v>
      </c>
      <c r="UIS61" s="235" t="s">
        <v>2</v>
      </c>
      <c r="UIT61" s="235" t="s">
        <v>3</v>
      </c>
      <c r="UIU61" s="235" t="s">
        <v>618</v>
      </c>
      <c r="UIV61" s="235" t="s">
        <v>1410</v>
      </c>
      <c r="UIW61" s="235" t="s">
        <v>1411</v>
      </c>
      <c r="UIX61" s="235" t="s">
        <v>388</v>
      </c>
      <c r="UIY61" s="237" t="s">
        <v>727</v>
      </c>
      <c r="UIZ61" s="237" t="s">
        <v>221</v>
      </c>
      <c r="UJA61" s="235" t="s">
        <v>2</v>
      </c>
      <c r="UJB61" s="235" t="s">
        <v>3</v>
      </c>
      <c r="UJC61" s="235" t="s">
        <v>618</v>
      </c>
      <c r="UJD61" s="235" t="s">
        <v>1410</v>
      </c>
      <c r="UJE61" s="235" t="s">
        <v>1411</v>
      </c>
      <c r="UJF61" s="235" t="s">
        <v>388</v>
      </c>
      <c r="UJG61" s="237" t="s">
        <v>727</v>
      </c>
      <c r="UJH61" s="237" t="s">
        <v>221</v>
      </c>
      <c r="UJI61" s="235" t="s">
        <v>2</v>
      </c>
      <c r="UJJ61" s="235" t="s">
        <v>3</v>
      </c>
      <c r="UJK61" s="235" t="s">
        <v>618</v>
      </c>
      <c r="UJL61" s="235" t="s">
        <v>1410</v>
      </c>
      <c r="UJM61" s="235" t="s">
        <v>1411</v>
      </c>
      <c r="UJN61" s="235" t="s">
        <v>388</v>
      </c>
      <c r="UJO61" s="237" t="s">
        <v>727</v>
      </c>
      <c r="UJP61" s="237" t="s">
        <v>221</v>
      </c>
      <c r="UJQ61" s="235" t="s">
        <v>2</v>
      </c>
      <c r="UJR61" s="235" t="s">
        <v>3</v>
      </c>
      <c r="UJS61" s="235" t="s">
        <v>618</v>
      </c>
      <c r="UJT61" s="235" t="s">
        <v>1410</v>
      </c>
      <c r="UJU61" s="235" t="s">
        <v>1411</v>
      </c>
      <c r="UJV61" s="235" t="s">
        <v>388</v>
      </c>
      <c r="UJW61" s="237" t="s">
        <v>727</v>
      </c>
      <c r="UJX61" s="237" t="s">
        <v>221</v>
      </c>
      <c r="UJY61" s="235" t="s">
        <v>2</v>
      </c>
      <c r="UJZ61" s="235" t="s">
        <v>3</v>
      </c>
      <c r="UKA61" s="235" t="s">
        <v>618</v>
      </c>
      <c r="UKB61" s="235" t="s">
        <v>1410</v>
      </c>
      <c r="UKC61" s="235" t="s">
        <v>1411</v>
      </c>
      <c r="UKD61" s="235" t="s">
        <v>388</v>
      </c>
      <c r="UKE61" s="237" t="s">
        <v>727</v>
      </c>
      <c r="UKF61" s="237" t="s">
        <v>221</v>
      </c>
      <c r="UKG61" s="235" t="s">
        <v>2</v>
      </c>
      <c r="UKH61" s="235" t="s">
        <v>3</v>
      </c>
      <c r="UKI61" s="235" t="s">
        <v>618</v>
      </c>
      <c r="UKJ61" s="235" t="s">
        <v>1410</v>
      </c>
      <c r="UKK61" s="235" t="s">
        <v>1411</v>
      </c>
      <c r="UKL61" s="235" t="s">
        <v>388</v>
      </c>
      <c r="UKM61" s="237" t="s">
        <v>727</v>
      </c>
      <c r="UKN61" s="237" t="s">
        <v>221</v>
      </c>
      <c r="UKO61" s="235" t="s">
        <v>2</v>
      </c>
      <c r="UKP61" s="235" t="s">
        <v>3</v>
      </c>
      <c r="UKQ61" s="235" t="s">
        <v>618</v>
      </c>
      <c r="UKR61" s="235" t="s">
        <v>1410</v>
      </c>
      <c r="UKS61" s="235" t="s">
        <v>1411</v>
      </c>
      <c r="UKT61" s="235" t="s">
        <v>388</v>
      </c>
      <c r="UKU61" s="237" t="s">
        <v>727</v>
      </c>
      <c r="UKV61" s="237" t="s">
        <v>221</v>
      </c>
      <c r="UKW61" s="235" t="s">
        <v>2</v>
      </c>
      <c r="UKX61" s="235" t="s">
        <v>3</v>
      </c>
      <c r="UKY61" s="235" t="s">
        <v>618</v>
      </c>
      <c r="UKZ61" s="235" t="s">
        <v>1410</v>
      </c>
      <c r="ULA61" s="235" t="s">
        <v>1411</v>
      </c>
      <c r="ULB61" s="235" t="s">
        <v>388</v>
      </c>
      <c r="ULC61" s="237" t="s">
        <v>727</v>
      </c>
      <c r="ULD61" s="237" t="s">
        <v>221</v>
      </c>
      <c r="ULE61" s="235" t="s">
        <v>2</v>
      </c>
      <c r="ULF61" s="235" t="s">
        <v>3</v>
      </c>
      <c r="ULG61" s="235" t="s">
        <v>618</v>
      </c>
      <c r="ULH61" s="235" t="s">
        <v>1410</v>
      </c>
      <c r="ULI61" s="235" t="s">
        <v>1411</v>
      </c>
      <c r="ULJ61" s="235" t="s">
        <v>388</v>
      </c>
      <c r="ULK61" s="237" t="s">
        <v>727</v>
      </c>
      <c r="ULL61" s="237" t="s">
        <v>221</v>
      </c>
      <c r="ULM61" s="235" t="s">
        <v>2</v>
      </c>
      <c r="ULN61" s="235" t="s">
        <v>3</v>
      </c>
      <c r="ULO61" s="235" t="s">
        <v>618</v>
      </c>
      <c r="ULP61" s="235" t="s">
        <v>1410</v>
      </c>
      <c r="ULQ61" s="235" t="s">
        <v>1411</v>
      </c>
      <c r="ULR61" s="235" t="s">
        <v>388</v>
      </c>
      <c r="ULS61" s="237" t="s">
        <v>727</v>
      </c>
      <c r="ULT61" s="237" t="s">
        <v>221</v>
      </c>
      <c r="ULU61" s="235" t="s">
        <v>2</v>
      </c>
      <c r="ULV61" s="235" t="s">
        <v>3</v>
      </c>
      <c r="ULW61" s="235" t="s">
        <v>618</v>
      </c>
      <c r="ULX61" s="235" t="s">
        <v>1410</v>
      </c>
      <c r="ULY61" s="235" t="s">
        <v>1411</v>
      </c>
      <c r="ULZ61" s="235" t="s">
        <v>388</v>
      </c>
      <c r="UMA61" s="237" t="s">
        <v>727</v>
      </c>
      <c r="UMB61" s="237" t="s">
        <v>221</v>
      </c>
      <c r="UMC61" s="235" t="s">
        <v>2</v>
      </c>
      <c r="UMD61" s="235" t="s">
        <v>3</v>
      </c>
      <c r="UME61" s="235" t="s">
        <v>618</v>
      </c>
      <c r="UMF61" s="235" t="s">
        <v>1410</v>
      </c>
      <c r="UMG61" s="235" t="s">
        <v>1411</v>
      </c>
      <c r="UMH61" s="235" t="s">
        <v>388</v>
      </c>
      <c r="UMI61" s="237" t="s">
        <v>727</v>
      </c>
      <c r="UMJ61" s="237" t="s">
        <v>221</v>
      </c>
      <c r="UMK61" s="235" t="s">
        <v>2</v>
      </c>
      <c r="UML61" s="235" t="s">
        <v>3</v>
      </c>
      <c r="UMM61" s="235" t="s">
        <v>618</v>
      </c>
      <c r="UMN61" s="235" t="s">
        <v>1410</v>
      </c>
      <c r="UMO61" s="235" t="s">
        <v>1411</v>
      </c>
      <c r="UMP61" s="235" t="s">
        <v>388</v>
      </c>
      <c r="UMQ61" s="237" t="s">
        <v>727</v>
      </c>
      <c r="UMR61" s="237" t="s">
        <v>221</v>
      </c>
      <c r="UMS61" s="235" t="s">
        <v>2</v>
      </c>
      <c r="UMT61" s="235" t="s">
        <v>3</v>
      </c>
      <c r="UMU61" s="235" t="s">
        <v>618</v>
      </c>
      <c r="UMV61" s="235" t="s">
        <v>1410</v>
      </c>
      <c r="UMW61" s="235" t="s">
        <v>1411</v>
      </c>
      <c r="UMX61" s="235" t="s">
        <v>388</v>
      </c>
      <c r="UMY61" s="237" t="s">
        <v>727</v>
      </c>
      <c r="UMZ61" s="237" t="s">
        <v>221</v>
      </c>
      <c r="UNA61" s="235" t="s">
        <v>2</v>
      </c>
      <c r="UNB61" s="235" t="s">
        <v>3</v>
      </c>
      <c r="UNC61" s="235" t="s">
        <v>618</v>
      </c>
      <c r="UND61" s="235" t="s">
        <v>1410</v>
      </c>
      <c r="UNE61" s="235" t="s">
        <v>1411</v>
      </c>
      <c r="UNF61" s="235" t="s">
        <v>388</v>
      </c>
      <c r="UNG61" s="237" t="s">
        <v>727</v>
      </c>
      <c r="UNH61" s="237" t="s">
        <v>221</v>
      </c>
      <c r="UNI61" s="235" t="s">
        <v>2</v>
      </c>
      <c r="UNJ61" s="235" t="s">
        <v>3</v>
      </c>
      <c r="UNK61" s="235" t="s">
        <v>618</v>
      </c>
      <c r="UNL61" s="235" t="s">
        <v>1410</v>
      </c>
      <c r="UNM61" s="235" t="s">
        <v>1411</v>
      </c>
      <c r="UNN61" s="235" t="s">
        <v>388</v>
      </c>
      <c r="UNO61" s="237" t="s">
        <v>727</v>
      </c>
      <c r="UNP61" s="237" t="s">
        <v>221</v>
      </c>
      <c r="UNQ61" s="235" t="s">
        <v>2</v>
      </c>
      <c r="UNR61" s="235" t="s">
        <v>3</v>
      </c>
      <c r="UNS61" s="235" t="s">
        <v>618</v>
      </c>
      <c r="UNT61" s="235" t="s">
        <v>1410</v>
      </c>
      <c r="UNU61" s="235" t="s">
        <v>1411</v>
      </c>
      <c r="UNV61" s="235" t="s">
        <v>388</v>
      </c>
      <c r="UNW61" s="237" t="s">
        <v>727</v>
      </c>
      <c r="UNX61" s="237" t="s">
        <v>221</v>
      </c>
      <c r="UNY61" s="235" t="s">
        <v>2</v>
      </c>
      <c r="UNZ61" s="235" t="s">
        <v>3</v>
      </c>
      <c r="UOA61" s="235" t="s">
        <v>618</v>
      </c>
      <c r="UOB61" s="235" t="s">
        <v>1410</v>
      </c>
      <c r="UOC61" s="235" t="s">
        <v>1411</v>
      </c>
      <c r="UOD61" s="235" t="s">
        <v>388</v>
      </c>
      <c r="UOE61" s="237" t="s">
        <v>727</v>
      </c>
      <c r="UOF61" s="237" t="s">
        <v>221</v>
      </c>
      <c r="UOG61" s="235" t="s">
        <v>2</v>
      </c>
      <c r="UOH61" s="235" t="s">
        <v>3</v>
      </c>
      <c r="UOI61" s="235" t="s">
        <v>618</v>
      </c>
      <c r="UOJ61" s="235" t="s">
        <v>1410</v>
      </c>
      <c r="UOK61" s="235" t="s">
        <v>1411</v>
      </c>
      <c r="UOL61" s="235" t="s">
        <v>388</v>
      </c>
      <c r="UOM61" s="237" t="s">
        <v>727</v>
      </c>
      <c r="UON61" s="237" t="s">
        <v>221</v>
      </c>
      <c r="UOO61" s="235" t="s">
        <v>2</v>
      </c>
      <c r="UOP61" s="235" t="s">
        <v>3</v>
      </c>
      <c r="UOQ61" s="235" t="s">
        <v>618</v>
      </c>
      <c r="UOR61" s="235" t="s">
        <v>1410</v>
      </c>
      <c r="UOS61" s="235" t="s">
        <v>1411</v>
      </c>
      <c r="UOT61" s="235" t="s">
        <v>388</v>
      </c>
      <c r="UOU61" s="237" t="s">
        <v>727</v>
      </c>
      <c r="UOV61" s="237" t="s">
        <v>221</v>
      </c>
      <c r="UOW61" s="235" t="s">
        <v>2</v>
      </c>
      <c r="UOX61" s="235" t="s">
        <v>3</v>
      </c>
      <c r="UOY61" s="235" t="s">
        <v>618</v>
      </c>
      <c r="UOZ61" s="235" t="s">
        <v>1410</v>
      </c>
      <c r="UPA61" s="235" t="s">
        <v>1411</v>
      </c>
      <c r="UPB61" s="235" t="s">
        <v>388</v>
      </c>
      <c r="UPC61" s="237" t="s">
        <v>727</v>
      </c>
      <c r="UPD61" s="237" t="s">
        <v>221</v>
      </c>
      <c r="UPE61" s="235" t="s">
        <v>2</v>
      </c>
      <c r="UPF61" s="235" t="s">
        <v>3</v>
      </c>
      <c r="UPG61" s="235" t="s">
        <v>618</v>
      </c>
      <c r="UPH61" s="235" t="s">
        <v>1410</v>
      </c>
      <c r="UPI61" s="235" t="s">
        <v>1411</v>
      </c>
      <c r="UPJ61" s="235" t="s">
        <v>388</v>
      </c>
      <c r="UPK61" s="237" t="s">
        <v>727</v>
      </c>
      <c r="UPL61" s="237" t="s">
        <v>221</v>
      </c>
      <c r="UPM61" s="235" t="s">
        <v>2</v>
      </c>
      <c r="UPN61" s="235" t="s">
        <v>3</v>
      </c>
      <c r="UPO61" s="235" t="s">
        <v>618</v>
      </c>
      <c r="UPP61" s="235" t="s">
        <v>1410</v>
      </c>
      <c r="UPQ61" s="235" t="s">
        <v>1411</v>
      </c>
      <c r="UPR61" s="235" t="s">
        <v>388</v>
      </c>
      <c r="UPS61" s="237" t="s">
        <v>727</v>
      </c>
      <c r="UPT61" s="237" t="s">
        <v>221</v>
      </c>
      <c r="UPU61" s="235" t="s">
        <v>2</v>
      </c>
      <c r="UPV61" s="235" t="s">
        <v>3</v>
      </c>
      <c r="UPW61" s="235" t="s">
        <v>618</v>
      </c>
      <c r="UPX61" s="235" t="s">
        <v>1410</v>
      </c>
      <c r="UPY61" s="235" t="s">
        <v>1411</v>
      </c>
      <c r="UPZ61" s="235" t="s">
        <v>388</v>
      </c>
      <c r="UQA61" s="237" t="s">
        <v>727</v>
      </c>
      <c r="UQB61" s="237" t="s">
        <v>221</v>
      </c>
      <c r="UQC61" s="235" t="s">
        <v>2</v>
      </c>
      <c r="UQD61" s="235" t="s">
        <v>3</v>
      </c>
      <c r="UQE61" s="235" t="s">
        <v>618</v>
      </c>
      <c r="UQF61" s="235" t="s">
        <v>1410</v>
      </c>
      <c r="UQG61" s="235" t="s">
        <v>1411</v>
      </c>
      <c r="UQH61" s="235" t="s">
        <v>388</v>
      </c>
      <c r="UQI61" s="237" t="s">
        <v>727</v>
      </c>
      <c r="UQJ61" s="237" t="s">
        <v>221</v>
      </c>
      <c r="UQK61" s="235" t="s">
        <v>2</v>
      </c>
      <c r="UQL61" s="235" t="s">
        <v>3</v>
      </c>
      <c r="UQM61" s="235" t="s">
        <v>618</v>
      </c>
      <c r="UQN61" s="235" t="s">
        <v>1410</v>
      </c>
      <c r="UQO61" s="235" t="s">
        <v>1411</v>
      </c>
      <c r="UQP61" s="235" t="s">
        <v>388</v>
      </c>
      <c r="UQQ61" s="237" t="s">
        <v>727</v>
      </c>
      <c r="UQR61" s="237" t="s">
        <v>221</v>
      </c>
      <c r="UQS61" s="235" t="s">
        <v>2</v>
      </c>
      <c r="UQT61" s="235" t="s">
        <v>3</v>
      </c>
      <c r="UQU61" s="235" t="s">
        <v>618</v>
      </c>
      <c r="UQV61" s="235" t="s">
        <v>1410</v>
      </c>
      <c r="UQW61" s="235" t="s">
        <v>1411</v>
      </c>
      <c r="UQX61" s="235" t="s">
        <v>388</v>
      </c>
      <c r="UQY61" s="237" t="s">
        <v>727</v>
      </c>
      <c r="UQZ61" s="237" t="s">
        <v>221</v>
      </c>
      <c r="URA61" s="235" t="s">
        <v>2</v>
      </c>
      <c r="URB61" s="235" t="s">
        <v>3</v>
      </c>
      <c r="URC61" s="235" t="s">
        <v>618</v>
      </c>
      <c r="URD61" s="235" t="s">
        <v>1410</v>
      </c>
      <c r="URE61" s="235" t="s">
        <v>1411</v>
      </c>
      <c r="URF61" s="235" t="s">
        <v>388</v>
      </c>
      <c r="URG61" s="237" t="s">
        <v>727</v>
      </c>
      <c r="URH61" s="237" t="s">
        <v>221</v>
      </c>
      <c r="URI61" s="235" t="s">
        <v>2</v>
      </c>
      <c r="URJ61" s="235" t="s">
        <v>3</v>
      </c>
      <c r="URK61" s="235" t="s">
        <v>618</v>
      </c>
      <c r="URL61" s="235" t="s">
        <v>1410</v>
      </c>
      <c r="URM61" s="235" t="s">
        <v>1411</v>
      </c>
      <c r="URN61" s="235" t="s">
        <v>388</v>
      </c>
      <c r="URO61" s="237" t="s">
        <v>727</v>
      </c>
      <c r="URP61" s="237" t="s">
        <v>221</v>
      </c>
      <c r="URQ61" s="235" t="s">
        <v>2</v>
      </c>
      <c r="URR61" s="235" t="s">
        <v>3</v>
      </c>
      <c r="URS61" s="235" t="s">
        <v>618</v>
      </c>
      <c r="URT61" s="235" t="s">
        <v>1410</v>
      </c>
      <c r="URU61" s="235" t="s">
        <v>1411</v>
      </c>
      <c r="URV61" s="235" t="s">
        <v>388</v>
      </c>
      <c r="URW61" s="237" t="s">
        <v>727</v>
      </c>
      <c r="URX61" s="237" t="s">
        <v>221</v>
      </c>
      <c r="URY61" s="235" t="s">
        <v>2</v>
      </c>
      <c r="URZ61" s="235" t="s">
        <v>3</v>
      </c>
      <c r="USA61" s="235" t="s">
        <v>618</v>
      </c>
      <c r="USB61" s="235" t="s">
        <v>1410</v>
      </c>
      <c r="USC61" s="235" t="s">
        <v>1411</v>
      </c>
      <c r="USD61" s="235" t="s">
        <v>388</v>
      </c>
      <c r="USE61" s="237" t="s">
        <v>727</v>
      </c>
      <c r="USF61" s="237" t="s">
        <v>221</v>
      </c>
      <c r="USG61" s="235" t="s">
        <v>2</v>
      </c>
      <c r="USH61" s="235" t="s">
        <v>3</v>
      </c>
      <c r="USI61" s="235" t="s">
        <v>618</v>
      </c>
      <c r="USJ61" s="235" t="s">
        <v>1410</v>
      </c>
      <c r="USK61" s="235" t="s">
        <v>1411</v>
      </c>
      <c r="USL61" s="235" t="s">
        <v>388</v>
      </c>
      <c r="USM61" s="237" t="s">
        <v>727</v>
      </c>
      <c r="USN61" s="237" t="s">
        <v>221</v>
      </c>
      <c r="USO61" s="235" t="s">
        <v>2</v>
      </c>
      <c r="USP61" s="235" t="s">
        <v>3</v>
      </c>
      <c r="USQ61" s="235" t="s">
        <v>618</v>
      </c>
      <c r="USR61" s="235" t="s">
        <v>1410</v>
      </c>
      <c r="USS61" s="235" t="s">
        <v>1411</v>
      </c>
      <c r="UST61" s="235" t="s">
        <v>388</v>
      </c>
      <c r="USU61" s="237" t="s">
        <v>727</v>
      </c>
      <c r="USV61" s="237" t="s">
        <v>221</v>
      </c>
      <c r="USW61" s="235" t="s">
        <v>2</v>
      </c>
      <c r="USX61" s="235" t="s">
        <v>3</v>
      </c>
      <c r="USY61" s="235" t="s">
        <v>618</v>
      </c>
      <c r="USZ61" s="235" t="s">
        <v>1410</v>
      </c>
      <c r="UTA61" s="235" t="s">
        <v>1411</v>
      </c>
      <c r="UTB61" s="235" t="s">
        <v>388</v>
      </c>
      <c r="UTC61" s="237" t="s">
        <v>727</v>
      </c>
      <c r="UTD61" s="237" t="s">
        <v>221</v>
      </c>
      <c r="UTE61" s="235" t="s">
        <v>2</v>
      </c>
      <c r="UTF61" s="235" t="s">
        <v>3</v>
      </c>
      <c r="UTG61" s="235" t="s">
        <v>618</v>
      </c>
      <c r="UTH61" s="235" t="s">
        <v>1410</v>
      </c>
      <c r="UTI61" s="235" t="s">
        <v>1411</v>
      </c>
      <c r="UTJ61" s="235" t="s">
        <v>388</v>
      </c>
      <c r="UTK61" s="237" t="s">
        <v>727</v>
      </c>
      <c r="UTL61" s="237" t="s">
        <v>221</v>
      </c>
      <c r="UTM61" s="235" t="s">
        <v>2</v>
      </c>
      <c r="UTN61" s="235" t="s">
        <v>3</v>
      </c>
      <c r="UTO61" s="235" t="s">
        <v>618</v>
      </c>
      <c r="UTP61" s="235" t="s">
        <v>1410</v>
      </c>
      <c r="UTQ61" s="235" t="s">
        <v>1411</v>
      </c>
      <c r="UTR61" s="235" t="s">
        <v>388</v>
      </c>
      <c r="UTS61" s="237" t="s">
        <v>727</v>
      </c>
      <c r="UTT61" s="237" t="s">
        <v>221</v>
      </c>
      <c r="UTU61" s="235" t="s">
        <v>2</v>
      </c>
      <c r="UTV61" s="235" t="s">
        <v>3</v>
      </c>
      <c r="UTW61" s="235" t="s">
        <v>618</v>
      </c>
      <c r="UTX61" s="235" t="s">
        <v>1410</v>
      </c>
      <c r="UTY61" s="235" t="s">
        <v>1411</v>
      </c>
      <c r="UTZ61" s="235" t="s">
        <v>388</v>
      </c>
      <c r="UUA61" s="237" t="s">
        <v>727</v>
      </c>
      <c r="UUB61" s="237" t="s">
        <v>221</v>
      </c>
      <c r="UUC61" s="235" t="s">
        <v>2</v>
      </c>
      <c r="UUD61" s="235" t="s">
        <v>3</v>
      </c>
      <c r="UUE61" s="235" t="s">
        <v>618</v>
      </c>
      <c r="UUF61" s="235" t="s">
        <v>1410</v>
      </c>
      <c r="UUG61" s="235" t="s">
        <v>1411</v>
      </c>
      <c r="UUH61" s="235" t="s">
        <v>388</v>
      </c>
      <c r="UUI61" s="237" t="s">
        <v>727</v>
      </c>
      <c r="UUJ61" s="237" t="s">
        <v>221</v>
      </c>
      <c r="UUK61" s="235" t="s">
        <v>2</v>
      </c>
      <c r="UUL61" s="235" t="s">
        <v>3</v>
      </c>
      <c r="UUM61" s="235" t="s">
        <v>618</v>
      </c>
      <c r="UUN61" s="235" t="s">
        <v>1410</v>
      </c>
      <c r="UUO61" s="235" t="s">
        <v>1411</v>
      </c>
      <c r="UUP61" s="235" t="s">
        <v>388</v>
      </c>
      <c r="UUQ61" s="237" t="s">
        <v>727</v>
      </c>
      <c r="UUR61" s="237" t="s">
        <v>221</v>
      </c>
      <c r="UUS61" s="235" t="s">
        <v>2</v>
      </c>
      <c r="UUT61" s="235" t="s">
        <v>3</v>
      </c>
      <c r="UUU61" s="235" t="s">
        <v>618</v>
      </c>
      <c r="UUV61" s="235" t="s">
        <v>1410</v>
      </c>
      <c r="UUW61" s="235" t="s">
        <v>1411</v>
      </c>
      <c r="UUX61" s="235" t="s">
        <v>388</v>
      </c>
      <c r="UUY61" s="237" t="s">
        <v>727</v>
      </c>
      <c r="UUZ61" s="237" t="s">
        <v>221</v>
      </c>
      <c r="UVA61" s="235" t="s">
        <v>2</v>
      </c>
      <c r="UVB61" s="235" t="s">
        <v>3</v>
      </c>
      <c r="UVC61" s="235" t="s">
        <v>618</v>
      </c>
      <c r="UVD61" s="235" t="s">
        <v>1410</v>
      </c>
      <c r="UVE61" s="235" t="s">
        <v>1411</v>
      </c>
      <c r="UVF61" s="235" t="s">
        <v>388</v>
      </c>
      <c r="UVG61" s="237" t="s">
        <v>727</v>
      </c>
      <c r="UVH61" s="237" t="s">
        <v>221</v>
      </c>
      <c r="UVI61" s="235" t="s">
        <v>2</v>
      </c>
      <c r="UVJ61" s="235" t="s">
        <v>3</v>
      </c>
      <c r="UVK61" s="235" t="s">
        <v>618</v>
      </c>
      <c r="UVL61" s="235" t="s">
        <v>1410</v>
      </c>
      <c r="UVM61" s="235" t="s">
        <v>1411</v>
      </c>
      <c r="UVN61" s="235" t="s">
        <v>388</v>
      </c>
      <c r="UVO61" s="237" t="s">
        <v>727</v>
      </c>
      <c r="UVP61" s="237" t="s">
        <v>221</v>
      </c>
      <c r="UVQ61" s="235" t="s">
        <v>2</v>
      </c>
      <c r="UVR61" s="235" t="s">
        <v>3</v>
      </c>
      <c r="UVS61" s="235" t="s">
        <v>618</v>
      </c>
      <c r="UVT61" s="235" t="s">
        <v>1410</v>
      </c>
      <c r="UVU61" s="235" t="s">
        <v>1411</v>
      </c>
      <c r="UVV61" s="235" t="s">
        <v>388</v>
      </c>
      <c r="UVW61" s="237" t="s">
        <v>727</v>
      </c>
      <c r="UVX61" s="237" t="s">
        <v>221</v>
      </c>
      <c r="UVY61" s="235" t="s">
        <v>2</v>
      </c>
      <c r="UVZ61" s="235" t="s">
        <v>3</v>
      </c>
      <c r="UWA61" s="235" t="s">
        <v>618</v>
      </c>
      <c r="UWB61" s="235" t="s">
        <v>1410</v>
      </c>
      <c r="UWC61" s="235" t="s">
        <v>1411</v>
      </c>
      <c r="UWD61" s="235" t="s">
        <v>388</v>
      </c>
      <c r="UWE61" s="237" t="s">
        <v>727</v>
      </c>
      <c r="UWF61" s="237" t="s">
        <v>221</v>
      </c>
      <c r="UWG61" s="235" t="s">
        <v>2</v>
      </c>
      <c r="UWH61" s="235" t="s">
        <v>3</v>
      </c>
      <c r="UWI61" s="235" t="s">
        <v>618</v>
      </c>
      <c r="UWJ61" s="235" t="s">
        <v>1410</v>
      </c>
      <c r="UWK61" s="235" t="s">
        <v>1411</v>
      </c>
      <c r="UWL61" s="235" t="s">
        <v>388</v>
      </c>
      <c r="UWM61" s="237" t="s">
        <v>727</v>
      </c>
      <c r="UWN61" s="237" t="s">
        <v>221</v>
      </c>
      <c r="UWO61" s="235" t="s">
        <v>2</v>
      </c>
      <c r="UWP61" s="235" t="s">
        <v>3</v>
      </c>
      <c r="UWQ61" s="235" t="s">
        <v>618</v>
      </c>
      <c r="UWR61" s="235" t="s">
        <v>1410</v>
      </c>
      <c r="UWS61" s="235" t="s">
        <v>1411</v>
      </c>
      <c r="UWT61" s="235" t="s">
        <v>388</v>
      </c>
      <c r="UWU61" s="237" t="s">
        <v>727</v>
      </c>
      <c r="UWV61" s="237" t="s">
        <v>221</v>
      </c>
      <c r="UWW61" s="235" t="s">
        <v>2</v>
      </c>
      <c r="UWX61" s="235" t="s">
        <v>3</v>
      </c>
      <c r="UWY61" s="235" t="s">
        <v>618</v>
      </c>
      <c r="UWZ61" s="235" t="s">
        <v>1410</v>
      </c>
      <c r="UXA61" s="235" t="s">
        <v>1411</v>
      </c>
      <c r="UXB61" s="235" t="s">
        <v>388</v>
      </c>
      <c r="UXC61" s="237" t="s">
        <v>727</v>
      </c>
      <c r="UXD61" s="237" t="s">
        <v>221</v>
      </c>
      <c r="UXE61" s="235" t="s">
        <v>2</v>
      </c>
      <c r="UXF61" s="235" t="s">
        <v>3</v>
      </c>
      <c r="UXG61" s="235" t="s">
        <v>618</v>
      </c>
      <c r="UXH61" s="235" t="s">
        <v>1410</v>
      </c>
      <c r="UXI61" s="235" t="s">
        <v>1411</v>
      </c>
      <c r="UXJ61" s="235" t="s">
        <v>388</v>
      </c>
      <c r="UXK61" s="237" t="s">
        <v>727</v>
      </c>
      <c r="UXL61" s="237" t="s">
        <v>221</v>
      </c>
      <c r="UXM61" s="235" t="s">
        <v>2</v>
      </c>
      <c r="UXN61" s="235" t="s">
        <v>3</v>
      </c>
      <c r="UXO61" s="235" t="s">
        <v>618</v>
      </c>
      <c r="UXP61" s="235" t="s">
        <v>1410</v>
      </c>
      <c r="UXQ61" s="235" t="s">
        <v>1411</v>
      </c>
      <c r="UXR61" s="235" t="s">
        <v>388</v>
      </c>
      <c r="UXS61" s="237" t="s">
        <v>727</v>
      </c>
      <c r="UXT61" s="237" t="s">
        <v>221</v>
      </c>
      <c r="UXU61" s="235" t="s">
        <v>2</v>
      </c>
      <c r="UXV61" s="235" t="s">
        <v>3</v>
      </c>
      <c r="UXW61" s="235" t="s">
        <v>618</v>
      </c>
      <c r="UXX61" s="235" t="s">
        <v>1410</v>
      </c>
      <c r="UXY61" s="235" t="s">
        <v>1411</v>
      </c>
      <c r="UXZ61" s="235" t="s">
        <v>388</v>
      </c>
      <c r="UYA61" s="237" t="s">
        <v>727</v>
      </c>
      <c r="UYB61" s="237" t="s">
        <v>221</v>
      </c>
      <c r="UYC61" s="235" t="s">
        <v>2</v>
      </c>
      <c r="UYD61" s="235" t="s">
        <v>3</v>
      </c>
      <c r="UYE61" s="235" t="s">
        <v>618</v>
      </c>
      <c r="UYF61" s="235" t="s">
        <v>1410</v>
      </c>
      <c r="UYG61" s="235" t="s">
        <v>1411</v>
      </c>
      <c r="UYH61" s="235" t="s">
        <v>388</v>
      </c>
      <c r="UYI61" s="237" t="s">
        <v>727</v>
      </c>
      <c r="UYJ61" s="237" t="s">
        <v>221</v>
      </c>
      <c r="UYK61" s="235" t="s">
        <v>2</v>
      </c>
      <c r="UYL61" s="235" t="s">
        <v>3</v>
      </c>
      <c r="UYM61" s="235" t="s">
        <v>618</v>
      </c>
      <c r="UYN61" s="235" t="s">
        <v>1410</v>
      </c>
      <c r="UYO61" s="235" t="s">
        <v>1411</v>
      </c>
      <c r="UYP61" s="235" t="s">
        <v>388</v>
      </c>
      <c r="UYQ61" s="237" t="s">
        <v>727</v>
      </c>
      <c r="UYR61" s="237" t="s">
        <v>221</v>
      </c>
      <c r="UYS61" s="235" t="s">
        <v>2</v>
      </c>
      <c r="UYT61" s="235" t="s">
        <v>3</v>
      </c>
      <c r="UYU61" s="235" t="s">
        <v>618</v>
      </c>
      <c r="UYV61" s="235" t="s">
        <v>1410</v>
      </c>
      <c r="UYW61" s="235" t="s">
        <v>1411</v>
      </c>
      <c r="UYX61" s="235" t="s">
        <v>388</v>
      </c>
      <c r="UYY61" s="237" t="s">
        <v>727</v>
      </c>
      <c r="UYZ61" s="237" t="s">
        <v>221</v>
      </c>
      <c r="UZA61" s="235" t="s">
        <v>2</v>
      </c>
      <c r="UZB61" s="235" t="s">
        <v>3</v>
      </c>
      <c r="UZC61" s="235" t="s">
        <v>618</v>
      </c>
      <c r="UZD61" s="235" t="s">
        <v>1410</v>
      </c>
      <c r="UZE61" s="235" t="s">
        <v>1411</v>
      </c>
      <c r="UZF61" s="235" t="s">
        <v>388</v>
      </c>
      <c r="UZG61" s="237" t="s">
        <v>727</v>
      </c>
      <c r="UZH61" s="237" t="s">
        <v>221</v>
      </c>
      <c r="UZI61" s="235" t="s">
        <v>2</v>
      </c>
      <c r="UZJ61" s="235" t="s">
        <v>3</v>
      </c>
      <c r="UZK61" s="235" t="s">
        <v>618</v>
      </c>
      <c r="UZL61" s="235" t="s">
        <v>1410</v>
      </c>
      <c r="UZM61" s="235" t="s">
        <v>1411</v>
      </c>
      <c r="UZN61" s="235" t="s">
        <v>388</v>
      </c>
      <c r="UZO61" s="237" t="s">
        <v>727</v>
      </c>
      <c r="UZP61" s="237" t="s">
        <v>221</v>
      </c>
      <c r="UZQ61" s="235" t="s">
        <v>2</v>
      </c>
      <c r="UZR61" s="235" t="s">
        <v>3</v>
      </c>
      <c r="UZS61" s="235" t="s">
        <v>618</v>
      </c>
      <c r="UZT61" s="235" t="s">
        <v>1410</v>
      </c>
      <c r="UZU61" s="235" t="s">
        <v>1411</v>
      </c>
      <c r="UZV61" s="235" t="s">
        <v>388</v>
      </c>
      <c r="UZW61" s="237" t="s">
        <v>727</v>
      </c>
      <c r="UZX61" s="237" t="s">
        <v>221</v>
      </c>
      <c r="UZY61" s="235" t="s">
        <v>2</v>
      </c>
      <c r="UZZ61" s="235" t="s">
        <v>3</v>
      </c>
      <c r="VAA61" s="235" t="s">
        <v>618</v>
      </c>
      <c r="VAB61" s="235" t="s">
        <v>1410</v>
      </c>
      <c r="VAC61" s="235" t="s">
        <v>1411</v>
      </c>
      <c r="VAD61" s="235" t="s">
        <v>388</v>
      </c>
      <c r="VAE61" s="237" t="s">
        <v>727</v>
      </c>
      <c r="VAF61" s="237" t="s">
        <v>221</v>
      </c>
      <c r="VAG61" s="235" t="s">
        <v>2</v>
      </c>
      <c r="VAH61" s="235" t="s">
        <v>3</v>
      </c>
      <c r="VAI61" s="235" t="s">
        <v>618</v>
      </c>
      <c r="VAJ61" s="235" t="s">
        <v>1410</v>
      </c>
      <c r="VAK61" s="235" t="s">
        <v>1411</v>
      </c>
      <c r="VAL61" s="235" t="s">
        <v>388</v>
      </c>
      <c r="VAM61" s="237" t="s">
        <v>727</v>
      </c>
      <c r="VAN61" s="237" t="s">
        <v>221</v>
      </c>
      <c r="VAO61" s="235" t="s">
        <v>2</v>
      </c>
      <c r="VAP61" s="235" t="s">
        <v>3</v>
      </c>
      <c r="VAQ61" s="235" t="s">
        <v>618</v>
      </c>
      <c r="VAR61" s="235" t="s">
        <v>1410</v>
      </c>
      <c r="VAS61" s="235" t="s">
        <v>1411</v>
      </c>
      <c r="VAT61" s="235" t="s">
        <v>388</v>
      </c>
      <c r="VAU61" s="237" t="s">
        <v>727</v>
      </c>
      <c r="VAV61" s="237" t="s">
        <v>221</v>
      </c>
      <c r="VAW61" s="235" t="s">
        <v>2</v>
      </c>
      <c r="VAX61" s="235" t="s">
        <v>3</v>
      </c>
      <c r="VAY61" s="235" t="s">
        <v>618</v>
      </c>
      <c r="VAZ61" s="235" t="s">
        <v>1410</v>
      </c>
      <c r="VBA61" s="235" t="s">
        <v>1411</v>
      </c>
      <c r="VBB61" s="235" t="s">
        <v>388</v>
      </c>
      <c r="VBC61" s="237" t="s">
        <v>727</v>
      </c>
      <c r="VBD61" s="237" t="s">
        <v>221</v>
      </c>
      <c r="VBE61" s="235" t="s">
        <v>2</v>
      </c>
      <c r="VBF61" s="235" t="s">
        <v>3</v>
      </c>
      <c r="VBG61" s="235" t="s">
        <v>618</v>
      </c>
      <c r="VBH61" s="235" t="s">
        <v>1410</v>
      </c>
      <c r="VBI61" s="235" t="s">
        <v>1411</v>
      </c>
      <c r="VBJ61" s="235" t="s">
        <v>388</v>
      </c>
      <c r="VBK61" s="237" t="s">
        <v>727</v>
      </c>
      <c r="VBL61" s="237" t="s">
        <v>221</v>
      </c>
      <c r="VBM61" s="235" t="s">
        <v>2</v>
      </c>
      <c r="VBN61" s="235" t="s">
        <v>3</v>
      </c>
      <c r="VBO61" s="235" t="s">
        <v>618</v>
      </c>
      <c r="VBP61" s="235" t="s">
        <v>1410</v>
      </c>
      <c r="VBQ61" s="235" t="s">
        <v>1411</v>
      </c>
      <c r="VBR61" s="235" t="s">
        <v>388</v>
      </c>
      <c r="VBS61" s="237" t="s">
        <v>727</v>
      </c>
      <c r="VBT61" s="237" t="s">
        <v>221</v>
      </c>
      <c r="VBU61" s="235" t="s">
        <v>2</v>
      </c>
      <c r="VBV61" s="235" t="s">
        <v>3</v>
      </c>
      <c r="VBW61" s="235" t="s">
        <v>618</v>
      </c>
      <c r="VBX61" s="235" t="s">
        <v>1410</v>
      </c>
      <c r="VBY61" s="235" t="s">
        <v>1411</v>
      </c>
      <c r="VBZ61" s="235" t="s">
        <v>388</v>
      </c>
      <c r="VCA61" s="237" t="s">
        <v>727</v>
      </c>
      <c r="VCB61" s="237" t="s">
        <v>221</v>
      </c>
      <c r="VCC61" s="235" t="s">
        <v>2</v>
      </c>
      <c r="VCD61" s="235" t="s">
        <v>3</v>
      </c>
      <c r="VCE61" s="235" t="s">
        <v>618</v>
      </c>
      <c r="VCF61" s="235" t="s">
        <v>1410</v>
      </c>
      <c r="VCG61" s="235" t="s">
        <v>1411</v>
      </c>
      <c r="VCH61" s="235" t="s">
        <v>388</v>
      </c>
      <c r="VCI61" s="237" t="s">
        <v>727</v>
      </c>
      <c r="VCJ61" s="237" t="s">
        <v>221</v>
      </c>
      <c r="VCK61" s="235" t="s">
        <v>2</v>
      </c>
      <c r="VCL61" s="235" t="s">
        <v>3</v>
      </c>
      <c r="VCM61" s="235" t="s">
        <v>618</v>
      </c>
      <c r="VCN61" s="235" t="s">
        <v>1410</v>
      </c>
      <c r="VCO61" s="235" t="s">
        <v>1411</v>
      </c>
      <c r="VCP61" s="235" t="s">
        <v>388</v>
      </c>
      <c r="VCQ61" s="237" t="s">
        <v>727</v>
      </c>
      <c r="VCR61" s="237" t="s">
        <v>221</v>
      </c>
      <c r="VCS61" s="235" t="s">
        <v>2</v>
      </c>
      <c r="VCT61" s="235" t="s">
        <v>3</v>
      </c>
      <c r="VCU61" s="235" t="s">
        <v>618</v>
      </c>
      <c r="VCV61" s="235" t="s">
        <v>1410</v>
      </c>
      <c r="VCW61" s="235" t="s">
        <v>1411</v>
      </c>
      <c r="VCX61" s="235" t="s">
        <v>388</v>
      </c>
      <c r="VCY61" s="237" t="s">
        <v>727</v>
      </c>
      <c r="VCZ61" s="237" t="s">
        <v>221</v>
      </c>
      <c r="VDA61" s="235" t="s">
        <v>2</v>
      </c>
      <c r="VDB61" s="235" t="s">
        <v>3</v>
      </c>
      <c r="VDC61" s="235" t="s">
        <v>618</v>
      </c>
      <c r="VDD61" s="235" t="s">
        <v>1410</v>
      </c>
      <c r="VDE61" s="235" t="s">
        <v>1411</v>
      </c>
      <c r="VDF61" s="235" t="s">
        <v>388</v>
      </c>
      <c r="VDG61" s="237" t="s">
        <v>727</v>
      </c>
      <c r="VDH61" s="237" t="s">
        <v>221</v>
      </c>
      <c r="VDI61" s="235" t="s">
        <v>2</v>
      </c>
      <c r="VDJ61" s="235" t="s">
        <v>3</v>
      </c>
      <c r="VDK61" s="235" t="s">
        <v>618</v>
      </c>
      <c r="VDL61" s="235" t="s">
        <v>1410</v>
      </c>
      <c r="VDM61" s="235" t="s">
        <v>1411</v>
      </c>
      <c r="VDN61" s="235" t="s">
        <v>388</v>
      </c>
      <c r="VDO61" s="237" t="s">
        <v>727</v>
      </c>
      <c r="VDP61" s="237" t="s">
        <v>221</v>
      </c>
      <c r="VDQ61" s="235" t="s">
        <v>2</v>
      </c>
      <c r="VDR61" s="235" t="s">
        <v>3</v>
      </c>
      <c r="VDS61" s="235" t="s">
        <v>618</v>
      </c>
      <c r="VDT61" s="235" t="s">
        <v>1410</v>
      </c>
      <c r="VDU61" s="235" t="s">
        <v>1411</v>
      </c>
      <c r="VDV61" s="235" t="s">
        <v>388</v>
      </c>
      <c r="VDW61" s="237" t="s">
        <v>727</v>
      </c>
      <c r="VDX61" s="237" t="s">
        <v>221</v>
      </c>
      <c r="VDY61" s="235" t="s">
        <v>2</v>
      </c>
      <c r="VDZ61" s="235" t="s">
        <v>3</v>
      </c>
      <c r="VEA61" s="235" t="s">
        <v>618</v>
      </c>
      <c r="VEB61" s="235" t="s">
        <v>1410</v>
      </c>
      <c r="VEC61" s="235" t="s">
        <v>1411</v>
      </c>
      <c r="VED61" s="235" t="s">
        <v>388</v>
      </c>
      <c r="VEE61" s="237" t="s">
        <v>727</v>
      </c>
      <c r="VEF61" s="237" t="s">
        <v>221</v>
      </c>
      <c r="VEG61" s="235" t="s">
        <v>2</v>
      </c>
      <c r="VEH61" s="235" t="s">
        <v>3</v>
      </c>
      <c r="VEI61" s="235" t="s">
        <v>618</v>
      </c>
      <c r="VEJ61" s="235" t="s">
        <v>1410</v>
      </c>
      <c r="VEK61" s="235" t="s">
        <v>1411</v>
      </c>
      <c r="VEL61" s="235" t="s">
        <v>388</v>
      </c>
      <c r="VEM61" s="237" t="s">
        <v>727</v>
      </c>
      <c r="VEN61" s="237" t="s">
        <v>221</v>
      </c>
      <c r="VEO61" s="235" t="s">
        <v>2</v>
      </c>
      <c r="VEP61" s="235" t="s">
        <v>3</v>
      </c>
      <c r="VEQ61" s="235" t="s">
        <v>618</v>
      </c>
      <c r="VER61" s="235" t="s">
        <v>1410</v>
      </c>
      <c r="VES61" s="235" t="s">
        <v>1411</v>
      </c>
      <c r="VET61" s="235" t="s">
        <v>388</v>
      </c>
      <c r="VEU61" s="237" t="s">
        <v>727</v>
      </c>
      <c r="VEV61" s="237" t="s">
        <v>221</v>
      </c>
      <c r="VEW61" s="235" t="s">
        <v>2</v>
      </c>
      <c r="VEX61" s="235" t="s">
        <v>3</v>
      </c>
      <c r="VEY61" s="235" t="s">
        <v>618</v>
      </c>
      <c r="VEZ61" s="235" t="s">
        <v>1410</v>
      </c>
      <c r="VFA61" s="235" t="s">
        <v>1411</v>
      </c>
      <c r="VFB61" s="235" t="s">
        <v>388</v>
      </c>
      <c r="VFC61" s="237" t="s">
        <v>727</v>
      </c>
      <c r="VFD61" s="237" t="s">
        <v>221</v>
      </c>
      <c r="VFE61" s="235" t="s">
        <v>2</v>
      </c>
      <c r="VFF61" s="235" t="s">
        <v>3</v>
      </c>
      <c r="VFG61" s="235" t="s">
        <v>618</v>
      </c>
      <c r="VFH61" s="235" t="s">
        <v>1410</v>
      </c>
      <c r="VFI61" s="235" t="s">
        <v>1411</v>
      </c>
      <c r="VFJ61" s="235" t="s">
        <v>388</v>
      </c>
      <c r="VFK61" s="237" t="s">
        <v>727</v>
      </c>
      <c r="VFL61" s="237" t="s">
        <v>221</v>
      </c>
      <c r="VFM61" s="235" t="s">
        <v>2</v>
      </c>
      <c r="VFN61" s="235" t="s">
        <v>3</v>
      </c>
      <c r="VFO61" s="235" t="s">
        <v>618</v>
      </c>
      <c r="VFP61" s="235" t="s">
        <v>1410</v>
      </c>
      <c r="VFQ61" s="235" t="s">
        <v>1411</v>
      </c>
      <c r="VFR61" s="235" t="s">
        <v>388</v>
      </c>
      <c r="VFS61" s="237" t="s">
        <v>727</v>
      </c>
      <c r="VFT61" s="237" t="s">
        <v>221</v>
      </c>
      <c r="VFU61" s="235" t="s">
        <v>2</v>
      </c>
      <c r="VFV61" s="235" t="s">
        <v>3</v>
      </c>
      <c r="VFW61" s="235" t="s">
        <v>618</v>
      </c>
      <c r="VFX61" s="235" t="s">
        <v>1410</v>
      </c>
      <c r="VFY61" s="235" t="s">
        <v>1411</v>
      </c>
      <c r="VFZ61" s="235" t="s">
        <v>388</v>
      </c>
      <c r="VGA61" s="237" t="s">
        <v>727</v>
      </c>
      <c r="VGB61" s="237" t="s">
        <v>221</v>
      </c>
      <c r="VGC61" s="235" t="s">
        <v>2</v>
      </c>
      <c r="VGD61" s="235" t="s">
        <v>3</v>
      </c>
      <c r="VGE61" s="235" t="s">
        <v>618</v>
      </c>
      <c r="VGF61" s="235" t="s">
        <v>1410</v>
      </c>
      <c r="VGG61" s="235" t="s">
        <v>1411</v>
      </c>
      <c r="VGH61" s="235" t="s">
        <v>388</v>
      </c>
      <c r="VGI61" s="237" t="s">
        <v>727</v>
      </c>
      <c r="VGJ61" s="237" t="s">
        <v>221</v>
      </c>
      <c r="VGK61" s="235" t="s">
        <v>2</v>
      </c>
      <c r="VGL61" s="235" t="s">
        <v>3</v>
      </c>
      <c r="VGM61" s="235" t="s">
        <v>618</v>
      </c>
      <c r="VGN61" s="235" t="s">
        <v>1410</v>
      </c>
      <c r="VGO61" s="235" t="s">
        <v>1411</v>
      </c>
      <c r="VGP61" s="235" t="s">
        <v>388</v>
      </c>
      <c r="VGQ61" s="237" t="s">
        <v>727</v>
      </c>
      <c r="VGR61" s="237" t="s">
        <v>221</v>
      </c>
      <c r="VGS61" s="235" t="s">
        <v>2</v>
      </c>
      <c r="VGT61" s="235" t="s">
        <v>3</v>
      </c>
      <c r="VGU61" s="235" t="s">
        <v>618</v>
      </c>
      <c r="VGV61" s="235" t="s">
        <v>1410</v>
      </c>
      <c r="VGW61" s="235" t="s">
        <v>1411</v>
      </c>
      <c r="VGX61" s="235" t="s">
        <v>388</v>
      </c>
      <c r="VGY61" s="237" t="s">
        <v>727</v>
      </c>
      <c r="VGZ61" s="237" t="s">
        <v>221</v>
      </c>
      <c r="VHA61" s="235" t="s">
        <v>2</v>
      </c>
      <c r="VHB61" s="235" t="s">
        <v>3</v>
      </c>
      <c r="VHC61" s="235" t="s">
        <v>618</v>
      </c>
      <c r="VHD61" s="235" t="s">
        <v>1410</v>
      </c>
      <c r="VHE61" s="235" t="s">
        <v>1411</v>
      </c>
      <c r="VHF61" s="235" t="s">
        <v>388</v>
      </c>
      <c r="VHG61" s="237" t="s">
        <v>727</v>
      </c>
      <c r="VHH61" s="237" t="s">
        <v>221</v>
      </c>
      <c r="VHI61" s="235" t="s">
        <v>2</v>
      </c>
      <c r="VHJ61" s="235" t="s">
        <v>3</v>
      </c>
      <c r="VHK61" s="235" t="s">
        <v>618</v>
      </c>
      <c r="VHL61" s="235" t="s">
        <v>1410</v>
      </c>
      <c r="VHM61" s="235" t="s">
        <v>1411</v>
      </c>
      <c r="VHN61" s="235" t="s">
        <v>388</v>
      </c>
      <c r="VHO61" s="237" t="s">
        <v>727</v>
      </c>
      <c r="VHP61" s="237" t="s">
        <v>221</v>
      </c>
      <c r="VHQ61" s="235" t="s">
        <v>2</v>
      </c>
      <c r="VHR61" s="235" t="s">
        <v>3</v>
      </c>
      <c r="VHS61" s="235" t="s">
        <v>618</v>
      </c>
      <c r="VHT61" s="235" t="s">
        <v>1410</v>
      </c>
      <c r="VHU61" s="235" t="s">
        <v>1411</v>
      </c>
      <c r="VHV61" s="235" t="s">
        <v>388</v>
      </c>
      <c r="VHW61" s="237" t="s">
        <v>727</v>
      </c>
      <c r="VHX61" s="237" t="s">
        <v>221</v>
      </c>
      <c r="VHY61" s="235" t="s">
        <v>2</v>
      </c>
      <c r="VHZ61" s="235" t="s">
        <v>3</v>
      </c>
      <c r="VIA61" s="235" t="s">
        <v>618</v>
      </c>
      <c r="VIB61" s="235" t="s">
        <v>1410</v>
      </c>
      <c r="VIC61" s="235" t="s">
        <v>1411</v>
      </c>
      <c r="VID61" s="235" t="s">
        <v>388</v>
      </c>
      <c r="VIE61" s="237" t="s">
        <v>727</v>
      </c>
      <c r="VIF61" s="237" t="s">
        <v>221</v>
      </c>
      <c r="VIG61" s="235" t="s">
        <v>2</v>
      </c>
      <c r="VIH61" s="235" t="s">
        <v>3</v>
      </c>
      <c r="VII61" s="235" t="s">
        <v>618</v>
      </c>
      <c r="VIJ61" s="235" t="s">
        <v>1410</v>
      </c>
      <c r="VIK61" s="235" t="s">
        <v>1411</v>
      </c>
      <c r="VIL61" s="235" t="s">
        <v>388</v>
      </c>
      <c r="VIM61" s="237" t="s">
        <v>727</v>
      </c>
      <c r="VIN61" s="237" t="s">
        <v>221</v>
      </c>
      <c r="VIO61" s="235" t="s">
        <v>2</v>
      </c>
      <c r="VIP61" s="235" t="s">
        <v>3</v>
      </c>
      <c r="VIQ61" s="235" t="s">
        <v>618</v>
      </c>
      <c r="VIR61" s="235" t="s">
        <v>1410</v>
      </c>
      <c r="VIS61" s="235" t="s">
        <v>1411</v>
      </c>
      <c r="VIT61" s="235" t="s">
        <v>388</v>
      </c>
      <c r="VIU61" s="237" t="s">
        <v>727</v>
      </c>
      <c r="VIV61" s="237" t="s">
        <v>221</v>
      </c>
      <c r="VIW61" s="235" t="s">
        <v>2</v>
      </c>
      <c r="VIX61" s="235" t="s">
        <v>3</v>
      </c>
      <c r="VIY61" s="235" t="s">
        <v>618</v>
      </c>
      <c r="VIZ61" s="235" t="s">
        <v>1410</v>
      </c>
      <c r="VJA61" s="235" t="s">
        <v>1411</v>
      </c>
      <c r="VJB61" s="235" t="s">
        <v>388</v>
      </c>
      <c r="VJC61" s="237" t="s">
        <v>727</v>
      </c>
      <c r="VJD61" s="237" t="s">
        <v>221</v>
      </c>
      <c r="VJE61" s="235" t="s">
        <v>2</v>
      </c>
      <c r="VJF61" s="235" t="s">
        <v>3</v>
      </c>
      <c r="VJG61" s="235" t="s">
        <v>618</v>
      </c>
      <c r="VJH61" s="235" t="s">
        <v>1410</v>
      </c>
      <c r="VJI61" s="235" t="s">
        <v>1411</v>
      </c>
      <c r="VJJ61" s="235" t="s">
        <v>388</v>
      </c>
      <c r="VJK61" s="237" t="s">
        <v>727</v>
      </c>
      <c r="VJL61" s="237" t="s">
        <v>221</v>
      </c>
      <c r="VJM61" s="235" t="s">
        <v>2</v>
      </c>
      <c r="VJN61" s="235" t="s">
        <v>3</v>
      </c>
      <c r="VJO61" s="235" t="s">
        <v>618</v>
      </c>
      <c r="VJP61" s="235" t="s">
        <v>1410</v>
      </c>
      <c r="VJQ61" s="235" t="s">
        <v>1411</v>
      </c>
      <c r="VJR61" s="235" t="s">
        <v>388</v>
      </c>
      <c r="VJS61" s="237" t="s">
        <v>727</v>
      </c>
      <c r="VJT61" s="237" t="s">
        <v>221</v>
      </c>
      <c r="VJU61" s="235" t="s">
        <v>2</v>
      </c>
      <c r="VJV61" s="235" t="s">
        <v>3</v>
      </c>
      <c r="VJW61" s="235" t="s">
        <v>618</v>
      </c>
      <c r="VJX61" s="235" t="s">
        <v>1410</v>
      </c>
      <c r="VJY61" s="235" t="s">
        <v>1411</v>
      </c>
      <c r="VJZ61" s="235" t="s">
        <v>388</v>
      </c>
      <c r="VKA61" s="237" t="s">
        <v>727</v>
      </c>
      <c r="VKB61" s="237" t="s">
        <v>221</v>
      </c>
      <c r="VKC61" s="235" t="s">
        <v>2</v>
      </c>
      <c r="VKD61" s="235" t="s">
        <v>3</v>
      </c>
      <c r="VKE61" s="235" t="s">
        <v>618</v>
      </c>
      <c r="VKF61" s="235" t="s">
        <v>1410</v>
      </c>
      <c r="VKG61" s="235" t="s">
        <v>1411</v>
      </c>
      <c r="VKH61" s="235" t="s">
        <v>388</v>
      </c>
      <c r="VKI61" s="237" t="s">
        <v>727</v>
      </c>
      <c r="VKJ61" s="237" t="s">
        <v>221</v>
      </c>
      <c r="VKK61" s="235" t="s">
        <v>2</v>
      </c>
      <c r="VKL61" s="235" t="s">
        <v>3</v>
      </c>
      <c r="VKM61" s="235" t="s">
        <v>618</v>
      </c>
      <c r="VKN61" s="235" t="s">
        <v>1410</v>
      </c>
      <c r="VKO61" s="235" t="s">
        <v>1411</v>
      </c>
      <c r="VKP61" s="235" t="s">
        <v>388</v>
      </c>
      <c r="VKQ61" s="237" t="s">
        <v>727</v>
      </c>
      <c r="VKR61" s="237" t="s">
        <v>221</v>
      </c>
      <c r="VKS61" s="235" t="s">
        <v>2</v>
      </c>
      <c r="VKT61" s="235" t="s">
        <v>3</v>
      </c>
      <c r="VKU61" s="235" t="s">
        <v>618</v>
      </c>
      <c r="VKV61" s="235" t="s">
        <v>1410</v>
      </c>
      <c r="VKW61" s="235" t="s">
        <v>1411</v>
      </c>
      <c r="VKX61" s="235" t="s">
        <v>388</v>
      </c>
      <c r="VKY61" s="237" t="s">
        <v>727</v>
      </c>
      <c r="VKZ61" s="237" t="s">
        <v>221</v>
      </c>
      <c r="VLA61" s="235" t="s">
        <v>2</v>
      </c>
      <c r="VLB61" s="235" t="s">
        <v>3</v>
      </c>
      <c r="VLC61" s="235" t="s">
        <v>618</v>
      </c>
      <c r="VLD61" s="235" t="s">
        <v>1410</v>
      </c>
      <c r="VLE61" s="235" t="s">
        <v>1411</v>
      </c>
      <c r="VLF61" s="235" t="s">
        <v>388</v>
      </c>
      <c r="VLG61" s="237" t="s">
        <v>727</v>
      </c>
      <c r="VLH61" s="237" t="s">
        <v>221</v>
      </c>
      <c r="VLI61" s="235" t="s">
        <v>2</v>
      </c>
      <c r="VLJ61" s="235" t="s">
        <v>3</v>
      </c>
      <c r="VLK61" s="235" t="s">
        <v>618</v>
      </c>
      <c r="VLL61" s="235" t="s">
        <v>1410</v>
      </c>
      <c r="VLM61" s="235" t="s">
        <v>1411</v>
      </c>
      <c r="VLN61" s="235" t="s">
        <v>388</v>
      </c>
      <c r="VLO61" s="237" t="s">
        <v>727</v>
      </c>
      <c r="VLP61" s="237" t="s">
        <v>221</v>
      </c>
      <c r="VLQ61" s="235" t="s">
        <v>2</v>
      </c>
      <c r="VLR61" s="235" t="s">
        <v>3</v>
      </c>
      <c r="VLS61" s="235" t="s">
        <v>618</v>
      </c>
      <c r="VLT61" s="235" t="s">
        <v>1410</v>
      </c>
      <c r="VLU61" s="235" t="s">
        <v>1411</v>
      </c>
      <c r="VLV61" s="235" t="s">
        <v>388</v>
      </c>
      <c r="VLW61" s="237" t="s">
        <v>727</v>
      </c>
      <c r="VLX61" s="237" t="s">
        <v>221</v>
      </c>
      <c r="VLY61" s="235" t="s">
        <v>2</v>
      </c>
      <c r="VLZ61" s="235" t="s">
        <v>3</v>
      </c>
      <c r="VMA61" s="235" t="s">
        <v>618</v>
      </c>
      <c r="VMB61" s="235" t="s">
        <v>1410</v>
      </c>
      <c r="VMC61" s="235" t="s">
        <v>1411</v>
      </c>
      <c r="VMD61" s="235" t="s">
        <v>388</v>
      </c>
      <c r="VME61" s="237" t="s">
        <v>727</v>
      </c>
      <c r="VMF61" s="237" t="s">
        <v>221</v>
      </c>
      <c r="VMG61" s="235" t="s">
        <v>2</v>
      </c>
      <c r="VMH61" s="235" t="s">
        <v>3</v>
      </c>
      <c r="VMI61" s="235" t="s">
        <v>618</v>
      </c>
      <c r="VMJ61" s="235" t="s">
        <v>1410</v>
      </c>
      <c r="VMK61" s="235" t="s">
        <v>1411</v>
      </c>
      <c r="VML61" s="235" t="s">
        <v>388</v>
      </c>
      <c r="VMM61" s="237" t="s">
        <v>727</v>
      </c>
      <c r="VMN61" s="237" t="s">
        <v>221</v>
      </c>
      <c r="VMO61" s="235" t="s">
        <v>2</v>
      </c>
      <c r="VMP61" s="235" t="s">
        <v>3</v>
      </c>
      <c r="VMQ61" s="235" t="s">
        <v>618</v>
      </c>
      <c r="VMR61" s="235" t="s">
        <v>1410</v>
      </c>
      <c r="VMS61" s="235" t="s">
        <v>1411</v>
      </c>
      <c r="VMT61" s="235" t="s">
        <v>388</v>
      </c>
      <c r="VMU61" s="237" t="s">
        <v>727</v>
      </c>
      <c r="VMV61" s="237" t="s">
        <v>221</v>
      </c>
      <c r="VMW61" s="235" t="s">
        <v>2</v>
      </c>
      <c r="VMX61" s="235" t="s">
        <v>3</v>
      </c>
      <c r="VMY61" s="235" t="s">
        <v>618</v>
      </c>
      <c r="VMZ61" s="235" t="s">
        <v>1410</v>
      </c>
      <c r="VNA61" s="235" t="s">
        <v>1411</v>
      </c>
      <c r="VNB61" s="235" t="s">
        <v>388</v>
      </c>
      <c r="VNC61" s="237" t="s">
        <v>727</v>
      </c>
      <c r="VND61" s="237" t="s">
        <v>221</v>
      </c>
      <c r="VNE61" s="235" t="s">
        <v>2</v>
      </c>
      <c r="VNF61" s="235" t="s">
        <v>3</v>
      </c>
      <c r="VNG61" s="235" t="s">
        <v>618</v>
      </c>
      <c r="VNH61" s="235" t="s">
        <v>1410</v>
      </c>
      <c r="VNI61" s="235" t="s">
        <v>1411</v>
      </c>
      <c r="VNJ61" s="235" t="s">
        <v>388</v>
      </c>
      <c r="VNK61" s="237" t="s">
        <v>727</v>
      </c>
      <c r="VNL61" s="237" t="s">
        <v>221</v>
      </c>
      <c r="VNM61" s="235" t="s">
        <v>2</v>
      </c>
      <c r="VNN61" s="235" t="s">
        <v>3</v>
      </c>
      <c r="VNO61" s="235" t="s">
        <v>618</v>
      </c>
      <c r="VNP61" s="235" t="s">
        <v>1410</v>
      </c>
      <c r="VNQ61" s="235" t="s">
        <v>1411</v>
      </c>
      <c r="VNR61" s="235" t="s">
        <v>388</v>
      </c>
      <c r="VNS61" s="237" t="s">
        <v>727</v>
      </c>
      <c r="VNT61" s="237" t="s">
        <v>221</v>
      </c>
      <c r="VNU61" s="235" t="s">
        <v>2</v>
      </c>
      <c r="VNV61" s="235" t="s">
        <v>3</v>
      </c>
      <c r="VNW61" s="235" t="s">
        <v>618</v>
      </c>
      <c r="VNX61" s="235" t="s">
        <v>1410</v>
      </c>
      <c r="VNY61" s="235" t="s">
        <v>1411</v>
      </c>
      <c r="VNZ61" s="235" t="s">
        <v>388</v>
      </c>
      <c r="VOA61" s="237" t="s">
        <v>727</v>
      </c>
      <c r="VOB61" s="237" t="s">
        <v>221</v>
      </c>
      <c r="VOC61" s="235" t="s">
        <v>2</v>
      </c>
      <c r="VOD61" s="235" t="s">
        <v>3</v>
      </c>
      <c r="VOE61" s="235" t="s">
        <v>618</v>
      </c>
      <c r="VOF61" s="235" t="s">
        <v>1410</v>
      </c>
      <c r="VOG61" s="235" t="s">
        <v>1411</v>
      </c>
      <c r="VOH61" s="235" t="s">
        <v>388</v>
      </c>
      <c r="VOI61" s="237" t="s">
        <v>727</v>
      </c>
      <c r="VOJ61" s="237" t="s">
        <v>221</v>
      </c>
      <c r="VOK61" s="235" t="s">
        <v>2</v>
      </c>
      <c r="VOL61" s="235" t="s">
        <v>3</v>
      </c>
      <c r="VOM61" s="235" t="s">
        <v>618</v>
      </c>
      <c r="VON61" s="235" t="s">
        <v>1410</v>
      </c>
      <c r="VOO61" s="235" t="s">
        <v>1411</v>
      </c>
      <c r="VOP61" s="235" t="s">
        <v>388</v>
      </c>
      <c r="VOQ61" s="237" t="s">
        <v>727</v>
      </c>
      <c r="VOR61" s="237" t="s">
        <v>221</v>
      </c>
      <c r="VOS61" s="235" t="s">
        <v>2</v>
      </c>
      <c r="VOT61" s="235" t="s">
        <v>3</v>
      </c>
      <c r="VOU61" s="235" t="s">
        <v>618</v>
      </c>
      <c r="VOV61" s="235" t="s">
        <v>1410</v>
      </c>
      <c r="VOW61" s="235" t="s">
        <v>1411</v>
      </c>
      <c r="VOX61" s="235" t="s">
        <v>388</v>
      </c>
      <c r="VOY61" s="237" t="s">
        <v>727</v>
      </c>
      <c r="VOZ61" s="237" t="s">
        <v>221</v>
      </c>
      <c r="VPA61" s="235" t="s">
        <v>2</v>
      </c>
      <c r="VPB61" s="235" t="s">
        <v>3</v>
      </c>
      <c r="VPC61" s="235" t="s">
        <v>618</v>
      </c>
      <c r="VPD61" s="235" t="s">
        <v>1410</v>
      </c>
      <c r="VPE61" s="235" t="s">
        <v>1411</v>
      </c>
      <c r="VPF61" s="235" t="s">
        <v>388</v>
      </c>
      <c r="VPG61" s="237" t="s">
        <v>727</v>
      </c>
      <c r="VPH61" s="237" t="s">
        <v>221</v>
      </c>
      <c r="VPI61" s="235" t="s">
        <v>2</v>
      </c>
      <c r="VPJ61" s="235" t="s">
        <v>3</v>
      </c>
      <c r="VPK61" s="235" t="s">
        <v>618</v>
      </c>
      <c r="VPL61" s="235" t="s">
        <v>1410</v>
      </c>
      <c r="VPM61" s="235" t="s">
        <v>1411</v>
      </c>
      <c r="VPN61" s="235" t="s">
        <v>388</v>
      </c>
      <c r="VPO61" s="237" t="s">
        <v>727</v>
      </c>
      <c r="VPP61" s="237" t="s">
        <v>221</v>
      </c>
      <c r="VPQ61" s="235" t="s">
        <v>2</v>
      </c>
      <c r="VPR61" s="235" t="s">
        <v>3</v>
      </c>
      <c r="VPS61" s="235" t="s">
        <v>618</v>
      </c>
      <c r="VPT61" s="235" t="s">
        <v>1410</v>
      </c>
      <c r="VPU61" s="235" t="s">
        <v>1411</v>
      </c>
      <c r="VPV61" s="235" t="s">
        <v>388</v>
      </c>
      <c r="VPW61" s="237" t="s">
        <v>727</v>
      </c>
      <c r="VPX61" s="237" t="s">
        <v>221</v>
      </c>
      <c r="VPY61" s="235" t="s">
        <v>2</v>
      </c>
      <c r="VPZ61" s="235" t="s">
        <v>3</v>
      </c>
      <c r="VQA61" s="235" t="s">
        <v>618</v>
      </c>
      <c r="VQB61" s="235" t="s">
        <v>1410</v>
      </c>
      <c r="VQC61" s="235" t="s">
        <v>1411</v>
      </c>
      <c r="VQD61" s="235" t="s">
        <v>388</v>
      </c>
      <c r="VQE61" s="237" t="s">
        <v>727</v>
      </c>
      <c r="VQF61" s="237" t="s">
        <v>221</v>
      </c>
      <c r="VQG61" s="235" t="s">
        <v>2</v>
      </c>
      <c r="VQH61" s="235" t="s">
        <v>3</v>
      </c>
      <c r="VQI61" s="235" t="s">
        <v>618</v>
      </c>
      <c r="VQJ61" s="235" t="s">
        <v>1410</v>
      </c>
      <c r="VQK61" s="235" t="s">
        <v>1411</v>
      </c>
      <c r="VQL61" s="235" t="s">
        <v>388</v>
      </c>
      <c r="VQM61" s="237" t="s">
        <v>727</v>
      </c>
      <c r="VQN61" s="237" t="s">
        <v>221</v>
      </c>
      <c r="VQO61" s="235" t="s">
        <v>2</v>
      </c>
      <c r="VQP61" s="235" t="s">
        <v>3</v>
      </c>
      <c r="VQQ61" s="235" t="s">
        <v>618</v>
      </c>
      <c r="VQR61" s="235" t="s">
        <v>1410</v>
      </c>
      <c r="VQS61" s="235" t="s">
        <v>1411</v>
      </c>
      <c r="VQT61" s="235" t="s">
        <v>388</v>
      </c>
      <c r="VQU61" s="237" t="s">
        <v>727</v>
      </c>
      <c r="VQV61" s="237" t="s">
        <v>221</v>
      </c>
      <c r="VQW61" s="235" t="s">
        <v>2</v>
      </c>
      <c r="VQX61" s="235" t="s">
        <v>3</v>
      </c>
      <c r="VQY61" s="235" t="s">
        <v>618</v>
      </c>
      <c r="VQZ61" s="235" t="s">
        <v>1410</v>
      </c>
      <c r="VRA61" s="235" t="s">
        <v>1411</v>
      </c>
      <c r="VRB61" s="235" t="s">
        <v>388</v>
      </c>
      <c r="VRC61" s="237" t="s">
        <v>727</v>
      </c>
      <c r="VRD61" s="237" t="s">
        <v>221</v>
      </c>
      <c r="VRE61" s="235" t="s">
        <v>2</v>
      </c>
      <c r="VRF61" s="235" t="s">
        <v>3</v>
      </c>
      <c r="VRG61" s="235" t="s">
        <v>618</v>
      </c>
      <c r="VRH61" s="235" t="s">
        <v>1410</v>
      </c>
      <c r="VRI61" s="235" t="s">
        <v>1411</v>
      </c>
      <c r="VRJ61" s="235" t="s">
        <v>388</v>
      </c>
      <c r="VRK61" s="237" t="s">
        <v>727</v>
      </c>
      <c r="VRL61" s="237" t="s">
        <v>221</v>
      </c>
      <c r="VRM61" s="235" t="s">
        <v>2</v>
      </c>
      <c r="VRN61" s="235" t="s">
        <v>3</v>
      </c>
      <c r="VRO61" s="235" t="s">
        <v>618</v>
      </c>
      <c r="VRP61" s="235" t="s">
        <v>1410</v>
      </c>
      <c r="VRQ61" s="235" t="s">
        <v>1411</v>
      </c>
      <c r="VRR61" s="235" t="s">
        <v>388</v>
      </c>
      <c r="VRS61" s="237" t="s">
        <v>727</v>
      </c>
      <c r="VRT61" s="237" t="s">
        <v>221</v>
      </c>
      <c r="VRU61" s="235" t="s">
        <v>2</v>
      </c>
      <c r="VRV61" s="235" t="s">
        <v>3</v>
      </c>
      <c r="VRW61" s="235" t="s">
        <v>618</v>
      </c>
      <c r="VRX61" s="235" t="s">
        <v>1410</v>
      </c>
      <c r="VRY61" s="235" t="s">
        <v>1411</v>
      </c>
      <c r="VRZ61" s="235" t="s">
        <v>388</v>
      </c>
      <c r="VSA61" s="237" t="s">
        <v>727</v>
      </c>
      <c r="VSB61" s="237" t="s">
        <v>221</v>
      </c>
      <c r="VSC61" s="235" t="s">
        <v>2</v>
      </c>
      <c r="VSD61" s="235" t="s">
        <v>3</v>
      </c>
      <c r="VSE61" s="235" t="s">
        <v>618</v>
      </c>
      <c r="VSF61" s="235" t="s">
        <v>1410</v>
      </c>
      <c r="VSG61" s="235" t="s">
        <v>1411</v>
      </c>
      <c r="VSH61" s="235" t="s">
        <v>388</v>
      </c>
      <c r="VSI61" s="237" t="s">
        <v>727</v>
      </c>
      <c r="VSJ61" s="237" t="s">
        <v>221</v>
      </c>
      <c r="VSK61" s="235" t="s">
        <v>2</v>
      </c>
      <c r="VSL61" s="235" t="s">
        <v>3</v>
      </c>
      <c r="VSM61" s="235" t="s">
        <v>618</v>
      </c>
      <c r="VSN61" s="235" t="s">
        <v>1410</v>
      </c>
      <c r="VSO61" s="235" t="s">
        <v>1411</v>
      </c>
      <c r="VSP61" s="235" t="s">
        <v>388</v>
      </c>
      <c r="VSQ61" s="237" t="s">
        <v>727</v>
      </c>
      <c r="VSR61" s="237" t="s">
        <v>221</v>
      </c>
      <c r="VSS61" s="235" t="s">
        <v>2</v>
      </c>
      <c r="VST61" s="235" t="s">
        <v>3</v>
      </c>
      <c r="VSU61" s="235" t="s">
        <v>618</v>
      </c>
      <c r="VSV61" s="235" t="s">
        <v>1410</v>
      </c>
      <c r="VSW61" s="235" t="s">
        <v>1411</v>
      </c>
      <c r="VSX61" s="235" t="s">
        <v>388</v>
      </c>
      <c r="VSY61" s="237" t="s">
        <v>727</v>
      </c>
      <c r="VSZ61" s="237" t="s">
        <v>221</v>
      </c>
      <c r="VTA61" s="235" t="s">
        <v>2</v>
      </c>
      <c r="VTB61" s="235" t="s">
        <v>3</v>
      </c>
      <c r="VTC61" s="235" t="s">
        <v>618</v>
      </c>
      <c r="VTD61" s="235" t="s">
        <v>1410</v>
      </c>
      <c r="VTE61" s="235" t="s">
        <v>1411</v>
      </c>
      <c r="VTF61" s="235" t="s">
        <v>388</v>
      </c>
      <c r="VTG61" s="237" t="s">
        <v>727</v>
      </c>
      <c r="VTH61" s="237" t="s">
        <v>221</v>
      </c>
      <c r="VTI61" s="235" t="s">
        <v>2</v>
      </c>
      <c r="VTJ61" s="235" t="s">
        <v>3</v>
      </c>
      <c r="VTK61" s="235" t="s">
        <v>618</v>
      </c>
      <c r="VTL61" s="235" t="s">
        <v>1410</v>
      </c>
      <c r="VTM61" s="235" t="s">
        <v>1411</v>
      </c>
      <c r="VTN61" s="235" t="s">
        <v>388</v>
      </c>
      <c r="VTO61" s="237" t="s">
        <v>727</v>
      </c>
      <c r="VTP61" s="237" t="s">
        <v>221</v>
      </c>
      <c r="VTQ61" s="235" t="s">
        <v>2</v>
      </c>
      <c r="VTR61" s="235" t="s">
        <v>3</v>
      </c>
      <c r="VTS61" s="235" t="s">
        <v>618</v>
      </c>
      <c r="VTT61" s="235" t="s">
        <v>1410</v>
      </c>
      <c r="VTU61" s="235" t="s">
        <v>1411</v>
      </c>
      <c r="VTV61" s="235" t="s">
        <v>388</v>
      </c>
      <c r="VTW61" s="237" t="s">
        <v>727</v>
      </c>
      <c r="VTX61" s="237" t="s">
        <v>221</v>
      </c>
      <c r="VTY61" s="235" t="s">
        <v>2</v>
      </c>
      <c r="VTZ61" s="235" t="s">
        <v>3</v>
      </c>
      <c r="VUA61" s="235" t="s">
        <v>618</v>
      </c>
      <c r="VUB61" s="235" t="s">
        <v>1410</v>
      </c>
      <c r="VUC61" s="235" t="s">
        <v>1411</v>
      </c>
      <c r="VUD61" s="235" t="s">
        <v>388</v>
      </c>
      <c r="VUE61" s="237" t="s">
        <v>727</v>
      </c>
      <c r="VUF61" s="237" t="s">
        <v>221</v>
      </c>
      <c r="VUG61" s="235" t="s">
        <v>2</v>
      </c>
      <c r="VUH61" s="235" t="s">
        <v>3</v>
      </c>
      <c r="VUI61" s="235" t="s">
        <v>618</v>
      </c>
      <c r="VUJ61" s="235" t="s">
        <v>1410</v>
      </c>
      <c r="VUK61" s="235" t="s">
        <v>1411</v>
      </c>
      <c r="VUL61" s="235" t="s">
        <v>388</v>
      </c>
      <c r="VUM61" s="237" t="s">
        <v>727</v>
      </c>
      <c r="VUN61" s="237" t="s">
        <v>221</v>
      </c>
      <c r="VUO61" s="235" t="s">
        <v>2</v>
      </c>
      <c r="VUP61" s="235" t="s">
        <v>3</v>
      </c>
      <c r="VUQ61" s="235" t="s">
        <v>618</v>
      </c>
      <c r="VUR61" s="235" t="s">
        <v>1410</v>
      </c>
      <c r="VUS61" s="235" t="s">
        <v>1411</v>
      </c>
      <c r="VUT61" s="235" t="s">
        <v>388</v>
      </c>
      <c r="VUU61" s="237" t="s">
        <v>727</v>
      </c>
      <c r="VUV61" s="237" t="s">
        <v>221</v>
      </c>
      <c r="VUW61" s="235" t="s">
        <v>2</v>
      </c>
      <c r="VUX61" s="235" t="s">
        <v>3</v>
      </c>
      <c r="VUY61" s="235" t="s">
        <v>618</v>
      </c>
      <c r="VUZ61" s="235" t="s">
        <v>1410</v>
      </c>
      <c r="VVA61" s="235" t="s">
        <v>1411</v>
      </c>
      <c r="VVB61" s="235" t="s">
        <v>388</v>
      </c>
      <c r="VVC61" s="237" t="s">
        <v>727</v>
      </c>
      <c r="VVD61" s="237" t="s">
        <v>221</v>
      </c>
      <c r="VVE61" s="235" t="s">
        <v>2</v>
      </c>
      <c r="VVF61" s="235" t="s">
        <v>3</v>
      </c>
      <c r="VVG61" s="235" t="s">
        <v>618</v>
      </c>
      <c r="VVH61" s="235" t="s">
        <v>1410</v>
      </c>
      <c r="VVI61" s="235" t="s">
        <v>1411</v>
      </c>
      <c r="VVJ61" s="235" t="s">
        <v>388</v>
      </c>
      <c r="VVK61" s="237" t="s">
        <v>727</v>
      </c>
      <c r="VVL61" s="237" t="s">
        <v>221</v>
      </c>
      <c r="VVM61" s="235" t="s">
        <v>2</v>
      </c>
      <c r="VVN61" s="235" t="s">
        <v>3</v>
      </c>
      <c r="VVO61" s="235" t="s">
        <v>618</v>
      </c>
      <c r="VVP61" s="235" t="s">
        <v>1410</v>
      </c>
      <c r="VVQ61" s="235" t="s">
        <v>1411</v>
      </c>
      <c r="VVR61" s="235" t="s">
        <v>388</v>
      </c>
      <c r="VVS61" s="237" t="s">
        <v>727</v>
      </c>
      <c r="VVT61" s="237" t="s">
        <v>221</v>
      </c>
      <c r="VVU61" s="235" t="s">
        <v>2</v>
      </c>
      <c r="VVV61" s="235" t="s">
        <v>3</v>
      </c>
      <c r="VVW61" s="235" t="s">
        <v>618</v>
      </c>
      <c r="VVX61" s="235" t="s">
        <v>1410</v>
      </c>
      <c r="VVY61" s="235" t="s">
        <v>1411</v>
      </c>
      <c r="VVZ61" s="235" t="s">
        <v>388</v>
      </c>
      <c r="VWA61" s="237" t="s">
        <v>727</v>
      </c>
      <c r="VWB61" s="237" t="s">
        <v>221</v>
      </c>
      <c r="VWC61" s="235" t="s">
        <v>2</v>
      </c>
      <c r="VWD61" s="235" t="s">
        <v>3</v>
      </c>
      <c r="VWE61" s="235" t="s">
        <v>618</v>
      </c>
      <c r="VWF61" s="235" t="s">
        <v>1410</v>
      </c>
      <c r="VWG61" s="235" t="s">
        <v>1411</v>
      </c>
      <c r="VWH61" s="235" t="s">
        <v>388</v>
      </c>
      <c r="VWI61" s="237" t="s">
        <v>727</v>
      </c>
      <c r="VWJ61" s="237" t="s">
        <v>221</v>
      </c>
      <c r="VWK61" s="235" t="s">
        <v>2</v>
      </c>
      <c r="VWL61" s="235" t="s">
        <v>3</v>
      </c>
      <c r="VWM61" s="235" t="s">
        <v>618</v>
      </c>
      <c r="VWN61" s="235" t="s">
        <v>1410</v>
      </c>
      <c r="VWO61" s="235" t="s">
        <v>1411</v>
      </c>
      <c r="VWP61" s="235" t="s">
        <v>388</v>
      </c>
      <c r="VWQ61" s="237" t="s">
        <v>727</v>
      </c>
      <c r="VWR61" s="237" t="s">
        <v>221</v>
      </c>
      <c r="VWS61" s="235" t="s">
        <v>2</v>
      </c>
      <c r="VWT61" s="235" t="s">
        <v>3</v>
      </c>
      <c r="VWU61" s="235" t="s">
        <v>618</v>
      </c>
      <c r="VWV61" s="235" t="s">
        <v>1410</v>
      </c>
      <c r="VWW61" s="235" t="s">
        <v>1411</v>
      </c>
      <c r="VWX61" s="235" t="s">
        <v>388</v>
      </c>
      <c r="VWY61" s="237" t="s">
        <v>727</v>
      </c>
      <c r="VWZ61" s="237" t="s">
        <v>221</v>
      </c>
      <c r="VXA61" s="235" t="s">
        <v>2</v>
      </c>
      <c r="VXB61" s="235" t="s">
        <v>3</v>
      </c>
      <c r="VXC61" s="235" t="s">
        <v>618</v>
      </c>
      <c r="VXD61" s="235" t="s">
        <v>1410</v>
      </c>
      <c r="VXE61" s="235" t="s">
        <v>1411</v>
      </c>
      <c r="VXF61" s="235" t="s">
        <v>388</v>
      </c>
      <c r="VXG61" s="237" t="s">
        <v>727</v>
      </c>
      <c r="VXH61" s="237" t="s">
        <v>221</v>
      </c>
      <c r="VXI61" s="235" t="s">
        <v>2</v>
      </c>
      <c r="VXJ61" s="235" t="s">
        <v>3</v>
      </c>
      <c r="VXK61" s="235" t="s">
        <v>618</v>
      </c>
      <c r="VXL61" s="235" t="s">
        <v>1410</v>
      </c>
      <c r="VXM61" s="235" t="s">
        <v>1411</v>
      </c>
      <c r="VXN61" s="235" t="s">
        <v>388</v>
      </c>
      <c r="VXO61" s="237" t="s">
        <v>727</v>
      </c>
      <c r="VXP61" s="237" t="s">
        <v>221</v>
      </c>
      <c r="VXQ61" s="235" t="s">
        <v>2</v>
      </c>
      <c r="VXR61" s="235" t="s">
        <v>3</v>
      </c>
      <c r="VXS61" s="235" t="s">
        <v>618</v>
      </c>
      <c r="VXT61" s="235" t="s">
        <v>1410</v>
      </c>
      <c r="VXU61" s="235" t="s">
        <v>1411</v>
      </c>
      <c r="VXV61" s="235" t="s">
        <v>388</v>
      </c>
      <c r="VXW61" s="237" t="s">
        <v>727</v>
      </c>
      <c r="VXX61" s="237" t="s">
        <v>221</v>
      </c>
      <c r="VXY61" s="235" t="s">
        <v>2</v>
      </c>
      <c r="VXZ61" s="235" t="s">
        <v>3</v>
      </c>
      <c r="VYA61" s="235" t="s">
        <v>618</v>
      </c>
      <c r="VYB61" s="235" t="s">
        <v>1410</v>
      </c>
      <c r="VYC61" s="235" t="s">
        <v>1411</v>
      </c>
      <c r="VYD61" s="235" t="s">
        <v>388</v>
      </c>
      <c r="VYE61" s="237" t="s">
        <v>727</v>
      </c>
      <c r="VYF61" s="237" t="s">
        <v>221</v>
      </c>
      <c r="VYG61" s="235" t="s">
        <v>2</v>
      </c>
      <c r="VYH61" s="235" t="s">
        <v>3</v>
      </c>
      <c r="VYI61" s="235" t="s">
        <v>618</v>
      </c>
      <c r="VYJ61" s="235" t="s">
        <v>1410</v>
      </c>
      <c r="VYK61" s="235" t="s">
        <v>1411</v>
      </c>
      <c r="VYL61" s="235" t="s">
        <v>388</v>
      </c>
      <c r="VYM61" s="237" t="s">
        <v>727</v>
      </c>
      <c r="VYN61" s="237" t="s">
        <v>221</v>
      </c>
      <c r="VYO61" s="235" t="s">
        <v>2</v>
      </c>
      <c r="VYP61" s="235" t="s">
        <v>3</v>
      </c>
      <c r="VYQ61" s="235" t="s">
        <v>618</v>
      </c>
      <c r="VYR61" s="235" t="s">
        <v>1410</v>
      </c>
      <c r="VYS61" s="235" t="s">
        <v>1411</v>
      </c>
      <c r="VYT61" s="235" t="s">
        <v>388</v>
      </c>
      <c r="VYU61" s="237" t="s">
        <v>727</v>
      </c>
      <c r="VYV61" s="237" t="s">
        <v>221</v>
      </c>
      <c r="VYW61" s="235" t="s">
        <v>2</v>
      </c>
      <c r="VYX61" s="235" t="s">
        <v>3</v>
      </c>
      <c r="VYY61" s="235" t="s">
        <v>618</v>
      </c>
      <c r="VYZ61" s="235" t="s">
        <v>1410</v>
      </c>
      <c r="VZA61" s="235" t="s">
        <v>1411</v>
      </c>
      <c r="VZB61" s="235" t="s">
        <v>388</v>
      </c>
      <c r="VZC61" s="237" t="s">
        <v>727</v>
      </c>
      <c r="VZD61" s="237" t="s">
        <v>221</v>
      </c>
      <c r="VZE61" s="235" t="s">
        <v>2</v>
      </c>
      <c r="VZF61" s="235" t="s">
        <v>3</v>
      </c>
      <c r="VZG61" s="235" t="s">
        <v>618</v>
      </c>
      <c r="VZH61" s="235" t="s">
        <v>1410</v>
      </c>
      <c r="VZI61" s="235" t="s">
        <v>1411</v>
      </c>
      <c r="VZJ61" s="235" t="s">
        <v>388</v>
      </c>
      <c r="VZK61" s="237" t="s">
        <v>727</v>
      </c>
      <c r="VZL61" s="237" t="s">
        <v>221</v>
      </c>
      <c r="VZM61" s="235" t="s">
        <v>2</v>
      </c>
      <c r="VZN61" s="235" t="s">
        <v>3</v>
      </c>
      <c r="VZO61" s="235" t="s">
        <v>618</v>
      </c>
      <c r="VZP61" s="235" t="s">
        <v>1410</v>
      </c>
      <c r="VZQ61" s="235" t="s">
        <v>1411</v>
      </c>
      <c r="VZR61" s="235" t="s">
        <v>388</v>
      </c>
      <c r="VZS61" s="237" t="s">
        <v>727</v>
      </c>
      <c r="VZT61" s="237" t="s">
        <v>221</v>
      </c>
      <c r="VZU61" s="235" t="s">
        <v>2</v>
      </c>
      <c r="VZV61" s="235" t="s">
        <v>3</v>
      </c>
      <c r="VZW61" s="235" t="s">
        <v>618</v>
      </c>
      <c r="VZX61" s="235" t="s">
        <v>1410</v>
      </c>
      <c r="VZY61" s="235" t="s">
        <v>1411</v>
      </c>
      <c r="VZZ61" s="235" t="s">
        <v>388</v>
      </c>
      <c r="WAA61" s="237" t="s">
        <v>727</v>
      </c>
      <c r="WAB61" s="237" t="s">
        <v>221</v>
      </c>
      <c r="WAC61" s="235" t="s">
        <v>2</v>
      </c>
      <c r="WAD61" s="235" t="s">
        <v>3</v>
      </c>
      <c r="WAE61" s="235" t="s">
        <v>618</v>
      </c>
      <c r="WAF61" s="235" t="s">
        <v>1410</v>
      </c>
      <c r="WAG61" s="235" t="s">
        <v>1411</v>
      </c>
      <c r="WAH61" s="235" t="s">
        <v>388</v>
      </c>
      <c r="WAI61" s="237" t="s">
        <v>727</v>
      </c>
      <c r="WAJ61" s="237" t="s">
        <v>221</v>
      </c>
      <c r="WAK61" s="235" t="s">
        <v>2</v>
      </c>
      <c r="WAL61" s="235" t="s">
        <v>3</v>
      </c>
      <c r="WAM61" s="235" t="s">
        <v>618</v>
      </c>
      <c r="WAN61" s="235" t="s">
        <v>1410</v>
      </c>
      <c r="WAO61" s="235" t="s">
        <v>1411</v>
      </c>
      <c r="WAP61" s="235" t="s">
        <v>388</v>
      </c>
      <c r="WAQ61" s="237" t="s">
        <v>727</v>
      </c>
      <c r="WAR61" s="237" t="s">
        <v>221</v>
      </c>
      <c r="WAS61" s="235" t="s">
        <v>2</v>
      </c>
      <c r="WAT61" s="235" t="s">
        <v>3</v>
      </c>
      <c r="WAU61" s="235" t="s">
        <v>618</v>
      </c>
      <c r="WAV61" s="235" t="s">
        <v>1410</v>
      </c>
      <c r="WAW61" s="235" t="s">
        <v>1411</v>
      </c>
      <c r="WAX61" s="235" t="s">
        <v>388</v>
      </c>
      <c r="WAY61" s="237" t="s">
        <v>727</v>
      </c>
      <c r="WAZ61" s="237" t="s">
        <v>221</v>
      </c>
      <c r="WBA61" s="235" t="s">
        <v>2</v>
      </c>
      <c r="WBB61" s="235" t="s">
        <v>3</v>
      </c>
      <c r="WBC61" s="235" t="s">
        <v>618</v>
      </c>
      <c r="WBD61" s="235" t="s">
        <v>1410</v>
      </c>
      <c r="WBE61" s="235" t="s">
        <v>1411</v>
      </c>
      <c r="WBF61" s="235" t="s">
        <v>388</v>
      </c>
      <c r="WBG61" s="237" t="s">
        <v>727</v>
      </c>
      <c r="WBH61" s="237" t="s">
        <v>221</v>
      </c>
      <c r="WBI61" s="235" t="s">
        <v>2</v>
      </c>
      <c r="WBJ61" s="235" t="s">
        <v>3</v>
      </c>
      <c r="WBK61" s="235" t="s">
        <v>618</v>
      </c>
      <c r="WBL61" s="235" t="s">
        <v>1410</v>
      </c>
      <c r="WBM61" s="235" t="s">
        <v>1411</v>
      </c>
      <c r="WBN61" s="235" t="s">
        <v>388</v>
      </c>
      <c r="WBO61" s="237" t="s">
        <v>727</v>
      </c>
      <c r="WBP61" s="237" t="s">
        <v>221</v>
      </c>
      <c r="WBQ61" s="235" t="s">
        <v>2</v>
      </c>
      <c r="WBR61" s="235" t="s">
        <v>3</v>
      </c>
      <c r="WBS61" s="235" t="s">
        <v>618</v>
      </c>
      <c r="WBT61" s="235" t="s">
        <v>1410</v>
      </c>
      <c r="WBU61" s="235" t="s">
        <v>1411</v>
      </c>
      <c r="WBV61" s="235" t="s">
        <v>388</v>
      </c>
      <c r="WBW61" s="237" t="s">
        <v>727</v>
      </c>
      <c r="WBX61" s="237" t="s">
        <v>221</v>
      </c>
      <c r="WBY61" s="235" t="s">
        <v>2</v>
      </c>
      <c r="WBZ61" s="235" t="s">
        <v>3</v>
      </c>
      <c r="WCA61" s="235" t="s">
        <v>618</v>
      </c>
      <c r="WCB61" s="235" t="s">
        <v>1410</v>
      </c>
      <c r="WCC61" s="235" t="s">
        <v>1411</v>
      </c>
      <c r="WCD61" s="235" t="s">
        <v>388</v>
      </c>
      <c r="WCE61" s="237" t="s">
        <v>727</v>
      </c>
      <c r="WCF61" s="237" t="s">
        <v>221</v>
      </c>
      <c r="WCG61" s="235" t="s">
        <v>2</v>
      </c>
      <c r="WCH61" s="235" t="s">
        <v>3</v>
      </c>
      <c r="WCI61" s="235" t="s">
        <v>618</v>
      </c>
      <c r="WCJ61" s="235" t="s">
        <v>1410</v>
      </c>
      <c r="WCK61" s="235" t="s">
        <v>1411</v>
      </c>
      <c r="WCL61" s="235" t="s">
        <v>388</v>
      </c>
      <c r="WCM61" s="237" t="s">
        <v>727</v>
      </c>
      <c r="WCN61" s="237" t="s">
        <v>221</v>
      </c>
      <c r="WCO61" s="235" t="s">
        <v>2</v>
      </c>
      <c r="WCP61" s="235" t="s">
        <v>3</v>
      </c>
      <c r="WCQ61" s="235" t="s">
        <v>618</v>
      </c>
      <c r="WCR61" s="235" t="s">
        <v>1410</v>
      </c>
      <c r="WCS61" s="235" t="s">
        <v>1411</v>
      </c>
      <c r="WCT61" s="235" t="s">
        <v>388</v>
      </c>
      <c r="WCU61" s="237" t="s">
        <v>727</v>
      </c>
      <c r="WCV61" s="237" t="s">
        <v>221</v>
      </c>
      <c r="WCW61" s="235" t="s">
        <v>2</v>
      </c>
      <c r="WCX61" s="235" t="s">
        <v>3</v>
      </c>
      <c r="WCY61" s="235" t="s">
        <v>618</v>
      </c>
      <c r="WCZ61" s="235" t="s">
        <v>1410</v>
      </c>
      <c r="WDA61" s="235" t="s">
        <v>1411</v>
      </c>
      <c r="WDB61" s="235" t="s">
        <v>388</v>
      </c>
      <c r="WDC61" s="237" t="s">
        <v>727</v>
      </c>
      <c r="WDD61" s="237" t="s">
        <v>221</v>
      </c>
      <c r="WDE61" s="235" t="s">
        <v>2</v>
      </c>
      <c r="WDF61" s="235" t="s">
        <v>3</v>
      </c>
      <c r="WDG61" s="235" t="s">
        <v>618</v>
      </c>
      <c r="WDH61" s="235" t="s">
        <v>1410</v>
      </c>
      <c r="WDI61" s="235" t="s">
        <v>1411</v>
      </c>
      <c r="WDJ61" s="235" t="s">
        <v>388</v>
      </c>
      <c r="WDK61" s="237" t="s">
        <v>727</v>
      </c>
      <c r="WDL61" s="237" t="s">
        <v>221</v>
      </c>
      <c r="WDM61" s="235" t="s">
        <v>2</v>
      </c>
      <c r="WDN61" s="235" t="s">
        <v>3</v>
      </c>
      <c r="WDO61" s="235" t="s">
        <v>618</v>
      </c>
      <c r="WDP61" s="235" t="s">
        <v>1410</v>
      </c>
      <c r="WDQ61" s="235" t="s">
        <v>1411</v>
      </c>
      <c r="WDR61" s="235" t="s">
        <v>388</v>
      </c>
      <c r="WDS61" s="237" t="s">
        <v>727</v>
      </c>
      <c r="WDT61" s="237" t="s">
        <v>221</v>
      </c>
      <c r="WDU61" s="235" t="s">
        <v>2</v>
      </c>
      <c r="WDV61" s="235" t="s">
        <v>3</v>
      </c>
      <c r="WDW61" s="235" t="s">
        <v>618</v>
      </c>
      <c r="WDX61" s="235" t="s">
        <v>1410</v>
      </c>
      <c r="WDY61" s="235" t="s">
        <v>1411</v>
      </c>
      <c r="WDZ61" s="235" t="s">
        <v>388</v>
      </c>
      <c r="WEA61" s="237" t="s">
        <v>727</v>
      </c>
      <c r="WEB61" s="237" t="s">
        <v>221</v>
      </c>
      <c r="WEC61" s="235" t="s">
        <v>2</v>
      </c>
      <c r="WED61" s="235" t="s">
        <v>3</v>
      </c>
      <c r="WEE61" s="235" t="s">
        <v>618</v>
      </c>
      <c r="WEF61" s="235" t="s">
        <v>1410</v>
      </c>
      <c r="WEG61" s="235" t="s">
        <v>1411</v>
      </c>
      <c r="WEH61" s="235" t="s">
        <v>388</v>
      </c>
      <c r="WEI61" s="237" t="s">
        <v>727</v>
      </c>
      <c r="WEJ61" s="237" t="s">
        <v>221</v>
      </c>
      <c r="WEK61" s="235" t="s">
        <v>2</v>
      </c>
      <c r="WEL61" s="235" t="s">
        <v>3</v>
      </c>
      <c r="WEM61" s="235" t="s">
        <v>618</v>
      </c>
      <c r="WEN61" s="235" t="s">
        <v>1410</v>
      </c>
      <c r="WEO61" s="235" t="s">
        <v>1411</v>
      </c>
      <c r="WEP61" s="235" t="s">
        <v>388</v>
      </c>
      <c r="WEQ61" s="237" t="s">
        <v>727</v>
      </c>
      <c r="WER61" s="237" t="s">
        <v>221</v>
      </c>
      <c r="WES61" s="235" t="s">
        <v>2</v>
      </c>
      <c r="WET61" s="235" t="s">
        <v>3</v>
      </c>
      <c r="WEU61" s="235" t="s">
        <v>618</v>
      </c>
      <c r="WEV61" s="235" t="s">
        <v>1410</v>
      </c>
      <c r="WEW61" s="235" t="s">
        <v>1411</v>
      </c>
      <c r="WEX61" s="235" t="s">
        <v>388</v>
      </c>
      <c r="WEY61" s="237" t="s">
        <v>727</v>
      </c>
      <c r="WEZ61" s="237" t="s">
        <v>221</v>
      </c>
      <c r="WFA61" s="235" t="s">
        <v>2</v>
      </c>
      <c r="WFB61" s="235" t="s">
        <v>3</v>
      </c>
      <c r="WFC61" s="235" t="s">
        <v>618</v>
      </c>
      <c r="WFD61" s="235" t="s">
        <v>1410</v>
      </c>
      <c r="WFE61" s="235" t="s">
        <v>1411</v>
      </c>
      <c r="WFF61" s="235" t="s">
        <v>388</v>
      </c>
      <c r="WFG61" s="237" t="s">
        <v>727</v>
      </c>
      <c r="WFH61" s="237" t="s">
        <v>221</v>
      </c>
      <c r="WFI61" s="235" t="s">
        <v>2</v>
      </c>
      <c r="WFJ61" s="235" t="s">
        <v>3</v>
      </c>
      <c r="WFK61" s="235" t="s">
        <v>618</v>
      </c>
      <c r="WFL61" s="235" t="s">
        <v>1410</v>
      </c>
      <c r="WFM61" s="235" t="s">
        <v>1411</v>
      </c>
      <c r="WFN61" s="235" t="s">
        <v>388</v>
      </c>
      <c r="WFO61" s="237" t="s">
        <v>727</v>
      </c>
      <c r="WFP61" s="237" t="s">
        <v>221</v>
      </c>
      <c r="WFQ61" s="235" t="s">
        <v>2</v>
      </c>
      <c r="WFR61" s="235" t="s">
        <v>3</v>
      </c>
      <c r="WFS61" s="235" t="s">
        <v>618</v>
      </c>
      <c r="WFT61" s="235" t="s">
        <v>1410</v>
      </c>
      <c r="WFU61" s="235" t="s">
        <v>1411</v>
      </c>
      <c r="WFV61" s="235" t="s">
        <v>388</v>
      </c>
      <c r="WFW61" s="237" t="s">
        <v>727</v>
      </c>
      <c r="WFX61" s="237" t="s">
        <v>221</v>
      </c>
      <c r="WFY61" s="235" t="s">
        <v>2</v>
      </c>
      <c r="WFZ61" s="235" t="s">
        <v>3</v>
      </c>
      <c r="WGA61" s="235" t="s">
        <v>618</v>
      </c>
      <c r="WGB61" s="235" t="s">
        <v>1410</v>
      </c>
      <c r="WGC61" s="235" t="s">
        <v>1411</v>
      </c>
      <c r="WGD61" s="235" t="s">
        <v>388</v>
      </c>
      <c r="WGE61" s="237" t="s">
        <v>727</v>
      </c>
      <c r="WGF61" s="237" t="s">
        <v>221</v>
      </c>
      <c r="WGG61" s="235" t="s">
        <v>2</v>
      </c>
      <c r="WGH61" s="235" t="s">
        <v>3</v>
      </c>
      <c r="WGI61" s="235" t="s">
        <v>618</v>
      </c>
      <c r="WGJ61" s="235" t="s">
        <v>1410</v>
      </c>
      <c r="WGK61" s="235" t="s">
        <v>1411</v>
      </c>
      <c r="WGL61" s="235" t="s">
        <v>388</v>
      </c>
      <c r="WGM61" s="237" t="s">
        <v>727</v>
      </c>
      <c r="WGN61" s="237" t="s">
        <v>221</v>
      </c>
      <c r="WGO61" s="235" t="s">
        <v>2</v>
      </c>
      <c r="WGP61" s="235" t="s">
        <v>3</v>
      </c>
      <c r="WGQ61" s="235" t="s">
        <v>618</v>
      </c>
      <c r="WGR61" s="235" t="s">
        <v>1410</v>
      </c>
      <c r="WGS61" s="235" t="s">
        <v>1411</v>
      </c>
      <c r="WGT61" s="235" t="s">
        <v>388</v>
      </c>
      <c r="WGU61" s="237" t="s">
        <v>727</v>
      </c>
      <c r="WGV61" s="237" t="s">
        <v>221</v>
      </c>
      <c r="WGW61" s="235" t="s">
        <v>2</v>
      </c>
      <c r="WGX61" s="235" t="s">
        <v>3</v>
      </c>
      <c r="WGY61" s="235" t="s">
        <v>618</v>
      </c>
      <c r="WGZ61" s="235" t="s">
        <v>1410</v>
      </c>
      <c r="WHA61" s="235" t="s">
        <v>1411</v>
      </c>
      <c r="WHB61" s="235" t="s">
        <v>388</v>
      </c>
      <c r="WHC61" s="237" t="s">
        <v>727</v>
      </c>
      <c r="WHD61" s="237" t="s">
        <v>221</v>
      </c>
      <c r="WHE61" s="235" t="s">
        <v>2</v>
      </c>
      <c r="WHF61" s="235" t="s">
        <v>3</v>
      </c>
      <c r="WHG61" s="235" t="s">
        <v>618</v>
      </c>
      <c r="WHH61" s="235" t="s">
        <v>1410</v>
      </c>
      <c r="WHI61" s="235" t="s">
        <v>1411</v>
      </c>
      <c r="WHJ61" s="235" t="s">
        <v>388</v>
      </c>
      <c r="WHK61" s="237" t="s">
        <v>727</v>
      </c>
      <c r="WHL61" s="237" t="s">
        <v>221</v>
      </c>
      <c r="WHM61" s="235" t="s">
        <v>2</v>
      </c>
      <c r="WHN61" s="235" t="s">
        <v>3</v>
      </c>
      <c r="WHO61" s="235" t="s">
        <v>618</v>
      </c>
      <c r="WHP61" s="235" t="s">
        <v>1410</v>
      </c>
      <c r="WHQ61" s="235" t="s">
        <v>1411</v>
      </c>
      <c r="WHR61" s="235" t="s">
        <v>388</v>
      </c>
      <c r="WHS61" s="237" t="s">
        <v>727</v>
      </c>
      <c r="WHT61" s="237" t="s">
        <v>221</v>
      </c>
      <c r="WHU61" s="235" t="s">
        <v>2</v>
      </c>
      <c r="WHV61" s="235" t="s">
        <v>3</v>
      </c>
      <c r="WHW61" s="235" t="s">
        <v>618</v>
      </c>
      <c r="WHX61" s="235" t="s">
        <v>1410</v>
      </c>
      <c r="WHY61" s="235" t="s">
        <v>1411</v>
      </c>
      <c r="WHZ61" s="235" t="s">
        <v>388</v>
      </c>
      <c r="WIA61" s="237" t="s">
        <v>727</v>
      </c>
      <c r="WIB61" s="237" t="s">
        <v>221</v>
      </c>
      <c r="WIC61" s="235" t="s">
        <v>2</v>
      </c>
      <c r="WID61" s="235" t="s">
        <v>3</v>
      </c>
      <c r="WIE61" s="235" t="s">
        <v>618</v>
      </c>
      <c r="WIF61" s="235" t="s">
        <v>1410</v>
      </c>
      <c r="WIG61" s="235" t="s">
        <v>1411</v>
      </c>
      <c r="WIH61" s="235" t="s">
        <v>388</v>
      </c>
      <c r="WII61" s="237" t="s">
        <v>727</v>
      </c>
      <c r="WIJ61" s="237" t="s">
        <v>221</v>
      </c>
      <c r="WIK61" s="235" t="s">
        <v>2</v>
      </c>
      <c r="WIL61" s="235" t="s">
        <v>3</v>
      </c>
      <c r="WIM61" s="235" t="s">
        <v>618</v>
      </c>
      <c r="WIN61" s="235" t="s">
        <v>1410</v>
      </c>
      <c r="WIO61" s="235" t="s">
        <v>1411</v>
      </c>
      <c r="WIP61" s="235" t="s">
        <v>388</v>
      </c>
      <c r="WIQ61" s="237" t="s">
        <v>727</v>
      </c>
      <c r="WIR61" s="237" t="s">
        <v>221</v>
      </c>
      <c r="WIS61" s="235" t="s">
        <v>2</v>
      </c>
      <c r="WIT61" s="235" t="s">
        <v>3</v>
      </c>
      <c r="WIU61" s="235" t="s">
        <v>618</v>
      </c>
      <c r="WIV61" s="235" t="s">
        <v>1410</v>
      </c>
      <c r="WIW61" s="235" t="s">
        <v>1411</v>
      </c>
      <c r="WIX61" s="235" t="s">
        <v>388</v>
      </c>
      <c r="WIY61" s="237" t="s">
        <v>727</v>
      </c>
      <c r="WIZ61" s="237" t="s">
        <v>221</v>
      </c>
      <c r="WJA61" s="235" t="s">
        <v>2</v>
      </c>
      <c r="WJB61" s="235" t="s">
        <v>3</v>
      </c>
      <c r="WJC61" s="235" t="s">
        <v>618</v>
      </c>
      <c r="WJD61" s="235" t="s">
        <v>1410</v>
      </c>
      <c r="WJE61" s="235" t="s">
        <v>1411</v>
      </c>
      <c r="WJF61" s="235" t="s">
        <v>388</v>
      </c>
      <c r="WJG61" s="237" t="s">
        <v>727</v>
      </c>
      <c r="WJH61" s="237" t="s">
        <v>221</v>
      </c>
      <c r="WJI61" s="235" t="s">
        <v>2</v>
      </c>
      <c r="WJJ61" s="235" t="s">
        <v>3</v>
      </c>
      <c r="WJK61" s="235" t="s">
        <v>618</v>
      </c>
      <c r="WJL61" s="235" t="s">
        <v>1410</v>
      </c>
      <c r="WJM61" s="235" t="s">
        <v>1411</v>
      </c>
      <c r="WJN61" s="235" t="s">
        <v>388</v>
      </c>
      <c r="WJO61" s="237" t="s">
        <v>727</v>
      </c>
      <c r="WJP61" s="237" t="s">
        <v>221</v>
      </c>
      <c r="WJQ61" s="235" t="s">
        <v>2</v>
      </c>
      <c r="WJR61" s="235" t="s">
        <v>3</v>
      </c>
      <c r="WJS61" s="235" t="s">
        <v>618</v>
      </c>
      <c r="WJT61" s="235" t="s">
        <v>1410</v>
      </c>
      <c r="WJU61" s="235" t="s">
        <v>1411</v>
      </c>
      <c r="WJV61" s="235" t="s">
        <v>388</v>
      </c>
      <c r="WJW61" s="237" t="s">
        <v>727</v>
      </c>
      <c r="WJX61" s="237" t="s">
        <v>221</v>
      </c>
      <c r="WJY61" s="235" t="s">
        <v>2</v>
      </c>
      <c r="WJZ61" s="235" t="s">
        <v>3</v>
      </c>
      <c r="WKA61" s="235" t="s">
        <v>618</v>
      </c>
      <c r="WKB61" s="235" t="s">
        <v>1410</v>
      </c>
      <c r="WKC61" s="235" t="s">
        <v>1411</v>
      </c>
      <c r="WKD61" s="235" t="s">
        <v>388</v>
      </c>
      <c r="WKE61" s="237" t="s">
        <v>727</v>
      </c>
      <c r="WKF61" s="237" t="s">
        <v>221</v>
      </c>
      <c r="WKG61" s="235" t="s">
        <v>2</v>
      </c>
      <c r="WKH61" s="235" t="s">
        <v>3</v>
      </c>
      <c r="WKI61" s="235" t="s">
        <v>618</v>
      </c>
      <c r="WKJ61" s="235" t="s">
        <v>1410</v>
      </c>
      <c r="WKK61" s="235" t="s">
        <v>1411</v>
      </c>
      <c r="WKL61" s="235" t="s">
        <v>388</v>
      </c>
      <c r="WKM61" s="237" t="s">
        <v>727</v>
      </c>
      <c r="WKN61" s="237" t="s">
        <v>221</v>
      </c>
      <c r="WKO61" s="235" t="s">
        <v>2</v>
      </c>
      <c r="WKP61" s="235" t="s">
        <v>3</v>
      </c>
      <c r="WKQ61" s="235" t="s">
        <v>618</v>
      </c>
      <c r="WKR61" s="235" t="s">
        <v>1410</v>
      </c>
      <c r="WKS61" s="235" t="s">
        <v>1411</v>
      </c>
      <c r="WKT61" s="235" t="s">
        <v>388</v>
      </c>
      <c r="WKU61" s="237" t="s">
        <v>727</v>
      </c>
      <c r="WKV61" s="237" t="s">
        <v>221</v>
      </c>
      <c r="WKW61" s="235" t="s">
        <v>2</v>
      </c>
      <c r="WKX61" s="235" t="s">
        <v>3</v>
      </c>
      <c r="WKY61" s="235" t="s">
        <v>618</v>
      </c>
      <c r="WKZ61" s="235" t="s">
        <v>1410</v>
      </c>
      <c r="WLA61" s="235" t="s">
        <v>1411</v>
      </c>
      <c r="WLB61" s="235" t="s">
        <v>388</v>
      </c>
      <c r="WLC61" s="237" t="s">
        <v>727</v>
      </c>
      <c r="WLD61" s="237" t="s">
        <v>221</v>
      </c>
      <c r="WLE61" s="235" t="s">
        <v>2</v>
      </c>
      <c r="WLF61" s="235" t="s">
        <v>3</v>
      </c>
      <c r="WLG61" s="235" t="s">
        <v>618</v>
      </c>
      <c r="WLH61" s="235" t="s">
        <v>1410</v>
      </c>
      <c r="WLI61" s="235" t="s">
        <v>1411</v>
      </c>
      <c r="WLJ61" s="235" t="s">
        <v>388</v>
      </c>
      <c r="WLK61" s="237" t="s">
        <v>727</v>
      </c>
      <c r="WLL61" s="237" t="s">
        <v>221</v>
      </c>
      <c r="WLM61" s="235" t="s">
        <v>2</v>
      </c>
      <c r="WLN61" s="235" t="s">
        <v>3</v>
      </c>
      <c r="WLO61" s="235" t="s">
        <v>618</v>
      </c>
      <c r="WLP61" s="235" t="s">
        <v>1410</v>
      </c>
      <c r="WLQ61" s="235" t="s">
        <v>1411</v>
      </c>
      <c r="WLR61" s="235" t="s">
        <v>388</v>
      </c>
      <c r="WLS61" s="237" t="s">
        <v>727</v>
      </c>
      <c r="WLT61" s="237" t="s">
        <v>221</v>
      </c>
      <c r="WLU61" s="235" t="s">
        <v>2</v>
      </c>
      <c r="WLV61" s="235" t="s">
        <v>3</v>
      </c>
      <c r="WLW61" s="235" t="s">
        <v>618</v>
      </c>
      <c r="WLX61" s="235" t="s">
        <v>1410</v>
      </c>
      <c r="WLY61" s="235" t="s">
        <v>1411</v>
      </c>
      <c r="WLZ61" s="235" t="s">
        <v>388</v>
      </c>
      <c r="WMA61" s="237" t="s">
        <v>727</v>
      </c>
      <c r="WMB61" s="237" t="s">
        <v>221</v>
      </c>
      <c r="WMC61" s="235" t="s">
        <v>2</v>
      </c>
      <c r="WMD61" s="235" t="s">
        <v>3</v>
      </c>
      <c r="WME61" s="235" t="s">
        <v>618</v>
      </c>
      <c r="WMF61" s="235" t="s">
        <v>1410</v>
      </c>
      <c r="WMG61" s="235" t="s">
        <v>1411</v>
      </c>
      <c r="WMH61" s="235" t="s">
        <v>388</v>
      </c>
      <c r="WMI61" s="237" t="s">
        <v>727</v>
      </c>
      <c r="WMJ61" s="237" t="s">
        <v>221</v>
      </c>
      <c r="WMK61" s="235" t="s">
        <v>2</v>
      </c>
      <c r="WML61" s="235" t="s">
        <v>3</v>
      </c>
      <c r="WMM61" s="235" t="s">
        <v>618</v>
      </c>
      <c r="WMN61" s="235" t="s">
        <v>1410</v>
      </c>
      <c r="WMO61" s="235" t="s">
        <v>1411</v>
      </c>
      <c r="WMP61" s="235" t="s">
        <v>388</v>
      </c>
      <c r="WMQ61" s="237" t="s">
        <v>727</v>
      </c>
      <c r="WMR61" s="237" t="s">
        <v>221</v>
      </c>
      <c r="WMS61" s="235" t="s">
        <v>2</v>
      </c>
      <c r="WMT61" s="235" t="s">
        <v>3</v>
      </c>
      <c r="WMU61" s="235" t="s">
        <v>618</v>
      </c>
      <c r="WMV61" s="235" t="s">
        <v>1410</v>
      </c>
      <c r="WMW61" s="235" t="s">
        <v>1411</v>
      </c>
      <c r="WMX61" s="235" t="s">
        <v>388</v>
      </c>
      <c r="WMY61" s="237" t="s">
        <v>727</v>
      </c>
      <c r="WMZ61" s="237" t="s">
        <v>221</v>
      </c>
      <c r="WNA61" s="235" t="s">
        <v>2</v>
      </c>
      <c r="WNB61" s="235" t="s">
        <v>3</v>
      </c>
      <c r="WNC61" s="235" t="s">
        <v>618</v>
      </c>
      <c r="WND61" s="235" t="s">
        <v>1410</v>
      </c>
      <c r="WNE61" s="235" t="s">
        <v>1411</v>
      </c>
      <c r="WNF61" s="235" t="s">
        <v>388</v>
      </c>
      <c r="WNG61" s="237" t="s">
        <v>727</v>
      </c>
      <c r="WNH61" s="237" t="s">
        <v>221</v>
      </c>
      <c r="WNI61" s="235" t="s">
        <v>2</v>
      </c>
      <c r="WNJ61" s="235" t="s">
        <v>3</v>
      </c>
      <c r="WNK61" s="235" t="s">
        <v>618</v>
      </c>
      <c r="WNL61" s="235" t="s">
        <v>1410</v>
      </c>
      <c r="WNM61" s="235" t="s">
        <v>1411</v>
      </c>
      <c r="WNN61" s="235" t="s">
        <v>388</v>
      </c>
      <c r="WNO61" s="237" t="s">
        <v>727</v>
      </c>
      <c r="WNP61" s="237" t="s">
        <v>221</v>
      </c>
      <c r="WNQ61" s="235" t="s">
        <v>2</v>
      </c>
      <c r="WNR61" s="235" t="s">
        <v>3</v>
      </c>
      <c r="WNS61" s="235" t="s">
        <v>618</v>
      </c>
      <c r="WNT61" s="235" t="s">
        <v>1410</v>
      </c>
      <c r="WNU61" s="235" t="s">
        <v>1411</v>
      </c>
      <c r="WNV61" s="235" t="s">
        <v>388</v>
      </c>
      <c r="WNW61" s="237" t="s">
        <v>727</v>
      </c>
      <c r="WNX61" s="237" t="s">
        <v>221</v>
      </c>
      <c r="WNY61" s="235" t="s">
        <v>2</v>
      </c>
      <c r="WNZ61" s="235" t="s">
        <v>3</v>
      </c>
      <c r="WOA61" s="235" t="s">
        <v>618</v>
      </c>
      <c r="WOB61" s="235" t="s">
        <v>1410</v>
      </c>
      <c r="WOC61" s="235" t="s">
        <v>1411</v>
      </c>
      <c r="WOD61" s="235" t="s">
        <v>388</v>
      </c>
      <c r="WOE61" s="237" t="s">
        <v>727</v>
      </c>
      <c r="WOF61" s="237" t="s">
        <v>221</v>
      </c>
      <c r="WOG61" s="235" t="s">
        <v>2</v>
      </c>
      <c r="WOH61" s="235" t="s">
        <v>3</v>
      </c>
      <c r="WOI61" s="235" t="s">
        <v>618</v>
      </c>
      <c r="WOJ61" s="235" t="s">
        <v>1410</v>
      </c>
      <c r="WOK61" s="235" t="s">
        <v>1411</v>
      </c>
      <c r="WOL61" s="235" t="s">
        <v>388</v>
      </c>
      <c r="WOM61" s="237" t="s">
        <v>727</v>
      </c>
      <c r="WON61" s="237" t="s">
        <v>221</v>
      </c>
      <c r="WOO61" s="235" t="s">
        <v>2</v>
      </c>
      <c r="WOP61" s="235" t="s">
        <v>3</v>
      </c>
      <c r="WOQ61" s="235" t="s">
        <v>618</v>
      </c>
      <c r="WOR61" s="235" t="s">
        <v>1410</v>
      </c>
      <c r="WOS61" s="235" t="s">
        <v>1411</v>
      </c>
      <c r="WOT61" s="235" t="s">
        <v>388</v>
      </c>
      <c r="WOU61" s="237" t="s">
        <v>727</v>
      </c>
      <c r="WOV61" s="237" t="s">
        <v>221</v>
      </c>
      <c r="WOW61" s="235" t="s">
        <v>2</v>
      </c>
      <c r="WOX61" s="235" t="s">
        <v>3</v>
      </c>
      <c r="WOY61" s="235" t="s">
        <v>618</v>
      </c>
      <c r="WOZ61" s="235" t="s">
        <v>1410</v>
      </c>
      <c r="WPA61" s="235" t="s">
        <v>1411</v>
      </c>
      <c r="WPB61" s="235" t="s">
        <v>388</v>
      </c>
      <c r="WPC61" s="237" t="s">
        <v>727</v>
      </c>
      <c r="WPD61" s="237" t="s">
        <v>221</v>
      </c>
      <c r="WPE61" s="235" t="s">
        <v>2</v>
      </c>
      <c r="WPF61" s="235" t="s">
        <v>3</v>
      </c>
      <c r="WPG61" s="235" t="s">
        <v>618</v>
      </c>
      <c r="WPH61" s="235" t="s">
        <v>1410</v>
      </c>
      <c r="WPI61" s="235" t="s">
        <v>1411</v>
      </c>
      <c r="WPJ61" s="235" t="s">
        <v>388</v>
      </c>
      <c r="WPK61" s="237" t="s">
        <v>727</v>
      </c>
      <c r="WPL61" s="237" t="s">
        <v>221</v>
      </c>
      <c r="WPM61" s="235" t="s">
        <v>2</v>
      </c>
      <c r="WPN61" s="235" t="s">
        <v>3</v>
      </c>
      <c r="WPO61" s="235" t="s">
        <v>618</v>
      </c>
      <c r="WPP61" s="235" t="s">
        <v>1410</v>
      </c>
      <c r="WPQ61" s="235" t="s">
        <v>1411</v>
      </c>
      <c r="WPR61" s="235" t="s">
        <v>388</v>
      </c>
      <c r="WPS61" s="237" t="s">
        <v>727</v>
      </c>
      <c r="WPT61" s="237" t="s">
        <v>221</v>
      </c>
      <c r="WPU61" s="235" t="s">
        <v>2</v>
      </c>
      <c r="WPV61" s="235" t="s">
        <v>3</v>
      </c>
      <c r="WPW61" s="235" t="s">
        <v>618</v>
      </c>
      <c r="WPX61" s="235" t="s">
        <v>1410</v>
      </c>
      <c r="WPY61" s="235" t="s">
        <v>1411</v>
      </c>
      <c r="WPZ61" s="235" t="s">
        <v>388</v>
      </c>
      <c r="WQA61" s="237" t="s">
        <v>727</v>
      </c>
      <c r="WQB61" s="237" t="s">
        <v>221</v>
      </c>
      <c r="WQC61" s="235" t="s">
        <v>2</v>
      </c>
      <c r="WQD61" s="235" t="s">
        <v>3</v>
      </c>
      <c r="WQE61" s="235" t="s">
        <v>618</v>
      </c>
      <c r="WQF61" s="235" t="s">
        <v>1410</v>
      </c>
      <c r="WQG61" s="235" t="s">
        <v>1411</v>
      </c>
      <c r="WQH61" s="235" t="s">
        <v>388</v>
      </c>
      <c r="WQI61" s="237" t="s">
        <v>727</v>
      </c>
      <c r="WQJ61" s="237" t="s">
        <v>221</v>
      </c>
      <c r="WQK61" s="235" t="s">
        <v>2</v>
      </c>
      <c r="WQL61" s="235" t="s">
        <v>3</v>
      </c>
      <c r="WQM61" s="235" t="s">
        <v>618</v>
      </c>
      <c r="WQN61" s="235" t="s">
        <v>1410</v>
      </c>
      <c r="WQO61" s="235" t="s">
        <v>1411</v>
      </c>
      <c r="WQP61" s="235" t="s">
        <v>388</v>
      </c>
      <c r="WQQ61" s="237" t="s">
        <v>727</v>
      </c>
      <c r="WQR61" s="237" t="s">
        <v>221</v>
      </c>
      <c r="WQS61" s="235" t="s">
        <v>2</v>
      </c>
      <c r="WQT61" s="235" t="s">
        <v>3</v>
      </c>
      <c r="WQU61" s="235" t="s">
        <v>618</v>
      </c>
      <c r="WQV61" s="235" t="s">
        <v>1410</v>
      </c>
      <c r="WQW61" s="235" t="s">
        <v>1411</v>
      </c>
      <c r="WQX61" s="235" t="s">
        <v>388</v>
      </c>
      <c r="WQY61" s="237" t="s">
        <v>727</v>
      </c>
      <c r="WQZ61" s="237" t="s">
        <v>221</v>
      </c>
      <c r="WRA61" s="235" t="s">
        <v>2</v>
      </c>
      <c r="WRB61" s="235" t="s">
        <v>3</v>
      </c>
      <c r="WRC61" s="235" t="s">
        <v>618</v>
      </c>
      <c r="WRD61" s="235" t="s">
        <v>1410</v>
      </c>
      <c r="WRE61" s="235" t="s">
        <v>1411</v>
      </c>
      <c r="WRF61" s="235" t="s">
        <v>388</v>
      </c>
      <c r="WRG61" s="237" t="s">
        <v>727</v>
      </c>
      <c r="WRH61" s="237" t="s">
        <v>221</v>
      </c>
      <c r="WRI61" s="235" t="s">
        <v>2</v>
      </c>
      <c r="WRJ61" s="235" t="s">
        <v>3</v>
      </c>
      <c r="WRK61" s="235" t="s">
        <v>618</v>
      </c>
      <c r="WRL61" s="235" t="s">
        <v>1410</v>
      </c>
      <c r="WRM61" s="235" t="s">
        <v>1411</v>
      </c>
      <c r="WRN61" s="235" t="s">
        <v>388</v>
      </c>
      <c r="WRO61" s="237" t="s">
        <v>727</v>
      </c>
      <c r="WRP61" s="237" t="s">
        <v>221</v>
      </c>
      <c r="WRQ61" s="235" t="s">
        <v>2</v>
      </c>
      <c r="WRR61" s="235" t="s">
        <v>3</v>
      </c>
      <c r="WRS61" s="235" t="s">
        <v>618</v>
      </c>
      <c r="WRT61" s="235" t="s">
        <v>1410</v>
      </c>
      <c r="WRU61" s="235" t="s">
        <v>1411</v>
      </c>
      <c r="WRV61" s="235" t="s">
        <v>388</v>
      </c>
      <c r="WRW61" s="237" t="s">
        <v>727</v>
      </c>
      <c r="WRX61" s="237" t="s">
        <v>221</v>
      </c>
      <c r="WRY61" s="235" t="s">
        <v>2</v>
      </c>
      <c r="WRZ61" s="235" t="s">
        <v>3</v>
      </c>
      <c r="WSA61" s="235" t="s">
        <v>618</v>
      </c>
      <c r="WSB61" s="235" t="s">
        <v>1410</v>
      </c>
      <c r="WSC61" s="235" t="s">
        <v>1411</v>
      </c>
      <c r="WSD61" s="235" t="s">
        <v>388</v>
      </c>
      <c r="WSE61" s="237" t="s">
        <v>727</v>
      </c>
      <c r="WSF61" s="237" t="s">
        <v>221</v>
      </c>
      <c r="WSG61" s="235" t="s">
        <v>2</v>
      </c>
      <c r="WSH61" s="235" t="s">
        <v>3</v>
      </c>
      <c r="WSI61" s="235" t="s">
        <v>618</v>
      </c>
      <c r="WSJ61" s="235" t="s">
        <v>1410</v>
      </c>
      <c r="WSK61" s="235" t="s">
        <v>1411</v>
      </c>
      <c r="WSL61" s="235" t="s">
        <v>388</v>
      </c>
      <c r="WSM61" s="237" t="s">
        <v>727</v>
      </c>
      <c r="WSN61" s="237" t="s">
        <v>221</v>
      </c>
      <c r="WSO61" s="235" t="s">
        <v>2</v>
      </c>
      <c r="WSP61" s="235" t="s">
        <v>3</v>
      </c>
      <c r="WSQ61" s="235" t="s">
        <v>618</v>
      </c>
      <c r="WSR61" s="235" t="s">
        <v>1410</v>
      </c>
      <c r="WSS61" s="235" t="s">
        <v>1411</v>
      </c>
      <c r="WST61" s="235" t="s">
        <v>388</v>
      </c>
      <c r="WSU61" s="237" t="s">
        <v>727</v>
      </c>
      <c r="WSV61" s="237" t="s">
        <v>221</v>
      </c>
      <c r="WSW61" s="235" t="s">
        <v>2</v>
      </c>
      <c r="WSX61" s="235" t="s">
        <v>3</v>
      </c>
      <c r="WSY61" s="235" t="s">
        <v>618</v>
      </c>
      <c r="WSZ61" s="235" t="s">
        <v>1410</v>
      </c>
      <c r="WTA61" s="235" t="s">
        <v>1411</v>
      </c>
      <c r="WTB61" s="235" t="s">
        <v>388</v>
      </c>
      <c r="WTC61" s="237" t="s">
        <v>727</v>
      </c>
      <c r="WTD61" s="237" t="s">
        <v>221</v>
      </c>
      <c r="WTE61" s="235" t="s">
        <v>2</v>
      </c>
      <c r="WTF61" s="235" t="s">
        <v>3</v>
      </c>
      <c r="WTG61" s="235" t="s">
        <v>618</v>
      </c>
      <c r="WTH61" s="235" t="s">
        <v>1410</v>
      </c>
      <c r="WTI61" s="235" t="s">
        <v>1411</v>
      </c>
      <c r="WTJ61" s="235" t="s">
        <v>388</v>
      </c>
      <c r="WTK61" s="237" t="s">
        <v>727</v>
      </c>
      <c r="WTL61" s="237" t="s">
        <v>221</v>
      </c>
      <c r="WTM61" s="235" t="s">
        <v>2</v>
      </c>
      <c r="WTN61" s="235" t="s">
        <v>3</v>
      </c>
      <c r="WTO61" s="235" t="s">
        <v>618</v>
      </c>
      <c r="WTP61" s="235" t="s">
        <v>1410</v>
      </c>
      <c r="WTQ61" s="235" t="s">
        <v>1411</v>
      </c>
      <c r="WTR61" s="235" t="s">
        <v>388</v>
      </c>
      <c r="WTS61" s="237" t="s">
        <v>727</v>
      </c>
      <c r="WTT61" s="237" t="s">
        <v>221</v>
      </c>
      <c r="WTU61" s="235" t="s">
        <v>2</v>
      </c>
      <c r="WTV61" s="235" t="s">
        <v>3</v>
      </c>
      <c r="WTW61" s="235" t="s">
        <v>618</v>
      </c>
      <c r="WTX61" s="235" t="s">
        <v>1410</v>
      </c>
      <c r="WTY61" s="235" t="s">
        <v>1411</v>
      </c>
      <c r="WTZ61" s="235" t="s">
        <v>388</v>
      </c>
      <c r="WUA61" s="237" t="s">
        <v>727</v>
      </c>
      <c r="WUB61" s="237" t="s">
        <v>221</v>
      </c>
      <c r="WUC61" s="235" t="s">
        <v>2</v>
      </c>
      <c r="WUD61" s="235" t="s">
        <v>3</v>
      </c>
      <c r="WUE61" s="235" t="s">
        <v>618</v>
      </c>
      <c r="WUF61" s="235" t="s">
        <v>1410</v>
      </c>
      <c r="WUG61" s="235" t="s">
        <v>1411</v>
      </c>
      <c r="WUH61" s="235" t="s">
        <v>388</v>
      </c>
      <c r="WUI61" s="237" t="s">
        <v>727</v>
      </c>
      <c r="WUJ61" s="237" t="s">
        <v>221</v>
      </c>
      <c r="WUK61" s="235" t="s">
        <v>2</v>
      </c>
      <c r="WUL61" s="235" t="s">
        <v>3</v>
      </c>
      <c r="WUM61" s="235" t="s">
        <v>618</v>
      </c>
      <c r="WUN61" s="235" t="s">
        <v>1410</v>
      </c>
      <c r="WUO61" s="235" t="s">
        <v>1411</v>
      </c>
      <c r="WUP61" s="235" t="s">
        <v>388</v>
      </c>
      <c r="WUQ61" s="237" t="s">
        <v>727</v>
      </c>
      <c r="WUR61" s="237" t="s">
        <v>221</v>
      </c>
      <c r="WUS61" s="235" t="s">
        <v>2</v>
      </c>
      <c r="WUT61" s="235" t="s">
        <v>3</v>
      </c>
      <c r="WUU61" s="235" t="s">
        <v>618</v>
      </c>
      <c r="WUV61" s="235" t="s">
        <v>1410</v>
      </c>
      <c r="WUW61" s="235" t="s">
        <v>1411</v>
      </c>
      <c r="WUX61" s="235" t="s">
        <v>388</v>
      </c>
      <c r="WUY61" s="237" t="s">
        <v>727</v>
      </c>
      <c r="WUZ61" s="237" t="s">
        <v>221</v>
      </c>
      <c r="WVA61" s="235" t="s">
        <v>2</v>
      </c>
      <c r="WVB61" s="235" t="s">
        <v>3</v>
      </c>
      <c r="WVC61" s="235" t="s">
        <v>618</v>
      </c>
      <c r="WVD61" s="235" t="s">
        <v>1410</v>
      </c>
      <c r="WVE61" s="235" t="s">
        <v>1411</v>
      </c>
      <c r="WVF61" s="235" t="s">
        <v>388</v>
      </c>
      <c r="WVG61" s="237" t="s">
        <v>727</v>
      </c>
      <c r="WVH61" s="237" t="s">
        <v>221</v>
      </c>
      <c r="WVI61" s="235" t="s">
        <v>2</v>
      </c>
      <c r="WVJ61" s="235" t="s">
        <v>3</v>
      </c>
      <c r="WVK61" s="235" t="s">
        <v>618</v>
      </c>
      <c r="WVL61" s="235" t="s">
        <v>1410</v>
      </c>
      <c r="WVM61" s="235" t="s">
        <v>1411</v>
      </c>
      <c r="WVN61" s="235" t="s">
        <v>388</v>
      </c>
      <c r="WVO61" s="237" t="s">
        <v>727</v>
      </c>
      <c r="WVP61" s="237" t="s">
        <v>221</v>
      </c>
      <c r="WVQ61" s="235" t="s">
        <v>2</v>
      </c>
      <c r="WVR61" s="235" t="s">
        <v>3</v>
      </c>
      <c r="WVS61" s="235" t="s">
        <v>618</v>
      </c>
      <c r="WVT61" s="235" t="s">
        <v>1410</v>
      </c>
      <c r="WVU61" s="235" t="s">
        <v>1411</v>
      </c>
      <c r="WVV61" s="235" t="s">
        <v>388</v>
      </c>
      <c r="WVW61" s="237" t="s">
        <v>727</v>
      </c>
      <c r="WVX61" s="237" t="s">
        <v>221</v>
      </c>
      <c r="WVY61" s="235" t="s">
        <v>2</v>
      </c>
      <c r="WVZ61" s="235" t="s">
        <v>3</v>
      </c>
      <c r="WWA61" s="235" t="s">
        <v>618</v>
      </c>
      <c r="WWB61" s="235" t="s">
        <v>1410</v>
      </c>
      <c r="WWC61" s="235" t="s">
        <v>1411</v>
      </c>
      <c r="WWD61" s="235" t="s">
        <v>388</v>
      </c>
      <c r="WWE61" s="237" t="s">
        <v>727</v>
      </c>
      <c r="WWF61" s="237" t="s">
        <v>221</v>
      </c>
      <c r="WWG61" s="235" t="s">
        <v>2</v>
      </c>
      <c r="WWH61" s="235" t="s">
        <v>3</v>
      </c>
      <c r="WWI61" s="235" t="s">
        <v>618</v>
      </c>
      <c r="WWJ61" s="235" t="s">
        <v>1410</v>
      </c>
      <c r="WWK61" s="235" t="s">
        <v>1411</v>
      </c>
      <c r="WWL61" s="235" t="s">
        <v>388</v>
      </c>
      <c r="WWM61" s="237" t="s">
        <v>727</v>
      </c>
      <c r="WWN61" s="237" t="s">
        <v>221</v>
      </c>
      <c r="WWO61" s="235" t="s">
        <v>2</v>
      </c>
      <c r="WWP61" s="235" t="s">
        <v>3</v>
      </c>
      <c r="WWQ61" s="235" t="s">
        <v>618</v>
      </c>
      <c r="WWR61" s="235" t="s">
        <v>1410</v>
      </c>
      <c r="WWS61" s="235" t="s">
        <v>1411</v>
      </c>
      <c r="WWT61" s="235" t="s">
        <v>388</v>
      </c>
      <c r="WWU61" s="237" t="s">
        <v>727</v>
      </c>
      <c r="WWV61" s="237" t="s">
        <v>221</v>
      </c>
      <c r="WWW61" s="235" t="s">
        <v>2</v>
      </c>
      <c r="WWX61" s="235" t="s">
        <v>3</v>
      </c>
      <c r="WWY61" s="235" t="s">
        <v>618</v>
      </c>
      <c r="WWZ61" s="235" t="s">
        <v>1410</v>
      </c>
      <c r="WXA61" s="235" t="s">
        <v>1411</v>
      </c>
      <c r="WXB61" s="235" t="s">
        <v>388</v>
      </c>
      <c r="WXC61" s="237" t="s">
        <v>727</v>
      </c>
      <c r="WXD61" s="237" t="s">
        <v>221</v>
      </c>
      <c r="WXE61" s="235" t="s">
        <v>2</v>
      </c>
      <c r="WXF61" s="235" t="s">
        <v>3</v>
      </c>
      <c r="WXG61" s="235" t="s">
        <v>618</v>
      </c>
      <c r="WXH61" s="235" t="s">
        <v>1410</v>
      </c>
      <c r="WXI61" s="235" t="s">
        <v>1411</v>
      </c>
      <c r="WXJ61" s="235" t="s">
        <v>388</v>
      </c>
      <c r="WXK61" s="237" t="s">
        <v>727</v>
      </c>
      <c r="WXL61" s="237" t="s">
        <v>221</v>
      </c>
      <c r="WXM61" s="235" t="s">
        <v>2</v>
      </c>
      <c r="WXN61" s="235" t="s">
        <v>3</v>
      </c>
      <c r="WXO61" s="235" t="s">
        <v>618</v>
      </c>
      <c r="WXP61" s="235" t="s">
        <v>1410</v>
      </c>
      <c r="WXQ61" s="235" t="s">
        <v>1411</v>
      </c>
      <c r="WXR61" s="235" t="s">
        <v>388</v>
      </c>
      <c r="WXS61" s="237" t="s">
        <v>727</v>
      </c>
      <c r="WXT61" s="237" t="s">
        <v>221</v>
      </c>
      <c r="WXU61" s="235" t="s">
        <v>2</v>
      </c>
      <c r="WXV61" s="235" t="s">
        <v>3</v>
      </c>
      <c r="WXW61" s="235" t="s">
        <v>618</v>
      </c>
      <c r="WXX61" s="235" t="s">
        <v>1410</v>
      </c>
      <c r="WXY61" s="235" t="s">
        <v>1411</v>
      </c>
      <c r="WXZ61" s="235" t="s">
        <v>388</v>
      </c>
      <c r="WYA61" s="237" t="s">
        <v>727</v>
      </c>
      <c r="WYB61" s="237" t="s">
        <v>221</v>
      </c>
      <c r="WYC61" s="235" t="s">
        <v>2</v>
      </c>
      <c r="WYD61" s="235" t="s">
        <v>3</v>
      </c>
      <c r="WYE61" s="235" t="s">
        <v>618</v>
      </c>
      <c r="WYF61" s="235" t="s">
        <v>1410</v>
      </c>
      <c r="WYG61" s="235" t="s">
        <v>1411</v>
      </c>
      <c r="WYH61" s="235" t="s">
        <v>388</v>
      </c>
      <c r="WYI61" s="237" t="s">
        <v>727</v>
      </c>
      <c r="WYJ61" s="237" t="s">
        <v>221</v>
      </c>
      <c r="WYK61" s="235" t="s">
        <v>2</v>
      </c>
      <c r="WYL61" s="235" t="s">
        <v>3</v>
      </c>
      <c r="WYM61" s="235" t="s">
        <v>618</v>
      </c>
      <c r="WYN61" s="235" t="s">
        <v>1410</v>
      </c>
      <c r="WYO61" s="235" t="s">
        <v>1411</v>
      </c>
      <c r="WYP61" s="235" t="s">
        <v>388</v>
      </c>
      <c r="WYQ61" s="237" t="s">
        <v>727</v>
      </c>
      <c r="WYR61" s="237" t="s">
        <v>221</v>
      </c>
      <c r="WYS61" s="235" t="s">
        <v>2</v>
      </c>
      <c r="WYT61" s="235" t="s">
        <v>3</v>
      </c>
      <c r="WYU61" s="235" t="s">
        <v>618</v>
      </c>
      <c r="WYV61" s="235" t="s">
        <v>1410</v>
      </c>
      <c r="WYW61" s="235" t="s">
        <v>1411</v>
      </c>
      <c r="WYX61" s="235" t="s">
        <v>388</v>
      </c>
      <c r="WYY61" s="237" t="s">
        <v>727</v>
      </c>
      <c r="WYZ61" s="237" t="s">
        <v>221</v>
      </c>
      <c r="WZA61" s="235" t="s">
        <v>2</v>
      </c>
      <c r="WZB61" s="235" t="s">
        <v>3</v>
      </c>
      <c r="WZC61" s="235" t="s">
        <v>618</v>
      </c>
      <c r="WZD61" s="235" t="s">
        <v>1410</v>
      </c>
      <c r="WZE61" s="235" t="s">
        <v>1411</v>
      </c>
      <c r="WZF61" s="235" t="s">
        <v>388</v>
      </c>
      <c r="WZG61" s="237" t="s">
        <v>727</v>
      </c>
      <c r="WZH61" s="237" t="s">
        <v>221</v>
      </c>
      <c r="WZI61" s="235" t="s">
        <v>2</v>
      </c>
      <c r="WZJ61" s="235" t="s">
        <v>3</v>
      </c>
      <c r="WZK61" s="235" t="s">
        <v>618</v>
      </c>
      <c r="WZL61" s="235" t="s">
        <v>1410</v>
      </c>
      <c r="WZM61" s="235" t="s">
        <v>1411</v>
      </c>
      <c r="WZN61" s="235" t="s">
        <v>388</v>
      </c>
      <c r="WZO61" s="237" t="s">
        <v>727</v>
      </c>
      <c r="WZP61" s="237" t="s">
        <v>221</v>
      </c>
      <c r="WZQ61" s="235" t="s">
        <v>2</v>
      </c>
      <c r="WZR61" s="235" t="s">
        <v>3</v>
      </c>
      <c r="WZS61" s="235" t="s">
        <v>618</v>
      </c>
      <c r="WZT61" s="235" t="s">
        <v>1410</v>
      </c>
      <c r="WZU61" s="235" t="s">
        <v>1411</v>
      </c>
      <c r="WZV61" s="235" t="s">
        <v>388</v>
      </c>
      <c r="WZW61" s="237" t="s">
        <v>727</v>
      </c>
      <c r="WZX61" s="237" t="s">
        <v>221</v>
      </c>
      <c r="WZY61" s="235" t="s">
        <v>2</v>
      </c>
      <c r="WZZ61" s="235" t="s">
        <v>3</v>
      </c>
      <c r="XAA61" s="235" t="s">
        <v>618</v>
      </c>
      <c r="XAB61" s="235" t="s">
        <v>1410</v>
      </c>
      <c r="XAC61" s="235" t="s">
        <v>1411</v>
      </c>
      <c r="XAD61" s="235" t="s">
        <v>388</v>
      </c>
      <c r="XAE61" s="237" t="s">
        <v>727</v>
      </c>
      <c r="XAF61" s="237" t="s">
        <v>221</v>
      </c>
      <c r="XAG61" s="235" t="s">
        <v>2</v>
      </c>
      <c r="XAH61" s="235" t="s">
        <v>3</v>
      </c>
      <c r="XAI61" s="235" t="s">
        <v>618</v>
      </c>
      <c r="XAJ61" s="235" t="s">
        <v>1410</v>
      </c>
      <c r="XAK61" s="235" t="s">
        <v>1411</v>
      </c>
      <c r="XAL61" s="235" t="s">
        <v>388</v>
      </c>
      <c r="XAM61" s="237" t="s">
        <v>727</v>
      </c>
      <c r="XAN61" s="237" t="s">
        <v>221</v>
      </c>
      <c r="XAO61" s="235" t="s">
        <v>2</v>
      </c>
      <c r="XAP61" s="235" t="s">
        <v>3</v>
      </c>
      <c r="XAQ61" s="235" t="s">
        <v>618</v>
      </c>
      <c r="XAR61" s="235" t="s">
        <v>1410</v>
      </c>
      <c r="XAS61" s="235" t="s">
        <v>1411</v>
      </c>
      <c r="XAT61" s="235" t="s">
        <v>388</v>
      </c>
      <c r="XAU61" s="237" t="s">
        <v>727</v>
      </c>
      <c r="XAV61" s="237" t="s">
        <v>221</v>
      </c>
      <c r="XAW61" s="235" t="s">
        <v>2</v>
      </c>
      <c r="XAX61" s="235" t="s">
        <v>3</v>
      </c>
      <c r="XAY61" s="235" t="s">
        <v>618</v>
      </c>
      <c r="XAZ61" s="235" t="s">
        <v>1410</v>
      </c>
      <c r="XBA61" s="235" t="s">
        <v>1411</v>
      </c>
      <c r="XBB61" s="235" t="s">
        <v>388</v>
      </c>
      <c r="XBC61" s="237" t="s">
        <v>727</v>
      </c>
      <c r="XBD61" s="237" t="s">
        <v>221</v>
      </c>
      <c r="XBE61" s="235" t="s">
        <v>2</v>
      </c>
      <c r="XBF61" s="235" t="s">
        <v>3</v>
      </c>
      <c r="XBG61" s="235" t="s">
        <v>618</v>
      </c>
      <c r="XBH61" s="235" t="s">
        <v>1410</v>
      </c>
      <c r="XBI61" s="235" t="s">
        <v>1411</v>
      </c>
      <c r="XBJ61" s="235" t="s">
        <v>388</v>
      </c>
      <c r="XBK61" s="237" t="s">
        <v>727</v>
      </c>
      <c r="XBL61" s="237" t="s">
        <v>221</v>
      </c>
      <c r="XBM61" s="235" t="s">
        <v>2</v>
      </c>
      <c r="XBN61" s="235" t="s">
        <v>3</v>
      </c>
      <c r="XBO61" s="235" t="s">
        <v>618</v>
      </c>
      <c r="XBP61" s="235" t="s">
        <v>1410</v>
      </c>
      <c r="XBQ61" s="235" t="s">
        <v>1411</v>
      </c>
      <c r="XBR61" s="235" t="s">
        <v>388</v>
      </c>
      <c r="XBS61" s="237" t="s">
        <v>727</v>
      </c>
      <c r="XBT61" s="237" t="s">
        <v>221</v>
      </c>
      <c r="XBU61" s="235" t="s">
        <v>2</v>
      </c>
      <c r="XBV61" s="235" t="s">
        <v>3</v>
      </c>
      <c r="XBW61" s="235" t="s">
        <v>618</v>
      </c>
      <c r="XBX61" s="235" t="s">
        <v>1410</v>
      </c>
      <c r="XBY61" s="235" t="s">
        <v>1411</v>
      </c>
      <c r="XBZ61" s="235" t="s">
        <v>388</v>
      </c>
      <c r="XCA61" s="237" t="s">
        <v>727</v>
      </c>
      <c r="XCB61" s="237" t="s">
        <v>221</v>
      </c>
      <c r="XCC61" s="235" t="s">
        <v>2</v>
      </c>
      <c r="XCD61" s="235" t="s">
        <v>3</v>
      </c>
      <c r="XCE61" s="235" t="s">
        <v>618</v>
      </c>
      <c r="XCF61" s="235" t="s">
        <v>1410</v>
      </c>
      <c r="XCG61" s="235" t="s">
        <v>1411</v>
      </c>
      <c r="XCH61" s="235" t="s">
        <v>388</v>
      </c>
      <c r="XCI61" s="237" t="s">
        <v>727</v>
      </c>
      <c r="XCJ61" s="237" t="s">
        <v>221</v>
      </c>
      <c r="XCK61" s="235" t="s">
        <v>2</v>
      </c>
      <c r="XCL61" s="235" t="s">
        <v>3</v>
      </c>
      <c r="XCM61" s="235" t="s">
        <v>618</v>
      </c>
      <c r="XCN61" s="235" t="s">
        <v>1410</v>
      </c>
      <c r="XCO61" s="235" t="s">
        <v>1411</v>
      </c>
      <c r="XCP61" s="235" t="s">
        <v>388</v>
      </c>
      <c r="XCQ61" s="237" t="s">
        <v>727</v>
      </c>
      <c r="XCR61" s="237" t="s">
        <v>221</v>
      </c>
      <c r="XCS61" s="235" t="s">
        <v>2</v>
      </c>
      <c r="XCT61" s="235" t="s">
        <v>3</v>
      </c>
      <c r="XCU61" s="235" t="s">
        <v>618</v>
      </c>
      <c r="XCV61" s="235" t="s">
        <v>1410</v>
      </c>
      <c r="XCW61" s="235" t="s">
        <v>1411</v>
      </c>
      <c r="XCX61" s="235" t="s">
        <v>388</v>
      </c>
      <c r="XCY61" s="237" t="s">
        <v>727</v>
      </c>
      <c r="XCZ61" s="237" t="s">
        <v>221</v>
      </c>
      <c r="XDA61" s="235" t="s">
        <v>2</v>
      </c>
      <c r="XDB61" s="235" t="s">
        <v>3</v>
      </c>
      <c r="XDC61" s="235" t="s">
        <v>618</v>
      </c>
      <c r="XDD61" s="235" t="s">
        <v>1410</v>
      </c>
      <c r="XDE61" s="235" t="s">
        <v>1411</v>
      </c>
      <c r="XDF61" s="235" t="s">
        <v>388</v>
      </c>
      <c r="XDG61" s="237" t="s">
        <v>727</v>
      </c>
      <c r="XDH61" s="237" t="s">
        <v>221</v>
      </c>
      <c r="XDI61" s="235" t="s">
        <v>2</v>
      </c>
      <c r="XDJ61" s="235" t="s">
        <v>3</v>
      </c>
      <c r="XDK61" s="235" t="s">
        <v>618</v>
      </c>
      <c r="XDL61" s="235" t="s">
        <v>1410</v>
      </c>
      <c r="XDM61" s="235" t="s">
        <v>1411</v>
      </c>
      <c r="XDN61" s="235" t="s">
        <v>388</v>
      </c>
      <c r="XDO61" s="237" t="s">
        <v>727</v>
      </c>
      <c r="XDP61" s="237" t="s">
        <v>221</v>
      </c>
      <c r="XDQ61" s="235" t="s">
        <v>2</v>
      </c>
      <c r="XDR61" s="235" t="s">
        <v>3</v>
      </c>
      <c r="XDS61" s="235" t="s">
        <v>618</v>
      </c>
      <c r="XDT61" s="235" t="s">
        <v>1410</v>
      </c>
      <c r="XDU61" s="235" t="s">
        <v>1411</v>
      </c>
      <c r="XDV61" s="235" t="s">
        <v>388</v>
      </c>
      <c r="XDW61" s="237" t="s">
        <v>727</v>
      </c>
      <c r="XDX61" s="237" t="s">
        <v>221</v>
      </c>
      <c r="XDY61" s="235" t="s">
        <v>2</v>
      </c>
      <c r="XDZ61" s="235" t="s">
        <v>3</v>
      </c>
      <c r="XEA61" s="235" t="s">
        <v>618</v>
      </c>
      <c r="XEB61" s="235" t="s">
        <v>1410</v>
      </c>
      <c r="XEC61" s="235" t="s">
        <v>1411</v>
      </c>
      <c r="XED61" s="235" t="s">
        <v>388</v>
      </c>
      <c r="XEE61" s="237" t="s">
        <v>727</v>
      </c>
      <c r="XEF61" s="237" t="s">
        <v>221</v>
      </c>
      <c r="XEG61" s="235" t="s">
        <v>2</v>
      </c>
      <c r="XEH61" s="235" t="s">
        <v>3</v>
      </c>
      <c r="XEI61" s="235" t="s">
        <v>618</v>
      </c>
      <c r="XEJ61" s="235" t="s">
        <v>1410</v>
      </c>
      <c r="XEK61" s="235" t="s">
        <v>1411</v>
      </c>
      <c r="XEL61" s="235" t="s">
        <v>388</v>
      </c>
      <c r="XEM61" s="237" t="s">
        <v>727</v>
      </c>
      <c r="XEN61" s="237" t="s">
        <v>221</v>
      </c>
      <c r="XEO61" s="235" t="s">
        <v>2</v>
      </c>
      <c r="XEP61" s="235" t="s">
        <v>3</v>
      </c>
      <c r="XEQ61" s="235" t="s">
        <v>618</v>
      </c>
      <c r="XER61" s="235" t="s">
        <v>1410</v>
      </c>
      <c r="XES61" s="235" t="s">
        <v>1411</v>
      </c>
      <c r="XET61" s="235" t="s">
        <v>388</v>
      </c>
      <c r="XEU61" s="237" t="s">
        <v>727</v>
      </c>
      <c r="XEV61" s="237" t="s">
        <v>221</v>
      </c>
      <c r="XEW61" s="235" t="s">
        <v>2</v>
      </c>
      <c r="XEX61" s="235" t="s">
        <v>3</v>
      </c>
      <c r="XEY61" s="235" t="s">
        <v>618</v>
      </c>
      <c r="XEZ61" s="235" t="s">
        <v>1410</v>
      </c>
      <c r="XFA61" s="235" t="s">
        <v>1411</v>
      </c>
      <c r="XFB61" s="235" t="s">
        <v>388</v>
      </c>
      <c r="XFC61" s="237" t="s">
        <v>727</v>
      </c>
      <c r="XFD61" s="237" t="s">
        <v>221</v>
      </c>
    </row>
    <row r="62" spans="1:16384" s="19" customFormat="1">
      <c r="A62" s="2408">
        <v>22</v>
      </c>
      <c r="B62" s="305" t="s">
        <v>1699</v>
      </c>
      <c r="C62" s="306">
        <v>3</v>
      </c>
      <c r="D62" s="2437">
        <v>759</v>
      </c>
      <c r="E62" s="2437">
        <f>C62*D62</f>
        <v>2277</v>
      </c>
      <c r="F62" s="1856" t="s">
        <v>1700</v>
      </c>
      <c r="G62" s="390" t="s">
        <v>1695</v>
      </c>
      <c r="H62" s="390"/>
    </row>
    <row r="63" spans="1:16384" s="19" customFormat="1">
      <c r="A63" s="2408">
        <v>23</v>
      </c>
      <c r="B63" s="305" t="s">
        <v>1701</v>
      </c>
      <c r="C63" s="306">
        <v>3</v>
      </c>
      <c r="D63" s="2437">
        <v>480</v>
      </c>
      <c r="E63" s="2437">
        <f t="shared" ref="E63:E65" si="8">C63*D63</f>
        <v>1440</v>
      </c>
      <c r="F63" s="1856" t="s">
        <v>1700</v>
      </c>
      <c r="G63" s="390" t="s">
        <v>1695</v>
      </c>
      <c r="H63" s="390"/>
    </row>
    <row r="64" spans="1:16384" s="19" customFormat="1">
      <c r="A64" s="2414">
        <v>24</v>
      </c>
      <c r="B64" s="305" t="s">
        <v>1322</v>
      </c>
      <c r="C64" s="306">
        <v>1</v>
      </c>
      <c r="D64" s="2422">
        <v>4200</v>
      </c>
      <c r="E64" s="2437">
        <f t="shared" si="8"/>
        <v>4200</v>
      </c>
      <c r="F64" s="1856" t="s">
        <v>1702</v>
      </c>
      <c r="G64" s="390" t="s">
        <v>1695</v>
      </c>
      <c r="H64" s="390"/>
    </row>
    <row r="65" spans="1:10">
      <c r="A65" s="2408">
        <v>25</v>
      </c>
      <c r="B65" s="305" t="s">
        <v>1322</v>
      </c>
      <c r="C65" s="306">
        <v>4</v>
      </c>
      <c r="D65" s="2422">
        <v>4200</v>
      </c>
      <c r="E65" s="2437">
        <f t="shared" si="8"/>
        <v>16800</v>
      </c>
      <c r="F65" s="1856" t="s">
        <v>1532</v>
      </c>
      <c r="G65" s="390" t="s">
        <v>1695</v>
      </c>
      <c r="H65" s="390"/>
    </row>
    <row r="66" spans="1:10">
      <c r="A66" s="2408">
        <v>26</v>
      </c>
      <c r="B66" s="498" t="s">
        <v>1703</v>
      </c>
      <c r="C66" s="310">
        <v>2</v>
      </c>
      <c r="D66" s="2419">
        <v>1190</v>
      </c>
      <c r="E66" s="2419">
        <v>2380</v>
      </c>
      <c r="F66" s="1908" t="s">
        <v>1563</v>
      </c>
      <c r="G66" s="221" t="s">
        <v>1695</v>
      </c>
      <c r="H66" s="221"/>
    </row>
    <row r="67" spans="1:10">
      <c r="A67" s="2414">
        <v>27</v>
      </c>
      <c r="B67" s="478" t="s">
        <v>1844</v>
      </c>
      <c r="C67" s="479">
        <v>2</v>
      </c>
      <c r="D67" s="1537">
        <v>1190</v>
      </c>
      <c r="E67" s="1537">
        <v>2380</v>
      </c>
      <c r="F67" s="478" t="s">
        <v>1206</v>
      </c>
      <c r="G67" s="221" t="s">
        <v>1695</v>
      </c>
      <c r="H67" s="221"/>
      <c r="I67" s="2461" t="s">
        <v>2417</v>
      </c>
      <c r="J67" s="19" t="s">
        <v>1905</v>
      </c>
    </row>
  </sheetData>
  <mergeCells count="1">
    <mergeCell ref="A1:F1"/>
  </mergeCells>
  <pageMargins left="0.27559055118110237" right="0.19685039370078741" top="0.62992125984251968" bottom="0.27559055118110237" header="0.31496062992125984" footer="0.11811023622047245"/>
  <pageSetup paperSize="9" scale="63" firstPageNumber="50" orientation="landscape" useFirstPageNumber="1" horizontalDpi="4294967293" verticalDpi="0" r:id="rId1"/>
  <headerFooter>
    <oddFooter>&amp;C&amp;P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D181-49E1-4571-9F2F-6F0BE17E1F0E}">
  <sheetPr>
    <tabColor rgb="FFFF0000"/>
    <pageSetUpPr fitToPage="1"/>
  </sheetPr>
  <dimension ref="A1:AG711"/>
  <sheetViews>
    <sheetView view="pageBreakPreview" topLeftCell="A46" zoomScaleNormal="100" zoomScaleSheetLayoutView="100" workbookViewId="0">
      <selection activeCell="AB76" sqref="AB76"/>
    </sheetView>
  </sheetViews>
  <sheetFormatPr defaultColWidth="11" defaultRowHeight="24"/>
  <cols>
    <col min="1" max="1" width="7.140625" style="2254" customWidth="1"/>
    <col min="2" max="2" width="119.5703125" style="2253" customWidth="1"/>
    <col min="3" max="3" width="8.42578125" style="2253" customWidth="1"/>
    <col min="4" max="4" width="17.28515625" style="2381" customWidth="1"/>
    <col min="5" max="5" width="18.42578125" style="2381" customWidth="1"/>
    <col min="6" max="6" width="16.7109375" style="2253" hidden="1" customWidth="1"/>
    <col min="7" max="7" width="8.42578125" style="2253" hidden="1" customWidth="1"/>
    <col min="8" max="8" width="10.28515625" style="2253" hidden="1" customWidth="1"/>
    <col min="9" max="9" width="10.42578125" style="2253" hidden="1" customWidth="1"/>
    <col min="10" max="10" width="9.5703125" style="2253" hidden="1" customWidth="1"/>
    <col min="11" max="11" width="14.28515625" style="2253" hidden="1" customWidth="1"/>
    <col min="12" max="12" width="13.7109375" style="2253" hidden="1" customWidth="1"/>
    <col min="13" max="13" width="9.140625" style="2253" hidden="1" customWidth="1"/>
    <col min="14" max="14" width="11.42578125" style="2253" hidden="1" customWidth="1"/>
    <col min="15" max="15" width="13.42578125" style="2253" hidden="1" customWidth="1"/>
    <col min="16" max="16" width="20" style="2253" hidden="1" customWidth="1"/>
    <col min="17" max="17" width="10.5703125" style="2253" hidden="1" customWidth="1"/>
    <col min="18" max="18" width="11.7109375" style="2253" hidden="1" customWidth="1"/>
    <col min="19" max="19" width="10.5703125" style="2253" hidden="1" customWidth="1"/>
    <col min="20" max="20" width="10.28515625" style="2253" hidden="1" customWidth="1"/>
    <col min="21" max="21" width="12.7109375" style="2253" hidden="1" customWidth="1"/>
    <col min="22" max="22" width="11.42578125" style="2253" hidden="1" customWidth="1"/>
    <col min="23" max="23" width="11.5703125" style="2253" hidden="1" customWidth="1"/>
    <col min="24" max="24" width="10.28515625" style="2253" hidden="1" customWidth="1"/>
    <col min="25" max="25" width="11.140625" style="2253" hidden="1" customWidth="1"/>
    <col min="26" max="26" width="11.85546875" style="2253" hidden="1" customWidth="1"/>
    <col min="27" max="27" width="2.42578125" style="2253" hidden="1" customWidth="1"/>
    <col min="28" max="28" width="39.7109375" style="2382" customWidth="1"/>
    <col min="29" max="29" width="60.42578125" style="2253" customWidth="1"/>
    <col min="30" max="16384" width="11" style="2253"/>
  </cols>
  <sheetData>
    <row r="1" spans="1:33" ht="21.95" customHeight="1">
      <c r="A1" s="2875" t="s">
        <v>2510</v>
      </c>
      <c r="B1" s="2875"/>
      <c r="C1" s="2875"/>
      <c r="D1" s="2875"/>
      <c r="E1" s="2875"/>
      <c r="F1" s="2875"/>
      <c r="G1" s="2875"/>
      <c r="H1" s="2875"/>
      <c r="I1" s="2875"/>
      <c r="J1" s="2875"/>
      <c r="K1" s="2875"/>
      <c r="L1" s="2875"/>
      <c r="M1" s="2875"/>
      <c r="N1" s="2875"/>
      <c r="O1" s="2875"/>
      <c r="P1" s="2875"/>
      <c r="Q1" s="2875"/>
      <c r="R1" s="2875"/>
      <c r="S1" s="2875"/>
      <c r="T1" s="2875"/>
      <c r="U1" s="2875"/>
      <c r="V1" s="2875"/>
      <c r="W1" s="2875"/>
      <c r="X1" s="2875"/>
      <c r="Y1" s="2875"/>
      <c r="Z1" s="2875"/>
      <c r="AA1" s="2875"/>
      <c r="AB1" s="2875"/>
      <c r="AC1" s="2252"/>
      <c r="AD1" s="2252"/>
      <c r="AE1" s="2252"/>
      <c r="AF1" s="2252"/>
    </row>
    <row r="2" spans="1:33" ht="3.75" customHeight="1">
      <c r="B2" s="2255"/>
      <c r="C2" s="2254"/>
      <c r="D2" s="2256"/>
      <c r="E2" s="2256"/>
      <c r="F2" s="2252"/>
      <c r="G2" s="2252"/>
      <c r="H2" s="2252"/>
      <c r="I2" s="2252"/>
      <c r="J2" s="2252"/>
      <c r="K2" s="2252"/>
      <c r="L2" s="2252"/>
      <c r="M2" s="2252"/>
      <c r="N2" s="2252"/>
      <c r="O2" s="2252"/>
      <c r="P2" s="2252"/>
      <c r="Q2" s="2252"/>
      <c r="R2" s="2252"/>
      <c r="S2" s="2252"/>
      <c r="T2" s="2252"/>
      <c r="U2" s="2252"/>
      <c r="V2" s="2252"/>
      <c r="W2" s="2252"/>
      <c r="X2" s="2252"/>
      <c r="Y2" s="2252"/>
      <c r="Z2" s="2252"/>
      <c r="AA2" s="2252"/>
      <c r="AB2" s="2255"/>
      <c r="AC2" s="2252"/>
      <c r="AD2" s="2252"/>
      <c r="AE2" s="2252"/>
      <c r="AF2" s="2252"/>
    </row>
    <row r="3" spans="1:33" ht="40.5" customHeight="1">
      <c r="A3" s="2257" t="s">
        <v>2</v>
      </c>
      <c r="B3" s="2257" t="s">
        <v>3</v>
      </c>
      <c r="C3" s="2257" t="s">
        <v>385</v>
      </c>
      <c r="D3" s="2257" t="s">
        <v>386</v>
      </c>
      <c r="E3" s="2257" t="s">
        <v>387</v>
      </c>
      <c r="F3" s="2257" t="s">
        <v>389</v>
      </c>
      <c r="G3" s="2257" t="s">
        <v>390</v>
      </c>
      <c r="H3" s="2257" t="s">
        <v>391</v>
      </c>
      <c r="I3" s="2257" t="s">
        <v>392</v>
      </c>
      <c r="J3" s="2257" t="s">
        <v>393</v>
      </c>
      <c r="K3" s="2257" t="s">
        <v>394</v>
      </c>
      <c r="L3" s="2257" t="s">
        <v>395</v>
      </c>
      <c r="M3" s="2257" t="s">
        <v>396</v>
      </c>
      <c r="N3" s="2257" t="s">
        <v>397</v>
      </c>
      <c r="O3" s="2257" t="s">
        <v>398</v>
      </c>
      <c r="P3" s="2257" t="s">
        <v>399</v>
      </c>
      <c r="Q3" s="2257" t="s">
        <v>400</v>
      </c>
      <c r="R3" s="2257" t="s">
        <v>401</v>
      </c>
      <c r="S3" s="2257" t="s">
        <v>402</v>
      </c>
      <c r="T3" s="2257" t="s">
        <v>403</v>
      </c>
      <c r="U3" s="2257" t="s">
        <v>404</v>
      </c>
      <c r="V3" s="2257" t="s">
        <v>405</v>
      </c>
      <c r="W3" s="2257" t="s">
        <v>406</v>
      </c>
      <c r="X3" s="2257" t="s">
        <v>407</v>
      </c>
      <c r="Y3" s="2257" t="s">
        <v>408</v>
      </c>
      <c r="Z3" s="2257" t="s">
        <v>409</v>
      </c>
      <c r="AA3" s="2257" t="s">
        <v>410</v>
      </c>
      <c r="AB3" s="2257" t="s">
        <v>221</v>
      </c>
      <c r="AC3" s="2252"/>
      <c r="AD3" s="2252"/>
      <c r="AE3" s="2252"/>
      <c r="AF3" s="2252"/>
    </row>
    <row r="4" spans="1:33">
      <c r="A4" s="2539">
        <v>1</v>
      </c>
      <c r="B4" s="2540" t="s">
        <v>516</v>
      </c>
      <c r="C4" s="2539">
        <v>1</v>
      </c>
      <c r="D4" s="2541">
        <v>4500000</v>
      </c>
      <c r="E4" s="2541">
        <f>+C4*D4</f>
        <v>4500000</v>
      </c>
      <c r="F4" s="2542"/>
      <c r="G4" s="2542"/>
      <c r="H4" s="2542"/>
      <c r="I4" s="2542"/>
      <c r="J4" s="2542"/>
      <c r="K4" s="2542"/>
      <c r="L4" s="2542"/>
      <c r="M4" s="2542"/>
      <c r="N4" s="2543"/>
      <c r="O4" s="2543"/>
      <c r="P4" s="2543"/>
      <c r="Q4" s="2543"/>
      <c r="R4" s="2543"/>
      <c r="S4" s="2543"/>
      <c r="T4" s="2543"/>
      <c r="U4" s="2543"/>
      <c r="V4" s="2543"/>
      <c r="W4" s="2543"/>
      <c r="X4" s="2543"/>
      <c r="Y4" s="2543"/>
      <c r="Z4" s="2543"/>
      <c r="AA4" s="2543"/>
      <c r="AB4" s="2071" t="s">
        <v>490</v>
      </c>
      <c r="AC4" s="2252"/>
      <c r="AD4" s="2252"/>
      <c r="AE4" s="2252"/>
      <c r="AF4" s="2252"/>
    </row>
    <row r="5" spans="1:33" s="2258" customFormat="1" ht="23.1" customHeight="1">
      <c r="A5" s="2051">
        <v>2</v>
      </c>
      <c r="B5" s="2050" t="s">
        <v>1485</v>
      </c>
      <c r="C5" s="2051">
        <v>1</v>
      </c>
      <c r="D5" s="2052">
        <v>57000000</v>
      </c>
      <c r="E5" s="2052">
        <f t="shared" ref="E5:AA5" si="0">+C5*D5</f>
        <v>57000000</v>
      </c>
      <c r="F5" s="2052">
        <f t="shared" si="0"/>
        <v>3249000000000000</v>
      </c>
      <c r="G5" s="2052">
        <f t="shared" si="0"/>
        <v>1.85193E+23</v>
      </c>
      <c r="H5" s="2052">
        <f t="shared" si="0"/>
        <v>6.0169205700000001E+38</v>
      </c>
      <c r="I5" s="2052">
        <f t="shared" si="0"/>
        <v>1.11429157112001E+62</v>
      </c>
      <c r="J5" s="2052">
        <f t="shared" si="0"/>
        <v>6.7046038752496062E+100</v>
      </c>
      <c r="K5" s="2052">
        <f t="shared" si="0"/>
        <v>7.470883585889192E+162</v>
      </c>
      <c r="L5" s="2052">
        <f t="shared" si="0"/>
        <v>5.0089315041491348E+263</v>
      </c>
      <c r="M5" s="2052" t="e">
        <f t="shared" si="0"/>
        <v>#NUM!</v>
      </c>
      <c r="N5" s="2052" t="e">
        <f t="shared" si="0"/>
        <v>#NUM!</v>
      </c>
      <c r="O5" s="2052" t="e">
        <f t="shared" si="0"/>
        <v>#NUM!</v>
      </c>
      <c r="P5" s="2052" t="e">
        <f t="shared" si="0"/>
        <v>#NUM!</v>
      </c>
      <c r="Q5" s="2052" t="e">
        <f t="shared" si="0"/>
        <v>#NUM!</v>
      </c>
      <c r="R5" s="2052" t="e">
        <f t="shared" si="0"/>
        <v>#NUM!</v>
      </c>
      <c r="S5" s="2052" t="e">
        <f t="shared" si="0"/>
        <v>#NUM!</v>
      </c>
      <c r="T5" s="2052" t="e">
        <f t="shared" si="0"/>
        <v>#NUM!</v>
      </c>
      <c r="U5" s="2052" t="e">
        <f t="shared" si="0"/>
        <v>#NUM!</v>
      </c>
      <c r="V5" s="2052" t="e">
        <f t="shared" si="0"/>
        <v>#NUM!</v>
      </c>
      <c r="W5" s="2052" t="e">
        <f t="shared" si="0"/>
        <v>#NUM!</v>
      </c>
      <c r="X5" s="2052" t="e">
        <f t="shared" si="0"/>
        <v>#NUM!</v>
      </c>
      <c r="Y5" s="2052" t="e">
        <f t="shared" si="0"/>
        <v>#NUM!</v>
      </c>
      <c r="Z5" s="2052" t="e">
        <f t="shared" si="0"/>
        <v>#NUM!</v>
      </c>
      <c r="AA5" s="2052" t="e">
        <f t="shared" si="0"/>
        <v>#NUM!</v>
      </c>
      <c r="AB5" s="2056" t="s">
        <v>1704</v>
      </c>
    </row>
    <row r="6" spans="1:33" ht="23.1" customHeight="1">
      <c r="A6" s="2051">
        <v>3</v>
      </c>
      <c r="B6" s="2050" t="s">
        <v>1973</v>
      </c>
      <c r="C6" s="2051">
        <v>1</v>
      </c>
      <c r="D6" s="2263">
        <v>2000000</v>
      </c>
      <c r="E6" s="2263">
        <f>+D6</f>
        <v>2000000</v>
      </c>
      <c r="F6" s="2190"/>
      <c r="G6" s="2190"/>
      <c r="H6" s="2190"/>
      <c r="I6" s="2190"/>
      <c r="J6" s="2190"/>
      <c r="K6" s="2190"/>
      <c r="L6" s="2190"/>
      <c r="M6" s="2190"/>
      <c r="N6" s="2056"/>
      <c r="O6" s="2056"/>
      <c r="P6" s="2056"/>
      <c r="Q6" s="2056"/>
      <c r="R6" s="2056"/>
      <c r="S6" s="2056"/>
      <c r="T6" s="2056"/>
      <c r="U6" s="2056"/>
      <c r="V6" s="2056"/>
      <c r="W6" s="2056"/>
      <c r="X6" s="2056"/>
      <c r="Y6" s="2056"/>
      <c r="Z6" s="2056"/>
      <c r="AA6" s="2056"/>
      <c r="AB6" s="2264" t="s">
        <v>1734</v>
      </c>
      <c r="AC6" s="2252"/>
      <c r="AD6" s="2252"/>
      <c r="AE6" s="2252"/>
      <c r="AF6" s="2252"/>
    </row>
    <row r="7" spans="1:33" s="2252" customFormat="1" ht="23.1" customHeight="1">
      <c r="A7" s="2051">
        <v>4</v>
      </c>
      <c r="B7" s="2259" t="s">
        <v>691</v>
      </c>
      <c r="C7" s="2260">
        <v>1</v>
      </c>
      <c r="D7" s="2106">
        <v>2300000</v>
      </c>
      <c r="E7" s="2263">
        <f>+D7*C7</f>
        <v>2300000</v>
      </c>
      <c r="F7" s="2259"/>
      <c r="G7" s="2259"/>
      <c r="H7" s="2259"/>
      <c r="I7" s="2259"/>
      <c r="J7" s="2259"/>
      <c r="K7" s="2259"/>
      <c r="L7" s="2259"/>
      <c r="M7" s="2259"/>
      <c r="N7" s="2259"/>
      <c r="O7" s="2259"/>
      <c r="P7" s="2259"/>
      <c r="Q7" s="2259"/>
      <c r="R7" s="2259"/>
      <c r="S7" s="2259"/>
      <c r="T7" s="2259"/>
      <c r="U7" s="2259"/>
      <c r="V7" s="2259"/>
      <c r="W7" s="2259"/>
      <c r="X7" s="2259"/>
      <c r="Y7" s="2259"/>
      <c r="Z7" s="2259"/>
      <c r="AA7" s="2259"/>
      <c r="AB7" s="2264" t="s">
        <v>1499</v>
      </c>
    </row>
    <row r="8" spans="1:33" ht="23.1" customHeight="1">
      <c r="A8" s="2051">
        <v>5</v>
      </c>
      <c r="B8" s="2050" t="s">
        <v>2509</v>
      </c>
      <c r="C8" s="2051">
        <v>1</v>
      </c>
      <c r="D8" s="2263">
        <v>17250000</v>
      </c>
      <c r="E8" s="2261">
        <f>+D8*C8</f>
        <v>17250000</v>
      </c>
      <c r="F8" s="2263"/>
      <c r="G8" s="2263"/>
      <c r="H8" s="2263"/>
      <c r="I8" s="2263"/>
      <c r="J8" s="2263"/>
      <c r="K8" s="2263"/>
      <c r="L8" s="2263"/>
      <c r="M8" s="2263"/>
      <c r="N8" s="2056"/>
      <c r="O8" s="2056"/>
      <c r="P8" s="2056"/>
      <c r="Q8" s="2056"/>
      <c r="R8" s="2056"/>
      <c r="S8" s="2056"/>
      <c r="T8" s="2056"/>
      <c r="U8" s="2056"/>
      <c r="V8" s="2056"/>
      <c r="W8" s="2056"/>
      <c r="X8" s="2056"/>
      <c r="Y8" s="2056"/>
      <c r="Z8" s="2056"/>
      <c r="AA8" s="2056"/>
      <c r="AB8" s="2264" t="s">
        <v>1706</v>
      </c>
      <c r="AC8" s="2252"/>
      <c r="AD8" s="2252"/>
      <c r="AE8" s="2252"/>
      <c r="AF8" s="2252"/>
    </row>
    <row r="9" spans="1:33" ht="72">
      <c r="A9" s="2051">
        <v>6</v>
      </c>
      <c r="B9" s="2190" t="s">
        <v>1976</v>
      </c>
      <c r="C9" s="2051">
        <v>1</v>
      </c>
      <c r="D9" s="2059">
        <v>2500000</v>
      </c>
      <c r="E9" s="2059">
        <f>+C9*D9</f>
        <v>2500000</v>
      </c>
      <c r="F9" s="2190"/>
      <c r="G9" s="2190"/>
      <c r="H9" s="2190"/>
      <c r="I9" s="2190"/>
      <c r="J9" s="2190"/>
      <c r="K9" s="2190"/>
      <c r="L9" s="2190"/>
      <c r="M9" s="2190"/>
      <c r="N9" s="2052"/>
      <c r="O9" s="2190"/>
      <c r="P9" s="2190"/>
      <c r="Q9" s="2190"/>
      <c r="R9" s="2190"/>
      <c r="S9" s="2190"/>
      <c r="T9" s="2190"/>
      <c r="U9" s="2190"/>
      <c r="V9" s="2190"/>
      <c r="W9" s="2190"/>
      <c r="X9" s="2190"/>
      <c r="Y9" s="2190"/>
      <c r="Z9" s="2190"/>
      <c r="AA9" s="2190"/>
      <c r="AB9" s="2050" t="s">
        <v>1708</v>
      </c>
    </row>
    <row r="10" spans="1:33" s="2258" customFormat="1" ht="23.1" customHeight="1">
      <c r="A10" s="2051">
        <v>7</v>
      </c>
      <c r="B10" s="2056" t="s">
        <v>1219</v>
      </c>
      <c r="C10" s="2051">
        <v>1</v>
      </c>
      <c r="D10" s="2059">
        <v>99450</v>
      </c>
      <c r="E10" s="2052">
        <f>+C10*D10</f>
        <v>99450</v>
      </c>
      <c r="F10" s="2190"/>
      <c r="G10" s="2190"/>
      <c r="H10" s="2190"/>
      <c r="I10" s="2190"/>
      <c r="J10" s="2190"/>
      <c r="K10" s="2190"/>
      <c r="L10" s="2190"/>
      <c r="M10" s="2190"/>
      <c r="N10" s="2190"/>
      <c r="O10" s="2190"/>
      <c r="P10" s="2190"/>
      <c r="Q10" s="2190"/>
      <c r="R10" s="2190"/>
      <c r="S10" s="2190"/>
      <c r="T10" s="2190"/>
      <c r="U10" s="2190"/>
      <c r="V10" s="2190"/>
      <c r="W10" s="2190"/>
      <c r="X10" s="2190"/>
      <c r="Y10" s="2190"/>
      <c r="Z10" s="2190"/>
      <c r="AA10" s="2190"/>
      <c r="AB10" s="2056"/>
    </row>
    <row r="11" spans="1:33" ht="23.45" customHeight="1">
      <c r="A11" s="2051">
        <v>8</v>
      </c>
      <c r="B11" s="2050" t="s">
        <v>1984</v>
      </c>
      <c r="C11" s="2051">
        <v>1</v>
      </c>
      <c r="D11" s="2263">
        <v>359200</v>
      </c>
      <c r="E11" s="2059">
        <f>+C11*D11</f>
        <v>359200</v>
      </c>
      <c r="F11" s="2190"/>
      <c r="G11" s="2190"/>
      <c r="H11" s="2190"/>
      <c r="I11" s="2190"/>
      <c r="J11" s="2190"/>
      <c r="K11" s="2190"/>
      <c r="L11" s="2190"/>
      <c r="M11" s="2190"/>
      <c r="N11" s="2052"/>
      <c r="O11" s="2190"/>
      <c r="P11" s="2190"/>
      <c r="Q11" s="2190"/>
      <c r="R11" s="2190"/>
      <c r="S11" s="2190"/>
      <c r="T11" s="2190"/>
      <c r="U11" s="2190"/>
      <c r="V11" s="2190"/>
      <c r="W11" s="2190"/>
      <c r="X11" s="2190"/>
      <c r="Y11" s="2190"/>
      <c r="Z11" s="2190"/>
      <c r="AA11" s="2190"/>
      <c r="AB11" s="2276"/>
      <c r="AC11" s="2255"/>
      <c r="AD11" s="2252"/>
      <c r="AE11" s="2252"/>
      <c r="AF11" s="2252"/>
      <c r="AG11" s="2252"/>
    </row>
    <row r="12" spans="1:33" s="2277" customFormat="1">
      <c r="A12" s="2051">
        <v>9</v>
      </c>
      <c r="B12" s="2056" t="s">
        <v>1985</v>
      </c>
      <c r="C12" s="2051">
        <v>1</v>
      </c>
      <c r="D12" s="2059">
        <v>400000</v>
      </c>
      <c r="E12" s="2052">
        <f t="shared" ref="E12" si="1">+C12*D12</f>
        <v>400000</v>
      </c>
      <c r="F12" s="2190"/>
      <c r="G12" s="2190"/>
      <c r="H12" s="2190"/>
      <c r="I12" s="2190"/>
      <c r="J12" s="2190"/>
      <c r="K12" s="2190"/>
      <c r="L12" s="2190"/>
      <c r="M12" s="2190"/>
      <c r="N12" s="2056"/>
      <c r="O12" s="2056"/>
      <c r="P12" s="2056"/>
      <c r="Q12" s="2056"/>
      <c r="R12" s="2056"/>
      <c r="S12" s="2056"/>
      <c r="T12" s="2056"/>
      <c r="U12" s="2056"/>
      <c r="V12" s="2056"/>
      <c r="W12" s="2056"/>
      <c r="X12" s="2056"/>
      <c r="Y12" s="2056"/>
      <c r="Z12" s="2056"/>
      <c r="AA12" s="2056"/>
      <c r="AB12" s="2140"/>
    </row>
    <row r="13" spans="1:33" s="2277" customFormat="1" ht="24.75" customHeight="1">
      <c r="A13" s="2051">
        <v>10</v>
      </c>
      <c r="B13" s="2128" t="s">
        <v>1732</v>
      </c>
      <c r="C13" s="2129">
        <v>1</v>
      </c>
      <c r="D13" s="2278">
        <v>573000</v>
      </c>
      <c r="E13" s="2278">
        <f t="shared" ref="E13:E14" si="2">D13*C13</f>
        <v>573000</v>
      </c>
      <c r="F13" s="2279" t="s">
        <v>1557</v>
      </c>
      <c r="G13" s="2087" t="s">
        <v>1709</v>
      </c>
      <c r="H13" s="2190"/>
      <c r="I13" s="2190"/>
      <c r="J13" s="2190"/>
      <c r="K13" s="2190"/>
      <c r="L13" s="2190"/>
      <c r="M13" s="2190"/>
      <c r="N13" s="2056"/>
      <c r="O13" s="2056"/>
      <c r="P13" s="2056"/>
      <c r="Q13" s="2056"/>
      <c r="R13" s="2056"/>
      <c r="S13" s="2056"/>
      <c r="T13" s="2056"/>
      <c r="U13" s="2056"/>
      <c r="V13" s="2056"/>
      <c r="W13" s="2056"/>
      <c r="X13" s="2056"/>
      <c r="Y13" s="2056"/>
      <c r="Z13" s="2056"/>
      <c r="AA13" s="2056"/>
      <c r="AB13" s="2279" t="s">
        <v>1557</v>
      </c>
    </row>
    <row r="14" spans="1:33" ht="24.95" customHeight="1">
      <c r="A14" s="2051">
        <v>11</v>
      </c>
      <c r="B14" s="2280" t="s">
        <v>1714</v>
      </c>
      <c r="C14" s="2129">
        <v>1</v>
      </c>
      <c r="D14" s="2278">
        <v>200000</v>
      </c>
      <c r="E14" s="2278">
        <f t="shared" si="2"/>
        <v>200000</v>
      </c>
      <c r="F14" s="2279" t="s">
        <v>1587</v>
      </c>
      <c r="G14" s="2087" t="s">
        <v>1709</v>
      </c>
      <c r="H14" s="2190"/>
      <c r="I14" s="2190"/>
      <c r="J14" s="2190"/>
      <c r="K14" s="2190"/>
      <c r="L14" s="2190"/>
      <c r="M14" s="2190"/>
      <c r="N14" s="2056"/>
      <c r="O14" s="2056"/>
      <c r="P14" s="2056"/>
      <c r="Q14" s="2056"/>
      <c r="R14" s="2056"/>
      <c r="S14" s="2056"/>
      <c r="T14" s="2056"/>
      <c r="U14" s="2056"/>
      <c r="V14" s="2056"/>
      <c r="W14" s="2056"/>
      <c r="X14" s="2056"/>
      <c r="Y14" s="2056"/>
      <c r="Z14" s="2056"/>
      <c r="AA14" s="2056"/>
      <c r="AB14" s="2279" t="s">
        <v>1587</v>
      </c>
      <c r="AC14" s="2252"/>
      <c r="AD14" s="2252"/>
      <c r="AE14" s="2252"/>
      <c r="AF14" s="2252"/>
    </row>
    <row r="15" spans="1:33" ht="24.95" customHeight="1">
      <c r="A15" s="2051">
        <v>12</v>
      </c>
      <c r="B15" s="2128" t="s">
        <v>1710</v>
      </c>
      <c r="C15" s="2129">
        <v>2</v>
      </c>
      <c r="D15" s="2281">
        <v>45000</v>
      </c>
      <c r="E15" s="2281">
        <f>+D15*C15</f>
        <v>90000</v>
      </c>
      <c r="F15" s="2279" t="s">
        <v>1612</v>
      </c>
      <c r="G15" s="2087" t="s">
        <v>1709</v>
      </c>
      <c r="H15" s="2190"/>
      <c r="I15" s="2190"/>
      <c r="J15" s="2190"/>
      <c r="K15" s="2190"/>
      <c r="L15" s="2190"/>
      <c r="M15" s="2190"/>
      <c r="N15" s="2056"/>
      <c r="O15" s="2056"/>
      <c r="P15" s="2056"/>
      <c r="Q15" s="2056"/>
      <c r="R15" s="2056"/>
      <c r="S15" s="2056"/>
      <c r="T15" s="2056"/>
      <c r="U15" s="2056"/>
      <c r="V15" s="2056"/>
      <c r="W15" s="2056"/>
      <c r="X15" s="2056"/>
      <c r="Y15" s="2056"/>
      <c r="Z15" s="2056"/>
      <c r="AA15" s="2056"/>
      <c r="AB15" s="2279" t="s">
        <v>1715</v>
      </c>
      <c r="AC15" s="2252"/>
      <c r="AD15" s="2252"/>
      <c r="AE15" s="2252"/>
      <c r="AF15" s="2252"/>
    </row>
    <row r="16" spans="1:33" ht="24.95" customHeight="1">
      <c r="A16" s="2051">
        <v>13</v>
      </c>
      <c r="B16" s="2152" t="s">
        <v>1970</v>
      </c>
      <c r="C16" s="2153">
        <v>2</v>
      </c>
      <c r="D16" s="2282">
        <v>10000</v>
      </c>
      <c r="E16" s="2282">
        <v>20000</v>
      </c>
      <c r="F16" s="2283" t="s">
        <v>1563</v>
      </c>
      <c r="G16" s="2138" t="s">
        <v>1709</v>
      </c>
      <c r="H16" s="2190"/>
      <c r="I16" s="2190"/>
      <c r="J16" s="2190"/>
      <c r="K16" s="2190"/>
      <c r="L16" s="2190"/>
      <c r="M16" s="2190"/>
      <c r="N16" s="2056"/>
      <c r="O16" s="2056"/>
      <c r="P16" s="2056"/>
      <c r="Q16" s="2056"/>
      <c r="R16" s="2056"/>
      <c r="S16" s="2056"/>
      <c r="T16" s="2056"/>
      <c r="U16" s="2056"/>
      <c r="V16" s="2056"/>
      <c r="W16" s="2056"/>
      <c r="X16" s="2056"/>
      <c r="Y16" s="2056"/>
      <c r="Z16" s="2056"/>
      <c r="AA16" s="2056"/>
      <c r="AB16" s="2283" t="s">
        <v>1563</v>
      </c>
      <c r="AC16" s="2252"/>
      <c r="AD16" s="2252"/>
      <c r="AE16" s="2252"/>
      <c r="AF16" s="2252"/>
    </row>
    <row r="17" spans="1:32">
      <c r="A17" s="2051">
        <v>14</v>
      </c>
      <c r="B17" s="2284" t="s">
        <v>1744</v>
      </c>
      <c r="C17" s="2285">
        <v>1</v>
      </c>
      <c r="D17" s="2286">
        <v>200000</v>
      </c>
      <c r="E17" s="2287">
        <f>+C17*D17</f>
        <v>200000</v>
      </c>
      <c r="F17" s="2283" t="s">
        <v>1532</v>
      </c>
      <c r="G17" s="2138" t="s">
        <v>1709</v>
      </c>
      <c r="H17" s="2190"/>
      <c r="I17" s="2190"/>
      <c r="J17" s="2190"/>
      <c r="K17" s="2190"/>
      <c r="L17" s="2190"/>
      <c r="M17" s="2190"/>
      <c r="N17" s="2056"/>
      <c r="O17" s="2056"/>
      <c r="P17" s="2056"/>
      <c r="Q17" s="2056"/>
      <c r="R17" s="2056"/>
      <c r="S17" s="2056"/>
      <c r="T17" s="2056"/>
      <c r="U17" s="2056"/>
      <c r="V17" s="2056"/>
      <c r="W17" s="2056"/>
      <c r="X17" s="2056"/>
      <c r="Y17" s="2056"/>
      <c r="Z17" s="2056"/>
      <c r="AA17" s="2056"/>
      <c r="AB17" s="2283" t="s">
        <v>1532</v>
      </c>
      <c r="AC17" s="2252"/>
      <c r="AD17" s="2252"/>
      <c r="AE17" s="2252"/>
      <c r="AF17" s="2252"/>
    </row>
    <row r="18" spans="1:32" ht="24.95" customHeight="1">
      <c r="A18" s="2051">
        <v>15</v>
      </c>
      <c r="B18" s="2288" t="s">
        <v>1730</v>
      </c>
      <c r="C18" s="2102">
        <v>1</v>
      </c>
      <c r="D18" s="2289">
        <v>117630</v>
      </c>
      <c r="E18" s="2287">
        <f>+C18*D18</f>
        <v>117630</v>
      </c>
      <c r="F18" s="2290" t="s">
        <v>1602</v>
      </c>
      <c r="G18" s="2291" t="s">
        <v>1709</v>
      </c>
      <c r="H18" s="2292"/>
      <c r="I18" s="2292"/>
      <c r="J18" s="2292"/>
      <c r="K18" s="2292"/>
      <c r="L18" s="2292"/>
      <c r="M18" s="2292"/>
      <c r="N18" s="2293"/>
      <c r="O18" s="2293"/>
      <c r="P18" s="2293"/>
      <c r="Q18" s="2293"/>
      <c r="R18" s="2293"/>
      <c r="S18" s="2293"/>
      <c r="T18" s="2293"/>
      <c r="U18" s="2293"/>
      <c r="V18" s="2293"/>
      <c r="W18" s="2293"/>
      <c r="X18" s="2293"/>
      <c r="Y18" s="2293"/>
      <c r="Z18" s="2293"/>
      <c r="AA18" s="2293"/>
      <c r="AB18" s="2290" t="s">
        <v>1602</v>
      </c>
      <c r="AC18" s="2252"/>
      <c r="AD18" s="2252"/>
      <c r="AE18" s="2252"/>
      <c r="AF18" s="2252"/>
    </row>
    <row r="19" spans="1:32" ht="24.95" customHeight="1">
      <c r="A19" s="2051">
        <v>16</v>
      </c>
      <c r="B19" s="2294" t="s">
        <v>1971</v>
      </c>
      <c r="C19" s="2295">
        <v>1</v>
      </c>
      <c r="D19" s="2296">
        <v>239376.56</v>
      </c>
      <c r="E19" s="2296">
        <f>C19*D19</f>
        <v>239376.56</v>
      </c>
      <c r="F19" s="2297" t="s">
        <v>1612</v>
      </c>
      <c r="G19" s="2298" t="s">
        <v>1709</v>
      </c>
      <c r="H19" s="2292"/>
      <c r="I19" s="2292"/>
      <c r="J19" s="2292"/>
      <c r="K19" s="2292"/>
      <c r="L19" s="2292"/>
      <c r="M19" s="2292"/>
      <c r="N19" s="2293"/>
      <c r="O19" s="2293"/>
      <c r="P19" s="2293"/>
      <c r="Q19" s="2293"/>
      <c r="R19" s="2293"/>
      <c r="S19" s="2293"/>
      <c r="T19" s="2293"/>
      <c r="U19" s="2293"/>
      <c r="V19" s="2293"/>
      <c r="W19" s="2293"/>
      <c r="X19" s="2293"/>
      <c r="Y19" s="2293"/>
      <c r="Z19" s="2293"/>
      <c r="AA19" s="2293"/>
      <c r="AB19" s="2297" t="s">
        <v>1612</v>
      </c>
      <c r="AC19" s="2252"/>
      <c r="AD19" s="2252"/>
      <c r="AE19" s="2252"/>
      <c r="AF19" s="2252"/>
    </row>
    <row r="20" spans="1:32" ht="24.95" customHeight="1">
      <c r="A20" s="2051">
        <v>17</v>
      </c>
      <c r="B20" s="2284" t="s">
        <v>1713</v>
      </c>
      <c r="C20" s="2285">
        <v>1</v>
      </c>
      <c r="D20" s="2168">
        <v>229094.49</v>
      </c>
      <c r="E20" s="2168">
        <f t="shared" ref="E20" si="3">C20*D20</f>
        <v>229094.49</v>
      </c>
      <c r="F20" s="2283"/>
      <c r="G20" s="2138"/>
      <c r="H20" s="2190"/>
      <c r="I20" s="2190"/>
      <c r="J20" s="2190"/>
      <c r="K20" s="2190"/>
      <c r="L20" s="2190"/>
      <c r="M20" s="2190"/>
      <c r="N20" s="2056"/>
      <c r="O20" s="2056"/>
      <c r="P20" s="2056"/>
      <c r="Q20" s="2056"/>
      <c r="R20" s="2056"/>
      <c r="S20" s="2056"/>
      <c r="T20" s="2056"/>
      <c r="U20" s="2056"/>
      <c r="V20" s="2056"/>
      <c r="W20" s="2056"/>
      <c r="X20" s="2056"/>
      <c r="Y20" s="2056"/>
      <c r="Z20" s="2056"/>
      <c r="AA20" s="2056"/>
      <c r="AB20" s="2275" t="s">
        <v>1736</v>
      </c>
      <c r="AC20" s="2252"/>
      <c r="AD20" s="2252"/>
      <c r="AE20" s="2252"/>
      <c r="AF20" s="2252"/>
    </row>
    <row r="21" spans="1:32" ht="24.95" customHeight="1">
      <c r="A21" s="2051">
        <v>18</v>
      </c>
      <c r="B21" s="2284" t="s">
        <v>1990</v>
      </c>
      <c r="C21" s="2285">
        <v>1</v>
      </c>
      <c r="D21" s="2168">
        <v>500000</v>
      </c>
      <c r="E21" s="2168">
        <f>+D21*C21</f>
        <v>500000</v>
      </c>
      <c r="F21" s="2283"/>
      <c r="G21" s="2138"/>
      <c r="H21" s="2190"/>
      <c r="I21" s="2190"/>
      <c r="J21" s="2190"/>
      <c r="K21" s="2190"/>
      <c r="L21" s="2190"/>
      <c r="M21" s="2190"/>
      <c r="N21" s="2056"/>
      <c r="O21" s="2056"/>
      <c r="P21" s="2056"/>
      <c r="Q21" s="2056"/>
      <c r="R21" s="2056"/>
      <c r="S21" s="2056"/>
      <c r="T21" s="2056"/>
      <c r="U21" s="2056"/>
      <c r="V21" s="2056"/>
      <c r="W21" s="2056"/>
      <c r="X21" s="2056"/>
      <c r="Y21" s="2056"/>
      <c r="Z21" s="2056"/>
      <c r="AA21" s="2056"/>
      <c r="AB21" s="2275"/>
      <c r="AC21" s="2252"/>
      <c r="AD21" s="2252"/>
      <c r="AE21" s="2252"/>
      <c r="AF21" s="2252"/>
    </row>
    <row r="22" spans="1:32" ht="24.95" customHeight="1">
      <c r="A22" s="2051">
        <v>19</v>
      </c>
      <c r="B22" s="2284" t="s">
        <v>1988</v>
      </c>
      <c r="C22" s="2285">
        <v>1</v>
      </c>
      <c r="D22" s="2168">
        <v>500000</v>
      </c>
      <c r="E22" s="2168">
        <f>+C22*D22</f>
        <v>500000</v>
      </c>
      <c r="F22" s="2283"/>
      <c r="G22" s="2138"/>
      <c r="H22" s="2190"/>
      <c r="I22" s="2190"/>
      <c r="J22" s="2190"/>
      <c r="K22" s="2190"/>
      <c r="L22" s="2190"/>
      <c r="M22" s="2190"/>
      <c r="N22" s="2056"/>
      <c r="O22" s="2056"/>
      <c r="P22" s="2056"/>
      <c r="Q22" s="2056"/>
      <c r="R22" s="2056"/>
      <c r="S22" s="2056"/>
      <c r="T22" s="2056"/>
      <c r="U22" s="2056"/>
      <c r="V22" s="2056"/>
      <c r="W22" s="2056"/>
      <c r="X22" s="2056"/>
      <c r="Y22" s="2056"/>
      <c r="Z22" s="2056"/>
      <c r="AA22" s="2056"/>
      <c r="AB22" s="2275" t="s">
        <v>1987</v>
      </c>
      <c r="AC22" s="2252"/>
      <c r="AD22" s="2252"/>
      <c r="AE22" s="2252"/>
      <c r="AF22" s="2252"/>
    </row>
    <row r="23" spans="1:32" s="2252" customFormat="1" ht="23.1" customHeight="1">
      <c r="A23" s="2051">
        <v>20</v>
      </c>
      <c r="B23" s="2259" t="s">
        <v>1991</v>
      </c>
      <c r="C23" s="2384">
        <v>1</v>
      </c>
      <c r="D23" s="2385">
        <v>500000</v>
      </c>
      <c r="E23" s="2261">
        <f>+D23*C23</f>
        <v>500000</v>
      </c>
      <c r="F23" s="2259"/>
      <c r="G23" s="2259"/>
      <c r="H23" s="2259"/>
      <c r="I23" s="2259"/>
      <c r="J23" s="2259"/>
      <c r="K23" s="2259"/>
      <c r="L23" s="2259"/>
      <c r="M23" s="2259"/>
      <c r="N23" s="2259"/>
      <c r="O23" s="2259"/>
      <c r="P23" s="2259"/>
      <c r="Q23" s="2259"/>
      <c r="R23" s="2259"/>
      <c r="S23" s="2259"/>
      <c r="T23" s="2259"/>
      <c r="U23" s="2259"/>
      <c r="V23" s="2259"/>
      <c r="W23" s="2259"/>
      <c r="X23" s="2259"/>
      <c r="Y23" s="2259"/>
      <c r="Z23" s="2259"/>
      <c r="AA23" s="2259"/>
      <c r="AB23" s="2140"/>
    </row>
    <row r="24" spans="1:32" s="2383" customFormat="1" ht="23.1" customHeight="1">
      <c r="A24" s="2497"/>
      <c r="B24" s="2320"/>
      <c r="C24" s="2318"/>
      <c r="D24" s="2319"/>
      <c r="E24" s="2505">
        <f>SUM(E4:E23)</f>
        <v>89577751.049999997</v>
      </c>
      <c r="F24" s="2320"/>
      <c r="G24" s="2320"/>
      <c r="H24" s="2320"/>
      <c r="I24" s="2320"/>
      <c r="J24" s="2320"/>
      <c r="K24" s="2320"/>
      <c r="L24" s="2320"/>
      <c r="M24" s="2320"/>
      <c r="N24" s="2320"/>
      <c r="O24" s="2320"/>
      <c r="P24" s="2320"/>
      <c r="Q24" s="2320"/>
      <c r="R24" s="2320"/>
      <c r="S24" s="2320"/>
      <c r="T24" s="2320"/>
      <c r="U24" s="2320"/>
      <c r="V24" s="2320"/>
      <c r="W24" s="2320"/>
      <c r="X24" s="2320"/>
      <c r="Y24" s="2320"/>
      <c r="Z24" s="2320"/>
      <c r="AA24" s="2320"/>
      <c r="AB24" s="2499"/>
    </row>
    <row r="25" spans="1:32" s="2383" customFormat="1" ht="23.1" customHeight="1">
      <c r="A25" s="2307"/>
      <c r="B25" s="2322"/>
      <c r="C25" s="2299"/>
      <c r="D25" s="2108"/>
      <c r="E25" s="2544"/>
      <c r="F25" s="2322"/>
      <c r="G25" s="2322"/>
      <c r="H25" s="2322"/>
      <c r="I25" s="2322"/>
      <c r="J25" s="2322"/>
      <c r="K25" s="2322"/>
      <c r="L25" s="2322"/>
      <c r="M25" s="2322"/>
      <c r="N25" s="2322"/>
      <c r="O25" s="2322"/>
      <c r="P25" s="2322"/>
      <c r="Q25" s="2322"/>
      <c r="R25" s="2322"/>
      <c r="S25" s="2322"/>
      <c r="T25" s="2322"/>
      <c r="U25" s="2322"/>
      <c r="V25" s="2322"/>
      <c r="W25" s="2322"/>
      <c r="X25" s="2322"/>
      <c r="Y25" s="2322"/>
      <c r="Z25" s="2322"/>
      <c r="AA25" s="2322"/>
      <c r="AB25" s="2501"/>
    </row>
    <row r="26" spans="1:32" s="2383" customFormat="1" ht="23.1" customHeight="1">
      <c r="A26" s="2307"/>
      <c r="B26" s="2322"/>
      <c r="C26" s="2299"/>
      <c r="D26" s="2108"/>
      <c r="E26" s="2544"/>
      <c r="F26" s="2322"/>
      <c r="G26" s="2322"/>
      <c r="H26" s="2322"/>
      <c r="I26" s="2322"/>
      <c r="J26" s="2322"/>
      <c r="K26" s="2322"/>
      <c r="L26" s="2322"/>
      <c r="M26" s="2322"/>
      <c r="N26" s="2322"/>
      <c r="O26" s="2322"/>
      <c r="P26" s="2322"/>
      <c r="Q26" s="2322"/>
      <c r="R26" s="2322"/>
      <c r="S26" s="2322"/>
      <c r="T26" s="2322"/>
      <c r="U26" s="2322"/>
      <c r="V26" s="2322"/>
      <c r="W26" s="2322"/>
      <c r="X26" s="2322"/>
      <c r="Y26" s="2322"/>
      <c r="Z26" s="2322"/>
      <c r="AA26" s="2322"/>
      <c r="AB26" s="2501"/>
    </row>
    <row r="27" spans="1:32" s="2383" customFormat="1" ht="23.1" customHeight="1">
      <c r="A27" s="2307"/>
      <c r="B27" s="2322"/>
      <c r="C27" s="2299"/>
      <c r="D27" s="2108"/>
      <c r="E27" s="2544"/>
      <c r="F27" s="2322"/>
      <c r="G27" s="2322"/>
      <c r="H27" s="2322"/>
      <c r="I27" s="2322"/>
      <c r="J27" s="2322"/>
      <c r="K27" s="2322"/>
      <c r="L27" s="2322"/>
      <c r="M27" s="2322"/>
      <c r="N27" s="2322"/>
      <c r="O27" s="2322"/>
      <c r="P27" s="2322"/>
      <c r="Q27" s="2322"/>
      <c r="R27" s="2322"/>
      <c r="S27" s="2322"/>
      <c r="T27" s="2322"/>
      <c r="U27" s="2322"/>
      <c r="V27" s="2322"/>
      <c r="W27" s="2322"/>
      <c r="X27" s="2322"/>
      <c r="Y27" s="2322"/>
      <c r="Z27" s="2322"/>
      <c r="AA27" s="2322"/>
      <c r="AB27" s="2501"/>
    </row>
    <row r="28" spans="1:32" s="2383" customFormat="1" ht="23.1" customHeight="1">
      <c r="A28" s="2307"/>
      <c r="B28" s="2322"/>
      <c r="C28" s="2299"/>
      <c r="D28" s="2108"/>
      <c r="E28" s="2544"/>
      <c r="F28" s="2322"/>
      <c r="G28" s="2322"/>
      <c r="H28" s="2322"/>
      <c r="I28" s="2322"/>
      <c r="J28" s="2322"/>
      <c r="K28" s="2322"/>
      <c r="L28" s="2322"/>
      <c r="M28" s="2322"/>
      <c r="N28" s="2322"/>
      <c r="O28" s="2322"/>
      <c r="P28" s="2322"/>
      <c r="Q28" s="2322"/>
      <c r="R28" s="2322"/>
      <c r="S28" s="2322"/>
      <c r="T28" s="2322"/>
      <c r="U28" s="2322"/>
      <c r="V28" s="2322"/>
      <c r="W28" s="2322"/>
      <c r="X28" s="2322"/>
      <c r="Y28" s="2322"/>
      <c r="Z28" s="2322"/>
      <c r="AA28" s="2322"/>
      <c r="AB28" s="2501"/>
    </row>
    <row r="29" spans="1:32" s="2383" customFormat="1" ht="23.1" customHeight="1">
      <c r="A29" s="2307"/>
      <c r="B29" s="2322"/>
      <c r="C29" s="2299"/>
      <c r="D29" s="2108"/>
      <c r="E29" s="2544"/>
      <c r="F29" s="2322"/>
      <c r="G29" s="2322"/>
      <c r="H29" s="2322"/>
      <c r="I29" s="2322"/>
      <c r="J29" s="2322"/>
      <c r="K29" s="2322"/>
      <c r="L29" s="2322"/>
      <c r="M29" s="2322"/>
      <c r="N29" s="2322"/>
      <c r="O29" s="2322"/>
      <c r="P29" s="2322"/>
      <c r="Q29" s="2322"/>
      <c r="R29" s="2322"/>
      <c r="S29" s="2322"/>
      <c r="T29" s="2322"/>
      <c r="U29" s="2322"/>
      <c r="V29" s="2322"/>
      <c r="W29" s="2322"/>
      <c r="X29" s="2322"/>
      <c r="Y29" s="2322"/>
      <c r="Z29" s="2322"/>
      <c r="AA29" s="2322"/>
      <c r="AB29" s="2501"/>
    </row>
    <row r="30" spans="1:32" s="2383" customFormat="1" ht="23.1" customHeight="1">
      <c r="A30" s="2307"/>
      <c r="B30" s="2322"/>
      <c r="C30" s="2299"/>
      <c r="D30" s="2108"/>
      <c r="E30" s="2544"/>
      <c r="F30" s="2322"/>
      <c r="G30" s="2322"/>
      <c r="H30" s="2322"/>
      <c r="I30" s="2322"/>
      <c r="J30" s="2322"/>
      <c r="K30" s="2322"/>
      <c r="L30" s="2322"/>
      <c r="M30" s="2322"/>
      <c r="N30" s="2322"/>
      <c r="O30" s="2322"/>
      <c r="P30" s="2322"/>
      <c r="Q30" s="2322"/>
      <c r="R30" s="2322"/>
      <c r="S30" s="2322"/>
      <c r="T30" s="2322"/>
      <c r="U30" s="2322"/>
      <c r="V30" s="2322"/>
      <c r="W30" s="2322"/>
      <c r="X30" s="2322"/>
      <c r="Y30" s="2322"/>
      <c r="Z30" s="2322"/>
      <c r="AA30" s="2322"/>
      <c r="AB30" s="2501"/>
    </row>
    <row r="31" spans="1:32" s="2383" customFormat="1" ht="23.1" customHeight="1">
      <c r="A31" s="2307"/>
      <c r="B31" s="2322"/>
      <c r="C31" s="2299"/>
      <c r="D31" s="2108"/>
      <c r="E31" s="2544"/>
      <c r="F31" s="2322"/>
      <c r="G31" s="2322"/>
      <c r="H31" s="2322"/>
      <c r="I31" s="2322"/>
      <c r="J31" s="2322"/>
      <c r="K31" s="2322"/>
      <c r="L31" s="2322"/>
      <c r="M31" s="2322"/>
      <c r="N31" s="2322"/>
      <c r="O31" s="2322"/>
      <c r="P31" s="2322"/>
      <c r="Q31" s="2322"/>
      <c r="R31" s="2322"/>
      <c r="S31" s="2322"/>
      <c r="T31" s="2322"/>
      <c r="U31" s="2322"/>
      <c r="V31" s="2322"/>
      <c r="W31" s="2322"/>
      <c r="X31" s="2322"/>
      <c r="Y31" s="2322"/>
      <c r="Z31" s="2322"/>
      <c r="AA31" s="2322"/>
      <c r="AB31" s="2501"/>
    </row>
    <row r="32" spans="1:32" s="2383" customFormat="1" ht="23.1" customHeight="1">
      <c r="A32" s="2307"/>
      <c r="B32" s="2322"/>
      <c r="C32" s="2299"/>
      <c r="D32" s="2108"/>
      <c r="E32" s="2544"/>
      <c r="F32" s="2322"/>
      <c r="G32" s="2322"/>
      <c r="H32" s="2322"/>
      <c r="I32" s="2322"/>
      <c r="J32" s="2322"/>
      <c r="K32" s="2322"/>
      <c r="L32" s="2322"/>
      <c r="M32" s="2322"/>
      <c r="N32" s="2322"/>
      <c r="O32" s="2322"/>
      <c r="P32" s="2322"/>
      <c r="Q32" s="2322"/>
      <c r="R32" s="2322"/>
      <c r="S32" s="2322"/>
      <c r="T32" s="2322"/>
      <c r="U32" s="2322"/>
      <c r="V32" s="2322"/>
      <c r="W32" s="2322"/>
      <c r="X32" s="2322"/>
      <c r="Y32" s="2322"/>
      <c r="Z32" s="2322"/>
      <c r="AA32" s="2322"/>
      <c r="AB32" s="2501"/>
    </row>
    <row r="33" spans="1:33">
      <c r="A33" s="2876" t="s">
        <v>1989</v>
      </c>
      <c r="B33" s="2876"/>
      <c r="C33" s="2876"/>
      <c r="D33" s="2876"/>
      <c r="E33" s="2876"/>
      <c r="F33" s="2876"/>
      <c r="G33" s="2876"/>
      <c r="H33" s="2876"/>
      <c r="I33" s="2876"/>
      <c r="J33" s="2876"/>
      <c r="K33" s="2876"/>
      <c r="L33" s="2876"/>
      <c r="M33" s="2876"/>
      <c r="N33" s="2876"/>
      <c r="O33" s="2876"/>
      <c r="P33" s="2876"/>
      <c r="Q33" s="2876"/>
      <c r="R33" s="2876"/>
      <c r="S33" s="2876"/>
      <c r="T33" s="2876"/>
      <c r="U33" s="2876"/>
      <c r="V33" s="2876"/>
      <c r="W33" s="2876"/>
      <c r="X33" s="2876"/>
      <c r="Y33" s="2876"/>
      <c r="Z33" s="2876"/>
      <c r="AA33" s="2876"/>
      <c r="AB33" s="2876"/>
      <c r="AC33" s="2252"/>
      <c r="AD33" s="2252"/>
      <c r="AE33" s="2252"/>
      <c r="AF33" s="2252"/>
    </row>
    <row r="34" spans="1:33" ht="42.75" customHeight="1">
      <c r="A34" s="2310" t="s">
        <v>2</v>
      </c>
      <c r="B34" s="2310" t="s">
        <v>3</v>
      </c>
      <c r="C34" s="2310" t="s">
        <v>385</v>
      </c>
      <c r="D34" s="2310" t="s">
        <v>386</v>
      </c>
      <c r="E34" s="2310" t="s">
        <v>387</v>
      </c>
      <c r="F34" s="2310" t="s">
        <v>389</v>
      </c>
      <c r="G34" s="2310" t="s">
        <v>390</v>
      </c>
      <c r="H34" s="2310" t="s">
        <v>391</v>
      </c>
      <c r="I34" s="2310" t="s">
        <v>392</v>
      </c>
      <c r="J34" s="2310" t="s">
        <v>393</v>
      </c>
      <c r="K34" s="2310" t="s">
        <v>394</v>
      </c>
      <c r="L34" s="2310" t="s">
        <v>395</v>
      </c>
      <c r="M34" s="2310" t="s">
        <v>396</v>
      </c>
      <c r="N34" s="2310" t="s">
        <v>397</v>
      </c>
      <c r="O34" s="2310" t="s">
        <v>398</v>
      </c>
      <c r="P34" s="2310" t="s">
        <v>399</v>
      </c>
      <c r="Q34" s="2310" t="s">
        <v>400</v>
      </c>
      <c r="R34" s="2310" t="s">
        <v>401</v>
      </c>
      <c r="S34" s="2310" t="s">
        <v>402</v>
      </c>
      <c r="T34" s="2310" t="s">
        <v>403</v>
      </c>
      <c r="U34" s="2310" t="s">
        <v>404</v>
      </c>
      <c r="V34" s="2310" t="s">
        <v>405</v>
      </c>
      <c r="W34" s="2310" t="s">
        <v>406</v>
      </c>
      <c r="X34" s="2310" t="s">
        <v>407</v>
      </c>
      <c r="Y34" s="2310" t="s">
        <v>408</v>
      </c>
      <c r="Z34" s="2310" t="s">
        <v>409</v>
      </c>
      <c r="AA34" s="2310" t="s">
        <v>410</v>
      </c>
      <c r="AB34" s="2310" t="s">
        <v>221</v>
      </c>
      <c r="AC34" s="2252"/>
      <c r="AD34" s="2252"/>
      <c r="AE34" s="2252"/>
      <c r="AF34" s="2252"/>
    </row>
    <row r="35" spans="1:33">
      <c r="A35" s="2260">
        <v>1</v>
      </c>
      <c r="B35" s="2259" t="s">
        <v>1063</v>
      </c>
      <c r="C35" s="2260">
        <v>1</v>
      </c>
      <c r="D35" s="2311">
        <v>2000000</v>
      </c>
      <c r="E35" s="2312">
        <f>+C35*D35</f>
        <v>2000000</v>
      </c>
      <c r="F35" s="2259"/>
      <c r="G35" s="2259"/>
      <c r="H35" s="2259"/>
      <c r="I35" s="2259"/>
      <c r="J35" s="2259"/>
      <c r="K35" s="2259"/>
      <c r="L35" s="2259"/>
      <c r="M35" s="2259"/>
      <c r="N35" s="2259"/>
      <c r="O35" s="2259"/>
      <c r="P35" s="2259"/>
      <c r="Q35" s="2259"/>
      <c r="R35" s="2259"/>
      <c r="S35" s="2259"/>
      <c r="T35" s="2259"/>
      <c r="U35" s="2259"/>
      <c r="V35" s="2259"/>
      <c r="W35" s="2259"/>
      <c r="X35" s="2259"/>
      <c r="Y35" s="2259"/>
      <c r="Z35" s="2259"/>
      <c r="AA35" s="2259"/>
      <c r="AB35" s="2273" t="s">
        <v>1711</v>
      </c>
      <c r="AC35" s="2252"/>
      <c r="AD35" s="2252"/>
      <c r="AE35" s="2252"/>
      <c r="AF35" s="2252"/>
    </row>
    <row r="36" spans="1:33">
      <c r="A36" s="2260">
        <v>2</v>
      </c>
      <c r="B36" s="2259" t="s">
        <v>1500</v>
      </c>
      <c r="C36" s="2260">
        <v>1</v>
      </c>
      <c r="D36" s="2106">
        <v>2700000</v>
      </c>
      <c r="E36" s="2272">
        <f>+C36*D36</f>
        <v>2700000</v>
      </c>
      <c r="F36" s="2259"/>
      <c r="G36" s="2259"/>
      <c r="H36" s="2259"/>
      <c r="I36" s="2259"/>
      <c r="J36" s="2259"/>
      <c r="K36" s="2259"/>
      <c r="L36" s="2259"/>
      <c r="M36" s="2259"/>
      <c r="N36" s="2259"/>
      <c r="O36" s="2259"/>
      <c r="P36" s="2259"/>
      <c r="Q36" s="2259"/>
      <c r="R36" s="2259"/>
      <c r="S36" s="2259"/>
      <c r="T36" s="2259"/>
      <c r="U36" s="2259"/>
      <c r="V36" s="2259"/>
      <c r="W36" s="2259"/>
      <c r="X36" s="2259"/>
      <c r="Y36" s="2259"/>
      <c r="Z36" s="2259"/>
      <c r="AA36" s="2259"/>
      <c r="AB36" s="2273"/>
      <c r="AC36" s="2252"/>
      <c r="AD36" s="2252"/>
      <c r="AE36" s="2252"/>
      <c r="AF36" s="2252"/>
    </row>
    <row r="37" spans="1:33" ht="48">
      <c r="A37" s="2313">
        <v>3</v>
      </c>
      <c r="B37" s="2314" t="s">
        <v>1061</v>
      </c>
      <c r="C37" s="2313">
        <v>1</v>
      </c>
      <c r="D37" s="2315">
        <v>100000000</v>
      </c>
      <c r="E37" s="2316">
        <f>+C37*D37</f>
        <v>100000000</v>
      </c>
      <c r="F37" s="2317"/>
      <c r="G37" s="2317"/>
      <c r="H37" s="2317"/>
      <c r="I37" s="2317"/>
      <c r="J37" s="2317"/>
      <c r="K37" s="2317"/>
      <c r="L37" s="2317"/>
      <c r="M37" s="2317"/>
      <c r="N37" s="2317"/>
      <c r="O37" s="2317"/>
      <c r="P37" s="2317"/>
      <c r="Q37" s="2317"/>
      <c r="R37" s="2317"/>
      <c r="S37" s="2317"/>
      <c r="T37" s="2317"/>
      <c r="U37" s="2317"/>
      <c r="V37" s="2317"/>
      <c r="W37" s="2317"/>
      <c r="X37" s="2317"/>
      <c r="Y37" s="2317"/>
      <c r="Z37" s="2317"/>
      <c r="AA37" s="2317"/>
      <c r="AB37" s="2507" t="s">
        <v>2513</v>
      </c>
      <c r="AC37" s="2252"/>
      <c r="AD37" s="2252"/>
      <c r="AE37" s="2252"/>
      <c r="AF37" s="2252"/>
    </row>
    <row r="38" spans="1:33">
      <c r="A38" s="2299"/>
      <c r="B38" s="2874" t="s">
        <v>1069</v>
      </c>
      <c r="C38" s="2874"/>
      <c r="D38" s="2874"/>
      <c r="E38" s="2321">
        <f>SUM(E35:E37)</f>
        <v>104700000</v>
      </c>
      <c r="F38" s="2322"/>
      <c r="G38" s="2322"/>
      <c r="H38" s="2322"/>
      <c r="I38" s="2322"/>
      <c r="J38" s="2322"/>
      <c r="K38" s="2322"/>
      <c r="L38" s="2322"/>
      <c r="M38" s="2322"/>
      <c r="N38" s="2322"/>
      <c r="O38" s="2322"/>
      <c r="P38" s="2322"/>
      <c r="Q38" s="2322"/>
      <c r="R38" s="2322"/>
      <c r="S38" s="2322"/>
      <c r="T38" s="2322"/>
      <c r="U38" s="2322"/>
      <c r="V38" s="2322"/>
      <c r="W38" s="2322"/>
      <c r="X38" s="2322"/>
      <c r="Y38" s="2322"/>
      <c r="Z38" s="2322"/>
      <c r="AA38" s="2322"/>
      <c r="AB38" s="2323"/>
      <c r="AC38" s="2252"/>
      <c r="AD38" s="2252"/>
      <c r="AE38" s="2252"/>
      <c r="AF38" s="2252"/>
    </row>
    <row r="39" spans="1:33" ht="26.1" customHeight="1">
      <c r="A39" s="2299"/>
      <c r="B39" s="2322" t="s">
        <v>1731</v>
      </c>
      <c r="C39" s="2299"/>
      <c r="D39" s="2324"/>
      <c r="E39" s="2325"/>
      <c r="F39" s="2322"/>
      <c r="G39" s="2322"/>
      <c r="H39" s="2322"/>
      <c r="I39" s="2322"/>
      <c r="J39" s="2322"/>
      <c r="K39" s="2322"/>
      <c r="L39" s="2322"/>
      <c r="M39" s="2322"/>
      <c r="N39" s="2322"/>
      <c r="O39" s="2322"/>
      <c r="P39" s="2322"/>
      <c r="Q39" s="2322"/>
      <c r="R39" s="2322"/>
      <c r="S39" s="2322"/>
      <c r="T39" s="2322"/>
      <c r="U39" s="2322"/>
      <c r="V39" s="2322"/>
      <c r="W39" s="2322"/>
      <c r="X39" s="2322"/>
      <c r="Y39" s="2322"/>
      <c r="Z39" s="2322"/>
      <c r="AA39" s="2322"/>
      <c r="AB39" s="2323"/>
    </row>
    <row r="40" spans="1:33" s="2383" customFormat="1" ht="23.1" customHeight="1">
      <c r="A40" s="2307"/>
      <c r="B40" s="2322"/>
      <c r="C40" s="2299"/>
      <c r="D40" s="2108"/>
      <c r="E40" s="2500"/>
      <c r="F40" s="2322"/>
      <c r="G40" s="2322"/>
      <c r="H40" s="2322"/>
      <c r="I40" s="2322"/>
      <c r="J40" s="2322"/>
      <c r="K40" s="2322"/>
      <c r="L40" s="2322"/>
      <c r="M40" s="2322"/>
      <c r="N40" s="2322"/>
      <c r="O40" s="2322"/>
      <c r="P40" s="2322"/>
      <c r="Q40" s="2322"/>
      <c r="R40" s="2322"/>
      <c r="S40" s="2322"/>
      <c r="T40" s="2322"/>
      <c r="U40" s="2322"/>
      <c r="V40" s="2322"/>
      <c r="W40" s="2322"/>
      <c r="X40" s="2322"/>
      <c r="Y40" s="2322"/>
      <c r="Z40" s="2322"/>
      <c r="AA40" s="2322"/>
      <c r="AB40" s="2501"/>
    </row>
    <row r="41" spans="1:33" s="2383" customFormat="1" ht="23.1" customHeight="1">
      <c r="A41" s="2875" t="s">
        <v>2511</v>
      </c>
      <c r="B41" s="2875"/>
      <c r="C41" s="2875"/>
      <c r="D41" s="2875"/>
      <c r="E41" s="2875"/>
      <c r="F41" s="2875"/>
      <c r="G41" s="2875"/>
      <c r="H41" s="2875"/>
      <c r="I41" s="2875"/>
      <c r="J41" s="2875"/>
      <c r="K41" s="2875"/>
      <c r="L41" s="2875"/>
      <c r="M41" s="2875"/>
      <c r="N41" s="2875"/>
      <c r="O41" s="2875"/>
      <c r="P41" s="2875"/>
      <c r="Q41" s="2875"/>
      <c r="R41" s="2875"/>
      <c r="S41" s="2875"/>
      <c r="T41" s="2875"/>
      <c r="U41" s="2875"/>
      <c r="V41" s="2875"/>
      <c r="W41" s="2875"/>
      <c r="X41" s="2875"/>
      <c r="Y41" s="2875"/>
      <c r="Z41" s="2875"/>
      <c r="AA41" s="2875"/>
      <c r="AB41" s="2875"/>
    </row>
    <row r="42" spans="1:33" s="2383" customFormat="1" ht="23.1" customHeight="1">
      <c r="A42" s="2310" t="s">
        <v>2</v>
      </c>
      <c r="B42" s="2310" t="s">
        <v>3</v>
      </c>
      <c r="C42" s="2310" t="s">
        <v>385</v>
      </c>
      <c r="D42" s="2310" t="s">
        <v>386</v>
      </c>
      <c r="E42" s="2310" t="s">
        <v>387</v>
      </c>
      <c r="F42" s="2310" t="s">
        <v>389</v>
      </c>
      <c r="G42" s="2310" t="s">
        <v>390</v>
      </c>
      <c r="H42" s="2310" t="s">
        <v>391</v>
      </c>
      <c r="I42" s="2310" t="s">
        <v>392</v>
      </c>
      <c r="J42" s="2310" t="s">
        <v>393</v>
      </c>
      <c r="K42" s="2310" t="s">
        <v>394</v>
      </c>
      <c r="L42" s="2310" t="s">
        <v>395</v>
      </c>
      <c r="M42" s="2310" t="s">
        <v>396</v>
      </c>
      <c r="N42" s="2310" t="s">
        <v>397</v>
      </c>
      <c r="O42" s="2310" t="s">
        <v>398</v>
      </c>
      <c r="P42" s="2310" t="s">
        <v>399</v>
      </c>
      <c r="Q42" s="2310" t="s">
        <v>400</v>
      </c>
      <c r="R42" s="2310" t="s">
        <v>401</v>
      </c>
      <c r="S42" s="2310" t="s">
        <v>402</v>
      </c>
      <c r="T42" s="2310" t="s">
        <v>403</v>
      </c>
      <c r="U42" s="2310" t="s">
        <v>404</v>
      </c>
      <c r="V42" s="2310" t="s">
        <v>405</v>
      </c>
      <c r="W42" s="2310" t="s">
        <v>406</v>
      </c>
      <c r="X42" s="2310" t="s">
        <v>407</v>
      </c>
      <c r="Y42" s="2310" t="s">
        <v>408</v>
      </c>
      <c r="Z42" s="2310" t="s">
        <v>409</v>
      </c>
      <c r="AA42" s="2310" t="s">
        <v>410</v>
      </c>
      <c r="AB42" s="2310" t="s">
        <v>221</v>
      </c>
    </row>
    <row r="43" spans="1:33" s="2252" customFormat="1" ht="48">
      <c r="A43" s="2051">
        <v>1</v>
      </c>
      <c r="B43" s="2259" t="s">
        <v>2504</v>
      </c>
      <c r="C43" s="2260">
        <v>1</v>
      </c>
      <c r="D43" s="2106">
        <v>18490000</v>
      </c>
      <c r="E43" s="2261">
        <f>+D43*C43</f>
        <v>18490000</v>
      </c>
      <c r="F43" s="2259"/>
      <c r="G43" s="2259"/>
      <c r="H43" s="2259"/>
      <c r="I43" s="2259"/>
      <c r="J43" s="2259"/>
      <c r="K43" s="2259"/>
      <c r="L43" s="2259"/>
      <c r="M43" s="2259"/>
      <c r="N43" s="2259"/>
      <c r="O43" s="2259"/>
      <c r="P43" s="2259"/>
      <c r="Q43" s="2259"/>
      <c r="R43" s="2259"/>
      <c r="S43" s="2259"/>
      <c r="T43" s="2259"/>
      <c r="U43" s="2259"/>
      <c r="V43" s="2259"/>
      <c r="W43" s="2259"/>
      <c r="X43" s="2259"/>
      <c r="Y43" s="2259"/>
      <c r="Z43" s="2259"/>
      <c r="AA43" s="2259"/>
      <c r="AB43" s="2262" t="s">
        <v>2505</v>
      </c>
    </row>
    <row r="44" spans="1:33" s="2252" customFormat="1" ht="48">
      <c r="A44" s="2051">
        <v>2</v>
      </c>
      <c r="B44" s="2190" t="s">
        <v>2507</v>
      </c>
      <c r="C44" s="2051">
        <v>2</v>
      </c>
      <c r="D44" s="2059">
        <v>3000000</v>
      </c>
      <c r="E44" s="2261">
        <f t="shared" ref="E44:E45" si="4">+D44*C44</f>
        <v>6000000</v>
      </c>
      <c r="F44" s="2259"/>
      <c r="G44" s="2259"/>
      <c r="H44" s="2259"/>
      <c r="I44" s="2259"/>
      <c r="J44" s="2259"/>
      <c r="K44" s="2259"/>
      <c r="L44" s="2259"/>
      <c r="M44" s="2259"/>
      <c r="N44" s="2259"/>
      <c r="O44" s="2259"/>
      <c r="P44" s="2259"/>
      <c r="Q44" s="2259"/>
      <c r="R44" s="2259"/>
      <c r="S44" s="2259"/>
      <c r="T44" s="2259"/>
      <c r="U44" s="2259"/>
      <c r="V44" s="2259"/>
      <c r="W44" s="2259"/>
      <c r="X44" s="2259"/>
      <c r="Y44" s="2259"/>
      <c r="Z44" s="2259"/>
      <c r="AA44" s="2259"/>
      <c r="AB44" s="2050" t="s">
        <v>2506</v>
      </c>
    </row>
    <row r="45" spans="1:33" s="2271" customFormat="1">
      <c r="A45" s="2051">
        <v>3</v>
      </c>
      <c r="B45" s="2265" t="s">
        <v>2508</v>
      </c>
      <c r="C45" s="2266">
        <v>1</v>
      </c>
      <c r="D45" s="2267">
        <v>18522237.399999999</v>
      </c>
      <c r="E45" s="2261">
        <f t="shared" si="4"/>
        <v>18522237.399999999</v>
      </c>
      <c r="F45" s="2265"/>
      <c r="G45" s="2265"/>
      <c r="H45" s="2265"/>
      <c r="I45" s="2265"/>
      <c r="J45" s="2265"/>
      <c r="K45" s="2265"/>
      <c r="L45" s="2265"/>
      <c r="M45" s="2265"/>
      <c r="N45" s="2268"/>
      <c r="O45" s="2265"/>
      <c r="P45" s="2265"/>
      <c r="Q45" s="2265"/>
      <c r="R45" s="2265"/>
      <c r="S45" s="2265"/>
      <c r="T45" s="2265"/>
      <c r="U45" s="2265"/>
      <c r="V45" s="2265"/>
      <c r="W45" s="2265"/>
      <c r="X45" s="2265"/>
      <c r="Y45" s="2265"/>
      <c r="Z45" s="2265"/>
      <c r="AA45" s="2265"/>
      <c r="AB45" s="2262" t="s">
        <v>1705</v>
      </c>
      <c r="AC45" s="2269"/>
      <c r="AD45" s="2270"/>
      <c r="AE45" s="2270"/>
      <c r="AF45" s="2270"/>
      <c r="AG45" s="2270"/>
    </row>
    <row r="46" spans="1:33" s="2277" customFormat="1" ht="24.75" customHeight="1">
      <c r="A46" s="2051">
        <v>4</v>
      </c>
      <c r="B46" s="2050" t="s">
        <v>1979</v>
      </c>
      <c r="C46" s="2051">
        <v>1</v>
      </c>
      <c r="D46" s="2052">
        <v>20000000</v>
      </c>
      <c r="E46" s="2052">
        <f>+D46*C46</f>
        <v>20000000</v>
      </c>
      <c r="F46" s="2190"/>
      <c r="G46" s="2190"/>
      <c r="H46" s="2190"/>
      <c r="I46" s="2190"/>
      <c r="J46" s="2190"/>
      <c r="K46" s="2190"/>
      <c r="L46" s="2190"/>
      <c r="M46" s="2190"/>
      <c r="N46" s="2056"/>
      <c r="O46" s="2056"/>
      <c r="P46" s="2056"/>
      <c r="Q46" s="2056"/>
      <c r="R46" s="2056"/>
      <c r="S46" s="2056"/>
      <c r="T46" s="2056"/>
      <c r="U46" s="2056"/>
      <c r="V46" s="2056"/>
      <c r="W46" s="2056"/>
      <c r="X46" s="2056"/>
      <c r="Y46" s="2056"/>
      <c r="Z46" s="2056"/>
      <c r="AA46" s="2056"/>
      <c r="AB46" s="2140" t="s">
        <v>1735</v>
      </c>
    </row>
    <row r="47" spans="1:33" s="2258" customFormat="1" ht="23.1" customHeight="1">
      <c r="A47" s="2051">
        <v>5</v>
      </c>
      <c r="B47" s="2056" t="s">
        <v>1983</v>
      </c>
      <c r="C47" s="2051">
        <v>1</v>
      </c>
      <c r="D47" s="2059">
        <v>116270000</v>
      </c>
      <c r="E47" s="2052">
        <f>+D47*C47</f>
        <v>116270000</v>
      </c>
      <c r="F47" s="2190"/>
      <c r="G47" s="2190"/>
      <c r="H47" s="2190"/>
      <c r="I47" s="2190"/>
      <c r="J47" s="2190"/>
      <c r="K47" s="2190"/>
      <c r="L47" s="2190"/>
      <c r="M47" s="2190"/>
      <c r="N47" s="2190"/>
      <c r="O47" s="2190"/>
      <c r="P47" s="2190"/>
      <c r="Q47" s="2190"/>
      <c r="R47" s="2190"/>
      <c r="S47" s="2190"/>
      <c r="T47" s="2190"/>
      <c r="U47" s="2190"/>
      <c r="V47" s="2190"/>
      <c r="W47" s="2190"/>
      <c r="X47" s="2190"/>
      <c r="Y47" s="2190"/>
      <c r="Z47" s="2190"/>
      <c r="AA47" s="2190"/>
      <c r="AB47" s="2056" t="s">
        <v>1733</v>
      </c>
    </row>
    <row r="48" spans="1:33" s="2258" customFormat="1" ht="23.1" customHeight="1">
      <c r="A48" s="2051">
        <v>6</v>
      </c>
      <c r="B48" s="2056" t="s">
        <v>2584</v>
      </c>
      <c r="C48" s="2051">
        <v>1</v>
      </c>
      <c r="D48" s="2059">
        <v>19202986.120000001</v>
      </c>
      <c r="E48" s="2052">
        <f>+C48*D48</f>
        <v>19202986.120000001</v>
      </c>
      <c r="F48" s="2190"/>
      <c r="G48" s="2190"/>
      <c r="H48" s="2190"/>
      <c r="I48" s="2190"/>
      <c r="J48" s="2190"/>
      <c r="K48" s="2190"/>
      <c r="L48" s="2190"/>
      <c r="M48" s="2190"/>
      <c r="N48" s="2190"/>
      <c r="O48" s="2190"/>
      <c r="P48" s="2190"/>
      <c r="Q48" s="2190"/>
      <c r="R48" s="2190"/>
      <c r="S48" s="2190"/>
      <c r="T48" s="2190"/>
      <c r="U48" s="2190"/>
      <c r="V48" s="2190"/>
      <c r="W48" s="2190"/>
      <c r="X48" s="2190"/>
      <c r="Y48" s="2190"/>
      <c r="Z48" s="2190"/>
      <c r="AA48" s="2190"/>
      <c r="AB48" s="2056"/>
    </row>
    <row r="49" spans="1:32" ht="23.1" customHeight="1">
      <c r="A49" s="2497"/>
      <c r="B49" s="2502"/>
      <c r="C49" s="2497"/>
      <c r="D49" s="2498"/>
      <c r="E49" s="2506">
        <f>SUM(E43:E48)</f>
        <v>198485223.52000001</v>
      </c>
      <c r="F49" s="2498"/>
      <c r="G49" s="2498"/>
      <c r="H49" s="2498"/>
      <c r="I49" s="2498"/>
      <c r="J49" s="2498"/>
      <c r="K49" s="2498"/>
      <c r="L49" s="2498"/>
      <c r="M49" s="2498"/>
      <c r="N49" s="2503"/>
      <c r="O49" s="2503"/>
      <c r="P49" s="2503"/>
      <c r="Q49" s="2503"/>
      <c r="R49" s="2503"/>
      <c r="S49" s="2503"/>
      <c r="T49" s="2503"/>
      <c r="U49" s="2503"/>
      <c r="V49" s="2503"/>
      <c r="W49" s="2503"/>
      <c r="X49" s="2503"/>
      <c r="Y49" s="2503"/>
      <c r="Z49" s="2503"/>
      <c r="AA49" s="2503"/>
      <c r="AB49" s="2499"/>
      <c r="AC49" s="2252"/>
      <c r="AD49" s="2252"/>
      <c r="AE49" s="2252"/>
      <c r="AF49" s="2252"/>
    </row>
    <row r="50" spans="1:32" ht="23.1" customHeight="1">
      <c r="A50" s="2307"/>
      <c r="B50" s="2306"/>
      <c r="C50" s="2307"/>
      <c r="D50" s="2500"/>
      <c r="E50" s="2545"/>
      <c r="F50" s="2500"/>
      <c r="G50" s="2500"/>
      <c r="H50" s="2500"/>
      <c r="I50" s="2500"/>
      <c r="J50" s="2500"/>
      <c r="K50" s="2500"/>
      <c r="L50" s="2500"/>
      <c r="M50" s="2500"/>
      <c r="N50" s="2293"/>
      <c r="O50" s="2293"/>
      <c r="P50" s="2293"/>
      <c r="Q50" s="2293"/>
      <c r="R50" s="2293"/>
      <c r="S50" s="2293"/>
      <c r="T50" s="2293"/>
      <c r="U50" s="2293"/>
      <c r="V50" s="2293"/>
      <c r="W50" s="2293"/>
      <c r="X50" s="2293"/>
      <c r="Y50" s="2293"/>
      <c r="Z50" s="2293"/>
      <c r="AA50" s="2293"/>
      <c r="AB50" s="2501"/>
      <c r="AC50" s="2252"/>
      <c r="AD50" s="2252"/>
      <c r="AE50" s="2252"/>
      <c r="AF50" s="2252"/>
    </row>
    <row r="51" spans="1:32" ht="23.1" customHeight="1">
      <c r="A51" s="2307"/>
      <c r="B51" s="2306"/>
      <c r="C51" s="2307"/>
      <c r="D51" s="2500"/>
      <c r="E51" s="2545"/>
      <c r="F51" s="2500"/>
      <c r="G51" s="2500"/>
      <c r="H51" s="2500"/>
      <c r="I51" s="2500"/>
      <c r="J51" s="2500"/>
      <c r="K51" s="2500"/>
      <c r="L51" s="2500"/>
      <c r="M51" s="2500"/>
      <c r="N51" s="2293"/>
      <c r="O51" s="2293"/>
      <c r="P51" s="2293"/>
      <c r="Q51" s="2293"/>
      <c r="R51" s="2293"/>
      <c r="S51" s="2293"/>
      <c r="T51" s="2293"/>
      <c r="U51" s="2293"/>
      <c r="V51" s="2293"/>
      <c r="W51" s="2293"/>
      <c r="X51" s="2293"/>
      <c r="Y51" s="2293"/>
      <c r="Z51" s="2293"/>
      <c r="AA51" s="2293"/>
      <c r="AB51" s="2501"/>
      <c r="AC51" s="2252"/>
      <c r="AD51" s="2252"/>
      <c r="AE51" s="2252"/>
      <c r="AF51" s="2252"/>
    </row>
    <row r="52" spans="1:32" ht="23.1" customHeight="1">
      <c r="A52" s="2307"/>
      <c r="B52" s="2306"/>
      <c r="C52" s="2307"/>
      <c r="D52" s="2500"/>
      <c r="E52" s="2545"/>
      <c r="F52" s="2500"/>
      <c r="G52" s="2500"/>
      <c r="H52" s="2500"/>
      <c r="I52" s="2500"/>
      <c r="J52" s="2500"/>
      <c r="K52" s="2500"/>
      <c r="L52" s="2500"/>
      <c r="M52" s="2500"/>
      <c r="N52" s="2293"/>
      <c r="O52" s="2293"/>
      <c r="P52" s="2293"/>
      <c r="Q52" s="2293"/>
      <c r="R52" s="2293"/>
      <c r="S52" s="2293"/>
      <c r="T52" s="2293"/>
      <c r="U52" s="2293"/>
      <c r="V52" s="2293"/>
      <c r="W52" s="2293"/>
      <c r="X52" s="2293"/>
      <c r="Y52" s="2293"/>
      <c r="Z52" s="2293"/>
      <c r="AA52" s="2293"/>
      <c r="AB52" s="2501"/>
      <c r="AC52" s="2252"/>
      <c r="AD52" s="2252"/>
      <c r="AE52" s="2252"/>
      <c r="AF52" s="2252"/>
    </row>
    <row r="53" spans="1:32" ht="23.1" customHeight="1">
      <c r="A53" s="2307"/>
      <c r="B53" s="2306"/>
      <c r="C53" s="2307"/>
      <c r="D53" s="2500"/>
      <c r="E53" s="2545"/>
      <c r="F53" s="2500"/>
      <c r="G53" s="2500"/>
      <c r="H53" s="2500"/>
      <c r="I53" s="2500"/>
      <c r="J53" s="2500"/>
      <c r="K53" s="2500"/>
      <c r="L53" s="2500"/>
      <c r="M53" s="2500"/>
      <c r="N53" s="2293"/>
      <c r="O53" s="2293"/>
      <c r="P53" s="2293"/>
      <c r="Q53" s="2293"/>
      <c r="R53" s="2293"/>
      <c r="S53" s="2293"/>
      <c r="T53" s="2293"/>
      <c r="U53" s="2293"/>
      <c r="V53" s="2293"/>
      <c r="W53" s="2293"/>
      <c r="X53" s="2293"/>
      <c r="Y53" s="2293"/>
      <c r="Z53" s="2293"/>
      <c r="AA53" s="2293"/>
      <c r="AB53" s="2501"/>
      <c r="AC53" s="2252"/>
      <c r="AD53" s="2252"/>
      <c r="AE53" s="2252"/>
      <c r="AF53" s="2252"/>
    </row>
    <row r="54" spans="1:32" ht="23.1" customHeight="1">
      <c r="A54" s="2307"/>
      <c r="B54" s="2306"/>
      <c r="C54" s="2307"/>
      <c r="D54" s="2500"/>
      <c r="E54" s="2545"/>
      <c r="F54" s="2500"/>
      <c r="G54" s="2500"/>
      <c r="H54" s="2500"/>
      <c r="I54" s="2500"/>
      <c r="J54" s="2500"/>
      <c r="K54" s="2500"/>
      <c r="L54" s="2500"/>
      <c r="M54" s="2500"/>
      <c r="N54" s="2293"/>
      <c r="O54" s="2293"/>
      <c r="P54" s="2293"/>
      <c r="Q54" s="2293"/>
      <c r="R54" s="2293"/>
      <c r="S54" s="2293"/>
      <c r="T54" s="2293"/>
      <c r="U54" s="2293"/>
      <c r="V54" s="2293"/>
      <c r="W54" s="2293"/>
      <c r="X54" s="2293"/>
      <c r="Y54" s="2293"/>
      <c r="Z54" s="2293"/>
      <c r="AA54" s="2293"/>
      <c r="AB54" s="2501"/>
      <c r="AC54" s="2252"/>
      <c r="AD54" s="2252"/>
      <c r="AE54" s="2252"/>
      <c r="AF54" s="2252"/>
    </row>
    <row r="55" spans="1:32" ht="23.1" customHeight="1">
      <c r="A55" s="2307"/>
      <c r="B55" s="2306"/>
      <c r="C55" s="2307"/>
      <c r="D55" s="2500"/>
      <c r="E55" s="2545"/>
      <c r="F55" s="2500"/>
      <c r="G55" s="2500"/>
      <c r="H55" s="2500"/>
      <c r="I55" s="2500"/>
      <c r="J55" s="2500"/>
      <c r="K55" s="2500"/>
      <c r="L55" s="2500"/>
      <c r="M55" s="2500"/>
      <c r="N55" s="2293"/>
      <c r="O55" s="2293"/>
      <c r="P55" s="2293"/>
      <c r="Q55" s="2293"/>
      <c r="R55" s="2293"/>
      <c r="S55" s="2293"/>
      <c r="T55" s="2293"/>
      <c r="U55" s="2293"/>
      <c r="V55" s="2293"/>
      <c r="W55" s="2293"/>
      <c r="X55" s="2293"/>
      <c r="Y55" s="2293"/>
      <c r="Z55" s="2293"/>
      <c r="AA55" s="2293"/>
      <c r="AB55" s="2501"/>
      <c r="AC55" s="2252"/>
      <c r="AD55" s="2252"/>
      <c r="AE55" s="2252"/>
      <c r="AF55" s="2252"/>
    </row>
    <row r="56" spans="1:32" ht="23.1" customHeight="1">
      <c r="A56" s="2307"/>
      <c r="B56" s="2306"/>
      <c r="C56" s="2307"/>
      <c r="D56" s="2500"/>
      <c r="E56" s="2545"/>
      <c r="F56" s="2500"/>
      <c r="G56" s="2500"/>
      <c r="H56" s="2500"/>
      <c r="I56" s="2500"/>
      <c r="J56" s="2500"/>
      <c r="K56" s="2500"/>
      <c r="L56" s="2500"/>
      <c r="M56" s="2500"/>
      <c r="N56" s="2293"/>
      <c r="O56" s="2293"/>
      <c r="P56" s="2293"/>
      <c r="Q56" s="2293"/>
      <c r="R56" s="2293"/>
      <c r="S56" s="2293"/>
      <c r="T56" s="2293"/>
      <c r="U56" s="2293"/>
      <c r="V56" s="2293"/>
      <c r="W56" s="2293"/>
      <c r="X56" s="2293"/>
      <c r="Y56" s="2293"/>
      <c r="Z56" s="2293"/>
      <c r="AA56" s="2293"/>
      <c r="AB56" s="2501"/>
      <c r="AC56" s="2252"/>
      <c r="AD56" s="2252"/>
      <c r="AE56" s="2252"/>
      <c r="AF56" s="2252"/>
    </row>
    <row r="57" spans="1:32" ht="23.1" customHeight="1">
      <c r="A57" s="2307"/>
      <c r="B57" s="2306"/>
      <c r="C57" s="2307"/>
      <c r="D57" s="2500"/>
      <c r="E57" s="2545"/>
      <c r="F57" s="2500"/>
      <c r="G57" s="2500"/>
      <c r="H57" s="2500"/>
      <c r="I57" s="2500"/>
      <c r="J57" s="2500"/>
      <c r="K57" s="2500"/>
      <c r="L57" s="2500"/>
      <c r="M57" s="2500"/>
      <c r="N57" s="2293"/>
      <c r="O57" s="2293"/>
      <c r="P57" s="2293"/>
      <c r="Q57" s="2293"/>
      <c r="R57" s="2293"/>
      <c r="S57" s="2293"/>
      <c r="T57" s="2293"/>
      <c r="U57" s="2293"/>
      <c r="V57" s="2293"/>
      <c r="W57" s="2293"/>
      <c r="X57" s="2293"/>
      <c r="Y57" s="2293"/>
      <c r="Z57" s="2293"/>
      <c r="AA57" s="2293"/>
      <c r="AB57" s="2501"/>
      <c r="AC57" s="2252"/>
      <c r="AD57" s="2252"/>
      <c r="AE57" s="2252"/>
      <c r="AF57" s="2252"/>
    </row>
    <row r="58" spans="1:32" ht="23.1" customHeight="1">
      <c r="A58" s="2307"/>
      <c r="B58" s="2306"/>
      <c r="C58" s="2307"/>
      <c r="D58" s="2500"/>
      <c r="E58" s="2545"/>
      <c r="F58" s="2500"/>
      <c r="G58" s="2500"/>
      <c r="H58" s="2500"/>
      <c r="I58" s="2500"/>
      <c r="J58" s="2500"/>
      <c r="K58" s="2500"/>
      <c r="L58" s="2500"/>
      <c r="M58" s="2500"/>
      <c r="N58" s="2293"/>
      <c r="O58" s="2293"/>
      <c r="P58" s="2293"/>
      <c r="Q58" s="2293"/>
      <c r="R58" s="2293"/>
      <c r="S58" s="2293"/>
      <c r="T58" s="2293"/>
      <c r="U58" s="2293"/>
      <c r="V58" s="2293"/>
      <c r="W58" s="2293"/>
      <c r="X58" s="2293"/>
      <c r="Y58" s="2293"/>
      <c r="Z58" s="2293"/>
      <c r="AA58" s="2293"/>
      <c r="AB58" s="2501"/>
      <c r="AC58" s="2252"/>
      <c r="AD58" s="2252"/>
      <c r="AE58" s="2252"/>
      <c r="AF58" s="2252"/>
    </row>
    <row r="59" spans="1:32" ht="23.1" customHeight="1">
      <c r="A59" s="2307"/>
      <c r="B59" s="2306"/>
      <c r="C59" s="2307"/>
      <c r="D59" s="2500"/>
      <c r="E59" s="2545"/>
      <c r="F59" s="2500"/>
      <c r="G59" s="2500"/>
      <c r="H59" s="2500"/>
      <c r="I59" s="2500"/>
      <c r="J59" s="2500"/>
      <c r="K59" s="2500"/>
      <c r="L59" s="2500"/>
      <c r="M59" s="2500"/>
      <c r="N59" s="2293"/>
      <c r="O59" s="2293"/>
      <c r="P59" s="2293"/>
      <c r="Q59" s="2293"/>
      <c r="R59" s="2293"/>
      <c r="S59" s="2293"/>
      <c r="T59" s="2293"/>
      <c r="U59" s="2293"/>
      <c r="V59" s="2293"/>
      <c r="W59" s="2293"/>
      <c r="X59" s="2293"/>
      <c r="Y59" s="2293"/>
      <c r="Z59" s="2293"/>
      <c r="AA59" s="2293"/>
      <c r="AB59" s="2501"/>
      <c r="AC59" s="2252"/>
      <c r="AD59" s="2252"/>
      <c r="AE59" s="2252"/>
      <c r="AF59" s="2252"/>
    </row>
    <row r="60" spans="1:32" ht="23.1" customHeight="1">
      <c r="A60" s="2307"/>
      <c r="B60" s="2306"/>
      <c r="C60" s="2307"/>
      <c r="D60" s="2500"/>
      <c r="E60" s="2545"/>
      <c r="F60" s="2500"/>
      <c r="G60" s="2500"/>
      <c r="H60" s="2500"/>
      <c r="I60" s="2500"/>
      <c r="J60" s="2500"/>
      <c r="K60" s="2500"/>
      <c r="L60" s="2500"/>
      <c r="M60" s="2500"/>
      <c r="N60" s="2293"/>
      <c r="O60" s="2293"/>
      <c r="P60" s="2293"/>
      <c r="Q60" s="2293"/>
      <c r="R60" s="2293"/>
      <c r="S60" s="2293"/>
      <c r="T60" s="2293"/>
      <c r="U60" s="2293"/>
      <c r="V60" s="2293"/>
      <c r="W60" s="2293"/>
      <c r="X60" s="2293"/>
      <c r="Y60" s="2293"/>
      <c r="Z60" s="2293"/>
      <c r="AA60" s="2293"/>
      <c r="AB60" s="2501"/>
      <c r="AC60" s="2252"/>
      <c r="AD60" s="2252"/>
      <c r="AE60" s="2252"/>
      <c r="AF60" s="2252"/>
    </row>
    <row r="61" spans="1:32" ht="23.1" customHeight="1">
      <c r="A61" s="2307"/>
      <c r="B61" s="2306"/>
      <c r="C61" s="2307"/>
      <c r="D61" s="2500"/>
      <c r="E61" s="2545"/>
      <c r="F61" s="2500"/>
      <c r="G61" s="2500"/>
      <c r="H61" s="2500"/>
      <c r="I61" s="2500"/>
      <c r="J61" s="2500"/>
      <c r="K61" s="2500"/>
      <c r="L61" s="2500"/>
      <c r="M61" s="2500"/>
      <c r="N61" s="2293"/>
      <c r="O61" s="2293"/>
      <c r="P61" s="2293"/>
      <c r="Q61" s="2293"/>
      <c r="R61" s="2293"/>
      <c r="S61" s="2293"/>
      <c r="T61" s="2293"/>
      <c r="U61" s="2293"/>
      <c r="V61" s="2293"/>
      <c r="W61" s="2293"/>
      <c r="X61" s="2293"/>
      <c r="Y61" s="2293"/>
      <c r="Z61" s="2293"/>
      <c r="AA61" s="2293"/>
      <c r="AB61" s="2501"/>
      <c r="AC61" s="2252"/>
      <c r="AD61" s="2252"/>
      <c r="AE61" s="2252"/>
      <c r="AF61" s="2252"/>
    </row>
    <row r="62" spans="1:32" ht="23.1" customHeight="1">
      <c r="A62" s="2875" t="s">
        <v>2512</v>
      </c>
      <c r="B62" s="2875"/>
      <c r="C62" s="2875"/>
      <c r="D62" s="2875"/>
      <c r="E62" s="2875"/>
      <c r="F62" s="2875"/>
      <c r="G62" s="2875"/>
      <c r="H62" s="2875"/>
      <c r="I62" s="2875"/>
      <c r="J62" s="2875"/>
      <c r="K62" s="2875"/>
      <c r="L62" s="2875"/>
      <c r="M62" s="2875"/>
      <c r="N62" s="2875"/>
      <c r="O62" s="2875"/>
      <c r="P62" s="2875"/>
      <c r="Q62" s="2875"/>
      <c r="R62" s="2875"/>
      <c r="S62" s="2875"/>
      <c r="T62" s="2875"/>
      <c r="U62" s="2875"/>
      <c r="V62" s="2875"/>
      <c r="W62" s="2875"/>
      <c r="X62" s="2875"/>
      <c r="Y62" s="2875"/>
      <c r="Z62" s="2875"/>
      <c r="AA62" s="2875"/>
      <c r="AB62" s="2875"/>
      <c r="AC62" s="2252"/>
      <c r="AD62" s="2252"/>
      <c r="AE62" s="2252"/>
      <c r="AF62" s="2252"/>
    </row>
    <row r="63" spans="1:32" ht="23.1" customHeight="1">
      <c r="A63" s="2310" t="s">
        <v>2</v>
      </c>
      <c r="B63" s="2310" t="s">
        <v>3</v>
      </c>
      <c r="C63" s="2310" t="s">
        <v>385</v>
      </c>
      <c r="D63" s="2310" t="s">
        <v>386</v>
      </c>
      <c r="E63" s="2310" t="s">
        <v>387</v>
      </c>
      <c r="F63" s="2310" t="s">
        <v>389</v>
      </c>
      <c r="G63" s="2310" t="s">
        <v>390</v>
      </c>
      <c r="H63" s="2310" t="s">
        <v>391</v>
      </c>
      <c r="I63" s="2310" t="s">
        <v>392</v>
      </c>
      <c r="J63" s="2310" t="s">
        <v>393</v>
      </c>
      <c r="K63" s="2310" t="s">
        <v>394</v>
      </c>
      <c r="L63" s="2310" t="s">
        <v>395</v>
      </c>
      <c r="M63" s="2310" t="s">
        <v>396</v>
      </c>
      <c r="N63" s="2310" t="s">
        <v>397</v>
      </c>
      <c r="O63" s="2310" t="s">
        <v>398</v>
      </c>
      <c r="P63" s="2310" t="s">
        <v>399</v>
      </c>
      <c r="Q63" s="2310" t="s">
        <v>400</v>
      </c>
      <c r="R63" s="2310" t="s">
        <v>401</v>
      </c>
      <c r="S63" s="2310" t="s">
        <v>402</v>
      </c>
      <c r="T63" s="2310" t="s">
        <v>403</v>
      </c>
      <c r="U63" s="2310" t="s">
        <v>404</v>
      </c>
      <c r="V63" s="2310" t="s">
        <v>405</v>
      </c>
      <c r="W63" s="2310" t="s">
        <v>406</v>
      </c>
      <c r="X63" s="2310" t="s">
        <v>407</v>
      </c>
      <c r="Y63" s="2310" t="s">
        <v>408</v>
      </c>
      <c r="Z63" s="2310" t="s">
        <v>409</v>
      </c>
      <c r="AA63" s="2310" t="s">
        <v>410</v>
      </c>
      <c r="AB63" s="2310" t="s">
        <v>221</v>
      </c>
      <c r="AC63" s="2252"/>
      <c r="AD63" s="2252"/>
      <c r="AE63" s="2252"/>
      <c r="AF63" s="2252"/>
    </row>
    <row r="64" spans="1:32">
      <c r="A64" s="2051">
        <v>1</v>
      </c>
      <c r="B64" s="2259" t="s">
        <v>1968</v>
      </c>
      <c r="C64" s="2260">
        <v>1</v>
      </c>
      <c r="D64" s="2106">
        <v>4681768.3099999996</v>
      </c>
      <c r="E64" s="2272"/>
      <c r="F64" s="2259"/>
      <c r="G64" s="2259"/>
      <c r="H64" s="2259"/>
      <c r="I64" s="2259"/>
      <c r="J64" s="2259"/>
      <c r="K64" s="2259"/>
      <c r="L64" s="2259"/>
      <c r="M64" s="2259"/>
      <c r="N64" s="2259"/>
      <c r="O64" s="2259"/>
      <c r="P64" s="2259"/>
      <c r="Q64" s="2259"/>
      <c r="R64" s="2259"/>
      <c r="S64" s="2259"/>
      <c r="T64" s="2259"/>
      <c r="U64" s="2259"/>
      <c r="V64" s="2259"/>
      <c r="W64" s="2259"/>
      <c r="X64" s="2259"/>
      <c r="Y64" s="2259"/>
      <c r="Z64" s="2259"/>
      <c r="AA64" s="2259"/>
      <c r="AB64" s="2273" t="s">
        <v>1707</v>
      </c>
      <c r="AC64" s="2252"/>
      <c r="AD64" s="2252"/>
      <c r="AE64" s="2252"/>
      <c r="AF64" s="2252"/>
    </row>
    <row r="65" spans="1:32">
      <c r="A65" s="2051">
        <v>2</v>
      </c>
      <c r="B65" s="2259" t="s">
        <v>1974</v>
      </c>
      <c r="C65" s="2260"/>
      <c r="D65" s="2106"/>
      <c r="E65" s="2272"/>
      <c r="F65" s="2259"/>
      <c r="G65" s="2259"/>
      <c r="H65" s="2259"/>
      <c r="I65" s="2259"/>
      <c r="J65" s="2259"/>
      <c r="K65" s="2259"/>
      <c r="L65" s="2259"/>
      <c r="M65" s="2259"/>
      <c r="N65" s="2259"/>
      <c r="O65" s="2259"/>
      <c r="P65" s="2259"/>
      <c r="Q65" s="2259"/>
      <c r="R65" s="2259"/>
      <c r="S65" s="2259"/>
      <c r="T65" s="2259"/>
      <c r="U65" s="2259"/>
      <c r="V65" s="2259"/>
      <c r="W65" s="2259"/>
      <c r="X65" s="2259"/>
      <c r="Y65" s="2259"/>
      <c r="Z65" s="2259"/>
      <c r="AA65" s="2259"/>
      <c r="AB65" s="2273"/>
      <c r="AC65" s="2252"/>
      <c r="AD65" s="2252"/>
      <c r="AE65" s="2252"/>
      <c r="AF65" s="2252"/>
    </row>
    <row r="66" spans="1:32" ht="72">
      <c r="A66" s="2051">
        <v>3</v>
      </c>
      <c r="B66" s="2050" t="s">
        <v>1975</v>
      </c>
      <c r="C66" s="2051">
        <v>10</v>
      </c>
      <c r="D66" s="2274">
        <v>500000</v>
      </c>
      <c r="E66" s="2059"/>
      <c r="F66" s="2275"/>
      <c r="G66" s="2275"/>
      <c r="H66" s="2275"/>
      <c r="I66" s="2275"/>
      <c r="J66" s="2275"/>
      <c r="K66" s="2275"/>
      <c r="L66" s="2275"/>
      <c r="M66" s="2275"/>
      <c r="N66" s="2275"/>
      <c r="O66" s="2275"/>
      <c r="P66" s="2275"/>
      <c r="Q66" s="2275"/>
      <c r="R66" s="2275"/>
      <c r="S66" s="2275"/>
      <c r="T66" s="2275"/>
      <c r="U66" s="2275"/>
      <c r="V66" s="2275"/>
      <c r="W66" s="2275"/>
      <c r="X66" s="2275"/>
      <c r="Y66" s="2275"/>
      <c r="Z66" s="2275"/>
      <c r="AA66" s="2275"/>
      <c r="AB66" s="2050" t="s">
        <v>1708</v>
      </c>
    </row>
    <row r="67" spans="1:32" ht="23.1" customHeight="1">
      <c r="A67" s="2051">
        <v>4</v>
      </c>
      <c r="B67" s="2050" t="s">
        <v>1977</v>
      </c>
      <c r="C67" s="2051">
        <v>1</v>
      </c>
      <c r="D67" s="2263">
        <v>16000000</v>
      </c>
      <c r="E67" s="2263"/>
      <c r="F67" s="2190"/>
      <c r="G67" s="2190"/>
      <c r="H67" s="2190"/>
      <c r="I67" s="2190"/>
      <c r="J67" s="2190"/>
      <c r="K67" s="2190"/>
      <c r="L67" s="2190"/>
      <c r="M67" s="2190"/>
      <c r="N67" s="2056"/>
      <c r="O67" s="2056"/>
      <c r="P67" s="2056"/>
      <c r="Q67" s="2056"/>
      <c r="R67" s="2056"/>
      <c r="S67" s="2056"/>
      <c r="T67" s="2056"/>
      <c r="U67" s="2056"/>
      <c r="V67" s="2056"/>
      <c r="W67" s="2056"/>
      <c r="X67" s="2056"/>
      <c r="Y67" s="2056"/>
      <c r="Z67" s="2056"/>
      <c r="AA67" s="2056"/>
      <c r="AB67" s="2276"/>
      <c r="AC67" s="2252"/>
      <c r="AD67" s="2252"/>
      <c r="AE67" s="2252"/>
      <c r="AF67" s="2252"/>
    </row>
    <row r="68" spans="1:32" ht="23.1" customHeight="1">
      <c r="A68" s="2051">
        <v>5</v>
      </c>
      <c r="B68" s="2050" t="s">
        <v>1978</v>
      </c>
      <c r="C68" s="2051">
        <v>1</v>
      </c>
      <c r="D68" s="2274">
        <v>8000000</v>
      </c>
      <c r="E68" s="2059"/>
      <c r="F68" s="2275"/>
      <c r="G68" s="2275"/>
      <c r="H68" s="2275"/>
      <c r="I68" s="2275"/>
      <c r="J68" s="2275"/>
      <c r="K68" s="2275"/>
      <c r="L68" s="2275"/>
      <c r="M68" s="2275"/>
      <c r="N68" s="2275"/>
      <c r="O68" s="2275"/>
      <c r="P68" s="2275"/>
      <c r="Q68" s="2275"/>
      <c r="R68" s="2275"/>
      <c r="S68" s="2275"/>
      <c r="T68" s="2275"/>
      <c r="U68" s="2275"/>
      <c r="V68" s="2275"/>
      <c r="W68" s="2275"/>
      <c r="X68" s="2275"/>
      <c r="Y68" s="2275"/>
      <c r="Z68" s="2275"/>
      <c r="AA68" s="2275"/>
      <c r="AB68" s="2504"/>
    </row>
    <row r="69" spans="1:32" s="2277" customFormat="1">
      <c r="A69" s="2051">
        <v>6</v>
      </c>
      <c r="B69" s="2050" t="s">
        <v>1980</v>
      </c>
      <c r="C69" s="2051">
        <v>1</v>
      </c>
      <c r="D69" s="2052">
        <v>5000000</v>
      </c>
      <c r="E69" s="2052"/>
      <c r="F69" s="2190"/>
      <c r="G69" s="2190"/>
      <c r="H69" s="2190"/>
      <c r="I69" s="2190"/>
      <c r="J69" s="2190"/>
      <c r="K69" s="2190"/>
      <c r="L69" s="2190"/>
      <c r="M69" s="2190"/>
      <c r="N69" s="2056"/>
      <c r="O69" s="2056"/>
      <c r="P69" s="2056"/>
      <c r="Q69" s="2056"/>
      <c r="R69" s="2056"/>
      <c r="S69" s="2056"/>
      <c r="T69" s="2056"/>
      <c r="U69" s="2056"/>
      <c r="V69" s="2056"/>
      <c r="W69" s="2056"/>
      <c r="X69" s="2056"/>
      <c r="Y69" s="2056"/>
      <c r="Z69" s="2056"/>
      <c r="AA69" s="2056"/>
      <c r="AB69" s="2140"/>
    </row>
    <row r="70" spans="1:32" s="2277" customFormat="1">
      <c r="A70" s="2051">
        <v>7</v>
      </c>
      <c r="B70" s="2056" t="s">
        <v>1981</v>
      </c>
      <c r="C70" s="2051">
        <v>1</v>
      </c>
      <c r="D70" s="2059">
        <v>15000000</v>
      </c>
      <c r="E70" s="2052"/>
      <c r="F70" s="2190"/>
      <c r="G70" s="2190"/>
      <c r="H70" s="2190"/>
      <c r="I70" s="2190"/>
      <c r="J70" s="2190"/>
      <c r="K70" s="2190"/>
      <c r="L70" s="2190"/>
      <c r="M70" s="2190"/>
      <c r="N70" s="2056"/>
      <c r="O70" s="2056"/>
      <c r="P70" s="2056"/>
      <c r="Q70" s="2056"/>
      <c r="R70" s="2056"/>
      <c r="S70" s="2056"/>
      <c r="T70" s="2056"/>
      <c r="U70" s="2056"/>
      <c r="V70" s="2056"/>
      <c r="W70" s="2056"/>
      <c r="X70" s="2056"/>
      <c r="Y70" s="2056"/>
      <c r="Z70" s="2056"/>
      <c r="AA70" s="2056"/>
      <c r="AB70" s="2140"/>
    </row>
    <row r="71" spans="1:32" s="2277" customFormat="1">
      <c r="A71" s="2051">
        <v>8</v>
      </c>
      <c r="B71" s="2056" t="s">
        <v>1982</v>
      </c>
      <c r="C71" s="2051">
        <v>1</v>
      </c>
      <c r="D71" s="2059">
        <v>1091388.23</v>
      </c>
      <c r="E71" s="2052"/>
      <c r="F71" s="2190"/>
      <c r="G71" s="2190"/>
      <c r="H71" s="2190"/>
      <c r="I71" s="2190"/>
      <c r="J71" s="2190"/>
      <c r="K71" s="2190"/>
      <c r="L71" s="2190"/>
      <c r="M71" s="2190"/>
      <c r="N71" s="2056"/>
      <c r="O71" s="2056"/>
      <c r="P71" s="2056"/>
      <c r="Q71" s="2056"/>
      <c r="R71" s="2056"/>
      <c r="S71" s="2056"/>
      <c r="T71" s="2056"/>
      <c r="U71" s="2056"/>
      <c r="V71" s="2056"/>
      <c r="W71" s="2056"/>
      <c r="X71" s="2056"/>
      <c r="Y71" s="2056"/>
      <c r="Z71" s="2056"/>
      <c r="AA71" s="2056"/>
      <c r="AB71" s="2140"/>
    </row>
    <row r="72" spans="1:32" s="2277" customFormat="1">
      <c r="A72" s="2051">
        <v>9</v>
      </c>
      <c r="B72" s="2050" t="s">
        <v>1969</v>
      </c>
      <c r="C72" s="2051">
        <v>1</v>
      </c>
      <c r="D72" s="2052">
        <v>50000000</v>
      </c>
      <c r="E72" s="2052"/>
      <c r="F72" s="2190"/>
      <c r="G72" s="2190"/>
      <c r="H72" s="2190"/>
      <c r="I72" s="2190"/>
      <c r="J72" s="2190"/>
      <c r="K72" s="2190"/>
      <c r="L72" s="2190"/>
      <c r="M72" s="2190"/>
      <c r="N72" s="2056"/>
      <c r="O72" s="2056"/>
      <c r="P72" s="2056"/>
      <c r="Q72" s="2056"/>
      <c r="R72" s="2056"/>
      <c r="S72" s="2056"/>
      <c r="T72" s="2056"/>
      <c r="U72" s="2056"/>
      <c r="V72" s="2056"/>
      <c r="W72" s="2056"/>
      <c r="X72" s="2056"/>
      <c r="Y72" s="2056"/>
      <c r="Z72" s="2056"/>
      <c r="AA72" s="2056"/>
      <c r="AB72" s="2140"/>
    </row>
    <row r="73" spans="1:32" s="2252" customFormat="1" ht="23.1" customHeight="1">
      <c r="A73" s="2051">
        <v>10</v>
      </c>
      <c r="B73" s="2259" t="s">
        <v>1986</v>
      </c>
      <c r="C73" s="2260">
        <v>1</v>
      </c>
      <c r="D73" s="2106">
        <v>500000</v>
      </c>
      <c r="E73" s="2261"/>
      <c r="F73" s="2259"/>
      <c r="G73" s="2259"/>
      <c r="H73" s="2259"/>
      <c r="I73" s="2259"/>
      <c r="J73" s="2259"/>
      <c r="K73" s="2259"/>
      <c r="L73" s="2259"/>
      <c r="M73" s="2259"/>
      <c r="N73" s="2259"/>
      <c r="O73" s="2259"/>
      <c r="P73" s="2259"/>
      <c r="Q73" s="2259"/>
      <c r="R73" s="2259"/>
      <c r="S73" s="2259"/>
      <c r="T73" s="2259"/>
      <c r="U73" s="2259"/>
      <c r="V73" s="2259"/>
      <c r="W73" s="2259"/>
      <c r="X73" s="2259"/>
      <c r="Y73" s="2259"/>
      <c r="Z73" s="2259"/>
      <c r="AA73" s="2259"/>
      <c r="AB73" s="2140"/>
    </row>
    <row r="74" spans="1:32">
      <c r="A74" s="2299"/>
      <c r="B74" s="2300"/>
      <c r="C74" s="2301"/>
      <c r="D74" s="2302"/>
      <c r="E74" s="2303"/>
      <c r="F74" s="2304"/>
      <c r="G74" s="2305"/>
      <c r="H74" s="2292"/>
      <c r="I74" s="2292"/>
      <c r="J74" s="2292"/>
      <c r="K74" s="2292"/>
      <c r="L74" s="2292"/>
      <c r="M74" s="2292"/>
      <c r="N74" s="2293"/>
      <c r="O74" s="2293"/>
      <c r="P74" s="2293"/>
      <c r="Q74" s="2293"/>
      <c r="R74" s="2293"/>
      <c r="S74" s="2293"/>
      <c r="T74" s="2293"/>
      <c r="U74" s="2293"/>
      <c r="V74" s="2293"/>
      <c r="W74" s="2293"/>
      <c r="X74" s="2293"/>
      <c r="Y74" s="2293"/>
      <c r="Z74" s="2293"/>
      <c r="AA74" s="2293"/>
      <c r="AB74" s="2304"/>
      <c r="AC74" s="2252"/>
      <c r="AD74" s="2252"/>
      <c r="AE74" s="2252"/>
      <c r="AF74" s="2252"/>
    </row>
    <row r="75" spans="1:32">
      <c r="A75" s="2299"/>
      <c r="B75" s="2306"/>
      <c r="C75" s="2307"/>
      <c r="D75" s="2308"/>
      <c r="E75" s="2308"/>
      <c r="F75" s="2292"/>
      <c r="G75" s="2292"/>
      <c r="H75" s="2292"/>
      <c r="I75" s="2292"/>
      <c r="J75" s="2292"/>
      <c r="K75" s="2292"/>
      <c r="L75" s="2292"/>
      <c r="M75" s="2292"/>
      <c r="N75" s="2293"/>
      <c r="O75" s="2293"/>
      <c r="P75" s="2293"/>
      <c r="Q75" s="2293"/>
      <c r="R75" s="2293"/>
      <c r="S75" s="2293"/>
      <c r="T75" s="2293"/>
      <c r="U75" s="2293"/>
      <c r="V75" s="2293"/>
      <c r="W75" s="2293"/>
      <c r="X75" s="2293"/>
      <c r="Y75" s="2293"/>
      <c r="Z75" s="2293"/>
      <c r="AA75" s="2293"/>
      <c r="AB75" s="2309"/>
      <c r="AC75" s="2252"/>
      <c r="AD75" s="2252"/>
      <c r="AE75" s="2252"/>
      <c r="AF75" s="2252"/>
    </row>
    <row r="76" spans="1:32">
      <c r="A76" s="2299"/>
      <c r="B76" s="2322"/>
      <c r="C76" s="2299"/>
      <c r="D76" s="2324"/>
      <c r="E76" s="2325"/>
      <c r="F76" s="2322"/>
      <c r="G76" s="2322"/>
      <c r="H76" s="2322"/>
      <c r="I76" s="2322"/>
      <c r="J76" s="2322"/>
      <c r="K76" s="2322"/>
      <c r="L76" s="2322"/>
      <c r="M76" s="2322"/>
      <c r="N76" s="2322"/>
      <c r="O76" s="2322"/>
      <c r="P76" s="2322"/>
      <c r="Q76" s="2322"/>
      <c r="R76" s="2322"/>
      <c r="S76" s="2322"/>
      <c r="T76" s="2322"/>
      <c r="U76" s="2322"/>
      <c r="V76" s="2322"/>
      <c r="W76" s="2322"/>
      <c r="X76" s="2322"/>
      <c r="Y76" s="2322"/>
      <c r="Z76" s="2322"/>
      <c r="AA76" s="2322"/>
      <c r="AB76" s="2323"/>
    </row>
    <row r="77" spans="1:32" s="2327" customFormat="1" ht="25.9" customHeight="1">
      <c r="A77" s="2299"/>
      <c r="B77" s="2322"/>
      <c r="C77" s="2299"/>
      <c r="D77" s="2324"/>
      <c r="E77" s="2325"/>
      <c r="F77" s="2322"/>
      <c r="G77" s="2322"/>
      <c r="H77" s="2322"/>
      <c r="I77" s="2322"/>
      <c r="J77" s="2322"/>
      <c r="K77" s="2322"/>
      <c r="L77" s="2322"/>
      <c r="M77" s="2322"/>
      <c r="N77" s="2322"/>
      <c r="O77" s="2322"/>
      <c r="P77" s="2322"/>
      <c r="Q77" s="2322"/>
      <c r="R77" s="2322"/>
      <c r="S77" s="2322"/>
      <c r="T77" s="2322"/>
      <c r="U77" s="2322"/>
      <c r="V77" s="2322"/>
      <c r="W77" s="2322"/>
      <c r="X77" s="2322"/>
      <c r="Y77" s="2322"/>
      <c r="Z77" s="2322"/>
      <c r="AA77" s="2322"/>
      <c r="AB77" s="2323"/>
      <c r="AC77" s="2326"/>
      <c r="AD77" s="2326"/>
      <c r="AE77" s="2326"/>
      <c r="AF77" s="2326"/>
    </row>
    <row r="78" spans="1:32" s="2328" customFormat="1" ht="27.6" customHeight="1">
      <c r="A78" s="2299"/>
      <c r="B78" s="2322"/>
      <c r="C78" s="2299"/>
      <c r="D78" s="2324"/>
      <c r="E78" s="2325"/>
      <c r="F78" s="2322"/>
      <c r="G78" s="2322"/>
      <c r="H78" s="2322"/>
      <c r="I78" s="2322"/>
      <c r="J78" s="2322"/>
      <c r="K78" s="2322"/>
      <c r="L78" s="2322"/>
      <c r="M78" s="2322"/>
      <c r="N78" s="2322"/>
      <c r="O78" s="2322"/>
      <c r="P78" s="2322"/>
      <c r="Q78" s="2322"/>
      <c r="R78" s="2322"/>
      <c r="S78" s="2322"/>
      <c r="T78" s="2322"/>
      <c r="U78" s="2322"/>
      <c r="V78" s="2322"/>
      <c r="W78" s="2322"/>
      <c r="X78" s="2322"/>
      <c r="Y78" s="2322"/>
      <c r="Z78" s="2322"/>
      <c r="AA78" s="2322"/>
      <c r="AB78" s="2323"/>
    </row>
    <row r="79" spans="1:32" s="2328" customFormat="1" ht="26.1" customHeight="1">
      <c r="A79" s="2299"/>
      <c r="B79" s="2322"/>
      <c r="C79" s="2299"/>
      <c r="D79" s="2324"/>
      <c r="E79" s="2325"/>
      <c r="F79" s="2322"/>
      <c r="G79" s="2322"/>
      <c r="H79" s="2322"/>
      <c r="I79" s="2322"/>
      <c r="J79" s="2322"/>
      <c r="K79" s="2322"/>
      <c r="L79" s="2322"/>
      <c r="M79" s="2322"/>
      <c r="N79" s="2322"/>
      <c r="O79" s="2322"/>
      <c r="P79" s="2322"/>
      <c r="Q79" s="2322"/>
      <c r="R79" s="2322"/>
      <c r="S79" s="2322"/>
      <c r="T79" s="2322"/>
      <c r="U79" s="2322"/>
      <c r="V79" s="2322"/>
      <c r="W79" s="2322"/>
      <c r="X79" s="2322"/>
      <c r="Y79" s="2322"/>
      <c r="Z79" s="2322"/>
      <c r="AA79" s="2322"/>
      <c r="AB79" s="2323"/>
    </row>
    <row r="80" spans="1:32" s="2328" customFormat="1" ht="26.1" customHeight="1">
      <c r="A80" s="2299"/>
      <c r="B80" s="2322"/>
      <c r="C80" s="2299"/>
      <c r="D80" s="2324"/>
      <c r="E80" s="2325"/>
      <c r="F80" s="2322"/>
      <c r="G80" s="2322"/>
      <c r="H80" s="2322"/>
      <c r="I80" s="2322"/>
      <c r="J80" s="2322"/>
      <c r="K80" s="2322"/>
      <c r="L80" s="2322"/>
      <c r="M80" s="2322"/>
      <c r="N80" s="2322"/>
      <c r="O80" s="2322"/>
      <c r="P80" s="2322"/>
      <c r="Q80" s="2322"/>
      <c r="R80" s="2322"/>
      <c r="S80" s="2322"/>
      <c r="T80" s="2322"/>
      <c r="U80" s="2322"/>
      <c r="V80" s="2322"/>
      <c r="W80" s="2322"/>
      <c r="X80" s="2322"/>
      <c r="Y80" s="2322"/>
      <c r="Z80" s="2322"/>
      <c r="AA80" s="2322"/>
      <c r="AB80" s="2323"/>
    </row>
    <row r="81" spans="1:33" s="2328" customFormat="1" ht="108.6" customHeight="1">
      <c r="A81" s="2299"/>
      <c r="B81" s="2322"/>
      <c r="C81" s="2299"/>
      <c r="D81" s="2324"/>
      <c r="E81" s="2325"/>
      <c r="F81" s="2322"/>
      <c r="G81" s="2322"/>
      <c r="H81" s="2322"/>
      <c r="I81" s="2322"/>
      <c r="J81" s="2322"/>
      <c r="K81" s="2322"/>
      <c r="L81" s="2322"/>
      <c r="M81" s="2322"/>
      <c r="N81" s="2322"/>
      <c r="O81" s="2322"/>
      <c r="P81" s="2322"/>
      <c r="Q81" s="2322"/>
      <c r="R81" s="2322"/>
      <c r="S81" s="2322"/>
      <c r="T81" s="2322"/>
      <c r="U81" s="2322"/>
      <c r="V81" s="2322"/>
      <c r="W81" s="2322"/>
      <c r="X81" s="2322"/>
      <c r="Y81" s="2322"/>
      <c r="Z81" s="2322"/>
      <c r="AA81" s="2322"/>
      <c r="AB81" s="2323"/>
    </row>
    <row r="82" spans="1:33" s="2328" customFormat="1" ht="26.1" customHeight="1">
      <c r="A82" s="2299"/>
      <c r="B82" s="2322"/>
      <c r="C82" s="2299"/>
      <c r="D82" s="2324"/>
      <c r="E82" s="2325"/>
      <c r="F82" s="2322"/>
      <c r="G82" s="2322"/>
      <c r="H82" s="2322"/>
      <c r="I82" s="2322"/>
      <c r="J82" s="2322"/>
      <c r="K82" s="2322"/>
      <c r="L82" s="2322"/>
      <c r="M82" s="2322"/>
      <c r="N82" s="2322"/>
      <c r="O82" s="2322"/>
      <c r="P82" s="2322"/>
      <c r="Q82" s="2322"/>
      <c r="R82" s="2322"/>
      <c r="S82" s="2322"/>
      <c r="T82" s="2322"/>
      <c r="U82" s="2322"/>
      <c r="V82" s="2322"/>
      <c r="W82" s="2322"/>
      <c r="X82" s="2322"/>
      <c r="Y82" s="2322"/>
      <c r="Z82" s="2322"/>
      <c r="AA82" s="2322"/>
      <c r="AB82" s="2323"/>
    </row>
    <row r="83" spans="1:33" s="2277" customFormat="1" ht="24" customHeight="1">
      <c r="A83" s="2299"/>
      <c r="B83" s="2322"/>
      <c r="C83" s="2299"/>
      <c r="D83" s="2324"/>
      <c r="E83" s="2325"/>
      <c r="F83" s="2322"/>
      <c r="G83" s="2322"/>
      <c r="H83" s="2322"/>
      <c r="I83" s="2322"/>
      <c r="J83" s="2322"/>
      <c r="K83" s="2322"/>
      <c r="L83" s="2322"/>
      <c r="M83" s="2322"/>
      <c r="N83" s="2322"/>
      <c r="O83" s="2322"/>
      <c r="P83" s="2322"/>
      <c r="Q83" s="2322"/>
      <c r="R83" s="2322"/>
      <c r="S83" s="2322"/>
      <c r="T83" s="2322"/>
      <c r="U83" s="2322"/>
      <c r="V83" s="2322"/>
      <c r="W83" s="2322"/>
      <c r="X83" s="2322"/>
      <c r="Y83" s="2322"/>
      <c r="Z83" s="2322"/>
      <c r="AA83" s="2322"/>
      <c r="AB83" s="2323"/>
    </row>
    <row r="84" spans="1:33" ht="24" customHeight="1">
      <c r="A84" s="2299"/>
      <c r="B84" s="2322"/>
      <c r="C84" s="2299"/>
      <c r="D84" s="2324"/>
      <c r="E84" s="2325"/>
      <c r="F84" s="2322"/>
      <c r="G84" s="2322"/>
      <c r="H84" s="2322"/>
      <c r="I84" s="2322"/>
      <c r="J84" s="2322"/>
      <c r="K84" s="2322"/>
      <c r="L84" s="2322"/>
      <c r="M84" s="2322"/>
      <c r="N84" s="2322"/>
      <c r="O84" s="2322"/>
      <c r="P84" s="2322"/>
      <c r="Q84" s="2322"/>
      <c r="R84" s="2322"/>
      <c r="S84" s="2322"/>
      <c r="T84" s="2322"/>
      <c r="U84" s="2322"/>
      <c r="V84" s="2322"/>
      <c r="W84" s="2322"/>
      <c r="X84" s="2322"/>
      <c r="Y84" s="2322"/>
      <c r="Z84" s="2322"/>
      <c r="AA84" s="2322"/>
      <c r="AB84" s="2323"/>
      <c r="AC84" s="2255"/>
      <c r="AD84" s="2252"/>
      <c r="AE84" s="2252"/>
      <c r="AF84" s="2252"/>
      <c r="AG84" s="2252"/>
    </row>
    <row r="85" spans="1:33" ht="26.1" customHeight="1">
      <c r="A85" s="2299"/>
      <c r="B85" s="2322"/>
      <c r="C85" s="2299"/>
      <c r="D85" s="2324"/>
      <c r="E85" s="2325"/>
      <c r="F85" s="2322"/>
      <c r="G85" s="2322"/>
      <c r="H85" s="2322"/>
      <c r="I85" s="2322"/>
      <c r="J85" s="2322"/>
      <c r="K85" s="2322"/>
      <c r="L85" s="2322"/>
      <c r="M85" s="2322"/>
      <c r="N85" s="2322"/>
      <c r="O85" s="2322"/>
      <c r="P85" s="2322"/>
      <c r="Q85" s="2322"/>
      <c r="R85" s="2322"/>
      <c r="S85" s="2322"/>
      <c r="T85" s="2322"/>
      <c r="U85" s="2322"/>
      <c r="V85" s="2322"/>
      <c r="W85" s="2322"/>
      <c r="X85" s="2322"/>
      <c r="Y85" s="2322"/>
      <c r="Z85" s="2322"/>
      <c r="AA85" s="2322"/>
      <c r="AB85" s="2323"/>
    </row>
    <row r="86" spans="1:33" ht="26.1" customHeight="1">
      <c r="A86" s="2299"/>
      <c r="B86" s="2322"/>
      <c r="C86" s="2299"/>
      <c r="D86" s="2324"/>
      <c r="E86" s="2325"/>
      <c r="F86" s="2322"/>
      <c r="G86" s="2322"/>
      <c r="H86" s="2322"/>
      <c r="I86" s="2322"/>
      <c r="J86" s="2322"/>
      <c r="K86" s="2322"/>
      <c r="L86" s="2322"/>
      <c r="M86" s="2322"/>
      <c r="N86" s="2322"/>
      <c r="O86" s="2322"/>
      <c r="P86" s="2322"/>
      <c r="Q86" s="2322"/>
      <c r="R86" s="2322"/>
      <c r="S86" s="2322"/>
      <c r="T86" s="2322"/>
      <c r="U86" s="2322"/>
      <c r="V86" s="2322"/>
      <c r="W86" s="2322"/>
      <c r="X86" s="2322"/>
      <c r="Y86" s="2322"/>
      <c r="Z86" s="2322"/>
      <c r="AA86" s="2322"/>
      <c r="AB86" s="2323"/>
    </row>
    <row r="87" spans="1:33" s="2329" customFormat="1" ht="26.1" customHeight="1">
      <c r="A87" s="2299"/>
      <c r="B87" s="2322"/>
      <c r="C87" s="2299"/>
      <c r="D87" s="2324"/>
      <c r="E87" s="2325"/>
      <c r="F87" s="2322"/>
      <c r="G87" s="2322"/>
      <c r="H87" s="2322"/>
      <c r="I87" s="2322"/>
      <c r="J87" s="2322"/>
      <c r="K87" s="2322"/>
      <c r="L87" s="2322"/>
      <c r="M87" s="2322"/>
      <c r="N87" s="2322"/>
      <c r="O87" s="2322"/>
      <c r="P87" s="2322"/>
      <c r="Q87" s="2322"/>
      <c r="R87" s="2322"/>
      <c r="S87" s="2322"/>
      <c r="T87" s="2322"/>
      <c r="U87" s="2322"/>
      <c r="V87" s="2322"/>
      <c r="W87" s="2322"/>
      <c r="X87" s="2322"/>
      <c r="Y87" s="2322"/>
      <c r="Z87" s="2322"/>
      <c r="AA87" s="2322"/>
      <c r="AB87" s="2323"/>
    </row>
    <row r="88" spans="1:33" ht="26.1" customHeight="1">
      <c r="A88" s="2299"/>
      <c r="B88" s="2322"/>
      <c r="C88" s="2299"/>
      <c r="D88" s="2324"/>
      <c r="E88" s="2325"/>
      <c r="F88" s="2322"/>
      <c r="G88" s="2322"/>
      <c r="H88" s="2322"/>
      <c r="I88" s="2322"/>
      <c r="J88" s="2322"/>
      <c r="K88" s="2322"/>
      <c r="L88" s="2322"/>
      <c r="M88" s="2322"/>
      <c r="N88" s="2322"/>
      <c r="O88" s="2322"/>
      <c r="P88" s="2322"/>
      <c r="Q88" s="2322"/>
      <c r="R88" s="2322"/>
      <c r="S88" s="2322"/>
      <c r="T88" s="2322"/>
      <c r="U88" s="2322"/>
      <c r="V88" s="2322"/>
      <c r="W88" s="2322"/>
      <c r="X88" s="2322"/>
      <c r="Y88" s="2322"/>
      <c r="Z88" s="2322"/>
      <c r="AA88" s="2322"/>
      <c r="AB88" s="2323"/>
    </row>
    <row r="89" spans="1:33">
      <c r="A89" s="2299"/>
      <c r="B89" s="2322"/>
      <c r="C89" s="2299"/>
      <c r="D89" s="2324"/>
      <c r="E89" s="2325"/>
      <c r="F89" s="2322"/>
      <c r="G89" s="2322"/>
      <c r="H89" s="2322"/>
      <c r="I89" s="2322"/>
      <c r="J89" s="2322"/>
      <c r="K89" s="2322"/>
      <c r="L89" s="2322"/>
      <c r="M89" s="2322"/>
      <c r="N89" s="2322"/>
      <c r="O89" s="2322"/>
      <c r="P89" s="2322"/>
      <c r="Q89" s="2322"/>
      <c r="R89" s="2322"/>
      <c r="S89" s="2322"/>
      <c r="T89" s="2322"/>
      <c r="U89" s="2322"/>
      <c r="V89" s="2322"/>
      <c r="W89" s="2322"/>
      <c r="X89" s="2322"/>
      <c r="Y89" s="2322"/>
      <c r="Z89" s="2322"/>
      <c r="AA89" s="2322"/>
      <c r="AB89" s="2323"/>
      <c r="AC89" s="2252"/>
      <c r="AD89" s="2252"/>
      <c r="AE89" s="2252"/>
      <c r="AF89" s="2252"/>
    </row>
    <row r="90" spans="1:33">
      <c r="A90" s="2299"/>
      <c r="B90" s="2322"/>
      <c r="C90" s="2299"/>
      <c r="D90" s="2324"/>
      <c r="E90" s="2325"/>
      <c r="F90" s="2322"/>
      <c r="G90" s="2322"/>
      <c r="H90" s="2322"/>
      <c r="I90" s="2322"/>
      <c r="J90" s="2322"/>
      <c r="K90" s="2322"/>
      <c r="L90" s="2322"/>
      <c r="M90" s="2322"/>
      <c r="N90" s="2322"/>
      <c r="O90" s="2322"/>
      <c r="P90" s="2322"/>
      <c r="Q90" s="2322"/>
      <c r="R90" s="2322"/>
      <c r="S90" s="2322"/>
      <c r="T90" s="2322"/>
      <c r="U90" s="2322"/>
      <c r="V90" s="2322"/>
      <c r="W90" s="2322"/>
      <c r="X90" s="2322"/>
      <c r="Y90" s="2322"/>
      <c r="Z90" s="2322"/>
      <c r="AA90" s="2322"/>
      <c r="AB90" s="2323"/>
      <c r="AC90" s="2252"/>
      <c r="AD90" s="2252"/>
      <c r="AE90" s="2252"/>
      <c r="AF90" s="2252"/>
    </row>
    <row r="91" spans="1:33">
      <c r="A91" s="2299"/>
      <c r="B91" s="2330"/>
      <c r="C91" s="2299"/>
      <c r="D91" s="2324"/>
      <c r="E91" s="2325"/>
      <c r="F91" s="2322"/>
      <c r="G91" s="2322"/>
      <c r="H91" s="2322"/>
      <c r="I91" s="2322"/>
      <c r="J91" s="2322"/>
      <c r="K91" s="2322"/>
      <c r="L91" s="2322"/>
      <c r="M91" s="2322"/>
      <c r="N91" s="2322"/>
      <c r="O91" s="2322"/>
      <c r="P91" s="2322"/>
      <c r="Q91" s="2322"/>
      <c r="R91" s="2322"/>
      <c r="S91" s="2322"/>
      <c r="T91" s="2322"/>
      <c r="U91" s="2322"/>
      <c r="V91" s="2322"/>
      <c r="W91" s="2322"/>
      <c r="X91" s="2322"/>
      <c r="Y91" s="2322"/>
      <c r="Z91" s="2322"/>
      <c r="AA91" s="2322"/>
      <c r="AB91" s="2323"/>
      <c r="AC91" s="2252"/>
      <c r="AD91" s="2252"/>
      <c r="AE91" s="2252"/>
      <c r="AF91" s="2252"/>
    </row>
    <row r="92" spans="1:33">
      <c r="A92" s="2299"/>
      <c r="B92" s="2322"/>
      <c r="C92" s="2299"/>
      <c r="D92" s="2324"/>
      <c r="E92" s="2325"/>
      <c r="F92" s="2322"/>
      <c r="G92" s="2322"/>
      <c r="H92" s="2322"/>
      <c r="I92" s="2322"/>
      <c r="J92" s="2322"/>
      <c r="K92" s="2322"/>
      <c r="L92" s="2322"/>
      <c r="M92" s="2322"/>
      <c r="N92" s="2322"/>
      <c r="O92" s="2322"/>
      <c r="P92" s="2322"/>
      <c r="Q92" s="2322"/>
      <c r="R92" s="2322"/>
      <c r="S92" s="2322"/>
      <c r="T92" s="2322"/>
      <c r="U92" s="2322"/>
      <c r="V92" s="2322"/>
      <c r="W92" s="2322"/>
      <c r="X92" s="2322"/>
      <c r="Y92" s="2322"/>
      <c r="Z92" s="2322"/>
      <c r="AA92" s="2322"/>
      <c r="AB92" s="2323"/>
      <c r="AC92" s="2252"/>
      <c r="AD92" s="2252"/>
      <c r="AE92" s="2252"/>
      <c r="AF92" s="2252"/>
    </row>
    <row r="93" spans="1:33">
      <c r="A93" s="2299"/>
      <c r="B93" s="2322"/>
      <c r="C93" s="2299"/>
      <c r="D93" s="2324"/>
      <c r="E93" s="2325"/>
      <c r="F93" s="2322"/>
      <c r="G93" s="2322"/>
      <c r="H93" s="2322"/>
      <c r="I93" s="2322"/>
      <c r="J93" s="2322"/>
      <c r="K93" s="2322"/>
      <c r="L93" s="2322"/>
      <c r="M93" s="2322"/>
      <c r="N93" s="2322"/>
      <c r="O93" s="2322"/>
      <c r="P93" s="2322"/>
      <c r="Q93" s="2322"/>
      <c r="R93" s="2322"/>
      <c r="S93" s="2322"/>
      <c r="T93" s="2322"/>
      <c r="U93" s="2322"/>
      <c r="V93" s="2322"/>
      <c r="W93" s="2322"/>
      <c r="X93" s="2322"/>
      <c r="Y93" s="2322"/>
      <c r="Z93" s="2322"/>
      <c r="AA93" s="2322"/>
      <c r="AB93" s="2323"/>
      <c r="AC93" s="2252"/>
      <c r="AD93" s="2252"/>
      <c r="AE93" s="2252"/>
      <c r="AF93" s="2252"/>
    </row>
    <row r="94" spans="1:33">
      <c r="A94" s="2331"/>
      <c r="B94" s="2332"/>
      <c r="C94" s="2332"/>
      <c r="D94" s="2333"/>
      <c r="E94" s="2333"/>
      <c r="F94" s="2334"/>
      <c r="G94" s="2334"/>
      <c r="H94" s="2334"/>
      <c r="I94" s="2334"/>
      <c r="J94" s="2334"/>
      <c r="K94" s="2334"/>
      <c r="L94" s="2334"/>
      <c r="M94" s="2334"/>
      <c r="N94" s="2334"/>
      <c r="O94" s="2334"/>
      <c r="P94" s="2334"/>
      <c r="Q94" s="2334"/>
      <c r="R94" s="2334"/>
      <c r="S94" s="2334"/>
      <c r="T94" s="2334"/>
      <c r="U94" s="2334"/>
      <c r="V94" s="2334"/>
      <c r="W94" s="2334"/>
      <c r="X94" s="2334"/>
      <c r="Y94" s="2334"/>
      <c r="Z94" s="2334"/>
      <c r="AA94" s="2334"/>
      <c r="AB94" s="2335"/>
      <c r="AC94" s="2252"/>
      <c r="AD94" s="2252"/>
      <c r="AE94" s="2252"/>
      <c r="AF94" s="2252"/>
    </row>
    <row r="95" spans="1:33" ht="48">
      <c r="A95" s="2336"/>
      <c r="B95" s="2337" t="s">
        <v>1218</v>
      </c>
      <c r="C95" s="2338">
        <v>1</v>
      </c>
      <c r="D95" s="2339">
        <v>15000000</v>
      </c>
      <c r="E95" s="2340">
        <f t="shared" ref="E95" si="5">+C95*D95</f>
        <v>15000000</v>
      </c>
      <c r="F95" s="2341"/>
      <c r="G95" s="2341"/>
      <c r="H95" s="2341"/>
      <c r="I95" s="2341"/>
      <c r="J95" s="2341"/>
      <c r="K95" s="2341"/>
      <c r="L95" s="2341"/>
      <c r="M95" s="2341"/>
      <c r="N95" s="2341"/>
      <c r="O95" s="2341"/>
      <c r="P95" s="2341"/>
      <c r="Q95" s="2341"/>
      <c r="R95" s="2341"/>
      <c r="S95" s="2341"/>
      <c r="T95" s="2341"/>
      <c r="U95" s="2341"/>
      <c r="V95" s="2341"/>
      <c r="W95" s="2341"/>
      <c r="X95" s="2341"/>
      <c r="Y95" s="2341"/>
      <c r="Z95" s="2341"/>
      <c r="AA95" s="2341"/>
      <c r="AB95" s="2342" t="s">
        <v>1246</v>
      </c>
      <c r="AC95" s="2252"/>
      <c r="AD95" s="2252"/>
      <c r="AE95" s="2252"/>
      <c r="AF95" s="2252"/>
    </row>
    <row r="96" spans="1:33">
      <c r="A96" s="2343">
        <v>2</v>
      </c>
      <c r="B96" s="2344" t="s">
        <v>715</v>
      </c>
      <c r="C96" s="2345">
        <v>1</v>
      </c>
      <c r="D96" s="2346">
        <v>4000000</v>
      </c>
      <c r="E96" s="2347">
        <f>+C96*D96</f>
        <v>4000000</v>
      </c>
      <c r="F96" s="2348"/>
      <c r="G96" s="2348"/>
      <c r="H96" s="2348"/>
      <c r="I96" s="2348"/>
      <c r="J96" s="2348"/>
      <c r="K96" s="2348"/>
      <c r="L96" s="2348"/>
      <c r="M96" s="2348"/>
      <c r="N96" s="2348"/>
      <c r="O96" s="2348"/>
      <c r="P96" s="2348"/>
      <c r="Q96" s="2348"/>
      <c r="R96" s="2348"/>
      <c r="S96" s="2348"/>
      <c r="T96" s="2348"/>
      <c r="U96" s="2348"/>
      <c r="V96" s="2348"/>
      <c r="W96" s="2348"/>
      <c r="X96" s="2348"/>
      <c r="Y96" s="2348"/>
      <c r="Z96" s="2348"/>
      <c r="AA96" s="2348"/>
      <c r="AB96" s="2349"/>
      <c r="AC96" s="2252"/>
      <c r="AD96" s="2252"/>
      <c r="AE96" s="2252"/>
      <c r="AF96" s="2252"/>
    </row>
    <row r="97" spans="1:32">
      <c r="A97" s="2350">
        <v>3</v>
      </c>
      <c r="B97" s="2351" t="s">
        <v>1972</v>
      </c>
      <c r="C97" s="2352">
        <v>1</v>
      </c>
      <c r="D97" s="2353">
        <v>5000000</v>
      </c>
      <c r="E97" s="2353">
        <f>+D97*C97</f>
        <v>5000000</v>
      </c>
      <c r="F97" s="2353"/>
      <c r="G97" s="2353"/>
      <c r="H97" s="2353"/>
      <c r="I97" s="2353"/>
      <c r="J97" s="2353"/>
      <c r="K97" s="2353"/>
      <c r="L97" s="2353"/>
      <c r="M97" s="2353"/>
      <c r="N97" s="2354"/>
      <c r="O97" s="2354"/>
      <c r="P97" s="2354"/>
      <c r="Q97" s="2354"/>
      <c r="R97" s="2354"/>
      <c r="S97" s="2354"/>
      <c r="T97" s="2354"/>
      <c r="U97" s="2354"/>
      <c r="V97" s="2354"/>
      <c r="W97" s="2354"/>
      <c r="X97" s="2354"/>
      <c r="Y97" s="2354"/>
      <c r="Z97" s="2354"/>
      <c r="AA97" s="2354"/>
      <c r="AB97" s="2355"/>
      <c r="AC97" s="2252"/>
      <c r="AD97" s="2252"/>
      <c r="AE97" s="2252"/>
      <c r="AF97" s="2252"/>
    </row>
    <row r="98" spans="1:32">
      <c r="A98" s="2350">
        <v>6</v>
      </c>
      <c r="B98" s="2356" t="s">
        <v>994</v>
      </c>
      <c r="C98" s="2352">
        <v>3</v>
      </c>
      <c r="D98" s="2357">
        <v>1400000</v>
      </c>
      <c r="E98" s="2357">
        <f>+C98*D98</f>
        <v>4200000</v>
      </c>
      <c r="F98" s="2358"/>
      <c r="G98" s="2358"/>
      <c r="H98" s="2358"/>
      <c r="I98" s="2358"/>
      <c r="J98" s="2358"/>
      <c r="K98" s="2358"/>
      <c r="L98" s="2358"/>
      <c r="M98" s="2358"/>
      <c r="N98" s="2358"/>
      <c r="O98" s="2358"/>
      <c r="P98" s="2358"/>
      <c r="Q98" s="2358"/>
      <c r="R98" s="2358"/>
      <c r="S98" s="2358"/>
      <c r="T98" s="2358"/>
      <c r="U98" s="2358"/>
      <c r="V98" s="2358"/>
      <c r="W98" s="2358"/>
      <c r="X98" s="2358"/>
      <c r="Y98" s="2358"/>
      <c r="Z98" s="2358"/>
      <c r="AA98" s="2358"/>
      <c r="AB98" s="2359"/>
      <c r="AC98" s="2252"/>
      <c r="AD98" s="2252"/>
      <c r="AE98" s="2252"/>
      <c r="AF98" s="2252"/>
    </row>
    <row r="99" spans="1:32">
      <c r="A99" s="2350">
        <v>7</v>
      </c>
      <c r="B99" s="2351" t="s">
        <v>995</v>
      </c>
      <c r="C99" s="2352">
        <v>1</v>
      </c>
      <c r="D99" s="2360">
        <v>786400</v>
      </c>
      <c r="E99" s="2357">
        <f t="shared" ref="E99:E100" si="6">+C99*D99</f>
        <v>786400</v>
      </c>
      <c r="F99" s="2358"/>
      <c r="G99" s="2358"/>
      <c r="H99" s="2358"/>
      <c r="I99" s="2358"/>
      <c r="J99" s="2358"/>
      <c r="K99" s="2358"/>
      <c r="L99" s="2358"/>
      <c r="M99" s="2358"/>
      <c r="N99" s="2358"/>
      <c r="O99" s="2358"/>
      <c r="P99" s="2358"/>
      <c r="Q99" s="2358"/>
      <c r="R99" s="2358"/>
      <c r="S99" s="2358"/>
      <c r="T99" s="2358"/>
      <c r="U99" s="2358"/>
      <c r="V99" s="2358"/>
      <c r="W99" s="2358"/>
      <c r="X99" s="2358"/>
      <c r="Y99" s="2358"/>
      <c r="Z99" s="2358"/>
      <c r="AA99" s="2358"/>
      <c r="AB99" s="2359"/>
      <c r="AC99" s="2252"/>
      <c r="AD99" s="2252"/>
      <c r="AE99" s="2252"/>
      <c r="AF99" s="2252"/>
    </row>
    <row r="100" spans="1:32" ht="192">
      <c r="A100" s="2350">
        <v>9</v>
      </c>
      <c r="B100" s="2351" t="s">
        <v>505</v>
      </c>
      <c r="C100" s="2352">
        <v>1</v>
      </c>
      <c r="D100" s="2360">
        <v>20092000</v>
      </c>
      <c r="E100" s="2357">
        <f t="shared" si="6"/>
        <v>20092000</v>
      </c>
      <c r="F100" s="2361" t="s">
        <v>992</v>
      </c>
      <c r="G100" s="2358"/>
      <c r="H100" s="2358"/>
      <c r="I100" s="2358"/>
      <c r="J100" s="2358"/>
      <c r="K100" s="2358"/>
      <c r="L100" s="2358"/>
      <c r="M100" s="2358"/>
      <c r="N100" s="2358"/>
      <c r="O100" s="2358"/>
      <c r="P100" s="2358"/>
      <c r="Q100" s="2358"/>
      <c r="R100" s="2358"/>
      <c r="S100" s="2358"/>
      <c r="T100" s="2358"/>
      <c r="U100" s="2358"/>
      <c r="V100" s="2358"/>
      <c r="W100" s="2358"/>
      <c r="X100" s="2358"/>
      <c r="Y100" s="2358"/>
      <c r="Z100" s="2358"/>
      <c r="AA100" s="2358"/>
      <c r="AB100" s="2361" t="s">
        <v>1045</v>
      </c>
      <c r="AC100" s="2252"/>
      <c r="AD100" s="2252"/>
      <c r="AE100" s="2252"/>
      <c r="AF100" s="2252"/>
    </row>
    <row r="101" spans="1:32">
      <c r="A101" s="2350">
        <v>10</v>
      </c>
      <c r="B101" s="2362" t="s">
        <v>996</v>
      </c>
      <c r="C101" s="2363">
        <v>2</v>
      </c>
      <c r="D101" s="2364">
        <f>+D98</f>
        <v>1400000</v>
      </c>
      <c r="E101" s="2364">
        <f>+C101*D101</f>
        <v>2800000</v>
      </c>
      <c r="F101" s="2358"/>
      <c r="G101" s="2358"/>
      <c r="H101" s="2358"/>
      <c r="I101" s="2358"/>
      <c r="J101" s="2358"/>
      <c r="K101" s="2358"/>
      <c r="L101" s="2358"/>
      <c r="M101" s="2358"/>
      <c r="N101" s="2358"/>
      <c r="O101" s="2358"/>
      <c r="P101" s="2358"/>
      <c r="Q101" s="2358"/>
      <c r="R101" s="2358"/>
      <c r="S101" s="2358"/>
      <c r="T101" s="2358"/>
      <c r="U101" s="2358"/>
      <c r="V101" s="2358"/>
      <c r="W101" s="2358"/>
      <c r="X101" s="2358"/>
      <c r="Y101" s="2358"/>
      <c r="Z101" s="2358"/>
      <c r="AA101" s="2358"/>
      <c r="AB101" s="2359"/>
      <c r="AC101" s="2252"/>
      <c r="AD101" s="2252"/>
      <c r="AE101" s="2252"/>
      <c r="AF101" s="2252"/>
    </row>
    <row r="102" spans="1:32">
      <c r="A102" s="2260">
        <v>5</v>
      </c>
      <c r="B102" s="2365"/>
      <c r="C102" s="2365"/>
      <c r="D102" s="2365"/>
      <c r="E102" s="2365"/>
      <c r="F102" s="2190"/>
      <c r="G102" s="2190"/>
      <c r="H102" s="2190"/>
      <c r="I102" s="2190"/>
      <c r="J102" s="2190"/>
      <c r="K102" s="2190"/>
      <c r="L102" s="2190"/>
      <c r="M102" s="2190"/>
      <c r="N102" s="2056"/>
      <c r="O102" s="2056"/>
      <c r="P102" s="2056"/>
      <c r="Q102" s="2056"/>
      <c r="R102" s="2056"/>
      <c r="S102" s="2056"/>
      <c r="T102" s="2056"/>
      <c r="U102" s="2056"/>
      <c r="V102" s="2056"/>
      <c r="W102" s="2056"/>
      <c r="X102" s="2056"/>
      <c r="Y102" s="2056"/>
      <c r="Z102" s="2056"/>
      <c r="AA102" s="2056"/>
      <c r="AB102" s="2140"/>
      <c r="AC102" s="2252"/>
      <c r="AD102" s="2252"/>
      <c r="AE102" s="2252"/>
      <c r="AF102" s="2252"/>
    </row>
    <row r="103" spans="1:32">
      <c r="A103" s="2260">
        <v>7</v>
      </c>
      <c r="B103" s="2050" t="s">
        <v>717</v>
      </c>
      <c r="C103" s="2051">
        <v>1</v>
      </c>
      <c r="D103" s="2263">
        <v>15000000</v>
      </c>
      <c r="E103" s="2059">
        <f>+C103*D103</f>
        <v>15000000</v>
      </c>
      <c r="F103" s="2190"/>
      <c r="G103" s="2190"/>
      <c r="H103" s="2190"/>
      <c r="I103" s="2190"/>
      <c r="J103" s="2190"/>
      <c r="K103" s="2190"/>
      <c r="L103" s="2190"/>
      <c r="M103" s="2190"/>
      <c r="N103" s="2052"/>
      <c r="O103" s="2190"/>
      <c r="P103" s="2190"/>
      <c r="Q103" s="2190"/>
      <c r="R103" s="2190"/>
      <c r="S103" s="2190"/>
      <c r="T103" s="2190"/>
      <c r="U103" s="2190"/>
      <c r="V103" s="2190"/>
      <c r="W103" s="2190"/>
      <c r="X103" s="2190"/>
      <c r="Y103" s="2190"/>
      <c r="Z103" s="2190"/>
      <c r="AA103" s="2190"/>
      <c r="AB103" s="2276"/>
      <c r="AC103" s="2252"/>
      <c r="AD103" s="2252"/>
      <c r="AE103" s="2252"/>
      <c r="AF103" s="2252"/>
    </row>
    <row r="104" spans="1:32">
      <c r="A104" s="2366"/>
      <c r="B104" s="2332"/>
      <c r="C104" s="2332"/>
      <c r="D104" s="2333"/>
      <c r="E104" s="2333"/>
      <c r="F104" s="2332"/>
      <c r="G104" s="2332"/>
      <c r="H104" s="2332"/>
      <c r="I104" s="2332"/>
      <c r="J104" s="2332"/>
      <c r="K104" s="2332"/>
      <c r="L104" s="2332"/>
      <c r="M104" s="2332"/>
      <c r="N104" s="2332"/>
      <c r="O104" s="2332"/>
      <c r="P104" s="2332"/>
      <c r="Q104" s="2332"/>
      <c r="R104" s="2332"/>
      <c r="S104" s="2332"/>
      <c r="T104" s="2332"/>
      <c r="U104" s="2332"/>
      <c r="V104" s="2332"/>
      <c r="W104" s="2332"/>
      <c r="X104" s="2332"/>
      <c r="Y104" s="2332"/>
      <c r="Z104" s="2332"/>
      <c r="AA104" s="2332"/>
      <c r="AB104" s="2367"/>
      <c r="AC104" s="2252"/>
      <c r="AD104" s="2252"/>
      <c r="AE104" s="2252"/>
      <c r="AF104" s="2252"/>
    </row>
    <row r="105" spans="1:32">
      <c r="A105" s="2299"/>
      <c r="B105" s="2332"/>
      <c r="C105" s="2332"/>
      <c r="D105" s="2332"/>
      <c r="E105" s="2368">
        <f>SUM(E98:E101)</f>
        <v>27878400</v>
      </c>
      <c r="F105" s="2365"/>
      <c r="G105" s="2365"/>
      <c r="H105" s="2365"/>
      <c r="I105" s="2365"/>
      <c r="J105" s="2365"/>
      <c r="K105" s="2365"/>
      <c r="L105" s="2365"/>
      <c r="M105" s="2365"/>
      <c r="N105" s="2365"/>
      <c r="O105" s="2365"/>
      <c r="P105" s="2365"/>
      <c r="Q105" s="2365"/>
      <c r="R105" s="2365"/>
      <c r="S105" s="2365"/>
      <c r="T105" s="2365"/>
      <c r="U105" s="2365"/>
      <c r="V105" s="2365"/>
      <c r="W105" s="2365"/>
      <c r="X105" s="2365"/>
      <c r="Y105" s="2365"/>
      <c r="Z105" s="2365"/>
      <c r="AA105" s="2365"/>
      <c r="AB105" s="2369"/>
      <c r="AC105" s="2252"/>
      <c r="AD105" s="2252"/>
      <c r="AE105" s="2252"/>
      <c r="AF105" s="2252"/>
    </row>
    <row r="106" spans="1:32">
      <c r="A106" s="2370">
        <v>5</v>
      </c>
      <c r="B106" s="2371" t="s">
        <v>628</v>
      </c>
      <c r="C106" s="2372">
        <v>1</v>
      </c>
      <c r="D106" s="2373">
        <v>7500000</v>
      </c>
      <c r="E106" s="2374">
        <f>+C106*D106</f>
        <v>7500000</v>
      </c>
      <c r="F106" s="2375"/>
      <c r="G106" s="2375"/>
      <c r="H106" s="2375"/>
      <c r="I106" s="2375"/>
      <c r="J106" s="2375"/>
      <c r="K106" s="2375"/>
      <c r="L106" s="2375"/>
      <c r="M106" s="2375"/>
      <c r="N106" s="2375"/>
      <c r="O106" s="2375"/>
      <c r="P106" s="2375"/>
      <c r="Q106" s="2375"/>
      <c r="R106" s="2375"/>
      <c r="S106" s="2375"/>
      <c r="T106" s="2375"/>
      <c r="U106" s="2375"/>
      <c r="V106" s="2375"/>
      <c r="W106" s="2375"/>
      <c r="X106" s="2375"/>
      <c r="Y106" s="2375"/>
      <c r="Z106" s="2375"/>
      <c r="AA106" s="2375"/>
      <c r="AB106" s="2376"/>
      <c r="AC106" s="2252"/>
      <c r="AD106" s="2252"/>
      <c r="AE106" s="2252"/>
      <c r="AF106" s="2252"/>
    </row>
    <row r="107" spans="1:32">
      <c r="A107" s="2299"/>
      <c r="B107" s="2332"/>
      <c r="C107" s="2332"/>
      <c r="D107" s="2333"/>
      <c r="E107" s="2377"/>
      <c r="F107" s="2332"/>
      <c r="G107" s="2332"/>
      <c r="H107" s="2332"/>
      <c r="I107" s="2332"/>
      <c r="J107" s="2332"/>
      <c r="K107" s="2332"/>
      <c r="L107" s="2332"/>
      <c r="M107" s="2332"/>
      <c r="N107" s="2332"/>
      <c r="O107" s="2332"/>
      <c r="P107" s="2332"/>
      <c r="Q107" s="2332"/>
      <c r="R107" s="2332"/>
      <c r="S107" s="2332"/>
      <c r="T107" s="2332"/>
      <c r="U107" s="2332"/>
      <c r="V107" s="2332"/>
      <c r="W107" s="2332"/>
      <c r="X107" s="2332"/>
      <c r="Y107" s="2332"/>
      <c r="Z107" s="2332"/>
      <c r="AA107" s="2332"/>
      <c r="AB107" s="2367"/>
      <c r="AC107" s="2252"/>
      <c r="AD107" s="2252"/>
      <c r="AE107" s="2252"/>
      <c r="AF107" s="2252"/>
    </row>
    <row r="108" spans="1:32">
      <c r="A108" s="2299"/>
      <c r="B108" s="2322"/>
      <c r="C108" s="2299"/>
      <c r="D108" s="2378"/>
      <c r="E108" s="2379"/>
      <c r="F108" s="2322"/>
      <c r="G108" s="2322"/>
      <c r="H108" s="2322"/>
      <c r="I108" s="2322"/>
      <c r="J108" s="2322"/>
      <c r="K108" s="2322"/>
      <c r="L108" s="2322"/>
      <c r="M108" s="2322"/>
      <c r="N108" s="2322"/>
      <c r="O108" s="2322"/>
      <c r="P108" s="2322"/>
      <c r="Q108" s="2322"/>
      <c r="R108" s="2322"/>
      <c r="S108" s="2322"/>
      <c r="T108" s="2322"/>
      <c r="U108" s="2322"/>
      <c r="V108" s="2322"/>
      <c r="W108" s="2322"/>
      <c r="X108" s="2322"/>
      <c r="Y108" s="2322"/>
      <c r="Z108" s="2322"/>
      <c r="AA108" s="2322"/>
      <c r="AB108" s="2323"/>
      <c r="AC108" s="2252"/>
      <c r="AD108" s="2252"/>
      <c r="AE108" s="2252"/>
      <c r="AF108" s="2252"/>
    </row>
    <row r="109" spans="1:32">
      <c r="A109" s="2299"/>
      <c r="B109" s="2322"/>
      <c r="C109" s="2299"/>
      <c r="D109" s="2379"/>
      <c r="E109" s="2379"/>
      <c r="F109" s="2322"/>
      <c r="G109" s="2322"/>
      <c r="H109" s="2322"/>
      <c r="I109" s="2322"/>
      <c r="J109" s="2322"/>
      <c r="K109" s="2322"/>
      <c r="L109" s="2322"/>
      <c r="M109" s="2322"/>
      <c r="N109" s="2322"/>
      <c r="O109" s="2322"/>
      <c r="P109" s="2322"/>
      <c r="Q109" s="2322"/>
      <c r="R109" s="2322"/>
      <c r="S109" s="2322"/>
      <c r="T109" s="2322"/>
      <c r="U109" s="2322"/>
      <c r="V109" s="2322"/>
      <c r="W109" s="2322"/>
      <c r="X109" s="2322"/>
      <c r="Y109" s="2322"/>
      <c r="Z109" s="2322"/>
      <c r="AA109" s="2322"/>
      <c r="AB109" s="2323"/>
      <c r="AC109" s="2252"/>
      <c r="AD109" s="2252"/>
      <c r="AE109" s="2252"/>
      <c r="AF109" s="2252"/>
    </row>
    <row r="110" spans="1:32">
      <c r="A110" s="2299"/>
      <c r="B110" s="2322"/>
      <c r="C110" s="2299"/>
      <c r="D110" s="2379"/>
      <c r="E110" s="2379"/>
      <c r="F110" s="2322"/>
      <c r="G110" s="2322"/>
      <c r="H110" s="2322"/>
      <c r="I110" s="2322"/>
      <c r="J110" s="2322"/>
      <c r="K110" s="2322"/>
      <c r="L110" s="2322"/>
      <c r="M110" s="2322"/>
      <c r="N110" s="2322"/>
      <c r="O110" s="2322"/>
      <c r="P110" s="2322"/>
      <c r="Q110" s="2322"/>
      <c r="R110" s="2322"/>
      <c r="S110" s="2322"/>
      <c r="T110" s="2322"/>
      <c r="U110" s="2322"/>
      <c r="V110" s="2322"/>
      <c r="W110" s="2322"/>
      <c r="X110" s="2322"/>
      <c r="Y110" s="2322"/>
      <c r="Z110" s="2322"/>
      <c r="AA110" s="2322"/>
      <c r="AB110" s="2323"/>
      <c r="AC110" s="2252"/>
      <c r="AD110" s="2252"/>
      <c r="AE110" s="2252"/>
      <c r="AF110" s="2252"/>
    </row>
    <row r="111" spans="1:32">
      <c r="A111" s="2299"/>
      <c r="B111" s="2322"/>
      <c r="C111" s="2299"/>
      <c r="D111" s="2379"/>
      <c r="E111" s="2379"/>
      <c r="F111" s="2322"/>
      <c r="G111" s="2322"/>
      <c r="H111" s="2322"/>
      <c r="I111" s="2322"/>
      <c r="J111" s="2322"/>
      <c r="K111" s="2322"/>
      <c r="L111" s="2322"/>
      <c r="M111" s="2322"/>
      <c r="N111" s="2322"/>
      <c r="O111" s="2322"/>
      <c r="P111" s="2322"/>
      <c r="Q111" s="2322"/>
      <c r="R111" s="2322"/>
      <c r="S111" s="2322"/>
      <c r="T111" s="2322"/>
      <c r="U111" s="2322"/>
      <c r="V111" s="2322"/>
      <c r="W111" s="2322"/>
      <c r="X111" s="2322"/>
      <c r="Y111" s="2322"/>
      <c r="Z111" s="2322"/>
      <c r="AA111" s="2322"/>
      <c r="AB111" s="2323"/>
      <c r="AC111" s="2252"/>
      <c r="AD111" s="2252"/>
      <c r="AE111" s="2252"/>
      <c r="AF111" s="2252"/>
    </row>
    <row r="112" spans="1:32">
      <c r="A112" s="2299"/>
      <c r="B112" s="2322"/>
      <c r="C112" s="2299"/>
      <c r="D112" s="2379"/>
      <c r="E112" s="2379"/>
      <c r="F112" s="2322"/>
      <c r="G112" s="2322"/>
      <c r="H112" s="2322"/>
      <c r="I112" s="2322"/>
      <c r="J112" s="2322"/>
      <c r="K112" s="2322"/>
      <c r="L112" s="2322"/>
      <c r="M112" s="2322"/>
      <c r="N112" s="2322"/>
      <c r="O112" s="2322"/>
      <c r="P112" s="2322"/>
      <c r="Q112" s="2322"/>
      <c r="R112" s="2322"/>
      <c r="S112" s="2322"/>
      <c r="T112" s="2322"/>
      <c r="U112" s="2322"/>
      <c r="V112" s="2322"/>
      <c r="W112" s="2322"/>
      <c r="X112" s="2322"/>
      <c r="Y112" s="2322"/>
      <c r="Z112" s="2322"/>
      <c r="AA112" s="2322"/>
      <c r="AB112" s="2323"/>
      <c r="AC112" s="2252"/>
      <c r="AD112" s="2252"/>
      <c r="AE112" s="2252"/>
      <c r="AF112" s="2252"/>
    </row>
    <row r="113" spans="1:32">
      <c r="A113" s="2299"/>
      <c r="B113" s="2322"/>
      <c r="C113" s="2299"/>
      <c r="D113" s="2379"/>
      <c r="E113" s="2379"/>
      <c r="F113" s="2322"/>
      <c r="G113" s="2322"/>
      <c r="H113" s="2322"/>
      <c r="I113" s="2322"/>
      <c r="J113" s="2322"/>
      <c r="K113" s="2322"/>
      <c r="L113" s="2322"/>
      <c r="M113" s="2322"/>
      <c r="N113" s="2322"/>
      <c r="O113" s="2322"/>
      <c r="P113" s="2322"/>
      <c r="Q113" s="2322"/>
      <c r="R113" s="2322"/>
      <c r="S113" s="2322"/>
      <c r="T113" s="2322"/>
      <c r="U113" s="2322"/>
      <c r="V113" s="2322"/>
      <c r="W113" s="2322"/>
      <c r="X113" s="2322"/>
      <c r="Y113" s="2322"/>
      <c r="Z113" s="2322"/>
      <c r="AA113" s="2322"/>
      <c r="AB113" s="2323"/>
      <c r="AC113" s="2252"/>
      <c r="AD113" s="2252"/>
      <c r="AE113" s="2252"/>
      <c r="AF113" s="2252"/>
    </row>
    <row r="114" spans="1:32">
      <c r="A114" s="2299"/>
      <c r="B114" s="2322"/>
      <c r="C114" s="2299"/>
      <c r="D114" s="2379"/>
      <c r="E114" s="2379"/>
      <c r="F114" s="2322"/>
      <c r="G114" s="2322"/>
      <c r="H114" s="2322"/>
      <c r="I114" s="2322"/>
      <c r="J114" s="2322"/>
      <c r="K114" s="2322"/>
      <c r="L114" s="2322"/>
      <c r="M114" s="2322"/>
      <c r="N114" s="2322"/>
      <c r="O114" s="2322"/>
      <c r="P114" s="2322"/>
      <c r="Q114" s="2322"/>
      <c r="R114" s="2322"/>
      <c r="S114" s="2322"/>
      <c r="T114" s="2322"/>
      <c r="U114" s="2322"/>
      <c r="V114" s="2322"/>
      <c r="W114" s="2322"/>
      <c r="X114" s="2322"/>
      <c r="Y114" s="2322"/>
      <c r="Z114" s="2322"/>
      <c r="AA114" s="2322"/>
      <c r="AB114" s="2323"/>
      <c r="AC114" s="2252"/>
      <c r="AD114" s="2252"/>
      <c r="AE114" s="2252"/>
      <c r="AF114" s="2252"/>
    </row>
    <row r="115" spans="1:32">
      <c r="A115" s="2299"/>
      <c r="B115" s="2322"/>
      <c r="C115" s="2299"/>
      <c r="D115" s="2379"/>
      <c r="E115" s="2379"/>
      <c r="F115" s="2322"/>
      <c r="G115" s="2322"/>
      <c r="H115" s="2322"/>
      <c r="I115" s="2322"/>
      <c r="J115" s="2322"/>
      <c r="K115" s="2322"/>
      <c r="L115" s="2322"/>
      <c r="M115" s="2322"/>
      <c r="N115" s="2322"/>
      <c r="O115" s="2322"/>
      <c r="P115" s="2322"/>
      <c r="Q115" s="2322"/>
      <c r="R115" s="2322"/>
      <c r="S115" s="2322"/>
      <c r="T115" s="2322"/>
      <c r="U115" s="2322"/>
      <c r="V115" s="2322"/>
      <c r="W115" s="2322"/>
      <c r="X115" s="2322"/>
      <c r="Y115" s="2322"/>
      <c r="Z115" s="2322"/>
      <c r="AA115" s="2322"/>
      <c r="AB115" s="2323"/>
      <c r="AC115" s="2252"/>
      <c r="AD115" s="2252"/>
      <c r="AE115" s="2252"/>
      <c r="AF115" s="2252"/>
    </row>
    <row r="116" spans="1:32">
      <c r="A116" s="2299"/>
      <c r="B116" s="2322"/>
      <c r="C116" s="2299"/>
      <c r="D116" s="2379"/>
      <c r="E116" s="2379"/>
      <c r="F116" s="2322"/>
      <c r="G116" s="2322"/>
      <c r="H116" s="2322"/>
      <c r="I116" s="2322"/>
      <c r="J116" s="2322"/>
      <c r="K116" s="2322"/>
      <c r="L116" s="2322"/>
      <c r="M116" s="2322"/>
      <c r="N116" s="2322"/>
      <c r="O116" s="2322"/>
      <c r="P116" s="2322"/>
      <c r="Q116" s="2322"/>
      <c r="R116" s="2322"/>
      <c r="S116" s="2322"/>
      <c r="T116" s="2322"/>
      <c r="U116" s="2322"/>
      <c r="V116" s="2322"/>
      <c r="W116" s="2322"/>
      <c r="X116" s="2322"/>
      <c r="Y116" s="2322"/>
      <c r="Z116" s="2322"/>
      <c r="AA116" s="2322"/>
      <c r="AB116" s="2323"/>
      <c r="AC116" s="2252"/>
      <c r="AD116" s="2252"/>
      <c r="AE116" s="2252"/>
      <c r="AF116" s="2252"/>
    </row>
    <row r="117" spans="1:32">
      <c r="A117" s="2299"/>
      <c r="B117" s="2322"/>
      <c r="C117" s="2299"/>
      <c r="D117" s="2379"/>
      <c r="E117" s="2379"/>
      <c r="F117" s="2322"/>
      <c r="G117" s="2322"/>
      <c r="H117" s="2322"/>
      <c r="I117" s="2322"/>
      <c r="J117" s="2322"/>
      <c r="K117" s="2322"/>
      <c r="L117" s="2322"/>
      <c r="M117" s="2322"/>
      <c r="N117" s="2322"/>
      <c r="O117" s="2322"/>
      <c r="P117" s="2322"/>
      <c r="Q117" s="2322"/>
      <c r="R117" s="2322"/>
      <c r="S117" s="2322"/>
      <c r="T117" s="2322"/>
      <c r="U117" s="2322"/>
      <c r="V117" s="2322"/>
      <c r="W117" s="2322"/>
      <c r="X117" s="2322"/>
      <c r="Y117" s="2322"/>
      <c r="Z117" s="2322"/>
      <c r="AA117" s="2322"/>
      <c r="AB117" s="2323"/>
      <c r="AC117" s="2252"/>
      <c r="AD117" s="2252"/>
      <c r="AE117" s="2252"/>
      <c r="AF117" s="2252"/>
    </row>
    <row r="118" spans="1:32">
      <c r="A118" s="2299"/>
      <c r="B118" s="2322"/>
      <c r="C118" s="2299"/>
      <c r="D118" s="2379"/>
      <c r="E118" s="2379"/>
      <c r="F118" s="2322"/>
      <c r="G118" s="2322"/>
      <c r="H118" s="2322"/>
      <c r="I118" s="2322"/>
      <c r="J118" s="2322"/>
      <c r="K118" s="2322"/>
      <c r="L118" s="2322"/>
      <c r="M118" s="2322"/>
      <c r="N118" s="2322"/>
      <c r="O118" s="2322"/>
      <c r="P118" s="2322"/>
      <c r="Q118" s="2322"/>
      <c r="R118" s="2322"/>
      <c r="S118" s="2322"/>
      <c r="T118" s="2322"/>
      <c r="U118" s="2322"/>
      <c r="V118" s="2322"/>
      <c r="W118" s="2322"/>
      <c r="X118" s="2322"/>
      <c r="Y118" s="2322"/>
      <c r="Z118" s="2322"/>
      <c r="AA118" s="2322"/>
      <c r="AB118" s="2323"/>
      <c r="AC118" s="2252"/>
      <c r="AD118" s="2252"/>
      <c r="AE118" s="2252"/>
      <c r="AF118" s="2252"/>
    </row>
    <row r="119" spans="1:32">
      <c r="A119" s="2299"/>
      <c r="B119" s="2322"/>
      <c r="C119" s="2299"/>
      <c r="D119" s="2379"/>
      <c r="E119" s="2379"/>
      <c r="F119" s="2322"/>
      <c r="G119" s="2322"/>
      <c r="H119" s="2322"/>
      <c r="I119" s="2322"/>
      <c r="J119" s="2322"/>
      <c r="K119" s="2322"/>
      <c r="L119" s="2322"/>
      <c r="M119" s="2322"/>
      <c r="N119" s="2322"/>
      <c r="O119" s="2322"/>
      <c r="P119" s="2322"/>
      <c r="Q119" s="2322"/>
      <c r="R119" s="2322"/>
      <c r="S119" s="2322"/>
      <c r="T119" s="2322"/>
      <c r="U119" s="2322"/>
      <c r="V119" s="2322"/>
      <c r="W119" s="2322"/>
      <c r="X119" s="2322"/>
      <c r="Y119" s="2322"/>
      <c r="Z119" s="2322"/>
      <c r="AA119" s="2322"/>
      <c r="AB119" s="2323"/>
      <c r="AC119" s="2252"/>
      <c r="AD119" s="2252"/>
      <c r="AE119" s="2252"/>
      <c r="AF119" s="2252"/>
    </row>
    <row r="120" spans="1:32">
      <c r="A120" s="2299"/>
      <c r="B120" s="2322"/>
      <c r="C120" s="2299"/>
      <c r="D120" s="2379"/>
      <c r="E120" s="2379"/>
      <c r="F120" s="2322"/>
      <c r="G120" s="2322"/>
      <c r="H120" s="2322"/>
      <c r="I120" s="2322"/>
      <c r="J120" s="2322"/>
      <c r="K120" s="2322"/>
      <c r="L120" s="2322"/>
      <c r="M120" s="2322"/>
      <c r="N120" s="2322"/>
      <c r="O120" s="2322"/>
      <c r="P120" s="2322"/>
      <c r="Q120" s="2322"/>
      <c r="R120" s="2322"/>
      <c r="S120" s="2322"/>
      <c r="T120" s="2322"/>
      <c r="U120" s="2322"/>
      <c r="V120" s="2322"/>
      <c r="W120" s="2322"/>
      <c r="X120" s="2322"/>
      <c r="Y120" s="2322"/>
      <c r="Z120" s="2322"/>
      <c r="AA120" s="2322"/>
      <c r="AB120" s="2323"/>
      <c r="AC120" s="2252"/>
      <c r="AD120" s="2252"/>
      <c r="AE120" s="2252"/>
      <c r="AF120" s="2252"/>
    </row>
    <row r="121" spans="1:32">
      <c r="A121" s="2299"/>
      <c r="B121" s="2322"/>
      <c r="C121" s="2299"/>
      <c r="D121" s="2379"/>
      <c r="E121" s="2379"/>
      <c r="F121" s="2322"/>
      <c r="G121" s="2322"/>
      <c r="H121" s="2322"/>
      <c r="I121" s="2322"/>
      <c r="J121" s="2322"/>
      <c r="K121" s="2322"/>
      <c r="L121" s="2322"/>
      <c r="M121" s="2322"/>
      <c r="N121" s="2322"/>
      <c r="O121" s="2322"/>
      <c r="P121" s="2322"/>
      <c r="Q121" s="2322"/>
      <c r="R121" s="2322"/>
      <c r="S121" s="2322"/>
      <c r="T121" s="2322"/>
      <c r="U121" s="2322"/>
      <c r="V121" s="2322"/>
      <c r="W121" s="2322"/>
      <c r="X121" s="2322"/>
      <c r="Y121" s="2322"/>
      <c r="Z121" s="2322"/>
      <c r="AA121" s="2322"/>
      <c r="AB121" s="2323"/>
      <c r="AC121" s="2252"/>
      <c r="AD121" s="2252"/>
      <c r="AE121" s="2252"/>
      <c r="AF121" s="2252"/>
    </row>
    <row r="122" spans="1:32">
      <c r="A122" s="2299"/>
      <c r="B122" s="2322"/>
      <c r="C122" s="2299"/>
      <c r="D122" s="2379"/>
      <c r="E122" s="2379"/>
      <c r="F122" s="2322"/>
      <c r="G122" s="2322"/>
      <c r="H122" s="2322"/>
      <c r="I122" s="2322"/>
      <c r="J122" s="2322"/>
      <c r="K122" s="2322"/>
      <c r="L122" s="2322"/>
      <c r="M122" s="2322"/>
      <c r="N122" s="2322"/>
      <c r="O122" s="2322"/>
      <c r="P122" s="2322"/>
      <c r="Q122" s="2322"/>
      <c r="R122" s="2322"/>
      <c r="S122" s="2322"/>
      <c r="T122" s="2322"/>
      <c r="U122" s="2322"/>
      <c r="V122" s="2322"/>
      <c r="W122" s="2322"/>
      <c r="X122" s="2322"/>
      <c r="Y122" s="2322"/>
      <c r="Z122" s="2322"/>
      <c r="AA122" s="2322"/>
      <c r="AB122" s="2323"/>
      <c r="AC122" s="2252"/>
      <c r="AD122" s="2252"/>
      <c r="AE122" s="2252"/>
      <c r="AF122" s="2252"/>
    </row>
    <row r="123" spans="1:32">
      <c r="A123" s="2299"/>
      <c r="B123" s="2322"/>
      <c r="C123" s="2299"/>
      <c r="D123" s="2379"/>
      <c r="E123" s="2379"/>
      <c r="F123" s="2322"/>
      <c r="G123" s="2322"/>
      <c r="H123" s="2322"/>
      <c r="I123" s="2322"/>
      <c r="J123" s="2322"/>
      <c r="K123" s="2322"/>
      <c r="L123" s="2322"/>
      <c r="M123" s="2322"/>
      <c r="N123" s="2322"/>
      <c r="O123" s="2322"/>
      <c r="P123" s="2322"/>
      <c r="Q123" s="2322"/>
      <c r="R123" s="2322"/>
      <c r="S123" s="2322"/>
      <c r="T123" s="2322"/>
      <c r="U123" s="2322"/>
      <c r="V123" s="2322"/>
      <c r="W123" s="2322"/>
      <c r="X123" s="2322"/>
      <c r="Y123" s="2322"/>
      <c r="Z123" s="2322"/>
      <c r="AA123" s="2322"/>
      <c r="AB123" s="2323"/>
      <c r="AC123" s="2252"/>
      <c r="AD123" s="2252"/>
      <c r="AE123" s="2252"/>
      <c r="AF123" s="2252"/>
    </row>
    <row r="124" spans="1:32">
      <c r="A124" s="2299"/>
      <c r="B124" s="2322"/>
      <c r="C124" s="2299"/>
      <c r="D124" s="2379"/>
      <c r="E124" s="2379"/>
      <c r="F124" s="2322"/>
      <c r="G124" s="2322"/>
      <c r="H124" s="2322"/>
      <c r="I124" s="2322"/>
      <c r="J124" s="2322"/>
      <c r="K124" s="2322"/>
      <c r="L124" s="2322"/>
      <c r="M124" s="2322"/>
      <c r="N124" s="2322"/>
      <c r="O124" s="2322"/>
      <c r="P124" s="2322"/>
      <c r="Q124" s="2322"/>
      <c r="R124" s="2322"/>
      <c r="S124" s="2322"/>
      <c r="T124" s="2322"/>
      <c r="U124" s="2322"/>
      <c r="V124" s="2322"/>
      <c r="W124" s="2322"/>
      <c r="X124" s="2322"/>
      <c r="Y124" s="2322"/>
      <c r="Z124" s="2322"/>
      <c r="AA124" s="2322"/>
      <c r="AB124" s="2323"/>
      <c r="AC124" s="2252"/>
      <c r="AD124" s="2252"/>
      <c r="AE124" s="2252"/>
      <c r="AF124" s="2252"/>
    </row>
    <row r="125" spans="1:32">
      <c r="A125" s="2299"/>
      <c r="B125" s="2322"/>
      <c r="C125" s="2299"/>
      <c r="D125" s="2379"/>
      <c r="E125" s="2379"/>
      <c r="F125" s="2322"/>
      <c r="G125" s="2322"/>
      <c r="H125" s="2322"/>
      <c r="I125" s="2322"/>
      <c r="J125" s="2322"/>
      <c r="K125" s="2322"/>
      <c r="L125" s="2322"/>
      <c r="M125" s="2322"/>
      <c r="N125" s="2322"/>
      <c r="O125" s="2322"/>
      <c r="P125" s="2322"/>
      <c r="Q125" s="2322"/>
      <c r="R125" s="2322"/>
      <c r="S125" s="2322"/>
      <c r="T125" s="2322"/>
      <c r="U125" s="2322"/>
      <c r="V125" s="2322"/>
      <c r="W125" s="2322"/>
      <c r="X125" s="2322"/>
      <c r="Y125" s="2322"/>
      <c r="Z125" s="2322"/>
      <c r="AA125" s="2322"/>
      <c r="AB125" s="2323"/>
      <c r="AC125" s="2252"/>
      <c r="AD125" s="2252"/>
      <c r="AE125" s="2252"/>
      <c r="AF125" s="2252"/>
    </row>
    <row r="126" spans="1:32">
      <c r="A126" s="2299"/>
      <c r="B126" s="2322"/>
      <c r="C126" s="2299"/>
      <c r="D126" s="2379"/>
      <c r="E126" s="2379"/>
      <c r="F126" s="2322"/>
      <c r="G126" s="2322"/>
      <c r="H126" s="2322"/>
      <c r="I126" s="2322"/>
      <c r="J126" s="2322"/>
      <c r="K126" s="2322"/>
      <c r="L126" s="2322"/>
      <c r="M126" s="2322"/>
      <c r="N126" s="2322"/>
      <c r="O126" s="2322"/>
      <c r="P126" s="2322"/>
      <c r="Q126" s="2322"/>
      <c r="R126" s="2322"/>
      <c r="S126" s="2322"/>
      <c r="T126" s="2322"/>
      <c r="U126" s="2322"/>
      <c r="V126" s="2322"/>
      <c r="W126" s="2322"/>
      <c r="X126" s="2322"/>
      <c r="Y126" s="2322"/>
      <c r="Z126" s="2322"/>
      <c r="AA126" s="2322"/>
      <c r="AB126" s="2323"/>
      <c r="AC126" s="2252"/>
      <c r="AD126" s="2252"/>
      <c r="AE126" s="2252"/>
      <c r="AF126" s="2252"/>
    </row>
    <row r="127" spans="1:32">
      <c r="A127" s="2299"/>
      <c r="B127" s="2322"/>
      <c r="C127" s="2299"/>
      <c r="D127" s="2379"/>
      <c r="E127" s="2379"/>
      <c r="F127" s="2322"/>
      <c r="G127" s="2322"/>
      <c r="H127" s="2322"/>
      <c r="I127" s="2322"/>
      <c r="J127" s="2322"/>
      <c r="K127" s="2322"/>
      <c r="L127" s="2322"/>
      <c r="M127" s="2322"/>
      <c r="N127" s="2322"/>
      <c r="O127" s="2322"/>
      <c r="P127" s="2322"/>
      <c r="Q127" s="2322"/>
      <c r="R127" s="2322"/>
      <c r="S127" s="2322"/>
      <c r="T127" s="2322"/>
      <c r="U127" s="2322"/>
      <c r="V127" s="2322"/>
      <c r="W127" s="2322"/>
      <c r="X127" s="2322"/>
      <c r="Y127" s="2322"/>
      <c r="Z127" s="2322"/>
      <c r="AA127" s="2322"/>
      <c r="AB127" s="2323"/>
      <c r="AC127" s="2252"/>
      <c r="AD127" s="2252"/>
      <c r="AE127" s="2252"/>
      <c r="AF127" s="2252"/>
    </row>
    <row r="128" spans="1:32">
      <c r="A128" s="2299"/>
      <c r="B128" s="2322"/>
      <c r="C128" s="2299"/>
      <c r="D128" s="2379"/>
      <c r="E128" s="2379"/>
      <c r="F128" s="2322"/>
      <c r="G128" s="2322"/>
      <c r="H128" s="2322"/>
      <c r="I128" s="2322"/>
      <c r="J128" s="2322"/>
      <c r="K128" s="2322"/>
      <c r="L128" s="2322"/>
      <c r="M128" s="2322"/>
      <c r="N128" s="2322"/>
      <c r="O128" s="2322"/>
      <c r="P128" s="2322"/>
      <c r="Q128" s="2322"/>
      <c r="R128" s="2322"/>
      <c r="S128" s="2322"/>
      <c r="T128" s="2322"/>
      <c r="U128" s="2322"/>
      <c r="V128" s="2322"/>
      <c r="W128" s="2322"/>
      <c r="X128" s="2322"/>
      <c r="Y128" s="2322"/>
      <c r="Z128" s="2322"/>
      <c r="AA128" s="2322"/>
      <c r="AB128" s="2323"/>
      <c r="AC128" s="2252"/>
      <c r="AD128" s="2252"/>
      <c r="AE128" s="2252"/>
      <c r="AF128" s="2252"/>
    </row>
    <row r="129" spans="1:32">
      <c r="A129" s="2299"/>
      <c r="B129" s="2322"/>
      <c r="C129" s="2299"/>
      <c r="D129" s="2379"/>
      <c r="E129" s="2379"/>
      <c r="F129" s="2322"/>
      <c r="G129" s="2322"/>
      <c r="H129" s="2322"/>
      <c r="I129" s="2322"/>
      <c r="J129" s="2322"/>
      <c r="K129" s="2322"/>
      <c r="L129" s="2322"/>
      <c r="M129" s="2322"/>
      <c r="N129" s="2322"/>
      <c r="O129" s="2322"/>
      <c r="P129" s="2322"/>
      <c r="Q129" s="2322"/>
      <c r="R129" s="2322"/>
      <c r="S129" s="2322"/>
      <c r="T129" s="2322"/>
      <c r="U129" s="2322"/>
      <c r="V129" s="2322"/>
      <c r="W129" s="2322"/>
      <c r="X129" s="2322"/>
      <c r="Y129" s="2322"/>
      <c r="Z129" s="2322"/>
      <c r="AA129" s="2322"/>
      <c r="AB129" s="2323"/>
      <c r="AC129" s="2252"/>
      <c r="AD129" s="2252"/>
      <c r="AE129" s="2252"/>
      <c r="AF129" s="2252"/>
    </row>
    <row r="130" spans="1:32">
      <c r="A130" s="2299"/>
      <c r="B130" s="2322"/>
      <c r="C130" s="2299"/>
      <c r="D130" s="2379"/>
      <c r="E130" s="2379"/>
      <c r="F130" s="2322"/>
      <c r="G130" s="2322"/>
      <c r="H130" s="2322"/>
      <c r="I130" s="2322"/>
      <c r="J130" s="2322"/>
      <c r="K130" s="2322"/>
      <c r="L130" s="2322"/>
      <c r="M130" s="2322"/>
      <c r="N130" s="2322"/>
      <c r="O130" s="2322"/>
      <c r="P130" s="2322"/>
      <c r="Q130" s="2322"/>
      <c r="R130" s="2322"/>
      <c r="S130" s="2322"/>
      <c r="T130" s="2322"/>
      <c r="U130" s="2322"/>
      <c r="V130" s="2322"/>
      <c r="W130" s="2322"/>
      <c r="X130" s="2322"/>
      <c r="Y130" s="2322"/>
      <c r="Z130" s="2322"/>
      <c r="AA130" s="2322"/>
      <c r="AB130" s="2323"/>
      <c r="AC130" s="2252"/>
      <c r="AD130" s="2252"/>
      <c r="AE130" s="2252"/>
      <c r="AF130" s="2252"/>
    </row>
    <row r="131" spans="1:32">
      <c r="A131" s="2299"/>
      <c r="B131" s="2322"/>
      <c r="C131" s="2299"/>
      <c r="D131" s="2379"/>
      <c r="E131" s="2379"/>
      <c r="F131" s="2322"/>
      <c r="G131" s="2322"/>
      <c r="H131" s="2322"/>
      <c r="I131" s="2322"/>
      <c r="J131" s="2322"/>
      <c r="K131" s="2322"/>
      <c r="L131" s="2322"/>
      <c r="M131" s="2322"/>
      <c r="N131" s="2322"/>
      <c r="O131" s="2322"/>
      <c r="P131" s="2322"/>
      <c r="Q131" s="2322"/>
      <c r="R131" s="2322"/>
      <c r="S131" s="2322"/>
      <c r="T131" s="2322"/>
      <c r="U131" s="2322"/>
      <c r="V131" s="2322"/>
      <c r="W131" s="2322"/>
      <c r="X131" s="2322"/>
      <c r="Y131" s="2322"/>
      <c r="Z131" s="2322"/>
      <c r="AA131" s="2322"/>
      <c r="AB131" s="2323"/>
      <c r="AC131" s="2252"/>
      <c r="AD131" s="2252"/>
      <c r="AE131" s="2252"/>
      <c r="AF131" s="2252"/>
    </row>
    <row r="132" spans="1:32">
      <c r="A132" s="2299"/>
      <c r="B132" s="2322"/>
      <c r="C132" s="2299"/>
      <c r="D132" s="2379"/>
      <c r="E132" s="2379"/>
      <c r="F132" s="2322"/>
      <c r="G132" s="2322"/>
      <c r="H132" s="2322"/>
      <c r="I132" s="2322"/>
      <c r="J132" s="2322"/>
      <c r="K132" s="2322"/>
      <c r="L132" s="2322"/>
      <c r="M132" s="2322"/>
      <c r="N132" s="2322"/>
      <c r="O132" s="2322"/>
      <c r="P132" s="2322"/>
      <c r="Q132" s="2322"/>
      <c r="R132" s="2322"/>
      <c r="S132" s="2322"/>
      <c r="T132" s="2322"/>
      <c r="U132" s="2322"/>
      <c r="V132" s="2322"/>
      <c r="W132" s="2322"/>
      <c r="X132" s="2322"/>
      <c r="Y132" s="2322"/>
      <c r="Z132" s="2322"/>
      <c r="AA132" s="2322"/>
      <c r="AB132" s="2323"/>
      <c r="AC132" s="2252"/>
      <c r="AD132" s="2252"/>
      <c r="AE132" s="2252"/>
      <c r="AF132" s="2252"/>
    </row>
    <row r="133" spans="1:32">
      <c r="A133" s="2299"/>
      <c r="B133" s="2322"/>
      <c r="C133" s="2299"/>
      <c r="D133" s="2379"/>
      <c r="E133" s="2379"/>
      <c r="F133" s="2322"/>
      <c r="G133" s="2322"/>
      <c r="H133" s="2322"/>
      <c r="I133" s="2322"/>
      <c r="J133" s="2322"/>
      <c r="K133" s="2322"/>
      <c r="L133" s="2322"/>
      <c r="M133" s="2322"/>
      <c r="N133" s="2322"/>
      <c r="O133" s="2322"/>
      <c r="P133" s="2322"/>
      <c r="Q133" s="2322"/>
      <c r="R133" s="2322"/>
      <c r="S133" s="2322"/>
      <c r="T133" s="2322"/>
      <c r="U133" s="2322"/>
      <c r="V133" s="2322"/>
      <c r="W133" s="2322"/>
      <c r="X133" s="2322"/>
      <c r="Y133" s="2322"/>
      <c r="Z133" s="2322"/>
      <c r="AA133" s="2322"/>
      <c r="AB133" s="2323"/>
      <c r="AC133" s="2252"/>
      <c r="AD133" s="2252"/>
      <c r="AE133" s="2252"/>
      <c r="AF133" s="2252"/>
    </row>
    <row r="134" spans="1:32">
      <c r="A134" s="2299"/>
      <c r="B134" s="2322"/>
      <c r="C134" s="2299"/>
      <c r="D134" s="2379"/>
      <c r="E134" s="2379"/>
      <c r="F134" s="2322"/>
      <c r="G134" s="2322"/>
      <c r="H134" s="2322"/>
      <c r="I134" s="2322"/>
      <c r="J134" s="2322"/>
      <c r="K134" s="2322"/>
      <c r="L134" s="2322"/>
      <c r="M134" s="2322"/>
      <c r="N134" s="2322"/>
      <c r="O134" s="2322"/>
      <c r="P134" s="2322"/>
      <c r="Q134" s="2322"/>
      <c r="R134" s="2322"/>
      <c r="S134" s="2322"/>
      <c r="T134" s="2322"/>
      <c r="U134" s="2322"/>
      <c r="V134" s="2322"/>
      <c r="W134" s="2322"/>
      <c r="X134" s="2322"/>
      <c r="Y134" s="2322"/>
      <c r="Z134" s="2322"/>
      <c r="AA134" s="2322"/>
      <c r="AB134" s="2323"/>
      <c r="AC134" s="2252"/>
      <c r="AD134" s="2252"/>
      <c r="AE134" s="2252"/>
      <c r="AF134" s="2252"/>
    </row>
    <row r="135" spans="1:32">
      <c r="A135" s="2299"/>
      <c r="B135" s="2322"/>
      <c r="C135" s="2299"/>
      <c r="D135" s="2379"/>
      <c r="E135" s="2379"/>
      <c r="F135" s="2322"/>
      <c r="G135" s="2322"/>
      <c r="H135" s="2322"/>
      <c r="I135" s="2322"/>
      <c r="J135" s="2322"/>
      <c r="K135" s="2322"/>
      <c r="L135" s="2322"/>
      <c r="M135" s="2322"/>
      <c r="N135" s="2322"/>
      <c r="O135" s="2322"/>
      <c r="P135" s="2322"/>
      <c r="Q135" s="2322"/>
      <c r="R135" s="2322"/>
      <c r="S135" s="2322"/>
      <c r="T135" s="2322"/>
      <c r="U135" s="2322"/>
      <c r="V135" s="2322"/>
      <c r="W135" s="2322"/>
      <c r="X135" s="2322"/>
      <c r="Y135" s="2322"/>
      <c r="Z135" s="2322"/>
      <c r="AA135" s="2322"/>
      <c r="AB135" s="2323"/>
      <c r="AC135" s="2252"/>
      <c r="AD135" s="2252"/>
      <c r="AE135" s="2252"/>
      <c r="AF135" s="2252"/>
    </row>
    <row r="136" spans="1:32">
      <c r="A136" s="2299"/>
      <c r="B136" s="2322"/>
      <c r="C136" s="2299"/>
      <c r="D136" s="2379"/>
      <c r="E136" s="2379"/>
      <c r="F136" s="2322"/>
      <c r="G136" s="2322"/>
      <c r="H136" s="2322"/>
      <c r="I136" s="2322"/>
      <c r="J136" s="2322"/>
      <c r="K136" s="2322"/>
      <c r="L136" s="2322"/>
      <c r="M136" s="2322"/>
      <c r="N136" s="2322"/>
      <c r="O136" s="2322"/>
      <c r="P136" s="2322"/>
      <c r="Q136" s="2322"/>
      <c r="R136" s="2322"/>
      <c r="S136" s="2322"/>
      <c r="T136" s="2322"/>
      <c r="U136" s="2322"/>
      <c r="V136" s="2322"/>
      <c r="W136" s="2322"/>
      <c r="X136" s="2322"/>
      <c r="Y136" s="2322"/>
      <c r="Z136" s="2322"/>
      <c r="AA136" s="2322"/>
      <c r="AB136" s="2323"/>
      <c r="AC136" s="2252"/>
      <c r="AD136" s="2252"/>
      <c r="AE136" s="2252"/>
      <c r="AF136" s="2252"/>
    </row>
    <row r="137" spans="1:32">
      <c r="A137" s="2299"/>
      <c r="B137" s="2322"/>
      <c r="C137" s="2299"/>
      <c r="D137" s="2379"/>
      <c r="E137" s="2379"/>
      <c r="F137" s="2322"/>
      <c r="G137" s="2322"/>
      <c r="H137" s="2322"/>
      <c r="I137" s="2322"/>
      <c r="J137" s="2322"/>
      <c r="K137" s="2322"/>
      <c r="L137" s="2322"/>
      <c r="M137" s="2322"/>
      <c r="N137" s="2322"/>
      <c r="O137" s="2322"/>
      <c r="P137" s="2322"/>
      <c r="Q137" s="2322"/>
      <c r="R137" s="2322"/>
      <c r="S137" s="2322"/>
      <c r="T137" s="2322"/>
      <c r="U137" s="2322"/>
      <c r="V137" s="2322"/>
      <c r="W137" s="2322"/>
      <c r="X137" s="2322"/>
      <c r="Y137" s="2322"/>
      <c r="Z137" s="2322"/>
      <c r="AA137" s="2322"/>
      <c r="AB137" s="2323"/>
      <c r="AC137" s="2252"/>
      <c r="AD137" s="2252"/>
      <c r="AE137" s="2252"/>
      <c r="AF137" s="2252"/>
    </row>
    <row r="138" spans="1:32">
      <c r="A138" s="2299"/>
      <c r="B138" s="2322"/>
      <c r="C138" s="2299"/>
      <c r="D138" s="2379"/>
      <c r="E138" s="2379"/>
      <c r="F138" s="2322"/>
      <c r="G138" s="2322"/>
      <c r="H138" s="2322"/>
      <c r="I138" s="2322"/>
      <c r="J138" s="2322"/>
      <c r="K138" s="2322"/>
      <c r="L138" s="2322"/>
      <c r="M138" s="2322"/>
      <c r="N138" s="2322"/>
      <c r="O138" s="2322"/>
      <c r="P138" s="2322"/>
      <c r="Q138" s="2322"/>
      <c r="R138" s="2322"/>
      <c r="S138" s="2322"/>
      <c r="T138" s="2322"/>
      <c r="U138" s="2322"/>
      <c r="V138" s="2322"/>
      <c r="W138" s="2322"/>
      <c r="X138" s="2322"/>
      <c r="Y138" s="2322"/>
      <c r="Z138" s="2322"/>
      <c r="AA138" s="2322"/>
      <c r="AB138" s="2323"/>
      <c r="AC138" s="2252"/>
      <c r="AD138" s="2252"/>
      <c r="AE138" s="2252"/>
      <c r="AF138" s="2252"/>
    </row>
    <row r="139" spans="1:32">
      <c r="A139" s="2299"/>
      <c r="B139" s="2322"/>
      <c r="C139" s="2299"/>
      <c r="D139" s="2379"/>
      <c r="E139" s="2379"/>
      <c r="F139" s="2322"/>
      <c r="G139" s="2322"/>
      <c r="H139" s="2322"/>
      <c r="I139" s="2322"/>
      <c r="J139" s="2322"/>
      <c r="K139" s="2322"/>
      <c r="L139" s="2322"/>
      <c r="M139" s="2322"/>
      <c r="N139" s="2322"/>
      <c r="O139" s="2322"/>
      <c r="P139" s="2322"/>
      <c r="Q139" s="2322"/>
      <c r="R139" s="2322"/>
      <c r="S139" s="2322"/>
      <c r="T139" s="2322"/>
      <c r="U139" s="2322"/>
      <c r="V139" s="2322"/>
      <c r="W139" s="2322"/>
      <c r="X139" s="2322"/>
      <c r="Y139" s="2322"/>
      <c r="Z139" s="2322"/>
      <c r="AA139" s="2322"/>
      <c r="AB139" s="2323"/>
      <c r="AC139" s="2252"/>
      <c r="AD139" s="2252"/>
      <c r="AE139" s="2252"/>
      <c r="AF139" s="2252"/>
    </row>
    <row r="140" spans="1:32">
      <c r="A140" s="2299"/>
      <c r="B140" s="2322"/>
      <c r="C140" s="2299"/>
      <c r="D140" s="2379"/>
      <c r="E140" s="2379"/>
      <c r="F140" s="2322"/>
      <c r="G140" s="2322"/>
      <c r="H140" s="2322"/>
      <c r="I140" s="2322"/>
      <c r="J140" s="2322"/>
      <c r="K140" s="2322"/>
      <c r="L140" s="2322"/>
      <c r="M140" s="2322"/>
      <c r="N140" s="2322"/>
      <c r="O140" s="2322"/>
      <c r="P140" s="2322"/>
      <c r="Q140" s="2322"/>
      <c r="R140" s="2322"/>
      <c r="S140" s="2322"/>
      <c r="T140" s="2322"/>
      <c r="U140" s="2322"/>
      <c r="V140" s="2322"/>
      <c r="W140" s="2322"/>
      <c r="X140" s="2322"/>
      <c r="Y140" s="2322"/>
      <c r="Z140" s="2322"/>
      <c r="AA140" s="2322"/>
      <c r="AB140" s="2323"/>
      <c r="AC140" s="2252"/>
      <c r="AD140" s="2252"/>
      <c r="AE140" s="2252"/>
      <c r="AF140" s="2252"/>
    </row>
    <row r="141" spans="1:32">
      <c r="A141" s="2299"/>
      <c r="B141" s="2322"/>
      <c r="C141" s="2299"/>
      <c r="D141" s="2379"/>
      <c r="E141" s="2379"/>
      <c r="F141" s="2322"/>
      <c r="G141" s="2322"/>
      <c r="H141" s="2322"/>
      <c r="I141" s="2322"/>
      <c r="J141" s="2322"/>
      <c r="K141" s="2322"/>
      <c r="L141" s="2322"/>
      <c r="M141" s="2322"/>
      <c r="N141" s="2322"/>
      <c r="O141" s="2322"/>
      <c r="P141" s="2322"/>
      <c r="Q141" s="2322"/>
      <c r="R141" s="2322"/>
      <c r="S141" s="2322"/>
      <c r="T141" s="2322"/>
      <c r="U141" s="2322"/>
      <c r="V141" s="2322"/>
      <c r="W141" s="2322"/>
      <c r="X141" s="2322"/>
      <c r="Y141" s="2322"/>
      <c r="Z141" s="2322"/>
      <c r="AA141" s="2322"/>
      <c r="AB141" s="2323"/>
      <c r="AC141" s="2252"/>
      <c r="AD141" s="2252"/>
      <c r="AE141" s="2252"/>
      <c r="AF141" s="2252"/>
    </row>
    <row r="142" spans="1:32">
      <c r="A142" s="2299"/>
      <c r="B142" s="2322"/>
      <c r="C142" s="2299"/>
      <c r="D142" s="2379"/>
      <c r="E142" s="2379"/>
      <c r="F142" s="2322"/>
      <c r="G142" s="2322"/>
      <c r="H142" s="2322"/>
      <c r="I142" s="2322"/>
      <c r="J142" s="2322"/>
      <c r="K142" s="2322"/>
      <c r="L142" s="2322"/>
      <c r="M142" s="2322"/>
      <c r="N142" s="2322"/>
      <c r="O142" s="2322"/>
      <c r="P142" s="2322"/>
      <c r="Q142" s="2322"/>
      <c r="R142" s="2322"/>
      <c r="S142" s="2322"/>
      <c r="T142" s="2322"/>
      <c r="U142" s="2322"/>
      <c r="V142" s="2322"/>
      <c r="W142" s="2322"/>
      <c r="X142" s="2322"/>
      <c r="Y142" s="2322"/>
      <c r="Z142" s="2322"/>
      <c r="AA142" s="2322"/>
      <c r="AB142" s="2323"/>
      <c r="AC142" s="2252"/>
      <c r="AD142" s="2252"/>
      <c r="AE142" s="2252"/>
      <c r="AF142" s="2252"/>
    </row>
    <row r="143" spans="1:32">
      <c r="A143" s="2299"/>
      <c r="B143" s="2322"/>
      <c r="C143" s="2299"/>
      <c r="D143" s="2379"/>
      <c r="E143" s="2379"/>
      <c r="F143" s="2322"/>
      <c r="G143" s="2322"/>
      <c r="H143" s="2322"/>
      <c r="I143" s="2322"/>
      <c r="J143" s="2322"/>
      <c r="K143" s="2322"/>
      <c r="L143" s="2322"/>
      <c r="M143" s="2322"/>
      <c r="N143" s="2322"/>
      <c r="O143" s="2322"/>
      <c r="P143" s="2322"/>
      <c r="Q143" s="2322"/>
      <c r="R143" s="2322"/>
      <c r="S143" s="2322"/>
      <c r="T143" s="2322"/>
      <c r="U143" s="2322"/>
      <c r="V143" s="2322"/>
      <c r="W143" s="2322"/>
      <c r="X143" s="2322"/>
      <c r="Y143" s="2322"/>
      <c r="Z143" s="2322"/>
      <c r="AA143" s="2322"/>
      <c r="AB143" s="2323"/>
      <c r="AC143" s="2252"/>
      <c r="AD143" s="2252"/>
      <c r="AE143" s="2252"/>
      <c r="AF143" s="2252"/>
    </row>
    <row r="144" spans="1:32">
      <c r="A144" s="2299"/>
      <c r="B144" s="2322"/>
      <c r="C144" s="2299"/>
      <c r="D144" s="2379"/>
      <c r="E144" s="2379"/>
      <c r="F144" s="2322"/>
      <c r="G144" s="2322"/>
      <c r="H144" s="2322"/>
      <c r="I144" s="2322"/>
      <c r="J144" s="2322"/>
      <c r="K144" s="2322"/>
      <c r="L144" s="2322"/>
      <c r="M144" s="2322"/>
      <c r="N144" s="2322"/>
      <c r="O144" s="2322"/>
      <c r="P144" s="2322"/>
      <c r="Q144" s="2322"/>
      <c r="R144" s="2322"/>
      <c r="S144" s="2322"/>
      <c r="T144" s="2322"/>
      <c r="U144" s="2322"/>
      <c r="V144" s="2322"/>
      <c r="W144" s="2322"/>
      <c r="X144" s="2322"/>
      <c r="Y144" s="2322"/>
      <c r="Z144" s="2322"/>
      <c r="AA144" s="2322"/>
      <c r="AB144" s="2323"/>
      <c r="AC144" s="2252"/>
      <c r="AD144" s="2252"/>
      <c r="AE144" s="2252"/>
      <c r="AF144" s="2252"/>
    </row>
    <row r="145" spans="1:32">
      <c r="A145" s="2299"/>
      <c r="B145" s="2322"/>
      <c r="C145" s="2299"/>
      <c r="D145" s="2379"/>
      <c r="E145" s="2379"/>
      <c r="F145" s="2322"/>
      <c r="G145" s="2322"/>
      <c r="H145" s="2322"/>
      <c r="I145" s="2322"/>
      <c r="J145" s="2322"/>
      <c r="K145" s="2322"/>
      <c r="L145" s="2322"/>
      <c r="M145" s="2322"/>
      <c r="N145" s="2322"/>
      <c r="O145" s="2322"/>
      <c r="P145" s="2322"/>
      <c r="Q145" s="2322"/>
      <c r="R145" s="2322"/>
      <c r="S145" s="2322"/>
      <c r="T145" s="2322"/>
      <c r="U145" s="2322"/>
      <c r="V145" s="2322"/>
      <c r="W145" s="2322"/>
      <c r="X145" s="2322"/>
      <c r="Y145" s="2322"/>
      <c r="Z145" s="2322"/>
      <c r="AA145" s="2322"/>
      <c r="AB145" s="2323"/>
      <c r="AC145" s="2252"/>
      <c r="AD145" s="2252"/>
      <c r="AE145" s="2252"/>
      <c r="AF145" s="2252"/>
    </row>
    <row r="146" spans="1:32">
      <c r="A146" s="2299"/>
      <c r="B146" s="2322"/>
      <c r="C146" s="2299"/>
      <c r="D146" s="2379"/>
      <c r="E146" s="2379"/>
      <c r="F146" s="2322"/>
      <c r="G146" s="2322"/>
      <c r="H146" s="2322"/>
      <c r="I146" s="2322"/>
      <c r="J146" s="2322"/>
      <c r="K146" s="2322"/>
      <c r="L146" s="2322"/>
      <c r="M146" s="2322"/>
      <c r="N146" s="2322"/>
      <c r="O146" s="2322"/>
      <c r="P146" s="2322"/>
      <c r="Q146" s="2322"/>
      <c r="R146" s="2322"/>
      <c r="S146" s="2322"/>
      <c r="T146" s="2322"/>
      <c r="U146" s="2322"/>
      <c r="V146" s="2322"/>
      <c r="W146" s="2322"/>
      <c r="X146" s="2322"/>
      <c r="Y146" s="2322"/>
      <c r="Z146" s="2322"/>
      <c r="AA146" s="2322"/>
      <c r="AB146" s="2323"/>
      <c r="AC146" s="2252"/>
      <c r="AD146" s="2252"/>
      <c r="AE146" s="2252"/>
      <c r="AF146" s="2252"/>
    </row>
    <row r="147" spans="1:32">
      <c r="A147" s="2299"/>
      <c r="B147" s="2322"/>
      <c r="C147" s="2299"/>
      <c r="D147" s="2379"/>
      <c r="E147" s="2379"/>
      <c r="F147" s="2322"/>
      <c r="G147" s="2322"/>
      <c r="H147" s="2322"/>
      <c r="I147" s="2322"/>
      <c r="J147" s="2322"/>
      <c r="K147" s="2322"/>
      <c r="L147" s="2322"/>
      <c r="M147" s="2322"/>
      <c r="N147" s="2322"/>
      <c r="O147" s="2322"/>
      <c r="P147" s="2322"/>
      <c r="Q147" s="2322"/>
      <c r="R147" s="2322"/>
      <c r="S147" s="2322"/>
      <c r="T147" s="2322"/>
      <c r="U147" s="2322"/>
      <c r="V147" s="2322"/>
      <c r="W147" s="2322"/>
      <c r="X147" s="2322"/>
      <c r="Y147" s="2322"/>
      <c r="Z147" s="2322"/>
      <c r="AA147" s="2322"/>
      <c r="AB147" s="2323"/>
      <c r="AC147" s="2252"/>
      <c r="AD147" s="2252"/>
      <c r="AE147" s="2252"/>
      <c r="AF147" s="2252"/>
    </row>
    <row r="148" spans="1:32">
      <c r="A148" s="2299"/>
      <c r="B148" s="2322"/>
      <c r="C148" s="2299"/>
      <c r="D148" s="2379"/>
      <c r="E148" s="2379"/>
      <c r="F148" s="2322"/>
      <c r="G148" s="2322"/>
      <c r="H148" s="2322"/>
      <c r="I148" s="2322"/>
      <c r="J148" s="2322"/>
      <c r="K148" s="2322"/>
      <c r="L148" s="2322"/>
      <c r="M148" s="2322"/>
      <c r="N148" s="2322"/>
      <c r="O148" s="2322"/>
      <c r="P148" s="2322"/>
      <c r="Q148" s="2322"/>
      <c r="R148" s="2322"/>
      <c r="S148" s="2322"/>
      <c r="T148" s="2322"/>
      <c r="U148" s="2322"/>
      <c r="V148" s="2322"/>
      <c r="W148" s="2322"/>
      <c r="X148" s="2322"/>
      <c r="Y148" s="2322"/>
      <c r="Z148" s="2322"/>
      <c r="AA148" s="2322"/>
      <c r="AB148" s="2323"/>
      <c r="AC148" s="2252"/>
      <c r="AD148" s="2252"/>
      <c r="AE148" s="2252"/>
      <c r="AF148" s="2252"/>
    </row>
    <row r="149" spans="1:32">
      <c r="A149" s="2299"/>
      <c r="B149" s="2322"/>
      <c r="C149" s="2299"/>
      <c r="D149" s="2379"/>
      <c r="E149" s="2379"/>
      <c r="F149" s="2322"/>
      <c r="G149" s="2322"/>
      <c r="H149" s="2322"/>
      <c r="I149" s="2322"/>
      <c r="J149" s="2322"/>
      <c r="K149" s="2322"/>
      <c r="L149" s="2322"/>
      <c r="M149" s="2322"/>
      <c r="N149" s="2322"/>
      <c r="O149" s="2322"/>
      <c r="P149" s="2322"/>
      <c r="Q149" s="2322"/>
      <c r="R149" s="2322"/>
      <c r="S149" s="2322"/>
      <c r="T149" s="2322"/>
      <c r="U149" s="2322"/>
      <c r="V149" s="2322"/>
      <c r="W149" s="2322"/>
      <c r="X149" s="2322"/>
      <c r="Y149" s="2322"/>
      <c r="Z149" s="2322"/>
      <c r="AA149" s="2322"/>
      <c r="AB149" s="2323"/>
      <c r="AC149" s="2252"/>
      <c r="AD149" s="2252"/>
      <c r="AE149" s="2252"/>
      <c r="AF149" s="2252"/>
    </row>
    <row r="150" spans="1:32">
      <c r="A150" s="2299"/>
      <c r="B150" s="2322"/>
      <c r="C150" s="2299"/>
      <c r="D150" s="2379"/>
      <c r="E150" s="2379"/>
      <c r="F150" s="2322"/>
      <c r="G150" s="2322"/>
      <c r="H150" s="2322"/>
      <c r="I150" s="2322"/>
      <c r="J150" s="2322"/>
      <c r="K150" s="2322"/>
      <c r="L150" s="2322"/>
      <c r="M150" s="2322"/>
      <c r="N150" s="2322"/>
      <c r="O150" s="2322"/>
      <c r="P150" s="2322"/>
      <c r="Q150" s="2322"/>
      <c r="R150" s="2322"/>
      <c r="S150" s="2322"/>
      <c r="T150" s="2322"/>
      <c r="U150" s="2322"/>
      <c r="V150" s="2322"/>
      <c r="W150" s="2322"/>
      <c r="X150" s="2322"/>
      <c r="Y150" s="2322"/>
      <c r="Z150" s="2322"/>
      <c r="AA150" s="2322"/>
      <c r="AB150" s="2323"/>
      <c r="AC150" s="2252"/>
      <c r="AD150" s="2252"/>
      <c r="AE150" s="2252"/>
      <c r="AF150" s="2252"/>
    </row>
    <row r="151" spans="1:32">
      <c r="A151" s="2299"/>
      <c r="B151" s="2322"/>
      <c r="C151" s="2299"/>
      <c r="D151" s="2379"/>
      <c r="E151" s="2379"/>
      <c r="F151" s="2322"/>
      <c r="G151" s="2322"/>
      <c r="H151" s="2322"/>
      <c r="I151" s="2322"/>
      <c r="J151" s="2322"/>
      <c r="K151" s="2322"/>
      <c r="L151" s="2322"/>
      <c r="M151" s="2322"/>
      <c r="N151" s="2322"/>
      <c r="O151" s="2322"/>
      <c r="P151" s="2322"/>
      <c r="Q151" s="2322"/>
      <c r="R151" s="2322"/>
      <c r="S151" s="2322"/>
      <c r="T151" s="2322"/>
      <c r="U151" s="2322"/>
      <c r="V151" s="2322"/>
      <c r="W151" s="2322"/>
      <c r="X151" s="2322"/>
      <c r="Y151" s="2322"/>
      <c r="Z151" s="2322"/>
      <c r="AA151" s="2322"/>
      <c r="AB151" s="2323"/>
      <c r="AC151" s="2252"/>
      <c r="AD151" s="2252"/>
      <c r="AE151" s="2252"/>
      <c r="AF151" s="2252"/>
    </row>
    <row r="152" spans="1:32">
      <c r="A152" s="2299"/>
      <c r="B152" s="2322"/>
      <c r="C152" s="2299"/>
      <c r="D152" s="2379"/>
      <c r="E152" s="2379"/>
      <c r="F152" s="2322"/>
      <c r="G152" s="2322"/>
      <c r="H152" s="2322"/>
      <c r="I152" s="2322"/>
      <c r="J152" s="2322"/>
      <c r="K152" s="2322"/>
      <c r="L152" s="2322"/>
      <c r="M152" s="2322"/>
      <c r="N152" s="2322"/>
      <c r="O152" s="2322"/>
      <c r="P152" s="2322"/>
      <c r="Q152" s="2322"/>
      <c r="R152" s="2322"/>
      <c r="S152" s="2322"/>
      <c r="T152" s="2322"/>
      <c r="U152" s="2322"/>
      <c r="V152" s="2322"/>
      <c r="W152" s="2322"/>
      <c r="X152" s="2322"/>
      <c r="Y152" s="2322"/>
      <c r="Z152" s="2322"/>
      <c r="AA152" s="2322"/>
      <c r="AB152" s="2323"/>
      <c r="AC152" s="2252"/>
      <c r="AD152" s="2252"/>
      <c r="AE152" s="2252"/>
      <c r="AF152" s="2252"/>
    </row>
    <row r="153" spans="1:32">
      <c r="A153" s="2299"/>
      <c r="B153" s="2322"/>
      <c r="C153" s="2299"/>
      <c r="D153" s="2379"/>
      <c r="E153" s="2379"/>
      <c r="F153" s="2322"/>
      <c r="G153" s="2322"/>
      <c r="H153" s="2322"/>
      <c r="I153" s="2322"/>
      <c r="J153" s="2322"/>
      <c r="K153" s="2322"/>
      <c r="L153" s="2322"/>
      <c r="M153" s="2322"/>
      <c r="N153" s="2322"/>
      <c r="O153" s="2322"/>
      <c r="P153" s="2322"/>
      <c r="Q153" s="2322"/>
      <c r="R153" s="2322"/>
      <c r="S153" s="2322"/>
      <c r="T153" s="2322"/>
      <c r="U153" s="2322"/>
      <c r="V153" s="2322"/>
      <c r="W153" s="2322"/>
      <c r="X153" s="2322"/>
      <c r="Y153" s="2322"/>
      <c r="Z153" s="2322"/>
      <c r="AA153" s="2322"/>
      <c r="AB153" s="2323"/>
      <c r="AC153" s="2252"/>
      <c r="AD153" s="2252"/>
      <c r="AE153" s="2252"/>
      <c r="AF153" s="2252"/>
    </row>
    <row r="154" spans="1:32">
      <c r="A154" s="2299"/>
      <c r="B154" s="2322"/>
      <c r="C154" s="2299"/>
      <c r="D154" s="2379"/>
      <c r="E154" s="2379"/>
      <c r="F154" s="2322"/>
      <c r="G154" s="2322"/>
      <c r="H154" s="2322"/>
      <c r="I154" s="2322"/>
      <c r="J154" s="2322"/>
      <c r="K154" s="2322"/>
      <c r="L154" s="2322"/>
      <c r="M154" s="2322"/>
      <c r="N154" s="2322"/>
      <c r="O154" s="2322"/>
      <c r="P154" s="2322"/>
      <c r="Q154" s="2322"/>
      <c r="R154" s="2322"/>
      <c r="S154" s="2322"/>
      <c r="T154" s="2322"/>
      <c r="U154" s="2322"/>
      <c r="V154" s="2322"/>
      <c r="W154" s="2322"/>
      <c r="X154" s="2322"/>
      <c r="Y154" s="2322"/>
      <c r="Z154" s="2322"/>
      <c r="AA154" s="2322"/>
      <c r="AB154" s="2323"/>
      <c r="AC154" s="2252"/>
      <c r="AD154" s="2252"/>
      <c r="AE154" s="2252"/>
      <c r="AF154" s="2252"/>
    </row>
    <row r="155" spans="1:32">
      <c r="A155" s="2299"/>
      <c r="B155" s="2322"/>
      <c r="C155" s="2299"/>
      <c r="D155" s="2379"/>
      <c r="E155" s="2379"/>
      <c r="F155" s="2322"/>
      <c r="G155" s="2322"/>
      <c r="H155" s="2322"/>
      <c r="I155" s="2322"/>
      <c r="J155" s="2322"/>
      <c r="K155" s="2322"/>
      <c r="L155" s="2322"/>
      <c r="M155" s="2322"/>
      <c r="N155" s="2322"/>
      <c r="O155" s="2322"/>
      <c r="P155" s="2322"/>
      <c r="Q155" s="2322"/>
      <c r="R155" s="2322"/>
      <c r="S155" s="2322"/>
      <c r="T155" s="2322"/>
      <c r="U155" s="2322"/>
      <c r="V155" s="2322"/>
      <c r="W155" s="2322"/>
      <c r="X155" s="2322"/>
      <c r="Y155" s="2322"/>
      <c r="Z155" s="2322"/>
      <c r="AA155" s="2322"/>
      <c r="AB155" s="2323"/>
      <c r="AC155" s="2252"/>
      <c r="AD155" s="2252"/>
      <c r="AE155" s="2252"/>
      <c r="AF155" s="2252"/>
    </row>
    <row r="156" spans="1:32">
      <c r="A156" s="2299"/>
      <c r="B156" s="2322"/>
      <c r="C156" s="2299"/>
      <c r="D156" s="2379"/>
      <c r="E156" s="2379"/>
      <c r="F156" s="2322"/>
      <c r="G156" s="2322"/>
      <c r="H156" s="2322"/>
      <c r="I156" s="2322"/>
      <c r="J156" s="2322"/>
      <c r="K156" s="2322"/>
      <c r="L156" s="2322"/>
      <c r="M156" s="2322"/>
      <c r="N156" s="2322"/>
      <c r="O156" s="2322"/>
      <c r="P156" s="2322"/>
      <c r="Q156" s="2322"/>
      <c r="R156" s="2322"/>
      <c r="S156" s="2322"/>
      <c r="T156" s="2322"/>
      <c r="U156" s="2322"/>
      <c r="V156" s="2322"/>
      <c r="W156" s="2322"/>
      <c r="X156" s="2322"/>
      <c r="Y156" s="2322"/>
      <c r="Z156" s="2322"/>
      <c r="AA156" s="2322"/>
      <c r="AB156" s="2323"/>
      <c r="AC156" s="2252"/>
      <c r="AD156" s="2252"/>
      <c r="AE156" s="2252"/>
      <c r="AF156" s="2252"/>
    </row>
    <row r="157" spans="1:32">
      <c r="A157" s="2299"/>
      <c r="B157" s="2322"/>
      <c r="C157" s="2299"/>
      <c r="D157" s="2379"/>
      <c r="E157" s="2379"/>
      <c r="F157" s="2322"/>
      <c r="G157" s="2322"/>
      <c r="H157" s="2322"/>
      <c r="I157" s="2322"/>
      <c r="J157" s="2322"/>
      <c r="K157" s="2322"/>
      <c r="L157" s="2322"/>
      <c r="M157" s="2322"/>
      <c r="N157" s="2322"/>
      <c r="O157" s="2322"/>
      <c r="P157" s="2322"/>
      <c r="Q157" s="2322"/>
      <c r="R157" s="2322"/>
      <c r="S157" s="2322"/>
      <c r="T157" s="2322"/>
      <c r="U157" s="2322"/>
      <c r="V157" s="2322"/>
      <c r="W157" s="2322"/>
      <c r="X157" s="2322"/>
      <c r="Y157" s="2322"/>
      <c r="Z157" s="2322"/>
      <c r="AA157" s="2322"/>
      <c r="AB157" s="2323"/>
      <c r="AC157" s="2252"/>
      <c r="AD157" s="2252"/>
      <c r="AE157" s="2252"/>
      <c r="AF157" s="2252"/>
    </row>
    <row r="158" spans="1:32">
      <c r="A158" s="2299"/>
      <c r="B158" s="2322"/>
      <c r="C158" s="2299"/>
      <c r="D158" s="2379"/>
      <c r="E158" s="2379"/>
      <c r="F158" s="2322"/>
      <c r="G158" s="2322"/>
      <c r="H158" s="2322"/>
      <c r="I158" s="2322"/>
      <c r="J158" s="2322"/>
      <c r="K158" s="2322"/>
      <c r="L158" s="2322"/>
      <c r="M158" s="2322"/>
      <c r="N158" s="2322"/>
      <c r="O158" s="2322"/>
      <c r="P158" s="2322"/>
      <c r="Q158" s="2322"/>
      <c r="R158" s="2322"/>
      <c r="S158" s="2322"/>
      <c r="T158" s="2322"/>
      <c r="U158" s="2322"/>
      <c r="V158" s="2322"/>
      <c r="W158" s="2322"/>
      <c r="X158" s="2322"/>
      <c r="Y158" s="2322"/>
      <c r="Z158" s="2322"/>
      <c r="AA158" s="2322"/>
      <c r="AB158" s="2323"/>
      <c r="AC158" s="2252"/>
      <c r="AD158" s="2252"/>
      <c r="AE158" s="2252"/>
      <c r="AF158" s="2252"/>
    </row>
    <row r="159" spans="1:32">
      <c r="A159" s="2299"/>
      <c r="B159" s="2322"/>
      <c r="C159" s="2299"/>
      <c r="D159" s="2379"/>
      <c r="E159" s="2379"/>
      <c r="F159" s="2322"/>
      <c r="G159" s="2322"/>
      <c r="H159" s="2322"/>
      <c r="I159" s="2322"/>
      <c r="J159" s="2322"/>
      <c r="K159" s="2322"/>
      <c r="L159" s="2322"/>
      <c r="M159" s="2322"/>
      <c r="N159" s="2322"/>
      <c r="O159" s="2322"/>
      <c r="P159" s="2322"/>
      <c r="Q159" s="2322"/>
      <c r="R159" s="2322"/>
      <c r="S159" s="2322"/>
      <c r="T159" s="2322"/>
      <c r="U159" s="2322"/>
      <c r="V159" s="2322"/>
      <c r="W159" s="2322"/>
      <c r="X159" s="2322"/>
      <c r="Y159" s="2322"/>
      <c r="Z159" s="2322"/>
      <c r="AA159" s="2322"/>
      <c r="AB159" s="2323"/>
      <c r="AC159" s="2252"/>
      <c r="AD159" s="2252"/>
      <c r="AE159" s="2252"/>
      <c r="AF159" s="2252"/>
    </row>
    <row r="160" spans="1:32">
      <c r="A160" s="2299"/>
      <c r="B160" s="2322"/>
      <c r="C160" s="2299"/>
      <c r="D160" s="2379"/>
      <c r="E160" s="2379"/>
      <c r="F160" s="2322"/>
      <c r="G160" s="2322"/>
      <c r="H160" s="2322"/>
      <c r="I160" s="2322"/>
      <c r="J160" s="2322"/>
      <c r="K160" s="2322"/>
      <c r="L160" s="2322"/>
      <c r="M160" s="2322"/>
      <c r="N160" s="2322"/>
      <c r="O160" s="2322"/>
      <c r="P160" s="2322"/>
      <c r="Q160" s="2322"/>
      <c r="R160" s="2322"/>
      <c r="S160" s="2322"/>
      <c r="T160" s="2322"/>
      <c r="U160" s="2322"/>
      <c r="V160" s="2322"/>
      <c r="W160" s="2322"/>
      <c r="X160" s="2322"/>
      <c r="Y160" s="2322"/>
      <c r="Z160" s="2322"/>
      <c r="AA160" s="2322"/>
      <c r="AB160" s="2323"/>
      <c r="AC160" s="2252"/>
      <c r="AD160" s="2252"/>
      <c r="AE160" s="2252"/>
      <c r="AF160" s="2252"/>
    </row>
    <row r="161" spans="1:32">
      <c r="A161" s="2299"/>
      <c r="B161" s="2322"/>
      <c r="C161" s="2299"/>
      <c r="D161" s="2379"/>
      <c r="E161" s="2379"/>
      <c r="F161" s="2322"/>
      <c r="G161" s="2322"/>
      <c r="H161" s="2322"/>
      <c r="I161" s="2322"/>
      <c r="J161" s="2322"/>
      <c r="K161" s="2322"/>
      <c r="L161" s="2322"/>
      <c r="M161" s="2322"/>
      <c r="N161" s="2322"/>
      <c r="O161" s="2322"/>
      <c r="P161" s="2322"/>
      <c r="Q161" s="2322"/>
      <c r="R161" s="2322"/>
      <c r="S161" s="2322"/>
      <c r="T161" s="2322"/>
      <c r="U161" s="2322"/>
      <c r="V161" s="2322"/>
      <c r="W161" s="2322"/>
      <c r="X161" s="2322"/>
      <c r="Y161" s="2322"/>
      <c r="Z161" s="2322"/>
      <c r="AA161" s="2322"/>
      <c r="AB161" s="2323"/>
      <c r="AC161" s="2252"/>
      <c r="AD161" s="2252"/>
      <c r="AE161" s="2252"/>
      <c r="AF161" s="2252"/>
    </row>
    <row r="162" spans="1:32">
      <c r="A162" s="2299"/>
      <c r="B162" s="2322"/>
      <c r="C162" s="2299"/>
      <c r="D162" s="2379"/>
      <c r="E162" s="2379"/>
      <c r="F162" s="2322"/>
      <c r="G162" s="2322"/>
      <c r="H162" s="2322"/>
      <c r="I162" s="2322"/>
      <c r="J162" s="2322"/>
      <c r="K162" s="2322"/>
      <c r="L162" s="2322"/>
      <c r="M162" s="2322"/>
      <c r="N162" s="2322"/>
      <c r="O162" s="2322"/>
      <c r="P162" s="2322"/>
      <c r="Q162" s="2322"/>
      <c r="R162" s="2322"/>
      <c r="S162" s="2322"/>
      <c r="T162" s="2322"/>
      <c r="U162" s="2322"/>
      <c r="V162" s="2322"/>
      <c r="W162" s="2322"/>
      <c r="X162" s="2322"/>
      <c r="Y162" s="2322"/>
      <c r="Z162" s="2322"/>
      <c r="AA162" s="2322"/>
      <c r="AB162" s="2323"/>
      <c r="AC162" s="2252"/>
      <c r="AD162" s="2252"/>
      <c r="AE162" s="2252"/>
      <c r="AF162" s="2252"/>
    </row>
    <row r="163" spans="1:32">
      <c r="A163" s="2299"/>
      <c r="B163" s="2322"/>
      <c r="C163" s="2299"/>
      <c r="D163" s="2379"/>
      <c r="E163" s="2379"/>
      <c r="F163" s="2322"/>
      <c r="G163" s="2322"/>
      <c r="H163" s="2322"/>
      <c r="I163" s="2322"/>
      <c r="J163" s="2322"/>
      <c r="K163" s="2322"/>
      <c r="L163" s="2322"/>
      <c r="M163" s="2322"/>
      <c r="N163" s="2322"/>
      <c r="O163" s="2322"/>
      <c r="P163" s="2322"/>
      <c r="Q163" s="2322"/>
      <c r="R163" s="2322"/>
      <c r="S163" s="2322"/>
      <c r="T163" s="2322"/>
      <c r="U163" s="2322"/>
      <c r="V163" s="2322"/>
      <c r="W163" s="2322"/>
      <c r="X163" s="2322"/>
      <c r="Y163" s="2322"/>
      <c r="Z163" s="2322"/>
      <c r="AA163" s="2322"/>
      <c r="AB163" s="2323"/>
      <c r="AC163" s="2252"/>
      <c r="AD163" s="2252"/>
      <c r="AE163" s="2252"/>
      <c r="AF163" s="2252"/>
    </row>
    <row r="164" spans="1:32">
      <c r="B164" s="2252"/>
      <c r="C164" s="2254"/>
      <c r="D164" s="2380"/>
      <c r="E164" s="2380"/>
      <c r="F164" s="2252"/>
      <c r="G164" s="2252"/>
      <c r="H164" s="2252"/>
      <c r="I164" s="2252"/>
      <c r="J164" s="2252"/>
      <c r="K164" s="2252"/>
      <c r="L164" s="2252"/>
      <c r="M164" s="2252"/>
      <c r="N164" s="2252"/>
      <c r="O164" s="2252"/>
      <c r="P164" s="2252"/>
      <c r="Q164" s="2252"/>
      <c r="R164" s="2252"/>
      <c r="S164" s="2252"/>
      <c r="T164" s="2252"/>
      <c r="U164" s="2252"/>
      <c r="V164" s="2252"/>
      <c r="W164" s="2252"/>
      <c r="X164" s="2252"/>
      <c r="Y164" s="2252"/>
      <c r="Z164" s="2252"/>
      <c r="AA164" s="2252"/>
      <c r="AB164" s="2255"/>
      <c r="AC164" s="2252"/>
      <c r="AD164" s="2252"/>
      <c r="AE164" s="2252"/>
      <c r="AF164" s="2252"/>
    </row>
    <row r="165" spans="1:32">
      <c r="B165" s="2252"/>
      <c r="C165" s="2254"/>
      <c r="D165" s="2380"/>
      <c r="E165" s="2380"/>
      <c r="F165" s="2252"/>
      <c r="G165" s="2252"/>
      <c r="H165" s="2252"/>
      <c r="I165" s="2252"/>
      <c r="J165" s="2252"/>
      <c r="K165" s="2252"/>
      <c r="L165" s="2252"/>
      <c r="M165" s="2252"/>
      <c r="N165" s="2252"/>
      <c r="O165" s="2252"/>
      <c r="P165" s="2252"/>
      <c r="Q165" s="2252"/>
      <c r="R165" s="2252"/>
      <c r="S165" s="2252"/>
      <c r="T165" s="2252"/>
      <c r="U165" s="2252"/>
      <c r="V165" s="2252"/>
      <c r="W165" s="2252"/>
      <c r="X165" s="2252"/>
      <c r="Y165" s="2252"/>
      <c r="Z165" s="2252"/>
      <c r="AA165" s="2252"/>
      <c r="AB165" s="2255"/>
      <c r="AC165" s="2252"/>
      <c r="AD165" s="2252"/>
      <c r="AE165" s="2252"/>
      <c r="AF165" s="2252"/>
    </row>
    <row r="166" spans="1:32">
      <c r="B166" s="2252"/>
      <c r="C166" s="2254"/>
      <c r="D166" s="2380"/>
      <c r="E166" s="2380"/>
      <c r="F166" s="2252"/>
      <c r="G166" s="2252"/>
      <c r="H166" s="2252"/>
      <c r="I166" s="2252"/>
      <c r="J166" s="2252"/>
      <c r="K166" s="2252"/>
      <c r="L166" s="2252"/>
      <c r="M166" s="2252"/>
      <c r="N166" s="2252"/>
      <c r="O166" s="2252"/>
      <c r="P166" s="2252"/>
      <c r="Q166" s="2252"/>
      <c r="R166" s="2252"/>
      <c r="S166" s="2252"/>
      <c r="T166" s="2252"/>
      <c r="U166" s="2252"/>
      <c r="V166" s="2252"/>
      <c r="W166" s="2252"/>
      <c r="X166" s="2252"/>
      <c r="Y166" s="2252"/>
      <c r="Z166" s="2252"/>
      <c r="AA166" s="2252"/>
      <c r="AB166" s="2255"/>
      <c r="AC166" s="2252"/>
      <c r="AD166" s="2252"/>
      <c r="AE166" s="2252"/>
      <c r="AF166" s="2252"/>
    </row>
    <row r="167" spans="1:32">
      <c r="B167" s="2252"/>
      <c r="C167" s="2254"/>
      <c r="D167" s="2380"/>
      <c r="E167" s="2380"/>
      <c r="F167" s="2252"/>
      <c r="G167" s="2252"/>
      <c r="H167" s="2252"/>
      <c r="I167" s="2252"/>
      <c r="J167" s="2252"/>
      <c r="K167" s="2252"/>
      <c r="L167" s="2252"/>
      <c r="M167" s="2252"/>
      <c r="N167" s="2252"/>
      <c r="O167" s="2252"/>
      <c r="P167" s="2252"/>
      <c r="Q167" s="2252"/>
      <c r="R167" s="2252"/>
      <c r="S167" s="2252"/>
      <c r="T167" s="2252"/>
      <c r="U167" s="2252"/>
      <c r="V167" s="2252"/>
      <c r="W167" s="2252"/>
      <c r="X167" s="2252"/>
      <c r="Y167" s="2252"/>
      <c r="Z167" s="2252"/>
      <c r="AA167" s="2252"/>
      <c r="AB167" s="2255"/>
      <c r="AC167" s="2252"/>
      <c r="AD167" s="2252"/>
      <c r="AE167" s="2252"/>
      <c r="AF167" s="2252"/>
    </row>
    <row r="168" spans="1:32">
      <c r="B168" s="2252"/>
      <c r="C168" s="2254"/>
      <c r="D168" s="2380"/>
      <c r="E168" s="2380"/>
      <c r="F168" s="2252"/>
      <c r="G168" s="2252"/>
      <c r="H168" s="2252"/>
      <c r="I168" s="2252"/>
      <c r="J168" s="2252"/>
      <c r="K168" s="2252"/>
      <c r="L168" s="2252"/>
      <c r="M168" s="2252"/>
      <c r="N168" s="2252"/>
      <c r="O168" s="2252"/>
      <c r="P168" s="2252"/>
      <c r="Q168" s="2252"/>
      <c r="R168" s="2252"/>
      <c r="S168" s="2252"/>
      <c r="T168" s="2252"/>
      <c r="U168" s="2252"/>
      <c r="V168" s="2252"/>
      <c r="W168" s="2252"/>
      <c r="X168" s="2252"/>
      <c r="Y168" s="2252"/>
      <c r="Z168" s="2252"/>
      <c r="AA168" s="2252"/>
      <c r="AB168" s="2255"/>
      <c r="AC168" s="2252"/>
      <c r="AD168" s="2252"/>
      <c r="AE168" s="2252"/>
      <c r="AF168" s="2252"/>
    </row>
    <row r="169" spans="1:32">
      <c r="B169" s="2252"/>
      <c r="C169" s="2254"/>
      <c r="D169" s="2380"/>
      <c r="E169" s="2380"/>
      <c r="F169" s="2252"/>
      <c r="G169" s="2252"/>
      <c r="H169" s="2252"/>
      <c r="I169" s="2252"/>
      <c r="J169" s="2252"/>
      <c r="K169" s="2252"/>
      <c r="L169" s="2252"/>
      <c r="M169" s="2252"/>
      <c r="N169" s="2252"/>
      <c r="O169" s="2252"/>
      <c r="P169" s="2252"/>
      <c r="Q169" s="2252"/>
      <c r="R169" s="2252"/>
      <c r="S169" s="2252"/>
      <c r="T169" s="2252"/>
      <c r="U169" s="2252"/>
      <c r="V169" s="2252"/>
      <c r="W169" s="2252"/>
      <c r="X169" s="2252"/>
      <c r="Y169" s="2252"/>
      <c r="Z169" s="2252"/>
      <c r="AA169" s="2252"/>
      <c r="AB169" s="2255"/>
      <c r="AC169" s="2252"/>
      <c r="AD169" s="2252"/>
      <c r="AE169" s="2252"/>
      <c r="AF169" s="2252"/>
    </row>
    <row r="170" spans="1:32">
      <c r="B170" s="2252"/>
      <c r="C170" s="2254"/>
      <c r="D170" s="2380"/>
      <c r="E170" s="2380"/>
      <c r="F170" s="2252"/>
      <c r="G170" s="2252"/>
      <c r="H170" s="2252"/>
      <c r="I170" s="2252"/>
      <c r="J170" s="2252"/>
      <c r="K170" s="2252"/>
      <c r="L170" s="2252"/>
      <c r="M170" s="2252"/>
      <c r="N170" s="2252"/>
      <c r="O170" s="2252"/>
      <c r="P170" s="2252"/>
      <c r="Q170" s="2252"/>
      <c r="R170" s="2252"/>
      <c r="S170" s="2252"/>
      <c r="T170" s="2252"/>
      <c r="U170" s="2252"/>
      <c r="V170" s="2252"/>
      <c r="W170" s="2252"/>
      <c r="X170" s="2252"/>
      <c r="Y170" s="2252"/>
      <c r="Z170" s="2252"/>
      <c r="AA170" s="2252"/>
      <c r="AB170" s="2255"/>
      <c r="AC170" s="2252"/>
      <c r="AD170" s="2252"/>
      <c r="AE170" s="2252"/>
      <c r="AF170" s="2252"/>
    </row>
    <row r="171" spans="1:32">
      <c r="B171" s="2252"/>
      <c r="C171" s="2254"/>
      <c r="D171" s="2380"/>
      <c r="E171" s="2380"/>
      <c r="F171" s="2252"/>
      <c r="G171" s="2252"/>
      <c r="H171" s="2252"/>
      <c r="I171" s="2252"/>
      <c r="J171" s="2252"/>
      <c r="K171" s="2252"/>
      <c r="L171" s="2252"/>
      <c r="M171" s="2252"/>
      <c r="N171" s="2252"/>
      <c r="O171" s="2252"/>
      <c r="P171" s="2252"/>
      <c r="Q171" s="2252"/>
      <c r="R171" s="2252"/>
      <c r="S171" s="2252"/>
      <c r="T171" s="2252"/>
      <c r="U171" s="2252"/>
      <c r="V171" s="2252"/>
      <c r="W171" s="2252"/>
      <c r="X171" s="2252"/>
      <c r="Y171" s="2252"/>
      <c r="Z171" s="2252"/>
      <c r="AA171" s="2252"/>
      <c r="AB171" s="2255"/>
      <c r="AC171" s="2252"/>
      <c r="AD171" s="2252"/>
      <c r="AE171" s="2252"/>
      <c r="AF171" s="2252"/>
    </row>
    <row r="172" spans="1:32">
      <c r="B172" s="2252"/>
      <c r="C172" s="2254"/>
      <c r="D172" s="2380"/>
      <c r="E172" s="2380"/>
      <c r="F172" s="2252"/>
      <c r="G172" s="2252"/>
      <c r="H172" s="2252"/>
      <c r="I172" s="2252"/>
      <c r="J172" s="2252"/>
      <c r="K172" s="2252"/>
      <c r="L172" s="2252"/>
      <c r="M172" s="2252"/>
      <c r="N172" s="2252"/>
      <c r="O172" s="2252"/>
      <c r="P172" s="2252"/>
      <c r="Q172" s="2252"/>
      <c r="R172" s="2252"/>
      <c r="S172" s="2252"/>
      <c r="T172" s="2252"/>
      <c r="U172" s="2252"/>
      <c r="V172" s="2252"/>
      <c r="W172" s="2252"/>
      <c r="X172" s="2252"/>
      <c r="Y172" s="2252"/>
      <c r="Z172" s="2252"/>
      <c r="AA172" s="2252"/>
      <c r="AB172" s="2255"/>
      <c r="AC172" s="2252"/>
      <c r="AD172" s="2252"/>
      <c r="AE172" s="2252"/>
      <c r="AF172" s="2252"/>
    </row>
    <row r="173" spans="1:32">
      <c r="B173" s="2252"/>
      <c r="C173" s="2254"/>
      <c r="D173" s="2380"/>
      <c r="E173" s="2380"/>
      <c r="F173" s="2252"/>
      <c r="G173" s="2252"/>
      <c r="H173" s="2252"/>
      <c r="I173" s="2252"/>
      <c r="J173" s="2252"/>
      <c r="K173" s="2252"/>
      <c r="L173" s="2252"/>
      <c r="M173" s="2252"/>
      <c r="N173" s="2252"/>
      <c r="O173" s="2252"/>
      <c r="P173" s="2252"/>
      <c r="Q173" s="2252"/>
      <c r="R173" s="2252"/>
      <c r="S173" s="2252"/>
      <c r="T173" s="2252"/>
      <c r="U173" s="2252"/>
      <c r="V173" s="2252"/>
      <c r="W173" s="2252"/>
      <c r="X173" s="2252"/>
      <c r="Y173" s="2252"/>
      <c r="Z173" s="2252"/>
      <c r="AA173" s="2252"/>
      <c r="AB173" s="2255"/>
      <c r="AC173" s="2252"/>
      <c r="AD173" s="2252"/>
      <c r="AE173" s="2252"/>
      <c r="AF173" s="2252"/>
    </row>
    <row r="174" spans="1:32">
      <c r="B174" s="2252"/>
      <c r="C174" s="2254"/>
      <c r="D174" s="2380"/>
      <c r="E174" s="2380"/>
      <c r="F174" s="2252"/>
      <c r="G174" s="2252"/>
      <c r="H174" s="2252"/>
      <c r="I174" s="2252"/>
      <c r="J174" s="2252"/>
      <c r="K174" s="2252"/>
      <c r="L174" s="2252"/>
      <c r="M174" s="2252"/>
      <c r="N174" s="2252"/>
      <c r="O174" s="2252"/>
      <c r="P174" s="2252"/>
      <c r="Q174" s="2252"/>
      <c r="R174" s="2252"/>
      <c r="S174" s="2252"/>
      <c r="T174" s="2252"/>
      <c r="U174" s="2252"/>
      <c r="V174" s="2252"/>
      <c r="W174" s="2252"/>
      <c r="X174" s="2252"/>
      <c r="Y174" s="2252"/>
      <c r="Z174" s="2252"/>
      <c r="AA174" s="2252"/>
      <c r="AB174" s="2255"/>
      <c r="AC174" s="2252"/>
      <c r="AD174" s="2252"/>
      <c r="AE174" s="2252"/>
      <c r="AF174" s="2252"/>
    </row>
    <row r="175" spans="1:32">
      <c r="B175" s="2252"/>
      <c r="C175" s="2254"/>
      <c r="D175" s="2380"/>
      <c r="E175" s="2380"/>
      <c r="F175" s="2252"/>
      <c r="G175" s="2252"/>
      <c r="H175" s="2252"/>
      <c r="I175" s="2252"/>
      <c r="J175" s="2252"/>
      <c r="K175" s="2252"/>
      <c r="L175" s="2252"/>
      <c r="M175" s="2252"/>
      <c r="N175" s="2252"/>
      <c r="O175" s="2252"/>
      <c r="P175" s="2252"/>
      <c r="Q175" s="2252"/>
      <c r="R175" s="2252"/>
      <c r="S175" s="2252"/>
      <c r="T175" s="2252"/>
      <c r="U175" s="2252"/>
      <c r="V175" s="2252"/>
      <c r="W175" s="2252"/>
      <c r="X175" s="2252"/>
      <c r="Y175" s="2252"/>
      <c r="Z175" s="2252"/>
      <c r="AA175" s="2252"/>
      <c r="AB175" s="2255"/>
      <c r="AC175" s="2252"/>
      <c r="AD175" s="2252"/>
      <c r="AE175" s="2252"/>
      <c r="AF175" s="2252"/>
    </row>
    <row r="176" spans="1:32">
      <c r="B176" s="2252"/>
      <c r="C176" s="2254"/>
      <c r="D176" s="2380"/>
      <c r="E176" s="2380"/>
      <c r="F176" s="2252"/>
      <c r="G176" s="2252"/>
      <c r="H176" s="2252"/>
      <c r="I176" s="2252"/>
      <c r="J176" s="2252"/>
      <c r="K176" s="2252"/>
      <c r="L176" s="2252"/>
      <c r="M176" s="2252"/>
      <c r="N176" s="2252"/>
      <c r="O176" s="2252"/>
      <c r="P176" s="2252"/>
      <c r="Q176" s="2252"/>
      <c r="R176" s="2252"/>
      <c r="S176" s="2252"/>
      <c r="T176" s="2252"/>
      <c r="U176" s="2252"/>
      <c r="V176" s="2252"/>
      <c r="W176" s="2252"/>
      <c r="X176" s="2252"/>
      <c r="Y176" s="2252"/>
      <c r="Z176" s="2252"/>
      <c r="AA176" s="2252"/>
      <c r="AB176" s="2255"/>
      <c r="AC176" s="2252"/>
      <c r="AD176" s="2252"/>
      <c r="AE176" s="2252"/>
      <c r="AF176" s="2252"/>
    </row>
    <row r="177" spans="2:32">
      <c r="B177" s="2252"/>
      <c r="C177" s="2254"/>
      <c r="D177" s="2380"/>
      <c r="E177" s="2380"/>
      <c r="F177" s="2252"/>
      <c r="G177" s="2252"/>
      <c r="H177" s="2252"/>
      <c r="I177" s="2252"/>
      <c r="J177" s="2252"/>
      <c r="K177" s="2252"/>
      <c r="L177" s="2252"/>
      <c r="M177" s="2252"/>
      <c r="N177" s="2252"/>
      <c r="O177" s="2252"/>
      <c r="P177" s="2252"/>
      <c r="Q177" s="2252"/>
      <c r="R177" s="2252"/>
      <c r="S177" s="2252"/>
      <c r="T177" s="2252"/>
      <c r="U177" s="2252"/>
      <c r="V177" s="2252"/>
      <c r="W177" s="2252"/>
      <c r="X177" s="2252"/>
      <c r="Y177" s="2252"/>
      <c r="Z177" s="2252"/>
      <c r="AA177" s="2252"/>
      <c r="AB177" s="2255"/>
      <c r="AC177" s="2252"/>
      <c r="AD177" s="2252"/>
      <c r="AE177" s="2252"/>
      <c r="AF177" s="2252"/>
    </row>
    <row r="178" spans="2:32">
      <c r="B178" s="2252"/>
      <c r="C178" s="2254"/>
      <c r="D178" s="2380"/>
      <c r="E178" s="2380"/>
      <c r="F178" s="2252"/>
      <c r="G178" s="2252"/>
      <c r="H178" s="2252"/>
      <c r="I178" s="2252"/>
      <c r="J178" s="2252"/>
      <c r="K178" s="2252"/>
      <c r="L178" s="2252"/>
      <c r="M178" s="2252"/>
      <c r="N178" s="2252"/>
      <c r="O178" s="2252"/>
      <c r="P178" s="2252"/>
      <c r="Q178" s="2252"/>
      <c r="R178" s="2252"/>
      <c r="S178" s="2252"/>
      <c r="T178" s="2252"/>
      <c r="U178" s="2252"/>
      <c r="V178" s="2252"/>
      <c r="W178" s="2252"/>
      <c r="X178" s="2252"/>
      <c r="Y178" s="2252"/>
      <c r="Z178" s="2252"/>
      <c r="AA178" s="2252"/>
      <c r="AB178" s="2255"/>
      <c r="AC178" s="2252"/>
      <c r="AD178" s="2252"/>
      <c r="AE178" s="2252"/>
      <c r="AF178" s="2252"/>
    </row>
    <row r="179" spans="2:32">
      <c r="B179" s="2252"/>
      <c r="C179" s="2254"/>
      <c r="D179" s="2380"/>
      <c r="E179" s="2380"/>
      <c r="F179" s="2252"/>
      <c r="G179" s="2252"/>
      <c r="H179" s="2252"/>
      <c r="I179" s="2252"/>
      <c r="J179" s="2252"/>
      <c r="K179" s="2252"/>
      <c r="L179" s="2252"/>
      <c r="M179" s="2252"/>
      <c r="N179" s="2252"/>
      <c r="O179" s="2252"/>
      <c r="P179" s="2252"/>
      <c r="Q179" s="2252"/>
      <c r="R179" s="2252"/>
      <c r="S179" s="2252"/>
      <c r="T179" s="2252"/>
      <c r="U179" s="2252"/>
      <c r="V179" s="2252"/>
      <c r="W179" s="2252"/>
      <c r="X179" s="2252"/>
      <c r="Y179" s="2252"/>
      <c r="Z179" s="2252"/>
      <c r="AA179" s="2252"/>
      <c r="AB179" s="2255"/>
      <c r="AC179" s="2252"/>
      <c r="AD179" s="2252"/>
      <c r="AE179" s="2252"/>
      <c r="AF179" s="2252"/>
    </row>
    <row r="180" spans="2:32">
      <c r="B180" s="2252"/>
      <c r="C180" s="2254"/>
      <c r="D180" s="2380"/>
      <c r="E180" s="2380"/>
      <c r="F180" s="2252"/>
      <c r="G180" s="2252"/>
      <c r="H180" s="2252"/>
      <c r="I180" s="2252"/>
      <c r="J180" s="2252"/>
      <c r="K180" s="2252"/>
      <c r="L180" s="2252"/>
      <c r="M180" s="2252"/>
      <c r="N180" s="2252"/>
      <c r="O180" s="2252"/>
      <c r="P180" s="2252"/>
      <c r="Q180" s="2252"/>
      <c r="R180" s="2252"/>
      <c r="S180" s="2252"/>
      <c r="T180" s="2252"/>
      <c r="U180" s="2252"/>
      <c r="V180" s="2252"/>
      <c r="W180" s="2252"/>
      <c r="X180" s="2252"/>
      <c r="Y180" s="2252"/>
      <c r="Z180" s="2252"/>
      <c r="AA180" s="2252"/>
      <c r="AB180" s="2255"/>
      <c r="AC180" s="2252"/>
      <c r="AD180" s="2252"/>
      <c r="AE180" s="2252"/>
      <c r="AF180" s="2252"/>
    </row>
    <row r="181" spans="2:32">
      <c r="B181" s="2252"/>
      <c r="C181" s="2254"/>
      <c r="D181" s="2380"/>
      <c r="E181" s="2380"/>
      <c r="F181" s="2252"/>
      <c r="G181" s="2252"/>
      <c r="H181" s="2252"/>
      <c r="I181" s="2252"/>
      <c r="J181" s="2252"/>
      <c r="K181" s="2252"/>
      <c r="L181" s="2252"/>
      <c r="M181" s="2252"/>
      <c r="N181" s="2252"/>
      <c r="O181" s="2252"/>
      <c r="P181" s="2252"/>
      <c r="Q181" s="2252"/>
      <c r="R181" s="2252"/>
      <c r="S181" s="2252"/>
      <c r="T181" s="2252"/>
      <c r="U181" s="2252"/>
      <c r="V181" s="2252"/>
      <c r="W181" s="2252"/>
      <c r="X181" s="2252"/>
      <c r="Y181" s="2252"/>
      <c r="Z181" s="2252"/>
      <c r="AA181" s="2252"/>
      <c r="AB181" s="2255"/>
      <c r="AC181" s="2252"/>
      <c r="AD181" s="2252"/>
      <c r="AE181" s="2252"/>
      <c r="AF181" s="2252"/>
    </row>
    <row r="182" spans="2:32">
      <c r="B182" s="2252"/>
      <c r="C182" s="2254"/>
      <c r="D182" s="2380"/>
      <c r="E182" s="2380"/>
      <c r="F182" s="2252"/>
      <c r="G182" s="2252"/>
      <c r="H182" s="2252"/>
      <c r="I182" s="2252"/>
      <c r="J182" s="2252"/>
      <c r="K182" s="2252"/>
      <c r="L182" s="2252"/>
      <c r="M182" s="2252"/>
      <c r="N182" s="2252"/>
      <c r="O182" s="2252"/>
      <c r="P182" s="2252"/>
      <c r="Q182" s="2252"/>
      <c r="R182" s="2252"/>
      <c r="S182" s="2252"/>
      <c r="T182" s="2252"/>
      <c r="U182" s="2252"/>
      <c r="V182" s="2252"/>
      <c r="W182" s="2252"/>
      <c r="X182" s="2252"/>
      <c r="Y182" s="2252"/>
      <c r="Z182" s="2252"/>
      <c r="AA182" s="2252"/>
      <c r="AB182" s="2255"/>
      <c r="AC182" s="2252"/>
      <c r="AD182" s="2252"/>
      <c r="AE182" s="2252"/>
      <c r="AF182" s="2252"/>
    </row>
    <row r="183" spans="2:32">
      <c r="B183" s="2252"/>
      <c r="C183" s="2254"/>
      <c r="D183" s="2380"/>
      <c r="E183" s="2380"/>
      <c r="F183" s="2252"/>
      <c r="G183" s="2252"/>
      <c r="H183" s="2252"/>
      <c r="I183" s="2252"/>
      <c r="J183" s="2252"/>
      <c r="K183" s="2252"/>
      <c r="L183" s="2252"/>
      <c r="M183" s="2252"/>
      <c r="N183" s="2252"/>
      <c r="O183" s="2252"/>
      <c r="P183" s="2252"/>
      <c r="Q183" s="2252"/>
      <c r="R183" s="2252"/>
      <c r="S183" s="2252"/>
      <c r="T183" s="2252"/>
      <c r="U183" s="2252"/>
      <c r="V183" s="2252"/>
      <c r="W183" s="2252"/>
      <c r="X183" s="2252"/>
      <c r="Y183" s="2252"/>
      <c r="Z183" s="2252"/>
      <c r="AA183" s="2252"/>
      <c r="AB183" s="2255"/>
      <c r="AC183" s="2252"/>
      <c r="AD183" s="2252"/>
      <c r="AE183" s="2252"/>
      <c r="AF183" s="2252"/>
    </row>
    <row r="184" spans="2:32">
      <c r="B184" s="2252"/>
      <c r="C184" s="2254"/>
      <c r="D184" s="2380"/>
      <c r="E184" s="2380"/>
      <c r="F184" s="2252"/>
      <c r="G184" s="2252"/>
      <c r="H184" s="2252"/>
      <c r="I184" s="2252"/>
      <c r="J184" s="2252"/>
      <c r="K184" s="2252"/>
      <c r="L184" s="2252"/>
      <c r="M184" s="2252"/>
      <c r="N184" s="2252"/>
      <c r="O184" s="2252"/>
      <c r="P184" s="2252"/>
      <c r="Q184" s="2252"/>
      <c r="R184" s="2252"/>
      <c r="S184" s="2252"/>
      <c r="T184" s="2252"/>
      <c r="U184" s="2252"/>
      <c r="V184" s="2252"/>
      <c r="W184" s="2252"/>
      <c r="X184" s="2252"/>
      <c r="Y184" s="2252"/>
      <c r="Z184" s="2252"/>
      <c r="AA184" s="2252"/>
      <c r="AB184" s="2255"/>
      <c r="AC184" s="2252"/>
      <c r="AD184" s="2252"/>
      <c r="AE184" s="2252"/>
      <c r="AF184" s="2252"/>
    </row>
    <row r="185" spans="2:32">
      <c r="B185" s="2252"/>
      <c r="C185" s="2254"/>
      <c r="D185" s="2380"/>
      <c r="E185" s="2380"/>
      <c r="F185" s="2252"/>
      <c r="G185" s="2252"/>
      <c r="H185" s="2252"/>
      <c r="I185" s="2252"/>
      <c r="J185" s="2252"/>
      <c r="K185" s="2252"/>
      <c r="L185" s="2252"/>
      <c r="M185" s="2252"/>
      <c r="N185" s="2252"/>
      <c r="O185" s="2252"/>
      <c r="P185" s="2252"/>
      <c r="Q185" s="2252"/>
      <c r="R185" s="2252"/>
      <c r="S185" s="2252"/>
      <c r="T185" s="2252"/>
      <c r="U185" s="2252"/>
      <c r="V185" s="2252"/>
      <c r="W185" s="2252"/>
      <c r="X185" s="2252"/>
      <c r="Y185" s="2252"/>
      <c r="Z185" s="2252"/>
      <c r="AA185" s="2252"/>
      <c r="AB185" s="2255"/>
      <c r="AC185" s="2252"/>
      <c r="AD185" s="2252"/>
      <c r="AE185" s="2252"/>
      <c r="AF185" s="2252"/>
    </row>
    <row r="186" spans="2:32">
      <c r="B186" s="2252"/>
      <c r="C186" s="2254"/>
      <c r="D186" s="2380"/>
      <c r="E186" s="2380"/>
      <c r="F186" s="2252"/>
      <c r="G186" s="2252"/>
      <c r="H186" s="2252"/>
      <c r="I186" s="2252"/>
      <c r="J186" s="2252"/>
      <c r="K186" s="2252"/>
      <c r="L186" s="2252"/>
      <c r="M186" s="2252"/>
      <c r="N186" s="2252"/>
      <c r="O186" s="2252"/>
      <c r="P186" s="2252"/>
      <c r="Q186" s="2252"/>
      <c r="R186" s="2252"/>
      <c r="S186" s="2252"/>
      <c r="T186" s="2252"/>
      <c r="U186" s="2252"/>
      <c r="V186" s="2252"/>
      <c r="W186" s="2252"/>
      <c r="X186" s="2252"/>
      <c r="Y186" s="2252"/>
      <c r="Z186" s="2252"/>
      <c r="AA186" s="2252"/>
      <c r="AB186" s="2255"/>
      <c r="AC186" s="2252"/>
      <c r="AD186" s="2252"/>
      <c r="AE186" s="2252"/>
      <c r="AF186" s="2252"/>
    </row>
    <row r="187" spans="2:32">
      <c r="B187" s="2252"/>
      <c r="C187" s="2254"/>
      <c r="D187" s="2380"/>
      <c r="E187" s="2380"/>
      <c r="F187" s="2252"/>
      <c r="G187" s="2252"/>
      <c r="H187" s="2252"/>
      <c r="I187" s="2252"/>
      <c r="J187" s="2252"/>
      <c r="K187" s="2252"/>
      <c r="L187" s="2252"/>
      <c r="M187" s="2252"/>
      <c r="N187" s="2252"/>
      <c r="O187" s="2252"/>
      <c r="P187" s="2252"/>
      <c r="Q187" s="2252"/>
      <c r="R187" s="2252"/>
      <c r="S187" s="2252"/>
      <c r="T187" s="2252"/>
      <c r="U187" s="2252"/>
      <c r="V187" s="2252"/>
      <c r="W187" s="2252"/>
      <c r="X187" s="2252"/>
      <c r="Y187" s="2252"/>
      <c r="Z187" s="2252"/>
      <c r="AA187" s="2252"/>
      <c r="AB187" s="2255"/>
      <c r="AC187" s="2252"/>
      <c r="AD187" s="2252"/>
      <c r="AE187" s="2252"/>
      <c r="AF187" s="2252"/>
    </row>
    <row r="188" spans="2:32">
      <c r="B188" s="2252"/>
      <c r="C188" s="2254"/>
      <c r="D188" s="2380"/>
      <c r="E188" s="2380"/>
      <c r="F188" s="2252"/>
      <c r="G188" s="2252"/>
      <c r="H188" s="2252"/>
      <c r="I188" s="2252"/>
      <c r="J188" s="2252"/>
      <c r="K188" s="2252"/>
      <c r="L188" s="2252"/>
      <c r="M188" s="2252"/>
      <c r="N188" s="2252"/>
      <c r="O188" s="2252"/>
      <c r="P188" s="2252"/>
      <c r="Q188" s="2252"/>
      <c r="R188" s="2252"/>
      <c r="S188" s="2252"/>
      <c r="T188" s="2252"/>
      <c r="U188" s="2252"/>
      <c r="V188" s="2252"/>
      <c r="W188" s="2252"/>
      <c r="X188" s="2252"/>
      <c r="Y188" s="2252"/>
      <c r="Z188" s="2252"/>
      <c r="AA188" s="2252"/>
      <c r="AB188" s="2255"/>
      <c r="AC188" s="2252"/>
      <c r="AD188" s="2252"/>
      <c r="AE188" s="2252"/>
      <c r="AF188" s="2252"/>
    </row>
    <row r="189" spans="2:32">
      <c r="B189" s="2252"/>
      <c r="C189" s="2254"/>
      <c r="D189" s="2380"/>
      <c r="E189" s="2380"/>
      <c r="F189" s="2252"/>
      <c r="G189" s="2252"/>
      <c r="H189" s="2252"/>
      <c r="I189" s="2252"/>
      <c r="J189" s="2252"/>
      <c r="K189" s="2252"/>
      <c r="L189" s="2252"/>
      <c r="M189" s="2252"/>
      <c r="N189" s="2252"/>
      <c r="O189" s="2252"/>
      <c r="P189" s="2252"/>
      <c r="Q189" s="2252"/>
      <c r="R189" s="2252"/>
      <c r="S189" s="2252"/>
      <c r="T189" s="2252"/>
      <c r="U189" s="2252"/>
      <c r="V189" s="2252"/>
      <c r="W189" s="2252"/>
      <c r="X189" s="2252"/>
      <c r="Y189" s="2252"/>
      <c r="Z189" s="2252"/>
      <c r="AA189" s="2252"/>
      <c r="AB189" s="2255"/>
      <c r="AC189" s="2252"/>
      <c r="AD189" s="2252"/>
      <c r="AE189" s="2252"/>
      <c r="AF189" s="2252"/>
    </row>
    <row r="190" spans="2:32">
      <c r="B190" s="2252"/>
      <c r="C190" s="2254"/>
      <c r="D190" s="2380"/>
      <c r="E190" s="2380"/>
      <c r="F190" s="2252"/>
      <c r="G190" s="2252"/>
      <c r="H190" s="2252"/>
      <c r="I190" s="2252"/>
      <c r="J190" s="2252"/>
      <c r="K190" s="2252"/>
      <c r="L190" s="2252"/>
      <c r="M190" s="2252"/>
      <c r="N190" s="2252"/>
      <c r="O190" s="2252"/>
      <c r="P190" s="2252"/>
      <c r="Q190" s="2252"/>
      <c r="R190" s="2252"/>
      <c r="S190" s="2252"/>
      <c r="T190" s="2252"/>
      <c r="U190" s="2252"/>
      <c r="V190" s="2252"/>
      <c r="W190" s="2252"/>
      <c r="X190" s="2252"/>
      <c r="Y190" s="2252"/>
      <c r="Z190" s="2252"/>
      <c r="AA190" s="2252"/>
      <c r="AB190" s="2255"/>
      <c r="AC190" s="2252"/>
      <c r="AD190" s="2252"/>
      <c r="AE190" s="2252"/>
      <c r="AF190" s="2252"/>
    </row>
    <row r="191" spans="2:32">
      <c r="B191" s="2252"/>
      <c r="C191" s="2254"/>
      <c r="D191" s="2380"/>
      <c r="E191" s="2380"/>
      <c r="F191" s="2252"/>
      <c r="G191" s="2252"/>
      <c r="H191" s="2252"/>
      <c r="I191" s="2252"/>
      <c r="J191" s="2252"/>
      <c r="K191" s="2252"/>
      <c r="L191" s="2252"/>
      <c r="M191" s="2252"/>
      <c r="N191" s="2252"/>
      <c r="O191" s="2252"/>
      <c r="P191" s="2252"/>
      <c r="Q191" s="2252"/>
      <c r="R191" s="2252"/>
      <c r="S191" s="2252"/>
      <c r="T191" s="2252"/>
      <c r="U191" s="2252"/>
      <c r="V191" s="2252"/>
      <c r="W191" s="2252"/>
      <c r="X191" s="2252"/>
      <c r="Y191" s="2252"/>
      <c r="Z191" s="2252"/>
      <c r="AA191" s="2252"/>
      <c r="AB191" s="2255"/>
      <c r="AC191" s="2252"/>
      <c r="AD191" s="2252"/>
      <c r="AE191" s="2252"/>
      <c r="AF191" s="2252"/>
    </row>
    <row r="192" spans="2:32">
      <c r="B192" s="2252"/>
      <c r="C192" s="2254"/>
      <c r="D192" s="2380"/>
      <c r="E192" s="2380"/>
      <c r="F192" s="2252"/>
      <c r="G192" s="2252"/>
      <c r="H192" s="2252"/>
      <c r="I192" s="2252"/>
      <c r="J192" s="2252"/>
      <c r="K192" s="2252"/>
      <c r="L192" s="2252"/>
      <c r="M192" s="2252"/>
      <c r="N192" s="2252"/>
      <c r="O192" s="2252"/>
      <c r="P192" s="2252"/>
      <c r="Q192" s="2252"/>
      <c r="R192" s="2252"/>
      <c r="S192" s="2252"/>
      <c r="T192" s="2252"/>
      <c r="U192" s="2252"/>
      <c r="V192" s="2252"/>
      <c r="W192" s="2252"/>
      <c r="X192" s="2252"/>
      <c r="Y192" s="2252"/>
      <c r="Z192" s="2252"/>
      <c r="AA192" s="2252"/>
      <c r="AB192" s="2255"/>
      <c r="AC192" s="2252"/>
      <c r="AD192" s="2252"/>
      <c r="AE192" s="2252"/>
      <c r="AF192" s="2252"/>
    </row>
    <row r="193" spans="2:32">
      <c r="B193" s="2252"/>
      <c r="C193" s="2254"/>
      <c r="D193" s="2380"/>
      <c r="E193" s="2380"/>
      <c r="F193" s="2252"/>
      <c r="G193" s="2252"/>
      <c r="H193" s="2252"/>
      <c r="I193" s="2252"/>
      <c r="J193" s="2252"/>
      <c r="K193" s="2252"/>
      <c r="L193" s="2252"/>
      <c r="M193" s="2252"/>
      <c r="N193" s="2252"/>
      <c r="O193" s="2252"/>
      <c r="P193" s="2252"/>
      <c r="Q193" s="2252"/>
      <c r="R193" s="2252"/>
      <c r="S193" s="2252"/>
      <c r="T193" s="2252"/>
      <c r="U193" s="2252"/>
      <c r="V193" s="2252"/>
      <c r="W193" s="2252"/>
      <c r="X193" s="2252"/>
      <c r="Y193" s="2252"/>
      <c r="Z193" s="2252"/>
      <c r="AA193" s="2252"/>
      <c r="AB193" s="2255"/>
      <c r="AC193" s="2252"/>
      <c r="AD193" s="2252"/>
      <c r="AE193" s="2252"/>
      <c r="AF193" s="2252"/>
    </row>
    <row r="194" spans="2:32">
      <c r="B194" s="2252"/>
      <c r="C194" s="2254"/>
      <c r="D194" s="2380"/>
      <c r="E194" s="2380"/>
      <c r="F194" s="2252"/>
      <c r="G194" s="2252"/>
      <c r="H194" s="2252"/>
      <c r="I194" s="2252"/>
      <c r="J194" s="2252"/>
      <c r="K194" s="2252"/>
      <c r="L194" s="2252"/>
      <c r="M194" s="2252"/>
      <c r="N194" s="2252"/>
      <c r="O194" s="2252"/>
      <c r="P194" s="2252"/>
      <c r="Q194" s="2252"/>
      <c r="R194" s="2252"/>
      <c r="S194" s="2252"/>
      <c r="T194" s="2252"/>
      <c r="U194" s="2252"/>
      <c r="V194" s="2252"/>
      <c r="W194" s="2252"/>
      <c r="X194" s="2252"/>
      <c r="Y194" s="2252"/>
      <c r="Z194" s="2252"/>
      <c r="AA194" s="2252"/>
      <c r="AB194" s="2255"/>
      <c r="AC194" s="2252"/>
      <c r="AD194" s="2252"/>
      <c r="AE194" s="2252"/>
      <c r="AF194" s="2252"/>
    </row>
    <row r="195" spans="2:32">
      <c r="B195" s="2252"/>
      <c r="C195" s="2254"/>
      <c r="D195" s="2380"/>
      <c r="E195" s="2380"/>
      <c r="F195" s="2252"/>
      <c r="G195" s="2252"/>
      <c r="H195" s="2252"/>
      <c r="I195" s="2252"/>
      <c r="J195" s="2252"/>
      <c r="K195" s="2252"/>
      <c r="L195" s="2252"/>
      <c r="M195" s="2252"/>
      <c r="N195" s="2252"/>
      <c r="O195" s="2252"/>
      <c r="P195" s="2252"/>
      <c r="Q195" s="2252"/>
      <c r="R195" s="2252"/>
      <c r="S195" s="2252"/>
      <c r="T195" s="2252"/>
      <c r="U195" s="2252"/>
      <c r="V195" s="2252"/>
      <c r="W195" s="2252"/>
      <c r="X195" s="2252"/>
      <c r="Y195" s="2252"/>
      <c r="Z195" s="2252"/>
      <c r="AA195" s="2252"/>
      <c r="AB195" s="2255"/>
      <c r="AC195" s="2252"/>
      <c r="AD195" s="2252"/>
      <c r="AE195" s="2252"/>
      <c r="AF195" s="2252"/>
    </row>
    <row r="196" spans="2:32">
      <c r="B196" s="2252"/>
      <c r="C196" s="2254"/>
      <c r="D196" s="2380"/>
      <c r="E196" s="2380"/>
      <c r="F196" s="2252"/>
      <c r="G196" s="2252"/>
      <c r="H196" s="2252"/>
      <c r="I196" s="2252"/>
      <c r="J196" s="2252"/>
      <c r="K196" s="2252"/>
      <c r="L196" s="2252"/>
      <c r="M196" s="2252"/>
      <c r="N196" s="2252"/>
      <c r="O196" s="2252"/>
      <c r="P196" s="2252"/>
      <c r="Q196" s="2252"/>
      <c r="R196" s="2252"/>
      <c r="S196" s="2252"/>
      <c r="T196" s="2252"/>
      <c r="U196" s="2252"/>
      <c r="V196" s="2252"/>
      <c r="W196" s="2252"/>
      <c r="X196" s="2252"/>
      <c r="Y196" s="2252"/>
      <c r="Z196" s="2252"/>
      <c r="AA196" s="2252"/>
      <c r="AB196" s="2255"/>
      <c r="AC196" s="2252"/>
      <c r="AD196" s="2252"/>
      <c r="AE196" s="2252"/>
      <c r="AF196" s="2252"/>
    </row>
    <row r="197" spans="2:32">
      <c r="B197" s="2252"/>
      <c r="C197" s="2254"/>
      <c r="D197" s="2380"/>
      <c r="E197" s="2380"/>
      <c r="F197" s="2252"/>
      <c r="G197" s="2252"/>
      <c r="H197" s="2252"/>
      <c r="I197" s="2252"/>
      <c r="J197" s="2252"/>
      <c r="K197" s="2252"/>
      <c r="L197" s="2252"/>
      <c r="M197" s="2252"/>
      <c r="N197" s="2252"/>
      <c r="O197" s="2252"/>
      <c r="P197" s="2252"/>
      <c r="Q197" s="2252"/>
      <c r="R197" s="2252"/>
      <c r="S197" s="2252"/>
      <c r="T197" s="2252"/>
      <c r="U197" s="2252"/>
      <c r="V197" s="2252"/>
      <c r="W197" s="2252"/>
      <c r="X197" s="2252"/>
      <c r="Y197" s="2252"/>
      <c r="Z197" s="2252"/>
      <c r="AA197" s="2252"/>
      <c r="AB197" s="2255"/>
      <c r="AC197" s="2252"/>
      <c r="AD197" s="2252"/>
      <c r="AE197" s="2252"/>
      <c r="AF197" s="2252"/>
    </row>
    <row r="198" spans="2:32">
      <c r="B198" s="2252"/>
      <c r="C198" s="2254"/>
      <c r="D198" s="2380"/>
      <c r="E198" s="2380"/>
      <c r="F198" s="2252"/>
      <c r="G198" s="2252"/>
      <c r="H198" s="2252"/>
      <c r="I198" s="2252"/>
      <c r="J198" s="2252"/>
      <c r="K198" s="2252"/>
      <c r="L198" s="2252"/>
      <c r="M198" s="2252"/>
      <c r="N198" s="2252"/>
      <c r="O198" s="2252"/>
      <c r="P198" s="2252"/>
      <c r="Q198" s="2252"/>
      <c r="R198" s="2252"/>
      <c r="S198" s="2252"/>
      <c r="T198" s="2252"/>
      <c r="U198" s="2252"/>
      <c r="V198" s="2252"/>
      <c r="W198" s="2252"/>
      <c r="X198" s="2252"/>
      <c r="Y198" s="2252"/>
      <c r="Z198" s="2252"/>
      <c r="AA198" s="2252"/>
      <c r="AB198" s="2255"/>
      <c r="AC198" s="2252"/>
      <c r="AD198" s="2252"/>
      <c r="AE198" s="2252"/>
      <c r="AF198" s="2252"/>
    </row>
    <row r="199" spans="2:32">
      <c r="B199" s="2252"/>
      <c r="C199" s="2254"/>
      <c r="D199" s="2380"/>
      <c r="E199" s="2380"/>
      <c r="F199" s="2252"/>
      <c r="G199" s="2252"/>
      <c r="H199" s="2252"/>
      <c r="I199" s="2252"/>
      <c r="J199" s="2252"/>
      <c r="K199" s="2252"/>
      <c r="L199" s="2252"/>
      <c r="M199" s="2252"/>
      <c r="N199" s="2252"/>
      <c r="O199" s="2252"/>
      <c r="P199" s="2252"/>
      <c r="Q199" s="2252"/>
      <c r="R199" s="2252"/>
      <c r="S199" s="2252"/>
      <c r="T199" s="2252"/>
      <c r="U199" s="2252"/>
      <c r="V199" s="2252"/>
      <c r="W199" s="2252"/>
      <c r="X199" s="2252"/>
      <c r="Y199" s="2252"/>
      <c r="Z199" s="2252"/>
      <c r="AA199" s="2252"/>
      <c r="AB199" s="2255"/>
      <c r="AC199" s="2252"/>
      <c r="AD199" s="2252"/>
      <c r="AE199" s="2252"/>
      <c r="AF199" s="2252"/>
    </row>
    <row r="200" spans="2:32">
      <c r="B200" s="2252"/>
      <c r="C200" s="2254"/>
      <c r="D200" s="2380"/>
      <c r="E200" s="2380"/>
      <c r="F200" s="2252"/>
      <c r="G200" s="2252"/>
      <c r="H200" s="2252"/>
      <c r="I200" s="2252"/>
      <c r="J200" s="2252"/>
      <c r="K200" s="2252"/>
      <c r="L200" s="2252"/>
      <c r="M200" s="2252"/>
      <c r="N200" s="2252"/>
      <c r="O200" s="2252"/>
      <c r="P200" s="2252"/>
      <c r="Q200" s="2252"/>
      <c r="R200" s="2252"/>
      <c r="S200" s="2252"/>
      <c r="T200" s="2252"/>
      <c r="U200" s="2252"/>
      <c r="V200" s="2252"/>
      <c r="W200" s="2252"/>
      <c r="X200" s="2252"/>
      <c r="Y200" s="2252"/>
      <c r="Z200" s="2252"/>
      <c r="AA200" s="2252"/>
      <c r="AB200" s="2255"/>
      <c r="AC200" s="2252"/>
      <c r="AD200" s="2252"/>
      <c r="AE200" s="2252"/>
      <c r="AF200" s="2252"/>
    </row>
    <row r="201" spans="2:32">
      <c r="B201" s="2252"/>
      <c r="C201" s="2254"/>
      <c r="D201" s="2380"/>
      <c r="E201" s="2380"/>
      <c r="F201" s="2252"/>
      <c r="G201" s="2252"/>
      <c r="H201" s="2252"/>
      <c r="I201" s="2252"/>
      <c r="J201" s="2252"/>
      <c r="K201" s="2252"/>
      <c r="L201" s="2252"/>
      <c r="M201" s="2252"/>
      <c r="N201" s="2252"/>
      <c r="O201" s="2252"/>
      <c r="P201" s="2252"/>
      <c r="Q201" s="2252"/>
      <c r="R201" s="2252"/>
      <c r="S201" s="2252"/>
      <c r="T201" s="2252"/>
      <c r="U201" s="2252"/>
      <c r="V201" s="2252"/>
      <c r="W201" s="2252"/>
      <c r="X201" s="2252"/>
      <c r="Y201" s="2252"/>
      <c r="Z201" s="2252"/>
      <c r="AA201" s="2252"/>
      <c r="AB201" s="2255"/>
      <c r="AC201" s="2252"/>
      <c r="AD201" s="2252"/>
      <c r="AE201" s="2252"/>
      <c r="AF201" s="2252"/>
    </row>
    <row r="202" spans="2:32">
      <c r="B202" s="2252"/>
      <c r="C202" s="2254"/>
      <c r="D202" s="2380"/>
      <c r="E202" s="2380"/>
      <c r="F202" s="2252"/>
      <c r="G202" s="2252"/>
      <c r="H202" s="2252"/>
      <c r="I202" s="2252"/>
      <c r="J202" s="2252"/>
      <c r="K202" s="2252"/>
      <c r="L202" s="2252"/>
      <c r="M202" s="2252"/>
      <c r="N202" s="2252"/>
      <c r="O202" s="2252"/>
      <c r="P202" s="2252"/>
      <c r="Q202" s="2252"/>
      <c r="R202" s="2252"/>
      <c r="S202" s="2252"/>
      <c r="T202" s="2252"/>
      <c r="U202" s="2252"/>
      <c r="V202" s="2252"/>
      <c r="W202" s="2252"/>
      <c r="X202" s="2252"/>
      <c r="Y202" s="2252"/>
      <c r="Z202" s="2252"/>
      <c r="AA202" s="2252"/>
      <c r="AB202" s="2255"/>
      <c r="AC202" s="2252"/>
      <c r="AD202" s="2252"/>
      <c r="AE202" s="2252"/>
      <c r="AF202" s="2252"/>
    </row>
    <row r="203" spans="2:32">
      <c r="B203" s="2252"/>
      <c r="C203" s="2254"/>
      <c r="D203" s="2380"/>
      <c r="E203" s="2380"/>
      <c r="F203" s="2252"/>
      <c r="G203" s="2252"/>
      <c r="H203" s="2252"/>
      <c r="I203" s="2252"/>
      <c r="J203" s="2252"/>
      <c r="K203" s="2252"/>
      <c r="L203" s="2252"/>
      <c r="M203" s="2252"/>
      <c r="N203" s="2252"/>
      <c r="O203" s="2252"/>
      <c r="P203" s="2252"/>
      <c r="Q203" s="2252"/>
      <c r="R203" s="2252"/>
      <c r="S203" s="2252"/>
      <c r="T203" s="2252"/>
      <c r="U203" s="2252"/>
      <c r="V203" s="2252"/>
      <c r="W203" s="2252"/>
      <c r="X203" s="2252"/>
      <c r="Y203" s="2252"/>
      <c r="Z203" s="2252"/>
      <c r="AA203" s="2252"/>
      <c r="AB203" s="2255"/>
      <c r="AC203" s="2252"/>
      <c r="AD203" s="2252"/>
      <c r="AE203" s="2252"/>
      <c r="AF203" s="2252"/>
    </row>
    <row r="204" spans="2:32">
      <c r="B204" s="2252"/>
      <c r="C204" s="2254"/>
      <c r="D204" s="2380"/>
      <c r="E204" s="2380"/>
      <c r="F204" s="2252"/>
      <c r="G204" s="2252"/>
      <c r="H204" s="2252"/>
      <c r="I204" s="2252"/>
      <c r="J204" s="2252"/>
      <c r="K204" s="2252"/>
      <c r="L204" s="2252"/>
      <c r="M204" s="2252"/>
      <c r="N204" s="2252"/>
      <c r="O204" s="2252"/>
      <c r="P204" s="2252"/>
      <c r="Q204" s="2252"/>
      <c r="R204" s="2252"/>
      <c r="S204" s="2252"/>
      <c r="T204" s="2252"/>
      <c r="U204" s="2252"/>
      <c r="V204" s="2252"/>
      <c r="W204" s="2252"/>
      <c r="X204" s="2252"/>
      <c r="Y204" s="2252"/>
      <c r="Z204" s="2252"/>
      <c r="AA204" s="2252"/>
      <c r="AB204" s="2255"/>
      <c r="AC204" s="2252"/>
      <c r="AD204" s="2252"/>
      <c r="AE204" s="2252"/>
      <c r="AF204" s="2252"/>
    </row>
    <row r="205" spans="2:32">
      <c r="B205" s="2252"/>
      <c r="C205" s="2254"/>
      <c r="D205" s="2380"/>
      <c r="E205" s="2380"/>
      <c r="F205" s="2252"/>
      <c r="G205" s="2252"/>
      <c r="H205" s="2252"/>
      <c r="I205" s="2252"/>
      <c r="J205" s="2252"/>
      <c r="K205" s="2252"/>
      <c r="L205" s="2252"/>
      <c r="M205" s="2252"/>
      <c r="N205" s="2252"/>
      <c r="O205" s="2252"/>
      <c r="P205" s="2252"/>
      <c r="Q205" s="2252"/>
      <c r="R205" s="2252"/>
      <c r="S205" s="2252"/>
      <c r="T205" s="2252"/>
      <c r="U205" s="2252"/>
      <c r="V205" s="2252"/>
      <c r="W205" s="2252"/>
      <c r="X205" s="2252"/>
      <c r="Y205" s="2252"/>
      <c r="Z205" s="2252"/>
      <c r="AA205" s="2252"/>
      <c r="AB205" s="2255"/>
      <c r="AC205" s="2252"/>
      <c r="AD205" s="2252"/>
      <c r="AE205" s="2252"/>
      <c r="AF205" s="2252"/>
    </row>
    <row r="206" spans="2:32">
      <c r="B206" s="2252"/>
      <c r="C206" s="2254"/>
      <c r="D206" s="2380"/>
      <c r="E206" s="2380"/>
      <c r="F206" s="2252"/>
      <c r="G206" s="2252"/>
      <c r="H206" s="2252"/>
      <c r="I206" s="2252"/>
      <c r="J206" s="2252"/>
      <c r="K206" s="2252"/>
      <c r="L206" s="2252"/>
      <c r="M206" s="2252"/>
      <c r="N206" s="2252"/>
      <c r="O206" s="2252"/>
      <c r="P206" s="2252"/>
      <c r="Q206" s="2252"/>
      <c r="R206" s="2252"/>
      <c r="S206" s="2252"/>
      <c r="T206" s="2252"/>
      <c r="U206" s="2252"/>
      <c r="V206" s="2252"/>
      <c r="W206" s="2252"/>
      <c r="X206" s="2252"/>
      <c r="Y206" s="2252"/>
      <c r="Z206" s="2252"/>
      <c r="AA206" s="2252"/>
      <c r="AB206" s="2255"/>
      <c r="AC206" s="2252"/>
      <c r="AD206" s="2252"/>
      <c r="AE206" s="2252"/>
      <c r="AF206" s="2252"/>
    </row>
    <row r="207" spans="2:32">
      <c r="B207" s="2252"/>
      <c r="C207" s="2254"/>
      <c r="D207" s="2380"/>
      <c r="E207" s="2380"/>
      <c r="F207" s="2252"/>
      <c r="G207" s="2252"/>
      <c r="H207" s="2252"/>
      <c r="I207" s="2252"/>
      <c r="J207" s="2252"/>
      <c r="K207" s="2252"/>
      <c r="L207" s="2252"/>
      <c r="M207" s="2252"/>
      <c r="N207" s="2252"/>
      <c r="O207" s="2252"/>
      <c r="P207" s="2252"/>
      <c r="Q207" s="2252"/>
      <c r="R207" s="2252"/>
      <c r="S207" s="2252"/>
      <c r="T207" s="2252"/>
      <c r="U207" s="2252"/>
      <c r="V207" s="2252"/>
      <c r="W207" s="2252"/>
      <c r="X207" s="2252"/>
      <c r="Y207" s="2252"/>
      <c r="Z207" s="2252"/>
      <c r="AA207" s="2252"/>
      <c r="AB207" s="2255"/>
      <c r="AC207" s="2252"/>
      <c r="AD207" s="2252"/>
      <c r="AE207" s="2252"/>
      <c r="AF207" s="2252"/>
    </row>
    <row r="208" spans="2:32">
      <c r="B208" s="2252"/>
      <c r="C208" s="2254"/>
      <c r="D208" s="2380"/>
      <c r="E208" s="2380"/>
      <c r="F208" s="2252"/>
      <c r="G208" s="2252"/>
      <c r="H208" s="2252"/>
      <c r="I208" s="2252"/>
      <c r="J208" s="2252"/>
      <c r="K208" s="2252"/>
      <c r="L208" s="2252"/>
      <c r="M208" s="2252"/>
      <c r="N208" s="2252"/>
      <c r="O208" s="2252"/>
      <c r="P208" s="2252"/>
      <c r="Q208" s="2252"/>
      <c r="R208" s="2252"/>
      <c r="S208" s="2252"/>
      <c r="T208" s="2252"/>
      <c r="U208" s="2252"/>
      <c r="V208" s="2252"/>
      <c r="W208" s="2252"/>
      <c r="X208" s="2252"/>
      <c r="Y208" s="2252"/>
      <c r="Z208" s="2252"/>
      <c r="AA208" s="2252"/>
      <c r="AB208" s="2255"/>
      <c r="AC208" s="2252"/>
      <c r="AD208" s="2252"/>
      <c r="AE208" s="2252"/>
      <c r="AF208" s="2252"/>
    </row>
    <row r="209" spans="2:32">
      <c r="B209" s="2252"/>
      <c r="C209" s="2254"/>
      <c r="D209" s="2380"/>
      <c r="E209" s="2380"/>
      <c r="F209" s="2252"/>
      <c r="G209" s="2252"/>
      <c r="H209" s="2252"/>
      <c r="I209" s="2252"/>
      <c r="J209" s="2252"/>
      <c r="K209" s="2252"/>
      <c r="L209" s="2252"/>
      <c r="M209" s="2252"/>
      <c r="N209" s="2252"/>
      <c r="O209" s="2252"/>
      <c r="P209" s="2252"/>
      <c r="Q209" s="2252"/>
      <c r="R209" s="2252"/>
      <c r="S209" s="2252"/>
      <c r="T209" s="2252"/>
      <c r="U209" s="2252"/>
      <c r="V209" s="2252"/>
      <c r="W209" s="2252"/>
      <c r="X209" s="2252"/>
      <c r="Y209" s="2252"/>
      <c r="Z209" s="2252"/>
      <c r="AA209" s="2252"/>
      <c r="AB209" s="2255"/>
      <c r="AC209" s="2252"/>
      <c r="AD209" s="2252"/>
      <c r="AE209" s="2252"/>
      <c r="AF209" s="2252"/>
    </row>
    <row r="210" spans="2:32">
      <c r="B210" s="2252"/>
      <c r="C210" s="2254"/>
      <c r="D210" s="2380"/>
      <c r="E210" s="2380"/>
      <c r="F210" s="2252"/>
      <c r="G210" s="2252"/>
      <c r="H210" s="2252"/>
      <c r="I210" s="2252"/>
      <c r="J210" s="2252"/>
      <c r="K210" s="2252"/>
      <c r="L210" s="2252"/>
      <c r="M210" s="2252"/>
      <c r="N210" s="2252"/>
      <c r="O210" s="2252"/>
      <c r="P210" s="2252"/>
      <c r="Q210" s="2252"/>
      <c r="R210" s="2252"/>
      <c r="S210" s="2252"/>
      <c r="T210" s="2252"/>
      <c r="U210" s="2252"/>
      <c r="V210" s="2252"/>
      <c r="W210" s="2252"/>
      <c r="X210" s="2252"/>
      <c r="Y210" s="2252"/>
      <c r="Z210" s="2252"/>
      <c r="AA210" s="2252"/>
      <c r="AB210" s="2255"/>
      <c r="AC210" s="2252"/>
      <c r="AD210" s="2252"/>
      <c r="AE210" s="2252"/>
      <c r="AF210" s="2252"/>
    </row>
    <row r="211" spans="2:32">
      <c r="B211" s="2252"/>
      <c r="C211" s="2254"/>
      <c r="D211" s="2380"/>
      <c r="E211" s="2380"/>
      <c r="F211" s="2252"/>
      <c r="G211" s="2252"/>
      <c r="H211" s="2252"/>
      <c r="I211" s="2252"/>
      <c r="J211" s="2252"/>
      <c r="K211" s="2252"/>
      <c r="L211" s="2252"/>
      <c r="M211" s="2252"/>
      <c r="N211" s="2252"/>
      <c r="O211" s="2252"/>
      <c r="P211" s="2252"/>
      <c r="Q211" s="2252"/>
      <c r="R211" s="2252"/>
      <c r="S211" s="2252"/>
      <c r="T211" s="2252"/>
      <c r="U211" s="2252"/>
      <c r="V211" s="2252"/>
      <c r="W211" s="2252"/>
      <c r="X211" s="2252"/>
      <c r="Y211" s="2252"/>
      <c r="Z211" s="2252"/>
      <c r="AA211" s="2252"/>
      <c r="AB211" s="2255"/>
      <c r="AC211" s="2252"/>
      <c r="AD211" s="2252"/>
      <c r="AE211" s="2252"/>
      <c r="AF211" s="2252"/>
    </row>
    <row r="212" spans="2:32">
      <c r="B212" s="2252"/>
      <c r="C212" s="2254"/>
      <c r="D212" s="2380"/>
      <c r="E212" s="2380"/>
      <c r="F212" s="2252"/>
      <c r="G212" s="2252"/>
      <c r="H212" s="2252"/>
      <c r="I212" s="2252"/>
      <c r="J212" s="2252"/>
      <c r="K212" s="2252"/>
      <c r="L212" s="2252"/>
      <c r="M212" s="2252"/>
      <c r="N212" s="2252"/>
      <c r="O212" s="2252"/>
      <c r="P212" s="2252"/>
      <c r="Q212" s="2252"/>
      <c r="R212" s="2252"/>
      <c r="S212" s="2252"/>
      <c r="T212" s="2252"/>
      <c r="U212" s="2252"/>
      <c r="V212" s="2252"/>
      <c r="W212" s="2252"/>
      <c r="X212" s="2252"/>
      <c r="Y212" s="2252"/>
      <c r="Z212" s="2252"/>
      <c r="AA212" s="2252"/>
      <c r="AB212" s="2255"/>
      <c r="AC212" s="2252"/>
      <c r="AD212" s="2252"/>
      <c r="AE212" s="2252"/>
      <c r="AF212" s="2252"/>
    </row>
    <row r="213" spans="2:32">
      <c r="B213" s="2252"/>
      <c r="C213" s="2254"/>
      <c r="D213" s="2380"/>
      <c r="E213" s="2380"/>
      <c r="F213" s="2252"/>
      <c r="G213" s="2252"/>
      <c r="H213" s="2252"/>
      <c r="I213" s="2252"/>
      <c r="J213" s="2252"/>
      <c r="K213" s="2252"/>
      <c r="L213" s="2252"/>
      <c r="M213" s="2252"/>
      <c r="N213" s="2252"/>
      <c r="O213" s="2252"/>
      <c r="P213" s="2252"/>
      <c r="Q213" s="2252"/>
      <c r="R213" s="2252"/>
      <c r="S213" s="2252"/>
      <c r="T213" s="2252"/>
      <c r="U213" s="2252"/>
      <c r="V213" s="2252"/>
      <c r="W213" s="2252"/>
      <c r="X213" s="2252"/>
      <c r="Y213" s="2252"/>
      <c r="Z213" s="2252"/>
      <c r="AA213" s="2252"/>
      <c r="AB213" s="2255"/>
      <c r="AC213" s="2252"/>
      <c r="AD213" s="2252"/>
      <c r="AE213" s="2252"/>
      <c r="AF213" s="2252"/>
    </row>
    <row r="214" spans="2:32">
      <c r="B214" s="2252"/>
      <c r="C214" s="2254"/>
      <c r="D214" s="2380"/>
      <c r="E214" s="2380"/>
      <c r="F214" s="2252"/>
      <c r="G214" s="2252"/>
      <c r="H214" s="2252"/>
      <c r="I214" s="2252"/>
      <c r="J214" s="2252"/>
      <c r="K214" s="2252"/>
      <c r="L214" s="2252"/>
      <c r="M214" s="2252"/>
      <c r="N214" s="2252"/>
      <c r="O214" s="2252"/>
      <c r="P214" s="2252"/>
      <c r="Q214" s="2252"/>
      <c r="R214" s="2252"/>
      <c r="S214" s="2252"/>
      <c r="T214" s="2252"/>
      <c r="U214" s="2252"/>
      <c r="V214" s="2252"/>
      <c r="W214" s="2252"/>
      <c r="X214" s="2252"/>
      <c r="Y214" s="2252"/>
      <c r="Z214" s="2252"/>
      <c r="AA214" s="2252"/>
      <c r="AB214" s="2255"/>
      <c r="AC214" s="2252"/>
      <c r="AD214" s="2252"/>
      <c r="AE214" s="2252"/>
      <c r="AF214" s="2252"/>
    </row>
    <row r="215" spans="2:32">
      <c r="B215" s="2252"/>
      <c r="C215" s="2254"/>
      <c r="D215" s="2380"/>
      <c r="E215" s="2380"/>
      <c r="F215" s="2252"/>
      <c r="G215" s="2252"/>
      <c r="H215" s="2252"/>
      <c r="I215" s="2252"/>
      <c r="J215" s="2252"/>
      <c r="K215" s="2252"/>
      <c r="L215" s="2252"/>
      <c r="M215" s="2252"/>
      <c r="N215" s="2252"/>
      <c r="O215" s="2252"/>
      <c r="P215" s="2252"/>
      <c r="Q215" s="2252"/>
      <c r="R215" s="2252"/>
      <c r="S215" s="2252"/>
      <c r="T215" s="2252"/>
      <c r="U215" s="2252"/>
      <c r="V215" s="2252"/>
      <c r="W215" s="2252"/>
      <c r="X215" s="2252"/>
      <c r="Y215" s="2252"/>
      <c r="Z215" s="2252"/>
      <c r="AA215" s="2252"/>
      <c r="AB215" s="2255"/>
      <c r="AC215" s="2252"/>
      <c r="AD215" s="2252"/>
      <c r="AE215" s="2252"/>
      <c r="AF215" s="2252"/>
    </row>
    <row r="216" spans="2:32">
      <c r="B216" s="2252"/>
      <c r="C216" s="2254"/>
      <c r="D216" s="2380"/>
      <c r="E216" s="2380"/>
      <c r="F216" s="2252"/>
      <c r="G216" s="2252"/>
      <c r="H216" s="2252"/>
      <c r="I216" s="2252"/>
      <c r="J216" s="2252"/>
      <c r="K216" s="2252"/>
      <c r="L216" s="2252"/>
      <c r="M216" s="2252"/>
      <c r="N216" s="2252"/>
      <c r="O216" s="2252"/>
      <c r="P216" s="2252"/>
      <c r="Q216" s="2252"/>
      <c r="R216" s="2252"/>
      <c r="S216" s="2252"/>
      <c r="T216" s="2252"/>
      <c r="U216" s="2252"/>
      <c r="V216" s="2252"/>
      <c r="W216" s="2252"/>
      <c r="X216" s="2252"/>
      <c r="Y216" s="2252"/>
      <c r="Z216" s="2252"/>
      <c r="AA216" s="2252"/>
      <c r="AB216" s="2255"/>
      <c r="AC216" s="2252"/>
      <c r="AD216" s="2252"/>
      <c r="AE216" s="2252"/>
      <c r="AF216" s="2252"/>
    </row>
    <row r="217" spans="2:32">
      <c r="B217" s="2252"/>
      <c r="C217" s="2254"/>
      <c r="D217" s="2380"/>
      <c r="E217" s="2380"/>
      <c r="F217" s="2252"/>
      <c r="G217" s="2252"/>
      <c r="H217" s="2252"/>
      <c r="I217" s="2252"/>
      <c r="J217" s="2252"/>
      <c r="K217" s="2252"/>
      <c r="L217" s="2252"/>
      <c r="M217" s="2252"/>
      <c r="N217" s="2252"/>
      <c r="O217" s="2252"/>
      <c r="P217" s="2252"/>
      <c r="Q217" s="2252"/>
      <c r="R217" s="2252"/>
      <c r="S217" s="2252"/>
      <c r="T217" s="2252"/>
      <c r="U217" s="2252"/>
      <c r="V217" s="2252"/>
      <c r="W217" s="2252"/>
      <c r="X217" s="2252"/>
      <c r="Y217" s="2252"/>
      <c r="Z217" s="2252"/>
      <c r="AA217" s="2252"/>
      <c r="AB217" s="2255"/>
      <c r="AC217" s="2252"/>
      <c r="AD217" s="2252"/>
      <c r="AE217" s="2252"/>
      <c r="AF217" s="2252"/>
    </row>
    <row r="218" spans="2:32">
      <c r="B218" s="2252"/>
      <c r="C218" s="2254"/>
      <c r="D218" s="2380"/>
      <c r="E218" s="2380"/>
      <c r="F218" s="2252"/>
      <c r="G218" s="2252"/>
      <c r="H218" s="2252"/>
      <c r="I218" s="2252"/>
      <c r="J218" s="2252"/>
      <c r="K218" s="2252"/>
      <c r="L218" s="2252"/>
      <c r="M218" s="2252"/>
      <c r="N218" s="2252"/>
      <c r="O218" s="2252"/>
      <c r="P218" s="2252"/>
      <c r="Q218" s="2252"/>
      <c r="R218" s="2252"/>
      <c r="S218" s="2252"/>
      <c r="T218" s="2252"/>
      <c r="U218" s="2252"/>
      <c r="V218" s="2252"/>
      <c r="W218" s="2252"/>
      <c r="X218" s="2252"/>
      <c r="Y218" s="2252"/>
      <c r="Z218" s="2252"/>
      <c r="AA218" s="2252"/>
      <c r="AB218" s="2255"/>
      <c r="AC218" s="2252"/>
      <c r="AD218" s="2252"/>
      <c r="AE218" s="2252"/>
      <c r="AF218" s="2252"/>
    </row>
    <row r="219" spans="2:32">
      <c r="B219" s="2252"/>
      <c r="C219" s="2254"/>
      <c r="D219" s="2380"/>
      <c r="E219" s="2380"/>
      <c r="F219" s="2252"/>
      <c r="G219" s="2252"/>
      <c r="H219" s="2252"/>
      <c r="I219" s="2252"/>
      <c r="J219" s="2252"/>
      <c r="K219" s="2252"/>
      <c r="L219" s="2252"/>
      <c r="M219" s="2252"/>
      <c r="N219" s="2252"/>
      <c r="O219" s="2252"/>
      <c r="P219" s="2252"/>
      <c r="Q219" s="2252"/>
      <c r="R219" s="2252"/>
      <c r="S219" s="2252"/>
      <c r="T219" s="2252"/>
      <c r="U219" s="2252"/>
      <c r="V219" s="2252"/>
      <c r="W219" s="2252"/>
      <c r="X219" s="2252"/>
      <c r="Y219" s="2252"/>
      <c r="Z219" s="2252"/>
      <c r="AA219" s="2252"/>
      <c r="AB219" s="2255"/>
      <c r="AC219" s="2252"/>
      <c r="AD219" s="2252"/>
      <c r="AE219" s="2252"/>
      <c r="AF219" s="2252"/>
    </row>
    <row r="220" spans="2:32">
      <c r="B220" s="2252"/>
      <c r="C220" s="2254"/>
      <c r="D220" s="2380"/>
      <c r="E220" s="2380"/>
      <c r="F220" s="2252"/>
      <c r="G220" s="2252"/>
      <c r="H220" s="2252"/>
      <c r="I220" s="2252"/>
      <c r="J220" s="2252"/>
      <c r="K220" s="2252"/>
      <c r="L220" s="2252"/>
      <c r="M220" s="2252"/>
      <c r="N220" s="2252"/>
      <c r="O220" s="2252"/>
      <c r="P220" s="2252"/>
      <c r="Q220" s="2252"/>
      <c r="R220" s="2252"/>
      <c r="S220" s="2252"/>
      <c r="T220" s="2252"/>
      <c r="U220" s="2252"/>
      <c r="V220" s="2252"/>
      <c r="W220" s="2252"/>
      <c r="X220" s="2252"/>
      <c r="Y220" s="2252"/>
      <c r="Z220" s="2252"/>
      <c r="AA220" s="2252"/>
      <c r="AB220" s="2255"/>
      <c r="AC220" s="2252"/>
      <c r="AD220" s="2252"/>
      <c r="AE220" s="2252"/>
      <c r="AF220" s="2252"/>
    </row>
    <row r="221" spans="2:32">
      <c r="B221" s="2252"/>
      <c r="C221" s="2254"/>
      <c r="D221" s="2380"/>
      <c r="E221" s="2380"/>
      <c r="F221" s="2252"/>
      <c r="G221" s="2252"/>
      <c r="H221" s="2252"/>
      <c r="I221" s="2252"/>
      <c r="J221" s="2252"/>
      <c r="K221" s="2252"/>
      <c r="L221" s="2252"/>
      <c r="M221" s="2252"/>
      <c r="N221" s="2252"/>
      <c r="O221" s="2252"/>
      <c r="P221" s="2252"/>
      <c r="Q221" s="2252"/>
      <c r="R221" s="2252"/>
      <c r="S221" s="2252"/>
      <c r="T221" s="2252"/>
      <c r="U221" s="2252"/>
      <c r="V221" s="2252"/>
      <c r="W221" s="2252"/>
      <c r="X221" s="2252"/>
      <c r="Y221" s="2252"/>
      <c r="Z221" s="2252"/>
      <c r="AA221" s="2252"/>
      <c r="AB221" s="2255"/>
      <c r="AC221" s="2252"/>
      <c r="AD221" s="2252"/>
      <c r="AE221" s="2252"/>
      <c r="AF221" s="2252"/>
    </row>
    <row r="222" spans="2:32">
      <c r="B222" s="2252"/>
      <c r="C222" s="2254"/>
      <c r="D222" s="2380"/>
      <c r="E222" s="2380"/>
      <c r="F222" s="2252"/>
      <c r="G222" s="2252"/>
      <c r="H222" s="2252"/>
      <c r="I222" s="2252"/>
      <c r="J222" s="2252"/>
      <c r="K222" s="2252"/>
      <c r="L222" s="2252"/>
      <c r="M222" s="2252"/>
      <c r="N222" s="2252"/>
      <c r="O222" s="2252"/>
      <c r="P222" s="2252"/>
      <c r="Q222" s="2252"/>
      <c r="R222" s="2252"/>
      <c r="S222" s="2252"/>
      <c r="T222" s="2252"/>
      <c r="U222" s="2252"/>
      <c r="V222" s="2252"/>
      <c r="W222" s="2252"/>
      <c r="X222" s="2252"/>
      <c r="Y222" s="2252"/>
      <c r="Z222" s="2252"/>
      <c r="AA222" s="2252"/>
      <c r="AB222" s="2255"/>
      <c r="AC222" s="2252"/>
      <c r="AD222" s="2252"/>
      <c r="AE222" s="2252"/>
      <c r="AF222" s="2252"/>
    </row>
    <row r="223" spans="2:32">
      <c r="B223" s="2252"/>
      <c r="C223" s="2254"/>
      <c r="D223" s="2380"/>
      <c r="E223" s="2380"/>
      <c r="F223" s="2252"/>
      <c r="G223" s="2252"/>
      <c r="H223" s="2252"/>
      <c r="I223" s="2252"/>
      <c r="J223" s="2252"/>
      <c r="K223" s="2252"/>
      <c r="L223" s="2252"/>
      <c r="M223" s="2252"/>
      <c r="N223" s="2252"/>
      <c r="O223" s="2252"/>
      <c r="P223" s="2252"/>
      <c r="Q223" s="2252"/>
      <c r="R223" s="2252"/>
      <c r="S223" s="2252"/>
      <c r="T223" s="2252"/>
      <c r="U223" s="2252"/>
      <c r="V223" s="2252"/>
      <c r="W223" s="2252"/>
      <c r="X223" s="2252"/>
      <c r="Y223" s="2252"/>
      <c r="Z223" s="2252"/>
      <c r="AA223" s="2252"/>
      <c r="AB223" s="2255"/>
      <c r="AC223" s="2252"/>
      <c r="AD223" s="2252"/>
      <c r="AE223" s="2252"/>
      <c r="AF223" s="2252"/>
    </row>
    <row r="224" spans="2:32">
      <c r="B224" s="2252"/>
      <c r="C224" s="2254"/>
      <c r="D224" s="2380"/>
      <c r="E224" s="2380"/>
      <c r="F224" s="2252"/>
      <c r="G224" s="2252"/>
      <c r="H224" s="2252"/>
      <c r="I224" s="2252"/>
      <c r="J224" s="2252"/>
      <c r="K224" s="2252"/>
      <c r="L224" s="2252"/>
      <c r="M224" s="2252"/>
      <c r="N224" s="2252"/>
      <c r="O224" s="2252"/>
      <c r="P224" s="2252"/>
      <c r="Q224" s="2252"/>
      <c r="R224" s="2252"/>
      <c r="S224" s="2252"/>
      <c r="T224" s="2252"/>
      <c r="U224" s="2252"/>
      <c r="V224" s="2252"/>
      <c r="W224" s="2252"/>
      <c r="X224" s="2252"/>
      <c r="Y224" s="2252"/>
      <c r="Z224" s="2252"/>
      <c r="AA224" s="2252"/>
      <c r="AB224" s="2255"/>
      <c r="AC224" s="2252"/>
      <c r="AD224" s="2252"/>
      <c r="AE224" s="2252"/>
      <c r="AF224" s="2252"/>
    </row>
    <row r="225" spans="2:32">
      <c r="B225" s="2252"/>
      <c r="C225" s="2254"/>
      <c r="D225" s="2380"/>
      <c r="E225" s="2380"/>
      <c r="F225" s="2252"/>
      <c r="G225" s="2252"/>
      <c r="H225" s="2252"/>
      <c r="I225" s="2252"/>
      <c r="J225" s="2252"/>
      <c r="K225" s="2252"/>
      <c r="L225" s="2252"/>
      <c r="M225" s="2252"/>
      <c r="N225" s="2252"/>
      <c r="O225" s="2252"/>
      <c r="P225" s="2252"/>
      <c r="Q225" s="2252"/>
      <c r="R225" s="2252"/>
      <c r="S225" s="2252"/>
      <c r="T225" s="2252"/>
      <c r="U225" s="2252"/>
      <c r="V225" s="2252"/>
      <c r="W225" s="2252"/>
      <c r="X225" s="2252"/>
      <c r="Y225" s="2252"/>
      <c r="Z225" s="2252"/>
      <c r="AA225" s="2252"/>
      <c r="AB225" s="2255"/>
      <c r="AC225" s="2252"/>
      <c r="AD225" s="2252"/>
      <c r="AE225" s="2252"/>
      <c r="AF225" s="2252"/>
    </row>
    <row r="226" spans="2:32">
      <c r="B226" s="2252"/>
      <c r="C226" s="2254"/>
      <c r="D226" s="2380"/>
      <c r="E226" s="2380"/>
      <c r="F226" s="2252"/>
      <c r="G226" s="2252"/>
      <c r="H226" s="2252"/>
      <c r="I226" s="2252"/>
      <c r="J226" s="2252"/>
      <c r="K226" s="2252"/>
      <c r="L226" s="2252"/>
      <c r="M226" s="2252"/>
      <c r="N226" s="2252"/>
      <c r="O226" s="2252"/>
      <c r="P226" s="2252"/>
      <c r="Q226" s="2252"/>
      <c r="R226" s="2252"/>
      <c r="S226" s="2252"/>
      <c r="T226" s="2252"/>
      <c r="U226" s="2252"/>
      <c r="V226" s="2252"/>
      <c r="W226" s="2252"/>
      <c r="X226" s="2252"/>
      <c r="Y226" s="2252"/>
      <c r="Z226" s="2252"/>
      <c r="AA226" s="2252"/>
      <c r="AB226" s="2255"/>
      <c r="AC226" s="2252"/>
      <c r="AD226" s="2252"/>
      <c r="AE226" s="2252"/>
      <c r="AF226" s="2252"/>
    </row>
    <row r="227" spans="2:32">
      <c r="B227" s="2252"/>
      <c r="C227" s="2254"/>
      <c r="D227" s="2380"/>
      <c r="E227" s="2380"/>
      <c r="F227" s="2252"/>
      <c r="G227" s="2252"/>
      <c r="H227" s="2252"/>
      <c r="I227" s="2252"/>
      <c r="J227" s="2252"/>
      <c r="K227" s="2252"/>
      <c r="L227" s="2252"/>
      <c r="M227" s="2252"/>
      <c r="N227" s="2252"/>
      <c r="O227" s="2252"/>
      <c r="P227" s="2252"/>
      <c r="Q227" s="2252"/>
      <c r="R227" s="2252"/>
      <c r="S227" s="2252"/>
      <c r="T227" s="2252"/>
      <c r="U227" s="2252"/>
      <c r="V227" s="2252"/>
      <c r="W227" s="2252"/>
      <c r="X227" s="2252"/>
      <c r="Y227" s="2252"/>
      <c r="Z227" s="2252"/>
      <c r="AA227" s="2252"/>
      <c r="AB227" s="2255"/>
      <c r="AC227" s="2252"/>
      <c r="AD227" s="2252"/>
      <c r="AE227" s="2252"/>
      <c r="AF227" s="2252"/>
    </row>
    <row r="228" spans="2:32">
      <c r="B228" s="2252"/>
      <c r="C228" s="2254"/>
      <c r="D228" s="2380"/>
      <c r="E228" s="2380"/>
      <c r="F228" s="2252"/>
      <c r="G228" s="2252"/>
      <c r="H228" s="2252"/>
      <c r="I228" s="2252"/>
      <c r="J228" s="2252"/>
      <c r="K228" s="2252"/>
      <c r="L228" s="2252"/>
      <c r="M228" s="2252"/>
      <c r="N228" s="2252"/>
      <c r="O228" s="2252"/>
      <c r="P228" s="2252"/>
      <c r="Q228" s="2252"/>
      <c r="R228" s="2252"/>
      <c r="S228" s="2252"/>
      <c r="T228" s="2252"/>
      <c r="U228" s="2252"/>
      <c r="V228" s="2252"/>
      <c r="W228" s="2252"/>
      <c r="X228" s="2252"/>
      <c r="Y228" s="2252"/>
      <c r="Z228" s="2252"/>
      <c r="AA228" s="2252"/>
      <c r="AB228" s="2255"/>
      <c r="AC228" s="2252"/>
      <c r="AD228" s="2252"/>
      <c r="AE228" s="2252"/>
      <c r="AF228" s="2252"/>
    </row>
    <row r="229" spans="2:32">
      <c r="B229" s="2252"/>
      <c r="C229" s="2254"/>
      <c r="D229" s="2380"/>
      <c r="E229" s="2380"/>
      <c r="F229" s="2252"/>
      <c r="G229" s="2252"/>
      <c r="H229" s="2252"/>
      <c r="I229" s="2252"/>
      <c r="J229" s="2252"/>
      <c r="K229" s="2252"/>
      <c r="L229" s="2252"/>
      <c r="M229" s="2252"/>
      <c r="N229" s="2252"/>
      <c r="O229" s="2252"/>
      <c r="P229" s="2252"/>
      <c r="Q229" s="2252"/>
      <c r="R229" s="2252"/>
      <c r="S229" s="2252"/>
      <c r="T229" s="2252"/>
      <c r="U229" s="2252"/>
      <c r="V229" s="2252"/>
      <c r="W229" s="2252"/>
      <c r="X229" s="2252"/>
      <c r="Y229" s="2252"/>
      <c r="Z229" s="2252"/>
      <c r="AA229" s="2252"/>
      <c r="AB229" s="2255"/>
      <c r="AC229" s="2252"/>
      <c r="AD229" s="2252"/>
      <c r="AE229" s="2252"/>
      <c r="AF229" s="2252"/>
    </row>
    <row r="230" spans="2:32">
      <c r="B230" s="2252"/>
      <c r="C230" s="2254"/>
      <c r="D230" s="2380"/>
      <c r="E230" s="2380"/>
      <c r="F230" s="2252"/>
      <c r="G230" s="2252"/>
      <c r="H230" s="2252"/>
      <c r="I230" s="2252"/>
      <c r="J230" s="2252"/>
      <c r="K230" s="2252"/>
      <c r="L230" s="2252"/>
      <c r="M230" s="2252"/>
      <c r="N230" s="2252"/>
      <c r="O230" s="2252"/>
      <c r="P230" s="2252"/>
      <c r="Q230" s="2252"/>
      <c r="R230" s="2252"/>
      <c r="S230" s="2252"/>
      <c r="T230" s="2252"/>
      <c r="U230" s="2252"/>
      <c r="V230" s="2252"/>
      <c r="W230" s="2252"/>
      <c r="X230" s="2252"/>
      <c r="Y230" s="2252"/>
      <c r="Z230" s="2252"/>
      <c r="AA230" s="2252"/>
      <c r="AB230" s="2255"/>
      <c r="AC230" s="2252"/>
      <c r="AD230" s="2252"/>
      <c r="AE230" s="2252"/>
      <c r="AF230" s="2252"/>
    </row>
    <row r="231" spans="2:32">
      <c r="B231" s="2252"/>
      <c r="C231" s="2254"/>
      <c r="D231" s="2380"/>
      <c r="E231" s="2380"/>
      <c r="F231" s="2252"/>
      <c r="G231" s="2252"/>
      <c r="H231" s="2252"/>
      <c r="I231" s="2252"/>
      <c r="J231" s="2252"/>
      <c r="K231" s="2252"/>
      <c r="L231" s="2252"/>
      <c r="M231" s="2252"/>
      <c r="N231" s="2252"/>
      <c r="O231" s="2252"/>
      <c r="P231" s="2252"/>
      <c r="Q231" s="2252"/>
      <c r="R231" s="2252"/>
      <c r="S231" s="2252"/>
      <c r="T231" s="2252"/>
      <c r="U231" s="2252"/>
      <c r="V231" s="2252"/>
      <c r="W231" s="2252"/>
      <c r="X231" s="2252"/>
      <c r="Y231" s="2252"/>
      <c r="Z231" s="2252"/>
      <c r="AA231" s="2252"/>
      <c r="AB231" s="2255"/>
      <c r="AC231" s="2252"/>
      <c r="AD231" s="2252"/>
      <c r="AE231" s="2252"/>
      <c r="AF231" s="2252"/>
    </row>
    <row r="232" spans="2:32">
      <c r="B232" s="2252"/>
      <c r="C232" s="2254"/>
      <c r="D232" s="2380"/>
      <c r="E232" s="2380"/>
      <c r="F232" s="2252"/>
      <c r="G232" s="2252"/>
      <c r="H232" s="2252"/>
      <c r="I232" s="2252"/>
      <c r="J232" s="2252"/>
      <c r="K232" s="2252"/>
      <c r="L232" s="2252"/>
      <c r="M232" s="2252"/>
      <c r="N232" s="2252"/>
      <c r="O232" s="2252"/>
      <c r="P232" s="2252"/>
      <c r="Q232" s="2252"/>
      <c r="R232" s="2252"/>
      <c r="S232" s="2252"/>
      <c r="T232" s="2252"/>
      <c r="U232" s="2252"/>
      <c r="V232" s="2252"/>
      <c r="W232" s="2252"/>
      <c r="X232" s="2252"/>
      <c r="Y232" s="2252"/>
      <c r="Z232" s="2252"/>
      <c r="AA232" s="2252"/>
      <c r="AB232" s="2255"/>
      <c r="AC232" s="2252"/>
      <c r="AD232" s="2252"/>
      <c r="AE232" s="2252"/>
      <c r="AF232" s="2252"/>
    </row>
    <row r="233" spans="2:32">
      <c r="B233" s="2252"/>
      <c r="C233" s="2254"/>
      <c r="D233" s="2380"/>
      <c r="E233" s="2380"/>
      <c r="F233" s="2252"/>
      <c r="G233" s="2252"/>
      <c r="H233" s="2252"/>
      <c r="I233" s="2252"/>
      <c r="J233" s="2252"/>
      <c r="K233" s="2252"/>
      <c r="L233" s="2252"/>
      <c r="M233" s="2252"/>
      <c r="N233" s="2252"/>
      <c r="O233" s="2252"/>
      <c r="P233" s="2252"/>
      <c r="Q233" s="2252"/>
      <c r="R233" s="2252"/>
      <c r="S233" s="2252"/>
      <c r="T233" s="2252"/>
      <c r="U233" s="2252"/>
      <c r="V233" s="2252"/>
      <c r="W233" s="2252"/>
      <c r="X233" s="2252"/>
      <c r="Y233" s="2252"/>
      <c r="Z233" s="2252"/>
      <c r="AA233" s="2252"/>
      <c r="AB233" s="2255"/>
      <c r="AC233" s="2252"/>
      <c r="AD233" s="2252"/>
      <c r="AE233" s="2252"/>
      <c r="AF233" s="2252"/>
    </row>
    <row r="234" spans="2:32">
      <c r="B234" s="2252"/>
      <c r="C234" s="2254"/>
      <c r="D234" s="2380"/>
      <c r="E234" s="2380"/>
      <c r="F234" s="2252"/>
      <c r="G234" s="2252"/>
      <c r="H234" s="2252"/>
      <c r="I234" s="2252"/>
      <c r="J234" s="2252"/>
      <c r="K234" s="2252"/>
      <c r="L234" s="2252"/>
      <c r="M234" s="2252"/>
      <c r="N234" s="2252"/>
      <c r="O234" s="2252"/>
      <c r="P234" s="2252"/>
      <c r="Q234" s="2252"/>
      <c r="R234" s="2252"/>
      <c r="S234" s="2252"/>
      <c r="T234" s="2252"/>
      <c r="U234" s="2252"/>
      <c r="V234" s="2252"/>
      <c r="W234" s="2252"/>
      <c r="X234" s="2252"/>
      <c r="Y234" s="2252"/>
      <c r="Z234" s="2252"/>
      <c r="AA234" s="2252"/>
      <c r="AB234" s="2255"/>
      <c r="AC234" s="2252"/>
      <c r="AD234" s="2252"/>
      <c r="AE234" s="2252"/>
      <c r="AF234" s="2252"/>
    </row>
    <row r="235" spans="2:32">
      <c r="B235" s="2252"/>
      <c r="C235" s="2254"/>
      <c r="D235" s="2380"/>
      <c r="E235" s="2380"/>
      <c r="F235" s="2252"/>
      <c r="G235" s="2252"/>
      <c r="H235" s="2252"/>
      <c r="I235" s="2252"/>
      <c r="J235" s="2252"/>
      <c r="K235" s="2252"/>
      <c r="L235" s="2252"/>
      <c r="M235" s="2252"/>
      <c r="N235" s="2252"/>
      <c r="O235" s="2252"/>
      <c r="P235" s="2252"/>
      <c r="Q235" s="2252"/>
      <c r="R235" s="2252"/>
      <c r="S235" s="2252"/>
      <c r="T235" s="2252"/>
      <c r="U235" s="2252"/>
      <c r="V235" s="2252"/>
      <c r="W235" s="2252"/>
      <c r="X235" s="2252"/>
      <c r="Y235" s="2252"/>
      <c r="Z235" s="2252"/>
      <c r="AA235" s="2252"/>
      <c r="AB235" s="2255"/>
      <c r="AC235" s="2252"/>
      <c r="AD235" s="2252"/>
      <c r="AE235" s="2252"/>
      <c r="AF235" s="2252"/>
    </row>
    <row r="236" spans="2:32">
      <c r="B236" s="2252"/>
      <c r="C236" s="2254"/>
      <c r="D236" s="2380"/>
      <c r="E236" s="2380"/>
      <c r="F236" s="2252"/>
      <c r="G236" s="2252"/>
      <c r="H236" s="2252"/>
      <c r="I236" s="2252"/>
      <c r="J236" s="2252"/>
      <c r="K236" s="2252"/>
      <c r="L236" s="2252"/>
      <c r="M236" s="2252"/>
      <c r="N236" s="2252"/>
      <c r="O236" s="2252"/>
      <c r="P236" s="2252"/>
      <c r="Q236" s="2252"/>
      <c r="R236" s="2252"/>
      <c r="S236" s="2252"/>
      <c r="T236" s="2252"/>
      <c r="U236" s="2252"/>
      <c r="V236" s="2252"/>
      <c r="W236" s="2252"/>
      <c r="X236" s="2252"/>
      <c r="Y236" s="2252"/>
      <c r="Z236" s="2252"/>
      <c r="AA236" s="2252"/>
      <c r="AB236" s="2255"/>
      <c r="AC236" s="2252"/>
      <c r="AD236" s="2252"/>
      <c r="AE236" s="2252"/>
      <c r="AF236" s="2252"/>
    </row>
    <row r="237" spans="2:32">
      <c r="B237" s="2252"/>
      <c r="C237" s="2254"/>
      <c r="D237" s="2380"/>
      <c r="E237" s="2380"/>
      <c r="F237" s="2252"/>
      <c r="G237" s="2252"/>
      <c r="H237" s="2252"/>
      <c r="I237" s="2252"/>
      <c r="J237" s="2252"/>
      <c r="K237" s="2252"/>
      <c r="L237" s="2252"/>
      <c r="M237" s="2252"/>
      <c r="N237" s="2252"/>
      <c r="O237" s="2252"/>
      <c r="P237" s="2252"/>
      <c r="Q237" s="2252"/>
      <c r="R237" s="2252"/>
      <c r="S237" s="2252"/>
      <c r="T237" s="2252"/>
      <c r="U237" s="2252"/>
      <c r="V237" s="2252"/>
      <c r="W237" s="2252"/>
      <c r="X237" s="2252"/>
      <c r="Y237" s="2252"/>
      <c r="Z237" s="2252"/>
      <c r="AA237" s="2252"/>
      <c r="AB237" s="2255"/>
      <c r="AC237" s="2252"/>
      <c r="AD237" s="2252"/>
      <c r="AE237" s="2252"/>
      <c r="AF237" s="2252"/>
    </row>
    <row r="238" spans="2:32">
      <c r="B238" s="2252"/>
      <c r="C238" s="2254"/>
      <c r="D238" s="2380"/>
      <c r="E238" s="2380"/>
      <c r="F238" s="2252"/>
      <c r="G238" s="2252"/>
      <c r="H238" s="2252"/>
      <c r="I238" s="2252"/>
      <c r="J238" s="2252"/>
      <c r="K238" s="2252"/>
      <c r="L238" s="2252"/>
      <c r="M238" s="2252"/>
      <c r="N238" s="2252"/>
      <c r="O238" s="2252"/>
      <c r="P238" s="2252"/>
      <c r="Q238" s="2252"/>
      <c r="R238" s="2252"/>
      <c r="S238" s="2252"/>
      <c r="T238" s="2252"/>
      <c r="U238" s="2252"/>
      <c r="V238" s="2252"/>
      <c r="W238" s="2252"/>
      <c r="X238" s="2252"/>
      <c r="Y238" s="2252"/>
      <c r="Z238" s="2252"/>
      <c r="AA238" s="2252"/>
      <c r="AB238" s="2255"/>
      <c r="AC238" s="2252"/>
      <c r="AD238" s="2252"/>
      <c r="AE238" s="2252"/>
      <c r="AF238" s="2252"/>
    </row>
    <row r="239" spans="2:32">
      <c r="B239" s="2252"/>
      <c r="C239" s="2254"/>
      <c r="D239" s="2380"/>
      <c r="E239" s="2380"/>
      <c r="F239" s="2252"/>
      <c r="G239" s="2252"/>
      <c r="H239" s="2252"/>
      <c r="I239" s="2252"/>
      <c r="J239" s="2252"/>
      <c r="K239" s="2252"/>
      <c r="L239" s="2252"/>
      <c r="M239" s="2252"/>
      <c r="N239" s="2252"/>
      <c r="O239" s="2252"/>
      <c r="P239" s="2252"/>
      <c r="Q239" s="2252"/>
      <c r="R239" s="2252"/>
      <c r="S239" s="2252"/>
      <c r="T239" s="2252"/>
      <c r="U239" s="2252"/>
      <c r="V239" s="2252"/>
      <c r="W239" s="2252"/>
      <c r="X239" s="2252"/>
      <c r="Y239" s="2252"/>
      <c r="Z239" s="2252"/>
      <c r="AA239" s="2252"/>
      <c r="AB239" s="2255"/>
      <c r="AC239" s="2252"/>
      <c r="AD239" s="2252"/>
      <c r="AE239" s="2252"/>
      <c r="AF239" s="2252"/>
    </row>
    <row r="240" spans="2:32">
      <c r="B240" s="2252"/>
      <c r="C240" s="2254"/>
      <c r="D240" s="2380"/>
      <c r="E240" s="2380"/>
      <c r="F240" s="2252"/>
      <c r="G240" s="2252"/>
      <c r="H240" s="2252"/>
      <c r="I240" s="2252"/>
      <c r="J240" s="2252"/>
      <c r="K240" s="2252"/>
      <c r="L240" s="2252"/>
      <c r="M240" s="2252"/>
      <c r="N240" s="2252"/>
      <c r="O240" s="2252"/>
      <c r="P240" s="2252"/>
      <c r="Q240" s="2252"/>
      <c r="R240" s="2252"/>
      <c r="S240" s="2252"/>
      <c r="T240" s="2252"/>
      <c r="U240" s="2252"/>
      <c r="V240" s="2252"/>
      <c r="W240" s="2252"/>
      <c r="X240" s="2252"/>
      <c r="Y240" s="2252"/>
      <c r="Z240" s="2252"/>
      <c r="AA240" s="2252"/>
      <c r="AB240" s="2255"/>
      <c r="AC240" s="2252"/>
      <c r="AD240" s="2252"/>
      <c r="AE240" s="2252"/>
      <c r="AF240" s="2252"/>
    </row>
    <row r="241" spans="2:32">
      <c r="B241" s="2252"/>
      <c r="C241" s="2254"/>
      <c r="D241" s="2380"/>
      <c r="E241" s="2380"/>
      <c r="F241" s="2252"/>
      <c r="G241" s="2252"/>
      <c r="H241" s="2252"/>
      <c r="I241" s="2252"/>
      <c r="J241" s="2252"/>
      <c r="K241" s="2252"/>
      <c r="L241" s="2252"/>
      <c r="M241" s="2252"/>
      <c r="N241" s="2252"/>
      <c r="O241" s="2252"/>
      <c r="P241" s="2252"/>
      <c r="Q241" s="2252"/>
      <c r="R241" s="2252"/>
      <c r="S241" s="2252"/>
      <c r="T241" s="2252"/>
      <c r="U241" s="2252"/>
      <c r="V241" s="2252"/>
      <c r="W241" s="2252"/>
      <c r="X241" s="2252"/>
      <c r="Y241" s="2252"/>
      <c r="Z241" s="2252"/>
      <c r="AA241" s="2252"/>
      <c r="AB241" s="2255"/>
      <c r="AC241" s="2252"/>
      <c r="AD241" s="2252"/>
      <c r="AE241" s="2252"/>
      <c r="AF241" s="2252"/>
    </row>
    <row r="242" spans="2:32">
      <c r="B242" s="2252"/>
      <c r="C242" s="2254"/>
      <c r="D242" s="2380"/>
      <c r="E242" s="2380"/>
      <c r="F242" s="2252"/>
      <c r="G242" s="2252"/>
      <c r="H242" s="2252"/>
      <c r="I242" s="2252"/>
      <c r="J242" s="2252"/>
      <c r="K242" s="2252"/>
      <c r="L242" s="2252"/>
      <c r="M242" s="2252"/>
      <c r="N242" s="2252"/>
      <c r="O242" s="2252"/>
      <c r="P242" s="2252"/>
      <c r="Q242" s="2252"/>
      <c r="R242" s="2252"/>
      <c r="S242" s="2252"/>
      <c r="T242" s="2252"/>
      <c r="U242" s="2252"/>
      <c r="V242" s="2252"/>
      <c r="W242" s="2252"/>
      <c r="X242" s="2252"/>
      <c r="Y242" s="2252"/>
      <c r="Z242" s="2252"/>
      <c r="AA242" s="2252"/>
      <c r="AB242" s="2255"/>
      <c r="AC242" s="2252"/>
      <c r="AD242" s="2252"/>
      <c r="AE242" s="2252"/>
      <c r="AF242" s="2252"/>
    </row>
    <row r="243" spans="2:32">
      <c r="B243" s="2252"/>
      <c r="C243" s="2254"/>
      <c r="D243" s="2380"/>
      <c r="E243" s="2380"/>
      <c r="F243" s="2252"/>
      <c r="G243" s="2252"/>
      <c r="H243" s="2252"/>
      <c r="I243" s="2252"/>
      <c r="J243" s="2252"/>
      <c r="K243" s="2252"/>
      <c r="L243" s="2252"/>
      <c r="M243" s="2252"/>
      <c r="N243" s="2252"/>
      <c r="O243" s="2252"/>
      <c r="P243" s="2252"/>
      <c r="Q243" s="2252"/>
      <c r="R243" s="2252"/>
      <c r="S243" s="2252"/>
      <c r="T243" s="2252"/>
      <c r="U243" s="2252"/>
      <c r="V243" s="2252"/>
      <c r="W243" s="2252"/>
      <c r="X243" s="2252"/>
      <c r="Y243" s="2252"/>
      <c r="Z243" s="2252"/>
      <c r="AA243" s="2252"/>
      <c r="AB243" s="2255"/>
      <c r="AC243" s="2252"/>
      <c r="AD243" s="2252"/>
      <c r="AE243" s="2252"/>
      <c r="AF243" s="2252"/>
    </row>
    <row r="244" spans="2:32">
      <c r="B244" s="2252"/>
      <c r="C244" s="2254"/>
      <c r="D244" s="2380"/>
      <c r="E244" s="2380"/>
      <c r="F244" s="2252"/>
      <c r="G244" s="2252"/>
      <c r="H244" s="2252"/>
      <c r="I244" s="2252"/>
      <c r="J244" s="2252"/>
      <c r="K244" s="2252"/>
      <c r="L244" s="2252"/>
      <c r="M244" s="2252"/>
      <c r="N244" s="2252"/>
      <c r="O244" s="2252"/>
      <c r="P244" s="2252"/>
      <c r="Q244" s="2252"/>
      <c r="R244" s="2252"/>
      <c r="S244" s="2252"/>
      <c r="T244" s="2252"/>
      <c r="U244" s="2252"/>
      <c r="V244" s="2252"/>
      <c r="W244" s="2252"/>
      <c r="X244" s="2252"/>
      <c r="Y244" s="2252"/>
      <c r="Z244" s="2252"/>
      <c r="AA244" s="2252"/>
      <c r="AB244" s="2255"/>
      <c r="AC244" s="2252"/>
      <c r="AD244" s="2252"/>
      <c r="AE244" s="2252"/>
      <c r="AF244" s="2252"/>
    </row>
    <row r="245" spans="2:32">
      <c r="B245" s="2252"/>
      <c r="C245" s="2254"/>
      <c r="D245" s="2380"/>
      <c r="E245" s="2380"/>
      <c r="F245" s="2252"/>
      <c r="G245" s="2252"/>
      <c r="H245" s="2252"/>
      <c r="I245" s="2252"/>
      <c r="J245" s="2252"/>
      <c r="K245" s="2252"/>
      <c r="L245" s="2252"/>
      <c r="M245" s="2252"/>
      <c r="N245" s="2252"/>
      <c r="O245" s="2252"/>
      <c r="P245" s="2252"/>
      <c r="Q245" s="2252"/>
      <c r="R245" s="2252"/>
      <c r="S245" s="2252"/>
      <c r="T245" s="2252"/>
      <c r="U245" s="2252"/>
      <c r="V245" s="2252"/>
      <c r="W245" s="2252"/>
      <c r="X245" s="2252"/>
      <c r="Y245" s="2252"/>
      <c r="Z245" s="2252"/>
      <c r="AA245" s="2252"/>
      <c r="AB245" s="2255"/>
      <c r="AC245" s="2252"/>
      <c r="AD245" s="2252"/>
      <c r="AE245" s="2252"/>
      <c r="AF245" s="2252"/>
    </row>
    <row r="246" spans="2:32">
      <c r="B246" s="2252"/>
      <c r="C246" s="2254"/>
      <c r="D246" s="2380"/>
      <c r="E246" s="2380"/>
      <c r="F246" s="2252"/>
      <c r="G246" s="2252"/>
      <c r="H246" s="2252"/>
      <c r="I246" s="2252"/>
      <c r="J246" s="2252"/>
      <c r="K246" s="2252"/>
      <c r="L246" s="2252"/>
      <c r="M246" s="2252"/>
      <c r="N246" s="2252"/>
      <c r="O246" s="2252"/>
      <c r="P246" s="2252"/>
      <c r="Q246" s="2252"/>
      <c r="R246" s="2252"/>
      <c r="S246" s="2252"/>
      <c r="T246" s="2252"/>
      <c r="U246" s="2252"/>
      <c r="V246" s="2252"/>
      <c r="W246" s="2252"/>
      <c r="X246" s="2252"/>
      <c r="Y246" s="2252"/>
      <c r="Z246" s="2252"/>
      <c r="AA246" s="2252"/>
      <c r="AB246" s="2255"/>
      <c r="AC246" s="2252"/>
      <c r="AD246" s="2252"/>
      <c r="AE246" s="2252"/>
      <c r="AF246" s="2252"/>
    </row>
    <row r="247" spans="2:32">
      <c r="B247" s="2252"/>
      <c r="C247" s="2254"/>
      <c r="D247" s="2380"/>
      <c r="E247" s="2380"/>
      <c r="F247" s="2252"/>
      <c r="G247" s="2252"/>
      <c r="H247" s="2252"/>
      <c r="I247" s="2252"/>
      <c r="J247" s="2252"/>
      <c r="K247" s="2252"/>
      <c r="L247" s="2252"/>
      <c r="M247" s="2252"/>
      <c r="N247" s="2252"/>
      <c r="O247" s="2252"/>
      <c r="P247" s="2252"/>
      <c r="Q247" s="2252"/>
      <c r="R247" s="2252"/>
      <c r="S247" s="2252"/>
      <c r="T247" s="2252"/>
      <c r="U247" s="2252"/>
      <c r="V247" s="2252"/>
      <c r="W247" s="2252"/>
      <c r="X247" s="2252"/>
      <c r="Y247" s="2252"/>
      <c r="Z247" s="2252"/>
      <c r="AA247" s="2252"/>
      <c r="AB247" s="2255"/>
      <c r="AC247" s="2252"/>
      <c r="AD247" s="2252"/>
      <c r="AE247" s="2252"/>
      <c r="AF247" s="2252"/>
    </row>
    <row r="248" spans="2:32">
      <c r="B248" s="2252"/>
      <c r="C248" s="2254"/>
      <c r="D248" s="2380"/>
      <c r="E248" s="2380"/>
      <c r="F248" s="2252"/>
      <c r="G248" s="2252"/>
      <c r="H248" s="2252"/>
      <c r="I248" s="2252"/>
      <c r="J248" s="2252"/>
      <c r="K248" s="2252"/>
      <c r="L248" s="2252"/>
      <c r="M248" s="2252"/>
      <c r="N248" s="2252"/>
      <c r="O248" s="2252"/>
      <c r="P248" s="2252"/>
      <c r="Q248" s="2252"/>
      <c r="R248" s="2252"/>
      <c r="S248" s="2252"/>
      <c r="T248" s="2252"/>
      <c r="U248" s="2252"/>
      <c r="V248" s="2252"/>
      <c r="W248" s="2252"/>
      <c r="X248" s="2252"/>
      <c r="Y248" s="2252"/>
      <c r="Z248" s="2252"/>
      <c r="AA248" s="2252"/>
      <c r="AB248" s="2255"/>
      <c r="AC248" s="2252"/>
      <c r="AD248" s="2252"/>
      <c r="AE248" s="2252"/>
      <c r="AF248" s="2252"/>
    </row>
    <row r="249" spans="2:32">
      <c r="B249" s="2252"/>
      <c r="C249" s="2254"/>
      <c r="D249" s="2380"/>
      <c r="E249" s="2380"/>
      <c r="F249" s="2252"/>
      <c r="G249" s="2252"/>
      <c r="H249" s="2252"/>
      <c r="I249" s="2252"/>
      <c r="J249" s="2252"/>
      <c r="K249" s="2252"/>
      <c r="L249" s="2252"/>
      <c r="M249" s="2252"/>
      <c r="N249" s="2252"/>
      <c r="O249" s="2252"/>
      <c r="P249" s="2252"/>
      <c r="Q249" s="2252"/>
      <c r="R249" s="2252"/>
      <c r="S249" s="2252"/>
      <c r="T249" s="2252"/>
      <c r="U249" s="2252"/>
      <c r="V249" s="2252"/>
      <c r="W249" s="2252"/>
      <c r="X249" s="2252"/>
      <c r="Y249" s="2252"/>
      <c r="Z249" s="2252"/>
      <c r="AA249" s="2252"/>
      <c r="AB249" s="2255"/>
      <c r="AC249" s="2252"/>
      <c r="AD249" s="2252"/>
      <c r="AE249" s="2252"/>
      <c r="AF249" s="2252"/>
    </row>
    <row r="250" spans="2:32">
      <c r="B250" s="2252"/>
      <c r="C250" s="2254"/>
      <c r="D250" s="2380"/>
      <c r="E250" s="2380"/>
      <c r="F250" s="2252"/>
      <c r="G250" s="2252"/>
      <c r="H250" s="2252"/>
      <c r="I250" s="2252"/>
      <c r="J250" s="2252"/>
      <c r="K250" s="2252"/>
      <c r="L250" s="2252"/>
      <c r="M250" s="2252"/>
      <c r="N250" s="2252"/>
      <c r="O250" s="2252"/>
      <c r="P250" s="2252"/>
      <c r="Q250" s="2252"/>
      <c r="R250" s="2252"/>
      <c r="S250" s="2252"/>
      <c r="T250" s="2252"/>
      <c r="U250" s="2252"/>
      <c r="V250" s="2252"/>
      <c r="W250" s="2252"/>
      <c r="X250" s="2252"/>
      <c r="Y250" s="2252"/>
      <c r="Z250" s="2252"/>
      <c r="AA250" s="2252"/>
      <c r="AB250" s="2255"/>
      <c r="AC250" s="2252"/>
      <c r="AD250" s="2252"/>
      <c r="AE250" s="2252"/>
      <c r="AF250" s="2252"/>
    </row>
    <row r="251" spans="2:32">
      <c r="B251" s="2252"/>
      <c r="C251" s="2254"/>
      <c r="D251" s="2380"/>
      <c r="E251" s="2380"/>
      <c r="F251" s="2252"/>
      <c r="G251" s="2252"/>
      <c r="H251" s="2252"/>
      <c r="I251" s="2252"/>
      <c r="J251" s="2252"/>
      <c r="K251" s="2252"/>
      <c r="L251" s="2252"/>
      <c r="M251" s="2252"/>
      <c r="N251" s="2252"/>
      <c r="O251" s="2252"/>
      <c r="P251" s="2252"/>
      <c r="Q251" s="2252"/>
      <c r="R251" s="2252"/>
      <c r="S251" s="2252"/>
      <c r="T251" s="2252"/>
      <c r="U251" s="2252"/>
      <c r="V251" s="2252"/>
      <c r="W251" s="2252"/>
      <c r="X251" s="2252"/>
      <c r="Y251" s="2252"/>
      <c r="Z251" s="2252"/>
      <c r="AA251" s="2252"/>
      <c r="AB251" s="2255"/>
      <c r="AC251" s="2252"/>
      <c r="AD251" s="2252"/>
      <c r="AE251" s="2252"/>
      <c r="AF251" s="2252"/>
    </row>
    <row r="252" spans="2:32">
      <c r="B252" s="2252"/>
      <c r="C252" s="2254"/>
      <c r="D252" s="2380"/>
      <c r="E252" s="2380"/>
      <c r="F252" s="2252"/>
      <c r="G252" s="2252"/>
      <c r="H252" s="2252"/>
      <c r="I252" s="2252"/>
      <c r="J252" s="2252"/>
      <c r="K252" s="2252"/>
      <c r="L252" s="2252"/>
      <c r="M252" s="2252"/>
      <c r="N252" s="2252"/>
      <c r="O252" s="2252"/>
      <c r="P252" s="2252"/>
      <c r="Q252" s="2252"/>
      <c r="R252" s="2252"/>
      <c r="S252" s="2252"/>
      <c r="T252" s="2252"/>
      <c r="U252" s="2252"/>
      <c r="V252" s="2252"/>
      <c r="W252" s="2252"/>
      <c r="X252" s="2252"/>
      <c r="Y252" s="2252"/>
      <c r="Z252" s="2252"/>
      <c r="AA252" s="2252"/>
      <c r="AB252" s="2255"/>
      <c r="AC252" s="2252"/>
      <c r="AD252" s="2252"/>
      <c r="AE252" s="2252"/>
      <c r="AF252" s="2252"/>
    </row>
    <row r="253" spans="2:32">
      <c r="B253" s="2252"/>
      <c r="C253" s="2254"/>
      <c r="D253" s="2380"/>
      <c r="E253" s="2380"/>
      <c r="F253" s="2252"/>
      <c r="G253" s="2252"/>
      <c r="H253" s="2252"/>
      <c r="I253" s="2252"/>
      <c r="J253" s="2252"/>
      <c r="K253" s="2252"/>
      <c r="L253" s="2252"/>
      <c r="M253" s="2252"/>
      <c r="N253" s="2252"/>
      <c r="O253" s="2252"/>
      <c r="P253" s="2252"/>
      <c r="Q253" s="2252"/>
      <c r="R253" s="2252"/>
      <c r="S253" s="2252"/>
      <c r="T253" s="2252"/>
      <c r="U253" s="2252"/>
      <c r="V253" s="2252"/>
      <c r="W253" s="2252"/>
      <c r="X253" s="2252"/>
      <c r="Y253" s="2252"/>
      <c r="Z253" s="2252"/>
      <c r="AA253" s="2252"/>
      <c r="AB253" s="2255"/>
      <c r="AC253" s="2252"/>
      <c r="AD253" s="2252"/>
      <c r="AE253" s="2252"/>
      <c r="AF253" s="2252"/>
    </row>
    <row r="254" spans="2:32">
      <c r="B254" s="2252"/>
      <c r="C254" s="2254"/>
      <c r="D254" s="2380"/>
      <c r="E254" s="2380"/>
      <c r="F254" s="2252"/>
      <c r="G254" s="2252"/>
      <c r="H254" s="2252"/>
      <c r="I254" s="2252"/>
      <c r="J254" s="2252"/>
      <c r="K254" s="2252"/>
      <c r="L254" s="2252"/>
      <c r="M254" s="2252"/>
      <c r="N254" s="2252"/>
      <c r="O254" s="2252"/>
      <c r="P254" s="2252"/>
      <c r="Q254" s="2252"/>
      <c r="R254" s="2252"/>
      <c r="S254" s="2252"/>
      <c r="T254" s="2252"/>
      <c r="U254" s="2252"/>
      <c r="V254" s="2252"/>
      <c r="W254" s="2252"/>
      <c r="X254" s="2252"/>
      <c r="Y254" s="2252"/>
      <c r="Z254" s="2252"/>
      <c r="AA254" s="2252"/>
      <c r="AB254" s="2255"/>
      <c r="AC254" s="2252"/>
      <c r="AD254" s="2252"/>
      <c r="AE254" s="2252"/>
      <c r="AF254" s="2252"/>
    </row>
    <row r="255" spans="2:32">
      <c r="B255" s="2252"/>
      <c r="C255" s="2254"/>
      <c r="D255" s="2380"/>
      <c r="E255" s="2380"/>
      <c r="F255" s="2252"/>
      <c r="G255" s="2252"/>
      <c r="H255" s="2252"/>
      <c r="I255" s="2252"/>
      <c r="J255" s="2252"/>
      <c r="K255" s="2252"/>
      <c r="L255" s="2252"/>
      <c r="M255" s="2252"/>
      <c r="N255" s="2252"/>
      <c r="O255" s="2252"/>
      <c r="P255" s="2252"/>
      <c r="Q255" s="2252"/>
      <c r="R255" s="2252"/>
      <c r="S255" s="2252"/>
      <c r="T255" s="2252"/>
      <c r="U255" s="2252"/>
      <c r="V255" s="2252"/>
      <c r="W255" s="2252"/>
      <c r="X255" s="2252"/>
      <c r="Y255" s="2252"/>
      <c r="Z255" s="2252"/>
      <c r="AA255" s="2252"/>
      <c r="AB255" s="2255"/>
      <c r="AC255" s="2252"/>
      <c r="AD255" s="2252"/>
      <c r="AE255" s="2252"/>
      <c r="AF255" s="2252"/>
    </row>
    <row r="256" spans="2:32">
      <c r="B256" s="2252"/>
      <c r="C256" s="2254"/>
      <c r="D256" s="2380"/>
      <c r="E256" s="2380"/>
      <c r="F256" s="2252"/>
      <c r="G256" s="2252"/>
      <c r="H256" s="2252"/>
      <c r="I256" s="2252"/>
      <c r="J256" s="2252"/>
      <c r="K256" s="2252"/>
      <c r="L256" s="2252"/>
      <c r="M256" s="2252"/>
      <c r="N256" s="2252"/>
      <c r="O256" s="2252"/>
      <c r="P256" s="2252"/>
      <c r="Q256" s="2252"/>
      <c r="R256" s="2252"/>
      <c r="S256" s="2252"/>
      <c r="T256" s="2252"/>
      <c r="U256" s="2252"/>
      <c r="V256" s="2252"/>
      <c r="W256" s="2252"/>
      <c r="X256" s="2252"/>
      <c r="Y256" s="2252"/>
      <c r="Z256" s="2252"/>
      <c r="AA256" s="2252"/>
      <c r="AB256" s="2255"/>
      <c r="AC256" s="2252"/>
      <c r="AD256" s="2252"/>
      <c r="AE256" s="2252"/>
      <c r="AF256" s="2252"/>
    </row>
    <row r="257" spans="2:32">
      <c r="B257" s="2252"/>
      <c r="C257" s="2254"/>
      <c r="D257" s="2380"/>
      <c r="E257" s="2380"/>
      <c r="F257" s="2252"/>
      <c r="G257" s="2252"/>
      <c r="H257" s="2252"/>
      <c r="I257" s="2252"/>
      <c r="J257" s="2252"/>
      <c r="K257" s="2252"/>
      <c r="L257" s="2252"/>
      <c r="M257" s="2252"/>
      <c r="N257" s="2252"/>
      <c r="O257" s="2252"/>
      <c r="P257" s="2252"/>
      <c r="Q257" s="2252"/>
      <c r="R257" s="2252"/>
      <c r="S257" s="2252"/>
      <c r="T257" s="2252"/>
      <c r="U257" s="2252"/>
      <c r="V257" s="2252"/>
      <c r="W257" s="2252"/>
      <c r="X257" s="2252"/>
      <c r="Y257" s="2252"/>
      <c r="Z257" s="2252"/>
      <c r="AA257" s="2252"/>
      <c r="AB257" s="2255"/>
      <c r="AC257" s="2252"/>
      <c r="AD257" s="2252"/>
      <c r="AE257" s="2252"/>
      <c r="AF257" s="2252"/>
    </row>
    <row r="258" spans="2:32">
      <c r="B258" s="2252"/>
      <c r="C258" s="2254"/>
      <c r="D258" s="2380"/>
      <c r="E258" s="2380"/>
      <c r="F258" s="2252"/>
      <c r="G258" s="2252"/>
      <c r="H258" s="2252"/>
      <c r="I258" s="2252"/>
      <c r="J258" s="2252"/>
      <c r="K258" s="2252"/>
      <c r="L258" s="2252"/>
      <c r="M258" s="2252"/>
      <c r="N258" s="2252"/>
      <c r="O258" s="2252"/>
      <c r="P258" s="2252"/>
      <c r="Q258" s="2252"/>
      <c r="R258" s="2252"/>
      <c r="S258" s="2252"/>
      <c r="T258" s="2252"/>
      <c r="U258" s="2252"/>
      <c r="V258" s="2252"/>
      <c r="W258" s="2252"/>
      <c r="X258" s="2252"/>
      <c r="Y258" s="2252"/>
      <c r="Z258" s="2252"/>
      <c r="AA258" s="2252"/>
      <c r="AB258" s="2255"/>
      <c r="AC258" s="2252"/>
      <c r="AD258" s="2252"/>
      <c r="AE258" s="2252"/>
      <c r="AF258" s="2252"/>
    </row>
    <row r="259" spans="2:32">
      <c r="B259" s="2252"/>
      <c r="C259" s="2254"/>
      <c r="D259" s="2380"/>
      <c r="E259" s="2380"/>
      <c r="F259" s="2252"/>
      <c r="G259" s="2252"/>
      <c r="H259" s="2252"/>
      <c r="I259" s="2252"/>
      <c r="J259" s="2252"/>
      <c r="K259" s="2252"/>
      <c r="L259" s="2252"/>
      <c r="M259" s="2252"/>
      <c r="N259" s="2252"/>
      <c r="O259" s="2252"/>
      <c r="P259" s="2252"/>
      <c r="Q259" s="2252"/>
      <c r="R259" s="2252"/>
      <c r="S259" s="2252"/>
      <c r="T259" s="2252"/>
      <c r="U259" s="2252"/>
      <c r="V259" s="2252"/>
      <c r="W259" s="2252"/>
      <c r="X259" s="2252"/>
      <c r="Y259" s="2252"/>
      <c r="Z259" s="2252"/>
      <c r="AA259" s="2252"/>
      <c r="AB259" s="2255"/>
      <c r="AC259" s="2252"/>
      <c r="AD259" s="2252"/>
      <c r="AE259" s="2252"/>
      <c r="AF259" s="2252"/>
    </row>
    <row r="260" spans="2:32">
      <c r="B260" s="2252"/>
      <c r="C260" s="2254"/>
      <c r="D260" s="2380"/>
      <c r="E260" s="2380"/>
      <c r="F260" s="2252"/>
      <c r="G260" s="2252"/>
      <c r="H260" s="2252"/>
      <c r="I260" s="2252"/>
      <c r="J260" s="2252"/>
      <c r="K260" s="2252"/>
      <c r="L260" s="2252"/>
      <c r="M260" s="2252"/>
      <c r="N260" s="2252"/>
      <c r="O260" s="2252"/>
      <c r="P260" s="2252"/>
      <c r="Q260" s="2252"/>
      <c r="R260" s="2252"/>
      <c r="S260" s="2252"/>
      <c r="T260" s="2252"/>
      <c r="U260" s="2252"/>
      <c r="V260" s="2252"/>
      <c r="W260" s="2252"/>
      <c r="X260" s="2252"/>
      <c r="Y260" s="2252"/>
      <c r="Z260" s="2252"/>
      <c r="AA260" s="2252"/>
      <c r="AB260" s="2255"/>
      <c r="AC260" s="2252"/>
      <c r="AD260" s="2252"/>
      <c r="AE260" s="2252"/>
      <c r="AF260" s="2252"/>
    </row>
    <row r="261" spans="2:32">
      <c r="B261" s="2252"/>
      <c r="C261" s="2254"/>
      <c r="D261" s="2380"/>
      <c r="E261" s="2380"/>
      <c r="F261" s="2252"/>
      <c r="G261" s="2252"/>
      <c r="H261" s="2252"/>
      <c r="I261" s="2252"/>
      <c r="J261" s="2252"/>
      <c r="K261" s="2252"/>
      <c r="L261" s="2252"/>
      <c r="M261" s="2252"/>
      <c r="N261" s="2252"/>
      <c r="O261" s="2252"/>
      <c r="P261" s="2252"/>
      <c r="Q261" s="2252"/>
      <c r="R261" s="2252"/>
      <c r="S261" s="2252"/>
      <c r="T261" s="2252"/>
      <c r="U261" s="2252"/>
      <c r="V261" s="2252"/>
      <c r="W261" s="2252"/>
      <c r="X261" s="2252"/>
      <c r="Y261" s="2252"/>
      <c r="Z261" s="2252"/>
      <c r="AA261" s="2252"/>
      <c r="AB261" s="2255"/>
      <c r="AC261" s="2252"/>
      <c r="AD261" s="2252"/>
      <c r="AE261" s="2252"/>
      <c r="AF261" s="2252"/>
    </row>
    <row r="262" spans="2:32">
      <c r="B262" s="2252"/>
      <c r="C262" s="2254"/>
      <c r="D262" s="2380"/>
      <c r="E262" s="2380"/>
      <c r="F262" s="2252"/>
      <c r="G262" s="2252"/>
      <c r="H262" s="2252"/>
      <c r="I262" s="2252"/>
      <c r="J262" s="2252"/>
      <c r="K262" s="2252"/>
      <c r="L262" s="2252"/>
      <c r="M262" s="2252"/>
      <c r="N262" s="2252"/>
      <c r="O262" s="2252"/>
      <c r="P262" s="2252"/>
      <c r="Q262" s="2252"/>
      <c r="R262" s="2252"/>
      <c r="S262" s="2252"/>
      <c r="T262" s="2252"/>
      <c r="U262" s="2252"/>
      <c r="V262" s="2252"/>
      <c r="W262" s="2252"/>
      <c r="X262" s="2252"/>
      <c r="Y262" s="2252"/>
      <c r="Z262" s="2252"/>
      <c r="AA262" s="2252"/>
      <c r="AB262" s="2255"/>
      <c r="AC262" s="2252"/>
      <c r="AD262" s="2252"/>
      <c r="AE262" s="2252"/>
      <c r="AF262" s="2252"/>
    </row>
    <row r="263" spans="2:32">
      <c r="B263" s="2252"/>
      <c r="C263" s="2254"/>
      <c r="D263" s="2380"/>
      <c r="E263" s="2380"/>
      <c r="F263" s="2252"/>
      <c r="G263" s="2252"/>
      <c r="H263" s="2252"/>
      <c r="I263" s="2252"/>
      <c r="J263" s="2252"/>
      <c r="K263" s="2252"/>
      <c r="L263" s="2252"/>
      <c r="M263" s="2252"/>
      <c r="N263" s="2252"/>
      <c r="O263" s="2252"/>
      <c r="P263" s="2252"/>
      <c r="Q263" s="2252"/>
      <c r="R263" s="2252"/>
      <c r="S263" s="2252"/>
      <c r="T263" s="2252"/>
      <c r="U263" s="2252"/>
      <c r="V263" s="2252"/>
      <c r="W263" s="2252"/>
      <c r="X263" s="2252"/>
      <c r="Y263" s="2252"/>
      <c r="Z263" s="2252"/>
      <c r="AA263" s="2252"/>
      <c r="AB263" s="2255"/>
      <c r="AC263" s="2252"/>
      <c r="AD263" s="2252"/>
      <c r="AE263" s="2252"/>
      <c r="AF263" s="2252"/>
    </row>
    <row r="264" spans="2:32">
      <c r="B264" s="2252"/>
      <c r="C264" s="2254"/>
      <c r="D264" s="2380"/>
      <c r="E264" s="2380"/>
      <c r="F264" s="2252"/>
      <c r="G264" s="2252"/>
      <c r="H264" s="2252"/>
      <c r="I264" s="2252"/>
      <c r="J264" s="2252"/>
      <c r="K264" s="2252"/>
      <c r="L264" s="2252"/>
      <c r="M264" s="2252"/>
      <c r="N264" s="2252"/>
      <c r="O264" s="2252"/>
      <c r="P264" s="2252"/>
      <c r="Q264" s="2252"/>
      <c r="R264" s="2252"/>
      <c r="S264" s="2252"/>
      <c r="T264" s="2252"/>
      <c r="U264" s="2252"/>
      <c r="V264" s="2252"/>
      <c r="W264" s="2252"/>
      <c r="X264" s="2252"/>
      <c r="Y264" s="2252"/>
      <c r="Z264" s="2252"/>
      <c r="AA264" s="2252"/>
      <c r="AB264" s="2255"/>
      <c r="AC264" s="2252"/>
      <c r="AD264" s="2252"/>
      <c r="AE264" s="2252"/>
      <c r="AF264" s="2252"/>
    </row>
    <row r="265" spans="2:32">
      <c r="B265" s="2252"/>
      <c r="C265" s="2254"/>
      <c r="D265" s="2380"/>
      <c r="E265" s="2380"/>
      <c r="F265" s="2252"/>
      <c r="G265" s="2252"/>
      <c r="H265" s="2252"/>
      <c r="I265" s="2252"/>
      <c r="J265" s="2252"/>
      <c r="K265" s="2252"/>
      <c r="L265" s="2252"/>
      <c r="M265" s="2252"/>
      <c r="N265" s="2252"/>
      <c r="O265" s="2252"/>
      <c r="P265" s="2252"/>
      <c r="Q265" s="2252"/>
      <c r="R265" s="2252"/>
      <c r="S265" s="2252"/>
      <c r="T265" s="2252"/>
      <c r="U265" s="2252"/>
      <c r="V265" s="2252"/>
      <c r="W265" s="2252"/>
      <c r="X265" s="2252"/>
      <c r="Y265" s="2252"/>
      <c r="Z265" s="2252"/>
      <c r="AA265" s="2252"/>
      <c r="AB265" s="2255"/>
      <c r="AC265" s="2252"/>
      <c r="AD265" s="2252"/>
      <c r="AE265" s="2252"/>
      <c r="AF265" s="2252"/>
    </row>
    <row r="266" spans="2:32">
      <c r="B266" s="2252"/>
      <c r="C266" s="2254"/>
      <c r="D266" s="2380"/>
      <c r="E266" s="2380"/>
      <c r="F266" s="2252"/>
      <c r="G266" s="2252"/>
      <c r="H266" s="2252"/>
      <c r="I266" s="2252"/>
      <c r="J266" s="2252"/>
      <c r="K266" s="2252"/>
      <c r="L266" s="2252"/>
      <c r="M266" s="2252"/>
      <c r="N266" s="2252"/>
      <c r="O266" s="2252"/>
      <c r="P266" s="2252"/>
      <c r="Q266" s="2252"/>
      <c r="R266" s="2252"/>
      <c r="S266" s="2252"/>
      <c r="T266" s="2252"/>
      <c r="U266" s="2252"/>
      <c r="V266" s="2252"/>
      <c r="W266" s="2252"/>
      <c r="X266" s="2252"/>
      <c r="Y266" s="2252"/>
      <c r="Z266" s="2252"/>
      <c r="AA266" s="2252"/>
      <c r="AB266" s="2255"/>
      <c r="AC266" s="2252"/>
      <c r="AD266" s="2252"/>
      <c r="AE266" s="2252"/>
      <c r="AF266" s="2252"/>
    </row>
    <row r="267" spans="2:32">
      <c r="B267" s="2252"/>
      <c r="C267" s="2254"/>
      <c r="D267" s="2380"/>
      <c r="E267" s="2380"/>
      <c r="F267" s="2252"/>
      <c r="G267" s="2252"/>
      <c r="H267" s="2252"/>
      <c r="I267" s="2252"/>
      <c r="J267" s="2252"/>
      <c r="K267" s="2252"/>
      <c r="L267" s="2252"/>
      <c r="M267" s="2252"/>
      <c r="N267" s="2252"/>
      <c r="O267" s="2252"/>
      <c r="P267" s="2252"/>
      <c r="Q267" s="2252"/>
      <c r="R267" s="2252"/>
      <c r="S267" s="2252"/>
      <c r="T267" s="2252"/>
      <c r="U267" s="2252"/>
      <c r="V267" s="2252"/>
      <c r="W267" s="2252"/>
      <c r="X267" s="2252"/>
      <c r="Y267" s="2252"/>
      <c r="Z267" s="2252"/>
      <c r="AA267" s="2252"/>
      <c r="AB267" s="2255"/>
      <c r="AC267" s="2252"/>
      <c r="AD267" s="2252"/>
      <c r="AE267" s="2252"/>
      <c r="AF267" s="2252"/>
    </row>
    <row r="268" spans="2:32">
      <c r="B268" s="2252"/>
      <c r="C268" s="2254"/>
      <c r="D268" s="2380"/>
      <c r="E268" s="2380"/>
      <c r="F268" s="2252"/>
      <c r="G268" s="2252"/>
      <c r="H268" s="2252"/>
      <c r="I268" s="2252"/>
      <c r="J268" s="2252"/>
      <c r="K268" s="2252"/>
      <c r="L268" s="2252"/>
      <c r="M268" s="2252"/>
      <c r="N268" s="2252"/>
      <c r="O268" s="2252"/>
      <c r="P268" s="2252"/>
      <c r="Q268" s="2252"/>
      <c r="R268" s="2252"/>
      <c r="S268" s="2252"/>
      <c r="T268" s="2252"/>
      <c r="U268" s="2252"/>
      <c r="V268" s="2252"/>
      <c r="W268" s="2252"/>
      <c r="X268" s="2252"/>
      <c r="Y268" s="2252"/>
      <c r="Z268" s="2252"/>
      <c r="AA268" s="2252"/>
      <c r="AB268" s="2255"/>
      <c r="AC268" s="2252"/>
      <c r="AD268" s="2252"/>
      <c r="AE268" s="2252"/>
      <c r="AF268" s="2252"/>
    </row>
    <row r="269" spans="2:32">
      <c r="B269" s="2252"/>
      <c r="C269" s="2254"/>
      <c r="D269" s="2380"/>
      <c r="E269" s="2380"/>
      <c r="F269" s="2252"/>
      <c r="G269" s="2252"/>
      <c r="H269" s="2252"/>
      <c r="I269" s="2252"/>
      <c r="J269" s="2252"/>
      <c r="K269" s="2252"/>
      <c r="L269" s="2252"/>
      <c r="M269" s="2252"/>
      <c r="N269" s="2252"/>
      <c r="O269" s="2252"/>
      <c r="P269" s="2252"/>
      <c r="Q269" s="2252"/>
      <c r="R269" s="2252"/>
      <c r="S269" s="2252"/>
      <c r="T269" s="2252"/>
      <c r="U269" s="2252"/>
      <c r="V269" s="2252"/>
      <c r="W269" s="2252"/>
      <c r="X269" s="2252"/>
      <c r="Y269" s="2252"/>
      <c r="Z269" s="2252"/>
      <c r="AA269" s="2252"/>
      <c r="AB269" s="2255"/>
      <c r="AC269" s="2252"/>
      <c r="AD269" s="2252"/>
      <c r="AE269" s="2252"/>
      <c r="AF269" s="2252"/>
    </row>
    <row r="270" spans="2:32">
      <c r="B270" s="2252"/>
      <c r="C270" s="2254"/>
      <c r="D270" s="2380"/>
      <c r="E270" s="2380"/>
      <c r="F270" s="2252"/>
      <c r="G270" s="2252"/>
      <c r="H270" s="2252"/>
      <c r="I270" s="2252"/>
      <c r="J270" s="2252"/>
      <c r="K270" s="2252"/>
      <c r="L270" s="2252"/>
      <c r="M270" s="2252"/>
      <c r="N270" s="2252"/>
      <c r="O270" s="2252"/>
      <c r="P270" s="2252"/>
      <c r="Q270" s="2252"/>
      <c r="R270" s="2252"/>
      <c r="S270" s="2252"/>
      <c r="T270" s="2252"/>
      <c r="U270" s="2252"/>
      <c r="V270" s="2252"/>
      <c r="W270" s="2252"/>
      <c r="X270" s="2252"/>
      <c r="Y270" s="2252"/>
      <c r="Z270" s="2252"/>
      <c r="AA270" s="2252"/>
      <c r="AB270" s="2255"/>
      <c r="AC270" s="2252"/>
      <c r="AD270" s="2252"/>
      <c r="AE270" s="2252"/>
      <c r="AF270" s="2252"/>
    </row>
    <row r="271" spans="2:32">
      <c r="B271" s="2252"/>
      <c r="C271" s="2254"/>
      <c r="D271" s="2380"/>
      <c r="E271" s="2380"/>
      <c r="F271" s="2252"/>
      <c r="G271" s="2252"/>
      <c r="H271" s="2252"/>
      <c r="I271" s="2252"/>
      <c r="J271" s="2252"/>
      <c r="K271" s="2252"/>
      <c r="L271" s="2252"/>
      <c r="M271" s="2252"/>
      <c r="N271" s="2252"/>
      <c r="O271" s="2252"/>
      <c r="P271" s="2252"/>
      <c r="Q271" s="2252"/>
      <c r="R271" s="2252"/>
      <c r="S271" s="2252"/>
      <c r="T271" s="2252"/>
      <c r="U271" s="2252"/>
      <c r="V271" s="2252"/>
      <c r="W271" s="2252"/>
      <c r="X271" s="2252"/>
      <c r="Y271" s="2252"/>
      <c r="Z271" s="2252"/>
      <c r="AA271" s="2252"/>
      <c r="AB271" s="2255"/>
      <c r="AC271" s="2252"/>
      <c r="AD271" s="2252"/>
      <c r="AE271" s="2252"/>
      <c r="AF271" s="2252"/>
    </row>
    <row r="272" spans="2:32">
      <c r="B272" s="2252"/>
      <c r="C272" s="2254"/>
      <c r="D272" s="2380"/>
      <c r="E272" s="2380"/>
      <c r="F272" s="2252"/>
      <c r="G272" s="2252"/>
      <c r="H272" s="2252"/>
      <c r="I272" s="2252"/>
      <c r="J272" s="2252"/>
      <c r="K272" s="2252"/>
      <c r="L272" s="2252"/>
      <c r="M272" s="2252"/>
      <c r="N272" s="2252"/>
      <c r="O272" s="2252"/>
      <c r="P272" s="2252"/>
      <c r="Q272" s="2252"/>
      <c r="R272" s="2252"/>
      <c r="S272" s="2252"/>
      <c r="T272" s="2252"/>
      <c r="U272" s="2252"/>
      <c r="V272" s="2252"/>
      <c r="W272" s="2252"/>
      <c r="X272" s="2252"/>
      <c r="Y272" s="2252"/>
      <c r="Z272" s="2252"/>
      <c r="AA272" s="2252"/>
      <c r="AB272" s="2255"/>
      <c r="AC272" s="2252"/>
      <c r="AD272" s="2252"/>
      <c r="AE272" s="2252"/>
      <c r="AF272" s="2252"/>
    </row>
    <row r="273" spans="2:32">
      <c r="B273" s="2252"/>
      <c r="C273" s="2254"/>
      <c r="D273" s="2380"/>
      <c r="E273" s="2380"/>
      <c r="F273" s="2252"/>
      <c r="G273" s="2252"/>
      <c r="H273" s="2252"/>
      <c r="I273" s="2252"/>
      <c r="J273" s="2252"/>
      <c r="K273" s="2252"/>
      <c r="L273" s="2252"/>
      <c r="M273" s="2252"/>
      <c r="N273" s="2252"/>
      <c r="O273" s="2252"/>
      <c r="P273" s="2252"/>
      <c r="Q273" s="2252"/>
      <c r="R273" s="2252"/>
      <c r="S273" s="2252"/>
      <c r="T273" s="2252"/>
      <c r="U273" s="2252"/>
      <c r="V273" s="2252"/>
      <c r="W273" s="2252"/>
      <c r="X273" s="2252"/>
      <c r="Y273" s="2252"/>
      <c r="Z273" s="2252"/>
      <c r="AA273" s="2252"/>
      <c r="AB273" s="2255"/>
      <c r="AC273" s="2252"/>
      <c r="AD273" s="2252"/>
      <c r="AE273" s="2252"/>
      <c r="AF273" s="2252"/>
    </row>
    <row r="274" spans="2:32">
      <c r="B274" s="2252"/>
      <c r="C274" s="2254"/>
      <c r="D274" s="2380"/>
      <c r="E274" s="2380"/>
      <c r="F274" s="2252"/>
      <c r="G274" s="2252"/>
      <c r="H274" s="2252"/>
      <c r="I274" s="2252"/>
      <c r="J274" s="2252"/>
      <c r="K274" s="2252"/>
      <c r="L274" s="2252"/>
      <c r="M274" s="2252"/>
      <c r="N274" s="2252"/>
      <c r="O274" s="2252"/>
      <c r="P274" s="2252"/>
      <c r="Q274" s="2252"/>
      <c r="R274" s="2252"/>
      <c r="S274" s="2252"/>
      <c r="T274" s="2252"/>
      <c r="U274" s="2252"/>
      <c r="V274" s="2252"/>
      <c r="W274" s="2252"/>
      <c r="X274" s="2252"/>
      <c r="Y274" s="2252"/>
      <c r="Z274" s="2252"/>
      <c r="AA274" s="2252"/>
      <c r="AB274" s="2255"/>
      <c r="AC274" s="2252"/>
      <c r="AD274" s="2252"/>
      <c r="AE274" s="2252"/>
      <c r="AF274" s="2252"/>
    </row>
    <row r="275" spans="2:32">
      <c r="B275" s="2252"/>
      <c r="C275" s="2254"/>
      <c r="D275" s="2380"/>
      <c r="E275" s="2380"/>
      <c r="F275" s="2252"/>
      <c r="G275" s="2252"/>
      <c r="H275" s="2252"/>
      <c r="I275" s="2252"/>
      <c r="J275" s="2252"/>
      <c r="K275" s="2252"/>
      <c r="L275" s="2252"/>
      <c r="M275" s="2252"/>
      <c r="N275" s="2252"/>
      <c r="O275" s="2252"/>
      <c r="P275" s="2252"/>
      <c r="Q275" s="2252"/>
      <c r="R275" s="2252"/>
      <c r="S275" s="2252"/>
      <c r="T275" s="2252"/>
      <c r="U275" s="2252"/>
      <c r="V275" s="2252"/>
      <c r="W275" s="2252"/>
      <c r="X275" s="2252"/>
      <c r="Y275" s="2252"/>
      <c r="Z275" s="2252"/>
      <c r="AA275" s="2252"/>
      <c r="AB275" s="2255"/>
      <c r="AC275" s="2252"/>
      <c r="AD275" s="2252"/>
      <c r="AE275" s="2252"/>
      <c r="AF275" s="2252"/>
    </row>
    <row r="276" spans="2:32">
      <c r="B276" s="2252"/>
      <c r="C276" s="2254"/>
      <c r="D276" s="2380"/>
      <c r="E276" s="2380"/>
      <c r="F276" s="2252"/>
      <c r="G276" s="2252"/>
      <c r="H276" s="2252"/>
      <c r="I276" s="2252"/>
      <c r="J276" s="2252"/>
      <c r="K276" s="2252"/>
      <c r="L276" s="2252"/>
      <c r="M276" s="2252"/>
      <c r="N276" s="2252"/>
      <c r="O276" s="2252"/>
      <c r="P276" s="2252"/>
      <c r="Q276" s="2252"/>
      <c r="R276" s="2252"/>
      <c r="S276" s="2252"/>
      <c r="T276" s="2252"/>
      <c r="U276" s="2252"/>
      <c r="V276" s="2252"/>
      <c r="W276" s="2252"/>
      <c r="X276" s="2252"/>
      <c r="Y276" s="2252"/>
      <c r="Z276" s="2252"/>
      <c r="AA276" s="2252"/>
      <c r="AB276" s="2255"/>
      <c r="AC276" s="2252"/>
      <c r="AD276" s="2252"/>
      <c r="AE276" s="2252"/>
      <c r="AF276" s="2252"/>
    </row>
    <row r="277" spans="2:32">
      <c r="B277" s="2252"/>
      <c r="C277" s="2254"/>
      <c r="D277" s="2380"/>
      <c r="E277" s="2380"/>
      <c r="F277" s="2252"/>
      <c r="G277" s="2252"/>
      <c r="H277" s="2252"/>
      <c r="I277" s="2252"/>
      <c r="J277" s="2252"/>
      <c r="K277" s="2252"/>
      <c r="L277" s="2252"/>
      <c r="M277" s="2252"/>
      <c r="N277" s="2252"/>
      <c r="O277" s="2252"/>
      <c r="P277" s="2252"/>
      <c r="Q277" s="2252"/>
      <c r="R277" s="2252"/>
      <c r="S277" s="2252"/>
      <c r="T277" s="2252"/>
      <c r="U277" s="2252"/>
      <c r="V277" s="2252"/>
      <c r="W277" s="2252"/>
      <c r="X277" s="2252"/>
      <c r="Y277" s="2252"/>
      <c r="Z277" s="2252"/>
      <c r="AA277" s="2252"/>
      <c r="AB277" s="2255"/>
      <c r="AC277" s="2252"/>
      <c r="AD277" s="2252"/>
      <c r="AE277" s="2252"/>
      <c r="AF277" s="2252"/>
    </row>
    <row r="278" spans="2:32">
      <c r="B278" s="2252"/>
      <c r="C278" s="2254"/>
      <c r="D278" s="2380"/>
      <c r="E278" s="2380"/>
      <c r="F278" s="2252"/>
      <c r="G278" s="2252"/>
      <c r="H278" s="2252"/>
      <c r="I278" s="2252"/>
      <c r="J278" s="2252"/>
      <c r="K278" s="2252"/>
      <c r="L278" s="2252"/>
      <c r="M278" s="2252"/>
      <c r="N278" s="2252"/>
      <c r="O278" s="2252"/>
      <c r="P278" s="2252"/>
      <c r="Q278" s="2252"/>
      <c r="R278" s="2252"/>
      <c r="S278" s="2252"/>
      <c r="T278" s="2252"/>
      <c r="U278" s="2252"/>
      <c r="V278" s="2252"/>
      <c r="W278" s="2252"/>
      <c r="X278" s="2252"/>
      <c r="Y278" s="2252"/>
      <c r="Z278" s="2252"/>
      <c r="AA278" s="2252"/>
      <c r="AB278" s="2255"/>
      <c r="AC278" s="2252"/>
      <c r="AD278" s="2252"/>
      <c r="AE278" s="2252"/>
      <c r="AF278" s="2252"/>
    </row>
    <row r="279" spans="2:32">
      <c r="B279" s="2252"/>
      <c r="C279" s="2254"/>
      <c r="D279" s="2380"/>
      <c r="E279" s="2380"/>
      <c r="F279" s="2252"/>
      <c r="G279" s="2252"/>
      <c r="H279" s="2252"/>
      <c r="I279" s="2252"/>
      <c r="J279" s="2252"/>
      <c r="K279" s="2252"/>
      <c r="L279" s="2252"/>
      <c r="M279" s="2252"/>
      <c r="N279" s="2252"/>
      <c r="O279" s="2252"/>
      <c r="P279" s="2252"/>
      <c r="Q279" s="2252"/>
      <c r="R279" s="2252"/>
      <c r="S279" s="2252"/>
      <c r="T279" s="2252"/>
      <c r="U279" s="2252"/>
      <c r="V279" s="2252"/>
      <c r="W279" s="2252"/>
      <c r="X279" s="2252"/>
      <c r="Y279" s="2252"/>
      <c r="Z279" s="2252"/>
      <c r="AA279" s="2252"/>
      <c r="AB279" s="2255"/>
      <c r="AC279" s="2252"/>
      <c r="AD279" s="2252"/>
      <c r="AE279" s="2252"/>
      <c r="AF279" s="2252"/>
    </row>
    <row r="280" spans="2:32">
      <c r="B280" s="2252"/>
      <c r="C280" s="2254"/>
      <c r="D280" s="2380"/>
      <c r="E280" s="2380"/>
      <c r="F280" s="2252"/>
      <c r="G280" s="2252"/>
      <c r="H280" s="2252"/>
      <c r="I280" s="2252"/>
      <c r="J280" s="2252"/>
      <c r="K280" s="2252"/>
      <c r="L280" s="2252"/>
      <c r="M280" s="2252"/>
      <c r="N280" s="2252"/>
      <c r="O280" s="2252"/>
      <c r="P280" s="2252"/>
      <c r="Q280" s="2252"/>
      <c r="R280" s="2252"/>
      <c r="S280" s="2252"/>
      <c r="T280" s="2252"/>
      <c r="U280" s="2252"/>
      <c r="V280" s="2252"/>
      <c r="W280" s="2252"/>
      <c r="X280" s="2252"/>
      <c r="Y280" s="2252"/>
      <c r="Z280" s="2252"/>
      <c r="AA280" s="2252"/>
      <c r="AB280" s="2255"/>
      <c r="AC280" s="2252"/>
      <c r="AD280" s="2252"/>
      <c r="AE280" s="2252"/>
      <c r="AF280" s="2252"/>
    </row>
    <row r="281" spans="2:32">
      <c r="B281" s="2252"/>
      <c r="C281" s="2254"/>
      <c r="D281" s="2380"/>
      <c r="E281" s="2380"/>
      <c r="F281" s="2252"/>
      <c r="G281" s="2252"/>
      <c r="H281" s="2252"/>
      <c r="I281" s="2252"/>
      <c r="J281" s="2252"/>
      <c r="K281" s="2252"/>
      <c r="L281" s="2252"/>
      <c r="M281" s="2252"/>
      <c r="N281" s="2252"/>
      <c r="O281" s="2252"/>
      <c r="P281" s="2252"/>
      <c r="Q281" s="2252"/>
      <c r="R281" s="2252"/>
      <c r="S281" s="2252"/>
      <c r="T281" s="2252"/>
      <c r="U281" s="2252"/>
      <c r="V281" s="2252"/>
      <c r="W281" s="2252"/>
      <c r="X281" s="2252"/>
      <c r="Y281" s="2252"/>
      <c r="Z281" s="2252"/>
      <c r="AA281" s="2252"/>
      <c r="AB281" s="2255"/>
      <c r="AC281" s="2252"/>
      <c r="AD281" s="2252"/>
      <c r="AE281" s="2252"/>
      <c r="AF281" s="2252"/>
    </row>
    <row r="282" spans="2:32">
      <c r="B282" s="2252"/>
      <c r="C282" s="2254"/>
      <c r="D282" s="2380"/>
      <c r="E282" s="2380"/>
      <c r="F282" s="2252"/>
      <c r="G282" s="2252"/>
      <c r="H282" s="2252"/>
      <c r="I282" s="2252"/>
      <c r="J282" s="2252"/>
      <c r="K282" s="2252"/>
      <c r="L282" s="2252"/>
      <c r="M282" s="2252"/>
      <c r="N282" s="2252"/>
      <c r="O282" s="2252"/>
      <c r="P282" s="2252"/>
      <c r="Q282" s="2252"/>
      <c r="R282" s="2252"/>
      <c r="S282" s="2252"/>
      <c r="T282" s="2252"/>
      <c r="U282" s="2252"/>
      <c r="V282" s="2252"/>
      <c r="W282" s="2252"/>
      <c r="X282" s="2252"/>
      <c r="Y282" s="2252"/>
      <c r="Z282" s="2252"/>
      <c r="AA282" s="2252"/>
      <c r="AB282" s="2255"/>
      <c r="AC282" s="2252"/>
      <c r="AD282" s="2252"/>
      <c r="AE282" s="2252"/>
      <c r="AF282" s="2252"/>
    </row>
    <row r="283" spans="2:32">
      <c r="B283" s="2252"/>
      <c r="C283" s="2254"/>
      <c r="D283" s="2380"/>
      <c r="E283" s="2380"/>
      <c r="F283" s="2252"/>
      <c r="G283" s="2252"/>
      <c r="H283" s="2252"/>
      <c r="I283" s="2252"/>
      <c r="J283" s="2252"/>
      <c r="K283" s="2252"/>
      <c r="L283" s="2252"/>
      <c r="M283" s="2252"/>
      <c r="N283" s="2252"/>
      <c r="O283" s="2252"/>
      <c r="P283" s="2252"/>
      <c r="Q283" s="2252"/>
      <c r="R283" s="2252"/>
      <c r="S283" s="2252"/>
      <c r="T283" s="2252"/>
      <c r="U283" s="2252"/>
      <c r="V283" s="2252"/>
      <c r="W283" s="2252"/>
      <c r="X283" s="2252"/>
      <c r="Y283" s="2252"/>
      <c r="Z283" s="2252"/>
      <c r="AA283" s="2252"/>
      <c r="AB283" s="2255"/>
      <c r="AC283" s="2252"/>
      <c r="AD283" s="2252"/>
      <c r="AE283" s="2252"/>
      <c r="AF283" s="2252"/>
    </row>
    <row r="284" spans="2:32">
      <c r="B284" s="2252"/>
      <c r="C284" s="2254"/>
      <c r="D284" s="2380"/>
      <c r="E284" s="2380"/>
      <c r="F284" s="2252"/>
      <c r="G284" s="2252"/>
      <c r="H284" s="2252"/>
      <c r="I284" s="2252"/>
      <c r="J284" s="2252"/>
      <c r="K284" s="2252"/>
      <c r="L284" s="2252"/>
      <c r="M284" s="2252"/>
      <c r="N284" s="2252"/>
      <c r="O284" s="2252"/>
      <c r="P284" s="2252"/>
      <c r="Q284" s="2252"/>
      <c r="R284" s="2252"/>
      <c r="S284" s="2252"/>
      <c r="T284" s="2252"/>
      <c r="U284" s="2252"/>
      <c r="V284" s="2252"/>
      <c r="W284" s="2252"/>
      <c r="X284" s="2252"/>
      <c r="Y284" s="2252"/>
      <c r="Z284" s="2252"/>
      <c r="AA284" s="2252"/>
      <c r="AB284" s="2255"/>
      <c r="AC284" s="2252"/>
      <c r="AD284" s="2252"/>
      <c r="AE284" s="2252"/>
      <c r="AF284" s="2252"/>
    </row>
    <row r="285" spans="2:32">
      <c r="B285" s="2252"/>
      <c r="C285" s="2254"/>
      <c r="D285" s="2380"/>
      <c r="E285" s="2380"/>
      <c r="F285" s="2252"/>
      <c r="G285" s="2252"/>
      <c r="H285" s="2252"/>
      <c r="I285" s="2252"/>
      <c r="J285" s="2252"/>
      <c r="K285" s="2252"/>
      <c r="L285" s="2252"/>
      <c r="M285" s="2252"/>
      <c r="N285" s="2252"/>
      <c r="O285" s="2252"/>
      <c r="P285" s="2252"/>
      <c r="Q285" s="2252"/>
      <c r="R285" s="2252"/>
      <c r="S285" s="2252"/>
      <c r="T285" s="2252"/>
      <c r="U285" s="2252"/>
      <c r="V285" s="2252"/>
      <c r="W285" s="2252"/>
      <c r="X285" s="2252"/>
      <c r="Y285" s="2252"/>
      <c r="Z285" s="2252"/>
      <c r="AA285" s="2252"/>
      <c r="AB285" s="2255"/>
      <c r="AC285" s="2252"/>
      <c r="AD285" s="2252"/>
      <c r="AE285" s="2252"/>
      <c r="AF285" s="2252"/>
    </row>
    <row r="286" spans="2:32">
      <c r="B286" s="2252"/>
      <c r="C286" s="2254"/>
      <c r="D286" s="2380"/>
      <c r="E286" s="2380"/>
      <c r="F286" s="2252"/>
      <c r="G286" s="2252"/>
      <c r="H286" s="2252"/>
      <c r="I286" s="2252"/>
      <c r="J286" s="2252"/>
      <c r="K286" s="2252"/>
      <c r="L286" s="2252"/>
      <c r="M286" s="2252"/>
      <c r="N286" s="2252"/>
      <c r="O286" s="2252"/>
      <c r="P286" s="2252"/>
      <c r="Q286" s="2252"/>
      <c r="R286" s="2252"/>
      <c r="S286" s="2252"/>
      <c r="T286" s="2252"/>
      <c r="U286" s="2252"/>
      <c r="V286" s="2252"/>
      <c r="W286" s="2252"/>
      <c r="X286" s="2252"/>
      <c r="Y286" s="2252"/>
      <c r="Z286" s="2252"/>
      <c r="AA286" s="2252"/>
      <c r="AB286" s="2255"/>
      <c r="AC286" s="2252"/>
      <c r="AD286" s="2252"/>
      <c r="AE286" s="2252"/>
      <c r="AF286" s="2252"/>
    </row>
    <row r="287" spans="2:32">
      <c r="B287" s="2252"/>
      <c r="C287" s="2254"/>
      <c r="D287" s="2380"/>
      <c r="E287" s="2380"/>
      <c r="F287" s="2252"/>
      <c r="G287" s="2252"/>
      <c r="H287" s="2252"/>
      <c r="I287" s="2252"/>
      <c r="J287" s="2252"/>
      <c r="K287" s="2252"/>
      <c r="L287" s="2252"/>
      <c r="M287" s="2252"/>
      <c r="N287" s="2252"/>
      <c r="O287" s="2252"/>
      <c r="P287" s="2252"/>
      <c r="Q287" s="2252"/>
      <c r="R287" s="2252"/>
      <c r="S287" s="2252"/>
      <c r="T287" s="2252"/>
      <c r="U287" s="2252"/>
      <c r="V287" s="2252"/>
      <c r="W287" s="2252"/>
      <c r="X287" s="2252"/>
      <c r="Y287" s="2252"/>
      <c r="Z287" s="2252"/>
      <c r="AA287" s="2252"/>
      <c r="AB287" s="2255"/>
      <c r="AC287" s="2252"/>
      <c r="AD287" s="2252"/>
      <c r="AE287" s="2252"/>
      <c r="AF287" s="2252"/>
    </row>
    <row r="288" spans="2:32">
      <c r="B288" s="2252"/>
      <c r="C288" s="2254"/>
      <c r="D288" s="2380"/>
      <c r="E288" s="2380"/>
      <c r="F288" s="2252"/>
      <c r="G288" s="2252"/>
      <c r="H288" s="2252"/>
      <c r="I288" s="2252"/>
      <c r="J288" s="2252"/>
      <c r="K288" s="2252"/>
      <c r="L288" s="2252"/>
      <c r="M288" s="2252"/>
      <c r="N288" s="2252"/>
      <c r="O288" s="2252"/>
      <c r="P288" s="2252"/>
      <c r="Q288" s="2252"/>
      <c r="R288" s="2252"/>
      <c r="S288" s="2252"/>
      <c r="T288" s="2252"/>
      <c r="U288" s="2252"/>
      <c r="V288" s="2252"/>
      <c r="W288" s="2252"/>
      <c r="X288" s="2252"/>
      <c r="Y288" s="2252"/>
      <c r="Z288" s="2252"/>
      <c r="AA288" s="2252"/>
      <c r="AB288" s="2255"/>
      <c r="AC288" s="2252"/>
      <c r="AD288" s="2252"/>
      <c r="AE288" s="2252"/>
      <c r="AF288" s="2252"/>
    </row>
    <row r="289" spans="2:32">
      <c r="B289" s="2252"/>
      <c r="C289" s="2254"/>
      <c r="D289" s="2380"/>
      <c r="E289" s="2380"/>
      <c r="F289" s="2252"/>
      <c r="G289" s="2252"/>
      <c r="H289" s="2252"/>
      <c r="I289" s="2252"/>
      <c r="J289" s="2252"/>
      <c r="K289" s="2252"/>
      <c r="L289" s="2252"/>
      <c r="M289" s="2252"/>
      <c r="N289" s="2252"/>
      <c r="O289" s="2252"/>
      <c r="P289" s="2252"/>
      <c r="Q289" s="2252"/>
      <c r="R289" s="2252"/>
      <c r="S289" s="2252"/>
      <c r="T289" s="2252"/>
      <c r="U289" s="2252"/>
      <c r="V289" s="2252"/>
      <c r="W289" s="2252"/>
      <c r="X289" s="2252"/>
      <c r="Y289" s="2252"/>
      <c r="Z289" s="2252"/>
      <c r="AA289" s="2252"/>
      <c r="AB289" s="2255"/>
      <c r="AC289" s="2252"/>
      <c r="AD289" s="2252"/>
      <c r="AE289" s="2252"/>
      <c r="AF289" s="2252"/>
    </row>
    <row r="290" spans="2:32">
      <c r="B290" s="2252"/>
      <c r="C290" s="2254"/>
      <c r="D290" s="2380"/>
      <c r="E290" s="2380"/>
      <c r="F290" s="2252"/>
      <c r="G290" s="2252"/>
      <c r="H290" s="2252"/>
      <c r="I290" s="2252"/>
      <c r="J290" s="2252"/>
      <c r="K290" s="2252"/>
      <c r="L290" s="2252"/>
      <c r="M290" s="2252"/>
      <c r="N290" s="2252"/>
      <c r="O290" s="2252"/>
      <c r="P290" s="2252"/>
      <c r="Q290" s="2252"/>
      <c r="R290" s="2252"/>
      <c r="S290" s="2252"/>
      <c r="T290" s="2252"/>
      <c r="U290" s="2252"/>
      <c r="V290" s="2252"/>
      <c r="W290" s="2252"/>
      <c r="X290" s="2252"/>
      <c r="Y290" s="2252"/>
      <c r="Z290" s="2252"/>
      <c r="AA290" s="2252"/>
      <c r="AB290" s="2255"/>
      <c r="AC290" s="2252"/>
      <c r="AD290" s="2252"/>
      <c r="AE290" s="2252"/>
      <c r="AF290" s="2252"/>
    </row>
    <row r="291" spans="2:32">
      <c r="B291" s="2252"/>
      <c r="C291" s="2254"/>
      <c r="D291" s="2380"/>
      <c r="E291" s="2380"/>
      <c r="F291" s="2252"/>
      <c r="G291" s="2252"/>
      <c r="H291" s="2252"/>
      <c r="I291" s="2252"/>
      <c r="J291" s="2252"/>
      <c r="K291" s="2252"/>
      <c r="L291" s="2252"/>
      <c r="M291" s="2252"/>
      <c r="N291" s="2252"/>
      <c r="O291" s="2252"/>
      <c r="P291" s="2252"/>
      <c r="Q291" s="2252"/>
      <c r="R291" s="2252"/>
      <c r="S291" s="2252"/>
      <c r="T291" s="2252"/>
      <c r="U291" s="2252"/>
      <c r="V291" s="2252"/>
      <c r="W291" s="2252"/>
      <c r="X291" s="2252"/>
      <c r="Y291" s="2252"/>
      <c r="Z291" s="2252"/>
      <c r="AA291" s="2252"/>
      <c r="AB291" s="2255"/>
      <c r="AC291" s="2252"/>
      <c r="AD291" s="2252"/>
      <c r="AE291" s="2252"/>
      <c r="AF291" s="2252"/>
    </row>
    <row r="292" spans="2:32">
      <c r="B292" s="2252"/>
      <c r="C292" s="2254"/>
      <c r="D292" s="2380"/>
      <c r="E292" s="2380"/>
      <c r="F292" s="2252"/>
      <c r="G292" s="2252"/>
      <c r="H292" s="2252"/>
      <c r="I292" s="2252"/>
      <c r="J292" s="2252"/>
      <c r="K292" s="2252"/>
      <c r="L292" s="2252"/>
      <c r="M292" s="2252"/>
      <c r="N292" s="2252"/>
      <c r="O292" s="2252"/>
      <c r="P292" s="2252"/>
      <c r="Q292" s="2252"/>
      <c r="R292" s="2252"/>
      <c r="S292" s="2252"/>
      <c r="T292" s="2252"/>
      <c r="U292" s="2252"/>
      <c r="V292" s="2252"/>
      <c r="W292" s="2252"/>
      <c r="X292" s="2252"/>
      <c r="Y292" s="2252"/>
      <c r="Z292" s="2252"/>
      <c r="AA292" s="2252"/>
      <c r="AB292" s="2255"/>
      <c r="AC292" s="2252"/>
      <c r="AD292" s="2252"/>
      <c r="AE292" s="2252"/>
      <c r="AF292" s="2252"/>
    </row>
    <row r="293" spans="2:32">
      <c r="B293" s="2252"/>
      <c r="C293" s="2254"/>
      <c r="D293" s="2380"/>
      <c r="E293" s="2380"/>
      <c r="F293" s="2252"/>
      <c r="G293" s="2252"/>
      <c r="H293" s="2252"/>
      <c r="I293" s="2252"/>
      <c r="J293" s="2252"/>
      <c r="K293" s="2252"/>
      <c r="L293" s="2252"/>
      <c r="M293" s="2252"/>
      <c r="N293" s="2252"/>
      <c r="O293" s="2252"/>
      <c r="P293" s="2252"/>
      <c r="Q293" s="2252"/>
      <c r="R293" s="2252"/>
      <c r="S293" s="2252"/>
      <c r="T293" s="2252"/>
      <c r="U293" s="2252"/>
      <c r="V293" s="2252"/>
      <c r="W293" s="2252"/>
      <c r="X293" s="2252"/>
      <c r="Y293" s="2252"/>
      <c r="Z293" s="2252"/>
      <c r="AA293" s="2252"/>
      <c r="AB293" s="2255"/>
      <c r="AC293" s="2252"/>
      <c r="AD293" s="2252"/>
      <c r="AE293" s="2252"/>
      <c r="AF293" s="2252"/>
    </row>
    <row r="294" spans="2:32">
      <c r="B294" s="2252"/>
      <c r="C294" s="2254"/>
      <c r="D294" s="2380"/>
      <c r="E294" s="2380"/>
      <c r="F294" s="2252"/>
      <c r="G294" s="2252"/>
      <c r="H294" s="2252"/>
      <c r="I294" s="2252"/>
      <c r="J294" s="2252"/>
      <c r="K294" s="2252"/>
      <c r="L294" s="2252"/>
      <c r="M294" s="2252"/>
      <c r="N294" s="2252"/>
      <c r="O294" s="2252"/>
      <c r="P294" s="2252"/>
      <c r="Q294" s="2252"/>
      <c r="R294" s="2252"/>
      <c r="S294" s="2252"/>
      <c r="T294" s="2252"/>
      <c r="U294" s="2252"/>
      <c r="V294" s="2252"/>
      <c r="W294" s="2252"/>
      <c r="X294" s="2252"/>
      <c r="Y294" s="2252"/>
      <c r="Z294" s="2252"/>
      <c r="AA294" s="2252"/>
      <c r="AB294" s="2255"/>
      <c r="AC294" s="2252"/>
      <c r="AD294" s="2252"/>
      <c r="AE294" s="2252"/>
      <c r="AF294" s="2252"/>
    </row>
    <row r="295" spans="2:32">
      <c r="B295" s="2252"/>
      <c r="C295" s="2254"/>
      <c r="D295" s="2380"/>
      <c r="E295" s="2380"/>
      <c r="F295" s="2252"/>
      <c r="G295" s="2252"/>
      <c r="H295" s="2252"/>
      <c r="I295" s="2252"/>
      <c r="J295" s="2252"/>
      <c r="K295" s="2252"/>
      <c r="L295" s="2252"/>
      <c r="M295" s="2252"/>
      <c r="N295" s="2252"/>
      <c r="O295" s="2252"/>
      <c r="P295" s="2252"/>
      <c r="Q295" s="2252"/>
      <c r="R295" s="2252"/>
      <c r="S295" s="2252"/>
      <c r="T295" s="2252"/>
      <c r="U295" s="2252"/>
      <c r="V295" s="2252"/>
      <c r="W295" s="2252"/>
      <c r="X295" s="2252"/>
      <c r="Y295" s="2252"/>
      <c r="Z295" s="2252"/>
      <c r="AA295" s="2252"/>
      <c r="AB295" s="2255"/>
      <c r="AC295" s="2252"/>
      <c r="AD295" s="2252"/>
      <c r="AE295" s="2252"/>
      <c r="AF295" s="2252"/>
    </row>
    <row r="296" spans="2:32">
      <c r="B296" s="2252"/>
      <c r="C296" s="2254"/>
      <c r="D296" s="2380"/>
      <c r="E296" s="2380"/>
      <c r="F296" s="2252"/>
      <c r="G296" s="2252"/>
      <c r="H296" s="2252"/>
      <c r="I296" s="2252"/>
      <c r="J296" s="2252"/>
      <c r="K296" s="2252"/>
      <c r="L296" s="2252"/>
      <c r="M296" s="2252"/>
      <c r="N296" s="2252"/>
      <c r="O296" s="2252"/>
      <c r="P296" s="2252"/>
      <c r="Q296" s="2252"/>
      <c r="R296" s="2252"/>
      <c r="S296" s="2252"/>
      <c r="T296" s="2252"/>
      <c r="U296" s="2252"/>
      <c r="V296" s="2252"/>
      <c r="W296" s="2252"/>
      <c r="X296" s="2252"/>
      <c r="Y296" s="2252"/>
      <c r="Z296" s="2252"/>
      <c r="AA296" s="2252"/>
      <c r="AB296" s="2255"/>
      <c r="AC296" s="2252"/>
      <c r="AD296" s="2252"/>
      <c r="AE296" s="2252"/>
      <c r="AF296" s="2252"/>
    </row>
    <row r="297" spans="2:32">
      <c r="B297" s="2252"/>
      <c r="C297" s="2254"/>
      <c r="D297" s="2380"/>
      <c r="E297" s="2380"/>
      <c r="F297" s="2252"/>
      <c r="G297" s="2252"/>
      <c r="H297" s="2252"/>
      <c r="I297" s="2252"/>
      <c r="J297" s="2252"/>
      <c r="K297" s="2252"/>
      <c r="L297" s="2252"/>
      <c r="M297" s="2252"/>
      <c r="N297" s="2252"/>
      <c r="O297" s="2252"/>
      <c r="P297" s="2252"/>
      <c r="Q297" s="2252"/>
      <c r="R297" s="2252"/>
      <c r="S297" s="2252"/>
      <c r="T297" s="2252"/>
      <c r="U297" s="2252"/>
      <c r="V297" s="2252"/>
      <c r="W297" s="2252"/>
      <c r="X297" s="2252"/>
      <c r="Y297" s="2252"/>
      <c r="Z297" s="2252"/>
      <c r="AA297" s="2252"/>
      <c r="AB297" s="2255"/>
      <c r="AC297" s="2252"/>
      <c r="AD297" s="2252"/>
      <c r="AE297" s="2252"/>
      <c r="AF297" s="2252"/>
    </row>
    <row r="298" spans="2:32">
      <c r="B298" s="2252"/>
      <c r="C298" s="2254"/>
      <c r="D298" s="2380"/>
      <c r="E298" s="2380"/>
      <c r="F298" s="2252"/>
      <c r="G298" s="2252"/>
      <c r="H298" s="2252"/>
      <c r="I298" s="2252"/>
      <c r="J298" s="2252"/>
      <c r="K298" s="2252"/>
      <c r="L298" s="2252"/>
      <c r="M298" s="2252"/>
      <c r="N298" s="2252"/>
      <c r="O298" s="2252"/>
      <c r="P298" s="2252"/>
      <c r="Q298" s="2252"/>
      <c r="R298" s="2252"/>
      <c r="S298" s="2252"/>
      <c r="T298" s="2252"/>
      <c r="U298" s="2252"/>
      <c r="V298" s="2252"/>
      <c r="W298" s="2252"/>
      <c r="X298" s="2252"/>
      <c r="Y298" s="2252"/>
      <c r="Z298" s="2252"/>
      <c r="AA298" s="2252"/>
      <c r="AB298" s="2255"/>
      <c r="AC298" s="2252"/>
      <c r="AD298" s="2252"/>
      <c r="AE298" s="2252"/>
      <c r="AF298" s="2252"/>
    </row>
    <row r="299" spans="2:32">
      <c r="B299" s="2252"/>
      <c r="C299" s="2254"/>
      <c r="D299" s="2380"/>
      <c r="E299" s="2380"/>
      <c r="F299" s="2252"/>
      <c r="G299" s="2252"/>
      <c r="H299" s="2252"/>
      <c r="I299" s="2252"/>
      <c r="J299" s="2252"/>
      <c r="K299" s="2252"/>
      <c r="L299" s="2252"/>
      <c r="M299" s="2252"/>
      <c r="N299" s="2252"/>
      <c r="O299" s="2252"/>
      <c r="P299" s="2252"/>
      <c r="Q299" s="2252"/>
      <c r="R299" s="2252"/>
      <c r="S299" s="2252"/>
      <c r="T299" s="2252"/>
      <c r="U299" s="2252"/>
      <c r="V299" s="2252"/>
      <c r="W299" s="2252"/>
      <c r="X299" s="2252"/>
      <c r="Y299" s="2252"/>
      <c r="Z299" s="2252"/>
      <c r="AA299" s="2252"/>
      <c r="AB299" s="2255"/>
      <c r="AC299" s="2252"/>
      <c r="AD299" s="2252"/>
      <c r="AE299" s="2252"/>
      <c r="AF299" s="2252"/>
    </row>
    <row r="300" spans="2:32">
      <c r="B300" s="2252"/>
      <c r="C300" s="2254"/>
      <c r="D300" s="2380"/>
      <c r="E300" s="2380"/>
      <c r="F300" s="2252"/>
      <c r="G300" s="2252"/>
      <c r="H300" s="2252"/>
      <c r="I300" s="2252"/>
      <c r="J300" s="2252"/>
      <c r="K300" s="2252"/>
      <c r="L300" s="2252"/>
      <c r="M300" s="2252"/>
      <c r="N300" s="2252"/>
      <c r="O300" s="2252"/>
      <c r="P300" s="2252"/>
      <c r="Q300" s="2252"/>
      <c r="R300" s="2252"/>
      <c r="S300" s="2252"/>
      <c r="T300" s="2252"/>
      <c r="U300" s="2252"/>
      <c r="V300" s="2252"/>
      <c r="W300" s="2252"/>
      <c r="X300" s="2252"/>
      <c r="Y300" s="2252"/>
      <c r="Z300" s="2252"/>
      <c r="AA300" s="2252"/>
      <c r="AB300" s="2255"/>
      <c r="AC300" s="2252"/>
      <c r="AD300" s="2252"/>
      <c r="AE300" s="2252"/>
      <c r="AF300" s="2252"/>
    </row>
    <row r="301" spans="2:32">
      <c r="B301" s="2252"/>
      <c r="C301" s="2254"/>
      <c r="D301" s="2380"/>
      <c r="E301" s="2380"/>
      <c r="F301" s="2252"/>
      <c r="G301" s="2252"/>
      <c r="H301" s="2252"/>
      <c r="I301" s="2252"/>
      <c r="J301" s="2252"/>
      <c r="K301" s="2252"/>
      <c r="L301" s="2252"/>
      <c r="M301" s="2252"/>
      <c r="N301" s="2252"/>
      <c r="O301" s="2252"/>
      <c r="P301" s="2252"/>
      <c r="Q301" s="2252"/>
      <c r="R301" s="2252"/>
      <c r="S301" s="2252"/>
      <c r="T301" s="2252"/>
      <c r="U301" s="2252"/>
      <c r="V301" s="2252"/>
      <c r="W301" s="2252"/>
      <c r="X301" s="2252"/>
      <c r="Y301" s="2252"/>
      <c r="Z301" s="2252"/>
      <c r="AA301" s="2252"/>
      <c r="AB301" s="2255"/>
      <c r="AC301" s="2252"/>
      <c r="AD301" s="2252"/>
      <c r="AE301" s="2252"/>
      <c r="AF301" s="2252"/>
    </row>
    <row r="302" spans="2:32">
      <c r="B302" s="2252"/>
      <c r="C302" s="2254"/>
      <c r="D302" s="2380"/>
      <c r="E302" s="2380"/>
      <c r="F302" s="2252"/>
      <c r="G302" s="2252"/>
      <c r="H302" s="2252"/>
      <c r="I302" s="2252"/>
      <c r="J302" s="2252"/>
      <c r="K302" s="2252"/>
      <c r="L302" s="2252"/>
      <c r="M302" s="2252"/>
      <c r="N302" s="2252"/>
      <c r="O302" s="2252"/>
      <c r="P302" s="2252"/>
      <c r="Q302" s="2252"/>
      <c r="R302" s="2252"/>
      <c r="S302" s="2252"/>
      <c r="T302" s="2252"/>
      <c r="U302" s="2252"/>
      <c r="V302" s="2252"/>
      <c r="W302" s="2252"/>
      <c r="X302" s="2252"/>
      <c r="Y302" s="2252"/>
      <c r="Z302" s="2252"/>
      <c r="AA302" s="2252"/>
      <c r="AB302" s="2255"/>
      <c r="AC302" s="2252"/>
      <c r="AD302" s="2252"/>
      <c r="AE302" s="2252"/>
      <c r="AF302" s="2252"/>
    </row>
    <row r="303" spans="2:32">
      <c r="B303" s="2252"/>
      <c r="C303" s="2254"/>
      <c r="D303" s="2380"/>
      <c r="E303" s="2380"/>
      <c r="F303" s="2252"/>
      <c r="G303" s="2252"/>
      <c r="H303" s="2252"/>
      <c r="I303" s="2252"/>
      <c r="J303" s="2252"/>
      <c r="K303" s="2252"/>
      <c r="L303" s="2252"/>
      <c r="M303" s="2252"/>
      <c r="N303" s="2252"/>
      <c r="O303" s="2252"/>
      <c r="P303" s="2252"/>
      <c r="Q303" s="2252"/>
      <c r="R303" s="2252"/>
      <c r="S303" s="2252"/>
      <c r="T303" s="2252"/>
      <c r="U303" s="2252"/>
      <c r="V303" s="2252"/>
      <c r="W303" s="2252"/>
      <c r="X303" s="2252"/>
      <c r="Y303" s="2252"/>
      <c r="Z303" s="2252"/>
      <c r="AA303" s="2252"/>
      <c r="AB303" s="2255"/>
      <c r="AC303" s="2252"/>
      <c r="AD303" s="2252"/>
      <c r="AE303" s="2252"/>
      <c r="AF303" s="2252"/>
    </row>
    <row r="304" spans="2:32">
      <c r="B304" s="2252"/>
      <c r="C304" s="2254"/>
      <c r="D304" s="2380"/>
      <c r="E304" s="2380"/>
      <c r="F304" s="2252"/>
      <c r="G304" s="2252"/>
      <c r="H304" s="2252"/>
      <c r="I304" s="2252"/>
      <c r="J304" s="2252"/>
      <c r="K304" s="2252"/>
      <c r="L304" s="2252"/>
      <c r="M304" s="2252"/>
      <c r="N304" s="2252"/>
      <c r="O304" s="2252"/>
      <c r="P304" s="2252"/>
      <c r="Q304" s="2252"/>
      <c r="R304" s="2252"/>
      <c r="S304" s="2252"/>
      <c r="T304" s="2252"/>
      <c r="U304" s="2252"/>
      <c r="V304" s="2252"/>
      <c r="W304" s="2252"/>
      <c r="X304" s="2252"/>
      <c r="Y304" s="2252"/>
      <c r="Z304" s="2252"/>
      <c r="AA304" s="2252"/>
      <c r="AB304" s="2255"/>
      <c r="AC304" s="2252"/>
      <c r="AD304" s="2252"/>
      <c r="AE304" s="2252"/>
      <c r="AF304" s="2252"/>
    </row>
    <row r="305" spans="2:32">
      <c r="B305" s="2252"/>
      <c r="C305" s="2254"/>
      <c r="D305" s="2380"/>
      <c r="E305" s="2380"/>
      <c r="F305" s="2252"/>
      <c r="G305" s="2252"/>
      <c r="H305" s="2252"/>
      <c r="I305" s="2252"/>
      <c r="J305" s="2252"/>
      <c r="K305" s="2252"/>
      <c r="L305" s="2252"/>
      <c r="M305" s="2252"/>
      <c r="N305" s="2252"/>
      <c r="O305" s="2252"/>
      <c r="P305" s="2252"/>
      <c r="Q305" s="2252"/>
      <c r="R305" s="2252"/>
      <c r="S305" s="2252"/>
      <c r="T305" s="2252"/>
      <c r="U305" s="2252"/>
      <c r="V305" s="2252"/>
      <c r="W305" s="2252"/>
      <c r="X305" s="2252"/>
      <c r="Y305" s="2252"/>
      <c r="Z305" s="2252"/>
      <c r="AA305" s="2252"/>
      <c r="AB305" s="2255"/>
      <c r="AC305" s="2252"/>
      <c r="AD305" s="2252"/>
      <c r="AE305" s="2252"/>
      <c r="AF305" s="2252"/>
    </row>
    <row r="306" spans="2:32">
      <c r="B306" s="2252"/>
      <c r="C306" s="2254"/>
      <c r="D306" s="2380"/>
      <c r="E306" s="2380"/>
      <c r="F306" s="2252"/>
      <c r="G306" s="2252"/>
      <c r="H306" s="2252"/>
      <c r="I306" s="2252"/>
      <c r="J306" s="2252"/>
      <c r="K306" s="2252"/>
      <c r="L306" s="2252"/>
      <c r="M306" s="2252"/>
      <c r="N306" s="2252"/>
      <c r="O306" s="2252"/>
      <c r="P306" s="2252"/>
      <c r="Q306" s="2252"/>
      <c r="R306" s="2252"/>
      <c r="S306" s="2252"/>
      <c r="T306" s="2252"/>
      <c r="U306" s="2252"/>
      <c r="V306" s="2252"/>
      <c r="W306" s="2252"/>
      <c r="X306" s="2252"/>
      <c r="Y306" s="2252"/>
      <c r="Z306" s="2252"/>
      <c r="AA306" s="2252"/>
      <c r="AB306" s="2255"/>
      <c r="AC306" s="2252"/>
      <c r="AD306" s="2252"/>
      <c r="AE306" s="2252"/>
      <c r="AF306" s="2252"/>
    </row>
    <row r="307" spans="2:32">
      <c r="B307" s="2252"/>
      <c r="C307" s="2254"/>
      <c r="D307" s="2380"/>
      <c r="E307" s="2380"/>
      <c r="F307" s="2252"/>
      <c r="G307" s="2252"/>
      <c r="H307" s="2252"/>
      <c r="I307" s="2252"/>
      <c r="J307" s="2252"/>
      <c r="K307" s="2252"/>
      <c r="L307" s="2252"/>
      <c r="M307" s="2252"/>
      <c r="N307" s="2252"/>
      <c r="O307" s="2252"/>
      <c r="P307" s="2252"/>
      <c r="Q307" s="2252"/>
      <c r="R307" s="2252"/>
      <c r="S307" s="2252"/>
      <c r="T307" s="2252"/>
      <c r="U307" s="2252"/>
      <c r="V307" s="2252"/>
      <c r="W307" s="2252"/>
      <c r="X307" s="2252"/>
      <c r="Y307" s="2252"/>
      <c r="Z307" s="2252"/>
      <c r="AA307" s="2252"/>
      <c r="AB307" s="2255"/>
      <c r="AC307" s="2252"/>
      <c r="AD307" s="2252"/>
      <c r="AE307" s="2252"/>
      <c r="AF307" s="2252"/>
    </row>
    <row r="308" spans="2:32">
      <c r="B308" s="2252"/>
      <c r="C308" s="2254"/>
      <c r="D308" s="2380"/>
      <c r="E308" s="2380"/>
      <c r="F308" s="2252"/>
      <c r="G308" s="2252"/>
      <c r="H308" s="2252"/>
      <c r="I308" s="2252"/>
      <c r="J308" s="2252"/>
      <c r="K308" s="2252"/>
      <c r="L308" s="2252"/>
      <c r="M308" s="2252"/>
      <c r="N308" s="2252"/>
      <c r="O308" s="2252"/>
      <c r="P308" s="2252"/>
      <c r="Q308" s="2252"/>
      <c r="R308" s="2252"/>
      <c r="S308" s="2252"/>
      <c r="T308" s="2252"/>
      <c r="U308" s="2252"/>
      <c r="V308" s="2252"/>
      <c r="W308" s="2252"/>
      <c r="X308" s="2252"/>
      <c r="Y308" s="2252"/>
      <c r="Z308" s="2252"/>
      <c r="AA308" s="2252"/>
      <c r="AB308" s="2255"/>
      <c r="AC308" s="2252"/>
      <c r="AD308" s="2252"/>
      <c r="AE308" s="2252"/>
      <c r="AF308" s="2252"/>
    </row>
    <row r="309" spans="2:32">
      <c r="B309" s="2252"/>
      <c r="C309" s="2254"/>
      <c r="D309" s="2380"/>
      <c r="E309" s="2380"/>
      <c r="F309" s="2252"/>
      <c r="G309" s="2252"/>
      <c r="H309" s="2252"/>
      <c r="I309" s="2252"/>
      <c r="J309" s="2252"/>
      <c r="K309" s="2252"/>
      <c r="L309" s="2252"/>
      <c r="M309" s="2252"/>
      <c r="N309" s="2252"/>
      <c r="O309" s="2252"/>
      <c r="P309" s="2252"/>
      <c r="Q309" s="2252"/>
      <c r="R309" s="2252"/>
      <c r="S309" s="2252"/>
      <c r="T309" s="2252"/>
      <c r="U309" s="2252"/>
      <c r="V309" s="2252"/>
      <c r="W309" s="2252"/>
      <c r="X309" s="2252"/>
      <c r="Y309" s="2252"/>
      <c r="Z309" s="2252"/>
      <c r="AA309" s="2252"/>
      <c r="AB309" s="2255"/>
      <c r="AC309" s="2252"/>
      <c r="AD309" s="2252"/>
      <c r="AE309" s="2252"/>
      <c r="AF309" s="2252"/>
    </row>
    <row r="310" spans="2:32">
      <c r="B310" s="2252"/>
      <c r="C310" s="2254"/>
      <c r="D310" s="2380"/>
      <c r="E310" s="2380"/>
      <c r="F310" s="2252"/>
      <c r="G310" s="2252"/>
      <c r="H310" s="2252"/>
      <c r="I310" s="2252"/>
      <c r="J310" s="2252"/>
      <c r="K310" s="2252"/>
      <c r="L310" s="2252"/>
      <c r="M310" s="2252"/>
      <c r="N310" s="2252"/>
      <c r="O310" s="2252"/>
      <c r="P310" s="2252"/>
      <c r="Q310" s="2252"/>
      <c r="R310" s="2252"/>
      <c r="S310" s="2252"/>
      <c r="T310" s="2252"/>
      <c r="U310" s="2252"/>
      <c r="V310" s="2252"/>
      <c r="W310" s="2252"/>
      <c r="X310" s="2252"/>
      <c r="Y310" s="2252"/>
      <c r="Z310" s="2252"/>
      <c r="AA310" s="2252"/>
      <c r="AB310" s="2255"/>
      <c r="AC310" s="2252"/>
      <c r="AD310" s="2252"/>
      <c r="AE310" s="2252"/>
      <c r="AF310" s="2252"/>
    </row>
    <row r="311" spans="2:32">
      <c r="B311" s="2252"/>
      <c r="C311" s="2254"/>
      <c r="D311" s="2380"/>
      <c r="E311" s="2380"/>
      <c r="F311" s="2252"/>
      <c r="G311" s="2252"/>
      <c r="H311" s="2252"/>
      <c r="I311" s="2252"/>
      <c r="J311" s="2252"/>
      <c r="K311" s="2252"/>
      <c r="L311" s="2252"/>
      <c r="M311" s="2252"/>
      <c r="N311" s="2252"/>
      <c r="O311" s="2252"/>
      <c r="P311" s="2252"/>
      <c r="Q311" s="2252"/>
      <c r="R311" s="2252"/>
      <c r="S311" s="2252"/>
      <c r="T311" s="2252"/>
      <c r="U311" s="2252"/>
      <c r="V311" s="2252"/>
      <c r="W311" s="2252"/>
      <c r="X311" s="2252"/>
      <c r="Y311" s="2252"/>
      <c r="Z311" s="2252"/>
      <c r="AA311" s="2252"/>
      <c r="AB311" s="2255"/>
      <c r="AC311" s="2252"/>
      <c r="AD311" s="2252"/>
      <c r="AE311" s="2252"/>
      <c r="AF311" s="2252"/>
    </row>
    <row r="312" spans="2:32">
      <c r="B312" s="2252"/>
      <c r="C312" s="2254"/>
      <c r="D312" s="2380"/>
      <c r="E312" s="2380"/>
      <c r="F312" s="2252"/>
      <c r="G312" s="2252"/>
      <c r="H312" s="2252"/>
      <c r="I312" s="2252"/>
      <c r="J312" s="2252"/>
      <c r="K312" s="2252"/>
      <c r="L312" s="2252"/>
      <c r="M312" s="2252"/>
      <c r="N312" s="2252"/>
      <c r="O312" s="2252"/>
      <c r="P312" s="2252"/>
      <c r="Q312" s="2252"/>
      <c r="R312" s="2252"/>
      <c r="S312" s="2252"/>
      <c r="T312" s="2252"/>
      <c r="U312" s="2252"/>
      <c r="V312" s="2252"/>
      <c r="W312" s="2252"/>
      <c r="X312" s="2252"/>
      <c r="Y312" s="2252"/>
      <c r="Z312" s="2252"/>
      <c r="AA312" s="2252"/>
      <c r="AB312" s="2255"/>
      <c r="AC312" s="2252"/>
      <c r="AD312" s="2252"/>
      <c r="AE312" s="2252"/>
      <c r="AF312" s="2252"/>
    </row>
    <row r="313" spans="2:32">
      <c r="B313" s="2252"/>
      <c r="C313" s="2254"/>
      <c r="D313" s="2380"/>
      <c r="E313" s="2380"/>
      <c r="F313" s="2252"/>
      <c r="G313" s="2252"/>
      <c r="H313" s="2252"/>
      <c r="I313" s="2252"/>
      <c r="J313" s="2252"/>
      <c r="K313" s="2252"/>
      <c r="L313" s="2252"/>
      <c r="M313" s="2252"/>
      <c r="N313" s="2252"/>
      <c r="O313" s="2252"/>
      <c r="P313" s="2252"/>
      <c r="Q313" s="2252"/>
      <c r="R313" s="2252"/>
      <c r="S313" s="2252"/>
      <c r="T313" s="2252"/>
      <c r="U313" s="2252"/>
      <c r="V313" s="2252"/>
      <c r="W313" s="2252"/>
      <c r="X313" s="2252"/>
      <c r="Y313" s="2252"/>
      <c r="Z313" s="2252"/>
      <c r="AA313" s="2252"/>
      <c r="AB313" s="2255"/>
      <c r="AC313" s="2252"/>
      <c r="AD313" s="2252"/>
      <c r="AE313" s="2252"/>
      <c r="AF313" s="2252"/>
    </row>
    <row r="314" spans="2:32">
      <c r="B314" s="2252"/>
      <c r="C314" s="2254"/>
      <c r="D314" s="2380"/>
      <c r="E314" s="2380"/>
      <c r="F314" s="2252"/>
      <c r="G314" s="2252"/>
      <c r="H314" s="2252"/>
      <c r="I314" s="2252"/>
      <c r="J314" s="2252"/>
      <c r="K314" s="2252"/>
      <c r="L314" s="2252"/>
      <c r="M314" s="2252"/>
      <c r="N314" s="2252"/>
      <c r="O314" s="2252"/>
      <c r="P314" s="2252"/>
      <c r="Q314" s="2252"/>
      <c r="R314" s="2252"/>
      <c r="S314" s="2252"/>
      <c r="T314" s="2252"/>
      <c r="U314" s="2252"/>
      <c r="V314" s="2252"/>
      <c r="W314" s="2252"/>
      <c r="X314" s="2252"/>
      <c r="Y314" s="2252"/>
      <c r="Z314" s="2252"/>
      <c r="AA314" s="2252"/>
      <c r="AB314" s="2255"/>
      <c r="AC314" s="2252"/>
      <c r="AD314" s="2252"/>
      <c r="AE314" s="2252"/>
      <c r="AF314" s="2252"/>
    </row>
    <row r="315" spans="2:32">
      <c r="B315" s="2252"/>
      <c r="C315" s="2254"/>
      <c r="D315" s="2380"/>
      <c r="E315" s="2380"/>
      <c r="F315" s="2252"/>
      <c r="G315" s="2252"/>
      <c r="H315" s="2252"/>
      <c r="I315" s="2252"/>
      <c r="J315" s="2252"/>
      <c r="K315" s="2252"/>
      <c r="L315" s="2252"/>
      <c r="M315" s="2252"/>
      <c r="N315" s="2252"/>
      <c r="O315" s="2252"/>
      <c r="P315" s="2252"/>
      <c r="Q315" s="2252"/>
      <c r="R315" s="2252"/>
      <c r="S315" s="2252"/>
      <c r="T315" s="2252"/>
      <c r="U315" s="2252"/>
      <c r="V315" s="2252"/>
      <c r="W315" s="2252"/>
      <c r="X315" s="2252"/>
      <c r="Y315" s="2252"/>
      <c r="Z315" s="2252"/>
      <c r="AA315" s="2252"/>
      <c r="AB315" s="2255"/>
      <c r="AC315" s="2252"/>
      <c r="AD315" s="2252"/>
      <c r="AE315" s="2252"/>
      <c r="AF315" s="2252"/>
    </row>
    <row r="316" spans="2:32">
      <c r="B316" s="2252"/>
      <c r="C316" s="2254"/>
      <c r="D316" s="2380"/>
      <c r="E316" s="2380"/>
      <c r="F316" s="2252"/>
      <c r="G316" s="2252"/>
      <c r="H316" s="2252"/>
      <c r="I316" s="2252"/>
      <c r="J316" s="2252"/>
      <c r="K316" s="2252"/>
      <c r="L316" s="2252"/>
      <c r="M316" s="2252"/>
      <c r="N316" s="2252"/>
      <c r="O316" s="2252"/>
      <c r="P316" s="2252"/>
      <c r="Q316" s="2252"/>
      <c r="R316" s="2252"/>
      <c r="S316" s="2252"/>
      <c r="T316" s="2252"/>
      <c r="U316" s="2252"/>
      <c r="V316" s="2252"/>
      <c r="W316" s="2252"/>
      <c r="X316" s="2252"/>
      <c r="Y316" s="2252"/>
      <c r="Z316" s="2252"/>
      <c r="AA316" s="2252"/>
      <c r="AB316" s="2255"/>
      <c r="AC316" s="2252"/>
      <c r="AD316" s="2252"/>
      <c r="AE316" s="2252"/>
      <c r="AF316" s="2252"/>
    </row>
    <row r="317" spans="2:32">
      <c r="B317" s="2252"/>
      <c r="C317" s="2254"/>
      <c r="D317" s="2380"/>
      <c r="E317" s="2380"/>
      <c r="F317" s="2252"/>
      <c r="G317" s="2252"/>
      <c r="H317" s="2252"/>
      <c r="I317" s="2252"/>
      <c r="J317" s="2252"/>
      <c r="K317" s="2252"/>
      <c r="L317" s="2252"/>
      <c r="M317" s="2252"/>
      <c r="N317" s="2252"/>
      <c r="O317" s="2252"/>
      <c r="P317" s="2252"/>
      <c r="Q317" s="2252"/>
      <c r="R317" s="2252"/>
      <c r="S317" s="2252"/>
      <c r="T317" s="2252"/>
      <c r="U317" s="2252"/>
      <c r="V317" s="2252"/>
      <c r="W317" s="2252"/>
      <c r="X317" s="2252"/>
      <c r="Y317" s="2252"/>
      <c r="Z317" s="2252"/>
      <c r="AA317" s="2252"/>
      <c r="AB317" s="2255"/>
      <c r="AC317" s="2252"/>
      <c r="AD317" s="2252"/>
      <c r="AE317" s="2252"/>
      <c r="AF317" s="2252"/>
    </row>
    <row r="318" spans="2:32">
      <c r="B318" s="2252"/>
      <c r="C318" s="2254"/>
      <c r="D318" s="2380"/>
      <c r="E318" s="2380"/>
      <c r="F318" s="2252"/>
      <c r="G318" s="2252"/>
      <c r="H318" s="2252"/>
      <c r="I318" s="2252"/>
      <c r="J318" s="2252"/>
      <c r="K318" s="2252"/>
      <c r="L318" s="2252"/>
      <c r="M318" s="2252"/>
      <c r="N318" s="2252"/>
      <c r="O318" s="2252"/>
      <c r="P318" s="2252"/>
      <c r="Q318" s="2252"/>
      <c r="R318" s="2252"/>
      <c r="S318" s="2252"/>
      <c r="T318" s="2252"/>
      <c r="U318" s="2252"/>
      <c r="V318" s="2252"/>
      <c r="W318" s="2252"/>
      <c r="X318" s="2252"/>
      <c r="Y318" s="2252"/>
      <c r="Z318" s="2252"/>
      <c r="AA318" s="2252"/>
      <c r="AB318" s="2255"/>
      <c r="AC318" s="2252"/>
      <c r="AD318" s="2252"/>
      <c r="AE318" s="2252"/>
      <c r="AF318" s="2252"/>
    </row>
    <row r="319" spans="2:32">
      <c r="B319" s="2252"/>
      <c r="C319" s="2254"/>
      <c r="D319" s="2380"/>
      <c r="E319" s="2380"/>
      <c r="F319" s="2252"/>
      <c r="G319" s="2252"/>
      <c r="H319" s="2252"/>
      <c r="I319" s="2252"/>
      <c r="J319" s="2252"/>
      <c r="K319" s="2252"/>
      <c r="L319" s="2252"/>
      <c r="M319" s="2252"/>
      <c r="N319" s="2252"/>
      <c r="O319" s="2252"/>
      <c r="P319" s="2252"/>
      <c r="Q319" s="2252"/>
      <c r="R319" s="2252"/>
      <c r="S319" s="2252"/>
      <c r="T319" s="2252"/>
      <c r="U319" s="2252"/>
      <c r="V319" s="2252"/>
      <c r="W319" s="2252"/>
      <c r="X319" s="2252"/>
      <c r="Y319" s="2252"/>
      <c r="Z319" s="2252"/>
      <c r="AA319" s="2252"/>
      <c r="AB319" s="2255"/>
      <c r="AC319" s="2252"/>
      <c r="AD319" s="2252"/>
      <c r="AE319" s="2252"/>
      <c r="AF319" s="2252"/>
    </row>
    <row r="320" spans="2:32">
      <c r="B320" s="2252"/>
      <c r="C320" s="2254"/>
      <c r="D320" s="2380"/>
      <c r="E320" s="2380"/>
      <c r="F320" s="2252"/>
      <c r="G320" s="2252"/>
      <c r="H320" s="2252"/>
      <c r="I320" s="2252"/>
      <c r="J320" s="2252"/>
      <c r="K320" s="2252"/>
      <c r="L320" s="2252"/>
      <c r="M320" s="2252"/>
      <c r="N320" s="2252"/>
      <c r="O320" s="2252"/>
      <c r="P320" s="2252"/>
      <c r="Q320" s="2252"/>
      <c r="R320" s="2252"/>
      <c r="S320" s="2252"/>
      <c r="T320" s="2252"/>
      <c r="U320" s="2252"/>
      <c r="V320" s="2252"/>
      <c r="W320" s="2252"/>
      <c r="X320" s="2252"/>
      <c r="Y320" s="2252"/>
      <c r="Z320" s="2252"/>
      <c r="AA320" s="2252"/>
      <c r="AB320" s="2255"/>
      <c r="AC320" s="2252"/>
      <c r="AD320" s="2252"/>
      <c r="AE320" s="2252"/>
      <c r="AF320" s="2252"/>
    </row>
    <row r="321" spans="2:32">
      <c r="B321" s="2252"/>
      <c r="C321" s="2254"/>
      <c r="D321" s="2380"/>
      <c r="E321" s="2380"/>
      <c r="F321" s="2252"/>
      <c r="G321" s="2252"/>
      <c r="H321" s="2252"/>
      <c r="I321" s="2252"/>
      <c r="J321" s="2252"/>
      <c r="K321" s="2252"/>
      <c r="L321" s="2252"/>
      <c r="M321" s="2252"/>
      <c r="N321" s="2252"/>
      <c r="O321" s="2252"/>
      <c r="P321" s="2252"/>
      <c r="Q321" s="2252"/>
      <c r="R321" s="2252"/>
      <c r="S321" s="2252"/>
      <c r="T321" s="2252"/>
      <c r="U321" s="2252"/>
      <c r="V321" s="2252"/>
      <c r="W321" s="2252"/>
      <c r="X321" s="2252"/>
      <c r="Y321" s="2252"/>
      <c r="Z321" s="2252"/>
      <c r="AA321" s="2252"/>
      <c r="AB321" s="2255"/>
      <c r="AC321" s="2252"/>
      <c r="AD321" s="2252"/>
      <c r="AE321" s="2252"/>
      <c r="AF321" s="2252"/>
    </row>
    <row r="322" spans="2:32">
      <c r="B322" s="2252"/>
      <c r="C322" s="2254"/>
      <c r="D322" s="2380"/>
      <c r="E322" s="2380"/>
      <c r="F322" s="2252"/>
      <c r="G322" s="2252"/>
      <c r="H322" s="2252"/>
      <c r="I322" s="2252"/>
      <c r="J322" s="2252"/>
      <c r="K322" s="2252"/>
      <c r="L322" s="2252"/>
      <c r="M322" s="2252"/>
      <c r="N322" s="2252"/>
      <c r="O322" s="2252"/>
      <c r="P322" s="2252"/>
      <c r="Q322" s="2252"/>
      <c r="R322" s="2252"/>
      <c r="S322" s="2252"/>
      <c r="T322" s="2252"/>
      <c r="U322" s="2252"/>
      <c r="V322" s="2252"/>
      <c r="W322" s="2252"/>
      <c r="X322" s="2252"/>
      <c r="Y322" s="2252"/>
      <c r="Z322" s="2252"/>
      <c r="AA322" s="2252"/>
      <c r="AB322" s="2255"/>
      <c r="AC322" s="2252"/>
      <c r="AD322" s="2252"/>
      <c r="AE322" s="2252"/>
      <c r="AF322" s="2252"/>
    </row>
    <row r="323" spans="2:32">
      <c r="B323" s="2252"/>
      <c r="C323" s="2254"/>
      <c r="D323" s="2380"/>
      <c r="E323" s="2380"/>
      <c r="F323" s="2252"/>
      <c r="G323" s="2252"/>
      <c r="H323" s="2252"/>
      <c r="I323" s="2252"/>
      <c r="J323" s="2252"/>
      <c r="K323" s="2252"/>
      <c r="L323" s="2252"/>
      <c r="M323" s="2252"/>
      <c r="N323" s="2252"/>
      <c r="O323" s="2252"/>
      <c r="P323" s="2252"/>
      <c r="Q323" s="2252"/>
      <c r="R323" s="2252"/>
      <c r="S323" s="2252"/>
      <c r="T323" s="2252"/>
      <c r="U323" s="2252"/>
      <c r="V323" s="2252"/>
      <c r="W323" s="2252"/>
      <c r="X323" s="2252"/>
      <c r="Y323" s="2252"/>
      <c r="Z323" s="2252"/>
      <c r="AA323" s="2252"/>
      <c r="AB323" s="2255"/>
      <c r="AC323" s="2252"/>
      <c r="AD323" s="2252"/>
      <c r="AE323" s="2252"/>
      <c r="AF323" s="2252"/>
    </row>
    <row r="324" spans="2:32">
      <c r="B324" s="2252"/>
      <c r="C324" s="2254"/>
      <c r="D324" s="2380"/>
      <c r="E324" s="2380"/>
      <c r="F324" s="2252"/>
      <c r="G324" s="2252"/>
      <c r="H324" s="2252"/>
      <c r="I324" s="2252"/>
      <c r="J324" s="2252"/>
      <c r="K324" s="2252"/>
      <c r="L324" s="2252"/>
      <c r="M324" s="2252"/>
      <c r="N324" s="2252"/>
      <c r="O324" s="2252"/>
      <c r="P324" s="2252"/>
      <c r="Q324" s="2252"/>
      <c r="R324" s="2252"/>
      <c r="S324" s="2252"/>
      <c r="T324" s="2252"/>
      <c r="U324" s="2252"/>
      <c r="V324" s="2252"/>
      <c r="W324" s="2252"/>
      <c r="X324" s="2252"/>
      <c r="Y324" s="2252"/>
      <c r="Z324" s="2252"/>
      <c r="AA324" s="2252"/>
      <c r="AB324" s="2255"/>
      <c r="AC324" s="2252"/>
      <c r="AD324" s="2252"/>
      <c r="AE324" s="2252"/>
      <c r="AF324" s="2252"/>
    </row>
    <row r="325" spans="2:32">
      <c r="B325" s="2252"/>
      <c r="C325" s="2254"/>
      <c r="D325" s="2380"/>
      <c r="E325" s="2380"/>
      <c r="F325" s="2252"/>
      <c r="G325" s="2252"/>
      <c r="H325" s="2252"/>
      <c r="I325" s="2252"/>
      <c r="J325" s="2252"/>
      <c r="K325" s="2252"/>
      <c r="L325" s="2252"/>
      <c r="M325" s="2252"/>
      <c r="N325" s="2252"/>
      <c r="O325" s="2252"/>
      <c r="P325" s="2252"/>
      <c r="Q325" s="2252"/>
      <c r="R325" s="2252"/>
      <c r="S325" s="2252"/>
      <c r="T325" s="2252"/>
      <c r="U325" s="2252"/>
      <c r="V325" s="2252"/>
      <c r="W325" s="2252"/>
      <c r="X325" s="2252"/>
      <c r="Y325" s="2252"/>
      <c r="Z325" s="2252"/>
      <c r="AA325" s="2252"/>
      <c r="AB325" s="2255"/>
      <c r="AC325" s="2252"/>
      <c r="AD325" s="2252"/>
      <c r="AE325" s="2252"/>
      <c r="AF325" s="2252"/>
    </row>
    <row r="326" spans="2:32">
      <c r="B326" s="2252"/>
      <c r="C326" s="2254"/>
      <c r="D326" s="2380"/>
      <c r="E326" s="2380"/>
      <c r="F326" s="2252"/>
      <c r="G326" s="2252"/>
      <c r="H326" s="2252"/>
      <c r="I326" s="2252"/>
      <c r="J326" s="2252"/>
      <c r="K326" s="2252"/>
      <c r="L326" s="2252"/>
      <c r="M326" s="2252"/>
      <c r="N326" s="2252"/>
      <c r="O326" s="2252"/>
      <c r="P326" s="2252"/>
      <c r="Q326" s="2252"/>
      <c r="R326" s="2252"/>
      <c r="S326" s="2252"/>
      <c r="T326" s="2252"/>
      <c r="U326" s="2252"/>
      <c r="V326" s="2252"/>
      <c r="W326" s="2252"/>
      <c r="X326" s="2252"/>
      <c r="Y326" s="2252"/>
      <c r="Z326" s="2252"/>
      <c r="AA326" s="2252"/>
      <c r="AB326" s="2255"/>
      <c r="AC326" s="2252"/>
      <c r="AD326" s="2252"/>
      <c r="AE326" s="2252"/>
      <c r="AF326" s="2252"/>
    </row>
    <row r="327" spans="2:32">
      <c r="B327" s="2252"/>
      <c r="C327" s="2254"/>
      <c r="D327" s="2380"/>
      <c r="E327" s="2380"/>
      <c r="F327" s="2252"/>
      <c r="G327" s="2252"/>
      <c r="H327" s="2252"/>
      <c r="I327" s="2252"/>
      <c r="J327" s="2252"/>
      <c r="K327" s="2252"/>
      <c r="L327" s="2252"/>
      <c r="M327" s="2252"/>
      <c r="N327" s="2252"/>
      <c r="O327" s="2252"/>
      <c r="P327" s="2252"/>
      <c r="Q327" s="2252"/>
      <c r="R327" s="2252"/>
      <c r="S327" s="2252"/>
      <c r="T327" s="2252"/>
      <c r="U327" s="2252"/>
      <c r="V327" s="2252"/>
      <c r="W327" s="2252"/>
      <c r="X327" s="2252"/>
      <c r="Y327" s="2252"/>
      <c r="Z327" s="2252"/>
      <c r="AA327" s="2252"/>
      <c r="AB327" s="2255"/>
      <c r="AC327" s="2252"/>
      <c r="AD327" s="2252"/>
      <c r="AE327" s="2252"/>
      <c r="AF327" s="2252"/>
    </row>
    <row r="328" spans="2:32">
      <c r="B328" s="2252"/>
      <c r="C328" s="2254"/>
      <c r="D328" s="2380"/>
      <c r="E328" s="2380"/>
      <c r="F328" s="2252"/>
      <c r="G328" s="2252"/>
      <c r="H328" s="2252"/>
      <c r="I328" s="2252"/>
      <c r="J328" s="2252"/>
      <c r="K328" s="2252"/>
      <c r="L328" s="2252"/>
      <c r="M328" s="2252"/>
      <c r="N328" s="2252"/>
      <c r="O328" s="2252"/>
      <c r="P328" s="2252"/>
      <c r="Q328" s="2252"/>
      <c r="R328" s="2252"/>
      <c r="S328" s="2252"/>
      <c r="T328" s="2252"/>
      <c r="U328" s="2252"/>
      <c r="V328" s="2252"/>
      <c r="W328" s="2252"/>
      <c r="X328" s="2252"/>
      <c r="Y328" s="2252"/>
      <c r="Z328" s="2252"/>
      <c r="AA328" s="2252"/>
      <c r="AB328" s="2255"/>
      <c r="AC328" s="2252"/>
      <c r="AD328" s="2252"/>
      <c r="AE328" s="2252"/>
      <c r="AF328" s="2252"/>
    </row>
    <row r="329" spans="2:32">
      <c r="B329" s="2252"/>
      <c r="C329" s="2254"/>
      <c r="D329" s="2380"/>
      <c r="E329" s="2380"/>
      <c r="F329" s="2252"/>
      <c r="G329" s="2252"/>
      <c r="H329" s="2252"/>
      <c r="I329" s="2252"/>
      <c r="J329" s="2252"/>
      <c r="K329" s="2252"/>
      <c r="L329" s="2252"/>
      <c r="M329" s="2252"/>
      <c r="N329" s="2252"/>
      <c r="O329" s="2252"/>
      <c r="P329" s="2252"/>
      <c r="Q329" s="2252"/>
      <c r="R329" s="2252"/>
      <c r="S329" s="2252"/>
      <c r="T329" s="2252"/>
      <c r="U329" s="2252"/>
      <c r="V329" s="2252"/>
      <c r="W329" s="2252"/>
      <c r="X329" s="2252"/>
      <c r="Y329" s="2252"/>
      <c r="Z329" s="2252"/>
      <c r="AA329" s="2252"/>
      <c r="AB329" s="2255"/>
      <c r="AC329" s="2252"/>
      <c r="AD329" s="2252"/>
      <c r="AE329" s="2252"/>
      <c r="AF329" s="2252"/>
    </row>
    <row r="330" spans="2:32">
      <c r="B330" s="2252"/>
      <c r="C330" s="2254"/>
      <c r="D330" s="2380"/>
      <c r="E330" s="2380"/>
      <c r="F330" s="2252"/>
      <c r="G330" s="2252"/>
      <c r="H330" s="2252"/>
      <c r="I330" s="2252"/>
      <c r="J330" s="2252"/>
      <c r="K330" s="2252"/>
      <c r="L330" s="2252"/>
      <c r="M330" s="2252"/>
      <c r="N330" s="2252"/>
      <c r="O330" s="2252"/>
      <c r="P330" s="2252"/>
      <c r="Q330" s="2252"/>
      <c r="R330" s="2252"/>
      <c r="S330" s="2252"/>
      <c r="T330" s="2252"/>
      <c r="U330" s="2252"/>
      <c r="V330" s="2252"/>
      <c r="W330" s="2252"/>
      <c r="X330" s="2252"/>
      <c r="Y330" s="2252"/>
      <c r="Z330" s="2252"/>
      <c r="AA330" s="2252"/>
      <c r="AB330" s="2255"/>
      <c r="AC330" s="2252"/>
      <c r="AD330" s="2252"/>
      <c r="AE330" s="2252"/>
      <c r="AF330" s="2252"/>
    </row>
    <row r="331" spans="2:32">
      <c r="B331" s="2252"/>
      <c r="C331" s="2254"/>
      <c r="D331" s="2380"/>
      <c r="E331" s="2380"/>
      <c r="F331" s="2252"/>
      <c r="G331" s="2252"/>
      <c r="H331" s="2252"/>
      <c r="I331" s="2252"/>
      <c r="J331" s="2252"/>
      <c r="K331" s="2252"/>
      <c r="L331" s="2252"/>
      <c r="M331" s="2252"/>
      <c r="N331" s="2252"/>
      <c r="O331" s="2252"/>
      <c r="P331" s="2252"/>
      <c r="Q331" s="2252"/>
      <c r="R331" s="2252"/>
      <c r="S331" s="2252"/>
      <c r="T331" s="2252"/>
      <c r="U331" s="2252"/>
      <c r="V331" s="2252"/>
      <c r="W331" s="2252"/>
      <c r="X331" s="2252"/>
      <c r="Y331" s="2252"/>
      <c r="Z331" s="2252"/>
      <c r="AA331" s="2252"/>
      <c r="AB331" s="2255"/>
      <c r="AC331" s="2252"/>
      <c r="AD331" s="2252"/>
      <c r="AE331" s="2252"/>
      <c r="AF331" s="2252"/>
    </row>
    <row r="332" spans="2:32">
      <c r="B332" s="2252"/>
      <c r="C332" s="2254"/>
      <c r="D332" s="2380"/>
      <c r="E332" s="2380"/>
      <c r="F332" s="2252"/>
      <c r="G332" s="2252"/>
      <c r="H332" s="2252"/>
      <c r="I332" s="2252"/>
      <c r="J332" s="2252"/>
      <c r="K332" s="2252"/>
      <c r="L332" s="2252"/>
      <c r="M332" s="2252"/>
      <c r="N332" s="2252"/>
      <c r="O332" s="2252"/>
      <c r="P332" s="2252"/>
      <c r="Q332" s="2252"/>
      <c r="R332" s="2252"/>
      <c r="S332" s="2252"/>
      <c r="T332" s="2252"/>
      <c r="U332" s="2252"/>
      <c r="V332" s="2252"/>
      <c r="W332" s="2252"/>
      <c r="X332" s="2252"/>
      <c r="Y332" s="2252"/>
      <c r="Z332" s="2252"/>
      <c r="AA332" s="2252"/>
      <c r="AB332" s="2255"/>
      <c r="AC332" s="2252"/>
      <c r="AD332" s="2252"/>
      <c r="AE332" s="2252"/>
      <c r="AF332" s="2252"/>
    </row>
    <row r="333" spans="2:32">
      <c r="B333" s="2252"/>
      <c r="C333" s="2254"/>
      <c r="D333" s="2380"/>
      <c r="E333" s="2380"/>
      <c r="F333" s="2252"/>
      <c r="G333" s="2252"/>
      <c r="H333" s="2252"/>
      <c r="I333" s="2252"/>
      <c r="J333" s="2252"/>
      <c r="K333" s="2252"/>
      <c r="L333" s="2252"/>
      <c r="M333" s="2252"/>
      <c r="N333" s="2252"/>
      <c r="O333" s="2252"/>
      <c r="P333" s="2252"/>
      <c r="Q333" s="2252"/>
      <c r="R333" s="2252"/>
      <c r="S333" s="2252"/>
      <c r="T333" s="2252"/>
      <c r="U333" s="2252"/>
      <c r="V333" s="2252"/>
      <c r="W333" s="2252"/>
      <c r="X333" s="2252"/>
      <c r="Y333" s="2252"/>
      <c r="Z333" s="2252"/>
      <c r="AA333" s="2252"/>
      <c r="AB333" s="2255"/>
      <c r="AC333" s="2252"/>
      <c r="AD333" s="2252"/>
      <c r="AE333" s="2252"/>
      <c r="AF333" s="2252"/>
    </row>
    <row r="334" spans="2:32">
      <c r="B334" s="2252"/>
      <c r="C334" s="2254"/>
      <c r="D334" s="2380"/>
      <c r="E334" s="2380"/>
      <c r="F334" s="2252"/>
      <c r="G334" s="2252"/>
      <c r="H334" s="2252"/>
      <c r="I334" s="2252"/>
      <c r="J334" s="2252"/>
      <c r="K334" s="2252"/>
      <c r="L334" s="2252"/>
      <c r="M334" s="2252"/>
      <c r="N334" s="2252"/>
      <c r="O334" s="2252"/>
      <c r="P334" s="2252"/>
      <c r="Q334" s="2252"/>
      <c r="R334" s="2252"/>
      <c r="S334" s="2252"/>
      <c r="T334" s="2252"/>
      <c r="U334" s="2252"/>
      <c r="V334" s="2252"/>
      <c r="W334" s="2252"/>
      <c r="X334" s="2252"/>
      <c r="Y334" s="2252"/>
      <c r="Z334" s="2252"/>
      <c r="AA334" s="2252"/>
      <c r="AB334" s="2255"/>
      <c r="AC334" s="2252"/>
      <c r="AD334" s="2252"/>
      <c r="AE334" s="2252"/>
      <c r="AF334" s="2252"/>
    </row>
    <row r="335" spans="2:32">
      <c r="B335" s="2252"/>
      <c r="C335" s="2254"/>
      <c r="D335" s="2380"/>
      <c r="E335" s="2380"/>
      <c r="F335" s="2252"/>
      <c r="G335" s="2252"/>
      <c r="H335" s="2252"/>
      <c r="I335" s="2252"/>
      <c r="J335" s="2252"/>
      <c r="K335" s="2252"/>
      <c r="L335" s="2252"/>
      <c r="M335" s="2252"/>
      <c r="N335" s="2252"/>
      <c r="O335" s="2252"/>
      <c r="P335" s="2252"/>
      <c r="Q335" s="2252"/>
      <c r="R335" s="2252"/>
      <c r="S335" s="2252"/>
      <c r="T335" s="2252"/>
      <c r="U335" s="2252"/>
      <c r="V335" s="2252"/>
      <c r="W335" s="2252"/>
      <c r="X335" s="2252"/>
      <c r="Y335" s="2252"/>
      <c r="Z335" s="2252"/>
      <c r="AA335" s="2252"/>
      <c r="AB335" s="2255"/>
      <c r="AC335" s="2252"/>
      <c r="AD335" s="2252"/>
      <c r="AE335" s="2252"/>
      <c r="AF335" s="2252"/>
    </row>
    <row r="336" spans="2:32">
      <c r="B336" s="2252"/>
      <c r="C336" s="2254"/>
      <c r="D336" s="2380"/>
      <c r="E336" s="2380"/>
      <c r="F336" s="2252"/>
      <c r="G336" s="2252"/>
      <c r="H336" s="2252"/>
      <c r="I336" s="2252"/>
      <c r="J336" s="2252"/>
      <c r="K336" s="2252"/>
      <c r="L336" s="2252"/>
      <c r="M336" s="2252"/>
      <c r="N336" s="2252"/>
      <c r="O336" s="2252"/>
      <c r="P336" s="2252"/>
      <c r="Q336" s="2252"/>
      <c r="R336" s="2252"/>
      <c r="S336" s="2252"/>
      <c r="T336" s="2252"/>
      <c r="U336" s="2252"/>
      <c r="V336" s="2252"/>
      <c r="W336" s="2252"/>
      <c r="X336" s="2252"/>
      <c r="Y336" s="2252"/>
      <c r="Z336" s="2252"/>
      <c r="AA336" s="2252"/>
      <c r="AB336" s="2255"/>
      <c r="AC336" s="2252"/>
      <c r="AD336" s="2252"/>
      <c r="AE336" s="2252"/>
      <c r="AF336" s="2252"/>
    </row>
    <row r="337" spans="2:32">
      <c r="B337" s="2252"/>
      <c r="C337" s="2254"/>
      <c r="D337" s="2380"/>
      <c r="E337" s="2380"/>
      <c r="F337" s="2252"/>
      <c r="G337" s="2252"/>
      <c r="H337" s="2252"/>
      <c r="I337" s="2252"/>
      <c r="J337" s="2252"/>
      <c r="K337" s="2252"/>
      <c r="L337" s="2252"/>
      <c r="M337" s="2252"/>
      <c r="N337" s="2252"/>
      <c r="O337" s="2252"/>
      <c r="P337" s="2252"/>
      <c r="Q337" s="2252"/>
      <c r="R337" s="2252"/>
      <c r="S337" s="2252"/>
      <c r="T337" s="2252"/>
      <c r="U337" s="2252"/>
      <c r="V337" s="2252"/>
      <c r="W337" s="2252"/>
      <c r="X337" s="2252"/>
      <c r="Y337" s="2252"/>
      <c r="Z337" s="2252"/>
      <c r="AA337" s="2252"/>
      <c r="AB337" s="2255"/>
      <c r="AC337" s="2252"/>
      <c r="AD337" s="2252"/>
      <c r="AE337" s="2252"/>
      <c r="AF337" s="2252"/>
    </row>
    <row r="338" spans="2:32">
      <c r="B338" s="2252"/>
      <c r="C338" s="2254"/>
      <c r="D338" s="2380"/>
      <c r="E338" s="2380"/>
      <c r="F338" s="2252"/>
      <c r="G338" s="2252"/>
      <c r="H338" s="2252"/>
      <c r="I338" s="2252"/>
      <c r="J338" s="2252"/>
      <c r="K338" s="2252"/>
      <c r="L338" s="2252"/>
      <c r="M338" s="2252"/>
      <c r="N338" s="2252"/>
      <c r="O338" s="2252"/>
      <c r="P338" s="2252"/>
      <c r="Q338" s="2252"/>
      <c r="R338" s="2252"/>
      <c r="S338" s="2252"/>
      <c r="T338" s="2252"/>
      <c r="U338" s="2252"/>
      <c r="V338" s="2252"/>
      <c r="W338" s="2252"/>
      <c r="X338" s="2252"/>
      <c r="Y338" s="2252"/>
      <c r="Z338" s="2252"/>
      <c r="AA338" s="2252"/>
      <c r="AB338" s="2255"/>
      <c r="AC338" s="2252"/>
      <c r="AD338" s="2252"/>
      <c r="AE338" s="2252"/>
      <c r="AF338" s="2252"/>
    </row>
    <row r="339" spans="2:32">
      <c r="B339" s="2252"/>
      <c r="C339" s="2254"/>
      <c r="D339" s="2380"/>
      <c r="E339" s="2380"/>
      <c r="F339" s="2252"/>
      <c r="G339" s="2252"/>
      <c r="H339" s="2252"/>
      <c r="I339" s="2252"/>
      <c r="J339" s="2252"/>
      <c r="K339" s="2252"/>
      <c r="L339" s="2252"/>
      <c r="M339" s="2252"/>
      <c r="N339" s="2252"/>
      <c r="O339" s="2252"/>
      <c r="P339" s="2252"/>
      <c r="Q339" s="2252"/>
      <c r="R339" s="2252"/>
      <c r="S339" s="2252"/>
      <c r="T339" s="2252"/>
      <c r="U339" s="2252"/>
      <c r="V339" s="2252"/>
      <c r="W339" s="2252"/>
      <c r="X339" s="2252"/>
      <c r="Y339" s="2252"/>
      <c r="Z339" s="2252"/>
      <c r="AA339" s="2252"/>
      <c r="AB339" s="2255"/>
      <c r="AC339" s="2252"/>
      <c r="AD339" s="2252"/>
      <c r="AE339" s="2252"/>
      <c r="AF339" s="2252"/>
    </row>
    <row r="340" spans="2:32">
      <c r="B340" s="2252"/>
      <c r="C340" s="2254"/>
      <c r="D340" s="2380"/>
      <c r="E340" s="2380"/>
      <c r="F340" s="2252"/>
      <c r="G340" s="2252"/>
      <c r="H340" s="2252"/>
      <c r="I340" s="2252"/>
      <c r="J340" s="2252"/>
      <c r="K340" s="2252"/>
      <c r="L340" s="2252"/>
      <c r="M340" s="2252"/>
      <c r="N340" s="2252"/>
      <c r="O340" s="2252"/>
      <c r="P340" s="2252"/>
      <c r="Q340" s="2252"/>
      <c r="R340" s="2252"/>
      <c r="S340" s="2252"/>
      <c r="T340" s="2252"/>
      <c r="U340" s="2252"/>
      <c r="V340" s="2252"/>
      <c r="W340" s="2252"/>
      <c r="X340" s="2252"/>
      <c r="Y340" s="2252"/>
      <c r="Z340" s="2252"/>
      <c r="AA340" s="2252"/>
      <c r="AB340" s="2255"/>
      <c r="AC340" s="2252"/>
      <c r="AD340" s="2252"/>
      <c r="AE340" s="2252"/>
      <c r="AF340" s="2252"/>
    </row>
    <row r="341" spans="2:32">
      <c r="B341" s="2252"/>
      <c r="C341" s="2254"/>
      <c r="D341" s="2380"/>
      <c r="E341" s="2380"/>
      <c r="F341" s="2252"/>
      <c r="G341" s="2252"/>
      <c r="H341" s="2252"/>
      <c r="I341" s="2252"/>
      <c r="J341" s="2252"/>
      <c r="K341" s="2252"/>
      <c r="L341" s="2252"/>
      <c r="M341" s="2252"/>
      <c r="N341" s="2252"/>
      <c r="O341" s="2252"/>
      <c r="P341" s="2252"/>
      <c r="Q341" s="2252"/>
      <c r="R341" s="2252"/>
      <c r="S341" s="2252"/>
      <c r="T341" s="2252"/>
      <c r="U341" s="2252"/>
      <c r="V341" s="2252"/>
      <c r="W341" s="2252"/>
      <c r="X341" s="2252"/>
      <c r="Y341" s="2252"/>
      <c r="Z341" s="2252"/>
      <c r="AA341" s="2252"/>
      <c r="AB341" s="2255"/>
      <c r="AC341" s="2252"/>
      <c r="AD341" s="2252"/>
      <c r="AE341" s="2252"/>
      <c r="AF341" s="2252"/>
    </row>
    <row r="342" spans="2:32">
      <c r="B342" s="2252"/>
      <c r="C342" s="2254"/>
      <c r="D342" s="2380"/>
      <c r="E342" s="2380"/>
      <c r="F342" s="2252"/>
      <c r="G342" s="2252"/>
      <c r="H342" s="2252"/>
      <c r="I342" s="2252"/>
      <c r="J342" s="2252"/>
      <c r="K342" s="2252"/>
      <c r="L342" s="2252"/>
      <c r="M342" s="2252"/>
      <c r="N342" s="2252"/>
      <c r="O342" s="2252"/>
      <c r="P342" s="2252"/>
      <c r="Q342" s="2252"/>
      <c r="R342" s="2252"/>
      <c r="S342" s="2252"/>
      <c r="T342" s="2252"/>
      <c r="U342" s="2252"/>
      <c r="V342" s="2252"/>
      <c r="W342" s="2252"/>
      <c r="X342" s="2252"/>
      <c r="Y342" s="2252"/>
      <c r="Z342" s="2252"/>
      <c r="AA342" s="2252"/>
      <c r="AB342" s="2255"/>
      <c r="AC342" s="2252"/>
      <c r="AD342" s="2252"/>
      <c r="AE342" s="2252"/>
      <c r="AF342" s="2252"/>
    </row>
    <row r="343" spans="2:32">
      <c r="B343" s="2252"/>
      <c r="C343" s="2254"/>
      <c r="D343" s="2380"/>
      <c r="E343" s="2380"/>
      <c r="F343" s="2252"/>
      <c r="G343" s="2252"/>
      <c r="H343" s="2252"/>
      <c r="I343" s="2252"/>
      <c r="J343" s="2252"/>
      <c r="K343" s="2252"/>
      <c r="L343" s="2252"/>
      <c r="M343" s="2252"/>
      <c r="N343" s="2252"/>
      <c r="O343" s="2252"/>
      <c r="P343" s="2252"/>
      <c r="Q343" s="2252"/>
      <c r="R343" s="2252"/>
      <c r="S343" s="2252"/>
      <c r="T343" s="2252"/>
      <c r="U343" s="2252"/>
      <c r="V343" s="2252"/>
      <c r="W343" s="2252"/>
      <c r="X343" s="2252"/>
      <c r="Y343" s="2252"/>
      <c r="Z343" s="2252"/>
      <c r="AA343" s="2252"/>
      <c r="AB343" s="2255"/>
      <c r="AC343" s="2252"/>
      <c r="AD343" s="2252"/>
      <c r="AE343" s="2252"/>
      <c r="AF343" s="2252"/>
    </row>
    <row r="344" spans="2:32">
      <c r="B344" s="2252"/>
      <c r="C344" s="2254"/>
      <c r="D344" s="2380"/>
      <c r="E344" s="2380"/>
      <c r="F344" s="2252"/>
      <c r="G344" s="2252"/>
      <c r="H344" s="2252"/>
      <c r="I344" s="2252"/>
      <c r="J344" s="2252"/>
      <c r="K344" s="2252"/>
      <c r="L344" s="2252"/>
      <c r="M344" s="2252"/>
      <c r="N344" s="2252"/>
      <c r="O344" s="2252"/>
      <c r="P344" s="2252"/>
      <c r="Q344" s="2252"/>
      <c r="R344" s="2252"/>
      <c r="S344" s="2252"/>
      <c r="T344" s="2252"/>
      <c r="U344" s="2252"/>
      <c r="V344" s="2252"/>
      <c r="W344" s="2252"/>
      <c r="X344" s="2252"/>
      <c r="Y344" s="2252"/>
      <c r="Z344" s="2252"/>
      <c r="AA344" s="2252"/>
      <c r="AB344" s="2255"/>
      <c r="AC344" s="2252"/>
      <c r="AD344" s="2252"/>
      <c r="AE344" s="2252"/>
      <c r="AF344" s="2252"/>
    </row>
    <row r="345" spans="2:32">
      <c r="B345" s="2252"/>
      <c r="C345" s="2254"/>
      <c r="D345" s="2380"/>
      <c r="E345" s="2380"/>
      <c r="F345" s="2252"/>
      <c r="G345" s="2252"/>
      <c r="H345" s="2252"/>
      <c r="I345" s="2252"/>
      <c r="J345" s="2252"/>
      <c r="K345" s="2252"/>
      <c r="L345" s="2252"/>
      <c r="M345" s="2252"/>
      <c r="N345" s="2252"/>
      <c r="O345" s="2252"/>
      <c r="P345" s="2252"/>
      <c r="Q345" s="2252"/>
      <c r="R345" s="2252"/>
      <c r="S345" s="2252"/>
      <c r="T345" s="2252"/>
      <c r="U345" s="2252"/>
      <c r="V345" s="2252"/>
      <c r="W345" s="2252"/>
      <c r="X345" s="2252"/>
      <c r="Y345" s="2252"/>
      <c r="Z345" s="2252"/>
      <c r="AA345" s="2252"/>
      <c r="AB345" s="2255"/>
      <c r="AC345" s="2252"/>
      <c r="AD345" s="2252"/>
      <c r="AE345" s="2252"/>
      <c r="AF345" s="2252"/>
    </row>
    <row r="346" spans="2:32">
      <c r="B346" s="2252"/>
      <c r="C346" s="2254"/>
      <c r="D346" s="2380"/>
      <c r="E346" s="2380"/>
      <c r="F346" s="2252"/>
      <c r="G346" s="2252"/>
      <c r="H346" s="2252"/>
      <c r="I346" s="2252"/>
      <c r="J346" s="2252"/>
      <c r="K346" s="2252"/>
      <c r="L346" s="2252"/>
      <c r="M346" s="2252"/>
      <c r="N346" s="2252"/>
      <c r="O346" s="2252"/>
      <c r="P346" s="2252"/>
      <c r="Q346" s="2252"/>
      <c r="R346" s="2252"/>
      <c r="S346" s="2252"/>
      <c r="T346" s="2252"/>
      <c r="U346" s="2252"/>
      <c r="V346" s="2252"/>
      <c r="W346" s="2252"/>
      <c r="X346" s="2252"/>
      <c r="Y346" s="2252"/>
      <c r="Z346" s="2252"/>
      <c r="AA346" s="2252"/>
      <c r="AB346" s="2255"/>
      <c r="AC346" s="2252"/>
      <c r="AD346" s="2252"/>
      <c r="AE346" s="2252"/>
      <c r="AF346" s="2252"/>
    </row>
    <row r="347" spans="2:32">
      <c r="B347" s="2252"/>
      <c r="C347" s="2254"/>
      <c r="D347" s="2380"/>
      <c r="E347" s="2380"/>
      <c r="F347" s="2252"/>
      <c r="G347" s="2252"/>
      <c r="H347" s="2252"/>
      <c r="I347" s="2252"/>
      <c r="J347" s="2252"/>
      <c r="K347" s="2252"/>
      <c r="L347" s="2252"/>
      <c r="M347" s="2252"/>
      <c r="N347" s="2252"/>
      <c r="O347" s="2252"/>
      <c r="P347" s="2252"/>
      <c r="Q347" s="2252"/>
      <c r="R347" s="2252"/>
      <c r="S347" s="2252"/>
      <c r="T347" s="2252"/>
      <c r="U347" s="2252"/>
      <c r="V347" s="2252"/>
      <c r="W347" s="2252"/>
      <c r="X347" s="2252"/>
      <c r="Y347" s="2252"/>
      <c r="Z347" s="2252"/>
      <c r="AA347" s="2252"/>
      <c r="AB347" s="2255"/>
      <c r="AC347" s="2252"/>
      <c r="AD347" s="2252"/>
      <c r="AE347" s="2252"/>
      <c r="AF347" s="2252"/>
    </row>
    <row r="348" spans="2:32">
      <c r="B348" s="2252"/>
      <c r="C348" s="2254"/>
      <c r="D348" s="2380"/>
      <c r="E348" s="2380"/>
      <c r="F348" s="2252"/>
      <c r="G348" s="2252"/>
      <c r="H348" s="2252"/>
      <c r="I348" s="2252"/>
      <c r="J348" s="2252"/>
      <c r="K348" s="2252"/>
      <c r="L348" s="2252"/>
      <c r="M348" s="2252"/>
      <c r="N348" s="2252"/>
      <c r="O348" s="2252"/>
      <c r="P348" s="2252"/>
      <c r="Q348" s="2252"/>
      <c r="R348" s="2252"/>
      <c r="S348" s="2252"/>
      <c r="T348" s="2252"/>
      <c r="U348" s="2252"/>
      <c r="V348" s="2252"/>
      <c r="W348" s="2252"/>
      <c r="X348" s="2252"/>
      <c r="Y348" s="2252"/>
      <c r="Z348" s="2252"/>
      <c r="AA348" s="2252"/>
      <c r="AB348" s="2255"/>
      <c r="AC348" s="2252"/>
      <c r="AD348" s="2252"/>
      <c r="AE348" s="2252"/>
      <c r="AF348" s="2252"/>
    </row>
    <row r="349" spans="2:32">
      <c r="B349" s="2252"/>
      <c r="C349" s="2254"/>
      <c r="D349" s="2380"/>
      <c r="E349" s="2380"/>
      <c r="F349" s="2252"/>
      <c r="G349" s="2252"/>
      <c r="H349" s="2252"/>
      <c r="I349" s="2252"/>
      <c r="J349" s="2252"/>
      <c r="K349" s="2252"/>
      <c r="L349" s="2252"/>
      <c r="M349" s="2252"/>
      <c r="N349" s="2252"/>
      <c r="O349" s="2252"/>
      <c r="P349" s="2252"/>
      <c r="Q349" s="2252"/>
      <c r="R349" s="2252"/>
      <c r="S349" s="2252"/>
      <c r="T349" s="2252"/>
      <c r="U349" s="2252"/>
      <c r="V349" s="2252"/>
      <c r="W349" s="2252"/>
      <c r="X349" s="2252"/>
      <c r="Y349" s="2252"/>
      <c r="Z349" s="2252"/>
      <c r="AA349" s="2252"/>
      <c r="AB349" s="2255"/>
      <c r="AC349" s="2252"/>
      <c r="AD349" s="2252"/>
      <c r="AE349" s="2252"/>
      <c r="AF349" s="2252"/>
    </row>
    <row r="350" spans="2:32">
      <c r="B350" s="2252"/>
      <c r="C350" s="2254"/>
      <c r="D350" s="2380"/>
      <c r="E350" s="2380"/>
      <c r="F350" s="2252"/>
      <c r="G350" s="2252"/>
      <c r="H350" s="2252"/>
      <c r="I350" s="2252"/>
      <c r="J350" s="2252"/>
      <c r="K350" s="2252"/>
      <c r="L350" s="2252"/>
      <c r="M350" s="2252"/>
      <c r="N350" s="2252"/>
      <c r="O350" s="2252"/>
      <c r="P350" s="2252"/>
      <c r="Q350" s="2252"/>
      <c r="R350" s="2252"/>
      <c r="S350" s="2252"/>
      <c r="T350" s="2252"/>
      <c r="U350" s="2252"/>
      <c r="V350" s="2252"/>
      <c r="W350" s="2252"/>
      <c r="X350" s="2252"/>
      <c r="Y350" s="2252"/>
      <c r="Z350" s="2252"/>
      <c r="AA350" s="2252"/>
      <c r="AB350" s="2255"/>
      <c r="AC350" s="2252"/>
      <c r="AD350" s="2252"/>
      <c r="AE350" s="2252"/>
      <c r="AF350" s="2252"/>
    </row>
    <row r="351" spans="2:32">
      <c r="B351" s="2252"/>
      <c r="C351" s="2254"/>
      <c r="D351" s="2380"/>
      <c r="E351" s="2380"/>
      <c r="F351" s="2252"/>
      <c r="G351" s="2252"/>
      <c r="H351" s="2252"/>
      <c r="I351" s="2252"/>
      <c r="J351" s="2252"/>
      <c r="K351" s="2252"/>
      <c r="L351" s="2252"/>
      <c r="M351" s="2252"/>
      <c r="N351" s="2252"/>
      <c r="O351" s="2252"/>
      <c r="P351" s="2252"/>
      <c r="Q351" s="2252"/>
      <c r="R351" s="2252"/>
      <c r="S351" s="2252"/>
      <c r="T351" s="2252"/>
      <c r="U351" s="2252"/>
      <c r="V351" s="2252"/>
      <c r="W351" s="2252"/>
      <c r="X351" s="2252"/>
      <c r="Y351" s="2252"/>
      <c r="Z351" s="2252"/>
      <c r="AA351" s="2252"/>
      <c r="AB351" s="2255"/>
      <c r="AC351" s="2252"/>
      <c r="AD351" s="2252"/>
      <c r="AE351" s="2252"/>
      <c r="AF351" s="2252"/>
    </row>
    <row r="352" spans="2:32">
      <c r="B352" s="2252"/>
      <c r="C352" s="2254"/>
      <c r="D352" s="2380"/>
      <c r="E352" s="2380"/>
      <c r="F352" s="2252"/>
      <c r="G352" s="2252"/>
      <c r="H352" s="2252"/>
      <c r="I352" s="2252"/>
      <c r="J352" s="2252"/>
      <c r="K352" s="2252"/>
      <c r="L352" s="2252"/>
      <c r="M352" s="2252"/>
      <c r="N352" s="2252"/>
      <c r="O352" s="2252"/>
      <c r="P352" s="2252"/>
      <c r="Q352" s="2252"/>
      <c r="R352" s="2252"/>
      <c r="S352" s="2252"/>
      <c r="T352" s="2252"/>
      <c r="U352" s="2252"/>
      <c r="V352" s="2252"/>
      <c r="W352" s="2252"/>
      <c r="X352" s="2252"/>
      <c r="Y352" s="2252"/>
      <c r="Z352" s="2252"/>
      <c r="AA352" s="2252"/>
      <c r="AB352" s="2255"/>
      <c r="AC352" s="2252"/>
      <c r="AD352" s="2252"/>
      <c r="AE352" s="2252"/>
      <c r="AF352" s="2252"/>
    </row>
    <row r="353" spans="2:32">
      <c r="B353" s="2252"/>
      <c r="C353" s="2254"/>
      <c r="D353" s="2380"/>
      <c r="E353" s="2380"/>
      <c r="F353" s="2252"/>
      <c r="G353" s="2252"/>
      <c r="H353" s="2252"/>
      <c r="I353" s="2252"/>
      <c r="J353" s="2252"/>
      <c r="K353" s="2252"/>
      <c r="L353" s="2252"/>
      <c r="M353" s="2252"/>
      <c r="N353" s="2252"/>
      <c r="O353" s="2252"/>
      <c r="P353" s="2252"/>
      <c r="Q353" s="2252"/>
      <c r="R353" s="2252"/>
      <c r="S353" s="2252"/>
      <c r="T353" s="2252"/>
      <c r="U353" s="2252"/>
      <c r="V353" s="2252"/>
      <c r="W353" s="2252"/>
      <c r="X353" s="2252"/>
      <c r="Y353" s="2252"/>
      <c r="Z353" s="2252"/>
      <c r="AA353" s="2252"/>
      <c r="AB353" s="2255"/>
      <c r="AC353" s="2252"/>
      <c r="AD353" s="2252"/>
      <c r="AE353" s="2252"/>
      <c r="AF353" s="2252"/>
    </row>
    <row r="354" spans="2:32">
      <c r="B354" s="2252"/>
      <c r="C354" s="2254"/>
      <c r="D354" s="2380"/>
      <c r="E354" s="2380"/>
      <c r="F354" s="2252"/>
      <c r="G354" s="2252"/>
      <c r="H354" s="2252"/>
      <c r="I354" s="2252"/>
      <c r="J354" s="2252"/>
      <c r="K354" s="2252"/>
      <c r="L354" s="2252"/>
      <c r="M354" s="2252"/>
      <c r="N354" s="2252"/>
      <c r="O354" s="2252"/>
      <c r="P354" s="2252"/>
      <c r="Q354" s="2252"/>
      <c r="R354" s="2252"/>
      <c r="S354" s="2252"/>
      <c r="T354" s="2252"/>
      <c r="U354" s="2252"/>
      <c r="V354" s="2252"/>
      <c r="W354" s="2252"/>
      <c r="X354" s="2252"/>
      <c r="Y354" s="2252"/>
      <c r="Z354" s="2252"/>
      <c r="AA354" s="2252"/>
      <c r="AB354" s="2255"/>
      <c r="AC354" s="2252"/>
      <c r="AD354" s="2252"/>
      <c r="AE354" s="2252"/>
      <c r="AF354" s="2252"/>
    </row>
    <row r="355" spans="2:32">
      <c r="B355" s="2252"/>
      <c r="C355" s="2254"/>
      <c r="D355" s="2380"/>
      <c r="E355" s="2380"/>
      <c r="F355" s="2252"/>
      <c r="G355" s="2252"/>
      <c r="H355" s="2252"/>
      <c r="I355" s="2252"/>
      <c r="J355" s="2252"/>
      <c r="K355" s="2252"/>
      <c r="L355" s="2252"/>
      <c r="M355" s="2252"/>
      <c r="N355" s="2252"/>
      <c r="O355" s="2252"/>
      <c r="P355" s="2252"/>
      <c r="Q355" s="2252"/>
      <c r="R355" s="2252"/>
      <c r="S355" s="2252"/>
      <c r="T355" s="2252"/>
      <c r="U355" s="2252"/>
      <c r="V355" s="2252"/>
      <c r="W355" s="2252"/>
      <c r="X355" s="2252"/>
      <c r="Y355" s="2252"/>
      <c r="Z355" s="2252"/>
      <c r="AA355" s="2252"/>
      <c r="AB355" s="2255"/>
      <c r="AC355" s="2252"/>
      <c r="AD355" s="2252"/>
      <c r="AE355" s="2252"/>
      <c r="AF355" s="2252"/>
    </row>
    <row r="356" spans="2:32">
      <c r="B356" s="2252"/>
      <c r="C356" s="2254"/>
      <c r="D356" s="2380"/>
      <c r="E356" s="2380"/>
      <c r="F356" s="2252"/>
      <c r="G356" s="2252"/>
      <c r="H356" s="2252"/>
      <c r="I356" s="2252"/>
      <c r="J356" s="2252"/>
      <c r="K356" s="2252"/>
      <c r="L356" s="2252"/>
      <c r="M356" s="2252"/>
      <c r="N356" s="2252"/>
      <c r="O356" s="2252"/>
      <c r="P356" s="2252"/>
      <c r="Q356" s="2252"/>
      <c r="R356" s="2252"/>
      <c r="S356" s="2252"/>
      <c r="T356" s="2252"/>
      <c r="U356" s="2252"/>
      <c r="V356" s="2252"/>
      <c r="W356" s="2252"/>
      <c r="X356" s="2252"/>
      <c r="Y356" s="2252"/>
      <c r="Z356" s="2252"/>
      <c r="AA356" s="2252"/>
      <c r="AB356" s="2255"/>
      <c r="AC356" s="2252"/>
      <c r="AD356" s="2252"/>
      <c r="AE356" s="2252"/>
      <c r="AF356" s="2252"/>
    </row>
    <row r="357" spans="2:32">
      <c r="B357" s="2252"/>
      <c r="C357" s="2254"/>
      <c r="D357" s="2380"/>
      <c r="E357" s="2380"/>
      <c r="F357" s="2252"/>
      <c r="G357" s="2252"/>
      <c r="H357" s="2252"/>
      <c r="I357" s="2252"/>
      <c r="J357" s="2252"/>
      <c r="K357" s="2252"/>
      <c r="L357" s="2252"/>
      <c r="M357" s="2252"/>
      <c r="N357" s="2252"/>
      <c r="O357" s="2252"/>
      <c r="P357" s="2252"/>
      <c r="Q357" s="2252"/>
      <c r="R357" s="2252"/>
      <c r="S357" s="2252"/>
      <c r="T357" s="2252"/>
      <c r="U357" s="2252"/>
      <c r="V357" s="2252"/>
      <c r="W357" s="2252"/>
      <c r="X357" s="2252"/>
      <c r="Y357" s="2252"/>
      <c r="Z357" s="2252"/>
      <c r="AA357" s="2252"/>
      <c r="AB357" s="2255"/>
      <c r="AC357" s="2252"/>
      <c r="AD357" s="2252"/>
      <c r="AE357" s="2252"/>
      <c r="AF357" s="2252"/>
    </row>
    <row r="358" spans="2:32">
      <c r="B358" s="2252"/>
      <c r="C358" s="2254"/>
      <c r="D358" s="2380"/>
      <c r="E358" s="2380"/>
      <c r="F358" s="2252"/>
      <c r="G358" s="2252"/>
      <c r="H358" s="2252"/>
      <c r="I358" s="2252"/>
      <c r="J358" s="2252"/>
      <c r="K358" s="2252"/>
      <c r="L358" s="2252"/>
      <c r="M358" s="2252"/>
      <c r="N358" s="2252"/>
      <c r="O358" s="2252"/>
      <c r="P358" s="2252"/>
      <c r="Q358" s="2252"/>
      <c r="R358" s="2252"/>
      <c r="S358" s="2252"/>
      <c r="T358" s="2252"/>
      <c r="U358" s="2252"/>
      <c r="V358" s="2252"/>
      <c r="W358" s="2252"/>
      <c r="X358" s="2252"/>
      <c r="Y358" s="2252"/>
      <c r="Z358" s="2252"/>
      <c r="AA358" s="2252"/>
      <c r="AB358" s="2255"/>
      <c r="AC358" s="2252"/>
      <c r="AD358" s="2252"/>
      <c r="AE358" s="2252"/>
      <c r="AF358" s="2252"/>
    </row>
    <row r="359" spans="2:32">
      <c r="B359" s="2252"/>
      <c r="C359" s="2254"/>
      <c r="D359" s="2380"/>
      <c r="E359" s="2380"/>
      <c r="F359" s="2252"/>
      <c r="G359" s="2252"/>
      <c r="H359" s="2252"/>
      <c r="I359" s="2252"/>
      <c r="J359" s="2252"/>
      <c r="K359" s="2252"/>
      <c r="L359" s="2252"/>
      <c r="M359" s="2252"/>
      <c r="N359" s="2252"/>
      <c r="O359" s="2252"/>
      <c r="P359" s="2252"/>
      <c r="Q359" s="2252"/>
      <c r="R359" s="2252"/>
      <c r="S359" s="2252"/>
      <c r="T359" s="2252"/>
      <c r="U359" s="2252"/>
      <c r="V359" s="2252"/>
      <c r="W359" s="2252"/>
      <c r="X359" s="2252"/>
      <c r="Y359" s="2252"/>
      <c r="Z359" s="2252"/>
      <c r="AA359" s="2252"/>
      <c r="AB359" s="2255"/>
      <c r="AC359" s="2252"/>
      <c r="AD359" s="2252"/>
      <c r="AE359" s="2252"/>
      <c r="AF359" s="2252"/>
    </row>
    <row r="360" spans="2:32">
      <c r="B360" s="2252"/>
      <c r="C360" s="2254"/>
      <c r="D360" s="2380"/>
      <c r="E360" s="2380"/>
      <c r="F360" s="2252"/>
      <c r="G360" s="2252"/>
      <c r="H360" s="2252"/>
      <c r="I360" s="2252"/>
      <c r="J360" s="2252"/>
      <c r="K360" s="2252"/>
      <c r="L360" s="2252"/>
      <c r="M360" s="2252"/>
      <c r="N360" s="2252"/>
      <c r="O360" s="2252"/>
      <c r="P360" s="2252"/>
      <c r="Q360" s="2252"/>
      <c r="R360" s="2252"/>
      <c r="S360" s="2252"/>
      <c r="T360" s="2252"/>
      <c r="U360" s="2252"/>
      <c r="V360" s="2252"/>
      <c r="W360" s="2252"/>
      <c r="X360" s="2252"/>
      <c r="Y360" s="2252"/>
      <c r="Z360" s="2252"/>
      <c r="AA360" s="2252"/>
      <c r="AB360" s="2255"/>
      <c r="AC360" s="2252"/>
      <c r="AD360" s="2252"/>
      <c r="AE360" s="2252"/>
      <c r="AF360" s="2252"/>
    </row>
    <row r="361" spans="2:32">
      <c r="B361" s="2252"/>
      <c r="C361" s="2254"/>
      <c r="D361" s="2380"/>
      <c r="E361" s="2380"/>
      <c r="F361" s="2252"/>
      <c r="G361" s="2252"/>
      <c r="H361" s="2252"/>
      <c r="I361" s="2252"/>
      <c r="J361" s="2252"/>
      <c r="K361" s="2252"/>
      <c r="L361" s="2252"/>
      <c r="M361" s="2252"/>
      <c r="N361" s="2252"/>
      <c r="O361" s="2252"/>
      <c r="P361" s="2252"/>
      <c r="Q361" s="2252"/>
      <c r="R361" s="2252"/>
      <c r="S361" s="2252"/>
      <c r="T361" s="2252"/>
      <c r="U361" s="2252"/>
      <c r="V361" s="2252"/>
      <c r="W361" s="2252"/>
      <c r="X361" s="2252"/>
      <c r="Y361" s="2252"/>
      <c r="Z361" s="2252"/>
      <c r="AA361" s="2252"/>
      <c r="AB361" s="2255"/>
      <c r="AC361" s="2252"/>
      <c r="AD361" s="2252"/>
      <c r="AE361" s="2252"/>
      <c r="AF361" s="2252"/>
    </row>
    <row r="362" spans="2:32">
      <c r="B362" s="2252"/>
      <c r="C362" s="2254"/>
      <c r="D362" s="2380"/>
      <c r="E362" s="2380"/>
      <c r="F362" s="2252"/>
      <c r="G362" s="2252"/>
      <c r="H362" s="2252"/>
      <c r="I362" s="2252"/>
      <c r="J362" s="2252"/>
      <c r="K362" s="2252"/>
      <c r="L362" s="2252"/>
      <c r="M362" s="2252"/>
      <c r="N362" s="2252"/>
      <c r="O362" s="2252"/>
      <c r="P362" s="2252"/>
      <c r="Q362" s="2252"/>
      <c r="R362" s="2252"/>
      <c r="S362" s="2252"/>
      <c r="T362" s="2252"/>
      <c r="U362" s="2252"/>
      <c r="V362" s="2252"/>
      <c r="W362" s="2252"/>
      <c r="X362" s="2252"/>
      <c r="Y362" s="2252"/>
      <c r="Z362" s="2252"/>
      <c r="AA362" s="2252"/>
      <c r="AB362" s="2255"/>
      <c r="AC362" s="2252"/>
      <c r="AD362" s="2252"/>
      <c r="AE362" s="2252"/>
      <c r="AF362" s="2252"/>
    </row>
    <row r="363" spans="2:32">
      <c r="B363" s="2252"/>
      <c r="C363" s="2254"/>
      <c r="D363" s="2380"/>
      <c r="E363" s="2380"/>
      <c r="F363" s="2252"/>
      <c r="G363" s="2252"/>
      <c r="H363" s="2252"/>
      <c r="I363" s="2252"/>
      <c r="J363" s="2252"/>
      <c r="K363" s="2252"/>
      <c r="L363" s="2252"/>
      <c r="M363" s="2252"/>
      <c r="N363" s="2252"/>
      <c r="O363" s="2252"/>
      <c r="P363" s="2252"/>
      <c r="Q363" s="2252"/>
      <c r="R363" s="2252"/>
      <c r="S363" s="2252"/>
      <c r="T363" s="2252"/>
      <c r="U363" s="2252"/>
      <c r="V363" s="2252"/>
      <c r="W363" s="2252"/>
      <c r="X363" s="2252"/>
      <c r="Y363" s="2252"/>
      <c r="Z363" s="2252"/>
      <c r="AA363" s="2252"/>
      <c r="AB363" s="2255"/>
      <c r="AC363" s="2252"/>
      <c r="AD363" s="2252"/>
      <c r="AE363" s="2252"/>
      <c r="AF363" s="2252"/>
    </row>
    <row r="364" spans="2:32">
      <c r="B364" s="2252"/>
      <c r="C364" s="2254"/>
      <c r="D364" s="2380"/>
      <c r="E364" s="2380"/>
      <c r="F364" s="2252"/>
      <c r="G364" s="2252"/>
      <c r="H364" s="2252"/>
      <c r="I364" s="2252"/>
      <c r="J364" s="2252"/>
      <c r="K364" s="2252"/>
      <c r="L364" s="2252"/>
      <c r="M364" s="2252"/>
      <c r="N364" s="2252"/>
      <c r="O364" s="2252"/>
      <c r="P364" s="2252"/>
      <c r="Q364" s="2252"/>
      <c r="R364" s="2252"/>
      <c r="S364" s="2252"/>
      <c r="T364" s="2252"/>
      <c r="U364" s="2252"/>
      <c r="V364" s="2252"/>
      <c r="W364" s="2252"/>
      <c r="X364" s="2252"/>
      <c r="Y364" s="2252"/>
      <c r="Z364" s="2252"/>
      <c r="AA364" s="2252"/>
      <c r="AB364" s="2255"/>
      <c r="AC364" s="2252"/>
      <c r="AD364" s="2252"/>
      <c r="AE364" s="2252"/>
      <c r="AF364" s="2252"/>
    </row>
    <row r="365" spans="2:32">
      <c r="B365" s="2252"/>
      <c r="C365" s="2254"/>
      <c r="D365" s="2380"/>
      <c r="E365" s="2380"/>
      <c r="F365" s="2252"/>
      <c r="G365" s="2252"/>
      <c r="H365" s="2252"/>
      <c r="I365" s="2252"/>
      <c r="J365" s="2252"/>
      <c r="K365" s="2252"/>
      <c r="L365" s="2252"/>
      <c r="M365" s="2252"/>
      <c r="N365" s="2252"/>
      <c r="O365" s="2252"/>
      <c r="P365" s="2252"/>
      <c r="Q365" s="2252"/>
      <c r="R365" s="2252"/>
      <c r="S365" s="2252"/>
      <c r="T365" s="2252"/>
      <c r="U365" s="2252"/>
      <c r="V365" s="2252"/>
      <c r="W365" s="2252"/>
      <c r="X365" s="2252"/>
      <c r="Y365" s="2252"/>
      <c r="Z365" s="2252"/>
      <c r="AA365" s="2252"/>
      <c r="AB365" s="2255"/>
      <c r="AC365" s="2252"/>
      <c r="AD365" s="2252"/>
      <c r="AE365" s="2252"/>
      <c r="AF365" s="2252"/>
    </row>
    <row r="366" spans="2:32">
      <c r="B366" s="2252"/>
      <c r="C366" s="2254"/>
      <c r="D366" s="2380"/>
      <c r="E366" s="2380"/>
      <c r="F366" s="2252"/>
      <c r="G366" s="2252"/>
      <c r="H366" s="2252"/>
      <c r="I366" s="2252"/>
      <c r="J366" s="2252"/>
      <c r="K366" s="2252"/>
      <c r="L366" s="2252"/>
      <c r="M366" s="2252"/>
      <c r="N366" s="2252"/>
      <c r="O366" s="2252"/>
      <c r="P366" s="2252"/>
      <c r="Q366" s="2252"/>
      <c r="R366" s="2252"/>
      <c r="S366" s="2252"/>
      <c r="T366" s="2252"/>
      <c r="U366" s="2252"/>
      <c r="V366" s="2252"/>
      <c r="W366" s="2252"/>
      <c r="X366" s="2252"/>
      <c r="Y366" s="2252"/>
      <c r="Z366" s="2252"/>
      <c r="AA366" s="2252"/>
      <c r="AB366" s="2255"/>
      <c r="AC366" s="2252"/>
      <c r="AD366" s="2252"/>
      <c r="AE366" s="2252"/>
      <c r="AF366" s="2252"/>
    </row>
    <row r="367" spans="2:32">
      <c r="B367" s="2252"/>
      <c r="C367" s="2254"/>
      <c r="D367" s="2380"/>
      <c r="E367" s="2380"/>
      <c r="F367" s="2252"/>
      <c r="G367" s="2252"/>
      <c r="H367" s="2252"/>
      <c r="I367" s="2252"/>
      <c r="J367" s="2252"/>
      <c r="K367" s="2252"/>
      <c r="L367" s="2252"/>
      <c r="M367" s="2252"/>
      <c r="N367" s="2252"/>
      <c r="O367" s="2252"/>
      <c r="P367" s="2252"/>
      <c r="Q367" s="2252"/>
      <c r="R367" s="2252"/>
      <c r="S367" s="2252"/>
      <c r="T367" s="2252"/>
      <c r="U367" s="2252"/>
      <c r="V367" s="2252"/>
      <c r="W367" s="2252"/>
      <c r="X367" s="2252"/>
      <c r="Y367" s="2252"/>
      <c r="Z367" s="2252"/>
      <c r="AA367" s="2252"/>
      <c r="AB367" s="2255"/>
      <c r="AC367" s="2252"/>
      <c r="AD367" s="2252"/>
      <c r="AE367" s="2252"/>
      <c r="AF367" s="2252"/>
    </row>
    <row r="368" spans="2:32">
      <c r="B368" s="2252"/>
      <c r="C368" s="2254"/>
      <c r="D368" s="2380"/>
      <c r="E368" s="2380"/>
      <c r="F368" s="2252"/>
      <c r="G368" s="2252"/>
      <c r="H368" s="2252"/>
      <c r="I368" s="2252"/>
      <c r="J368" s="2252"/>
      <c r="K368" s="2252"/>
      <c r="L368" s="2252"/>
      <c r="M368" s="2252"/>
      <c r="N368" s="2252"/>
      <c r="O368" s="2252"/>
      <c r="P368" s="2252"/>
      <c r="Q368" s="2252"/>
      <c r="R368" s="2252"/>
      <c r="S368" s="2252"/>
      <c r="T368" s="2252"/>
      <c r="U368" s="2252"/>
      <c r="V368" s="2252"/>
      <c r="W368" s="2252"/>
      <c r="X368" s="2252"/>
      <c r="Y368" s="2252"/>
      <c r="Z368" s="2252"/>
      <c r="AA368" s="2252"/>
      <c r="AB368" s="2255"/>
      <c r="AC368" s="2252"/>
      <c r="AD368" s="2252"/>
      <c r="AE368" s="2252"/>
      <c r="AF368" s="2252"/>
    </row>
    <row r="369" spans="2:32">
      <c r="B369" s="2252"/>
      <c r="C369" s="2254"/>
      <c r="D369" s="2380"/>
      <c r="E369" s="2380"/>
      <c r="F369" s="2252"/>
      <c r="G369" s="2252"/>
      <c r="H369" s="2252"/>
      <c r="I369" s="2252"/>
      <c r="J369" s="2252"/>
      <c r="K369" s="2252"/>
      <c r="L369" s="2252"/>
      <c r="M369" s="2252"/>
      <c r="N369" s="2252"/>
      <c r="O369" s="2252"/>
      <c r="P369" s="2252"/>
      <c r="Q369" s="2252"/>
      <c r="R369" s="2252"/>
      <c r="S369" s="2252"/>
      <c r="T369" s="2252"/>
      <c r="U369" s="2252"/>
      <c r="V369" s="2252"/>
      <c r="W369" s="2252"/>
      <c r="X369" s="2252"/>
      <c r="Y369" s="2252"/>
      <c r="Z369" s="2252"/>
      <c r="AA369" s="2252"/>
      <c r="AB369" s="2255"/>
      <c r="AC369" s="2252"/>
      <c r="AD369" s="2252"/>
      <c r="AE369" s="2252"/>
      <c r="AF369" s="2252"/>
    </row>
    <row r="370" spans="2:32">
      <c r="B370" s="2252"/>
      <c r="C370" s="2254"/>
      <c r="D370" s="2380"/>
      <c r="E370" s="2380"/>
      <c r="F370" s="2252"/>
      <c r="G370" s="2252"/>
      <c r="H370" s="2252"/>
      <c r="I370" s="2252"/>
      <c r="J370" s="2252"/>
      <c r="K370" s="2252"/>
      <c r="L370" s="2252"/>
      <c r="M370" s="2252"/>
      <c r="N370" s="2252"/>
      <c r="O370" s="2252"/>
      <c r="P370" s="2252"/>
      <c r="Q370" s="2252"/>
      <c r="R370" s="2252"/>
      <c r="S370" s="2252"/>
      <c r="T370" s="2252"/>
      <c r="U370" s="2252"/>
      <c r="V370" s="2252"/>
      <c r="W370" s="2252"/>
      <c r="X370" s="2252"/>
      <c r="Y370" s="2252"/>
      <c r="Z370" s="2252"/>
      <c r="AA370" s="2252"/>
      <c r="AB370" s="2255"/>
      <c r="AC370" s="2252"/>
      <c r="AD370" s="2252"/>
      <c r="AE370" s="2252"/>
      <c r="AF370" s="2252"/>
    </row>
    <row r="371" spans="2:32">
      <c r="B371" s="2252"/>
      <c r="C371" s="2254"/>
      <c r="D371" s="2380"/>
      <c r="E371" s="2380"/>
      <c r="F371" s="2252"/>
      <c r="G371" s="2252"/>
      <c r="H371" s="2252"/>
      <c r="I371" s="2252"/>
      <c r="J371" s="2252"/>
      <c r="K371" s="2252"/>
      <c r="L371" s="2252"/>
      <c r="M371" s="2252"/>
      <c r="N371" s="2252"/>
      <c r="O371" s="2252"/>
      <c r="P371" s="2252"/>
      <c r="Q371" s="2252"/>
      <c r="R371" s="2252"/>
      <c r="S371" s="2252"/>
      <c r="T371" s="2252"/>
      <c r="U371" s="2252"/>
      <c r="V371" s="2252"/>
      <c r="W371" s="2252"/>
      <c r="X371" s="2252"/>
      <c r="Y371" s="2252"/>
      <c r="Z371" s="2252"/>
      <c r="AA371" s="2252"/>
      <c r="AB371" s="2255"/>
      <c r="AC371" s="2252"/>
      <c r="AD371" s="2252"/>
      <c r="AE371" s="2252"/>
      <c r="AF371" s="2252"/>
    </row>
    <row r="372" spans="2:32">
      <c r="B372" s="2252"/>
      <c r="C372" s="2254"/>
      <c r="D372" s="2380"/>
      <c r="E372" s="2380"/>
      <c r="F372" s="2252"/>
      <c r="G372" s="2252"/>
      <c r="H372" s="2252"/>
      <c r="I372" s="2252"/>
      <c r="J372" s="2252"/>
      <c r="K372" s="2252"/>
      <c r="L372" s="2252"/>
      <c r="M372" s="2252"/>
      <c r="N372" s="2252"/>
      <c r="O372" s="2252"/>
      <c r="P372" s="2252"/>
      <c r="Q372" s="2252"/>
      <c r="R372" s="2252"/>
      <c r="S372" s="2252"/>
      <c r="T372" s="2252"/>
      <c r="U372" s="2252"/>
      <c r="V372" s="2252"/>
      <c r="W372" s="2252"/>
      <c r="X372" s="2252"/>
      <c r="Y372" s="2252"/>
      <c r="Z372" s="2252"/>
      <c r="AA372" s="2252"/>
      <c r="AB372" s="2255"/>
      <c r="AC372" s="2252"/>
      <c r="AD372" s="2252"/>
      <c r="AE372" s="2252"/>
      <c r="AF372" s="2252"/>
    </row>
    <row r="373" spans="2:32">
      <c r="B373" s="2252"/>
      <c r="C373" s="2254"/>
      <c r="D373" s="2380"/>
      <c r="E373" s="2380"/>
      <c r="F373" s="2252"/>
      <c r="G373" s="2252"/>
      <c r="H373" s="2252"/>
      <c r="I373" s="2252"/>
      <c r="J373" s="2252"/>
      <c r="K373" s="2252"/>
      <c r="L373" s="2252"/>
      <c r="M373" s="2252"/>
      <c r="N373" s="2252"/>
      <c r="O373" s="2252"/>
      <c r="P373" s="2252"/>
      <c r="Q373" s="2252"/>
      <c r="R373" s="2252"/>
      <c r="S373" s="2252"/>
      <c r="T373" s="2252"/>
      <c r="U373" s="2252"/>
      <c r="V373" s="2252"/>
      <c r="W373" s="2252"/>
      <c r="X373" s="2252"/>
      <c r="Y373" s="2252"/>
      <c r="Z373" s="2252"/>
      <c r="AA373" s="2252"/>
      <c r="AB373" s="2255"/>
      <c r="AC373" s="2252"/>
      <c r="AD373" s="2252"/>
      <c r="AE373" s="2252"/>
      <c r="AF373" s="2252"/>
    </row>
    <row r="374" spans="2:32">
      <c r="B374" s="2252"/>
      <c r="C374" s="2254"/>
      <c r="D374" s="2380"/>
      <c r="E374" s="2380"/>
      <c r="F374" s="2252"/>
      <c r="G374" s="2252"/>
      <c r="H374" s="2252"/>
      <c r="I374" s="2252"/>
      <c r="J374" s="2252"/>
      <c r="K374" s="2252"/>
      <c r="L374" s="2252"/>
      <c r="M374" s="2252"/>
      <c r="N374" s="2252"/>
      <c r="O374" s="2252"/>
      <c r="P374" s="2252"/>
      <c r="Q374" s="2252"/>
      <c r="R374" s="2252"/>
      <c r="S374" s="2252"/>
      <c r="T374" s="2252"/>
      <c r="U374" s="2252"/>
      <c r="V374" s="2252"/>
      <c r="W374" s="2252"/>
      <c r="X374" s="2252"/>
      <c r="Y374" s="2252"/>
      <c r="Z374" s="2252"/>
      <c r="AA374" s="2252"/>
      <c r="AB374" s="2255"/>
      <c r="AC374" s="2252"/>
      <c r="AD374" s="2252"/>
      <c r="AE374" s="2252"/>
      <c r="AF374" s="2252"/>
    </row>
    <row r="375" spans="2:32">
      <c r="B375" s="2252"/>
      <c r="C375" s="2254"/>
      <c r="D375" s="2380"/>
      <c r="E375" s="2380"/>
      <c r="F375" s="2252"/>
      <c r="G375" s="2252"/>
      <c r="H375" s="2252"/>
      <c r="I375" s="2252"/>
      <c r="J375" s="2252"/>
      <c r="K375" s="2252"/>
      <c r="L375" s="2252"/>
      <c r="M375" s="2252"/>
      <c r="N375" s="2252"/>
      <c r="O375" s="2252"/>
      <c r="P375" s="2252"/>
      <c r="Q375" s="2252"/>
      <c r="R375" s="2252"/>
      <c r="S375" s="2252"/>
      <c r="T375" s="2252"/>
      <c r="U375" s="2252"/>
      <c r="V375" s="2252"/>
      <c r="W375" s="2252"/>
      <c r="X375" s="2252"/>
      <c r="Y375" s="2252"/>
      <c r="Z375" s="2252"/>
      <c r="AA375" s="2252"/>
      <c r="AB375" s="2255"/>
      <c r="AC375" s="2252"/>
      <c r="AD375" s="2252"/>
      <c r="AE375" s="2252"/>
      <c r="AF375" s="2252"/>
    </row>
    <row r="376" spans="2:32">
      <c r="B376" s="2252"/>
      <c r="C376" s="2254"/>
      <c r="D376" s="2380"/>
      <c r="E376" s="2380"/>
      <c r="F376" s="2252"/>
      <c r="G376" s="2252"/>
      <c r="H376" s="2252"/>
      <c r="I376" s="2252"/>
      <c r="J376" s="2252"/>
      <c r="K376" s="2252"/>
      <c r="L376" s="2252"/>
      <c r="M376" s="2252"/>
      <c r="N376" s="2252"/>
      <c r="O376" s="2252"/>
      <c r="P376" s="2252"/>
      <c r="Q376" s="2252"/>
      <c r="R376" s="2252"/>
      <c r="S376" s="2252"/>
      <c r="T376" s="2252"/>
      <c r="U376" s="2252"/>
      <c r="V376" s="2252"/>
      <c r="W376" s="2252"/>
      <c r="X376" s="2252"/>
      <c r="Y376" s="2252"/>
      <c r="Z376" s="2252"/>
      <c r="AA376" s="2252"/>
      <c r="AB376" s="2255"/>
      <c r="AC376" s="2252"/>
      <c r="AD376" s="2252"/>
      <c r="AE376" s="2252"/>
      <c r="AF376" s="2252"/>
    </row>
    <row r="377" spans="2:32">
      <c r="B377" s="2252"/>
      <c r="C377" s="2254"/>
      <c r="D377" s="2380"/>
      <c r="E377" s="2380"/>
      <c r="F377" s="2252"/>
      <c r="G377" s="2252"/>
      <c r="H377" s="2252"/>
      <c r="I377" s="2252"/>
      <c r="J377" s="2252"/>
      <c r="K377" s="2252"/>
      <c r="L377" s="2252"/>
      <c r="M377" s="2252"/>
      <c r="N377" s="2252"/>
      <c r="O377" s="2252"/>
      <c r="P377" s="2252"/>
      <c r="Q377" s="2252"/>
      <c r="R377" s="2252"/>
      <c r="S377" s="2252"/>
      <c r="T377" s="2252"/>
      <c r="U377" s="2252"/>
      <c r="V377" s="2252"/>
      <c r="W377" s="2252"/>
      <c r="X377" s="2252"/>
      <c r="Y377" s="2252"/>
      <c r="Z377" s="2252"/>
      <c r="AA377" s="2252"/>
      <c r="AB377" s="2255"/>
      <c r="AC377" s="2252"/>
      <c r="AD377" s="2252"/>
      <c r="AE377" s="2252"/>
      <c r="AF377" s="2252"/>
    </row>
    <row r="378" spans="2:32">
      <c r="B378" s="2252"/>
      <c r="C378" s="2254"/>
      <c r="D378" s="2380"/>
      <c r="E378" s="2380"/>
      <c r="F378" s="2252"/>
      <c r="G378" s="2252"/>
      <c r="H378" s="2252"/>
      <c r="I378" s="2252"/>
      <c r="J378" s="2252"/>
      <c r="K378" s="2252"/>
      <c r="L378" s="2252"/>
      <c r="M378" s="2252"/>
      <c r="N378" s="2252"/>
      <c r="O378" s="2252"/>
      <c r="P378" s="2252"/>
      <c r="Q378" s="2252"/>
      <c r="R378" s="2252"/>
      <c r="S378" s="2252"/>
      <c r="T378" s="2252"/>
      <c r="U378" s="2252"/>
      <c r="V378" s="2252"/>
      <c r="W378" s="2252"/>
      <c r="X378" s="2252"/>
      <c r="Y378" s="2252"/>
      <c r="Z378" s="2252"/>
      <c r="AA378" s="2252"/>
      <c r="AB378" s="2255"/>
      <c r="AC378" s="2252"/>
      <c r="AD378" s="2252"/>
      <c r="AE378" s="2252"/>
      <c r="AF378" s="2252"/>
    </row>
    <row r="379" spans="2:32">
      <c r="B379" s="2252"/>
      <c r="C379" s="2254"/>
      <c r="D379" s="2380"/>
      <c r="E379" s="2380"/>
      <c r="F379" s="2252"/>
      <c r="G379" s="2252"/>
      <c r="H379" s="2252"/>
      <c r="I379" s="2252"/>
      <c r="J379" s="2252"/>
      <c r="K379" s="2252"/>
      <c r="L379" s="2252"/>
      <c r="M379" s="2252"/>
      <c r="N379" s="2252"/>
      <c r="O379" s="2252"/>
      <c r="P379" s="2252"/>
      <c r="Q379" s="2252"/>
      <c r="R379" s="2252"/>
      <c r="S379" s="2252"/>
      <c r="T379" s="2252"/>
      <c r="U379" s="2252"/>
      <c r="V379" s="2252"/>
      <c r="W379" s="2252"/>
      <c r="X379" s="2252"/>
      <c r="Y379" s="2252"/>
      <c r="Z379" s="2252"/>
      <c r="AA379" s="2252"/>
      <c r="AB379" s="2255"/>
      <c r="AC379" s="2252"/>
      <c r="AD379" s="2252"/>
      <c r="AE379" s="2252"/>
      <c r="AF379" s="2252"/>
    </row>
    <row r="380" spans="2:32">
      <c r="B380" s="2252"/>
      <c r="C380" s="2254"/>
      <c r="D380" s="2380"/>
      <c r="E380" s="2380"/>
      <c r="F380" s="2252"/>
      <c r="G380" s="2252"/>
      <c r="H380" s="2252"/>
      <c r="I380" s="2252"/>
      <c r="J380" s="2252"/>
      <c r="K380" s="2252"/>
      <c r="L380" s="2252"/>
      <c r="M380" s="2252"/>
      <c r="N380" s="2252"/>
      <c r="O380" s="2252"/>
      <c r="P380" s="2252"/>
      <c r="Q380" s="2252"/>
      <c r="R380" s="2252"/>
      <c r="S380" s="2252"/>
      <c r="T380" s="2252"/>
      <c r="U380" s="2252"/>
      <c r="V380" s="2252"/>
      <c r="W380" s="2252"/>
      <c r="X380" s="2252"/>
      <c r="Y380" s="2252"/>
      <c r="Z380" s="2252"/>
      <c r="AA380" s="2252"/>
      <c r="AB380" s="2255"/>
      <c r="AC380" s="2252"/>
      <c r="AD380" s="2252"/>
      <c r="AE380" s="2252"/>
      <c r="AF380" s="2252"/>
    </row>
    <row r="381" spans="2:32">
      <c r="B381" s="2252"/>
      <c r="C381" s="2254"/>
      <c r="D381" s="2380"/>
      <c r="E381" s="2380"/>
      <c r="F381" s="2252"/>
      <c r="G381" s="2252"/>
      <c r="H381" s="2252"/>
      <c r="I381" s="2252"/>
      <c r="J381" s="2252"/>
      <c r="K381" s="2252"/>
      <c r="L381" s="2252"/>
      <c r="M381" s="2252"/>
      <c r="N381" s="2252"/>
      <c r="O381" s="2252"/>
      <c r="P381" s="2252"/>
      <c r="Q381" s="2252"/>
      <c r="R381" s="2252"/>
      <c r="S381" s="2252"/>
      <c r="T381" s="2252"/>
      <c r="U381" s="2252"/>
      <c r="V381" s="2252"/>
      <c r="W381" s="2252"/>
      <c r="X381" s="2252"/>
      <c r="Y381" s="2252"/>
      <c r="Z381" s="2252"/>
      <c r="AA381" s="2252"/>
      <c r="AB381" s="2255"/>
      <c r="AC381" s="2252"/>
      <c r="AD381" s="2252"/>
      <c r="AE381" s="2252"/>
      <c r="AF381" s="2252"/>
    </row>
    <row r="382" spans="2:32">
      <c r="B382" s="2252"/>
      <c r="C382" s="2254"/>
      <c r="D382" s="2380"/>
      <c r="E382" s="2380"/>
      <c r="F382" s="2252"/>
      <c r="G382" s="2252"/>
      <c r="H382" s="2252"/>
      <c r="I382" s="2252"/>
      <c r="J382" s="2252"/>
      <c r="K382" s="2252"/>
      <c r="L382" s="2252"/>
      <c r="M382" s="2252"/>
      <c r="N382" s="2252"/>
      <c r="O382" s="2252"/>
      <c r="P382" s="2252"/>
      <c r="Q382" s="2252"/>
      <c r="R382" s="2252"/>
      <c r="S382" s="2252"/>
      <c r="T382" s="2252"/>
      <c r="U382" s="2252"/>
      <c r="V382" s="2252"/>
      <c r="W382" s="2252"/>
      <c r="X382" s="2252"/>
      <c r="Y382" s="2252"/>
      <c r="Z382" s="2252"/>
      <c r="AA382" s="2252"/>
      <c r="AB382" s="2255"/>
      <c r="AC382" s="2252"/>
      <c r="AD382" s="2252"/>
      <c r="AE382" s="2252"/>
      <c r="AF382" s="2252"/>
    </row>
    <row r="383" spans="2:32">
      <c r="B383" s="2252"/>
      <c r="C383" s="2254"/>
      <c r="D383" s="2380"/>
      <c r="E383" s="2380"/>
      <c r="F383" s="2252"/>
      <c r="G383" s="2252"/>
      <c r="H383" s="2252"/>
      <c r="I383" s="2252"/>
      <c r="J383" s="2252"/>
      <c r="K383" s="2252"/>
      <c r="L383" s="2252"/>
      <c r="M383" s="2252"/>
      <c r="N383" s="2252"/>
      <c r="O383" s="2252"/>
      <c r="P383" s="2252"/>
      <c r="Q383" s="2252"/>
      <c r="R383" s="2252"/>
      <c r="S383" s="2252"/>
      <c r="T383" s="2252"/>
      <c r="U383" s="2252"/>
      <c r="V383" s="2252"/>
      <c r="W383" s="2252"/>
      <c r="X383" s="2252"/>
      <c r="Y383" s="2252"/>
      <c r="Z383" s="2252"/>
      <c r="AA383" s="2252"/>
      <c r="AB383" s="2255"/>
      <c r="AC383" s="2252"/>
      <c r="AD383" s="2252"/>
      <c r="AE383" s="2252"/>
      <c r="AF383" s="2252"/>
    </row>
    <row r="384" spans="2:32">
      <c r="B384" s="2252"/>
      <c r="C384" s="2254"/>
      <c r="D384" s="2380"/>
      <c r="E384" s="2380"/>
      <c r="F384" s="2252"/>
      <c r="G384" s="2252"/>
      <c r="H384" s="2252"/>
      <c r="I384" s="2252"/>
      <c r="J384" s="2252"/>
      <c r="K384" s="2252"/>
      <c r="L384" s="2252"/>
      <c r="M384" s="2252"/>
      <c r="N384" s="2252"/>
      <c r="O384" s="2252"/>
      <c r="P384" s="2252"/>
      <c r="Q384" s="2252"/>
      <c r="R384" s="2252"/>
      <c r="S384" s="2252"/>
      <c r="T384" s="2252"/>
      <c r="U384" s="2252"/>
      <c r="V384" s="2252"/>
      <c r="W384" s="2252"/>
      <c r="X384" s="2252"/>
      <c r="Y384" s="2252"/>
      <c r="Z384" s="2252"/>
      <c r="AA384" s="2252"/>
      <c r="AB384" s="2255"/>
      <c r="AC384" s="2252"/>
      <c r="AD384" s="2252"/>
      <c r="AE384" s="2252"/>
      <c r="AF384" s="2252"/>
    </row>
    <row r="385" spans="2:32">
      <c r="B385" s="2252"/>
      <c r="C385" s="2254"/>
      <c r="D385" s="2380"/>
      <c r="E385" s="2380"/>
      <c r="F385" s="2252"/>
      <c r="G385" s="2252"/>
      <c r="H385" s="2252"/>
      <c r="I385" s="2252"/>
      <c r="J385" s="2252"/>
      <c r="K385" s="2252"/>
      <c r="L385" s="2252"/>
      <c r="M385" s="2252"/>
      <c r="N385" s="2252"/>
      <c r="O385" s="2252"/>
      <c r="P385" s="2252"/>
      <c r="Q385" s="2252"/>
      <c r="R385" s="2252"/>
      <c r="S385" s="2252"/>
      <c r="T385" s="2252"/>
      <c r="U385" s="2252"/>
      <c r="V385" s="2252"/>
      <c r="W385" s="2252"/>
      <c r="X385" s="2252"/>
      <c r="Y385" s="2252"/>
      <c r="Z385" s="2252"/>
      <c r="AA385" s="2252"/>
      <c r="AB385" s="2255"/>
      <c r="AC385" s="2252"/>
      <c r="AD385" s="2252"/>
      <c r="AE385" s="2252"/>
      <c r="AF385" s="2252"/>
    </row>
    <row r="386" spans="2:32">
      <c r="B386" s="2252"/>
      <c r="C386" s="2254"/>
      <c r="D386" s="2380"/>
      <c r="E386" s="2380"/>
      <c r="F386" s="2252"/>
      <c r="G386" s="2252"/>
      <c r="H386" s="2252"/>
      <c r="I386" s="2252"/>
      <c r="J386" s="2252"/>
      <c r="K386" s="2252"/>
      <c r="L386" s="2252"/>
      <c r="M386" s="2252"/>
      <c r="N386" s="2252"/>
      <c r="O386" s="2252"/>
      <c r="P386" s="2252"/>
      <c r="Q386" s="2252"/>
      <c r="R386" s="2252"/>
      <c r="S386" s="2252"/>
      <c r="T386" s="2252"/>
      <c r="U386" s="2252"/>
      <c r="V386" s="2252"/>
      <c r="W386" s="2252"/>
      <c r="X386" s="2252"/>
      <c r="Y386" s="2252"/>
      <c r="Z386" s="2252"/>
      <c r="AA386" s="2252"/>
      <c r="AB386" s="2255"/>
      <c r="AC386" s="2252"/>
      <c r="AD386" s="2252"/>
      <c r="AE386" s="2252"/>
      <c r="AF386" s="2252"/>
    </row>
    <row r="387" spans="2:32">
      <c r="B387" s="2252"/>
      <c r="C387" s="2254"/>
      <c r="D387" s="2380"/>
      <c r="E387" s="2380"/>
      <c r="F387" s="2252"/>
      <c r="G387" s="2252"/>
      <c r="H387" s="2252"/>
      <c r="I387" s="2252"/>
      <c r="J387" s="2252"/>
      <c r="K387" s="2252"/>
      <c r="L387" s="2252"/>
      <c r="M387" s="2252"/>
      <c r="N387" s="2252"/>
      <c r="O387" s="2252"/>
      <c r="P387" s="2252"/>
      <c r="Q387" s="2252"/>
      <c r="R387" s="2252"/>
      <c r="S387" s="2252"/>
      <c r="T387" s="2252"/>
      <c r="U387" s="2252"/>
      <c r="V387" s="2252"/>
      <c r="W387" s="2252"/>
      <c r="X387" s="2252"/>
      <c r="Y387" s="2252"/>
      <c r="Z387" s="2252"/>
      <c r="AA387" s="2252"/>
      <c r="AB387" s="2255"/>
      <c r="AC387" s="2252"/>
      <c r="AD387" s="2252"/>
      <c r="AE387" s="2252"/>
      <c r="AF387" s="2252"/>
    </row>
    <row r="388" spans="2:32">
      <c r="B388" s="2252"/>
      <c r="C388" s="2254"/>
      <c r="D388" s="2380"/>
      <c r="E388" s="2380"/>
      <c r="F388" s="2252"/>
      <c r="G388" s="2252"/>
      <c r="H388" s="2252"/>
      <c r="I388" s="2252"/>
      <c r="J388" s="2252"/>
      <c r="K388" s="2252"/>
      <c r="L388" s="2252"/>
      <c r="M388" s="2252"/>
      <c r="N388" s="2252"/>
      <c r="O388" s="2252"/>
      <c r="P388" s="2252"/>
      <c r="Q388" s="2252"/>
      <c r="R388" s="2252"/>
      <c r="S388" s="2252"/>
      <c r="T388" s="2252"/>
      <c r="U388" s="2252"/>
      <c r="V388" s="2252"/>
      <c r="W388" s="2252"/>
      <c r="X388" s="2252"/>
      <c r="Y388" s="2252"/>
      <c r="Z388" s="2252"/>
      <c r="AA388" s="2252"/>
      <c r="AB388" s="2255"/>
      <c r="AC388" s="2252"/>
      <c r="AD388" s="2252"/>
      <c r="AE388" s="2252"/>
      <c r="AF388" s="2252"/>
    </row>
    <row r="389" spans="2:32">
      <c r="B389" s="2252"/>
      <c r="C389" s="2254"/>
      <c r="D389" s="2380"/>
      <c r="E389" s="2380"/>
      <c r="F389" s="2252"/>
      <c r="G389" s="2252"/>
      <c r="H389" s="2252"/>
      <c r="I389" s="2252"/>
      <c r="J389" s="2252"/>
      <c r="K389" s="2252"/>
      <c r="L389" s="2252"/>
      <c r="M389" s="2252"/>
      <c r="N389" s="2252"/>
      <c r="O389" s="2252"/>
      <c r="P389" s="2252"/>
      <c r="Q389" s="2252"/>
      <c r="R389" s="2252"/>
      <c r="S389" s="2252"/>
      <c r="T389" s="2252"/>
      <c r="U389" s="2252"/>
      <c r="V389" s="2252"/>
      <c r="W389" s="2252"/>
      <c r="X389" s="2252"/>
      <c r="Y389" s="2252"/>
      <c r="Z389" s="2252"/>
      <c r="AA389" s="2252"/>
      <c r="AB389" s="2255"/>
      <c r="AC389" s="2252"/>
      <c r="AD389" s="2252"/>
      <c r="AE389" s="2252"/>
      <c r="AF389" s="2252"/>
    </row>
    <row r="390" spans="2:32">
      <c r="B390" s="2252"/>
      <c r="C390" s="2254"/>
      <c r="D390" s="2380"/>
      <c r="E390" s="2380"/>
      <c r="F390" s="2252"/>
      <c r="G390" s="2252"/>
      <c r="H390" s="2252"/>
      <c r="I390" s="2252"/>
      <c r="J390" s="2252"/>
      <c r="K390" s="2252"/>
      <c r="L390" s="2252"/>
      <c r="M390" s="2252"/>
      <c r="N390" s="2252"/>
      <c r="O390" s="2252"/>
      <c r="P390" s="2252"/>
      <c r="Q390" s="2252"/>
      <c r="R390" s="2252"/>
      <c r="S390" s="2252"/>
      <c r="T390" s="2252"/>
      <c r="U390" s="2252"/>
      <c r="V390" s="2252"/>
      <c r="W390" s="2252"/>
      <c r="X390" s="2252"/>
      <c r="Y390" s="2252"/>
      <c r="Z390" s="2252"/>
      <c r="AA390" s="2252"/>
      <c r="AB390" s="2255"/>
      <c r="AC390" s="2252"/>
      <c r="AD390" s="2252"/>
      <c r="AE390" s="2252"/>
      <c r="AF390" s="2252"/>
    </row>
    <row r="391" spans="2:32">
      <c r="B391" s="2252"/>
      <c r="C391" s="2254"/>
      <c r="D391" s="2380"/>
      <c r="E391" s="2380"/>
      <c r="F391" s="2252"/>
      <c r="G391" s="2252"/>
      <c r="H391" s="2252"/>
      <c r="I391" s="2252"/>
      <c r="J391" s="2252"/>
      <c r="K391" s="2252"/>
      <c r="L391" s="2252"/>
      <c r="M391" s="2252"/>
      <c r="N391" s="2252"/>
      <c r="O391" s="2252"/>
      <c r="P391" s="2252"/>
      <c r="Q391" s="2252"/>
      <c r="R391" s="2252"/>
      <c r="S391" s="2252"/>
      <c r="T391" s="2252"/>
      <c r="U391" s="2252"/>
      <c r="V391" s="2252"/>
      <c r="W391" s="2252"/>
      <c r="X391" s="2252"/>
      <c r="Y391" s="2252"/>
      <c r="Z391" s="2252"/>
      <c r="AA391" s="2252"/>
      <c r="AB391" s="2255"/>
      <c r="AC391" s="2252"/>
      <c r="AD391" s="2252"/>
      <c r="AE391" s="2252"/>
      <c r="AF391" s="2252"/>
    </row>
    <row r="392" spans="2:32">
      <c r="B392" s="2252"/>
      <c r="C392" s="2254"/>
      <c r="D392" s="2380"/>
      <c r="E392" s="2380"/>
      <c r="F392" s="2252"/>
      <c r="G392" s="2252"/>
      <c r="H392" s="2252"/>
      <c r="I392" s="2252"/>
      <c r="J392" s="2252"/>
      <c r="K392" s="2252"/>
      <c r="L392" s="2252"/>
      <c r="M392" s="2252"/>
      <c r="N392" s="2252"/>
      <c r="O392" s="2252"/>
      <c r="P392" s="2252"/>
      <c r="Q392" s="2252"/>
      <c r="R392" s="2252"/>
      <c r="S392" s="2252"/>
      <c r="T392" s="2252"/>
      <c r="U392" s="2252"/>
      <c r="V392" s="2252"/>
      <c r="W392" s="2252"/>
      <c r="X392" s="2252"/>
      <c r="Y392" s="2252"/>
      <c r="Z392" s="2252"/>
      <c r="AA392" s="2252"/>
      <c r="AB392" s="2255"/>
      <c r="AC392" s="2252"/>
      <c r="AD392" s="2252"/>
      <c r="AE392" s="2252"/>
      <c r="AF392" s="2252"/>
    </row>
    <row r="393" spans="2:32">
      <c r="B393" s="2252"/>
      <c r="C393" s="2254"/>
      <c r="D393" s="2380"/>
      <c r="E393" s="2380"/>
      <c r="F393" s="2252"/>
      <c r="G393" s="2252"/>
      <c r="H393" s="2252"/>
      <c r="I393" s="2252"/>
      <c r="J393" s="2252"/>
      <c r="K393" s="2252"/>
      <c r="L393" s="2252"/>
      <c r="M393" s="2252"/>
      <c r="N393" s="2252"/>
      <c r="O393" s="2252"/>
      <c r="P393" s="2252"/>
      <c r="Q393" s="2252"/>
      <c r="R393" s="2252"/>
      <c r="S393" s="2252"/>
      <c r="T393" s="2252"/>
      <c r="U393" s="2252"/>
      <c r="V393" s="2252"/>
      <c r="W393" s="2252"/>
      <c r="X393" s="2252"/>
      <c r="Y393" s="2252"/>
      <c r="Z393" s="2252"/>
      <c r="AA393" s="2252"/>
      <c r="AB393" s="2255"/>
      <c r="AC393" s="2252"/>
      <c r="AD393" s="2252"/>
      <c r="AE393" s="2252"/>
      <c r="AF393" s="2252"/>
    </row>
    <row r="394" spans="2:32">
      <c r="B394" s="2252"/>
      <c r="C394" s="2254"/>
      <c r="D394" s="2380"/>
      <c r="E394" s="2380"/>
      <c r="F394" s="2252"/>
      <c r="G394" s="2252"/>
      <c r="H394" s="2252"/>
      <c r="I394" s="2252"/>
      <c r="J394" s="2252"/>
      <c r="K394" s="2252"/>
      <c r="L394" s="2252"/>
      <c r="M394" s="2252"/>
      <c r="N394" s="2252"/>
      <c r="O394" s="2252"/>
      <c r="P394" s="2252"/>
      <c r="Q394" s="2252"/>
      <c r="R394" s="2252"/>
      <c r="S394" s="2252"/>
      <c r="T394" s="2252"/>
      <c r="U394" s="2252"/>
      <c r="V394" s="2252"/>
      <c r="W394" s="2252"/>
      <c r="X394" s="2252"/>
      <c r="Y394" s="2252"/>
      <c r="Z394" s="2252"/>
      <c r="AA394" s="2252"/>
      <c r="AB394" s="2255"/>
      <c r="AC394" s="2252"/>
      <c r="AD394" s="2252"/>
      <c r="AE394" s="2252"/>
      <c r="AF394" s="2252"/>
    </row>
    <row r="395" spans="2:32">
      <c r="B395" s="2252"/>
      <c r="C395" s="2254"/>
      <c r="D395" s="2380"/>
      <c r="E395" s="2380"/>
      <c r="F395" s="2252"/>
      <c r="G395" s="2252"/>
      <c r="H395" s="2252"/>
      <c r="I395" s="2252"/>
      <c r="J395" s="2252"/>
      <c r="K395" s="2252"/>
      <c r="L395" s="2252"/>
      <c r="M395" s="2252"/>
      <c r="N395" s="2252"/>
      <c r="O395" s="2252"/>
      <c r="P395" s="2252"/>
      <c r="Q395" s="2252"/>
      <c r="R395" s="2252"/>
      <c r="S395" s="2252"/>
      <c r="T395" s="2252"/>
      <c r="U395" s="2252"/>
      <c r="V395" s="2252"/>
      <c r="W395" s="2252"/>
      <c r="X395" s="2252"/>
      <c r="Y395" s="2252"/>
      <c r="Z395" s="2252"/>
      <c r="AA395" s="2252"/>
      <c r="AB395" s="2255"/>
      <c r="AC395" s="2252"/>
      <c r="AD395" s="2252"/>
      <c r="AE395" s="2252"/>
      <c r="AF395" s="2252"/>
    </row>
    <row r="396" spans="2:32">
      <c r="B396" s="2252"/>
      <c r="C396" s="2254"/>
      <c r="D396" s="2380"/>
      <c r="E396" s="2380"/>
      <c r="F396" s="2252"/>
      <c r="G396" s="2252"/>
      <c r="H396" s="2252"/>
      <c r="I396" s="2252"/>
      <c r="J396" s="2252"/>
      <c r="K396" s="2252"/>
      <c r="L396" s="2252"/>
      <c r="M396" s="2252"/>
      <c r="N396" s="2252"/>
      <c r="O396" s="2252"/>
      <c r="P396" s="2252"/>
      <c r="Q396" s="2252"/>
      <c r="R396" s="2252"/>
      <c r="S396" s="2252"/>
      <c r="T396" s="2252"/>
      <c r="U396" s="2252"/>
      <c r="V396" s="2252"/>
      <c r="W396" s="2252"/>
      <c r="X396" s="2252"/>
      <c r="Y396" s="2252"/>
      <c r="Z396" s="2252"/>
      <c r="AA396" s="2252"/>
      <c r="AB396" s="2255"/>
      <c r="AC396" s="2252"/>
      <c r="AD396" s="2252"/>
      <c r="AE396" s="2252"/>
      <c r="AF396" s="2252"/>
    </row>
    <row r="397" spans="2:32">
      <c r="B397" s="2252"/>
      <c r="C397" s="2254"/>
      <c r="D397" s="2380"/>
      <c r="E397" s="2380"/>
      <c r="F397" s="2252"/>
      <c r="G397" s="2252"/>
      <c r="H397" s="2252"/>
      <c r="I397" s="2252"/>
      <c r="J397" s="2252"/>
      <c r="K397" s="2252"/>
      <c r="L397" s="2252"/>
      <c r="M397" s="2252"/>
      <c r="N397" s="2252"/>
      <c r="O397" s="2252"/>
      <c r="P397" s="2252"/>
      <c r="Q397" s="2252"/>
      <c r="R397" s="2252"/>
      <c r="S397" s="2252"/>
      <c r="T397" s="2252"/>
      <c r="U397" s="2252"/>
      <c r="V397" s="2252"/>
      <c r="W397" s="2252"/>
      <c r="X397" s="2252"/>
      <c r="Y397" s="2252"/>
      <c r="Z397" s="2252"/>
      <c r="AA397" s="2252"/>
      <c r="AB397" s="2255"/>
      <c r="AC397" s="2252"/>
      <c r="AD397" s="2252"/>
      <c r="AE397" s="2252"/>
      <c r="AF397" s="2252"/>
    </row>
    <row r="398" spans="2:32">
      <c r="B398" s="2252"/>
      <c r="C398" s="2254"/>
      <c r="D398" s="2380"/>
      <c r="E398" s="2380"/>
      <c r="F398" s="2252"/>
      <c r="G398" s="2252"/>
      <c r="H398" s="2252"/>
      <c r="I398" s="2252"/>
      <c r="J398" s="2252"/>
      <c r="K398" s="2252"/>
      <c r="L398" s="2252"/>
      <c r="M398" s="2252"/>
      <c r="N398" s="2252"/>
      <c r="O398" s="2252"/>
      <c r="P398" s="2252"/>
      <c r="Q398" s="2252"/>
      <c r="R398" s="2252"/>
      <c r="S398" s="2252"/>
      <c r="T398" s="2252"/>
      <c r="U398" s="2252"/>
      <c r="V398" s="2252"/>
      <c r="W398" s="2252"/>
      <c r="X398" s="2252"/>
      <c r="Y398" s="2252"/>
      <c r="Z398" s="2252"/>
      <c r="AA398" s="2252"/>
      <c r="AB398" s="2255"/>
      <c r="AC398" s="2252"/>
      <c r="AD398" s="2252"/>
      <c r="AE398" s="2252"/>
      <c r="AF398" s="2252"/>
    </row>
    <row r="399" spans="2:32">
      <c r="B399" s="2252"/>
      <c r="C399" s="2254"/>
      <c r="D399" s="2380"/>
      <c r="E399" s="2380"/>
      <c r="F399" s="2252"/>
      <c r="G399" s="2252"/>
      <c r="H399" s="2252"/>
      <c r="I399" s="2252"/>
      <c r="J399" s="2252"/>
      <c r="K399" s="2252"/>
      <c r="L399" s="2252"/>
      <c r="M399" s="2252"/>
      <c r="N399" s="2252"/>
      <c r="O399" s="2252"/>
      <c r="P399" s="2252"/>
      <c r="Q399" s="2252"/>
      <c r="R399" s="2252"/>
      <c r="S399" s="2252"/>
      <c r="T399" s="2252"/>
      <c r="U399" s="2252"/>
      <c r="V399" s="2252"/>
      <c r="W399" s="2252"/>
      <c r="X399" s="2252"/>
      <c r="Y399" s="2252"/>
      <c r="Z399" s="2252"/>
      <c r="AA399" s="2252"/>
      <c r="AB399" s="2255"/>
      <c r="AC399" s="2252"/>
      <c r="AD399" s="2252"/>
      <c r="AE399" s="2252"/>
      <c r="AF399" s="2252"/>
    </row>
    <row r="400" spans="2:32">
      <c r="B400" s="2252"/>
      <c r="C400" s="2254"/>
      <c r="D400" s="2380"/>
      <c r="E400" s="2380"/>
      <c r="F400" s="2252"/>
      <c r="G400" s="2252"/>
      <c r="H400" s="2252"/>
      <c r="I400" s="2252"/>
      <c r="J400" s="2252"/>
      <c r="K400" s="2252"/>
      <c r="L400" s="2252"/>
      <c r="M400" s="2252"/>
      <c r="N400" s="2252"/>
      <c r="O400" s="2252"/>
      <c r="P400" s="2252"/>
      <c r="Q400" s="2252"/>
      <c r="R400" s="2252"/>
      <c r="S400" s="2252"/>
      <c r="T400" s="2252"/>
      <c r="U400" s="2252"/>
      <c r="V400" s="2252"/>
      <c r="W400" s="2252"/>
      <c r="X400" s="2252"/>
      <c r="Y400" s="2252"/>
      <c r="Z400" s="2252"/>
      <c r="AA400" s="2252"/>
      <c r="AB400" s="2255"/>
      <c r="AC400" s="2252"/>
      <c r="AD400" s="2252"/>
      <c r="AE400" s="2252"/>
      <c r="AF400" s="2252"/>
    </row>
    <row r="401" spans="2:32">
      <c r="B401" s="2252"/>
      <c r="C401" s="2254"/>
      <c r="D401" s="2380"/>
      <c r="E401" s="2380"/>
      <c r="F401" s="2252"/>
      <c r="G401" s="2252"/>
      <c r="H401" s="2252"/>
      <c r="I401" s="2252"/>
      <c r="J401" s="2252"/>
      <c r="K401" s="2252"/>
      <c r="L401" s="2252"/>
      <c r="M401" s="2252"/>
      <c r="N401" s="2252"/>
      <c r="O401" s="2252"/>
      <c r="P401" s="2252"/>
      <c r="Q401" s="2252"/>
      <c r="R401" s="2252"/>
      <c r="S401" s="2252"/>
      <c r="T401" s="2252"/>
      <c r="U401" s="2252"/>
      <c r="V401" s="2252"/>
      <c r="W401" s="2252"/>
      <c r="X401" s="2252"/>
      <c r="Y401" s="2252"/>
      <c r="Z401" s="2252"/>
      <c r="AA401" s="2252"/>
      <c r="AB401" s="2255"/>
      <c r="AC401" s="2252"/>
      <c r="AD401" s="2252"/>
      <c r="AE401" s="2252"/>
      <c r="AF401" s="2252"/>
    </row>
    <row r="402" spans="2:32">
      <c r="B402" s="2252"/>
      <c r="C402" s="2254"/>
      <c r="D402" s="2380"/>
      <c r="E402" s="2380"/>
      <c r="F402" s="2252"/>
      <c r="G402" s="2252"/>
      <c r="H402" s="2252"/>
      <c r="I402" s="2252"/>
      <c r="J402" s="2252"/>
      <c r="K402" s="2252"/>
      <c r="L402" s="2252"/>
      <c r="M402" s="2252"/>
      <c r="N402" s="2252"/>
      <c r="O402" s="2252"/>
      <c r="P402" s="2252"/>
      <c r="Q402" s="2252"/>
      <c r="R402" s="2252"/>
      <c r="S402" s="2252"/>
      <c r="T402" s="2252"/>
      <c r="U402" s="2252"/>
      <c r="V402" s="2252"/>
      <c r="W402" s="2252"/>
      <c r="X402" s="2252"/>
      <c r="Y402" s="2252"/>
      <c r="Z402" s="2252"/>
      <c r="AA402" s="2252"/>
      <c r="AB402" s="2255"/>
      <c r="AC402" s="2252"/>
      <c r="AD402" s="2252"/>
      <c r="AE402" s="2252"/>
      <c r="AF402" s="2252"/>
    </row>
    <row r="403" spans="2:32">
      <c r="B403" s="2252"/>
      <c r="C403" s="2254"/>
      <c r="D403" s="2380"/>
      <c r="E403" s="2380"/>
      <c r="F403" s="2252"/>
      <c r="G403" s="2252"/>
      <c r="H403" s="2252"/>
      <c r="I403" s="2252"/>
      <c r="J403" s="2252"/>
      <c r="K403" s="2252"/>
      <c r="L403" s="2252"/>
      <c r="M403" s="2252"/>
      <c r="N403" s="2252"/>
      <c r="O403" s="2252"/>
      <c r="P403" s="2252"/>
      <c r="Q403" s="2252"/>
      <c r="R403" s="2252"/>
      <c r="S403" s="2252"/>
      <c r="T403" s="2252"/>
      <c r="U403" s="2252"/>
      <c r="V403" s="2252"/>
      <c r="W403" s="2252"/>
      <c r="X403" s="2252"/>
      <c r="Y403" s="2252"/>
      <c r="Z403" s="2252"/>
      <c r="AA403" s="2252"/>
      <c r="AB403" s="2255"/>
      <c r="AC403" s="2252"/>
      <c r="AD403" s="2252"/>
      <c r="AE403" s="2252"/>
      <c r="AF403" s="2252"/>
    </row>
    <row r="404" spans="2:32">
      <c r="B404" s="2252"/>
      <c r="C404" s="2254"/>
      <c r="D404" s="2380"/>
      <c r="E404" s="2380"/>
      <c r="F404" s="2252"/>
      <c r="G404" s="2252"/>
      <c r="H404" s="2252"/>
      <c r="I404" s="2252"/>
      <c r="J404" s="2252"/>
      <c r="K404" s="2252"/>
      <c r="L404" s="2252"/>
      <c r="M404" s="2252"/>
      <c r="N404" s="2252"/>
      <c r="O404" s="2252"/>
      <c r="P404" s="2252"/>
      <c r="Q404" s="2252"/>
      <c r="R404" s="2252"/>
      <c r="S404" s="2252"/>
      <c r="T404" s="2252"/>
      <c r="U404" s="2252"/>
      <c r="V404" s="2252"/>
      <c r="W404" s="2252"/>
      <c r="X404" s="2252"/>
      <c r="Y404" s="2252"/>
      <c r="Z404" s="2252"/>
      <c r="AA404" s="2252"/>
      <c r="AB404" s="2255"/>
      <c r="AC404" s="2252"/>
      <c r="AD404" s="2252"/>
      <c r="AE404" s="2252"/>
      <c r="AF404" s="2252"/>
    </row>
    <row r="405" spans="2:32">
      <c r="B405" s="2252"/>
      <c r="C405" s="2254"/>
      <c r="D405" s="2380"/>
      <c r="E405" s="2380"/>
      <c r="F405" s="2252"/>
      <c r="G405" s="2252"/>
      <c r="H405" s="2252"/>
      <c r="I405" s="2252"/>
      <c r="J405" s="2252"/>
      <c r="K405" s="2252"/>
      <c r="L405" s="2252"/>
      <c r="M405" s="2252"/>
      <c r="N405" s="2252"/>
      <c r="O405" s="2252"/>
      <c r="P405" s="2252"/>
      <c r="Q405" s="2252"/>
      <c r="R405" s="2252"/>
      <c r="S405" s="2252"/>
      <c r="T405" s="2252"/>
      <c r="U405" s="2252"/>
      <c r="V405" s="2252"/>
      <c r="W405" s="2252"/>
      <c r="X405" s="2252"/>
      <c r="Y405" s="2252"/>
      <c r="Z405" s="2252"/>
      <c r="AA405" s="2252"/>
      <c r="AB405" s="2255"/>
      <c r="AC405" s="2252"/>
      <c r="AD405" s="2252"/>
      <c r="AE405" s="2252"/>
      <c r="AF405" s="2252"/>
    </row>
    <row r="406" spans="2:32">
      <c r="B406" s="2252"/>
      <c r="C406" s="2254"/>
      <c r="D406" s="2380"/>
      <c r="E406" s="2380"/>
      <c r="F406" s="2252"/>
      <c r="G406" s="2252"/>
      <c r="H406" s="2252"/>
      <c r="I406" s="2252"/>
      <c r="J406" s="2252"/>
      <c r="K406" s="2252"/>
      <c r="L406" s="2252"/>
      <c r="M406" s="2252"/>
      <c r="N406" s="2252"/>
      <c r="O406" s="2252"/>
      <c r="P406" s="2252"/>
      <c r="Q406" s="2252"/>
      <c r="R406" s="2252"/>
      <c r="S406" s="2252"/>
      <c r="T406" s="2252"/>
      <c r="U406" s="2252"/>
      <c r="V406" s="2252"/>
      <c r="W406" s="2252"/>
      <c r="X406" s="2252"/>
      <c r="Y406" s="2252"/>
      <c r="Z406" s="2252"/>
      <c r="AA406" s="2252"/>
      <c r="AB406" s="2255"/>
      <c r="AC406" s="2252"/>
      <c r="AD406" s="2252"/>
      <c r="AE406" s="2252"/>
      <c r="AF406" s="2252"/>
    </row>
    <row r="407" spans="2:32">
      <c r="B407" s="2252"/>
      <c r="C407" s="2254"/>
      <c r="D407" s="2380"/>
      <c r="E407" s="2380"/>
      <c r="F407" s="2252"/>
      <c r="G407" s="2252"/>
      <c r="H407" s="2252"/>
      <c r="I407" s="2252"/>
      <c r="J407" s="2252"/>
      <c r="K407" s="2252"/>
      <c r="L407" s="2252"/>
      <c r="M407" s="2252"/>
      <c r="N407" s="2252"/>
      <c r="O407" s="2252"/>
      <c r="P407" s="2252"/>
      <c r="Q407" s="2252"/>
      <c r="R407" s="2252"/>
      <c r="S407" s="2252"/>
      <c r="T407" s="2252"/>
      <c r="U407" s="2252"/>
      <c r="V407" s="2252"/>
      <c r="W407" s="2252"/>
      <c r="X407" s="2252"/>
      <c r="Y407" s="2252"/>
      <c r="Z407" s="2252"/>
      <c r="AA407" s="2252"/>
      <c r="AB407" s="2255"/>
      <c r="AC407" s="2252"/>
      <c r="AD407" s="2252"/>
      <c r="AE407" s="2252"/>
      <c r="AF407" s="2252"/>
    </row>
    <row r="408" spans="2:32">
      <c r="B408" s="2252"/>
      <c r="C408" s="2254"/>
      <c r="D408" s="2380"/>
      <c r="E408" s="2380"/>
      <c r="F408" s="2252"/>
      <c r="G408" s="2252"/>
      <c r="H408" s="2252"/>
      <c r="I408" s="2252"/>
      <c r="J408" s="2252"/>
      <c r="K408" s="2252"/>
      <c r="L408" s="2252"/>
      <c r="M408" s="2252"/>
      <c r="N408" s="2252"/>
      <c r="O408" s="2252"/>
      <c r="P408" s="2252"/>
      <c r="Q408" s="2252"/>
      <c r="R408" s="2252"/>
      <c r="S408" s="2252"/>
      <c r="T408" s="2252"/>
      <c r="U408" s="2252"/>
      <c r="V408" s="2252"/>
      <c r="W408" s="2252"/>
      <c r="X408" s="2252"/>
      <c r="Y408" s="2252"/>
      <c r="Z408" s="2252"/>
      <c r="AA408" s="2252"/>
      <c r="AB408" s="2255"/>
      <c r="AC408" s="2252"/>
      <c r="AD408" s="2252"/>
      <c r="AE408" s="2252"/>
      <c r="AF408" s="2252"/>
    </row>
    <row r="409" spans="2:32">
      <c r="B409" s="2252"/>
      <c r="C409" s="2254"/>
      <c r="D409" s="2380"/>
      <c r="E409" s="2380"/>
      <c r="F409" s="2252"/>
      <c r="G409" s="2252"/>
      <c r="H409" s="2252"/>
      <c r="I409" s="2252"/>
      <c r="J409" s="2252"/>
      <c r="K409" s="2252"/>
      <c r="L409" s="2252"/>
      <c r="M409" s="2252"/>
      <c r="N409" s="2252"/>
      <c r="O409" s="2252"/>
      <c r="P409" s="2252"/>
      <c r="Q409" s="2252"/>
      <c r="R409" s="2252"/>
      <c r="S409" s="2252"/>
      <c r="T409" s="2252"/>
      <c r="U409" s="2252"/>
      <c r="V409" s="2252"/>
      <c r="W409" s="2252"/>
      <c r="X409" s="2252"/>
      <c r="Y409" s="2252"/>
      <c r="Z409" s="2252"/>
      <c r="AA409" s="2252"/>
      <c r="AB409" s="2255"/>
      <c r="AC409" s="2252"/>
      <c r="AD409" s="2252"/>
      <c r="AE409" s="2252"/>
      <c r="AF409" s="2252"/>
    </row>
    <row r="410" spans="2:32">
      <c r="B410" s="2252"/>
      <c r="C410" s="2254"/>
      <c r="D410" s="2380"/>
      <c r="E410" s="2380"/>
      <c r="F410" s="2252"/>
      <c r="G410" s="2252"/>
      <c r="H410" s="2252"/>
      <c r="I410" s="2252"/>
      <c r="J410" s="2252"/>
      <c r="K410" s="2252"/>
      <c r="L410" s="2252"/>
      <c r="M410" s="2252"/>
      <c r="N410" s="2252"/>
      <c r="O410" s="2252"/>
      <c r="P410" s="2252"/>
      <c r="Q410" s="2252"/>
      <c r="R410" s="2252"/>
      <c r="S410" s="2252"/>
      <c r="T410" s="2252"/>
      <c r="U410" s="2252"/>
      <c r="V410" s="2252"/>
      <c r="W410" s="2252"/>
      <c r="X410" s="2252"/>
      <c r="Y410" s="2252"/>
      <c r="Z410" s="2252"/>
      <c r="AA410" s="2252"/>
      <c r="AB410" s="2255"/>
      <c r="AC410" s="2252"/>
      <c r="AD410" s="2252"/>
      <c r="AE410" s="2252"/>
      <c r="AF410" s="2252"/>
    </row>
    <row r="411" spans="2:32">
      <c r="B411" s="2252"/>
      <c r="C411" s="2254"/>
      <c r="D411" s="2380"/>
      <c r="E411" s="2380"/>
      <c r="F411" s="2252"/>
      <c r="G411" s="2252"/>
      <c r="H411" s="2252"/>
      <c r="I411" s="2252"/>
      <c r="J411" s="2252"/>
      <c r="K411" s="2252"/>
      <c r="L411" s="2252"/>
      <c r="M411" s="2252"/>
      <c r="N411" s="2252"/>
      <c r="O411" s="2252"/>
      <c r="P411" s="2252"/>
      <c r="Q411" s="2252"/>
      <c r="R411" s="2252"/>
      <c r="S411" s="2252"/>
      <c r="T411" s="2252"/>
      <c r="U411" s="2252"/>
      <c r="V411" s="2252"/>
      <c r="W411" s="2252"/>
      <c r="X411" s="2252"/>
      <c r="Y411" s="2252"/>
      <c r="Z411" s="2252"/>
      <c r="AA411" s="2252"/>
      <c r="AB411" s="2255"/>
      <c r="AC411" s="2252"/>
      <c r="AD411" s="2252"/>
      <c r="AE411" s="2252"/>
      <c r="AF411" s="2252"/>
    </row>
    <row r="412" spans="2:32">
      <c r="B412" s="2252"/>
      <c r="C412" s="2254"/>
      <c r="D412" s="2380"/>
      <c r="E412" s="2380"/>
      <c r="F412" s="2252"/>
      <c r="G412" s="2252"/>
      <c r="H412" s="2252"/>
      <c r="I412" s="2252"/>
      <c r="J412" s="2252"/>
      <c r="K412" s="2252"/>
      <c r="L412" s="2252"/>
      <c r="M412" s="2252"/>
      <c r="N412" s="2252"/>
      <c r="O412" s="2252"/>
      <c r="P412" s="2252"/>
      <c r="Q412" s="2252"/>
      <c r="R412" s="2252"/>
      <c r="S412" s="2252"/>
      <c r="T412" s="2252"/>
      <c r="U412" s="2252"/>
      <c r="V412" s="2252"/>
      <c r="W412" s="2252"/>
      <c r="X412" s="2252"/>
      <c r="Y412" s="2252"/>
      <c r="Z412" s="2252"/>
      <c r="AA412" s="2252"/>
      <c r="AB412" s="2255"/>
      <c r="AC412" s="2252"/>
      <c r="AD412" s="2252"/>
      <c r="AE412" s="2252"/>
      <c r="AF412" s="2252"/>
    </row>
    <row r="413" spans="2:32">
      <c r="B413" s="2252"/>
      <c r="C413" s="2254"/>
      <c r="D413" s="2380"/>
      <c r="E413" s="2380"/>
      <c r="F413" s="2252"/>
      <c r="G413" s="2252"/>
      <c r="H413" s="2252"/>
      <c r="I413" s="2252"/>
      <c r="J413" s="2252"/>
      <c r="K413" s="2252"/>
      <c r="L413" s="2252"/>
      <c r="M413" s="2252"/>
      <c r="N413" s="2252"/>
      <c r="O413" s="2252"/>
      <c r="P413" s="2252"/>
      <c r="Q413" s="2252"/>
      <c r="R413" s="2252"/>
      <c r="S413" s="2252"/>
      <c r="T413" s="2252"/>
      <c r="U413" s="2252"/>
      <c r="V413" s="2252"/>
      <c r="W413" s="2252"/>
      <c r="X413" s="2252"/>
      <c r="Y413" s="2252"/>
      <c r="Z413" s="2252"/>
      <c r="AA413" s="2252"/>
      <c r="AB413" s="2255"/>
      <c r="AC413" s="2252"/>
      <c r="AD413" s="2252"/>
      <c r="AE413" s="2252"/>
      <c r="AF413" s="2252"/>
    </row>
    <row r="414" spans="2:32">
      <c r="B414" s="2252"/>
      <c r="C414" s="2254"/>
      <c r="D414" s="2380"/>
      <c r="E414" s="2380"/>
      <c r="F414" s="2252"/>
      <c r="G414" s="2252"/>
      <c r="H414" s="2252"/>
      <c r="I414" s="2252"/>
      <c r="J414" s="2252"/>
      <c r="K414" s="2252"/>
      <c r="L414" s="2252"/>
      <c r="M414" s="2252"/>
      <c r="N414" s="2252"/>
      <c r="O414" s="2252"/>
      <c r="P414" s="2252"/>
      <c r="Q414" s="2252"/>
      <c r="R414" s="2252"/>
      <c r="S414" s="2252"/>
      <c r="T414" s="2252"/>
      <c r="U414" s="2252"/>
      <c r="V414" s="2252"/>
      <c r="W414" s="2252"/>
      <c r="X414" s="2252"/>
      <c r="Y414" s="2252"/>
      <c r="Z414" s="2252"/>
      <c r="AA414" s="2252"/>
      <c r="AB414" s="2255"/>
      <c r="AC414" s="2252"/>
      <c r="AD414" s="2252"/>
      <c r="AE414" s="2252"/>
      <c r="AF414" s="2252"/>
    </row>
    <row r="415" spans="2:32">
      <c r="B415" s="2252"/>
      <c r="C415" s="2254"/>
      <c r="D415" s="2380"/>
      <c r="E415" s="2380"/>
      <c r="F415" s="2252"/>
      <c r="G415" s="2252"/>
      <c r="H415" s="2252"/>
      <c r="I415" s="2252"/>
      <c r="J415" s="2252"/>
      <c r="K415" s="2252"/>
      <c r="L415" s="2252"/>
      <c r="M415" s="2252"/>
      <c r="N415" s="2252"/>
      <c r="O415" s="2252"/>
      <c r="P415" s="2252"/>
      <c r="Q415" s="2252"/>
      <c r="R415" s="2252"/>
      <c r="S415" s="2252"/>
      <c r="T415" s="2252"/>
      <c r="U415" s="2252"/>
      <c r="V415" s="2252"/>
      <c r="W415" s="2252"/>
      <c r="X415" s="2252"/>
      <c r="Y415" s="2252"/>
      <c r="Z415" s="2252"/>
      <c r="AA415" s="2252"/>
      <c r="AB415" s="2255"/>
      <c r="AC415" s="2252"/>
      <c r="AD415" s="2252"/>
      <c r="AE415" s="2252"/>
      <c r="AF415" s="2252"/>
    </row>
    <row r="416" spans="2:32">
      <c r="B416" s="2252"/>
      <c r="C416" s="2254"/>
      <c r="D416" s="2380"/>
      <c r="E416" s="2380"/>
      <c r="F416" s="2252"/>
      <c r="G416" s="2252"/>
      <c r="H416" s="2252"/>
      <c r="I416" s="2252"/>
      <c r="J416" s="2252"/>
      <c r="K416" s="2252"/>
      <c r="L416" s="2252"/>
      <c r="M416" s="2252"/>
      <c r="N416" s="2252"/>
      <c r="O416" s="2252"/>
      <c r="P416" s="2252"/>
      <c r="Q416" s="2252"/>
      <c r="R416" s="2252"/>
      <c r="S416" s="2252"/>
      <c r="T416" s="2252"/>
      <c r="U416" s="2252"/>
      <c r="V416" s="2252"/>
      <c r="W416" s="2252"/>
      <c r="X416" s="2252"/>
      <c r="Y416" s="2252"/>
      <c r="Z416" s="2252"/>
      <c r="AA416" s="2252"/>
      <c r="AB416" s="2255"/>
      <c r="AC416" s="2252"/>
      <c r="AD416" s="2252"/>
      <c r="AE416" s="2252"/>
      <c r="AF416" s="2252"/>
    </row>
    <row r="417" spans="2:32">
      <c r="B417" s="2252"/>
      <c r="C417" s="2254"/>
      <c r="D417" s="2380"/>
      <c r="E417" s="2380"/>
      <c r="F417" s="2252"/>
      <c r="G417" s="2252"/>
      <c r="H417" s="2252"/>
      <c r="I417" s="2252"/>
      <c r="J417" s="2252"/>
      <c r="K417" s="2252"/>
      <c r="L417" s="2252"/>
      <c r="M417" s="2252"/>
      <c r="N417" s="2252"/>
      <c r="O417" s="2252"/>
      <c r="P417" s="2252"/>
      <c r="Q417" s="2252"/>
      <c r="R417" s="2252"/>
      <c r="S417" s="2252"/>
      <c r="T417" s="2252"/>
      <c r="U417" s="2252"/>
      <c r="V417" s="2252"/>
      <c r="W417" s="2252"/>
      <c r="X417" s="2252"/>
      <c r="Y417" s="2252"/>
      <c r="Z417" s="2252"/>
      <c r="AA417" s="2252"/>
      <c r="AB417" s="2255"/>
      <c r="AC417" s="2252"/>
      <c r="AD417" s="2252"/>
      <c r="AE417" s="2252"/>
      <c r="AF417" s="2252"/>
    </row>
    <row r="418" spans="2:32">
      <c r="B418" s="2252"/>
      <c r="C418" s="2254"/>
      <c r="D418" s="2380"/>
      <c r="E418" s="2380"/>
      <c r="F418" s="2252"/>
      <c r="G418" s="2252"/>
      <c r="H418" s="2252"/>
      <c r="I418" s="2252"/>
      <c r="J418" s="2252"/>
      <c r="K418" s="2252"/>
      <c r="L418" s="2252"/>
      <c r="M418" s="2252"/>
      <c r="N418" s="2252"/>
      <c r="O418" s="2252"/>
      <c r="P418" s="2252"/>
      <c r="Q418" s="2252"/>
      <c r="R418" s="2252"/>
      <c r="S418" s="2252"/>
      <c r="T418" s="2252"/>
      <c r="U418" s="2252"/>
      <c r="V418" s="2252"/>
      <c r="W418" s="2252"/>
      <c r="X418" s="2252"/>
      <c r="Y418" s="2252"/>
      <c r="Z418" s="2252"/>
      <c r="AA418" s="2252"/>
      <c r="AB418" s="2255"/>
      <c r="AC418" s="2252"/>
      <c r="AD418" s="2252"/>
      <c r="AE418" s="2252"/>
      <c r="AF418" s="2252"/>
    </row>
    <row r="419" spans="2:32">
      <c r="B419" s="2252"/>
      <c r="C419" s="2254"/>
      <c r="D419" s="2380"/>
      <c r="E419" s="2380"/>
      <c r="F419" s="2252"/>
      <c r="G419" s="2252"/>
      <c r="H419" s="2252"/>
      <c r="I419" s="2252"/>
      <c r="J419" s="2252"/>
      <c r="K419" s="2252"/>
      <c r="L419" s="2252"/>
      <c r="M419" s="2252"/>
      <c r="N419" s="2252"/>
      <c r="O419" s="2252"/>
      <c r="P419" s="2252"/>
      <c r="Q419" s="2252"/>
      <c r="R419" s="2252"/>
      <c r="S419" s="2252"/>
      <c r="T419" s="2252"/>
      <c r="U419" s="2252"/>
      <c r="V419" s="2252"/>
      <c r="W419" s="2252"/>
      <c r="X419" s="2252"/>
      <c r="Y419" s="2252"/>
      <c r="Z419" s="2252"/>
      <c r="AA419" s="2252"/>
      <c r="AB419" s="2255"/>
      <c r="AC419" s="2252"/>
      <c r="AD419" s="2252"/>
      <c r="AE419" s="2252"/>
      <c r="AF419" s="2252"/>
    </row>
    <row r="420" spans="2:32">
      <c r="B420" s="2252"/>
      <c r="C420" s="2254"/>
      <c r="D420" s="2380"/>
      <c r="E420" s="2380"/>
      <c r="F420" s="2252"/>
      <c r="G420" s="2252"/>
      <c r="H420" s="2252"/>
      <c r="I420" s="2252"/>
      <c r="J420" s="2252"/>
      <c r="K420" s="2252"/>
      <c r="L420" s="2252"/>
      <c r="M420" s="2252"/>
      <c r="N420" s="2252"/>
      <c r="O420" s="2252"/>
      <c r="P420" s="2252"/>
      <c r="Q420" s="2252"/>
      <c r="R420" s="2252"/>
      <c r="S420" s="2252"/>
      <c r="T420" s="2252"/>
      <c r="U420" s="2252"/>
      <c r="V420" s="2252"/>
      <c r="W420" s="2252"/>
      <c r="X420" s="2252"/>
      <c r="Y420" s="2252"/>
      <c r="Z420" s="2252"/>
      <c r="AA420" s="2252"/>
      <c r="AB420" s="2255"/>
      <c r="AC420" s="2252"/>
      <c r="AD420" s="2252"/>
      <c r="AE420" s="2252"/>
      <c r="AF420" s="2252"/>
    </row>
    <row r="421" spans="2:32">
      <c r="B421" s="2252"/>
      <c r="C421" s="2254"/>
      <c r="D421" s="2380"/>
      <c r="E421" s="2380"/>
      <c r="F421" s="2252"/>
      <c r="G421" s="2252"/>
      <c r="H421" s="2252"/>
      <c r="I421" s="2252"/>
      <c r="J421" s="2252"/>
      <c r="K421" s="2252"/>
      <c r="L421" s="2252"/>
      <c r="M421" s="2252"/>
      <c r="N421" s="2252"/>
      <c r="O421" s="2252"/>
      <c r="P421" s="2252"/>
      <c r="Q421" s="2252"/>
      <c r="R421" s="2252"/>
      <c r="S421" s="2252"/>
      <c r="T421" s="2252"/>
      <c r="U421" s="2252"/>
      <c r="V421" s="2252"/>
      <c r="W421" s="2252"/>
      <c r="X421" s="2252"/>
      <c r="Y421" s="2252"/>
      <c r="Z421" s="2252"/>
      <c r="AA421" s="2252"/>
      <c r="AB421" s="2255"/>
      <c r="AC421" s="2252"/>
      <c r="AD421" s="2252"/>
      <c r="AE421" s="2252"/>
      <c r="AF421" s="2252"/>
    </row>
    <row r="422" spans="2:32">
      <c r="B422" s="2252"/>
      <c r="C422" s="2254"/>
      <c r="D422" s="2380"/>
      <c r="E422" s="2380"/>
      <c r="F422" s="2252"/>
      <c r="G422" s="2252"/>
      <c r="H422" s="2252"/>
      <c r="I422" s="2252"/>
      <c r="J422" s="2252"/>
      <c r="K422" s="2252"/>
      <c r="L422" s="2252"/>
      <c r="M422" s="2252"/>
      <c r="N422" s="2252"/>
      <c r="O422" s="2252"/>
      <c r="P422" s="2252"/>
      <c r="Q422" s="2252"/>
      <c r="R422" s="2252"/>
      <c r="S422" s="2252"/>
      <c r="T422" s="2252"/>
      <c r="U422" s="2252"/>
      <c r="V422" s="2252"/>
      <c r="W422" s="2252"/>
      <c r="X422" s="2252"/>
      <c r="Y422" s="2252"/>
      <c r="Z422" s="2252"/>
      <c r="AA422" s="2252"/>
      <c r="AB422" s="2255"/>
      <c r="AC422" s="2252"/>
      <c r="AD422" s="2252"/>
      <c r="AE422" s="2252"/>
      <c r="AF422" s="2252"/>
    </row>
    <row r="423" spans="2:32">
      <c r="B423" s="2252"/>
      <c r="C423" s="2254"/>
      <c r="D423" s="2380"/>
      <c r="E423" s="2380"/>
      <c r="F423" s="2252"/>
      <c r="G423" s="2252"/>
      <c r="H423" s="2252"/>
      <c r="I423" s="2252"/>
      <c r="J423" s="2252"/>
      <c r="K423" s="2252"/>
      <c r="L423" s="2252"/>
      <c r="M423" s="2252"/>
      <c r="N423" s="2252"/>
      <c r="O423" s="2252"/>
      <c r="P423" s="2252"/>
      <c r="Q423" s="2252"/>
      <c r="R423" s="2252"/>
      <c r="S423" s="2252"/>
      <c r="T423" s="2252"/>
      <c r="U423" s="2252"/>
      <c r="V423" s="2252"/>
      <c r="W423" s="2252"/>
      <c r="X423" s="2252"/>
      <c r="Y423" s="2252"/>
      <c r="Z423" s="2252"/>
      <c r="AA423" s="2252"/>
      <c r="AB423" s="2255"/>
      <c r="AC423" s="2252"/>
      <c r="AD423" s="2252"/>
      <c r="AE423" s="2252"/>
      <c r="AF423" s="2252"/>
    </row>
    <row r="424" spans="2:32">
      <c r="B424" s="2252"/>
      <c r="C424" s="2254"/>
      <c r="D424" s="2380"/>
      <c r="E424" s="2380"/>
      <c r="F424" s="2252"/>
      <c r="G424" s="2252"/>
      <c r="H424" s="2252"/>
      <c r="I424" s="2252"/>
      <c r="J424" s="2252"/>
      <c r="K424" s="2252"/>
      <c r="L424" s="2252"/>
      <c r="M424" s="2252"/>
      <c r="N424" s="2252"/>
      <c r="O424" s="2252"/>
      <c r="P424" s="2252"/>
      <c r="Q424" s="2252"/>
      <c r="R424" s="2252"/>
      <c r="S424" s="2252"/>
      <c r="T424" s="2252"/>
      <c r="U424" s="2252"/>
      <c r="V424" s="2252"/>
      <c r="W424" s="2252"/>
      <c r="X424" s="2252"/>
      <c r="Y424" s="2252"/>
      <c r="Z424" s="2252"/>
      <c r="AA424" s="2252"/>
      <c r="AB424" s="2255"/>
      <c r="AC424" s="2252"/>
      <c r="AD424" s="2252"/>
      <c r="AE424" s="2252"/>
      <c r="AF424" s="2252"/>
    </row>
    <row r="425" spans="2:32">
      <c r="B425" s="2252"/>
      <c r="C425" s="2254"/>
      <c r="D425" s="2380"/>
      <c r="E425" s="2380"/>
      <c r="F425" s="2252"/>
      <c r="G425" s="2252"/>
      <c r="H425" s="2252"/>
      <c r="I425" s="2252"/>
      <c r="J425" s="2252"/>
      <c r="K425" s="2252"/>
      <c r="L425" s="2252"/>
      <c r="M425" s="2252"/>
      <c r="N425" s="2252"/>
      <c r="O425" s="2252"/>
      <c r="P425" s="2252"/>
      <c r="Q425" s="2252"/>
      <c r="R425" s="2252"/>
      <c r="S425" s="2252"/>
      <c r="T425" s="2252"/>
      <c r="U425" s="2252"/>
      <c r="V425" s="2252"/>
      <c r="W425" s="2252"/>
      <c r="X425" s="2252"/>
      <c r="Y425" s="2252"/>
      <c r="Z425" s="2252"/>
      <c r="AA425" s="2252"/>
      <c r="AB425" s="2255"/>
      <c r="AC425" s="2252"/>
      <c r="AD425" s="2252"/>
      <c r="AE425" s="2252"/>
      <c r="AF425" s="2252"/>
    </row>
    <row r="426" spans="2:32">
      <c r="B426" s="2252"/>
      <c r="C426" s="2254"/>
      <c r="D426" s="2380"/>
      <c r="E426" s="2380"/>
      <c r="F426" s="2252"/>
      <c r="G426" s="2252"/>
      <c r="H426" s="2252"/>
      <c r="I426" s="2252"/>
      <c r="J426" s="2252"/>
      <c r="K426" s="2252"/>
      <c r="L426" s="2252"/>
      <c r="M426" s="2252"/>
      <c r="N426" s="2252"/>
      <c r="O426" s="2252"/>
      <c r="P426" s="2252"/>
      <c r="Q426" s="2252"/>
      <c r="R426" s="2252"/>
      <c r="S426" s="2252"/>
      <c r="T426" s="2252"/>
      <c r="U426" s="2252"/>
      <c r="V426" s="2252"/>
      <c r="W426" s="2252"/>
      <c r="X426" s="2252"/>
      <c r="Y426" s="2252"/>
      <c r="Z426" s="2252"/>
      <c r="AA426" s="2252"/>
      <c r="AB426" s="2255"/>
      <c r="AC426" s="2252"/>
      <c r="AD426" s="2252"/>
      <c r="AE426" s="2252"/>
      <c r="AF426" s="2252"/>
    </row>
    <row r="427" spans="2:32">
      <c r="B427" s="2252"/>
      <c r="C427" s="2254"/>
      <c r="D427" s="2380"/>
      <c r="E427" s="2380"/>
      <c r="F427" s="2252"/>
      <c r="G427" s="2252"/>
      <c r="H427" s="2252"/>
      <c r="I427" s="2252"/>
      <c r="J427" s="2252"/>
      <c r="K427" s="2252"/>
      <c r="L427" s="2252"/>
      <c r="M427" s="2252"/>
      <c r="N427" s="2252"/>
      <c r="O427" s="2252"/>
      <c r="P427" s="2252"/>
      <c r="Q427" s="2252"/>
      <c r="R427" s="2252"/>
      <c r="S427" s="2252"/>
      <c r="T427" s="2252"/>
      <c r="U427" s="2252"/>
      <c r="V427" s="2252"/>
      <c r="W427" s="2252"/>
      <c r="X427" s="2252"/>
      <c r="Y427" s="2252"/>
      <c r="Z427" s="2252"/>
      <c r="AA427" s="2252"/>
      <c r="AB427" s="2255"/>
      <c r="AC427" s="2252"/>
      <c r="AD427" s="2252"/>
      <c r="AE427" s="2252"/>
      <c r="AF427" s="2252"/>
    </row>
    <row r="428" spans="2:32">
      <c r="B428" s="2252"/>
      <c r="C428" s="2254"/>
      <c r="D428" s="2380"/>
      <c r="E428" s="2380"/>
      <c r="F428" s="2252"/>
      <c r="G428" s="2252"/>
      <c r="H428" s="2252"/>
      <c r="I428" s="2252"/>
      <c r="J428" s="2252"/>
      <c r="K428" s="2252"/>
      <c r="L428" s="2252"/>
      <c r="M428" s="2252"/>
      <c r="N428" s="2252"/>
      <c r="O428" s="2252"/>
      <c r="P428" s="2252"/>
      <c r="Q428" s="2252"/>
      <c r="R428" s="2252"/>
      <c r="S428" s="2252"/>
      <c r="T428" s="2252"/>
      <c r="U428" s="2252"/>
      <c r="V428" s="2252"/>
      <c r="W428" s="2252"/>
      <c r="X428" s="2252"/>
      <c r="Y428" s="2252"/>
      <c r="Z428" s="2252"/>
      <c r="AA428" s="2252"/>
      <c r="AB428" s="2255"/>
      <c r="AC428" s="2252"/>
      <c r="AD428" s="2252"/>
      <c r="AE428" s="2252"/>
      <c r="AF428" s="2252"/>
    </row>
    <row r="429" spans="2:32">
      <c r="B429" s="2252"/>
      <c r="C429" s="2254"/>
      <c r="D429" s="2380"/>
      <c r="E429" s="2380"/>
      <c r="F429" s="2252"/>
      <c r="G429" s="2252"/>
      <c r="H429" s="2252"/>
      <c r="I429" s="2252"/>
      <c r="J429" s="2252"/>
      <c r="K429" s="2252"/>
      <c r="L429" s="2252"/>
      <c r="M429" s="2252"/>
      <c r="N429" s="2252"/>
      <c r="O429" s="2252"/>
      <c r="P429" s="2252"/>
      <c r="Q429" s="2252"/>
      <c r="R429" s="2252"/>
      <c r="S429" s="2252"/>
      <c r="T429" s="2252"/>
      <c r="U429" s="2252"/>
      <c r="V429" s="2252"/>
      <c r="W429" s="2252"/>
      <c r="X429" s="2252"/>
      <c r="Y429" s="2252"/>
      <c r="Z429" s="2252"/>
      <c r="AA429" s="2252"/>
      <c r="AB429" s="2255"/>
      <c r="AC429" s="2252"/>
      <c r="AD429" s="2252"/>
      <c r="AE429" s="2252"/>
      <c r="AF429" s="2252"/>
    </row>
    <row r="430" spans="2:32">
      <c r="B430" s="2252"/>
      <c r="C430" s="2254"/>
      <c r="D430" s="2380"/>
      <c r="E430" s="2380"/>
      <c r="F430" s="2252"/>
      <c r="G430" s="2252"/>
      <c r="H430" s="2252"/>
      <c r="I430" s="2252"/>
      <c r="J430" s="2252"/>
      <c r="K430" s="2252"/>
      <c r="L430" s="2252"/>
      <c r="M430" s="2252"/>
      <c r="N430" s="2252"/>
      <c r="O430" s="2252"/>
      <c r="P430" s="2252"/>
      <c r="Q430" s="2252"/>
      <c r="R430" s="2252"/>
      <c r="S430" s="2252"/>
      <c r="T430" s="2252"/>
      <c r="U430" s="2252"/>
      <c r="V430" s="2252"/>
      <c r="W430" s="2252"/>
      <c r="X430" s="2252"/>
      <c r="Y430" s="2252"/>
      <c r="Z430" s="2252"/>
      <c r="AA430" s="2252"/>
      <c r="AB430" s="2255"/>
      <c r="AC430" s="2252"/>
      <c r="AD430" s="2252"/>
      <c r="AE430" s="2252"/>
      <c r="AF430" s="2252"/>
    </row>
    <row r="431" spans="2:32">
      <c r="B431" s="2252"/>
      <c r="C431" s="2254"/>
      <c r="D431" s="2380"/>
      <c r="E431" s="2380"/>
      <c r="F431" s="2252"/>
      <c r="G431" s="2252"/>
      <c r="H431" s="2252"/>
      <c r="I431" s="2252"/>
      <c r="J431" s="2252"/>
      <c r="K431" s="2252"/>
      <c r="L431" s="2252"/>
      <c r="M431" s="2252"/>
      <c r="N431" s="2252"/>
      <c r="O431" s="2252"/>
      <c r="P431" s="2252"/>
      <c r="Q431" s="2252"/>
      <c r="R431" s="2252"/>
      <c r="S431" s="2252"/>
      <c r="T431" s="2252"/>
      <c r="U431" s="2252"/>
      <c r="V431" s="2252"/>
      <c r="W431" s="2252"/>
      <c r="X431" s="2252"/>
      <c r="Y431" s="2252"/>
      <c r="Z431" s="2252"/>
      <c r="AA431" s="2252"/>
      <c r="AB431" s="2255"/>
      <c r="AC431" s="2252"/>
      <c r="AD431" s="2252"/>
      <c r="AE431" s="2252"/>
      <c r="AF431" s="2252"/>
    </row>
    <row r="432" spans="2:32">
      <c r="B432" s="2252"/>
      <c r="C432" s="2254"/>
      <c r="D432" s="2380"/>
      <c r="E432" s="2380"/>
      <c r="F432" s="2252"/>
      <c r="G432" s="2252"/>
      <c r="H432" s="2252"/>
      <c r="I432" s="2252"/>
      <c r="J432" s="2252"/>
      <c r="K432" s="2252"/>
      <c r="L432" s="2252"/>
      <c r="M432" s="2252"/>
      <c r="N432" s="2252"/>
      <c r="O432" s="2252"/>
      <c r="P432" s="2252"/>
      <c r="Q432" s="2252"/>
      <c r="R432" s="2252"/>
      <c r="S432" s="2252"/>
      <c r="T432" s="2252"/>
      <c r="U432" s="2252"/>
      <c r="V432" s="2252"/>
      <c r="W432" s="2252"/>
      <c r="X432" s="2252"/>
      <c r="Y432" s="2252"/>
      <c r="Z432" s="2252"/>
      <c r="AA432" s="2252"/>
      <c r="AB432" s="2255"/>
      <c r="AC432" s="2252"/>
      <c r="AD432" s="2252"/>
      <c r="AE432" s="2252"/>
      <c r="AF432" s="2252"/>
    </row>
    <row r="433" spans="2:32">
      <c r="B433" s="2252"/>
      <c r="C433" s="2254"/>
      <c r="D433" s="2380"/>
      <c r="E433" s="2380"/>
      <c r="F433" s="2252"/>
      <c r="G433" s="2252"/>
      <c r="H433" s="2252"/>
      <c r="I433" s="2252"/>
      <c r="J433" s="2252"/>
      <c r="K433" s="2252"/>
      <c r="L433" s="2252"/>
      <c r="M433" s="2252"/>
      <c r="N433" s="2252"/>
      <c r="O433" s="2252"/>
      <c r="P433" s="2252"/>
      <c r="Q433" s="2252"/>
      <c r="R433" s="2252"/>
      <c r="S433" s="2252"/>
      <c r="T433" s="2252"/>
      <c r="U433" s="2252"/>
      <c r="V433" s="2252"/>
      <c r="W433" s="2252"/>
      <c r="X433" s="2252"/>
      <c r="Y433" s="2252"/>
      <c r="Z433" s="2252"/>
      <c r="AA433" s="2252"/>
      <c r="AB433" s="2255"/>
      <c r="AC433" s="2252"/>
      <c r="AD433" s="2252"/>
      <c r="AE433" s="2252"/>
      <c r="AF433" s="2252"/>
    </row>
    <row r="434" spans="2:32">
      <c r="B434" s="2252"/>
      <c r="C434" s="2254"/>
      <c r="D434" s="2380"/>
      <c r="E434" s="2380"/>
      <c r="F434" s="2252"/>
      <c r="G434" s="2252"/>
      <c r="H434" s="2252"/>
      <c r="I434" s="2252"/>
      <c r="J434" s="2252"/>
      <c r="K434" s="2252"/>
      <c r="L434" s="2252"/>
      <c r="M434" s="2252"/>
      <c r="N434" s="2252"/>
      <c r="O434" s="2252"/>
      <c r="P434" s="2252"/>
      <c r="Q434" s="2252"/>
      <c r="R434" s="2252"/>
      <c r="S434" s="2252"/>
      <c r="T434" s="2252"/>
      <c r="U434" s="2252"/>
      <c r="V434" s="2252"/>
      <c r="W434" s="2252"/>
      <c r="X434" s="2252"/>
      <c r="Y434" s="2252"/>
      <c r="Z434" s="2252"/>
      <c r="AA434" s="2252"/>
      <c r="AB434" s="2255"/>
      <c r="AC434" s="2252"/>
      <c r="AD434" s="2252"/>
      <c r="AE434" s="2252"/>
      <c r="AF434" s="2252"/>
    </row>
    <row r="435" spans="2:32">
      <c r="B435" s="2252"/>
      <c r="C435" s="2254"/>
      <c r="D435" s="2380"/>
      <c r="E435" s="2380"/>
      <c r="F435" s="2252"/>
      <c r="G435" s="2252"/>
      <c r="H435" s="2252"/>
      <c r="I435" s="2252"/>
      <c r="J435" s="2252"/>
      <c r="K435" s="2252"/>
      <c r="L435" s="2252"/>
      <c r="M435" s="2252"/>
      <c r="N435" s="2252"/>
      <c r="O435" s="2252"/>
      <c r="P435" s="2252"/>
      <c r="Q435" s="2252"/>
      <c r="R435" s="2252"/>
      <c r="S435" s="2252"/>
      <c r="T435" s="2252"/>
      <c r="U435" s="2252"/>
      <c r="V435" s="2252"/>
      <c r="W435" s="2252"/>
      <c r="X435" s="2252"/>
      <c r="Y435" s="2252"/>
      <c r="Z435" s="2252"/>
      <c r="AA435" s="2252"/>
      <c r="AB435" s="2255"/>
      <c r="AC435" s="2252"/>
      <c r="AD435" s="2252"/>
      <c r="AE435" s="2252"/>
      <c r="AF435" s="2252"/>
    </row>
    <row r="436" spans="2:32">
      <c r="B436" s="2252"/>
      <c r="C436" s="2254"/>
      <c r="D436" s="2380"/>
      <c r="E436" s="2380"/>
      <c r="F436" s="2252"/>
      <c r="G436" s="2252"/>
      <c r="H436" s="2252"/>
      <c r="I436" s="2252"/>
      <c r="J436" s="2252"/>
      <c r="K436" s="2252"/>
      <c r="L436" s="2252"/>
      <c r="M436" s="2252"/>
      <c r="N436" s="2252"/>
      <c r="O436" s="2252"/>
      <c r="P436" s="2252"/>
      <c r="Q436" s="2252"/>
      <c r="R436" s="2252"/>
      <c r="S436" s="2252"/>
      <c r="T436" s="2252"/>
      <c r="U436" s="2252"/>
      <c r="V436" s="2252"/>
      <c r="W436" s="2252"/>
      <c r="X436" s="2252"/>
      <c r="Y436" s="2252"/>
      <c r="Z436" s="2252"/>
      <c r="AA436" s="2252"/>
      <c r="AB436" s="2255"/>
      <c r="AC436" s="2252"/>
      <c r="AD436" s="2252"/>
      <c r="AE436" s="2252"/>
      <c r="AF436" s="2252"/>
    </row>
    <row r="437" spans="2:32">
      <c r="B437" s="2252"/>
      <c r="C437" s="2254"/>
      <c r="D437" s="2380"/>
      <c r="E437" s="2380"/>
      <c r="F437" s="2252"/>
      <c r="G437" s="2252"/>
      <c r="H437" s="2252"/>
      <c r="I437" s="2252"/>
      <c r="J437" s="2252"/>
      <c r="K437" s="2252"/>
      <c r="L437" s="2252"/>
      <c r="M437" s="2252"/>
      <c r="N437" s="2252"/>
      <c r="O437" s="2252"/>
      <c r="P437" s="2252"/>
      <c r="Q437" s="2252"/>
      <c r="R437" s="2252"/>
      <c r="S437" s="2252"/>
      <c r="T437" s="2252"/>
      <c r="U437" s="2252"/>
      <c r="V437" s="2252"/>
      <c r="W437" s="2252"/>
      <c r="X437" s="2252"/>
      <c r="Y437" s="2252"/>
      <c r="Z437" s="2252"/>
      <c r="AA437" s="2252"/>
      <c r="AB437" s="2255"/>
      <c r="AC437" s="2252"/>
      <c r="AD437" s="2252"/>
      <c r="AE437" s="2252"/>
      <c r="AF437" s="2252"/>
    </row>
    <row r="438" spans="2:32">
      <c r="B438" s="2252"/>
      <c r="C438" s="2254"/>
      <c r="D438" s="2380"/>
      <c r="E438" s="2380"/>
      <c r="F438" s="2252"/>
      <c r="G438" s="2252"/>
      <c r="H438" s="2252"/>
      <c r="I438" s="2252"/>
      <c r="J438" s="2252"/>
      <c r="K438" s="2252"/>
      <c r="L438" s="2252"/>
      <c r="M438" s="2252"/>
      <c r="N438" s="2252"/>
      <c r="O438" s="2252"/>
      <c r="P438" s="2252"/>
      <c r="Q438" s="2252"/>
      <c r="R438" s="2252"/>
      <c r="S438" s="2252"/>
      <c r="T438" s="2252"/>
      <c r="U438" s="2252"/>
      <c r="V438" s="2252"/>
      <c r="W438" s="2252"/>
      <c r="X438" s="2252"/>
      <c r="Y438" s="2252"/>
      <c r="Z438" s="2252"/>
      <c r="AA438" s="2252"/>
      <c r="AB438" s="2255"/>
      <c r="AC438" s="2252"/>
      <c r="AD438" s="2252"/>
      <c r="AE438" s="2252"/>
      <c r="AF438" s="2252"/>
    </row>
    <row r="439" spans="2:32">
      <c r="B439" s="2252"/>
      <c r="C439" s="2254"/>
      <c r="D439" s="2380"/>
      <c r="E439" s="2380"/>
      <c r="F439" s="2252"/>
      <c r="G439" s="2252"/>
      <c r="H439" s="2252"/>
      <c r="I439" s="2252"/>
      <c r="J439" s="2252"/>
      <c r="K439" s="2252"/>
      <c r="L439" s="2252"/>
      <c r="M439" s="2252"/>
      <c r="N439" s="2252"/>
      <c r="O439" s="2252"/>
      <c r="P439" s="2252"/>
      <c r="Q439" s="2252"/>
      <c r="R439" s="2252"/>
      <c r="S439" s="2252"/>
      <c r="T439" s="2252"/>
      <c r="U439" s="2252"/>
      <c r="V439" s="2252"/>
      <c r="W439" s="2252"/>
      <c r="X439" s="2252"/>
      <c r="Y439" s="2252"/>
      <c r="Z439" s="2252"/>
      <c r="AA439" s="2252"/>
      <c r="AB439" s="2255"/>
      <c r="AC439" s="2252"/>
      <c r="AD439" s="2252"/>
      <c r="AE439" s="2252"/>
      <c r="AF439" s="2252"/>
    </row>
    <row r="440" spans="2:32">
      <c r="B440" s="2252"/>
      <c r="C440" s="2254"/>
      <c r="D440" s="2380"/>
      <c r="E440" s="2380"/>
      <c r="F440" s="2252"/>
      <c r="G440" s="2252"/>
      <c r="H440" s="2252"/>
      <c r="I440" s="2252"/>
      <c r="J440" s="2252"/>
      <c r="K440" s="2252"/>
      <c r="L440" s="2252"/>
      <c r="M440" s="2252"/>
      <c r="N440" s="2252"/>
      <c r="O440" s="2252"/>
      <c r="P440" s="2252"/>
      <c r="Q440" s="2252"/>
      <c r="R440" s="2252"/>
      <c r="S440" s="2252"/>
      <c r="T440" s="2252"/>
      <c r="U440" s="2252"/>
      <c r="V440" s="2252"/>
      <c r="W440" s="2252"/>
      <c r="X440" s="2252"/>
      <c r="Y440" s="2252"/>
      <c r="Z440" s="2252"/>
      <c r="AA440" s="2252"/>
      <c r="AB440" s="2255"/>
      <c r="AC440" s="2252"/>
      <c r="AD440" s="2252"/>
      <c r="AE440" s="2252"/>
      <c r="AF440" s="2252"/>
    </row>
    <row r="441" spans="2:32">
      <c r="B441" s="2252"/>
      <c r="C441" s="2254"/>
      <c r="D441" s="2380"/>
      <c r="E441" s="2380"/>
      <c r="F441" s="2252"/>
      <c r="G441" s="2252"/>
      <c r="H441" s="2252"/>
      <c r="I441" s="2252"/>
      <c r="J441" s="2252"/>
      <c r="K441" s="2252"/>
      <c r="L441" s="2252"/>
      <c r="M441" s="2252"/>
      <c r="N441" s="2252"/>
      <c r="O441" s="2252"/>
      <c r="P441" s="2252"/>
      <c r="Q441" s="2252"/>
      <c r="R441" s="2252"/>
      <c r="S441" s="2252"/>
      <c r="T441" s="2252"/>
      <c r="U441" s="2252"/>
      <c r="V441" s="2252"/>
      <c r="W441" s="2252"/>
      <c r="X441" s="2252"/>
      <c r="Y441" s="2252"/>
      <c r="Z441" s="2252"/>
      <c r="AA441" s="2252"/>
      <c r="AB441" s="2255"/>
      <c r="AC441" s="2252"/>
      <c r="AD441" s="2252"/>
      <c r="AE441" s="2252"/>
      <c r="AF441" s="2252"/>
    </row>
    <row r="442" spans="2:32">
      <c r="B442" s="2252"/>
      <c r="C442" s="2254"/>
      <c r="D442" s="2380"/>
      <c r="E442" s="2380"/>
      <c r="F442" s="2252"/>
      <c r="G442" s="2252"/>
      <c r="H442" s="2252"/>
      <c r="I442" s="2252"/>
      <c r="J442" s="2252"/>
      <c r="K442" s="2252"/>
      <c r="L442" s="2252"/>
      <c r="M442" s="2252"/>
      <c r="N442" s="2252"/>
      <c r="O442" s="2252"/>
      <c r="P442" s="2252"/>
      <c r="Q442" s="2252"/>
      <c r="R442" s="2252"/>
      <c r="S442" s="2252"/>
      <c r="T442" s="2252"/>
      <c r="U442" s="2252"/>
      <c r="V442" s="2252"/>
      <c r="W442" s="2252"/>
      <c r="X442" s="2252"/>
      <c r="Y442" s="2252"/>
      <c r="Z442" s="2252"/>
      <c r="AA442" s="2252"/>
      <c r="AB442" s="2255"/>
      <c r="AC442" s="2252"/>
      <c r="AD442" s="2252"/>
      <c r="AE442" s="2252"/>
      <c r="AF442" s="2252"/>
    </row>
    <row r="443" spans="2:32">
      <c r="B443" s="2252"/>
      <c r="C443" s="2254"/>
      <c r="D443" s="2380"/>
      <c r="E443" s="2380"/>
      <c r="F443" s="2252"/>
      <c r="G443" s="2252"/>
      <c r="H443" s="2252"/>
      <c r="I443" s="2252"/>
      <c r="J443" s="2252"/>
      <c r="K443" s="2252"/>
      <c r="L443" s="2252"/>
      <c r="M443" s="2252"/>
      <c r="N443" s="2252"/>
      <c r="O443" s="2252"/>
      <c r="P443" s="2252"/>
      <c r="Q443" s="2252"/>
      <c r="R443" s="2252"/>
      <c r="S443" s="2252"/>
      <c r="T443" s="2252"/>
      <c r="U443" s="2252"/>
      <c r="V443" s="2252"/>
      <c r="W443" s="2252"/>
      <c r="X443" s="2252"/>
      <c r="Y443" s="2252"/>
      <c r="Z443" s="2252"/>
      <c r="AA443" s="2252"/>
      <c r="AB443" s="2255"/>
      <c r="AC443" s="2252"/>
      <c r="AD443" s="2252"/>
      <c r="AE443" s="2252"/>
      <c r="AF443" s="2252"/>
    </row>
    <row r="444" spans="2:32">
      <c r="B444" s="2252"/>
      <c r="C444" s="2254"/>
      <c r="D444" s="2380"/>
      <c r="E444" s="2380"/>
      <c r="F444" s="2252"/>
      <c r="G444" s="2252"/>
      <c r="H444" s="2252"/>
      <c r="I444" s="2252"/>
      <c r="J444" s="2252"/>
      <c r="K444" s="2252"/>
      <c r="L444" s="2252"/>
      <c r="M444" s="2252"/>
      <c r="N444" s="2252"/>
      <c r="O444" s="2252"/>
      <c r="P444" s="2252"/>
      <c r="Q444" s="2252"/>
      <c r="R444" s="2252"/>
      <c r="S444" s="2252"/>
      <c r="T444" s="2252"/>
      <c r="U444" s="2252"/>
      <c r="V444" s="2252"/>
      <c r="W444" s="2252"/>
      <c r="X444" s="2252"/>
      <c r="Y444" s="2252"/>
      <c r="Z444" s="2252"/>
      <c r="AA444" s="2252"/>
      <c r="AB444" s="2255"/>
      <c r="AC444" s="2252"/>
      <c r="AD444" s="2252"/>
      <c r="AE444" s="2252"/>
      <c r="AF444" s="2252"/>
    </row>
    <row r="445" spans="2:32">
      <c r="B445" s="2252"/>
      <c r="C445" s="2254"/>
      <c r="D445" s="2380"/>
      <c r="E445" s="2380"/>
      <c r="F445" s="2252"/>
      <c r="G445" s="2252"/>
      <c r="H445" s="2252"/>
      <c r="I445" s="2252"/>
      <c r="J445" s="2252"/>
      <c r="K445" s="2252"/>
      <c r="L445" s="2252"/>
      <c r="M445" s="2252"/>
      <c r="N445" s="2252"/>
      <c r="O445" s="2252"/>
      <c r="P445" s="2252"/>
      <c r="Q445" s="2252"/>
      <c r="R445" s="2252"/>
      <c r="S445" s="2252"/>
      <c r="T445" s="2252"/>
      <c r="U445" s="2252"/>
      <c r="V445" s="2252"/>
      <c r="W445" s="2252"/>
      <c r="X445" s="2252"/>
      <c r="Y445" s="2252"/>
      <c r="Z445" s="2252"/>
      <c r="AA445" s="2252"/>
      <c r="AB445" s="2255"/>
      <c r="AC445" s="2252"/>
      <c r="AD445" s="2252"/>
      <c r="AE445" s="2252"/>
      <c r="AF445" s="2252"/>
    </row>
    <row r="446" spans="2:32">
      <c r="B446" s="2252"/>
      <c r="C446" s="2254"/>
      <c r="D446" s="2380"/>
      <c r="E446" s="2380"/>
      <c r="F446" s="2252"/>
      <c r="G446" s="2252"/>
      <c r="H446" s="2252"/>
      <c r="I446" s="2252"/>
      <c r="J446" s="2252"/>
      <c r="K446" s="2252"/>
      <c r="L446" s="2252"/>
      <c r="M446" s="2252"/>
      <c r="N446" s="2252"/>
      <c r="O446" s="2252"/>
      <c r="P446" s="2252"/>
      <c r="Q446" s="2252"/>
      <c r="R446" s="2252"/>
      <c r="S446" s="2252"/>
      <c r="T446" s="2252"/>
      <c r="U446" s="2252"/>
      <c r="V446" s="2252"/>
      <c r="W446" s="2252"/>
      <c r="X446" s="2252"/>
      <c r="Y446" s="2252"/>
      <c r="Z446" s="2252"/>
      <c r="AA446" s="2252"/>
      <c r="AB446" s="2255"/>
      <c r="AC446" s="2252"/>
      <c r="AD446" s="2252"/>
      <c r="AE446" s="2252"/>
      <c r="AF446" s="2252"/>
    </row>
    <row r="447" spans="2:32">
      <c r="B447" s="2252"/>
      <c r="C447" s="2254"/>
      <c r="D447" s="2380"/>
      <c r="E447" s="2380"/>
      <c r="F447" s="2252"/>
      <c r="G447" s="2252"/>
      <c r="H447" s="2252"/>
      <c r="I447" s="2252"/>
      <c r="J447" s="2252"/>
      <c r="K447" s="2252"/>
      <c r="L447" s="2252"/>
      <c r="M447" s="2252"/>
      <c r="N447" s="2252"/>
      <c r="O447" s="2252"/>
      <c r="P447" s="2252"/>
      <c r="Q447" s="2252"/>
      <c r="R447" s="2252"/>
      <c r="S447" s="2252"/>
      <c r="T447" s="2252"/>
      <c r="U447" s="2252"/>
      <c r="V447" s="2252"/>
      <c r="W447" s="2252"/>
      <c r="X447" s="2252"/>
      <c r="Y447" s="2252"/>
      <c r="Z447" s="2252"/>
      <c r="AA447" s="2252"/>
      <c r="AB447" s="2255"/>
      <c r="AC447" s="2252"/>
      <c r="AD447" s="2252"/>
      <c r="AE447" s="2252"/>
      <c r="AF447" s="2252"/>
    </row>
    <row r="448" spans="2:32">
      <c r="B448" s="2252"/>
      <c r="C448" s="2254"/>
      <c r="D448" s="2380"/>
      <c r="E448" s="2380"/>
      <c r="F448" s="2252"/>
      <c r="G448" s="2252"/>
      <c r="H448" s="2252"/>
      <c r="I448" s="2252"/>
      <c r="J448" s="2252"/>
      <c r="K448" s="2252"/>
      <c r="L448" s="2252"/>
      <c r="M448" s="2252"/>
      <c r="N448" s="2252"/>
      <c r="O448" s="2252"/>
      <c r="P448" s="2252"/>
      <c r="Q448" s="2252"/>
      <c r="R448" s="2252"/>
      <c r="S448" s="2252"/>
      <c r="T448" s="2252"/>
      <c r="U448" s="2252"/>
      <c r="V448" s="2252"/>
      <c r="W448" s="2252"/>
      <c r="X448" s="2252"/>
      <c r="Y448" s="2252"/>
      <c r="Z448" s="2252"/>
      <c r="AA448" s="2252"/>
      <c r="AB448" s="2255"/>
      <c r="AC448" s="2252"/>
      <c r="AD448" s="2252"/>
      <c r="AE448" s="2252"/>
      <c r="AF448" s="2252"/>
    </row>
    <row r="449" spans="2:32">
      <c r="B449" s="2252"/>
      <c r="C449" s="2254"/>
      <c r="D449" s="2380"/>
      <c r="E449" s="2380"/>
      <c r="F449" s="2252"/>
      <c r="G449" s="2252"/>
      <c r="H449" s="2252"/>
      <c r="I449" s="2252"/>
      <c r="J449" s="2252"/>
      <c r="K449" s="2252"/>
      <c r="L449" s="2252"/>
      <c r="M449" s="2252"/>
      <c r="N449" s="2252"/>
      <c r="O449" s="2252"/>
      <c r="P449" s="2252"/>
      <c r="Q449" s="2252"/>
      <c r="R449" s="2252"/>
      <c r="S449" s="2252"/>
      <c r="T449" s="2252"/>
      <c r="U449" s="2252"/>
      <c r="V449" s="2252"/>
      <c r="W449" s="2252"/>
      <c r="X449" s="2252"/>
      <c r="Y449" s="2252"/>
      <c r="Z449" s="2252"/>
      <c r="AA449" s="2252"/>
      <c r="AB449" s="2255"/>
      <c r="AC449" s="2252"/>
      <c r="AD449" s="2252"/>
      <c r="AE449" s="2252"/>
      <c r="AF449" s="2252"/>
    </row>
    <row r="450" spans="2:32">
      <c r="B450" s="2252"/>
      <c r="C450" s="2254"/>
      <c r="D450" s="2380"/>
      <c r="E450" s="2380"/>
      <c r="F450" s="2252"/>
      <c r="G450" s="2252"/>
      <c r="H450" s="2252"/>
      <c r="I450" s="2252"/>
      <c r="J450" s="2252"/>
      <c r="K450" s="2252"/>
      <c r="L450" s="2252"/>
      <c r="M450" s="2252"/>
      <c r="N450" s="2252"/>
      <c r="O450" s="2252"/>
      <c r="P450" s="2252"/>
      <c r="Q450" s="2252"/>
      <c r="R450" s="2252"/>
      <c r="S450" s="2252"/>
      <c r="T450" s="2252"/>
      <c r="U450" s="2252"/>
      <c r="V450" s="2252"/>
      <c r="W450" s="2252"/>
      <c r="X450" s="2252"/>
      <c r="Y450" s="2252"/>
      <c r="Z450" s="2252"/>
      <c r="AA450" s="2252"/>
      <c r="AB450" s="2255"/>
      <c r="AC450" s="2252"/>
      <c r="AD450" s="2252"/>
      <c r="AE450" s="2252"/>
      <c r="AF450" s="2252"/>
    </row>
    <row r="451" spans="2:32">
      <c r="B451" s="2252"/>
      <c r="C451" s="2254"/>
      <c r="D451" s="2380"/>
      <c r="E451" s="2380"/>
      <c r="F451" s="2252"/>
      <c r="G451" s="2252"/>
      <c r="H451" s="2252"/>
      <c r="I451" s="2252"/>
      <c r="J451" s="2252"/>
      <c r="K451" s="2252"/>
      <c r="L451" s="2252"/>
      <c r="M451" s="2252"/>
      <c r="N451" s="2252"/>
      <c r="O451" s="2252"/>
      <c r="P451" s="2252"/>
      <c r="Q451" s="2252"/>
      <c r="R451" s="2252"/>
      <c r="S451" s="2252"/>
      <c r="T451" s="2252"/>
      <c r="U451" s="2252"/>
      <c r="V451" s="2252"/>
      <c r="W451" s="2252"/>
      <c r="X451" s="2252"/>
      <c r="Y451" s="2252"/>
      <c r="Z451" s="2252"/>
      <c r="AA451" s="2252"/>
      <c r="AB451" s="2255"/>
      <c r="AC451" s="2252"/>
      <c r="AD451" s="2252"/>
      <c r="AE451" s="2252"/>
      <c r="AF451" s="2252"/>
    </row>
    <row r="452" spans="2:32">
      <c r="B452" s="2252"/>
      <c r="C452" s="2254"/>
      <c r="D452" s="2380"/>
      <c r="E452" s="2380"/>
      <c r="F452" s="2252"/>
      <c r="G452" s="2252"/>
      <c r="H452" s="2252"/>
      <c r="I452" s="2252"/>
      <c r="J452" s="2252"/>
      <c r="K452" s="2252"/>
      <c r="L452" s="2252"/>
      <c r="M452" s="2252"/>
      <c r="N452" s="2252"/>
      <c r="O452" s="2252"/>
      <c r="P452" s="2252"/>
      <c r="Q452" s="2252"/>
      <c r="R452" s="2252"/>
      <c r="S452" s="2252"/>
      <c r="T452" s="2252"/>
      <c r="U452" s="2252"/>
      <c r="V452" s="2252"/>
      <c r="W452" s="2252"/>
      <c r="X452" s="2252"/>
      <c r="Y452" s="2252"/>
      <c r="Z452" s="2252"/>
      <c r="AA452" s="2252"/>
      <c r="AB452" s="2255"/>
      <c r="AC452" s="2252"/>
      <c r="AD452" s="2252"/>
      <c r="AE452" s="2252"/>
      <c r="AF452" s="2252"/>
    </row>
    <row r="453" spans="2:32">
      <c r="B453" s="2252"/>
      <c r="C453" s="2254"/>
      <c r="D453" s="2380"/>
      <c r="E453" s="2380"/>
      <c r="F453" s="2252"/>
      <c r="G453" s="2252"/>
      <c r="H453" s="2252"/>
      <c r="I453" s="2252"/>
      <c r="J453" s="2252"/>
      <c r="K453" s="2252"/>
      <c r="L453" s="2252"/>
      <c r="M453" s="2252"/>
      <c r="N453" s="2252"/>
      <c r="O453" s="2252"/>
      <c r="P453" s="2252"/>
      <c r="Q453" s="2252"/>
      <c r="R453" s="2252"/>
      <c r="S453" s="2252"/>
      <c r="T453" s="2252"/>
      <c r="U453" s="2252"/>
      <c r="V453" s="2252"/>
      <c r="W453" s="2252"/>
      <c r="X453" s="2252"/>
      <c r="Y453" s="2252"/>
      <c r="Z453" s="2252"/>
      <c r="AA453" s="2252"/>
      <c r="AB453" s="2255"/>
      <c r="AC453" s="2252"/>
      <c r="AD453" s="2252"/>
      <c r="AE453" s="2252"/>
      <c r="AF453" s="2252"/>
    </row>
    <row r="454" spans="2:32">
      <c r="B454" s="2252"/>
      <c r="C454" s="2254"/>
      <c r="D454" s="2380"/>
      <c r="E454" s="2380"/>
      <c r="F454" s="2252"/>
      <c r="G454" s="2252"/>
      <c r="H454" s="2252"/>
      <c r="I454" s="2252"/>
      <c r="J454" s="2252"/>
      <c r="K454" s="2252"/>
      <c r="L454" s="2252"/>
      <c r="M454" s="2252"/>
      <c r="N454" s="2252"/>
      <c r="O454" s="2252"/>
      <c r="P454" s="2252"/>
      <c r="Q454" s="2252"/>
      <c r="R454" s="2252"/>
      <c r="S454" s="2252"/>
      <c r="T454" s="2252"/>
      <c r="U454" s="2252"/>
      <c r="V454" s="2252"/>
      <c r="W454" s="2252"/>
      <c r="X454" s="2252"/>
      <c r="Y454" s="2252"/>
      <c r="Z454" s="2252"/>
      <c r="AA454" s="2252"/>
      <c r="AB454" s="2255"/>
      <c r="AC454" s="2252"/>
      <c r="AD454" s="2252"/>
      <c r="AE454" s="2252"/>
      <c r="AF454" s="2252"/>
    </row>
    <row r="455" spans="2:32">
      <c r="B455" s="2252"/>
      <c r="C455" s="2254"/>
      <c r="D455" s="2380"/>
      <c r="E455" s="2380"/>
      <c r="F455" s="2252"/>
      <c r="G455" s="2252"/>
      <c r="H455" s="2252"/>
      <c r="I455" s="2252"/>
      <c r="J455" s="2252"/>
      <c r="K455" s="2252"/>
      <c r="L455" s="2252"/>
      <c r="M455" s="2252"/>
      <c r="N455" s="2252"/>
      <c r="O455" s="2252"/>
      <c r="P455" s="2252"/>
      <c r="Q455" s="2252"/>
      <c r="R455" s="2252"/>
      <c r="S455" s="2252"/>
      <c r="T455" s="2252"/>
      <c r="U455" s="2252"/>
      <c r="V455" s="2252"/>
      <c r="W455" s="2252"/>
      <c r="X455" s="2252"/>
      <c r="Y455" s="2252"/>
      <c r="Z455" s="2252"/>
      <c r="AA455" s="2252"/>
      <c r="AB455" s="2255"/>
      <c r="AC455" s="2252"/>
      <c r="AD455" s="2252"/>
      <c r="AE455" s="2252"/>
      <c r="AF455" s="2252"/>
    </row>
    <row r="456" spans="2:32">
      <c r="B456" s="2252"/>
      <c r="C456" s="2254"/>
      <c r="D456" s="2380"/>
      <c r="E456" s="2380"/>
      <c r="F456" s="2252"/>
      <c r="G456" s="2252"/>
      <c r="H456" s="2252"/>
      <c r="I456" s="2252"/>
      <c r="J456" s="2252"/>
      <c r="K456" s="2252"/>
      <c r="L456" s="2252"/>
      <c r="M456" s="2252"/>
      <c r="N456" s="2252"/>
      <c r="O456" s="2252"/>
      <c r="P456" s="2252"/>
      <c r="Q456" s="2252"/>
      <c r="R456" s="2252"/>
      <c r="S456" s="2252"/>
      <c r="T456" s="2252"/>
      <c r="U456" s="2252"/>
      <c r="V456" s="2252"/>
      <c r="W456" s="2252"/>
      <c r="X456" s="2252"/>
      <c r="Y456" s="2252"/>
      <c r="Z456" s="2252"/>
      <c r="AA456" s="2252"/>
      <c r="AB456" s="2255"/>
      <c r="AC456" s="2252"/>
      <c r="AD456" s="2252"/>
      <c r="AE456" s="2252"/>
      <c r="AF456" s="2252"/>
    </row>
    <row r="457" spans="2:32">
      <c r="B457" s="2252"/>
      <c r="C457" s="2254"/>
      <c r="D457" s="2380"/>
      <c r="E457" s="2380"/>
      <c r="F457" s="2252"/>
      <c r="G457" s="2252"/>
      <c r="H457" s="2252"/>
      <c r="I457" s="2252"/>
      <c r="J457" s="2252"/>
      <c r="K457" s="2252"/>
      <c r="L457" s="2252"/>
      <c r="M457" s="2252"/>
      <c r="N457" s="2252"/>
      <c r="O457" s="2252"/>
      <c r="P457" s="2252"/>
      <c r="Q457" s="2252"/>
      <c r="R457" s="2252"/>
      <c r="S457" s="2252"/>
      <c r="T457" s="2252"/>
      <c r="U457" s="2252"/>
      <c r="V457" s="2252"/>
      <c r="W457" s="2252"/>
      <c r="X457" s="2252"/>
      <c r="Y457" s="2252"/>
      <c r="Z457" s="2252"/>
      <c r="AA457" s="2252"/>
      <c r="AB457" s="2255"/>
      <c r="AC457" s="2252"/>
      <c r="AD457" s="2252"/>
      <c r="AE457" s="2252"/>
      <c r="AF457" s="2252"/>
    </row>
    <row r="458" spans="2:32">
      <c r="B458" s="2252"/>
      <c r="C458" s="2254"/>
      <c r="D458" s="2380"/>
      <c r="E458" s="2380"/>
      <c r="F458" s="2252"/>
      <c r="G458" s="2252"/>
      <c r="H458" s="2252"/>
      <c r="I458" s="2252"/>
      <c r="J458" s="2252"/>
      <c r="K458" s="2252"/>
      <c r="L458" s="2252"/>
      <c r="M458" s="2252"/>
      <c r="N458" s="2252"/>
      <c r="O458" s="2252"/>
      <c r="P458" s="2252"/>
      <c r="Q458" s="2252"/>
      <c r="R458" s="2252"/>
      <c r="S458" s="2252"/>
      <c r="T458" s="2252"/>
      <c r="U458" s="2252"/>
      <c r="V458" s="2252"/>
      <c r="W458" s="2252"/>
      <c r="X458" s="2252"/>
      <c r="Y458" s="2252"/>
      <c r="Z458" s="2252"/>
      <c r="AA458" s="2252"/>
      <c r="AB458" s="2255"/>
      <c r="AC458" s="2252"/>
      <c r="AD458" s="2252"/>
      <c r="AE458" s="2252"/>
      <c r="AF458" s="2252"/>
    </row>
    <row r="459" spans="2:32">
      <c r="B459" s="2252"/>
      <c r="C459" s="2254"/>
      <c r="D459" s="2380"/>
      <c r="E459" s="2380"/>
      <c r="F459" s="2252"/>
      <c r="G459" s="2252"/>
      <c r="H459" s="2252"/>
      <c r="I459" s="2252"/>
      <c r="J459" s="2252"/>
      <c r="K459" s="2252"/>
      <c r="L459" s="2252"/>
      <c r="M459" s="2252"/>
      <c r="N459" s="2252"/>
      <c r="O459" s="2252"/>
      <c r="P459" s="2252"/>
      <c r="Q459" s="2252"/>
      <c r="R459" s="2252"/>
      <c r="S459" s="2252"/>
      <c r="T459" s="2252"/>
      <c r="U459" s="2252"/>
      <c r="V459" s="2252"/>
      <c r="W459" s="2252"/>
      <c r="X459" s="2252"/>
      <c r="Y459" s="2252"/>
      <c r="Z459" s="2252"/>
      <c r="AA459" s="2252"/>
      <c r="AB459" s="2255"/>
      <c r="AC459" s="2252"/>
      <c r="AD459" s="2252"/>
      <c r="AE459" s="2252"/>
      <c r="AF459" s="2252"/>
    </row>
    <row r="460" spans="2:32">
      <c r="B460" s="2252"/>
      <c r="C460" s="2254"/>
      <c r="D460" s="2380"/>
      <c r="E460" s="2380"/>
      <c r="F460" s="2252"/>
      <c r="G460" s="2252"/>
      <c r="H460" s="2252"/>
      <c r="I460" s="2252"/>
      <c r="J460" s="2252"/>
      <c r="K460" s="2252"/>
      <c r="L460" s="2252"/>
      <c r="M460" s="2252"/>
      <c r="N460" s="2252"/>
      <c r="O460" s="2252"/>
      <c r="P460" s="2252"/>
      <c r="Q460" s="2252"/>
      <c r="R460" s="2252"/>
      <c r="S460" s="2252"/>
      <c r="T460" s="2252"/>
      <c r="U460" s="2252"/>
      <c r="V460" s="2252"/>
      <c r="W460" s="2252"/>
      <c r="X460" s="2252"/>
      <c r="Y460" s="2252"/>
      <c r="Z460" s="2252"/>
      <c r="AA460" s="2252"/>
      <c r="AB460" s="2255"/>
      <c r="AC460" s="2252"/>
      <c r="AD460" s="2252"/>
      <c r="AE460" s="2252"/>
      <c r="AF460" s="2252"/>
    </row>
    <row r="461" spans="2:32">
      <c r="B461" s="2252"/>
      <c r="C461" s="2254"/>
      <c r="D461" s="2380"/>
      <c r="E461" s="2380"/>
      <c r="F461" s="2252"/>
      <c r="G461" s="2252"/>
      <c r="H461" s="2252"/>
      <c r="I461" s="2252"/>
      <c r="J461" s="2252"/>
      <c r="K461" s="2252"/>
      <c r="L461" s="2252"/>
      <c r="M461" s="2252"/>
      <c r="N461" s="2252"/>
      <c r="O461" s="2252"/>
      <c r="P461" s="2252"/>
      <c r="Q461" s="2252"/>
      <c r="R461" s="2252"/>
      <c r="S461" s="2252"/>
      <c r="T461" s="2252"/>
      <c r="U461" s="2252"/>
      <c r="V461" s="2252"/>
      <c r="W461" s="2252"/>
      <c r="X461" s="2252"/>
      <c r="Y461" s="2252"/>
      <c r="Z461" s="2252"/>
      <c r="AA461" s="2252"/>
      <c r="AB461" s="2255"/>
      <c r="AC461" s="2252"/>
      <c r="AD461" s="2252"/>
      <c r="AE461" s="2252"/>
      <c r="AF461" s="2252"/>
    </row>
    <row r="462" spans="2:32">
      <c r="B462" s="2252"/>
      <c r="C462" s="2254"/>
      <c r="D462" s="2380"/>
      <c r="E462" s="2380"/>
      <c r="F462" s="2252"/>
      <c r="G462" s="2252"/>
      <c r="H462" s="2252"/>
      <c r="I462" s="2252"/>
      <c r="J462" s="2252"/>
      <c r="K462" s="2252"/>
      <c r="L462" s="2252"/>
      <c r="M462" s="2252"/>
      <c r="N462" s="2252"/>
      <c r="O462" s="2252"/>
      <c r="P462" s="2252"/>
      <c r="Q462" s="2252"/>
      <c r="R462" s="2252"/>
      <c r="S462" s="2252"/>
      <c r="T462" s="2252"/>
      <c r="U462" s="2252"/>
      <c r="V462" s="2252"/>
      <c r="W462" s="2252"/>
      <c r="X462" s="2252"/>
      <c r="Y462" s="2252"/>
      <c r="Z462" s="2252"/>
      <c r="AA462" s="2252"/>
      <c r="AB462" s="2255"/>
      <c r="AC462" s="2252"/>
      <c r="AD462" s="2252"/>
      <c r="AE462" s="2252"/>
      <c r="AF462" s="2252"/>
    </row>
    <row r="463" spans="2:32">
      <c r="B463" s="2252"/>
      <c r="C463" s="2254"/>
      <c r="D463" s="2380"/>
      <c r="E463" s="2380"/>
      <c r="F463" s="2252"/>
      <c r="G463" s="2252"/>
      <c r="H463" s="2252"/>
      <c r="I463" s="2252"/>
      <c r="J463" s="2252"/>
      <c r="K463" s="2252"/>
      <c r="L463" s="2252"/>
      <c r="M463" s="2252"/>
      <c r="N463" s="2252"/>
      <c r="O463" s="2252"/>
      <c r="P463" s="2252"/>
      <c r="Q463" s="2252"/>
      <c r="R463" s="2252"/>
      <c r="S463" s="2252"/>
      <c r="T463" s="2252"/>
      <c r="U463" s="2252"/>
      <c r="V463" s="2252"/>
      <c r="W463" s="2252"/>
      <c r="X463" s="2252"/>
      <c r="Y463" s="2252"/>
      <c r="Z463" s="2252"/>
      <c r="AA463" s="2252"/>
      <c r="AB463" s="2255"/>
      <c r="AC463" s="2252"/>
      <c r="AD463" s="2252"/>
      <c r="AE463" s="2252"/>
      <c r="AF463" s="2252"/>
    </row>
    <row r="464" spans="2:32">
      <c r="B464" s="2252"/>
      <c r="C464" s="2254"/>
      <c r="D464" s="2380"/>
      <c r="E464" s="2380"/>
      <c r="F464" s="2252"/>
      <c r="G464" s="2252"/>
      <c r="H464" s="2252"/>
      <c r="I464" s="2252"/>
      <c r="J464" s="2252"/>
      <c r="K464" s="2252"/>
      <c r="L464" s="2252"/>
      <c r="M464" s="2252"/>
      <c r="N464" s="2252"/>
      <c r="O464" s="2252"/>
      <c r="P464" s="2252"/>
      <c r="Q464" s="2252"/>
      <c r="R464" s="2252"/>
      <c r="S464" s="2252"/>
      <c r="T464" s="2252"/>
      <c r="U464" s="2252"/>
      <c r="V464" s="2252"/>
      <c r="W464" s="2252"/>
      <c r="X464" s="2252"/>
      <c r="Y464" s="2252"/>
      <c r="Z464" s="2252"/>
      <c r="AA464" s="2252"/>
      <c r="AB464" s="2255"/>
      <c r="AC464" s="2252"/>
      <c r="AD464" s="2252"/>
      <c r="AE464" s="2252"/>
      <c r="AF464" s="2252"/>
    </row>
    <row r="465" spans="2:32">
      <c r="B465" s="2252"/>
      <c r="C465" s="2254"/>
      <c r="D465" s="2380"/>
      <c r="E465" s="2380"/>
      <c r="F465" s="2252"/>
      <c r="G465" s="2252"/>
      <c r="H465" s="2252"/>
      <c r="I465" s="2252"/>
      <c r="J465" s="2252"/>
      <c r="K465" s="2252"/>
      <c r="L465" s="2252"/>
      <c r="M465" s="2252"/>
      <c r="N465" s="2252"/>
      <c r="O465" s="2252"/>
      <c r="P465" s="2252"/>
      <c r="Q465" s="2252"/>
      <c r="R465" s="2252"/>
      <c r="S465" s="2252"/>
      <c r="T465" s="2252"/>
      <c r="U465" s="2252"/>
      <c r="V465" s="2252"/>
      <c r="W465" s="2252"/>
      <c r="X465" s="2252"/>
      <c r="Y465" s="2252"/>
      <c r="Z465" s="2252"/>
      <c r="AA465" s="2252"/>
      <c r="AB465" s="2255"/>
      <c r="AC465" s="2252"/>
      <c r="AD465" s="2252"/>
      <c r="AE465" s="2252"/>
      <c r="AF465" s="2252"/>
    </row>
    <row r="466" spans="2:32">
      <c r="B466" s="2252"/>
      <c r="C466" s="2254"/>
      <c r="D466" s="2380"/>
      <c r="E466" s="2380"/>
      <c r="F466" s="2252"/>
      <c r="G466" s="2252"/>
      <c r="H466" s="2252"/>
      <c r="I466" s="2252"/>
      <c r="J466" s="2252"/>
      <c r="K466" s="2252"/>
      <c r="L466" s="2252"/>
      <c r="M466" s="2252"/>
      <c r="N466" s="2252"/>
      <c r="O466" s="2252"/>
      <c r="P466" s="2252"/>
      <c r="Q466" s="2252"/>
      <c r="R466" s="2252"/>
      <c r="S466" s="2252"/>
      <c r="T466" s="2252"/>
      <c r="U466" s="2252"/>
      <c r="V466" s="2252"/>
      <c r="W466" s="2252"/>
      <c r="X466" s="2252"/>
      <c r="Y466" s="2252"/>
      <c r="Z466" s="2252"/>
      <c r="AA466" s="2252"/>
      <c r="AB466" s="2255"/>
      <c r="AC466" s="2252"/>
      <c r="AD466" s="2252"/>
      <c r="AE466" s="2252"/>
      <c r="AF466" s="2252"/>
    </row>
    <row r="467" spans="2:32">
      <c r="B467" s="2252"/>
      <c r="C467" s="2254"/>
      <c r="D467" s="2380"/>
      <c r="E467" s="2380"/>
      <c r="F467" s="2252"/>
      <c r="G467" s="2252"/>
      <c r="H467" s="2252"/>
      <c r="I467" s="2252"/>
      <c r="J467" s="2252"/>
      <c r="K467" s="2252"/>
      <c r="L467" s="2252"/>
      <c r="M467" s="2252"/>
      <c r="N467" s="2252"/>
      <c r="O467" s="2252"/>
      <c r="P467" s="2252"/>
      <c r="Q467" s="2252"/>
      <c r="R467" s="2252"/>
      <c r="S467" s="2252"/>
      <c r="T467" s="2252"/>
      <c r="U467" s="2252"/>
      <c r="V467" s="2252"/>
      <c r="W467" s="2252"/>
      <c r="X467" s="2252"/>
      <c r="Y467" s="2252"/>
      <c r="Z467" s="2252"/>
      <c r="AA467" s="2252"/>
      <c r="AB467" s="2255"/>
      <c r="AC467" s="2252"/>
      <c r="AD467" s="2252"/>
      <c r="AE467" s="2252"/>
      <c r="AF467" s="2252"/>
    </row>
    <row r="468" spans="2:32">
      <c r="B468" s="2252"/>
      <c r="C468" s="2254"/>
      <c r="D468" s="2380"/>
      <c r="E468" s="2380"/>
      <c r="F468" s="2252"/>
      <c r="G468" s="2252"/>
      <c r="H468" s="2252"/>
      <c r="I468" s="2252"/>
      <c r="J468" s="2252"/>
      <c r="K468" s="2252"/>
      <c r="L468" s="2252"/>
      <c r="M468" s="2252"/>
      <c r="N468" s="2252"/>
      <c r="O468" s="2252"/>
      <c r="P468" s="2252"/>
      <c r="Q468" s="2252"/>
      <c r="R468" s="2252"/>
      <c r="S468" s="2252"/>
      <c r="T468" s="2252"/>
      <c r="U468" s="2252"/>
      <c r="V468" s="2252"/>
      <c r="W468" s="2252"/>
      <c r="X468" s="2252"/>
      <c r="Y468" s="2252"/>
      <c r="Z468" s="2252"/>
      <c r="AA468" s="2252"/>
      <c r="AB468" s="2255"/>
      <c r="AC468" s="2252"/>
      <c r="AD468" s="2252"/>
      <c r="AE468" s="2252"/>
      <c r="AF468" s="2252"/>
    </row>
    <row r="469" spans="2:32">
      <c r="B469" s="2252"/>
      <c r="C469" s="2254"/>
      <c r="D469" s="2380"/>
      <c r="E469" s="2380"/>
      <c r="F469" s="2252"/>
      <c r="G469" s="2252"/>
      <c r="H469" s="2252"/>
      <c r="I469" s="2252"/>
      <c r="J469" s="2252"/>
      <c r="K469" s="2252"/>
      <c r="L469" s="2252"/>
      <c r="M469" s="2252"/>
      <c r="N469" s="2252"/>
      <c r="O469" s="2252"/>
      <c r="P469" s="2252"/>
      <c r="Q469" s="2252"/>
      <c r="R469" s="2252"/>
      <c r="S469" s="2252"/>
      <c r="T469" s="2252"/>
      <c r="U469" s="2252"/>
      <c r="V469" s="2252"/>
      <c r="W469" s="2252"/>
      <c r="X469" s="2252"/>
      <c r="Y469" s="2252"/>
      <c r="Z469" s="2252"/>
      <c r="AA469" s="2252"/>
      <c r="AB469" s="2255"/>
      <c r="AC469" s="2252"/>
      <c r="AD469" s="2252"/>
      <c r="AE469" s="2252"/>
      <c r="AF469" s="2252"/>
    </row>
    <row r="470" spans="2:32">
      <c r="B470" s="2252"/>
      <c r="C470" s="2254"/>
      <c r="D470" s="2380"/>
      <c r="E470" s="2380"/>
      <c r="F470" s="2252"/>
      <c r="G470" s="2252"/>
      <c r="H470" s="2252"/>
      <c r="I470" s="2252"/>
      <c r="J470" s="2252"/>
      <c r="K470" s="2252"/>
      <c r="L470" s="2252"/>
      <c r="M470" s="2252"/>
      <c r="N470" s="2252"/>
      <c r="O470" s="2252"/>
      <c r="P470" s="2252"/>
      <c r="Q470" s="2252"/>
      <c r="R470" s="2252"/>
      <c r="S470" s="2252"/>
      <c r="T470" s="2252"/>
      <c r="U470" s="2252"/>
      <c r="V470" s="2252"/>
      <c r="W470" s="2252"/>
      <c r="X470" s="2252"/>
      <c r="Y470" s="2252"/>
      <c r="Z470" s="2252"/>
      <c r="AA470" s="2252"/>
      <c r="AB470" s="2255"/>
      <c r="AC470" s="2252"/>
      <c r="AD470" s="2252"/>
      <c r="AE470" s="2252"/>
      <c r="AF470" s="2252"/>
    </row>
    <row r="471" spans="2:32">
      <c r="B471" s="2252"/>
      <c r="C471" s="2254"/>
      <c r="D471" s="2380"/>
      <c r="E471" s="2380"/>
      <c r="F471" s="2252"/>
      <c r="G471" s="2252"/>
      <c r="H471" s="2252"/>
      <c r="I471" s="2252"/>
      <c r="J471" s="2252"/>
      <c r="K471" s="2252"/>
      <c r="L471" s="2252"/>
      <c r="M471" s="2252"/>
      <c r="N471" s="2252"/>
      <c r="O471" s="2252"/>
      <c r="P471" s="2252"/>
      <c r="Q471" s="2252"/>
      <c r="R471" s="2252"/>
      <c r="S471" s="2252"/>
      <c r="T471" s="2252"/>
      <c r="U471" s="2252"/>
      <c r="V471" s="2252"/>
      <c r="W471" s="2252"/>
      <c r="X471" s="2252"/>
      <c r="Y471" s="2252"/>
      <c r="Z471" s="2252"/>
      <c r="AA471" s="2252"/>
      <c r="AB471" s="2255"/>
      <c r="AC471" s="2252"/>
      <c r="AD471" s="2252"/>
      <c r="AE471" s="2252"/>
      <c r="AF471" s="2252"/>
    </row>
    <row r="472" spans="2:32">
      <c r="B472" s="2252"/>
      <c r="C472" s="2254"/>
      <c r="D472" s="2380"/>
      <c r="E472" s="2380"/>
      <c r="F472" s="2252"/>
      <c r="G472" s="2252"/>
      <c r="H472" s="2252"/>
      <c r="I472" s="2252"/>
      <c r="J472" s="2252"/>
      <c r="K472" s="2252"/>
      <c r="L472" s="2252"/>
      <c r="M472" s="2252"/>
      <c r="N472" s="2252"/>
      <c r="O472" s="2252"/>
      <c r="P472" s="2252"/>
      <c r="Q472" s="2252"/>
      <c r="R472" s="2252"/>
      <c r="S472" s="2252"/>
      <c r="T472" s="2252"/>
      <c r="U472" s="2252"/>
      <c r="V472" s="2252"/>
      <c r="W472" s="2252"/>
      <c r="X472" s="2252"/>
      <c r="Y472" s="2252"/>
      <c r="Z472" s="2252"/>
      <c r="AA472" s="2252"/>
      <c r="AB472" s="2255"/>
      <c r="AC472" s="2252"/>
      <c r="AD472" s="2252"/>
      <c r="AE472" s="2252"/>
      <c r="AF472" s="2252"/>
    </row>
    <row r="473" spans="2:32">
      <c r="B473" s="2252"/>
      <c r="C473" s="2254"/>
      <c r="D473" s="2380"/>
      <c r="E473" s="2380"/>
      <c r="F473" s="2252"/>
      <c r="G473" s="2252"/>
      <c r="H473" s="2252"/>
      <c r="I473" s="2252"/>
      <c r="J473" s="2252"/>
      <c r="K473" s="2252"/>
      <c r="L473" s="2252"/>
      <c r="M473" s="2252"/>
      <c r="N473" s="2252"/>
      <c r="O473" s="2252"/>
      <c r="P473" s="2252"/>
      <c r="Q473" s="2252"/>
      <c r="R473" s="2252"/>
      <c r="S473" s="2252"/>
      <c r="T473" s="2252"/>
      <c r="U473" s="2252"/>
      <c r="V473" s="2252"/>
      <c r="W473" s="2252"/>
      <c r="X473" s="2252"/>
      <c r="Y473" s="2252"/>
      <c r="Z473" s="2252"/>
      <c r="AA473" s="2252"/>
      <c r="AB473" s="2255"/>
      <c r="AC473" s="2252"/>
      <c r="AD473" s="2252"/>
      <c r="AE473" s="2252"/>
      <c r="AF473" s="2252"/>
    </row>
    <row r="474" spans="2:32">
      <c r="B474" s="2252"/>
      <c r="C474" s="2254"/>
      <c r="D474" s="2380"/>
      <c r="E474" s="2380"/>
      <c r="F474" s="2252"/>
      <c r="G474" s="2252"/>
      <c r="H474" s="2252"/>
      <c r="I474" s="2252"/>
      <c r="J474" s="2252"/>
      <c r="K474" s="2252"/>
      <c r="L474" s="2252"/>
      <c r="M474" s="2252"/>
      <c r="N474" s="2252"/>
      <c r="O474" s="2252"/>
      <c r="P474" s="2252"/>
      <c r="Q474" s="2252"/>
      <c r="R474" s="2252"/>
      <c r="S474" s="2252"/>
      <c r="T474" s="2252"/>
      <c r="U474" s="2252"/>
      <c r="V474" s="2252"/>
      <c r="W474" s="2252"/>
      <c r="X474" s="2252"/>
      <c r="Y474" s="2252"/>
      <c r="Z474" s="2252"/>
      <c r="AA474" s="2252"/>
      <c r="AB474" s="2255"/>
      <c r="AC474" s="2252"/>
      <c r="AD474" s="2252"/>
      <c r="AE474" s="2252"/>
      <c r="AF474" s="2252"/>
    </row>
    <row r="475" spans="2:32">
      <c r="B475" s="2252"/>
      <c r="C475" s="2254"/>
      <c r="D475" s="2380"/>
      <c r="E475" s="2380"/>
      <c r="F475" s="2252"/>
      <c r="G475" s="2252"/>
      <c r="H475" s="2252"/>
      <c r="I475" s="2252"/>
      <c r="J475" s="2252"/>
      <c r="K475" s="2252"/>
      <c r="L475" s="2252"/>
      <c r="M475" s="2252"/>
      <c r="N475" s="2252"/>
      <c r="O475" s="2252"/>
      <c r="P475" s="2252"/>
      <c r="Q475" s="2252"/>
      <c r="R475" s="2252"/>
      <c r="S475" s="2252"/>
      <c r="T475" s="2252"/>
      <c r="U475" s="2252"/>
      <c r="V475" s="2252"/>
      <c r="W475" s="2252"/>
      <c r="X475" s="2252"/>
      <c r="Y475" s="2252"/>
      <c r="Z475" s="2252"/>
      <c r="AA475" s="2252"/>
      <c r="AB475" s="2255"/>
      <c r="AC475" s="2252"/>
      <c r="AD475" s="2252"/>
      <c r="AE475" s="2252"/>
      <c r="AF475" s="2252"/>
    </row>
    <row r="476" spans="2:32">
      <c r="B476" s="2252"/>
      <c r="C476" s="2254"/>
      <c r="D476" s="2380"/>
      <c r="E476" s="2380"/>
      <c r="F476" s="2252"/>
      <c r="G476" s="2252"/>
      <c r="H476" s="2252"/>
      <c r="I476" s="2252"/>
      <c r="J476" s="2252"/>
      <c r="K476" s="2252"/>
      <c r="L476" s="2252"/>
      <c r="M476" s="2252"/>
      <c r="N476" s="2252"/>
      <c r="O476" s="2252"/>
      <c r="P476" s="2252"/>
      <c r="Q476" s="2252"/>
      <c r="R476" s="2252"/>
      <c r="S476" s="2252"/>
      <c r="T476" s="2252"/>
      <c r="U476" s="2252"/>
      <c r="V476" s="2252"/>
      <c r="W476" s="2252"/>
      <c r="X476" s="2252"/>
      <c r="Y476" s="2252"/>
      <c r="Z476" s="2252"/>
      <c r="AA476" s="2252"/>
      <c r="AB476" s="2255"/>
      <c r="AC476" s="2252"/>
      <c r="AD476" s="2252"/>
      <c r="AE476" s="2252"/>
      <c r="AF476" s="2252"/>
    </row>
    <row r="477" spans="2:32">
      <c r="B477" s="2252"/>
      <c r="C477" s="2254"/>
      <c r="D477" s="2380"/>
      <c r="E477" s="2380"/>
      <c r="F477" s="2252"/>
      <c r="G477" s="2252"/>
      <c r="H477" s="2252"/>
      <c r="I477" s="2252"/>
      <c r="J477" s="2252"/>
      <c r="K477" s="2252"/>
      <c r="L477" s="2252"/>
      <c r="M477" s="2252"/>
      <c r="N477" s="2252"/>
      <c r="O477" s="2252"/>
      <c r="P477" s="2252"/>
      <c r="Q477" s="2252"/>
      <c r="R477" s="2252"/>
      <c r="S477" s="2252"/>
      <c r="T477" s="2252"/>
      <c r="U477" s="2252"/>
      <c r="V477" s="2252"/>
      <c r="W477" s="2252"/>
      <c r="X477" s="2252"/>
      <c r="Y477" s="2252"/>
      <c r="Z477" s="2252"/>
      <c r="AA477" s="2252"/>
      <c r="AB477" s="2255"/>
      <c r="AC477" s="2252"/>
      <c r="AD477" s="2252"/>
      <c r="AE477" s="2252"/>
      <c r="AF477" s="2252"/>
    </row>
    <row r="478" spans="2:32">
      <c r="B478" s="2252"/>
      <c r="C478" s="2254"/>
      <c r="D478" s="2380"/>
      <c r="E478" s="2380"/>
      <c r="F478" s="2252"/>
      <c r="G478" s="2252"/>
      <c r="H478" s="2252"/>
      <c r="I478" s="2252"/>
      <c r="J478" s="2252"/>
      <c r="K478" s="2252"/>
      <c r="L478" s="2252"/>
      <c r="M478" s="2252"/>
      <c r="N478" s="2252"/>
      <c r="O478" s="2252"/>
      <c r="P478" s="2252"/>
      <c r="Q478" s="2252"/>
      <c r="R478" s="2252"/>
      <c r="S478" s="2252"/>
      <c r="T478" s="2252"/>
      <c r="U478" s="2252"/>
      <c r="V478" s="2252"/>
      <c r="W478" s="2252"/>
      <c r="X478" s="2252"/>
      <c r="Y478" s="2252"/>
      <c r="Z478" s="2252"/>
      <c r="AA478" s="2252"/>
      <c r="AB478" s="2255"/>
      <c r="AC478" s="2252"/>
      <c r="AD478" s="2252"/>
      <c r="AE478" s="2252"/>
      <c r="AF478" s="2252"/>
    </row>
    <row r="479" spans="2:32">
      <c r="B479" s="2252"/>
      <c r="C479" s="2254"/>
      <c r="D479" s="2380"/>
      <c r="E479" s="2380"/>
      <c r="F479" s="2252"/>
      <c r="G479" s="2252"/>
      <c r="H479" s="2252"/>
      <c r="I479" s="2252"/>
      <c r="J479" s="2252"/>
      <c r="K479" s="2252"/>
      <c r="L479" s="2252"/>
      <c r="M479" s="2252"/>
      <c r="N479" s="2252"/>
      <c r="O479" s="2252"/>
      <c r="P479" s="2252"/>
      <c r="Q479" s="2252"/>
      <c r="R479" s="2252"/>
      <c r="S479" s="2252"/>
      <c r="T479" s="2252"/>
      <c r="U479" s="2252"/>
      <c r="V479" s="2252"/>
      <c r="W479" s="2252"/>
      <c r="X479" s="2252"/>
      <c r="Y479" s="2252"/>
      <c r="Z479" s="2252"/>
      <c r="AA479" s="2252"/>
      <c r="AB479" s="2255"/>
      <c r="AC479" s="2252"/>
      <c r="AD479" s="2252"/>
      <c r="AE479" s="2252"/>
      <c r="AF479" s="2252"/>
    </row>
    <row r="480" spans="2:32">
      <c r="B480" s="2252"/>
      <c r="C480" s="2254"/>
      <c r="D480" s="2380"/>
      <c r="E480" s="2380"/>
      <c r="F480" s="2252"/>
      <c r="G480" s="2252"/>
      <c r="H480" s="2252"/>
      <c r="I480" s="2252"/>
      <c r="J480" s="2252"/>
      <c r="K480" s="2252"/>
      <c r="L480" s="2252"/>
      <c r="M480" s="2252"/>
      <c r="N480" s="2252"/>
      <c r="O480" s="2252"/>
      <c r="P480" s="2252"/>
      <c r="Q480" s="2252"/>
      <c r="R480" s="2252"/>
      <c r="S480" s="2252"/>
      <c r="T480" s="2252"/>
      <c r="U480" s="2252"/>
      <c r="V480" s="2252"/>
      <c r="W480" s="2252"/>
      <c r="X480" s="2252"/>
      <c r="Y480" s="2252"/>
      <c r="Z480" s="2252"/>
      <c r="AA480" s="2252"/>
      <c r="AB480" s="2255"/>
      <c r="AC480" s="2252"/>
      <c r="AD480" s="2252"/>
      <c r="AE480" s="2252"/>
      <c r="AF480" s="2252"/>
    </row>
    <row r="481" spans="2:32">
      <c r="B481" s="2252"/>
      <c r="C481" s="2254"/>
      <c r="D481" s="2380"/>
      <c r="E481" s="2380"/>
      <c r="F481" s="2252"/>
      <c r="G481" s="2252"/>
      <c r="H481" s="2252"/>
      <c r="I481" s="2252"/>
      <c r="J481" s="2252"/>
      <c r="K481" s="2252"/>
      <c r="L481" s="2252"/>
      <c r="M481" s="2252"/>
      <c r="N481" s="2252"/>
      <c r="O481" s="2252"/>
      <c r="P481" s="2252"/>
      <c r="Q481" s="2252"/>
      <c r="R481" s="2252"/>
      <c r="S481" s="2252"/>
      <c r="T481" s="2252"/>
      <c r="U481" s="2252"/>
      <c r="V481" s="2252"/>
      <c r="W481" s="2252"/>
      <c r="X481" s="2252"/>
      <c r="Y481" s="2252"/>
      <c r="Z481" s="2252"/>
      <c r="AA481" s="2252"/>
      <c r="AB481" s="2255"/>
      <c r="AC481" s="2252"/>
      <c r="AD481" s="2252"/>
      <c r="AE481" s="2252"/>
      <c r="AF481" s="2252"/>
    </row>
    <row r="482" spans="2:32">
      <c r="B482" s="2252"/>
      <c r="C482" s="2254"/>
      <c r="D482" s="2380"/>
      <c r="E482" s="2380"/>
      <c r="F482" s="2252"/>
      <c r="G482" s="2252"/>
      <c r="H482" s="2252"/>
      <c r="I482" s="2252"/>
      <c r="J482" s="2252"/>
      <c r="K482" s="2252"/>
      <c r="L482" s="2252"/>
      <c r="M482" s="2252"/>
      <c r="N482" s="2252"/>
      <c r="O482" s="2252"/>
      <c r="P482" s="2252"/>
      <c r="Q482" s="2252"/>
      <c r="R482" s="2252"/>
      <c r="S482" s="2252"/>
      <c r="T482" s="2252"/>
      <c r="U482" s="2252"/>
      <c r="V482" s="2252"/>
      <c r="W482" s="2252"/>
      <c r="X482" s="2252"/>
      <c r="Y482" s="2252"/>
      <c r="Z482" s="2252"/>
      <c r="AA482" s="2252"/>
      <c r="AB482" s="2255"/>
      <c r="AC482" s="2252"/>
      <c r="AD482" s="2252"/>
      <c r="AE482" s="2252"/>
      <c r="AF482" s="2252"/>
    </row>
    <row r="483" spans="2:32">
      <c r="B483" s="2252"/>
      <c r="C483" s="2254"/>
      <c r="D483" s="2380"/>
      <c r="E483" s="2380"/>
      <c r="F483" s="2252"/>
      <c r="G483" s="2252"/>
      <c r="H483" s="2252"/>
      <c r="I483" s="2252"/>
      <c r="J483" s="2252"/>
      <c r="K483" s="2252"/>
      <c r="L483" s="2252"/>
      <c r="M483" s="2252"/>
      <c r="N483" s="2252"/>
      <c r="O483" s="2252"/>
      <c r="P483" s="2252"/>
      <c r="Q483" s="2252"/>
      <c r="R483" s="2252"/>
      <c r="S483" s="2252"/>
      <c r="T483" s="2252"/>
      <c r="U483" s="2252"/>
      <c r="V483" s="2252"/>
      <c r="W483" s="2252"/>
      <c r="X483" s="2252"/>
      <c r="Y483" s="2252"/>
      <c r="Z483" s="2252"/>
      <c r="AA483" s="2252"/>
      <c r="AB483" s="2255"/>
      <c r="AC483" s="2252"/>
      <c r="AD483" s="2252"/>
      <c r="AE483" s="2252"/>
      <c r="AF483" s="2252"/>
    </row>
    <row r="484" spans="2:32">
      <c r="B484" s="2252"/>
      <c r="C484" s="2254"/>
      <c r="D484" s="2380"/>
      <c r="E484" s="2380"/>
      <c r="F484" s="2252"/>
      <c r="G484" s="2252"/>
      <c r="H484" s="2252"/>
      <c r="I484" s="2252"/>
      <c r="J484" s="2252"/>
      <c r="K484" s="2252"/>
      <c r="L484" s="2252"/>
      <c r="M484" s="2252"/>
      <c r="N484" s="2252"/>
      <c r="O484" s="2252"/>
      <c r="P484" s="2252"/>
      <c r="Q484" s="2252"/>
      <c r="R484" s="2252"/>
      <c r="S484" s="2252"/>
      <c r="T484" s="2252"/>
      <c r="U484" s="2252"/>
      <c r="V484" s="2252"/>
      <c r="W484" s="2252"/>
      <c r="X484" s="2252"/>
      <c r="Y484" s="2252"/>
      <c r="Z484" s="2252"/>
      <c r="AA484" s="2252"/>
      <c r="AB484" s="2255"/>
      <c r="AC484" s="2252"/>
      <c r="AD484" s="2252"/>
      <c r="AE484" s="2252"/>
      <c r="AF484" s="2252"/>
    </row>
    <row r="485" spans="2:32">
      <c r="B485" s="2252"/>
      <c r="C485" s="2254"/>
      <c r="D485" s="2380"/>
      <c r="E485" s="2380"/>
      <c r="F485" s="2252"/>
      <c r="G485" s="2252"/>
      <c r="H485" s="2252"/>
      <c r="I485" s="2252"/>
      <c r="J485" s="2252"/>
      <c r="K485" s="2252"/>
      <c r="L485" s="2252"/>
      <c r="M485" s="2252"/>
      <c r="N485" s="2252"/>
      <c r="O485" s="2252"/>
      <c r="P485" s="2252"/>
      <c r="Q485" s="2252"/>
      <c r="R485" s="2252"/>
      <c r="S485" s="2252"/>
      <c r="T485" s="2252"/>
      <c r="U485" s="2252"/>
      <c r="V485" s="2252"/>
      <c r="W485" s="2252"/>
      <c r="X485" s="2252"/>
      <c r="Y485" s="2252"/>
      <c r="Z485" s="2252"/>
      <c r="AA485" s="2252"/>
      <c r="AB485" s="2255"/>
      <c r="AC485" s="2252"/>
      <c r="AD485" s="2252"/>
      <c r="AE485" s="2252"/>
      <c r="AF485" s="2252"/>
    </row>
    <row r="486" spans="2:32">
      <c r="B486" s="2252"/>
      <c r="C486" s="2254"/>
      <c r="D486" s="2380"/>
      <c r="E486" s="2380"/>
      <c r="F486" s="2252"/>
      <c r="G486" s="2252"/>
      <c r="H486" s="2252"/>
      <c r="I486" s="2252"/>
      <c r="J486" s="2252"/>
      <c r="K486" s="2252"/>
      <c r="L486" s="2252"/>
      <c r="M486" s="2252"/>
      <c r="N486" s="2252"/>
      <c r="O486" s="2252"/>
      <c r="P486" s="2252"/>
      <c r="Q486" s="2252"/>
      <c r="R486" s="2252"/>
      <c r="S486" s="2252"/>
      <c r="T486" s="2252"/>
      <c r="U486" s="2252"/>
      <c r="V486" s="2252"/>
      <c r="W486" s="2252"/>
      <c r="X486" s="2252"/>
      <c r="Y486" s="2252"/>
      <c r="Z486" s="2252"/>
      <c r="AA486" s="2252"/>
      <c r="AB486" s="2255"/>
      <c r="AC486" s="2252"/>
      <c r="AD486" s="2252"/>
      <c r="AE486" s="2252"/>
      <c r="AF486" s="2252"/>
    </row>
    <row r="487" spans="2:32">
      <c r="B487" s="2252"/>
      <c r="C487" s="2254"/>
      <c r="D487" s="2380"/>
      <c r="E487" s="2380"/>
      <c r="F487" s="2252"/>
      <c r="G487" s="2252"/>
      <c r="H487" s="2252"/>
      <c r="I487" s="2252"/>
      <c r="J487" s="2252"/>
      <c r="K487" s="2252"/>
      <c r="L487" s="2252"/>
      <c r="M487" s="2252"/>
      <c r="N487" s="2252"/>
      <c r="O487" s="2252"/>
      <c r="P487" s="2252"/>
      <c r="Q487" s="2252"/>
      <c r="R487" s="2252"/>
      <c r="S487" s="2252"/>
      <c r="T487" s="2252"/>
      <c r="U487" s="2252"/>
      <c r="V487" s="2252"/>
      <c r="W487" s="2252"/>
      <c r="X487" s="2252"/>
      <c r="Y487" s="2252"/>
      <c r="Z487" s="2252"/>
      <c r="AA487" s="2252"/>
      <c r="AB487" s="2255"/>
      <c r="AC487" s="2252"/>
      <c r="AD487" s="2252"/>
      <c r="AE487" s="2252"/>
      <c r="AF487" s="2252"/>
    </row>
    <row r="488" spans="2:32">
      <c r="B488" s="2252"/>
      <c r="C488" s="2254"/>
      <c r="D488" s="2380"/>
      <c r="E488" s="2380"/>
      <c r="F488" s="2252"/>
      <c r="G488" s="2252"/>
      <c r="H488" s="2252"/>
      <c r="I488" s="2252"/>
      <c r="J488" s="2252"/>
      <c r="K488" s="2252"/>
      <c r="L488" s="2252"/>
      <c r="M488" s="2252"/>
      <c r="N488" s="2252"/>
      <c r="O488" s="2252"/>
      <c r="P488" s="2252"/>
      <c r="Q488" s="2252"/>
      <c r="R488" s="2252"/>
      <c r="S488" s="2252"/>
      <c r="T488" s="2252"/>
      <c r="U488" s="2252"/>
      <c r="V488" s="2252"/>
      <c r="W488" s="2252"/>
      <c r="X488" s="2252"/>
      <c r="Y488" s="2252"/>
      <c r="Z488" s="2252"/>
      <c r="AA488" s="2252"/>
      <c r="AB488" s="2255"/>
      <c r="AC488" s="2252"/>
      <c r="AD488" s="2252"/>
      <c r="AE488" s="2252"/>
      <c r="AF488" s="2252"/>
    </row>
    <row r="489" spans="2:32">
      <c r="B489" s="2252"/>
      <c r="C489" s="2254"/>
      <c r="D489" s="2380"/>
      <c r="E489" s="2380"/>
      <c r="F489" s="2252"/>
      <c r="G489" s="2252"/>
      <c r="H489" s="2252"/>
      <c r="I489" s="2252"/>
      <c r="J489" s="2252"/>
      <c r="K489" s="2252"/>
      <c r="L489" s="2252"/>
      <c r="M489" s="2252"/>
      <c r="N489" s="2252"/>
      <c r="O489" s="2252"/>
      <c r="P489" s="2252"/>
      <c r="Q489" s="2252"/>
      <c r="R489" s="2252"/>
      <c r="S489" s="2252"/>
      <c r="T489" s="2252"/>
      <c r="U489" s="2252"/>
      <c r="V489" s="2252"/>
      <c r="W489" s="2252"/>
      <c r="X489" s="2252"/>
      <c r="Y489" s="2252"/>
      <c r="Z489" s="2252"/>
      <c r="AA489" s="2252"/>
      <c r="AB489" s="2255"/>
      <c r="AC489" s="2252"/>
      <c r="AD489" s="2252"/>
      <c r="AE489" s="2252"/>
      <c r="AF489" s="2252"/>
    </row>
    <row r="490" spans="2:32">
      <c r="B490" s="2252"/>
      <c r="C490" s="2254"/>
      <c r="D490" s="2380"/>
      <c r="E490" s="2380"/>
      <c r="F490" s="2252"/>
      <c r="G490" s="2252"/>
      <c r="H490" s="2252"/>
      <c r="I490" s="2252"/>
      <c r="J490" s="2252"/>
      <c r="K490" s="2252"/>
      <c r="L490" s="2252"/>
      <c r="M490" s="2252"/>
      <c r="N490" s="2252"/>
      <c r="O490" s="2252"/>
      <c r="P490" s="2252"/>
      <c r="Q490" s="2252"/>
      <c r="R490" s="2252"/>
      <c r="S490" s="2252"/>
      <c r="T490" s="2252"/>
      <c r="U490" s="2252"/>
      <c r="V490" s="2252"/>
      <c r="W490" s="2252"/>
      <c r="X490" s="2252"/>
      <c r="Y490" s="2252"/>
      <c r="Z490" s="2252"/>
      <c r="AA490" s="2252"/>
      <c r="AB490" s="2255"/>
      <c r="AC490" s="2252"/>
      <c r="AD490" s="2252"/>
      <c r="AE490" s="2252"/>
      <c r="AF490" s="2252"/>
    </row>
    <row r="491" spans="2:32">
      <c r="B491" s="2252"/>
      <c r="C491" s="2254"/>
      <c r="D491" s="2380"/>
      <c r="E491" s="2380"/>
      <c r="F491" s="2252"/>
      <c r="G491" s="2252"/>
      <c r="H491" s="2252"/>
      <c r="I491" s="2252"/>
      <c r="J491" s="2252"/>
      <c r="K491" s="2252"/>
      <c r="L491" s="2252"/>
      <c r="M491" s="2252"/>
      <c r="N491" s="2252"/>
      <c r="O491" s="2252"/>
      <c r="P491" s="2252"/>
      <c r="Q491" s="2252"/>
      <c r="R491" s="2252"/>
      <c r="S491" s="2252"/>
      <c r="T491" s="2252"/>
      <c r="U491" s="2252"/>
      <c r="V491" s="2252"/>
      <c r="W491" s="2252"/>
      <c r="X491" s="2252"/>
      <c r="Y491" s="2252"/>
      <c r="Z491" s="2252"/>
      <c r="AA491" s="2252"/>
      <c r="AB491" s="2255"/>
      <c r="AC491" s="2252"/>
      <c r="AD491" s="2252"/>
      <c r="AE491" s="2252"/>
      <c r="AF491" s="2252"/>
    </row>
    <row r="492" spans="2:32">
      <c r="B492" s="2252"/>
      <c r="C492" s="2254"/>
      <c r="D492" s="2380"/>
      <c r="E492" s="2380"/>
      <c r="F492" s="2252"/>
      <c r="G492" s="2252"/>
      <c r="H492" s="2252"/>
      <c r="I492" s="2252"/>
      <c r="J492" s="2252"/>
      <c r="K492" s="2252"/>
      <c r="L492" s="2252"/>
      <c r="M492" s="2252"/>
      <c r="N492" s="2252"/>
      <c r="O492" s="2252"/>
      <c r="P492" s="2252"/>
      <c r="Q492" s="2252"/>
      <c r="R492" s="2252"/>
      <c r="S492" s="2252"/>
      <c r="T492" s="2252"/>
      <c r="U492" s="2252"/>
      <c r="V492" s="2252"/>
      <c r="W492" s="2252"/>
      <c r="X492" s="2252"/>
      <c r="Y492" s="2252"/>
      <c r="Z492" s="2252"/>
      <c r="AA492" s="2252"/>
      <c r="AB492" s="2255"/>
      <c r="AC492" s="2252"/>
      <c r="AD492" s="2252"/>
      <c r="AE492" s="2252"/>
      <c r="AF492" s="2252"/>
    </row>
    <row r="493" spans="2:32">
      <c r="B493" s="2252"/>
      <c r="C493" s="2254"/>
      <c r="D493" s="2380"/>
      <c r="E493" s="2380"/>
      <c r="F493" s="2252"/>
      <c r="G493" s="2252"/>
      <c r="H493" s="2252"/>
      <c r="I493" s="2252"/>
      <c r="J493" s="2252"/>
      <c r="K493" s="2252"/>
      <c r="L493" s="2252"/>
      <c r="M493" s="2252"/>
      <c r="N493" s="2252"/>
      <c r="O493" s="2252"/>
      <c r="P493" s="2252"/>
      <c r="Q493" s="2252"/>
      <c r="R493" s="2252"/>
      <c r="S493" s="2252"/>
      <c r="T493" s="2252"/>
      <c r="U493" s="2252"/>
      <c r="V493" s="2252"/>
      <c r="W493" s="2252"/>
      <c r="X493" s="2252"/>
      <c r="Y493" s="2252"/>
      <c r="Z493" s="2252"/>
      <c r="AA493" s="2252"/>
      <c r="AB493" s="2255"/>
      <c r="AC493" s="2252"/>
      <c r="AD493" s="2252"/>
      <c r="AE493" s="2252"/>
      <c r="AF493" s="2252"/>
    </row>
    <row r="494" spans="2:32">
      <c r="B494" s="2252"/>
      <c r="C494" s="2254"/>
      <c r="D494" s="2380"/>
      <c r="E494" s="2380"/>
      <c r="F494" s="2252"/>
      <c r="G494" s="2252"/>
      <c r="H494" s="2252"/>
      <c r="I494" s="2252"/>
      <c r="J494" s="2252"/>
      <c r="K494" s="2252"/>
      <c r="L494" s="2252"/>
      <c r="M494" s="2252"/>
      <c r="N494" s="2252"/>
      <c r="O494" s="2252"/>
      <c r="P494" s="2252"/>
      <c r="Q494" s="2252"/>
      <c r="R494" s="2252"/>
      <c r="S494" s="2252"/>
      <c r="T494" s="2252"/>
      <c r="U494" s="2252"/>
      <c r="V494" s="2252"/>
      <c r="W494" s="2252"/>
      <c r="X494" s="2252"/>
      <c r="Y494" s="2252"/>
      <c r="Z494" s="2252"/>
      <c r="AA494" s="2252"/>
      <c r="AB494" s="2255"/>
      <c r="AC494" s="2252"/>
      <c r="AD494" s="2252"/>
      <c r="AE494" s="2252"/>
      <c r="AF494" s="2252"/>
    </row>
    <row r="495" spans="2:32">
      <c r="B495" s="2252"/>
      <c r="C495" s="2254"/>
      <c r="D495" s="2380"/>
      <c r="E495" s="2380"/>
      <c r="F495" s="2252"/>
      <c r="G495" s="2252"/>
      <c r="H495" s="2252"/>
      <c r="I495" s="2252"/>
      <c r="J495" s="2252"/>
      <c r="K495" s="2252"/>
      <c r="L495" s="2252"/>
      <c r="M495" s="2252"/>
      <c r="N495" s="2252"/>
      <c r="O495" s="2252"/>
      <c r="P495" s="2252"/>
      <c r="Q495" s="2252"/>
      <c r="R495" s="2252"/>
      <c r="S495" s="2252"/>
      <c r="T495" s="2252"/>
      <c r="U495" s="2252"/>
      <c r="V495" s="2252"/>
      <c r="W495" s="2252"/>
      <c r="X495" s="2252"/>
      <c r="Y495" s="2252"/>
      <c r="Z495" s="2252"/>
      <c r="AA495" s="2252"/>
      <c r="AB495" s="2255"/>
      <c r="AC495" s="2252"/>
      <c r="AD495" s="2252"/>
      <c r="AE495" s="2252"/>
      <c r="AF495" s="2252"/>
    </row>
    <row r="496" spans="2:32">
      <c r="B496" s="2252"/>
      <c r="C496" s="2254"/>
      <c r="D496" s="2380"/>
      <c r="E496" s="2380"/>
      <c r="F496" s="2252"/>
      <c r="G496" s="2252"/>
      <c r="H496" s="2252"/>
      <c r="I496" s="2252"/>
      <c r="J496" s="2252"/>
      <c r="K496" s="2252"/>
      <c r="L496" s="2252"/>
      <c r="M496" s="2252"/>
      <c r="N496" s="2252"/>
      <c r="O496" s="2252"/>
      <c r="P496" s="2252"/>
      <c r="Q496" s="2252"/>
      <c r="R496" s="2252"/>
      <c r="S496" s="2252"/>
      <c r="T496" s="2252"/>
      <c r="U496" s="2252"/>
      <c r="V496" s="2252"/>
      <c r="W496" s="2252"/>
      <c r="X496" s="2252"/>
      <c r="Y496" s="2252"/>
      <c r="Z496" s="2252"/>
      <c r="AA496" s="2252"/>
      <c r="AB496" s="2255"/>
      <c r="AC496" s="2252"/>
      <c r="AD496" s="2252"/>
      <c r="AE496" s="2252"/>
      <c r="AF496" s="2252"/>
    </row>
    <row r="497" spans="2:32">
      <c r="B497" s="2252"/>
      <c r="C497" s="2254"/>
      <c r="D497" s="2380"/>
      <c r="E497" s="2380"/>
      <c r="F497" s="2252"/>
      <c r="G497" s="2252"/>
      <c r="H497" s="2252"/>
      <c r="I497" s="2252"/>
      <c r="J497" s="2252"/>
      <c r="K497" s="2252"/>
      <c r="L497" s="2252"/>
      <c r="M497" s="2252"/>
      <c r="N497" s="2252"/>
      <c r="O497" s="2252"/>
      <c r="P497" s="2252"/>
      <c r="Q497" s="2252"/>
      <c r="R497" s="2252"/>
      <c r="S497" s="2252"/>
      <c r="T497" s="2252"/>
      <c r="U497" s="2252"/>
      <c r="V497" s="2252"/>
      <c r="W497" s="2252"/>
      <c r="X497" s="2252"/>
      <c r="Y497" s="2252"/>
      <c r="Z497" s="2252"/>
      <c r="AA497" s="2252"/>
      <c r="AB497" s="2255"/>
      <c r="AC497" s="2252"/>
      <c r="AD497" s="2252"/>
      <c r="AE497" s="2252"/>
      <c r="AF497" s="2252"/>
    </row>
    <row r="498" spans="2:32">
      <c r="B498" s="2252"/>
      <c r="C498" s="2254"/>
      <c r="D498" s="2380"/>
      <c r="E498" s="2380"/>
      <c r="F498" s="2252"/>
      <c r="G498" s="2252"/>
      <c r="H498" s="2252"/>
      <c r="I498" s="2252"/>
      <c r="J498" s="2252"/>
      <c r="K498" s="2252"/>
      <c r="L498" s="2252"/>
      <c r="M498" s="2252"/>
      <c r="N498" s="2252"/>
      <c r="O498" s="2252"/>
      <c r="P498" s="2252"/>
      <c r="Q498" s="2252"/>
      <c r="R498" s="2252"/>
      <c r="S498" s="2252"/>
      <c r="T498" s="2252"/>
      <c r="U498" s="2252"/>
      <c r="V498" s="2252"/>
      <c r="W498" s="2252"/>
      <c r="X498" s="2252"/>
      <c r="Y498" s="2252"/>
      <c r="Z498" s="2252"/>
      <c r="AA498" s="2252"/>
      <c r="AB498" s="2255"/>
      <c r="AC498" s="2252"/>
      <c r="AD498" s="2252"/>
      <c r="AE498" s="2252"/>
      <c r="AF498" s="2252"/>
    </row>
    <row r="499" spans="2:32">
      <c r="B499" s="2252"/>
      <c r="C499" s="2254"/>
      <c r="D499" s="2380"/>
      <c r="E499" s="2380"/>
      <c r="F499" s="2252"/>
      <c r="G499" s="2252"/>
      <c r="H499" s="2252"/>
      <c r="I499" s="2252"/>
      <c r="J499" s="2252"/>
      <c r="K499" s="2252"/>
      <c r="L499" s="2252"/>
      <c r="M499" s="2252"/>
      <c r="N499" s="2252"/>
      <c r="O499" s="2252"/>
      <c r="P499" s="2252"/>
      <c r="Q499" s="2252"/>
      <c r="R499" s="2252"/>
      <c r="S499" s="2252"/>
      <c r="T499" s="2252"/>
      <c r="U499" s="2252"/>
      <c r="V499" s="2252"/>
      <c r="W499" s="2252"/>
      <c r="X499" s="2252"/>
      <c r="Y499" s="2252"/>
      <c r="Z499" s="2252"/>
      <c r="AA499" s="2252"/>
      <c r="AB499" s="2255"/>
      <c r="AC499" s="2252"/>
      <c r="AD499" s="2252"/>
      <c r="AE499" s="2252"/>
      <c r="AF499" s="2252"/>
    </row>
    <row r="500" spans="2:32">
      <c r="B500" s="2252"/>
      <c r="C500" s="2254"/>
      <c r="D500" s="2380"/>
      <c r="E500" s="2380"/>
      <c r="F500" s="2252"/>
      <c r="G500" s="2252"/>
      <c r="H500" s="2252"/>
      <c r="I500" s="2252"/>
      <c r="J500" s="2252"/>
      <c r="K500" s="2252"/>
      <c r="L500" s="2252"/>
      <c r="M500" s="2252"/>
      <c r="N500" s="2252"/>
      <c r="O500" s="2252"/>
      <c r="P500" s="2252"/>
      <c r="Q500" s="2252"/>
      <c r="R500" s="2252"/>
      <c r="S500" s="2252"/>
      <c r="T500" s="2252"/>
      <c r="U500" s="2252"/>
      <c r="V500" s="2252"/>
      <c r="W500" s="2252"/>
      <c r="X500" s="2252"/>
      <c r="Y500" s="2252"/>
      <c r="Z500" s="2252"/>
      <c r="AA500" s="2252"/>
      <c r="AB500" s="2255"/>
      <c r="AC500" s="2252"/>
      <c r="AD500" s="2252"/>
      <c r="AE500" s="2252"/>
      <c r="AF500" s="2252"/>
    </row>
    <row r="501" spans="2:32">
      <c r="B501" s="2252"/>
      <c r="C501" s="2254"/>
      <c r="D501" s="2380"/>
      <c r="E501" s="2380"/>
      <c r="F501" s="2252"/>
      <c r="G501" s="2252"/>
      <c r="H501" s="2252"/>
      <c r="I501" s="2252"/>
      <c r="J501" s="2252"/>
      <c r="K501" s="2252"/>
      <c r="L501" s="2252"/>
      <c r="M501" s="2252"/>
      <c r="N501" s="2252"/>
      <c r="O501" s="2252"/>
      <c r="P501" s="2252"/>
      <c r="Q501" s="2252"/>
      <c r="R501" s="2252"/>
      <c r="S501" s="2252"/>
      <c r="T501" s="2252"/>
      <c r="U501" s="2252"/>
      <c r="V501" s="2252"/>
      <c r="W501" s="2252"/>
      <c r="X501" s="2252"/>
      <c r="Y501" s="2252"/>
      <c r="Z501" s="2252"/>
      <c r="AA501" s="2252"/>
      <c r="AB501" s="2255"/>
      <c r="AC501" s="2252"/>
      <c r="AD501" s="2252"/>
      <c r="AE501" s="2252"/>
      <c r="AF501" s="2252"/>
    </row>
    <row r="502" spans="2:32">
      <c r="B502" s="2252"/>
      <c r="C502" s="2254"/>
      <c r="D502" s="2380"/>
      <c r="E502" s="2380"/>
      <c r="F502" s="2252"/>
      <c r="G502" s="2252"/>
      <c r="H502" s="2252"/>
      <c r="I502" s="2252"/>
      <c r="J502" s="2252"/>
      <c r="K502" s="2252"/>
      <c r="L502" s="2252"/>
      <c r="M502" s="2252"/>
      <c r="N502" s="2252"/>
      <c r="O502" s="2252"/>
      <c r="P502" s="2252"/>
      <c r="Q502" s="2252"/>
      <c r="R502" s="2252"/>
      <c r="S502" s="2252"/>
      <c r="T502" s="2252"/>
      <c r="U502" s="2252"/>
      <c r="V502" s="2252"/>
      <c r="W502" s="2252"/>
      <c r="X502" s="2252"/>
      <c r="Y502" s="2252"/>
      <c r="Z502" s="2252"/>
      <c r="AA502" s="2252"/>
      <c r="AB502" s="2255"/>
      <c r="AC502" s="2252"/>
      <c r="AD502" s="2252"/>
      <c r="AE502" s="2252"/>
      <c r="AF502" s="2252"/>
    </row>
    <row r="503" spans="2:32">
      <c r="B503" s="2252"/>
      <c r="C503" s="2254"/>
      <c r="D503" s="2380"/>
      <c r="E503" s="2380"/>
      <c r="F503" s="2252"/>
      <c r="G503" s="2252"/>
      <c r="H503" s="2252"/>
      <c r="I503" s="2252"/>
      <c r="J503" s="2252"/>
      <c r="K503" s="2252"/>
      <c r="L503" s="2252"/>
      <c r="M503" s="2252"/>
      <c r="N503" s="2252"/>
      <c r="O503" s="2252"/>
      <c r="P503" s="2252"/>
      <c r="Q503" s="2252"/>
      <c r="R503" s="2252"/>
      <c r="S503" s="2252"/>
      <c r="T503" s="2252"/>
      <c r="U503" s="2252"/>
      <c r="V503" s="2252"/>
      <c r="W503" s="2252"/>
      <c r="X503" s="2252"/>
      <c r="Y503" s="2252"/>
      <c r="Z503" s="2252"/>
      <c r="AA503" s="2252"/>
      <c r="AB503" s="2255"/>
      <c r="AC503" s="2252"/>
      <c r="AD503" s="2252"/>
      <c r="AE503" s="2252"/>
      <c r="AF503" s="2252"/>
    </row>
    <row r="504" spans="2:32">
      <c r="B504" s="2252"/>
      <c r="C504" s="2254"/>
      <c r="D504" s="2380"/>
      <c r="E504" s="2380"/>
      <c r="F504" s="2252"/>
      <c r="G504" s="2252"/>
      <c r="H504" s="2252"/>
      <c r="I504" s="2252"/>
      <c r="J504" s="2252"/>
      <c r="K504" s="2252"/>
      <c r="L504" s="2252"/>
      <c r="M504" s="2252"/>
      <c r="N504" s="2252"/>
      <c r="O504" s="2252"/>
      <c r="P504" s="2252"/>
      <c r="Q504" s="2252"/>
      <c r="R504" s="2252"/>
      <c r="S504" s="2252"/>
      <c r="T504" s="2252"/>
      <c r="U504" s="2252"/>
      <c r="V504" s="2252"/>
      <c r="W504" s="2252"/>
      <c r="X504" s="2252"/>
      <c r="Y504" s="2252"/>
      <c r="Z504" s="2252"/>
      <c r="AA504" s="2252"/>
      <c r="AB504" s="2255"/>
      <c r="AC504" s="2252"/>
      <c r="AD504" s="2252"/>
      <c r="AE504" s="2252"/>
      <c r="AF504" s="2252"/>
    </row>
    <row r="505" spans="2:32">
      <c r="B505" s="2252"/>
      <c r="C505" s="2254"/>
      <c r="D505" s="2380"/>
      <c r="E505" s="2380"/>
      <c r="F505" s="2252"/>
      <c r="G505" s="2252"/>
      <c r="H505" s="2252"/>
      <c r="I505" s="2252"/>
      <c r="J505" s="2252"/>
      <c r="K505" s="2252"/>
      <c r="L505" s="2252"/>
      <c r="M505" s="2252"/>
      <c r="N505" s="2252"/>
      <c r="O505" s="2252"/>
      <c r="P505" s="2252"/>
      <c r="Q505" s="2252"/>
      <c r="R505" s="2252"/>
      <c r="S505" s="2252"/>
      <c r="T505" s="2252"/>
      <c r="U505" s="2252"/>
      <c r="V505" s="2252"/>
      <c r="W505" s="2252"/>
      <c r="X505" s="2252"/>
      <c r="Y505" s="2252"/>
      <c r="Z505" s="2252"/>
      <c r="AA505" s="2252"/>
      <c r="AB505" s="2255"/>
      <c r="AC505" s="2252"/>
      <c r="AD505" s="2252"/>
      <c r="AE505" s="2252"/>
      <c r="AF505" s="2252"/>
    </row>
    <row r="506" spans="2:32">
      <c r="B506" s="2252"/>
      <c r="C506" s="2254"/>
      <c r="D506" s="2380"/>
      <c r="E506" s="2380"/>
      <c r="F506" s="2252"/>
      <c r="G506" s="2252"/>
      <c r="H506" s="2252"/>
      <c r="I506" s="2252"/>
      <c r="J506" s="2252"/>
      <c r="K506" s="2252"/>
      <c r="L506" s="2252"/>
      <c r="M506" s="2252"/>
      <c r="N506" s="2252"/>
      <c r="O506" s="2252"/>
      <c r="P506" s="2252"/>
      <c r="Q506" s="2252"/>
      <c r="R506" s="2252"/>
      <c r="S506" s="2252"/>
      <c r="T506" s="2252"/>
      <c r="U506" s="2252"/>
      <c r="V506" s="2252"/>
      <c r="W506" s="2252"/>
      <c r="X506" s="2252"/>
      <c r="Y506" s="2252"/>
      <c r="Z506" s="2252"/>
      <c r="AA506" s="2252"/>
      <c r="AB506" s="2255"/>
      <c r="AC506" s="2252"/>
      <c r="AD506" s="2252"/>
      <c r="AE506" s="2252"/>
      <c r="AF506" s="2252"/>
    </row>
    <row r="507" spans="2:32">
      <c r="B507" s="2252"/>
      <c r="C507" s="2254"/>
      <c r="D507" s="2380"/>
      <c r="E507" s="2380"/>
      <c r="F507" s="2252"/>
      <c r="G507" s="2252"/>
      <c r="H507" s="2252"/>
      <c r="I507" s="2252"/>
      <c r="J507" s="2252"/>
      <c r="K507" s="2252"/>
      <c r="L507" s="2252"/>
      <c r="M507" s="2252"/>
      <c r="N507" s="2252"/>
      <c r="O507" s="2252"/>
      <c r="P507" s="2252"/>
      <c r="Q507" s="2252"/>
      <c r="R507" s="2252"/>
      <c r="S507" s="2252"/>
      <c r="T507" s="2252"/>
      <c r="U507" s="2252"/>
      <c r="V507" s="2252"/>
      <c r="W507" s="2252"/>
      <c r="X507" s="2252"/>
      <c r="Y507" s="2252"/>
      <c r="Z507" s="2252"/>
      <c r="AA507" s="2252"/>
      <c r="AB507" s="2255"/>
      <c r="AC507" s="2252"/>
      <c r="AD507" s="2252"/>
      <c r="AE507" s="2252"/>
      <c r="AF507" s="2252"/>
    </row>
    <row r="508" spans="2:32">
      <c r="B508" s="2252"/>
      <c r="C508" s="2254"/>
      <c r="D508" s="2380"/>
      <c r="E508" s="2380"/>
      <c r="F508" s="2252"/>
      <c r="G508" s="2252"/>
      <c r="H508" s="2252"/>
      <c r="I508" s="2252"/>
      <c r="J508" s="2252"/>
      <c r="K508" s="2252"/>
      <c r="L508" s="2252"/>
      <c r="M508" s="2252"/>
      <c r="N508" s="2252"/>
      <c r="O508" s="2252"/>
      <c r="P508" s="2252"/>
      <c r="Q508" s="2252"/>
      <c r="R508" s="2252"/>
      <c r="S508" s="2252"/>
      <c r="T508" s="2252"/>
      <c r="U508" s="2252"/>
      <c r="V508" s="2252"/>
      <c r="W508" s="2252"/>
      <c r="X508" s="2252"/>
      <c r="Y508" s="2252"/>
      <c r="Z508" s="2252"/>
      <c r="AA508" s="2252"/>
      <c r="AB508" s="2255"/>
      <c r="AC508" s="2252"/>
      <c r="AD508" s="2252"/>
      <c r="AE508" s="2252"/>
      <c r="AF508" s="2252"/>
    </row>
    <row r="509" spans="2:32">
      <c r="B509" s="2252"/>
      <c r="C509" s="2254"/>
      <c r="D509" s="2380"/>
      <c r="E509" s="2380"/>
      <c r="F509" s="2252"/>
      <c r="G509" s="2252"/>
      <c r="H509" s="2252"/>
      <c r="I509" s="2252"/>
      <c r="J509" s="2252"/>
      <c r="K509" s="2252"/>
      <c r="L509" s="2252"/>
      <c r="M509" s="2252"/>
      <c r="N509" s="2252"/>
      <c r="O509" s="2252"/>
      <c r="P509" s="2252"/>
      <c r="Q509" s="2252"/>
      <c r="R509" s="2252"/>
      <c r="S509" s="2252"/>
      <c r="T509" s="2252"/>
      <c r="U509" s="2252"/>
      <c r="V509" s="2252"/>
      <c r="W509" s="2252"/>
      <c r="X509" s="2252"/>
      <c r="Y509" s="2252"/>
      <c r="Z509" s="2252"/>
      <c r="AA509" s="2252"/>
      <c r="AB509" s="2255"/>
      <c r="AC509" s="2252"/>
      <c r="AD509" s="2252"/>
      <c r="AE509" s="2252"/>
      <c r="AF509" s="2252"/>
    </row>
    <row r="510" spans="2:32">
      <c r="B510" s="2252"/>
      <c r="C510" s="2254"/>
      <c r="D510" s="2380"/>
      <c r="E510" s="2380"/>
      <c r="F510" s="2252"/>
      <c r="G510" s="2252"/>
      <c r="H510" s="2252"/>
      <c r="I510" s="2252"/>
      <c r="J510" s="2252"/>
      <c r="K510" s="2252"/>
      <c r="L510" s="2252"/>
      <c r="M510" s="2252"/>
      <c r="N510" s="2252"/>
      <c r="O510" s="2252"/>
      <c r="P510" s="2252"/>
      <c r="Q510" s="2252"/>
      <c r="R510" s="2252"/>
      <c r="S510" s="2252"/>
      <c r="T510" s="2252"/>
      <c r="U510" s="2252"/>
      <c r="V510" s="2252"/>
      <c r="W510" s="2252"/>
      <c r="X510" s="2252"/>
      <c r="Y510" s="2252"/>
      <c r="Z510" s="2252"/>
      <c r="AA510" s="2252"/>
      <c r="AB510" s="2255"/>
      <c r="AC510" s="2252"/>
      <c r="AD510" s="2252"/>
      <c r="AE510" s="2252"/>
      <c r="AF510" s="2252"/>
    </row>
    <row r="511" spans="2:32">
      <c r="B511" s="2252"/>
      <c r="C511" s="2254"/>
      <c r="D511" s="2380"/>
      <c r="E511" s="2380"/>
      <c r="F511" s="2252"/>
      <c r="G511" s="2252"/>
      <c r="H511" s="2252"/>
      <c r="I511" s="2252"/>
      <c r="J511" s="2252"/>
      <c r="K511" s="2252"/>
      <c r="L511" s="2252"/>
      <c r="M511" s="2252"/>
      <c r="N511" s="2252"/>
      <c r="O511" s="2252"/>
      <c r="P511" s="2252"/>
      <c r="Q511" s="2252"/>
      <c r="R511" s="2252"/>
      <c r="S511" s="2252"/>
      <c r="T511" s="2252"/>
      <c r="U511" s="2252"/>
      <c r="V511" s="2252"/>
      <c r="W511" s="2252"/>
      <c r="X511" s="2252"/>
      <c r="Y511" s="2252"/>
      <c r="Z511" s="2252"/>
      <c r="AA511" s="2252"/>
      <c r="AB511" s="2255"/>
      <c r="AC511" s="2252"/>
      <c r="AD511" s="2252"/>
      <c r="AE511" s="2252"/>
      <c r="AF511" s="2252"/>
    </row>
    <row r="512" spans="2:32">
      <c r="B512" s="2252"/>
      <c r="C512" s="2254"/>
      <c r="D512" s="2380"/>
      <c r="E512" s="2380"/>
      <c r="F512" s="2252"/>
      <c r="G512" s="2252"/>
      <c r="H512" s="2252"/>
      <c r="I512" s="2252"/>
      <c r="J512" s="2252"/>
      <c r="K512" s="2252"/>
      <c r="L512" s="2252"/>
      <c r="M512" s="2252"/>
      <c r="N512" s="2252"/>
      <c r="O512" s="2252"/>
      <c r="P512" s="2252"/>
      <c r="Q512" s="2252"/>
      <c r="R512" s="2252"/>
      <c r="S512" s="2252"/>
      <c r="T512" s="2252"/>
      <c r="U512" s="2252"/>
      <c r="V512" s="2252"/>
      <c r="W512" s="2252"/>
      <c r="X512" s="2252"/>
      <c r="Y512" s="2252"/>
      <c r="Z512" s="2252"/>
      <c r="AA512" s="2252"/>
      <c r="AB512" s="2255"/>
      <c r="AC512" s="2252"/>
      <c r="AD512" s="2252"/>
      <c r="AE512" s="2252"/>
      <c r="AF512" s="2252"/>
    </row>
    <row r="513" spans="2:32">
      <c r="B513" s="2252"/>
      <c r="C513" s="2254"/>
      <c r="D513" s="2380"/>
      <c r="E513" s="2380"/>
      <c r="F513" s="2252"/>
      <c r="G513" s="2252"/>
      <c r="H513" s="2252"/>
      <c r="I513" s="2252"/>
      <c r="J513" s="2252"/>
      <c r="K513" s="2252"/>
      <c r="L513" s="2252"/>
      <c r="M513" s="2252"/>
      <c r="N513" s="2252"/>
      <c r="O513" s="2252"/>
      <c r="P513" s="2252"/>
      <c r="Q513" s="2252"/>
      <c r="R513" s="2252"/>
      <c r="S513" s="2252"/>
      <c r="T513" s="2252"/>
      <c r="U513" s="2252"/>
      <c r="V513" s="2252"/>
      <c r="W513" s="2252"/>
      <c r="X513" s="2252"/>
      <c r="Y513" s="2252"/>
      <c r="Z513" s="2252"/>
      <c r="AA513" s="2252"/>
      <c r="AB513" s="2255"/>
      <c r="AC513" s="2252"/>
      <c r="AD513" s="2252"/>
      <c r="AE513" s="2252"/>
      <c r="AF513" s="2252"/>
    </row>
    <row r="514" spans="2:32">
      <c r="B514" s="2252"/>
      <c r="C514" s="2254"/>
      <c r="D514" s="2380"/>
      <c r="E514" s="2380"/>
      <c r="F514" s="2252"/>
      <c r="G514" s="2252"/>
      <c r="H514" s="2252"/>
      <c r="I514" s="2252"/>
      <c r="J514" s="2252"/>
      <c r="K514" s="2252"/>
      <c r="L514" s="2252"/>
      <c r="M514" s="2252"/>
      <c r="N514" s="2252"/>
      <c r="O514" s="2252"/>
      <c r="P514" s="2252"/>
      <c r="Q514" s="2252"/>
      <c r="R514" s="2252"/>
      <c r="S514" s="2252"/>
      <c r="T514" s="2252"/>
      <c r="U514" s="2252"/>
      <c r="V514" s="2252"/>
      <c r="W514" s="2252"/>
      <c r="X514" s="2252"/>
      <c r="Y514" s="2252"/>
      <c r="Z514" s="2252"/>
      <c r="AA514" s="2252"/>
      <c r="AB514" s="2255"/>
      <c r="AC514" s="2252"/>
      <c r="AD514" s="2252"/>
      <c r="AE514" s="2252"/>
      <c r="AF514" s="2252"/>
    </row>
    <row r="515" spans="2:32">
      <c r="B515" s="2252"/>
      <c r="C515" s="2254"/>
      <c r="D515" s="2380"/>
      <c r="E515" s="2380"/>
      <c r="F515" s="2252"/>
      <c r="G515" s="2252"/>
      <c r="H515" s="2252"/>
      <c r="I515" s="2252"/>
      <c r="J515" s="2252"/>
      <c r="K515" s="2252"/>
      <c r="L515" s="2252"/>
      <c r="M515" s="2252"/>
      <c r="N515" s="2252"/>
      <c r="O515" s="2252"/>
      <c r="P515" s="2252"/>
      <c r="Q515" s="2252"/>
      <c r="R515" s="2252"/>
      <c r="S515" s="2252"/>
      <c r="T515" s="2252"/>
      <c r="U515" s="2252"/>
      <c r="V515" s="2252"/>
      <c r="W515" s="2252"/>
      <c r="X515" s="2252"/>
      <c r="Y515" s="2252"/>
      <c r="Z515" s="2252"/>
      <c r="AA515" s="2252"/>
      <c r="AB515" s="2255"/>
      <c r="AC515" s="2252"/>
      <c r="AD515" s="2252"/>
      <c r="AE515" s="2252"/>
      <c r="AF515" s="2252"/>
    </row>
    <row r="516" spans="2:32">
      <c r="B516" s="2252"/>
      <c r="C516" s="2254"/>
      <c r="D516" s="2380"/>
      <c r="E516" s="2380"/>
      <c r="F516" s="2252"/>
      <c r="G516" s="2252"/>
      <c r="H516" s="2252"/>
      <c r="I516" s="2252"/>
      <c r="J516" s="2252"/>
      <c r="K516" s="2252"/>
      <c r="L516" s="2252"/>
      <c r="M516" s="2252"/>
      <c r="N516" s="2252"/>
      <c r="O516" s="2252"/>
      <c r="P516" s="2252"/>
      <c r="Q516" s="2252"/>
      <c r="R516" s="2252"/>
      <c r="S516" s="2252"/>
      <c r="T516" s="2252"/>
      <c r="U516" s="2252"/>
      <c r="V516" s="2252"/>
      <c r="W516" s="2252"/>
      <c r="X516" s="2252"/>
      <c r="Y516" s="2252"/>
      <c r="Z516" s="2252"/>
      <c r="AA516" s="2252"/>
      <c r="AB516" s="2255"/>
      <c r="AC516" s="2252"/>
      <c r="AD516" s="2252"/>
      <c r="AE516" s="2252"/>
      <c r="AF516" s="2252"/>
    </row>
    <row r="517" spans="2:32">
      <c r="B517" s="2252"/>
      <c r="C517" s="2254"/>
      <c r="D517" s="2380"/>
      <c r="E517" s="2380"/>
      <c r="F517" s="2252"/>
      <c r="G517" s="2252"/>
      <c r="H517" s="2252"/>
      <c r="I517" s="2252"/>
      <c r="J517" s="2252"/>
      <c r="K517" s="2252"/>
      <c r="L517" s="2252"/>
      <c r="M517" s="2252"/>
      <c r="N517" s="2252"/>
      <c r="O517" s="2252"/>
      <c r="P517" s="2252"/>
      <c r="Q517" s="2252"/>
      <c r="R517" s="2252"/>
      <c r="S517" s="2252"/>
      <c r="T517" s="2252"/>
      <c r="U517" s="2252"/>
      <c r="V517" s="2252"/>
      <c r="W517" s="2252"/>
      <c r="X517" s="2252"/>
      <c r="Y517" s="2252"/>
      <c r="Z517" s="2252"/>
      <c r="AA517" s="2252"/>
      <c r="AB517" s="2255"/>
      <c r="AC517" s="2252"/>
      <c r="AD517" s="2252"/>
      <c r="AE517" s="2252"/>
      <c r="AF517" s="2252"/>
    </row>
    <row r="518" spans="2:32">
      <c r="B518" s="2252"/>
      <c r="C518" s="2254"/>
      <c r="D518" s="2380"/>
      <c r="E518" s="2380"/>
      <c r="F518" s="2252"/>
      <c r="G518" s="2252"/>
      <c r="H518" s="2252"/>
      <c r="I518" s="2252"/>
      <c r="J518" s="2252"/>
      <c r="K518" s="2252"/>
      <c r="L518" s="2252"/>
      <c r="M518" s="2252"/>
      <c r="N518" s="2252"/>
      <c r="O518" s="2252"/>
      <c r="P518" s="2252"/>
      <c r="Q518" s="2252"/>
      <c r="R518" s="2252"/>
      <c r="S518" s="2252"/>
      <c r="T518" s="2252"/>
      <c r="U518" s="2252"/>
      <c r="V518" s="2252"/>
      <c r="W518" s="2252"/>
      <c r="X518" s="2252"/>
      <c r="Y518" s="2252"/>
      <c r="Z518" s="2252"/>
      <c r="AA518" s="2252"/>
      <c r="AB518" s="2255"/>
      <c r="AC518" s="2252"/>
      <c r="AD518" s="2252"/>
      <c r="AE518" s="2252"/>
      <c r="AF518" s="2252"/>
    </row>
    <row r="519" spans="2:32">
      <c r="B519" s="2252"/>
      <c r="C519" s="2254"/>
      <c r="D519" s="2380"/>
      <c r="E519" s="2380"/>
      <c r="F519" s="2252"/>
      <c r="G519" s="2252"/>
      <c r="H519" s="2252"/>
      <c r="I519" s="2252"/>
      <c r="J519" s="2252"/>
      <c r="K519" s="2252"/>
      <c r="L519" s="2252"/>
      <c r="M519" s="2252"/>
      <c r="N519" s="2252"/>
      <c r="O519" s="2252"/>
      <c r="P519" s="2252"/>
      <c r="Q519" s="2252"/>
      <c r="R519" s="2252"/>
      <c r="S519" s="2252"/>
      <c r="T519" s="2252"/>
      <c r="U519" s="2252"/>
      <c r="V519" s="2252"/>
      <c r="W519" s="2252"/>
      <c r="X519" s="2252"/>
      <c r="Y519" s="2252"/>
      <c r="Z519" s="2252"/>
      <c r="AA519" s="2252"/>
      <c r="AB519" s="2255"/>
      <c r="AC519" s="2252"/>
      <c r="AD519" s="2252"/>
      <c r="AE519" s="2252"/>
      <c r="AF519" s="2252"/>
    </row>
    <row r="520" spans="2:32">
      <c r="B520" s="2252"/>
      <c r="C520" s="2254"/>
      <c r="D520" s="2380"/>
      <c r="E520" s="2380"/>
      <c r="F520" s="2252"/>
      <c r="G520" s="2252"/>
      <c r="H520" s="2252"/>
      <c r="I520" s="2252"/>
      <c r="J520" s="2252"/>
      <c r="K520" s="2252"/>
      <c r="L520" s="2252"/>
      <c r="M520" s="2252"/>
      <c r="N520" s="2252"/>
      <c r="O520" s="2252"/>
      <c r="P520" s="2252"/>
      <c r="Q520" s="2252"/>
      <c r="R520" s="2252"/>
      <c r="S520" s="2252"/>
      <c r="T520" s="2252"/>
      <c r="U520" s="2252"/>
      <c r="V520" s="2252"/>
      <c r="W520" s="2252"/>
      <c r="X520" s="2252"/>
      <c r="Y520" s="2252"/>
      <c r="Z520" s="2252"/>
      <c r="AA520" s="2252"/>
      <c r="AB520" s="2255"/>
      <c r="AC520" s="2252"/>
      <c r="AD520" s="2252"/>
      <c r="AE520" s="2252"/>
      <c r="AF520" s="2252"/>
    </row>
    <row r="521" spans="2:32">
      <c r="B521" s="2252"/>
      <c r="C521" s="2254"/>
      <c r="D521" s="2380"/>
      <c r="E521" s="2380"/>
      <c r="F521" s="2252"/>
      <c r="G521" s="2252"/>
      <c r="H521" s="2252"/>
      <c r="I521" s="2252"/>
      <c r="J521" s="2252"/>
      <c r="K521" s="2252"/>
      <c r="L521" s="2252"/>
      <c r="M521" s="2252"/>
      <c r="N521" s="2252"/>
      <c r="O521" s="2252"/>
      <c r="P521" s="2252"/>
      <c r="Q521" s="2252"/>
      <c r="R521" s="2252"/>
      <c r="S521" s="2252"/>
      <c r="T521" s="2252"/>
      <c r="U521" s="2252"/>
      <c r="V521" s="2252"/>
      <c r="W521" s="2252"/>
      <c r="X521" s="2252"/>
      <c r="Y521" s="2252"/>
      <c r="Z521" s="2252"/>
      <c r="AA521" s="2252"/>
      <c r="AB521" s="2255"/>
      <c r="AC521" s="2252"/>
      <c r="AD521" s="2252"/>
      <c r="AE521" s="2252"/>
      <c r="AF521" s="2252"/>
    </row>
    <row r="522" spans="2:32">
      <c r="B522" s="2252"/>
      <c r="C522" s="2254"/>
      <c r="D522" s="2380"/>
      <c r="E522" s="2380"/>
      <c r="F522" s="2252"/>
      <c r="G522" s="2252"/>
      <c r="H522" s="2252"/>
      <c r="I522" s="2252"/>
      <c r="J522" s="2252"/>
      <c r="K522" s="2252"/>
      <c r="L522" s="2252"/>
      <c r="M522" s="2252"/>
      <c r="N522" s="2252"/>
      <c r="O522" s="2252"/>
      <c r="P522" s="2252"/>
      <c r="Q522" s="2252"/>
      <c r="R522" s="2252"/>
      <c r="S522" s="2252"/>
      <c r="T522" s="2252"/>
      <c r="U522" s="2252"/>
      <c r="V522" s="2252"/>
      <c r="W522" s="2252"/>
      <c r="X522" s="2252"/>
      <c r="Y522" s="2252"/>
      <c r="Z522" s="2252"/>
      <c r="AA522" s="2252"/>
      <c r="AB522" s="2255"/>
      <c r="AC522" s="2252"/>
      <c r="AD522" s="2252"/>
      <c r="AE522" s="2252"/>
      <c r="AF522" s="2252"/>
    </row>
    <row r="523" spans="2:32">
      <c r="B523" s="2252"/>
      <c r="C523" s="2254"/>
      <c r="D523" s="2380"/>
      <c r="E523" s="2380"/>
      <c r="F523" s="2252"/>
      <c r="G523" s="2252"/>
      <c r="H523" s="2252"/>
      <c r="I523" s="2252"/>
      <c r="J523" s="2252"/>
      <c r="K523" s="2252"/>
      <c r="L523" s="2252"/>
      <c r="M523" s="2252"/>
      <c r="N523" s="2252"/>
      <c r="O523" s="2252"/>
      <c r="P523" s="2252"/>
      <c r="Q523" s="2252"/>
      <c r="R523" s="2252"/>
      <c r="S523" s="2252"/>
      <c r="T523" s="2252"/>
      <c r="U523" s="2252"/>
      <c r="V523" s="2252"/>
      <c r="W523" s="2252"/>
      <c r="X523" s="2252"/>
      <c r="Y523" s="2252"/>
      <c r="Z523" s="2252"/>
      <c r="AA523" s="2252"/>
      <c r="AB523" s="2255"/>
      <c r="AC523" s="2252"/>
      <c r="AD523" s="2252"/>
      <c r="AE523" s="2252"/>
      <c r="AF523" s="2252"/>
    </row>
    <row r="524" spans="2:32">
      <c r="B524" s="2252"/>
      <c r="C524" s="2254"/>
      <c r="D524" s="2380"/>
      <c r="E524" s="2380"/>
      <c r="F524" s="2252"/>
      <c r="G524" s="2252"/>
      <c r="H524" s="2252"/>
      <c r="I524" s="2252"/>
      <c r="J524" s="2252"/>
      <c r="K524" s="2252"/>
      <c r="L524" s="2252"/>
      <c r="M524" s="2252"/>
      <c r="N524" s="2252"/>
      <c r="O524" s="2252"/>
      <c r="P524" s="2252"/>
      <c r="Q524" s="2252"/>
      <c r="R524" s="2252"/>
      <c r="S524" s="2252"/>
      <c r="T524" s="2252"/>
      <c r="U524" s="2252"/>
      <c r="V524" s="2252"/>
      <c r="W524" s="2252"/>
      <c r="X524" s="2252"/>
      <c r="Y524" s="2252"/>
      <c r="Z524" s="2252"/>
      <c r="AA524" s="2252"/>
      <c r="AB524" s="2255"/>
      <c r="AC524" s="2252"/>
      <c r="AD524" s="2252"/>
      <c r="AE524" s="2252"/>
      <c r="AF524" s="2252"/>
    </row>
    <row r="525" spans="2:32">
      <c r="B525" s="2252"/>
      <c r="C525" s="2254"/>
      <c r="D525" s="2380"/>
      <c r="E525" s="2380"/>
      <c r="F525" s="2252"/>
      <c r="G525" s="2252"/>
      <c r="H525" s="2252"/>
      <c r="I525" s="2252"/>
      <c r="J525" s="2252"/>
      <c r="K525" s="2252"/>
      <c r="L525" s="2252"/>
      <c r="M525" s="2252"/>
      <c r="N525" s="2252"/>
      <c r="O525" s="2252"/>
      <c r="P525" s="2252"/>
      <c r="Q525" s="2252"/>
      <c r="R525" s="2252"/>
      <c r="S525" s="2252"/>
      <c r="T525" s="2252"/>
      <c r="U525" s="2252"/>
      <c r="V525" s="2252"/>
      <c r="W525" s="2252"/>
      <c r="X525" s="2252"/>
      <c r="Y525" s="2252"/>
      <c r="Z525" s="2252"/>
      <c r="AA525" s="2252"/>
      <c r="AB525" s="2255"/>
      <c r="AC525" s="2252"/>
      <c r="AD525" s="2252"/>
      <c r="AE525" s="2252"/>
      <c r="AF525" s="2252"/>
    </row>
    <row r="526" spans="2:32">
      <c r="B526" s="2252"/>
      <c r="C526" s="2254"/>
      <c r="D526" s="2380"/>
      <c r="E526" s="2380"/>
      <c r="F526" s="2252"/>
      <c r="G526" s="2252"/>
      <c r="H526" s="2252"/>
      <c r="I526" s="2252"/>
      <c r="J526" s="2252"/>
      <c r="K526" s="2252"/>
      <c r="L526" s="2252"/>
      <c r="M526" s="2252"/>
      <c r="N526" s="2252"/>
      <c r="O526" s="2252"/>
      <c r="P526" s="2252"/>
      <c r="Q526" s="2252"/>
      <c r="R526" s="2252"/>
      <c r="S526" s="2252"/>
      <c r="T526" s="2252"/>
      <c r="U526" s="2252"/>
      <c r="V526" s="2252"/>
      <c r="W526" s="2252"/>
      <c r="X526" s="2252"/>
      <c r="Y526" s="2252"/>
      <c r="Z526" s="2252"/>
      <c r="AA526" s="2252"/>
      <c r="AB526" s="2255"/>
      <c r="AC526" s="2252"/>
      <c r="AD526" s="2252"/>
      <c r="AE526" s="2252"/>
      <c r="AF526" s="2252"/>
    </row>
    <row r="527" spans="2:32">
      <c r="B527" s="2252"/>
      <c r="C527" s="2254"/>
      <c r="D527" s="2380"/>
      <c r="E527" s="2380"/>
      <c r="F527" s="2252"/>
      <c r="G527" s="2252"/>
      <c r="H527" s="2252"/>
      <c r="I527" s="2252"/>
      <c r="J527" s="2252"/>
      <c r="K527" s="2252"/>
      <c r="L527" s="2252"/>
      <c r="M527" s="2252"/>
      <c r="N527" s="2252"/>
      <c r="O527" s="2252"/>
      <c r="P527" s="2252"/>
      <c r="Q527" s="2252"/>
      <c r="R527" s="2252"/>
      <c r="S527" s="2252"/>
      <c r="T527" s="2252"/>
      <c r="U527" s="2252"/>
      <c r="V527" s="2252"/>
      <c r="W527" s="2252"/>
      <c r="X527" s="2252"/>
      <c r="Y527" s="2252"/>
      <c r="Z527" s="2252"/>
      <c r="AA527" s="2252"/>
      <c r="AB527" s="2255"/>
      <c r="AC527" s="2252"/>
      <c r="AD527" s="2252"/>
      <c r="AE527" s="2252"/>
      <c r="AF527" s="2252"/>
    </row>
    <row r="528" spans="2:32">
      <c r="B528" s="2252"/>
      <c r="C528" s="2254"/>
      <c r="D528" s="2380"/>
      <c r="E528" s="2380"/>
      <c r="F528" s="2252"/>
      <c r="G528" s="2252"/>
      <c r="H528" s="2252"/>
      <c r="I528" s="2252"/>
      <c r="J528" s="2252"/>
      <c r="K528" s="2252"/>
      <c r="L528" s="2252"/>
      <c r="M528" s="2252"/>
      <c r="N528" s="2252"/>
      <c r="O528" s="2252"/>
      <c r="P528" s="2252"/>
      <c r="Q528" s="2252"/>
      <c r="R528" s="2252"/>
      <c r="S528" s="2252"/>
      <c r="T528" s="2252"/>
      <c r="U528" s="2252"/>
      <c r="V528" s="2252"/>
      <c r="W528" s="2252"/>
      <c r="X528" s="2252"/>
      <c r="Y528" s="2252"/>
      <c r="Z528" s="2252"/>
      <c r="AA528" s="2252"/>
      <c r="AB528" s="2255"/>
      <c r="AC528" s="2252"/>
      <c r="AD528" s="2252"/>
      <c r="AE528" s="2252"/>
      <c r="AF528" s="2252"/>
    </row>
    <row r="529" spans="2:32">
      <c r="B529" s="2252"/>
      <c r="C529" s="2254"/>
      <c r="D529" s="2380"/>
      <c r="E529" s="2380"/>
      <c r="F529" s="2252"/>
      <c r="G529" s="2252"/>
      <c r="H529" s="2252"/>
      <c r="I529" s="2252"/>
      <c r="J529" s="2252"/>
      <c r="K529" s="2252"/>
      <c r="L529" s="2252"/>
      <c r="M529" s="2252"/>
      <c r="N529" s="2252"/>
      <c r="O529" s="2252"/>
      <c r="P529" s="2252"/>
      <c r="Q529" s="2252"/>
      <c r="R529" s="2252"/>
      <c r="S529" s="2252"/>
      <c r="T529" s="2252"/>
      <c r="U529" s="2252"/>
      <c r="V529" s="2252"/>
      <c r="W529" s="2252"/>
      <c r="X529" s="2252"/>
      <c r="Y529" s="2252"/>
      <c r="Z529" s="2252"/>
      <c r="AA529" s="2252"/>
      <c r="AB529" s="2255"/>
      <c r="AC529" s="2252"/>
      <c r="AD529" s="2252"/>
      <c r="AE529" s="2252"/>
      <c r="AF529" s="2252"/>
    </row>
    <row r="530" spans="2:32">
      <c r="B530" s="2252"/>
      <c r="C530" s="2254"/>
      <c r="D530" s="2380"/>
      <c r="E530" s="2380"/>
      <c r="F530" s="2252"/>
      <c r="G530" s="2252"/>
      <c r="H530" s="2252"/>
      <c r="I530" s="2252"/>
      <c r="J530" s="2252"/>
      <c r="K530" s="2252"/>
      <c r="L530" s="2252"/>
      <c r="M530" s="2252"/>
      <c r="N530" s="2252"/>
      <c r="O530" s="2252"/>
      <c r="P530" s="2252"/>
      <c r="Q530" s="2252"/>
      <c r="R530" s="2252"/>
      <c r="S530" s="2252"/>
      <c r="T530" s="2252"/>
      <c r="U530" s="2252"/>
      <c r="V530" s="2252"/>
      <c r="W530" s="2252"/>
      <c r="X530" s="2252"/>
      <c r="Y530" s="2252"/>
      <c r="Z530" s="2252"/>
      <c r="AA530" s="2252"/>
      <c r="AB530" s="2255"/>
      <c r="AC530" s="2252"/>
      <c r="AD530" s="2252"/>
      <c r="AE530" s="2252"/>
      <c r="AF530" s="2252"/>
    </row>
    <row r="531" spans="2:32">
      <c r="B531" s="2252"/>
      <c r="C531" s="2254"/>
      <c r="D531" s="2380"/>
      <c r="E531" s="2380"/>
      <c r="F531" s="2252"/>
      <c r="G531" s="2252"/>
      <c r="H531" s="2252"/>
      <c r="I531" s="2252"/>
      <c r="J531" s="2252"/>
      <c r="K531" s="2252"/>
      <c r="L531" s="2252"/>
      <c r="M531" s="2252"/>
      <c r="N531" s="2252"/>
      <c r="O531" s="2252"/>
      <c r="P531" s="2252"/>
      <c r="Q531" s="2252"/>
      <c r="R531" s="2252"/>
      <c r="S531" s="2252"/>
      <c r="T531" s="2252"/>
      <c r="U531" s="2252"/>
      <c r="V531" s="2252"/>
      <c r="W531" s="2252"/>
      <c r="X531" s="2252"/>
      <c r="Y531" s="2252"/>
      <c r="Z531" s="2252"/>
      <c r="AA531" s="2252"/>
      <c r="AB531" s="2255"/>
      <c r="AC531" s="2252"/>
      <c r="AD531" s="2252"/>
      <c r="AE531" s="2252"/>
      <c r="AF531" s="2252"/>
    </row>
    <row r="532" spans="2:32">
      <c r="B532" s="2252"/>
      <c r="C532" s="2254"/>
      <c r="D532" s="2380"/>
      <c r="E532" s="2380"/>
      <c r="F532" s="2252"/>
      <c r="G532" s="2252"/>
      <c r="H532" s="2252"/>
      <c r="I532" s="2252"/>
      <c r="J532" s="2252"/>
      <c r="K532" s="2252"/>
      <c r="L532" s="2252"/>
      <c r="M532" s="2252"/>
      <c r="N532" s="2252"/>
      <c r="O532" s="2252"/>
      <c r="P532" s="2252"/>
      <c r="Q532" s="2252"/>
      <c r="R532" s="2252"/>
      <c r="S532" s="2252"/>
      <c r="T532" s="2252"/>
      <c r="U532" s="2252"/>
      <c r="V532" s="2252"/>
      <c r="W532" s="2252"/>
      <c r="X532" s="2252"/>
      <c r="Y532" s="2252"/>
      <c r="Z532" s="2252"/>
      <c r="AA532" s="2252"/>
      <c r="AB532" s="2255"/>
      <c r="AC532" s="2252"/>
      <c r="AD532" s="2252"/>
      <c r="AE532" s="2252"/>
      <c r="AF532" s="2252"/>
    </row>
    <row r="533" spans="2:32">
      <c r="B533" s="2252"/>
      <c r="C533" s="2254"/>
      <c r="D533" s="2380"/>
      <c r="E533" s="2380"/>
      <c r="F533" s="2252"/>
      <c r="G533" s="2252"/>
      <c r="H533" s="2252"/>
      <c r="I533" s="2252"/>
      <c r="J533" s="2252"/>
      <c r="K533" s="2252"/>
      <c r="L533" s="2252"/>
      <c r="M533" s="2252"/>
      <c r="N533" s="2252"/>
      <c r="O533" s="2252"/>
      <c r="P533" s="2252"/>
      <c r="Q533" s="2252"/>
      <c r="R533" s="2252"/>
      <c r="S533" s="2252"/>
      <c r="T533" s="2252"/>
      <c r="U533" s="2252"/>
      <c r="V533" s="2252"/>
      <c r="W533" s="2252"/>
      <c r="X533" s="2252"/>
      <c r="Y533" s="2252"/>
      <c r="Z533" s="2252"/>
      <c r="AA533" s="2252"/>
      <c r="AB533" s="2255"/>
      <c r="AC533" s="2252"/>
      <c r="AD533" s="2252"/>
      <c r="AE533" s="2252"/>
      <c r="AF533" s="2252"/>
    </row>
    <row r="534" spans="2:32">
      <c r="B534" s="2252"/>
      <c r="C534" s="2254"/>
      <c r="D534" s="2380"/>
      <c r="E534" s="2380"/>
      <c r="F534" s="2252"/>
      <c r="G534" s="2252"/>
      <c r="H534" s="2252"/>
      <c r="I534" s="2252"/>
      <c r="J534" s="2252"/>
      <c r="K534" s="2252"/>
      <c r="L534" s="2252"/>
      <c r="M534" s="2252"/>
      <c r="N534" s="2252"/>
      <c r="O534" s="2252"/>
      <c r="P534" s="2252"/>
      <c r="Q534" s="2252"/>
      <c r="R534" s="2252"/>
      <c r="S534" s="2252"/>
      <c r="T534" s="2252"/>
      <c r="U534" s="2252"/>
      <c r="V534" s="2252"/>
      <c r="W534" s="2252"/>
      <c r="X534" s="2252"/>
      <c r="Y534" s="2252"/>
      <c r="Z534" s="2252"/>
      <c r="AA534" s="2252"/>
      <c r="AB534" s="2255"/>
      <c r="AC534" s="2252"/>
      <c r="AD534" s="2252"/>
      <c r="AE534" s="2252"/>
      <c r="AF534" s="2252"/>
    </row>
    <row r="535" spans="2:32">
      <c r="B535" s="2252"/>
      <c r="C535" s="2254"/>
      <c r="D535" s="2380"/>
      <c r="E535" s="2380"/>
      <c r="F535" s="2252"/>
      <c r="G535" s="2252"/>
      <c r="H535" s="2252"/>
      <c r="I535" s="2252"/>
      <c r="J535" s="2252"/>
      <c r="K535" s="2252"/>
      <c r="L535" s="2252"/>
      <c r="M535" s="2252"/>
      <c r="N535" s="2252"/>
      <c r="O535" s="2252"/>
      <c r="P535" s="2252"/>
      <c r="Q535" s="2252"/>
      <c r="R535" s="2252"/>
      <c r="S535" s="2252"/>
      <c r="T535" s="2252"/>
      <c r="U535" s="2252"/>
      <c r="V535" s="2252"/>
      <c r="W535" s="2252"/>
      <c r="X535" s="2252"/>
      <c r="Y535" s="2252"/>
      <c r="Z535" s="2252"/>
      <c r="AA535" s="2252"/>
      <c r="AB535" s="2255"/>
      <c r="AC535" s="2252"/>
      <c r="AD535" s="2252"/>
      <c r="AE535" s="2252"/>
      <c r="AF535" s="2252"/>
    </row>
    <row r="536" spans="2:32">
      <c r="B536" s="2252"/>
      <c r="C536" s="2254"/>
      <c r="D536" s="2380"/>
      <c r="E536" s="2380"/>
      <c r="F536" s="2252"/>
      <c r="G536" s="2252"/>
      <c r="H536" s="2252"/>
      <c r="I536" s="2252"/>
      <c r="J536" s="2252"/>
      <c r="K536" s="2252"/>
      <c r="L536" s="2252"/>
      <c r="M536" s="2252"/>
      <c r="N536" s="2252"/>
      <c r="O536" s="2252"/>
      <c r="P536" s="2252"/>
      <c r="Q536" s="2252"/>
      <c r="R536" s="2252"/>
      <c r="S536" s="2252"/>
      <c r="T536" s="2252"/>
      <c r="U536" s="2252"/>
      <c r="V536" s="2252"/>
      <c r="W536" s="2252"/>
      <c r="X536" s="2252"/>
      <c r="Y536" s="2252"/>
      <c r="Z536" s="2252"/>
      <c r="AA536" s="2252"/>
      <c r="AB536" s="2255"/>
      <c r="AC536" s="2252"/>
      <c r="AD536" s="2252"/>
      <c r="AE536" s="2252"/>
      <c r="AF536" s="2252"/>
    </row>
    <row r="537" spans="2:32">
      <c r="B537" s="2252"/>
      <c r="C537" s="2254"/>
      <c r="D537" s="2380"/>
      <c r="E537" s="2380"/>
      <c r="F537" s="2252"/>
      <c r="G537" s="2252"/>
      <c r="H537" s="2252"/>
      <c r="I537" s="2252"/>
      <c r="J537" s="2252"/>
      <c r="K537" s="2252"/>
      <c r="L537" s="2252"/>
      <c r="M537" s="2252"/>
      <c r="N537" s="2252"/>
      <c r="O537" s="2252"/>
      <c r="P537" s="2252"/>
      <c r="Q537" s="2252"/>
      <c r="R537" s="2252"/>
      <c r="S537" s="2252"/>
      <c r="T537" s="2252"/>
      <c r="U537" s="2252"/>
      <c r="V537" s="2252"/>
      <c r="W537" s="2252"/>
      <c r="X537" s="2252"/>
      <c r="Y537" s="2252"/>
      <c r="Z537" s="2252"/>
      <c r="AA537" s="2252"/>
      <c r="AB537" s="2255"/>
      <c r="AC537" s="2252"/>
      <c r="AD537" s="2252"/>
      <c r="AE537" s="2252"/>
      <c r="AF537" s="2252"/>
    </row>
    <row r="538" spans="2:32">
      <c r="B538" s="2252"/>
      <c r="C538" s="2254"/>
      <c r="D538" s="2380"/>
      <c r="E538" s="2380"/>
      <c r="F538" s="2252"/>
      <c r="G538" s="2252"/>
      <c r="H538" s="2252"/>
      <c r="I538" s="2252"/>
      <c r="J538" s="2252"/>
      <c r="K538" s="2252"/>
      <c r="L538" s="2252"/>
      <c r="M538" s="2252"/>
      <c r="N538" s="2252"/>
      <c r="O538" s="2252"/>
      <c r="P538" s="2252"/>
      <c r="Q538" s="2252"/>
      <c r="R538" s="2252"/>
      <c r="S538" s="2252"/>
      <c r="T538" s="2252"/>
      <c r="U538" s="2252"/>
      <c r="V538" s="2252"/>
      <c r="W538" s="2252"/>
      <c r="X538" s="2252"/>
      <c r="Y538" s="2252"/>
      <c r="Z538" s="2252"/>
      <c r="AA538" s="2252"/>
      <c r="AB538" s="2255"/>
      <c r="AC538" s="2252"/>
      <c r="AD538" s="2252"/>
      <c r="AE538" s="2252"/>
      <c r="AF538" s="2252"/>
    </row>
    <row r="539" spans="2:32">
      <c r="B539" s="2252"/>
      <c r="C539" s="2254"/>
      <c r="D539" s="2380"/>
      <c r="E539" s="2380"/>
      <c r="F539" s="2252"/>
      <c r="G539" s="2252"/>
      <c r="H539" s="2252"/>
      <c r="I539" s="2252"/>
      <c r="J539" s="2252"/>
      <c r="K539" s="2252"/>
      <c r="L539" s="2252"/>
      <c r="M539" s="2252"/>
      <c r="N539" s="2252"/>
      <c r="O539" s="2252"/>
      <c r="P539" s="2252"/>
      <c r="Q539" s="2252"/>
      <c r="R539" s="2252"/>
      <c r="S539" s="2252"/>
      <c r="T539" s="2252"/>
      <c r="U539" s="2252"/>
      <c r="V539" s="2252"/>
      <c r="W539" s="2252"/>
      <c r="X539" s="2252"/>
      <c r="Y539" s="2252"/>
      <c r="Z539" s="2252"/>
      <c r="AA539" s="2252"/>
      <c r="AB539" s="2255"/>
      <c r="AC539" s="2252"/>
      <c r="AD539" s="2252"/>
      <c r="AE539" s="2252"/>
      <c r="AF539" s="2252"/>
    </row>
    <row r="540" spans="2:32">
      <c r="B540" s="2252"/>
      <c r="C540" s="2254"/>
      <c r="D540" s="2380"/>
      <c r="E540" s="2380"/>
      <c r="F540" s="2252"/>
      <c r="G540" s="2252"/>
      <c r="H540" s="2252"/>
      <c r="I540" s="2252"/>
      <c r="J540" s="2252"/>
      <c r="K540" s="2252"/>
      <c r="L540" s="2252"/>
      <c r="M540" s="2252"/>
      <c r="N540" s="2252"/>
      <c r="O540" s="2252"/>
      <c r="P540" s="2252"/>
      <c r="Q540" s="2252"/>
      <c r="R540" s="2252"/>
      <c r="S540" s="2252"/>
      <c r="T540" s="2252"/>
      <c r="U540" s="2252"/>
      <c r="V540" s="2252"/>
      <c r="W540" s="2252"/>
      <c r="X540" s="2252"/>
      <c r="Y540" s="2252"/>
      <c r="Z540" s="2252"/>
      <c r="AA540" s="2252"/>
      <c r="AB540" s="2255"/>
      <c r="AC540" s="2252"/>
      <c r="AD540" s="2252"/>
      <c r="AE540" s="2252"/>
      <c r="AF540" s="2252"/>
    </row>
    <row r="541" spans="2:32">
      <c r="B541" s="2252"/>
      <c r="C541" s="2254"/>
      <c r="D541" s="2380"/>
      <c r="E541" s="2380"/>
      <c r="F541" s="2252"/>
      <c r="G541" s="2252"/>
      <c r="H541" s="2252"/>
      <c r="I541" s="2252"/>
      <c r="J541" s="2252"/>
      <c r="K541" s="2252"/>
      <c r="L541" s="2252"/>
      <c r="M541" s="2252"/>
      <c r="N541" s="2252"/>
      <c r="O541" s="2252"/>
      <c r="P541" s="2252"/>
      <c r="Q541" s="2252"/>
      <c r="R541" s="2252"/>
      <c r="S541" s="2252"/>
      <c r="T541" s="2252"/>
      <c r="U541" s="2252"/>
      <c r="V541" s="2252"/>
      <c r="W541" s="2252"/>
      <c r="X541" s="2252"/>
      <c r="Y541" s="2252"/>
      <c r="Z541" s="2252"/>
      <c r="AA541" s="2252"/>
      <c r="AB541" s="2255"/>
      <c r="AC541" s="2252"/>
      <c r="AD541" s="2252"/>
      <c r="AE541" s="2252"/>
      <c r="AF541" s="2252"/>
    </row>
    <row r="542" spans="2:32">
      <c r="B542" s="2252"/>
      <c r="C542" s="2254"/>
      <c r="D542" s="2380"/>
      <c r="E542" s="2380"/>
      <c r="F542" s="2252"/>
      <c r="G542" s="2252"/>
      <c r="H542" s="2252"/>
      <c r="I542" s="2252"/>
      <c r="J542" s="2252"/>
      <c r="K542" s="2252"/>
      <c r="L542" s="2252"/>
      <c r="M542" s="2252"/>
      <c r="N542" s="2252"/>
      <c r="O542" s="2252"/>
      <c r="P542" s="2252"/>
      <c r="Q542" s="2252"/>
      <c r="R542" s="2252"/>
      <c r="S542" s="2252"/>
      <c r="T542" s="2252"/>
      <c r="U542" s="2252"/>
      <c r="V542" s="2252"/>
      <c r="W542" s="2252"/>
      <c r="X542" s="2252"/>
      <c r="Y542" s="2252"/>
      <c r="Z542" s="2252"/>
      <c r="AA542" s="2252"/>
      <c r="AB542" s="2255"/>
      <c r="AC542" s="2252"/>
      <c r="AD542" s="2252"/>
      <c r="AE542" s="2252"/>
      <c r="AF542" s="2252"/>
    </row>
    <row r="543" spans="2:32">
      <c r="B543" s="2252"/>
      <c r="C543" s="2254"/>
      <c r="D543" s="2380"/>
      <c r="E543" s="2380"/>
      <c r="F543" s="2252"/>
      <c r="G543" s="2252"/>
      <c r="H543" s="2252"/>
      <c r="I543" s="2252"/>
      <c r="J543" s="2252"/>
      <c r="K543" s="2252"/>
      <c r="L543" s="2252"/>
      <c r="M543" s="2252"/>
      <c r="N543" s="2252"/>
      <c r="O543" s="2252"/>
      <c r="P543" s="2252"/>
      <c r="Q543" s="2252"/>
      <c r="R543" s="2252"/>
      <c r="S543" s="2252"/>
      <c r="T543" s="2252"/>
      <c r="U543" s="2252"/>
      <c r="V543" s="2252"/>
      <c r="W543" s="2252"/>
      <c r="X543" s="2252"/>
      <c r="Y543" s="2252"/>
      <c r="Z543" s="2252"/>
      <c r="AA543" s="2252"/>
      <c r="AB543" s="2255"/>
      <c r="AC543" s="2252"/>
      <c r="AD543" s="2252"/>
      <c r="AE543" s="2252"/>
      <c r="AF543" s="2252"/>
    </row>
    <row r="544" spans="2:32">
      <c r="B544" s="2252"/>
      <c r="C544" s="2254"/>
      <c r="D544" s="2380"/>
      <c r="E544" s="2380"/>
      <c r="F544" s="2252"/>
      <c r="G544" s="2252"/>
      <c r="H544" s="2252"/>
      <c r="I544" s="2252"/>
      <c r="J544" s="2252"/>
      <c r="K544" s="2252"/>
      <c r="L544" s="2252"/>
      <c r="M544" s="2252"/>
      <c r="N544" s="2252"/>
      <c r="O544" s="2252"/>
      <c r="P544" s="2252"/>
      <c r="Q544" s="2252"/>
      <c r="R544" s="2252"/>
      <c r="S544" s="2252"/>
      <c r="T544" s="2252"/>
      <c r="U544" s="2252"/>
      <c r="V544" s="2252"/>
      <c r="W544" s="2252"/>
      <c r="X544" s="2252"/>
      <c r="Y544" s="2252"/>
      <c r="Z544" s="2252"/>
      <c r="AA544" s="2252"/>
      <c r="AB544" s="2255"/>
      <c r="AC544" s="2252"/>
      <c r="AD544" s="2252"/>
      <c r="AE544" s="2252"/>
      <c r="AF544" s="2252"/>
    </row>
    <row r="545" spans="2:32">
      <c r="B545" s="2252"/>
      <c r="C545" s="2254"/>
      <c r="D545" s="2380"/>
      <c r="E545" s="2380"/>
      <c r="F545" s="2252"/>
      <c r="G545" s="2252"/>
      <c r="H545" s="2252"/>
      <c r="I545" s="2252"/>
      <c r="J545" s="2252"/>
      <c r="K545" s="2252"/>
      <c r="L545" s="2252"/>
      <c r="M545" s="2252"/>
      <c r="N545" s="2252"/>
      <c r="O545" s="2252"/>
      <c r="P545" s="2252"/>
      <c r="Q545" s="2252"/>
      <c r="R545" s="2252"/>
      <c r="S545" s="2252"/>
      <c r="T545" s="2252"/>
      <c r="U545" s="2252"/>
      <c r="V545" s="2252"/>
      <c r="W545" s="2252"/>
      <c r="X545" s="2252"/>
      <c r="Y545" s="2252"/>
      <c r="Z545" s="2252"/>
      <c r="AA545" s="2252"/>
      <c r="AB545" s="2255"/>
      <c r="AC545" s="2252"/>
      <c r="AD545" s="2252"/>
      <c r="AE545" s="2252"/>
      <c r="AF545" s="2252"/>
    </row>
    <row r="546" spans="2:32">
      <c r="B546" s="2252"/>
      <c r="C546" s="2254"/>
      <c r="D546" s="2380"/>
      <c r="E546" s="2380"/>
      <c r="F546" s="2252"/>
      <c r="G546" s="2252"/>
      <c r="H546" s="2252"/>
      <c r="I546" s="2252"/>
      <c r="J546" s="2252"/>
      <c r="K546" s="2252"/>
      <c r="L546" s="2252"/>
      <c r="M546" s="2252"/>
      <c r="N546" s="2252"/>
      <c r="O546" s="2252"/>
      <c r="P546" s="2252"/>
      <c r="Q546" s="2252"/>
      <c r="R546" s="2252"/>
      <c r="S546" s="2252"/>
      <c r="T546" s="2252"/>
      <c r="U546" s="2252"/>
      <c r="V546" s="2252"/>
      <c r="W546" s="2252"/>
      <c r="X546" s="2252"/>
      <c r="Y546" s="2252"/>
      <c r="Z546" s="2252"/>
      <c r="AA546" s="2252"/>
      <c r="AB546" s="2255"/>
      <c r="AC546" s="2252"/>
      <c r="AD546" s="2252"/>
      <c r="AE546" s="2252"/>
      <c r="AF546" s="2252"/>
    </row>
    <row r="547" spans="2:32">
      <c r="B547" s="2252"/>
      <c r="C547" s="2254"/>
      <c r="D547" s="2380"/>
      <c r="E547" s="2380"/>
      <c r="F547" s="2252"/>
      <c r="G547" s="2252"/>
      <c r="H547" s="2252"/>
      <c r="I547" s="2252"/>
      <c r="J547" s="2252"/>
      <c r="K547" s="2252"/>
      <c r="L547" s="2252"/>
      <c r="M547" s="2252"/>
      <c r="N547" s="2252"/>
      <c r="O547" s="2252"/>
      <c r="P547" s="2252"/>
      <c r="Q547" s="2252"/>
      <c r="R547" s="2252"/>
      <c r="S547" s="2252"/>
      <c r="T547" s="2252"/>
      <c r="U547" s="2252"/>
      <c r="V547" s="2252"/>
      <c r="W547" s="2252"/>
      <c r="X547" s="2252"/>
      <c r="Y547" s="2252"/>
      <c r="Z547" s="2252"/>
      <c r="AA547" s="2252"/>
      <c r="AB547" s="2255"/>
      <c r="AC547" s="2252"/>
      <c r="AD547" s="2252"/>
      <c r="AE547" s="2252"/>
      <c r="AF547" s="2252"/>
    </row>
    <row r="548" spans="2:32">
      <c r="B548" s="2252"/>
      <c r="C548" s="2254"/>
      <c r="D548" s="2380"/>
      <c r="E548" s="2380"/>
      <c r="F548" s="2252"/>
      <c r="G548" s="2252"/>
      <c r="H548" s="2252"/>
      <c r="I548" s="2252"/>
      <c r="J548" s="2252"/>
      <c r="K548" s="2252"/>
      <c r="L548" s="2252"/>
      <c r="M548" s="2252"/>
      <c r="N548" s="2252"/>
      <c r="O548" s="2252"/>
      <c r="P548" s="2252"/>
      <c r="Q548" s="2252"/>
      <c r="R548" s="2252"/>
      <c r="S548" s="2252"/>
      <c r="T548" s="2252"/>
      <c r="U548" s="2252"/>
      <c r="V548" s="2252"/>
      <c r="W548" s="2252"/>
      <c r="X548" s="2252"/>
      <c r="Y548" s="2252"/>
      <c r="Z548" s="2252"/>
      <c r="AA548" s="2252"/>
      <c r="AB548" s="2255"/>
      <c r="AC548" s="2252"/>
      <c r="AD548" s="2252"/>
      <c r="AE548" s="2252"/>
      <c r="AF548" s="2252"/>
    </row>
    <row r="549" spans="2:32">
      <c r="B549" s="2252"/>
      <c r="C549" s="2254"/>
      <c r="D549" s="2380"/>
      <c r="E549" s="2380"/>
      <c r="F549" s="2252"/>
      <c r="G549" s="2252"/>
      <c r="H549" s="2252"/>
      <c r="I549" s="2252"/>
      <c r="J549" s="2252"/>
      <c r="K549" s="2252"/>
      <c r="L549" s="2252"/>
      <c r="M549" s="2252"/>
      <c r="N549" s="2252"/>
      <c r="O549" s="2252"/>
      <c r="P549" s="2252"/>
      <c r="Q549" s="2252"/>
      <c r="R549" s="2252"/>
      <c r="S549" s="2252"/>
      <c r="T549" s="2252"/>
      <c r="U549" s="2252"/>
      <c r="V549" s="2252"/>
      <c r="W549" s="2252"/>
      <c r="X549" s="2252"/>
      <c r="Y549" s="2252"/>
      <c r="Z549" s="2252"/>
      <c r="AA549" s="2252"/>
      <c r="AB549" s="2255"/>
      <c r="AC549" s="2252"/>
      <c r="AD549" s="2252"/>
      <c r="AE549" s="2252"/>
      <c r="AF549" s="2252"/>
    </row>
    <row r="550" spans="2:32">
      <c r="B550" s="2252"/>
      <c r="C550" s="2254"/>
      <c r="D550" s="2380"/>
      <c r="E550" s="2380"/>
      <c r="F550" s="2252"/>
      <c r="G550" s="2252"/>
      <c r="H550" s="2252"/>
      <c r="I550" s="2252"/>
      <c r="J550" s="2252"/>
      <c r="K550" s="2252"/>
      <c r="L550" s="2252"/>
      <c r="M550" s="2252"/>
      <c r="N550" s="2252"/>
      <c r="O550" s="2252"/>
      <c r="P550" s="2252"/>
      <c r="Q550" s="2252"/>
      <c r="R550" s="2252"/>
      <c r="S550" s="2252"/>
      <c r="T550" s="2252"/>
      <c r="U550" s="2252"/>
      <c r="V550" s="2252"/>
      <c r="W550" s="2252"/>
      <c r="X550" s="2252"/>
      <c r="Y550" s="2252"/>
      <c r="Z550" s="2252"/>
      <c r="AA550" s="2252"/>
      <c r="AB550" s="2255"/>
      <c r="AC550" s="2252"/>
      <c r="AD550" s="2252"/>
      <c r="AE550" s="2252"/>
      <c r="AF550" s="2252"/>
    </row>
    <row r="551" spans="2:32">
      <c r="B551" s="2252"/>
      <c r="C551" s="2254"/>
      <c r="D551" s="2380"/>
      <c r="E551" s="2380"/>
      <c r="F551" s="2252"/>
      <c r="G551" s="2252"/>
      <c r="H551" s="2252"/>
      <c r="I551" s="2252"/>
      <c r="J551" s="2252"/>
      <c r="K551" s="2252"/>
      <c r="L551" s="2252"/>
      <c r="M551" s="2252"/>
      <c r="N551" s="2252"/>
      <c r="O551" s="2252"/>
      <c r="P551" s="2252"/>
      <c r="Q551" s="2252"/>
      <c r="R551" s="2252"/>
      <c r="S551" s="2252"/>
      <c r="T551" s="2252"/>
      <c r="U551" s="2252"/>
      <c r="V551" s="2252"/>
      <c r="W551" s="2252"/>
      <c r="X551" s="2252"/>
      <c r="Y551" s="2252"/>
      <c r="Z551" s="2252"/>
      <c r="AA551" s="2252"/>
      <c r="AB551" s="2255"/>
      <c r="AC551" s="2252"/>
      <c r="AD551" s="2252"/>
      <c r="AE551" s="2252"/>
      <c r="AF551" s="2252"/>
    </row>
    <row r="552" spans="2:32">
      <c r="B552" s="2252"/>
      <c r="C552" s="2254"/>
      <c r="D552" s="2380"/>
      <c r="E552" s="2380"/>
      <c r="F552" s="2252"/>
      <c r="G552" s="2252"/>
      <c r="H552" s="2252"/>
      <c r="I552" s="2252"/>
      <c r="J552" s="2252"/>
      <c r="K552" s="2252"/>
      <c r="L552" s="2252"/>
      <c r="M552" s="2252"/>
      <c r="N552" s="2252"/>
      <c r="O552" s="2252"/>
      <c r="P552" s="2252"/>
      <c r="Q552" s="2252"/>
      <c r="R552" s="2252"/>
      <c r="S552" s="2252"/>
      <c r="T552" s="2252"/>
      <c r="U552" s="2252"/>
      <c r="V552" s="2252"/>
      <c r="W552" s="2252"/>
      <c r="X552" s="2252"/>
      <c r="Y552" s="2252"/>
      <c r="Z552" s="2252"/>
      <c r="AA552" s="2252"/>
      <c r="AB552" s="2255"/>
      <c r="AC552" s="2252"/>
      <c r="AD552" s="2252"/>
      <c r="AE552" s="2252"/>
      <c r="AF552" s="2252"/>
    </row>
    <row r="553" spans="2:32">
      <c r="B553" s="2252"/>
      <c r="C553" s="2254"/>
      <c r="D553" s="2380"/>
      <c r="E553" s="2380"/>
      <c r="F553" s="2252"/>
      <c r="G553" s="2252"/>
      <c r="H553" s="2252"/>
      <c r="I553" s="2252"/>
      <c r="J553" s="2252"/>
      <c r="K553" s="2252"/>
      <c r="L553" s="2252"/>
      <c r="M553" s="2252"/>
      <c r="N553" s="2252"/>
      <c r="O553" s="2252"/>
      <c r="P553" s="2252"/>
      <c r="Q553" s="2252"/>
      <c r="R553" s="2252"/>
      <c r="S553" s="2252"/>
      <c r="T553" s="2252"/>
      <c r="U553" s="2252"/>
      <c r="V553" s="2252"/>
      <c r="W553" s="2252"/>
      <c r="X553" s="2252"/>
      <c r="Y553" s="2252"/>
      <c r="Z553" s="2252"/>
      <c r="AA553" s="2252"/>
      <c r="AB553" s="2255"/>
      <c r="AC553" s="2252"/>
      <c r="AD553" s="2252"/>
      <c r="AE553" s="2252"/>
      <c r="AF553" s="2252"/>
    </row>
    <row r="554" spans="2:32">
      <c r="B554" s="2252"/>
      <c r="C554" s="2254"/>
      <c r="D554" s="2380"/>
      <c r="E554" s="2380"/>
      <c r="F554" s="2252"/>
      <c r="G554" s="2252"/>
      <c r="H554" s="2252"/>
      <c r="I554" s="2252"/>
      <c r="J554" s="2252"/>
      <c r="K554" s="2252"/>
      <c r="L554" s="2252"/>
      <c r="M554" s="2252"/>
      <c r="N554" s="2252"/>
      <c r="O554" s="2252"/>
      <c r="P554" s="2252"/>
      <c r="Q554" s="2252"/>
      <c r="R554" s="2252"/>
      <c r="S554" s="2252"/>
      <c r="T554" s="2252"/>
      <c r="U554" s="2252"/>
      <c r="V554" s="2252"/>
      <c r="W554" s="2252"/>
      <c r="X554" s="2252"/>
      <c r="Y554" s="2252"/>
      <c r="Z554" s="2252"/>
      <c r="AA554" s="2252"/>
      <c r="AB554" s="2255"/>
      <c r="AC554" s="2252"/>
      <c r="AD554" s="2252"/>
      <c r="AE554" s="2252"/>
      <c r="AF554" s="2252"/>
    </row>
    <row r="555" spans="2:32">
      <c r="B555" s="2252"/>
      <c r="C555" s="2254"/>
      <c r="D555" s="2380"/>
      <c r="E555" s="2380"/>
      <c r="F555" s="2252"/>
      <c r="G555" s="2252"/>
      <c r="H555" s="2252"/>
      <c r="I555" s="2252"/>
      <c r="J555" s="2252"/>
      <c r="K555" s="2252"/>
      <c r="L555" s="2252"/>
      <c r="M555" s="2252"/>
      <c r="N555" s="2252"/>
      <c r="O555" s="2252"/>
      <c r="P555" s="2252"/>
      <c r="Q555" s="2252"/>
      <c r="R555" s="2252"/>
      <c r="S555" s="2252"/>
      <c r="T555" s="2252"/>
      <c r="U555" s="2252"/>
      <c r="V555" s="2252"/>
      <c r="W555" s="2252"/>
      <c r="X555" s="2252"/>
      <c r="Y555" s="2252"/>
      <c r="Z555" s="2252"/>
      <c r="AA555" s="2252"/>
      <c r="AB555" s="2255"/>
      <c r="AC555" s="2252"/>
      <c r="AD555" s="2252"/>
      <c r="AE555" s="2252"/>
      <c r="AF555" s="2252"/>
    </row>
    <row r="556" spans="2:32">
      <c r="B556" s="2252"/>
      <c r="C556" s="2254"/>
      <c r="D556" s="2380"/>
      <c r="E556" s="2380"/>
      <c r="F556" s="2252"/>
      <c r="G556" s="2252"/>
      <c r="H556" s="2252"/>
      <c r="I556" s="2252"/>
      <c r="J556" s="2252"/>
      <c r="K556" s="2252"/>
      <c r="L556" s="2252"/>
      <c r="M556" s="2252"/>
      <c r="N556" s="2252"/>
      <c r="O556" s="2252"/>
      <c r="P556" s="2252"/>
      <c r="Q556" s="2252"/>
      <c r="R556" s="2252"/>
      <c r="S556" s="2252"/>
      <c r="T556" s="2252"/>
      <c r="U556" s="2252"/>
      <c r="V556" s="2252"/>
      <c r="W556" s="2252"/>
      <c r="X556" s="2252"/>
      <c r="Y556" s="2252"/>
      <c r="Z556" s="2252"/>
      <c r="AA556" s="2252"/>
      <c r="AB556" s="2255"/>
      <c r="AC556" s="2252"/>
      <c r="AD556" s="2252"/>
      <c r="AE556" s="2252"/>
      <c r="AF556" s="2252"/>
    </row>
    <row r="557" spans="2:32">
      <c r="B557" s="2252"/>
      <c r="C557" s="2254"/>
      <c r="D557" s="2380"/>
      <c r="E557" s="2380"/>
      <c r="F557" s="2252"/>
      <c r="G557" s="2252"/>
      <c r="H557" s="2252"/>
      <c r="I557" s="2252"/>
      <c r="J557" s="2252"/>
      <c r="K557" s="2252"/>
      <c r="L557" s="2252"/>
      <c r="M557" s="2252"/>
      <c r="N557" s="2252"/>
      <c r="O557" s="2252"/>
      <c r="P557" s="2252"/>
      <c r="Q557" s="2252"/>
      <c r="R557" s="2252"/>
      <c r="S557" s="2252"/>
      <c r="T557" s="2252"/>
      <c r="U557" s="2252"/>
      <c r="V557" s="2252"/>
      <c r="W557" s="2252"/>
      <c r="X557" s="2252"/>
      <c r="Y557" s="2252"/>
      <c r="Z557" s="2252"/>
      <c r="AA557" s="2252"/>
      <c r="AB557" s="2255"/>
      <c r="AC557" s="2252"/>
      <c r="AD557" s="2252"/>
      <c r="AE557" s="2252"/>
      <c r="AF557" s="2252"/>
    </row>
    <row r="558" spans="2:32">
      <c r="B558" s="2252"/>
      <c r="C558" s="2254"/>
      <c r="D558" s="2380"/>
      <c r="E558" s="2380"/>
      <c r="F558" s="2252"/>
      <c r="G558" s="2252"/>
      <c r="H558" s="2252"/>
      <c r="I558" s="2252"/>
      <c r="J558" s="2252"/>
      <c r="K558" s="2252"/>
      <c r="L558" s="2252"/>
      <c r="M558" s="2252"/>
      <c r="N558" s="2252"/>
      <c r="O558" s="2252"/>
      <c r="P558" s="2252"/>
      <c r="Q558" s="2252"/>
      <c r="R558" s="2252"/>
      <c r="S558" s="2252"/>
      <c r="T558" s="2252"/>
      <c r="U558" s="2252"/>
      <c r="V558" s="2252"/>
      <c r="W558" s="2252"/>
      <c r="X558" s="2252"/>
      <c r="Y558" s="2252"/>
      <c r="Z558" s="2252"/>
      <c r="AA558" s="2252"/>
      <c r="AB558" s="2255"/>
      <c r="AC558" s="2252"/>
      <c r="AD558" s="2252"/>
      <c r="AE558" s="2252"/>
      <c r="AF558" s="2252"/>
    </row>
    <row r="559" spans="2:32">
      <c r="B559" s="2252"/>
      <c r="C559" s="2254"/>
      <c r="D559" s="2380"/>
      <c r="E559" s="2380"/>
      <c r="F559" s="2252"/>
      <c r="G559" s="2252"/>
      <c r="H559" s="2252"/>
      <c r="I559" s="2252"/>
      <c r="J559" s="2252"/>
      <c r="K559" s="2252"/>
      <c r="L559" s="2252"/>
      <c r="M559" s="2252"/>
      <c r="N559" s="2252"/>
      <c r="O559" s="2252"/>
      <c r="P559" s="2252"/>
      <c r="Q559" s="2252"/>
      <c r="R559" s="2252"/>
      <c r="S559" s="2252"/>
      <c r="T559" s="2252"/>
      <c r="U559" s="2252"/>
      <c r="V559" s="2252"/>
      <c r="W559" s="2252"/>
      <c r="X559" s="2252"/>
      <c r="Y559" s="2252"/>
      <c r="Z559" s="2252"/>
      <c r="AA559" s="2252"/>
      <c r="AB559" s="2255"/>
      <c r="AC559" s="2252"/>
      <c r="AD559" s="2252"/>
      <c r="AE559" s="2252"/>
      <c r="AF559" s="2252"/>
    </row>
    <row r="560" spans="2:32">
      <c r="B560" s="2252"/>
      <c r="C560" s="2254"/>
      <c r="D560" s="2380"/>
      <c r="E560" s="2380"/>
      <c r="F560" s="2252"/>
      <c r="G560" s="2252"/>
      <c r="H560" s="2252"/>
      <c r="I560" s="2252"/>
      <c r="J560" s="2252"/>
      <c r="K560" s="2252"/>
      <c r="L560" s="2252"/>
      <c r="M560" s="2252"/>
      <c r="N560" s="2252"/>
      <c r="O560" s="2252"/>
      <c r="P560" s="2252"/>
      <c r="Q560" s="2252"/>
      <c r="R560" s="2252"/>
      <c r="S560" s="2252"/>
      <c r="T560" s="2252"/>
      <c r="U560" s="2252"/>
      <c r="V560" s="2252"/>
      <c r="W560" s="2252"/>
      <c r="X560" s="2252"/>
      <c r="Y560" s="2252"/>
      <c r="Z560" s="2252"/>
      <c r="AA560" s="2252"/>
      <c r="AB560" s="2255"/>
      <c r="AC560" s="2252"/>
      <c r="AD560" s="2252"/>
      <c r="AE560" s="2252"/>
      <c r="AF560" s="2252"/>
    </row>
    <row r="561" spans="2:32">
      <c r="B561" s="2252"/>
      <c r="C561" s="2254"/>
      <c r="D561" s="2380"/>
      <c r="E561" s="2380"/>
      <c r="F561" s="2252"/>
      <c r="G561" s="2252"/>
      <c r="H561" s="2252"/>
      <c r="I561" s="2252"/>
      <c r="J561" s="2252"/>
      <c r="K561" s="2252"/>
      <c r="L561" s="2252"/>
      <c r="M561" s="2252"/>
      <c r="N561" s="2252"/>
      <c r="O561" s="2252"/>
      <c r="P561" s="2252"/>
      <c r="Q561" s="2252"/>
      <c r="R561" s="2252"/>
      <c r="S561" s="2252"/>
      <c r="T561" s="2252"/>
      <c r="U561" s="2252"/>
      <c r="V561" s="2252"/>
      <c r="W561" s="2252"/>
      <c r="X561" s="2252"/>
      <c r="Y561" s="2252"/>
      <c r="Z561" s="2252"/>
      <c r="AA561" s="2252"/>
      <c r="AB561" s="2255"/>
      <c r="AC561" s="2252"/>
      <c r="AD561" s="2252"/>
      <c r="AE561" s="2252"/>
      <c r="AF561" s="2252"/>
    </row>
    <row r="562" spans="2:32">
      <c r="B562" s="2252"/>
      <c r="C562" s="2254"/>
      <c r="D562" s="2380"/>
      <c r="E562" s="2380"/>
      <c r="F562" s="2252"/>
      <c r="G562" s="2252"/>
      <c r="H562" s="2252"/>
      <c r="I562" s="2252"/>
      <c r="J562" s="2252"/>
      <c r="K562" s="2252"/>
      <c r="L562" s="2252"/>
      <c r="M562" s="2252"/>
      <c r="N562" s="2252"/>
      <c r="O562" s="2252"/>
      <c r="P562" s="2252"/>
      <c r="Q562" s="2252"/>
      <c r="R562" s="2252"/>
      <c r="S562" s="2252"/>
      <c r="T562" s="2252"/>
      <c r="U562" s="2252"/>
      <c r="V562" s="2252"/>
      <c r="W562" s="2252"/>
      <c r="X562" s="2252"/>
      <c r="Y562" s="2252"/>
      <c r="Z562" s="2252"/>
      <c r="AA562" s="2252"/>
      <c r="AB562" s="2255"/>
      <c r="AC562" s="2252"/>
      <c r="AD562" s="2252"/>
      <c r="AE562" s="2252"/>
      <c r="AF562" s="2252"/>
    </row>
    <row r="563" spans="2:32">
      <c r="B563" s="2252"/>
      <c r="C563" s="2254"/>
      <c r="D563" s="2380"/>
      <c r="E563" s="2380"/>
      <c r="F563" s="2252"/>
      <c r="G563" s="2252"/>
      <c r="H563" s="2252"/>
      <c r="I563" s="2252"/>
      <c r="J563" s="2252"/>
      <c r="K563" s="2252"/>
      <c r="L563" s="2252"/>
      <c r="M563" s="2252"/>
      <c r="N563" s="2252"/>
      <c r="O563" s="2252"/>
      <c r="P563" s="2252"/>
      <c r="Q563" s="2252"/>
      <c r="R563" s="2252"/>
      <c r="S563" s="2252"/>
      <c r="T563" s="2252"/>
      <c r="U563" s="2252"/>
      <c r="V563" s="2252"/>
      <c r="W563" s="2252"/>
      <c r="X563" s="2252"/>
      <c r="Y563" s="2252"/>
      <c r="Z563" s="2252"/>
      <c r="AA563" s="2252"/>
      <c r="AB563" s="2255"/>
      <c r="AC563" s="2252"/>
      <c r="AD563" s="2252"/>
      <c r="AE563" s="2252"/>
      <c r="AF563" s="2252"/>
    </row>
    <row r="564" spans="2:32">
      <c r="B564" s="2252"/>
      <c r="C564" s="2254"/>
      <c r="D564" s="2380"/>
      <c r="E564" s="2380"/>
      <c r="F564" s="2252"/>
      <c r="G564" s="2252"/>
      <c r="H564" s="2252"/>
      <c r="I564" s="2252"/>
      <c r="J564" s="2252"/>
      <c r="K564" s="2252"/>
      <c r="L564" s="2252"/>
      <c r="M564" s="2252"/>
      <c r="N564" s="2252"/>
      <c r="O564" s="2252"/>
      <c r="P564" s="2252"/>
      <c r="Q564" s="2252"/>
      <c r="R564" s="2252"/>
      <c r="S564" s="2252"/>
      <c r="T564" s="2252"/>
      <c r="U564" s="2252"/>
      <c r="V564" s="2252"/>
      <c r="W564" s="2252"/>
      <c r="X564" s="2252"/>
      <c r="Y564" s="2252"/>
      <c r="Z564" s="2252"/>
      <c r="AA564" s="2252"/>
      <c r="AB564" s="2255"/>
      <c r="AC564" s="2252"/>
      <c r="AD564" s="2252"/>
      <c r="AE564" s="2252"/>
      <c r="AF564" s="2252"/>
    </row>
    <row r="565" spans="2:32">
      <c r="B565" s="2252"/>
      <c r="C565" s="2254"/>
      <c r="D565" s="2380"/>
      <c r="E565" s="2380"/>
      <c r="F565" s="2252"/>
      <c r="G565" s="2252"/>
      <c r="H565" s="2252"/>
      <c r="I565" s="2252"/>
      <c r="J565" s="2252"/>
      <c r="K565" s="2252"/>
      <c r="L565" s="2252"/>
      <c r="M565" s="2252"/>
      <c r="N565" s="2252"/>
      <c r="O565" s="2252"/>
      <c r="P565" s="2252"/>
      <c r="Q565" s="2252"/>
      <c r="R565" s="2252"/>
      <c r="S565" s="2252"/>
      <c r="T565" s="2252"/>
      <c r="U565" s="2252"/>
      <c r="V565" s="2252"/>
      <c r="W565" s="2252"/>
      <c r="X565" s="2252"/>
      <c r="Y565" s="2252"/>
      <c r="Z565" s="2252"/>
      <c r="AA565" s="2252"/>
      <c r="AB565" s="2255"/>
      <c r="AC565" s="2252"/>
      <c r="AD565" s="2252"/>
      <c r="AE565" s="2252"/>
      <c r="AF565" s="2252"/>
    </row>
    <row r="566" spans="2:32">
      <c r="B566" s="2252"/>
      <c r="C566" s="2254"/>
      <c r="D566" s="2380"/>
      <c r="E566" s="2380"/>
      <c r="F566" s="2252"/>
      <c r="G566" s="2252"/>
      <c r="H566" s="2252"/>
      <c r="I566" s="2252"/>
      <c r="J566" s="2252"/>
      <c r="K566" s="2252"/>
      <c r="L566" s="2252"/>
      <c r="M566" s="2252"/>
      <c r="N566" s="2252"/>
      <c r="O566" s="2252"/>
      <c r="P566" s="2252"/>
      <c r="Q566" s="2252"/>
      <c r="R566" s="2252"/>
      <c r="S566" s="2252"/>
      <c r="T566" s="2252"/>
      <c r="U566" s="2252"/>
      <c r="V566" s="2252"/>
      <c r="W566" s="2252"/>
      <c r="X566" s="2252"/>
      <c r="Y566" s="2252"/>
      <c r="Z566" s="2252"/>
      <c r="AA566" s="2252"/>
      <c r="AB566" s="2255"/>
      <c r="AC566" s="2252"/>
      <c r="AD566" s="2252"/>
      <c r="AE566" s="2252"/>
      <c r="AF566" s="2252"/>
    </row>
    <row r="567" spans="2:32">
      <c r="B567" s="2252"/>
      <c r="C567" s="2254"/>
      <c r="D567" s="2380"/>
      <c r="E567" s="2380"/>
      <c r="F567" s="2252"/>
      <c r="G567" s="2252"/>
      <c r="H567" s="2252"/>
      <c r="I567" s="2252"/>
      <c r="J567" s="2252"/>
      <c r="K567" s="2252"/>
      <c r="L567" s="2252"/>
      <c r="M567" s="2252"/>
      <c r="N567" s="2252"/>
      <c r="O567" s="2252"/>
      <c r="P567" s="2252"/>
      <c r="Q567" s="2252"/>
      <c r="R567" s="2252"/>
      <c r="S567" s="2252"/>
      <c r="T567" s="2252"/>
      <c r="U567" s="2252"/>
      <c r="V567" s="2252"/>
      <c r="W567" s="2252"/>
      <c r="X567" s="2252"/>
      <c r="Y567" s="2252"/>
      <c r="Z567" s="2252"/>
      <c r="AA567" s="2252"/>
      <c r="AB567" s="2255"/>
      <c r="AC567" s="2252"/>
      <c r="AD567" s="2252"/>
      <c r="AE567" s="2252"/>
      <c r="AF567" s="2252"/>
    </row>
    <row r="568" spans="2:32">
      <c r="B568" s="2252"/>
      <c r="C568" s="2254"/>
      <c r="D568" s="2380"/>
      <c r="E568" s="2380"/>
      <c r="F568" s="2252"/>
      <c r="G568" s="2252"/>
      <c r="H568" s="2252"/>
      <c r="I568" s="2252"/>
      <c r="J568" s="2252"/>
      <c r="K568" s="2252"/>
      <c r="L568" s="2252"/>
      <c r="M568" s="2252"/>
      <c r="N568" s="2252"/>
      <c r="O568" s="2252"/>
      <c r="P568" s="2252"/>
      <c r="Q568" s="2252"/>
      <c r="R568" s="2252"/>
      <c r="S568" s="2252"/>
      <c r="T568" s="2252"/>
      <c r="U568" s="2252"/>
      <c r="V568" s="2252"/>
      <c r="W568" s="2252"/>
      <c r="X568" s="2252"/>
      <c r="Y568" s="2252"/>
      <c r="Z568" s="2252"/>
      <c r="AA568" s="2252"/>
      <c r="AB568" s="2255"/>
      <c r="AC568" s="2252"/>
      <c r="AD568" s="2252"/>
      <c r="AE568" s="2252"/>
      <c r="AF568" s="2252"/>
    </row>
    <row r="569" spans="2:32">
      <c r="B569" s="2252"/>
      <c r="C569" s="2254"/>
      <c r="D569" s="2380"/>
      <c r="E569" s="2380"/>
      <c r="F569" s="2252"/>
      <c r="G569" s="2252"/>
      <c r="H569" s="2252"/>
      <c r="I569" s="2252"/>
      <c r="J569" s="2252"/>
      <c r="K569" s="2252"/>
      <c r="L569" s="2252"/>
      <c r="M569" s="2252"/>
      <c r="N569" s="2252"/>
      <c r="O569" s="2252"/>
      <c r="P569" s="2252"/>
      <c r="Q569" s="2252"/>
      <c r="R569" s="2252"/>
      <c r="S569" s="2252"/>
      <c r="T569" s="2252"/>
      <c r="U569" s="2252"/>
      <c r="V569" s="2252"/>
      <c r="W569" s="2252"/>
      <c r="X569" s="2252"/>
      <c r="Y569" s="2252"/>
      <c r="Z569" s="2252"/>
      <c r="AA569" s="2252"/>
      <c r="AB569" s="2255"/>
      <c r="AC569" s="2252"/>
      <c r="AD569" s="2252"/>
      <c r="AE569" s="2252"/>
      <c r="AF569" s="2252"/>
    </row>
    <row r="570" spans="2:32">
      <c r="B570" s="2252"/>
      <c r="C570" s="2254"/>
      <c r="D570" s="2380"/>
      <c r="E570" s="2380"/>
      <c r="F570" s="2252"/>
      <c r="G570" s="2252"/>
      <c r="H570" s="2252"/>
      <c r="I570" s="2252"/>
      <c r="J570" s="2252"/>
      <c r="K570" s="2252"/>
      <c r="L570" s="2252"/>
      <c r="M570" s="2252"/>
      <c r="N570" s="2252"/>
      <c r="O570" s="2252"/>
      <c r="P570" s="2252"/>
      <c r="Q570" s="2252"/>
      <c r="R570" s="2252"/>
      <c r="S570" s="2252"/>
      <c r="T570" s="2252"/>
      <c r="U570" s="2252"/>
      <c r="V570" s="2252"/>
      <c r="W570" s="2252"/>
      <c r="X570" s="2252"/>
      <c r="Y570" s="2252"/>
      <c r="Z570" s="2252"/>
      <c r="AA570" s="2252"/>
      <c r="AB570" s="2255"/>
      <c r="AC570" s="2252"/>
      <c r="AD570" s="2252"/>
      <c r="AE570" s="2252"/>
      <c r="AF570" s="2252"/>
    </row>
    <row r="571" spans="2:32">
      <c r="B571" s="2252"/>
      <c r="C571" s="2254"/>
      <c r="D571" s="2380"/>
      <c r="E571" s="2380"/>
      <c r="F571" s="2252"/>
      <c r="G571" s="2252"/>
      <c r="H571" s="2252"/>
      <c r="I571" s="2252"/>
      <c r="J571" s="2252"/>
      <c r="K571" s="2252"/>
      <c r="L571" s="2252"/>
      <c r="M571" s="2252"/>
      <c r="N571" s="2252"/>
      <c r="O571" s="2252"/>
      <c r="P571" s="2252"/>
      <c r="Q571" s="2252"/>
      <c r="R571" s="2252"/>
      <c r="S571" s="2252"/>
      <c r="T571" s="2252"/>
      <c r="U571" s="2252"/>
      <c r="V571" s="2252"/>
      <c r="W571" s="2252"/>
      <c r="X571" s="2252"/>
      <c r="Y571" s="2252"/>
      <c r="Z571" s="2252"/>
      <c r="AA571" s="2252"/>
      <c r="AB571" s="2255"/>
      <c r="AC571" s="2252"/>
      <c r="AD571" s="2252"/>
      <c r="AE571" s="2252"/>
      <c r="AF571" s="2252"/>
    </row>
    <row r="572" spans="2:32">
      <c r="B572" s="2252"/>
      <c r="C572" s="2254"/>
      <c r="D572" s="2380"/>
      <c r="E572" s="2380"/>
      <c r="F572" s="2252"/>
      <c r="G572" s="2252"/>
      <c r="H572" s="2252"/>
      <c r="I572" s="2252"/>
      <c r="J572" s="2252"/>
      <c r="K572" s="2252"/>
      <c r="L572" s="2252"/>
      <c r="M572" s="2252"/>
      <c r="N572" s="2252"/>
      <c r="O572" s="2252"/>
      <c r="P572" s="2252"/>
      <c r="Q572" s="2252"/>
      <c r="R572" s="2252"/>
      <c r="S572" s="2252"/>
      <c r="T572" s="2252"/>
      <c r="U572" s="2252"/>
      <c r="V572" s="2252"/>
      <c r="W572" s="2252"/>
      <c r="X572" s="2252"/>
      <c r="Y572" s="2252"/>
      <c r="Z572" s="2252"/>
      <c r="AA572" s="2252"/>
      <c r="AB572" s="2255"/>
      <c r="AC572" s="2252"/>
      <c r="AD572" s="2252"/>
      <c r="AE572" s="2252"/>
      <c r="AF572" s="2252"/>
    </row>
    <row r="573" spans="2:32">
      <c r="B573" s="2252"/>
      <c r="C573" s="2254"/>
      <c r="D573" s="2380"/>
      <c r="E573" s="2380"/>
      <c r="F573" s="2252"/>
      <c r="G573" s="2252"/>
      <c r="H573" s="2252"/>
      <c r="I573" s="2252"/>
      <c r="J573" s="2252"/>
      <c r="K573" s="2252"/>
      <c r="L573" s="2252"/>
      <c r="M573" s="2252"/>
      <c r="N573" s="2252"/>
      <c r="O573" s="2252"/>
      <c r="P573" s="2252"/>
      <c r="Q573" s="2252"/>
      <c r="R573" s="2252"/>
      <c r="S573" s="2252"/>
      <c r="T573" s="2252"/>
      <c r="U573" s="2252"/>
      <c r="V573" s="2252"/>
      <c r="W573" s="2252"/>
      <c r="X573" s="2252"/>
      <c r="Y573" s="2252"/>
      <c r="Z573" s="2252"/>
      <c r="AA573" s="2252"/>
      <c r="AB573" s="2255"/>
      <c r="AC573" s="2252"/>
      <c r="AD573" s="2252"/>
      <c r="AE573" s="2252"/>
      <c r="AF573" s="2252"/>
    </row>
    <row r="574" spans="2:32">
      <c r="B574" s="2252"/>
      <c r="C574" s="2254"/>
      <c r="D574" s="2380"/>
      <c r="E574" s="2380"/>
      <c r="F574" s="2252"/>
      <c r="G574" s="2252"/>
      <c r="H574" s="2252"/>
      <c r="I574" s="2252"/>
      <c r="J574" s="2252"/>
      <c r="K574" s="2252"/>
      <c r="L574" s="2252"/>
      <c r="M574" s="2252"/>
      <c r="N574" s="2252"/>
      <c r="O574" s="2252"/>
      <c r="P574" s="2252"/>
      <c r="Q574" s="2252"/>
      <c r="R574" s="2252"/>
      <c r="S574" s="2252"/>
      <c r="T574" s="2252"/>
      <c r="U574" s="2252"/>
      <c r="V574" s="2252"/>
      <c r="W574" s="2252"/>
      <c r="X574" s="2252"/>
      <c r="Y574" s="2252"/>
      <c r="Z574" s="2252"/>
      <c r="AA574" s="2252"/>
      <c r="AB574" s="2255"/>
      <c r="AC574" s="2252"/>
      <c r="AD574" s="2252"/>
      <c r="AE574" s="2252"/>
      <c r="AF574" s="2252"/>
    </row>
    <row r="575" spans="2:32">
      <c r="B575" s="2252"/>
      <c r="C575" s="2254"/>
      <c r="D575" s="2380"/>
      <c r="E575" s="2380"/>
      <c r="F575" s="2252"/>
      <c r="G575" s="2252"/>
      <c r="H575" s="2252"/>
      <c r="I575" s="2252"/>
      <c r="J575" s="2252"/>
      <c r="K575" s="2252"/>
      <c r="L575" s="2252"/>
      <c r="M575" s="2252"/>
      <c r="N575" s="2252"/>
      <c r="O575" s="2252"/>
      <c r="P575" s="2252"/>
      <c r="Q575" s="2252"/>
      <c r="R575" s="2252"/>
      <c r="S575" s="2252"/>
      <c r="T575" s="2252"/>
      <c r="U575" s="2252"/>
      <c r="V575" s="2252"/>
      <c r="W575" s="2252"/>
      <c r="X575" s="2252"/>
      <c r="Y575" s="2252"/>
      <c r="Z575" s="2252"/>
      <c r="AA575" s="2252"/>
      <c r="AB575" s="2255"/>
      <c r="AC575" s="2252"/>
      <c r="AD575" s="2252"/>
      <c r="AE575" s="2252"/>
      <c r="AF575" s="2252"/>
    </row>
    <row r="576" spans="2:32">
      <c r="B576" s="2252"/>
      <c r="C576" s="2254"/>
      <c r="D576" s="2380"/>
      <c r="E576" s="2380"/>
      <c r="F576" s="2252"/>
      <c r="G576" s="2252"/>
      <c r="H576" s="2252"/>
      <c r="I576" s="2252"/>
      <c r="J576" s="2252"/>
      <c r="K576" s="2252"/>
      <c r="L576" s="2252"/>
      <c r="M576" s="2252"/>
      <c r="N576" s="2252"/>
      <c r="O576" s="2252"/>
      <c r="P576" s="2252"/>
      <c r="Q576" s="2252"/>
      <c r="R576" s="2252"/>
      <c r="S576" s="2252"/>
      <c r="T576" s="2252"/>
      <c r="U576" s="2252"/>
      <c r="V576" s="2252"/>
      <c r="W576" s="2252"/>
      <c r="X576" s="2252"/>
      <c r="Y576" s="2252"/>
      <c r="Z576" s="2252"/>
      <c r="AA576" s="2252"/>
      <c r="AB576" s="2255"/>
      <c r="AC576" s="2252"/>
      <c r="AD576" s="2252"/>
      <c r="AE576" s="2252"/>
      <c r="AF576" s="2252"/>
    </row>
    <row r="577" spans="2:32">
      <c r="B577" s="2252"/>
      <c r="C577" s="2254"/>
      <c r="D577" s="2380"/>
      <c r="E577" s="2380"/>
      <c r="F577" s="2252"/>
      <c r="G577" s="2252"/>
      <c r="H577" s="2252"/>
      <c r="I577" s="2252"/>
      <c r="J577" s="2252"/>
      <c r="K577" s="2252"/>
      <c r="L577" s="2252"/>
      <c r="M577" s="2252"/>
      <c r="N577" s="2252"/>
      <c r="O577" s="2252"/>
      <c r="P577" s="2252"/>
      <c r="Q577" s="2252"/>
      <c r="R577" s="2252"/>
      <c r="S577" s="2252"/>
      <c r="T577" s="2252"/>
      <c r="U577" s="2252"/>
      <c r="V577" s="2252"/>
      <c r="W577" s="2252"/>
      <c r="X577" s="2252"/>
      <c r="Y577" s="2252"/>
      <c r="Z577" s="2252"/>
      <c r="AA577" s="2252"/>
      <c r="AB577" s="2255"/>
      <c r="AC577" s="2252"/>
      <c r="AD577" s="2252"/>
      <c r="AE577" s="2252"/>
      <c r="AF577" s="2252"/>
    </row>
    <row r="578" spans="2:32">
      <c r="B578" s="2252"/>
      <c r="C578" s="2254"/>
      <c r="D578" s="2380"/>
      <c r="E578" s="2380"/>
      <c r="F578" s="2252"/>
      <c r="G578" s="2252"/>
      <c r="H578" s="2252"/>
      <c r="I578" s="2252"/>
      <c r="J578" s="2252"/>
      <c r="K578" s="2252"/>
      <c r="L578" s="2252"/>
      <c r="M578" s="2252"/>
      <c r="N578" s="2252"/>
      <c r="O578" s="2252"/>
      <c r="P578" s="2252"/>
      <c r="Q578" s="2252"/>
      <c r="R578" s="2252"/>
      <c r="S578" s="2252"/>
      <c r="T578" s="2252"/>
      <c r="U578" s="2252"/>
      <c r="V578" s="2252"/>
      <c r="W578" s="2252"/>
      <c r="X578" s="2252"/>
      <c r="Y578" s="2252"/>
      <c r="Z578" s="2252"/>
      <c r="AA578" s="2252"/>
      <c r="AB578" s="2255"/>
      <c r="AC578" s="2252"/>
      <c r="AD578" s="2252"/>
      <c r="AE578" s="2252"/>
      <c r="AF578" s="2252"/>
    </row>
    <row r="579" spans="2:32">
      <c r="B579" s="2252"/>
      <c r="C579" s="2254"/>
      <c r="D579" s="2380"/>
      <c r="E579" s="2380"/>
      <c r="F579" s="2252"/>
      <c r="G579" s="2252"/>
      <c r="H579" s="2252"/>
      <c r="I579" s="2252"/>
      <c r="J579" s="2252"/>
      <c r="K579" s="2252"/>
      <c r="L579" s="2252"/>
      <c r="M579" s="2252"/>
      <c r="N579" s="2252"/>
      <c r="O579" s="2252"/>
      <c r="P579" s="2252"/>
      <c r="Q579" s="2252"/>
      <c r="R579" s="2252"/>
      <c r="S579" s="2252"/>
      <c r="T579" s="2252"/>
      <c r="U579" s="2252"/>
      <c r="V579" s="2252"/>
      <c r="W579" s="2252"/>
      <c r="X579" s="2252"/>
      <c r="Y579" s="2252"/>
      <c r="Z579" s="2252"/>
      <c r="AA579" s="2252"/>
      <c r="AB579" s="2255"/>
      <c r="AC579" s="2252"/>
      <c r="AD579" s="2252"/>
      <c r="AE579" s="2252"/>
      <c r="AF579" s="2252"/>
    </row>
    <row r="580" spans="2:32">
      <c r="B580" s="2252"/>
      <c r="C580" s="2254"/>
      <c r="D580" s="2380"/>
      <c r="E580" s="2380"/>
      <c r="F580" s="2252"/>
      <c r="G580" s="2252"/>
      <c r="H580" s="2252"/>
      <c r="I580" s="2252"/>
      <c r="J580" s="2252"/>
      <c r="K580" s="2252"/>
      <c r="L580" s="2252"/>
      <c r="M580" s="2252"/>
      <c r="N580" s="2252"/>
      <c r="O580" s="2252"/>
      <c r="P580" s="2252"/>
      <c r="Q580" s="2252"/>
      <c r="R580" s="2252"/>
      <c r="S580" s="2252"/>
      <c r="T580" s="2252"/>
      <c r="U580" s="2252"/>
      <c r="V580" s="2252"/>
      <c r="W580" s="2252"/>
      <c r="X580" s="2252"/>
      <c r="Y580" s="2252"/>
      <c r="Z580" s="2252"/>
      <c r="AA580" s="2252"/>
      <c r="AB580" s="2255"/>
      <c r="AC580" s="2252"/>
      <c r="AD580" s="2252"/>
      <c r="AE580" s="2252"/>
      <c r="AF580" s="2252"/>
    </row>
    <row r="581" spans="2:32">
      <c r="B581" s="2252"/>
      <c r="C581" s="2254"/>
      <c r="D581" s="2380"/>
      <c r="E581" s="2380"/>
      <c r="F581" s="2252"/>
      <c r="G581" s="2252"/>
      <c r="H581" s="2252"/>
      <c r="I581" s="2252"/>
      <c r="J581" s="2252"/>
      <c r="K581" s="2252"/>
      <c r="L581" s="2252"/>
      <c r="M581" s="2252"/>
      <c r="N581" s="2252"/>
      <c r="O581" s="2252"/>
      <c r="P581" s="2252"/>
      <c r="Q581" s="2252"/>
      <c r="R581" s="2252"/>
      <c r="S581" s="2252"/>
      <c r="T581" s="2252"/>
      <c r="U581" s="2252"/>
      <c r="V581" s="2252"/>
      <c r="W581" s="2252"/>
      <c r="X581" s="2252"/>
      <c r="Y581" s="2252"/>
      <c r="Z581" s="2252"/>
      <c r="AA581" s="2252"/>
      <c r="AB581" s="2255"/>
      <c r="AC581" s="2252"/>
      <c r="AD581" s="2252"/>
      <c r="AE581" s="2252"/>
      <c r="AF581" s="2252"/>
    </row>
    <row r="582" spans="2:32">
      <c r="B582" s="2252"/>
      <c r="C582" s="2254"/>
      <c r="D582" s="2380"/>
      <c r="E582" s="2380"/>
      <c r="F582" s="2252"/>
      <c r="G582" s="2252"/>
      <c r="H582" s="2252"/>
      <c r="I582" s="2252"/>
      <c r="J582" s="2252"/>
      <c r="K582" s="2252"/>
      <c r="L582" s="2252"/>
      <c r="M582" s="2252"/>
      <c r="N582" s="2252"/>
      <c r="O582" s="2252"/>
      <c r="P582" s="2252"/>
      <c r="Q582" s="2252"/>
      <c r="R582" s="2252"/>
      <c r="S582" s="2252"/>
      <c r="T582" s="2252"/>
      <c r="U582" s="2252"/>
      <c r="V582" s="2252"/>
      <c r="W582" s="2252"/>
      <c r="X582" s="2252"/>
      <c r="Y582" s="2252"/>
      <c r="Z582" s="2252"/>
      <c r="AA582" s="2252"/>
      <c r="AB582" s="2255"/>
      <c r="AC582" s="2252"/>
      <c r="AD582" s="2252"/>
      <c r="AE582" s="2252"/>
      <c r="AF582" s="2252"/>
    </row>
    <row r="583" spans="2:32">
      <c r="B583" s="2252"/>
      <c r="C583" s="2254"/>
      <c r="D583" s="2380"/>
      <c r="E583" s="2380"/>
      <c r="F583" s="2252"/>
      <c r="G583" s="2252"/>
      <c r="H583" s="2252"/>
      <c r="I583" s="2252"/>
      <c r="J583" s="2252"/>
      <c r="K583" s="2252"/>
      <c r="L583" s="2252"/>
      <c r="M583" s="2252"/>
      <c r="N583" s="2252"/>
      <c r="O583" s="2252"/>
      <c r="P583" s="2252"/>
      <c r="Q583" s="2252"/>
      <c r="R583" s="2252"/>
      <c r="S583" s="2252"/>
      <c r="T583" s="2252"/>
      <c r="U583" s="2252"/>
      <c r="V583" s="2252"/>
      <c r="W583" s="2252"/>
      <c r="X583" s="2252"/>
      <c r="Y583" s="2252"/>
      <c r="Z583" s="2252"/>
      <c r="AA583" s="2252"/>
      <c r="AB583" s="2255"/>
      <c r="AC583" s="2252"/>
      <c r="AD583" s="2252"/>
      <c r="AE583" s="2252"/>
      <c r="AF583" s="2252"/>
    </row>
    <row r="584" spans="2:32">
      <c r="B584" s="2252"/>
      <c r="C584" s="2254"/>
      <c r="D584" s="2380"/>
      <c r="E584" s="2380"/>
      <c r="F584" s="2252"/>
      <c r="G584" s="2252"/>
      <c r="H584" s="2252"/>
      <c r="I584" s="2252"/>
      <c r="J584" s="2252"/>
      <c r="K584" s="2252"/>
      <c r="L584" s="2252"/>
      <c r="M584" s="2252"/>
      <c r="N584" s="2252"/>
      <c r="O584" s="2252"/>
      <c r="P584" s="2252"/>
      <c r="Q584" s="2252"/>
      <c r="R584" s="2252"/>
      <c r="S584" s="2252"/>
      <c r="T584" s="2252"/>
      <c r="U584" s="2252"/>
      <c r="V584" s="2252"/>
      <c r="W584" s="2252"/>
      <c r="X584" s="2252"/>
      <c r="Y584" s="2252"/>
      <c r="Z584" s="2252"/>
      <c r="AA584" s="2252"/>
      <c r="AB584" s="2255"/>
      <c r="AC584" s="2252"/>
      <c r="AD584" s="2252"/>
      <c r="AE584" s="2252"/>
      <c r="AF584" s="2252"/>
    </row>
    <row r="585" spans="2:32">
      <c r="B585" s="2252"/>
      <c r="C585" s="2254"/>
      <c r="D585" s="2380"/>
      <c r="E585" s="2380"/>
      <c r="F585" s="2252"/>
      <c r="G585" s="2252"/>
      <c r="H585" s="2252"/>
      <c r="I585" s="2252"/>
      <c r="J585" s="2252"/>
      <c r="K585" s="2252"/>
      <c r="L585" s="2252"/>
      <c r="M585" s="2252"/>
      <c r="N585" s="2252"/>
      <c r="O585" s="2252"/>
      <c r="P585" s="2252"/>
      <c r="Q585" s="2252"/>
      <c r="R585" s="2252"/>
      <c r="S585" s="2252"/>
      <c r="T585" s="2252"/>
      <c r="U585" s="2252"/>
      <c r="V585" s="2252"/>
      <c r="W585" s="2252"/>
      <c r="X585" s="2252"/>
      <c r="Y585" s="2252"/>
      <c r="Z585" s="2252"/>
      <c r="AA585" s="2252"/>
      <c r="AB585" s="2255"/>
      <c r="AC585" s="2252"/>
      <c r="AD585" s="2252"/>
      <c r="AE585" s="2252"/>
      <c r="AF585" s="2252"/>
    </row>
    <row r="586" spans="2:32">
      <c r="B586" s="2252"/>
      <c r="C586" s="2254"/>
      <c r="D586" s="2380"/>
      <c r="E586" s="2380"/>
      <c r="F586" s="2252"/>
      <c r="G586" s="2252"/>
      <c r="H586" s="2252"/>
      <c r="I586" s="2252"/>
      <c r="J586" s="2252"/>
      <c r="K586" s="2252"/>
      <c r="L586" s="2252"/>
      <c r="M586" s="2252"/>
      <c r="N586" s="2252"/>
      <c r="O586" s="2252"/>
      <c r="P586" s="2252"/>
      <c r="Q586" s="2252"/>
      <c r="R586" s="2252"/>
      <c r="S586" s="2252"/>
      <c r="T586" s="2252"/>
      <c r="U586" s="2252"/>
      <c r="V586" s="2252"/>
      <c r="W586" s="2252"/>
      <c r="X586" s="2252"/>
      <c r="Y586" s="2252"/>
      <c r="Z586" s="2252"/>
      <c r="AA586" s="2252"/>
      <c r="AB586" s="2255"/>
      <c r="AC586" s="2252"/>
      <c r="AD586" s="2252"/>
      <c r="AE586" s="2252"/>
      <c r="AF586" s="2252"/>
    </row>
    <row r="587" spans="2:32">
      <c r="B587" s="2252"/>
      <c r="C587" s="2254"/>
      <c r="D587" s="2380"/>
      <c r="E587" s="2380"/>
      <c r="F587" s="2252"/>
      <c r="G587" s="2252"/>
      <c r="H587" s="2252"/>
      <c r="I587" s="2252"/>
      <c r="J587" s="2252"/>
      <c r="K587" s="2252"/>
      <c r="L587" s="2252"/>
      <c r="M587" s="2252"/>
      <c r="N587" s="2252"/>
      <c r="O587" s="2252"/>
      <c r="P587" s="2252"/>
      <c r="Q587" s="2252"/>
      <c r="R587" s="2252"/>
      <c r="S587" s="2252"/>
      <c r="T587" s="2252"/>
      <c r="U587" s="2252"/>
      <c r="V587" s="2252"/>
      <c r="W587" s="2252"/>
      <c r="X587" s="2252"/>
      <c r="Y587" s="2252"/>
      <c r="Z587" s="2252"/>
      <c r="AA587" s="2252"/>
      <c r="AB587" s="2255"/>
      <c r="AC587" s="2252"/>
      <c r="AD587" s="2252"/>
      <c r="AE587" s="2252"/>
      <c r="AF587" s="2252"/>
    </row>
    <row r="588" spans="2:32">
      <c r="B588" s="2252"/>
      <c r="C588" s="2254"/>
      <c r="D588" s="2380"/>
      <c r="E588" s="2380"/>
      <c r="F588" s="2252"/>
      <c r="G588" s="2252"/>
      <c r="H588" s="2252"/>
      <c r="I588" s="2252"/>
      <c r="J588" s="2252"/>
      <c r="K588" s="2252"/>
      <c r="L588" s="2252"/>
      <c r="M588" s="2252"/>
      <c r="N588" s="2252"/>
      <c r="O588" s="2252"/>
      <c r="P588" s="2252"/>
      <c r="Q588" s="2252"/>
      <c r="R588" s="2252"/>
      <c r="S588" s="2252"/>
      <c r="T588" s="2252"/>
      <c r="U588" s="2252"/>
      <c r="V588" s="2252"/>
      <c r="W588" s="2252"/>
      <c r="X588" s="2252"/>
      <c r="Y588" s="2252"/>
      <c r="Z588" s="2252"/>
      <c r="AA588" s="2252"/>
      <c r="AB588" s="2255"/>
      <c r="AC588" s="2252"/>
      <c r="AD588" s="2252"/>
      <c r="AE588" s="2252"/>
      <c r="AF588" s="2252"/>
    </row>
    <row r="589" spans="2:32">
      <c r="B589" s="2252"/>
      <c r="C589" s="2254"/>
      <c r="D589" s="2380"/>
      <c r="E589" s="2380"/>
      <c r="F589" s="2252"/>
      <c r="G589" s="2252"/>
      <c r="H589" s="2252"/>
      <c r="I589" s="2252"/>
      <c r="J589" s="2252"/>
      <c r="K589" s="2252"/>
      <c r="L589" s="2252"/>
      <c r="M589" s="2252"/>
      <c r="N589" s="2252"/>
      <c r="O589" s="2252"/>
      <c r="P589" s="2252"/>
      <c r="Q589" s="2252"/>
      <c r="R589" s="2252"/>
      <c r="S589" s="2252"/>
      <c r="T589" s="2252"/>
      <c r="U589" s="2252"/>
      <c r="V589" s="2252"/>
      <c r="W589" s="2252"/>
      <c r="X589" s="2252"/>
      <c r="Y589" s="2252"/>
      <c r="Z589" s="2252"/>
      <c r="AA589" s="2252"/>
      <c r="AB589" s="2255"/>
      <c r="AC589" s="2252"/>
      <c r="AD589" s="2252"/>
      <c r="AE589" s="2252"/>
      <c r="AF589" s="2252"/>
    </row>
    <row r="590" spans="2:32">
      <c r="B590" s="2252"/>
      <c r="C590" s="2254"/>
      <c r="D590" s="2380"/>
      <c r="E590" s="2380"/>
      <c r="F590" s="2252"/>
      <c r="G590" s="2252"/>
      <c r="H590" s="2252"/>
      <c r="I590" s="2252"/>
      <c r="J590" s="2252"/>
      <c r="K590" s="2252"/>
      <c r="L590" s="2252"/>
      <c r="M590" s="2252"/>
      <c r="N590" s="2252"/>
      <c r="O590" s="2252"/>
      <c r="P590" s="2252"/>
      <c r="Q590" s="2252"/>
      <c r="R590" s="2252"/>
      <c r="S590" s="2252"/>
      <c r="T590" s="2252"/>
      <c r="U590" s="2252"/>
      <c r="V590" s="2252"/>
      <c r="W590" s="2252"/>
      <c r="X590" s="2252"/>
      <c r="Y590" s="2252"/>
      <c r="Z590" s="2252"/>
      <c r="AA590" s="2252"/>
      <c r="AB590" s="2255"/>
      <c r="AC590" s="2252"/>
      <c r="AD590" s="2252"/>
      <c r="AE590" s="2252"/>
      <c r="AF590" s="2252"/>
    </row>
    <row r="591" spans="2:32">
      <c r="B591" s="2252"/>
      <c r="C591" s="2254"/>
      <c r="D591" s="2380"/>
      <c r="E591" s="2380"/>
      <c r="F591" s="2252"/>
      <c r="G591" s="2252"/>
      <c r="H591" s="2252"/>
      <c r="I591" s="2252"/>
      <c r="J591" s="2252"/>
      <c r="K591" s="2252"/>
      <c r="L591" s="2252"/>
      <c r="M591" s="2252"/>
      <c r="N591" s="2252"/>
      <c r="O591" s="2252"/>
      <c r="P591" s="2252"/>
      <c r="Q591" s="2252"/>
      <c r="R591" s="2252"/>
      <c r="S591" s="2252"/>
      <c r="T591" s="2252"/>
      <c r="U591" s="2252"/>
      <c r="V591" s="2252"/>
      <c r="W591" s="2252"/>
      <c r="X591" s="2252"/>
      <c r="Y591" s="2252"/>
      <c r="Z591" s="2252"/>
      <c r="AA591" s="2252"/>
      <c r="AB591" s="2255"/>
      <c r="AC591" s="2252"/>
      <c r="AD591" s="2252"/>
      <c r="AE591" s="2252"/>
      <c r="AF591" s="2252"/>
    </row>
    <row r="592" spans="2:32">
      <c r="B592" s="2252"/>
      <c r="C592" s="2254"/>
      <c r="D592" s="2380"/>
      <c r="E592" s="2380"/>
      <c r="F592" s="2252"/>
      <c r="G592" s="2252"/>
      <c r="H592" s="2252"/>
      <c r="I592" s="2252"/>
      <c r="J592" s="2252"/>
      <c r="K592" s="2252"/>
      <c r="L592" s="2252"/>
      <c r="M592" s="2252"/>
      <c r="N592" s="2252"/>
      <c r="O592" s="2252"/>
      <c r="P592" s="2252"/>
      <c r="Q592" s="2252"/>
      <c r="R592" s="2252"/>
      <c r="S592" s="2252"/>
      <c r="T592" s="2252"/>
      <c r="U592" s="2252"/>
      <c r="V592" s="2252"/>
      <c r="W592" s="2252"/>
      <c r="X592" s="2252"/>
      <c r="Y592" s="2252"/>
      <c r="Z592" s="2252"/>
      <c r="AA592" s="2252"/>
      <c r="AB592" s="2255"/>
      <c r="AC592" s="2252"/>
      <c r="AD592" s="2252"/>
      <c r="AE592" s="2252"/>
      <c r="AF592" s="2252"/>
    </row>
    <row r="593" spans="2:32">
      <c r="B593" s="2252"/>
      <c r="C593" s="2254"/>
      <c r="D593" s="2380"/>
      <c r="E593" s="2380"/>
      <c r="F593" s="2252"/>
      <c r="G593" s="2252"/>
      <c r="H593" s="2252"/>
      <c r="I593" s="2252"/>
      <c r="J593" s="2252"/>
      <c r="K593" s="2252"/>
      <c r="L593" s="2252"/>
      <c r="M593" s="2252"/>
      <c r="N593" s="2252"/>
      <c r="O593" s="2252"/>
      <c r="P593" s="2252"/>
      <c r="Q593" s="2252"/>
      <c r="R593" s="2252"/>
      <c r="S593" s="2252"/>
      <c r="T593" s="2252"/>
      <c r="U593" s="2252"/>
      <c r="V593" s="2252"/>
      <c r="W593" s="2252"/>
      <c r="X593" s="2252"/>
      <c r="Y593" s="2252"/>
      <c r="Z593" s="2252"/>
      <c r="AA593" s="2252"/>
      <c r="AB593" s="2255"/>
      <c r="AC593" s="2252"/>
      <c r="AD593" s="2252"/>
      <c r="AE593" s="2252"/>
      <c r="AF593" s="2252"/>
    </row>
    <row r="594" spans="2:32">
      <c r="B594" s="2252"/>
      <c r="C594" s="2254"/>
      <c r="D594" s="2380"/>
      <c r="E594" s="2380"/>
      <c r="F594" s="2252"/>
      <c r="G594" s="2252"/>
      <c r="H594" s="2252"/>
      <c r="I594" s="2252"/>
      <c r="J594" s="2252"/>
      <c r="K594" s="2252"/>
      <c r="L594" s="2252"/>
      <c r="M594" s="2252"/>
      <c r="N594" s="2252"/>
      <c r="O594" s="2252"/>
      <c r="P594" s="2252"/>
      <c r="Q594" s="2252"/>
      <c r="R594" s="2252"/>
      <c r="S594" s="2252"/>
      <c r="T594" s="2252"/>
      <c r="U594" s="2252"/>
      <c r="V594" s="2252"/>
      <c r="W594" s="2252"/>
      <c r="X594" s="2252"/>
      <c r="Y594" s="2252"/>
      <c r="Z594" s="2252"/>
      <c r="AA594" s="2252"/>
      <c r="AB594" s="2255"/>
      <c r="AC594" s="2252"/>
      <c r="AD594" s="2252"/>
      <c r="AE594" s="2252"/>
      <c r="AF594" s="2252"/>
    </row>
    <row r="595" spans="2:32">
      <c r="B595" s="2252"/>
      <c r="C595" s="2254"/>
      <c r="D595" s="2380"/>
      <c r="E595" s="2380"/>
      <c r="F595" s="2252"/>
      <c r="G595" s="2252"/>
      <c r="H595" s="2252"/>
      <c r="I595" s="2252"/>
      <c r="J595" s="2252"/>
      <c r="K595" s="2252"/>
      <c r="L595" s="2252"/>
      <c r="M595" s="2252"/>
      <c r="N595" s="2252"/>
      <c r="O595" s="2252"/>
      <c r="P595" s="2252"/>
      <c r="Q595" s="2252"/>
      <c r="R595" s="2252"/>
      <c r="S595" s="2252"/>
      <c r="T595" s="2252"/>
      <c r="U595" s="2252"/>
      <c r="V595" s="2252"/>
      <c r="W595" s="2252"/>
      <c r="X595" s="2252"/>
      <c r="Y595" s="2252"/>
      <c r="Z595" s="2252"/>
      <c r="AA595" s="2252"/>
      <c r="AB595" s="2255"/>
      <c r="AC595" s="2252"/>
      <c r="AD595" s="2252"/>
      <c r="AE595" s="2252"/>
      <c r="AF595" s="2252"/>
    </row>
    <row r="596" spans="2:32">
      <c r="B596" s="2252"/>
      <c r="C596" s="2254"/>
      <c r="D596" s="2380"/>
      <c r="E596" s="2380"/>
      <c r="F596" s="2252"/>
      <c r="G596" s="2252"/>
      <c r="H596" s="2252"/>
      <c r="I596" s="2252"/>
      <c r="J596" s="2252"/>
      <c r="K596" s="2252"/>
      <c r="L596" s="2252"/>
      <c r="M596" s="2252"/>
      <c r="N596" s="2252"/>
      <c r="O596" s="2252"/>
      <c r="P596" s="2252"/>
      <c r="Q596" s="2252"/>
      <c r="R596" s="2252"/>
      <c r="S596" s="2252"/>
      <c r="T596" s="2252"/>
      <c r="U596" s="2252"/>
      <c r="V596" s="2252"/>
      <c r="W596" s="2252"/>
      <c r="X596" s="2252"/>
      <c r="Y596" s="2252"/>
      <c r="Z596" s="2252"/>
      <c r="AA596" s="2252"/>
      <c r="AB596" s="2255"/>
      <c r="AC596" s="2252"/>
      <c r="AD596" s="2252"/>
      <c r="AE596" s="2252"/>
      <c r="AF596" s="2252"/>
    </row>
    <row r="597" spans="2:32">
      <c r="B597" s="2252"/>
      <c r="C597" s="2254"/>
      <c r="D597" s="2380"/>
      <c r="E597" s="2380"/>
      <c r="F597" s="2252"/>
      <c r="G597" s="2252"/>
      <c r="H597" s="2252"/>
      <c r="I597" s="2252"/>
      <c r="J597" s="2252"/>
      <c r="K597" s="2252"/>
      <c r="L597" s="2252"/>
      <c r="M597" s="2252"/>
      <c r="N597" s="2252"/>
      <c r="O597" s="2252"/>
      <c r="P597" s="2252"/>
      <c r="Q597" s="2252"/>
      <c r="R597" s="2252"/>
      <c r="S597" s="2252"/>
      <c r="T597" s="2252"/>
      <c r="U597" s="2252"/>
      <c r="V597" s="2252"/>
      <c r="W597" s="2252"/>
      <c r="X597" s="2252"/>
      <c r="Y597" s="2252"/>
      <c r="Z597" s="2252"/>
      <c r="AA597" s="2252"/>
      <c r="AB597" s="2255"/>
      <c r="AC597" s="2252"/>
      <c r="AD597" s="2252"/>
      <c r="AE597" s="2252"/>
      <c r="AF597" s="2252"/>
    </row>
    <row r="598" spans="2:32">
      <c r="B598" s="2252"/>
      <c r="C598" s="2254"/>
      <c r="D598" s="2380"/>
      <c r="E598" s="2380"/>
      <c r="F598" s="2252"/>
      <c r="G598" s="2252"/>
      <c r="H598" s="2252"/>
      <c r="I598" s="2252"/>
      <c r="J598" s="2252"/>
      <c r="K598" s="2252"/>
      <c r="L598" s="2252"/>
      <c r="M598" s="2252"/>
      <c r="N598" s="2252"/>
      <c r="O598" s="2252"/>
      <c r="P598" s="2252"/>
      <c r="Q598" s="2252"/>
      <c r="R598" s="2252"/>
      <c r="S598" s="2252"/>
      <c r="T598" s="2252"/>
      <c r="U598" s="2252"/>
      <c r="V598" s="2252"/>
      <c r="W598" s="2252"/>
      <c r="X598" s="2252"/>
      <c r="Y598" s="2252"/>
      <c r="Z598" s="2252"/>
      <c r="AA598" s="2252"/>
      <c r="AB598" s="2255"/>
      <c r="AC598" s="2252"/>
      <c r="AD598" s="2252"/>
      <c r="AE598" s="2252"/>
      <c r="AF598" s="2252"/>
    </row>
    <row r="599" spans="2:32">
      <c r="B599" s="2252"/>
      <c r="C599" s="2254"/>
      <c r="D599" s="2380"/>
      <c r="E599" s="2380"/>
      <c r="F599" s="2252"/>
      <c r="G599" s="2252"/>
      <c r="H599" s="2252"/>
      <c r="I599" s="2252"/>
      <c r="J599" s="2252"/>
      <c r="K599" s="2252"/>
      <c r="L599" s="2252"/>
      <c r="M599" s="2252"/>
      <c r="N599" s="2252"/>
      <c r="O599" s="2252"/>
      <c r="P599" s="2252"/>
      <c r="Q599" s="2252"/>
      <c r="R599" s="2252"/>
      <c r="S599" s="2252"/>
      <c r="T599" s="2252"/>
      <c r="U599" s="2252"/>
      <c r="V599" s="2252"/>
      <c r="W599" s="2252"/>
      <c r="X599" s="2252"/>
      <c r="Y599" s="2252"/>
      <c r="Z599" s="2252"/>
      <c r="AA599" s="2252"/>
      <c r="AB599" s="2255"/>
      <c r="AC599" s="2252"/>
      <c r="AD599" s="2252"/>
      <c r="AE599" s="2252"/>
      <c r="AF599" s="2252"/>
    </row>
    <row r="600" spans="2:32">
      <c r="B600" s="2252"/>
      <c r="C600" s="2254"/>
      <c r="D600" s="2380"/>
      <c r="E600" s="2380"/>
      <c r="F600" s="2252"/>
      <c r="G600" s="2252"/>
      <c r="H600" s="2252"/>
      <c r="I600" s="2252"/>
      <c r="J600" s="2252"/>
      <c r="K600" s="2252"/>
      <c r="L600" s="2252"/>
      <c r="M600" s="2252"/>
      <c r="N600" s="2252"/>
      <c r="O600" s="2252"/>
      <c r="P600" s="2252"/>
      <c r="Q600" s="2252"/>
      <c r="R600" s="2252"/>
      <c r="S600" s="2252"/>
      <c r="T600" s="2252"/>
      <c r="U600" s="2252"/>
      <c r="V600" s="2252"/>
      <c r="W600" s="2252"/>
      <c r="X600" s="2252"/>
      <c r="Y600" s="2252"/>
      <c r="Z600" s="2252"/>
      <c r="AA600" s="2252"/>
      <c r="AB600" s="2255"/>
      <c r="AC600" s="2252"/>
      <c r="AD600" s="2252"/>
      <c r="AE600" s="2252"/>
      <c r="AF600" s="2252"/>
    </row>
    <row r="601" spans="2:32">
      <c r="B601" s="2252"/>
      <c r="C601" s="2254"/>
      <c r="D601" s="2380"/>
      <c r="E601" s="2380"/>
      <c r="F601" s="2252"/>
      <c r="G601" s="2252"/>
      <c r="H601" s="2252"/>
      <c r="I601" s="2252"/>
      <c r="J601" s="2252"/>
      <c r="K601" s="2252"/>
      <c r="L601" s="2252"/>
      <c r="M601" s="2252"/>
      <c r="N601" s="2252"/>
      <c r="O601" s="2252"/>
      <c r="P601" s="2252"/>
      <c r="Q601" s="2252"/>
      <c r="R601" s="2252"/>
      <c r="S601" s="2252"/>
      <c r="T601" s="2252"/>
      <c r="U601" s="2252"/>
      <c r="V601" s="2252"/>
      <c r="W601" s="2252"/>
      <c r="X601" s="2252"/>
      <c r="Y601" s="2252"/>
      <c r="Z601" s="2252"/>
      <c r="AA601" s="2252"/>
      <c r="AB601" s="2255"/>
      <c r="AC601" s="2252"/>
      <c r="AD601" s="2252"/>
      <c r="AE601" s="2252"/>
      <c r="AF601" s="2252"/>
    </row>
    <row r="602" spans="2:32">
      <c r="B602" s="2252"/>
      <c r="C602" s="2254"/>
      <c r="D602" s="2380"/>
      <c r="E602" s="2380"/>
      <c r="F602" s="2252"/>
      <c r="G602" s="2252"/>
      <c r="H602" s="2252"/>
      <c r="I602" s="2252"/>
      <c r="J602" s="2252"/>
      <c r="K602" s="2252"/>
      <c r="L602" s="2252"/>
      <c r="M602" s="2252"/>
      <c r="N602" s="2252"/>
      <c r="O602" s="2252"/>
      <c r="P602" s="2252"/>
      <c r="Q602" s="2252"/>
      <c r="R602" s="2252"/>
      <c r="S602" s="2252"/>
      <c r="T602" s="2252"/>
      <c r="U602" s="2252"/>
      <c r="V602" s="2252"/>
      <c r="W602" s="2252"/>
      <c r="X602" s="2252"/>
      <c r="Y602" s="2252"/>
      <c r="Z602" s="2252"/>
      <c r="AA602" s="2252"/>
      <c r="AB602" s="2255"/>
      <c r="AC602" s="2252"/>
      <c r="AD602" s="2252"/>
      <c r="AE602" s="2252"/>
      <c r="AF602" s="2252"/>
    </row>
    <row r="603" spans="2:32">
      <c r="B603" s="2252"/>
      <c r="C603" s="2254"/>
      <c r="D603" s="2380"/>
      <c r="E603" s="2380"/>
      <c r="F603" s="2252"/>
      <c r="G603" s="2252"/>
      <c r="H603" s="2252"/>
      <c r="I603" s="2252"/>
      <c r="J603" s="2252"/>
      <c r="K603" s="2252"/>
      <c r="L603" s="2252"/>
      <c r="M603" s="2252"/>
      <c r="N603" s="2252"/>
      <c r="O603" s="2252"/>
      <c r="P603" s="2252"/>
      <c r="Q603" s="2252"/>
      <c r="R603" s="2252"/>
      <c r="S603" s="2252"/>
      <c r="T603" s="2252"/>
      <c r="U603" s="2252"/>
      <c r="V603" s="2252"/>
      <c r="W603" s="2252"/>
      <c r="X603" s="2252"/>
      <c r="Y603" s="2252"/>
      <c r="Z603" s="2252"/>
      <c r="AA603" s="2252"/>
      <c r="AB603" s="2255"/>
      <c r="AC603" s="2252"/>
      <c r="AD603" s="2252"/>
      <c r="AE603" s="2252"/>
      <c r="AF603" s="2252"/>
    </row>
    <row r="604" spans="2:32">
      <c r="B604" s="2252"/>
      <c r="C604" s="2254"/>
      <c r="D604" s="2380"/>
      <c r="E604" s="2380"/>
      <c r="F604" s="2252"/>
      <c r="G604" s="2252"/>
      <c r="H604" s="2252"/>
      <c r="I604" s="2252"/>
      <c r="J604" s="2252"/>
      <c r="K604" s="2252"/>
      <c r="L604" s="2252"/>
      <c r="M604" s="2252"/>
      <c r="N604" s="2252"/>
      <c r="O604" s="2252"/>
      <c r="P604" s="2252"/>
      <c r="Q604" s="2252"/>
      <c r="R604" s="2252"/>
      <c r="S604" s="2252"/>
      <c r="T604" s="2252"/>
      <c r="U604" s="2252"/>
      <c r="V604" s="2252"/>
      <c r="W604" s="2252"/>
      <c r="X604" s="2252"/>
      <c r="Y604" s="2252"/>
      <c r="Z604" s="2252"/>
      <c r="AA604" s="2252"/>
      <c r="AB604" s="2255"/>
      <c r="AC604" s="2252"/>
      <c r="AD604" s="2252"/>
      <c r="AE604" s="2252"/>
      <c r="AF604" s="2252"/>
    </row>
    <row r="605" spans="2:32">
      <c r="B605" s="2252"/>
      <c r="C605" s="2254"/>
      <c r="D605" s="2380"/>
      <c r="E605" s="2380"/>
      <c r="F605" s="2252"/>
      <c r="G605" s="2252"/>
      <c r="H605" s="2252"/>
      <c r="I605" s="2252"/>
      <c r="J605" s="2252"/>
      <c r="K605" s="2252"/>
      <c r="L605" s="2252"/>
      <c r="M605" s="2252"/>
      <c r="N605" s="2252"/>
      <c r="O605" s="2252"/>
      <c r="P605" s="2252"/>
      <c r="Q605" s="2252"/>
      <c r="R605" s="2252"/>
      <c r="S605" s="2252"/>
      <c r="T605" s="2252"/>
      <c r="U605" s="2252"/>
      <c r="V605" s="2252"/>
      <c r="W605" s="2252"/>
      <c r="X605" s="2252"/>
      <c r="Y605" s="2252"/>
      <c r="Z605" s="2252"/>
      <c r="AA605" s="2252"/>
      <c r="AB605" s="2255"/>
      <c r="AC605" s="2252"/>
      <c r="AD605" s="2252"/>
      <c r="AE605" s="2252"/>
      <c r="AF605" s="2252"/>
    </row>
    <row r="606" spans="2:32">
      <c r="B606" s="2252"/>
      <c r="C606" s="2254"/>
      <c r="D606" s="2380"/>
      <c r="E606" s="2380"/>
      <c r="F606" s="2252"/>
      <c r="G606" s="2252"/>
      <c r="H606" s="2252"/>
      <c r="I606" s="2252"/>
      <c r="J606" s="2252"/>
      <c r="K606" s="2252"/>
      <c r="L606" s="2252"/>
      <c r="M606" s="2252"/>
      <c r="N606" s="2252"/>
      <c r="O606" s="2252"/>
      <c r="P606" s="2252"/>
      <c r="Q606" s="2252"/>
      <c r="R606" s="2252"/>
      <c r="S606" s="2252"/>
      <c r="T606" s="2252"/>
      <c r="U606" s="2252"/>
      <c r="V606" s="2252"/>
      <c r="W606" s="2252"/>
      <c r="X606" s="2252"/>
      <c r="Y606" s="2252"/>
      <c r="Z606" s="2252"/>
      <c r="AA606" s="2252"/>
      <c r="AB606" s="2255"/>
      <c r="AC606" s="2252"/>
      <c r="AD606" s="2252"/>
      <c r="AE606" s="2252"/>
      <c r="AF606" s="2252"/>
    </row>
    <row r="607" spans="2:32">
      <c r="B607" s="2252"/>
      <c r="C607" s="2254"/>
      <c r="D607" s="2380"/>
      <c r="E607" s="2380"/>
      <c r="F607" s="2252"/>
      <c r="G607" s="2252"/>
      <c r="H607" s="2252"/>
      <c r="I607" s="2252"/>
      <c r="J607" s="2252"/>
      <c r="K607" s="2252"/>
      <c r="L607" s="2252"/>
      <c r="M607" s="2252"/>
      <c r="N607" s="2252"/>
      <c r="O607" s="2252"/>
      <c r="P607" s="2252"/>
      <c r="Q607" s="2252"/>
      <c r="R607" s="2252"/>
      <c r="S607" s="2252"/>
      <c r="T607" s="2252"/>
      <c r="U607" s="2252"/>
      <c r="V607" s="2252"/>
      <c r="W607" s="2252"/>
      <c r="X607" s="2252"/>
      <c r="Y607" s="2252"/>
      <c r="Z607" s="2252"/>
      <c r="AA607" s="2252"/>
      <c r="AB607" s="2255"/>
      <c r="AC607" s="2252"/>
      <c r="AD607" s="2252"/>
      <c r="AE607" s="2252"/>
      <c r="AF607" s="2252"/>
    </row>
    <row r="608" spans="2:32">
      <c r="B608" s="2252"/>
      <c r="C608" s="2254"/>
      <c r="D608" s="2380"/>
      <c r="E608" s="2380"/>
      <c r="F608" s="2252"/>
      <c r="G608" s="2252"/>
      <c r="H608" s="2252"/>
      <c r="I608" s="2252"/>
      <c r="J608" s="2252"/>
      <c r="K608" s="2252"/>
      <c r="L608" s="2252"/>
      <c r="M608" s="2252"/>
      <c r="N608" s="2252"/>
      <c r="O608" s="2252"/>
      <c r="P608" s="2252"/>
      <c r="Q608" s="2252"/>
      <c r="R608" s="2252"/>
      <c r="S608" s="2252"/>
      <c r="T608" s="2252"/>
      <c r="U608" s="2252"/>
      <c r="V608" s="2252"/>
      <c r="W608" s="2252"/>
      <c r="X608" s="2252"/>
      <c r="Y608" s="2252"/>
      <c r="Z608" s="2252"/>
      <c r="AA608" s="2252"/>
      <c r="AB608" s="2255"/>
      <c r="AC608" s="2252"/>
      <c r="AD608" s="2252"/>
      <c r="AE608" s="2252"/>
      <c r="AF608" s="2252"/>
    </row>
    <row r="609" spans="2:32">
      <c r="B609" s="2252"/>
      <c r="C609" s="2254"/>
      <c r="D609" s="2380"/>
      <c r="E609" s="2380"/>
      <c r="F609" s="2252"/>
      <c r="G609" s="2252"/>
      <c r="H609" s="2252"/>
      <c r="I609" s="2252"/>
      <c r="J609" s="2252"/>
      <c r="K609" s="2252"/>
      <c r="L609" s="2252"/>
      <c r="M609" s="2252"/>
      <c r="N609" s="2252"/>
      <c r="O609" s="2252"/>
      <c r="P609" s="2252"/>
      <c r="Q609" s="2252"/>
      <c r="R609" s="2252"/>
      <c r="S609" s="2252"/>
      <c r="T609" s="2252"/>
      <c r="U609" s="2252"/>
      <c r="V609" s="2252"/>
      <c r="W609" s="2252"/>
      <c r="X609" s="2252"/>
      <c r="Y609" s="2252"/>
      <c r="Z609" s="2252"/>
      <c r="AA609" s="2252"/>
      <c r="AB609" s="2255"/>
      <c r="AC609" s="2252"/>
      <c r="AD609" s="2252"/>
      <c r="AE609" s="2252"/>
      <c r="AF609" s="2252"/>
    </row>
    <row r="610" spans="2:32">
      <c r="B610" s="2252"/>
      <c r="C610" s="2254"/>
      <c r="D610" s="2380"/>
      <c r="E610" s="2380"/>
      <c r="F610" s="2252"/>
      <c r="G610" s="2252"/>
      <c r="H610" s="2252"/>
      <c r="I610" s="2252"/>
      <c r="J610" s="2252"/>
      <c r="K610" s="2252"/>
      <c r="L610" s="2252"/>
      <c r="M610" s="2252"/>
      <c r="N610" s="2252"/>
      <c r="O610" s="2252"/>
      <c r="P610" s="2252"/>
      <c r="Q610" s="2252"/>
      <c r="R610" s="2252"/>
      <c r="S610" s="2252"/>
      <c r="T610" s="2252"/>
      <c r="U610" s="2252"/>
      <c r="V610" s="2252"/>
      <c r="W610" s="2252"/>
      <c r="X610" s="2252"/>
      <c r="Y610" s="2252"/>
      <c r="Z610" s="2252"/>
      <c r="AA610" s="2252"/>
      <c r="AB610" s="2255"/>
      <c r="AC610" s="2252"/>
      <c r="AD610" s="2252"/>
      <c r="AE610" s="2252"/>
      <c r="AF610" s="2252"/>
    </row>
    <row r="611" spans="2:32">
      <c r="B611" s="2252"/>
      <c r="C611" s="2254"/>
      <c r="D611" s="2380"/>
      <c r="E611" s="2380"/>
      <c r="F611" s="2252"/>
      <c r="G611" s="2252"/>
      <c r="H611" s="2252"/>
      <c r="I611" s="2252"/>
      <c r="J611" s="2252"/>
      <c r="K611" s="2252"/>
      <c r="L611" s="2252"/>
      <c r="M611" s="2252"/>
      <c r="N611" s="2252"/>
      <c r="O611" s="2252"/>
      <c r="P611" s="2252"/>
      <c r="Q611" s="2252"/>
      <c r="R611" s="2252"/>
      <c r="S611" s="2252"/>
      <c r="T611" s="2252"/>
      <c r="U611" s="2252"/>
      <c r="V611" s="2252"/>
      <c r="W611" s="2252"/>
      <c r="X611" s="2252"/>
      <c r="Y611" s="2252"/>
      <c r="Z611" s="2252"/>
      <c r="AA611" s="2252"/>
      <c r="AB611" s="2255"/>
      <c r="AC611" s="2252"/>
      <c r="AD611" s="2252"/>
      <c r="AE611" s="2252"/>
      <c r="AF611" s="2252"/>
    </row>
    <row r="612" spans="2:32">
      <c r="B612" s="2252"/>
      <c r="C612" s="2254"/>
      <c r="D612" s="2380"/>
      <c r="E612" s="2380"/>
      <c r="F612" s="2252"/>
      <c r="G612" s="2252"/>
      <c r="H612" s="2252"/>
      <c r="I612" s="2252"/>
      <c r="J612" s="2252"/>
      <c r="K612" s="2252"/>
      <c r="L612" s="2252"/>
      <c r="M612" s="2252"/>
      <c r="N612" s="2252"/>
      <c r="O612" s="2252"/>
      <c r="P612" s="2252"/>
      <c r="Q612" s="2252"/>
      <c r="R612" s="2252"/>
      <c r="S612" s="2252"/>
      <c r="T612" s="2252"/>
      <c r="U612" s="2252"/>
      <c r="V612" s="2252"/>
      <c r="W612" s="2252"/>
      <c r="X612" s="2252"/>
      <c r="Y612" s="2252"/>
      <c r="Z612" s="2252"/>
      <c r="AA612" s="2252"/>
      <c r="AB612" s="2255"/>
      <c r="AC612" s="2252"/>
      <c r="AD612" s="2252"/>
      <c r="AE612" s="2252"/>
      <c r="AF612" s="2252"/>
    </row>
    <row r="613" spans="2:32">
      <c r="B613" s="2252"/>
      <c r="C613" s="2254"/>
      <c r="D613" s="2380"/>
      <c r="E613" s="2380"/>
      <c r="F613" s="2252"/>
      <c r="G613" s="2252"/>
      <c r="H613" s="2252"/>
      <c r="I613" s="2252"/>
      <c r="J613" s="2252"/>
      <c r="K613" s="2252"/>
      <c r="L613" s="2252"/>
      <c r="M613" s="2252"/>
      <c r="N613" s="2252"/>
      <c r="O613" s="2252"/>
      <c r="P613" s="2252"/>
      <c r="Q613" s="2252"/>
      <c r="R613" s="2252"/>
      <c r="S613" s="2252"/>
      <c r="T613" s="2252"/>
      <c r="U613" s="2252"/>
      <c r="V613" s="2252"/>
      <c r="W613" s="2252"/>
      <c r="X613" s="2252"/>
      <c r="Y613" s="2252"/>
      <c r="Z613" s="2252"/>
      <c r="AA613" s="2252"/>
      <c r="AB613" s="2255"/>
      <c r="AC613" s="2252"/>
      <c r="AD613" s="2252"/>
      <c r="AE613" s="2252"/>
      <c r="AF613" s="2252"/>
    </row>
    <row r="614" spans="2:32">
      <c r="B614" s="2252"/>
      <c r="C614" s="2254"/>
      <c r="D614" s="2380"/>
      <c r="E614" s="2380"/>
      <c r="F614" s="2252"/>
      <c r="G614" s="2252"/>
      <c r="H614" s="2252"/>
      <c r="I614" s="2252"/>
      <c r="J614" s="2252"/>
      <c r="K614" s="2252"/>
      <c r="L614" s="2252"/>
      <c r="M614" s="2252"/>
      <c r="N614" s="2252"/>
      <c r="O614" s="2252"/>
      <c r="P614" s="2252"/>
      <c r="Q614" s="2252"/>
      <c r="R614" s="2252"/>
      <c r="S614" s="2252"/>
      <c r="T614" s="2252"/>
      <c r="U614" s="2252"/>
      <c r="V614" s="2252"/>
      <c r="W614" s="2252"/>
      <c r="X614" s="2252"/>
      <c r="Y614" s="2252"/>
      <c r="Z614" s="2252"/>
      <c r="AA614" s="2252"/>
      <c r="AB614" s="2255"/>
      <c r="AC614" s="2252"/>
      <c r="AD614" s="2252"/>
      <c r="AE614" s="2252"/>
      <c r="AF614" s="2252"/>
    </row>
    <row r="615" spans="2:32">
      <c r="B615" s="2252"/>
      <c r="C615" s="2254"/>
      <c r="D615" s="2380"/>
      <c r="E615" s="2380"/>
      <c r="F615" s="2252"/>
      <c r="G615" s="2252"/>
      <c r="H615" s="2252"/>
      <c r="I615" s="2252"/>
      <c r="J615" s="2252"/>
      <c r="K615" s="2252"/>
      <c r="L615" s="2252"/>
      <c r="M615" s="2252"/>
      <c r="N615" s="2252"/>
      <c r="O615" s="2252"/>
      <c r="P615" s="2252"/>
      <c r="Q615" s="2252"/>
      <c r="R615" s="2252"/>
      <c r="S615" s="2252"/>
      <c r="T615" s="2252"/>
      <c r="U615" s="2252"/>
      <c r="V615" s="2252"/>
      <c r="W615" s="2252"/>
      <c r="X615" s="2252"/>
      <c r="Y615" s="2252"/>
      <c r="Z615" s="2252"/>
      <c r="AA615" s="2252"/>
      <c r="AB615" s="2255"/>
      <c r="AC615" s="2252"/>
      <c r="AD615" s="2252"/>
      <c r="AE615" s="2252"/>
      <c r="AF615" s="2252"/>
    </row>
    <row r="616" spans="2:32">
      <c r="B616" s="2252"/>
      <c r="C616" s="2254"/>
      <c r="D616" s="2380"/>
      <c r="E616" s="2380"/>
      <c r="F616" s="2252"/>
      <c r="G616" s="2252"/>
      <c r="H616" s="2252"/>
      <c r="I616" s="2252"/>
      <c r="J616" s="2252"/>
      <c r="K616" s="2252"/>
      <c r="L616" s="2252"/>
      <c r="M616" s="2252"/>
      <c r="N616" s="2252"/>
      <c r="O616" s="2252"/>
      <c r="P616" s="2252"/>
      <c r="Q616" s="2252"/>
      <c r="R616" s="2252"/>
      <c r="S616" s="2252"/>
      <c r="T616" s="2252"/>
      <c r="U616" s="2252"/>
      <c r="V616" s="2252"/>
      <c r="W616" s="2252"/>
      <c r="X616" s="2252"/>
      <c r="Y616" s="2252"/>
      <c r="Z616" s="2252"/>
      <c r="AA616" s="2252"/>
      <c r="AB616" s="2255"/>
      <c r="AC616" s="2252"/>
      <c r="AD616" s="2252"/>
      <c r="AE616" s="2252"/>
      <c r="AF616" s="2252"/>
    </row>
    <row r="617" spans="2:32">
      <c r="B617" s="2252"/>
      <c r="C617" s="2254"/>
      <c r="D617" s="2380"/>
      <c r="E617" s="2380"/>
      <c r="F617" s="2252"/>
      <c r="G617" s="2252"/>
      <c r="H617" s="2252"/>
      <c r="I617" s="2252"/>
      <c r="J617" s="2252"/>
      <c r="K617" s="2252"/>
      <c r="L617" s="2252"/>
      <c r="M617" s="2252"/>
      <c r="N617" s="2252"/>
      <c r="O617" s="2252"/>
      <c r="P617" s="2252"/>
      <c r="Q617" s="2252"/>
      <c r="R617" s="2252"/>
      <c r="S617" s="2252"/>
      <c r="T617" s="2252"/>
      <c r="U617" s="2252"/>
      <c r="V617" s="2252"/>
      <c r="W617" s="2252"/>
      <c r="X617" s="2252"/>
      <c r="Y617" s="2252"/>
      <c r="Z617" s="2252"/>
      <c r="AA617" s="2252"/>
      <c r="AB617" s="2255"/>
      <c r="AC617" s="2252"/>
      <c r="AD617" s="2252"/>
      <c r="AE617" s="2252"/>
      <c r="AF617" s="2252"/>
    </row>
    <row r="618" spans="2:32">
      <c r="B618" s="2252"/>
      <c r="C618" s="2254"/>
      <c r="D618" s="2380"/>
      <c r="E618" s="2380"/>
      <c r="F618" s="2252"/>
      <c r="G618" s="2252"/>
      <c r="H618" s="2252"/>
      <c r="I618" s="2252"/>
      <c r="J618" s="2252"/>
      <c r="K618" s="2252"/>
      <c r="L618" s="2252"/>
      <c r="M618" s="2252"/>
      <c r="N618" s="2252"/>
      <c r="O618" s="2252"/>
      <c r="P618" s="2252"/>
      <c r="Q618" s="2252"/>
      <c r="R618" s="2252"/>
      <c r="S618" s="2252"/>
      <c r="T618" s="2252"/>
      <c r="U618" s="2252"/>
      <c r="V618" s="2252"/>
      <c r="W618" s="2252"/>
      <c r="X618" s="2252"/>
      <c r="Y618" s="2252"/>
      <c r="Z618" s="2252"/>
      <c r="AA618" s="2252"/>
      <c r="AB618" s="2255"/>
      <c r="AC618" s="2252"/>
      <c r="AD618" s="2252"/>
      <c r="AE618" s="2252"/>
      <c r="AF618" s="2252"/>
    </row>
    <row r="619" spans="2:32">
      <c r="B619" s="2252"/>
      <c r="C619" s="2254"/>
      <c r="D619" s="2380"/>
      <c r="E619" s="2380"/>
      <c r="F619" s="2252"/>
      <c r="G619" s="2252"/>
      <c r="H619" s="2252"/>
      <c r="I619" s="2252"/>
      <c r="J619" s="2252"/>
      <c r="K619" s="2252"/>
      <c r="L619" s="2252"/>
      <c r="M619" s="2252"/>
      <c r="N619" s="2252"/>
      <c r="O619" s="2252"/>
      <c r="P619" s="2252"/>
      <c r="Q619" s="2252"/>
      <c r="R619" s="2252"/>
      <c r="S619" s="2252"/>
      <c r="T619" s="2252"/>
      <c r="U619" s="2252"/>
      <c r="V619" s="2252"/>
      <c r="W619" s="2252"/>
      <c r="X619" s="2252"/>
      <c r="Y619" s="2252"/>
      <c r="Z619" s="2252"/>
      <c r="AA619" s="2252"/>
      <c r="AB619" s="2255"/>
      <c r="AC619" s="2252"/>
      <c r="AD619" s="2252"/>
      <c r="AE619" s="2252"/>
      <c r="AF619" s="2252"/>
    </row>
    <row r="620" spans="2:32">
      <c r="B620" s="2252"/>
      <c r="C620" s="2254"/>
      <c r="D620" s="2380"/>
      <c r="E620" s="2380"/>
      <c r="F620" s="2252"/>
      <c r="G620" s="2252"/>
      <c r="H620" s="2252"/>
      <c r="I620" s="2252"/>
      <c r="J620" s="2252"/>
      <c r="K620" s="2252"/>
      <c r="L620" s="2252"/>
      <c r="M620" s="2252"/>
      <c r="N620" s="2252"/>
      <c r="O620" s="2252"/>
      <c r="P620" s="2252"/>
      <c r="Q620" s="2252"/>
      <c r="R620" s="2252"/>
      <c r="S620" s="2252"/>
      <c r="T620" s="2252"/>
      <c r="U620" s="2252"/>
      <c r="V620" s="2252"/>
      <c r="W620" s="2252"/>
      <c r="X620" s="2252"/>
      <c r="Y620" s="2252"/>
      <c r="Z620" s="2252"/>
      <c r="AA620" s="2252"/>
      <c r="AB620" s="2255"/>
      <c r="AC620" s="2252"/>
      <c r="AD620" s="2252"/>
      <c r="AE620" s="2252"/>
      <c r="AF620" s="2252"/>
    </row>
    <row r="621" spans="2:32">
      <c r="B621" s="2252"/>
      <c r="C621" s="2254"/>
      <c r="D621" s="2380"/>
      <c r="E621" s="2380"/>
      <c r="F621" s="2252"/>
      <c r="G621" s="2252"/>
      <c r="H621" s="2252"/>
      <c r="I621" s="2252"/>
      <c r="J621" s="2252"/>
      <c r="K621" s="2252"/>
      <c r="L621" s="2252"/>
      <c r="M621" s="2252"/>
      <c r="N621" s="2252"/>
      <c r="O621" s="2252"/>
      <c r="P621" s="2252"/>
      <c r="Q621" s="2252"/>
      <c r="R621" s="2252"/>
      <c r="S621" s="2252"/>
      <c r="T621" s="2252"/>
      <c r="U621" s="2252"/>
      <c r="V621" s="2252"/>
      <c r="W621" s="2252"/>
      <c r="X621" s="2252"/>
      <c r="Y621" s="2252"/>
      <c r="Z621" s="2252"/>
      <c r="AA621" s="2252"/>
      <c r="AB621" s="2255"/>
      <c r="AC621" s="2252"/>
      <c r="AD621" s="2252"/>
      <c r="AE621" s="2252"/>
      <c r="AF621" s="2252"/>
    </row>
    <row r="622" spans="2:32">
      <c r="B622" s="2252"/>
      <c r="C622" s="2254"/>
      <c r="D622" s="2380"/>
      <c r="E622" s="2380"/>
      <c r="F622" s="2252"/>
      <c r="G622" s="2252"/>
      <c r="H622" s="2252"/>
      <c r="I622" s="2252"/>
      <c r="J622" s="2252"/>
      <c r="K622" s="2252"/>
      <c r="L622" s="2252"/>
      <c r="M622" s="2252"/>
      <c r="N622" s="2252"/>
      <c r="O622" s="2252"/>
      <c r="P622" s="2252"/>
      <c r="Q622" s="2252"/>
      <c r="R622" s="2252"/>
      <c r="S622" s="2252"/>
      <c r="T622" s="2252"/>
      <c r="U622" s="2252"/>
      <c r="V622" s="2252"/>
      <c r="W622" s="2252"/>
      <c r="X622" s="2252"/>
      <c r="Y622" s="2252"/>
      <c r="Z622" s="2252"/>
      <c r="AA622" s="2252"/>
      <c r="AB622" s="2255"/>
      <c r="AC622" s="2252"/>
      <c r="AD622" s="2252"/>
      <c r="AE622" s="2252"/>
      <c r="AF622" s="2252"/>
    </row>
    <row r="623" spans="2:32">
      <c r="B623" s="2252"/>
      <c r="C623" s="2254"/>
      <c r="D623" s="2380"/>
      <c r="E623" s="2380"/>
      <c r="F623" s="2252"/>
      <c r="G623" s="2252"/>
      <c r="H623" s="2252"/>
      <c r="I623" s="2252"/>
      <c r="J623" s="2252"/>
      <c r="K623" s="2252"/>
      <c r="L623" s="2252"/>
      <c r="M623" s="2252"/>
      <c r="N623" s="2252"/>
      <c r="O623" s="2252"/>
      <c r="P623" s="2252"/>
      <c r="Q623" s="2252"/>
      <c r="R623" s="2252"/>
      <c r="S623" s="2252"/>
      <c r="T623" s="2252"/>
      <c r="U623" s="2252"/>
      <c r="V623" s="2252"/>
      <c r="W623" s="2252"/>
      <c r="X623" s="2252"/>
      <c r="Y623" s="2252"/>
      <c r="Z623" s="2252"/>
      <c r="AA623" s="2252"/>
      <c r="AB623" s="2255"/>
      <c r="AC623" s="2252"/>
      <c r="AD623" s="2252"/>
      <c r="AE623" s="2252"/>
      <c r="AF623" s="2252"/>
    </row>
    <row r="624" spans="2:32">
      <c r="B624" s="2252"/>
      <c r="C624" s="2254"/>
      <c r="D624" s="2380"/>
      <c r="E624" s="2380"/>
      <c r="F624" s="2252"/>
      <c r="G624" s="2252"/>
      <c r="H624" s="2252"/>
      <c r="I624" s="2252"/>
      <c r="J624" s="2252"/>
      <c r="K624" s="2252"/>
      <c r="L624" s="2252"/>
      <c r="M624" s="2252"/>
      <c r="N624" s="2252"/>
      <c r="O624" s="2252"/>
      <c r="P624" s="2252"/>
      <c r="Q624" s="2252"/>
      <c r="R624" s="2252"/>
      <c r="S624" s="2252"/>
      <c r="T624" s="2252"/>
      <c r="U624" s="2252"/>
      <c r="V624" s="2252"/>
      <c r="W624" s="2252"/>
      <c r="X624" s="2252"/>
      <c r="Y624" s="2252"/>
      <c r="Z624" s="2252"/>
      <c r="AA624" s="2252"/>
      <c r="AB624" s="2255"/>
      <c r="AC624" s="2252"/>
      <c r="AD624" s="2252"/>
      <c r="AE624" s="2252"/>
      <c r="AF624" s="2252"/>
    </row>
    <row r="625" spans="2:32">
      <c r="B625" s="2252"/>
      <c r="C625" s="2254"/>
      <c r="D625" s="2380"/>
      <c r="E625" s="2380"/>
      <c r="F625" s="2252"/>
      <c r="G625" s="2252"/>
      <c r="H625" s="2252"/>
      <c r="I625" s="2252"/>
      <c r="J625" s="2252"/>
      <c r="K625" s="2252"/>
      <c r="L625" s="2252"/>
      <c r="M625" s="2252"/>
      <c r="N625" s="2252"/>
      <c r="O625" s="2252"/>
      <c r="P625" s="2252"/>
      <c r="Q625" s="2252"/>
      <c r="R625" s="2252"/>
      <c r="S625" s="2252"/>
      <c r="T625" s="2252"/>
      <c r="U625" s="2252"/>
      <c r="V625" s="2252"/>
      <c r="W625" s="2252"/>
      <c r="X625" s="2252"/>
      <c r="Y625" s="2252"/>
      <c r="Z625" s="2252"/>
      <c r="AA625" s="2252"/>
      <c r="AB625" s="2255"/>
      <c r="AC625" s="2252"/>
      <c r="AD625" s="2252"/>
      <c r="AE625" s="2252"/>
      <c r="AF625" s="2252"/>
    </row>
    <row r="626" spans="2:32">
      <c r="B626" s="2252"/>
      <c r="C626" s="2254"/>
      <c r="D626" s="2380"/>
      <c r="E626" s="2380"/>
      <c r="F626" s="2252"/>
      <c r="G626" s="2252"/>
      <c r="H626" s="2252"/>
      <c r="I626" s="2252"/>
      <c r="J626" s="2252"/>
      <c r="K626" s="2252"/>
      <c r="L626" s="2252"/>
      <c r="M626" s="2252"/>
      <c r="N626" s="2252"/>
      <c r="O626" s="2252"/>
      <c r="P626" s="2252"/>
      <c r="Q626" s="2252"/>
      <c r="R626" s="2252"/>
      <c r="S626" s="2252"/>
      <c r="T626" s="2252"/>
      <c r="U626" s="2252"/>
      <c r="V626" s="2252"/>
      <c r="W626" s="2252"/>
      <c r="X626" s="2252"/>
      <c r="Y626" s="2252"/>
      <c r="Z626" s="2252"/>
      <c r="AA626" s="2252"/>
      <c r="AB626" s="2255"/>
      <c r="AC626" s="2252"/>
      <c r="AD626" s="2252"/>
      <c r="AE626" s="2252"/>
      <c r="AF626" s="2252"/>
    </row>
    <row r="627" spans="2:32">
      <c r="B627" s="2252"/>
      <c r="C627" s="2254"/>
      <c r="D627" s="2380"/>
      <c r="E627" s="2380"/>
      <c r="F627" s="2252"/>
      <c r="G627" s="2252"/>
      <c r="H627" s="2252"/>
      <c r="I627" s="2252"/>
      <c r="J627" s="2252"/>
      <c r="K627" s="2252"/>
      <c r="L627" s="2252"/>
      <c r="M627" s="2252"/>
      <c r="N627" s="2252"/>
      <c r="O627" s="2252"/>
      <c r="P627" s="2252"/>
      <c r="Q627" s="2252"/>
      <c r="R627" s="2252"/>
      <c r="S627" s="2252"/>
      <c r="T627" s="2252"/>
      <c r="U627" s="2252"/>
      <c r="V627" s="2252"/>
      <c r="W627" s="2252"/>
      <c r="X627" s="2252"/>
      <c r="Y627" s="2252"/>
      <c r="Z627" s="2252"/>
      <c r="AA627" s="2252"/>
      <c r="AB627" s="2255"/>
      <c r="AC627" s="2252"/>
      <c r="AD627" s="2252"/>
      <c r="AE627" s="2252"/>
      <c r="AF627" s="2252"/>
    </row>
    <row r="628" spans="2:32">
      <c r="B628" s="2252"/>
      <c r="C628" s="2254"/>
      <c r="D628" s="2380"/>
      <c r="E628" s="2380"/>
      <c r="F628" s="2252"/>
      <c r="G628" s="2252"/>
      <c r="H628" s="2252"/>
      <c r="I628" s="2252"/>
      <c r="J628" s="2252"/>
      <c r="K628" s="2252"/>
      <c r="L628" s="2252"/>
      <c r="M628" s="2252"/>
      <c r="N628" s="2252"/>
      <c r="O628" s="2252"/>
      <c r="P628" s="2252"/>
      <c r="Q628" s="2252"/>
      <c r="R628" s="2252"/>
      <c r="S628" s="2252"/>
      <c r="T628" s="2252"/>
      <c r="U628" s="2252"/>
      <c r="V628" s="2252"/>
      <c r="W628" s="2252"/>
      <c r="X628" s="2252"/>
      <c r="Y628" s="2252"/>
      <c r="Z628" s="2252"/>
      <c r="AA628" s="2252"/>
      <c r="AB628" s="2255"/>
      <c r="AC628" s="2252"/>
      <c r="AD628" s="2252"/>
      <c r="AE628" s="2252"/>
      <c r="AF628" s="2252"/>
    </row>
    <row r="629" spans="2:32">
      <c r="B629" s="2252"/>
      <c r="C629" s="2254"/>
      <c r="D629" s="2380"/>
      <c r="E629" s="2380"/>
      <c r="F629" s="2252"/>
      <c r="G629" s="2252"/>
      <c r="H629" s="2252"/>
      <c r="I629" s="2252"/>
      <c r="J629" s="2252"/>
      <c r="K629" s="2252"/>
      <c r="L629" s="2252"/>
      <c r="M629" s="2252"/>
      <c r="N629" s="2252"/>
      <c r="O629" s="2252"/>
      <c r="P629" s="2252"/>
      <c r="Q629" s="2252"/>
      <c r="R629" s="2252"/>
      <c r="S629" s="2252"/>
      <c r="T629" s="2252"/>
      <c r="U629" s="2252"/>
      <c r="V629" s="2252"/>
      <c r="W629" s="2252"/>
      <c r="X629" s="2252"/>
      <c r="Y629" s="2252"/>
      <c r="Z629" s="2252"/>
      <c r="AA629" s="2252"/>
      <c r="AB629" s="2255"/>
      <c r="AC629" s="2252"/>
      <c r="AD629" s="2252"/>
      <c r="AE629" s="2252"/>
      <c r="AF629" s="2252"/>
    </row>
    <row r="630" spans="2:32">
      <c r="B630" s="2252"/>
      <c r="C630" s="2254"/>
      <c r="D630" s="2380"/>
      <c r="E630" s="2380"/>
      <c r="F630" s="2252"/>
      <c r="G630" s="2252"/>
      <c r="H630" s="2252"/>
      <c r="I630" s="2252"/>
      <c r="J630" s="2252"/>
      <c r="K630" s="2252"/>
      <c r="L630" s="2252"/>
      <c r="M630" s="2252"/>
      <c r="N630" s="2252"/>
      <c r="O630" s="2252"/>
      <c r="P630" s="2252"/>
      <c r="Q630" s="2252"/>
      <c r="R630" s="2252"/>
      <c r="S630" s="2252"/>
      <c r="T630" s="2252"/>
      <c r="U630" s="2252"/>
      <c r="V630" s="2252"/>
      <c r="W630" s="2252"/>
      <c r="X630" s="2252"/>
      <c r="Y630" s="2252"/>
      <c r="Z630" s="2252"/>
      <c r="AA630" s="2252"/>
      <c r="AB630" s="2255"/>
      <c r="AC630" s="2252"/>
      <c r="AD630" s="2252"/>
      <c r="AE630" s="2252"/>
      <c r="AF630" s="2252"/>
    </row>
    <row r="631" spans="2:32">
      <c r="B631" s="2252"/>
      <c r="C631" s="2254"/>
      <c r="D631" s="2380"/>
      <c r="E631" s="2380"/>
      <c r="F631" s="2252"/>
      <c r="G631" s="2252"/>
      <c r="H631" s="2252"/>
      <c r="I631" s="2252"/>
      <c r="J631" s="2252"/>
      <c r="K631" s="2252"/>
      <c r="L631" s="2252"/>
      <c r="M631" s="2252"/>
      <c r="N631" s="2252"/>
      <c r="O631" s="2252"/>
      <c r="P631" s="2252"/>
      <c r="Q631" s="2252"/>
      <c r="R631" s="2252"/>
      <c r="S631" s="2252"/>
      <c r="T631" s="2252"/>
      <c r="U631" s="2252"/>
      <c r="V631" s="2252"/>
      <c r="W631" s="2252"/>
      <c r="X631" s="2252"/>
      <c r="Y631" s="2252"/>
      <c r="Z631" s="2252"/>
      <c r="AA631" s="2252"/>
      <c r="AB631" s="2255"/>
      <c r="AC631" s="2252"/>
      <c r="AD631" s="2252"/>
      <c r="AE631" s="2252"/>
      <c r="AF631" s="2252"/>
    </row>
    <row r="632" spans="2:32">
      <c r="B632" s="2252"/>
      <c r="C632" s="2254"/>
      <c r="D632" s="2380"/>
      <c r="E632" s="2380"/>
      <c r="F632" s="2252"/>
      <c r="G632" s="2252"/>
      <c r="H632" s="2252"/>
      <c r="I632" s="2252"/>
      <c r="J632" s="2252"/>
      <c r="K632" s="2252"/>
      <c r="L632" s="2252"/>
      <c r="M632" s="2252"/>
      <c r="N632" s="2252"/>
      <c r="O632" s="2252"/>
      <c r="P632" s="2252"/>
      <c r="Q632" s="2252"/>
      <c r="R632" s="2252"/>
      <c r="S632" s="2252"/>
      <c r="T632" s="2252"/>
      <c r="U632" s="2252"/>
      <c r="V632" s="2252"/>
      <c r="W632" s="2252"/>
      <c r="X632" s="2252"/>
      <c r="Y632" s="2252"/>
      <c r="Z632" s="2252"/>
      <c r="AA632" s="2252"/>
      <c r="AB632" s="2255"/>
      <c r="AC632" s="2252"/>
      <c r="AD632" s="2252"/>
      <c r="AE632" s="2252"/>
      <c r="AF632" s="2252"/>
    </row>
    <row r="633" spans="2:32">
      <c r="B633" s="2252"/>
      <c r="C633" s="2254"/>
      <c r="D633" s="2380"/>
      <c r="E633" s="2380"/>
      <c r="F633" s="2252"/>
      <c r="G633" s="2252"/>
      <c r="H633" s="2252"/>
      <c r="I633" s="2252"/>
      <c r="J633" s="2252"/>
      <c r="K633" s="2252"/>
      <c r="L633" s="2252"/>
      <c r="M633" s="2252"/>
      <c r="N633" s="2252"/>
      <c r="O633" s="2252"/>
      <c r="P633" s="2252"/>
      <c r="Q633" s="2252"/>
      <c r="R633" s="2252"/>
      <c r="S633" s="2252"/>
      <c r="T633" s="2252"/>
      <c r="U633" s="2252"/>
      <c r="V633" s="2252"/>
      <c r="W633" s="2252"/>
      <c r="X633" s="2252"/>
      <c r="Y633" s="2252"/>
      <c r="Z633" s="2252"/>
      <c r="AA633" s="2252"/>
      <c r="AB633" s="2255"/>
      <c r="AC633" s="2252"/>
      <c r="AD633" s="2252"/>
      <c r="AE633" s="2252"/>
      <c r="AF633" s="2252"/>
    </row>
    <row r="634" spans="2:32">
      <c r="B634" s="2252"/>
      <c r="C634" s="2254"/>
      <c r="D634" s="2380"/>
      <c r="E634" s="2380"/>
      <c r="F634" s="2252"/>
      <c r="G634" s="2252"/>
      <c r="H634" s="2252"/>
      <c r="I634" s="2252"/>
      <c r="J634" s="2252"/>
      <c r="K634" s="2252"/>
      <c r="L634" s="2252"/>
      <c r="M634" s="2252"/>
      <c r="N634" s="2252"/>
      <c r="O634" s="2252"/>
      <c r="P634" s="2252"/>
      <c r="Q634" s="2252"/>
      <c r="R634" s="2252"/>
      <c r="S634" s="2252"/>
      <c r="T634" s="2252"/>
      <c r="U634" s="2252"/>
      <c r="V634" s="2252"/>
      <c r="W634" s="2252"/>
      <c r="X634" s="2252"/>
      <c r="Y634" s="2252"/>
      <c r="Z634" s="2252"/>
      <c r="AA634" s="2252"/>
      <c r="AB634" s="2255"/>
      <c r="AC634" s="2252"/>
      <c r="AD634" s="2252"/>
      <c r="AE634" s="2252"/>
      <c r="AF634" s="2252"/>
    </row>
    <row r="635" spans="2:32">
      <c r="B635" s="2252"/>
      <c r="C635" s="2254"/>
      <c r="D635" s="2380"/>
      <c r="E635" s="2380"/>
      <c r="F635" s="2252"/>
      <c r="G635" s="2252"/>
      <c r="H635" s="2252"/>
      <c r="I635" s="2252"/>
      <c r="J635" s="2252"/>
      <c r="K635" s="2252"/>
      <c r="L635" s="2252"/>
      <c r="M635" s="2252"/>
      <c r="N635" s="2252"/>
      <c r="O635" s="2252"/>
      <c r="P635" s="2252"/>
      <c r="Q635" s="2252"/>
      <c r="R635" s="2252"/>
      <c r="S635" s="2252"/>
      <c r="T635" s="2252"/>
      <c r="U635" s="2252"/>
      <c r="V635" s="2252"/>
      <c r="W635" s="2252"/>
      <c r="X635" s="2252"/>
      <c r="Y635" s="2252"/>
      <c r="Z635" s="2252"/>
      <c r="AA635" s="2252"/>
      <c r="AB635" s="2255"/>
      <c r="AC635" s="2252"/>
      <c r="AD635" s="2252"/>
      <c r="AE635" s="2252"/>
      <c r="AF635" s="2252"/>
    </row>
    <row r="636" spans="2:32">
      <c r="B636" s="2252"/>
      <c r="C636" s="2254"/>
      <c r="D636" s="2380"/>
      <c r="E636" s="2380"/>
      <c r="F636" s="2252"/>
      <c r="G636" s="2252"/>
      <c r="H636" s="2252"/>
      <c r="I636" s="2252"/>
      <c r="J636" s="2252"/>
      <c r="K636" s="2252"/>
      <c r="L636" s="2252"/>
      <c r="M636" s="2252"/>
      <c r="N636" s="2252"/>
      <c r="O636" s="2252"/>
      <c r="P636" s="2252"/>
      <c r="Q636" s="2252"/>
      <c r="R636" s="2252"/>
      <c r="S636" s="2252"/>
      <c r="T636" s="2252"/>
      <c r="U636" s="2252"/>
      <c r="V636" s="2252"/>
      <c r="W636" s="2252"/>
      <c r="X636" s="2252"/>
      <c r="Y636" s="2252"/>
      <c r="Z636" s="2252"/>
      <c r="AA636" s="2252"/>
      <c r="AB636" s="2255"/>
      <c r="AC636" s="2252"/>
      <c r="AD636" s="2252"/>
      <c r="AE636" s="2252"/>
      <c r="AF636" s="2252"/>
    </row>
    <row r="637" spans="2:32">
      <c r="B637" s="2252"/>
      <c r="C637" s="2254"/>
      <c r="D637" s="2380"/>
      <c r="E637" s="2380"/>
      <c r="F637" s="2252"/>
      <c r="G637" s="2252"/>
      <c r="H637" s="2252"/>
      <c r="I637" s="2252"/>
      <c r="J637" s="2252"/>
      <c r="K637" s="2252"/>
      <c r="L637" s="2252"/>
      <c r="M637" s="2252"/>
      <c r="N637" s="2252"/>
      <c r="O637" s="2252"/>
      <c r="P637" s="2252"/>
      <c r="Q637" s="2252"/>
      <c r="R637" s="2252"/>
      <c r="S637" s="2252"/>
      <c r="T637" s="2252"/>
      <c r="U637" s="2252"/>
      <c r="V637" s="2252"/>
      <c r="W637" s="2252"/>
      <c r="X637" s="2252"/>
      <c r="Y637" s="2252"/>
      <c r="Z637" s="2252"/>
      <c r="AA637" s="2252"/>
      <c r="AB637" s="2255"/>
      <c r="AC637" s="2252"/>
      <c r="AD637" s="2252"/>
      <c r="AE637" s="2252"/>
      <c r="AF637" s="2252"/>
    </row>
    <row r="638" spans="2:32">
      <c r="B638" s="2252"/>
      <c r="C638" s="2254"/>
      <c r="D638" s="2380"/>
      <c r="E638" s="2380"/>
      <c r="F638" s="2252"/>
      <c r="G638" s="2252"/>
      <c r="H638" s="2252"/>
      <c r="I638" s="2252"/>
      <c r="J638" s="2252"/>
      <c r="K638" s="2252"/>
      <c r="L638" s="2252"/>
      <c r="M638" s="2252"/>
      <c r="N638" s="2252"/>
      <c r="O638" s="2252"/>
      <c r="P638" s="2252"/>
      <c r="Q638" s="2252"/>
      <c r="R638" s="2252"/>
      <c r="S638" s="2252"/>
      <c r="T638" s="2252"/>
      <c r="U638" s="2252"/>
      <c r="V638" s="2252"/>
      <c r="W638" s="2252"/>
      <c r="X638" s="2252"/>
      <c r="Y638" s="2252"/>
      <c r="Z638" s="2252"/>
      <c r="AA638" s="2252"/>
      <c r="AB638" s="2255"/>
      <c r="AC638" s="2252"/>
      <c r="AD638" s="2252"/>
      <c r="AE638" s="2252"/>
      <c r="AF638" s="2252"/>
    </row>
    <row r="639" spans="2:32">
      <c r="B639" s="2252"/>
      <c r="C639" s="2254"/>
      <c r="D639" s="2380"/>
      <c r="E639" s="2380"/>
      <c r="F639" s="2252"/>
      <c r="G639" s="2252"/>
      <c r="H639" s="2252"/>
      <c r="I639" s="2252"/>
      <c r="J639" s="2252"/>
      <c r="K639" s="2252"/>
      <c r="L639" s="2252"/>
      <c r="M639" s="2252"/>
      <c r="N639" s="2252"/>
      <c r="O639" s="2252"/>
      <c r="P639" s="2252"/>
      <c r="Q639" s="2252"/>
      <c r="R639" s="2252"/>
      <c r="S639" s="2252"/>
      <c r="T639" s="2252"/>
      <c r="U639" s="2252"/>
      <c r="V639" s="2252"/>
      <c r="W639" s="2252"/>
      <c r="X639" s="2252"/>
      <c r="Y639" s="2252"/>
      <c r="Z639" s="2252"/>
      <c r="AA639" s="2252"/>
      <c r="AB639" s="2255"/>
      <c r="AC639" s="2252"/>
      <c r="AD639" s="2252"/>
      <c r="AE639" s="2252"/>
      <c r="AF639" s="2252"/>
    </row>
    <row r="640" spans="2:32">
      <c r="B640" s="2252"/>
      <c r="C640" s="2254"/>
      <c r="D640" s="2380"/>
      <c r="E640" s="2380"/>
      <c r="F640" s="2252"/>
      <c r="G640" s="2252"/>
      <c r="H640" s="2252"/>
      <c r="I640" s="2252"/>
      <c r="J640" s="2252"/>
      <c r="K640" s="2252"/>
      <c r="L640" s="2252"/>
      <c r="M640" s="2252"/>
      <c r="N640" s="2252"/>
      <c r="O640" s="2252"/>
      <c r="P640" s="2252"/>
      <c r="Q640" s="2252"/>
      <c r="R640" s="2252"/>
      <c r="S640" s="2252"/>
      <c r="T640" s="2252"/>
      <c r="U640" s="2252"/>
      <c r="V640" s="2252"/>
      <c r="W640" s="2252"/>
      <c r="X640" s="2252"/>
      <c r="Y640" s="2252"/>
      <c r="Z640" s="2252"/>
      <c r="AA640" s="2252"/>
      <c r="AB640" s="2255"/>
      <c r="AC640" s="2252"/>
      <c r="AD640" s="2252"/>
      <c r="AE640" s="2252"/>
      <c r="AF640" s="2252"/>
    </row>
    <row r="641" spans="2:32">
      <c r="B641" s="2252"/>
      <c r="C641" s="2254"/>
      <c r="D641" s="2380"/>
      <c r="E641" s="2380"/>
      <c r="F641" s="2252"/>
      <c r="G641" s="2252"/>
      <c r="H641" s="2252"/>
      <c r="I641" s="2252"/>
      <c r="J641" s="2252"/>
      <c r="K641" s="2252"/>
      <c r="L641" s="2252"/>
      <c r="M641" s="2252"/>
      <c r="N641" s="2252"/>
      <c r="O641" s="2252"/>
      <c r="P641" s="2252"/>
      <c r="Q641" s="2252"/>
      <c r="R641" s="2252"/>
      <c r="S641" s="2252"/>
      <c r="T641" s="2252"/>
      <c r="U641" s="2252"/>
      <c r="V641" s="2252"/>
      <c r="W641" s="2252"/>
      <c r="X641" s="2252"/>
      <c r="Y641" s="2252"/>
      <c r="Z641" s="2252"/>
      <c r="AA641" s="2252"/>
      <c r="AB641" s="2255"/>
      <c r="AC641" s="2252"/>
      <c r="AD641" s="2252"/>
      <c r="AE641" s="2252"/>
      <c r="AF641" s="2252"/>
    </row>
    <row r="642" spans="2:32">
      <c r="B642" s="2252"/>
      <c r="C642" s="2254"/>
      <c r="D642" s="2380"/>
      <c r="E642" s="2380"/>
      <c r="F642" s="2252"/>
      <c r="G642" s="2252"/>
      <c r="H642" s="2252"/>
      <c r="I642" s="2252"/>
      <c r="J642" s="2252"/>
      <c r="K642" s="2252"/>
      <c r="L642" s="2252"/>
      <c r="M642" s="2252"/>
      <c r="N642" s="2252"/>
      <c r="O642" s="2252"/>
      <c r="P642" s="2252"/>
      <c r="Q642" s="2252"/>
      <c r="R642" s="2252"/>
      <c r="S642" s="2252"/>
      <c r="T642" s="2252"/>
      <c r="U642" s="2252"/>
      <c r="V642" s="2252"/>
      <c r="W642" s="2252"/>
      <c r="X642" s="2252"/>
      <c r="Y642" s="2252"/>
      <c r="Z642" s="2252"/>
      <c r="AA642" s="2252"/>
      <c r="AB642" s="2255"/>
      <c r="AC642" s="2252"/>
      <c r="AD642" s="2252"/>
      <c r="AE642" s="2252"/>
      <c r="AF642" s="2252"/>
    </row>
    <row r="643" spans="2:32">
      <c r="B643" s="2252"/>
      <c r="C643" s="2254"/>
      <c r="D643" s="2380"/>
      <c r="E643" s="2380"/>
      <c r="F643" s="2252"/>
      <c r="G643" s="2252"/>
      <c r="H643" s="2252"/>
      <c r="I643" s="2252"/>
      <c r="J643" s="2252"/>
      <c r="K643" s="2252"/>
      <c r="L643" s="2252"/>
      <c r="M643" s="2252"/>
      <c r="N643" s="2252"/>
      <c r="O643" s="2252"/>
      <c r="P643" s="2252"/>
      <c r="Q643" s="2252"/>
      <c r="R643" s="2252"/>
      <c r="S643" s="2252"/>
      <c r="T643" s="2252"/>
      <c r="U643" s="2252"/>
      <c r="V643" s="2252"/>
      <c r="W643" s="2252"/>
      <c r="X643" s="2252"/>
      <c r="Y643" s="2252"/>
      <c r="Z643" s="2252"/>
      <c r="AA643" s="2252"/>
      <c r="AB643" s="2255"/>
      <c r="AC643" s="2252"/>
      <c r="AD643" s="2252"/>
      <c r="AE643" s="2252"/>
      <c r="AF643" s="2252"/>
    </row>
    <row r="644" spans="2:32">
      <c r="B644" s="2252"/>
      <c r="C644" s="2254"/>
      <c r="D644" s="2380"/>
      <c r="E644" s="2380"/>
      <c r="F644" s="2252"/>
      <c r="G644" s="2252"/>
      <c r="H644" s="2252"/>
      <c r="I644" s="2252"/>
      <c r="J644" s="2252"/>
      <c r="K644" s="2252"/>
      <c r="L644" s="2252"/>
      <c r="M644" s="2252"/>
      <c r="N644" s="2252"/>
      <c r="O644" s="2252"/>
      <c r="P644" s="2252"/>
      <c r="Q644" s="2252"/>
      <c r="R644" s="2252"/>
      <c r="S644" s="2252"/>
      <c r="T644" s="2252"/>
      <c r="U644" s="2252"/>
      <c r="V644" s="2252"/>
      <c r="W644" s="2252"/>
      <c r="X644" s="2252"/>
      <c r="Y644" s="2252"/>
      <c r="Z644" s="2252"/>
      <c r="AA644" s="2252"/>
      <c r="AB644" s="2255"/>
      <c r="AC644" s="2252"/>
      <c r="AD644" s="2252"/>
      <c r="AE644" s="2252"/>
      <c r="AF644" s="2252"/>
    </row>
    <row r="645" spans="2:32">
      <c r="B645" s="2252"/>
      <c r="C645" s="2254"/>
      <c r="D645" s="2380"/>
      <c r="E645" s="2380"/>
      <c r="F645" s="2252"/>
      <c r="G645" s="2252"/>
      <c r="H645" s="2252"/>
      <c r="I645" s="2252"/>
      <c r="J645" s="2252"/>
      <c r="K645" s="2252"/>
      <c r="L645" s="2252"/>
      <c r="M645" s="2252"/>
      <c r="N645" s="2252"/>
      <c r="O645" s="2252"/>
      <c r="P645" s="2252"/>
      <c r="Q645" s="2252"/>
      <c r="R645" s="2252"/>
      <c r="S645" s="2252"/>
      <c r="T645" s="2252"/>
      <c r="U645" s="2252"/>
      <c r="V645" s="2252"/>
      <c r="W645" s="2252"/>
      <c r="X645" s="2252"/>
      <c r="Y645" s="2252"/>
      <c r="Z645" s="2252"/>
      <c r="AA645" s="2252"/>
      <c r="AB645" s="2255"/>
      <c r="AC645" s="2252"/>
      <c r="AD645" s="2252"/>
      <c r="AE645" s="2252"/>
      <c r="AF645" s="2252"/>
    </row>
    <row r="646" spans="2:32">
      <c r="B646" s="2252"/>
      <c r="C646" s="2254"/>
      <c r="D646" s="2380"/>
      <c r="E646" s="2380"/>
      <c r="F646" s="2252"/>
      <c r="G646" s="2252"/>
      <c r="H646" s="2252"/>
      <c r="I646" s="2252"/>
      <c r="J646" s="2252"/>
      <c r="K646" s="2252"/>
      <c r="L646" s="2252"/>
      <c r="M646" s="2252"/>
      <c r="N646" s="2252"/>
      <c r="O646" s="2252"/>
      <c r="P646" s="2252"/>
      <c r="Q646" s="2252"/>
      <c r="R646" s="2252"/>
      <c r="S646" s="2252"/>
      <c r="T646" s="2252"/>
      <c r="U646" s="2252"/>
      <c r="V646" s="2252"/>
      <c r="W646" s="2252"/>
      <c r="X646" s="2252"/>
      <c r="Y646" s="2252"/>
      <c r="Z646" s="2252"/>
      <c r="AA646" s="2252"/>
      <c r="AB646" s="2255"/>
      <c r="AC646" s="2252"/>
      <c r="AD646" s="2252"/>
      <c r="AE646" s="2252"/>
      <c r="AF646" s="2252"/>
    </row>
    <row r="647" spans="2:32">
      <c r="B647" s="2252"/>
      <c r="C647" s="2254"/>
      <c r="D647" s="2380"/>
      <c r="E647" s="2380"/>
      <c r="F647" s="2252"/>
      <c r="G647" s="2252"/>
      <c r="H647" s="2252"/>
      <c r="I647" s="2252"/>
      <c r="J647" s="2252"/>
      <c r="K647" s="2252"/>
      <c r="L647" s="2252"/>
      <c r="M647" s="2252"/>
      <c r="N647" s="2252"/>
      <c r="O647" s="2252"/>
      <c r="P647" s="2252"/>
      <c r="Q647" s="2252"/>
      <c r="R647" s="2252"/>
      <c r="S647" s="2252"/>
      <c r="T647" s="2252"/>
      <c r="U647" s="2252"/>
      <c r="V647" s="2252"/>
      <c r="W647" s="2252"/>
      <c r="X647" s="2252"/>
      <c r="Y647" s="2252"/>
      <c r="Z647" s="2252"/>
      <c r="AA647" s="2252"/>
      <c r="AB647" s="2255"/>
      <c r="AC647" s="2252"/>
      <c r="AD647" s="2252"/>
      <c r="AE647" s="2252"/>
      <c r="AF647" s="2252"/>
    </row>
    <row r="648" spans="2:32">
      <c r="B648" s="2252"/>
      <c r="C648" s="2254"/>
      <c r="D648" s="2380"/>
      <c r="E648" s="2380"/>
      <c r="F648" s="2252"/>
      <c r="G648" s="2252"/>
      <c r="H648" s="2252"/>
      <c r="I648" s="2252"/>
      <c r="J648" s="2252"/>
      <c r="K648" s="2252"/>
      <c r="L648" s="2252"/>
      <c r="M648" s="2252"/>
      <c r="N648" s="2252"/>
      <c r="O648" s="2252"/>
      <c r="P648" s="2252"/>
      <c r="Q648" s="2252"/>
      <c r="R648" s="2252"/>
      <c r="S648" s="2252"/>
      <c r="T648" s="2252"/>
      <c r="U648" s="2252"/>
      <c r="V648" s="2252"/>
      <c r="W648" s="2252"/>
      <c r="X648" s="2252"/>
      <c r="Y648" s="2252"/>
      <c r="Z648" s="2252"/>
      <c r="AA648" s="2252"/>
      <c r="AB648" s="2255"/>
      <c r="AC648" s="2252"/>
      <c r="AD648" s="2252"/>
      <c r="AE648" s="2252"/>
      <c r="AF648" s="2252"/>
    </row>
    <row r="649" spans="2:32">
      <c r="B649" s="2252"/>
      <c r="C649" s="2254"/>
      <c r="D649" s="2380"/>
      <c r="E649" s="2380"/>
      <c r="F649" s="2252"/>
      <c r="G649" s="2252"/>
      <c r="H649" s="2252"/>
      <c r="I649" s="2252"/>
      <c r="J649" s="2252"/>
      <c r="K649" s="2252"/>
      <c r="L649" s="2252"/>
      <c r="M649" s="2252"/>
      <c r="N649" s="2252"/>
      <c r="O649" s="2252"/>
      <c r="P649" s="2252"/>
      <c r="Q649" s="2252"/>
      <c r="R649" s="2252"/>
      <c r="S649" s="2252"/>
      <c r="T649" s="2252"/>
      <c r="U649" s="2252"/>
      <c r="V649" s="2252"/>
      <c r="W649" s="2252"/>
      <c r="X649" s="2252"/>
      <c r="Y649" s="2252"/>
      <c r="Z649" s="2252"/>
      <c r="AA649" s="2252"/>
      <c r="AB649" s="2255"/>
      <c r="AC649" s="2252"/>
      <c r="AD649" s="2252"/>
      <c r="AE649" s="2252"/>
      <c r="AF649" s="2252"/>
    </row>
    <row r="650" spans="2:32">
      <c r="B650" s="2252"/>
      <c r="C650" s="2254"/>
      <c r="D650" s="2380"/>
      <c r="E650" s="2380"/>
      <c r="F650" s="2252"/>
      <c r="G650" s="2252"/>
      <c r="H650" s="2252"/>
      <c r="I650" s="2252"/>
      <c r="J650" s="2252"/>
      <c r="K650" s="2252"/>
      <c r="L650" s="2252"/>
      <c r="M650" s="2252"/>
      <c r="N650" s="2252"/>
      <c r="O650" s="2252"/>
      <c r="P650" s="2252"/>
      <c r="Q650" s="2252"/>
      <c r="R650" s="2252"/>
      <c r="S650" s="2252"/>
      <c r="T650" s="2252"/>
      <c r="U650" s="2252"/>
      <c r="V650" s="2252"/>
      <c r="W650" s="2252"/>
      <c r="X650" s="2252"/>
      <c r="Y650" s="2252"/>
      <c r="Z650" s="2252"/>
      <c r="AA650" s="2252"/>
      <c r="AB650" s="2255"/>
      <c r="AC650" s="2252"/>
      <c r="AD650" s="2252"/>
      <c r="AE650" s="2252"/>
      <c r="AF650" s="2252"/>
    </row>
    <row r="651" spans="2:32">
      <c r="B651" s="2252"/>
      <c r="C651" s="2254"/>
      <c r="D651" s="2380"/>
      <c r="E651" s="2380"/>
      <c r="F651" s="2252"/>
      <c r="G651" s="2252"/>
      <c r="H651" s="2252"/>
      <c r="I651" s="2252"/>
      <c r="J651" s="2252"/>
      <c r="K651" s="2252"/>
      <c r="L651" s="2252"/>
      <c r="M651" s="2252"/>
      <c r="N651" s="2252"/>
      <c r="O651" s="2252"/>
      <c r="P651" s="2252"/>
      <c r="Q651" s="2252"/>
      <c r="R651" s="2252"/>
      <c r="S651" s="2252"/>
      <c r="T651" s="2252"/>
      <c r="U651" s="2252"/>
      <c r="V651" s="2252"/>
      <c r="W651" s="2252"/>
      <c r="X651" s="2252"/>
      <c r="Y651" s="2252"/>
      <c r="Z651" s="2252"/>
      <c r="AA651" s="2252"/>
      <c r="AB651" s="2255"/>
      <c r="AC651" s="2252"/>
      <c r="AD651" s="2252"/>
      <c r="AE651" s="2252"/>
      <c r="AF651" s="2252"/>
    </row>
    <row r="652" spans="2:32">
      <c r="B652" s="2252"/>
      <c r="C652" s="2254"/>
      <c r="D652" s="2380"/>
      <c r="E652" s="2380"/>
      <c r="F652" s="2252"/>
      <c r="G652" s="2252"/>
      <c r="H652" s="2252"/>
      <c r="I652" s="2252"/>
      <c r="J652" s="2252"/>
      <c r="K652" s="2252"/>
      <c r="L652" s="2252"/>
      <c r="M652" s="2252"/>
      <c r="N652" s="2252"/>
      <c r="O652" s="2252"/>
      <c r="P652" s="2252"/>
      <c r="Q652" s="2252"/>
      <c r="R652" s="2252"/>
      <c r="S652" s="2252"/>
      <c r="T652" s="2252"/>
      <c r="U652" s="2252"/>
      <c r="V652" s="2252"/>
      <c r="W652" s="2252"/>
      <c r="X652" s="2252"/>
      <c r="Y652" s="2252"/>
      <c r="Z652" s="2252"/>
      <c r="AA652" s="2252"/>
      <c r="AB652" s="2255"/>
      <c r="AC652" s="2252"/>
      <c r="AD652" s="2252"/>
      <c r="AE652" s="2252"/>
      <c r="AF652" s="2252"/>
    </row>
    <row r="653" spans="2:32">
      <c r="B653" s="2252"/>
      <c r="C653" s="2254"/>
      <c r="D653" s="2380"/>
      <c r="E653" s="2380"/>
      <c r="F653" s="2252"/>
      <c r="G653" s="2252"/>
      <c r="H653" s="2252"/>
      <c r="I653" s="2252"/>
      <c r="J653" s="2252"/>
      <c r="K653" s="2252"/>
      <c r="L653" s="2252"/>
      <c r="M653" s="2252"/>
      <c r="N653" s="2252"/>
      <c r="O653" s="2252"/>
      <c r="P653" s="2252"/>
      <c r="Q653" s="2252"/>
      <c r="R653" s="2252"/>
      <c r="S653" s="2252"/>
      <c r="T653" s="2252"/>
      <c r="U653" s="2252"/>
      <c r="V653" s="2252"/>
      <c r="W653" s="2252"/>
      <c r="X653" s="2252"/>
      <c r="Y653" s="2252"/>
      <c r="Z653" s="2252"/>
      <c r="AA653" s="2252"/>
      <c r="AB653" s="2255"/>
      <c r="AC653" s="2252"/>
      <c r="AD653" s="2252"/>
      <c r="AE653" s="2252"/>
      <c r="AF653" s="2252"/>
    </row>
    <row r="654" spans="2:32">
      <c r="B654" s="2252"/>
      <c r="C654" s="2254"/>
      <c r="D654" s="2380"/>
      <c r="E654" s="2380"/>
      <c r="F654" s="2252"/>
      <c r="G654" s="2252"/>
      <c r="H654" s="2252"/>
      <c r="I654" s="2252"/>
      <c r="J654" s="2252"/>
      <c r="K654" s="2252"/>
      <c r="L654" s="2252"/>
      <c r="M654" s="2252"/>
      <c r="N654" s="2252"/>
      <c r="O654" s="2252"/>
      <c r="P654" s="2252"/>
      <c r="Q654" s="2252"/>
      <c r="R654" s="2252"/>
      <c r="S654" s="2252"/>
      <c r="T654" s="2252"/>
      <c r="U654" s="2252"/>
      <c r="V654" s="2252"/>
      <c r="W654" s="2252"/>
      <c r="X654" s="2252"/>
      <c r="Y654" s="2252"/>
      <c r="Z654" s="2252"/>
      <c r="AA654" s="2252"/>
      <c r="AB654" s="2255"/>
      <c r="AC654" s="2252"/>
      <c r="AD654" s="2252"/>
      <c r="AE654" s="2252"/>
      <c r="AF654" s="2252"/>
    </row>
    <row r="655" spans="2:32">
      <c r="B655" s="2252"/>
      <c r="C655" s="2254"/>
      <c r="D655" s="2380"/>
      <c r="E655" s="2380"/>
      <c r="F655" s="2252"/>
      <c r="G655" s="2252"/>
      <c r="H655" s="2252"/>
      <c r="I655" s="2252"/>
      <c r="J655" s="2252"/>
      <c r="K655" s="2252"/>
      <c r="L655" s="2252"/>
      <c r="M655" s="2252"/>
      <c r="N655" s="2252"/>
      <c r="O655" s="2252"/>
      <c r="P655" s="2252"/>
      <c r="Q655" s="2252"/>
      <c r="R655" s="2252"/>
      <c r="S655" s="2252"/>
      <c r="T655" s="2252"/>
      <c r="U655" s="2252"/>
      <c r="V655" s="2252"/>
      <c r="W655" s="2252"/>
      <c r="X655" s="2252"/>
      <c r="Y655" s="2252"/>
      <c r="Z655" s="2252"/>
      <c r="AA655" s="2252"/>
      <c r="AB655" s="2255"/>
      <c r="AC655" s="2252"/>
      <c r="AD655" s="2252"/>
      <c r="AE655" s="2252"/>
      <c r="AF655" s="2252"/>
    </row>
    <row r="656" spans="2:32">
      <c r="B656" s="2252"/>
      <c r="C656" s="2254"/>
      <c r="D656" s="2380"/>
      <c r="E656" s="2380"/>
      <c r="F656" s="2252"/>
      <c r="G656" s="2252"/>
      <c r="H656" s="2252"/>
      <c r="I656" s="2252"/>
      <c r="J656" s="2252"/>
      <c r="K656" s="2252"/>
      <c r="L656" s="2252"/>
      <c r="M656" s="2252"/>
      <c r="N656" s="2252"/>
      <c r="O656" s="2252"/>
      <c r="P656" s="2252"/>
      <c r="Q656" s="2252"/>
      <c r="R656" s="2252"/>
      <c r="S656" s="2252"/>
      <c r="T656" s="2252"/>
      <c r="U656" s="2252"/>
      <c r="V656" s="2252"/>
      <c r="W656" s="2252"/>
      <c r="X656" s="2252"/>
      <c r="Y656" s="2252"/>
      <c r="Z656" s="2252"/>
      <c r="AA656" s="2252"/>
      <c r="AB656" s="2255"/>
      <c r="AC656" s="2252"/>
      <c r="AD656" s="2252"/>
      <c r="AE656" s="2252"/>
      <c r="AF656" s="2252"/>
    </row>
    <row r="657" spans="2:32">
      <c r="B657" s="2252"/>
      <c r="C657" s="2254"/>
      <c r="D657" s="2380"/>
      <c r="E657" s="2380"/>
      <c r="F657" s="2252"/>
      <c r="G657" s="2252"/>
      <c r="H657" s="2252"/>
      <c r="I657" s="2252"/>
      <c r="J657" s="2252"/>
      <c r="K657" s="2252"/>
      <c r="L657" s="2252"/>
      <c r="M657" s="2252"/>
      <c r="N657" s="2252"/>
      <c r="O657" s="2252"/>
      <c r="P657" s="2252"/>
      <c r="Q657" s="2252"/>
      <c r="R657" s="2252"/>
      <c r="S657" s="2252"/>
      <c r="T657" s="2252"/>
      <c r="U657" s="2252"/>
      <c r="V657" s="2252"/>
      <c r="W657" s="2252"/>
      <c r="X657" s="2252"/>
      <c r="Y657" s="2252"/>
      <c r="Z657" s="2252"/>
      <c r="AA657" s="2252"/>
      <c r="AB657" s="2255"/>
      <c r="AC657" s="2252"/>
      <c r="AD657" s="2252"/>
      <c r="AE657" s="2252"/>
      <c r="AF657" s="2252"/>
    </row>
    <row r="658" spans="2:32">
      <c r="B658" s="2252"/>
      <c r="C658" s="2254"/>
      <c r="D658" s="2380"/>
      <c r="E658" s="2380"/>
      <c r="F658" s="2252"/>
      <c r="G658" s="2252"/>
      <c r="H658" s="2252"/>
      <c r="I658" s="2252"/>
      <c r="J658" s="2252"/>
      <c r="K658" s="2252"/>
      <c r="L658" s="2252"/>
      <c r="M658" s="2252"/>
      <c r="N658" s="2252"/>
      <c r="O658" s="2252"/>
      <c r="P658" s="2252"/>
      <c r="Q658" s="2252"/>
      <c r="R658" s="2252"/>
      <c r="S658" s="2252"/>
      <c r="T658" s="2252"/>
      <c r="U658" s="2252"/>
      <c r="V658" s="2252"/>
      <c r="W658" s="2252"/>
      <c r="X658" s="2252"/>
      <c r="Y658" s="2252"/>
      <c r="Z658" s="2252"/>
      <c r="AA658" s="2252"/>
      <c r="AB658" s="2255"/>
      <c r="AC658" s="2252"/>
      <c r="AD658" s="2252"/>
      <c r="AE658" s="2252"/>
      <c r="AF658" s="2252"/>
    </row>
    <row r="659" spans="2:32">
      <c r="B659" s="2252"/>
      <c r="C659" s="2254"/>
      <c r="D659" s="2380"/>
      <c r="E659" s="2380"/>
      <c r="F659" s="2252"/>
      <c r="G659" s="2252"/>
      <c r="H659" s="2252"/>
      <c r="I659" s="2252"/>
      <c r="J659" s="2252"/>
      <c r="K659" s="2252"/>
      <c r="L659" s="2252"/>
      <c r="M659" s="2252"/>
      <c r="N659" s="2252"/>
      <c r="O659" s="2252"/>
      <c r="P659" s="2252"/>
      <c r="Q659" s="2252"/>
      <c r="R659" s="2252"/>
      <c r="S659" s="2252"/>
      <c r="T659" s="2252"/>
      <c r="U659" s="2252"/>
      <c r="V659" s="2252"/>
      <c r="W659" s="2252"/>
      <c r="X659" s="2252"/>
      <c r="Y659" s="2252"/>
      <c r="Z659" s="2252"/>
      <c r="AA659" s="2252"/>
      <c r="AB659" s="2255"/>
      <c r="AC659" s="2252"/>
      <c r="AD659" s="2252"/>
      <c r="AE659" s="2252"/>
      <c r="AF659" s="2252"/>
    </row>
    <row r="660" spans="2:32">
      <c r="B660" s="2252"/>
      <c r="C660" s="2254"/>
      <c r="D660" s="2380"/>
      <c r="E660" s="2380"/>
      <c r="F660" s="2252"/>
      <c r="G660" s="2252"/>
      <c r="H660" s="2252"/>
      <c r="I660" s="2252"/>
      <c r="J660" s="2252"/>
      <c r="K660" s="2252"/>
      <c r="L660" s="2252"/>
      <c r="M660" s="2252"/>
      <c r="N660" s="2252"/>
      <c r="O660" s="2252"/>
      <c r="P660" s="2252"/>
      <c r="Q660" s="2252"/>
      <c r="R660" s="2252"/>
      <c r="S660" s="2252"/>
      <c r="T660" s="2252"/>
      <c r="U660" s="2252"/>
      <c r="V660" s="2252"/>
      <c r="W660" s="2252"/>
      <c r="X660" s="2252"/>
      <c r="Y660" s="2252"/>
      <c r="Z660" s="2252"/>
      <c r="AA660" s="2252"/>
      <c r="AB660" s="2255"/>
      <c r="AC660" s="2252"/>
      <c r="AD660" s="2252"/>
      <c r="AE660" s="2252"/>
      <c r="AF660" s="2252"/>
    </row>
    <row r="661" spans="2:32">
      <c r="B661" s="2252"/>
      <c r="C661" s="2254"/>
      <c r="D661" s="2380"/>
      <c r="E661" s="2380"/>
      <c r="F661" s="2252"/>
      <c r="G661" s="2252"/>
      <c r="H661" s="2252"/>
      <c r="I661" s="2252"/>
      <c r="J661" s="2252"/>
      <c r="K661" s="2252"/>
      <c r="L661" s="2252"/>
      <c r="M661" s="2252"/>
      <c r="N661" s="2252"/>
      <c r="O661" s="2252"/>
      <c r="P661" s="2252"/>
      <c r="Q661" s="2252"/>
      <c r="R661" s="2252"/>
      <c r="S661" s="2252"/>
      <c r="T661" s="2252"/>
      <c r="U661" s="2252"/>
      <c r="V661" s="2252"/>
      <c r="W661" s="2252"/>
      <c r="X661" s="2252"/>
      <c r="Y661" s="2252"/>
      <c r="Z661" s="2252"/>
      <c r="AA661" s="2252"/>
      <c r="AB661" s="2255"/>
      <c r="AC661" s="2252"/>
      <c r="AD661" s="2252"/>
      <c r="AE661" s="2252"/>
      <c r="AF661" s="2252"/>
    </row>
    <row r="662" spans="2:32">
      <c r="B662" s="2252"/>
      <c r="C662" s="2254"/>
      <c r="D662" s="2380"/>
      <c r="E662" s="2380"/>
      <c r="F662" s="2252"/>
      <c r="G662" s="2252"/>
      <c r="H662" s="2252"/>
      <c r="I662" s="2252"/>
      <c r="J662" s="2252"/>
      <c r="K662" s="2252"/>
      <c r="L662" s="2252"/>
      <c r="M662" s="2252"/>
      <c r="N662" s="2252"/>
      <c r="O662" s="2252"/>
      <c r="P662" s="2252"/>
      <c r="Q662" s="2252"/>
      <c r="R662" s="2252"/>
      <c r="S662" s="2252"/>
      <c r="T662" s="2252"/>
      <c r="U662" s="2252"/>
      <c r="V662" s="2252"/>
      <c r="W662" s="2252"/>
      <c r="X662" s="2252"/>
      <c r="Y662" s="2252"/>
      <c r="Z662" s="2252"/>
      <c r="AA662" s="2252"/>
      <c r="AB662" s="2255"/>
      <c r="AC662" s="2252"/>
      <c r="AD662" s="2252"/>
      <c r="AE662" s="2252"/>
      <c r="AF662" s="2252"/>
    </row>
    <row r="663" spans="2:32">
      <c r="B663" s="2252"/>
      <c r="C663" s="2254"/>
      <c r="D663" s="2380"/>
      <c r="E663" s="2380"/>
      <c r="F663" s="2252"/>
      <c r="G663" s="2252"/>
      <c r="H663" s="2252"/>
      <c r="I663" s="2252"/>
      <c r="J663" s="2252"/>
      <c r="K663" s="2252"/>
      <c r="L663" s="2252"/>
      <c r="M663" s="2252"/>
      <c r="N663" s="2252"/>
      <c r="O663" s="2252"/>
      <c r="P663" s="2252"/>
      <c r="Q663" s="2252"/>
      <c r="R663" s="2252"/>
      <c r="S663" s="2252"/>
      <c r="T663" s="2252"/>
      <c r="U663" s="2252"/>
      <c r="V663" s="2252"/>
      <c r="W663" s="2252"/>
      <c r="X663" s="2252"/>
      <c r="Y663" s="2252"/>
      <c r="Z663" s="2252"/>
      <c r="AA663" s="2252"/>
      <c r="AB663" s="2255"/>
      <c r="AC663" s="2252"/>
      <c r="AD663" s="2252"/>
      <c r="AE663" s="2252"/>
      <c r="AF663" s="2252"/>
    </row>
    <row r="664" spans="2:32">
      <c r="B664" s="2252"/>
      <c r="C664" s="2254"/>
      <c r="D664" s="2380"/>
      <c r="E664" s="2380"/>
      <c r="F664" s="2252"/>
      <c r="G664" s="2252"/>
      <c r="H664" s="2252"/>
      <c r="I664" s="2252"/>
      <c r="J664" s="2252"/>
      <c r="K664" s="2252"/>
      <c r="L664" s="2252"/>
      <c r="M664" s="2252"/>
      <c r="N664" s="2252"/>
      <c r="O664" s="2252"/>
      <c r="P664" s="2252"/>
      <c r="Q664" s="2252"/>
      <c r="R664" s="2252"/>
      <c r="S664" s="2252"/>
      <c r="T664" s="2252"/>
      <c r="U664" s="2252"/>
      <c r="V664" s="2252"/>
      <c r="W664" s="2252"/>
      <c r="X664" s="2252"/>
      <c r="Y664" s="2252"/>
      <c r="Z664" s="2252"/>
      <c r="AA664" s="2252"/>
      <c r="AB664" s="2255"/>
      <c r="AC664" s="2252"/>
      <c r="AD664" s="2252"/>
      <c r="AE664" s="2252"/>
      <c r="AF664" s="2252"/>
    </row>
    <row r="665" spans="2:32">
      <c r="B665" s="2252"/>
      <c r="C665" s="2254"/>
      <c r="D665" s="2380"/>
      <c r="E665" s="2380"/>
      <c r="F665" s="2252"/>
      <c r="G665" s="2252"/>
      <c r="H665" s="2252"/>
      <c r="I665" s="2252"/>
      <c r="J665" s="2252"/>
      <c r="K665" s="2252"/>
      <c r="L665" s="2252"/>
      <c r="M665" s="2252"/>
      <c r="N665" s="2252"/>
      <c r="O665" s="2252"/>
      <c r="P665" s="2252"/>
      <c r="Q665" s="2252"/>
      <c r="R665" s="2252"/>
      <c r="S665" s="2252"/>
      <c r="T665" s="2252"/>
      <c r="U665" s="2252"/>
      <c r="V665" s="2252"/>
      <c r="W665" s="2252"/>
      <c r="X665" s="2252"/>
      <c r="Y665" s="2252"/>
      <c r="Z665" s="2252"/>
      <c r="AA665" s="2252"/>
      <c r="AB665" s="2255"/>
      <c r="AC665" s="2252"/>
      <c r="AD665" s="2252"/>
      <c r="AE665" s="2252"/>
      <c r="AF665" s="2252"/>
    </row>
    <row r="666" spans="2:32">
      <c r="B666" s="2252"/>
      <c r="C666" s="2254"/>
      <c r="D666" s="2380"/>
      <c r="E666" s="2380"/>
      <c r="F666" s="2252"/>
      <c r="G666" s="2252"/>
      <c r="H666" s="2252"/>
      <c r="I666" s="2252"/>
      <c r="J666" s="2252"/>
      <c r="K666" s="2252"/>
      <c r="L666" s="2252"/>
      <c r="M666" s="2252"/>
      <c r="N666" s="2252"/>
      <c r="O666" s="2252"/>
      <c r="P666" s="2252"/>
      <c r="Q666" s="2252"/>
      <c r="R666" s="2252"/>
      <c r="S666" s="2252"/>
      <c r="T666" s="2252"/>
      <c r="U666" s="2252"/>
      <c r="V666" s="2252"/>
      <c r="W666" s="2252"/>
      <c r="X666" s="2252"/>
      <c r="Y666" s="2252"/>
      <c r="Z666" s="2252"/>
      <c r="AA666" s="2252"/>
      <c r="AB666" s="2255"/>
      <c r="AC666" s="2252"/>
      <c r="AD666" s="2252"/>
      <c r="AE666" s="2252"/>
      <c r="AF666" s="2252"/>
    </row>
    <row r="667" spans="2:32">
      <c r="B667" s="2252"/>
      <c r="C667" s="2254"/>
      <c r="D667" s="2380"/>
      <c r="E667" s="2380"/>
      <c r="F667" s="2252"/>
      <c r="G667" s="2252"/>
      <c r="H667" s="2252"/>
      <c r="I667" s="2252"/>
      <c r="J667" s="2252"/>
      <c r="K667" s="2252"/>
      <c r="L667" s="2252"/>
      <c r="M667" s="2252"/>
      <c r="N667" s="2252"/>
      <c r="O667" s="2252"/>
      <c r="P667" s="2252"/>
      <c r="Q667" s="2252"/>
      <c r="R667" s="2252"/>
      <c r="S667" s="2252"/>
      <c r="T667" s="2252"/>
      <c r="U667" s="2252"/>
      <c r="V667" s="2252"/>
      <c r="W667" s="2252"/>
      <c r="X667" s="2252"/>
      <c r="Y667" s="2252"/>
      <c r="Z667" s="2252"/>
      <c r="AA667" s="2252"/>
      <c r="AB667" s="2255"/>
      <c r="AC667" s="2252"/>
      <c r="AD667" s="2252"/>
      <c r="AE667" s="2252"/>
      <c r="AF667" s="2252"/>
    </row>
    <row r="668" spans="2:32">
      <c r="B668" s="2252"/>
      <c r="C668" s="2254"/>
      <c r="D668" s="2380"/>
      <c r="E668" s="2380"/>
      <c r="F668" s="2252"/>
      <c r="G668" s="2252"/>
      <c r="H668" s="2252"/>
      <c r="I668" s="2252"/>
      <c r="J668" s="2252"/>
      <c r="K668" s="2252"/>
      <c r="L668" s="2252"/>
      <c r="M668" s="2252"/>
      <c r="N668" s="2252"/>
      <c r="O668" s="2252"/>
      <c r="P668" s="2252"/>
      <c r="Q668" s="2252"/>
      <c r="R668" s="2252"/>
      <c r="S668" s="2252"/>
      <c r="T668" s="2252"/>
      <c r="U668" s="2252"/>
      <c r="V668" s="2252"/>
      <c r="W668" s="2252"/>
      <c r="X668" s="2252"/>
      <c r="Y668" s="2252"/>
      <c r="Z668" s="2252"/>
      <c r="AA668" s="2252"/>
      <c r="AB668" s="2255"/>
      <c r="AC668" s="2252"/>
      <c r="AD668" s="2252"/>
      <c r="AE668" s="2252"/>
      <c r="AF668" s="2252"/>
    </row>
    <row r="669" spans="2:32">
      <c r="B669" s="2252"/>
      <c r="C669" s="2254"/>
      <c r="D669" s="2380"/>
      <c r="E669" s="2380"/>
      <c r="F669" s="2252"/>
      <c r="G669" s="2252"/>
      <c r="H669" s="2252"/>
      <c r="I669" s="2252"/>
      <c r="J669" s="2252"/>
      <c r="K669" s="2252"/>
      <c r="L669" s="2252"/>
      <c r="M669" s="2252"/>
      <c r="N669" s="2252"/>
      <c r="O669" s="2252"/>
      <c r="P669" s="2252"/>
      <c r="Q669" s="2252"/>
      <c r="R669" s="2252"/>
      <c r="S669" s="2252"/>
      <c r="T669" s="2252"/>
      <c r="U669" s="2252"/>
      <c r="V669" s="2252"/>
      <c r="W669" s="2252"/>
      <c r="X669" s="2252"/>
      <c r="Y669" s="2252"/>
      <c r="Z669" s="2252"/>
      <c r="AA669" s="2252"/>
      <c r="AB669" s="2255"/>
      <c r="AC669" s="2252"/>
      <c r="AD669" s="2252"/>
      <c r="AE669" s="2252"/>
      <c r="AF669" s="2252"/>
    </row>
    <row r="670" spans="2:32">
      <c r="B670" s="2252"/>
      <c r="C670" s="2254"/>
      <c r="D670" s="2380"/>
      <c r="E670" s="2380"/>
      <c r="F670" s="2252"/>
      <c r="G670" s="2252"/>
      <c r="H670" s="2252"/>
      <c r="I670" s="2252"/>
      <c r="J670" s="2252"/>
      <c r="K670" s="2252"/>
      <c r="L670" s="2252"/>
      <c r="M670" s="2252"/>
      <c r="N670" s="2252"/>
      <c r="O670" s="2252"/>
      <c r="P670" s="2252"/>
      <c r="Q670" s="2252"/>
      <c r="R670" s="2252"/>
      <c r="S670" s="2252"/>
      <c r="T670" s="2252"/>
      <c r="U670" s="2252"/>
      <c r="V670" s="2252"/>
      <c r="W670" s="2252"/>
      <c r="X670" s="2252"/>
      <c r="Y670" s="2252"/>
      <c r="Z670" s="2252"/>
      <c r="AA670" s="2252"/>
      <c r="AB670" s="2255"/>
      <c r="AC670" s="2252"/>
      <c r="AD670" s="2252"/>
      <c r="AE670" s="2252"/>
      <c r="AF670" s="2252"/>
    </row>
    <row r="671" spans="2:32">
      <c r="B671" s="2252"/>
      <c r="C671" s="2254"/>
      <c r="D671" s="2380"/>
      <c r="E671" s="2380"/>
      <c r="F671" s="2252"/>
      <c r="G671" s="2252"/>
      <c r="H671" s="2252"/>
      <c r="I671" s="2252"/>
      <c r="J671" s="2252"/>
      <c r="K671" s="2252"/>
      <c r="L671" s="2252"/>
      <c r="M671" s="2252"/>
      <c r="N671" s="2252"/>
      <c r="O671" s="2252"/>
      <c r="P671" s="2252"/>
      <c r="Q671" s="2252"/>
      <c r="R671" s="2252"/>
      <c r="S671" s="2252"/>
      <c r="T671" s="2252"/>
      <c r="U671" s="2252"/>
      <c r="V671" s="2252"/>
      <c r="W671" s="2252"/>
      <c r="X671" s="2252"/>
      <c r="Y671" s="2252"/>
      <c r="Z671" s="2252"/>
      <c r="AA671" s="2252"/>
      <c r="AB671" s="2255"/>
      <c r="AC671" s="2252"/>
      <c r="AD671" s="2252"/>
      <c r="AE671" s="2252"/>
      <c r="AF671" s="2252"/>
    </row>
    <row r="672" spans="2:32">
      <c r="B672" s="2252"/>
      <c r="C672" s="2254"/>
      <c r="D672" s="2380"/>
      <c r="E672" s="2380"/>
      <c r="F672" s="2252"/>
      <c r="G672" s="2252"/>
      <c r="H672" s="2252"/>
      <c r="I672" s="2252"/>
      <c r="J672" s="2252"/>
      <c r="K672" s="2252"/>
      <c r="L672" s="2252"/>
      <c r="M672" s="2252"/>
      <c r="N672" s="2252"/>
      <c r="O672" s="2252"/>
      <c r="P672" s="2252"/>
      <c r="Q672" s="2252"/>
      <c r="R672" s="2252"/>
      <c r="S672" s="2252"/>
      <c r="T672" s="2252"/>
      <c r="U672" s="2252"/>
      <c r="V672" s="2252"/>
      <c r="W672" s="2252"/>
      <c r="X672" s="2252"/>
      <c r="Y672" s="2252"/>
      <c r="Z672" s="2252"/>
      <c r="AA672" s="2252"/>
      <c r="AB672" s="2255"/>
      <c r="AC672" s="2252"/>
      <c r="AD672" s="2252"/>
      <c r="AE672" s="2252"/>
      <c r="AF672" s="2252"/>
    </row>
    <row r="673" spans="2:32">
      <c r="B673" s="2252"/>
      <c r="C673" s="2254"/>
      <c r="D673" s="2380"/>
      <c r="E673" s="2380"/>
      <c r="F673" s="2252"/>
      <c r="G673" s="2252"/>
      <c r="H673" s="2252"/>
      <c r="I673" s="2252"/>
      <c r="J673" s="2252"/>
      <c r="K673" s="2252"/>
      <c r="L673" s="2252"/>
      <c r="M673" s="2252"/>
      <c r="N673" s="2252"/>
      <c r="O673" s="2252"/>
      <c r="P673" s="2252"/>
      <c r="Q673" s="2252"/>
      <c r="R673" s="2252"/>
      <c r="S673" s="2252"/>
      <c r="T673" s="2252"/>
      <c r="U673" s="2252"/>
      <c r="V673" s="2252"/>
      <c r="W673" s="2252"/>
      <c r="X673" s="2252"/>
      <c r="Y673" s="2252"/>
      <c r="Z673" s="2252"/>
      <c r="AA673" s="2252"/>
      <c r="AB673" s="2255"/>
      <c r="AC673" s="2252"/>
      <c r="AD673" s="2252"/>
      <c r="AE673" s="2252"/>
      <c r="AF673" s="2252"/>
    </row>
    <row r="674" spans="2:32">
      <c r="B674" s="2252"/>
      <c r="C674" s="2254"/>
      <c r="D674" s="2380"/>
      <c r="E674" s="2380"/>
      <c r="F674" s="2252"/>
      <c r="G674" s="2252"/>
      <c r="H674" s="2252"/>
      <c r="I674" s="2252"/>
      <c r="J674" s="2252"/>
      <c r="K674" s="2252"/>
      <c r="L674" s="2252"/>
      <c r="M674" s="2252"/>
      <c r="N674" s="2252"/>
      <c r="O674" s="2252"/>
      <c r="P674" s="2252"/>
      <c r="Q674" s="2252"/>
      <c r="R674" s="2252"/>
      <c r="S674" s="2252"/>
      <c r="T674" s="2252"/>
      <c r="U674" s="2252"/>
      <c r="V674" s="2252"/>
      <c r="W674" s="2252"/>
      <c r="X674" s="2252"/>
      <c r="Y674" s="2252"/>
      <c r="Z674" s="2252"/>
      <c r="AA674" s="2252"/>
      <c r="AB674" s="2255"/>
      <c r="AC674" s="2252"/>
      <c r="AD674" s="2252"/>
      <c r="AE674" s="2252"/>
      <c r="AF674" s="2252"/>
    </row>
    <row r="675" spans="2:32">
      <c r="B675" s="2252"/>
      <c r="C675" s="2254"/>
      <c r="D675" s="2380"/>
      <c r="E675" s="2380"/>
      <c r="F675" s="2252"/>
      <c r="G675" s="2252"/>
      <c r="H675" s="2252"/>
      <c r="I675" s="2252"/>
      <c r="J675" s="2252"/>
      <c r="K675" s="2252"/>
      <c r="L675" s="2252"/>
      <c r="M675" s="2252"/>
      <c r="N675" s="2252"/>
      <c r="O675" s="2252"/>
      <c r="P675" s="2252"/>
      <c r="Q675" s="2252"/>
      <c r="R675" s="2252"/>
      <c r="S675" s="2252"/>
      <c r="T675" s="2252"/>
      <c r="U675" s="2252"/>
      <c r="V675" s="2252"/>
      <c r="W675" s="2252"/>
      <c r="X675" s="2252"/>
      <c r="Y675" s="2252"/>
      <c r="Z675" s="2252"/>
      <c r="AA675" s="2252"/>
      <c r="AB675" s="2255"/>
      <c r="AC675" s="2252"/>
      <c r="AD675" s="2252"/>
      <c r="AE675" s="2252"/>
      <c r="AF675" s="2252"/>
    </row>
    <row r="676" spans="2:32">
      <c r="B676" s="2252"/>
      <c r="C676" s="2254"/>
      <c r="D676" s="2380"/>
      <c r="E676" s="2380"/>
      <c r="F676" s="2252"/>
      <c r="G676" s="2252"/>
      <c r="H676" s="2252"/>
      <c r="I676" s="2252"/>
      <c r="J676" s="2252"/>
      <c r="K676" s="2252"/>
      <c r="L676" s="2252"/>
      <c r="M676" s="2252"/>
      <c r="N676" s="2252"/>
      <c r="O676" s="2252"/>
      <c r="P676" s="2252"/>
      <c r="Q676" s="2252"/>
      <c r="R676" s="2252"/>
      <c r="S676" s="2252"/>
      <c r="T676" s="2252"/>
      <c r="U676" s="2252"/>
      <c r="V676" s="2252"/>
      <c r="W676" s="2252"/>
      <c r="X676" s="2252"/>
      <c r="Y676" s="2252"/>
      <c r="Z676" s="2252"/>
      <c r="AA676" s="2252"/>
      <c r="AB676" s="2255"/>
      <c r="AC676" s="2252"/>
      <c r="AD676" s="2252"/>
      <c r="AE676" s="2252"/>
      <c r="AF676" s="2252"/>
    </row>
    <row r="677" spans="2:32">
      <c r="B677" s="2252"/>
      <c r="C677" s="2254"/>
      <c r="D677" s="2380"/>
      <c r="E677" s="2380"/>
      <c r="F677" s="2252"/>
      <c r="G677" s="2252"/>
      <c r="H677" s="2252"/>
      <c r="I677" s="2252"/>
      <c r="J677" s="2252"/>
      <c r="K677" s="2252"/>
      <c r="L677" s="2252"/>
      <c r="M677" s="2252"/>
      <c r="N677" s="2252"/>
      <c r="O677" s="2252"/>
      <c r="P677" s="2252"/>
      <c r="Q677" s="2252"/>
      <c r="R677" s="2252"/>
      <c r="S677" s="2252"/>
      <c r="T677" s="2252"/>
      <c r="U677" s="2252"/>
      <c r="V677" s="2252"/>
      <c r="W677" s="2252"/>
      <c r="X677" s="2252"/>
      <c r="Y677" s="2252"/>
      <c r="Z677" s="2252"/>
      <c r="AA677" s="2252"/>
      <c r="AB677" s="2255"/>
      <c r="AC677" s="2252"/>
      <c r="AD677" s="2252"/>
      <c r="AE677" s="2252"/>
      <c r="AF677" s="2252"/>
    </row>
    <row r="678" spans="2:32">
      <c r="B678" s="2252"/>
      <c r="C678" s="2254"/>
      <c r="D678" s="2380"/>
      <c r="E678" s="2380"/>
      <c r="F678" s="2252"/>
      <c r="G678" s="2252"/>
      <c r="H678" s="2252"/>
      <c r="I678" s="2252"/>
      <c r="J678" s="2252"/>
      <c r="K678" s="2252"/>
      <c r="L678" s="2252"/>
      <c r="M678" s="2252"/>
      <c r="N678" s="2252"/>
      <c r="O678" s="2252"/>
      <c r="P678" s="2252"/>
      <c r="Q678" s="2252"/>
      <c r="R678" s="2252"/>
      <c r="S678" s="2252"/>
      <c r="T678" s="2252"/>
      <c r="U678" s="2252"/>
      <c r="V678" s="2252"/>
      <c r="W678" s="2252"/>
      <c r="X678" s="2252"/>
      <c r="Y678" s="2252"/>
      <c r="Z678" s="2252"/>
      <c r="AA678" s="2252"/>
      <c r="AB678" s="2255"/>
      <c r="AC678" s="2252"/>
      <c r="AD678" s="2252"/>
      <c r="AE678" s="2252"/>
      <c r="AF678" s="2252"/>
    </row>
    <row r="679" spans="2:32">
      <c r="B679" s="2252"/>
      <c r="C679" s="2254"/>
      <c r="D679" s="2380"/>
      <c r="E679" s="2380"/>
      <c r="F679" s="2252"/>
      <c r="G679" s="2252"/>
      <c r="H679" s="2252"/>
      <c r="I679" s="2252"/>
      <c r="J679" s="2252"/>
      <c r="K679" s="2252"/>
      <c r="L679" s="2252"/>
      <c r="M679" s="2252"/>
      <c r="N679" s="2252"/>
      <c r="O679" s="2252"/>
      <c r="P679" s="2252"/>
      <c r="Q679" s="2252"/>
      <c r="R679" s="2252"/>
      <c r="S679" s="2252"/>
      <c r="T679" s="2252"/>
      <c r="U679" s="2252"/>
      <c r="V679" s="2252"/>
      <c r="W679" s="2252"/>
      <c r="X679" s="2252"/>
      <c r="Y679" s="2252"/>
      <c r="Z679" s="2252"/>
      <c r="AA679" s="2252"/>
      <c r="AB679" s="2255"/>
      <c r="AC679" s="2252"/>
      <c r="AD679" s="2252"/>
      <c r="AE679" s="2252"/>
      <c r="AF679" s="2252"/>
    </row>
    <row r="680" spans="2:32">
      <c r="B680" s="2252"/>
      <c r="C680" s="2254"/>
      <c r="D680" s="2380"/>
      <c r="E680" s="2380"/>
      <c r="F680" s="2252"/>
      <c r="G680" s="2252"/>
      <c r="H680" s="2252"/>
      <c r="I680" s="2252"/>
      <c r="J680" s="2252"/>
      <c r="K680" s="2252"/>
      <c r="L680" s="2252"/>
      <c r="M680" s="2252"/>
      <c r="N680" s="2252"/>
      <c r="O680" s="2252"/>
      <c r="P680" s="2252"/>
      <c r="Q680" s="2252"/>
      <c r="R680" s="2252"/>
      <c r="S680" s="2252"/>
      <c r="T680" s="2252"/>
      <c r="U680" s="2252"/>
      <c r="V680" s="2252"/>
      <c r="W680" s="2252"/>
      <c r="X680" s="2252"/>
      <c r="Y680" s="2252"/>
      <c r="Z680" s="2252"/>
      <c r="AA680" s="2252"/>
      <c r="AB680" s="2255"/>
      <c r="AC680" s="2252"/>
      <c r="AD680" s="2252"/>
      <c r="AE680" s="2252"/>
      <c r="AF680" s="2252"/>
    </row>
    <row r="681" spans="2:32">
      <c r="B681" s="2252"/>
      <c r="C681" s="2254"/>
      <c r="D681" s="2380"/>
      <c r="E681" s="2380"/>
      <c r="F681" s="2252"/>
      <c r="G681" s="2252"/>
      <c r="H681" s="2252"/>
      <c r="I681" s="2252"/>
      <c r="J681" s="2252"/>
      <c r="K681" s="2252"/>
      <c r="L681" s="2252"/>
      <c r="M681" s="2252"/>
      <c r="N681" s="2252"/>
      <c r="O681" s="2252"/>
      <c r="P681" s="2252"/>
      <c r="Q681" s="2252"/>
      <c r="R681" s="2252"/>
      <c r="S681" s="2252"/>
      <c r="T681" s="2252"/>
      <c r="U681" s="2252"/>
      <c r="V681" s="2252"/>
      <c r="W681" s="2252"/>
      <c r="X681" s="2252"/>
      <c r="Y681" s="2252"/>
      <c r="Z681" s="2252"/>
      <c r="AA681" s="2252"/>
      <c r="AB681" s="2255"/>
      <c r="AC681" s="2252"/>
      <c r="AD681" s="2252"/>
      <c r="AE681" s="2252"/>
      <c r="AF681" s="2252"/>
    </row>
    <row r="682" spans="2:32">
      <c r="B682" s="2252"/>
      <c r="C682" s="2254"/>
      <c r="D682" s="2380"/>
      <c r="E682" s="2380"/>
      <c r="F682" s="2252"/>
      <c r="G682" s="2252"/>
      <c r="H682" s="2252"/>
      <c r="I682" s="2252"/>
      <c r="J682" s="2252"/>
      <c r="K682" s="2252"/>
      <c r="L682" s="2252"/>
      <c r="M682" s="2252"/>
      <c r="N682" s="2252"/>
      <c r="O682" s="2252"/>
      <c r="P682" s="2252"/>
      <c r="Q682" s="2252"/>
      <c r="R682" s="2252"/>
      <c r="S682" s="2252"/>
      <c r="T682" s="2252"/>
      <c r="U682" s="2252"/>
      <c r="V682" s="2252"/>
      <c r="W682" s="2252"/>
      <c r="X682" s="2252"/>
      <c r="Y682" s="2252"/>
      <c r="Z682" s="2252"/>
      <c r="AA682" s="2252"/>
      <c r="AB682" s="2255"/>
      <c r="AC682" s="2252"/>
      <c r="AD682" s="2252"/>
      <c r="AE682" s="2252"/>
      <c r="AF682" s="2252"/>
    </row>
    <row r="683" spans="2:32">
      <c r="B683" s="2252"/>
      <c r="C683" s="2254"/>
      <c r="D683" s="2380"/>
      <c r="E683" s="2380"/>
      <c r="F683" s="2252"/>
      <c r="G683" s="2252"/>
      <c r="H683" s="2252"/>
      <c r="I683" s="2252"/>
      <c r="J683" s="2252"/>
      <c r="K683" s="2252"/>
      <c r="L683" s="2252"/>
      <c r="M683" s="2252"/>
      <c r="N683" s="2252"/>
      <c r="O683" s="2252"/>
      <c r="P683" s="2252"/>
      <c r="Q683" s="2252"/>
      <c r="R683" s="2252"/>
      <c r="S683" s="2252"/>
      <c r="T683" s="2252"/>
      <c r="U683" s="2252"/>
      <c r="V683" s="2252"/>
      <c r="W683" s="2252"/>
      <c r="X683" s="2252"/>
      <c r="Y683" s="2252"/>
      <c r="Z683" s="2252"/>
      <c r="AA683" s="2252"/>
      <c r="AB683" s="2255"/>
      <c r="AC683" s="2252"/>
      <c r="AD683" s="2252"/>
      <c r="AE683" s="2252"/>
      <c r="AF683" s="2252"/>
    </row>
    <row r="684" spans="2:32">
      <c r="B684" s="2252"/>
      <c r="C684" s="2254"/>
      <c r="D684" s="2380"/>
      <c r="E684" s="2380"/>
      <c r="F684" s="2252"/>
      <c r="G684" s="2252"/>
      <c r="H684" s="2252"/>
      <c r="I684" s="2252"/>
      <c r="J684" s="2252"/>
      <c r="K684" s="2252"/>
      <c r="L684" s="2252"/>
      <c r="M684" s="2252"/>
      <c r="N684" s="2252"/>
      <c r="O684" s="2252"/>
      <c r="P684" s="2252"/>
      <c r="Q684" s="2252"/>
      <c r="R684" s="2252"/>
      <c r="S684" s="2252"/>
      <c r="T684" s="2252"/>
      <c r="U684" s="2252"/>
      <c r="V684" s="2252"/>
      <c r="W684" s="2252"/>
      <c r="X684" s="2252"/>
      <c r="Y684" s="2252"/>
      <c r="Z684" s="2252"/>
      <c r="AA684" s="2252"/>
      <c r="AB684" s="2255"/>
      <c r="AC684" s="2252"/>
      <c r="AD684" s="2252"/>
      <c r="AE684" s="2252"/>
      <c r="AF684" s="2252"/>
    </row>
    <row r="685" spans="2:32">
      <c r="B685" s="2252"/>
      <c r="C685" s="2254"/>
      <c r="D685" s="2380"/>
      <c r="E685" s="2380"/>
      <c r="F685" s="2252"/>
      <c r="G685" s="2252"/>
      <c r="H685" s="2252"/>
      <c r="I685" s="2252"/>
      <c r="J685" s="2252"/>
      <c r="K685" s="2252"/>
      <c r="L685" s="2252"/>
      <c r="M685" s="2252"/>
      <c r="N685" s="2252"/>
      <c r="O685" s="2252"/>
      <c r="P685" s="2252"/>
      <c r="Q685" s="2252"/>
      <c r="R685" s="2252"/>
      <c r="S685" s="2252"/>
      <c r="T685" s="2252"/>
      <c r="U685" s="2252"/>
      <c r="V685" s="2252"/>
      <c r="W685" s="2252"/>
      <c r="X685" s="2252"/>
      <c r="Y685" s="2252"/>
      <c r="Z685" s="2252"/>
      <c r="AA685" s="2252"/>
      <c r="AB685" s="2255"/>
      <c r="AC685" s="2252"/>
      <c r="AD685" s="2252"/>
      <c r="AE685" s="2252"/>
      <c r="AF685" s="2252"/>
    </row>
    <row r="686" spans="2:32">
      <c r="B686" s="2252"/>
      <c r="C686" s="2254"/>
      <c r="D686" s="2380"/>
      <c r="E686" s="2380"/>
      <c r="F686" s="2252"/>
      <c r="G686" s="2252"/>
      <c r="H686" s="2252"/>
      <c r="I686" s="2252"/>
      <c r="J686" s="2252"/>
      <c r="K686" s="2252"/>
      <c r="L686" s="2252"/>
      <c r="M686" s="2252"/>
      <c r="N686" s="2252"/>
      <c r="O686" s="2252"/>
      <c r="P686" s="2252"/>
      <c r="Q686" s="2252"/>
      <c r="R686" s="2252"/>
      <c r="S686" s="2252"/>
      <c r="T686" s="2252"/>
      <c r="U686" s="2252"/>
      <c r="V686" s="2252"/>
      <c r="W686" s="2252"/>
      <c r="X686" s="2252"/>
      <c r="Y686" s="2252"/>
      <c r="Z686" s="2252"/>
      <c r="AA686" s="2252"/>
      <c r="AB686" s="2255"/>
      <c r="AC686" s="2252"/>
      <c r="AD686" s="2252"/>
      <c r="AE686" s="2252"/>
      <c r="AF686" s="2252"/>
    </row>
    <row r="687" spans="2:32">
      <c r="B687" s="2252"/>
      <c r="C687" s="2254"/>
      <c r="D687" s="2380"/>
      <c r="E687" s="2380"/>
      <c r="F687" s="2252"/>
      <c r="G687" s="2252"/>
      <c r="H687" s="2252"/>
      <c r="I687" s="2252"/>
      <c r="J687" s="2252"/>
      <c r="K687" s="2252"/>
      <c r="L687" s="2252"/>
      <c r="M687" s="2252"/>
      <c r="N687" s="2252"/>
      <c r="O687" s="2252"/>
      <c r="P687" s="2252"/>
      <c r="Q687" s="2252"/>
      <c r="R687" s="2252"/>
      <c r="S687" s="2252"/>
      <c r="T687" s="2252"/>
      <c r="U687" s="2252"/>
      <c r="V687" s="2252"/>
      <c r="W687" s="2252"/>
      <c r="X687" s="2252"/>
      <c r="Y687" s="2252"/>
      <c r="Z687" s="2252"/>
      <c r="AA687" s="2252"/>
      <c r="AB687" s="2255"/>
      <c r="AC687" s="2252"/>
      <c r="AD687" s="2252"/>
      <c r="AE687" s="2252"/>
      <c r="AF687" s="2252"/>
    </row>
    <row r="688" spans="2:32">
      <c r="B688" s="2252"/>
      <c r="C688" s="2254"/>
      <c r="D688" s="2380"/>
      <c r="E688" s="2380"/>
      <c r="F688" s="2252"/>
      <c r="G688" s="2252"/>
      <c r="H688" s="2252"/>
      <c r="I688" s="2252"/>
      <c r="J688" s="2252"/>
      <c r="K688" s="2252"/>
      <c r="L688" s="2252"/>
      <c r="M688" s="2252"/>
      <c r="N688" s="2252"/>
      <c r="O688" s="2252"/>
      <c r="P688" s="2252"/>
      <c r="Q688" s="2252"/>
      <c r="R688" s="2252"/>
      <c r="S688" s="2252"/>
      <c r="T688" s="2252"/>
      <c r="U688" s="2252"/>
      <c r="V688" s="2252"/>
      <c r="W688" s="2252"/>
      <c r="X688" s="2252"/>
      <c r="Y688" s="2252"/>
      <c r="Z688" s="2252"/>
      <c r="AA688" s="2252"/>
      <c r="AB688" s="2255"/>
      <c r="AC688" s="2252"/>
      <c r="AD688" s="2252"/>
      <c r="AE688" s="2252"/>
      <c r="AF688" s="2252"/>
    </row>
    <row r="689" spans="2:32">
      <c r="B689" s="2252"/>
      <c r="C689" s="2254"/>
      <c r="D689" s="2380"/>
      <c r="E689" s="2380"/>
      <c r="F689" s="2252"/>
      <c r="G689" s="2252"/>
      <c r="H689" s="2252"/>
      <c r="I689" s="2252"/>
      <c r="J689" s="2252"/>
      <c r="K689" s="2252"/>
      <c r="L689" s="2252"/>
      <c r="M689" s="2252"/>
      <c r="N689" s="2252"/>
      <c r="O689" s="2252"/>
      <c r="P689" s="2252"/>
      <c r="Q689" s="2252"/>
      <c r="R689" s="2252"/>
      <c r="S689" s="2252"/>
      <c r="T689" s="2252"/>
      <c r="U689" s="2252"/>
      <c r="V689" s="2252"/>
      <c r="W689" s="2252"/>
      <c r="X689" s="2252"/>
      <c r="Y689" s="2252"/>
      <c r="Z689" s="2252"/>
      <c r="AA689" s="2252"/>
      <c r="AB689" s="2255"/>
      <c r="AC689" s="2252"/>
      <c r="AD689" s="2252"/>
      <c r="AE689" s="2252"/>
      <c r="AF689" s="2252"/>
    </row>
    <row r="690" spans="2:32">
      <c r="B690" s="2252"/>
      <c r="C690" s="2254"/>
      <c r="D690" s="2380"/>
      <c r="E690" s="2380"/>
      <c r="F690" s="2252"/>
      <c r="G690" s="2252"/>
      <c r="H690" s="2252"/>
      <c r="I690" s="2252"/>
      <c r="J690" s="2252"/>
      <c r="K690" s="2252"/>
      <c r="L690" s="2252"/>
      <c r="M690" s="2252"/>
      <c r="N690" s="2252"/>
      <c r="O690" s="2252"/>
      <c r="P690" s="2252"/>
      <c r="Q690" s="2252"/>
      <c r="R690" s="2252"/>
      <c r="S690" s="2252"/>
      <c r="T690" s="2252"/>
      <c r="U690" s="2252"/>
      <c r="V690" s="2252"/>
      <c r="W690" s="2252"/>
      <c r="X690" s="2252"/>
      <c r="Y690" s="2252"/>
      <c r="Z690" s="2252"/>
      <c r="AA690" s="2252"/>
      <c r="AB690" s="2255"/>
      <c r="AC690" s="2252"/>
      <c r="AD690" s="2252"/>
      <c r="AE690" s="2252"/>
      <c r="AF690" s="2252"/>
    </row>
    <row r="691" spans="2:32">
      <c r="B691" s="2252"/>
      <c r="C691" s="2254"/>
      <c r="D691" s="2380"/>
      <c r="E691" s="2380"/>
      <c r="F691" s="2252"/>
      <c r="G691" s="2252"/>
      <c r="H691" s="2252"/>
      <c r="I691" s="2252"/>
      <c r="J691" s="2252"/>
      <c r="K691" s="2252"/>
      <c r="L691" s="2252"/>
      <c r="M691" s="2252"/>
      <c r="N691" s="2252"/>
      <c r="O691" s="2252"/>
      <c r="P691" s="2252"/>
      <c r="Q691" s="2252"/>
      <c r="R691" s="2252"/>
      <c r="S691" s="2252"/>
      <c r="T691" s="2252"/>
      <c r="U691" s="2252"/>
      <c r="V691" s="2252"/>
      <c r="W691" s="2252"/>
      <c r="X691" s="2252"/>
      <c r="Y691" s="2252"/>
      <c r="Z691" s="2252"/>
      <c r="AA691" s="2252"/>
      <c r="AB691" s="2255"/>
      <c r="AC691" s="2252"/>
      <c r="AD691" s="2252"/>
      <c r="AE691" s="2252"/>
      <c r="AF691" s="2252"/>
    </row>
    <row r="692" spans="2:32">
      <c r="B692" s="2252"/>
      <c r="C692" s="2254"/>
      <c r="D692" s="2380"/>
      <c r="E692" s="2380"/>
      <c r="F692" s="2252"/>
      <c r="G692" s="2252"/>
      <c r="H692" s="2252"/>
      <c r="I692" s="2252"/>
      <c r="J692" s="2252"/>
      <c r="K692" s="2252"/>
      <c r="L692" s="2252"/>
      <c r="M692" s="2252"/>
      <c r="N692" s="2252"/>
      <c r="O692" s="2252"/>
      <c r="P692" s="2252"/>
      <c r="Q692" s="2252"/>
      <c r="R692" s="2252"/>
      <c r="S692" s="2252"/>
      <c r="T692" s="2252"/>
      <c r="U692" s="2252"/>
      <c r="V692" s="2252"/>
      <c r="W692" s="2252"/>
      <c r="X692" s="2252"/>
      <c r="Y692" s="2252"/>
      <c r="Z692" s="2252"/>
      <c r="AA692" s="2252"/>
      <c r="AB692" s="2255"/>
      <c r="AC692" s="2252"/>
      <c r="AD692" s="2252"/>
      <c r="AE692" s="2252"/>
      <c r="AF692" s="2252"/>
    </row>
    <row r="693" spans="2:32">
      <c r="B693" s="2252"/>
      <c r="C693" s="2254"/>
      <c r="D693" s="2380"/>
      <c r="E693" s="2380"/>
      <c r="F693" s="2252"/>
      <c r="G693" s="2252"/>
      <c r="H693" s="2252"/>
      <c r="I693" s="2252"/>
      <c r="J693" s="2252"/>
      <c r="K693" s="2252"/>
      <c r="L693" s="2252"/>
      <c r="M693" s="2252"/>
      <c r="N693" s="2252"/>
      <c r="O693" s="2252"/>
      <c r="P693" s="2252"/>
      <c r="Q693" s="2252"/>
      <c r="R693" s="2252"/>
      <c r="S693" s="2252"/>
      <c r="T693" s="2252"/>
      <c r="U693" s="2252"/>
      <c r="V693" s="2252"/>
      <c r="W693" s="2252"/>
      <c r="X693" s="2252"/>
      <c r="Y693" s="2252"/>
      <c r="Z693" s="2252"/>
      <c r="AA693" s="2252"/>
      <c r="AB693" s="2255"/>
      <c r="AC693" s="2252"/>
      <c r="AD693" s="2252"/>
      <c r="AE693" s="2252"/>
      <c r="AF693" s="2252"/>
    </row>
    <row r="694" spans="2:32">
      <c r="B694" s="2252"/>
      <c r="C694" s="2254"/>
      <c r="D694" s="2380"/>
      <c r="E694" s="2380"/>
      <c r="F694" s="2252"/>
      <c r="G694" s="2252"/>
      <c r="H694" s="2252"/>
      <c r="I694" s="2252"/>
      <c r="J694" s="2252"/>
      <c r="K694" s="2252"/>
      <c r="L694" s="2252"/>
      <c r="M694" s="2252"/>
      <c r="N694" s="2252"/>
      <c r="O694" s="2252"/>
      <c r="P694" s="2252"/>
      <c r="Q694" s="2252"/>
      <c r="R694" s="2252"/>
      <c r="S694" s="2252"/>
      <c r="T694" s="2252"/>
      <c r="U694" s="2252"/>
      <c r="V694" s="2252"/>
      <c r="W694" s="2252"/>
      <c r="X694" s="2252"/>
      <c r="Y694" s="2252"/>
      <c r="Z694" s="2252"/>
      <c r="AA694" s="2252"/>
      <c r="AB694" s="2255"/>
      <c r="AC694" s="2252"/>
      <c r="AD694" s="2252"/>
      <c r="AE694" s="2252"/>
      <c r="AF694" s="2252"/>
    </row>
    <row r="695" spans="2:32">
      <c r="B695" s="2252"/>
      <c r="C695" s="2254"/>
      <c r="D695" s="2380"/>
      <c r="E695" s="2380"/>
      <c r="F695" s="2252"/>
      <c r="G695" s="2252"/>
      <c r="H695" s="2252"/>
      <c r="I695" s="2252"/>
      <c r="J695" s="2252"/>
      <c r="K695" s="2252"/>
      <c r="L695" s="2252"/>
      <c r="M695" s="2252"/>
      <c r="N695" s="2252"/>
      <c r="O695" s="2252"/>
      <c r="P695" s="2252"/>
      <c r="Q695" s="2252"/>
      <c r="R695" s="2252"/>
      <c r="S695" s="2252"/>
      <c r="T695" s="2252"/>
      <c r="U695" s="2252"/>
      <c r="V695" s="2252"/>
      <c r="W695" s="2252"/>
      <c r="X695" s="2252"/>
      <c r="Y695" s="2252"/>
      <c r="Z695" s="2252"/>
      <c r="AA695" s="2252"/>
      <c r="AB695" s="2255"/>
      <c r="AC695" s="2252"/>
      <c r="AD695" s="2252"/>
      <c r="AE695" s="2252"/>
      <c r="AF695" s="2252"/>
    </row>
    <row r="696" spans="2:32">
      <c r="B696" s="2252"/>
      <c r="C696" s="2254"/>
      <c r="D696" s="2380"/>
      <c r="E696" s="2380"/>
      <c r="F696" s="2252"/>
      <c r="G696" s="2252"/>
      <c r="H696" s="2252"/>
      <c r="I696" s="2252"/>
      <c r="J696" s="2252"/>
      <c r="K696" s="2252"/>
      <c r="L696" s="2252"/>
      <c r="M696" s="2252"/>
      <c r="N696" s="2252"/>
      <c r="O696" s="2252"/>
      <c r="P696" s="2252"/>
      <c r="Q696" s="2252"/>
      <c r="R696" s="2252"/>
      <c r="S696" s="2252"/>
      <c r="T696" s="2252"/>
      <c r="U696" s="2252"/>
      <c r="V696" s="2252"/>
      <c r="W696" s="2252"/>
      <c r="X696" s="2252"/>
      <c r="Y696" s="2252"/>
      <c r="Z696" s="2252"/>
      <c r="AA696" s="2252"/>
      <c r="AB696" s="2255"/>
      <c r="AC696" s="2252"/>
      <c r="AD696" s="2252"/>
      <c r="AE696" s="2252"/>
      <c r="AF696" s="2252"/>
    </row>
    <row r="697" spans="2:32">
      <c r="B697" s="2252"/>
      <c r="C697" s="2254"/>
      <c r="D697" s="2380"/>
      <c r="E697" s="2380"/>
      <c r="F697" s="2252"/>
      <c r="G697" s="2252"/>
      <c r="H697" s="2252"/>
      <c r="I697" s="2252"/>
      <c r="J697" s="2252"/>
      <c r="K697" s="2252"/>
      <c r="L697" s="2252"/>
      <c r="M697" s="2252"/>
      <c r="N697" s="2252"/>
      <c r="O697" s="2252"/>
      <c r="P697" s="2252"/>
      <c r="Q697" s="2252"/>
      <c r="R697" s="2252"/>
      <c r="S697" s="2252"/>
      <c r="T697" s="2252"/>
      <c r="U697" s="2252"/>
      <c r="V697" s="2252"/>
      <c r="W697" s="2252"/>
      <c r="X697" s="2252"/>
      <c r="Y697" s="2252"/>
      <c r="Z697" s="2252"/>
      <c r="AA697" s="2252"/>
      <c r="AB697" s="2255"/>
      <c r="AC697" s="2252"/>
      <c r="AD697" s="2252"/>
      <c r="AE697" s="2252"/>
      <c r="AF697" s="2252"/>
    </row>
    <row r="698" spans="2:32">
      <c r="B698" s="2252"/>
      <c r="C698" s="2254"/>
      <c r="D698" s="2380"/>
      <c r="E698" s="2380"/>
      <c r="F698" s="2252"/>
      <c r="G698" s="2252"/>
      <c r="H698" s="2252"/>
      <c r="I698" s="2252"/>
      <c r="J698" s="2252"/>
      <c r="K698" s="2252"/>
      <c r="L698" s="2252"/>
      <c r="M698" s="2252"/>
      <c r="N698" s="2252"/>
      <c r="O698" s="2252"/>
      <c r="P698" s="2252"/>
      <c r="Q698" s="2252"/>
      <c r="R698" s="2252"/>
      <c r="S698" s="2252"/>
      <c r="T698" s="2252"/>
      <c r="U698" s="2252"/>
      <c r="V698" s="2252"/>
      <c r="W698" s="2252"/>
      <c r="X698" s="2252"/>
      <c r="Y698" s="2252"/>
      <c r="Z698" s="2252"/>
      <c r="AA698" s="2252"/>
      <c r="AB698" s="2255"/>
      <c r="AC698" s="2252"/>
      <c r="AD698" s="2252"/>
      <c r="AE698" s="2252"/>
      <c r="AF698" s="2252"/>
    </row>
    <row r="699" spans="2:32">
      <c r="B699" s="2252"/>
      <c r="C699" s="2254"/>
      <c r="D699" s="2380"/>
      <c r="E699" s="2380"/>
      <c r="F699" s="2252"/>
      <c r="G699" s="2252"/>
      <c r="H699" s="2252"/>
      <c r="I699" s="2252"/>
      <c r="J699" s="2252"/>
      <c r="K699" s="2252"/>
      <c r="L699" s="2252"/>
      <c r="M699" s="2252"/>
      <c r="N699" s="2252"/>
      <c r="O699" s="2252"/>
      <c r="P699" s="2252"/>
      <c r="Q699" s="2252"/>
      <c r="R699" s="2252"/>
      <c r="S699" s="2252"/>
      <c r="T699" s="2252"/>
      <c r="U699" s="2252"/>
      <c r="V699" s="2252"/>
      <c r="W699" s="2252"/>
      <c r="X699" s="2252"/>
      <c r="Y699" s="2252"/>
      <c r="Z699" s="2252"/>
      <c r="AA699" s="2252"/>
      <c r="AB699" s="2255"/>
      <c r="AC699" s="2252"/>
      <c r="AD699" s="2252"/>
      <c r="AE699" s="2252"/>
      <c r="AF699" s="2252"/>
    </row>
    <row r="700" spans="2:32">
      <c r="B700" s="2252"/>
      <c r="C700" s="2254"/>
      <c r="D700" s="2380"/>
      <c r="E700" s="2380"/>
      <c r="F700" s="2252"/>
      <c r="G700" s="2252"/>
      <c r="H700" s="2252"/>
      <c r="I700" s="2252"/>
      <c r="J700" s="2252"/>
      <c r="K700" s="2252"/>
      <c r="L700" s="2252"/>
      <c r="M700" s="2252"/>
      <c r="N700" s="2252"/>
      <c r="O700" s="2252"/>
      <c r="P700" s="2252"/>
      <c r="Q700" s="2252"/>
      <c r="R700" s="2252"/>
      <c r="S700" s="2252"/>
      <c r="T700" s="2252"/>
      <c r="U700" s="2252"/>
      <c r="V700" s="2252"/>
      <c r="W700" s="2252"/>
      <c r="X700" s="2252"/>
      <c r="Y700" s="2252"/>
      <c r="Z700" s="2252"/>
      <c r="AA700" s="2252"/>
      <c r="AB700" s="2255"/>
      <c r="AC700" s="2252"/>
      <c r="AD700" s="2252"/>
      <c r="AE700" s="2252"/>
      <c r="AF700" s="2252"/>
    </row>
    <row r="701" spans="2:32">
      <c r="B701" s="2252"/>
      <c r="C701" s="2254"/>
      <c r="D701" s="2380"/>
      <c r="E701" s="2380"/>
      <c r="F701" s="2252"/>
      <c r="G701" s="2252"/>
      <c r="H701" s="2252"/>
      <c r="I701" s="2252"/>
      <c r="J701" s="2252"/>
      <c r="K701" s="2252"/>
      <c r="L701" s="2252"/>
      <c r="M701" s="2252"/>
      <c r="N701" s="2252"/>
      <c r="O701" s="2252"/>
      <c r="P701" s="2252"/>
      <c r="Q701" s="2252"/>
      <c r="R701" s="2252"/>
      <c r="S701" s="2252"/>
      <c r="T701" s="2252"/>
      <c r="U701" s="2252"/>
      <c r="V701" s="2252"/>
      <c r="W701" s="2252"/>
      <c r="X701" s="2252"/>
      <c r="Y701" s="2252"/>
      <c r="Z701" s="2252"/>
      <c r="AA701" s="2252"/>
      <c r="AB701" s="2255"/>
      <c r="AC701" s="2252"/>
      <c r="AD701" s="2252"/>
      <c r="AE701" s="2252"/>
      <c r="AF701" s="2252"/>
    </row>
    <row r="702" spans="2:32">
      <c r="B702" s="2252"/>
      <c r="C702" s="2254"/>
      <c r="D702" s="2380"/>
      <c r="E702" s="2380"/>
      <c r="F702" s="2252"/>
      <c r="G702" s="2252"/>
      <c r="H702" s="2252"/>
      <c r="I702" s="2252"/>
      <c r="J702" s="2252"/>
      <c r="K702" s="2252"/>
      <c r="L702" s="2252"/>
      <c r="M702" s="2252"/>
      <c r="N702" s="2252"/>
      <c r="O702" s="2252"/>
      <c r="P702" s="2252"/>
      <c r="Q702" s="2252"/>
      <c r="R702" s="2252"/>
      <c r="S702" s="2252"/>
      <c r="T702" s="2252"/>
      <c r="U702" s="2252"/>
      <c r="V702" s="2252"/>
      <c r="W702" s="2252"/>
      <c r="X702" s="2252"/>
      <c r="Y702" s="2252"/>
      <c r="Z702" s="2252"/>
      <c r="AA702" s="2252"/>
      <c r="AB702" s="2255"/>
      <c r="AC702" s="2252"/>
      <c r="AD702" s="2252"/>
      <c r="AE702" s="2252"/>
      <c r="AF702" s="2252"/>
    </row>
    <row r="703" spans="2:32">
      <c r="B703" s="2252"/>
      <c r="C703" s="2254"/>
      <c r="D703" s="2380"/>
      <c r="E703" s="2380"/>
      <c r="F703" s="2252"/>
      <c r="G703" s="2252"/>
      <c r="H703" s="2252"/>
      <c r="I703" s="2252"/>
      <c r="J703" s="2252"/>
      <c r="K703" s="2252"/>
      <c r="L703" s="2252"/>
      <c r="M703" s="2252"/>
      <c r="N703" s="2252"/>
      <c r="O703" s="2252"/>
      <c r="P703" s="2252"/>
      <c r="Q703" s="2252"/>
      <c r="R703" s="2252"/>
      <c r="S703" s="2252"/>
      <c r="T703" s="2252"/>
      <c r="U703" s="2252"/>
      <c r="V703" s="2252"/>
      <c r="W703" s="2252"/>
      <c r="X703" s="2252"/>
      <c r="Y703" s="2252"/>
      <c r="Z703" s="2252"/>
      <c r="AA703" s="2252"/>
      <c r="AB703" s="2255"/>
      <c r="AC703" s="2252"/>
      <c r="AD703" s="2252"/>
      <c r="AE703" s="2252"/>
      <c r="AF703" s="2252"/>
    </row>
    <row r="704" spans="2:32">
      <c r="B704" s="2252"/>
      <c r="C704" s="2254"/>
      <c r="D704" s="2380"/>
      <c r="E704" s="2380"/>
      <c r="F704" s="2252"/>
      <c r="G704" s="2252"/>
      <c r="H704" s="2252"/>
      <c r="I704" s="2252"/>
      <c r="J704" s="2252"/>
      <c r="K704" s="2252"/>
      <c r="L704" s="2252"/>
      <c r="M704" s="2252"/>
      <c r="N704" s="2252"/>
      <c r="O704" s="2252"/>
      <c r="P704" s="2252"/>
      <c r="Q704" s="2252"/>
      <c r="R704" s="2252"/>
      <c r="S704" s="2252"/>
      <c r="T704" s="2252"/>
      <c r="U704" s="2252"/>
      <c r="V704" s="2252"/>
      <c r="W704" s="2252"/>
      <c r="X704" s="2252"/>
      <c r="Y704" s="2252"/>
      <c r="Z704" s="2252"/>
      <c r="AA704" s="2252"/>
      <c r="AB704" s="2255"/>
      <c r="AC704" s="2252"/>
      <c r="AD704" s="2252"/>
      <c r="AE704" s="2252"/>
      <c r="AF704" s="2252"/>
    </row>
    <row r="705" spans="2:32">
      <c r="B705" s="2252"/>
      <c r="C705" s="2254"/>
      <c r="D705" s="2380"/>
      <c r="E705" s="2380"/>
      <c r="F705" s="2252"/>
      <c r="G705" s="2252"/>
      <c r="H705" s="2252"/>
      <c r="I705" s="2252"/>
      <c r="J705" s="2252"/>
      <c r="K705" s="2252"/>
      <c r="L705" s="2252"/>
      <c r="M705" s="2252"/>
      <c r="N705" s="2252"/>
      <c r="O705" s="2252"/>
      <c r="P705" s="2252"/>
      <c r="Q705" s="2252"/>
      <c r="R705" s="2252"/>
      <c r="S705" s="2252"/>
      <c r="T705" s="2252"/>
      <c r="U705" s="2252"/>
      <c r="V705" s="2252"/>
      <c r="W705" s="2252"/>
      <c r="X705" s="2252"/>
      <c r="Y705" s="2252"/>
      <c r="Z705" s="2252"/>
      <c r="AA705" s="2252"/>
      <c r="AB705" s="2255"/>
      <c r="AC705" s="2252"/>
      <c r="AD705" s="2252"/>
      <c r="AE705" s="2252"/>
      <c r="AF705" s="2252"/>
    </row>
    <row r="706" spans="2:32">
      <c r="B706" s="2252"/>
      <c r="C706" s="2254"/>
      <c r="D706" s="2380"/>
      <c r="E706" s="2380"/>
      <c r="F706" s="2252"/>
      <c r="G706" s="2252"/>
      <c r="H706" s="2252"/>
      <c r="I706" s="2252"/>
      <c r="J706" s="2252"/>
      <c r="K706" s="2252"/>
      <c r="L706" s="2252"/>
      <c r="M706" s="2252"/>
      <c r="N706" s="2252"/>
      <c r="O706" s="2252"/>
      <c r="P706" s="2252"/>
      <c r="Q706" s="2252"/>
      <c r="R706" s="2252"/>
      <c r="S706" s="2252"/>
      <c r="T706" s="2252"/>
      <c r="U706" s="2252"/>
      <c r="V706" s="2252"/>
      <c r="W706" s="2252"/>
      <c r="X706" s="2252"/>
      <c r="Y706" s="2252"/>
      <c r="Z706" s="2252"/>
      <c r="AA706" s="2252"/>
      <c r="AB706" s="2255"/>
      <c r="AC706" s="2252"/>
      <c r="AD706" s="2252"/>
      <c r="AE706" s="2252"/>
      <c r="AF706" s="2252"/>
    </row>
    <row r="707" spans="2:32">
      <c r="B707" s="2252"/>
      <c r="C707" s="2254"/>
      <c r="D707" s="2380"/>
      <c r="E707" s="2380"/>
      <c r="F707" s="2252"/>
      <c r="G707" s="2252"/>
      <c r="H707" s="2252"/>
      <c r="I707" s="2252"/>
      <c r="J707" s="2252"/>
      <c r="K707" s="2252"/>
      <c r="L707" s="2252"/>
      <c r="M707" s="2252"/>
      <c r="N707" s="2252"/>
      <c r="O707" s="2252"/>
      <c r="P707" s="2252"/>
      <c r="Q707" s="2252"/>
      <c r="R707" s="2252"/>
      <c r="S707" s="2252"/>
      <c r="T707" s="2252"/>
      <c r="U707" s="2252"/>
      <c r="V707" s="2252"/>
      <c r="W707" s="2252"/>
      <c r="X707" s="2252"/>
      <c r="Y707" s="2252"/>
      <c r="Z707" s="2252"/>
      <c r="AA707" s="2252"/>
      <c r="AB707" s="2255"/>
      <c r="AC707" s="2252"/>
      <c r="AD707" s="2252"/>
      <c r="AE707" s="2252"/>
      <c r="AF707" s="2252"/>
    </row>
    <row r="708" spans="2:32">
      <c r="B708" s="2252"/>
      <c r="C708" s="2254"/>
      <c r="D708" s="2380"/>
      <c r="E708" s="2380"/>
      <c r="F708" s="2252"/>
      <c r="G708" s="2252"/>
      <c r="H708" s="2252"/>
      <c r="I708" s="2252"/>
      <c r="J708" s="2252"/>
      <c r="K708" s="2252"/>
      <c r="L708" s="2252"/>
      <c r="M708" s="2252"/>
      <c r="N708" s="2252"/>
      <c r="O708" s="2252"/>
      <c r="P708" s="2252"/>
      <c r="Q708" s="2252"/>
      <c r="R708" s="2252"/>
      <c r="S708" s="2252"/>
      <c r="T708" s="2252"/>
      <c r="U708" s="2252"/>
      <c r="V708" s="2252"/>
      <c r="W708" s="2252"/>
      <c r="X708" s="2252"/>
      <c r="Y708" s="2252"/>
      <c r="Z708" s="2252"/>
      <c r="AA708" s="2252"/>
      <c r="AB708" s="2255"/>
      <c r="AC708" s="2252"/>
      <c r="AD708" s="2252"/>
      <c r="AE708" s="2252"/>
      <c r="AF708" s="2252"/>
    </row>
    <row r="709" spans="2:32">
      <c r="B709" s="2252"/>
      <c r="C709" s="2254"/>
      <c r="D709" s="2380"/>
      <c r="E709" s="2380"/>
      <c r="F709" s="2252"/>
      <c r="G709" s="2252"/>
      <c r="H709" s="2252"/>
      <c r="I709" s="2252"/>
      <c r="J709" s="2252"/>
      <c r="K709" s="2252"/>
      <c r="L709" s="2252"/>
      <c r="M709" s="2252"/>
      <c r="N709" s="2252"/>
      <c r="O709" s="2252"/>
      <c r="P709" s="2252"/>
      <c r="Q709" s="2252"/>
      <c r="R709" s="2252"/>
      <c r="S709" s="2252"/>
      <c r="T709" s="2252"/>
      <c r="U709" s="2252"/>
      <c r="V709" s="2252"/>
      <c r="W709" s="2252"/>
      <c r="X709" s="2252"/>
      <c r="Y709" s="2252"/>
      <c r="Z709" s="2252"/>
      <c r="AA709" s="2252"/>
      <c r="AB709" s="2255"/>
      <c r="AC709" s="2252"/>
      <c r="AD709" s="2252"/>
      <c r="AE709" s="2252"/>
      <c r="AF709" s="2252"/>
    </row>
    <row r="710" spans="2:32">
      <c r="B710" s="2252"/>
      <c r="C710" s="2254"/>
      <c r="D710" s="2380"/>
      <c r="E710" s="2380"/>
      <c r="F710" s="2252"/>
      <c r="G710" s="2252"/>
      <c r="H710" s="2252"/>
      <c r="I710" s="2252"/>
      <c r="J710" s="2252"/>
      <c r="K710" s="2252"/>
      <c r="L710" s="2252"/>
      <c r="M710" s="2252"/>
      <c r="N710" s="2252"/>
      <c r="O710" s="2252"/>
      <c r="P710" s="2252"/>
      <c r="Q710" s="2252"/>
      <c r="R710" s="2252"/>
      <c r="S710" s="2252"/>
      <c r="T710" s="2252"/>
      <c r="U710" s="2252"/>
      <c r="V710" s="2252"/>
      <c r="W710" s="2252"/>
      <c r="X710" s="2252"/>
      <c r="Y710" s="2252"/>
      <c r="Z710" s="2252"/>
      <c r="AA710" s="2252"/>
      <c r="AB710" s="2255"/>
      <c r="AC710" s="2252"/>
      <c r="AD710" s="2252"/>
      <c r="AE710" s="2252"/>
      <c r="AF710" s="2252"/>
    </row>
    <row r="711" spans="2:32">
      <c r="B711" s="2252"/>
      <c r="C711" s="2254"/>
      <c r="D711" s="2380"/>
      <c r="E711" s="2380"/>
      <c r="F711" s="2252"/>
      <c r="G711" s="2252"/>
      <c r="H711" s="2252"/>
      <c r="I711" s="2252"/>
      <c r="J711" s="2252"/>
      <c r="K711" s="2252"/>
      <c r="L711" s="2252"/>
      <c r="M711" s="2252"/>
      <c r="N711" s="2252"/>
      <c r="O711" s="2252"/>
      <c r="P711" s="2252"/>
      <c r="Q711" s="2252"/>
      <c r="R711" s="2252"/>
      <c r="S711" s="2252"/>
      <c r="T711" s="2252"/>
      <c r="U711" s="2252"/>
      <c r="V711" s="2252"/>
      <c r="W711" s="2252"/>
      <c r="X711" s="2252"/>
      <c r="Y711" s="2252"/>
      <c r="Z711" s="2252"/>
      <c r="AA711" s="2252"/>
      <c r="AB711" s="2255"/>
    </row>
  </sheetData>
  <mergeCells count="5">
    <mergeCell ref="B38:D38"/>
    <mergeCell ref="A1:AB1"/>
    <mergeCell ref="A33:AB33"/>
    <mergeCell ref="A41:AB41"/>
    <mergeCell ref="A62:AB62"/>
  </mergeCells>
  <printOptions horizontalCentered="1"/>
  <pageMargins left="0.23622047244094491" right="0.19685039370078741" top="0.62992125984251968" bottom="0.27559055118110237" header="0.43307086614173229" footer="0.11811023622047245"/>
  <pageSetup paperSize="9" scale="68" firstPageNumber="54" fitToHeight="0" orientation="landscape" useFirstPageNumber="1" horizontalDpi="4294967293" r:id="rId1"/>
  <headerFooter>
    <oddHeader>&amp;Rเอกสารแนบ 1</oddHeader>
    <oddFooter>&amp;C&amp;P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354"/>
  <sheetViews>
    <sheetView topLeftCell="A118" zoomScaleNormal="100" zoomScaleSheetLayoutView="110" workbookViewId="0">
      <selection activeCell="G346" sqref="G346"/>
    </sheetView>
  </sheetViews>
  <sheetFormatPr defaultColWidth="9.140625" defaultRowHeight="24"/>
  <cols>
    <col min="1" max="1" width="7" style="2044" customWidth="1"/>
    <col min="2" max="2" width="51" style="2044" customWidth="1"/>
    <col min="3" max="3" width="9.140625" style="2044"/>
    <col min="4" max="4" width="16.42578125" style="2044" customWidth="1"/>
    <col min="5" max="5" width="18.5703125" style="2044" customWidth="1"/>
    <col min="6" max="6" width="31.5703125" style="2044" customWidth="1"/>
    <col min="7" max="7" width="18.140625" style="2044" customWidth="1"/>
    <col min="8" max="16384" width="9.140625" style="2044"/>
  </cols>
  <sheetData>
    <row r="1" spans="1:26" ht="27">
      <c r="A1" s="2881" t="s">
        <v>1257</v>
      </c>
      <c r="B1" s="2881"/>
      <c r="C1" s="2881"/>
      <c r="D1" s="2881"/>
      <c r="E1" s="2881"/>
      <c r="F1" s="2881"/>
      <c r="G1" s="2043"/>
      <c r="H1" s="2043"/>
      <c r="I1" s="2043"/>
      <c r="J1" s="2043"/>
      <c r="K1" s="2043"/>
      <c r="L1" s="2043"/>
      <c r="M1" s="2043"/>
      <c r="N1" s="2043"/>
      <c r="O1" s="2043"/>
      <c r="P1" s="2043"/>
      <c r="Q1" s="2043"/>
      <c r="R1" s="2043"/>
      <c r="S1" s="2043"/>
      <c r="T1" s="2043"/>
      <c r="U1" s="2043"/>
      <c r="V1" s="2043"/>
      <c r="W1" s="2043"/>
      <c r="X1" s="2043"/>
      <c r="Y1" s="2043"/>
      <c r="Z1" s="2043"/>
    </row>
    <row r="2" spans="1:26">
      <c r="A2" s="2045"/>
      <c r="B2" s="2045"/>
      <c r="C2" s="2045"/>
      <c r="D2" s="2045"/>
      <c r="E2" s="2045"/>
      <c r="F2" s="2045"/>
      <c r="G2" s="2043"/>
      <c r="H2" s="2043"/>
      <c r="I2" s="2043"/>
      <c r="J2" s="2043"/>
      <c r="K2" s="2043"/>
      <c r="L2" s="2043"/>
      <c r="M2" s="2043"/>
      <c r="N2" s="2043"/>
      <c r="O2" s="2043"/>
      <c r="P2" s="2043"/>
      <c r="Q2" s="2043"/>
      <c r="R2" s="2043"/>
      <c r="S2" s="2043"/>
      <c r="T2" s="2043"/>
      <c r="U2" s="2043"/>
      <c r="V2" s="2043"/>
      <c r="W2" s="2043"/>
      <c r="X2" s="2043"/>
      <c r="Y2" s="2043"/>
      <c r="Z2" s="2043"/>
    </row>
    <row r="3" spans="1:26">
      <c r="A3" s="2043"/>
      <c r="B3" s="2046" t="s">
        <v>1261</v>
      </c>
      <c r="C3" s="2046"/>
      <c r="D3" s="2046"/>
      <c r="E3" s="2045"/>
      <c r="F3" s="2045"/>
      <c r="G3" s="2043"/>
      <c r="H3" s="2043"/>
      <c r="I3" s="2043"/>
      <c r="J3" s="2043"/>
      <c r="K3" s="2043"/>
      <c r="L3" s="2043"/>
      <c r="M3" s="2043"/>
      <c r="N3" s="2043"/>
      <c r="O3" s="2043"/>
      <c r="P3" s="2043"/>
      <c r="Q3" s="2043"/>
      <c r="R3" s="2043"/>
      <c r="S3" s="2043"/>
      <c r="T3" s="2043"/>
      <c r="U3" s="2043"/>
      <c r="V3" s="2043"/>
      <c r="W3" s="2043"/>
      <c r="X3" s="2043"/>
      <c r="Y3" s="2043"/>
      <c r="Z3" s="2043"/>
    </row>
    <row r="4" spans="1:26">
      <c r="A4" s="2047" t="s">
        <v>2</v>
      </c>
      <c r="B4" s="2047" t="s">
        <v>3</v>
      </c>
      <c r="C4" s="2047" t="s">
        <v>618</v>
      </c>
      <c r="D4" s="2047" t="s">
        <v>1410</v>
      </c>
      <c r="E4" s="2047" t="s">
        <v>1411</v>
      </c>
      <c r="F4" s="2047" t="s">
        <v>388</v>
      </c>
      <c r="G4" s="2048" t="s">
        <v>571</v>
      </c>
    </row>
    <row r="5" spans="1:26" ht="48">
      <c r="A5" s="2049">
        <v>1</v>
      </c>
      <c r="B5" s="2050" t="s">
        <v>647</v>
      </c>
      <c r="C5" s="2051">
        <v>1</v>
      </c>
      <c r="D5" s="2052">
        <v>2247000</v>
      </c>
      <c r="E5" s="2052">
        <f>C5*D5</f>
        <v>2247000</v>
      </c>
      <c r="F5" s="2050" t="s">
        <v>412</v>
      </c>
    </row>
    <row r="6" spans="1:26">
      <c r="A6" s="2049">
        <v>2</v>
      </c>
      <c r="B6" s="2053" t="s">
        <v>580</v>
      </c>
      <c r="C6" s="2054">
        <v>1</v>
      </c>
      <c r="D6" s="2055">
        <v>250000</v>
      </c>
      <c r="E6" s="2055">
        <f>C6*D6</f>
        <v>250000</v>
      </c>
      <c r="F6" s="2053" t="s">
        <v>429</v>
      </c>
    </row>
    <row r="7" spans="1:26" ht="48">
      <c r="A7" s="2049">
        <v>3</v>
      </c>
      <c r="B7" s="2056" t="s">
        <v>432</v>
      </c>
      <c r="C7" s="2051">
        <v>1</v>
      </c>
      <c r="D7" s="2052">
        <v>200000</v>
      </c>
      <c r="E7" s="2052">
        <f t="shared" ref="E7:E17" si="0">+C7*D7</f>
        <v>200000</v>
      </c>
      <c r="F7" s="2050" t="s">
        <v>570</v>
      </c>
    </row>
    <row r="8" spans="1:26" s="2061" customFormat="1" ht="48">
      <c r="A8" s="2049">
        <v>4</v>
      </c>
      <c r="B8" s="2057" t="s">
        <v>1258</v>
      </c>
      <c r="C8" s="2058">
        <v>1</v>
      </c>
      <c r="D8" s="2059">
        <v>150000</v>
      </c>
      <c r="E8" s="2059">
        <f t="shared" si="0"/>
        <v>150000</v>
      </c>
      <c r="F8" s="2060" t="s">
        <v>736</v>
      </c>
    </row>
    <row r="9" spans="1:26">
      <c r="A9" s="2049">
        <v>5</v>
      </c>
      <c r="B9" s="2053" t="s">
        <v>738</v>
      </c>
      <c r="C9" s="2054">
        <v>2</v>
      </c>
      <c r="D9" s="2055">
        <v>550000</v>
      </c>
      <c r="E9" s="2055">
        <f t="shared" si="0"/>
        <v>1100000</v>
      </c>
      <c r="F9" s="2053" t="s">
        <v>736</v>
      </c>
    </row>
    <row r="10" spans="1:26" s="2061" customFormat="1" ht="48">
      <c r="A10" s="2049">
        <v>6</v>
      </c>
      <c r="B10" s="2060" t="s">
        <v>741</v>
      </c>
      <c r="C10" s="2058">
        <v>1</v>
      </c>
      <c r="D10" s="2059">
        <v>30000</v>
      </c>
      <c r="E10" s="2062">
        <f t="shared" si="0"/>
        <v>30000</v>
      </c>
      <c r="F10" s="2057" t="s">
        <v>1259</v>
      </c>
    </row>
    <row r="11" spans="1:26" ht="72">
      <c r="A11" s="2049">
        <v>7</v>
      </c>
      <c r="B11" s="2057" t="s">
        <v>1260</v>
      </c>
      <c r="C11" s="2058">
        <v>1</v>
      </c>
      <c r="D11" s="2059">
        <v>2700000</v>
      </c>
      <c r="E11" s="2059">
        <f t="shared" si="0"/>
        <v>2700000</v>
      </c>
      <c r="F11" s="2060" t="s">
        <v>721</v>
      </c>
    </row>
    <row r="12" spans="1:26">
      <c r="A12" s="2049">
        <v>8</v>
      </c>
      <c r="B12" s="2053" t="s">
        <v>800</v>
      </c>
      <c r="C12" s="2054">
        <v>1</v>
      </c>
      <c r="D12" s="2055">
        <v>650000</v>
      </c>
      <c r="E12" s="2055">
        <f t="shared" si="0"/>
        <v>650000</v>
      </c>
      <c r="F12" s="2053" t="s">
        <v>721</v>
      </c>
    </row>
    <row r="13" spans="1:26">
      <c r="A13" s="2049">
        <v>9</v>
      </c>
      <c r="B13" s="2053" t="s">
        <v>801</v>
      </c>
      <c r="C13" s="2054">
        <v>1</v>
      </c>
      <c r="D13" s="2055">
        <v>1337500</v>
      </c>
      <c r="E13" s="2055">
        <f t="shared" si="0"/>
        <v>1337500</v>
      </c>
      <c r="F13" s="2053" t="s">
        <v>721</v>
      </c>
    </row>
    <row r="14" spans="1:26">
      <c r="A14" s="2049">
        <v>10</v>
      </c>
      <c r="B14" s="2053" t="s">
        <v>802</v>
      </c>
      <c r="C14" s="2054">
        <v>1</v>
      </c>
      <c r="D14" s="2055">
        <v>448598.13</v>
      </c>
      <c r="E14" s="2055">
        <f t="shared" si="0"/>
        <v>448598.13</v>
      </c>
      <c r="F14" s="2053" t="s">
        <v>721</v>
      </c>
    </row>
    <row r="15" spans="1:26">
      <c r="A15" s="2049">
        <v>11</v>
      </c>
      <c r="B15" s="2053" t="s">
        <v>799</v>
      </c>
      <c r="C15" s="2054">
        <v>1</v>
      </c>
      <c r="D15" s="2055">
        <v>4500000</v>
      </c>
      <c r="E15" s="2055">
        <f t="shared" si="0"/>
        <v>4500000</v>
      </c>
      <c r="F15" s="2053" t="s">
        <v>721</v>
      </c>
    </row>
    <row r="16" spans="1:26">
      <c r="A16" s="2049">
        <v>12</v>
      </c>
      <c r="B16" s="2053" t="s">
        <v>190</v>
      </c>
      <c r="C16" s="2054">
        <v>1</v>
      </c>
      <c r="D16" s="2055">
        <v>579900</v>
      </c>
      <c r="E16" s="2055">
        <f t="shared" si="0"/>
        <v>579900</v>
      </c>
      <c r="F16" s="2053" t="s">
        <v>422</v>
      </c>
    </row>
    <row r="17" spans="1:6">
      <c r="A17" s="2049">
        <v>13</v>
      </c>
      <c r="B17" s="2053" t="s">
        <v>1167</v>
      </c>
      <c r="C17" s="2054">
        <v>1</v>
      </c>
      <c r="D17" s="2055">
        <v>9800</v>
      </c>
      <c r="E17" s="2055">
        <f t="shared" si="0"/>
        <v>9800</v>
      </c>
      <c r="F17" s="2053" t="s">
        <v>650</v>
      </c>
    </row>
    <row r="18" spans="1:6">
      <c r="A18" s="2049">
        <v>14</v>
      </c>
      <c r="B18" s="2063" t="s">
        <v>188</v>
      </c>
      <c r="C18" s="2064">
        <v>1</v>
      </c>
      <c r="D18" s="2065">
        <v>400000</v>
      </c>
      <c r="E18" s="2065">
        <f>C18*D18</f>
        <v>400000</v>
      </c>
      <c r="F18" s="2066" t="s">
        <v>421</v>
      </c>
    </row>
    <row r="19" spans="1:6">
      <c r="A19" s="2049">
        <v>15</v>
      </c>
      <c r="B19" s="2063" t="s">
        <v>187</v>
      </c>
      <c r="C19" s="2064">
        <v>1</v>
      </c>
      <c r="D19" s="2065">
        <v>100000</v>
      </c>
      <c r="E19" s="2065">
        <f>C19*D19</f>
        <v>100000</v>
      </c>
      <c r="F19" s="2066" t="s">
        <v>421</v>
      </c>
    </row>
    <row r="20" spans="1:6">
      <c r="A20" s="2049">
        <v>16</v>
      </c>
      <c r="B20" s="2066" t="s">
        <v>200</v>
      </c>
      <c r="C20" s="2064">
        <v>1</v>
      </c>
      <c r="D20" s="2065">
        <v>65000</v>
      </c>
      <c r="E20" s="2065">
        <f>C20*D20</f>
        <v>65000</v>
      </c>
      <c r="F20" s="2066" t="s">
        <v>461</v>
      </c>
    </row>
    <row r="21" spans="1:6">
      <c r="A21" s="2049">
        <v>17</v>
      </c>
      <c r="B21" s="2067" t="s">
        <v>481</v>
      </c>
      <c r="C21" s="2064">
        <v>1</v>
      </c>
      <c r="D21" s="2068">
        <v>50000</v>
      </c>
      <c r="E21" s="2069">
        <f>+C21*D21</f>
        <v>50000</v>
      </c>
      <c r="F21" s="2070" t="s">
        <v>445</v>
      </c>
    </row>
    <row r="22" spans="1:6">
      <c r="A22" s="2049">
        <v>18</v>
      </c>
      <c r="B22" s="2067" t="s">
        <v>480</v>
      </c>
      <c r="C22" s="2064">
        <v>1</v>
      </c>
      <c r="D22" s="2068">
        <v>40000</v>
      </c>
      <c r="E22" s="2069">
        <f>+C22*D22</f>
        <v>40000</v>
      </c>
      <c r="F22" s="2070" t="s">
        <v>445</v>
      </c>
    </row>
    <row r="23" spans="1:6">
      <c r="A23" s="2049">
        <v>19</v>
      </c>
      <c r="B23" s="2066" t="s">
        <v>205</v>
      </c>
      <c r="C23" s="2064">
        <v>1</v>
      </c>
      <c r="D23" s="2065">
        <v>31849</v>
      </c>
      <c r="E23" s="2065">
        <f>C23*D23</f>
        <v>31849</v>
      </c>
      <c r="F23" s="2066" t="s">
        <v>462</v>
      </c>
    </row>
    <row r="24" spans="1:6">
      <c r="A24" s="2049">
        <v>20</v>
      </c>
      <c r="B24" s="2067" t="s">
        <v>482</v>
      </c>
      <c r="C24" s="2064">
        <v>2</v>
      </c>
      <c r="D24" s="2068">
        <v>9500</v>
      </c>
      <c r="E24" s="2069">
        <f>+C24*D24</f>
        <v>19000</v>
      </c>
      <c r="F24" s="2070" t="s">
        <v>445</v>
      </c>
    </row>
    <row r="25" spans="1:6" ht="48">
      <c r="A25" s="2049">
        <v>21</v>
      </c>
      <c r="B25" s="2056" t="s">
        <v>202</v>
      </c>
      <c r="C25" s="2051">
        <v>10</v>
      </c>
      <c r="D25" s="2052">
        <v>5500</v>
      </c>
      <c r="E25" s="2052">
        <f>C25*D25</f>
        <v>55000</v>
      </c>
      <c r="F25" s="2050" t="s">
        <v>1262</v>
      </c>
    </row>
    <row r="26" spans="1:6">
      <c r="A26" s="2049">
        <v>22</v>
      </c>
      <c r="B26" s="2070" t="s">
        <v>485</v>
      </c>
      <c r="C26" s="2064">
        <v>2</v>
      </c>
      <c r="D26" s="2068">
        <v>4950</v>
      </c>
      <c r="E26" s="2069">
        <f t="shared" ref="E26:E33" si="1">+C26*D26</f>
        <v>9900</v>
      </c>
      <c r="F26" s="2070" t="s">
        <v>445</v>
      </c>
    </row>
    <row r="27" spans="1:6">
      <c r="A27" s="2049">
        <v>23</v>
      </c>
      <c r="B27" s="2067" t="s">
        <v>479</v>
      </c>
      <c r="C27" s="2064">
        <v>1</v>
      </c>
      <c r="D27" s="2068">
        <v>2000</v>
      </c>
      <c r="E27" s="2069">
        <f t="shared" si="1"/>
        <v>2000</v>
      </c>
      <c r="F27" s="2070" t="s">
        <v>445</v>
      </c>
    </row>
    <row r="28" spans="1:6">
      <c r="A28" s="2049">
        <v>24</v>
      </c>
      <c r="B28" s="2063" t="s">
        <v>654</v>
      </c>
      <c r="C28" s="2064">
        <v>2</v>
      </c>
      <c r="D28" s="2055">
        <v>130000</v>
      </c>
      <c r="E28" s="2055">
        <f t="shared" si="1"/>
        <v>260000</v>
      </c>
      <c r="F28" s="2070" t="s">
        <v>655</v>
      </c>
    </row>
    <row r="29" spans="1:6" s="2061" customFormat="1" ht="48">
      <c r="A29" s="2049">
        <v>25</v>
      </c>
      <c r="B29" s="2071" t="s">
        <v>1191</v>
      </c>
      <c r="C29" s="2058">
        <v>1</v>
      </c>
      <c r="D29" s="2059">
        <v>400000</v>
      </c>
      <c r="E29" s="2072">
        <f t="shared" si="1"/>
        <v>400000</v>
      </c>
      <c r="F29" s="2073" t="s">
        <v>745</v>
      </c>
    </row>
    <row r="30" spans="1:6">
      <c r="A30" s="2049">
        <v>26</v>
      </c>
      <c r="B30" s="2053" t="s">
        <v>803</v>
      </c>
      <c r="C30" s="2054">
        <v>1</v>
      </c>
      <c r="D30" s="2074">
        <v>310000</v>
      </c>
      <c r="E30" s="2055">
        <f t="shared" si="1"/>
        <v>310000</v>
      </c>
      <c r="F30" s="2053" t="s">
        <v>418</v>
      </c>
    </row>
    <row r="31" spans="1:6">
      <c r="A31" s="2049">
        <v>27</v>
      </c>
      <c r="B31" s="2075" t="s">
        <v>813</v>
      </c>
      <c r="C31" s="2054">
        <v>2</v>
      </c>
      <c r="D31" s="2055">
        <v>5990</v>
      </c>
      <c r="E31" s="2055">
        <f t="shared" si="1"/>
        <v>11980</v>
      </c>
      <c r="F31" s="2075" t="s">
        <v>472</v>
      </c>
    </row>
    <row r="32" spans="1:6">
      <c r="A32" s="2049">
        <v>28</v>
      </c>
      <c r="B32" s="2075" t="s">
        <v>840</v>
      </c>
      <c r="C32" s="2054">
        <v>4</v>
      </c>
      <c r="D32" s="2055">
        <v>33000</v>
      </c>
      <c r="E32" s="2055">
        <f t="shared" si="1"/>
        <v>132000</v>
      </c>
      <c r="F32" s="2075" t="s">
        <v>445</v>
      </c>
    </row>
    <row r="33" spans="1:6">
      <c r="A33" s="2049">
        <v>29</v>
      </c>
      <c r="B33" s="2066" t="s">
        <v>987</v>
      </c>
      <c r="C33" s="2064">
        <v>1</v>
      </c>
      <c r="D33" s="2068">
        <v>2500000</v>
      </c>
      <c r="E33" s="2055">
        <f t="shared" si="1"/>
        <v>2500000</v>
      </c>
      <c r="F33" s="2053" t="s">
        <v>456</v>
      </c>
    </row>
    <row r="34" spans="1:6">
      <c r="A34" s="2049">
        <v>30</v>
      </c>
      <c r="B34" s="2076" t="s">
        <v>1339</v>
      </c>
      <c r="C34" s="2077">
        <v>1</v>
      </c>
      <c r="D34" s="2078">
        <v>19900</v>
      </c>
      <c r="E34" s="2078">
        <v>19900</v>
      </c>
      <c r="F34" s="2076" t="s">
        <v>1305</v>
      </c>
    </row>
    <row r="35" spans="1:6" s="2061" customFormat="1" ht="48">
      <c r="A35" s="2049">
        <v>31</v>
      </c>
      <c r="B35" s="2079" t="s">
        <v>1340</v>
      </c>
      <c r="C35" s="2080">
        <v>1</v>
      </c>
      <c r="D35" s="2081">
        <v>90000</v>
      </c>
      <c r="E35" s="2081">
        <v>90000</v>
      </c>
      <c r="F35" s="2082" t="s">
        <v>1400</v>
      </c>
    </row>
    <row r="36" spans="1:6" s="2061" customFormat="1" ht="48">
      <c r="A36" s="2049">
        <v>32</v>
      </c>
      <c r="B36" s="2079" t="s">
        <v>1341</v>
      </c>
      <c r="C36" s="2080">
        <v>1</v>
      </c>
      <c r="D36" s="2081">
        <v>50000</v>
      </c>
      <c r="E36" s="2081">
        <v>50000</v>
      </c>
      <c r="F36" s="2082" t="s">
        <v>1401</v>
      </c>
    </row>
    <row r="37" spans="1:6">
      <c r="A37" s="2083">
        <v>33</v>
      </c>
      <c r="B37" s="2084" t="s">
        <v>1342</v>
      </c>
      <c r="C37" s="2085">
        <v>1</v>
      </c>
      <c r="D37" s="2086">
        <v>15000</v>
      </c>
      <c r="E37" s="2086">
        <v>15000</v>
      </c>
      <c r="F37" s="2084" t="s">
        <v>428</v>
      </c>
    </row>
    <row r="38" spans="1:6">
      <c r="A38" s="2049">
        <v>34</v>
      </c>
      <c r="B38" s="2087" t="s">
        <v>1343</v>
      </c>
      <c r="C38" s="2088">
        <v>1</v>
      </c>
      <c r="D38" s="2089">
        <v>642000</v>
      </c>
      <c r="E38" s="2089">
        <v>642000</v>
      </c>
      <c r="F38" s="2087" t="s">
        <v>414</v>
      </c>
    </row>
    <row r="39" spans="1:6">
      <c r="A39" s="2090"/>
      <c r="B39" s="2091"/>
      <c r="C39" s="2092"/>
      <c r="D39" s="2093"/>
      <c r="E39" s="2094">
        <f>SUM(E5:E38)</f>
        <v>19406427.130000003</v>
      </c>
      <c r="F39" s="2091"/>
    </row>
    <row r="40" spans="1:6">
      <c r="A40" s="2090"/>
      <c r="B40" s="2091"/>
      <c r="C40" s="2092"/>
      <c r="D40" s="2093"/>
      <c r="E40" s="2094"/>
      <c r="F40" s="2091"/>
    </row>
    <row r="41" spans="1:6">
      <c r="A41" s="2090"/>
      <c r="B41" s="2091"/>
      <c r="C41" s="2092"/>
      <c r="D41" s="2093"/>
      <c r="E41" s="2094"/>
      <c r="F41" s="2091"/>
    </row>
    <row r="42" spans="1:6">
      <c r="A42" s="2090"/>
      <c r="B42" s="2091"/>
      <c r="C42" s="2092"/>
      <c r="D42" s="2093"/>
      <c r="E42" s="2094"/>
      <c r="F42" s="2091"/>
    </row>
    <row r="43" spans="1:6">
      <c r="A43" s="2095"/>
      <c r="B43" s="2096"/>
      <c r="C43" s="2097"/>
      <c r="D43" s="2098"/>
      <c r="E43" s="2099"/>
      <c r="F43" s="2096"/>
    </row>
    <row r="44" spans="1:6">
      <c r="A44" s="2047" t="s">
        <v>2</v>
      </c>
      <c r="B44" s="2047" t="s">
        <v>3</v>
      </c>
      <c r="C44" s="2047" t="s">
        <v>618</v>
      </c>
      <c r="D44" s="2047" t="s">
        <v>1410</v>
      </c>
      <c r="E44" s="2047" t="s">
        <v>1411</v>
      </c>
      <c r="F44" s="2047" t="s">
        <v>388</v>
      </c>
    </row>
    <row r="45" spans="1:6">
      <c r="A45" s="2100">
        <v>35</v>
      </c>
      <c r="B45" s="2101" t="s">
        <v>1342</v>
      </c>
      <c r="C45" s="2102">
        <v>1</v>
      </c>
      <c r="D45" s="2103">
        <v>15000</v>
      </c>
      <c r="E45" s="2103">
        <v>15000</v>
      </c>
      <c r="F45" s="2101" t="s">
        <v>1344</v>
      </c>
    </row>
    <row r="46" spans="1:6">
      <c r="A46" s="2049">
        <v>36</v>
      </c>
      <c r="B46" s="2076" t="s">
        <v>1342</v>
      </c>
      <c r="C46" s="2077">
        <v>1</v>
      </c>
      <c r="D46" s="2078">
        <v>15000</v>
      </c>
      <c r="E46" s="2078">
        <v>15000</v>
      </c>
      <c r="F46" s="2104" t="s">
        <v>1345</v>
      </c>
    </row>
    <row r="47" spans="1:6" s="2061" customFormat="1" ht="48">
      <c r="A47" s="2049">
        <v>37</v>
      </c>
      <c r="B47" s="2079" t="s">
        <v>1340</v>
      </c>
      <c r="C47" s="2080">
        <v>2</v>
      </c>
      <c r="D47" s="2081">
        <v>68500</v>
      </c>
      <c r="E47" s="2081">
        <v>137000</v>
      </c>
      <c r="F47" s="2082" t="s">
        <v>1400</v>
      </c>
    </row>
    <row r="48" spans="1:6">
      <c r="A48" s="2049">
        <v>38</v>
      </c>
      <c r="B48" s="2076" t="s">
        <v>846</v>
      </c>
      <c r="C48" s="2077">
        <v>63</v>
      </c>
      <c r="D48" s="2078">
        <v>8400</v>
      </c>
      <c r="E48" s="2078">
        <v>529200</v>
      </c>
      <c r="F48" s="2076" t="s">
        <v>861</v>
      </c>
    </row>
    <row r="49" spans="1:6">
      <c r="A49" s="2049">
        <v>39</v>
      </c>
      <c r="B49" s="2076" t="s">
        <v>1346</v>
      </c>
      <c r="C49" s="2077">
        <v>3</v>
      </c>
      <c r="D49" s="2078">
        <v>28600</v>
      </c>
      <c r="E49" s="2078">
        <v>85800</v>
      </c>
      <c r="F49" s="2076" t="s">
        <v>861</v>
      </c>
    </row>
    <row r="50" spans="1:6">
      <c r="A50" s="2049">
        <v>40</v>
      </c>
      <c r="B50" s="2076" t="s">
        <v>1347</v>
      </c>
      <c r="C50" s="2077">
        <v>1</v>
      </c>
      <c r="D50" s="2078">
        <v>53500</v>
      </c>
      <c r="E50" s="2078">
        <v>53500</v>
      </c>
      <c r="F50" s="2076" t="s">
        <v>736</v>
      </c>
    </row>
    <row r="51" spans="1:6">
      <c r="A51" s="2049">
        <v>41</v>
      </c>
      <c r="B51" s="2076" t="s">
        <v>1348</v>
      </c>
      <c r="C51" s="2077">
        <v>3</v>
      </c>
      <c r="D51" s="2078">
        <v>120000</v>
      </c>
      <c r="E51" s="2078">
        <v>360000</v>
      </c>
      <c r="F51" s="2076" t="s">
        <v>423</v>
      </c>
    </row>
    <row r="52" spans="1:6">
      <c r="A52" s="2049">
        <v>42</v>
      </c>
      <c r="B52" s="2076" t="s">
        <v>1349</v>
      </c>
      <c r="C52" s="2077">
        <v>6</v>
      </c>
      <c r="D52" s="2078">
        <v>43000</v>
      </c>
      <c r="E52" s="2078">
        <v>258000</v>
      </c>
      <c r="F52" s="2076" t="s">
        <v>1294</v>
      </c>
    </row>
    <row r="53" spans="1:6">
      <c r="A53" s="2049">
        <v>43</v>
      </c>
      <c r="B53" s="2076" t="s">
        <v>1350</v>
      </c>
      <c r="C53" s="2077">
        <v>1</v>
      </c>
      <c r="D53" s="2078">
        <v>24600</v>
      </c>
      <c r="E53" s="2078">
        <v>24600</v>
      </c>
      <c r="F53" s="2076" t="s">
        <v>888</v>
      </c>
    </row>
    <row r="54" spans="1:6">
      <c r="A54" s="2049">
        <v>44</v>
      </c>
      <c r="B54" s="2076" t="s">
        <v>1479</v>
      </c>
      <c r="C54" s="2077">
        <v>1</v>
      </c>
      <c r="D54" s="2078">
        <v>12800</v>
      </c>
      <c r="E54" s="2078">
        <v>12800</v>
      </c>
      <c r="F54" s="2076" t="s">
        <v>888</v>
      </c>
    </row>
    <row r="55" spans="1:6">
      <c r="A55" s="2049">
        <v>45</v>
      </c>
      <c r="B55" s="2076" t="s">
        <v>1351</v>
      </c>
      <c r="C55" s="2077">
        <v>1</v>
      </c>
      <c r="D55" s="2078">
        <v>278200</v>
      </c>
      <c r="E55" s="2078">
        <v>278200</v>
      </c>
      <c r="F55" s="2076" t="s">
        <v>721</v>
      </c>
    </row>
    <row r="56" spans="1:6">
      <c r="A56" s="2049">
        <v>46</v>
      </c>
      <c r="B56" s="2076" t="s">
        <v>1352</v>
      </c>
      <c r="C56" s="2077">
        <v>2</v>
      </c>
      <c r="D56" s="2078">
        <v>48150</v>
      </c>
      <c r="E56" s="2078">
        <v>96300</v>
      </c>
      <c r="F56" s="2076" t="s">
        <v>721</v>
      </c>
    </row>
    <row r="57" spans="1:6">
      <c r="A57" s="2049">
        <v>47</v>
      </c>
      <c r="B57" s="2076" t="s">
        <v>1353</v>
      </c>
      <c r="C57" s="2077">
        <v>1</v>
      </c>
      <c r="D57" s="2078">
        <v>39600</v>
      </c>
      <c r="E57" s="2078">
        <v>39600</v>
      </c>
      <c r="F57" s="2104" t="s">
        <v>1354</v>
      </c>
    </row>
    <row r="58" spans="1:6">
      <c r="A58" s="2049">
        <v>48</v>
      </c>
      <c r="B58" s="2076" t="s">
        <v>1355</v>
      </c>
      <c r="C58" s="2077">
        <v>1</v>
      </c>
      <c r="D58" s="2078">
        <v>42000</v>
      </c>
      <c r="E58" s="2078">
        <v>42000</v>
      </c>
      <c r="F58" s="2076" t="s">
        <v>743</v>
      </c>
    </row>
    <row r="59" spans="1:6">
      <c r="A59" s="2049">
        <v>49</v>
      </c>
      <c r="B59" s="2076" t="s">
        <v>1356</v>
      </c>
      <c r="C59" s="2077">
        <v>1</v>
      </c>
      <c r="D59" s="2078">
        <v>250000</v>
      </c>
      <c r="E59" s="2078">
        <v>250000</v>
      </c>
      <c r="F59" s="2076" t="s">
        <v>428</v>
      </c>
    </row>
    <row r="60" spans="1:6" s="2061" customFormat="1" ht="48">
      <c r="A60" s="2049">
        <v>50</v>
      </c>
      <c r="B60" s="2105" t="s">
        <v>1357</v>
      </c>
      <c r="C60" s="2049">
        <v>1</v>
      </c>
      <c r="D60" s="2106">
        <v>20000</v>
      </c>
      <c r="E60" s="2106">
        <f>+C60*D60</f>
        <v>20000</v>
      </c>
      <c r="F60" s="2107" t="s">
        <v>1400</v>
      </c>
    </row>
    <row r="61" spans="1:6" s="2061" customFormat="1" ht="26.25">
      <c r="A61" s="2090"/>
      <c r="C61" s="2090"/>
      <c r="D61" s="2108"/>
      <c r="E61" s="2109">
        <f>SUM(E45:E60)</f>
        <v>2217000</v>
      </c>
      <c r="F61" s="2110"/>
    </row>
    <row r="62" spans="1:6" ht="7.5" customHeight="1">
      <c r="A62" s="2090"/>
      <c r="B62" s="2111"/>
      <c r="C62" s="2112"/>
      <c r="F62" s="941"/>
    </row>
    <row r="63" spans="1:6">
      <c r="A63" s="2043"/>
      <c r="B63" s="2886" t="s">
        <v>1391</v>
      </c>
      <c r="C63" s="2886"/>
      <c r="D63" s="2886"/>
      <c r="E63" s="2045"/>
      <c r="F63" s="2045"/>
    </row>
    <row r="64" spans="1:6">
      <c r="A64" s="2047" t="s">
        <v>2</v>
      </c>
      <c r="B64" s="2047" t="s">
        <v>3</v>
      </c>
      <c r="C64" s="2047" t="s">
        <v>618</v>
      </c>
      <c r="D64" s="2047" t="s">
        <v>1410</v>
      </c>
      <c r="E64" s="2047" t="s">
        <v>1411</v>
      </c>
      <c r="F64" s="2047" t="s">
        <v>388</v>
      </c>
    </row>
    <row r="65" spans="1:7" s="1016" customFormat="1" ht="48">
      <c r="A65" s="2058">
        <v>1</v>
      </c>
      <c r="B65" s="2057" t="s">
        <v>1398</v>
      </c>
      <c r="C65" s="2058">
        <v>2</v>
      </c>
      <c r="D65" s="2113">
        <v>8500</v>
      </c>
      <c r="E65" s="2113">
        <f>+C65*D65</f>
        <v>17000</v>
      </c>
      <c r="F65" s="2057" t="s">
        <v>1400</v>
      </c>
      <c r="G65" s="1016" t="s">
        <v>1437</v>
      </c>
    </row>
    <row r="66" spans="1:7" s="2061" customFormat="1">
      <c r="A66" s="2049">
        <v>2</v>
      </c>
      <c r="B66" s="2105" t="s">
        <v>1392</v>
      </c>
      <c r="C66" s="2049">
        <v>3</v>
      </c>
      <c r="D66" s="2114">
        <v>2200000</v>
      </c>
      <c r="E66" s="2114">
        <f>C66*D66</f>
        <v>6600000</v>
      </c>
      <c r="F66" s="2105" t="s">
        <v>418</v>
      </c>
      <c r="G66" s="1016" t="s">
        <v>1437</v>
      </c>
    </row>
    <row r="67" spans="1:7" s="2061" customFormat="1">
      <c r="A67" s="2049">
        <v>3</v>
      </c>
      <c r="B67" s="2105" t="s">
        <v>1394</v>
      </c>
      <c r="C67" s="2049">
        <v>1</v>
      </c>
      <c r="D67" s="2115">
        <v>480000</v>
      </c>
      <c r="E67" s="2114">
        <f t="shared" ref="E67:E72" si="2">+C67*D67</f>
        <v>480000</v>
      </c>
      <c r="F67" s="2105" t="s">
        <v>574</v>
      </c>
      <c r="G67" s="1016" t="s">
        <v>1437</v>
      </c>
    </row>
    <row r="68" spans="1:7" s="2061" customFormat="1">
      <c r="A68" s="2058">
        <v>4</v>
      </c>
      <c r="B68" s="2105" t="s">
        <v>1395</v>
      </c>
      <c r="C68" s="2049">
        <v>2</v>
      </c>
      <c r="D68" s="2114">
        <v>86000</v>
      </c>
      <c r="E68" s="2114">
        <f t="shared" si="2"/>
        <v>172000</v>
      </c>
      <c r="F68" s="2105" t="s">
        <v>956</v>
      </c>
      <c r="G68" s="1016" t="s">
        <v>1437</v>
      </c>
    </row>
    <row r="69" spans="1:7" s="2061" customFormat="1">
      <c r="A69" s="2049">
        <v>5</v>
      </c>
      <c r="B69" s="2105" t="s">
        <v>196</v>
      </c>
      <c r="C69" s="2049">
        <v>2</v>
      </c>
      <c r="D69" s="2114">
        <v>63500</v>
      </c>
      <c r="E69" s="2114">
        <f t="shared" si="2"/>
        <v>127000</v>
      </c>
      <c r="F69" s="2105" t="s">
        <v>472</v>
      </c>
      <c r="G69" s="1016" t="s">
        <v>1437</v>
      </c>
    </row>
    <row r="70" spans="1:7" s="2061" customFormat="1">
      <c r="A70" s="2049">
        <v>6</v>
      </c>
      <c r="B70" s="2105" t="s">
        <v>1396</v>
      </c>
      <c r="C70" s="2049">
        <v>1</v>
      </c>
      <c r="D70" s="2114">
        <v>310300</v>
      </c>
      <c r="E70" s="2114">
        <f t="shared" si="2"/>
        <v>310300</v>
      </c>
      <c r="F70" s="2105" t="s">
        <v>721</v>
      </c>
      <c r="G70" s="1016" t="s">
        <v>1437</v>
      </c>
    </row>
    <row r="71" spans="1:7" s="2061" customFormat="1" ht="48">
      <c r="A71" s="2058">
        <v>7</v>
      </c>
      <c r="B71" s="2107" t="s">
        <v>1399</v>
      </c>
      <c r="C71" s="2049">
        <v>1</v>
      </c>
      <c r="D71" s="2114">
        <v>80250</v>
      </c>
      <c r="E71" s="2114">
        <f t="shared" si="2"/>
        <v>80250</v>
      </c>
      <c r="F71" s="2105" t="s">
        <v>721</v>
      </c>
      <c r="G71" s="1016" t="s">
        <v>1437</v>
      </c>
    </row>
    <row r="72" spans="1:7" s="2061" customFormat="1">
      <c r="A72" s="2049">
        <v>8</v>
      </c>
      <c r="B72" s="2105" t="s">
        <v>1397</v>
      </c>
      <c r="C72" s="2049">
        <v>2</v>
      </c>
      <c r="D72" s="2114">
        <v>29000</v>
      </c>
      <c r="E72" s="2114">
        <f t="shared" si="2"/>
        <v>58000</v>
      </c>
      <c r="F72" s="2105" t="s">
        <v>423</v>
      </c>
      <c r="G72" s="1016" t="s">
        <v>1437</v>
      </c>
    </row>
    <row r="73" spans="1:7" s="2061" customFormat="1" ht="48">
      <c r="A73" s="2049">
        <v>9</v>
      </c>
      <c r="B73" s="2057" t="s">
        <v>1450</v>
      </c>
      <c r="C73" s="2058">
        <v>1</v>
      </c>
      <c r="D73" s="2116">
        <v>380000</v>
      </c>
      <c r="E73" s="2117">
        <f t="shared" ref="E73:E77" si="3">D73</f>
        <v>380000</v>
      </c>
      <c r="F73" s="2105" t="s">
        <v>721</v>
      </c>
      <c r="G73" s="1016" t="s">
        <v>1437</v>
      </c>
    </row>
    <row r="74" spans="1:7" s="2061" customFormat="1">
      <c r="A74" s="2049">
        <v>12</v>
      </c>
      <c r="B74" s="2118" t="s">
        <v>1451</v>
      </c>
      <c r="C74" s="2058">
        <v>1</v>
      </c>
      <c r="D74" s="2116">
        <v>1605000</v>
      </c>
      <c r="E74" s="2117">
        <f>D74</f>
        <v>1605000</v>
      </c>
      <c r="F74" s="2105" t="s">
        <v>721</v>
      </c>
      <c r="G74" s="1016" t="s">
        <v>1460</v>
      </c>
    </row>
    <row r="75" spans="1:7" s="2061" customFormat="1" ht="48">
      <c r="A75" s="2049">
        <v>13</v>
      </c>
      <c r="B75" s="2119" t="s">
        <v>1452</v>
      </c>
      <c r="C75" s="2058">
        <v>1</v>
      </c>
      <c r="D75" s="2116">
        <v>950000</v>
      </c>
      <c r="E75" s="2117">
        <f>D75</f>
        <v>950000</v>
      </c>
      <c r="F75" s="2105" t="s">
        <v>721</v>
      </c>
      <c r="G75" s="1016" t="s">
        <v>1461</v>
      </c>
    </row>
    <row r="76" spans="1:7" s="2061" customFormat="1">
      <c r="A76" s="2049">
        <v>14</v>
      </c>
      <c r="B76" s="2119" t="s">
        <v>1453</v>
      </c>
      <c r="C76" s="2058">
        <v>1</v>
      </c>
      <c r="D76" s="2116">
        <v>47910</v>
      </c>
      <c r="E76" s="2117">
        <f>D76</f>
        <v>47910</v>
      </c>
      <c r="F76" s="2105" t="s">
        <v>721</v>
      </c>
      <c r="G76" s="1016" t="s">
        <v>1462</v>
      </c>
    </row>
    <row r="77" spans="1:7" s="2061" customFormat="1" ht="48">
      <c r="A77" s="2058">
        <v>15</v>
      </c>
      <c r="B77" s="2057" t="s">
        <v>1454</v>
      </c>
      <c r="C77" s="2058">
        <v>1</v>
      </c>
      <c r="D77" s="2116">
        <v>1600000</v>
      </c>
      <c r="E77" s="2117">
        <f t="shared" si="3"/>
        <v>1600000</v>
      </c>
      <c r="F77" s="2105" t="s">
        <v>721</v>
      </c>
      <c r="G77" s="1016" t="s">
        <v>1466</v>
      </c>
    </row>
    <row r="78" spans="1:7" ht="17.25" customHeight="1">
      <c r="A78" s="2090"/>
      <c r="B78" s="2111"/>
      <c r="C78" s="2112"/>
      <c r="D78" s="2120"/>
      <c r="E78" s="2121">
        <f>SUM(E65:E77)</f>
        <v>12427460</v>
      </c>
      <c r="F78" s="941"/>
    </row>
    <row r="79" spans="1:7" ht="17.25" customHeight="1">
      <c r="A79" s="2090"/>
      <c r="B79" s="2888" t="s">
        <v>1405</v>
      </c>
      <c r="C79" s="2888"/>
      <c r="D79" s="2888"/>
      <c r="E79" s="2122">
        <f>+E39+E61+E78</f>
        <v>34050887.130000003</v>
      </c>
      <c r="F79" s="941"/>
    </row>
    <row r="80" spans="1:7" ht="8.25" customHeight="1">
      <c r="A80" s="2090"/>
      <c r="B80" s="2111"/>
      <c r="C80" s="2112"/>
      <c r="D80" s="2120"/>
      <c r="E80" s="2123"/>
      <c r="F80" s="941"/>
    </row>
    <row r="81" spans="1:6" ht="18" customHeight="1">
      <c r="A81" s="2124"/>
      <c r="B81" s="2046" t="s">
        <v>1263</v>
      </c>
      <c r="C81" s="2124"/>
      <c r="D81" s="2124"/>
      <c r="E81" s="2124"/>
      <c r="F81" s="2124"/>
    </row>
    <row r="82" spans="1:6" ht="18" customHeight="1">
      <c r="A82" s="2047" t="s">
        <v>2</v>
      </c>
      <c r="B82" s="2047" t="s">
        <v>3</v>
      </c>
      <c r="C82" s="2047" t="s">
        <v>618</v>
      </c>
      <c r="D82" s="2047" t="s">
        <v>1410</v>
      </c>
      <c r="E82" s="2047" t="s">
        <v>1411</v>
      </c>
      <c r="F82" s="2047" t="s">
        <v>388</v>
      </c>
    </row>
    <row r="83" spans="1:6" ht="18" customHeight="1">
      <c r="A83" s="2088">
        <v>1</v>
      </c>
      <c r="B83" s="2053" t="s">
        <v>887</v>
      </c>
      <c r="C83" s="2054">
        <v>2</v>
      </c>
      <c r="D83" s="2055">
        <v>2290</v>
      </c>
      <c r="E83" s="2055">
        <f>+C83*D83</f>
        <v>4580</v>
      </c>
      <c r="F83" s="2053" t="s">
        <v>456</v>
      </c>
    </row>
    <row r="84" spans="1:6" ht="18" customHeight="1">
      <c r="A84" s="2088">
        <v>2</v>
      </c>
      <c r="B84" s="2053" t="s">
        <v>882</v>
      </c>
      <c r="C84" s="2054">
        <v>2</v>
      </c>
      <c r="D84" s="2055">
        <v>8690</v>
      </c>
      <c r="E84" s="2055">
        <f>+C84*D84</f>
        <v>17380</v>
      </c>
      <c r="F84" s="2053" t="s">
        <v>456</v>
      </c>
    </row>
    <row r="85" spans="1:6" ht="18" customHeight="1">
      <c r="A85" s="2088">
        <v>3</v>
      </c>
      <c r="B85" s="2053" t="s">
        <v>869</v>
      </c>
      <c r="C85" s="2054">
        <v>19</v>
      </c>
      <c r="D85" s="2125">
        <v>3524.58</v>
      </c>
      <c r="E85" s="2055">
        <f>+C85*D85</f>
        <v>66967.02</v>
      </c>
      <c r="F85" s="2053" t="s">
        <v>456</v>
      </c>
    </row>
    <row r="86" spans="1:6" ht="18" customHeight="1">
      <c r="A86" s="2088">
        <v>4</v>
      </c>
      <c r="B86" s="2053" t="s">
        <v>870</v>
      </c>
      <c r="C86" s="2054">
        <v>40</v>
      </c>
      <c r="D86" s="2055">
        <v>2477.5</v>
      </c>
      <c r="E86" s="2055">
        <f>+C86*D86</f>
        <v>99100</v>
      </c>
      <c r="F86" s="2053" t="s">
        <v>850</v>
      </c>
    </row>
    <row r="87" spans="1:6" ht="18" customHeight="1">
      <c r="A87" s="2088">
        <v>9</v>
      </c>
      <c r="B87" s="2126" t="s">
        <v>1264</v>
      </c>
      <c r="C87" s="2088">
        <v>1</v>
      </c>
      <c r="D87" s="2127">
        <v>3900</v>
      </c>
      <c r="E87" s="2127">
        <f>+C87*D87</f>
        <v>3900</v>
      </c>
      <c r="F87" s="2126" t="s">
        <v>1265</v>
      </c>
    </row>
    <row r="88" spans="1:6" ht="18" customHeight="1">
      <c r="A88" s="2088">
        <v>10</v>
      </c>
      <c r="B88" s="2128" t="s">
        <v>1378</v>
      </c>
      <c r="C88" s="2129">
        <v>1</v>
      </c>
      <c r="D88" s="2130">
        <v>5490</v>
      </c>
      <c r="E88" s="2130">
        <v>5490</v>
      </c>
      <c r="F88" s="2128" t="s">
        <v>470</v>
      </c>
    </row>
    <row r="89" spans="1:6" ht="18" customHeight="1">
      <c r="A89" s="2088">
        <v>11</v>
      </c>
      <c r="B89" s="2128" t="s">
        <v>868</v>
      </c>
      <c r="C89" s="2129">
        <v>1</v>
      </c>
      <c r="D89" s="2130">
        <v>39630</v>
      </c>
      <c r="E89" s="2130">
        <v>39630</v>
      </c>
      <c r="F89" s="2131" t="s">
        <v>1382</v>
      </c>
    </row>
    <row r="90" spans="1:6" ht="18" customHeight="1">
      <c r="A90" s="2088">
        <v>12</v>
      </c>
      <c r="B90" s="2087" t="s">
        <v>1378</v>
      </c>
      <c r="C90" s="2088">
        <v>1</v>
      </c>
      <c r="D90" s="2089">
        <v>5490</v>
      </c>
      <c r="E90" s="2089">
        <v>5490</v>
      </c>
      <c r="F90" s="2132" t="s">
        <v>1383</v>
      </c>
    </row>
    <row r="91" spans="1:6" ht="18" customHeight="1">
      <c r="A91" s="2088">
        <v>13</v>
      </c>
      <c r="B91" s="2087" t="s">
        <v>1379</v>
      </c>
      <c r="C91" s="2088">
        <v>1</v>
      </c>
      <c r="D91" s="2089">
        <v>6790</v>
      </c>
      <c r="E91" s="2089">
        <v>6790</v>
      </c>
      <c r="F91" s="2087" t="s">
        <v>1278</v>
      </c>
    </row>
    <row r="92" spans="1:6" ht="18" customHeight="1">
      <c r="A92" s="2133"/>
      <c r="B92" s="2134"/>
      <c r="C92" s="2133"/>
      <c r="D92" s="2135"/>
      <c r="E92" s="2136">
        <f>SUM(E83:E91)</f>
        <v>249327.02000000002</v>
      </c>
      <c r="F92" s="2137"/>
    </row>
    <row r="93" spans="1:6" ht="19.5" customHeight="1">
      <c r="A93" s="2047" t="s">
        <v>2</v>
      </c>
      <c r="B93" s="2047" t="s">
        <v>3</v>
      </c>
      <c r="C93" s="2047" t="s">
        <v>618</v>
      </c>
      <c r="D93" s="2047" t="s">
        <v>1410</v>
      </c>
      <c r="E93" s="2047" t="s">
        <v>1411</v>
      </c>
      <c r="F93" s="2047" t="s">
        <v>388</v>
      </c>
    </row>
    <row r="94" spans="1:6" s="2061" customFormat="1" ht="48">
      <c r="A94" s="2049">
        <v>14</v>
      </c>
      <c r="B94" s="2138" t="s">
        <v>868</v>
      </c>
      <c r="C94" s="2049">
        <v>1</v>
      </c>
      <c r="D94" s="2139">
        <v>45600</v>
      </c>
      <c r="E94" s="2139">
        <v>45600</v>
      </c>
      <c r="F94" s="2140" t="s">
        <v>1406</v>
      </c>
    </row>
    <row r="95" spans="1:6">
      <c r="A95" s="2088">
        <v>15</v>
      </c>
      <c r="B95" s="2087" t="s">
        <v>1380</v>
      </c>
      <c r="C95" s="2088">
        <v>1</v>
      </c>
      <c r="D95" s="2089">
        <v>1590</v>
      </c>
      <c r="E95" s="2089">
        <v>1590</v>
      </c>
      <c r="F95" s="2087" t="s">
        <v>1384</v>
      </c>
    </row>
    <row r="96" spans="1:6">
      <c r="A96" s="2088">
        <v>16</v>
      </c>
      <c r="B96" s="2087" t="s">
        <v>1381</v>
      </c>
      <c r="C96" s="2088">
        <v>1</v>
      </c>
      <c r="D96" s="2089">
        <v>5990</v>
      </c>
      <c r="E96" s="2089">
        <v>5990</v>
      </c>
      <c r="F96" s="2087" t="s">
        <v>614</v>
      </c>
    </row>
    <row r="97" spans="1:7">
      <c r="A97" s="2092"/>
      <c r="B97" s="2091"/>
      <c r="C97" s="2092"/>
      <c r="D97" s="2141"/>
      <c r="E97" s="2094">
        <f>SUM(E91:E96)</f>
        <v>309297.02</v>
      </c>
      <c r="F97" s="2091"/>
    </row>
    <row r="98" spans="1:7">
      <c r="A98" s="2092"/>
      <c r="E98" s="2094"/>
      <c r="F98" s="2091"/>
    </row>
    <row r="99" spans="1:7">
      <c r="A99" s="2124"/>
      <c r="B99" s="2889" t="s">
        <v>1407</v>
      </c>
      <c r="C99" s="2889"/>
      <c r="D99" s="2889"/>
      <c r="E99" s="2124"/>
      <c r="F99" s="2124"/>
    </row>
    <row r="100" spans="1:7">
      <c r="A100" s="2047" t="s">
        <v>2</v>
      </c>
      <c r="B100" s="2047" t="s">
        <v>3</v>
      </c>
      <c r="C100" s="2047" t="s">
        <v>618</v>
      </c>
      <c r="D100" s="2047" t="s">
        <v>1410</v>
      </c>
      <c r="E100" s="2047" t="s">
        <v>1411</v>
      </c>
      <c r="F100" s="2047" t="s">
        <v>388</v>
      </c>
    </row>
    <row r="101" spans="1:7" s="2061" customFormat="1" ht="48">
      <c r="A101" s="2049">
        <v>1</v>
      </c>
      <c r="B101" s="2057" t="s">
        <v>1266</v>
      </c>
      <c r="C101" s="2058">
        <v>1</v>
      </c>
      <c r="D101" s="2113">
        <v>103830</v>
      </c>
      <c r="E101" s="2113">
        <f>+C101*D101</f>
        <v>103830</v>
      </c>
      <c r="F101" s="2060" t="s">
        <v>456</v>
      </c>
      <c r="G101" s="2061" t="s">
        <v>1437</v>
      </c>
    </row>
    <row r="102" spans="1:7" s="2061" customFormat="1" ht="48">
      <c r="A102" s="2049">
        <v>2</v>
      </c>
      <c r="B102" s="2057" t="s">
        <v>1267</v>
      </c>
      <c r="C102" s="2058">
        <v>1</v>
      </c>
      <c r="D102" s="2113">
        <v>127200</v>
      </c>
      <c r="E102" s="2113">
        <f>+C102*D102</f>
        <v>127200</v>
      </c>
      <c r="F102" s="2060" t="s">
        <v>456</v>
      </c>
      <c r="G102" s="2061" t="s">
        <v>1437</v>
      </c>
    </row>
    <row r="103" spans="1:7" s="2061" customFormat="1" ht="48">
      <c r="A103" s="2049">
        <v>3</v>
      </c>
      <c r="B103" s="2057" t="s">
        <v>1268</v>
      </c>
      <c r="C103" s="2058">
        <v>1</v>
      </c>
      <c r="D103" s="2113">
        <v>527104</v>
      </c>
      <c r="E103" s="2113">
        <f>+C103*D103</f>
        <v>527104</v>
      </c>
      <c r="F103" s="2060" t="s">
        <v>456</v>
      </c>
      <c r="G103" s="2061" t="s">
        <v>1437</v>
      </c>
    </row>
    <row r="104" spans="1:7" s="2061" customFormat="1" ht="48">
      <c r="A104" s="2049">
        <v>4</v>
      </c>
      <c r="B104" s="2057" t="s">
        <v>1269</v>
      </c>
      <c r="C104" s="2058">
        <v>1</v>
      </c>
      <c r="D104" s="2113">
        <v>162320</v>
      </c>
      <c r="E104" s="2113">
        <f>+C104*D104</f>
        <v>162320</v>
      </c>
      <c r="F104" s="2060" t="s">
        <v>456</v>
      </c>
      <c r="G104" s="2061" t="s">
        <v>1437</v>
      </c>
    </row>
    <row r="105" spans="1:7" s="2061" customFormat="1" ht="26.25">
      <c r="A105" s="2142"/>
      <c r="B105" s="2143"/>
      <c r="C105" s="2144"/>
      <c r="D105" s="2145"/>
      <c r="E105" s="2146">
        <f>SUM(E101:E104)</f>
        <v>920454</v>
      </c>
      <c r="F105" s="2147"/>
    </row>
    <row r="106" spans="1:7" s="2061" customFormat="1" ht="26.25">
      <c r="A106" s="2090"/>
      <c r="B106" s="2880" t="s">
        <v>1408</v>
      </c>
      <c r="C106" s="2880"/>
      <c r="D106" s="2880"/>
      <c r="E106" s="2148">
        <f>+E92+E97+E105</f>
        <v>1479078.04</v>
      </c>
      <c r="F106" s="1016"/>
    </row>
    <row r="107" spans="1:7" s="2061" customFormat="1" ht="12" customHeight="1">
      <c r="A107" s="2090"/>
      <c r="B107" s="2149"/>
      <c r="C107" s="2150"/>
      <c r="D107" s="2151"/>
      <c r="E107" s="2151"/>
      <c r="F107" s="1016"/>
    </row>
    <row r="108" spans="1:7">
      <c r="A108" s="2124"/>
      <c r="B108" s="2046" t="s">
        <v>1409</v>
      </c>
      <c r="C108" s="2124"/>
      <c r="D108" s="2124"/>
      <c r="E108" s="2124"/>
      <c r="F108" s="2124"/>
    </row>
    <row r="109" spans="1:7">
      <c r="A109" s="2047" t="s">
        <v>2</v>
      </c>
      <c r="B109" s="2047" t="s">
        <v>3</v>
      </c>
      <c r="C109" s="2047" t="s">
        <v>618</v>
      </c>
      <c r="D109" s="2047" t="s">
        <v>1410</v>
      </c>
      <c r="E109" s="2047" t="s">
        <v>1411</v>
      </c>
      <c r="F109" s="2047" t="s">
        <v>388</v>
      </c>
    </row>
    <row r="110" spans="1:7">
      <c r="A110" s="2088">
        <v>1</v>
      </c>
      <c r="B110" s="2152" t="s">
        <v>1385</v>
      </c>
      <c r="C110" s="2153">
        <v>20</v>
      </c>
      <c r="D110" s="2154">
        <v>3100</v>
      </c>
      <c r="E110" s="2154">
        <v>62000</v>
      </c>
      <c r="F110" s="2152" t="s">
        <v>444</v>
      </c>
    </row>
    <row r="111" spans="1:7">
      <c r="A111" s="2088">
        <v>2</v>
      </c>
      <c r="B111" s="2152" t="s">
        <v>1386</v>
      </c>
      <c r="C111" s="2153">
        <v>2</v>
      </c>
      <c r="D111" s="2154">
        <v>5500</v>
      </c>
      <c r="E111" s="2154">
        <v>11000</v>
      </c>
      <c r="F111" s="2152" t="s">
        <v>444</v>
      </c>
    </row>
    <row r="112" spans="1:7">
      <c r="A112" s="2088">
        <v>3</v>
      </c>
      <c r="B112" s="2152" t="s">
        <v>1387</v>
      </c>
      <c r="C112" s="2153">
        <v>22</v>
      </c>
      <c r="D112" s="2154">
        <v>100</v>
      </c>
      <c r="E112" s="2154">
        <v>2200</v>
      </c>
      <c r="F112" s="2152" t="s">
        <v>444</v>
      </c>
    </row>
    <row r="113" spans="1:6">
      <c r="A113" s="2155">
        <v>4</v>
      </c>
      <c r="B113" s="2156" t="s">
        <v>1388</v>
      </c>
      <c r="C113" s="2155">
        <v>1</v>
      </c>
      <c r="D113" s="2157">
        <v>6698</v>
      </c>
      <c r="E113" s="2157">
        <v>6698</v>
      </c>
      <c r="F113" s="2156" t="s">
        <v>721</v>
      </c>
    </row>
    <row r="114" spans="1:6">
      <c r="A114" s="2158"/>
      <c r="B114" s="2879" t="s">
        <v>1427</v>
      </c>
      <c r="C114" s="2879"/>
      <c r="D114" s="2879"/>
      <c r="E114" s="2159">
        <f>SUM(E110:E113)</f>
        <v>81898</v>
      </c>
      <c r="F114" s="2160"/>
    </row>
    <row r="115" spans="1:6">
      <c r="A115" s="2097"/>
      <c r="B115" s="2046" t="s">
        <v>1428</v>
      </c>
      <c r="C115" s="2124"/>
      <c r="D115" s="2124"/>
      <c r="E115" s="2099"/>
      <c r="F115" s="2096"/>
    </row>
    <row r="116" spans="1:6">
      <c r="A116" s="2047" t="s">
        <v>2</v>
      </c>
      <c r="B116" s="2047" t="s">
        <v>3</v>
      </c>
      <c r="C116" s="2047" t="s">
        <v>618</v>
      </c>
      <c r="D116" s="2047" t="s">
        <v>1410</v>
      </c>
      <c r="E116" s="2047" t="s">
        <v>1411</v>
      </c>
      <c r="F116" s="2047" t="s">
        <v>388</v>
      </c>
    </row>
    <row r="117" spans="1:6" s="2061" customFormat="1" ht="48">
      <c r="A117" s="2049">
        <v>1</v>
      </c>
      <c r="B117" s="2138" t="s">
        <v>1389</v>
      </c>
      <c r="C117" s="2049">
        <v>1</v>
      </c>
      <c r="D117" s="2139">
        <v>3890</v>
      </c>
      <c r="E117" s="2139">
        <v>3890</v>
      </c>
      <c r="F117" s="2140" t="s">
        <v>1406</v>
      </c>
    </row>
    <row r="118" spans="1:6" s="2061" customFormat="1" ht="48">
      <c r="A118" s="2049">
        <v>2</v>
      </c>
      <c r="B118" s="2138" t="s">
        <v>1390</v>
      </c>
      <c r="C118" s="2049">
        <v>1</v>
      </c>
      <c r="D118" s="2139">
        <v>10050</v>
      </c>
      <c r="E118" s="2139">
        <v>10050</v>
      </c>
      <c r="F118" s="2140" t="s">
        <v>1406</v>
      </c>
    </row>
    <row r="119" spans="1:6">
      <c r="B119" s="2890" t="s">
        <v>1429</v>
      </c>
      <c r="C119" s="2890"/>
      <c r="D119" s="2890"/>
      <c r="E119" s="2161">
        <f>SUM(E117:E118)</f>
        <v>13940</v>
      </c>
    </row>
    <row r="120" spans="1:6" ht="14.25" customHeight="1"/>
    <row r="121" spans="1:6">
      <c r="A121" s="2124"/>
      <c r="B121" s="2046" t="s">
        <v>1270</v>
      </c>
      <c r="C121" s="2124"/>
      <c r="D121" s="2124"/>
      <c r="E121" s="2124"/>
      <c r="F121" s="2124"/>
    </row>
    <row r="122" spans="1:6">
      <c r="A122" s="2047" t="s">
        <v>2</v>
      </c>
      <c r="B122" s="2047" t="s">
        <v>3</v>
      </c>
      <c r="C122" s="2047" t="s">
        <v>618</v>
      </c>
      <c r="D122" s="2047" t="s">
        <v>1410</v>
      </c>
      <c r="E122" s="2047" t="s">
        <v>1411</v>
      </c>
      <c r="F122" s="2047" t="s">
        <v>388</v>
      </c>
    </row>
    <row r="123" spans="1:6">
      <c r="A123" s="2088">
        <v>1</v>
      </c>
      <c r="B123" s="2063" t="s">
        <v>203</v>
      </c>
      <c r="C123" s="2064">
        <v>71</v>
      </c>
      <c r="D123" s="2162">
        <v>7000</v>
      </c>
      <c r="E123" s="2162">
        <f>C123*D123</f>
        <v>497000</v>
      </c>
      <c r="F123" s="2066" t="s">
        <v>456</v>
      </c>
    </row>
    <row r="124" spans="1:6">
      <c r="A124" s="2088">
        <v>2</v>
      </c>
      <c r="B124" s="2067" t="s">
        <v>476</v>
      </c>
      <c r="C124" s="2064">
        <v>1</v>
      </c>
      <c r="D124" s="2163">
        <v>15000</v>
      </c>
      <c r="E124" s="2164">
        <f t="shared" ref="E124:E132" si="4">+C124*D124</f>
        <v>15000</v>
      </c>
      <c r="F124" s="2070" t="s">
        <v>445</v>
      </c>
    </row>
    <row r="125" spans="1:6">
      <c r="A125" s="2088">
        <v>3</v>
      </c>
      <c r="B125" s="2070" t="s">
        <v>483</v>
      </c>
      <c r="C125" s="2064">
        <v>2</v>
      </c>
      <c r="D125" s="2163">
        <v>6500</v>
      </c>
      <c r="E125" s="2164">
        <f t="shared" si="4"/>
        <v>13000</v>
      </c>
      <c r="F125" s="2070" t="s">
        <v>445</v>
      </c>
    </row>
    <row r="126" spans="1:6">
      <c r="A126" s="2088">
        <v>4</v>
      </c>
      <c r="B126" s="2067" t="s">
        <v>477</v>
      </c>
      <c r="C126" s="2064">
        <v>1</v>
      </c>
      <c r="D126" s="2163">
        <v>10000</v>
      </c>
      <c r="E126" s="2164">
        <f t="shared" si="4"/>
        <v>10000</v>
      </c>
      <c r="F126" s="2070" t="s">
        <v>445</v>
      </c>
    </row>
    <row r="127" spans="1:6">
      <c r="A127" s="2088">
        <v>5</v>
      </c>
      <c r="B127" s="2066" t="s">
        <v>489</v>
      </c>
      <c r="C127" s="2064">
        <v>1</v>
      </c>
      <c r="D127" s="2163">
        <v>50000</v>
      </c>
      <c r="E127" s="2164">
        <f t="shared" si="4"/>
        <v>50000</v>
      </c>
      <c r="F127" s="2070" t="s">
        <v>445</v>
      </c>
    </row>
    <row r="128" spans="1:6">
      <c r="A128" s="2088">
        <v>6</v>
      </c>
      <c r="B128" s="2067" t="s">
        <v>486</v>
      </c>
      <c r="C128" s="2064">
        <v>2</v>
      </c>
      <c r="D128" s="2163">
        <v>4500</v>
      </c>
      <c r="E128" s="2164">
        <f t="shared" si="4"/>
        <v>9000</v>
      </c>
      <c r="F128" s="2070" t="s">
        <v>445</v>
      </c>
    </row>
    <row r="129" spans="1:6">
      <c r="A129" s="2088">
        <v>7</v>
      </c>
      <c r="B129" s="2067" t="s">
        <v>484</v>
      </c>
      <c r="C129" s="2064">
        <v>2</v>
      </c>
      <c r="D129" s="2163">
        <v>3950</v>
      </c>
      <c r="E129" s="2164">
        <f t="shared" si="4"/>
        <v>7900</v>
      </c>
      <c r="F129" s="2070" t="s">
        <v>445</v>
      </c>
    </row>
    <row r="130" spans="1:6">
      <c r="A130" s="2088">
        <v>8</v>
      </c>
      <c r="B130" s="2063" t="s">
        <v>488</v>
      </c>
      <c r="C130" s="2064">
        <v>2</v>
      </c>
      <c r="D130" s="2163">
        <v>3950</v>
      </c>
      <c r="E130" s="2164">
        <f t="shared" si="4"/>
        <v>7900</v>
      </c>
      <c r="F130" s="2070" t="s">
        <v>445</v>
      </c>
    </row>
    <row r="131" spans="1:6">
      <c r="A131" s="2088">
        <v>9</v>
      </c>
      <c r="B131" s="2067" t="s">
        <v>478</v>
      </c>
      <c r="C131" s="2064">
        <v>1</v>
      </c>
      <c r="D131" s="2163">
        <v>4000</v>
      </c>
      <c r="E131" s="2164">
        <f t="shared" si="4"/>
        <v>4000</v>
      </c>
      <c r="F131" s="2070" t="s">
        <v>445</v>
      </c>
    </row>
    <row r="132" spans="1:6">
      <c r="A132" s="2088">
        <v>10</v>
      </c>
      <c r="B132" s="2053" t="s">
        <v>899</v>
      </c>
      <c r="C132" s="2054">
        <v>3</v>
      </c>
      <c r="D132" s="2165">
        <v>15200</v>
      </c>
      <c r="E132" s="2165">
        <f t="shared" si="4"/>
        <v>45600</v>
      </c>
      <c r="F132" s="2053" t="s">
        <v>888</v>
      </c>
    </row>
    <row r="133" spans="1:6">
      <c r="A133" s="2088">
        <v>11</v>
      </c>
      <c r="B133" s="2053" t="s">
        <v>1006</v>
      </c>
      <c r="C133" s="2054">
        <v>1</v>
      </c>
      <c r="D133" s="2165">
        <v>2027.65</v>
      </c>
      <c r="E133" s="2165">
        <v>2027.65</v>
      </c>
      <c r="F133" s="2053" t="s">
        <v>888</v>
      </c>
    </row>
    <row r="134" spans="1:6">
      <c r="A134" s="2088">
        <v>12</v>
      </c>
      <c r="B134" s="2053" t="s">
        <v>903</v>
      </c>
      <c r="C134" s="2054">
        <v>1</v>
      </c>
      <c r="D134" s="2165">
        <v>2990</v>
      </c>
      <c r="E134" s="2165">
        <f>+C134*D134</f>
        <v>2990</v>
      </c>
      <c r="F134" s="2053" t="s">
        <v>472</v>
      </c>
    </row>
    <row r="135" spans="1:6">
      <c r="A135" s="2088">
        <v>13</v>
      </c>
      <c r="B135" s="2128" t="s">
        <v>902</v>
      </c>
      <c r="C135" s="2129">
        <v>1</v>
      </c>
      <c r="D135" s="2166">
        <v>6100</v>
      </c>
      <c r="E135" s="2166">
        <v>6100</v>
      </c>
      <c r="F135" s="2128" t="s">
        <v>418</v>
      </c>
    </row>
    <row r="136" spans="1:6">
      <c r="A136" s="2088">
        <v>14</v>
      </c>
      <c r="B136" s="2128" t="s">
        <v>1338</v>
      </c>
      <c r="C136" s="2129">
        <v>1</v>
      </c>
      <c r="D136" s="2166">
        <v>6200</v>
      </c>
      <c r="E136" s="2166">
        <v>6200</v>
      </c>
      <c r="F136" s="2128" t="s">
        <v>1276</v>
      </c>
    </row>
    <row r="137" spans="1:6">
      <c r="A137" s="2088">
        <v>15</v>
      </c>
      <c r="B137" s="2128" t="s">
        <v>501</v>
      </c>
      <c r="C137" s="2129">
        <v>1</v>
      </c>
      <c r="D137" s="2166">
        <v>6200</v>
      </c>
      <c r="E137" s="2166">
        <v>6200</v>
      </c>
      <c r="F137" s="2128" t="s">
        <v>470</v>
      </c>
    </row>
    <row r="138" spans="1:6">
      <c r="A138" s="2088">
        <v>16</v>
      </c>
      <c r="B138" s="2128" t="s">
        <v>469</v>
      </c>
      <c r="C138" s="2129">
        <v>1</v>
      </c>
      <c r="D138" s="2166">
        <v>2305.85</v>
      </c>
      <c r="E138" s="2166">
        <v>2305.85</v>
      </c>
      <c r="F138" s="2128" t="s">
        <v>470</v>
      </c>
    </row>
    <row r="139" spans="1:6">
      <c r="A139" s="2088">
        <v>17</v>
      </c>
      <c r="B139" s="2128" t="s">
        <v>1277</v>
      </c>
      <c r="C139" s="2129">
        <v>1</v>
      </c>
      <c r="D139" s="2166">
        <v>1818.3</v>
      </c>
      <c r="E139" s="2166">
        <v>1818.3</v>
      </c>
      <c r="F139" s="2128" t="s">
        <v>1278</v>
      </c>
    </row>
    <row r="140" spans="1:6">
      <c r="A140" s="2047" t="s">
        <v>2</v>
      </c>
      <c r="B140" s="2047" t="s">
        <v>3</v>
      </c>
      <c r="C140" s="2047" t="s">
        <v>618</v>
      </c>
      <c r="D140" s="2047" t="s">
        <v>1410</v>
      </c>
      <c r="E140" s="2047" t="s">
        <v>1411</v>
      </c>
      <c r="F140" s="2047" t="s">
        <v>388</v>
      </c>
    </row>
    <row r="141" spans="1:6">
      <c r="A141" s="2088">
        <v>18</v>
      </c>
      <c r="B141" s="2087" t="s">
        <v>1279</v>
      </c>
      <c r="C141" s="2088">
        <v>3</v>
      </c>
      <c r="D141" s="2167">
        <v>13500</v>
      </c>
      <c r="E141" s="2167">
        <f>C141*D141</f>
        <v>40500</v>
      </c>
      <c r="F141" s="2087" t="s">
        <v>444</v>
      </c>
    </row>
    <row r="142" spans="1:6">
      <c r="A142" s="2088">
        <v>19</v>
      </c>
      <c r="B142" s="2087" t="s">
        <v>501</v>
      </c>
      <c r="C142" s="2088">
        <v>1</v>
      </c>
      <c r="D142" s="2167">
        <v>6200</v>
      </c>
      <c r="E142" s="2167">
        <v>6200</v>
      </c>
      <c r="F142" s="2087" t="s">
        <v>1278</v>
      </c>
    </row>
    <row r="143" spans="1:6">
      <c r="A143" s="2088">
        <v>20</v>
      </c>
      <c r="B143" s="2087" t="s">
        <v>1280</v>
      </c>
      <c r="C143" s="2088">
        <v>2</v>
      </c>
      <c r="D143" s="2167">
        <v>6200</v>
      </c>
      <c r="E143" s="2167">
        <v>12400</v>
      </c>
      <c r="F143" s="2087" t="s">
        <v>604</v>
      </c>
    </row>
    <row r="144" spans="1:6" s="2061" customFormat="1">
      <c r="A144" s="2049">
        <v>21</v>
      </c>
      <c r="B144" s="2138" t="s">
        <v>474</v>
      </c>
      <c r="C144" s="2049">
        <v>2</v>
      </c>
      <c r="D144" s="2168">
        <v>2590</v>
      </c>
      <c r="E144" s="2168">
        <v>5180</v>
      </c>
      <c r="F144" s="2140" t="s">
        <v>1477</v>
      </c>
    </row>
    <row r="145" spans="1:6" s="2061" customFormat="1">
      <c r="A145" s="2133"/>
      <c r="B145" s="2169"/>
      <c r="C145" s="2170"/>
      <c r="D145" s="2171"/>
      <c r="E145" s="2172">
        <f>SUM(E123:E144)</f>
        <v>751321.8</v>
      </c>
      <c r="F145" s="2173"/>
    </row>
    <row r="146" spans="1:6">
      <c r="A146" s="2047" t="s">
        <v>2</v>
      </c>
      <c r="B146" s="2047" t="s">
        <v>3</v>
      </c>
      <c r="C146" s="2047" t="s">
        <v>618</v>
      </c>
      <c r="D146" s="2047" t="s">
        <v>1410</v>
      </c>
      <c r="E146" s="2047" t="s">
        <v>1411</v>
      </c>
      <c r="F146" s="2047" t="s">
        <v>388</v>
      </c>
    </row>
    <row r="147" spans="1:6">
      <c r="A147" s="2088">
        <v>22</v>
      </c>
      <c r="B147" s="2087" t="s">
        <v>501</v>
      </c>
      <c r="C147" s="2088">
        <v>1</v>
      </c>
      <c r="D147" s="2167">
        <v>6200</v>
      </c>
      <c r="E147" s="2167">
        <v>6200</v>
      </c>
      <c r="F147" s="2087" t="s">
        <v>743</v>
      </c>
    </row>
    <row r="148" spans="1:6">
      <c r="A148" s="2088">
        <v>23</v>
      </c>
      <c r="B148" s="2087" t="s">
        <v>1281</v>
      </c>
      <c r="C148" s="2088">
        <v>1</v>
      </c>
      <c r="D148" s="2167">
        <v>3200</v>
      </c>
      <c r="E148" s="2167">
        <v>3200</v>
      </c>
      <c r="F148" s="2087" t="s">
        <v>614</v>
      </c>
    </row>
    <row r="149" spans="1:6">
      <c r="A149" s="2088">
        <v>24</v>
      </c>
      <c r="B149" s="2087" t="s">
        <v>908</v>
      </c>
      <c r="C149" s="2088">
        <v>1</v>
      </c>
      <c r="D149" s="2167">
        <v>4611.7</v>
      </c>
      <c r="E149" s="2167">
        <v>4611.7</v>
      </c>
      <c r="F149" s="2087" t="s">
        <v>1282</v>
      </c>
    </row>
    <row r="150" spans="1:6">
      <c r="A150" s="2088">
        <v>25</v>
      </c>
      <c r="B150" s="2087" t="s">
        <v>473</v>
      </c>
      <c r="C150" s="2088">
        <v>1</v>
      </c>
      <c r="D150" s="2167">
        <v>3400</v>
      </c>
      <c r="E150" s="2167">
        <v>3400</v>
      </c>
      <c r="F150" s="2087" t="s">
        <v>1283</v>
      </c>
    </row>
    <row r="151" spans="1:6">
      <c r="A151" s="2088">
        <v>26</v>
      </c>
      <c r="B151" s="2087" t="s">
        <v>1284</v>
      </c>
      <c r="C151" s="2088">
        <v>1</v>
      </c>
      <c r="D151" s="2167">
        <v>58500</v>
      </c>
      <c r="E151" s="2167">
        <v>58500</v>
      </c>
      <c r="F151" s="2087" t="s">
        <v>1285</v>
      </c>
    </row>
    <row r="152" spans="1:6">
      <c r="A152" s="2088">
        <v>27</v>
      </c>
      <c r="B152" s="2087" t="s">
        <v>1286</v>
      </c>
      <c r="C152" s="2088">
        <v>1</v>
      </c>
      <c r="D152" s="2167">
        <v>2619.36</v>
      </c>
      <c r="E152" s="2126">
        <v>2619.36</v>
      </c>
      <c r="F152" s="2132" t="s">
        <v>1287</v>
      </c>
    </row>
    <row r="153" spans="1:6">
      <c r="A153" s="2088">
        <v>28</v>
      </c>
      <c r="B153" s="2087" t="s">
        <v>474</v>
      </c>
      <c r="C153" s="2088">
        <v>1</v>
      </c>
      <c r="D153" s="2167">
        <v>2590</v>
      </c>
      <c r="E153" s="2167">
        <v>2590</v>
      </c>
      <c r="F153" s="2087" t="s">
        <v>472</v>
      </c>
    </row>
    <row r="154" spans="1:6">
      <c r="A154" s="2088">
        <v>29</v>
      </c>
      <c r="B154" s="2087" t="s">
        <v>469</v>
      </c>
      <c r="C154" s="2088">
        <v>1</v>
      </c>
      <c r="D154" s="2167">
        <v>2305.85</v>
      </c>
      <c r="E154" s="2167">
        <v>2305.85</v>
      </c>
      <c r="F154" s="2087" t="s">
        <v>855</v>
      </c>
    </row>
    <row r="155" spans="1:6">
      <c r="A155" s="2088">
        <v>30</v>
      </c>
      <c r="B155" s="2087" t="s">
        <v>918</v>
      </c>
      <c r="C155" s="2088">
        <v>1</v>
      </c>
      <c r="D155" s="2167">
        <v>1802.95</v>
      </c>
      <c r="E155" s="2167">
        <v>1802.95</v>
      </c>
      <c r="F155" s="2087" t="s">
        <v>855</v>
      </c>
    </row>
    <row r="156" spans="1:6">
      <c r="A156" s="2088">
        <v>31</v>
      </c>
      <c r="B156" s="2087" t="s">
        <v>1288</v>
      </c>
      <c r="C156" s="2088">
        <v>10</v>
      </c>
      <c r="D156" s="2167">
        <v>1350</v>
      </c>
      <c r="E156" s="2167">
        <v>13500</v>
      </c>
      <c r="F156" s="2087" t="s">
        <v>414</v>
      </c>
    </row>
    <row r="157" spans="1:6">
      <c r="A157" s="2088">
        <v>32</v>
      </c>
      <c r="B157" s="2087" t="s">
        <v>919</v>
      </c>
      <c r="C157" s="2088">
        <v>2</v>
      </c>
      <c r="D157" s="2167">
        <v>49500</v>
      </c>
      <c r="E157" s="2167">
        <v>99000</v>
      </c>
      <c r="F157" s="2087" t="s">
        <v>472</v>
      </c>
    </row>
    <row r="158" spans="1:6" s="2061" customFormat="1" ht="48">
      <c r="A158" s="2049">
        <v>33</v>
      </c>
      <c r="B158" s="2138" t="s">
        <v>868</v>
      </c>
      <c r="C158" s="2049">
        <v>1</v>
      </c>
      <c r="D158" s="2168">
        <v>39630</v>
      </c>
      <c r="E158" s="2168">
        <v>39630</v>
      </c>
      <c r="F158" s="2140" t="s">
        <v>1413</v>
      </c>
    </row>
    <row r="159" spans="1:6" s="2061" customFormat="1">
      <c r="A159" s="2049">
        <v>34</v>
      </c>
      <c r="B159" s="2138" t="s">
        <v>469</v>
      </c>
      <c r="C159" s="2049">
        <v>1</v>
      </c>
      <c r="D159" s="2168">
        <v>2305.85</v>
      </c>
      <c r="E159" s="2168">
        <v>2305.85</v>
      </c>
      <c r="F159" s="2138" t="s">
        <v>856</v>
      </c>
    </row>
    <row r="160" spans="1:6" s="2061" customFormat="1">
      <c r="A160" s="2049">
        <v>35</v>
      </c>
      <c r="B160" s="2138" t="s">
        <v>469</v>
      </c>
      <c r="C160" s="2049">
        <v>2</v>
      </c>
      <c r="D160" s="2168">
        <v>2305.85</v>
      </c>
      <c r="E160" s="2168">
        <v>4611.7</v>
      </c>
      <c r="F160" s="2138" t="s">
        <v>851</v>
      </c>
    </row>
    <row r="161" spans="1:6" s="2061" customFormat="1">
      <c r="A161" s="2049">
        <v>36</v>
      </c>
      <c r="B161" s="2138" t="s">
        <v>1289</v>
      </c>
      <c r="C161" s="2049">
        <v>1</v>
      </c>
      <c r="D161" s="2168">
        <v>34775</v>
      </c>
      <c r="E161" s="2168">
        <v>34775</v>
      </c>
      <c r="F161" s="2138" t="s">
        <v>414</v>
      </c>
    </row>
    <row r="162" spans="1:6" s="2061" customFormat="1" ht="48">
      <c r="A162" s="2049">
        <v>37</v>
      </c>
      <c r="B162" s="2138" t="s">
        <v>1290</v>
      </c>
      <c r="C162" s="2049">
        <v>7</v>
      </c>
      <c r="D162" s="2168">
        <v>3400</v>
      </c>
      <c r="E162" s="2168">
        <v>23800</v>
      </c>
      <c r="F162" s="2140" t="s">
        <v>1414</v>
      </c>
    </row>
    <row r="163" spans="1:6">
      <c r="A163" s="2088">
        <v>38</v>
      </c>
      <c r="B163" s="2087" t="s">
        <v>908</v>
      </c>
      <c r="C163" s="2088">
        <v>3</v>
      </c>
      <c r="D163" s="2167">
        <v>2305.85</v>
      </c>
      <c r="E163" s="2167">
        <v>6917.55</v>
      </c>
      <c r="F163" s="2087" t="s">
        <v>948</v>
      </c>
    </row>
    <row r="164" spans="1:6">
      <c r="A164" s="2088">
        <v>39</v>
      </c>
      <c r="B164" s="2087" t="s">
        <v>501</v>
      </c>
      <c r="C164" s="2088">
        <v>1</v>
      </c>
      <c r="D164" s="2167">
        <v>6200</v>
      </c>
      <c r="E164" s="2167">
        <v>6200</v>
      </c>
      <c r="F164" s="2087" t="s">
        <v>1278</v>
      </c>
    </row>
    <row r="165" spans="1:6" s="2061" customFormat="1" ht="48">
      <c r="A165" s="2049">
        <v>40</v>
      </c>
      <c r="B165" s="2138" t="s">
        <v>474</v>
      </c>
      <c r="C165" s="2049">
        <v>1</v>
      </c>
      <c r="D165" s="2168">
        <v>2590</v>
      </c>
      <c r="E165" s="2168">
        <v>2590</v>
      </c>
      <c r="F165" s="2140" t="s">
        <v>1401</v>
      </c>
    </row>
    <row r="166" spans="1:6">
      <c r="A166" s="2088">
        <v>41</v>
      </c>
      <c r="B166" s="2087" t="s">
        <v>1291</v>
      </c>
      <c r="C166" s="2088">
        <v>1</v>
      </c>
      <c r="D166" s="2167">
        <v>3400</v>
      </c>
      <c r="E166" s="2167">
        <v>3400</v>
      </c>
      <c r="F166" s="2087" t="s">
        <v>614</v>
      </c>
    </row>
    <row r="167" spans="1:6" s="2061" customFormat="1" ht="48">
      <c r="A167" s="2049">
        <v>42</v>
      </c>
      <c r="B167" s="2138" t="s">
        <v>908</v>
      </c>
      <c r="C167" s="2049">
        <v>1</v>
      </c>
      <c r="D167" s="2168">
        <v>2305.85</v>
      </c>
      <c r="E167" s="2168">
        <v>2305.85</v>
      </c>
      <c r="F167" s="2140" t="s">
        <v>1415</v>
      </c>
    </row>
    <row r="168" spans="1:6" s="2061" customFormat="1" ht="48">
      <c r="A168" s="2049">
        <v>43</v>
      </c>
      <c r="B168" s="2138" t="s">
        <v>1292</v>
      </c>
      <c r="C168" s="2049">
        <v>6</v>
      </c>
      <c r="D168" s="2168">
        <v>4050</v>
      </c>
      <c r="E168" s="2168">
        <v>24300</v>
      </c>
      <c r="F168" s="2140" t="s">
        <v>1416</v>
      </c>
    </row>
    <row r="169" spans="1:6">
      <c r="A169" s="2088">
        <v>44</v>
      </c>
      <c r="B169" s="2087" t="s">
        <v>1293</v>
      </c>
      <c r="C169" s="2088">
        <v>6</v>
      </c>
      <c r="D169" s="2167">
        <v>27500</v>
      </c>
      <c r="E169" s="2167">
        <v>165000</v>
      </c>
      <c r="F169" s="2087" t="s">
        <v>1294</v>
      </c>
    </row>
    <row r="170" spans="1:6">
      <c r="A170" s="2088">
        <v>45</v>
      </c>
      <c r="B170" s="2087" t="s">
        <v>1295</v>
      </c>
      <c r="C170" s="2088">
        <v>2</v>
      </c>
      <c r="D170" s="2167">
        <v>19500</v>
      </c>
      <c r="E170" s="2167">
        <v>39000</v>
      </c>
      <c r="F170" s="2087" t="s">
        <v>1294</v>
      </c>
    </row>
    <row r="171" spans="1:6">
      <c r="A171" s="2088">
        <v>46</v>
      </c>
      <c r="B171" s="2087" t="s">
        <v>1296</v>
      </c>
      <c r="C171" s="2088">
        <v>2</v>
      </c>
      <c r="D171" s="2167">
        <v>34000</v>
      </c>
      <c r="E171" s="2167">
        <v>68000</v>
      </c>
      <c r="F171" s="2087" t="s">
        <v>1294</v>
      </c>
    </row>
    <row r="172" spans="1:6">
      <c r="A172" s="2088">
        <v>47</v>
      </c>
      <c r="B172" s="2087" t="s">
        <v>1297</v>
      </c>
      <c r="C172" s="2088">
        <v>6</v>
      </c>
      <c r="D172" s="2167">
        <v>18700</v>
      </c>
      <c r="E172" s="2167">
        <v>112200</v>
      </c>
      <c r="F172" s="2087" t="s">
        <v>1294</v>
      </c>
    </row>
    <row r="173" spans="1:6">
      <c r="A173" s="2088">
        <v>48</v>
      </c>
      <c r="B173" s="2087" t="s">
        <v>1298</v>
      </c>
      <c r="C173" s="2088">
        <v>4</v>
      </c>
      <c r="D173" s="2167">
        <v>19500</v>
      </c>
      <c r="E173" s="2167">
        <v>78000</v>
      </c>
      <c r="F173" s="2087" t="s">
        <v>1294</v>
      </c>
    </row>
    <row r="174" spans="1:6">
      <c r="A174" s="2088">
        <v>49</v>
      </c>
      <c r="B174" s="2087" t="s">
        <v>1299</v>
      </c>
      <c r="C174" s="2088">
        <v>6</v>
      </c>
      <c r="D174" s="2167">
        <v>43000</v>
      </c>
      <c r="E174" s="2167">
        <v>258000</v>
      </c>
      <c r="F174" s="2087" t="s">
        <v>1294</v>
      </c>
    </row>
    <row r="175" spans="1:6">
      <c r="A175" s="2088">
        <v>50</v>
      </c>
      <c r="B175" s="2087" t="s">
        <v>1300</v>
      </c>
      <c r="C175" s="2088">
        <v>12</v>
      </c>
      <c r="D175" s="2167">
        <v>11700</v>
      </c>
      <c r="E175" s="2167">
        <v>140400</v>
      </c>
      <c r="F175" s="2087" t="s">
        <v>1294</v>
      </c>
    </row>
    <row r="176" spans="1:6">
      <c r="A176" s="2088">
        <v>51</v>
      </c>
      <c r="B176" s="2087" t="s">
        <v>1301</v>
      </c>
      <c r="C176" s="2088">
        <v>2</v>
      </c>
      <c r="D176" s="2167">
        <v>6200</v>
      </c>
      <c r="E176" s="2167">
        <v>12400</v>
      </c>
      <c r="F176" s="2087" t="s">
        <v>416</v>
      </c>
    </row>
    <row r="177" spans="1:6" s="2061" customFormat="1" ht="48">
      <c r="A177" s="2049">
        <v>52</v>
      </c>
      <c r="B177" s="2138" t="s">
        <v>1302</v>
      </c>
      <c r="C177" s="2049">
        <v>100</v>
      </c>
      <c r="D177" s="2168">
        <v>4900</v>
      </c>
      <c r="E177" s="2168">
        <v>490000</v>
      </c>
      <c r="F177" s="2140" t="s">
        <v>1417</v>
      </c>
    </row>
    <row r="178" spans="1:6" s="2061" customFormat="1">
      <c r="A178" s="2049">
        <v>53</v>
      </c>
      <c r="B178" s="2138" t="s">
        <v>1303</v>
      </c>
      <c r="C178" s="2049">
        <v>1</v>
      </c>
      <c r="D178" s="2168">
        <v>14400</v>
      </c>
      <c r="E178" s="2168">
        <v>14400</v>
      </c>
      <c r="F178" s="2138" t="s">
        <v>958</v>
      </c>
    </row>
    <row r="179" spans="1:6" s="2061" customFormat="1" ht="48">
      <c r="A179" s="2049">
        <v>54</v>
      </c>
      <c r="B179" s="2138" t="s">
        <v>918</v>
      </c>
      <c r="C179" s="2049">
        <v>5</v>
      </c>
      <c r="D179" s="2168">
        <v>1808.3</v>
      </c>
      <c r="E179" s="2168">
        <v>9041.5</v>
      </c>
      <c r="F179" s="2140" t="s">
        <v>1418</v>
      </c>
    </row>
    <row r="180" spans="1:6" s="2061" customFormat="1">
      <c r="A180" s="2049">
        <v>55</v>
      </c>
      <c r="B180" s="2138" t="s">
        <v>468</v>
      </c>
      <c r="C180" s="2049">
        <v>1</v>
      </c>
      <c r="D180" s="2168">
        <v>15700</v>
      </c>
      <c r="E180" s="2168">
        <f>D180*C180</f>
        <v>15700</v>
      </c>
      <c r="F180" s="2138" t="s">
        <v>962</v>
      </c>
    </row>
    <row r="181" spans="1:6">
      <c r="A181" s="2088">
        <v>56</v>
      </c>
      <c r="B181" s="2087" t="s">
        <v>1304</v>
      </c>
      <c r="C181" s="2088">
        <v>1</v>
      </c>
      <c r="D181" s="2167">
        <v>4699</v>
      </c>
      <c r="E181" s="2167">
        <v>4699</v>
      </c>
      <c r="F181" s="2087" t="s">
        <v>1305</v>
      </c>
    </row>
    <row r="182" spans="1:6">
      <c r="A182" s="2088">
        <v>57</v>
      </c>
      <c r="B182" s="2087" t="s">
        <v>1306</v>
      </c>
      <c r="C182" s="2088">
        <v>1</v>
      </c>
      <c r="D182" s="2167">
        <v>2299</v>
      </c>
      <c r="E182" s="2167">
        <v>2299</v>
      </c>
      <c r="F182" s="2087" t="s">
        <v>1305</v>
      </c>
    </row>
    <row r="183" spans="1:6">
      <c r="A183" s="2088">
        <v>58</v>
      </c>
      <c r="B183" s="2087" t="s">
        <v>1307</v>
      </c>
      <c r="C183" s="2088">
        <v>2</v>
      </c>
      <c r="D183" s="2167">
        <v>20502.5</v>
      </c>
      <c r="E183" s="2167">
        <v>41005</v>
      </c>
      <c r="F183" s="2132" t="s">
        <v>1308</v>
      </c>
    </row>
    <row r="184" spans="1:6" s="2061" customFormat="1" ht="38.25" customHeight="1">
      <c r="A184" s="2049">
        <v>59</v>
      </c>
      <c r="B184" s="2138" t="s">
        <v>1304</v>
      </c>
      <c r="C184" s="2049">
        <v>1</v>
      </c>
      <c r="D184" s="2168">
        <v>4399</v>
      </c>
      <c r="E184" s="2168">
        <v>4399</v>
      </c>
      <c r="F184" s="2174" t="s">
        <v>1309</v>
      </c>
    </row>
    <row r="185" spans="1:6">
      <c r="A185" s="2047" t="s">
        <v>2</v>
      </c>
      <c r="B185" s="2047" t="s">
        <v>3</v>
      </c>
      <c r="C185" s="2047" t="s">
        <v>618</v>
      </c>
      <c r="D185" s="2047" t="s">
        <v>1410</v>
      </c>
      <c r="E185" s="2047" t="s">
        <v>1411</v>
      </c>
      <c r="F185" s="2047" t="s">
        <v>388</v>
      </c>
    </row>
    <row r="186" spans="1:6">
      <c r="A186" s="2088">
        <v>60</v>
      </c>
      <c r="B186" s="2087" t="s">
        <v>1306</v>
      </c>
      <c r="C186" s="2088">
        <v>1</v>
      </c>
      <c r="D186" s="2167">
        <v>2299</v>
      </c>
      <c r="E186" s="2167">
        <v>2299</v>
      </c>
      <c r="F186" s="2132" t="s">
        <v>1309</v>
      </c>
    </row>
    <row r="187" spans="1:6">
      <c r="A187" s="2088">
        <v>61</v>
      </c>
      <c r="B187" s="2087" t="s">
        <v>1310</v>
      </c>
      <c r="C187" s="2088">
        <v>8</v>
      </c>
      <c r="D187" s="2167">
        <v>1350</v>
      </c>
      <c r="E187" s="2167">
        <v>10800</v>
      </c>
      <c r="F187" s="2087" t="s">
        <v>418</v>
      </c>
    </row>
    <row r="188" spans="1:6">
      <c r="A188" s="2088">
        <v>62</v>
      </c>
      <c r="B188" s="2087" t="s">
        <v>1311</v>
      </c>
      <c r="C188" s="2088">
        <v>2</v>
      </c>
      <c r="D188" s="2167">
        <v>1890</v>
      </c>
      <c r="E188" s="2167">
        <v>3780</v>
      </c>
      <c r="F188" s="2087" t="s">
        <v>858</v>
      </c>
    </row>
    <row r="189" spans="1:6">
      <c r="A189" s="2088">
        <v>63</v>
      </c>
      <c r="B189" s="2087" t="s">
        <v>473</v>
      </c>
      <c r="C189" s="2088">
        <v>3</v>
      </c>
      <c r="D189" s="2167">
        <v>2590</v>
      </c>
      <c r="E189" s="2167">
        <v>7770</v>
      </c>
      <c r="F189" s="2087" t="s">
        <v>858</v>
      </c>
    </row>
    <row r="190" spans="1:6">
      <c r="A190" s="2088">
        <v>64</v>
      </c>
      <c r="B190" s="2087" t="s">
        <v>1312</v>
      </c>
      <c r="C190" s="2088">
        <v>1</v>
      </c>
      <c r="D190" s="2167">
        <v>1290</v>
      </c>
      <c r="E190" s="2167">
        <v>1290</v>
      </c>
      <c r="F190" s="2087" t="s">
        <v>858</v>
      </c>
    </row>
    <row r="191" spans="1:6">
      <c r="A191" s="2158"/>
      <c r="B191" s="2160"/>
      <c r="C191" s="2158"/>
      <c r="D191" s="2175"/>
      <c r="E191" s="2176">
        <f>SUM(E147:E190)</f>
        <v>1829048.31</v>
      </c>
      <c r="F191" s="2160"/>
    </row>
    <row r="192" spans="1:6">
      <c r="A192" s="2124"/>
      <c r="B192" s="2124"/>
      <c r="C192" s="2124"/>
      <c r="D192" s="2124"/>
      <c r="E192" s="2124"/>
      <c r="F192" s="2124"/>
    </row>
    <row r="193" spans="1:6">
      <c r="A193" s="2047" t="s">
        <v>2</v>
      </c>
      <c r="B193" s="2047" t="s">
        <v>3</v>
      </c>
      <c r="C193" s="2047" t="s">
        <v>618</v>
      </c>
      <c r="D193" s="2047" t="s">
        <v>1410</v>
      </c>
      <c r="E193" s="2047" t="s">
        <v>1411</v>
      </c>
      <c r="F193" s="2047" t="s">
        <v>388</v>
      </c>
    </row>
    <row r="194" spans="1:6">
      <c r="A194" s="2088">
        <v>65</v>
      </c>
      <c r="B194" s="2087" t="s">
        <v>1313</v>
      </c>
      <c r="C194" s="2088">
        <v>2</v>
      </c>
      <c r="D194" s="2167">
        <v>3490</v>
      </c>
      <c r="E194" s="2167">
        <v>6980</v>
      </c>
      <c r="F194" s="2087" t="s">
        <v>858</v>
      </c>
    </row>
    <row r="195" spans="1:6">
      <c r="A195" s="2088">
        <v>66</v>
      </c>
      <c r="B195" s="2087" t="s">
        <v>1314</v>
      </c>
      <c r="C195" s="2088">
        <v>1</v>
      </c>
      <c r="D195" s="2167">
        <v>4290</v>
      </c>
      <c r="E195" s="2167">
        <v>4290</v>
      </c>
      <c r="F195" s="2087" t="s">
        <v>858</v>
      </c>
    </row>
    <row r="196" spans="1:6" s="2061" customFormat="1" ht="46.5" customHeight="1">
      <c r="A196" s="2049">
        <v>67</v>
      </c>
      <c r="B196" s="2138" t="s">
        <v>934</v>
      </c>
      <c r="C196" s="2049">
        <v>1</v>
      </c>
      <c r="D196" s="2168">
        <v>18900</v>
      </c>
      <c r="E196" s="2168">
        <v>18900</v>
      </c>
      <c r="F196" s="2140" t="s">
        <v>1419</v>
      </c>
    </row>
    <row r="197" spans="1:6">
      <c r="A197" s="2088">
        <v>68</v>
      </c>
      <c r="B197" s="2087" t="s">
        <v>1315</v>
      </c>
      <c r="C197" s="2088">
        <v>2</v>
      </c>
      <c r="D197" s="2167">
        <v>15000</v>
      </c>
      <c r="E197" s="2167">
        <v>30000</v>
      </c>
      <c r="F197" s="2087" t="s">
        <v>721</v>
      </c>
    </row>
    <row r="198" spans="1:6">
      <c r="A198" s="2088">
        <v>69</v>
      </c>
      <c r="B198" s="2087" t="s">
        <v>1316</v>
      </c>
      <c r="C198" s="2088">
        <v>2</v>
      </c>
      <c r="D198" s="2167">
        <v>2750</v>
      </c>
      <c r="E198" s="2167">
        <v>5500</v>
      </c>
      <c r="F198" s="2087" t="s">
        <v>721</v>
      </c>
    </row>
    <row r="199" spans="1:6">
      <c r="A199" s="2088">
        <v>70</v>
      </c>
      <c r="B199" s="2087" t="s">
        <v>1317</v>
      </c>
      <c r="C199" s="2088">
        <v>4</v>
      </c>
      <c r="D199" s="2167">
        <v>1400</v>
      </c>
      <c r="E199" s="2167">
        <v>5600</v>
      </c>
      <c r="F199" s="2087" t="s">
        <v>721</v>
      </c>
    </row>
    <row r="200" spans="1:6">
      <c r="A200" s="2088">
        <v>71</v>
      </c>
      <c r="B200" s="2087" t="s">
        <v>1318</v>
      </c>
      <c r="C200" s="2088">
        <v>3</v>
      </c>
      <c r="D200" s="2167">
        <v>1800</v>
      </c>
      <c r="E200" s="2167">
        <v>5400</v>
      </c>
      <c r="F200" s="2087" t="s">
        <v>721</v>
      </c>
    </row>
    <row r="201" spans="1:6">
      <c r="A201" s="2088">
        <v>72</v>
      </c>
      <c r="B201" s="2087" t="s">
        <v>474</v>
      </c>
      <c r="C201" s="2088">
        <v>1</v>
      </c>
      <c r="D201" s="2167">
        <v>2590</v>
      </c>
      <c r="E201" s="2167">
        <v>2590</v>
      </c>
      <c r="F201" s="2087" t="s">
        <v>721</v>
      </c>
    </row>
    <row r="202" spans="1:6">
      <c r="A202" s="2088">
        <v>73</v>
      </c>
      <c r="B202" s="2087" t="s">
        <v>1319</v>
      </c>
      <c r="C202" s="2088">
        <v>12</v>
      </c>
      <c r="D202" s="2167">
        <v>12700</v>
      </c>
      <c r="E202" s="2167">
        <v>152400</v>
      </c>
      <c r="F202" s="2087" t="s">
        <v>1320</v>
      </c>
    </row>
    <row r="203" spans="1:6">
      <c r="A203" s="2088">
        <v>74</v>
      </c>
      <c r="B203" s="2087" t="s">
        <v>1321</v>
      </c>
      <c r="C203" s="2088">
        <v>6</v>
      </c>
      <c r="D203" s="2167">
        <v>5400</v>
      </c>
      <c r="E203" s="2167">
        <v>32400</v>
      </c>
      <c r="F203" s="2087" t="s">
        <v>1320</v>
      </c>
    </row>
    <row r="204" spans="1:6">
      <c r="A204" s="2088">
        <v>75</v>
      </c>
      <c r="B204" s="2138" t="s">
        <v>1322</v>
      </c>
      <c r="C204" s="2088">
        <v>6</v>
      </c>
      <c r="D204" s="2167">
        <v>4200</v>
      </c>
      <c r="E204" s="2167">
        <v>25200</v>
      </c>
      <c r="F204" s="2087" t="s">
        <v>1320</v>
      </c>
    </row>
    <row r="205" spans="1:6">
      <c r="A205" s="2088">
        <v>76</v>
      </c>
      <c r="B205" s="2087" t="s">
        <v>1323</v>
      </c>
      <c r="C205" s="2088">
        <v>12</v>
      </c>
      <c r="D205" s="2167">
        <v>4800</v>
      </c>
      <c r="E205" s="2167">
        <v>57600</v>
      </c>
      <c r="F205" s="2087" t="s">
        <v>1320</v>
      </c>
    </row>
    <row r="206" spans="1:6">
      <c r="A206" s="2088">
        <v>77</v>
      </c>
      <c r="B206" s="2087" t="s">
        <v>1324</v>
      </c>
      <c r="C206" s="2088">
        <v>6</v>
      </c>
      <c r="D206" s="2167">
        <v>7500</v>
      </c>
      <c r="E206" s="2167">
        <v>45000</v>
      </c>
      <c r="F206" s="2087" t="s">
        <v>1320</v>
      </c>
    </row>
    <row r="207" spans="1:6">
      <c r="A207" s="2088">
        <v>78</v>
      </c>
      <c r="B207" s="2087" t="s">
        <v>1325</v>
      </c>
      <c r="C207" s="2088">
        <v>6</v>
      </c>
      <c r="D207" s="2167">
        <v>2950</v>
      </c>
      <c r="E207" s="2167">
        <v>17700</v>
      </c>
      <c r="F207" s="2087" t="s">
        <v>1320</v>
      </c>
    </row>
    <row r="208" spans="1:6">
      <c r="A208" s="2088">
        <v>79</v>
      </c>
      <c r="B208" s="2087" t="s">
        <v>1326</v>
      </c>
      <c r="C208" s="2088">
        <v>6</v>
      </c>
      <c r="D208" s="2167">
        <v>5500</v>
      </c>
      <c r="E208" s="2167">
        <v>33000</v>
      </c>
      <c r="F208" s="2087" t="s">
        <v>1320</v>
      </c>
    </row>
    <row r="209" spans="1:6">
      <c r="A209" s="2088">
        <v>80</v>
      </c>
      <c r="B209" s="2087" t="s">
        <v>1327</v>
      </c>
      <c r="C209" s="2088">
        <v>6</v>
      </c>
      <c r="D209" s="2167">
        <v>9700</v>
      </c>
      <c r="E209" s="2167">
        <v>58200</v>
      </c>
      <c r="F209" s="2087" t="s">
        <v>1320</v>
      </c>
    </row>
    <row r="210" spans="1:6" s="2061" customFormat="1" ht="48">
      <c r="A210" s="2049">
        <v>81</v>
      </c>
      <c r="B210" s="2138" t="s">
        <v>473</v>
      </c>
      <c r="C210" s="2049">
        <v>1</v>
      </c>
      <c r="D210" s="2168">
        <v>3400</v>
      </c>
      <c r="E210" s="2168">
        <v>3400</v>
      </c>
      <c r="F210" s="2140" t="s">
        <v>1412</v>
      </c>
    </row>
    <row r="211" spans="1:6" s="2061" customFormat="1" ht="48">
      <c r="A211" s="2049">
        <v>82</v>
      </c>
      <c r="B211" s="2138" t="s">
        <v>1328</v>
      </c>
      <c r="C211" s="2049">
        <v>3</v>
      </c>
      <c r="D211" s="2168">
        <v>49000</v>
      </c>
      <c r="E211" s="2168">
        <v>147000</v>
      </c>
      <c r="F211" s="2140" t="s">
        <v>1406</v>
      </c>
    </row>
    <row r="212" spans="1:6">
      <c r="A212" s="2088">
        <v>83</v>
      </c>
      <c r="B212" s="2087" t="s">
        <v>1329</v>
      </c>
      <c r="C212" s="2088">
        <v>2</v>
      </c>
      <c r="D212" s="2167">
        <v>14500</v>
      </c>
      <c r="E212" s="2167">
        <v>29000</v>
      </c>
      <c r="F212" s="2087" t="s">
        <v>888</v>
      </c>
    </row>
    <row r="213" spans="1:6">
      <c r="A213" s="2088">
        <v>84</v>
      </c>
      <c r="B213" s="2087" t="s">
        <v>1330</v>
      </c>
      <c r="C213" s="2088">
        <v>4</v>
      </c>
      <c r="D213" s="2167">
        <v>7600</v>
      </c>
      <c r="E213" s="2167">
        <v>30400</v>
      </c>
      <c r="F213" s="2087" t="s">
        <v>961</v>
      </c>
    </row>
    <row r="214" spans="1:6">
      <c r="A214" s="2088">
        <v>85</v>
      </c>
      <c r="B214" s="2087" t="s">
        <v>1331</v>
      </c>
      <c r="C214" s="2088">
        <v>1</v>
      </c>
      <c r="D214" s="2167">
        <v>6955</v>
      </c>
      <c r="E214" s="2167">
        <v>6955</v>
      </c>
      <c r="F214" s="2087" t="s">
        <v>614</v>
      </c>
    </row>
    <row r="215" spans="1:6" s="2061" customFormat="1" ht="48">
      <c r="A215" s="2049">
        <v>86</v>
      </c>
      <c r="B215" s="2138" t="s">
        <v>1332</v>
      </c>
      <c r="C215" s="2049">
        <v>1</v>
      </c>
      <c r="D215" s="2168">
        <v>315115</v>
      </c>
      <c r="E215" s="2168">
        <v>315115</v>
      </c>
      <c r="F215" s="2140" t="s">
        <v>1406</v>
      </c>
    </row>
    <row r="216" spans="1:6">
      <c r="A216" s="2088">
        <v>87</v>
      </c>
      <c r="B216" s="2126" t="s">
        <v>868</v>
      </c>
      <c r="C216" s="2088">
        <v>1</v>
      </c>
      <c r="D216" s="2177">
        <v>45600</v>
      </c>
      <c r="E216" s="2177">
        <f>+C216*D216</f>
        <v>45600</v>
      </c>
      <c r="F216" s="2126" t="s">
        <v>721</v>
      </c>
    </row>
    <row r="217" spans="1:6">
      <c r="A217" s="2088">
        <v>88</v>
      </c>
      <c r="B217" s="2126" t="s">
        <v>1333</v>
      </c>
      <c r="C217" s="2088">
        <v>1</v>
      </c>
      <c r="D217" s="2126">
        <v>33600</v>
      </c>
      <c r="E217" s="2177">
        <f>+C217*D217</f>
        <v>33600</v>
      </c>
      <c r="F217" s="2126" t="s">
        <v>721</v>
      </c>
    </row>
    <row r="218" spans="1:6" s="2061" customFormat="1" ht="48">
      <c r="A218" s="2049">
        <v>89</v>
      </c>
      <c r="B218" s="2105" t="s">
        <v>474</v>
      </c>
      <c r="C218" s="2049">
        <v>1</v>
      </c>
      <c r="D218" s="2114">
        <v>2354</v>
      </c>
      <c r="E218" s="2114">
        <f>+C218*D218</f>
        <v>2354</v>
      </c>
      <c r="F218" s="2107" t="s">
        <v>1400</v>
      </c>
    </row>
    <row r="219" spans="1:6">
      <c r="A219" s="2088">
        <v>90</v>
      </c>
      <c r="B219" s="2126" t="s">
        <v>1334</v>
      </c>
      <c r="C219" s="2088">
        <v>5</v>
      </c>
      <c r="D219" s="2177">
        <v>1808.3</v>
      </c>
      <c r="E219" s="2177">
        <f>+C219*D219</f>
        <v>9041.5</v>
      </c>
      <c r="F219" s="2126" t="s">
        <v>422</v>
      </c>
    </row>
    <row r="220" spans="1:6">
      <c r="A220" s="2088">
        <v>91</v>
      </c>
      <c r="B220" s="2087" t="s">
        <v>501</v>
      </c>
      <c r="C220" s="2088">
        <v>1</v>
      </c>
      <c r="D220" s="2167">
        <v>17380</v>
      </c>
      <c r="E220" s="2167">
        <v>17380</v>
      </c>
      <c r="F220" s="2087" t="s">
        <v>855</v>
      </c>
    </row>
    <row r="221" spans="1:6">
      <c r="A221" s="2088">
        <v>92</v>
      </c>
      <c r="B221" s="2087" t="s">
        <v>1335</v>
      </c>
      <c r="C221" s="2088">
        <v>4</v>
      </c>
      <c r="D221" s="2167">
        <v>2590</v>
      </c>
      <c r="E221" s="2167">
        <v>10360</v>
      </c>
      <c r="F221" s="2087" t="s">
        <v>444</v>
      </c>
    </row>
    <row r="222" spans="1:6">
      <c r="A222" s="2088">
        <v>93</v>
      </c>
      <c r="B222" s="2126" t="s">
        <v>1336</v>
      </c>
      <c r="C222" s="2088">
        <v>1</v>
      </c>
      <c r="D222" s="2177">
        <v>45000</v>
      </c>
      <c r="E222" s="2177">
        <f>+C222*D222</f>
        <v>45000</v>
      </c>
      <c r="F222" s="2126" t="s">
        <v>444</v>
      </c>
    </row>
    <row r="223" spans="1:6">
      <c r="A223" s="2088">
        <v>94</v>
      </c>
      <c r="B223" s="2126" t="s">
        <v>1337</v>
      </c>
      <c r="C223" s="2088">
        <v>1</v>
      </c>
      <c r="D223" s="2177">
        <v>7400</v>
      </c>
      <c r="E223" s="2177">
        <f>+C223*D223</f>
        <v>7400</v>
      </c>
      <c r="F223" s="2126" t="s">
        <v>614</v>
      </c>
    </row>
    <row r="224" spans="1:6" ht="26.25">
      <c r="A224" s="2092"/>
      <c r="B224" s="941"/>
      <c r="C224" s="2178"/>
      <c r="D224" s="2179"/>
      <c r="E224" s="2180">
        <f>SUM(E194:E223)</f>
        <v>1203365.5</v>
      </c>
      <c r="F224" s="941"/>
    </row>
    <row r="225" spans="1:7" ht="19.5" customHeight="1">
      <c r="A225" s="2092"/>
      <c r="B225" s="2043" t="s">
        <v>1402</v>
      </c>
      <c r="C225" s="2178"/>
      <c r="D225" s="2179"/>
      <c r="E225" s="2179"/>
      <c r="F225" s="941"/>
    </row>
    <row r="226" spans="1:7" ht="19.5" customHeight="1">
      <c r="A226" s="2047" t="s">
        <v>2</v>
      </c>
      <c r="B226" s="2047" t="s">
        <v>3</v>
      </c>
      <c r="C226" s="2047" t="s">
        <v>618</v>
      </c>
      <c r="D226" s="2047" t="s">
        <v>1410</v>
      </c>
      <c r="E226" s="2047" t="s">
        <v>1411</v>
      </c>
      <c r="F226" s="2047" t="s">
        <v>388</v>
      </c>
    </row>
    <row r="227" spans="1:7" ht="19.5" customHeight="1">
      <c r="A227" s="2088">
        <v>1</v>
      </c>
      <c r="B227" s="2105" t="s">
        <v>1393</v>
      </c>
      <c r="C227" s="2049">
        <v>1</v>
      </c>
      <c r="D227" s="2114">
        <v>6600</v>
      </c>
      <c r="E227" s="2114">
        <f>+C227*D227</f>
        <v>6600</v>
      </c>
      <c r="F227" s="2105" t="s">
        <v>614</v>
      </c>
      <c r="G227" s="928" t="s">
        <v>1437</v>
      </c>
    </row>
    <row r="228" spans="1:7" ht="19.5" customHeight="1">
      <c r="A228" s="2088">
        <v>2</v>
      </c>
      <c r="B228" s="2181" t="s">
        <v>1457</v>
      </c>
      <c r="C228" s="2182">
        <v>200</v>
      </c>
      <c r="D228" s="2183">
        <v>10000</v>
      </c>
      <c r="E228" s="2184">
        <f t="shared" ref="E228:E230" si="5">C228*D228</f>
        <v>2000000</v>
      </c>
      <c r="F228" s="2070" t="s">
        <v>532</v>
      </c>
      <c r="G228" s="928" t="s">
        <v>1470</v>
      </c>
    </row>
    <row r="229" spans="1:7" ht="19.5" customHeight="1">
      <c r="A229" s="2088">
        <v>3</v>
      </c>
      <c r="B229" s="2181" t="s">
        <v>1455</v>
      </c>
      <c r="C229" s="2182">
        <v>100</v>
      </c>
      <c r="D229" s="2183">
        <v>15000</v>
      </c>
      <c r="E229" s="2184">
        <f t="shared" si="5"/>
        <v>1500000</v>
      </c>
      <c r="F229" s="2070" t="s">
        <v>532</v>
      </c>
      <c r="G229" s="928" t="s">
        <v>1472</v>
      </c>
    </row>
    <row r="230" spans="1:7" ht="19.5" customHeight="1">
      <c r="A230" s="2088">
        <v>4</v>
      </c>
      <c r="B230" s="2181" t="s">
        <v>1456</v>
      </c>
      <c r="C230" s="2182">
        <v>100</v>
      </c>
      <c r="D230" s="2183">
        <v>30000</v>
      </c>
      <c r="E230" s="2184">
        <f t="shared" si="5"/>
        <v>3000000</v>
      </c>
      <c r="F230" s="2070" t="s">
        <v>532</v>
      </c>
      <c r="G230" s="928" t="s">
        <v>1471</v>
      </c>
    </row>
    <row r="231" spans="1:7" ht="19.5" customHeight="1">
      <c r="A231" s="2092"/>
      <c r="B231" s="941"/>
      <c r="C231" s="2178"/>
      <c r="D231" s="2179"/>
      <c r="E231" s="2180">
        <f>SUM(E227:E230)</f>
        <v>6506600</v>
      </c>
      <c r="F231" s="941"/>
      <c r="G231" s="928"/>
    </row>
    <row r="232" spans="1:7" ht="19.5" customHeight="1">
      <c r="A232" s="2092"/>
      <c r="B232" s="2891" t="s">
        <v>1420</v>
      </c>
      <c r="C232" s="2891"/>
      <c r="D232" s="2891"/>
      <c r="E232" s="2180">
        <f>+E145+E191+E224+E231</f>
        <v>10290335.609999999</v>
      </c>
      <c r="F232" s="941"/>
      <c r="G232" s="928"/>
    </row>
    <row r="233" spans="1:7" ht="15" customHeight="1">
      <c r="A233" s="2092"/>
      <c r="B233" s="941"/>
      <c r="C233" s="2178"/>
      <c r="D233" s="2179"/>
      <c r="E233" s="2179"/>
      <c r="F233" s="941"/>
      <c r="G233" s="928"/>
    </row>
    <row r="234" spans="1:7">
      <c r="A234" s="2124"/>
      <c r="B234" s="2046" t="s">
        <v>1271</v>
      </c>
      <c r="C234" s="2124"/>
      <c r="D234" s="2124"/>
      <c r="E234" s="2124"/>
      <c r="F234" s="2124"/>
      <c r="G234" s="928"/>
    </row>
    <row r="235" spans="1:7">
      <c r="A235" s="2047" t="s">
        <v>2</v>
      </c>
      <c r="B235" s="2047" t="s">
        <v>3</v>
      </c>
      <c r="C235" s="2047" t="s">
        <v>618</v>
      </c>
      <c r="D235" s="2047" t="s">
        <v>1410</v>
      </c>
      <c r="E235" s="2047" t="s">
        <v>1411</v>
      </c>
      <c r="F235" s="2047" t="s">
        <v>388</v>
      </c>
      <c r="G235" s="928"/>
    </row>
    <row r="236" spans="1:7">
      <c r="A236" s="2088">
        <v>1</v>
      </c>
      <c r="B236" s="2185" t="s">
        <v>534</v>
      </c>
      <c r="C236" s="2186">
        <v>15</v>
      </c>
      <c r="D236" s="2187">
        <v>7900</v>
      </c>
      <c r="E236" s="2055">
        <f>+C236*D236</f>
        <v>118500</v>
      </c>
      <c r="F236" s="2070" t="s">
        <v>532</v>
      </c>
      <c r="G236" s="928"/>
    </row>
    <row r="237" spans="1:7">
      <c r="A237" s="2088">
        <v>2</v>
      </c>
      <c r="B237" s="2185" t="s">
        <v>536</v>
      </c>
      <c r="C237" s="2186">
        <v>50</v>
      </c>
      <c r="D237" s="2187">
        <v>4000</v>
      </c>
      <c r="E237" s="2055">
        <f>+C237*D237</f>
        <v>200000</v>
      </c>
      <c r="F237" s="2070" t="s">
        <v>532</v>
      </c>
      <c r="G237" s="928"/>
    </row>
    <row r="238" spans="1:7" s="2061" customFormat="1" ht="72">
      <c r="A238" s="2049">
        <v>3</v>
      </c>
      <c r="B238" s="2071" t="s">
        <v>1190</v>
      </c>
      <c r="C238" s="2058">
        <v>1</v>
      </c>
      <c r="D238" s="2188">
        <v>9000000</v>
      </c>
      <c r="E238" s="2189">
        <f>+C238*D238</f>
        <v>9000000</v>
      </c>
      <c r="F238" s="2190" t="s">
        <v>532</v>
      </c>
    </row>
    <row r="239" spans="1:7" s="2061" customFormat="1">
      <c r="A239" s="2049">
        <v>4</v>
      </c>
      <c r="B239" s="2185" t="s">
        <v>537</v>
      </c>
      <c r="C239" s="2186">
        <v>100</v>
      </c>
      <c r="D239" s="2187">
        <v>4000</v>
      </c>
      <c r="E239" s="2055">
        <f>+C239*D239</f>
        <v>400000</v>
      </c>
      <c r="F239" s="2070" t="s">
        <v>532</v>
      </c>
    </row>
    <row r="240" spans="1:7" ht="26.25">
      <c r="A240" s="2133"/>
      <c r="B240" s="2191"/>
      <c r="C240" s="2192"/>
      <c r="D240" s="2193"/>
      <c r="E240" s="2194">
        <f>SUM(E236:E239)</f>
        <v>9718500</v>
      </c>
      <c r="F240" s="2195"/>
    </row>
    <row r="241" spans="1:6">
      <c r="A241" s="2047" t="s">
        <v>2</v>
      </c>
      <c r="B241" s="2047" t="s">
        <v>3</v>
      </c>
      <c r="C241" s="2047" t="s">
        <v>618</v>
      </c>
      <c r="D241" s="2047" t="s">
        <v>1410</v>
      </c>
      <c r="E241" s="2047" t="s">
        <v>1411</v>
      </c>
      <c r="F241" s="2047" t="s">
        <v>388</v>
      </c>
    </row>
    <row r="242" spans="1:6">
      <c r="A242" s="2088">
        <v>5</v>
      </c>
      <c r="B242" s="2185" t="s">
        <v>538</v>
      </c>
      <c r="C242" s="2186">
        <v>5</v>
      </c>
      <c r="D242" s="2187">
        <v>37000</v>
      </c>
      <c r="E242" s="2055">
        <f t="shared" ref="E242:E257" si="6">+C242*D242</f>
        <v>185000</v>
      </c>
      <c r="F242" s="2070" t="s">
        <v>532</v>
      </c>
    </row>
    <row r="243" spans="1:6">
      <c r="A243" s="2088">
        <v>6</v>
      </c>
      <c r="B243" s="2185" t="s">
        <v>540</v>
      </c>
      <c r="C243" s="2186">
        <v>20</v>
      </c>
      <c r="D243" s="2187">
        <v>13000</v>
      </c>
      <c r="E243" s="2055">
        <f t="shared" si="6"/>
        <v>260000</v>
      </c>
      <c r="F243" s="2070" t="s">
        <v>532</v>
      </c>
    </row>
    <row r="244" spans="1:6">
      <c r="A244" s="2088">
        <v>7</v>
      </c>
      <c r="B244" s="2185" t="s">
        <v>748</v>
      </c>
      <c r="C244" s="2186">
        <v>10</v>
      </c>
      <c r="D244" s="2196">
        <v>24000</v>
      </c>
      <c r="E244" s="2055">
        <f t="shared" si="6"/>
        <v>240000</v>
      </c>
      <c r="F244" s="2070" t="s">
        <v>532</v>
      </c>
    </row>
    <row r="245" spans="1:6">
      <c r="A245" s="2088">
        <v>8</v>
      </c>
      <c r="B245" s="2185" t="s">
        <v>753</v>
      </c>
      <c r="C245" s="2186">
        <v>10</v>
      </c>
      <c r="D245" s="2196">
        <v>6900</v>
      </c>
      <c r="E245" s="2055">
        <f t="shared" si="6"/>
        <v>69000</v>
      </c>
      <c r="F245" s="2070" t="s">
        <v>532</v>
      </c>
    </row>
    <row r="246" spans="1:6">
      <c r="A246" s="2088">
        <v>10</v>
      </c>
      <c r="B246" s="2185" t="s">
        <v>534</v>
      </c>
      <c r="C246" s="2186">
        <v>10</v>
      </c>
      <c r="D246" s="2196">
        <v>6700</v>
      </c>
      <c r="E246" s="2055">
        <f t="shared" si="6"/>
        <v>67000</v>
      </c>
      <c r="F246" s="2070" t="s">
        <v>532</v>
      </c>
    </row>
    <row r="247" spans="1:6">
      <c r="A247" s="2088">
        <v>11</v>
      </c>
      <c r="B247" s="2185" t="s">
        <v>754</v>
      </c>
      <c r="C247" s="2186">
        <v>10</v>
      </c>
      <c r="D247" s="2196">
        <v>8100</v>
      </c>
      <c r="E247" s="2055">
        <f t="shared" si="6"/>
        <v>81000</v>
      </c>
      <c r="F247" s="2070" t="s">
        <v>532</v>
      </c>
    </row>
    <row r="248" spans="1:6">
      <c r="A248" s="2088">
        <v>12</v>
      </c>
      <c r="B248" s="2185" t="s">
        <v>755</v>
      </c>
      <c r="C248" s="2186">
        <v>10</v>
      </c>
      <c r="D248" s="2196">
        <v>10000</v>
      </c>
      <c r="E248" s="2055">
        <f t="shared" si="6"/>
        <v>100000</v>
      </c>
      <c r="F248" s="2070" t="s">
        <v>532</v>
      </c>
    </row>
    <row r="249" spans="1:6">
      <c r="A249" s="2088">
        <v>13</v>
      </c>
      <c r="B249" s="2185" t="s">
        <v>756</v>
      </c>
      <c r="C249" s="2186">
        <v>30</v>
      </c>
      <c r="D249" s="2196">
        <v>2620</v>
      </c>
      <c r="E249" s="2055">
        <f t="shared" si="6"/>
        <v>78600</v>
      </c>
      <c r="F249" s="2070" t="s">
        <v>532</v>
      </c>
    </row>
    <row r="250" spans="1:6">
      <c r="A250" s="2088">
        <v>14</v>
      </c>
      <c r="B250" s="2185" t="s">
        <v>759</v>
      </c>
      <c r="C250" s="2186">
        <v>4</v>
      </c>
      <c r="D250" s="2197">
        <v>22000</v>
      </c>
      <c r="E250" s="2055">
        <f t="shared" si="6"/>
        <v>88000</v>
      </c>
      <c r="F250" s="2070" t="s">
        <v>532</v>
      </c>
    </row>
    <row r="251" spans="1:6">
      <c r="A251" s="2088">
        <v>15</v>
      </c>
      <c r="B251" s="2053" t="s">
        <v>979</v>
      </c>
      <c r="C251" s="2054">
        <v>2</v>
      </c>
      <c r="D251" s="2055">
        <v>19973.333333333332</v>
      </c>
      <c r="E251" s="2055">
        <f t="shared" si="6"/>
        <v>39946.666666666664</v>
      </c>
      <c r="F251" s="2053" t="s">
        <v>584</v>
      </c>
    </row>
    <row r="252" spans="1:6">
      <c r="A252" s="2088">
        <v>16</v>
      </c>
      <c r="B252" s="2053" t="s">
        <v>1029</v>
      </c>
      <c r="C252" s="2054">
        <v>5</v>
      </c>
      <c r="D252" s="2055">
        <v>8100</v>
      </c>
      <c r="E252" s="2055">
        <f t="shared" si="6"/>
        <v>40500</v>
      </c>
      <c r="F252" s="2053" t="s">
        <v>584</v>
      </c>
    </row>
    <row r="253" spans="1:6">
      <c r="A253" s="2088">
        <v>17</v>
      </c>
      <c r="B253" s="2053" t="s">
        <v>966</v>
      </c>
      <c r="C253" s="2054">
        <v>1</v>
      </c>
      <c r="D253" s="2055">
        <v>1980</v>
      </c>
      <c r="E253" s="2055">
        <f t="shared" si="6"/>
        <v>1980</v>
      </c>
      <c r="F253" s="2053" t="s">
        <v>472</v>
      </c>
    </row>
    <row r="254" spans="1:6">
      <c r="A254" s="2088">
        <v>18</v>
      </c>
      <c r="B254" s="2053" t="s">
        <v>971</v>
      </c>
      <c r="C254" s="2054">
        <v>8</v>
      </c>
      <c r="D254" s="2055">
        <v>23125</v>
      </c>
      <c r="E254" s="2055">
        <f t="shared" si="6"/>
        <v>185000</v>
      </c>
      <c r="F254" s="2053" t="s">
        <v>416</v>
      </c>
    </row>
    <row r="255" spans="1:6">
      <c r="A255" s="2088">
        <v>19</v>
      </c>
      <c r="B255" s="2053" t="s">
        <v>973</v>
      </c>
      <c r="C255" s="2054">
        <v>1</v>
      </c>
      <c r="D255" s="2055">
        <v>10690</v>
      </c>
      <c r="E255" s="2055">
        <f t="shared" si="6"/>
        <v>10690</v>
      </c>
      <c r="F255" s="2053" t="s">
        <v>584</v>
      </c>
    </row>
    <row r="256" spans="1:6">
      <c r="A256" s="2088">
        <v>20</v>
      </c>
      <c r="B256" s="2053" t="s">
        <v>976</v>
      </c>
      <c r="C256" s="2054">
        <v>1</v>
      </c>
      <c r="D256" s="2055">
        <v>62076.05</v>
      </c>
      <c r="E256" s="2055">
        <f t="shared" si="6"/>
        <v>62076.05</v>
      </c>
      <c r="F256" s="2185" t="s">
        <v>584</v>
      </c>
    </row>
    <row r="257" spans="1:6">
      <c r="A257" s="2088">
        <v>21</v>
      </c>
      <c r="B257" s="2053" t="s">
        <v>977</v>
      </c>
      <c r="C257" s="2054">
        <v>3</v>
      </c>
      <c r="D257" s="2055">
        <v>15943</v>
      </c>
      <c r="E257" s="2055">
        <f t="shared" si="6"/>
        <v>47829</v>
      </c>
      <c r="F257" s="2053" t="s">
        <v>584</v>
      </c>
    </row>
    <row r="258" spans="1:6">
      <c r="A258" s="2088">
        <v>22</v>
      </c>
      <c r="B258" s="2076" t="s">
        <v>755</v>
      </c>
      <c r="C258" s="2077">
        <v>10</v>
      </c>
      <c r="D258" s="2078">
        <v>7490</v>
      </c>
      <c r="E258" s="2078">
        <v>74900</v>
      </c>
      <c r="F258" s="2076" t="s">
        <v>584</v>
      </c>
    </row>
    <row r="259" spans="1:6">
      <c r="A259" s="2088">
        <v>23</v>
      </c>
      <c r="B259" s="2076" t="s">
        <v>1358</v>
      </c>
      <c r="C259" s="2077">
        <v>5</v>
      </c>
      <c r="D259" s="2078">
        <v>5900</v>
      </c>
      <c r="E259" s="2078">
        <v>29500</v>
      </c>
      <c r="F259" s="2076" t="s">
        <v>584</v>
      </c>
    </row>
    <row r="260" spans="1:6" s="2061" customFormat="1" ht="47.25" customHeight="1">
      <c r="A260" s="2049">
        <v>24</v>
      </c>
      <c r="B260" s="2082" t="s">
        <v>1439</v>
      </c>
      <c r="C260" s="2080">
        <v>1</v>
      </c>
      <c r="D260" s="2081">
        <v>10200</v>
      </c>
      <c r="E260" s="2081">
        <v>10200</v>
      </c>
      <c r="F260" s="2079" t="s">
        <v>584</v>
      </c>
    </row>
    <row r="261" spans="1:6" s="2061" customFormat="1">
      <c r="A261" s="2049">
        <v>25</v>
      </c>
      <c r="B261" s="2076" t="s">
        <v>1359</v>
      </c>
      <c r="C261" s="2077">
        <v>1</v>
      </c>
      <c r="D261" s="2078">
        <v>34800</v>
      </c>
      <c r="E261" s="2078">
        <v>34800</v>
      </c>
      <c r="F261" s="2076" t="s">
        <v>584</v>
      </c>
    </row>
    <row r="262" spans="1:6" s="2061" customFormat="1" ht="48">
      <c r="A262" s="2049">
        <v>26</v>
      </c>
      <c r="B262" s="2079" t="s">
        <v>1360</v>
      </c>
      <c r="C262" s="2080">
        <v>1</v>
      </c>
      <c r="D262" s="2081">
        <v>12412</v>
      </c>
      <c r="E262" s="2081">
        <v>12412</v>
      </c>
      <c r="F262" s="2082" t="s">
        <v>1421</v>
      </c>
    </row>
    <row r="263" spans="1:6" s="2061" customFormat="1">
      <c r="A263" s="2049">
        <v>27</v>
      </c>
      <c r="B263" s="2076" t="s">
        <v>1361</v>
      </c>
      <c r="C263" s="2077">
        <v>3</v>
      </c>
      <c r="D263" s="2078">
        <v>9062.9</v>
      </c>
      <c r="E263" s="2078">
        <v>27188.7</v>
      </c>
      <c r="F263" s="2076" t="s">
        <v>1362</v>
      </c>
    </row>
    <row r="264" spans="1:6">
      <c r="A264" s="2088">
        <v>28</v>
      </c>
      <c r="B264" s="2079" t="s">
        <v>1363</v>
      </c>
      <c r="C264" s="2080">
        <v>3</v>
      </c>
      <c r="D264" s="2081">
        <v>17700</v>
      </c>
      <c r="E264" s="2081">
        <v>53100</v>
      </c>
      <c r="F264" s="2082" t="s">
        <v>1436</v>
      </c>
    </row>
    <row r="265" spans="1:6" s="2061" customFormat="1">
      <c r="A265" s="2049">
        <v>29</v>
      </c>
      <c r="B265" s="2079" t="s">
        <v>1364</v>
      </c>
      <c r="C265" s="2080">
        <v>1</v>
      </c>
      <c r="D265" s="2081">
        <v>7000</v>
      </c>
      <c r="E265" s="2081">
        <v>7000</v>
      </c>
      <c r="F265" s="2082" t="s">
        <v>1436</v>
      </c>
    </row>
    <row r="266" spans="1:6" s="2061" customFormat="1">
      <c r="A266" s="2049">
        <v>30</v>
      </c>
      <c r="B266" s="2079" t="s">
        <v>1365</v>
      </c>
      <c r="C266" s="2080">
        <v>2</v>
      </c>
      <c r="D266" s="2081">
        <v>5300</v>
      </c>
      <c r="E266" s="2081">
        <v>10600</v>
      </c>
      <c r="F266" s="2082" t="s">
        <v>1436</v>
      </c>
    </row>
    <row r="267" spans="1:6" s="2061" customFormat="1">
      <c r="A267" s="2049">
        <v>31</v>
      </c>
      <c r="B267" s="2076" t="s">
        <v>1366</v>
      </c>
      <c r="C267" s="2077">
        <v>1</v>
      </c>
      <c r="D267" s="2078">
        <v>2551955.35</v>
      </c>
      <c r="E267" s="2078">
        <v>2551955.35</v>
      </c>
      <c r="F267" s="2076" t="s">
        <v>888</v>
      </c>
    </row>
    <row r="268" spans="1:6">
      <c r="A268" s="2088">
        <v>32</v>
      </c>
      <c r="B268" s="2076" t="s">
        <v>969</v>
      </c>
      <c r="C268" s="2077">
        <v>1</v>
      </c>
      <c r="D268" s="2078">
        <v>24500</v>
      </c>
      <c r="E268" s="2078">
        <v>24500</v>
      </c>
      <c r="F268" s="2076" t="s">
        <v>472</v>
      </c>
    </row>
    <row r="269" spans="1:6">
      <c r="A269" s="2088">
        <v>33</v>
      </c>
      <c r="B269" s="2076" t="s">
        <v>1014</v>
      </c>
      <c r="C269" s="2077">
        <v>1</v>
      </c>
      <c r="D269" s="2078">
        <v>2320</v>
      </c>
      <c r="E269" s="2078">
        <v>2320</v>
      </c>
      <c r="F269" s="2076" t="s">
        <v>472</v>
      </c>
    </row>
    <row r="270" spans="1:6">
      <c r="A270" s="2088">
        <v>34</v>
      </c>
      <c r="B270" s="2076" t="s">
        <v>466</v>
      </c>
      <c r="C270" s="2077">
        <v>1</v>
      </c>
      <c r="D270" s="2078">
        <v>6900</v>
      </c>
      <c r="E270" s="2078">
        <v>6900</v>
      </c>
      <c r="F270" s="2076" t="s">
        <v>472</v>
      </c>
    </row>
    <row r="271" spans="1:6">
      <c r="A271" s="2088">
        <v>35</v>
      </c>
      <c r="B271" s="2076" t="s">
        <v>1367</v>
      </c>
      <c r="C271" s="2077">
        <v>2</v>
      </c>
      <c r="D271" s="2078">
        <v>24500</v>
      </c>
      <c r="E271" s="2078">
        <v>49000</v>
      </c>
      <c r="F271" s="2076" t="s">
        <v>962</v>
      </c>
    </row>
    <row r="272" spans="1:6">
      <c r="A272" s="2088">
        <v>36</v>
      </c>
      <c r="B272" s="2076" t="s">
        <v>1368</v>
      </c>
      <c r="C272" s="2077">
        <v>2</v>
      </c>
      <c r="D272" s="2078">
        <v>2320</v>
      </c>
      <c r="E272" s="2078">
        <v>4640</v>
      </c>
      <c r="F272" s="2076" t="s">
        <v>962</v>
      </c>
    </row>
    <row r="273" spans="1:6" ht="48">
      <c r="A273" s="2088">
        <v>37</v>
      </c>
      <c r="B273" s="2082" t="s">
        <v>1438</v>
      </c>
      <c r="C273" s="2080">
        <v>1</v>
      </c>
      <c r="D273" s="2081">
        <v>6900</v>
      </c>
      <c r="E273" s="2081">
        <v>6900</v>
      </c>
      <c r="F273" s="2079" t="s">
        <v>962</v>
      </c>
    </row>
    <row r="274" spans="1:6" s="2061" customFormat="1">
      <c r="A274" s="2049">
        <v>38</v>
      </c>
      <c r="B274" s="2079" t="s">
        <v>969</v>
      </c>
      <c r="C274" s="2080">
        <v>3</v>
      </c>
      <c r="D274" s="2081">
        <v>24500</v>
      </c>
      <c r="E274" s="2081">
        <v>73500</v>
      </c>
      <c r="F274" s="2082" t="s">
        <v>1478</v>
      </c>
    </row>
    <row r="275" spans="1:6" s="2061" customFormat="1">
      <c r="A275" s="2049">
        <v>39</v>
      </c>
      <c r="B275" s="2079" t="s">
        <v>1368</v>
      </c>
      <c r="C275" s="2080">
        <v>3</v>
      </c>
      <c r="D275" s="2081">
        <v>2320</v>
      </c>
      <c r="E275" s="2081">
        <v>6960</v>
      </c>
      <c r="F275" s="2082" t="s">
        <v>1478</v>
      </c>
    </row>
    <row r="276" spans="1:6" s="2061" customFormat="1">
      <c r="A276" s="2049">
        <v>40</v>
      </c>
      <c r="B276" s="2079" t="s">
        <v>1369</v>
      </c>
      <c r="C276" s="2080">
        <v>3</v>
      </c>
      <c r="D276" s="2081">
        <v>4850</v>
      </c>
      <c r="E276" s="2081">
        <v>14550</v>
      </c>
      <c r="F276" s="2082" t="s">
        <v>1478</v>
      </c>
    </row>
    <row r="277" spans="1:6" s="2061" customFormat="1" ht="48">
      <c r="A277" s="2049">
        <v>41</v>
      </c>
      <c r="B277" s="2082" t="s">
        <v>1434</v>
      </c>
      <c r="C277" s="2080">
        <v>3</v>
      </c>
      <c r="D277" s="2081">
        <v>24500</v>
      </c>
      <c r="E277" s="2081">
        <v>73500</v>
      </c>
      <c r="F277" s="2079" t="s">
        <v>949</v>
      </c>
    </row>
    <row r="278" spans="1:6" s="2061" customFormat="1">
      <c r="A278" s="2049">
        <v>42</v>
      </c>
      <c r="B278" s="2076" t="s">
        <v>1014</v>
      </c>
      <c r="C278" s="2077">
        <v>3</v>
      </c>
      <c r="D278" s="2078">
        <v>2320</v>
      </c>
      <c r="E278" s="2078">
        <v>6960</v>
      </c>
      <c r="F278" s="2076" t="s">
        <v>949</v>
      </c>
    </row>
    <row r="279" spans="1:6">
      <c r="A279" s="2088">
        <v>43</v>
      </c>
      <c r="B279" s="2076" t="s">
        <v>1370</v>
      </c>
      <c r="C279" s="2077">
        <v>1</v>
      </c>
      <c r="D279" s="2078">
        <v>7390</v>
      </c>
      <c r="E279" s="2078">
        <v>7390</v>
      </c>
      <c r="F279" s="2076" t="s">
        <v>949</v>
      </c>
    </row>
    <row r="280" spans="1:6">
      <c r="A280" s="2088">
        <v>44</v>
      </c>
      <c r="B280" s="2076" t="s">
        <v>1371</v>
      </c>
      <c r="C280" s="2077">
        <v>1</v>
      </c>
      <c r="D280" s="2078">
        <v>207954.5</v>
      </c>
      <c r="E280" s="2078">
        <v>207954.5</v>
      </c>
      <c r="F280" s="2076" t="s">
        <v>1372</v>
      </c>
    </row>
    <row r="281" spans="1:6">
      <c r="A281" s="2047" t="s">
        <v>2</v>
      </c>
      <c r="B281" s="2047" t="s">
        <v>3</v>
      </c>
      <c r="C281" s="2047" t="s">
        <v>618</v>
      </c>
      <c r="D281" s="2047" t="s">
        <v>1410</v>
      </c>
      <c r="E281" s="2047" t="s">
        <v>1411</v>
      </c>
      <c r="F281" s="2047" t="s">
        <v>388</v>
      </c>
    </row>
    <row r="282" spans="1:6">
      <c r="A282" s="2088">
        <v>45</v>
      </c>
      <c r="B282" s="2076" t="s">
        <v>1373</v>
      </c>
      <c r="C282" s="2077">
        <v>4</v>
      </c>
      <c r="D282" s="2078">
        <v>3400</v>
      </c>
      <c r="E282" s="2078">
        <v>13600</v>
      </c>
      <c r="F282" s="2076" t="s">
        <v>961</v>
      </c>
    </row>
    <row r="283" spans="1:6">
      <c r="A283" s="2088">
        <v>46</v>
      </c>
      <c r="B283" s="2076" t="s">
        <v>1374</v>
      </c>
      <c r="C283" s="2077">
        <v>1</v>
      </c>
      <c r="D283" s="2078">
        <v>5400</v>
      </c>
      <c r="E283" s="2078">
        <v>5400</v>
      </c>
      <c r="F283" s="2076" t="s">
        <v>961</v>
      </c>
    </row>
    <row r="284" spans="1:6">
      <c r="A284" s="2088">
        <v>47</v>
      </c>
      <c r="B284" s="2198" t="s">
        <v>1367</v>
      </c>
      <c r="C284" s="2199">
        <v>4</v>
      </c>
      <c r="D284" s="2200">
        <v>23900</v>
      </c>
      <c r="E284" s="2200">
        <v>95600</v>
      </c>
      <c r="F284" s="2198" t="s">
        <v>961</v>
      </c>
    </row>
    <row r="285" spans="1:6">
      <c r="A285" s="2088">
        <v>48</v>
      </c>
      <c r="B285" s="2076" t="s">
        <v>1014</v>
      </c>
      <c r="C285" s="2077">
        <v>4</v>
      </c>
      <c r="D285" s="2078">
        <v>2320</v>
      </c>
      <c r="E285" s="2078">
        <v>9280</v>
      </c>
      <c r="F285" s="2076" t="s">
        <v>961</v>
      </c>
    </row>
    <row r="286" spans="1:6">
      <c r="A286" s="2092"/>
      <c r="B286" s="2091"/>
      <c r="C286" s="2092"/>
      <c r="D286" s="2093"/>
      <c r="E286" s="2094">
        <f>SUM(E242:E285)</f>
        <v>4977232.2666666666</v>
      </c>
      <c r="F286" s="2091"/>
    </row>
    <row r="287" spans="1:6">
      <c r="A287" s="2092"/>
      <c r="B287" s="2091"/>
      <c r="C287" s="2092"/>
      <c r="D287" s="2093"/>
      <c r="E287" s="2094"/>
      <c r="F287" s="2091"/>
    </row>
    <row r="288" spans="1:6">
      <c r="A288" s="2047" t="s">
        <v>2</v>
      </c>
      <c r="B288" s="2047" t="s">
        <v>3</v>
      </c>
      <c r="C288" s="2047" t="s">
        <v>618</v>
      </c>
      <c r="D288" s="2047" t="s">
        <v>1410</v>
      </c>
      <c r="E288" s="2047" t="s">
        <v>1411</v>
      </c>
      <c r="F288" s="2047" t="s">
        <v>388</v>
      </c>
    </row>
    <row r="289" spans="1:6">
      <c r="A289" s="2088">
        <v>49</v>
      </c>
      <c r="B289" s="2076" t="s">
        <v>969</v>
      </c>
      <c r="C289" s="2077">
        <v>3</v>
      </c>
      <c r="D289" s="2078">
        <v>21900</v>
      </c>
      <c r="E289" s="2078">
        <v>65700</v>
      </c>
      <c r="F289" s="2076" t="s">
        <v>472</v>
      </c>
    </row>
    <row r="290" spans="1:6">
      <c r="A290" s="2088">
        <v>50</v>
      </c>
      <c r="B290" s="2076" t="s">
        <v>1014</v>
      </c>
      <c r="C290" s="2077">
        <v>3</v>
      </c>
      <c r="D290" s="2078">
        <v>2150</v>
      </c>
      <c r="E290" s="2078">
        <v>6450</v>
      </c>
      <c r="F290" s="2076" t="s">
        <v>472</v>
      </c>
    </row>
    <row r="291" spans="1:6">
      <c r="A291" s="2088">
        <v>51</v>
      </c>
      <c r="B291" s="2076" t="s">
        <v>1369</v>
      </c>
      <c r="C291" s="2077">
        <v>1</v>
      </c>
      <c r="D291" s="2078">
        <v>6800</v>
      </c>
      <c r="E291" s="2078">
        <v>6800</v>
      </c>
      <c r="F291" s="2076" t="s">
        <v>472</v>
      </c>
    </row>
    <row r="292" spans="1:6">
      <c r="A292" s="2088">
        <v>52</v>
      </c>
      <c r="B292" s="2076" t="s">
        <v>1367</v>
      </c>
      <c r="C292" s="2077">
        <v>3</v>
      </c>
      <c r="D292" s="2078">
        <v>21900</v>
      </c>
      <c r="E292" s="2078">
        <v>65700</v>
      </c>
      <c r="F292" s="2076" t="s">
        <v>1375</v>
      </c>
    </row>
    <row r="293" spans="1:6">
      <c r="A293" s="2088">
        <v>53</v>
      </c>
      <c r="B293" s="2076" t="s">
        <v>1376</v>
      </c>
      <c r="C293" s="2077">
        <v>3</v>
      </c>
      <c r="D293" s="2078">
        <v>2150</v>
      </c>
      <c r="E293" s="2078">
        <v>6450</v>
      </c>
      <c r="F293" s="2076" t="s">
        <v>1375</v>
      </c>
    </row>
    <row r="294" spans="1:6">
      <c r="A294" s="2088">
        <v>54</v>
      </c>
      <c r="B294" s="2076" t="s">
        <v>1377</v>
      </c>
      <c r="C294" s="2077">
        <v>3</v>
      </c>
      <c r="D294" s="2078">
        <v>4400</v>
      </c>
      <c r="E294" s="2078">
        <v>13200</v>
      </c>
      <c r="F294" s="2076" t="s">
        <v>1375</v>
      </c>
    </row>
    <row r="295" spans="1:6" s="2061" customFormat="1">
      <c r="A295" s="2049">
        <v>55</v>
      </c>
      <c r="B295" s="2201" t="s">
        <v>1433</v>
      </c>
      <c r="C295" s="2049">
        <v>12</v>
      </c>
      <c r="D295" s="2106">
        <v>40540</v>
      </c>
      <c r="E295" s="2106">
        <f>+C295*D295</f>
        <v>486480</v>
      </c>
      <c r="F295" s="2105" t="s">
        <v>961</v>
      </c>
    </row>
    <row r="296" spans="1:6" ht="26.25">
      <c r="B296" s="941"/>
      <c r="C296" s="2178"/>
      <c r="D296" s="2179"/>
      <c r="E296" s="2121">
        <f>SUM(E289:E295)</f>
        <v>650780</v>
      </c>
      <c r="F296" s="941"/>
    </row>
    <row r="297" spans="1:6">
      <c r="B297" s="941"/>
      <c r="C297" s="2178"/>
      <c r="D297" s="2179"/>
      <c r="E297" s="2123"/>
      <c r="F297" s="941"/>
    </row>
    <row r="298" spans="1:6">
      <c r="A298" s="2124"/>
      <c r="B298" s="2046" t="s">
        <v>1273</v>
      </c>
      <c r="C298" s="2124"/>
      <c r="D298" s="2124"/>
      <c r="E298" s="2124"/>
      <c r="F298" s="2124"/>
    </row>
    <row r="299" spans="1:6">
      <c r="A299" s="2047" t="s">
        <v>2</v>
      </c>
      <c r="B299" s="2047" t="s">
        <v>3</v>
      </c>
      <c r="C299" s="2047" t="s">
        <v>618</v>
      </c>
      <c r="D299" s="2047" t="s">
        <v>1410</v>
      </c>
      <c r="E299" s="2047" t="s">
        <v>1411</v>
      </c>
      <c r="F299" s="2047" t="s">
        <v>388</v>
      </c>
    </row>
    <row r="300" spans="1:6" ht="44.25" customHeight="1">
      <c r="A300" s="2049">
        <v>1</v>
      </c>
      <c r="B300" s="2057" t="s">
        <v>1274</v>
      </c>
      <c r="C300" s="2058">
        <v>1</v>
      </c>
      <c r="D300" s="2202">
        <v>800000</v>
      </c>
      <c r="E300" s="2202">
        <v>800000</v>
      </c>
      <c r="F300" s="2190" t="s">
        <v>584</v>
      </c>
    </row>
    <row r="301" spans="1:6">
      <c r="A301" s="2049">
        <v>2</v>
      </c>
      <c r="B301" s="2185" t="s">
        <v>761</v>
      </c>
      <c r="C301" s="2186">
        <v>1</v>
      </c>
      <c r="D301" s="2203">
        <v>24300</v>
      </c>
      <c r="E301" s="2055">
        <f t="shared" ref="E301:E311" si="7">+C301*D301</f>
        <v>24300</v>
      </c>
      <c r="F301" s="2190" t="s">
        <v>584</v>
      </c>
    </row>
    <row r="302" spans="1:6">
      <c r="A302" s="2049">
        <v>3</v>
      </c>
      <c r="B302" s="2185" t="s">
        <v>762</v>
      </c>
      <c r="C302" s="2186">
        <v>1</v>
      </c>
      <c r="D302" s="2203">
        <v>10516</v>
      </c>
      <c r="E302" s="2055">
        <f t="shared" si="7"/>
        <v>10516</v>
      </c>
      <c r="F302" s="2190" t="s">
        <v>584</v>
      </c>
    </row>
    <row r="303" spans="1:6" s="2061" customFormat="1" ht="48">
      <c r="A303" s="2049">
        <v>4</v>
      </c>
      <c r="B303" s="2057" t="s">
        <v>648</v>
      </c>
      <c r="C303" s="2204">
        <v>2</v>
      </c>
      <c r="D303" s="2205">
        <v>40000</v>
      </c>
      <c r="E303" s="2059">
        <f t="shared" si="7"/>
        <v>80000</v>
      </c>
      <c r="F303" s="2190" t="s">
        <v>584</v>
      </c>
    </row>
    <row r="304" spans="1:6" ht="48">
      <c r="A304" s="2049">
        <v>5</v>
      </c>
      <c r="B304" s="2185" t="s">
        <v>535</v>
      </c>
      <c r="C304" s="2186">
        <v>1</v>
      </c>
      <c r="D304" s="2187">
        <v>29000</v>
      </c>
      <c r="E304" s="2055">
        <f t="shared" si="7"/>
        <v>29000</v>
      </c>
      <c r="F304" s="2190" t="s">
        <v>584</v>
      </c>
    </row>
    <row r="305" spans="1:7">
      <c r="A305" s="2049">
        <v>6</v>
      </c>
      <c r="B305" s="2185" t="s">
        <v>752</v>
      </c>
      <c r="C305" s="2186">
        <v>5</v>
      </c>
      <c r="D305" s="2206">
        <v>23000</v>
      </c>
      <c r="E305" s="2055">
        <f t="shared" si="7"/>
        <v>115000</v>
      </c>
      <c r="F305" s="2190" t="s">
        <v>584</v>
      </c>
    </row>
    <row r="306" spans="1:7" ht="48">
      <c r="A306" s="2049">
        <v>7</v>
      </c>
      <c r="B306" s="2185" t="s">
        <v>757</v>
      </c>
      <c r="C306" s="2186">
        <v>10</v>
      </c>
      <c r="D306" s="2206">
        <v>8900</v>
      </c>
      <c r="E306" s="2055">
        <f t="shared" si="7"/>
        <v>89000</v>
      </c>
      <c r="F306" s="2190" t="s">
        <v>584</v>
      </c>
    </row>
    <row r="307" spans="1:7">
      <c r="A307" s="2049">
        <v>8</v>
      </c>
      <c r="B307" s="2185" t="s">
        <v>766</v>
      </c>
      <c r="C307" s="2186">
        <v>2</v>
      </c>
      <c r="D307" s="2203">
        <v>919</v>
      </c>
      <c r="E307" s="2055">
        <f t="shared" si="7"/>
        <v>1838</v>
      </c>
      <c r="F307" s="2190" t="s">
        <v>584</v>
      </c>
    </row>
    <row r="308" spans="1:7">
      <c r="A308" s="2049">
        <v>9</v>
      </c>
      <c r="B308" s="2185" t="s">
        <v>769</v>
      </c>
      <c r="C308" s="2186">
        <v>2</v>
      </c>
      <c r="D308" s="2203">
        <v>1800</v>
      </c>
      <c r="E308" s="2055">
        <f t="shared" si="7"/>
        <v>3600</v>
      </c>
      <c r="F308" s="2190" t="s">
        <v>584</v>
      </c>
    </row>
    <row r="309" spans="1:7">
      <c r="A309" s="2049">
        <v>10</v>
      </c>
      <c r="B309" s="2053" t="s">
        <v>1025</v>
      </c>
      <c r="C309" s="2054">
        <v>6</v>
      </c>
      <c r="D309" s="2165">
        <v>6600</v>
      </c>
      <c r="E309" s="2055">
        <f t="shared" si="7"/>
        <v>39600</v>
      </c>
      <c r="F309" s="2053" t="s">
        <v>584</v>
      </c>
    </row>
    <row r="310" spans="1:7">
      <c r="A310" s="2049">
        <v>11</v>
      </c>
      <c r="B310" s="2053" t="s">
        <v>1027</v>
      </c>
      <c r="C310" s="2054">
        <v>3</v>
      </c>
      <c r="D310" s="2165">
        <v>2650</v>
      </c>
      <c r="E310" s="2055">
        <f t="shared" si="7"/>
        <v>7950</v>
      </c>
      <c r="F310" s="2053" t="s">
        <v>584</v>
      </c>
    </row>
    <row r="311" spans="1:7">
      <c r="A311" s="2049">
        <v>12</v>
      </c>
      <c r="B311" s="2207" t="s">
        <v>1184</v>
      </c>
      <c r="C311" s="2054">
        <v>1</v>
      </c>
      <c r="D311" s="1367">
        <v>9000000</v>
      </c>
      <c r="E311" s="2208">
        <f t="shared" si="7"/>
        <v>9000000</v>
      </c>
      <c r="F311" s="2070" t="s">
        <v>532</v>
      </c>
    </row>
    <row r="312" spans="1:7" s="2061" customFormat="1">
      <c r="A312" s="2049">
        <v>13</v>
      </c>
      <c r="B312" s="2209" t="s">
        <v>531</v>
      </c>
      <c r="C312" s="2058">
        <v>1</v>
      </c>
      <c r="D312" s="2202">
        <v>152000</v>
      </c>
      <c r="E312" s="2189">
        <v>152000</v>
      </c>
      <c r="F312" s="2190" t="s">
        <v>532</v>
      </c>
    </row>
    <row r="313" spans="1:7">
      <c r="A313" s="2049">
        <v>14</v>
      </c>
      <c r="B313" s="2185" t="s">
        <v>1185</v>
      </c>
      <c r="C313" s="2054">
        <v>1</v>
      </c>
      <c r="D313" s="2210">
        <v>250000</v>
      </c>
      <c r="E313" s="2208">
        <v>250000</v>
      </c>
      <c r="F313" s="2070" t="s">
        <v>532</v>
      </c>
    </row>
    <row r="314" spans="1:7" ht="257.25" customHeight="1">
      <c r="A314" s="2049">
        <v>15</v>
      </c>
      <c r="B314" s="2057" t="s">
        <v>747</v>
      </c>
      <c r="C314" s="2204">
        <v>1</v>
      </c>
      <c r="D314" s="2205">
        <v>5000000</v>
      </c>
      <c r="E314" s="2059">
        <f t="shared" ref="E314:E316" si="8">+C314*D314</f>
        <v>5000000</v>
      </c>
      <c r="F314" s="2190" t="s">
        <v>532</v>
      </c>
    </row>
    <row r="315" spans="1:7">
      <c r="A315" s="2049">
        <v>16</v>
      </c>
      <c r="B315" s="2057" t="s">
        <v>1272</v>
      </c>
      <c r="C315" s="2204">
        <v>1</v>
      </c>
      <c r="D315" s="2072">
        <v>500000</v>
      </c>
      <c r="E315" s="2059">
        <f t="shared" si="8"/>
        <v>500000</v>
      </c>
      <c r="F315" s="2190" t="s">
        <v>532</v>
      </c>
      <c r="G315" s="2044" t="s">
        <v>1437</v>
      </c>
    </row>
    <row r="316" spans="1:7">
      <c r="A316" s="2049">
        <v>17</v>
      </c>
      <c r="B316" s="2185" t="s">
        <v>768</v>
      </c>
      <c r="C316" s="2186">
        <v>20</v>
      </c>
      <c r="D316" s="2211">
        <v>2500</v>
      </c>
      <c r="E316" s="2055">
        <f t="shared" si="8"/>
        <v>50000</v>
      </c>
      <c r="F316" s="2070" t="s">
        <v>532</v>
      </c>
    </row>
    <row r="317" spans="1:7">
      <c r="A317" s="2049">
        <v>18</v>
      </c>
      <c r="B317" s="2185" t="s">
        <v>1432</v>
      </c>
      <c r="C317" s="2186">
        <v>99</v>
      </c>
      <c r="D317" s="2203"/>
      <c r="E317" s="2055">
        <v>487920</v>
      </c>
      <c r="F317" s="2070" t="s">
        <v>532</v>
      </c>
      <c r="G317" s="2044" t="s">
        <v>1437</v>
      </c>
    </row>
    <row r="318" spans="1:7" s="2061" customFormat="1" ht="24.75" customHeight="1">
      <c r="A318" s="2049">
        <v>19</v>
      </c>
      <c r="B318" s="2057" t="s">
        <v>749</v>
      </c>
      <c r="C318" s="2204">
        <v>1</v>
      </c>
      <c r="D318" s="2212">
        <v>25800</v>
      </c>
      <c r="E318" s="2059">
        <f>+C318*D318</f>
        <v>25800</v>
      </c>
      <c r="F318" s="2190" t="s">
        <v>532</v>
      </c>
    </row>
    <row r="319" spans="1:7">
      <c r="A319" s="2047" t="s">
        <v>2</v>
      </c>
      <c r="B319" s="2047" t="s">
        <v>3</v>
      </c>
      <c r="C319" s="2047" t="s">
        <v>618</v>
      </c>
      <c r="D319" s="2047" t="s">
        <v>1410</v>
      </c>
      <c r="E319" s="2047" t="s">
        <v>1411</v>
      </c>
      <c r="F319" s="2047" t="s">
        <v>388</v>
      </c>
    </row>
    <row r="320" spans="1:7" s="2061" customFormat="1" ht="48">
      <c r="A320" s="2049">
        <v>20</v>
      </c>
      <c r="B320" s="2057" t="s">
        <v>1440</v>
      </c>
      <c r="C320" s="2049">
        <v>1</v>
      </c>
      <c r="D320" s="2213">
        <v>4999040</v>
      </c>
      <c r="E320" s="2059">
        <f>+C320*D320</f>
        <v>4999040</v>
      </c>
      <c r="F320" s="2190" t="s">
        <v>532</v>
      </c>
      <c r="G320" s="2061" t="s">
        <v>1437</v>
      </c>
    </row>
    <row r="321" spans="1:7" ht="26.25">
      <c r="E321" s="2214">
        <f>SUM(E300:E320)</f>
        <v>21665564</v>
      </c>
    </row>
    <row r="322" spans="1:7" ht="26.25">
      <c r="B322" s="2892" t="s">
        <v>1422</v>
      </c>
      <c r="C322" s="2892"/>
      <c r="D322" s="2892"/>
      <c r="E322" s="2214">
        <f>+E240+E286+E296+E321</f>
        <v>37012076.266666666</v>
      </c>
    </row>
    <row r="323" spans="1:7" ht="11.25" customHeight="1"/>
    <row r="324" spans="1:7">
      <c r="B324" s="2887" t="s">
        <v>1403</v>
      </c>
      <c r="C324" s="2887"/>
      <c r="D324" s="2887"/>
    </row>
    <row r="325" spans="1:7">
      <c r="A325" s="2047" t="s">
        <v>2</v>
      </c>
      <c r="B325" s="2047" t="s">
        <v>3</v>
      </c>
      <c r="C325" s="2047" t="s">
        <v>618</v>
      </c>
      <c r="D325" s="2047" t="s">
        <v>1410</v>
      </c>
      <c r="E325" s="2047" t="s">
        <v>1411</v>
      </c>
      <c r="F325" s="2047" t="s">
        <v>388</v>
      </c>
    </row>
    <row r="326" spans="1:7" ht="48">
      <c r="A326" s="2051">
        <v>1</v>
      </c>
      <c r="B326" s="2216" t="s">
        <v>733</v>
      </c>
      <c r="C326" s="2051">
        <v>1</v>
      </c>
      <c r="D326" s="2059">
        <v>2500000</v>
      </c>
      <c r="E326" s="2217">
        <f>+C326*D326</f>
        <v>2500000</v>
      </c>
      <c r="F326" s="2190" t="s">
        <v>1404</v>
      </c>
      <c r="G326" s="2061" t="s">
        <v>1481</v>
      </c>
    </row>
    <row r="327" spans="1:7">
      <c r="B327" s="2890" t="s">
        <v>1423</v>
      </c>
      <c r="C327" s="2890"/>
      <c r="D327" s="2890"/>
      <c r="E327" s="566">
        <f>SUM(E326)</f>
        <v>2500000</v>
      </c>
    </row>
    <row r="328" spans="1:7">
      <c r="B328" s="2215"/>
      <c r="C328" s="2215"/>
      <c r="D328" s="2215"/>
      <c r="E328" s="566"/>
    </row>
    <row r="329" spans="1:7">
      <c r="B329" s="2887" t="s">
        <v>1448</v>
      </c>
      <c r="C329" s="2887"/>
      <c r="D329" s="2887"/>
    </row>
    <row r="330" spans="1:7">
      <c r="A330" s="2047" t="s">
        <v>2</v>
      </c>
      <c r="B330" s="2047" t="s">
        <v>3</v>
      </c>
      <c r="C330" s="2047" t="s">
        <v>618</v>
      </c>
      <c r="D330" s="2047" t="s">
        <v>1410</v>
      </c>
      <c r="E330" s="2047" t="s">
        <v>1411</v>
      </c>
      <c r="F330" s="2047" t="s">
        <v>388</v>
      </c>
    </row>
    <row r="331" spans="1:7" s="2061" customFormat="1" ht="48">
      <c r="A331" s="2049">
        <v>1</v>
      </c>
      <c r="B331" s="2107" t="s">
        <v>1510</v>
      </c>
      <c r="C331" s="2049">
        <v>1</v>
      </c>
      <c r="D331" s="2218">
        <v>33900000</v>
      </c>
      <c r="E331" s="2219">
        <f>+C331*D331</f>
        <v>33900000</v>
      </c>
      <c r="F331" s="2105" t="s">
        <v>1447</v>
      </c>
    </row>
    <row r="332" spans="1:7" s="2061" customFormat="1">
      <c r="A332" s="2220"/>
      <c r="B332" s="2877" t="s">
        <v>1449</v>
      </c>
      <c r="C332" s="2877"/>
      <c r="D332" s="2877"/>
      <c r="E332" s="2221">
        <f>+E331</f>
        <v>33900000</v>
      </c>
      <c r="F332" s="2220"/>
    </row>
    <row r="333" spans="1:7" s="2061" customFormat="1">
      <c r="B333" s="2222"/>
      <c r="C333" s="2222"/>
      <c r="D333" s="2222"/>
      <c r="E333" s="2223"/>
    </row>
    <row r="334" spans="1:7">
      <c r="A334" s="2882" t="s">
        <v>1275</v>
      </c>
      <c r="B334" s="2883"/>
      <c r="C334" s="2883"/>
      <c r="D334" s="2883"/>
      <c r="E334" s="2883"/>
      <c r="F334" s="2884"/>
    </row>
    <row r="335" spans="1:7">
      <c r="A335" s="2047" t="s">
        <v>2</v>
      </c>
      <c r="B335" s="2047" t="s">
        <v>3</v>
      </c>
      <c r="C335" s="2047" t="s">
        <v>618</v>
      </c>
      <c r="D335" s="2047" t="s">
        <v>1410</v>
      </c>
      <c r="E335" s="2047" t="s">
        <v>1411</v>
      </c>
      <c r="F335" s="2047" t="s">
        <v>388</v>
      </c>
    </row>
    <row r="336" spans="1:7">
      <c r="A336" s="2186">
        <v>1</v>
      </c>
      <c r="B336" s="2185" t="s">
        <v>554</v>
      </c>
      <c r="C336" s="2186">
        <v>1</v>
      </c>
      <c r="D336" s="2224">
        <v>5100000</v>
      </c>
      <c r="E336" s="2224">
        <f t="shared" ref="E336:E346" si="9">+C336*D336</f>
        <v>5100000</v>
      </c>
      <c r="F336" s="2070" t="s">
        <v>562</v>
      </c>
      <c r="G336" s="2044" t="s">
        <v>490</v>
      </c>
    </row>
    <row r="337" spans="1:7" s="2061" customFormat="1" ht="48">
      <c r="A337" s="2204">
        <v>2</v>
      </c>
      <c r="B337" s="2057" t="s">
        <v>555</v>
      </c>
      <c r="C337" s="2204">
        <v>1</v>
      </c>
      <c r="D337" s="2225">
        <v>2800000</v>
      </c>
      <c r="E337" s="2225">
        <f t="shared" si="9"/>
        <v>2800000</v>
      </c>
      <c r="F337" s="2190" t="s">
        <v>562</v>
      </c>
      <c r="G337" s="2044" t="s">
        <v>490</v>
      </c>
    </row>
    <row r="338" spans="1:7">
      <c r="A338" s="2186">
        <v>3</v>
      </c>
      <c r="B338" s="2185" t="s">
        <v>556</v>
      </c>
      <c r="C338" s="2186">
        <v>1</v>
      </c>
      <c r="D338" s="2224">
        <v>1400000</v>
      </c>
      <c r="E338" s="2224">
        <f t="shared" si="9"/>
        <v>1400000</v>
      </c>
      <c r="F338" s="2070" t="s">
        <v>562</v>
      </c>
      <c r="G338" s="2044" t="s">
        <v>490</v>
      </c>
    </row>
    <row r="339" spans="1:7">
      <c r="A339" s="2186">
        <v>4</v>
      </c>
      <c r="B339" s="2185" t="s">
        <v>557</v>
      </c>
      <c r="C339" s="2186">
        <v>2</v>
      </c>
      <c r="D339" s="2224">
        <v>500000</v>
      </c>
      <c r="E339" s="2224">
        <f t="shared" si="9"/>
        <v>1000000</v>
      </c>
      <c r="F339" s="2070" t="s">
        <v>562</v>
      </c>
      <c r="G339" s="2044" t="s">
        <v>490</v>
      </c>
    </row>
    <row r="340" spans="1:7">
      <c r="A340" s="2186">
        <v>5</v>
      </c>
      <c r="B340" s="2185" t="s">
        <v>558</v>
      </c>
      <c r="C340" s="2186">
        <v>2</v>
      </c>
      <c r="D340" s="2224">
        <v>370000</v>
      </c>
      <c r="E340" s="2224">
        <f t="shared" si="9"/>
        <v>740000</v>
      </c>
      <c r="F340" s="2070" t="s">
        <v>562</v>
      </c>
      <c r="G340" s="2044" t="s">
        <v>490</v>
      </c>
    </row>
    <row r="341" spans="1:7">
      <c r="A341" s="2186">
        <v>6</v>
      </c>
      <c r="B341" s="2185" t="s">
        <v>1042</v>
      </c>
      <c r="C341" s="2186">
        <v>1</v>
      </c>
      <c r="D341" s="2224">
        <v>2200000</v>
      </c>
      <c r="E341" s="2224">
        <f t="shared" si="9"/>
        <v>2200000</v>
      </c>
      <c r="F341" s="2070" t="s">
        <v>562</v>
      </c>
      <c r="G341" s="2044" t="s">
        <v>490</v>
      </c>
    </row>
    <row r="342" spans="1:7">
      <c r="A342" s="2186">
        <v>7</v>
      </c>
      <c r="B342" s="2185" t="s">
        <v>559</v>
      </c>
      <c r="C342" s="2186">
        <v>1</v>
      </c>
      <c r="D342" s="2224">
        <v>1800000</v>
      </c>
      <c r="E342" s="2224">
        <f t="shared" si="9"/>
        <v>1800000</v>
      </c>
      <c r="F342" s="2070" t="s">
        <v>562</v>
      </c>
      <c r="G342" s="2044" t="s">
        <v>490</v>
      </c>
    </row>
    <row r="343" spans="1:7">
      <c r="A343" s="2186">
        <v>8</v>
      </c>
      <c r="B343" s="2185" t="s">
        <v>560</v>
      </c>
      <c r="C343" s="2186">
        <v>1</v>
      </c>
      <c r="D343" s="2224">
        <v>2000000</v>
      </c>
      <c r="E343" s="2224">
        <f t="shared" si="9"/>
        <v>2000000</v>
      </c>
      <c r="F343" s="2070" t="s">
        <v>563</v>
      </c>
      <c r="G343" s="2044" t="s">
        <v>490</v>
      </c>
    </row>
    <row r="344" spans="1:7" s="2061" customFormat="1" ht="48">
      <c r="A344" s="2204">
        <v>9</v>
      </c>
      <c r="B344" s="2057" t="s">
        <v>1032</v>
      </c>
      <c r="C344" s="2204">
        <v>1</v>
      </c>
      <c r="D344" s="2226">
        <v>890000</v>
      </c>
      <c r="E344" s="2225">
        <f t="shared" si="9"/>
        <v>890000</v>
      </c>
      <c r="F344" s="2190" t="s">
        <v>562</v>
      </c>
      <c r="G344" s="2044" t="s">
        <v>490</v>
      </c>
    </row>
    <row r="345" spans="1:7">
      <c r="A345" s="2186">
        <v>10</v>
      </c>
      <c r="B345" s="2185" t="s">
        <v>1033</v>
      </c>
      <c r="C345" s="2186">
        <v>1</v>
      </c>
      <c r="D345" s="2227">
        <v>268000</v>
      </c>
      <c r="E345" s="2224">
        <f t="shared" si="9"/>
        <v>268000</v>
      </c>
      <c r="F345" s="2070" t="s">
        <v>562</v>
      </c>
      <c r="G345" s="2044" t="s">
        <v>490</v>
      </c>
    </row>
    <row r="346" spans="1:7">
      <c r="A346" s="2186">
        <v>11</v>
      </c>
      <c r="B346" s="2185" t="s">
        <v>1034</v>
      </c>
      <c r="C346" s="2186">
        <v>1</v>
      </c>
      <c r="D346" s="2227">
        <v>1832600</v>
      </c>
      <c r="E346" s="2224">
        <f t="shared" si="9"/>
        <v>1832600</v>
      </c>
      <c r="F346" s="2070" t="s">
        <v>562</v>
      </c>
      <c r="G346" s="2044" t="s">
        <v>1517</v>
      </c>
    </row>
    <row r="347" spans="1:7">
      <c r="A347" s="2228"/>
      <c r="B347" s="2878" t="s">
        <v>1424</v>
      </c>
      <c r="C347" s="2878"/>
      <c r="D347" s="2878"/>
      <c r="E347" s="2229">
        <f>SUM(E336:E346)</f>
        <v>20030600</v>
      </c>
      <c r="F347" s="2230"/>
    </row>
    <row r="348" spans="1:7">
      <c r="A348" s="2231"/>
      <c r="B348" s="2232"/>
      <c r="C348" s="2231"/>
      <c r="D348" s="2233"/>
      <c r="E348" s="2233"/>
      <c r="F348" s="2234"/>
    </row>
    <row r="349" spans="1:7">
      <c r="A349" s="2885" t="s">
        <v>1425</v>
      </c>
      <c r="B349" s="2885"/>
      <c r="C349" s="2885"/>
      <c r="D349" s="2885"/>
      <c r="E349" s="2885"/>
      <c r="F349" s="2885"/>
    </row>
    <row r="350" spans="1:7">
      <c r="A350" s="2047" t="s">
        <v>2</v>
      </c>
      <c r="B350" s="2047" t="s">
        <v>3</v>
      </c>
      <c r="C350" s="2047" t="s">
        <v>618</v>
      </c>
      <c r="D350" s="2047" t="s">
        <v>1410</v>
      </c>
      <c r="E350" s="2047" t="s">
        <v>1411</v>
      </c>
      <c r="F350" s="2047" t="s">
        <v>388</v>
      </c>
    </row>
    <row r="351" spans="1:7">
      <c r="A351" s="2186">
        <v>1</v>
      </c>
      <c r="B351" s="2185" t="s">
        <v>561</v>
      </c>
      <c r="C351" s="2186"/>
      <c r="D351" s="2224"/>
      <c r="E351" s="2224"/>
      <c r="F351" s="2070"/>
    </row>
    <row r="352" spans="1:7">
      <c r="A352" s="2235"/>
      <c r="B352" s="2185" t="s">
        <v>1030</v>
      </c>
      <c r="C352" s="2064">
        <v>2</v>
      </c>
      <c r="D352" s="2227">
        <v>950000</v>
      </c>
      <c r="E352" s="2227">
        <v>1900000</v>
      </c>
      <c r="F352" s="2070" t="s">
        <v>563</v>
      </c>
      <c r="G352" s="2044" t="s">
        <v>490</v>
      </c>
    </row>
    <row r="353" spans="1:7">
      <c r="A353" s="2236"/>
      <c r="B353" s="2185" t="s">
        <v>1031</v>
      </c>
      <c r="C353" s="2064">
        <v>4</v>
      </c>
      <c r="D353" s="2227">
        <v>585000</v>
      </c>
      <c r="E353" s="2227">
        <v>2340000</v>
      </c>
      <c r="F353" s="2070" t="s">
        <v>562</v>
      </c>
      <c r="G353" s="2044" t="s">
        <v>1516</v>
      </c>
    </row>
    <row r="354" spans="1:7">
      <c r="A354" s="2231"/>
      <c r="B354" s="2878" t="s">
        <v>1426</v>
      </c>
      <c r="C354" s="2878"/>
      <c r="D354" s="2878"/>
      <c r="E354" s="2237">
        <f>SUM(E352:E353)</f>
        <v>4240000</v>
      </c>
      <c r="F354" s="2234"/>
    </row>
  </sheetData>
  <mergeCells count="17">
    <mergeCell ref="B329:D329"/>
    <mergeCell ref="B332:D332"/>
    <mergeCell ref="B354:D354"/>
    <mergeCell ref="B114:D114"/>
    <mergeCell ref="B106:D106"/>
    <mergeCell ref="A1:F1"/>
    <mergeCell ref="A334:F334"/>
    <mergeCell ref="A349:F349"/>
    <mergeCell ref="B63:D63"/>
    <mergeCell ref="B324:D324"/>
    <mergeCell ref="B79:D79"/>
    <mergeCell ref="B99:D99"/>
    <mergeCell ref="B119:D119"/>
    <mergeCell ref="B232:D232"/>
    <mergeCell ref="B322:D322"/>
    <mergeCell ref="B327:D327"/>
    <mergeCell ref="B347:D347"/>
  </mergeCells>
  <phoneticPr fontId="80" type="noConversion"/>
  <pageMargins left="0.55000000000000004" right="0.21" top="0.74803149606299213" bottom="0.39370078740157483" header="0.31496062992125984" footer="0.23622047244094491"/>
  <pageSetup paperSize="9" scale="70" firstPageNumber="22" orientation="portrait" useFirstPageNumber="1" horizontalDpi="4294967293" r:id="rId1"/>
  <headerFooter>
    <oddFooter>&amp;C&amp;P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668"/>
  <sheetViews>
    <sheetView view="pageBreakPreview" topLeftCell="A40" zoomScale="120" zoomScaleNormal="100" zoomScaleSheetLayoutView="120" workbookViewId="0">
      <selection activeCell="A4" sqref="A4:AB4"/>
    </sheetView>
  </sheetViews>
  <sheetFormatPr defaultColWidth="11" defaultRowHeight="21"/>
  <cols>
    <col min="1" max="1" width="7.140625" style="184" customWidth="1"/>
    <col min="2" max="2" width="119.5703125" style="185" customWidth="1"/>
    <col min="3" max="3" width="8.42578125" style="185" customWidth="1"/>
    <col min="4" max="4" width="17.28515625" style="186" customWidth="1"/>
    <col min="5" max="5" width="17" style="186" customWidth="1"/>
    <col min="6" max="6" width="16.7109375" style="185" hidden="1" customWidth="1"/>
    <col min="7" max="7" width="8.42578125" style="185" hidden="1" customWidth="1"/>
    <col min="8" max="8" width="10.28515625" style="185" hidden="1" customWidth="1"/>
    <col min="9" max="9" width="10.42578125" style="185" hidden="1" customWidth="1"/>
    <col min="10" max="10" width="9.5703125" style="185" hidden="1" customWidth="1"/>
    <col min="11" max="11" width="14.28515625" style="185" hidden="1" customWidth="1"/>
    <col min="12" max="12" width="13.7109375" style="185" hidden="1" customWidth="1"/>
    <col min="13" max="13" width="9.140625" style="185" hidden="1" customWidth="1"/>
    <col min="14" max="14" width="11.42578125" style="185" hidden="1" customWidth="1"/>
    <col min="15" max="15" width="13.42578125" style="185" hidden="1" customWidth="1"/>
    <col min="16" max="16" width="20" style="185" hidden="1" customWidth="1"/>
    <col min="17" max="17" width="10.5703125" style="185" hidden="1" customWidth="1"/>
    <col min="18" max="18" width="11.7109375" style="185" hidden="1" customWidth="1"/>
    <col min="19" max="19" width="10.5703125" style="185" hidden="1" customWidth="1"/>
    <col min="20" max="20" width="10.28515625" style="185" hidden="1" customWidth="1"/>
    <col min="21" max="21" width="12.7109375" style="185" hidden="1" customWidth="1"/>
    <col min="22" max="22" width="11.42578125" style="185" hidden="1" customWidth="1"/>
    <col min="23" max="23" width="11.5703125" style="185" hidden="1" customWidth="1"/>
    <col min="24" max="24" width="10.28515625" style="185" hidden="1" customWidth="1"/>
    <col min="25" max="25" width="11.140625" style="185" hidden="1" customWidth="1"/>
    <col min="26" max="26" width="11.85546875" style="185" hidden="1" customWidth="1"/>
    <col min="27" max="27" width="2.42578125" style="185" hidden="1" customWidth="1"/>
    <col min="28" max="28" width="34.42578125" style="189" customWidth="1"/>
    <col min="29" max="29" width="60.42578125" style="185" customWidth="1"/>
    <col min="30" max="16384" width="11" style="185"/>
  </cols>
  <sheetData>
    <row r="1" spans="1:33" ht="21.95" customHeight="1">
      <c r="A1" s="2843" t="s">
        <v>1254</v>
      </c>
      <c r="B1" s="2843"/>
      <c r="C1" s="2843"/>
      <c r="D1" s="2843"/>
      <c r="E1" s="2843"/>
      <c r="F1" s="2843"/>
      <c r="G1" s="2843"/>
      <c r="H1" s="2843"/>
      <c r="I1" s="2843"/>
      <c r="J1" s="2843"/>
      <c r="K1" s="2843"/>
      <c r="L1" s="2843"/>
      <c r="M1" s="2843"/>
      <c r="N1" s="2843"/>
      <c r="O1" s="2843"/>
      <c r="P1" s="2843"/>
      <c r="Q1" s="2843"/>
      <c r="R1" s="2843"/>
      <c r="S1" s="2843"/>
      <c r="T1" s="2843"/>
      <c r="U1" s="2843"/>
      <c r="V1" s="2843"/>
      <c r="W1" s="2843"/>
      <c r="X1" s="2843"/>
      <c r="Y1" s="2843"/>
      <c r="Z1" s="2843"/>
      <c r="AA1" s="2843"/>
      <c r="AB1" s="2843"/>
      <c r="AC1" s="181"/>
      <c r="AD1" s="181"/>
      <c r="AE1" s="181"/>
      <c r="AF1" s="181"/>
    </row>
    <row r="2" spans="1:33" ht="9.75" customHeight="1">
      <c r="B2" s="180"/>
      <c r="C2" s="184"/>
      <c r="D2" s="187"/>
      <c r="E2" s="187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0"/>
      <c r="AC2" s="181"/>
      <c r="AD2" s="181"/>
      <c r="AE2" s="181"/>
      <c r="AF2" s="181"/>
    </row>
    <row r="3" spans="1:33" ht="46.5" customHeight="1">
      <c r="A3" s="639" t="s">
        <v>2</v>
      </c>
      <c r="B3" s="639" t="s">
        <v>3</v>
      </c>
      <c r="C3" s="639" t="s">
        <v>385</v>
      </c>
      <c r="D3" s="639" t="s">
        <v>386</v>
      </c>
      <c r="E3" s="639" t="s">
        <v>387</v>
      </c>
      <c r="F3" s="639" t="s">
        <v>389</v>
      </c>
      <c r="G3" s="639" t="s">
        <v>390</v>
      </c>
      <c r="H3" s="639" t="s">
        <v>391</v>
      </c>
      <c r="I3" s="639" t="s">
        <v>392</v>
      </c>
      <c r="J3" s="639" t="s">
        <v>393</v>
      </c>
      <c r="K3" s="639" t="s">
        <v>394</v>
      </c>
      <c r="L3" s="639" t="s">
        <v>395</v>
      </c>
      <c r="M3" s="639" t="s">
        <v>396</v>
      </c>
      <c r="N3" s="639" t="s">
        <v>397</v>
      </c>
      <c r="O3" s="639" t="s">
        <v>398</v>
      </c>
      <c r="P3" s="639" t="s">
        <v>399</v>
      </c>
      <c r="Q3" s="639" t="s">
        <v>400</v>
      </c>
      <c r="R3" s="639" t="s">
        <v>401</v>
      </c>
      <c r="S3" s="639" t="s">
        <v>402</v>
      </c>
      <c r="T3" s="639" t="s">
        <v>403</v>
      </c>
      <c r="U3" s="639" t="s">
        <v>404</v>
      </c>
      <c r="V3" s="639" t="s">
        <v>405</v>
      </c>
      <c r="W3" s="639" t="s">
        <v>406</v>
      </c>
      <c r="X3" s="639" t="s">
        <v>407</v>
      </c>
      <c r="Y3" s="639" t="s">
        <v>408</v>
      </c>
      <c r="Z3" s="639" t="s">
        <v>409</v>
      </c>
      <c r="AA3" s="639" t="s">
        <v>410</v>
      </c>
      <c r="AB3" s="639" t="s">
        <v>221</v>
      </c>
      <c r="AC3" s="181"/>
      <c r="AD3" s="181"/>
      <c r="AE3" s="181"/>
      <c r="AF3" s="181"/>
    </row>
    <row r="4" spans="1:33" s="245" customFormat="1" ht="23.1" customHeight="1">
      <c r="A4" s="1729">
        <v>1</v>
      </c>
      <c r="B4" s="1728" t="s">
        <v>516</v>
      </c>
      <c r="C4" s="1729">
        <v>1</v>
      </c>
      <c r="D4" s="1730">
        <v>4500000</v>
      </c>
      <c r="E4" s="1730">
        <f>+C4*D4</f>
        <v>4500000</v>
      </c>
      <c r="F4" s="1731"/>
      <c r="G4" s="1731"/>
      <c r="H4" s="1731"/>
      <c r="I4" s="1731"/>
      <c r="J4" s="1731"/>
      <c r="K4" s="1731"/>
      <c r="L4" s="1731"/>
      <c r="M4" s="1731"/>
      <c r="N4" s="1732"/>
      <c r="O4" s="1732"/>
      <c r="P4" s="1732"/>
      <c r="Q4" s="1732"/>
      <c r="R4" s="1732"/>
      <c r="S4" s="1732"/>
      <c r="T4" s="1732"/>
      <c r="U4" s="1732"/>
      <c r="V4" s="1732"/>
      <c r="W4" s="1732"/>
      <c r="X4" s="1732"/>
      <c r="Y4" s="1732"/>
      <c r="Z4" s="1732"/>
      <c r="AA4" s="1732"/>
      <c r="AB4" s="1733" t="s">
        <v>490</v>
      </c>
    </row>
    <row r="5" spans="1:33" s="245" customFormat="1" ht="23.1" customHeight="1">
      <c r="A5" s="227">
        <v>2</v>
      </c>
      <c r="B5" s="1430" t="s">
        <v>1219</v>
      </c>
      <c r="C5" s="1431">
        <v>1</v>
      </c>
      <c r="D5" s="1432">
        <v>99450</v>
      </c>
      <c r="E5" s="1433">
        <f>+C5*D5</f>
        <v>99450</v>
      </c>
      <c r="F5" s="1434"/>
      <c r="G5" s="1434"/>
      <c r="H5" s="1434"/>
      <c r="I5" s="1434"/>
      <c r="J5" s="1434"/>
      <c r="K5" s="1434"/>
      <c r="L5" s="1434"/>
      <c r="M5" s="1434"/>
      <c r="N5" s="1434"/>
      <c r="O5" s="1434"/>
      <c r="P5" s="1434"/>
      <c r="Q5" s="1434"/>
      <c r="R5" s="1434"/>
      <c r="S5" s="1434"/>
      <c r="T5" s="1434"/>
      <c r="U5" s="1434"/>
      <c r="V5" s="1434"/>
      <c r="W5" s="1434"/>
      <c r="X5" s="1434"/>
      <c r="Y5" s="1434"/>
      <c r="Z5" s="1434"/>
      <c r="AA5" s="1434"/>
      <c r="AB5" s="1430"/>
    </row>
    <row r="6" spans="1:33" s="245" customFormat="1" ht="23.1" customHeight="1">
      <c r="A6" s="1435">
        <v>3</v>
      </c>
      <c r="B6" s="226" t="s">
        <v>1485</v>
      </c>
      <c r="C6" s="227">
        <v>1</v>
      </c>
      <c r="D6" s="261">
        <v>57000000</v>
      </c>
      <c r="E6" s="261">
        <f t="shared" ref="E6:AA6" si="0">+C6*D6</f>
        <v>57000000</v>
      </c>
      <c r="F6" s="261">
        <f t="shared" si="0"/>
        <v>3249000000000000</v>
      </c>
      <c r="G6" s="261">
        <f t="shared" si="0"/>
        <v>1.85193E+23</v>
      </c>
      <c r="H6" s="261">
        <f t="shared" si="0"/>
        <v>6.0169205700000001E+38</v>
      </c>
      <c r="I6" s="261">
        <f t="shared" si="0"/>
        <v>1.11429157112001E+62</v>
      </c>
      <c r="J6" s="261">
        <f t="shared" si="0"/>
        <v>6.7046038752496062E+100</v>
      </c>
      <c r="K6" s="261">
        <f t="shared" si="0"/>
        <v>7.470883585889192E+162</v>
      </c>
      <c r="L6" s="261">
        <f t="shared" si="0"/>
        <v>5.0089315041491348E+263</v>
      </c>
      <c r="M6" s="261" t="e">
        <f t="shared" si="0"/>
        <v>#NUM!</v>
      </c>
      <c r="N6" s="261" t="e">
        <f t="shared" si="0"/>
        <v>#NUM!</v>
      </c>
      <c r="O6" s="261" t="e">
        <f t="shared" si="0"/>
        <v>#NUM!</v>
      </c>
      <c r="P6" s="261" t="e">
        <f t="shared" si="0"/>
        <v>#NUM!</v>
      </c>
      <c r="Q6" s="261" t="e">
        <f t="shared" si="0"/>
        <v>#NUM!</v>
      </c>
      <c r="R6" s="261" t="e">
        <f t="shared" si="0"/>
        <v>#NUM!</v>
      </c>
      <c r="S6" s="261" t="e">
        <f t="shared" si="0"/>
        <v>#NUM!</v>
      </c>
      <c r="T6" s="261" t="e">
        <f t="shared" si="0"/>
        <v>#NUM!</v>
      </c>
      <c r="U6" s="261" t="e">
        <f t="shared" si="0"/>
        <v>#NUM!</v>
      </c>
      <c r="V6" s="261" t="e">
        <f t="shared" si="0"/>
        <v>#NUM!</v>
      </c>
      <c r="W6" s="261" t="e">
        <f t="shared" si="0"/>
        <v>#NUM!</v>
      </c>
      <c r="X6" s="261" t="e">
        <f t="shared" si="0"/>
        <v>#NUM!</v>
      </c>
      <c r="Y6" s="261" t="e">
        <f t="shared" si="0"/>
        <v>#NUM!</v>
      </c>
      <c r="Z6" s="261" t="e">
        <f t="shared" si="0"/>
        <v>#NUM!</v>
      </c>
      <c r="AA6" s="261" t="e">
        <f t="shared" si="0"/>
        <v>#NUM!</v>
      </c>
      <c r="AB6" s="1436"/>
    </row>
    <row r="7" spans="1:33" s="245" customFormat="1" ht="23.1" customHeight="1">
      <c r="A7" s="227">
        <v>4</v>
      </c>
      <c r="B7" s="1436" t="s">
        <v>1480</v>
      </c>
      <c r="C7" s="1435">
        <v>1</v>
      </c>
      <c r="D7" s="1437">
        <v>116000000</v>
      </c>
      <c r="E7" s="1438">
        <f>+C7*D7</f>
        <v>116000000</v>
      </c>
      <c r="F7" s="1439"/>
      <c r="G7" s="1439"/>
      <c r="H7" s="1439"/>
      <c r="I7" s="1439"/>
      <c r="J7" s="1439"/>
      <c r="K7" s="1439"/>
      <c r="L7" s="1439"/>
      <c r="M7" s="1439"/>
      <c r="N7" s="1439"/>
      <c r="O7" s="1439"/>
      <c r="P7" s="1439"/>
      <c r="Q7" s="1439"/>
      <c r="R7" s="1439"/>
      <c r="S7" s="1439"/>
      <c r="T7" s="1439"/>
      <c r="U7" s="1439"/>
      <c r="V7" s="1439"/>
      <c r="W7" s="1439"/>
      <c r="X7" s="1439"/>
      <c r="Y7" s="1439"/>
      <c r="Z7" s="1439"/>
      <c r="AA7" s="1439"/>
      <c r="AB7" s="1436"/>
    </row>
    <row r="8" spans="1:33" s="181" customFormat="1" ht="23.1" customHeight="1">
      <c r="A8" s="227">
        <v>5</v>
      </c>
      <c r="B8" s="230" t="s">
        <v>716</v>
      </c>
      <c r="C8" s="220">
        <v>1</v>
      </c>
      <c r="D8" s="408">
        <v>8000000</v>
      </c>
      <c r="E8" s="642">
        <f>+D8*C8</f>
        <v>8000000</v>
      </c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641" t="s">
        <v>1498</v>
      </c>
    </row>
    <row r="9" spans="1:33" s="181" customFormat="1" ht="23.1" customHeight="1">
      <c r="A9" s="1435">
        <v>6</v>
      </c>
      <c r="B9" s="232" t="s">
        <v>999</v>
      </c>
      <c r="C9" s="227">
        <v>2</v>
      </c>
      <c r="D9" s="328">
        <v>3000000</v>
      </c>
      <c r="E9" s="261">
        <f>+C9*D9</f>
        <v>6000000</v>
      </c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641"/>
    </row>
    <row r="10" spans="1:33" s="181" customFormat="1" ht="23.1" customHeight="1">
      <c r="A10" s="227">
        <v>7</v>
      </c>
      <c r="B10" s="232" t="s">
        <v>985</v>
      </c>
      <c r="C10" s="227">
        <v>1</v>
      </c>
      <c r="D10" s="328">
        <v>490000</v>
      </c>
      <c r="E10" s="261">
        <f>+C10*D10</f>
        <v>490000</v>
      </c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0"/>
      <c r="AB10" s="641"/>
    </row>
    <row r="11" spans="1:33" ht="23.1" customHeight="1">
      <c r="A11" s="227">
        <v>8</v>
      </c>
      <c r="B11" s="226" t="s">
        <v>682</v>
      </c>
      <c r="C11" s="227">
        <v>1</v>
      </c>
      <c r="D11" s="229">
        <v>10000000</v>
      </c>
      <c r="E11" s="229">
        <f t="shared" ref="E11" si="1">+C11*D11</f>
        <v>10000000</v>
      </c>
      <c r="F11" s="232"/>
      <c r="G11" s="232"/>
      <c r="H11" s="232"/>
      <c r="I11" s="232"/>
      <c r="J11" s="232"/>
      <c r="K11" s="232"/>
      <c r="L11" s="232"/>
      <c r="M11" s="23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641"/>
      <c r="AC11" s="181"/>
      <c r="AD11" s="181"/>
      <c r="AE11" s="181"/>
      <c r="AF11" s="181"/>
    </row>
    <row r="12" spans="1:33" ht="23.1" customHeight="1">
      <c r="A12" s="1435">
        <v>9</v>
      </c>
      <c r="B12" s="226" t="s">
        <v>1058</v>
      </c>
      <c r="C12" s="227">
        <v>1</v>
      </c>
      <c r="D12" s="229">
        <v>2000000</v>
      </c>
      <c r="E12" s="229">
        <f>+D12</f>
        <v>2000000</v>
      </c>
      <c r="F12" s="232"/>
      <c r="G12" s="232"/>
      <c r="H12" s="232"/>
      <c r="I12" s="232"/>
      <c r="J12" s="232"/>
      <c r="K12" s="232"/>
      <c r="L12" s="232"/>
      <c r="M12" s="23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641"/>
      <c r="AC12" s="181"/>
      <c r="AD12" s="181"/>
      <c r="AE12" s="181"/>
      <c r="AF12" s="181"/>
    </row>
    <row r="13" spans="1:33" ht="66.75" customHeight="1">
      <c r="A13" s="227">
        <v>10</v>
      </c>
      <c r="B13" s="226" t="s">
        <v>1046</v>
      </c>
      <c r="C13" s="227">
        <v>1</v>
      </c>
      <c r="D13" s="229">
        <v>10000000</v>
      </c>
      <c r="E13" s="328">
        <f>+C13*D13</f>
        <v>10000000</v>
      </c>
      <c r="F13" s="232"/>
      <c r="G13" s="232"/>
      <c r="H13" s="232"/>
      <c r="I13" s="232"/>
      <c r="J13" s="232"/>
      <c r="K13" s="232"/>
      <c r="L13" s="232"/>
      <c r="M13" s="232"/>
      <c r="N13" s="261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641"/>
      <c r="AC13" s="180"/>
      <c r="AD13" s="181"/>
      <c r="AE13" s="181"/>
      <c r="AF13" s="181"/>
      <c r="AG13" s="181"/>
    </row>
    <row r="14" spans="1:33" ht="23.1" customHeight="1">
      <c r="A14" s="227">
        <v>11</v>
      </c>
      <c r="B14" s="232" t="s">
        <v>1059</v>
      </c>
      <c r="C14" s="227">
        <v>1</v>
      </c>
      <c r="D14" s="328">
        <v>18522237.399999999</v>
      </c>
      <c r="E14" s="328">
        <f>+C14*D14</f>
        <v>18522237.399999999</v>
      </c>
      <c r="F14" s="232"/>
      <c r="G14" s="232"/>
      <c r="H14" s="232"/>
      <c r="I14" s="232"/>
      <c r="J14" s="232"/>
      <c r="K14" s="232"/>
      <c r="L14" s="232"/>
      <c r="M14" s="232"/>
      <c r="N14" s="261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681"/>
      <c r="AC14" s="180"/>
      <c r="AD14" s="181"/>
      <c r="AE14" s="181"/>
      <c r="AF14" s="181"/>
      <c r="AG14" s="181"/>
    </row>
    <row r="15" spans="1:33" ht="23.1" customHeight="1">
      <c r="A15" s="227">
        <v>12</v>
      </c>
      <c r="B15" s="226" t="s">
        <v>1445</v>
      </c>
      <c r="C15" s="227">
        <v>1</v>
      </c>
      <c r="D15" s="229">
        <v>17250000</v>
      </c>
      <c r="E15" s="328">
        <f>+C15*D15</f>
        <v>17250000</v>
      </c>
      <c r="F15" s="229"/>
      <c r="G15" s="229"/>
      <c r="H15" s="229"/>
      <c r="I15" s="229"/>
      <c r="J15" s="229"/>
      <c r="K15" s="229"/>
      <c r="L15" s="229"/>
      <c r="M15" s="229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641"/>
      <c r="AC15" s="181"/>
      <c r="AD15" s="181"/>
      <c r="AE15" s="181"/>
      <c r="AF15" s="181"/>
    </row>
    <row r="16" spans="1:33" ht="23.1" customHeight="1">
      <c r="A16" s="227">
        <v>13</v>
      </c>
      <c r="B16" s="498" t="s">
        <v>1247</v>
      </c>
      <c r="C16" s="495">
        <v>1</v>
      </c>
      <c r="D16" s="486">
        <v>3750000</v>
      </c>
      <c r="E16" s="328">
        <f>+C16*D16</f>
        <v>3750000</v>
      </c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2"/>
      <c r="S16" s="242"/>
      <c r="T16" s="242"/>
      <c r="U16" s="242"/>
      <c r="V16" s="242"/>
      <c r="W16" s="242"/>
      <c r="X16" s="242"/>
      <c r="Y16" s="242"/>
      <c r="Z16" s="242"/>
      <c r="AA16" s="242"/>
      <c r="AB16" s="262" t="s">
        <v>1248</v>
      </c>
    </row>
    <row r="17" spans="1:32" ht="23.1" customHeight="1">
      <c r="A17" s="227">
        <v>14</v>
      </c>
      <c r="B17" s="232" t="s">
        <v>521</v>
      </c>
      <c r="C17" s="227">
        <v>1</v>
      </c>
      <c r="D17" s="328">
        <v>2200000</v>
      </c>
      <c r="E17" s="328">
        <f t="shared" ref="E17" si="2">+C17*D17</f>
        <v>2200000</v>
      </c>
      <c r="F17" s="232"/>
      <c r="G17" s="232"/>
      <c r="H17" s="232"/>
      <c r="I17" s="232"/>
      <c r="J17" s="232"/>
      <c r="K17" s="232"/>
      <c r="L17" s="232"/>
      <c r="M17" s="232"/>
      <c r="N17" s="261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641" t="s">
        <v>1497</v>
      </c>
      <c r="AC17" s="181"/>
      <c r="AD17" s="181"/>
      <c r="AE17" s="181"/>
      <c r="AF17" s="181"/>
    </row>
    <row r="18" spans="1:32" s="181" customFormat="1" ht="23.1" customHeight="1">
      <c r="A18" s="227">
        <v>15</v>
      </c>
      <c r="B18" s="230" t="s">
        <v>691</v>
      </c>
      <c r="C18" s="220">
        <v>1</v>
      </c>
      <c r="D18" s="408">
        <v>2300000</v>
      </c>
      <c r="E18" s="229">
        <f>+D18*C18</f>
        <v>2300000</v>
      </c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641"/>
    </row>
    <row r="19" spans="1:32" s="181" customFormat="1" ht="23.1" customHeight="1">
      <c r="A19" s="227">
        <v>16</v>
      </c>
      <c r="B19" s="230" t="s">
        <v>714</v>
      </c>
      <c r="C19" s="220">
        <v>1</v>
      </c>
      <c r="D19" s="408">
        <v>500000</v>
      </c>
      <c r="E19" s="642">
        <f t="shared" ref="E19" si="3">+D19*C19</f>
        <v>500000</v>
      </c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641"/>
    </row>
    <row r="20" spans="1:32" ht="23.1" customHeight="1">
      <c r="A20" s="227">
        <v>17</v>
      </c>
      <c r="B20" s="498" t="s">
        <v>517</v>
      </c>
      <c r="C20" s="495">
        <v>8</v>
      </c>
      <c r="D20" s="486">
        <v>700000</v>
      </c>
      <c r="E20" s="328">
        <f>+C20*D20</f>
        <v>5600000</v>
      </c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2"/>
      <c r="R20" s="242"/>
      <c r="S20" s="242"/>
      <c r="T20" s="242"/>
      <c r="U20" s="242"/>
      <c r="V20" s="242"/>
      <c r="W20" s="242"/>
      <c r="X20" s="242"/>
      <c r="Y20" s="242"/>
      <c r="Z20" s="242"/>
      <c r="AA20" s="242"/>
      <c r="AB20" s="372" t="s">
        <v>1496</v>
      </c>
    </row>
    <row r="21" spans="1:32" ht="23.1" customHeight="1">
      <c r="A21" s="227">
        <v>18</v>
      </c>
      <c r="B21" s="1440" t="s">
        <v>1249</v>
      </c>
      <c r="C21" s="1441">
        <v>1</v>
      </c>
      <c r="D21" s="1442">
        <v>4681768.3099999996</v>
      </c>
      <c r="E21" s="1443">
        <f>+C21*D21</f>
        <v>4681768.3099999996</v>
      </c>
      <c r="F21" s="1440"/>
      <c r="G21" s="1440"/>
      <c r="H21" s="1440"/>
      <c r="I21" s="1440"/>
      <c r="J21" s="1440"/>
      <c r="K21" s="1440"/>
      <c r="L21" s="1440"/>
      <c r="M21" s="1440"/>
      <c r="N21" s="1440"/>
      <c r="O21" s="1440"/>
      <c r="P21" s="1440"/>
      <c r="Q21" s="1440"/>
      <c r="R21" s="1440"/>
      <c r="S21" s="1440"/>
      <c r="T21" s="1440"/>
      <c r="U21" s="1440"/>
      <c r="V21" s="1440"/>
      <c r="W21" s="1440"/>
      <c r="X21" s="1440"/>
      <c r="Y21" s="1440"/>
      <c r="Z21" s="1440"/>
      <c r="AA21" s="1440"/>
      <c r="AB21" s="1444"/>
      <c r="AC21" s="181"/>
      <c r="AD21" s="181"/>
      <c r="AE21" s="181"/>
      <c r="AF21" s="181"/>
    </row>
    <row r="22" spans="1:32" ht="23.1" customHeight="1">
      <c r="A22" s="227">
        <v>19</v>
      </c>
      <c r="B22" s="230" t="s">
        <v>1251</v>
      </c>
      <c r="C22" s="220">
        <v>1</v>
      </c>
      <c r="D22" s="408">
        <v>3000000</v>
      </c>
      <c r="E22" s="1443">
        <f>+C22*D22</f>
        <v>3000000</v>
      </c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18"/>
      <c r="AC22" s="181"/>
      <c r="AD22" s="181"/>
      <c r="AE22" s="181"/>
      <c r="AF22" s="181"/>
    </row>
    <row r="23" spans="1:32" s="1449" customFormat="1" ht="23.1" customHeight="1">
      <c r="A23" s="357"/>
      <c r="B23" s="2893" t="s">
        <v>1069</v>
      </c>
      <c r="C23" s="2893"/>
      <c r="D23" s="2893"/>
      <c r="E23" s="1445">
        <f>SUM(E4:E22)</f>
        <v>271893455.70999998</v>
      </c>
      <c r="F23" s="1446"/>
      <c r="G23" s="1446"/>
      <c r="H23" s="1446"/>
      <c r="I23" s="1446"/>
      <c r="J23" s="1446"/>
      <c r="K23" s="1446"/>
      <c r="L23" s="1446"/>
      <c r="M23" s="1446"/>
      <c r="N23" s="1447"/>
      <c r="O23" s="1447"/>
      <c r="P23" s="1447"/>
      <c r="Q23" s="1447"/>
      <c r="R23" s="1447"/>
      <c r="S23" s="1447"/>
      <c r="T23" s="1447"/>
      <c r="U23" s="1447"/>
      <c r="V23" s="1447"/>
      <c r="W23" s="1447"/>
      <c r="X23" s="1447"/>
      <c r="Y23" s="1447"/>
      <c r="Z23" s="1447"/>
      <c r="AA23" s="1447"/>
      <c r="AB23" s="1448"/>
    </row>
    <row r="24" spans="1:32" s="244" customFormat="1" ht="12" customHeight="1">
      <c r="A24" s="184"/>
      <c r="B24" s="1429"/>
      <c r="C24" s="1428"/>
      <c r="D24" s="1427"/>
      <c r="E24" s="1427"/>
      <c r="F24" s="245"/>
      <c r="G24" s="245"/>
      <c r="H24" s="245"/>
      <c r="I24" s="245"/>
      <c r="J24" s="245"/>
      <c r="K24" s="245"/>
      <c r="L24" s="245"/>
      <c r="M24" s="245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1450"/>
    </row>
    <row r="25" spans="1:32" ht="24.75" customHeight="1">
      <c r="A25" s="2843" t="s">
        <v>1253</v>
      </c>
      <c r="B25" s="2843"/>
      <c r="C25" s="2843"/>
      <c r="D25" s="2843"/>
      <c r="E25" s="2843"/>
      <c r="F25" s="2843"/>
      <c r="G25" s="2843"/>
      <c r="H25" s="2843"/>
      <c r="I25" s="2843"/>
      <c r="J25" s="2843"/>
      <c r="K25" s="2843"/>
      <c r="L25" s="2843"/>
      <c r="M25" s="2843"/>
      <c r="N25" s="2843"/>
      <c r="O25" s="2843"/>
      <c r="P25" s="2843"/>
      <c r="Q25" s="2843"/>
      <c r="R25" s="2843"/>
      <c r="S25" s="2843"/>
      <c r="T25" s="2843"/>
      <c r="U25" s="2843"/>
      <c r="V25" s="2843"/>
      <c r="W25" s="2843"/>
      <c r="X25" s="2843"/>
      <c r="Y25" s="2843"/>
      <c r="Z25" s="2843"/>
      <c r="AA25" s="2843"/>
      <c r="AB25" s="2843"/>
    </row>
    <row r="26" spans="1:32" ht="41.25" customHeight="1">
      <c r="A26" s="178" t="s">
        <v>2</v>
      </c>
      <c r="B26" s="178" t="s">
        <v>3</v>
      </c>
      <c r="C26" s="178" t="s">
        <v>385</v>
      </c>
      <c r="D26" s="178" t="s">
        <v>386</v>
      </c>
      <c r="E26" s="178" t="s">
        <v>387</v>
      </c>
      <c r="F26" s="178" t="s">
        <v>389</v>
      </c>
      <c r="G26" s="178" t="s">
        <v>390</v>
      </c>
      <c r="H26" s="178" t="s">
        <v>391</v>
      </c>
      <c r="I26" s="178" t="s">
        <v>392</v>
      </c>
      <c r="J26" s="178" t="s">
        <v>393</v>
      </c>
      <c r="K26" s="178" t="s">
        <v>394</v>
      </c>
      <c r="L26" s="178" t="s">
        <v>395</v>
      </c>
      <c r="M26" s="178" t="s">
        <v>396</v>
      </c>
      <c r="N26" s="178" t="s">
        <v>397</v>
      </c>
      <c r="O26" s="178" t="s">
        <v>398</v>
      </c>
      <c r="P26" s="178" t="s">
        <v>399</v>
      </c>
      <c r="Q26" s="178" t="s">
        <v>400</v>
      </c>
      <c r="R26" s="178" t="s">
        <v>401</v>
      </c>
      <c r="S26" s="178" t="s">
        <v>402</v>
      </c>
      <c r="T26" s="178" t="s">
        <v>403</v>
      </c>
      <c r="U26" s="178" t="s">
        <v>404</v>
      </c>
      <c r="V26" s="178" t="s">
        <v>405</v>
      </c>
      <c r="W26" s="178" t="s">
        <v>406</v>
      </c>
      <c r="X26" s="178" t="s">
        <v>407</v>
      </c>
      <c r="Y26" s="178" t="s">
        <v>408</v>
      </c>
      <c r="Z26" s="178" t="s">
        <v>409</v>
      </c>
      <c r="AA26" s="178" t="s">
        <v>410</v>
      </c>
      <c r="AB26" s="178" t="s">
        <v>221</v>
      </c>
      <c r="AC26" s="181"/>
      <c r="AD26" s="181"/>
      <c r="AE26" s="181"/>
      <c r="AF26" s="181"/>
    </row>
    <row r="27" spans="1:32" ht="23.1" customHeight="1">
      <c r="A27" s="220">
        <v>1</v>
      </c>
      <c r="B27" s="230" t="s">
        <v>1250</v>
      </c>
      <c r="C27" s="220">
        <v>1</v>
      </c>
      <c r="D27" s="257">
        <v>27000000</v>
      </c>
      <c r="E27" s="321">
        <f t="shared" ref="E27:E28" si="4">+C27*D27</f>
        <v>27000000</v>
      </c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1906" t="s">
        <v>1719</v>
      </c>
      <c r="AC27" s="181"/>
      <c r="AD27" s="181"/>
      <c r="AE27" s="181"/>
      <c r="AF27" s="181"/>
    </row>
    <row r="28" spans="1:32" ht="23.1" customHeight="1">
      <c r="A28" s="220">
        <v>2</v>
      </c>
      <c r="B28" s="230" t="s">
        <v>1063</v>
      </c>
      <c r="C28" s="220">
        <v>1</v>
      </c>
      <c r="D28" s="257">
        <v>2000000</v>
      </c>
      <c r="E28" s="321">
        <f t="shared" si="4"/>
        <v>2000000</v>
      </c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1906" t="s">
        <v>1711</v>
      </c>
      <c r="AC28" s="181"/>
      <c r="AD28" s="181"/>
      <c r="AE28" s="181"/>
      <c r="AF28" s="181"/>
    </row>
    <row r="29" spans="1:32" ht="23.1" customHeight="1">
      <c r="A29" s="220">
        <v>3</v>
      </c>
      <c r="B29" s="231" t="s">
        <v>1061</v>
      </c>
      <c r="C29" s="220">
        <v>1</v>
      </c>
      <c r="D29" s="257">
        <v>200000000</v>
      </c>
      <c r="E29" s="321">
        <f>+C29*D29</f>
        <v>200000000</v>
      </c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1906" t="s">
        <v>1712</v>
      </c>
      <c r="AC29" s="181"/>
      <c r="AD29" s="181"/>
      <c r="AE29" s="181"/>
      <c r="AF29" s="181"/>
    </row>
    <row r="30" spans="1:32" ht="23.1" customHeight="1">
      <c r="A30" s="655"/>
      <c r="B30" s="2893" t="s">
        <v>1069</v>
      </c>
      <c r="C30" s="2893"/>
      <c r="D30" s="2893"/>
      <c r="E30" s="1451">
        <f>SUM(E27:E29)</f>
        <v>229000000</v>
      </c>
      <c r="F30" s="656"/>
      <c r="G30" s="656"/>
      <c r="H30" s="656"/>
      <c r="I30" s="656"/>
      <c r="J30" s="656"/>
      <c r="K30" s="656"/>
      <c r="L30" s="656"/>
      <c r="M30" s="656"/>
      <c r="N30" s="656"/>
      <c r="O30" s="656"/>
      <c r="P30" s="656"/>
      <c r="Q30" s="656"/>
      <c r="R30" s="656"/>
      <c r="S30" s="656"/>
      <c r="T30" s="656"/>
      <c r="U30" s="656"/>
      <c r="V30" s="656"/>
      <c r="W30" s="656"/>
      <c r="X30" s="656"/>
      <c r="Y30" s="656"/>
      <c r="Z30" s="656"/>
      <c r="AA30" s="656"/>
      <c r="AB30" s="658"/>
      <c r="AC30" s="181"/>
      <c r="AD30" s="181"/>
      <c r="AE30" s="181"/>
      <c r="AF30" s="181"/>
    </row>
    <row r="31" spans="1:32">
      <c r="B31" s="181"/>
      <c r="C31" s="184"/>
      <c r="D31" s="691"/>
      <c r="E31" s="692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0"/>
      <c r="AC31" s="181"/>
      <c r="AD31" s="181"/>
      <c r="AE31" s="181"/>
      <c r="AF31" s="181"/>
    </row>
    <row r="32" spans="1:32" ht="26.1" customHeight="1">
      <c r="A32" s="659"/>
      <c r="B32" s="1715" t="s">
        <v>1486</v>
      </c>
      <c r="C32" s="659"/>
      <c r="D32" s="659"/>
      <c r="E32" s="1716">
        <v>11081523.84</v>
      </c>
      <c r="F32" s="661"/>
      <c r="G32" s="661"/>
      <c r="H32" s="661"/>
      <c r="I32" s="661"/>
      <c r="J32" s="661"/>
      <c r="K32" s="661"/>
      <c r="L32" s="661"/>
      <c r="M32" s="661"/>
      <c r="N32" s="661"/>
      <c r="O32" s="661"/>
      <c r="P32" s="661"/>
      <c r="Q32" s="661"/>
      <c r="R32" s="661"/>
      <c r="S32" s="661"/>
      <c r="T32" s="661"/>
      <c r="U32" s="661"/>
      <c r="V32" s="661"/>
      <c r="W32" s="661"/>
      <c r="X32" s="661"/>
      <c r="Y32" s="661"/>
      <c r="Z32" s="661"/>
      <c r="AA32" s="661"/>
      <c r="AB32" s="662"/>
    </row>
    <row r="33" spans="1:33" ht="46.5">
      <c r="A33" s="1407"/>
      <c r="B33" s="1408" t="s">
        <v>1218</v>
      </c>
      <c r="C33" s="1414">
        <v>1</v>
      </c>
      <c r="D33" s="1409">
        <v>15000000</v>
      </c>
      <c r="E33" s="1410">
        <f t="shared" ref="E33" si="5">+C33*D33</f>
        <v>15000000</v>
      </c>
      <c r="F33" s="1411"/>
      <c r="G33" s="1411"/>
      <c r="H33" s="1411"/>
      <c r="I33" s="1411"/>
      <c r="J33" s="1411"/>
      <c r="K33" s="1411"/>
      <c r="L33" s="1411"/>
      <c r="M33" s="1411"/>
      <c r="N33" s="1411"/>
      <c r="O33" s="1411"/>
      <c r="P33" s="1411"/>
      <c r="Q33" s="1411"/>
      <c r="R33" s="1411"/>
      <c r="S33" s="1411"/>
      <c r="T33" s="1411"/>
      <c r="U33" s="1411"/>
      <c r="V33" s="1411"/>
      <c r="W33" s="1411"/>
      <c r="X33" s="1411"/>
      <c r="Y33" s="1411"/>
      <c r="Z33" s="1411"/>
      <c r="AA33" s="1411"/>
      <c r="AB33" s="1412" t="s">
        <v>1246</v>
      </c>
    </row>
    <row r="34" spans="1:33" s="613" customFormat="1" ht="25.9" customHeight="1">
      <c r="A34" s="644">
        <v>2</v>
      </c>
      <c r="B34" s="607" t="s">
        <v>715</v>
      </c>
      <c r="C34" s="608">
        <v>1</v>
      </c>
      <c r="D34" s="609">
        <v>4000000</v>
      </c>
      <c r="E34" s="610">
        <f>+C34*D34</f>
        <v>4000000</v>
      </c>
      <c r="F34" s="611"/>
      <c r="G34" s="611"/>
      <c r="H34" s="611"/>
      <c r="I34" s="611"/>
      <c r="J34" s="611"/>
      <c r="K34" s="611"/>
      <c r="L34" s="611"/>
      <c r="M34" s="611"/>
      <c r="N34" s="611"/>
      <c r="O34" s="611"/>
      <c r="P34" s="611"/>
      <c r="Q34" s="611"/>
      <c r="R34" s="611"/>
      <c r="S34" s="611"/>
      <c r="T34" s="611"/>
      <c r="U34" s="611"/>
      <c r="V34" s="611"/>
      <c r="W34" s="611"/>
      <c r="X34" s="611"/>
      <c r="Y34" s="611"/>
      <c r="Z34" s="611"/>
      <c r="AA34" s="611"/>
      <c r="AB34" s="645"/>
      <c r="AC34" s="612"/>
      <c r="AD34" s="612"/>
      <c r="AE34" s="612"/>
      <c r="AF34" s="612"/>
    </row>
    <row r="35" spans="1:33" s="618" customFormat="1" ht="27.6" customHeight="1">
      <c r="A35" s="620">
        <v>3</v>
      </c>
      <c r="B35" s="614" t="s">
        <v>1060</v>
      </c>
      <c r="C35" s="615">
        <v>1</v>
      </c>
      <c r="D35" s="616">
        <v>5000000</v>
      </c>
      <c r="E35" s="616">
        <f>+D35*C35</f>
        <v>5000000</v>
      </c>
      <c r="F35" s="616"/>
      <c r="G35" s="616"/>
      <c r="H35" s="616"/>
      <c r="I35" s="616"/>
      <c r="J35" s="616"/>
      <c r="K35" s="616"/>
      <c r="L35" s="616"/>
      <c r="M35" s="616"/>
      <c r="N35" s="617"/>
      <c r="O35" s="617"/>
      <c r="P35" s="617"/>
      <c r="Q35" s="617"/>
      <c r="R35" s="617"/>
      <c r="S35" s="617"/>
      <c r="T35" s="617"/>
      <c r="U35" s="617"/>
      <c r="V35" s="617"/>
      <c r="W35" s="617"/>
      <c r="X35" s="617"/>
      <c r="Y35" s="617"/>
      <c r="Z35" s="617"/>
      <c r="AA35" s="617"/>
      <c r="AB35" s="643"/>
    </row>
    <row r="36" spans="1:33" s="618" customFormat="1" ht="26.1" customHeight="1">
      <c r="A36" s="620">
        <v>6</v>
      </c>
      <c r="B36" s="624" t="s">
        <v>994</v>
      </c>
      <c r="C36" s="615">
        <v>3</v>
      </c>
      <c r="D36" s="625">
        <v>1400000</v>
      </c>
      <c r="E36" s="625">
        <f>+C36*D36</f>
        <v>4200000</v>
      </c>
      <c r="F36" s="627"/>
      <c r="G36" s="627"/>
      <c r="H36" s="627"/>
      <c r="I36" s="627"/>
      <c r="J36" s="627"/>
      <c r="K36" s="627"/>
      <c r="L36" s="627"/>
      <c r="M36" s="627"/>
      <c r="N36" s="627"/>
      <c r="O36" s="627"/>
      <c r="P36" s="627"/>
      <c r="Q36" s="627"/>
      <c r="R36" s="627"/>
      <c r="S36" s="627"/>
      <c r="T36" s="627"/>
      <c r="U36" s="627"/>
      <c r="V36" s="627"/>
      <c r="W36" s="627"/>
      <c r="X36" s="627"/>
      <c r="Y36" s="627"/>
      <c r="Z36" s="627"/>
      <c r="AA36" s="627"/>
      <c r="AB36" s="628"/>
    </row>
    <row r="37" spans="1:33" s="618" customFormat="1" ht="26.1" customHeight="1">
      <c r="A37" s="620">
        <v>7</v>
      </c>
      <c r="B37" s="629" t="s">
        <v>995</v>
      </c>
      <c r="C37" s="630">
        <v>1</v>
      </c>
      <c r="D37" s="631">
        <v>786400</v>
      </c>
      <c r="E37" s="625">
        <f t="shared" ref="E37:E38" si="6">+C37*D37</f>
        <v>786400</v>
      </c>
      <c r="F37" s="627"/>
      <c r="G37" s="627"/>
      <c r="H37" s="627"/>
      <c r="I37" s="627"/>
      <c r="J37" s="627"/>
      <c r="K37" s="627"/>
      <c r="L37" s="627"/>
      <c r="M37" s="627"/>
      <c r="N37" s="627"/>
      <c r="O37" s="627"/>
      <c r="P37" s="627"/>
      <c r="Q37" s="627"/>
      <c r="R37" s="627"/>
      <c r="S37" s="627"/>
      <c r="T37" s="627"/>
      <c r="U37" s="627"/>
      <c r="V37" s="627"/>
      <c r="W37" s="627"/>
      <c r="X37" s="627"/>
      <c r="Y37" s="627"/>
      <c r="Z37" s="627"/>
      <c r="AA37" s="627"/>
      <c r="AB37" s="628"/>
    </row>
    <row r="38" spans="1:33" s="618" customFormat="1" ht="108.6" customHeight="1">
      <c r="A38" s="620">
        <v>9</v>
      </c>
      <c r="B38" s="629" t="s">
        <v>505</v>
      </c>
      <c r="C38" s="630">
        <v>1</v>
      </c>
      <c r="D38" s="631">
        <v>20092000</v>
      </c>
      <c r="E38" s="625">
        <f t="shared" si="6"/>
        <v>20092000</v>
      </c>
      <c r="F38" s="632" t="s">
        <v>992</v>
      </c>
      <c r="G38" s="627"/>
      <c r="H38" s="627"/>
      <c r="I38" s="627"/>
      <c r="J38" s="627"/>
      <c r="K38" s="627"/>
      <c r="L38" s="627"/>
      <c r="M38" s="627"/>
      <c r="N38" s="627"/>
      <c r="O38" s="627"/>
      <c r="P38" s="627"/>
      <c r="Q38" s="627"/>
      <c r="R38" s="627"/>
      <c r="S38" s="627"/>
      <c r="T38" s="627"/>
      <c r="U38" s="627"/>
      <c r="V38" s="627"/>
      <c r="W38" s="627"/>
      <c r="X38" s="627"/>
      <c r="Y38" s="627"/>
      <c r="Z38" s="627"/>
      <c r="AA38" s="627"/>
      <c r="AB38" s="632" t="s">
        <v>1045</v>
      </c>
    </row>
    <row r="39" spans="1:33" s="618" customFormat="1" ht="26.1" customHeight="1">
      <c r="A39" s="620">
        <v>10</v>
      </c>
      <c r="B39" s="633" t="s">
        <v>996</v>
      </c>
      <c r="C39" s="634">
        <v>2</v>
      </c>
      <c r="D39" s="635">
        <f>+D36</f>
        <v>1400000</v>
      </c>
      <c r="E39" s="635">
        <f>+C39*D39</f>
        <v>2800000</v>
      </c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27"/>
      <c r="AB39" s="628"/>
    </row>
    <row r="40" spans="1:33" s="244" customFormat="1" ht="24" customHeight="1">
      <c r="A40" s="220">
        <v>5</v>
      </c>
      <c r="F40" s="232"/>
      <c r="G40" s="232"/>
      <c r="H40" s="232"/>
      <c r="I40" s="232"/>
      <c r="J40" s="232"/>
      <c r="K40" s="232"/>
      <c r="L40" s="232"/>
      <c r="M40" s="232"/>
      <c r="N40" s="262"/>
      <c r="O40" s="262"/>
      <c r="P40" s="262"/>
      <c r="Q40" s="262"/>
      <c r="R40" s="262"/>
      <c r="S40" s="262"/>
      <c r="T40" s="262"/>
      <c r="U40" s="262"/>
      <c r="V40" s="262"/>
      <c r="W40" s="262"/>
      <c r="X40" s="262"/>
      <c r="Y40" s="262"/>
      <c r="Z40" s="262"/>
      <c r="AA40" s="262"/>
      <c r="AB40" s="482"/>
    </row>
    <row r="41" spans="1:33" ht="24" customHeight="1">
      <c r="A41" s="220">
        <v>7</v>
      </c>
      <c r="B41" s="226" t="s">
        <v>717</v>
      </c>
      <c r="C41" s="227">
        <v>1</v>
      </c>
      <c r="D41" s="229">
        <v>15000000</v>
      </c>
      <c r="E41" s="328">
        <f>+C41*D41</f>
        <v>15000000</v>
      </c>
      <c r="F41" s="232"/>
      <c r="G41" s="232"/>
      <c r="H41" s="232"/>
      <c r="I41" s="232"/>
      <c r="J41" s="232"/>
      <c r="K41" s="232"/>
      <c r="L41" s="232"/>
      <c r="M41" s="232"/>
      <c r="N41" s="261"/>
      <c r="O41" s="232"/>
      <c r="P41" s="232"/>
      <c r="Q41" s="232"/>
      <c r="R41" s="232"/>
      <c r="S41" s="232"/>
      <c r="T41" s="232"/>
      <c r="U41" s="232"/>
      <c r="V41" s="232"/>
      <c r="W41" s="232"/>
      <c r="X41" s="232"/>
      <c r="Y41" s="232"/>
      <c r="Z41" s="232"/>
      <c r="AA41" s="232"/>
      <c r="AB41" s="641"/>
      <c r="AC41" s="180"/>
      <c r="AD41" s="181"/>
      <c r="AE41" s="181"/>
      <c r="AF41" s="181"/>
      <c r="AG41" s="181"/>
    </row>
    <row r="42" spans="1:33" ht="26.1" customHeight="1">
      <c r="A42" s="1413"/>
    </row>
    <row r="43" spans="1:33" ht="26.1" customHeight="1">
      <c r="D43" s="185"/>
      <c r="E43" s="553">
        <f>SUM(E36:E39)</f>
        <v>27878400</v>
      </c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  <c r="R43" s="244"/>
      <c r="S43" s="244"/>
      <c r="T43" s="244"/>
      <c r="U43" s="244"/>
      <c r="V43" s="244"/>
      <c r="W43" s="244"/>
      <c r="X43" s="244"/>
      <c r="Y43" s="244"/>
      <c r="Z43" s="244"/>
      <c r="AA43" s="244"/>
      <c r="AB43" s="491"/>
    </row>
    <row r="44" spans="1:33" s="654" customFormat="1" ht="26.1" customHeight="1">
      <c r="A44" s="647">
        <v>5</v>
      </c>
      <c r="B44" s="648" t="s">
        <v>628</v>
      </c>
      <c r="C44" s="649">
        <v>1</v>
      </c>
      <c r="D44" s="650">
        <v>7500000</v>
      </c>
      <c r="E44" s="651">
        <f>+C44*D44</f>
        <v>7500000</v>
      </c>
      <c r="F44" s="652"/>
      <c r="G44" s="652"/>
      <c r="H44" s="652"/>
      <c r="I44" s="652"/>
      <c r="J44" s="652"/>
      <c r="K44" s="652"/>
      <c r="L44" s="652"/>
      <c r="M44" s="652"/>
      <c r="N44" s="652"/>
      <c r="O44" s="652"/>
      <c r="P44" s="652"/>
      <c r="Q44" s="652"/>
      <c r="R44" s="652"/>
      <c r="S44" s="652"/>
      <c r="T44" s="652"/>
      <c r="U44" s="652"/>
      <c r="V44" s="652"/>
      <c r="W44" s="652"/>
      <c r="X44" s="652"/>
      <c r="Y44" s="652"/>
      <c r="Z44" s="652"/>
      <c r="AA44" s="652"/>
      <c r="AB44" s="653"/>
    </row>
    <row r="45" spans="1:33" ht="26.1" customHeight="1">
      <c r="E45" s="246"/>
    </row>
    <row r="46" spans="1:33">
      <c r="B46" s="181"/>
      <c r="C46" s="184"/>
      <c r="D46" s="637"/>
      <c r="E46" s="188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  <c r="X46" s="181"/>
      <c r="Y46" s="181"/>
      <c r="Z46" s="181"/>
      <c r="AA46" s="181"/>
      <c r="AB46" s="180"/>
      <c r="AC46" s="181"/>
      <c r="AD46" s="181"/>
      <c r="AE46" s="181"/>
      <c r="AF46" s="181"/>
    </row>
    <row r="47" spans="1:33">
      <c r="B47" s="181"/>
      <c r="C47" s="184"/>
      <c r="D47" s="188"/>
      <c r="E47" s="188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  <c r="X47" s="181"/>
      <c r="Y47" s="181"/>
      <c r="Z47" s="181"/>
      <c r="AA47" s="181"/>
      <c r="AB47" s="180"/>
      <c r="AC47" s="181"/>
      <c r="AD47" s="181"/>
      <c r="AE47" s="181"/>
      <c r="AF47" s="181"/>
    </row>
    <row r="48" spans="1:33">
      <c r="B48" s="181"/>
      <c r="C48" s="184"/>
      <c r="D48" s="188"/>
      <c r="E48" s="188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  <c r="X48" s="181"/>
      <c r="Y48" s="181"/>
      <c r="Z48" s="181"/>
      <c r="AA48" s="181"/>
      <c r="AB48" s="180"/>
      <c r="AC48" s="181"/>
      <c r="AD48" s="181"/>
      <c r="AE48" s="181"/>
      <c r="AF48" s="181"/>
    </row>
    <row r="49" spans="2:32">
      <c r="B49" s="181"/>
      <c r="C49" s="184"/>
      <c r="D49" s="188"/>
      <c r="E49" s="188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0"/>
      <c r="AC49" s="181"/>
      <c r="AD49" s="181"/>
      <c r="AE49" s="181"/>
      <c r="AF49" s="181"/>
    </row>
    <row r="50" spans="2:32">
      <c r="B50" s="181"/>
      <c r="C50" s="184"/>
      <c r="D50" s="188"/>
      <c r="E50" s="188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0"/>
      <c r="AC50" s="181"/>
      <c r="AD50" s="181"/>
      <c r="AE50" s="181"/>
      <c r="AF50" s="181"/>
    </row>
    <row r="51" spans="2:32">
      <c r="B51" s="181"/>
      <c r="C51" s="184"/>
      <c r="D51" s="188"/>
      <c r="E51" s="188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0"/>
      <c r="AC51" s="181"/>
      <c r="AD51" s="181"/>
      <c r="AE51" s="181"/>
      <c r="AF51" s="181"/>
    </row>
    <row r="52" spans="2:32">
      <c r="B52" s="181"/>
      <c r="C52" s="184"/>
      <c r="D52" s="188"/>
      <c r="E52" s="188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0"/>
      <c r="AC52" s="181"/>
      <c r="AD52" s="181"/>
      <c r="AE52" s="181"/>
      <c r="AF52" s="181"/>
    </row>
    <row r="53" spans="2:32">
      <c r="B53" s="181"/>
      <c r="C53" s="184"/>
      <c r="D53" s="188"/>
      <c r="E53" s="188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0"/>
      <c r="AC53" s="181"/>
      <c r="AD53" s="181"/>
      <c r="AE53" s="181"/>
      <c r="AF53" s="181"/>
    </row>
    <row r="54" spans="2:32">
      <c r="B54" s="181"/>
      <c r="C54" s="184"/>
      <c r="D54" s="188"/>
      <c r="E54" s="188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0"/>
      <c r="AC54" s="181"/>
      <c r="AD54" s="181"/>
      <c r="AE54" s="181"/>
      <c r="AF54" s="181"/>
    </row>
    <row r="55" spans="2:32">
      <c r="B55" s="181"/>
      <c r="C55" s="184"/>
      <c r="D55" s="188"/>
      <c r="E55" s="188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0"/>
      <c r="AC55" s="181"/>
      <c r="AD55" s="181"/>
      <c r="AE55" s="181"/>
      <c r="AF55" s="181"/>
    </row>
    <row r="56" spans="2:32">
      <c r="B56" s="181"/>
      <c r="C56" s="184"/>
      <c r="D56" s="188"/>
      <c r="E56" s="188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0"/>
      <c r="AC56" s="181"/>
      <c r="AD56" s="181"/>
      <c r="AE56" s="181"/>
      <c r="AF56" s="181"/>
    </row>
    <row r="57" spans="2:32">
      <c r="B57" s="181"/>
      <c r="C57" s="184"/>
      <c r="D57" s="188"/>
      <c r="E57" s="188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0"/>
      <c r="AC57" s="181"/>
      <c r="AD57" s="181"/>
      <c r="AE57" s="181"/>
      <c r="AF57" s="181"/>
    </row>
    <row r="58" spans="2:32">
      <c r="B58" s="181"/>
      <c r="C58" s="184"/>
      <c r="D58" s="188"/>
      <c r="E58" s="188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0"/>
      <c r="AC58" s="181"/>
      <c r="AD58" s="181"/>
      <c r="AE58" s="181"/>
      <c r="AF58" s="181"/>
    </row>
    <row r="59" spans="2:32">
      <c r="B59" s="181"/>
      <c r="C59" s="184"/>
      <c r="D59" s="188"/>
      <c r="E59" s="188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0"/>
      <c r="AC59" s="181"/>
      <c r="AD59" s="181"/>
      <c r="AE59" s="181"/>
      <c r="AF59" s="181"/>
    </row>
    <row r="60" spans="2:32">
      <c r="B60" s="181"/>
      <c r="C60" s="184"/>
      <c r="D60" s="188"/>
      <c r="E60" s="188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0"/>
      <c r="AC60" s="181"/>
      <c r="AD60" s="181"/>
      <c r="AE60" s="181"/>
      <c r="AF60" s="181"/>
    </row>
    <row r="61" spans="2:32">
      <c r="B61" s="181"/>
      <c r="C61" s="184"/>
      <c r="D61" s="188"/>
      <c r="E61" s="188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0"/>
      <c r="AC61" s="181"/>
      <c r="AD61" s="181"/>
      <c r="AE61" s="181"/>
      <c r="AF61" s="181"/>
    </row>
    <row r="62" spans="2:32">
      <c r="B62" s="181"/>
      <c r="C62" s="184"/>
      <c r="D62" s="188"/>
      <c r="E62" s="188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0"/>
      <c r="AC62" s="181"/>
      <c r="AD62" s="181"/>
      <c r="AE62" s="181"/>
      <c r="AF62" s="181"/>
    </row>
    <row r="63" spans="2:32">
      <c r="B63" s="181"/>
      <c r="C63" s="184"/>
      <c r="D63" s="188"/>
      <c r="E63" s="188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0"/>
      <c r="AC63" s="181"/>
      <c r="AD63" s="181"/>
      <c r="AE63" s="181"/>
      <c r="AF63" s="181"/>
    </row>
    <row r="64" spans="2:32">
      <c r="B64" s="181"/>
      <c r="C64" s="184"/>
      <c r="D64" s="188"/>
      <c r="E64" s="188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0"/>
      <c r="AC64" s="181"/>
      <c r="AD64" s="181"/>
      <c r="AE64" s="181"/>
      <c r="AF64" s="181"/>
    </row>
    <row r="65" spans="2:32">
      <c r="B65" s="181"/>
      <c r="C65" s="184"/>
      <c r="D65" s="188"/>
      <c r="E65" s="188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0"/>
      <c r="AC65" s="181"/>
      <c r="AD65" s="181"/>
      <c r="AE65" s="181"/>
      <c r="AF65" s="181"/>
    </row>
    <row r="66" spans="2:32">
      <c r="B66" s="181"/>
      <c r="C66" s="184"/>
      <c r="D66" s="188"/>
      <c r="E66" s="188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0"/>
      <c r="AC66" s="181"/>
      <c r="AD66" s="181"/>
      <c r="AE66" s="181"/>
      <c r="AF66" s="181"/>
    </row>
    <row r="67" spans="2:32">
      <c r="B67" s="181"/>
      <c r="C67" s="184"/>
      <c r="D67" s="188"/>
      <c r="E67" s="188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0"/>
      <c r="AC67" s="181"/>
      <c r="AD67" s="181"/>
      <c r="AE67" s="181"/>
      <c r="AF67" s="181"/>
    </row>
    <row r="68" spans="2:32">
      <c r="B68" s="181"/>
      <c r="C68" s="184"/>
      <c r="D68" s="188"/>
      <c r="E68" s="188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  <c r="X68" s="181"/>
      <c r="Y68" s="181"/>
      <c r="Z68" s="181"/>
      <c r="AA68" s="181"/>
      <c r="AB68" s="180"/>
      <c r="AC68" s="181"/>
      <c r="AD68" s="181"/>
      <c r="AE68" s="181"/>
      <c r="AF68" s="181"/>
    </row>
    <row r="69" spans="2:32">
      <c r="B69" s="181"/>
      <c r="C69" s="184"/>
      <c r="D69" s="188"/>
      <c r="E69" s="188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  <c r="X69" s="181"/>
      <c r="Y69" s="181"/>
      <c r="Z69" s="181"/>
      <c r="AA69" s="181"/>
      <c r="AB69" s="180"/>
      <c r="AC69" s="181"/>
      <c r="AD69" s="181"/>
      <c r="AE69" s="181"/>
      <c r="AF69" s="181"/>
    </row>
    <row r="70" spans="2:32">
      <c r="B70" s="181"/>
      <c r="C70" s="184"/>
      <c r="D70" s="188"/>
      <c r="E70" s="188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  <c r="X70" s="181"/>
      <c r="Y70" s="181"/>
      <c r="Z70" s="181"/>
      <c r="AA70" s="181"/>
      <c r="AB70" s="180"/>
      <c r="AC70" s="181"/>
      <c r="AD70" s="181"/>
      <c r="AE70" s="181"/>
      <c r="AF70" s="181"/>
    </row>
    <row r="71" spans="2:32">
      <c r="B71" s="181"/>
      <c r="C71" s="184"/>
      <c r="D71" s="188"/>
      <c r="E71" s="188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  <c r="X71" s="181"/>
      <c r="Y71" s="181"/>
      <c r="Z71" s="181"/>
      <c r="AA71" s="181"/>
      <c r="AB71" s="180"/>
      <c r="AC71" s="181"/>
      <c r="AD71" s="181"/>
      <c r="AE71" s="181"/>
      <c r="AF71" s="181"/>
    </row>
    <row r="72" spans="2:32">
      <c r="B72" s="181"/>
      <c r="C72" s="184"/>
      <c r="D72" s="188"/>
      <c r="E72" s="188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0"/>
      <c r="AC72" s="181"/>
      <c r="AD72" s="181"/>
      <c r="AE72" s="181"/>
      <c r="AF72" s="181"/>
    </row>
    <row r="73" spans="2:32">
      <c r="B73" s="181"/>
      <c r="C73" s="184"/>
      <c r="D73" s="188"/>
      <c r="E73" s="188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1"/>
      <c r="AB73" s="180"/>
      <c r="AC73" s="181"/>
      <c r="AD73" s="181"/>
      <c r="AE73" s="181"/>
      <c r="AF73" s="181"/>
    </row>
    <row r="74" spans="2:32">
      <c r="B74" s="181"/>
      <c r="C74" s="184"/>
      <c r="D74" s="188"/>
      <c r="E74" s="188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0"/>
      <c r="AC74" s="181"/>
      <c r="AD74" s="181"/>
      <c r="AE74" s="181"/>
      <c r="AF74" s="181"/>
    </row>
    <row r="75" spans="2:32">
      <c r="B75" s="181"/>
      <c r="C75" s="184"/>
      <c r="D75" s="188"/>
      <c r="E75" s="188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0"/>
      <c r="AC75" s="181"/>
      <c r="AD75" s="181"/>
      <c r="AE75" s="181"/>
      <c r="AF75" s="181"/>
    </row>
    <row r="76" spans="2:32">
      <c r="B76" s="181"/>
      <c r="C76" s="184"/>
      <c r="D76" s="188"/>
      <c r="E76" s="188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0"/>
      <c r="AC76" s="181"/>
      <c r="AD76" s="181"/>
      <c r="AE76" s="181"/>
      <c r="AF76" s="181"/>
    </row>
    <row r="77" spans="2:32">
      <c r="B77" s="181"/>
      <c r="C77" s="184"/>
      <c r="D77" s="188"/>
      <c r="E77" s="188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0"/>
      <c r="AC77" s="181"/>
      <c r="AD77" s="181"/>
      <c r="AE77" s="181"/>
      <c r="AF77" s="181"/>
    </row>
    <row r="78" spans="2:32">
      <c r="B78" s="181"/>
      <c r="C78" s="184"/>
      <c r="D78" s="188"/>
      <c r="E78" s="188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0"/>
      <c r="AC78" s="181"/>
      <c r="AD78" s="181"/>
      <c r="AE78" s="181"/>
      <c r="AF78" s="181"/>
    </row>
    <row r="79" spans="2:32">
      <c r="B79" s="181"/>
      <c r="C79" s="184"/>
      <c r="D79" s="188"/>
      <c r="E79" s="188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0"/>
      <c r="AC79" s="181"/>
      <c r="AD79" s="181"/>
      <c r="AE79" s="181"/>
      <c r="AF79" s="181"/>
    </row>
    <row r="80" spans="2:32">
      <c r="B80" s="181"/>
      <c r="C80" s="184"/>
      <c r="D80" s="188"/>
      <c r="E80" s="188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0"/>
      <c r="AC80" s="181"/>
      <c r="AD80" s="181"/>
      <c r="AE80" s="181"/>
      <c r="AF80" s="181"/>
    </row>
    <row r="81" spans="2:32">
      <c r="B81" s="181"/>
      <c r="C81" s="184"/>
      <c r="D81" s="188"/>
      <c r="E81" s="188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0"/>
      <c r="AC81" s="181"/>
      <c r="AD81" s="181"/>
      <c r="AE81" s="181"/>
      <c r="AF81" s="181"/>
    </row>
    <row r="82" spans="2:32">
      <c r="B82" s="181"/>
      <c r="C82" s="184"/>
      <c r="D82" s="188"/>
      <c r="E82" s="188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0"/>
      <c r="AC82" s="181"/>
      <c r="AD82" s="181"/>
      <c r="AE82" s="181"/>
      <c r="AF82" s="181"/>
    </row>
    <row r="83" spans="2:32">
      <c r="B83" s="181"/>
      <c r="C83" s="184"/>
      <c r="D83" s="188"/>
      <c r="E83" s="188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0"/>
      <c r="AC83" s="181"/>
      <c r="AD83" s="181"/>
      <c r="AE83" s="181"/>
      <c r="AF83" s="181"/>
    </row>
    <row r="84" spans="2:32">
      <c r="B84" s="181"/>
      <c r="C84" s="184"/>
      <c r="D84" s="188"/>
      <c r="E84" s="188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0"/>
      <c r="AC84" s="181"/>
      <c r="AD84" s="181"/>
      <c r="AE84" s="181"/>
      <c r="AF84" s="181"/>
    </row>
    <row r="85" spans="2:32">
      <c r="B85" s="181"/>
      <c r="C85" s="184"/>
      <c r="D85" s="188"/>
      <c r="E85" s="188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0"/>
      <c r="AC85" s="181"/>
      <c r="AD85" s="181"/>
      <c r="AE85" s="181"/>
      <c r="AF85" s="181"/>
    </row>
    <row r="86" spans="2:32">
      <c r="B86" s="181"/>
      <c r="C86" s="184"/>
      <c r="D86" s="188"/>
      <c r="E86" s="188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0"/>
      <c r="AC86" s="181"/>
      <c r="AD86" s="181"/>
      <c r="AE86" s="181"/>
      <c r="AF86" s="181"/>
    </row>
    <row r="87" spans="2:32">
      <c r="B87" s="181"/>
      <c r="C87" s="184"/>
      <c r="D87" s="188"/>
      <c r="E87" s="188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0"/>
      <c r="AC87" s="181"/>
      <c r="AD87" s="181"/>
      <c r="AE87" s="181"/>
      <c r="AF87" s="181"/>
    </row>
    <row r="88" spans="2:32">
      <c r="B88" s="181"/>
      <c r="C88" s="184"/>
      <c r="D88" s="188"/>
      <c r="E88" s="188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0"/>
      <c r="AC88" s="181"/>
      <c r="AD88" s="181"/>
      <c r="AE88" s="181"/>
      <c r="AF88" s="181"/>
    </row>
    <row r="89" spans="2:32">
      <c r="B89" s="181"/>
      <c r="C89" s="184"/>
      <c r="D89" s="188"/>
      <c r="E89" s="188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0"/>
      <c r="AC89" s="181"/>
      <c r="AD89" s="181"/>
      <c r="AE89" s="181"/>
      <c r="AF89" s="181"/>
    </row>
    <row r="90" spans="2:32">
      <c r="B90" s="181"/>
      <c r="C90" s="184"/>
      <c r="D90" s="188"/>
      <c r="E90" s="188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  <c r="X90" s="181"/>
      <c r="Y90" s="181"/>
      <c r="Z90" s="181"/>
      <c r="AA90" s="181"/>
      <c r="AB90" s="180"/>
      <c r="AC90" s="181"/>
      <c r="AD90" s="181"/>
      <c r="AE90" s="181"/>
      <c r="AF90" s="181"/>
    </row>
    <row r="91" spans="2:32">
      <c r="B91" s="181"/>
      <c r="C91" s="184"/>
      <c r="D91" s="188"/>
      <c r="E91" s="188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  <c r="X91" s="181"/>
      <c r="Y91" s="181"/>
      <c r="Z91" s="181"/>
      <c r="AA91" s="181"/>
      <c r="AB91" s="180"/>
      <c r="AC91" s="181"/>
      <c r="AD91" s="181"/>
      <c r="AE91" s="181"/>
      <c r="AF91" s="181"/>
    </row>
    <row r="92" spans="2:32">
      <c r="B92" s="181"/>
      <c r="C92" s="184"/>
      <c r="D92" s="188"/>
      <c r="E92" s="188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0"/>
      <c r="AC92" s="181"/>
      <c r="AD92" s="181"/>
      <c r="AE92" s="181"/>
      <c r="AF92" s="181"/>
    </row>
    <row r="93" spans="2:32">
      <c r="B93" s="181"/>
      <c r="C93" s="184"/>
      <c r="D93" s="188"/>
      <c r="E93" s="188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  <c r="X93" s="181"/>
      <c r="Y93" s="181"/>
      <c r="Z93" s="181"/>
      <c r="AA93" s="181"/>
      <c r="AB93" s="180"/>
      <c r="AC93" s="181"/>
      <c r="AD93" s="181"/>
      <c r="AE93" s="181"/>
      <c r="AF93" s="181"/>
    </row>
    <row r="94" spans="2:32">
      <c r="B94" s="181"/>
      <c r="C94" s="184"/>
      <c r="D94" s="188"/>
      <c r="E94" s="188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  <c r="X94" s="181"/>
      <c r="Y94" s="181"/>
      <c r="Z94" s="181"/>
      <c r="AA94" s="181"/>
      <c r="AB94" s="180"/>
      <c r="AC94" s="181"/>
      <c r="AD94" s="181"/>
      <c r="AE94" s="181"/>
      <c r="AF94" s="181"/>
    </row>
    <row r="95" spans="2:32">
      <c r="B95" s="181"/>
      <c r="C95" s="184"/>
      <c r="D95" s="188"/>
      <c r="E95" s="188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  <c r="X95" s="181"/>
      <c r="Y95" s="181"/>
      <c r="Z95" s="181"/>
      <c r="AA95" s="181"/>
      <c r="AB95" s="180"/>
      <c r="AC95" s="181"/>
      <c r="AD95" s="181"/>
      <c r="AE95" s="181"/>
      <c r="AF95" s="181"/>
    </row>
    <row r="96" spans="2:32">
      <c r="B96" s="181"/>
      <c r="C96" s="184"/>
      <c r="D96" s="188"/>
      <c r="E96" s="188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  <c r="X96" s="181"/>
      <c r="Y96" s="181"/>
      <c r="Z96" s="181"/>
      <c r="AA96" s="181"/>
      <c r="AB96" s="180"/>
      <c r="AC96" s="181"/>
      <c r="AD96" s="181"/>
      <c r="AE96" s="181"/>
      <c r="AF96" s="181"/>
    </row>
    <row r="97" spans="2:32">
      <c r="B97" s="181"/>
      <c r="C97" s="184"/>
      <c r="D97" s="188"/>
      <c r="E97" s="188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0"/>
      <c r="AC97" s="181"/>
      <c r="AD97" s="181"/>
      <c r="AE97" s="181"/>
      <c r="AF97" s="181"/>
    </row>
    <row r="98" spans="2:32">
      <c r="B98" s="181"/>
      <c r="C98" s="184"/>
      <c r="D98" s="188"/>
      <c r="E98" s="188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0"/>
      <c r="AC98" s="181"/>
      <c r="AD98" s="181"/>
      <c r="AE98" s="181"/>
      <c r="AF98" s="181"/>
    </row>
    <row r="99" spans="2:32">
      <c r="B99" s="181"/>
      <c r="C99" s="184"/>
      <c r="D99" s="188"/>
      <c r="E99" s="188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0"/>
      <c r="AC99" s="181"/>
      <c r="AD99" s="181"/>
      <c r="AE99" s="181"/>
      <c r="AF99" s="181"/>
    </row>
    <row r="100" spans="2:32">
      <c r="B100" s="181"/>
      <c r="C100" s="184"/>
      <c r="D100" s="188"/>
      <c r="E100" s="188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0"/>
      <c r="AC100" s="181"/>
      <c r="AD100" s="181"/>
      <c r="AE100" s="181"/>
      <c r="AF100" s="181"/>
    </row>
    <row r="101" spans="2:32">
      <c r="B101" s="181"/>
      <c r="C101" s="184"/>
      <c r="D101" s="188"/>
      <c r="E101" s="188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0"/>
      <c r="AC101" s="181"/>
      <c r="AD101" s="181"/>
      <c r="AE101" s="181"/>
      <c r="AF101" s="181"/>
    </row>
    <row r="102" spans="2:32">
      <c r="B102" s="181"/>
      <c r="C102" s="184"/>
      <c r="D102" s="188"/>
      <c r="E102" s="188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0"/>
      <c r="AC102" s="181"/>
      <c r="AD102" s="181"/>
      <c r="AE102" s="181"/>
      <c r="AF102" s="181"/>
    </row>
    <row r="103" spans="2:32">
      <c r="B103" s="181"/>
      <c r="C103" s="184"/>
      <c r="D103" s="188"/>
      <c r="E103" s="188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0"/>
      <c r="AC103" s="181"/>
      <c r="AD103" s="181"/>
      <c r="AE103" s="181"/>
      <c r="AF103" s="181"/>
    </row>
    <row r="104" spans="2:32">
      <c r="B104" s="181"/>
      <c r="C104" s="184"/>
      <c r="D104" s="188"/>
      <c r="E104" s="188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0"/>
      <c r="AC104" s="181"/>
      <c r="AD104" s="181"/>
      <c r="AE104" s="181"/>
      <c r="AF104" s="181"/>
    </row>
    <row r="105" spans="2:32">
      <c r="B105" s="181"/>
      <c r="C105" s="184"/>
      <c r="D105" s="188"/>
      <c r="E105" s="188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0"/>
      <c r="AC105" s="181"/>
      <c r="AD105" s="181"/>
      <c r="AE105" s="181"/>
      <c r="AF105" s="181"/>
    </row>
    <row r="106" spans="2:32">
      <c r="B106" s="181"/>
      <c r="C106" s="184"/>
      <c r="D106" s="188"/>
      <c r="E106" s="188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0"/>
      <c r="AC106" s="181"/>
      <c r="AD106" s="181"/>
      <c r="AE106" s="181"/>
      <c r="AF106" s="181"/>
    </row>
    <row r="107" spans="2:32">
      <c r="B107" s="181"/>
      <c r="C107" s="184"/>
      <c r="D107" s="188"/>
      <c r="E107" s="188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0"/>
      <c r="AC107" s="181"/>
      <c r="AD107" s="181"/>
      <c r="AE107" s="181"/>
      <c r="AF107" s="181"/>
    </row>
    <row r="108" spans="2:32">
      <c r="B108" s="181"/>
      <c r="C108" s="184"/>
      <c r="D108" s="188"/>
      <c r="E108" s="188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0"/>
      <c r="AC108" s="181"/>
      <c r="AD108" s="181"/>
      <c r="AE108" s="181"/>
      <c r="AF108" s="181"/>
    </row>
    <row r="109" spans="2:32">
      <c r="B109" s="181"/>
      <c r="C109" s="184"/>
      <c r="D109" s="188"/>
      <c r="E109" s="188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0"/>
      <c r="AC109" s="181"/>
      <c r="AD109" s="181"/>
      <c r="AE109" s="181"/>
      <c r="AF109" s="181"/>
    </row>
    <row r="110" spans="2:32">
      <c r="B110" s="181"/>
      <c r="C110" s="184"/>
      <c r="D110" s="188"/>
      <c r="E110" s="188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0"/>
      <c r="AC110" s="181"/>
      <c r="AD110" s="181"/>
      <c r="AE110" s="181"/>
      <c r="AF110" s="181"/>
    </row>
    <row r="111" spans="2:32">
      <c r="B111" s="181"/>
      <c r="C111" s="184"/>
      <c r="D111" s="188"/>
      <c r="E111" s="188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0"/>
      <c r="AC111" s="181"/>
      <c r="AD111" s="181"/>
      <c r="AE111" s="181"/>
      <c r="AF111" s="181"/>
    </row>
    <row r="112" spans="2:32">
      <c r="B112" s="181"/>
      <c r="C112" s="184"/>
      <c r="D112" s="188"/>
      <c r="E112" s="188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0"/>
      <c r="AC112" s="181"/>
      <c r="AD112" s="181"/>
      <c r="AE112" s="181"/>
      <c r="AF112" s="181"/>
    </row>
    <row r="113" spans="2:32">
      <c r="B113" s="181"/>
      <c r="C113" s="184"/>
      <c r="D113" s="188"/>
      <c r="E113" s="188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  <c r="X113" s="181"/>
      <c r="Y113" s="181"/>
      <c r="Z113" s="181"/>
      <c r="AA113" s="181"/>
      <c r="AB113" s="180"/>
      <c r="AC113" s="181"/>
      <c r="AD113" s="181"/>
      <c r="AE113" s="181"/>
      <c r="AF113" s="181"/>
    </row>
    <row r="114" spans="2:32">
      <c r="B114" s="181"/>
      <c r="C114" s="184"/>
      <c r="D114" s="188"/>
      <c r="E114" s="188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  <c r="X114" s="181"/>
      <c r="Y114" s="181"/>
      <c r="Z114" s="181"/>
      <c r="AA114" s="181"/>
      <c r="AB114" s="180"/>
      <c r="AC114" s="181"/>
      <c r="AD114" s="181"/>
      <c r="AE114" s="181"/>
      <c r="AF114" s="181"/>
    </row>
    <row r="115" spans="2:32">
      <c r="B115" s="181"/>
      <c r="C115" s="184"/>
      <c r="D115" s="188"/>
      <c r="E115" s="188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  <c r="X115" s="181"/>
      <c r="Y115" s="181"/>
      <c r="Z115" s="181"/>
      <c r="AA115" s="181"/>
      <c r="AB115" s="180"/>
      <c r="AC115" s="181"/>
      <c r="AD115" s="181"/>
      <c r="AE115" s="181"/>
      <c r="AF115" s="181"/>
    </row>
    <row r="116" spans="2:32">
      <c r="B116" s="181"/>
      <c r="C116" s="184"/>
      <c r="D116" s="188"/>
      <c r="E116" s="188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  <c r="AA116" s="181"/>
      <c r="AB116" s="180"/>
      <c r="AC116" s="181"/>
      <c r="AD116" s="181"/>
      <c r="AE116" s="181"/>
      <c r="AF116" s="181"/>
    </row>
    <row r="117" spans="2:32">
      <c r="B117" s="181"/>
      <c r="C117" s="184"/>
      <c r="D117" s="188"/>
      <c r="E117" s="188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  <c r="AA117" s="181"/>
      <c r="AB117" s="180"/>
      <c r="AC117" s="181"/>
      <c r="AD117" s="181"/>
      <c r="AE117" s="181"/>
      <c r="AF117" s="181"/>
    </row>
    <row r="118" spans="2:32">
      <c r="B118" s="181"/>
      <c r="C118" s="184"/>
      <c r="D118" s="188"/>
      <c r="E118" s="188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  <c r="X118" s="181"/>
      <c r="Y118" s="181"/>
      <c r="Z118" s="181"/>
      <c r="AA118" s="181"/>
      <c r="AB118" s="180"/>
      <c r="AC118" s="181"/>
      <c r="AD118" s="181"/>
      <c r="AE118" s="181"/>
      <c r="AF118" s="181"/>
    </row>
    <row r="119" spans="2:32">
      <c r="B119" s="181"/>
      <c r="C119" s="184"/>
      <c r="D119" s="188"/>
      <c r="E119" s="188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  <c r="AA119" s="181"/>
      <c r="AB119" s="180"/>
      <c r="AC119" s="181"/>
      <c r="AD119" s="181"/>
      <c r="AE119" s="181"/>
      <c r="AF119" s="181"/>
    </row>
    <row r="120" spans="2:32">
      <c r="B120" s="181"/>
      <c r="C120" s="184"/>
      <c r="D120" s="188"/>
      <c r="E120" s="188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0"/>
      <c r="AC120" s="181"/>
      <c r="AD120" s="181"/>
      <c r="AE120" s="181"/>
      <c r="AF120" s="181"/>
    </row>
    <row r="121" spans="2:32">
      <c r="B121" s="181"/>
      <c r="C121" s="184"/>
      <c r="D121" s="188"/>
      <c r="E121" s="188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0"/>
      <c r="AC121" s="181"/>
      <c r="AD121" s="181"/>
      <c r="AE121" s="181"/>
      <c r="AF121" s="181"/>
    </row>
    <row r="122" spans="2:32">
      <c r="B122" s="181"/>
      <c r="C122" s="184"/>
      <c r="D122" s="188"/>
      <c r="E122" s="188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0"/>
      <c r="AC122" s="181"/>
      <c r="AD122" s="181"/>
      <c r="AE122" s="181"/>
      <c r="AF122" s="181"/>
    </row>
    <row r="123" spans="2:32">
      <c r="B123" s="181"/>
      <c r="C123" s="184"/>
      <c r="D123" s="188"/>
      <c r="E123" s="188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0"/>
      <c r="AC123" s="181"/>
      <c r="AD123" s="181"/>
      <c r="AE123" s="181"/>
      <c r="AF123" s="181"/>
    </row>
    <row r="124" spans="2:32">
      <c r="B124" s="181"/>
      <c r="C124" s="184"/>
      <c r="D124" s="188"/>
      <c r="E124" s="188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0"/>
      <c r="AC124" s="181"/>
      <c r="AD124" s="181"/>
      <c r="AE124" s="181"/>
      <c r="AF124" s="181"/>
    </row>
    <row r="125" spans="2:32">
      <c r="B125" s="181"/>
      <c r="C125" s="184"/>
      <c r="D125" s="188"/>
      <c r="E125" s="188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0"/>
      <c r="AC125" s="181"/>
      <c r="AD125" s="181"/>
      <c r="AE125" s="181"/>
      <c r="AF125" s="181"/>
    </row>
    <row r="126" spans="2:32">
      <c r="B126" s="181"/>
      <c r="C126" s="184"/>
      <c r="D126" s="188"/>
      <c r="E126" s="188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0"/>
      <c r="AC126" s="181"/>
      <c r="AD126" s="181"/>
      <c r="AE126" s="181"/>
      <c r="AF126" s="181"/>
    </row>
    <row r="127" spans="2:32">
      <c r="B127" s="181"/>
      <c r="C127" s="184"/>
      <c r="D127" s="188"/>
      <c r="E127" s="188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0"/>
      <c r="AC127" s="181"/>
      <c r="AD127" s="181"/>
      <c r="AE127" s="181"/>
      <c r="AF127" s="181"/>
    </row>
    <row r="128" spans="2:32">
      <c r="B128" s="181"/>
      <c r="C128" s="184"/>
      <c r="D128" s="188"/>
      <c r="E128" s="188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0"/>
      <c r="AC128" s="181"/>
      <c r="AD128" s="181"/>
      <c r="AE128" s="181"/>
      <c r="AF128" s="181"/>
    </row>
    <row r="129" spans="2:32">
      <c r="B129" s="181"/>
      <c r="C129" s="184"/>
      <c r="D129" s="188"/>
      <c r="E129" s="188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0"/>
      <c r="AC129" s="181"/>
      <c r="AD129" s="181"/>
      <c r="AE129" s="181"/>
      <c r="AF129" s="181"/>
    </row>
    <row r="130" spans="2:32">
      <c r="B130" s="181"/>
      <c r="C130" s="184"/>
      <c r="D130" s="188"/>
      <c r="E130" s="188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0"/>
      <c r="AC130" s="181"/>
      <c r="AD130" s="181"/>
      <c r="AE130" s="181"/>
      <c r="AF130" s="181"/>
    </row>
    <row r="131" spans="2:32">
      <c r="B131" s="181"/>
      <c r="C131" s="184"/>
      <c r="D131" s="188"/>
      <c r="E131" s="188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0"/>
      <c r="AC131" s="181"/>
      <c r="AD131" s="181"/>
      <c r="AE131" s="181"/>
      <c r="AF131" s="181"/>
    </row>
    <row r="132" spans="2:32">
      <c r="B132" s="181"/>
      <c r="C132" s="184"/>
      <c r="D132" s="188"/>
      <c r="E132" s="188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0"/>
      <c r="AC132" s="181"/>
      <c r="AD132" s="181"/>
      <c r="AE132" s="181"/>
      <c r="AF132" s="181"/>
    </row>
    <row r="133" spans="2:32">
      <c r="B133" s="181"/>
      <c r="C133" s="184"/>
      <c r="D133" s="188"/>
      <c r="E133" s="188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0"/>
      <c r="AC133" s="181"/>
      <c r="AD133" s="181"/>
      <c r="AE133" s="181"/>
      <c r="AF133" s="181"/>
    </row>
    <row r="134" spans="2:32">
      <c r="B134" s="181"/>
      <c r="C134" s="184"/>
      <c r="D134" s="188"/>
      <c r="E134" s="188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0"/>
      <c r="AC134" s="181"/>
      <c r="AD134" s="181"/>
      <c r="AE134" s="181"/>
      <c r="AF134" s="181"/>
    </row>
    <row r="135" spans="2:32">
      <c r="B135" s="181"/>
      <c r="C135" s="184"/>
      <c r="D135" s="188"/>
      <c r="E135" s="188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0"/>
      <c r="AC135" s="181"/>
      <c r="AD135" s="181"/>
      <c r="AE135" s="181"/>
      <c r="AF135" s="181"/>
    </row>
    <row r="136" spans="2:32">
      <c r="B136" s="181"/>
      <c r="C136" s="184"/>
      <c r="D136" s="188"/>
      <c r="E136" s="188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  <c r="X136" s="181"/>
      <c r="Y136" s="181"/>
      <c r="Z136" s="181"/>
      <c r="AA136" s="181"/>
      <c r="AB136" s="180"/>
      <c r="AC136" s="181"/>
      <c r="AD136" s="181"/>
      <c r="AE136" s="181"/>
      <c r="AF136" s="181"/>
    </row>
    <row r="137" spans="2:32">
      <c r="B137" s="181"/>
      <c r="C137" s="184"/>
      <c r="D137" s="188"/>
      <c r="E137" s="188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  <c r="X137" s="181"/>
      <c r="Y137" s="181"/>
      <c r="Z137" s="181"/>
      <c r="AA137" s="181"/>
      <c r="AB137" s="180"/>
      <c r="AC137" s="181"/>
      <c r="AD137" s="181"/>
      <c r="AE137" s="181"/>
      <c r="AF137" s="181"/>
    </row>
    <row r="138" spans="2:32">
      <c r="B138" s="181"/>
      <c r="C138" s="184"/>
      <c r="D138" s="188"/>
      <c r="E138" s="188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  <c r="X138" s="181"/>
      <c r="Y138" s="181"/>
      <c r="Z138" s="181"/>
      <c r="AA138" s="181"/>
      <c r="AB138" s="180"/>
      <c r="AC138" s="181"/>
      <c r="AD138" s="181"/>
      <c r="AE138" s="181"/>
      <c r="AF138" s="181"/>
    </row>
    <row r="139" spans="2:32">
      <c r="B139" s="181"/>
      <c r="C139" s="184"/>
      <c r="D139" s="188"/>
      <c r="E139" s="188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  <c r="X139" s="181"/>
      <c r="Y139" s="181"/>
      <c r="Z139" s="181"/>
      <c r="AA139" s="181"/>
      <c r="AB139" s="180"/>
      <c r="AC139" s="181"/>
      <c r="AD139" s="181"/>
      <c r="AE139" s="181"/>
      <c r="AF139" s="181"/>
    </row>
    <row r="140" spans="2:32">
      <c r="B140" s="181"/>
      <c r="C140" s="184"/>
      <c r="D140" s="188"/>
      <c r="E140" s="188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  <c r="X140" s="181"/>
      <c r="Y140" s="181"/>
      <c r="Z140" s="181"/>
      <c r="AA140" s="181"/>
      <c r="AB140" s="180"/>
      <c r="AC140" s="181"/>
      <c r="AD140" s="181"/>
      <c r="AE140" s="181"/>
      <c r="AF140" s="181"/>
    </row>
    <row r="141" spans="2:32">
      <c r="B141" s="181"/>
      <c r="C141" s="184"/>
      <c r="D141" s="188"/>
      <c r="E141" s="188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  <c r="X141" s="181"/>
      <c r="Y141" s="181"/>
      <c r="Z141" s="181"/>
      <c r="AA141" s="181"/>
      <c r="AB141" s="180"/>
      <c r="AC141" s="181"/>
      <c r="AD141" s="181"/>
      <c r="AE141" s="181"/>
      <c r="AF141" s="181"/>
    </row>
    <row r="142" spans="2:32">
      <c r="B142" s="181"/>
      <c r="C142" s="184"/>
      <c r="D142" s="188"/>
      <c r="E142" s="188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  <c r="X142" s="181"/>
      <c r="Y142" s="181"/>
      <c r="Z142" s="181"/>
      <c r="AA142" s="181"/>
      <c r="AB142" s="180"/>
      <c r="AC142" s="181"/>
      <c r="AD142" s="181"/>
      <c r="AE142" s="181"/>
      <c r="AF142" s="181"/>
    </row>
    <row r="143" spans="2:32">
      <c r="B143" s="181"/>
      <c r="C143" s="184"/>
      <c r="D143" s="188"/>
      <c r="E143" s="188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0"/>
      <c r="AC143" s="181"/>
      <c r="AD143" s="181"/>
      <c r="AE143" s="181"/>
      <c r="AF143" s="181"/>
    </row>
    <row r="144" spans="2:32">
      <c r="B144" s="181"/>
      <c r="C144" s="184"/>
      <c r="D144" s="188"/>
      <c r="E144" s="188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0"/>
      <c r="AC144" s="181"/>
      <c r="AD144" s="181"/>
      <c r="AE144" s="181"/>
      <c r="AF144" s="181"/>
    </row>
    <row r="145" spans="2:32">
      <c r="B145" s="181"/>
      <c r="C145" s="184"/>
      <c r="D145" s="188"/>
      <c r="E145" s="188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0"/>
      <c r="AC145" s="181"/>
      <c r="AD145" s="181"/>
      <c r="AE145" s="181"/>
      <c r="AF145" s="181"/>
    </row>
    <row r="146" spans="2:32">
      <c r="B146" s="181"/>
      <c r="C146" s="184"/>
      <c r="D146" s="188"/>
      <c r="E146" s="188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0"/>
      <c r="AC146" s="181"/>
      <c r="AD146" s="181"/>
      <c r="AE146" s="181"/>
      <c r="AF146" s="181"/>
    </row>
    <row r="147" spans="2:32">
      <c r="B147" s="181"/>
      <c r="C147" s="184"/>
      <c r="D147" s="188"/>
      <c r="E147" s="188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0"/>
      <c r="AC147" s="181"/>
      <c r="AD147" s="181"/>
      <c r="AE147" s="181"/>
      <c r="AF147" s="181"/>
    </row>
    <row r="148" spans="2:32">
      <c r="B148" s="181"/>
      <c r="C148" s="184"/>
      <c r="D148" s="188"/>
      <c r="E148" s="188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0"/>
      <c r="AC148" s="181"/>
      <c r="AD148" s="181"/>
      <c r="AE148" s="181"/>
      <c r="AF148" s="181"/>
    </row>
    <row r="149" spans="2:32">
      <c r="B149" s="181"/>
      <c r="C149" s="184"/>
      <c r="D149" s="188"/>
      <c r="E149" s="188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0"/>
      <c r="AC149" s="181"/>
      <c r="AD149" s="181"/>
      <c r="AE149" s="181"/>
      <c r="AF149" s="181"/>
    </row>
    <row r="150" spans="2:32">
      <c r="B150" s="181"/>
      <c r="C150" s="184"/>
      <c r="D150" s="188"/>
      <c r="E150" s="188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0"/>
      <c r="AC150" s="181"/>
      <c r="AD150" s="181"/>
      <c r="AE150" s="181"/>
      <c r="AF150" s="181"/>
    </row>
    <row r="151" spans="2:32">
      <c r="B151" s="181"/>
      <c r="C151" s="184"/>
      <c r="D151" s="188"/>
      <c r="E151" s="188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0"/>
      <c r="AC151" s="181"/>
      <c r="AD151" s="181"/>
      <c r="AE151" s="181"/>
      <c r="AF151" s="181"/>
    </row>
    <row r="152" spans="2:32">
      <c r="B152" s="181"/>
      <c r="C152" s="184"/>
      <c r="D152" s="188"/>
      <c r="E152" s="188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0"/>
      <c r="AC152" s="181"/>
      <c r="AD152" s="181"/>
      <c r="AE152" s="181"/>
      <c r="AF152" s="181"/>
    </row>
    <row r="153" spans="2:32">
      <c r="B153" s="181"/>
      <c r="C153" s="184"/>
      <c r="D153" s="188"/>
      <c r="E153" s="188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0"/>
      <c r="AC153" s="181"/>
      <c r="AD153" s="181"/>
      <c r="AE153" s="181"/>
      <c r="AF153" s="181"/>
    </row>
    <row r="154" spans="2:32">
      <c r="B154" s="181"/>
      <c r="C154" s="184"/>
      <c r="D154" s="188"/>
      <c r="E154" s="188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0"/>
      <c r="AC154" s="181"/>
      <c r="AD154" s="181"/>
      <c r="AE154" s="181"/>
      <c r="AF154" s="181"/>
    </row>
    <row r="155" spans="2:32">
      <c r="B155" s="181"/>
      <c r="C155" s="184"/>
      <c r="D155" s="188"/>
      <c r="E155" s="188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0"/>
      <c r="AC155" s="181"/>
      <c r="AD155" s="181"/>
      <c r="AE155" s="181"/>
      <c r="AF155" s="181"/>
    </row>
    <row r="156" spans="2:32">
      <c r="B156" s="181"/>
      <c r="C156" s="184"/>
      <c r="D156" s="188"/>
      <c r="E156" s="188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0"/>
      <c r="AC156" s="181"/>
      <c r="AD156" s="181"/>
      <c r="AE156" s="181"/>
      <c r="AF156" s="181"/>
    </row>
    <row r="157" spans="2:32">
      <c r="B157" s="181"/>
      <c r="C157" s="184"/>
      <c r="D157" s="188"/>
      <c r="E157" s="188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0"/>
      <c r="AC157" s="181"/>
      <c r="AD157" s="181"/>
      <c r="AE157" s="181"/>
      <c r="AF157" s="181"/>
    </row>
    <row r="158" spans="2:32">
      <c r="B158" s="181"/>
      <c r="C158" s="184"/>
      <c r="D158" s="188"/>
      <c r="E158" s="188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0"/>
      <c r="AC158" s="181"/>
      <c r="AD158" s="181"/>
      <c r="AE158" s="181"/>
      <c r="AF158" s="181"/>
    </row>
    <row r="159" spans="2:32">
      <c r="B159" s="181"/>
      <c r="C159" s="184"/>
      <c r="D159" s="188"/>
      <c r="E159" s="188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  <c r="AA159" s="181"/>
      <c r="AB159" s="180"/>
      <c r="AC159" s="181"/>
      <c r="AD159" s="181"/>
      <c r="AE159" s="181"/>
      <c r="AF159" s="181"/>
    </row>
    <row r="160" spans="2:32">
      <c r="B160" s="181"/>
      <c r="C160" s="184"/>
      <c r="D160" s="188"/>
      <c r="E160" s="188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  <c r="X160" s="181"/>
      <c r="Y160" s="181"/>
      <c r="Z160" s="181"/>
      <c r="AA160" s="181"/>
      <c r="AB160" s="180"/>
      <c r="AC160" s="181"/>
      <c r="AD160" s="181"/>
      <c r="AE160" s="181"/>
      <c r="AF160" s="181"/>
    </row>
    <row r="161" spans="2:32">
      <c r="B161" s="181"/>
      <c r="C161" s="184"/>
      <c r="D161" s="188"/>
      <c r="E161" s="188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  <c r="Y161" s="181"/>
      <c r="Z161" s="181"/>
      <c r="AA161" s="181"/>
      <c r="AB161" s="180"/>
      <c r="AC161" s="181"/>
      <c r="AD161" s="181"/>
      <c r="AE161" s="181"/>
      <c r="AF161" s="181"/>
    </row>
    <row r="162" spans="2:32">
      <c r="B162" s="181"/>
      <c r="C162" s="184"/>
      <c r="D162" s="188"/>
      <c r="E162" s="188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  <c r="AA162" s="181"/>
      <c r="AB162" s="180"/>
      <c r="AC162" s="181"/>
      <c r="AD162" s="181"/>
      <c r="AE162" s="181"/>
      <c r="AF162" s="181"/>
    </row>
    <row r="163" spans="2:32">
      <c r="B163" s="181"/>
      <c r="C163" s="184"/>
      <c r="D163" s="188"/>
      <c r="E163" s="188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  <c r="AA163" s="181"/>
      <c r="AB163" s="180"/>
      <c r="AC163" s="181"/>
      <c r="AD163" s="181"/>
      <c r="AE163" s="181"/>
      <c r="AF163" s="181"/>
    </row>
    <row r="164" spans="2:32">
      <c r="B164" s="181"/>
      <c r="C164" s="184"/>
      <c r="D164" s="188"/>
      <c r="E164" s="188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  <c r="X164" s="181"/>
      <c r="Y164" s="181"/>
      <c r="Z164" s="181"/>
      <c r="AA164" s="181"/>
      <c r="AB164" s="180"/>
      <c r="AC164" s="181"/>
      <c r="AD164" s="181"/>
      <c r="AE164" s="181"/>
      <c r="AF164" s="181"/>
    </row>
    <row r="165" spans="2:32">
      <c r="B165" s="181"/>
      <c r="C165" s="184"/>
      <c r="D165" s="188"/>
      <c r="E165" s="188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  <c r="X165" s="181"/>
      <c r="Y165" s="181"/>
      <c r="Z165" s="181"/>
      <c r="AA165" s="181"/>
      <c r="AB165" s="180"/>
      <c r="AC165" s="181"/>
      <c r="AD165" s="181"/>
      <c r="AE165" s="181"/>
      <c r="AF165" s="181"/>
    </row>
    <row r="166" spans="2:32">
      <c r="B166" s="181"/>
      <c r="C166" s="184"/>
      <c r="D166" s="188"/>
      <c r="E166" s="188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0"/>
      <c r="AC166" s="181"/>
      <c r="AD166" s="181"/>
      <c r="AE166" s="181"/>
      <c r="AF166" s="181"/>
    </row>
    <row r="167" spans="2:32">
      <c r="B167" s="181"/>
      <c r="C167" s="184"/>
      <c r="D167" s="188"/>
      <c r="E167" s="188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0"/>
      <c r="AC167" s="181"/>
      <c r="AD167" s="181"/>
      <c r="AE167" s="181"/>
      <c r="AF167" s="181"/>
    </row>
    <row r="168" spans="2:32">
      <c r="B168" s="181"/>
      <c r="C168" s="184"/>
      <c r="D168" s="188"/>
      <c r="E168" s="188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0"/>
      <c r="AC168" s="181"/>
      <c r="AD168" s="181"/>
      <c r="AE168" s="181"/>
      <c r="AF168" s="181"/>
    </row>
    <row r="169" spans="2:32">
      <c r="B169" s="181"/>
      <c r="C169" s="184"/>
      <c r="D169" s="188"/>
      <c r="E169" s="188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0"/>
      <c r="AC169" s="181"/>
      <c r="AD169" s="181"/>
      <c r="AE169" s="181"/>
      <c r="AF169" s="181"/>
    </row>
    <row r="170" spans="2:32">
      <c r="B170" s="181"/>
      <c r="C170" s="184"/>
      <c r="D170" s="188"/>
      <c r="E170" s="188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0"/>
      <c r="AC170" s="181"/>
      <c r="AD170" s="181"/>
      <c r="AE170" s="181"/>
      <c r="AF170" s="181"/>
    </row>
    <row r="171" spans="2:32">
      <c r="B171" s="181"/>
      <c r="C171" s="184"/>
      <c r="D171" s="188"/>
      <c r="E171" s="188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0"/>
      <c r="AC171" s="181"/>
      <c r="AD171" s="181"/>
      <c r="AE171" s="181"/>
      <c r="AF171" s="181"/>
    </row>
    <row r="172" spans="2:32">
      <c r="B172" s="181"/>
      <c r="C172" s="184"/>
      <c r="D172" s="188"/>
      <c r="E172" s="188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0"/>
      <c r="AC172" s="181"/>
      <c r="AD172" s="181"/>
      <c r="AE172" s="181"/>
      <c r="AF172" s="181"/>
    </row>
    <row r="173" spans="2:32">
      <c r="B173" s="181"/>
      <c r="C173" s="184"/>
      <c r="D173" s="188"/>
      <c r="E173" s="188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0"/>
      <c r="AC173" s="181"/>
      <c r="AD173" s="181"/>
      <c r="AE173" s="181"/>
      <c r="AF173" s="181"/>
    </row>
    <row r="174" spans="2:32">
      <c r="B174" s="181"/>
      <c r="C174" s="184"/>
      <c r="D174" s="188"/>
      <c r="E174" s="188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0"/>
      <c r="AC174" s="181"/>
      <c r="AD174" s="181"/>
      <c r="AE174" s="181"/>
      <c r="AF174" s="181"/>
    </row>
    <row r="175" spans="2:32">
      <c r="B175" s="181"/>
      <c r="C175" s="184"/>
      <c r="D175" s="188"/>
      <c r="E175" s="188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0"/>
      <c r="AC175" s="181"/>
      <c r="AD175" s="181"/>
      <c r="AE175" s="181"/>
      <c r="AF175" s="181"/>
    </row>
    <row r="176" spans="2:32">
      <c r="B176" s="181"/>
      <c r="C176" s="184"/>
      <c r="D176" s="188"/>
      <c r="E176" s="188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0"/>
      <c r="AC176" s="181"/>
      <c r="AD176" s="181"/>
      <c r="AE176" s="181"/>
      <c r="AF176" s="181"/>
    </row>
    <row r="177" spans="2:32">
      <c r="B177" s="181"/>
      <c r="C177" s="184"/>
      <c r="D177" s="188"/>
      <c r="E177" s="188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0"/>
      <c r="AC177" s="181"/>
      <c r="AD177" s="181"/>
      <c r="AE177" s="181"/>
      <c r="AF177" s="181"/>
    </row>
    <row r="178" spans="2:32">
      <c r="B178" s="181"/>
      <c r="C178" s="184"/>
      <c r="D178" s="188"/>
      <c r="E178" s="188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0"/>
      <c r="AC178" s="181"/>
      <c r="AD178" s="181"/>
      <c r="AE178" s="181"/>
      <c r="AF178" s="181"/>
    </row>
    <row r="179" spans="2:32">
      <c r="B179" s="181"/>
      <c r="C179" s="184"/>
      <c r="D179" s="188"/>
      <c r="E179" s="188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0"/>
      <c r="AC179" s="181"/>
      <c r="AD179" s="181"/>
      <c r="AE179" s="181"/>
      <c r="AF179" s="181"/>
    </row>
    <row r="180" spans="2:32">
      <c r="B180" s="181"/>
      <c r="C180" s="184"/>
      <c r="D180" s="188"/>
      <c r="E180" s="188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0"/>
      <c r="AC180" s="181"/>
      <c r="AD180" s="181"/>
      <c r="AE180" s="181"/>
      <c r="AF180" s="181"/>
    </row>
    <row r="181" spans="2:32">
      <c r="B181" s="181"/>
      <c r="C181" s="184"/>
      <c r="D181" s="188"/>
      <c r="E181" s="188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0"/>
      <c r="AC181" s="181"/>
      <c r="AD181" s="181"/>
      <c r="AE181" s="181"/>
      <c r="AF181" s="181"/>
    </row>
    <row r="182" spans="2:32">
      <c r="B182" s="181"/>
      <c r="C182" s="184"/>
      <c r="D182" s="188"/>
      <c r="E182" s="188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0"/>
      <c r="AC182" s="181"/>
      <c r="AD182" s="181"/>
      <c r="AE182" s="181"/>
      <c r="AF182" s="181"/>
    </row>
    <row r="183" spans="2:32">
      <c r="B183" s="181"/>
      <c r="C183" s="184"/>
      <c r="D183" s="188"/>
      <c r="E183" s="188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  <c r="Y183" s="181"/>
      <c r="Z183" s="181"/>
      <c r="AA183" s="181"/>
      <c r="AB183" s="180"/>
      <c r="AC183" s="181"/>
      <c r="AD183" s="181"/>
      <c r="AE183" s="181"/>
      <c r="AF183" s="181"/>
    </row>
    <row r="184" spans="2:32">
      <c r="B184" s="181"/>
      <c r="C184" s="184"/>
      <c r="D184" s="188"/>
      <c r="E184" s="188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  <c r="X184" s="181"/>
      <c r="Y184" s="181"/>
      <c r="Z184" s="181"/>
      <c r="AA184" s="181"/>
      <c r="AB184" s="180"/>
      <c r="AC184" s="181"/>
      <c r="AD184" s="181"/>
      <c r="AE184" s="181"/>
      <c r="AF184" s="181"/>
    </row>
    <row r="185" spans="2:32">
      <c r="B185" s="181"/>
      <c r="C185" s="184"/>
      <c r="D185" s="188"/>
      <c r="E185" s="188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  <c r="X185" s="181"/>
      <c r="Y185" s="181"/>
      <c r="Z185" s="181"/>
      <c r="AA185" s="181"/>
      <c r="AB185" s="180"/>
      <c r="AC185" s="181"/>
      <c r="AD185" s="181"/>
      <c r="AE185" s="181"/>
      <c r="AF185" s="181"/>
    </row>
    <row r="186" spans="2:32">
      <c r="B186" s="181"/>
      <c r="C186" s="184"/>
      <c r="D186" s="188"/>
      <c r="E186" s="188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  <c r="X186" s="181"/>
      <c r="Y186" s="181"/>
      <c r="Z186" s="181"/>
      <c r="AA186" s="181"/>
      <c r="AB186" s="180"/>
      <c r="AC186" s="181"/>
      <c r="AD186" s="181"/>
      <c r="AE186" s="181"/>
      <c r="AF186" s="181"/>
    </row>
    <row r="187" spans="2:32">
      <c r="B187" s="181"/>
      <c r="C187" s="184"/>
      <c r="D187" s="188"/>
      <c r="E187" s="188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  <c r="X187" s="181"/>
      <c r="Y187" s="181"/>
      <c r="Z187" s="181"/>
      <c r="AA187" s="181"/>
      <c r="AB187" s="180"/>
      <c r="AC187" s="181"/>
      <c r="AD187" s="181"/>
      <c r="AE187" s="181"/>
      <c r="AF187" s="181"/>
    </row>
    <row r="188" spans="2:32">
      <c r="B188" s="181"/>
      <c r="C188" s="184"/>
      <c r="D188" s="188"/>
      <c r="E188" s="188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  <c r="X188" s="181"/>
      <c r="Y188" s="181"/>
      <c r="Z188" s="181"/>
      <c r="AA188" s="181"/>
      <c r="AB188" s="180"/>
      <c r="AC188" s="181"/>
      <c r="AD188" s="181"/>
      <c r="AE188" s="181"/>
      <c r="AF188" s="181"/>
    </row>
    <row r="189" spans="2:32">
      <c r="B189" s="181"/>
      <c r="C189" s="184"/>
      <c r="D189" s="188"/>
      <c r="E189" s="188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0"/>
      <c r="AC189" s="181"/>
      <c r="AD189" s="181"/>
      <c r="AE189" s="181"/>
      <c r="AF189" s="181"/>
    </row>
    <row r="190" spans="2:32">
      <c r="B190" s="181"/>
      <c r="C190" s="184"/>
      <c r="D190" s="188"/>
      <c r="E190" s="188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0"/>
      <c r="AC190" s="181"/>
      <c r="AD190" s="181"/>
      <c r="AE190" s="181"/>
      <c r="AF190" s="181"/>
    </row>
    <row r="191" spans="2:32">
      <c r="B191" s="181"/>
      <c r="C191" s="184"/>
      <c r="D191" s="188"/>
      <c r="E191" s="188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0"/>
      <c r="AC191" s="181"/>
      <c r="AD191" s="181"/>
      <c r="AE191" s="181"/>
      <c r="AF191" s="181"/>
    </row>
    <row r="192" spans="2:32">
      <c r="B192" s="181"/>
      <c r="C192" s="184"/>
      <c r="D192" s="188"/>
      <c r="E192" s="188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0"/>
      <c r="AC192" s="181"/>
      <c r="AD192" s="181"/>
      <c r="AE192" s="181"/>
      <c r="AF192" s="181"/>
    </row>
    <row r="193" spans="2:32">
      <c r="B193" s="181"/>
      <c r="C193" s="184"/>
      <c r="D193" s="188"/>
      <c r="E193" s="188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0"/>
      <c r="AC193" s="181"/>
      <c r="AD193" s="181"/>
      <c r="AE193" s="181"/>
      <c r="AF193" s="181"/>
    </row>
    <row r="194" spans="2:32">
      <c r="B194" s="181"/>
      <c r="C194" s="184"/>
      <c r="D194" s="188"/>
      <c r="E194" s="188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0"/>
      <c r="AC194" s="181"/>
      <c r="AD194" s="181"/>
      <c r="AE194" s="181"/>
      <c r="AF194" s="181"/>
    </row>
    <row r="195" spans="2:32">
      <c r="B195" s="181"/>
      <c r="C195" s="184"/>
      <c r="D195" s="188"/>
      <c r="E195" s="188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0"/>
      <c r="AC195" s="181"/>
      <c r="AD195" s="181"/>
      <c r="AE195" s="181"/>
      <c r="AF195" s="181"/>
    </row>
    <row r="196" spans="2:32">
      <c r="B196" s="181"/>
      <c r="C196" s="184"/>
      <c r="D196" s="188"/>
      <c r="E196" s="188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0"/>
      <c r="AC196" s="181"/>
      <c r="AD196" s="181"/>
      <c r="AE196" s="181"/>
      <c r="AF196" s="181"/>
    </row>
    <row r="197" spans="2:32">
      <c r="B197" s="181"/>
      <c r="C197" s="184"/>
      <c r="D197" s="188"/>
      <c r="E197" s="188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0"/>
      <c r="AC197" s="181"/>
      <c r="AD197" s="181"/>
      <c r="AE197" s="181"/>
      <c r="AF197" s="181"/>
    </row>
    <row r="198" spans="2:32">
      <c r="B198" s="181"/>
      <c r="C198" s="184"/>
      <c r="D198" s="188"/>
      <c r="E198" s="188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0"/>
      <c r="AC198" s="181"/>
      <c r="AD198" s="181"/>
      <c r="AE198" s="181"/>
      <c r="AF198" s="181"/>
    </row>
    <row r="199" spans="2:32">
      <c r="B199" s="181"/>
      <c r="C199" s="184"/>
      <c r="D199" s="188"/>
      <c r="E199" s="188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0"/>
      <c r="AC199" s="181"/>
      <c r="AD199" s="181"/>
      <c r="AE199" s="181"/>
      <c r="AF199" s="181"/>
    </row>
    <row r="200" spans="2:32">
      <c r="B200" s="181"/>
      <c r="C200" s="184"/>
      <c r="D200" s="188"/>
      <c r="E200" s="188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0"/>
      <c r="AC200" s="181"/>
      <c r="AD200" s="181"/>
      <c r="AE200" s="181"/>
      <c r="AF200" s="181"/>
    </row>
    <row r="201" spans="2:32">
      <c r="B201" s="181"/>
      <c r="C201" s="184"/>
      <c r="D201" s="188"/>
      <c r="E201" s="188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0"/>
      <c r="AC201" s="181"/>
      <c r="AD201" s="181"/>
      <c r="AE201" s="181"/>
      <c r="AF201" s="181"/>
    </row>
    <row r="202" spans="2:32">
      <c r="B202" s="181"/>
      <c r="C202" s="184"/>
      <c r="D202" s="188"/>
      <c r="E202" s="188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0"/>
      <c r="AC202" s="181"/>
      <c r="AD202" s="181"/>
      <c r="AE202" s="181"/>
      <c r="AF202" s="181"/>
    </row>
    <row r="203" spans="2:32">
      <c r="B203" s="181"/>
      <c r="C203" s="184"/>
      <c r="D203" s="188"/>
      <c r="E203" s="188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0"/>
      <c r="AC203" s="181"/>
      <c r="AD203" s="181"/>
      <c r="AE203" s="181"/>
      <c r="AF203" s="181"/>
    </row>
    <row r="204" spans="2:32">
      <c r="B204" s="181"/>
      <c r="C204" s="184"/>
      <c r="D204" s="188"/>
      <c r="E204" s="188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0"/>
      <c r="AC204" s="181"/>
      <c r="AD204" s="181"/>
      <c r="AE204" s="181"/>
      <c r="AF204" s="181"/>
    </row>
    <row r="205" spans="2:32">
      <c r="B205" s="181"/>
      <c r="C205" s="184"/>
      <c r="D205" s="188"/>
      <c r="E205" s="188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0"/>
      <c r="AC205" s="181"/>
      <c r="AD205" s="181"/>
      <c r="AE205" s="181"/>
      <c r="AF205" s="181"/>
    </row>
    <row r="206" spans="2:32">
      <c r="B206" s="181"/>
      <c r="C206" s="184"/>
      <c r="D206" s="188"/>
      <c r="E206" s="188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  <c r="X206" s="181"/>
      <c r="Y206" s="181"/>
      <c r="Z206" s="181"/>
      <c r="AA206" s="181"/>
      <c r="AB206" s="180"/>
      <c r="AC206" s="181"/>
      <c r="AD206" s="181"/>
      <c r="AE206" s="181"/>
      <c r="AF206" s="181"/>
    </row>
    <row r="207" spans="2:32">
      <c r="B207" s="181"/>
      <c r="C207" s="184"/>
      <c r="D207" s="188"/>
      <c r="E207" s="188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  <c r="X207" s="181"/>
      <c r="Y207" s="181"/>
      <c r="Z207" s="181"/>
      <c r="AA207" s="181"/>
      <c r="AB207" s="180"/>
      <c r="AC207" s="181"/>
      <c r="AD207" s="181"/>
      <c r="AE207" s="181"/>
      <c r="AF207" s="181"/>
    </row>
    <row r="208" spans="2:32">
      <c r="B208" s="181"/>
      <c r="C208" s="184"/>
      <c r="D208" s="188"/>
      <c r="E208" s="188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  <c r="X208" s="181"/>
      <c r="Y208" s="181"/>
      <c r="Z208" s="181"/>
      <c r="AA208" s="181"/>
      <c r="AB208" s="180"/>
      <c r="AC208" s="181"/>
      <c r="AD208" s="181"/>
      <c r="AE208" s="181"/>
      <c r="AF208" s="181"/>
    </row>
    <row r="209" spans="2:32">
      <c r="B209" s="181"/>
      <c r="C209" s="184"/>
      <c r="D209" s="188"/>
      <c r="E209" s="188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  <c r="X209" s="181"/>
      <c r="Y209" s="181"/>
      <c r="Z209" s="181"/>
      <c r="AA209" s="181"/>
      <c r="AB209" s="180"/>
      <c r="AC209" s="181"/>
      <c r="AD209" s="181"/>
      <c r="AE209" s="181"/>
      <c r="AF209" s="181"/>
    </row>
    <row r="210" spans="2:32">
      <c r="B210" s="181"/>
      <c r="C210" s="184"/>
      <c r="D210" s="188"/>
      <c r="E210" s="188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0"/>
      <c r="AC210" s="181"/>
      <c r="AD210" s="181"/>
      <c r="AE210" s="181"/>
      <c r="AF210" s="181"/>
    </row>
    <row r="211" spans="2:32">
      <c r="B211" s="181"/>
      <c r="C211" s="184"/>
      <c r="D211" s="188"/>
      <c r="E211" s="188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  <c r="X211" s="181"/>
      <c r="Y211" s="181"/>
      <c r="Z211" s="181"/>
      <c r="AA211" s="181"/>
      <c r="AB211" s="180"/>
      <c r="AC211" s="181"/>
      <c r="AD211" s="181"/>
      <c r="AE211" s="181"/>
      <c r="AF211" s="181"/>
    </row>
    <row r="212" spans="2:32">
      <c r="B212" s="181"/>
      <c r="C212" s="184"/>
      <c r="D212" s="188"/>
      <c r="E212" s="188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0"/>
      <c r="AC212" s="181"/>
      <c r="AD212" s="181"/>
      <c r="AE212" s="181"/>
      <c r="AF212" s="181"/>
    </row>
    <row r="213" spans="2:32">
      <c r="B213" s="181"/>
      <c r="C213" s="184"/>
      <c r="D213" s="188"/>
      <c r="E213" s="188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0"/>
      <c r="AC213" s="181"/>
      <c r="AD213" s="181"/>
      <c r="AE213" s="181"/>
      <c r="AF213" s="181"/>
    </row>
    <row r="214" spans="2:32">
      <c r="B214" s="181"/>
      <c r="C214" s="184"/>
      <c r="D214" s="188"/>
      <c r="E214" s="188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0"/>
      <c r="AC214" s="181"/>
      <c r="AD214" s="181"/>
      <c r="AE214" s="181"/>
      <c r="AF214" s="181"/>
    </row>
    <row r="215" spans="2:32">
      <c r="B215" s="181"/>
      <c r="C215" s="184"/>
      <c r="D215" s="188"/>
      <c r="E215" s="188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0"/>
      <c r="AC215" s="181"/>
      <c r="AD215" s="181"/>
      <c r="AE215" s="181"/>
      <c r="AF215" s="181"/>
    </row>
    <row r="216" spans="2:32">
      <c r="B216" s="181"/>
      <c r="C216" s="184"/>
      <c r="D216" s="188"/>
      <c r="E216" s="188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0"/>
      <c r="AC216" s="181"/>
      <c r="AD216" s="181"/>
      <c r="AE216" s="181"/>
      <c r="AF216" s="181"/>
    </row>
    <row r="217" spans="2:32">
      <c r="B217" s="181"/>
      <c r="C217" s="184"/>
      <c r="D217" s="188"/>
      <c r="E217" s="188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0"/>
      <c r="AC217" s="181"/>
      <c r="AD217" s="181"/>
      <c r="AE217" s="181"/>
      <c r="AF217" s="181"/>
    </row>
    <row r="218" spans="2:32">
      <c r="B218" s="181"/>
      <c r="C218" s="184"/>
      <c r="D218" s="188"/>
      <c r="E218" s="188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0"/>
      <c r="AC218" s="181"/>
      <c r="AD218" s="181"/>
      <c r="AE218" s="181"/>
      <c r="AF218" s="181"/>
    </row>
    <row r="219" spans="2:32">
      <c r="B219" s="181"/>
      <c r="C219" s="184"/>
      <c r="D219" s="188"/>
      <c r="E219" s="188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0"/>
      <c r="AC219" s="181"/>
      <c r="AD219" s="181"/>
      <c r="AE219" s="181"/>
      <c r="AF219" s="181"/>
    </row>
    <row r="220" spans="2:32">
      <c r="B220" s="181"/>
      <c r="C220" s="184"/>
      <c r="D220" s="188"/>
      <c r="E220" s="188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0"/>
      <c r="AC220" s="181"/>
      <c r="AD220" s="181"/>
      <c r="AE220" s="181"/>
      <c r="AF220" s="181"/>
    </row>
    <row r="221" spans="2:32">
      <c r="B221" s="181"/>
      <c r="C221" s="184"/>
      <c r="D221" s="188"/>
      <c r="E221" s="188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0"/>
      <c r="AC221" s="181"/>
      <c r="AD221" s="181"/>
      <c r="AE221" s="181"/>
      <c r="AF221" s="181"/>
    </row>
    <row r="222" spans="2:32">
      <c r="B222" s="181"/>
      <c r="C222" s="184"/>
      <c r="D222" s="188"/>
      <c r="E222" s="188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0"/>
      <c r="AC222" s="181"/>
      <c r="AD222" s="181"/>
      <c r="AE222" s="181"/>
      <c r="AF222" s="181"/>
    </row>
    <row r="223" spans="2:32">
      <c r="B223" s="181"/>
      <c r="C223" s="184"/>
      <c r="D223" s="188"/>
      <c r="E223" s="188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0"/>
      <c r="AC223" s="181"/>
      <c r="AD223" s="181"/>
      <c r="AE223" s="181"/>
      <c r="AF223" s="181"/>
    </row>
    <row r="224" spans="2:32">
      <c r="B224" s="181"/>
      <c r="C224" s="184"/>
      <c r="D224" s="188"/>
      <c r="E224" s="188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0"/>
      <c r="AC224" s="181"/>
      <c r="AD224" s="181"/>
      <c r="AE224" s="181"/>
      <c r="AF224" s="181"/>
    </row>
    <row r="225" spans="2:32">
      <c r="B225" s="181"/>
      <c r="C225" s="184"/>
      <c r="D225" s="188"/>
      <c r="E225" s="188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0"/>
      <c r="AC225" s="181"/>
      <c r="AD225" s="181"/>
      <c r="AE225" s="181"/>
      <c r="AF225" s="181"/>
    </row>
    <row r="226" spans="2:32">
      <c r="B226" s="181"/>
      <c r="C226" s="184"/>
      <c r="D226" s="188"/>
      <c r="E226" s="188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0"/>
      <c r="AC226" s="181"/>
      <c r="AD226" s="181"/>
      <c r="AE226" s="181"/>
      <c r="AF226" s="181"/>
    </row>
    <row r="227" spans="2:32">
      <c r="B227" s="181"/>
      <c r="C227" s="184"/>
      <c r="D227" s="188"/>
      <c r="E227" s="188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0"/>
      <c r="AC227" s="181"/>
      <c r="AD227" s="181"/>
      <c r="AE227" s="181"/>
      <c r="AF227" s="181"/>
    </row>
    <row r="228" spans="2:32">
      <c r="B228" s="181"/>
      <c r="C228" s="184"/>
      <c r="D228" s="188"/>
      <c r="E228" s="188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  <c r="X228" s="181"/>
      <c r="Y228" s="181"/>
      <c r="Z228" s="181"/>
      <c r="AA228" s="181"/>
      <c r="AB228" s="180"/>
      <c r="AC228" s="181"/>
      <c r="AD228" s="181"/>
      <c r="AE228" s="181"/>
      <c r="AF228" s="181"/>
    </row>
    <row r="229" spans="2:32">
      <c r="B229" s="181"/>
      <c r="C229" s="184"/>
      <c r="D229" s="188"/>
      <c r="E229" s="188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  <c r="X229" s="181"/>
      <c r="Y229" s="181"/>
      <c r="Z229" s="181"/>
      <c r="AA229" s="181"/>
      <c r="AB229" s="180"/>
      <c r="AC229" s="181"/>
      <c r="AD229" s="181"/>
      <c r="AE229" s="181"/>
      <c r="AF229" s="181"/>
    </row>
    <row r="230" spans="2:32">
      <c r="B230" s="181"/>
      <c r="C230" s="184"/>
      <c r="D230" s="188"/>
      <c r="E230" s="188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  <c r="X230" s="181"/>
      <c r="Y230" s="181"/>
      <c r="Z230" s="181"/>
      <c r="AA230" s="181"/>
      <c r="AB230" s="180"/>
      <c r="AC230" s="181"/>
      <c r="AD230" s="181"/>
      <c r="AE230" s="181"/>
      <c r="AF230" s="181"/>
    </row>
    <row r="231" spans="2:32">
      <c r="B231" s="181"/>
      <c r="C231" s="184"/>
      <c r="D231" s="188"/>
      <c r="E231" s="188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  <c r="X231" s="181"/>
      <c r="Y231" s="181"/>
      <c r="Z231" s="181"/>
      <c r="AA231" s="181"/>
      <c r="AB231" s="180"/>
      <c r="AC231" s="181"/>
      <c r="AD231" s="181"/>
      <c r="AE231" s="181"/>
      <c r="AF231" s="181"/>
    </row>
    <row r="232" spans="2:32">
      <c r="B232" s="181"/>
      <c r="C232" s="184"/>
      <c r="D232" s="188"/>
      <c r="E232" s="188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  <c r="X232" s="181"/>
      <c r="Y232" s="181"/>
      <c r="Z232" s="181"/>
      <c r="AA232" s="181"/>
      <c r="AB232" s="180"/>
      <c r="AC232" s="181"/>
      <c r="AD232" s="181"/>
      <c r="AE232" s="181"/>
      <c r="AF232" s="181"/>
    </row>
    <row r="233" spans="2:32">
      <c r="B233" s="181"/>
      <c r="C233" s="184"/>
      <c r="D233" s="188"/>
      <c r="E233" s="188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  <c r="X233" s="181"/>
      <c r="Y233" s="181"/>
      <c r="Z233" s="181"/>
      <c r="AA233" s="181"/>
      <c r="AB233" s="180"/>
      <c r="AC233" s="181"/>
      <c r="AD233" s="181"/>
      <c r="AE233" s="181"/>
      <c r="AF233" s="181"/>
    </row>
    <row r="234" spans="2:32">
      <c r="B234" s="181"/>
      <c r="C234" s="184"/>
      <c r="D234" s="188"/>
      <c r="E234" s="188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  <c r="X234" s="181"/>
      <c r="Y234" s="181"/>
      <c r="Z234" s="181"/>
      <c r="AA234" s="181"/>
      <c r="AB234" s="180"/>
      <c r="AC234" s="181"/>
      <c r="AD234" s="181"/>
      <c r="AE234" s="181"/>
      <c r="AF234" s="181"/>
    </row>
    <row r="235" spans="2:32">
      <c r="B235" s="181"/>
      <c r="C235" s="184"/>
      <c r="D235" s="188"/>
      <c r="E235" s="188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0"/>
      <c r="AC235" s="181"/>
      <c r="AD235" s="181"/>
      <c r="AE235" s="181"/>
      <c r="AF235" s="181"/>
    </row>
    <row r="236" spans="2:32">
      <c r="B236" s="181"/>
      <c r="C236" s="184"/>
      <c r="D236" s="188"/>
      <c r="E236" s="188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0"/>
      <c r="AC236" s="181"/>
      <c r="AD236" s="181"/>
      <c r="AE236" s="181"/>
      <c r="AF236" s="181"/>
    </row>
    <row r="237" spans="2:32">
      <c r="B237" s="181"/>
      <c r="C237" s="184"/>
      <c r="D237" s="188"/>
      <c r="E237" s="188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0"/>
      <c r="AC237" s="181"/>
      <c r="AD237" s="181"/>
      <c r="AE237" s="181"/>
      <c r="AF237" s="181"/>
    </row>
    <row r="238" spans="2:32">
      <c r="B238" s="181"/>
      <c r="C238" s="184"/>
      <c r="D238" s="188"/>
      <c r="E238" s="188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0"/>
      <c r="AC238" s="181"/>
      <c r="AD238" s="181"/>
      <c r="AE238" s="181"/>
      <c r="AF238" s="181"/>
    </row>
    <row r="239" spans="2:32">
      <c r="B239" s="181"/>
      <c r="C239" s="184"/>
      <c r="D239" s="188"/>
      <c r="E239" s="188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0"/>
      <c r="AC239" s="181"/>
      <c r="AD239" s="181"/>
      <c r="AE239" s="181"/>
      <c r="AF239" s="181"/>
    </row>
    <row r="240" spans="2:32">
      <c r="B240" s="181"/>
      <c r="C240" s="184"/>
      <c r="D240" s="188"/>
      <c r="E240" s="188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0"/>
      <c r="AC240" s="181"/>
      <c r="AD240" s="181"/>
      <c r="AE240" s="181"/>
      <c r="AF240" s="181"/>
    </row>
    <row r="241" spans="2:32">
      <c r="B241" s="181"/>
      <c r="C241" s="184"/>
      <c r="D241" s="188"/>
      <c r="E241" s="188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0"/>
      <c r="AC241" s="181"/>
      <c r="AD241" s="181"/>
      <c r="AE241" s="181"/>
      <c r="AF241" s="181"/>
    </row>
    <row r="242" spans="2:32">
      <c r="B242" s="181"/>
      <c r="C242" s="184"/>
      <c r="D242" s="188"/>
      <c r="E242" s="188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0"/>
      <c r="AC242" s="181"/>
      <c r="AD242" s="181"/>
      <c r="AE242" s="181"/>
      <c r="AF242" s="181"/>
    </row>
    <row r="243" spans="2:32">
      <c r="B243" s="181"/>
      <c r="C243" s="184"/>
      <c r="D243" s="188"/>
      <c r="E243" s="188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0"/>
      <c r="AC243" s="181"/>
      <c r="AD243" s="181"/>
      <c r="AE243" s="181"/>
      <c r="AF243" s="181"/>
    </row>
    <row r="244" spans="2:32">
      <c r="B244" s="181"/>
      <c r="C244" s="184"/>
      <c r="D244" s="188"/>
      <c r="E244" s="188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0"/>
      <c r="AC244" s="181"/>
      <c r="AD244" s="181"/>
      <c r="AE244" s="181"/>
      <c r="AF244" s="181"/>
    </row>
    <row r="245" spans="2:32">
      <c r="B245" s="181"/>
      <c r="C245" s="184"/>
      <c r="D245" s="188"/>
      <c r="E245" s="188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0"/>
      <c r="AC245" s="181"/>
      <c r="AD245" s="181"/>
      <c r="AE245" s="181"/>
      <c r="AF245" s="181"/>
    </row>
    <row r="246" spans="2:32">
      <c r="B246" s="181"/>
      <c r="C246" s="184"/>
      <c r="D246" s="188"/>
      <c r="E246" s="188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0"/>
      <c r="AC246" s="181"/>
      <c r="AD246" s="181"/>
      <c r="AE246" s="181"/>
      <c r="AF246" s="181"/>
    </row>
    <row r="247" spans="2:32">
      <c r="B247" s="181"/>
      <c r="C247" s="184"/>
      <c r="D247" s="188"/>
      <c r="E247" s="188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0"/>
      <c r="AC247" s="181"/>
      <c r="AD247" s="181"/>
      <c r="AE247" s="181"/>
      <c r="AF247" s="181"/>
    </row>
    <row r="248" spans="2:32">
      <c r="B248" s="181"/>
      <c r="C248" s="184"/>
      <c r="D248" s="188"/>
      <c r="E248" s="188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0"/>
      <c r="AC248" s="181"/>
      <c r="AD248" s="181"/>
      <c r="AE248" s="181"/>
      <c r="AF248" s="181"/>
    </row>
    <row r="249" spans="2:32">
      <c r="B249" s="181"/>
      <c r="C249" s="184"/>
      <c r="D249" s="188"/>
      <c r="E249" s="188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0"/>
      <c r="AC249" s="181"/>
      <c r="AD249" s="181"/>
      <c r="AE249" s="181"/>
      <c r="AF249" s="181"/>
    </row>
    <row r="250" spans="2:32">
      <c r="B250" s="181"/>
      <c r="C250" s="184"/>
      <c r="D250" s="188"/>
      <c r="E250" s="188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0"/>
      <c r="AC250" s="181"/>
      <c r="AD250" s="181"/>
      <c r="AE250" s="181"/>
      <c r="AF250" s="181"/>
    </row>
    <row r="251" spans="2:32">
      <c r="B251" s="181"/>
      <c r="C251" s="184"/>
      <c r="D251" s="188"/>
      <c r="E251" s="188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  <c r="X251" s="181"/>
      <c r="Y251" s="181"/>
      <c r="Z251" s="181"/>
      <c r="AA251" s="181"/>
      <c r="AB251" s="180"/>
      <c r="AC251" s="181"/>
      <c r="AD251" s="181"/>
      <c r="AE251" s="181"/>
      <c r="AF251" s="181"/>
    </row>
    <row r="252" spans="2:32">
      <c r="B252" s="181"/>
      <c r="C252" s="184"/>
      <c r="D252" s="188"/>
      <c r="E252" s="188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  <c r="X252" s="181"/>
      <c r="Y252" s="181"/>
      <c r="Z252" s="181"/>
      <c r="AA252" s="181"/>
      <c r="AB252" s="180"/>
      <c r="AC252" s="181"/>
      <c r="AD252" s="181"/>
      <c r="AE252" s="181"/>
      <c r="AF252" s="181"/>
    </row>
    <row r="253" spans="2:32">
      <c r="B253" s="181"/>
      <c r="C253" s="184"/>
      <c r="D253" s="188"/>
      <c r="E253" s="188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  <c r="X253" s="181"/>
      <c r="Y253" s="181"/>
      <c r="Z253" s="181"/>
      <c r="AA253" s="181"/>
      <c r="AB253" s="180"/>
      <c r="AC253" s="181"/>
      <c r="AD253" s="181"/>
      <c r="AE253" s="181"/>
      <c r="AF253" s="181"/>
    </row>
    <row r="254" spans="2:32">
      <c r="B254" s="181"/>
      <c r="C254" s="184"/>
      <c r="D254" s="188"/>
      <c r="E254" s="188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  <c r="X254" s="181"/>
      <c r="Y254" s="181"/>
      <c r="Z254" s="181"/>
      <c r="AA254" s="181"/>
      <c r="AB254" s="180"/>
      <c r="AC254" s="181"/>
      <c r="AD254" s="181"/>
      <c r="AE254" s="181"/>
      <c r="AF254" s="181"/>
    </row>
    <row r="255" spans="2:32">
      <c r="B255" s="181"/>
      <c r="C255" s="184"/>
      <c r="D255" s="188"/>
      <c r="E255" s="188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  <c r="X255" s="181"/>
      <c r="Y255" s="181"/>
      <c r="Z255" s="181"/>
      <c r="AA255" s="181"/>
      <c r="AB255" s="180"/>
      <c r="AC255" s="181"/>
      <c r="AD255" s="181"/>
      <c r="AE255" s="181"/>
      <c r="AF255" s="181"/>
    </row>
    <row r="256" spans="2:32">
      <c r="B256" s="181"/>
      <c r="C256" s="184"/>
      <c r="D256" s="188"/>
      <c r="E256" s="188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  <c r="X256" s="181"/>
      <c r="Y256" s="181"/>
      <c r="Z256" s="181"/>
      <c r="AA256" s="181"/>
      <c r="AB256" s="180"/>
      <c r="AC256" s="181"/>
      <c r="AD256" s="181"/>
      <c r="AE256" s="181"/>
      <c r="AF256" s="181"/>
    </row>
    <row r="257" spans="2:32">
      <c r="B257" s="181"/>
      <c r="C257" s="184"/>
      <c r="D257" s="188"/>
      <c r="E257" s="188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  <c r="X257" s="181"/>
      <c r="Y257" s="181"/>
      <c r="Z257" s="181"/>
      <c r="AA257" s="181"/>
      <c r="AB257" s="180"/>
      <c r="AC257" s="181"/>
      <c r="AD257" s="181"/>
      <c r="AE257" s="181"/>
      <c r="AF257" s="181"/>
    </row>
    <row r="258" spans="2:32">
      <c r="B258" s="181"/>
      <c r="C258" s="184"/>
      <c r="D258" s="188"/>
      <c r="E258" s="188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0"/>
      <c r="AC258" s="181"/>
      <c r="AD258" s="181"/>
      <c r="AE258" s="181"/>
      <c r="AF258" s="181"/>
    </row>
    <row r="259" spans="2:32">
      <c r="B259" s="181"/>
      <c r="C259" s="184"/>
      <c r="D259" s="188"/>
      <c r="E259" s="188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0"/>
      <c r="AC259" s="181"/>
      <c r="AD259" s="181"/>
      <c r="AE259" s="181"/>
      <c r="AF259" s="181"/>
    </row>
    <row r="260" spans="2:32">
      <c r="B260" s="181"/>
      <c r="C260" s="184"/>
      <c r="D260" s="188"/>
      <c r="E260" s="188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0"/>
      <c r="AC260" s="181"/>
      <c r="AD260" s="181"/>
      <c r="AE260" s="181"/>
      <c r="AF260" s="181"/>
    </row>
    <row r="261" spans="2:32">
      <c r="B261" s="181"/>
      <c r="C261" s="184"/>
      <c r="D261" s="188"/>
      <c r="E261" s="188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0"/>
      <c r="AC261" s="181"/>
      <c r="AD261" s="181"/>
      <c r="AE261" s="181"/>
      <c r="AF261" s="181"/>
    </row>
    <row r="262" spans="2:32">
      <c r="B262" s="181"/>
      <c r="C262" s="184"/>
      <c r="D262" s="188"/>
      <c r="E262" s="188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0"/>
      <c r="AC262" s="181"/>
      <c r="AD262" s="181"/>
      <c r="AE262" s="181"/>
      <c r="AF262" s="181"/>
    </row>
    <row r="263" spans="2:32">
      <c r="B263" s="181"/>
      <c r="C263" s="184"/>
      <c r="D263" s="188"/>
      <c r="E263" s="188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0"/>
      <c r="AC263" s="181"/>
      <c r="AD263" s="181"/>
      <c r="AE263" s="181"/>
      <c r="AF263" s="181"/>
    </row>
    <row r="264" spans="2:32">
      <c r="B264" s="181"/>
      <c r="C264" s="184"/>
      <c r="D264" s="188"/>
      <c r="E264" s="188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0"/>
      <c r="AC264" s="181"/>
      <c r="AD264" s="181"/>
      <c r="AE264" s="181"/>
      <c r="AF264" s="181"/>
    </row>
    <row r="265" spans="2:32">
      <c r="B265" s="181"/>
      <c r="C265" s="184"/>
      <c r="D265" s="188"/>
      <c r="E265" s="188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0"/>
      <c r="AC265" s="181"/>
      <c r="AD265" s="181"/>
      <c r="AE265" s="181"/>
      <c r="AF265" s="181"/>
    </row>
    <row r="266" spans="2:32">
      <c r="B266" s="181"/>
      <c r="C266" s="184"/>
      <c r="D266" s="188"/>
      <c r="E266" s="188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0"/>
      <c r="AC266" s="181"/>
      <c r="AD266" s="181"/>
      <c r="AE266" s="181"/>
      <c r="AF266" s="181"/>
    </row>
    <row r="267" spans="2:32">
      <c r="B267" s="181"/>
      <c r="C267" s="184"/>
      <c r="D267" s="188"/>
      <c r="E267" s="188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0"/>
      <c r="AC267" s="181"/>
      <c r="AD267" s="181"/>
      <c r="AE267" s="181"/>
      <c r="AF267" s="181"/>
    </row>
    <row r="268" spans="2:32">
      <c r="B268" s="181"/>
      <c r="C268" s="184"/>
      <c r="D268" s="188"/>
      <c r="E268" s="188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0"/>
      <c r="AC268" s="181"/>
      <c r="AD268" s="181"/>
      <c r="AE268" s="181"/>
      <c r="AF268" s="181"/>
    </row>
    <row r="269" spans="2:32">
      <c r="B269" s="181"/>
      <c r="C269" s="184"/>
      <c r="D269" s="188"/>
      <c r="E269" s="188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0"/>
      <c r="AC269" s="181"/>
      <c r="AD269" s="181"/>
      <c r="AE269" s="181"/>
      <c r="AF269" s="181"/>
    </row>
    <row r="270" spans="2:32">
      <c r="B270" s="181"/>
      <c r="C270" s="184"/>
      <c r="D270" s="188"/>
      <c r="E270" s="188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0"/>
      <c r="AC270" s="181"/>
      <c r="AD270" s="181"/>
      <c r="AE270" s="181"/>
      <c r="AF270" s="181"/>
    </row>
    <row r="271" spans="2:32">
      <c r="B271" s="181"/>
      <c r="C271" s="184"/>
      <c r="D271" s="188"/>
      <c r="E271" s="188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0"/>
      <c r="AC271" s="181"/>
      <c r="AD271" s="181"/>
      <c r="AE271" s="181"/>
      <c r="AF271" s="181"/>
    </row>
    <row r="272" spans="2:32">
      <c r="B272" s="181"/>
      <c r="C272" s="184"/>
      <c r="D272" s="188"/>
      <c r="E272" s="188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0"/>
      <c r="AC272" s="181"/>
      <c r="AD272" s="181"/>
      <c r="AE272" s="181"/>
      <c r="AF272" s="181"/>
    </row>
    <row r="273" spans="2:32">
      <c r="B273" s="181"/>
      <c r="C273" s="184"/>
      <c r="D273" s="188"/>
      <c r="E273" s="188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0"/>
      <c r="AC273" s="181"/>
      <c r="AD273" s="181"/>
      <c r="AE273" s="181"/>
      <c r="AF273" s="181"/>
    </row>
    <row r="274" spans="2:32">
      <c r="B274" s="181"/>
      <c r="C274" s="184"/>
      <c r="D274" s="188"/>
      <c r="E274" s="188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  <c r="X274" s="181"/>
      <c r="Y274" s="181"/>
      <c r="Z274" s="181"/>
      <c r="AA274" s="181"/>
      <c r="AB274" s="180"/>
      <c r="AC274" s="181"/>
      <c r="AD274" s="181"/>
      <c r="AE274" s="181"/>
      <c r="AF274" s="181"/>
    </row>
    <row r="275" spans="2:32">
      <c r="B275" s="181"/>
      <c r="C275" s="184"/>
      <c r="D275" s="188"/>
      <c r="E275" s="188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  <c r="X275" s="181"/>
      <c r="Y275" s="181"/>
      <c r="Z275" s="181"/>
      <c r="AA275" s="181"/>
      <c r="AB275" s="180"/>
      <c r="AC275" s="181"/>
      <c r="AD275" s="181"/>
      <c r="AE275" s="181"/>
      <c r="AF275" s="181"/>
    </row>
    <row r="276" spans="2:32">
      <c r="B276" s="181"/>
      <c r="C276" s="184"/>
      <c r="D276" s="188"/>
      <c r="E276" s="188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  <c r="X276" s="181"/>
      <c r="Y276" s="181"/>
      <c r="Z276" s="181"/>
      <c r="AA276" s="181"/>
      <c r="AB276" s="180"/>
      <c r="AC276" s="181"/>
      <c r="AD276" s="181"/>
      <c r="AE276" s="181"/>
      <c r="AF276" s="181"/>
    </row>
    <row r="277" spans="2:32">
      <c r="B277" s="181"/>
      <c r="C277" s="184"/>
      <c r="D277" s="188"/>
      <c r="E277" s="188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  <c r="X277" s="181"/>
      <c r="Y277" s="181"/>
      <c r="Z277" s="181"/>
      <c r="AA277" s="181"/>
      <c r="AB277" s="180"/>
      <c r="AC277" s="181"/>
      <c r="AD277" s="181"/>
      <c r="AE277" s="181"/>
      <c r="AF277" s="181"/>
    </row>
    <row r="278" spans="2:32">
      <c r="B278" s="181"/>
      <c r="C278" s="184"/>
      <c r="D278" s="188"/>
      <c r="E278" s="188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  <c r="X278" s="181"/>
      <c r="Y278" s="181"/>
      <c r="Z278" s="181"/>
      <c r="AA278" s="181"/>
      <c r="AB278" s="180"/>
      <c r="AC278" s="181"/>
      <c r="AD278" s="181"/>
      <c r="AE278" s="181"/>
      <c r="AF278" s="181"/>
    </row>
    <row r="279" spans="2:32">
      <c r="B279" s="181"/>
      <c r="C279" s="184"/>
      <c r="D279" s="188"/>
      <c r="E279" s="188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  <c r="X279" s="181"/>
      <c r="Y279" s="181"/>
      <c r="Z279" s="181"/>
      <c r="AA279" s="181"/>
      <c r="AB279" s="180"/>
      <c r="AC279" s="181"/>
      <c r="AD279" s="181"/>
      <c r="AE279" s="181"/>
      <c r="AF279" s="181"/>
    </row>
    <row r="280" spans="2:32">
      <c r="B280" s="181"/>
      <c r="C280" s="184"/>
      <c r="D280" s="188"/>
      <c r="E280" s="188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  <c r="X280" s="181"/>
      <c r="Y280" s="181"/>
      <c r="Z280" s="181"/>
      <c r="AA280" s="181"/>
      <c r="AB280" s="180"/>
      <c r="AC280" s="181"/>
      <c r="AD280" s="181"/>
      <c r="AE280" s="181"/>
      <c r="AF280" s="181"/>
    </row>
    <row r="281" spans="2:32">
      <c r="B281" s="181"/>
      <c r="C281" s="184"/>
      <c r="D281" s="188"/>
      <c r="E281" s="188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0"/>
      <c r="AC281" s="181"/>
      <c r="AD281" s="181"/>
      <c r="AE281" s="181"/>
      <c r="AF281" s="181"/>
    </row>
    <row r="282" spans="2:32">
      <c r="B282" s="181"/>
      <c r="C282" s="184"/>
      <c r="D282" s="188"/>
      <c r="E282" s="188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0"/>
      <c r="AC282" s="181"/>
      <c r="AD282" s="181"/>
      <c r="AE282" s="181"/>
      <c r="AF282" s="181"/>
    </row>
    <row r="283" spans="2:32">
      <c r="B283" s="181"/>
      <c r="C283" s="184"/>
      <c r="D283" s="188"/>
      <c r="E283" s="188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0"/>
      <c r="AC283" s="181"/>
      <c r="AD283" s="181"/>
      <c r="AE283" s="181"/>
      <c r="AF283" s="181"/>
    </row>
    <row r="284" spans="2:32">
      <c r="B284" s="181"/>
      <c r="C284" s="184"/>
      <c r="D284" s="188"/>
      <c r="E284" s="188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0"/>
      <c r="AC284" s="181"/>
      <c r="AD284" s="181"/>
      <c r="AE284" s="181"/>
      <c r="AF284" s="181"/>
    </row>
    <row r="285" spans="2:32">
      <c r="B285" s="181"/>
      <c r="C285" s="184"/>
      <c r="D285" s="188"/>
      <c r="E285" s="188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0"/>
      <c r="AC285" s="181"/>
      <c r="AD285" s="181"/>
      <c r="AE285" s="181"/>
      <c r="AF285" s="181"/>
    </row>
    <row r="286" spans="2:32">
      <c r="B286" s="181"/>
      <c r="C286" s="184"/>
      <c r="D286" s="188"/>
      <c r="E286" s="188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0"/>
      <c r="AC286" s="181"/>
      <c r="AD286" s="181"/>
      <c r="AE286" s="181"/>
      <c r="AF286" s="181"/>
    </row>
    <row r="287" spans="2:32">
      <c r="B287" s="181"/>
      <c r="C287" s="184"/>
      <c r="D287" s="188"/>
      <c r="E287" s="188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0"/>
      <c r="AC287" s="181"/>
      <c r="AD287" s="181"/>
      <c r="AE287" s="181"/>
      <c r="AF287" s="181"/>
    </row>
    <row r="288" spans="2:32">
      <c r="B288" s="181"/>
      <c r="C288" s="184"/>
      <c r="D288" s="188"/>
      <c r="E288" s="188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0"/>
      <c r="AC288" s="181"/>
      <c r="AD288" s="181"/>
      <c r="AE288" s="181"/>
      <c r="AF288" s="181"/>
    </row>
    <row r="289" spans="2:32">
      <c r="B289" s="181"/>
      <c r="C289" s="184"/>
      <c r="D289" s="188"/>
      <c r="E289" s="188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0"/>
      <c r="AC289" s="181"/>
      <c r="AD289" s="181"/>
      <c r="AE289" s="181"/>
      <c r="AF289" s="181"/>
    </row>
    <row r="290" spans="2:32">
      <c r="B290" s="181"/>
      <c r="C290" s="184"/>
      <c r="D290" s="188"/>
      <c r="E290" s="188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0"/>
      <c r="AC290" s="181"/>
      <c r="AD290" s="181"/>
      <c r="AE290" s="181"/>
      <c r="AF290" s="181"/>
    </row>
    <row r="291" spans="2:32">
      <c r="B291" s="181"/>
      <c r="C291" s="184"/>
      <c r="D291" s="188"/>
      <c r="E291" s="188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0"/>
      <c r="AC291" s="181"/>
      <c r="AD291" s="181"/>
      <c r="AE291" s="181"/>
      <c r="AF291" s="181"/>
    </row>
    <row r="292" spans="2:32">
      <c r="B292" s="181"/>
      <c r="C292" s="184"/>
      <c r="D292" s="188"/>
      <c r="E292" s="188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0"/>
      <c r="AC292" s="181"/>
      <c r="AD292" s="181"/>
      <c r="AE292" s="181"/>
      <c r="AF292" s="181"/>
    </row>
    <row r="293" spans="2:32">
      <c r="B293" s="181"/>
      <c r="C293" s="184"/>
      <c r="D293" s="188"/>
      <c r="E293" s="188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0"/>
      <c r="AC293" s="181"/>
      <c r="AD293" s="181"/>
      <c r="AE293" s="181"/>
      <c r="AF293" s="181"/>
    </row>
    <row r="294" spans="2:32">
      <c r="B294" s="181"/>
      <c r="C294" s="184"/>
      <c r="D294" s="188"/>
      <c r="E294" s="188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0"/>
      <c r="AC294" s="181"/>
      <c r="AD294" s="181"/>
      <c r="AE294" s="181"/>
      <c r="AF294" s="181"/>
    </row>
    <row r="295" spans="2:32">
      <c r="B295" s="181"/>
      <c r="C295" s="184"/>
      <c r="D295" s="188"/>
      <c r="E295" s="188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0"/>
      <c r="AC295" s="181"/>
      <c r="AD295" s="181"/>
      <c r="AE295" s="181"/>
      <c r="AF295" s="181"/>
    </row>
    <row r="296" spans="2:32">
      <c r="B296" s="181"/>
      <c r="C296" s="184"/>
      <c r="D296" s="188"/>
      <c r="E296" s="188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0"/>
      <c r="AC296" s="181"/>
      <c r="AD296" s="181"/>
      <c r="AE296" s="181"/>
      <c r="AF296" s="181"/>
    </row>
    <row r="297" spans="2:32">
      <c r="B297" s="181"/>
      <c r="C297" s="184"/>
      <c r="D297" s="188"/>
      <c r="E297" s="188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  <c r="X297" s="181"/>
      <c r="Y297" s="181"/>
      <c r="Z297" s="181"/>
      <c r="AA297" s="181"/>
      <c r="AB297" s="180"/>
      <c r="AC297" s="181"/>
      <c r="AD297" s="181"/>
      <c r="AE297" s="181"/>
      <c r="AF297" s="181"/>
    </row>
    <row r="298" spans="2:32">
      <c r="B298" s="181"/>
      <c r="C298" s="184"/>
      <c r="D298" s="188"/>
      <c r="E298" s="188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  <c r="X298" s="181"/>
      <c r="Y298" s="181"/>
      <c r="Z298" s="181"/>
      <c r="AA298" s="181"/>
      <c r="AB298" s="180"/>
      <c r="AC298" s="181"/>
      <c r="AD298" s="181"/>
      <c r="AE298" s="181"/>
      <c r="AF298" s="181"/>
    </row>
    <row r="299" spans="2:32">
      <c r="B299" s="181"/>
      <c r="C299" s="184"/>
      <c r="D299" s="188"/>
      <c r="E299" s="188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  <c r="X299" s="181"/>
      <c r="Y299" s="181"/>
      <c r="Z299" s="181"/>
      <c r="AA299" s="181"/>
      <c r="AB299" s="180"/>
      <c r="AC299" s="181"/>
      <c r="AD299" s="181"/>
      <c r="AE299" s="181"/>
      <c r="AF299" s="181"/>
    </row>
    <row r="300" spans="2:32">
      <c r="B300" s="181"/>
      <c r="C300" s="184"/>
      <c r="D300" s="188"/>
      <c r="E300" s="188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  <c r="X300" s="181"/>
      <c r="Y300" s="181"/>
      <c r="Z300" s="181"/>
      <c r="AA300" s="181"/>
      <c r="AB300" s="180"/>
      <c r="AC300" s="181"/>
      <c r="AD300" s="181"/>
      <c r="AE300" s="181"/>
      <c r="AF300" s="181"/>
    </row>
    <row r="301" spans="2:32">
      <c r="B301" s="181"/>
      <c r="C301" s="184"/>
      <c r="D301" s="188"/>
      <c r="E301" s="188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  <c r="X301" s="181"/>
      <c r="Y301" s="181"/>
      <c r="Z301" s="181"/>
      <c r="AA301" s="181"/>
      <c r="AB301" s="180"/>
      <c r="AC301" s="181"/>
      <c r="AD301" s="181"/>
      <c r="AE301" s="181"/>
      <c r="AF301" s="181"/>
    </row>
    <row r="302" spans="2:32">
      <c r="B302" s="181"/>
      <c r="C302" s="184"/>
      <c r="D302" s="188"/>
      <c r="E302" s="188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  <c r="X302" s="181"/>
      <c r="Y302" s="181"/>
      <c r="Z302" s="181"/>
      <c r="AA302" s="181"/>
      <c r="AB302" s="180"/>
      <c r="AC302" s="181"/>
      <c r="AD302" s="181"/>
      <c r="AE302" s="181"/>
      <c r="AF302" s="181"/>
    </row>
    <row r="303" spans="2:32">
      <c r="B303" s="181"/>
      <c r="C303" s="184"/>
      <c r="D303" s="188"/>
      <c r="E303" s="188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  <c r="X303" s="181"/>
      <c r="Y303" s="181"/>
      <c r="Z303" s="181"/>
      <c r="AA303" s="181"/>
      <c r="AB303" s="180"/>
      <c r="AC303" s="181"/>
      <c r="AD303" s="181"/>
      <c r="AE303" s="181"/>
      <c r="AF303" s="181"/>
    </row>
    <row r="304" spans="2:32">
      <c r="B304" s="181"/>
      <c r="C304" s="184"/>
      <c r="D304" s="188"/>
      <c r="E304" s="188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0"/>
      <c r="AC304" s="181"/>
      <c r="AD304" s="181"/>
      <c r="AE304" s="181"/>
      <c r="AF304" s="181"/>
    </row>
    <row r="305" spans="2:32">
      <c r="B305" s="181"/>
      <c r="C305" s="184"/>
      <c r="D305" s="188"/>
      <c r="E305" s="188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0"/>
      <c r="AC305" s="181"/>
      <c r="AD305" s="181"/>
      <c r="AE305" s="181"/>
      <c r="AF305" s="181"/>
    </row>
    <row r="306" spans="2:32">
      <c r="B306" s="181"/>
      <c r="C306" s="184"/>
      <c r="D306" s="188"/>
      <c r="E306" s="188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0"/>
      <c r="AC306" s="181"/>
      <c r="AD306" s="181"/>
      <c r="AE306" s="181"/>
      <c r="AF306" s="181"/>
    </row>
    <row r="307" spans="2:32">
      <c r="B307" s="181"/>
      <c r="C307" s="184"/>
      <c r="D307" s="188"/>
      <c r="E307" s="188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0"/>
      <c r="AC307" s="181"/>
      <c r="AD307" s="181"/>
      <c r="AE307" s="181"/>
      <c r="AF307" s="181"/>
    </row>
    <row r="308" spans="2:32">
      <c r="B308" s="181"/>
      <c r="C308" s="184"/>
      <c r="D308" s="188"/>
      <c r="E308" s="188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0"/>
      <c r="AC308" s="181"/>
      <c r="AD308" s="181"/>
      <c r="AE308" s="181"/>
      <c r="AF308" s="181"/>
    </row>
    <row r="309" spans="2:32">
      <c r="B309" s="181"/>
      <c r="C309" s="184"/>
      <c r="D309" s="188"/>
      <c r="E309" s="188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0"/>
      <c r="AC309" s="181"/>
      <c r="AD309" s="181"/>
      <c r="AE309" s="181"/>
      <c r="AF309" s="181"/>
    </row>
    <row r="310" spans="2:32">
      <c r="B310" s="181"/>
      <c r="C310" s="184"/>
      <c r="D310" s="188"/>
      <c r="E310" s="188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0"/>
      <c r="AC310" s="181"/>
      <c r="AD310" s="181"/>
      <c r="AE310" s="181"/>
      <c r="AF310" s="181"/>
    </row>
    <row r="311" spans="2:32">
      <c r="B311" s="181"/>
      <c r="C311" s="184"/>
      <c r="D311" s="188"/>
      <c r="E311" s="188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0"/>
      <c r="AC311" s="181"/>
      <c r="AD311" s="181"/>
      <c r="AE311" s="181"/>
      <c r="AF311" s="181"/>
    </row>
    <row r="312" spans="2:32">
      <c r="B312" s="181"/>
      <c r="C312" s="184"/>
      <c r="D312" s="188"/>
      <c r="E312" s="188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0"/>
      <c r="AC312" s="181"/>
      <c r="AD312" s="181"/>
      <c r="AE312" s="181"/>
      <c r="AF312" s="181"/>
    </row>
    <row r="313" spans="2:32">
      <c r="B313" s="181"/>
      <c r="C313" s="184"/>
      <c r="D313" s="188"/>
      <c r="E313" s="188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0"/>
      <c r="AC313" s="181"/>
      <c r="AD313" s="181"/>
      <c r="AE313" s="181"/>
      <c r="AF313" s="181"/>
    </row>
    <row r="314" spans="2:32">
      <c r="B314" s="181"/>
      <c r="C314" s="184"/>
      <c r="D314" s="188"/>
      <c r="E314" s="188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0"/>
      <c r="AC314" s="181"/>
      <c r="AD314" s="181"/>
      <c r="AE314" s="181"/>
      <c r="AF314" s="181"/>
    </row>
    <row r="315" spans="2:32">
      <c r="B315" s="181"/>
      <c r="C315" s="184"/>
      <c r="D315" s="188"/>
      <c r="E315" s="188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0"/>
      <c r="AC315" s="181"/>
      <c r="AD315" s="181"/>
      <c r="AE315" s="181"/>
      <c r="AF315" s="181"/>
    </row>
    <row r="316" spans="2:32">
      <c r="B316" s="181"/>
      <c r="C316" s="184"/>
      <c r="D316" s="188"/>
      <c r="E316" s="188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0"/>
      <c r="AC316" s="181"/>
      <c r="AD316" s="181"/>
      <c r="AE316" s="181"/>
      <c r="AF316" s="181"/>
    </row>
    <row r="317" spans="2:32">
      <c r="B317" s="181"/>
      <c r="C317" s="184"/>
      <c r="D317" s="188"/>
      <c r="E317" s="188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0"/>
      <c r="AC317" s="181"/>
      <c r="AD317" s="181"/>
      <c r="AE317" s="181"/>
      <c r="AF317" s="181"/>
    </row>
    <row r="318" spans="2:32">
      <c r="B318" s="181"/>
      <c r="C318" s="184"/>
      <c r="D318" s="188"/>
      <c r="E318" s="188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0"/>
      <c r="AC318" s="181"/>
      <c r="AD318" s="181"/>
      <c r="AE318" s="181"/>
      <c r="AF318" s="181"/>
    </row>
    <row r="319" spans="2:32">
      <c r="B319" s="181"/>
      <c r="C319" s="184"/>
      <c r="D319" s="188"/>
      <c r="E319" s="188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0"/>
      <c r="AC319" s="181"/>
      <c r="AD319" s="181"/>
      <c r="AE319" s="181"/>
      <c r="AF319" s="181"/>
    </row>
    <row r="320" spans="2:32">
      <c r="B320" s="181"/>
      <c r="C320" s="184"/>
      <c r="D320" s="188"/>
      <c r="E320" s="188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  <c r="X320" s="181"/>
      <c r="Y320" s="181"/>
      <c r="Z320" s="181"/>
      <c r="AA320" s="181"/>
      <c r="AB320" s="180"/>
      <c r="AC320" s="181"/>
      <c r="AD320" s="181"/>
      <c r="AE320" s="181"/>
      <c r="AF320" s="181"/>
    </row>
    <row r="321" spans="2:32">
      <c r="B321" s="181"/>
      <c r="C321" s="184"/>
      <c r="D321" s="188"/>
      <c r="E321" s="188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  <c r="X321" s="181"/>
      <c r="Y321" s="181"/>
      <c r="Z321" s="181"/>
      <c r="AA321" s="181"/>
      <c r="AB321" s="180"/>
      <c r="AC321" s="181"/>
      <c r="AD321" s="181"/>
      <c r="AE321" s="181"/>
      <c r="AF321" s="181"/>
    </row>
    <row r="322" spans="2:32">
      <c r="B322" s="181"/>
      <c r="C322" s="184"/>
      <c r="D322" s="188"/>
      <c r="E322" s="188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  <c r="X322" s="181"/>
      <c r="Y322" s="181"/>
      <c r="Z322" s="181"/>
      <c r="AA322" s="181"/>
      <c r="AB322" s="180"/>
      <c r="AC322" s="181"/>
      <c r="AD322" s="181"/>
      <c r="AE322" s="181"/>
      <c r="AF322" s="181"/>
    </row>
    <row r="323" spans="2:32">
      <c r="B323" s="181"/>
      <c r="C323" s="184"/>
      <c r="D323" s="188"/>
      <c r="E323" s="188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  <c r="X323" s="181"/>
      <c r="Y323" s="181"/>
      <c r="Z323" s="181"/>
      <c r="AA323" s="181"/>
      <c r="AB323" s="180"/>
      <c r="AC323" s="181"/>
      <c r="AD323" s="181"/>
      <c r="AE323" s="181"/>
      <c r="AF323" s="181"/>
    </row>
    <row r="324" spans="2:32">
      <c r="B324" s="181"/>
      <c r="C324" s="184"/>
      <c r="D324" s="188"/>
      <c r="E324" s="188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  <c r="X324" s="181"/>
      <c r="Y324" s="181"/>
      <c r="Z324" s="181"/>
      <c r="AA324" s="181"/>
      <c r="AB324" s="180"/>
      <c r="AC324" s="181"/>
      <c r="AD324" s="181"/>
      <c r="AE324" s="181"/>
      <c r="AF324" s="181"/>
    </row>
    <row r="325" spans="2:32">
      <c r="B325" s="181"/>
      <c r="C325" s="184"/>
      <c r="D325" s="188"/>
      <c r="E325" s="188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  <c r="X325" s="181"/>
      <c r="Y325" s="181"/>
      <c r="Z325" s="181"/>
      <c r="AA325" s="181"/>
      <c r="AB325" s="180"/>
      <c r="AC325" s="181"/>
      <c r="AD325" s="181"/>
      <c r="AE325" s="181"/>
      <c r="AF325" s="181"/>
    </row>
    <row r="326" spans="2:32">
      <c r="B326" s="181"/>
      <c r="C326" s="184"/>
      <c r="D326" s="188"/>
      <c r="E326" s="188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  <c r="X326" s="181"/>
      <c r="Y326" s="181"/>
      <c r="Z326" s="181"/>
      <c r="AA326" s="181"/>
      <c r="AB326" s="180"/>
      <c r="AC326" s="181"/>
      <c r="AD326" s="181"/>
      <c r="AE326" s="181"/>
      <c r="AF326" s="181"/>
    </row>
    <row r="327" spans="2:32">
      <c r="B327" s="181"/>
      <c r="C327" s="184"/>
      <c r="D327" s="188"/>
      <c r="E327" s="188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0"/>
      <c r="AC327" s="181"/>
      <c r="AD327" s="181"/>
      <c r="AE327" s="181"/>
      <c r="AF327" s="181"/>
    </row>
    <row r="328" spans="2:32">
      <c r="B328" s="181"/>
      <c r="C328" s="184"/>
      <c r="D328" s="188"/>
      <c r="E328" s="188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0"/>
      <c r="AC328" s="181"/>
      <c r="AD328" s="181"/>
      <c r="AE328" s="181"/>
      <c r="AF328" s="181"/>
    </row>
    <row r="329" spans="2:32">
      <c r="B329" s="181"/>
      <c r="C329" s="184"/>
      <c r="D329" s="188"/>
      <c r="E329" s="188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0"/>
      <c r="AC329" s="181"/>
      <c r="AD329" s="181"/>
      <c r="AE329" s="181"/>
      <c r="AF329" s="181"/>
    </row>
    <row r="330" spans="2:32">
      <c r="B330" s="181"/>
      <c r="C330" s="184"/>
      <c r="D330" s="188"/>
      <c r="E330" s="188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0"/>
      <c r="AC330" s="181"/>
      <c r="AD330" s="181"/>
      <c r="AE330" s="181"/>
      <c r="AF330" s="181"/>
    </row>
    <row r="331" spans="2:32">
      <c r="B331" s="181"/>
      <c r="C331" s="184"/>
      <c r="D331" s="188"/>
      <c r="E331" s="188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0"/>
      <c r="AC331" s="181"/>
      <c r="AD331" s="181"/>
      <c r="AE331" s="181"/>
      <c r="AF331" s="181"/>
    </row>
    <row r="332" spans="2:32">
      <c r="B332" s="181"/>
      <c r="C332" s="184"/>
      <c r="D332" s="188"/>
      <c r="E332" s="188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0"/>
      <c r="AC332" s="181"/>
      <c r="AD332" s="181"/>
      <c r="AE332" s="181"/>
      <c r="AF332" s="181"/>
    </row>
    <row r="333" spans="2:32">
      <c r="B333" s="181"/>
      <c r="C333" s="184"/>
      <c r="D333" s="188"/>
      <c r="E333" s="188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0"/>
      <c r="AC333" s="181"/>
      <c r="AD333" s="181"/>
      <c r="AE333" s="181"/>
      <c r="AF333" s="181"/>
    </row>
    <row r="334" spans="2:32">
      <c r="B334" s="181"/>
      <c r="C334" s="184"/>
      <c r="D334" s="188"/>
      <c r="E334" s="188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0"/>
      <c r="AC334" s="181"/>
      <c r="AD334" s="181"/>
      <c r="AE334" s="181"/>
      <c r="AF334" s="181"/>
    </row>
    <row r="335" spans="2:32">
      <c r="B335" s="181"/>
      <c r="C335" s="184"/>
      <c r="D335" s="188"/>
      <c r="E335" s="188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0"/>
      <c r="AC335" s="181"/>
      <c r="AD335" s="181"/>
      <c r="AE335" s="181"/>
      <c r="AF335" s="181"/>
    </row>
    <row r="336" spans="2:32">
      <c r="B336" s="181"/>
      <c r="C336" s="184"/>
      <c r="D336" s="188"/>
      <c r="E336" s="188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0"/>
      <c r="AC336" s="181"/>
      <c r="AD336" s="181"/>
      <c r="AE336" s="181"/>
      <c r="AF336" s="181"/>
    </row>
    <row r="337" spans="2:32">
      <c r="B337" s="181"/>
      <c r="C337" s="184"/>
      <c r="D337" s="188"/>
      <c r="E337" s="188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0"/>
      <c r="AC337" s="181"/>
      <c r="AD337" s="181"/>
      <c r="AE337" s="181"/>
      <c r="AF337" s="181"/>
    </row>
    <row r="338" spans="2:32">
      <c r="B338" s="181"/>
      <c r="C338" s="184"/>
      <c r="D338" s="188"/>
      <c r="E338" s="188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0"/>
      <c r="AC338" s="181"/>
      <c r="AD338" s="181"/>
      <c r="AE338" s="181"/>
      <c r="AF338" s="181"/>
    </row>
    <row r="339" spans="2:32">
      <c r="B339" s="181"/>
      <c r="C339" s="184"/>
      <c r="D339" s="188"/>
      <c r="E339" s="188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0"/>
      <c r="AC339" s="181"/>
      <c r="AD339" s="181"/>
      <c r="AE339" s="181"/>
      <c r="AF339" s="181"/>
    </row>
    <row r="340" spans="2:32">
      <c r="B340" s="181"/>
      <c r="C340" s="184"/>
      <c r="D340" s="188"/>
      <c r="E340" s="188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0"/>
      <c r="AC340" s="181"/>
      <c r="AD340" s="181"/>
      <c r="AE340" s="181"/>
      <c r="AF340" s="181"/>
    </row>
    <row r="341" spans="2:32">
      <c r="B341" s="181"/>
      <c r="C341" s="184"/>
      <c r="D341" s="188"/>
      <c r="E341" s="188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0"/>
      <c r="AC341" s="181"/>
      <c r="AD341" s="181"/>
      <c r="AE341" s="181"/>
      <c r="AF341" s="181"/>
    </row>
    <row r="342" spans="2:32">
      <c r="B342" s="181"/>
      <c r="C342" s="184"/>
      <c r="D342" s="188"/>
      <c r="E342" s="188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0"/>
      <c r="AC342" s="181"/>
      <c r="AD342" s="181"/>
      <c r="AE342" s="181"/>
      <c r="AF342" s="181"/>
    </row>
    <row r="343" spans="2:32">
      <c r="B343" s="181"/>
      <c r="C343" s="184"/>
      <c r="D343" s="188"/>
      <c r="E343" s="188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  <c r="X343" s="181"/>
      <c r="Y343" s="181"/>
      <c r="Z343" s="181"/>
      <c r="AA343" s="181"/>
      <c r="AB343" s="180"/>
      <c r="AC343" s="181"/>
      <c r="AD343" s="181"/>
      <c r="AE343" s="181"/>
      <c r="AF343" s="181"/>
    </row>
    <row r="344" spans="2:32">
      <c r="B344" s="181"/>
      <c r="C344" s="184"/>
      <c r="D344" s="188"/>
      <c r="E344" s="188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  <c r="X344" s="181"/>
      <c r="Y344" s="181"/>
      <c r="Z344" s="181"/>
      <c r="AA344" s="181"/>
      <c r="AB344" s="180"/>
      <c r="AC344" s="181"/>
      <c r="AD344" s="181"/>
      <c r="AE344" s="181"/>
      <c r="AF344" s="181"/>
    </row>
    <row r="345" spans="2:32">
      <c r="B345" s="181"/>
      <c r="C345" s="184"/>
      <c r="D345" s="188"/>
      <c r="E345" s="188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  <c r="X345" s="181"/>
      <c r="Y345" s="181"/>
      <c r="Z345" s="181"/>
      <c r="AA345" s="181"/>
      <c r="AB345" s="180"/>
      <c r="AC345" s="181"/>
      <c r="AD345" s="181"/>
      <c r="AE345" s="181"/>
      <c r="AF345" s="181"/>
    </row>
    <row r="346" spans="2:32">
      <c r="B346" s="181"/>
      <c r="C346" s="184"/>
      <c r="D346" s="188"/>
      <c r="E346" s="188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  <c r="X346" s="181"/>
      <c r="Y346" s="181"/>
      <c r="Z346" s="181"/>
      <c r="AA346" s="181"/>
      <c r="AB346" s="180"/>
      <c r="AC346" s="181"/>
      <c r="AD346" s="181"/>
      <c r="AE346" s="181"/>
      <c r="AF346" s="181"/>
    </row>
    <row r="347" spans="2:32">
      <c r="B347" s="181"/>
      <c r="C347" s="184"/>
      <c r="D347" s="188"/>
      <c r="E347" s="188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  <c r="X347" s="181"/>
      <c r="Y347" s="181"/>
      <c r="Z347" s="181"/>
      <c r="AA347" s="181"/>
      <c r="AB347" s="180"/>
      <c r="AC347" s="181"/>
      <c r="AD347" s="181"/>
      <c r="AE347" s="181"/>
      <c r="AF347" s="181"/>
    </row>
    <row r="348" spans="2:32">
      <c r="B348" s="181"/>
      <c r="C348" s="184"/>
      <c r="D348" s="188"/>
      <c r="E348" s="188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  <c r="X348" s="181"/>
      <c r="Y348" s="181"/>
      <c r="Z348" s="181"/>
      <c r="AA348" s="181"/>
      <c r="AB348" s="180"/>
      <c r="AC348" s="181"/>
      <c r="AD348" s="181"/>
      <c r="AE348" s="181"/>
      <c r="AF348" s="181"/>
    </row>
    <row r="349" spans="2:32">
      <c r="B349" s="181"/>
      <c r="C349" s="184"/>
      <c r="D349" s="188"/>
      <c r="E349" s="188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  <c r="X349" s="181"/>
      <c r="Y349" s="181"/>
      <c r="Z349" s="181"/>
      <c r="AA349" s="181"/>
      <c r="AB349" s="180"/>
      <c r="AC349" s="181"/>
      <c r="AD349" s="181"/>
      <c r="AE349" s="181"/>
      <c r="AF349" s="181"/>
    </row>
    <row r="350" spans="2:32">
      <c r="B350" s="181"/>
      <c r="C350" s="184"/>
      <c r="D350" s="188"/>
      <c r="E350" s="188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0"/>
      <c r="AC350" s="181"/>
      <c r="AD350" s="181"/>
      <c r="AE350" s="181"/>
      <c r="AF350" s="181"/>
    </row>
    <row r="351" spans="2:32">
      <c r="B351" s="181"/>
      <c r="C351" s="184"/>
      <c r="D351" s="188"/>
      <c r="E351" s="188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0"/>
      <c r="AC351" s="181"/>
      <c r="AD351" s="181"/>
      <c r="AE351" s="181"/>
      <c r="AF351" s="181"/>
    </row>
    <row r="352" spans="2:32">
      <c r="B352" s="181"/>
      <c r="C352" s="184"/>
      <c r="D352" s="188"/>
      <c r="E352" s="188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0"/>
      <c r="AC352" s="181"/>
      <c r="AD352" s="181"/>
      <c r="AE352" s="181"/>
      <c r="AF352" s="181"/>
    </row>
    <row r="353" spans="2:32">
      <c r="B353" s="181"/>
      <c r="C353" s="184"/>
      <c r="D353" s="188"/>
      <c r="E353" s="188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0"/>
      <c r="AC353" s="181"/>
      <c r="AD353" s="181"/>
      <c r="AE353" s="181"/>
      <c r="AF353" s="181"/>
    </row>
    <row r="354" spans="2:32">
      <c r="B354" s="181"/>
      <c r="C354" s="184"/>
      <c r="D354" s="188"/>
      <c r="E354" s="188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0"/>
      <c r="AC354" s="181"/>
      <c r="AD354" s="181"/>
      <c r="AE354" s="181"/>
      <c r="AF354" s="181"/>
    </row>
    <row r="355" spans="2:32">
      <c r="B355" s="181"/>
      <c r="C355" s="184"/>
      <c r="D355" s="188"/>
      <c r="E355" s="188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0"/>
      <c r="AC355" s="181"/>
      <c r="AD355" s="181"/>
      <c r="AE355" s="181"/>
      <c r="AF355" s="181"/>
    </row>
    <row r="356" spans="2:32">
      <c r="B356" s="181"/>
      <c r="C356" s="184"/>
      <c r="D356" s="188"/>
      <c r="E356" s="188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0"/>
      <c r="AC356" s="181"/>
      <c r="AD356" s="181"/>
      <c r="AE356" s="181"/>
      <c r="AF356" s="181"/>
    </row>
    <row r="357" spans="2:32">
      <c r="B357" s="181"/>
      <c r="C357" s="184"/>
      <c r="D357" s="188"/>
      <c r="E357" s="188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0"/>
      <c r="AC357" s="181"/>
      <c r="AD357" s="181"/>
      <c r="AE357" s="181"/>
      <c r="AF357" s="181"/>
    </row>
    <row r="358" spans="2:32">
      <c r="B358" s="181"/>
      <c r="C358" s="184"/>
      <c r="D358" s="188"/>
      <c r="E358" s="188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0"/>
      <c r="AC358" s="181"/>
      <c r="AD358" s="181"/>
      <c r="AE358" s="181"/>
      <c r="AF358" s="181"/>
    </row>
    <row r="359" spans="2:32">
      <c r="B359" s="181"/>
      <c r="C359" s="184"/>
      <c r="D359" s="188"/>
      <c r="E359" s="188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0"/>
      <c r="AC359" s="181"/>
      <c r="AD359" s="181"/>
      <c r="AE359" s="181"/>
      <c r="AF359" s="181"/>
    </row>
    <row r="360" spans="2:32">
      <c r="B360" s="181"/>
      <c r="C360" s="184"/>
      <c r="D360" s="188"/>
      <c r="E360" s="188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0"/>
      <c r="AC360" s="181"/>
      <c r="AD360" s="181"/>
      <c r="AE360" s="181"/>
      <c r="AF360" s="181"/>
    </row>
    <row r="361" spans="2:32">
      <c r="B361" s="181"/>
      <c r="C361" s="184"/>
      <c r="D361" s="188"/>
      <c r="E361" s="188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0"/>
      <c r="AC361" s="181"/>
      <c r="AD361" s="181"/>
      <c r="AE361" s="181"/>
      <c r="AF361" s="181"/>
    </row>
    <row r="362" spans="2:32">
      <c r="B362" s="181"/>
      <c r="C362" s="184"/>
      <c r="D362" s="188"/>
      <c r="E362" s="188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0"/>
      <c r="AC362" s="181"/>
      <c r="AD362" s="181"/>
      <c r="AE362" s="181"/>
      <c r="AF362" s="181"/>
    </row>
    <row r="363" spans="2:32">
      <c r="B363" s="181"/>
      <c r="C363" s="184"/>
      <c r="D363" s="188"/>
      <c r="E363" s="188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0"/>
      <c r="AC363" s="181"/>
      <c r="AD363" s="181"/>
      <c r="AE363" s="181"/>
      <c r="AF363" s="181"/>
    </row>
    <row r="364" spans="2:32">
      <c r="B364" s="181"/>
      <c r="C364" s="184"/>
      <c r="D364" s="188"/>
      <c r="E364" s="188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0"/>
      <c r="AC364" s="181"/>
      <c r="AD364" s="181"/>
      <c r="AE364" s="181"/>
      <c r="AF364" s="181"/>
    </row>
    <row r="365" spans="2:32">
      <c r="B365" s="181"/>
      <c r="C365" s="184"/>
      <c r="D365" s="188"/>
      <c r="E365" s="188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0"/>
      <c r="AC365" s="181"/>
      <c r="AD365" s="181"/>
      <c r="AE365" s="181"/>
      <c r="AF365" s="181"/>
    </row>
    <row r="366" spans="2:32">
      <c r="B366" s="181"/>
      <c r="C366" s="184"/>
      <c r="D366" s="188"/>
      <c r="E366" s="188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  <c r="X366" s="181"/>
      <c r="Y366" s="181"/>
      <c r="Z366" s="181"/>
      <c r="AA366" s="181"/>
      <c r="AB366" s="180"/>
      <c r="AC366" s="181"/>
      <c r="AD366" s="181"/>
      <c r="AE366" s="181"/>
      <c r="AF366" s="181"/>
    </row>
    <row r="367" spans="2:32">
      <c r="B367" s="181"/>
      <c r="C367" s="184"/>
      <c r="D367" s="188"/>
      <c r="E367" s="188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  <c r="X367" s="181"/>
      <c r="Y367" s="181"/>
      <c r="Z367" s="181"/>
      <c r="AA367" s="181"/>
      <c r="AB367" s="180"/>
      <c r="AC367" s="181"/>
      <c r="AD367" s="181"/>
      <c r="AE367" s="181"/>
      <c r="AF367" s="181"/>
    </row>
    <row r="368" spans="2:32">
      <c r="B368" s="181"/>
      <c r="C368" s="184"/>
      <c r="D368" s="188"/>
      <c r="E368" s="188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  <c r="X368" s="181"/>
      <c r="Y368" s="181"/>
      <c r="Z368" s="181"/>
      <c r="AA368" s="181"/>
      <c r="AB368" s="180"/>
      <c r="AC368" s="181"/>
      <c r="AD368" s="181"/>
      <c r="AE368" s="181"/>
      <c r="AF368" s="181"/>
    </row>
    <row r="369" spans="2:32">
      <c r="B369" s="181"/>
      <c r="C369" s="184"/>
      <c r="D369" s="188"/>
      <c r="E369" s="188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  <c r="X369" s="181"/>
      <c r="Y369" s="181"/>
      <c r="Z369" s="181"/>
      <c r="AA369" s="181"/>
      <c r="AB369" s="180"/>
      <c r="AC369" s="181"/>
      <c r="AD369" s="181"/>
      <c r="AE369" s="181"/>
      <c r="AF369" s="181"/>
    </row>
    <row r="370" spans="2:32">
      <c r="B370" s="181"/>
      <c r="C370" s="184"/>
      <c r="D370" s="188"/>
      <c r="E370" s="188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  <c r="X370" s="181"/>
      <c r="Y370" s="181"/>
      <c r="Z370" s="181"/>
      <c r="AA370" s="181"/>
      <c r="AB370" s="180"/>
      <c r="AC370" s="181"/>
      <c r="AD370" s="181"/>
      <c r="AE370" s="181"/>
      <c r="AF370" s="181"/>
    </row>
    <row r="371" spans="2:32">
      <c r="B371" s="181"/>
      <c r="C371" s="184"/>
      <c r="D371" s="188"/>
      <c r="E371" s="188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  <c r="X371" s="181"/>
      <c r="Y371" s="181"/>
      <c r="Z371" s="181"/>
      <c r="AA371" s="181"/>
      <c r="AB371" s="180"/>
      <c r="AC371" s="181"/>
      <c r="AD371" s="181"/>
      <c r="AE371" s="181"/>
      <c r="AF371" s="181"/>
    </row>
    <row r="372" spans="2:32">
      <c r="B372" s="181"/>
      <c r="C372" s="184"/>
      <c r="D372" s="188"/>
      <c r="E372" s="188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  <c r="X372" s="181"/>
      <c r="Y372" s="181"/>
      <c r="Z372" s="181"/>
      <c r="AA372" s="181"/>
      <c r="AB372" s="180"/>
      <c r="AC372" s="181"/>
      <c r="AD372" s="181"/>
      <c r="AE372" s="181"/>
      <c r="AF372" s="181"/>
    </row>
    <row r="373" spans="2:32">
      <c r="B373" s="181"/>
      <c r="C373" s="184"/>
      <c r="D373" s="188"/>
      <c r="E373" s="188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0"/>
      <c r="AC373" s="181"/>
      <c r="AD373" s="181"/>
      <c r="AE373" s="181"/>
      <c r="AF373" s="181"/>
    </row>
    <row r="374" spans="2:32">
      <c r="B374" s="181"/>
      <c r="C374" s="184"/>
      <c r="D374" s="188"/>
      <c r="E374" s="188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0"/>
      <c r="AC374" s="181"/>
      <c r="AD374" s="181"/>
      <c r="AE374" s="181"/>
      <c r="AF374" s="181"/>
    </row>
    <row r="375" spans="2:32">
      <c r="B375" s="181"/>
      <c r="C375" s="184"/>
      <c r="D375" s="188"/>
      <c r="E375" s="188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0"/>
      <c r="AC375" s="181"/>
      <c r="AD375" s="181"/>
      <c r="AE375" s="181"/>
      <c r="AF375" s="181"/>
    </row>
    <row r="376" spans="2:32">
      <c r="B376" s="181"/>
      <c r="C376" s="184"/>
      <c r="D376" s="188"/>
      <c r="E376" s="188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0"/>
      <c r="AC376" s="181"/>
      <c r="AD376" s="181"/>
      <c r="AE376" s="181"/>
      <c r="AF376" s="181"/>
    </row>
    <row r="377" spans="2:32">
      <c r="B377" s="181"/>
      <c r="C377" s="184"/>
      <c r="D377" s="188"/>
      <c r="E377" s="188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0"/>
      <c r="AC377" s="181"/>
      <c r="AD377" s="181"/>
      <c r="AE377" s="181"/>
      <c r="AF377" s="181"/>
    </row>
    <row r="378" spans="2:32">
      <c r="B378" s="181"/>
      <c r="C378" s="184"/>
      <c r="D378" s="188"/>
      <c r="E378" s="188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0"/>
      <c r="AC378" s="181"/>
      <c r="AD378" s="181"/>
      <c r="AE378" s="181"/>
      <c r="AF378" s="181"/>
    </row>
    <row r="379" spans="2:32">
      <c r="B379" s="181"/>
      <c r="C379" s="184"/>
      <c r="D379" s="188"/>
      <c r="E379" s="188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0"/>
      <c r="AC379" s="181"/>
      <c r="AD379" s="181"/>
      <c r="AE379" s="181"/>
      <c r="AF379" s="181"/>
    </row>
    <row r="380" spans="2:32">
      <c r="B380" s="181"/>
      <c r="C380" s="184"/>
      <c r="D380" s="188"/>
      <c r="E380" s="188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0"/>
      <c r="AC380" s="181"/>
      <c r="AD380" s="181"/>
      <c r="AE380" s="181"/>
      <c r="AF380" s="181"/>
    </row>
    <row r="381" spans="2:32">
      <c r="B381" s="181"/>
      <c r="C381" s="184"/>
      <c r="D381" s="188"/>
      <c r="E381" s="188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0"/>
      <c r="AC381" s="181"/>
      <c r="AD381" s="181"/>
      <c r="AE381" s="181"/>
      <c r="AF381" s="181"/>
    </row>
    <row r="382" spans="2:32">
      <c r="B382" s="181"/>
      <c r="C382" s="184"/>
      <c r="D382" s="188"/>
      <c r="E382" s="188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0"/>
      <c r="AC382" s="181"/>
      <c r="AD382" s="181"/>
      <c r="AE382" s="181"/>
      <c r="AF382" s="181"/>
    </row>
    <row r="383" spans="2:32">
      <c r="B383" s="181"/>
      <c r="C383" s="184"/>
      <c r="D383" s="188"/>
      <c r="E383" s="188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0"/>
      <c r="AC383" s="181"/>
      <c r="AD383" s="181"/>
      <c r="AE383" s="181"/>
      <c r="AF383" s="181"/>
    </row>
    <row r="384" spans="2:32">
      <c r="B384" s="181"/>
      <c r="C384" s="184"/>
      <c r="D384" s="188"/>
      <c r="E384" s="188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0"/>
      <c r="AC384" s="181"/>
      <c r="AD384" s="181"/>
      <c r="AE384" s="181"/>
      <c r="AF384" s="181"/>
    </row>
    <row r="385" spans="2:32">
      <c r="B385" s="181"/>
      <c r="C385" s="184"/>
      <c r="D385" s="188"/>
      <c r="E385" s="188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0"/>
      <c r="AC385" s="181"/>
      <c r="AD385" s="181"/>
      <c r="AE385" s="181"/>
      <c r="AF385" s="181"/>
    </row>
    <row r="386" spans="2:32">
      <c r="B386" s="181"/>
      <c r="C386" s="184"/>
      <c r="D386" s="188"/>
      <c r="E386" s="188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0"/>
      <c r="AC386" s="181"/>
      <c r="AD386" s="181"/>
      <c r="AE386" s="181"/>
      <c r="AF386" s="181"/>
    </row>
    <row r="387" spans="2:32">
      <c r="B387" s="181"/>
      <c r="C387" s="184"/>
      <c r="D387" s="188"/>
      <c r="E387" s="188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0"/>
      <c r="AC387" s="181"/>
      <c r="AD387" s="181"/>
      <c r="AE387" s="181"/>
      <c r="AF387" s="181"/>
    </row>
    <row r="388" spans="2:32">
      <c r="B388" s="181"/>
      <c r="C388" s="184"/>
      <c r="D388" s="188"/>
      <c r="E388" s="188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0"/>
      <c r="AC388" s="181"/>
      <c r="AD388" s="181"/>
      <c r="AE388" s="181"/>
      <c r="AF388" s="181"/>
    </row>
    <row r="389" spans="2:32">
      <c r="B389" s="181"/>
      <c r="C389" s="184"/>
      <c r="D389" s="188"/>
      <c r="E389" s="188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  <c r="X389" s="181"/>
      <c r="Y389" s="181"/>
      <c r="Z389" s="181"/>
      <c r="AA389" s="181"/>
      <c r="AB389" s="180"/>
      <c r="AC389" s="181"/>
      <c r="AD389" s="181"/>
      <c r="AE389" s="181"/>
      <c r="AF389" s="181"/>
    </row>
    <row r="390" spans="2:32">
      <c r="B390" s="181"/>
      <c r="C390" s="184"/>
      <c r="D390" s="188"/>
      <c r="E390" s="188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  <c r="X390" s="181"/>
      <c r="Y390" s="181"/>
      <c r="Z390" s="181"/>
      <c r="AA390" s="181"/>
      <c r="AB390" s="180"/>
      <c r="AC390" s="181"/>
      <c r="AD390" s="181"/>
      <c r="AE390" s="181"/>
      <c r="AF390" s="181"/>
    </row>
    <row r="391" spans="2:32">
      <c r="B391" s="181"/>
      <c r="C391" s="184"/>
      <c r="D391" s="188"/>
      <c r="E391" s="188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  <c r="X391" s="181"/>
      <c r="Y391" s="181"/>
      <c r="Z391" s="181"/>
      <c r="AA391" s="181"/>
      <c r="AB391" s="180"/>
      <c r="AC391" s="181"/>
      <c r="AD391" s="181"/>
      <c r="AE391" s="181"/>
      <c r="AF391" s="181"/>
    </row>
    <row r="392" spans="2:32">
      <c r="B392" s="181"/>
      <c r="C392" s="184"/>
      <c r="D392" s="188"/>
      <c r="E392" s="188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  <c r="X392" s="181"/>
      <c r="Y392" s="181"/>
      <c r="Z392" s="181"/>
      <c r="AA392" s="181"/>
      <c r="AB392" s="180"/>
      <c r="AC392" s="181"/>
      <c r="AD392" s="181"/>
      <c r="AE392" s="181"/>
      <c r="AF392" s="181"/>
    </row>
    <row r="393" spans="2:32">
      <c r="B393" s="181"/>
      <c r="C393" s="184"/>
      <c r="D393" s="188"/>
      <c r="E393" s="188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  <c r="X393" s="181"/>
      <c r="Y393" s="181"/>
      <c r="Z393" s="181"/>
      <c r="AA393" s="181"/>
      <c r="AB393" s="180"/>
      <c r="AC393" s="181"/>
      <c r="AD393" s="181"/>
      <c r="AE393" s="181"/>
      <c r="AF393" s="181"/>
    </row>
    <row r="394" spans="2:32">
      <c r="B394" s="181"/>
      <c r="C394" s="184"/>
      <c r="D394" s="188"/>
      <c r="E394" s="188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  <c r="X394" s="181"/>
      <c r="Y394" s="181"/>
      <c r="Z394" s="181"/>
      <c r="AA394" s="181"/>
      <c r="AB394" s="180"/>
      <c r="AC394" s="181"/>
      <c r="AD394" s="181"/>
      <c r="AE394" s="181"/>
      <c r="AF394" s="181"/>
    </row>
    <row r="395" spans="2:32">
      <c r="B395" s="181"/>
      <c r="C395" s="184"/>
      <c r="D395" s="188"/>
      <c r="E395" s="188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  <c r="X395" s="181"/>
      <c r="Y395" s="181"/>
      <c r="Z395" s="181"/>
      <c r="AA395" s="181"/>
      <c r="AB395" s="180"/>
      <c r="AC395" s="181"/>
      <c r="AD395" s="181"/>
      <c r="AE395" s="181"/>
      <c r="AF395" s="181"/>
    </row>
    <row r="396" spans="2:32">
      <c r="B396" s="181"/>
      <c r="C396" s="184"/>
      <c r="D396" s="188"/>
      <c r="E396" s="188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0"/>
      <c r="AC396" s="181"/>
      <c r="AD396" s="181"/>
      <c r="AE396" s="181"/>
      <c r="AF396" s="181"/>
    </row>
    <row r="397" spans="2:32">
      <c r="B397" s="181"/>
      <c r="C397" s="184"/>
      <c r="D397" s="188"/>
      <c r="E397" s="188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0"/>
      <c r="AC397" s="181"/>
      <c r="AD397" s="181"/>
      <c r="AE397" s="181"/>
      <c r="AF397" s="181"/>
    </row>
    <row r="398" spans="2:32">
      <c r="B398" s="181"/>
      <c r="C398" s="184"/>
      <c r="D398" s="188"/>
      <c r="E398" s="188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0"/>
      <c r="AC398" s="181"/>
      <c r="AD398" s="181"/>
      <c r="AE398" s="181"/>
      <c r="AF398" s="181"/>
    </row>
    <row r="399" spans="2:32">
      <c r="B399" s="181"/>
      <c r="C399" s="184"/>
      <c r="D399" s="188"/>
      <c r="E399" s="188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0"/>
      <c r="AC399" s="181"/>
      <c r="AD399" s="181"/>
      <c r="AE399" s="181"/>
      <c r="AF399" s="181"/>
    </row>
    <row r="400" spans="2:32">
      <c r="B400" s="181"/>
      <c r="C400" s="184"/>
      <c r="D400" s="188"/>
      <c r="E400" s="188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0"/>
      <c r="AC400" s="181"/>
      <c r="AD400" s="181"/>
      <c r="AE400" s="181"/>
      <c r="AF400" s="181"/>
    </row>
    <row r="401" spans="2:32">
      <c r="B401" s="181"/>
      <c r="C401" s="184"/>
      <c r="D401" s="188"/>
      <c r="E401" s="188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0"/>
      <c r="AC401" s="181"/>
      <c r="AD401" s="181"/>
      <c r="AE401" s="181"/>
      <c r="AF401" s="181"/>
    </row>
    <row r="402" spans="2:32">
      <c r="B402" s="181"/>
      <c r="C402" s="184"/>
      <c r="D402" s="188"/>
      <c r="E402" s="188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0"/>
      <c r="AC402" s="181"/>
      <c r="AD402" s="181"/>
      <c r="AE402" s="181"/>
      <c r="AF402" s="181"/>
    </row>
    <row r="403" spans="2:32">
      <c r="B403" s="181"/>
      <c r="C403" s="184"/>
      <c r="D403" s="188"/>
      <c r="E403" s="188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0"/>
      <c r="AC403" s="181"/>
      <c r="AD403" s="181"/>
      <c r="AE403" s="181"/>
      <c r="AF403" s="181"/>
    </row>
    <row r="404" spans="2:32">
      <c r="B404" s="181"/>
      <c r="C404" s="184"/>
      <c r="D404" s="188"/>
      <c r="E404" s="188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0"/>
      <c r="AC404" s="181"/>
      <c r="AD404" s="181"/>
      <c r="AE404" s="181"/>
      <c r="AF404" s="181"/>
    </row>
    <row r="405" spans="2:32">
      <c r="B405" s="181"/>
      <c r="C405" s="184"/>
      <c r="D405" s="188"/>
      <c r="E405" s="188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0"/>
      <c r="AC405" s="181"/>
      <c r="AD405" s="181"/>
      <c r="AE405" s="181"/>
      <c r="AF405" s="181"/>
    </row>
    <row r="406" spans="2:32">
      <c r="B406" s="181"/>
      <c r="C406" s="184"/>
      <c r="D406" s="188"/>
      <c r="E406" s="188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0"/>
      <c r="AC406" s="181"/>
      <c r="AD406" s="181"/>
      <c r="AE406" s="181"/>
      <c r="AF406" s="181"/>
    </row>
    <row r="407" spans="2:32">
      <c r="B407" s="181"/>
      <c r="C407" s="184"/>
      <c r="D407" s="188"/>
      <c r="E407" s="188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0"/>
      <c r="AC407" s="181"/>
      <c r="AD407" s="181"/>
      <c r="AE407" s="181"/>
      <c r="AF407" s="181"/>
    </row>
    <row r="408" spans="2:32">
      <c r="B408" s="181"/>
      <c r="C408" s="184"/>
      <c r="D408" s="188"/>
      <c r="E408" s="188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0"/>
      <c r="AC408" s="181"/>
      <c r="AD408" s="181"/>
      <c r="AE408" s="181"/>
      <c r="AF408" s="181"/>
    </row>
    <row r="409" spans="2:32">
      <c r="B409" s="181"/>
      <c r="C409" s="184"/>
      <c r="D409" s="188"/>
      <c r="E409" s="188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0"/>
      <c r="AC409" s="181"/>
      <c r="AD409" s="181"/>
      <c r="AE409" s="181"/>
      <c r="AF409" s="181"/>
    </row>
    <row r="410" spans="2:32">
      <c r="B410" s="181"/>
      <c r="C410" s="184"/>
      <c r="D410" s="188"/>
      <c r="E410" s="188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0"/>
      <c r="AC410" s="181"/>
      <c r="AD410" s="181"/>
      <c r="AE410" s="181"/>
      <c r="AF410" s="181"/>
    </row>
    <row r="411" spans="2:32">
      <c r="B411" s="181"/>
      <c r="C411" s="184"/>
      <c r="D411" s="188"/>
      <c r="E411" s="188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0"/>
      <c r="AC411" s="181"/>
      <c r="AD411" s="181"/>
      <c r="AE411" s="181"/>
      <c r="AF411" s="181"/>
    </row>
    <row r="412" spans="2:32">
      <c r="B412" s="181"/>
      <c r="C412" s="184"/>
      <c r="D412" s="188"/>
      <c r="E412" s="188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  <c r="X412" s="181"/>
      <c r="Y412" s="181"/>
      <c r="Z412" s="181"/>
      <c r="AA412" s="181"/>
      <c r="AB412" s="180"/>
      <c r="AC412" s="181"/>
      <c r="AD412" s="181"/>
      <c r="AE412" s="181"/>
      <c r="AF412" s="181"/>
    </row>
    <row r="413" spans="2:32">
      <c r="B413" s="181"/>
      <c r="C413" s="184"/>
      <c r="D413" s="188"/>
      <c r="E413" s="188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  <c r="X413" s="181"/>
      <c r="Y413" s="181"/>
      <c r="Z413" s="181"/>
      <c r="AA413" s="181"/>
      <c r="AB413" s="180"/>
      <c r="AC413" s="181"/>
      <c r="AD413" s="181"/>
      <c r="AE413" s="181"/>
      <c r="AF413" s="181"/>
    </row>
    <row r="414" spans="2:32">
      <c r="B414" s="181"/>
      <c r="C414" s="184"/>
      <c r="D414" s="188"/>
      <c r="E414" s="188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  <c r="X414" s="181"/>
      <c r="Y414" s="181"/>
      <c r="Z414" s="181"/>
      <c r="AA414" s="181"/>
      <c r="AB414" s="180"/>
      <c r="AC414" s="181"/>
      <c r="AD414" s="181"/>
      <c r="AE414" s="181"/>
      <c r="AF414" s="181"/>
    </row>
    <row r="415" spans="2:32">
      <c r="B415" s="181"/>
      <c r="C415" s="184"/>
      <c r="D415" s="188"/>
      <c r="E415" s="188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  <c r="X415" s="181"/>
      <c r="Y415" s="181"/>
      <c r="Z415" s="181"/>
      <c r="AA415" s="181"/>
      <c r="AB415" s="180"/>
      <c r="AC415" s="181"/>
      <c r="AD415" s="181"/>
      <c r="AE415" s="181"/>
      <c r="AF415" s="181"/>
    </row>
    <row r="416" spans="2:32">
      <c r="B416" s="181"/>
      <c r="C416" s="184"/>
      <c r="D416" s="188"/>
      <c r="E416" s="188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  <c r="X416" s="181"/>
      <c r="Y416" s="181"/>
      <c r="Z416" s="181"/>
      <c r="AA416" s="181"/>
      <c r="AB416" s="180"/>
      <c r="AC416" s="181"/>
      <c r="AD416" s="181"/>
      <c r="AE416" s="181"/>
      <c r="AF416" s="181"/>
    </row>
    <row r="417" spans="2:32">
      <c r="B417" s="181"/>
      <c r="C417" s="184"/>
      <c r="D417" s="188"/>
      <c r="E417" s="188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  <c r="X417" s="181"/>
      <c r="Y417" s="181"/>
      <c r="Z417" s="181"/>
      <c r="AA417" s="181"/>
      <c r="AB417" s="180"/>
      <c r="AC417" s="181"/>
      <c r="AD417" s="181"/>
      <c r="AE417" s="181"/>
      <c r="AF417" s="181"/>
    </row>
    <row r="418" spans="2:32">
      <c r="B418" s="181"/>
      <c r="C418" s="184"/>
      <c r="D418" s="188"/>
      <c r="E418" s="188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  <c r="X418" s="181"/>
      <c r="Y418" s="181"/>
      <c r="Z418" s="181"/>
      <c r="AA418" s="181"/>
      <c r="AB418" s="180"/>
      <c r="AC418" s="181"/>
      <c r="AD418" s="181"/>
      <c r="AE418" s="181"/>
      <c r="AF418" s="181"/>
    </row>
    <row r="419" spans="2:32">
      <c r="B419" s="181"/>
      <c r="C419" s="184"/>
      <c r="D419" s="188"/>
      <c r="E419" s="188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  <c r="X419" s="181"/>
      <c r="Y419" s="181"/>
      <c r="Z419" s="181"/>
      <c r="AA419" s="181"/>
      <c r="AB419" s="180"/>
      <c r="AC419" s="181"/>
      <c r="AD419" s="181"/>
      <c r="AE419" s="181"/>
      <c r="AF419" s="181"/>
    </row>
    <row r="420" spans="2:32">
      <c r="B420" s="181"/>
      <c r="C420" s="184"/>
      <c r="D420" s="188"/>
      <c r="E420" s="188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  <c r="X420" s="181"/>
      <c r="Y420" s="181"/>
      <c r="Z420" s="181"/>
      <c r="AA420" s="181"/>
      <c r="AB420" s="180"/>
      <c r="AC420" s="181"/>
      <c r="AD420" s="181"/>
      <c r="AE420" s="181"/>
      <c r="AF420" s="181"/>
    </row>
    <row r="421" spans="2:32">
      <c r="B421" s="181"/>
      <c r="C421" s="184"/>
      <c r="D421" s="188"/>
      <c r="E421" s="188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  <c r="X421" s="181"/>
      <c r="Y421" s="181"/>
      <c r="Z421" s="181"/>
      <c r="AA421" s="181"/>
      <c r="AB421" s="180"/>
      <c r="AC421" s="181"/>
      <c r="AD421" s="181"/>
      <c r="AE421" s="181"/>
      <c r="AF421" s="181"/>
    </row>
    <row r="422" spans="2:32">
      <c r="B422" s="181"/>
      <c r="C422" s="184"/>
      <c r="D422" s="188"/>
      <c r="E422" s="188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  <c r="X422" s="181"/>
      <c r="Y422" s="181"/>
      <c r="Z422" s="181"/>
      <c r="AA422" s="181"/>
      <c r="AB422" s="180"/>
      <c r="AC422" s="181"/>
      <c r="AD422" s="181"/>
      <c r="AE422" s="181"/>
      <c r="AF422" s="181"/>
    </row>
    <row r="423" spans="2:32">
      <c r="B423" s="181"/>
      <c r="C423" s="184"/>
      <c r="D423" s="188"/>
      <c r="E423" s="188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  <c r="X423" s="181"/>
      <c r="Y423" s="181"/>
      <c r="Z423" s="181"/>
      <c r="AA423" s="181"/>
      <c r="AB423" s="180"/>
      <c r="AC423" s="181"/>
      <c r="AD423" s="181"/>
      <c r="AE423" s="181"/>
      <c r="AF423" s="181"/>
    </row>
    <row r="424" spans="2:32">
      <c r="B424" s="181"/>
      <c r="C424" s="184"/>
      <c r="D424" s="188"/>
      <c r="E424" s="188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  <c r="X424" s="181"/>
      <c r="Y424" s="181"/>
      <c r="Z424" s="181"/>
      <c r="AA424" s="181"/>
      <c r="AB424" s="180"/>
      <c r="AC424" s="181"/>
      <c r="AD424" s="181"/>
      <c r="AE424" s="181"/>
      <c r="AF424" s="181"/>
    </row>
    <row r="425" spans="2:32">
      <c r="B425" s="181"/>
      <c r="C425" s="184"/>
      <c r="D425" s="188"/>
      <c r="E425" s="188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  <c r="X425" s="181"/>
      <c r="Y425" s="181"/>
      <c r="Z425" s="181"/>
      <c r="AA425" s="181"/>
      <c r="AB425" s="180"/>
      <c r="AC425" s="181"/>
      <c r="AD425" s="181"/>
      <c r="AE425" s="181"/>
      <c r="AF425" s="181"/>
    </row>
    <row r="426" spans="2:32">
      <c r="B426" s="181"/>
      <c r="C426" s="184"/>
      <c r="D426" s="188"/>
      <c r="E426" s="188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  <c r="X426" s="181"/>
      <c r="Y426" s="181"/>
      <c r="Z426" s="181"/>
      <c r="AA426" s="181"/>
      <c r="AB426" s="180"/>
      <c r="AC426" s="181"/>
      <c r="AD426" s="181"/>
      <c r="AE426" s="181"/>
      <c r="AF426" s="181"/>
    </row>
    <row r="427" spans="2:32">
      <c r="B427" s="181"/>
      <c r="C427" s="184"/>
      <c r="D427" s="188"/>
      <c r="E427" s="188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  <c r="X427" s="181"/>
      <c r="Y427" s="181"/>
      <c r="Z427" s="181"/>
      <c r="AA427" s="181"/>
      <c r="AB427" s="180"/>
      <c r="AC427" s="181"/>
      <c r="AD427" s="181"/>
      <c r="AE427" s="181"/>
      <c r="AF427" s="181"/>
    </row>
    <row r="428" spans="2:32">
      <c r="B428" s="181"/>
      <c r="C428" s="184"/>
      <c r="D428" s="188"/>
      <c r="E428" s="188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  <c r="X428" s="181"/>
      <c r="Y428" s="181"/>
      <c r="Z428" s="181"/>
      <c r="AA428" s="181"/>
      <c r="AB428" s="180"/>
      <c r="AC428" s="181"/>
      <c r="AD428" s="181"/>
      <c r="AE428" s="181"/>
      <c r="AF428" s="181"/>
    </row>
    <row r="429" spans="2:32">
      <c r="B429" s="181"/>
      <c r="C429" s="184"/>
      <c r="D429" s="188"/>
      <c r="E429" s="188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  <c r="X429" s="181"/>
      <c r="Y429" s="181"/>
      <c r="Z429" s="181"/>
      <c r="AA429" s="181"/>
      <c r="AB429" s="180"/>
      <c r="AC429" s="181"/>
      <c r="AD429" s="181"/>
      <c r="AE429" s="181"/>
      <c r="AF429" s="181"/>
    </row>
    <row r="430" spans="2:32">
      <c r="B430" s="181"/>
      <c r="C430" s="184"/>
      <c r="D430" s="188"/>
      <c r="E430" s="188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  <c r="X430" s="181"/>
      <c r="Y430" s="181"/>
      <c r="Z430" s="181"/>
      <c r="AA430" s="181"/>
      <c r="AB430" s="180"/>
      <c r="AC430" s="181"/>
      <c r="AD430" s="181"/>
      <c r="AE430" s="181"/>
      <c r="AF430" s="181"/>
    </row>
    <row r="431" spans="2:32">
      <c r="B431" s="181"/>
      <c r="C431" s="184"/>
      <c r="D431" s="188"/>
      <c r="E431" s="188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  <c r="X431" s="181"/>
      <c r="Y431" s="181"/>
      <c r="Z431" s="181"/>
      <c r="AA431" s="181"/>
      <c r="AB431" s="180"/>
      <c r="AC431" s="181"/>
      <c r="AD431" s="181"/>
      <c r="AE431" s="181"/>
      <c r="AF431" s="181"/>
    </row>
    <row r="432" spans="2:32">
      <c r="B432" s="181"/>
      <c r="C432" s="184"/>
      <c r="D432" s="188"/>
      <c r="E432" s="188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  <c r="X432" s="181"/>
      <c r="Y432" s="181"/>
      <c r="Z432" s="181"/>
      <c r="AA432" s="181"/>
      <c r="AB432" s="180"/>
      <c r="AC432" s="181"/>
      <c r="AD432" s="181"/>
      <c r="AE432" s="181"/>
      <c r="AF432" s="181"/>
    </row>
    <row r="433" spans="2:32">
      <c r="B433" s="181"/>
      <c r="C433" s="184"/>
      <c r="D433" s="188"/>
      <c r="E433" s="188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  <c r="X433" s="181"/>
      <c r="Y433" s="181"/>
      <c r="Z433" s="181"/>
      <c r="AA433" s="181"/>
      <c r="AB433" s="180"/>
      <c r="AC433" s="181"/>
      <c r="AD433" s="181"/>
      <c r="AE433" s="181"/>
      <c r="AF433" s="181"/>
    </row>
    <row r="434" spans="2:32">
      <c r="B434" s="181"/>
      <c r="C434" s="184"/>
      <c r="D434" s="188"/>
      <c r="E434" s="188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  <c r="X434" s="181"/>
      <c r="Y434" s="181"/>
      <c r="Z434" s="181"/>
      <c r="AA434" s="181"/>
      <c r="AB434" s="180"/>
      <c r="AC434" s="181"/>
      <c r="AD434" s="181"/>
      <c r="AE434" s="181"/>
      <c r="AF434" s="181"/>
    </row>
    <row r="435" spans="2:32">
      <c r="B435" s="181"/>
      <c r="C435" s="184"/>
      <c r="D435" s="188"/>
      <c r="E435" s="188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  <c r="X435" s="181"/>
      <c r="Y435" s="181"/>
      <c r="Z435" s="181"/>
      <c r="AA435" s="181"/>
      <c r="AB435" s="180"/>
      <c r="AC435" s="181"/>
      <c r="AD435" s="181"/>
      <c r="AE435" s="181"/>
      <c r="AF435" s="181"/>
    </row>
    <row r="436" spans="2:32">
      <c r="B436" s="181"/>
      <c r="C436" s="184"/>
      <c r="D436" s="188"/>
      <c r="E436" s="188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  <c r="X436" s="181"/>
      <c r="Y436" s="181"/>
      <c r="Z436" s="181"/>
      <c r="AA436" s="181"/>
      <c r="AB436" s="180"/>
      <c r="AC436" s="181"/>
      <c r="AD436" s="181"/>
      <c r="AE436" s="181"/>
      <c r="AF436" s="181"/>
    </row>
    <row r="437" spans="2:32">
      <c r="B437" s="181"/>
      <c r="C437" s="184"/>
      <c r="D437" s="188"/>
      <c r="E437" s="188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  <c r="X437" s="181"/>
      <c r="Y437" s="181"/>
      <c r="Z437" s="181"/>
      <c r="AA437" s="181"/>
      <c r="AB437" s="180"/>
      <c r="AC437" s="181"/>
      <c r="AD437" s="181"/>
      <c r="AE437" s="181"/>
      <c r="AF437" s="181"/>
    </row>
    <row r="438" spans="2:32">
      <c r="B438" s="181"/>
      <c r="C438" s="184"/>
      <c r="D438" s="188"/>
      <c r="E438" s="188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  <c r="X438" s="181"/>
      <c r="Y438" s="181"/>
      <c r="Z438" s="181"/>
      <c r="AA438" s="181"/>
      <c r="AB438" s="180"/>
      <c r="AC438" s="181"/>
      <c r="AD438" s="181"/>
      <c r="AE438" s="181"/>
      <c r="AF438" s="181"/>
    </row>
    <row r="439" spans="2:32">
      <c r="B439" s="181"/>
      <c r="C439" s="184"/>
      <c r="D439" s="188"/>
      <c r="E439" s="188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  <c r="X439" s="181"/>
      <c r="Y439" s="181"/>
      <c r="Z439" s="181"/>
      <c r="AA439" s="181"/>
      <c r="AB439" s="180"/>
      <c r="AC439" s="181"/>
      <c r="AD439" s="181"/>
      <c r="AE439" s="181"/>
      <c r="AF439" s="181"/>
    </row>
    <row r="440" spans="2:32">
      <c r="B440" s="181"/>
      <c r="C440" s="184"/>
      <c r="D440" s="188"/>
      <c r="E440" s="188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  <c r="X440" s="181"/>
      <c r="Y440" s="181"/>
      <c r="Z440" s="181"/>
      <c r="AA440" s="181"/>
      <c r="AB440" s="180"/>
      <c r="AC440" s="181"/>
      <c r="AD440" s="181"/>
      <c r="AE440" s="181"/>
      <c r="AF440" s="181"/>
    </row>
    <row r="441" spans="2:32">
      <c r="B441" s="181"/>
      <c r="C441" s="184"/>
      <c r="D441" s="188"/>
      <c r="E441" s="188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  <c r="X441" s="181"/>
      <c r="Y441" s="181"/>
      <c r="Z441" s="181"/>
      <c r="AA441" s="181"/>
      <c r="AB441" s="180"/>
      <c r="AC441" s="181"/>
      <c r="AD441" s="181"/>
      <c r="AE441" s="181"/>
      <c r="AF441" s="181"/>
    </row>
    <row r="442" spans="2:32">
      <c r="B442" s="181"/>
      <c r="C442" s="184"/>
      <c r="D442" s="188"/>
      <c r="E442" s="188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  <c r="X442" s="181"/>
      <c r="Y442" s="181"/>
      <c r="Z442" s="181"/>
      <c r="AA442" s="181"/>
      <c r="AB442" s="180"/>
      <c r="AC442" s="181"/>
      <c r="AD442" s="181"/>
      <c r="AE442" s="181"/>
      <c r="AF442" s="181"/>
    </row>
    <row r="443" spans="2:32">
      <c r="B443" s="181"/>
      <c r="C443" s="184"/>
      <c r="D443" s="188"/>
      <c r="E443" s="188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  <c r="X443" s="181"/>
      <c r="Y443" s="181"/>
      <c r="Z443" s="181"/>
      <c r="AA443" s="181"/>
      <c r="AB443" s="180"/>
      <c r="AC443" s="181"/>
      <c r="AD443" s="181"/>
      <c r="AE443" s="181"/>
      <c r="AF443" s="181"/>
    </row>
    <row r="444" spans="2:32">
      <c r="B444" s="181"/>
      <c r="C444" s="184"/>
      <c r="D444" s="188"/>
      <c r="E444" s="188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  <c r="X444" s="181"/>
      <c r="Y444" s="181"/>
      <c r="Z444" s="181"/>
      <c r="AA444" s="181"/>
      <c r="AB444" s="180"/>
      <c r="AC444" s="181"/>
      <c r="AD444" s="181"/>
      <c r="AE444" s="181"/>
      <c r="AF444" s="181"/>
    </row>
    <row r="445" spans="2:32">
      <c r="B445" s="181"/>
      <c r="C445" s="184"/>
      <c r="D445" s="188"/>
      <c r="E445" s="188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  <c r="X445" s="181"/>
      <c r="Y445" s="181"/>
      <c r="Z445" s="181"/>
      <c r="AA445" s="181"/>
      <c r="AB445" s="180"/>
      <c r="AC445" s="181"/>
      <c r="AD445" s="181"/>
      <c r="AE445" s="181"/>
      <c r="AF445" s="181"/>
    </row>
    <row r="446" spans="2:32">
      <c r="B446" s="181"/>
      <c r="C446" s="184"/>
      <c r="D446" s="188"/>
      <c r="E446" s="188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  <c r="X446" s="181"/>
      <c r="Y446" s="181"/>
      <c r="Z446" s="181"/>
      <c r="AA446" s="181"/>
      <c r="AB446" s="180"/>
      <c r="AC446" s="181"/>
      <c r="AD446" s="181"/>
      <c r="AE446" s="181"/>
      <c r="AF446" s="181"/>
    </row>
    <row r="447" spans="2:32">
      <c r="B447" s="181"/>
      <c r="C447" s="184"/>
      <c r="D447" s="188"/>
      <c r="E447" s="188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  <c r="X447" s="181"/>
      <c r="Y447" s="181"/>
      <c r="Z447" s="181"/>
      <c r="AA447" s="181"/>
      <c r="AB447" s="180"/>
      <c r="AC447" s="181"/>
      <c r="AD447" s="181"/>
      <c r="AE447" s="181"/>
      <c r="AF447" s="181"/>
    </row>
    <row r="448" spans="2:32">
      <c r="B448" s="181"/>
      <c r="C448" s="184"/>
      <c r="D448" s="188"/>
      <c r="E448" s="188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  <c r="X448" s="181"/>
      <c r="Y448" s="181"/>
      <c r="Z448" s="181"/>
      <c r="AA448" s="181"/>
      <c r="AB448" s="180"/>
      <c r="AC448" s="181"/>
      <c r="AD448" s="181"/>
      <c r="AE448" s="181"/>
      <c r="AF448" s="181"/>
    </row>
    <row r="449" spans="2:32">
      <c r="B449" s="181"/>
      <c r="C449" s="184"/>
      <c r="D449" s="188"/>
      <c r="E449" s="188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  <c r="X449" s="181"/>
      <c r="Y449" s="181"/>
      <c r="Z449" s="181"/>
      <c r="AA449" s="181"/>
      <c r="AB449" s="180"/>
      <c r="AC449" s="181"/>
      <c r="AD449" s="181"/>
      <c r="AE449" s="181"/>
      <c r="AF449" s="181"/>
    </row>
    <row r="450" spans="2:32">
      <c r="B450" s="181"/>
      <c r="C450" s="184"/>
      <c r="D450" s="188"/>
      <c r="E450" s="188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  <c r="X450" s="181"/>
      <c r="Y450" s="181"/>
      <c r="Z450" s="181"/>
      <c r="AA450" s="181"/>
      <c r="AB450" s="180"/>
      <c r="AC450" s="181"/>
      <c r="AD450" s="181"/>
      <c r="AE450" s="181"/>
      <c r="AF450" s="181"/>
    </row>
    <row r="451" spans="2:32">
      <c r="B451" s="181"/>
      <c r="C451" s="184"/>
      <c r="D451" s="188"/>
      <c r="E451" s="188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  <c r="X451" s="181"/>
      <c r="Y451" s="181"/>
      <c r="Z451" s="181"/>
      <c r="AA451" s="181"/>
      <c r="AB451" s="180"/>
      <c r="AC451" s="181"/>
      <c r="AD451" s="181"/>
      <c r="AE451" s="181"/>
      <c r="AF451" s="181"/>
    </row>
    <row r="452" spans="2:32">
      <c r="B452" s="181"/>
      <c r="C452" s="184"/>
      <c r="D452" s="188"/>
      <c r="E452" s="188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  <c r="X452" s="181"/>
      <c r="Y452" s="181"/>
      <c r="Z452" s="181"/>
      <c r="AA452" s="181"/>
      <c r="AB452" s="180"/>
      <c r="AC452" s="181"/>
      <c r="AD452" s="181"/>
      <c r="AE452" s="181"/>
      <c r="AF452" s="181"/>
    </row>
    <row r="453" spans="2:32">
      <c r="B453" s="181"/>
      <c r="C453" s="184"/>
      <c r="D453" s="188"/>
      <c r="E453" s="188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  <c r="X453" s="181"/>
      <c r="Y453" s="181"/>
      <c r="Z453" s="181"/>
      <c r="AA453" s="181"/>
      <c r="AB453" s="180"/>
      <c r="AC453" s="181"/>
      <c r="AD453" s="181"/>
      <c r="AE453" s="181"/>
      <c r="AF453" s="181"/>
    </row>
    <row r="454" spans="2:32">
      <c r="B454" s="181"/>
      <c r="C454" s="184"/>
      <c r="D454" s="188"/>
      <c r="E454" s="188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  <c r="X454" s="181"/>
      <c r="Y454" s="181"/>
      <c r="Z454" s="181"/>
      <c r="AA454" s="181"/>
      <c r="AB454" s="180"/>
      <c r="AC454" s="181"/>
      <c r="AD454" s="181"/>
      <c r="AE454" s="181"/>
      <c r="AF454" s="181"/>
    </row>
    <row r="455" spans="2:32">
      <c r="B455" s="181"/>
      <c r="C455" s="184"/>
      <c r="D455" s="188"/>
      <c r="E455" s="188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  <c r="X455" s="181"/>
      <c r="Y455" s="181"/>
      <c r="Z455" s="181"/>
      <c r="AA455" s="181"/>
      <c r="AB455" s="180"/>
      <c r="AC455" s="181"/>
      <c r="AD455" s="181"/>
      <c r="AE455" s="181"/>
      <c r="AF455" s="181"/>
    </row>
    <row r="456" spans="2:32">
      <c r="B456" s="181"/>
      <c r="C456" s="184"/>
      <c r="D456" s="188"/>
      <c r="E456" s="188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  <c r="X456" s="181"/>
      <c r="Y456" s="181"/>
      <c r="Z456" s="181"/>
      <c r="AA456" s="181"/>
      <c r="AB456" s="180"/>
      <c r="AC456" s="181"/>
      <c r="AD456" s="181"/>
      <c r="AE456" s="181"/>
      <c r="AF456" s="181"/>
    </row>
    <row r="457" spans="2:32">
      <c r="B457" s="181"/>
      <c r="C457" s="184"/>
      <c r="D457" s="188"/>
      <c r="E457" s="188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  <c r="X457" s="181"/>
      <c r="Y457" s="181"/>
      <c r="Z457" s="181"/>
      <c r="AA457" s="181"/>
      <c r="AB457" s="180"/>
      <c r="AC457" s="181"/>
      <c r="AD457" s="181"/>
      <c r="AE457" s="181"/>
      <c r="AF457" s="181"/>
    </row>
    <row r="458" spans="2:32">
      <c r="B458" s="181"/>
      <c r="C458" s="184"/>
      <c r="D458" s="188"/>
      <c r="E458" s="188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  <c r="X458" s="181"/>
      <c r="Y458" s="181"/>
      <c r="Z458" s="181"/>
      <c r="AA458" s="181"/>
      <c r="AB458" s="180"/>
      <c r="AC458" s="181"/>
      <c r="AD458" s="181"/>
      <c r="AE458" s="181"/>
      <c r="AF458" s="181"/>
    </row>
    <row r="459" spans="2:32">
      <c r="B459" s="181"/>
      <c r="C459" s="184"/>
      <c r="D459" s="188"/>
      <c r="E459" s="188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  <c r="X459" s="181"/>
      <c r="Y459" s="181"/>
      <c r="Z459" s="181"/>
      <c r="AA459" s="181"/>
      <c r="AB459" s="180"/>
      <c r="AC459" s="181"/>
      <c r="AD459" s="181"/>
      <c r="AE459" s="181"/>
      <c r="AF459" s="181"/>
    </row>
    <row r="460" spans="2:32">
      <c r="B460" s="181"/>
      <c r="C460" s="184"/>
      <c r="D460" s="188"/>
      <c r="E460" s="188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  <c r="X460" s="181"/>
      <c r="Y460" s="181"/>
      <c r="Z460" s="181"/>
      <c r="AA460" s="181"/>
      <c r="AB460" s="180"/>
      <c r="AC460" s="181"/>
      <c r="AD460" s="181"/>
      <c r="AE460" s="181"/>
      <c r="AF460" s="181"/>
    </row>
    <row r="461" spans="2:32">
      <c r="B461" s="181"/>
      <c r="C461" s="184"/>
      <c r="D461" s="188"/>
      <c r="E461" s="188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  <c r="X461" s="181"/>
      <c r="Y461" s="181"/>
      <c r="Z461" s="181"/>
      <c r="AA461" s="181"/>
      <c r="AB461" s="180"/>
      <c r="AC461" s="181"/>
      <c r="AD461" s="181"/>
      <c r="AE461" s="181"/>
      <c r="AF461" s="181"/>
    </row>
    <row r="462" spans="2:32">
      <c r="B462" s="181"/>
      <c r="C462" s="184"/>
      <c r="D462" s="188"/>
      <c r="E462" s="188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  <c r="X462" s="181"/>
      <c r="Y462" s="181"/>
      <c r="Z462" s="181"/>
      <c r="AA462" s="181"/>
      <c r="AB462" s="180"/>
      <c r="AC462" s="181"/>
      <c r="AD462" s="181"/>
      <c r="AE462" s="181"/>
      <c r="AF462" s="181"/>
    </row>
    <row r="463" spans="2:32">
      <c r="B463" s="181"/>
      <c r="C463" s="184"/>
      <c r="D463" s="188"/>
      <c r="E463" s="188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  <c r="X463" s="181"/>
      <c r="Y463" s="181"/>
      <c r="Z463" s="181"/>
      <c r="AA463" s="181"/>
      <c r="AB463" s="180"/>
      <c r="AC463" s="181"/>
      <c r="AD463" s="181"/>
      <c r="AE463" s="181"/>
      <c r="AF463" s="181"/>
    </row>
    <row r="464" spans="2:32">
      <c r="B464" s="181"/>
      <c r="C464" s="184"/>
      <c r="D464" s="188"/>
      <c r="E464" s="188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  <c r="X464" s="181"/>
      <c r="Y464" s="181"/>
      <c r="Z464" s="181"/>
      <c r="AA464" s="181"/>
      <c r="AB464" s="180"/>
      <c r="AC464" s="181"/>
      <c r="AD464" s="181"/>
      <c r="AE464" s="181"/>
      <c r="AF464" s="181"/>
    </row>
    <row r="465" spans="2:32">
      <c r="B465" s="181"/>
      <c r="C465" s="184"/>
      <c r="D465" s="188"/>
      <c r="E465" s="188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  <c r="X465" s="181"/>
      <c r="Y465" s="181"/>
      <c r="Z465" s="181"/>
      <c r="AA465" s="181"/>
      <c r="AB465" s="180"/>
      <c r="AC465" s="181"/>
      <c r="AD465" s="181"/>
      <c r="AE465" s="181"/>
      <c r="AF465" s="181"/>
    </row>
    <row r="466" spans="2:32">
      <c r="B466" s="181"/>
      <c r="C466" s="184"/>
      <c r="D466" s="188"/>
      <c r="E466" s="188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  <c r="X466" s="181"/>
      <c r="Y466" s="181"/>
      <c r="Z466" s="181"/>
      <c r="AA466" s="181"/>
      <c r="AB466" s="180"/>
      <c r="AC466" s="181"/>
      <c r="AD466" s="181"/>
      <c r="AE466" s="181"/>
      <c r="AF466" s="181"/>
    </row>
    <row r="467" spans="2:32">
      <c r="B467" s="181"/>
      <c r="C467" s="184"/>
      <c r="D467" s="188"/>
      <c r="E467" s="188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  <c r="X467" s="181"/>
      <c r="Y467" s="181"/>
      <c r="Z467" s="181"/>
      <c r="AA467" s="181"/>
      <c r="AB467" s="180"/>
      <c r="AC467" s="181"/>
      <c r="AD467" s="181"/>
      <c r="AE467" s="181"/>
      <c r="AF467" s="181"/>
    </row>
    <row r="468" spans="2:32">
      <c r="B468" s="181"/>
      <c r="C468" s="184"/>
      <c r="D468" s="188"/>
      <c r="E468" s="188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  <c r="X468" s="181"/>
      <c r="Y468" s="181"/>
      <c r="Z468" s="181"/>
      <c r="AA468" s="181"/>
      <c r="AB468" s="180"/>
      <c r="AC468" s="181"/>
      <c r="AD468" s="181"/>
      <c r="AE468" s="181"/>
      <c r="AF468" s="181"/>
    </row>
    <row r="469" spans="2:32">
      <c r="B469" s="181"/>
      <c r="C469" s="184"/>
      <c r="D469" s="188"/>
      <c r="E469" s="188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  <c r="X469" s="181"/>
      <c r="Y469" s="181"/>
      <c r="Z469" s="181"/>
      <c r="AA469" s="181"/>
      <c r="AB469" s="180"/>
      <c r="AC469" s="181"/>
      <c r="AD469" s="181"/>
      <c r="AE469" s="181"/>
      <c r="AF469" s="181"/>
    </row>
    <row r="470" spans="2:32">
      <c r="B470" s="181"/>
      <c r="C470" s="184"/>
      <c r="D470" s="188"/>
      <c r="E470" s="188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  <c r="X470" s="181"/>
      <c r="Y470" s="181"/>
      <c r="Z470" s="181"/>
      <c r="AA470" s="181"/>
      <c r="AB470" s="180"/>
      <c r="AC470" s="181"/>
      <c r="AD470" s="181"/>
      <c r="AE470" s="181"/>
      <c r="AF470" s="181"/>
    </row>
    <row r="471" spans="2:32">
      <c r="B471" s="181"/>
      <c r="C471" s="184"/>
      <c r="D471" s="188"/>
      <c r="E471" s="188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  <c r="X471" s="181"/>
      <c r="Y471" s="181"/>
      <c r="Z471" s="181"/>
      <c r="AA471" s="181"/>
      <c r="AB471" s="180"/>
      <c r="AC471" s="181"/>
      <c r="AD471" s="181"/>
      <c r="AE471" s="181"/>
      <c r="AF471" s="181"/>
    </row>
    <row r="472" spans="2:32">
      <c r="B472" s="181"/>
      <c r="C472" s="184"/>
      <c r="D472" s="188"/>
      <c r="E472" s="188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  <c r="X472" s="181"/>
      <c r="Y472" s="181"/>
      <c r="Z472" s="181"/>
      <c r="AA472" s="181"/>
      <c r="AB472" s="180"/>
      <c r="AC472" s="181"/>
      <c r="AD472" s="181"/>
      <c r="AE472" s="181"/>
      <c r="AF472" s="181"/>
    </row>
    <row r="473" spans="2:32">
      <c r="B473" s="181"/>
      <c r="C473" s="184"/>
      <c r="D473" s="188"/>
      <c r="E473" s="188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  <c r="X473" s="181"/>
      <c r="Y473" s="181"/>
      <c r="Z473" s="181"/>
      <c r="AA473" s="181"/>
      <c r="AB473" s="180"/>
      <c r="AC473" s="181"/>
      <c r="AD473" s="181"/>
      <c r="AE473" s="181"/>
      <c r="AF473" s="181"/>
    </row>
    <row r="474" spans="2:32">
      <c r="B474" s="181"/>
      <c r="C474" s="184"/>
      <c r="D474" s="188"/>
      <c r="E474" s="188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  <c r="X474" s="181"/>
      <c r="Y474" s="181"/>
      <c r="Z474" s="181"/>
      <c r="AA474" s="181"/>
      <c r="AB474" s="180"/>
      <c r="AC474" s="181"/>
      <c r="AD474" s="181"/>
      <c r="AE474" s="181"/>
      <c r="AF474" s="181"/>
    </row>
    <row r="475" spans="2:32">
      <c r="B475" s="181"/>
      <c r="C475" s="184"/>
      <c r="D475" s="188"/>
      <c r="E475" s="188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  <c r="X475" s="181"/>
      <c r="Y475" s="181"/>
      <c r="Z475" s="181"/>
      <c r="AA475" s="181"/>
      <c r="AB475" s="180"/>
      <c r="AC475" s="181"/>
      <c r="AD475" s="181"/>
      <c r="AE475" s="181"/>
      <c r="AF475" s="181"/>
    </row>
    <row r="476" spans="2:32">
      <c r="B476" s="181"/>
      <c r="C476" s="184"/>
      <c r="D476" s="188"/>
      <c r="E476" s="188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  <c r="X476" s="181"/>
      <c r="Y476" s="181"/>
      <c r="Z476" s="181"/>
      <c r="AA476" s="181"/>
      <c r="AB476" s="180"/>
      <c r="AC476" s="181"/>
      <c r="AD476" s="181"/>
      <c r="AE476" s="181"/>
      <c r="AF476" s="181"/>
    </row>
    <row r="477" spans="2:32">
      <c r="B477" s="181"/>
      <c r="C477" s="184"/>
      <c r="D477" s="188"/>
      <c r="E477" s="188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  <c r="X477" s="181"/>
      <c r="Y477" s="181"/>
      <c r="Z477" s="181"/>
      <c r="AA477" s="181"/>
      <c r="AB477" s="180"/>
      <c r="AC477" s="181"/>
      <c r="AD477" s="181"/>
      <c r="AE477" s="181"/>
      <c r="AF477" s="181"/>
    </row>
    <row r="478" spans="2:32">
      <c r="B478" s="181"/>
      <c r="C478" s="184"/>
      <c r="D478" s="188"/>
      <c r="E478" s="188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  <c r="X478" s="181"/>
      <c r="Y478" s="181"/>
      <c r="Z478" s="181"/>
      <c r="AA478" s="181"/>
      <c r="AB478" s="180"/>
      <c r="AC478" s="181"/>
      <c r="AD478" s="181"/>
      <c r="AE478" s="181"/>
      <c r="AF478" s="181"/>
    </row>
    <row r="479" spans="2:32">
      <c r="B479" s="181"/>
      <c r="C479" s="184"/>
      <c r="D479" s="188"/>
      <c r="E479" s="188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  <c r="X479" s="181"/>
      <c r="Y479" s="181"/>
      <c r="Z479" s="181"/>
      <c r="AA479" s="181"/>
      <c r="AB479" s="180"/>
      <c r="AC479" s="181"/>
      <c r="AD479" s="181"/>
      <c r="AE479" s="181"/>
      <c r="AF479" s="181"/>
    </row>
    <row r="480" spans="2:32">
      <c r="B480" s="181"/>
      <c r="C480" s="184"/>
      <c r="D480" s="188"/>
      <c r="E480" s="188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  <c r="X480" s="181"/>
      <c r="Y480" s="181"/>
      <c r="Z480" s="181"/>
      <c r="AA480" s="181"/>
      <c r="AB480" s="180"/>
      <c r="AC480" s="181"/>
      <c r="AD480" s="181"/>
      <c r="AE480" s="181"/>
      <c r="AF480" s="181"/>
    </row>
    <row r="481" spans="2:32">
      <c r="B481" s="181"/>
      <c r="C481" s="184"/>
      <c r="D481" s="188"/>
      <c r="E481" s="188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  <c r="X481" s="181"/>
      <c r="Y481" s="181"/>
      <c r="Z481" s="181"/>
      <c r="AA481" s="181"/>
      <c r="AB481" s="180"/>
      <c r="AC481" s="181"/>
      <c r="AD481" s="181"/>
      <c r="AE481" s="181"/>
      <c r="AF481" s="181"/>
    </row>
    <row r="482" spans="2:32">
      <c r="B482" s="181"/>
      <c r="C482" s="184"/>
      <c r="D482" s="188"/>
      <c r="E482" s="188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  <c r="X482" s="181"/>
      <c r="Y482" s="181"/>
      <c r="Z482" s="181"/>
      <c r="AA482" s="181"/>
      <c r="AB482" s="180"/>
      <c r="AC482" s="181"/>
      <c r="AD482" s="181"/>
      <c r="AE482" s="181"/>
      <c r="AF482" s="181"/>
    </row>
    <row r="483" spans="2:32">
      <c r="B483" s="181"/>
      <c r="C483" s="184"/>
      <c r="D483" s="188"/>
      <c r="E483" s="188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  <c r="X483" s="181"/>
      <c r="Y483" s="181"/>
      <c r="Z483" s="181"/>
      <c r="AA483" s="181"/>
      <c r="AB483" s="180"/>
      <c r="AC483" s="181"/>
      <c r="AD483" s="181"/>
      <c r="AE483" s="181"/>
      <c r="AF483" s="181"/>
    </row>
    <row r="484" spans="2:32">
      <c r="B484" s="181"/>
      <c r="C484" s="184"/>
      <c r="D484" s="188"/>
      <c r="E484" s="188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  <c r="X484" s="181"/>
      <c r="Y484" s="181"/>
      <c r="Z484" s="181"/>
      <c r="AA484" s="181"/>
      <c r="AB484" s="180"/>
      <c r="AC484" s="181"/>
      <c r="AD484" s="181"/>
      <c r="AE484" s="181"/>
      <c r="AF484" s="181"/>
    </row>
    <row r="485" spans="2:32">
      <c r="B485" s="181"/>
      <c r="C485" s="184"/>
      <c r="D485" s="188"/>
      <c r="E485" s="188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  <c r="X485" s="181"/>
      <c r="Y485" s="181"/>
      <c r="Z485" s="181"/>
      <c r="AA485" s="181"/>
      <c r="AB485" s="180"/>
      <c r="AC485" s="181"/>
      <c r="AD485" s="181"/>
      <c r="AE485" s="181"/>
      <c r="AF485" s="181"/>
    </row>
    <row r="486" spans="2:32">
      <c r="B486" s="181"/>
      <c r="C486" s="184"/>
      <c r="D486" s="188"/>
      <c r="E486" s="188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  <c r="X486" s="181"/>
      <c r="Y486" s="181"/>
      <c r="Z486" s="181"/>
      <c r="AA486" s="181"/>
      <c r="AB486" s="180"/>
      <c r="AC486" s="181"/>
      <c r="AD486" s="181"/>
      <c r="AE486" s="181"/>
      <c r="AF486" s="181"/>
    </row>
    <row r="487" spans="2:32">
      <c r="B487" s="181"/>
      <c r="C487" s="184"/>
      <c r="D487" s="188"/>
      <c r="E487" s="188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  <c r="X487" s="181"/>
      <c r="Y487" s="181"/>
      <c r="Z487" s="181"/>
      <c r="AA487" s="181"/>
      <c r="AB487" s="180"/>
      <c r="AC487" s="181"/>
      <c r="AD487" s="181"/>
      <c r="AE487" s="181"/>
      <c r="AF487" s="181"/>
    </row>
    <row r="488" spans="2:32">
      <c r="B488" s="181"/>
      <c r="C488" s="184"/>
      <c r="D488" s="188"/>
      <c r="E488" s="188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  <c r="X488" s="181"/>
      <c r="Y488" s="181"/>
      <c r="Z488" s="181"/>
      <c r="AA488" s="181"/>
      <c r="AB488" s="180"/>
      <c r="AC488" s="181"/>
      <c r="AD488" s="181"/>
      <c r="AE488" s="181"/>
      <c r="AF488" s="181"/>
    </row>
    <row r="489" spans="2:32">
      <c r="B489" s="181"/>
      <c r="C489" s="184"/>
      <c r="D489" s="188"/>
      <c r="E489" s="188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  <c r="X489" s="181"/>
      <c r="Y489" s="181"/>
      <c r="Z489" s="181"/>
      <c r="AA489" s="181"/>
      <c r="AB489" s="180"/>
      <c r="AC489" s="181"/>
      <c r="AD489" s="181"/>
      <c r="AE489" s="181"/>
      <c r="AF489" s="181"/>
    </row>
    <row r="490" spans="2:32">
      <c r="B490" s="181"/>
      <c r="C490" s="184"/>
      <c r="D490" s="188"/>
      <c r="E490" s="188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  <c r="X490" s="181"/>
      <c r="Y490" s="181"/>
      <c r="Z490" s="181"/>
      <c r="AA490" s="181"/>
      <c r="AB490" s="180"/>
      <c r="AC490" s="181"/>
      <c r="AD490" s="181"/>
      <c r="AE490" s="181"/>
      <c r="AF490" s="181"/>
    </row>
    <row r="491" spans="2:32">
      <c r="B491" s="181"/>
      <c r="C491" s="184"/>
      <c r="D491" s="188"/>
      <c r="E491" s="188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  <c r="X491" s="181"/>
      <c r="Y491" s="181"/>
      <c r="Z491" s="181"/>
      <c r="AA491" s="181"/>
      <c r="AB491" s="180"/>
      <c r="AC491" s="181"/>
      <c r="AD491" s="181"/>
      <c r="AE491" s="181"/>
      <c r="AF491" s="181"/>
    </row>
    <row r="492" spans="2:32">
      <c r="B492" s="181"/>
      <c r="C492" s="184"/>
      <c r="D492" s="188"/>
      <c r="E492" s="188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  <c r="X492" s="181"/>
      <c r="Y492" s="181"/>
      <c r="Z492" s="181"/>
      <c r="AA492" s="181"/>
      <c r="AB492" s="180"/>
      <c r="AC492" s="181"/>
      <c r="AD492" s="181"/>
      <c r="AE492" s="181"/>
      <c r="AF492" s="181"/>
    </row>
    <row r="493" spans="2:32">
      <c r="B493" s="181"/>
      <c r="C493" s="184"/>
      <c r="D493" s="188"/>
      <c r="E493" s="188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  <c r="X493" s="181"/>
      <c r="Y493" s="181"/>
      <c r="Z493" s="181"/>
      <c r="AA493" s="181"/>
      <c r="AB493" s="180"/>
      <c r="AC493" s="181"/>
      <c r="AD493" s="181"/>
      <c r="AE493" s="181"/>
      <c r="AF493" s="181"/>
    </row>
    <row r="494" spans="2:32">
      <c r="B494" s="181"/>
      <c r="C494" s="184"/>
      <c r="D494" s="188"/>
      <c r="E494" s="188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  <c r="X494" s="181"/>
      <c r="Y494" s="181"/>
      <c r="Z494" s="181"/>
      <c r="AA494" s="181"/>
      <c r="AB494" s="180"/>
      <c r="AC494" s="181"/>
      <c r="AD494" s="181"/>
      <c r="AE494" s="181"/>
      <c r="AF494" s="181"/>
    </row>
    <row r="495" spans="2:32">
      <c r="B495" s="181"/>
      <c r="C495" s="184"/>
      <c r="D495" s="188"/>
      <c r="E495" s="188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  <c r="X495" s="181"/>
      <c r="Y495" s="181"/>
      <c r="Z495" s="181"/>
      <c r="AA495" s="181"/>
      <c r="AB495" s="180"/>
      <c r="AC495" s="181"/>
      <c r="AD495" s="181"/>
      <c r="AE495" s="181"/>
      <c r="AF495" s="181"/>
    </row>
    <row r="496" spans="2:32">
      <c r="B496" s="181"/>
      <c r="C496" s="184"/>
      <c r="D496" s="188"/>
      <c r="E496" s="188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  <c r="X496" s="181"/>
      <c r="Y496" s="181"/>
      <c r="Z496" s="181"/>
      <c r="AA496" s="181"/>
      <c r="AB496" s="180"/>
      <c r="AC496" s="181"/>
      <c r="AD496" s="181"/>
      <c r="AE496" s="181"/>
      <c r="AF496" s="181"/>
    </row>
    <row r="497" spans="2:32">
      <c r="B497" s="181"/>
      <c r="C497" s="184"/>
      <c r="D497" s="188"/>
      <c r="E497" s="188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  <c r="X497" s="181"/>
      <c r="Y497" s="181"/>
      <c r="Z497" s="181"/>
      <c r="AA497" s="181"/>
      <c r="AB497" s="180"/>
      <c r="AC497" s="181"/>
      <c r="AD497" s="181"/>
      <c r="AE497" s="181"/>
      <c r="AF497" s="181"/>
    </row>
    <row r="498" spans="2:32">
      <c r="B498" s="181"/>
      <c r="C498" s="184"/>
      <c r="D498" s="188"/>
      <c r="E498" s="188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  <c r="X498" s="181"/>
      <c r="Y498" s="181"/>
      <c r="Z498" s="181"/>
      <c r="AA498" s="181"/>
      <c r="AB498" s="180"/>
      <c r="AC498" s="181"/>
      <c r="AD498" s="181"/>
      <c r="AE498" s="181"/>
      <c r="AF498" s="181"/>
    </row>
    <row r="499" spans="2:32">
      <c r="B499" s="181"/>
      <c r="C499" s="184"/>
      <c r="D499" s="188"/>
      <c r="E499" s="188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  <c r="X499" s="181"/>
      <c r="Y499" s="181"/>
      <c r="Z499" s="181"/>
      <c r="AA499" s="181"/>
      <c r="AB499" s="180"/>
      <c r="AC499" s="181"/>
      <c r="AD499" s="181"/>
      <c r="AE499" s="181"/>
      <c r="AF499" s="181"/>
    </row>
    <row r="500" spans="2:32">
      <c r="B500" s="181"/>
      <c r="C500" s="184"/>
      <c r="D500" s="188"/>
      <c r="E500" s="188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  <c r="X500" s="181"/>
      <c r="Y500" s="181"/>
      <c r="Z500" s="181"/>
      <c r="AA500" s="181"/>
      <c r="AB500" s="180"/>
      <c r="AC500" s="181"/>
      <c r="AD500" s="181"/>
      <c r="AE500" s="181"/>
      <c r="AF500" s="181"/>
    </row>
    <row r="501" spans="2:32">
      <c r="B501" s="181"/>
      <c r="C501" s="184"/>
      <c r="D501" s="188"/>
      <c r="E501" s="188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  <c r="X501" s="181"/>
      <c r="Y501" s="181"/>
      <c r="Z501" s="181"/>
      <c r="AA501" s="181"/>
      <c r="AB501" s="180"/>
      <c r="AC501" s="181"/>
      <c r="AD501" s="181"/>
      <c r="AE501" s="181"/>
      <c r="AF501" s="181"/>
    </row>
    <row r="502" spans="2:32">
      <c r="B502" s="181"/>
      <c r="C502" s="184"/>
      <c r="D502" s="188"/>
      <c r="E502" s="188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  <c r="X502" s="181"/>
      <c r="Y502" s="181"/>
      <c r="Z502" s="181"/>
      <c r="AA502" s="181"/>
      <c r="AB502" s="180"/>
      <c r="AC502" s="181"/>
      <c r="AD502" s="181"/>
      <c r="AE502" s="181"/>
      <c r="AF502" s="181"/>
    </row>
    <row r="503" spans="2:32">
      <c r="B503" s="181"/>
      <c r="C503" s="184"/>
      <c r="D503" s="188"/>
      <c r="E503" s="188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  <c r="X503" s="181"/>
      <c r="Y503" s="181"/>
      <c r="Z503" s="181"/>
      <c r="AA503" s="181"/>
      <c r="AB503" s="180"/>
      <c r="AC503" s="181"/>
      <c r="AD503" s="181"/>
      <c r="AE503" s="181"/>
      <c r="AF503" s="181"/>
    </row>
    <row r="504" spans="2:32">
      <c r="B504" s="181"/>
      <c r="C504" s="184"/>
      <c r="D504" s="188"/>
      <c r="E504" s="188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  <c r="X504" s="181"/>
      <c r="Y504" s="181"/>
      <c r="Z504" s="181"/>
      <c r="AA504" s="181"/>
      <c r="AB504" s="180"/>
      <c r="AC504" s="181"/>
      <c r="AD504" s="181"/>
      <c r="AE504" s="181"/>
      <c r="AF504" s="181"/>
    </row>
    <row r="505" spans="2:32">
      <c r="B505" s="181"/>
      <c r="C505" s="184"/>
      <c r="D505" s="188"/>
      <c r="E505" s="188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  <c r="X505" s="181"/>
      <c r="Y505" s="181"/>
      <c r="Z505" s="181"/>
      <c r="AA505" s="181"/>
      <c r="AB505" s="180"/>
      <c r="AC505" s="181"/>
      <c r="AD505" s="181"/>
      <c r="AE505" s="181"/>
      <c r="AF505" s="181"/>
    </row>
    <row r="506" spans="2:32">
      <c r="B506" s="181"/>
      <c r="C506" s="184"/>
      <c r="D506" s="188"/>
      <c r="E506" s="188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  <c r="X506" s="181"/>
      <c r="Y506" s="181"/>
      <c r="Z506" s="181"/>
      <c r="AA506" s="181"/>
      <c r="AB506" s="180"/>
      <c r="AC506" s="181"/>
      <c r="AD506" s="181"/>
      <c r="AE506" s="181"/>
      <c r="AF506" s="181"/>
    </row>
    <row r="507" spans="2:32">
      <c r="B507" s="181"/>
      <c r="C507" s="184"/>
      <c r="D507" s="188"/>
      <c r="E507" s="188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  <c r="X507" s="181"/>
      <c r="Y507" s="181"/>
      <c r="Z507" s="181"/>
      <c r="AA507" s="181"/>
      <c r="AB507" s="180"/>
      <c r="AC507" s="181"/>
      <c r="AD507" s="181"/>
      <c r="AE507" s="181"/>
      <c r="AF507" s="181"/>
    </row>
    <row r="508" spans="2:32">
      <c r="B508" s="181"/>
      <c r="C508" s="184"/>
      <c r="D508" s="188"/>
      <c r="E508" s="188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  <c r="X508" s="181"/>
      <c r="Y508" s="181"/>
      <c r="Z508" s="181"/>
      <c r="AA508" s="181"/>
      <c r="AB508" s="180"/>
      <c r="AC508" s="181"/>
      <c r="AD508" s="181"/>
      <c r="AE508" s="181"/>
      <c r="AF508" s="181"/>
    </row>
    <row r="509" spans="2:32">
      <c r="B509" s="181"/>
      <c r="C509" s="184"/>
      <c r="D509" s="188"/>
      <c r="E509" s="188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  <c r="X509" s="181"/>
      <c r="Y509" s="181"/>
      <c r="Z509" s="181"/>
      <c r="AA509" s="181"/>
      <c r="AB509" s="180"/>
      <c r="AC509" s="181"/>
      <c r="AD509" s="181"/>
      <c r="AE509" s="181"/>
      <c r="AF509" s="181"/>
    </row>
    <row r="510" spans="2:32">
      <c r="B510" s="181"/>
      <c r="C510" s="184"/>
      <c r="D510" s="188"/>
      <c r="E510" s="188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  <c r="X510" s="181"/>
      <c r="Y510" s="181"/>
      <c r="Z510" s="181"/>
      <c r="AA510" s="181"/>
      <c r="AB510" s="180"/>
      <c r="AC510" s="181"/>
      <c r="AD510" s="181"/>
      <c r="AE510" s="181"/>
      <c r="AF510" s="181"/>
    </row>
    <row r="511" spans="2:32">
      <c r="B511" s="181"/>
      <c r="C511" s="184"/>
      <c r="D511" s="188"/>
      <c r="E511" s="188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  <c r="X511" s="181"/>
      <c r="Y511" s="181"/>
      <c r="Z511" s="181"/>
      <c r="AA511" s="181"/>
      <c r="AB511" s="180"/>
      <c r="AC511" s="181"/>
      <c r="AD511" s="181"/>
      <c r="AE511" s="181"/>
      <c r="AF511" s="181"/>
    </row>
    <row r="512" spans="2:32">
      <c r="B512" s="181"/>
      <c r="C512" s="184"/>
      <c r="D512" s="188"/>
      <c r="E512" s="188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  <c r="X512" s="181"/>
      <c r="Y512" s="181"/>
      <c r="Z512" s="181"/>
      <c r="AA512" s="181"/>
      <c r="AB512" s="180"/>
      <c r="AC512" s="181"/>
      <c r="AD512" s="181"/>
      <c r="AE512" s="181"/>
      <c r="AF512" s="181"/>
    </row>
    <row r="513" spans="2:32">
      <c r="B513" s="181"/>
      <c r="C513" s="184"/>
      <c r="D513" s="188"/>
      <c r="E513" s="188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  <c r="X513" s="181"/>
      <c r="Y513" s="181"/>
      <c r="Z513" s="181"/>
      <c r="AA513" s="181"/>
      <c r="AB513" s="180"/>
      <c r="AC513" s="181"/>
      <c r="AD513" s="181"/>
      <c r="AE513" s="181"/>
      <c r="AF513" s="181"/>
    </row>
    <row r="514" spans="2:32">
      <c r="B514" s="181"/>
      <c r="C514" s="184"/>
      <c r="D514" s="188"/>
      <c r="E514" s="188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  <c r="X514" s="181"/>
      <c r="Y514" s="181"/>
      <c r="Z514" s="181"/>
      <c r="AA514" s="181"/>
      <c r="AB514" s="180"/>
      <c r="AC514" s="181"/>
      <c r="AD514" s="181"/>
      <c r="AE514" s="181"/>
      <c r="AF514" s="181"/>
    </row>
    <row r="515" spans="2:32">
      <c r="B515" s="181"/>
      <c r="C515" s="184"/>
      <c r="D515" s="188"/>
      <c r="E515" s="188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  <c r="X515" s="181"/>
      <c r="Y515" s="181"/>
      <c r="Z515" s="181"/>
      <c r="AA515" s="181"/>
      <c r="AB515" s="180"/>
      <c r="AC515" s="181"/>
      <c r="AD515" s="181"/>
      <c r="AE515" s="181"/>
      <c r="AF515" s="181"/>
    </row>
    <row r="516" spans="2:32">
      <c r="B516" s="181"/>
      <c r="C516" s="184"/>
      <c r="D516" s="188"/>
      <c r="E516" s="188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  <c r="X516" s="181"/>
      <c r="Y516" s="181"/>
      <c r="Z516" s="181"/>
      <c r="AA516" s="181"/>
      <c r="AB516" s="180"/>
      <c r="AC516" s="181"/>
      <c r="AD516" s="181"/>
      <c r="AE516" s="181"/>
      <c r="AF516" s="181"/>
    </row>
    <row r="517" spans="2:32">
      <c r="B517" s="181"/>
      <c r="C517" s="184"/>
      <c r="D517" s="188"/>
      <c r="E517" s="188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  <c r="X517" s="181"/>
      <c r="Y517" s="181"/>
      <c r="Z517" s="181"/>
      <c r="AA517" s="181"/>
      <c r="AB517" s="180"/>
      <c r="AC517" s="181"/>
      <c r="AD517" s="181"/>
      <c r="AE517" s="181"/>
      <c r="AF517" s="181"/>
    </row>
    <row r="518" spans="2:32">
      <c r="B518" s="181"/>
      <c r="C518" s="184"/>
      <c r="D518" s="188"/>
      <c r="E518" s="188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  <c r="X518" s="181"/>
      <c r="Y518" s="181"/>
      <c r="Z518" s="181"/>
      <c r="AA518" s="181"/>
      <c r="AB518" s="180"/>
      <c r="AC518" s="181"/>
      <c r="AD518" s="181"/>
      <c r="AE518" s="181"/>
      <c r="AF518" s="181"/>
    </row>
    <row r="519" spans="2:32">
      <c r="B519" s="181"/>
      <c r="C519" s="184"/>
      <c r="D519" s="188"/>
      <c r="E519" s="188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  <c r="X519" s="181"/>
      <c r="Y519" s="181"/>
      <c r="Z519" s="181"/>
      <c r="AA519" s="181"/>
      <c r="AB519" s="180"/>
      <c r="AC519" s="181"/>
      <c r="AD519" s="181"/>
      <c r="AE519" s="181"/>
      <c r="AF519" s="181"/>
    </row>
    <row r="520" spans="2:32">
      <c r="B520" s="181"/>
      <c r="C520" s="184"/>
      <c r="D520" s="188"/>
      <c r="E520" s="188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  <c r="X520" s="181"/>
      <c r="Y520" s="181"/>
      <c r="Z520" s="181"/>
      <c r="AA520" s="181"/>
      <c r="AB520" s="180"/>
      <c r="AC520" s="181"/>
      <c r="AD520" s="181"/>
      <c r="AE520" s="181"/>
      <c r="AF520" s="181"/>
    </row>
    <row r="521" spans="2:32">
      <c r="B521" s="181"/>
      <c r="C521" s="184"/>
      <c r="D521" s="188"/>
      <c r="E521" s="188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  <c r="X521" s="181"/>
      <c r="Y521" s="181"/>
      <c r="Z521" s="181"/>
      <c r="AA521" s="181"/>
      <c r="AB521" s="180"/>
      <c r="AC521" s="181"/>
      <c r="AD521" s="181"/>
      <c r="AE521" s="181"/>
      <c r="AF521" s="181"/>
    </row>
    <row r="522" spans="2:32">
      <c r="B522" s="181"/>
      <c r="C522" s="184"/>
      <c r="D522" s="188"/>
      <c r="E522" s="188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  <c r="X522" s="181"/>
      <c r="Y522" s="181"/>
      <c r="Z522" s="181"/>
      <c r="AA522" s="181"/>
      <c r="AB522" s="180"/>
      <c r="AC522" s="181"/>
      <c r="AD522" s="181"/>
      <c r="AE522" s="181"/>
      <c r="AF522" s="181"/>
    </row>
    <row r="523" spans="2:32">
      <c r="B523" s="181"/>
      <c r="C523" s="184"/>
      <c r="D523" s="188"/>
      <c r="E523" s="188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  <c r="X523" s="181"/>
      <c r="Y523" s="181"/>
      <c r="Z523" s="181"/>
      <c r="AA523" s="181"/>
      <c r="AB523" s="180"/>
      <c r="AC523" s="181"/>
      <c r="AD523" s="181"/>
      <c r="AE523" s="181"/>
      <c r="AF523" s="181"/>
    </row>
    <row r="524" spans="2:32">
      <c r="B524" s="181"/>
      <c r="C524" s="184"/>
      <c r="D524" s="188"/>
      <c r="E524" s="188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  <c r="X524" s="181"/>
      <c r="Y524" s="181"/>
      <c r="Z524" s="181"/>
      <c r="AA524" s="181"/>
      <c r="AB524" s="180"/>
      <c r="AC524" s="181"/>
      <c r="AD524" s="181"/>
      <c r="AE524" s="181"/>
      <c r="AF524" s="181"/>
    </row>
    <row r="525" spans="2:32">
      <c r="B525" s="181"/>
      <c r="C525" s="184"/>
      <c r="D525" s="188"/>
      <c r="E525" s="188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  <c r="X525" s="181"/>
      <c r="Y525" s="181"/>
      <c r="Z525" s="181"/>
      <c r="AA525" s="181"/>
      <c r="AB525" s="180"/>
      <c r="AC525" s="181"/>
      <c r="AD525" s="181"/>
      <c r="AE525" s="181"/>
      <c r="AF525" s="181"/>
    </row>
    <row r="526" spans="2:32">
      <c r="B526" s="181"/>
      <c r="C526" s="184"/>
      <c r="D526" s="188"/>
      <c r="E526" s="188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  <c r="X526" s="181"/>
      <c r="Y526" s="181"/>
      <c r="Z526" s="181"/>
      <c r="AA526" s="181"/>
      <c r="AB526" s="180"/>
      <c r="AC526" s="181"/>
      <c r="AD526" s="181"/>
      <c r="AE526" s="181"/>
      <c r="AF526" s="181"/>
    </row>
    <row r="527" spans="2:32">
      <c r="B527" s="181"/>
      <c r="C527" s="184"/>
      <c r="D527" s="188"/>
      <c r="E527" s="188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  <c r="X527" s="181"/>
      <c r="Y527" s="181"/>
      <c r="Z527" s="181"/>
      <c r="AA527" s="181"/>
      <c r="AB527" s="180"/>
      <c r="AC527" s="181"/>
      <c r="AD527" s="181"/>
      <c r="AE527" s="181"/>
      <c r="AF527" s="181"/>
    </row>
    <row r="528" spans="2:32">
      <c r="B528" s="181"/>
      <c r="C528" s="184"/>
      <c r="D528" s="188"/>
      <c r="E528" s="188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  <c r="X528" s="181"/>
      <c r="Y528" s="181"/>
      <c r="Z528" s="181"/>
      <c r="AA528" s="181"/>
      <c r="AB528" s="180"/>
      <c r="AC528" s="181"/>
      <c r="AD528" s="181"/>
      <c r="AE528" s="181"/>
      <c r="AF528" s="181"/>
    </row>
    <row r="529" spans="2:32">
      <c r="B529" s="181"/>
      <c r="C529" s="184"/>
      <c r="D529" s="188"/>
      <c r="E529" s="188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  <c r="X529" s="181"/>
      <c r="Y529" s="181"/>
      <c r="Z529" s="181"/>
      <c r="AA529" s="181"/>
      <c r="AB529" s="180"/>
      <c r="AC529" s="181"/>
      <c r="AD529" s="181"/>
      <c r="AE529" s="181"/>
      <c r="AF529" s="181"/>
    </row>
    <row r="530" spans="2:32">
      <c r="B530" s="181"/>
      <c r="C530" s="184"/>
      <c r="D530" s="188"/>
      <c r="E530" s="188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  <c r="X530" s="181"/>
      <c r="Y530" s="181"/>
      <c r="Z530" s="181"/>
      <c r="AA530" s="181"/>
      <c r="AB530" s="180"/>
      <c r="AC530" s="181"/>
      <c r="AD530" s="181"/>
      <c r="AE530" s="181"/>
      <c r="AF530" s="181"/>
    </row>
    <row r="531" spans="2:32">
      <c r="B531" s="181"/>
      <c r="C531" s="184"/>
      <c r="D531" s="188"/>
      <c r="E531" s="188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  <c r="X531" s="181"/>
      <c r="Y531" s="181"/>
      <c r="Z531" s="181"/>
      <c r="AA531" s="181"/>
      <c r="AB531" s="180"/>
      <c r="AC531" s="181"/>
      <c r="AD531" s="181"/>
      <c r="AE531" s="181"/>
      <c r="AF531" s="181"/>
    </row>
    <row r="532" spans="2:32">
      <c r="B532" s="181"/>
      <c r="C532" s="184"/>
      <c r="D532" s="188"/>
      <c r="E532" s="188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  <c r="X532" s="181"/>
      <c r="Y532" s="181"/>
      <c r="Z532" s="181"/>
      <c r="AA532" s="181"/>
      <c r="AB532" s="180"/>
      <c r="AC532" s="181"/>
      <c r="AD532" s="181"/>
      <c r="AE532" s="181"/>
      <c r="AF532" s="181"/>
    </row>
    <row r="533" spans="2:32">
      <c r="B533" s="181"/>
      <c r="C533" s="184"/>
      <c r="D533" s="188"/>
      <c r="E533" s="188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  <c r="X533" s="181"/>
      <c r="Y533" s="181"/>
      <c r="Z533" s="181"/>
      <c r="AA533" s="181"/>
      <c r="AB533" s="180"/>
      <c r="AC533" s="181"/>
      <c r="AD533" s="181"/>
      <c r="AE533" s="181"/>
      <c r="AF533" s="181"/>
    </row>
    <row r="534" spans="2:32">
      <c r="B534" s="181"/>
      <c r="C534" s="184"/>
      <c r="D534" s="188"/>
      <c r="E534" s="188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  <c r="X534" s="181"/>
      <c r="Y534" s="181"/>
      <c r="Z534" s="181"/>
      <c r="AA534" s="181"/>
      <c r="AB534" s="180"/>
      <c r="AC534" s="181"/>
      <c r="AD534" s="181"/>
      <c r="AE534" s="181"/>
      <c r="AF534" s="181"/>
    </row>
    <row r="535" spans="2:32">
      <c r="B535" s="181"/>
      <c r="C535" s="184"/>
      <c r="D535" s="188"/>
      <c r="E535" s="188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  <c r="X535" s="181"/>
      <c r="Y535" s="181"/>
      <c r="Z535" s="181"/>
      <c r="AA535" s="181"/>
      <c r="AB535" s="180"/>
      <c r="AC535" s="181"/>
      <c r="AD535" s="181"/>
      <c r="AE535" s="181"/>
      <c r="AF535" s="181"/>
    </row>
    <row r="536" spans="2:32">
      <c r="B536" s="181"/>
      <c r="C536" s="184"/>
      <c r="D536" s="188"/>
      <c r="E536" s="188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  <c r="X536" s="181"/>
      <c r="Y536" s="181"/>
      <c r="Z536" s="181"/>
      <c r="AA536" s="181"/>
      <c r="AB536" s="180"/>
      <c r="AC536" s="181"/>
      <c r="AD536" s="181"/>
      <c r="AE536" s="181"/>
      <c r="AF536" s="181"/>
    </row>
    <row r="537" spans="2:32">
      <c r="B537" s="181"/>
      <c r="C537" s="184"/>
      <c r="D537" s="188"/>
      <c r="E537" s="188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  <c r="X537" s="181"/>
      <c r="Y537" s="181"/>
      <c r="Z537" s="181"/>
      <c r="AA537" s="181"/>
      <c r="AB537" s="180"/>
      <c r="AC537" s="181"/>
      <c r="AD537" s="181"/>
      <c r="AE537" s="181"/>
      <c r="AF537" s="181"/>
    </row>
    <row r="538" spans="2:32">
      <c r="B538" s="181"/>
      <c r="C538" s="184"/>
      <c r="D538" s="188"/>
      <c r="E538" s="188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  <c r="X538" s="181"/>
      <c r="Y538" s="181"/>
      <c r="Z538" s="181"/>
      <c r="AA538" s="181"/>
      <c r="AB538" s="180"/>
      <c r="AC538" s="181"/>
      <c r="AD538" s="181"/>
      <c r="AE538" s="181"/>
      <c r="AF538" s="181"/>
    </row>
    <row r="539" spans="2:32">
      <c r="B539" s="181"/>
      <c r="C539" s="184"/>
      <c r="D539" s="188"/>
      <c r="E539" s="188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  <c r="X539" s="181"/>
      <c r="Y539" s="181"/>
      <c r="Z539" s="181"/>
      <c r="AA539" s="181"/>
      <c r="AB539" s="180"/>
      <c r="AC539" s="181"/>
      <c r="AD539" s="181"/>
      <c r="AE539" s="181"/>
      <c r="AF539" s="181"/>
    </row>
    <row r="540" spans="2:32">
      <c r="B540" s="181"/>
      <c r="C540" s="184"/>
      <c r="D540" s="188"/>
      <c r="E540" s="188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  <c r="X540" s="181"/>
      <c r="Y540" s="181"/>
      <c r="Z540" s="181"/>
      <c r="AA540" s="181"/>
      <c r="AB540" s="180"/>
      <c r="AC540" s="181"/>
      <c r="AD540" s="181"/>
      <c r="AE540" s="181"/>
      <c r="AF540" s="181"/>
    </row>
    <row r="541" spans="2:32">
      <c r="B541" s="181"/>
      <c r="C541" s="184"/>
      <c r="D541" s="188"/>
      <c r="E541" s="188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  <c r="X541" s="181"/>
      <c r="Y541" s="181"/>
      <c r="Z541" s="181"/>
      <c r="AA541" s="181"/>
      <c r="AB541" s="180"/>
      <c r="AC541" s="181"/>
      <c r="AD541" s="181"/>
      <c r="AE541" s="181"/>
      <c r="AF541" s="181"/>
    </row>
    <row r="542" spans="2:32">
      <c r="B542" s="181"/>
      <c r="C542" s="184"/>
      <c r="D542" s="188"/>
      <c r="E542" s="188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  <c r="X542" s="181"/>
      <c r="Y542" s="181"/>
      <c r="Z542" s="181"/>
      <c r="AA542" s="181"/>
      <c r="AB542" s="180"/>
      <c r="AC542" s="181"/>
      <c r="AD542" s="181"/>
      <c r="AE542" s="181"/>
      <c r="AF542" s="181"/>
    </row>
    <row r="543" spans="2:32">
      <c r="B543" s="181"/>
      <c r="C543" s="184"/>
      <c r="D543" s="188"/>
      <c r="E543" s="188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  <c r="X543" s="181"/>
      <c r="Y543" s="181"/>
      <c r="Z543" s="181"/>
      <c r="AA543" s="181"/>
      <c r="AB543" s="180"/>
      <c r="AC543" s="181"/>
      <c r="AD543" s="181"/>
      <c r="AE543" s="181"/>
      <c r="AF543" s="181"/>
    </row>
    <row r="544" spans="2:32">
      <c r="B544" s="181"/>
      <c r="C544" s="184"/>
      <c r="D544" s="188"/>
      <c r="E544" s="188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  <c r="X544" s="181"/>
      <c r="Y544" s="181"/>
      <c r="Z544" s="181"/>
      <c r="AA544" s="181"/>
      <c r="AB544" s="180"/>
      <c r="AC544" s="181"/>
      <c r="AD544" s="181"/>
      <c r="AE544" s="181"/>
      <c r="AF544" s="181"/>
    </row>
    <row r="545" spans="2:32">
      <c r="B545" s="181"/>
      <c r="C545" s="184"/>
      <c r="D545" s="188"/>
      <c r="E545" s="188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  <c r="X545" s="181"/>
      <c r="Y545" s="181"/>
      <c r="Z545" s="181"/>
      <c r="AA545" s="181"/>
      <c r="AB545" s="180"/>
      <c r="AC545" s="181"/>
      <c r="AD545" s="181"/>
      <c r="AE545" s="181"/>
      <c r="AF545" s="181"/>
    </row>
    <row r="546" spans="2:32">
      <c r="B546" s="181"/>
      <c r="C546" s="184"/>
      <c r="D546" s="188"/>
      <c r="E546" s="188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  <c r="X546" s="181"/>
      <c r="Y546" s="181"/>
      <c r="Z546" s="181"/>
      <c r="AA546" s="181"/>
      <c r="AB546" s="180"/>
      <c r="AC546" s="181"/>
      <c r="AD546" s="181"/>
      <c r="AE546" s="181"/>
      <c r="AF546" s="181"/>
    </row>
    <row r="547" spans="2:32">
      <c r="B547" s="181"/>
      <c r="C547" s="184"/>
      <c r="D547" s="188"/>
      <c r="E547" s="188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  <c r="X547" s="181"/>
      <c r="Y547" s="181"/>
      <c r="Z547" s="181"/>
      <c r="AA547" s="181"/>
      <c r="AB547" s="180"/>
      <c r="AC547" s="181"/>
      <c r="AD547" s="181"/>
      <c r="AE547" s="181"/>
      <c r="AF547" s="181"/>
    </row>
    <row r="548" spans="2:32">
      <c r="B548" s="181"/>
      <c r="C548" s="184"/>
      <c r="D548" s="188"/>
      <c r="E548" s="188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  <c r="X548" s="181"/>
      <c r="Y548" s="181"/>
      <c r="Z548" s="181"/>
      <c r="AA548" s="181"/>
      <c r="AB548" s="180"/>
      <c r="AC548" s="181"/>
      <c r="AD548" s="181"/>
      <c r="AE548" s="181"/>
      <c r="AF548" s="181"/>
    </row>
    <row r="549" spans="2:32">
      <c r="B549" s="181"/>
      <c r="C549" s="184"/>
      <c r="D549" s="188"/>
      <c r="E549" s="188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  <c r="X549" s="181"/>
      <c r="Y549" s="181"/>
      <c r="Z549" s="181"/>
      <c r="AA549" s="181"/>
      <c r="AB549" s="180"/>
      <c r="AC549" s="181"/>
      <c r="AD549" s="181"/>
      <c r="AE549" s="181"/>
      <c r="AF549" s="181"/>
    </row>
    <row r="550" spans="2:32">
      <c r="B550" s="181"/>
      <c r="C550" s="184"/>
      <c r="D550" s="188"/>
      <c r="E550" s="188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  <c r="X550" s="181"/>
      <c r="Y550" s="181"/>
      <c r="Z550" s="181"/>
      <c r="AA550" s="181"/>
      <c r="AB550" s="180"/>
      <c r="AC550" s="181"/>
      <c r="AD550" s="181"/>
      <c r="AE550" s="181"/>
      <c r="AF550" s="181"/>
    </row>
    <row r="551" spans="2:32">
      <c r="B551" s="181"/>
      <c r="C551" s="184"/>
      <c r="D551" s="188"/>
      <c r="E551" s="188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  <c r="X551" s="181"/>
      <c r="Y551" s="181"/>
      <c r="Z551" s="181"/>
      <c r="AA551" s="181"/>
      <c r="AB551" s="180"/>
      <c r="AC551" s="181"/>
      <c r="AD551" s="181"/>
      <c r="AE551" s="181"/>
      <c r="AF551" s="181"/>
    </row>
    <row r="552" spans="2:32">
      <c r="B552" s="181"/>
      <c r="C552" s="184"/>
      <c r="D552" s="188"/>
      <c r="E552" s="188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  <c r="X552" s="181"/>
      <c r="Y552" s="181"/>
      <c r="Z552" s="181"/>
      <c r="AA552" s="181"/>
      <c r="AB552" s="180"/>
      <c r="AC552" s="181"/>
      <c r="AD552" s="181"/>
      <c r="AE552" s="181"/>
      <c r="AF552" s="181"/>
    </row>
    <row r="553" spans="2:32">
      <c r="B553" s="181"/>
      <c r="C553" s="184"/>
      <c r="D553" s="188"/>
      <c r="E553" s="188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  <c r="X553" s="181"/>
      <c r="Y553" s="181"/>
      <c r="Z553" s="181"/>
      <c r="AA553" s="181"/>
      <c r="AB553" s="180"/>
      <c r="AC553" s="181"/>
      <c r="AD553" s="181"/>
      <c r="AE553" s="181"/>
      <c r="AF553" s="181"/>
    </row>
    <row r="554" spans="2:32">
      <c r="B554" s="181"/>
      <c r="C554" s="184"/>
      <c r="D554" s="188"/>
      <c r="E554" s="188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  <c r="X554" s="181"/>
      <c r="Y554" s="181"/>
      <c r="Z554" s="181"/>
      <c r="AA554" s="181"/>
      <c r="AB554" s="180"/>
      <c r="AC554" s="181"/>
      <c r="AD554" s="181"/>
      <c r="AE554" s="181"/>
      <c r="AF554" s="181"/>
    </row>
    <row r="555" spans="2:32">
      <c r="B555" s="181"/>
      <c r="C555" s="184"/>
      <c r="D555" s="188"/>
      <c r="E555" s="188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  <c r="X555" s="181"/>
      <c r="Y555" s="181"/>
      <c r="Z555" s="181"/>
      <c r="AA555" s="181"/>
      <c r="AB555" s="180"/>
      <c r="AC555" s="181"/>
      <c r="AD555" s="181"/>
      <c r="AE555" s="181"/>
      <c r="AF555" s="181"/>
    </row>
    <row r="556" spans="2:32">
      <c r="B556" s="181"/>
      <c r="C556" s="184"/>
      <c r="D556" s="188"/>
      <c r="E556" s="188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  <c r="X556" s="181"/>
      <c r="Y556" s="181"/>
      <c r="Z556" s="181"/>
      <c r="AA556" s="181"/>
      <c r="AB556" s="180"/>
      <c r="AC556" s="181"/>
      <c r="AD556" s="181"/>
      <c r="AE556" s="181"/>
      <c r="AF556" s="181"/>
    </row>
    <row r="557" spans="2:32">
      <c r="B557" s="181"/>
      <c r="C557" s="184"/>
      <c r="D557" s="188"/>
      <c r="E557" s="188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  <c r="X557" s="181"/>
      <c r="Y557" s="181"/>
      <c r="Z557" s="181"/>
      <c r="AA557" s="181"/>
      <c r="AB557" s="180"/>
      <c r="AC557" s="181"/>
      <c r="AD557" s="181"/>
      <c r="AE557" s="181"/>
      <c r="AF557" s="181"/>
    </row>
    <row r="558" spans="2:32">
      <c r="B558" s="181"/>
      <c r="C558" s="184"/>
      <c r="D558" s="188"/>
      <c r="E558" s="188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  <c r="X558" s="181"/>
      <c r="Y558" s="181"/>
      <c r="Z558" s="181"/>
      <c r="AA558" s="181"/>
      <c r="AB558" s="180"/>
      <c r="AC558" s="181"/>
      <c r="AD558" s="181"/>
      <c r="AE558" s="181"/>
      <c r="AF558" s="181"/>
    </row>
    <row r="559" spans="2:32">
      <c r="B559" s="181"/>
      <c r="C559" s="184"/>
      <c r="D559" s="188"/>
      <c r="E559" s="188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  <c r="X559" s="181"/>
      <c r="Y559" s="181"/>
      <c r="Z559" s="181"/>
      <c r="AA559" s="181"/>
      <c r="AB559" s="180"/>
      <c r="AC559" s="181"/>
      <c r="AD559" s="181"/>
      <c r="AE559" s="181"/>
      <c r="AF559" s="181"/>
    </row>
    <row r="560" spans="2:32">
      <c r="B560" s="181"/>
      <c r="C560" s="184"/>
      <c r="D560" s="188"/>
      <c r="E560" s="188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  <c r="X560" s="181"/>
      <c r="Y560" s="181"/>
      <c r="Z560" s="181"/>
      <c r="AA560" s="181"/>
      <c r="AB560" s="180"/>
      <c r="AC560" s="181"/>
      <c r="AD560" s="181"/>
      <c r="AE560" s="181"/>
      <c r="AF560" s="181"/>
    </row>
    <row r="561" spans="2:32">
      <c r="B561" s="181"/>
      <c r="C561" s="184"/>
      <c r="D561" s="188"/>
      <c r="E561" s="188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  <c r="X561" s="181"/>
      <c r="Y561" s="181"/>
      <c r="Z561" s="181"/>
      <c r="AA561" s="181"/>
      <c r="AB561" s="180"/>
      <c r="AC561" s="181"/>
      <c r="AD561" s="181"/>
      <c r="AE561" s="181"/>
      <c r="AF561" s="181"/>
    </row>
    <row r="562" spans="2:32">
      <c r="B562" s="181"/>
      <c r="C562" s="184"/>
      <c r="D562" s="188"/>
      <c r="E562" s="188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  <c r="X562" s="181"/>
      <c r="Y562" s="181"/>
      <c r="Z562" s="181"/>
      <c r="AA562" s="181"/>
      <c r="AB562" s="180"/>
      <c r="AC562" s="181"/>
      <c r="AD562" s="181"/>
      <c r="AE562" s="181"/>
      <c r="AF562" s="181"/>
    </row>
    <row r="563" spans="2:32">
      <c r="B563" s="181"/>
      <c r="C563" s="184"/>
      <c r="D563" s="188"/>
      <c r="E563" s="188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  <c r="X563" s="181"/>
      <c r="Y563" s="181"/>
      <c r="Z563" s="181"/>
      <c r="AA563" s="181"/>
      <c r="AB563" s="180"/>
      <c r="AC563" s="181"/>
      <c r="AD563" s="181"/>
      <c r="AE563" s="181"/>
      <c r="AF563" s="181"/>
    </row>
    <row r="564" spans="2:32">
      <c r="B564" s="181"/>
      <c r="C564" s="184"/>
      <c r="D564" s="188"/>
      <c r="E564" s="188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  <c r="X564" s="181"/>
      <c r="Y564" s="181"/>
      <c r="Z564" s="181"/>
      <c r="AA564" s="181"/>
      <c r="AB564" s="180"/>
      <c r="AC564" s="181"/>
      <c r="AD564" s="181"/>
      <c r="AE564" s="181"/>
      <c r="AF564" s="181"/>
    </row>
    <row r="565" spans="2:32">
      <c r="B565" s="181"/>
      <c r="C565" s="184"/>
      <c r="D565" s="188"/>
      <c r="E565" s="188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  <c r="X565" s="181"/>
      <c r="Y565" s="181"/>
      <c r="Z565" s="181"/>
      <c r="AA565" s="181"/>
      <c r="AB565" s="180"/>
      <c r="AC565" s="181"/>
      <c r="AD565" s="181"/>
      <c r="AE565" s="181"/>
      <c r="AF565" s="181"/>
    </row>
    <row r="566" spans="2:32">
      <c r="B566" s="181"/>
      <c r="C566" s="184"/>
      <c r="D566" s="188"/>
      <c r="E566" s="188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  <c r="X566" s="181"/>
      <c r="Y566" s="181"/>
      <c r="Z566" s="181"/>
      <c r="AA566" s="181"/>
      <c r="AB566" s="180"/>
      <c r="AC566" s="181"/>
      <c r="AD566" s="181"/>
      <c r="AE566" s="181"/>
      <c r="AF566" s="181"/>
    </row>
    <row r="567" spans="2:32">
      <c r="B567" s="181"/>
      <c r="C567" s="184"/>
      <c r="D567" s="188"/>
      <c r="E567" s="188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  <c r="X567" s="181"/>
      <c r="Y567" s="181"/>
      <c r="Z567" s="181"/>
      <c r="AA567" s="181"/>
      <c r="AB567" s="180"/>
      <c r="AC567" s="181"/>
      <c r="AD567" s="181"/>
      <c r="AE567" s="181"/>
      <c r="AF567" s="181"/>
    </row>
    <row r="568" spans="2:32">
      <c r="B568" s="181"/>
      <c r="C568" s="184"/>
      <c r="D568" s="188"/>
      <c r="E568" s="188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  <c r="X568" s="181"/>
      <c r="Y568" s="181"/>
      <c r="Z568" s="181"/>
      <c r="AA568" s="181"/>
      <c r="AB568" s="180"/>
      <c r="AC568" s="181"/>
      <c r="AD568" s="181"/>
      <c r="AE568" s="181"/>
      <c r="AF568" s="181"/>
    </row>
    <row r="569" spans="2:32">
      <c r="B569" s="181"/>
      <c r="C569" s="184"/>
      <c r="D569" s="188"/>
      <c r="E569" s="188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  <c r="X569" s="181"/>
      <c r="Y569" s="181"/>
      <c r="Z569" s="181"/>
      <c r="AA569" s="181"/>
      <c r="AB569" s="180"/>
      <c r="AC569" s="181"/>
      <c r="AD569" s="181"/>
      <c r="AE569" s="181"/>
      <c r="AF569" s="181"/>
    </row>
    <row r="570" spans="2:32">
      <c r="B570" s="181"/>
      <c r="C570" s="184"/>
      <c r="D570" s="188"/>
      <c r="E570" s="188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  <c r="X570" s="181"/>
      <c r="Y570" s="181"/>
      <c r="Z570" s="181"/>
      <c r="AA570" s="181"/>
      <c r="AB570" s="180"/>
      <c r="AC570" s="181"/>
      <c r="AD570" s="181"/>
      <c r="AE570" s="181"/>
      <c r="AF570" s="181"/>
    </row>
    <row r="571" spans="2:32">
      <c r="B571" s="181"/>
      <c r="C571" s="184"/>
      <c r="D571" s="188"/>
      <c r="E571" s="188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  <c r="X571" s="181"/>
      <c r="Y571" s="181"/>
      <c r="Z571" s="181"/>
      <c r="AA571" s="181"/>
      <c r="AB571" s="180"/>
      <c r="AC571" s="181"/>
      <c r="AD571" s="181"/>
      <c r="AE571" s="181"/>
      <c r="AF571" s="181"/>
    </row>
    <row r="572" spans="2:32">
      <c r="B572" s="181"/>
      <c r="C572" s="184"/>
      <c r="D572" s="188"/>
      <c r="E572" s="188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  <c r="X572" s="181"/>
      <c r="Y572" s="181"/>
      <c r="Z572" s="181"/>
      <c r="AA572" s="181"/>
      <c r="AB572" s="180"/>
      <c r="AC572" s="181"/>
      <c r="AD572" s="181"/>
      <c r="AE572" s="181"/>
      <c r="AF572" s="181"/>
    </row>
    <row r="573" spans="2:32">
      <c r="B573" s="181"/>
      <c r="C573" s="184"/>
      <c r="D573" s="188"/>
      <c r="E573" s="188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  <c r="X573" s="181"/>
      <c r="Y573" s="181"/>
      <c r="Z573" s="181"/>
      <c r="AA573" s="181"/>
      <c r="AB573" s="180"/>
      <c r="AC573" s="181"/>
      <c r="AD573" s="181"/>
      <c r="AE573" s="181"/>
      <c r="AF573" s="181"/>
    </row>
    <row r="574" spans="2:32">
      <c r="B574" s="181"/>
      <c r="C574" s="184"/>
      <c r="D574" s="188"/>
      <c r="E574" s="188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  <c r="X574" s="181"/>
      <c r="Y574" s="181"/>
      <c r="Z574" s="181"/>
      <c r="AA574" s="181"/>
      <c r="AB574" s="180"/>
      <c r="AC574" s="181"/>
      <c r="AD574" s="181"/>
      <c r="AE574" s="181"/>
      <c r="AF574" s="181"/>
    </row>
    <row r="575" spans="2:32">
      <c r="B575" s="181"/>
      <c r="C575" s="184"/>
      <c r="D575" s="188"/>
      <c r="E575" s="188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  <c r="X575" s="181"/>
      <c r="Y575" s="181"/>
      <c r="Z575" s="181"/>
      <c r="AA575" s="181"/>
      <c r="AB575" s="180"/>
      <c r="AC575" s="181"/>
      <c r="AD575" s="181"/>
      <c r="AE575" s="181"/>
      <c r="AF575" s="181"/>
    </row>
    <row r="576" spans="2:32">
      <c r="B576" s="181"/>
      <c r="C576" s="184"/>
      <c r="D576" s="188"/>
      <c r="E576" s="188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  <c r="X576" s="181"/>
      <c r="Y576" s="181"/>
      <c r="Z576" s="181"/>
      <c r="AA576" s="181"/>
      <c r="AB576" s="180"/>
      <c r="AC576" s="181"/>
      <c r="AD576" s="181"/>
      <c r="AE576" s="181"/>
      <c r="AF576" s="181"/>
    </row>
    <row r="577" spans="2:32">
      <c r="B577" s="181"/>
      <c r="C577" s="184"/>
      <c r="D577" s="188"/>
      <c r="E577" s="188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  <c r="X577" s="181"/>
      <c r="Y577" s="181"/>
      <c r="Z577" s="181"/>
      <c r="AA577" s="181"/>
      <c r="AB577" s="180"/>
      <c r="AC577" s="181"/>
      <c r="AD577" s="181"/>
      <c r="AE577" s="181"/>
      <c r="AF577" s="181"/>
    </row>
    <row r="578" spans="2:32">
      <c r="B578" s="181"/>
      <c r="C578" s="184"/>
      <c r="D578" s="188"/>
      <c r="E578" s="188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  <c r="X578" s="181"/>
      <c r="Y578" s="181"/>
      <c r="Z578" s="181"/>
      <c r="AA578" s="181"/>
      <c r="AB578" s="180"/>
      <c r="AC578" s="181"/>
      <c r="AD578" s="181"/>
      <c r="AE578" s="181"/>
      <c r="AF578" s="181"/>
    </row>
    <row r="579" spans="2:32">
      <c r="B579" s="181"/>
      <c r="C579" s="184"/>
      <c r="D579" s="188"/>
      <c r="E579" s="188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  <c r="X579" s="181"/>
      <c r="Y579" s="181"/>
      <c r="Z579" s="181"/>
      <c r="AA579" s="181"/>
      <c r="AB579" s="180"/>
      <c r="AC579" s="181"/>
      <c r="AD579" s="181"/>
      <c r="AE579" s="181"/>
      <c r="AF579" s="181"/>
    </row>
    <row r="580" spans="2:32">
      <c r="B580" s="181"/>
      <c r="C580" s="184"/>
      <c r="D580" s="188"/>
      <c r="E580" s="188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  <c r="X580" s="181"/>
      <c r="Y580" s="181"/>
      <c r="Z580" s="181"/>
      <c r="AA580" s="181"/>
      <c r="AB580" s="180"/>
      <c r="AC580" s="181"/>
      <c r="AD580" s="181"/>
      <c r="AE580" s="181"/>
      <c r="AF580" s="181"/>
    </row>
    <row r="581" spans="2:32">
      <c r="B581" s="181"/>
      <c r="C581" s="184"/>
      <c r="D581" s="188"/>
      <c r="E581" s="188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  <c r="X581" s="181"/>
      <c r="Y581" s="181"/>
      <c r="Z581" s="181"/>
      <c r="AA581" s="181"/>
      <c r="AB581" s="180"/>
      <c r="AC581" s="181"/>
      <c r="AD581" s="181"/>
      <c r="AE581" s="181"/>
      <c r="AF581" s="181"/>
    </row>
    <row r="582" spans="2:32">
      <c r="B582" s="181"/>
      <c r="C582" s="184"/>
      <c r="D582" s="188"/>
      <c r="E582" s="188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  <c r="X582" s="181"/>
      <c r="Y582" s="181"/>
      <c r="Z582" s="181"/>
      <c r="AA582" s="181"/>
      <c r="AB582" s="180"/>
      <c r="AC582" s="181"/>
      <c r="AD582" s="181"/>
      <c r="AE582" s="181"/>
      <c r="AF582" s="181"/>
    </row>
    <row r="583" spans="2:32">
      <c r="B583" s="181"/>
      <c r="C583" s="184"/>
      <c r="D583" s="188"/>
      <c r="E583" s="188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  <c r="X583" s="181"/>
      <c r="Y583" s="181"/>
      <c r="Z583" s="181"/>
      <c r="AA583" s="181"/>
      <c r="AB583" s="180"/>
      <c r="AC583" s="181"/>
      <c r="AD583" s="181"/>
      <c r="AE583" s="181"/>
      <c r="AF583" s="181"/>
    </row>
    <row r="584" spans="2:32">
      <c r="B584" s="181"/>
      <c r="C584" s="184"/>
      <c r="D584" s="188"/>
      <c r="E584" s="188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  <c r="X584" s="181"/>
      <c r="Y584" s="181"/>
      <c r="Z584" s="181"/>
      <c r="AA584" s="181"/>
      <c r="AB584" s="180"/>
      <c r="AC584" s="181"/>
      <c r="AD584" s="181"/>
      <c r="AE584" s="181"/>
      <c r="AF584" s="181"/>
    </row>
    <row r="585" spans="2:32">
      <c r="B585" s="181"/>
      <c r="C585" s="184"/>
      <c r="D585" s="188"/>
      <c r="E585" s="188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  <c r="X585" s="181"/>
      <c r="Y585" s="181"/>
      <c r="Z585" s="181"/>
      <c r="AA585" s="181"/>
      <c r="AB585" s="180"/>
      <c r="AC585" s="181"/>
      <c r="AD585" s="181"/>
      <c r="AE585" s="181"/>
      <c r="AF585" s="181"/>
    </row>
    <row r="586" spans="2:32">
      <c r="B586" s="181"/>
      <c r="C586" s="184"/>
      <c r="D586" s="188"/>
      <c r="E586" s="188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  <c r="X586" s="181"/>
      <c r="Y586" s="181"/>
      <c r="Z586" s="181"/>
      <c r="AA586" s="181"/>
      <c r="AB586" s="180"/>
      <c r="AC586" s="181"/>
      <c r="AD586" s="181"/>
      <c r="AE586" s="181"/>
      <c r="AF586" s="181"/>
    </row>
    <row r="587" spans="2:32">
      <c r="B587" s="181"/>
      <c r="C587" s="184"/>
      <c r="D587" s="188"/>
      <c r="E587" s="188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  <c r="X587" s="181"/>
      <c r="Y587" s="181"/>
      <c r="Z587" s="181"/>
      <c r="AA587" s="181"/>
      <c r="AB587" s="180"/>
      <c r="AC587" s="181"/>
      <c r="AD587" s="181"/>
      <c r="AE587" s="181"/>
      <c r="AF587" s="181"/>
    </row>
    <row r="588" spans="2:32">
      <c r="B588" s="181"/>
      <c r="C588" s="184"/>
      <c r="D588" s="188"/>
      <c r="E588" s="188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  <c r="X588" s="181"/>
      <c r="Y588" s="181"/>
      <c r="Z588" s="181"/>
      <c r="AA588" s="181"/>
      <c r="AB588" s="180"/>
      <c r="AC588" s="181"/>
      <c r="AD588" s="181"/>
      <c r="AE588" s="181"/>
      <c r="AF588" s="181"/>
    </row>
    <row r="589" spans="2:32">
      <c r="B589" s="181"/>
      <c r="C589" s="184"/>
      <c r="D589" s="188"/>
      <c r="E589" s="188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  <c r="X589" s="181"/>
      <c r="Y589" s="181"/>
      <c r="Z589" s="181"/>
      <c r="AA589" s="181"/>
      <c r="AB589" s="180"/>
      <c r="AC589" s="181"/>
      <c r="AD589" s="181"/>
      <c r="AE589" s="181"/>
      <c r="AF589" s="181"/>
    </row>
    <row r="590" spans="2:32">
      <c r="B590" s="181"/>
      <c r="C590" s="184"/>
      <c r="D590" s="188"/>
      <c r="E590" s="188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  <c r="X590" s="181"/>
      <c r="Y590" s="181"/>
      <c r="Z590" s="181"/>
      <c r="AA590" s="181"/>
      <c r="AB590" s="180"/>
      <c r="AC590" s="181"/>
      <c r="AD590" s="181"/>
      <c r="AE590" s="181"/>
      <c r="AF590" s="181"/>
    </row>
    <row r="591" spans="2:32">
      <c r="B591" s="181"/>
      <c r="C591" s="184"/>
      <c r="D591" s="188"/>
      <c r="E591" s="188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  <c r="X591" s="181"/>
      <c r="Y591" s="181"/>
      <c r="Z591" s="181"/>
      <c r="AA591" s="181"/>
      <c r="AB591" s="180"/>
      <c r="AC591" s="181"/>
      <c r="AD591" s="181"/>
      <c r="AE591" s="181"/>
      <c r="AF591" s="181"/>
    </row>
    <row r="592" spans="2:32">
      <c r="B592" s="181"/>
      <c r="C592" s="184"/>
      <c r="D592" s="188"/>
      <c r="E592" s="188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  <c r="X592" s="181"/>
      <c r="Y592" s="181"/>
      <c r="Z592" s="181"/>
      <c r="AA592" s="181"/>
      <c r="AB592" s="180"/>
      <c r="AC592" s="181"/>
      <c r="AD592" s="181"/>
      <c r="AE592" s="181"/>
      <c r="AF592" s="181"/>
    </row>
    <row r="593" spans="2:32">
      <c r="B593" s="181"/>
      <c r="C593" s="184"/>
      <c r="D593" s="188"/>
      <c r="E593" s="188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  <c r="X593" s="181"/>
      <c r="Y593" s="181"/>
      <c r="Z593" s="181"/>
      <c r="AA593" s="181"/>
      <c r="AB593" s="180"/>
      <c r="AC593" s="181"/>
      <c r="AD593" s="181"/>
      <c r="AE593" s="181"/>
      <c r="AF593" s="181"/>
    </row>
    <row r="594" spans="2:32">
      <c r="B594" s="181"/>
      <c r="C594" s="184"/>
      <c r="D594" s="188"/>
      <c r="E594" s="188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  <c r="X594" s="181"/>
      <c r="Y594" s="181"/>
      <c r="Z594" s="181"/>
      <c r="AA594" s="181"/>
      <c r="AB594" s="180"/>
      <c r="AC594" s="181"/>
      <c r="AD594" s="181"/>
      <c r="AE594" s="181"/>
      <c r="AF594" s="181"/>
    </row>
    <row r="595" spans="2:32">
      <c r="B595" s="181"/>
      <c r="C595" s="184"/>
      <c r="D595" s="188"/>
      <c r="E595" s="188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  <c r="X595" s="181"/>
      <c r="Y595" s="181"/>
      <c r="Z595" s="181"/>
      <c r="AA595" s="181"/>
      <c r="AB595" s="180"/>
      <c r="AC595" s="181"/>
      <c r="AD595" s="181"/>
      <c r="AE595" s="181"/>
      <c r="AF595" s="181"/>
    </row>
    <row r="596" spans="2:32">
      <c r="B596" s="181"/>
      <c r="C596" s="184"/>
      <c r="D596" s="188"/>
      <c r="E596" s="188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  <c r="X596" s="181"/>
      <c r="Y596" s="181"/>
      <c r="Z596" s="181"/>
      <c r="AA596" s="181"/>
      <c r="AB596" s="180"/>
      <c r="AC596" s="181"/>
      <c r="AD596" s="181"/>
      <c r="AE596" s="181"/>
      <c r="AF596" s="181"/>
    </row>
    <row r="597" spans="2:32">
      <c r="B597" s="181"/>
      <c r="C597" s="184"/>
      <c r="D597" s="188"/>
      <c r="E597" s="188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  <c r="X597" s="181"/>
      <c r="Y597" s="181"/>
      <c r="Z597" s="181"/>
      <c r="AA597" s="181"/>
      <c r="AB597" s="180"/>
      <c r="AC597" s="181"/>
      <c r="AD597" s="181"/>
      <c r="AE597" s="181"/>
      <c r="AF597" s="181"/>
    </row>
    <row r="598" spans="2:32">
      <c r="B598" s="181"/>
      <c r="C598" s="184"/>
      <c r="D598" s="188"/>
      <c r="E598" s="188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  <c r="X598" s="181"/>
      <c r="Y598" s="181"/>
      <c r="Z598" s="181"/>
      <c r="AA598" s="181"/>
      <c r="AB598" s="180"/>
      <c r="AC598" s="181"/>
      <c r="AD598" s="181"/>
      <c r="AE598" s="181"/>
      <c r="AF598" s="181"/>
    </row>
    <row r="599" spans="2:32">
      <c r="B599" s="181"/>
      <c r="C599" s="184"/>
      <c r="D599" s="188"/>
      <c r="E599" s="188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  <c r="X599" s="181"/>
      <c r="Y599" s="181"/>
      <c r="Z599" s="181"/>
      <c r="AA599" s="181"/>
      <c r="AB599" s="180"/>
      <c r="AC599" s="181"/>
      <c r="AD599" s="181"/>
      <c r="AE599" s="181"/>
      <c r="AF599" s="181"/>
    </row>
    <row r="600" spans="2:32">
      <c r="B600" s="181"/>
      <c r="C600" s="184"/>
      <c r="D600" s="188"/>
      <c r="E600" s="188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  <c r="X600" s="181"/>
      <c r="Y600" s="181"/>
      <c r="Z600" s="181"/>
      <c r="AA600" s="181"/>
      <c r="AB600" s="180"/>
      <c r="AC600" s="181"/>
      <c r="AD600" s="181"/>
      <c r="AE600" s="181"/>
      <c r="AF600" s="181"/>
    </row>
    <row r="601" spans="2:32">
      <c r="B601" s="181"/>
      <c r="C601" s="184"/>
      <c r="D601" s="188"/>
      <c r="E601" s="188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  <c r="X601" s="181"/>
      <c r="Y601" s="181"/>
      <c r="Z601" s="181"/>
      <c r="AA601" s="181"/>
      <c r="AB601" s="180"/>
      <c r="AC601" s="181"/>
      <c r="AD601" s="181"/>
      <c r="AE601" s="181"/>
      <c r="AF601" s="181"/>
    </row>
    <row r="602" spans="2:32">
      <c r="B602" s="181"/>
      <c r="C602" s="184"/>
      <c r="D602" s="188"/>
      <c r="E602" s="188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  <c r="X602" s="181"/>
      <c r="Y602" s="181"/>
      <c r="Z602" s="181"/>
      <c r="AA602" s="181"/>
      <c r="AB602" s="180"/>
      <c r="AC602" s="181"/>
      <c r="AD602" s="181"/>
      <c r="AE602" s="181"/>
      <c r="AF602" s="181"/>
    </row>
    <row r="603" spans="2:32">
      <c r="B603" s="181"/>
      <c r="C603" s="184"/>
      <c r="D603" s="188"/>
      <c r="E603" s="188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  <c r="X603" s="181"/>
      <c r="Y603" s="181"/>
      <c r="Z603" s="181"/>
      <c r="AA603" s="181"/>
      <c r="AB603" s="180"/>
      <c r="AC603" s="181"/>
      <c r="AD603" s="181"/>
      <c r="AE603" s="181"/>
      <c r="AF603" s="181"/>
    </row>
    <row r="604" spans="2:32">
      <c r="B604" s="181"/>
      <c r="C604" s="184"/>
      <c r="D604" s="188"/>
      <c r="E604" s="188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  <c r="X604" s="181"/>
      <c r="Y604" s="181"/>
      <c r="Z604" s="181"/>
      <c r="AA604" s="181"/>
      <c r="AB604" s="180"/>
      <c r="AC604" s="181"/>
      <c r="AD604" s="181"/>
      <c r="AE604" s="181"/>
      <c r="AF604" s="181"/>
    </row>
    <row r="605" spans="2:32">
      <c r="B605" s="181"/>
      <c r="C605" s="184"/>
      <c r="D605" s="188"/>
      <c r="E605" s="188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  <c r="X605" s="181"/>
      <c r="Y605" s="181"/>
      <c r="Z605" s="181"/>
      <c r="AA605" s="181"/>
      <c r="AB605" s="180"/>
      <c r="AC605" s="181"/>
      <c r="AD605" s="181"/>
      <c r="AE605" s="181"/>
      <c r="AF605" s="181"/>
    </row>
    <row r="606" spans="2:32">
      <c r="B606" s="181"/>
      <c r="C606" s="184"/>
      <c r="D606" s="188"/>
      <c r="E606" s="188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  <c r="X606" s="181"/>
      <c r="Y606" s="181"/>
      <c r="Z606" s="181"/>
      <c r="AA606" s="181"/>
      <c r="AB606" s="180"/>
      <c r="AC606" s="181"/>
      <c r="AD606" s="181"/>
      <c r="AE606" s="181"/>
      <c r="AF606" s="181"/>
    </row>
    <row r="607" spans="2:32">
      <c r="B607" s="181"/>
      <c r="C607" s="184"/>
      <c r="D607" s="188"/>
      <c r="E607" s="188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  <c r="X607" s="181"/>
      <c r="Y607" s="181"/>
      <c r="Z607" s="181"/>
      <c r="AA607" s="181"/>
      <c r="AB607" s="180"/>
      <c r="AC607" s="181"/>
      <c r="AD607" s="181"/>
      <c r="AE607" s="181"/>
      <c r="AF607" s="181"/>
    </row>
    <row r="608" spans="2:32">
      <c r="B608" s="181"/>
      <c r="C608" s="184"/>
      <c r="D608" s="188"/>
      <c r="E608" s="188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  <c r="X608" s="181"/>
      <c r="Y608" s="181"/>
      <c r="Z608" s="181"/>
      <c r="AA608" s="181"/>
      <c r="AB608" s="180"/>
      <c r="AC608" s="181"/>
      <c r="AD608" s="181"/>
      <c r="AE608" s="181"/>
      <c r="AF608" s="181"/>
    </row>
    <row r="609" spans="2:32">
      <c r="B609" s="181"/>
      <c r="C609" s="184"/>
      <c r="D609" s="188"/>
      <c r="E609" s="188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  <c r="X609" s="181"/>
      <c r="Y609" s="181"/>
      <c r="Z609" s="181"/>
      <c r="AA609" s="181"/>
      <c r="AB609" s="180"/>
      <c r="AC609" s="181"/>
      <c r="AD609" s="181"/>
      <c r="AE609" s="181"/>
      <c r="AF609" s="181"/>
    </row>
    <row r="610" spans="2:32">
      <c r="B610" s="181"/>
      <c r="C610" s="184"/>
      <c r="D610" s="188"/>
      <c r="E610" s="188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  <c r="X610" s="181"/>
      <c r="Y610" s="181"/>
      <c r="Z610" s="181"/>
      <c r="AA610" s="181"/>
      <c r="AB610" s="180"/>
      <c r="AC610" s="181"/>
      <c r="AD610" s="181"/>
      <c r="AE610" s="181"/>
      <c r="AF610" s="181"/>
    </row>
    <row r="611" spans="2:32">
      <c r="B611" s="181"/>
      <c r="C611" s="184"/>
      <c r="D611" s="188"/>
      <c r="E611" s="188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  <c r="X611" s="181"/>
      <c r="Y611" s="181"/>
      <c r="Z611" s="181"/>
      <c r="AA611" s="181"/>
      <c r="AB611" s="180"/>
      <c r="AC611" s="181"/>
      <c r="AD611" s="181"/>
      <c r="AE611" s="181"/>
      <c r="AF611" s="181"/>
    </row>
    <row r="612" spans="2:32">
      <c r="B612" s="181"/>
      <c r="C612" s="184"/>
      <c r="D612" s="188"/>
      <c r="E612" s="188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  <c r="X612" s="181"/>
      <c r="Y612" s="181"/>
      <c r="Z612" s="181"/>
      <c r="AA612" s="181"/>
      <c r="AB612" s="180"/>
      <c r="AC612" s="181"/>
      <c r="AD612" s="181"/>
      <c r="AE612" s="181"/>
      <c r="AF612" s="181"/>
    </row>
    <row r="613" spans="2:32">
      <c r="B613" s="181"/>
      <c r="C613" s="184"/>
      <c r="D613" s="188"/>
      <c r="E613" s="188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  <c r="X613" s="181"/>
      <c r="Y613" s="181"/>
      <c r="Z613" s="181"/>
      <c r="AA613" s="181"/>
      <c r="AB613" s="180"/>
      <c r="AC613" s="181"/>
      <c r="AD613" s="181"/>
      <c r="AE613" s="181"/>
      <c r="AF613" s="181"/>
    </row>
    <row r="614" spans="2:32">
      <c r="B614" s="181"/>
      <c r="C614" s="184"/>
      <c r="D614" s="188"/>
      <c r="E614" s="188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  <c r="X614" s="181"/>
      <c r="Y614" s="181"/>
      <c r="Z614" s="181"/>
      <c r="AA614" s="181"/>
      <c r="AB614" s="180"/>
      <c r="AC614" s="181"/>
      <c r="AD614" s="181"/>
      <c r="AE614" s="181"/>
      <c r="AF614" s="181"/>
    </row>
    <row r="615" spans="2:32">
      <c r="B615" s="181"/>
      <c r="C615" s="184"/>
      <c r="D615" s="188"/>
      <c r="E615" s="188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  <c r="X615" s="181"/>
      <c r="Y615" s="181"/>
      <c r="Z615" s="181"/>
      <c r="AA615" s="181"/>
      <c r="AB615" s="180"/>
      <c r="AC615" s="181"/>
      <c r="AD615" s="181"/>
      <c r="AE615" s="181"/>
      <c r="AF615" s="181"/>
    </row>
    <row r="616" spans="2:32">
      <c r="B616" s="181"/>
      <c r="C616" s="184"/>
      <c r="D616" s="188"/>
      <c r="E616" s="188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  <c r="X616" s="181"/>
      <c r="Y616" s="181"/>
      <c r="Z616" s="181"/>
      <c r="AA616" s="181"/>
      <c r="AB616" s="180"/>
      <c r="AC616" s="181"/>
      <c r="AD616" s="181"/>
      <c r="AE616" s="181"/>
      <c r="AF616" s="181"/>
    </row>
    <row r="617" spans="2:32">
      <c r="B617" s="181"/>
      <c r="C617" s="184"/>
      <c r="D617" s="188"/>
      <c r="E617" s="188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  <c r="X617" s="181"/>
      <c r="Y617" s="181"/>
      <c r="Z617" s="181"/>
      <c r="AA617" s="181"/>
      <c r="AB617" s="180"/>
      <c r="AC617" s="181"/>
      <c r="AD617" s="181"/>
      <c r="AE617" s="181"/>
      <c r="AF617" s="181"/>
    </row>
    <row r="618" spans="2:32">
      <c r="B618" s="181"/>
      <c r="C618" s="184"/>
      <c r="D618" s="188"/>
      <c r="E618" s="188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  <c r="X618" s="181"/>
      <c r="Y618" s="181"/>
      <c r="Z618" s="181"/>
      <c r="AA618" s="181"/>
      <c r="AB618" s="180"/>
      <c r="AC618" s="181"/>
      <c r="AD618" s="181"/>
      <c r="AE618" s="181"/>
      <c r="AF618" s="181"/>
    </row>
    <row r="619" spans="2:32">
      <c r="B619" s="181"/>
      <c r="C619" s="184"/>
      <c r="D619" s="188"/>
      <c r="E619" s="188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  <c r="X619" s="181"/>
      <c r="Y619" s="181"/>
      <c r="Z619" s="181"/>
      <c r="AA619" s="181"/>
      <c r="AB619" s="180"/>
      <c r="AC619" s="181"/>
      <c r="AD619" s="181"/>
      <c r="AE619" s="181"/>
      <c r="AF619" s="181"/>
    </row>
    <row r="620" spans="2:32">
      <c r="B620" s="181"/>
      <c r="C620" s="184"/>
      <c r="D620" s="188"/>
      <c r="E620" s="188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  <c r="X620" s="181"/>
      <c r="Y620" s="181"/>
      <c r="Z620" s="181"/>
      <c r="AA620" s="181"/>
      <c r="AB620" s="180"/>
      <c r="AC620" s="181"/>
      <c r="AD620" s="181"/>
      <c r="AE620" s="181"/>
      <c r="AF620" s="181"/>
    </row>
    <row r="621" spans="2:32">
      <c r="B621" s="181"/>
      <c r="C621" s="184"/>
      <c r="D621" s="188"/>
      <c r="E621" s="188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  <c r="X621" s="181"/>
      <c r="Y621" s="181"/>
      <c r="Z621" s="181"/>
      <c r="AA621" s="181"/>
      <c r="AB621" s="180"/>
      <c r="AC621" s="181"/>
      <c r="AD621" s="181"/>
      <c r="AE621" s="181"/>
      <c r="AF621" s="181"/>
    </row>
    <row r="622" spans="2:32">
      <c r="B622" s="181"/>
      <c r="C622" s="184"/>
      <c r="D622" s="188"/>
      <c r="E622" s="188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  <c r="X622" s="181"/>
      <c r="Y622" s="181"/>
      <c r="Z622" s="181"/>
      <c r="AA622" s="181"/>
      <c r="AB622" s="180"/>
      <c r="AC622" s="181"/>
      <c r="AD622" s="181"/>
      <c r="AE622" s="181"/>
      <c r="AF622" s="181"/>
    </row>
    <row r="623" spans="2:32">
      <c r="B623" s="181"/>
      <c r="C623" s="184"/>
      <c r="D623" s="188"/>
      <c r="E623" s="188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  <c r="X623" s="181"/>
      <c r="Y623" s="181"/>
      <c r="Z623" s="181"/>
      <c r="AA623" s="181"/>
      <c r="AB623" s="180"/>
      <c r="AC623" s="181"/>
      <c r="AD623" s="181"/>
      <c r="AE623" s="181"/>
      <c r="AF623" s="181"/>
    </row>
    <row r="624" spans="2:32">
      <c r="B624" s="181"/>
      <c r="C624" s="184"/>
      <c r="D624" s="188"/>
      <c r="E624" s="188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  <c r="X624" s="181"/>
      <c r="Y624" s="181"/>
      <c r="Z624" s="181"/>
      <c r="AA624" s="181"/>
      <c r="AB624" s="180"/>
      <c r="AC624" s="181"/>
      <c r="AD624" s="181"/>
      <c r="AE624" s="181"/>
      <c r="AF624" s="181"/>
    </row>
    <row r="625" spans="2:32">
      <c r="B625" s="181"/>
      <c r="C625" s="184"/>
      <c r="D625" s="188"/>
      <c r="E625" s="188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  <c r="X625" s="181"/>
      <c r="Y625" s="181"/>
      <c r="Z625" s="181"/>
      <c r="AA625" s="181"/>
      <c r="AB625" s="180"/>
      <c r="AC625" s="181"/>
      <c r="AD625" s="181"/>
      <c r="AE625" s="181"/>
      <c r="AF625" s="181"/>
    </row>
    <row r="626" spans="2:32">
      <c r="B626" s="181"/>
      <c r="C626" s="184"/>
      <c r="D626" s="188"/>
      <c r="E626" s="188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  <c r="X626" s="181"/>
      <c r="Y626" s="181"/>
      <c r="Z626" s="181"/>
      <c r="AA626" s="181"/>
      <c r="AB626" s="180"/>
      <c r="AC626" s="181"/>
      <c r="AD626" s="181"/>
      <c r="AE626" s="181"/>
      <c r="AF626" s="181"/>
    </row>
    <row r="627" spans="2:32">
      <c r="B627" s="181"/>
      <c r="C627" s="184"/>
      <c r="D627" s="188"/>
      <c r="E627" s="188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  <c r="X627" s="181"/>
      <c r="Y627" s="181"/>
      <c r="Z627" s="181"/>
      <c r="AA627" s="181"/>
      <c r="AB627" s="180"/>
      <c r="AC627" s="181"/>
      <c r="AD627" s="181"/>
      <c r="AE627" s="181"/>
      <c r="AF627" s="181"/>
    </row>
    <row r="628" spans="2:32">
      <c r="B628" s="181"/>
      <c r="C628" s="184"/>
      <c r="D628" s="188"/>
      <c r="E628" s="188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  <c r="X628" s="181"/>
      <c r="Y628" s="181"/>
      <c r="Z628" s="181"/>
      <c r="AA628" s="181"/>
      <c r="AB628" s="180"/>
      <c r="AC628" s="181"/>
      <c r="AD628" s="181"/>
      <c r="AE628" s="181"/>
      <c r="AF628" s="181"/>
    </row>
    <row r="629" spans="2:32">
      <c r="B629" s="181"/>
      <c r="C629" s="184"/>
      <c r="D629" s="188"/>
      <c r="E629" s="188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  <c r="X629" s="181"/>
      <c r="Y629" s="181"/>
      <c r="Z629" s="181"/>
      <c r="AA629" s="181"/>
      <c r="AB629" s="180"/>
      <c r="AC629" s="181"/>
      <c r="AD629" s="181"/>
      <c r="AE629" s="181"/>
      <c r="AF629" s="181"/>
    </row>
    <row r="630" spans="2:32">
      <c r="B630" s="181"/>
      <c r="C630" s="184"/>
      <c r="D630" s="188"/>
      <c r="E630" s="188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  <c r="X630" s="181"/>
      <c r="Y630" s="181"/>
      <c r="Z630" s="181"/>
      <c r="AA630" s="181"/>
      <c r="AB630" s="180"/>
      <c r="AC630" s="181"/>
      <c r="AD630" s="181"/>
      <c r="AE630" s="181"/>
      <c r="AF630" s="181"/>
    </row>
    <row r="631" spans="2:32">
      <c r="B631" s="181"/>
      <c r="C631" s="184"/>
      <c r="D631" s="188"/>
      <c r="E631" s="188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  <c r="X631" s="181"/>
      <c r="Y631" s="181"/>
      <c r="Z631" s="181"/>
      <c r="AA631" s="181"/>
      <c r="AB631" s="180"/>
      <c r="AC631" s="181"/>
      <c r="AD631" s="181"/>
      <c r="AE631" s="181"/>
      <c r="AF631" s="181"/>
    </row>
    <row r="632" spans="2:32">
      <c r="B632" s="181"/>
      <c r="C632" s="184"/>
      <c r="D632" s="188"/>
      <c r="E632" s="188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  <c r="X632" s="181"/>
      <c r="Y632" s="181"/>
      <c r="Z632" s="181"/>
      <c r="AA632" s="181"/>
      <c r="AB632" s="180"/>
      <c r="AC632" s="181"/>
      <c r="AD632" s="181"/>
      <c r="AE632" s="181"/>
      <c r="AF632" s="181"/>
    </row>
    <row r="633" spans="2:32">
      <c r="B633" s="181"/>
      <c r="C633" s="184"/>
      <c r="D633" s="188"/>
      <c r="E633" s="188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  <c r="X633" s="181"/>
      <c r="Y633" s="181"/>
      <c r="Z633" s="181"/>
      <c r="AA633" s="181"/>
      <c r="AB633" s="180"/>
      <c r="AC633" s="181"/>
      <c r="AD633" s="181"/>
      <c r="AE633" s="181"/>
      <c r="AF633" s="181"/>
    </row>
    <row r="634" spans="2:32">
      <c r="B634" s="181"/>
      <c r="C634" s="184"/>
      <c r="D634" s="188"/>
      <c r="E634" s="188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  <c r="X634" s="181"/>
      <c r="Y634" s="181"/>
      <c r="Z634" s="181"/>
      <c r="AA634" s="181"/>
      <c r="AB634" s="180"/>
      <c r="AC634" s="181"/>
      <c r="AD634" s="181"/>
      <c r="AE634" s="181"/>
      <c r="AF634" s="181"/>
    </row>
    <row r="635" spans="2:32">
      <c r="B635" s="181"/>
      <c r="C635" s="184"/>
      <c r="D635" s="188"/>
      <c r="E635" s="188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  <c r="X635" s="181"/>
      <c r="Y635" s="181"/>
      <c r="Z635" s="181"/>
      <c r="AA635" s="181"/>
      <c r="AB635" s="180"/>
      <c r="AC635" s="181"/>
      <c r="AD635" s="181"/>
      <c r="AE635" s="181"/>
      <c r="AF635" s="181"/>
    </row>
    <row r="636" spans="2:32">
      <c r="B636" s="181"/>
      <c r="C636" s="184"/>
      <c r="D636" s="188"/>
      <c r="E636" s="188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  <c r="X636" s="181"/>
      <c r="Y636" s="181"/>
      <c r="Z636" s="181"/>
      <c r="AA636" s="181"/>
      <c r="AB636" s="180"/>
      <c r="AC636" s="181"/>
      <c r="AD636" s="181"/>
      <c r="AE636" s="181"/>
      <c r="AF636" s="181"/>
    </row>
    <row r="637" spans="2:32">
      <c r="B637" s="181"/>
      <c r="C637" s="184"/>
      <c r="D637" s="188"/>
      <c r="E637" s="188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  <c r="X637" s="181"/>
      <c r="Y637" s="181"/>
      <c r="Z637" s="181"/>
      <c r="AA637" s="181"/>
      <c r="AB637" s="180"/>
      <c r="AC637" s="181"/>
      <c r="AD637" s="181"/>
      <c r="AE637" s="181"/>
      <c r="AF637" s="181"/>
    </row>
    <row r="638" spans="2:32">
      <c r="B638" s="181"/>
      <c r="C638" s="184"/>
      <c r="D638" s="188"/>
      <c r="E638" s="188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  <c r="X638" s="181"/>
      <c r="Y638" s="181"/>
      <c r="Z638" s="181"/>
      <c r="AA638" s="181"/>
      <c r="AB638" s="180"/>
      <c r="AC638" s="181"/>
      <c r="AD638" s="181"/>
      <c r="AE638" s="181"/>
      <c r="AF638" s="181"/>
    </row>
    <row r="639" spans="2:32">
      <c r="B639" s="181"/>
      <c r="C639" s="184"/>
      <c r="D639" s="188"/>
      <c r="E639" s="188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  <c r="X639" s="181"/>
      <c r="Y639" s="181"/>
      <c r="Z639" s="181"/>
      <c r="AA639" s="181"/>
      <c r="AB639" s="180"/>
      <c r="AC639" s="181"/>
      <c r="AD639" s="181"/>
      <c r="AE639" s="181"/>
      <c r="AF639" s="181"/>
    </row>
    <row r="640" spans="2:32">
      <c r="B640" s="181"/>
      <c r="C640" s="184"/>
      <c r="D640" s="188"/>
      <c r="E640" s="188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  <c r="X640" s="181"/>
      <c r="Y640" s="181"/>
      <c r="Z640" s="181"/>
      <c r="AA640" s="181"/>
      <c r="AB640" s="180"/>
      <c r="AC640" s="181"/>
      <c r="AD640" s="181"/>
      <c r="AE640" s="181"/>
      <c r="AF640" s="181"/>
    </row>
    <row r="641" spans="2:32">
      <c r="B641" s="181"/>
      <c r="C641" s="184"/>
      <c r="D641" s="188"/>
      <c r="E641" s="188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  <c r="X641" s="181"/>
      <c r="Y641" s="181"/>
      <c r="Z641" s="181"/>
      <c r="AA641" s="181"/>
      <c r="AB641" s="180"/>
      <c r="AC641" s="181"/>
      <c r="AD641" s="181"/>
      <c r="AE641" s="181"/>
      <c r="AF641" s="181"/>
    </row>
    <row r="642" spans="2:32">
      <c r="B642" s="181"/>
      <c r="C642" s="184"/>
      <c r="D642" s="188"/>
      <c r="E642" s="188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  <c r="X642" s="181"/>
      <c r="Y642" s="181"/>
      <c r="Z642" s="181"/>
      <c r="AA642" s="181"/>
      <c r="AB642" s="180"/>
      <c r="AC642" s="181"/>
      <c r="AD642" s="181"/>
      <c r="AE642" s="181"/>
      <c r="AF642" s="181"/>
    </row>
    <row r="643" spans="2:32">
      <c r="B643" s="181"/>
      <c r="C643" s="184"/>
      <c r="D643" s="188"/>
      <c r="E643" s="188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  <c r="X643" s="181"/>
      <c r="Y643" s="181"/>
      <c r="Z643" s="181"/>
      <c r="AA643" s="181"/>
      <c r="AB643" s="180"/>
      <c r="AC643" s="181"/>
      <c r="AD643" s="181"/>
      <c r="AE643" s="181"/>
      <c r="AF643" s="181"/>
    </row>
    <row r="644" spans="2:32">
      <c r="B644" s="181"/>
      <c r="C644" s="184"/>
      <c r="D644" s="188"/>
      <c r="E644" s="188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  <c r="X644" s="181"/>
      <c r="Y644" s="181"/>
      <c r="Z644" s="181"/>
      <c r="AA644" s="181"/>
      <c r="AB644" s="180"/>
      <c r="AC644" s="181"/>
      <c r="AD644" s="181"/>
      <c r="AE644" s="181"/>
      <c r="AF644" s="181"/>
    </row>
    <row r="645" spans="2:32">
      <c r="B645" s="181"/>
      <c r="C645" s="184"/>
      <c r="D645" s="188"/>
      <c r="E645" s="188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  <c r="X645" s="181"/>
      <c r="Y645" s="181"/>
      <c r="Z645" s="181"/>
      <c r="AA645" s="181"/>
      <c r="AB645" s="180"/>
      <c r="AC645" s="181"/>
      <c r="AD645" s="181"/>
      <c r="AE645" s="181"/>
      <c r="AF645" s="181"/>
    </row>
    <row r="646" spans="2:32">
      <c r="B646" s="181"/>
      <c r="C646" s="184"/>
      <c r="D646" s="188"/>
      <c r="E646" s="188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  <c r="X646" s="181"/>
      <c r="Y646" s="181"/>
      <c r="Z646" s="181"/>
      <c r="AA646" s="181"/>
      <c r="AB646" s="180"/>
      <c r="AC646" s="181"/>
      <c r="AD646" s="181"/>
      <c r="AE646" s="181"/>
      <c r="AF646" s="181"/>
    </row>
    <row r="647" spans="2:32">
      <c r="B647" s="181"/>
      <c r="C647" s="184"/>
      <c r="D647" s="188"/>
      <c r="E647" s="188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  <c r="X647" s="181"/>
      <c r="Y647" s="181"/>
      <c r="Z647" s="181"/>
      <c r="AA647" s="181"/>
      <c r="AB647" s="180"/>
      <c r="AC647" s="181"/>
      <c r="AD647" s="181"/>
      <c r="AE647" s="181"/>
      <c r="AF647" s="181"/>
    </row>
    <row r="648" spans="2:32">
      <c r="B648" s="181"/>
      <c r="C648" s="184"/>
      <c r="D648" s="188"/>
      <c r="E648" s="188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  <c r="X648" s="181"/>
      <c r="Y648" s="181"/>
      <c r="Z648" s="181"/>
      <c r="AA648" s="181"/>
      <c r="AB648" s="180"/>
      <c r="AC648" s="181"/>
      <c r="AD648" s="181"/>
      <c r="AE648" s="181"/>
      <c r="AF648" s="181"/>
    </row>
    <row r="649" spans="2:32">
      <c r="B649" s="181"/>
      <c r="C649" s="184"/>
      <c r="D649" s="188"/>
      <c r="E649" s="188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  <c r="X649" s="181"/>
      <c r="Y649" s="181"/>
      <c r="Z649" s="181"/>
      <c r="AA649" s="181"/>
      <c r="AB649" s="180"/>
      <c r="AC649" s="181"/>
      <c r="AD649" s="181"/>
      <c r="AE649" s="181"/>
      <c r="AF649" s="181"/>
    </row>
    <row r="650" spans="2:32">
      <c r="B650" s="181"/>
      <c r="C650" s="184"/>
      <c r="D650" s="188"/>
      <c r="E650" s="188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  <c r="X650" s="181"/>
      <c r="Y650" s="181"/>
      <c r="Z650" s="181"/>
      <c r="AA650" s="181"/>
      <c r="AB650" s="180"/>
      <c r="AC650" s="181"/>
      <c r="AD650" s="181"/>
      <c r="AE650" s="181"/>
      <c r="AF650" s="181"/>
    </row>
    <row r="651" spans="2:32">
      <c r="B651" s="181"/>
      <c r="C651" s="184"/>
      <c r="D651" s="188"/>
      <c r="E651" s="188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  <c r="X651" s="181"/>
      <c r="Y651" s="181"/>
      <c r="Z651" s="181"/>
      <c r="AA651" s="181"/>
      <c r="AB651" s="180"/>
      <c r="AC651" s="181"/>
      <c r="AD651" s="181"/>
      <c r="AE651" s="181"/>
      <c r="AF651" s="181"/>
    </row>
    <row r="652" spans="2:32">
      <c r="B652" s="181"/>
      <c r="C652" s="184"/>
      <c r="D652" s="188"/>
      <c r="E652" s="188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  <c r="X652" s="181"/>
      <c r="Y652" s="181"/>
      <c r="Z652" s="181"/>
      <c r="AA652" s="181"/>
      <c r="AB652" s="180"/>
      <c r="AC652" s="181"/>
      <c r="AD652" s="181"/>
      <c r="AE652" s="181"/>
      <c r="AF652" s="181"/>
    </row>
    <row r="653" spans="2:32">
      <c r="B653" s="181"/>
      <c r="C653" s="184"/>
      <c r="D653" s="188"/>
      <c r="E653" s="188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  <c r="X653" s="181"/>
      <c r="Y653" s="181"/>
      <c r="Z653" s="181"/>
      <c r="AA653" s="181"/>
      <c r="AB653" s="180"/>
      <c r="AC653" s="181"/>
      <c r="AD653" s="181"/>
      <c r="AE653" s="181"/>
      <c r="AF653" s="181"/>
    </row>
    <row r="654" spans="2:32">
      <c r="B654" s="181"/>
      <c r="C654" s="184"/>
      <c r="D654" s="188"/>
      <c r="E654" s="188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  <c r="X654" s="181"/>
      <c r="Y654" s="181"/>
      <c r="Z654" s="181"/>
      <c r="AA654" s="181"/>
      <c r="AB654" s="180"/>
      <c r="AC654" s="181"/>
      <c r="AD654" s="181"/>
      <c r="AE654" s="181"/>
      <c r="AF654" s="181"/>
    </row>
    <row r="655" spans="2:32">
      <c r="B655" s="181"/>
      <c r="C655" s="184"/>
      <c r="D655" s="188"/>
      <c r="E655" s="188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  <c r="X655" s="181"/>
      <c r="Y655" s="181"/>
      <c r="Z655" s="181"/>
      <c r="AA655" s="181"/>
      <c r="AB655" s="180"/>
      <c r="AC655" s="181"/>
      <c r="AD655" s="181"/>
      <c r="AE655" s="181"/>
      <c r="AF655" s="181"/>
    </row>
    <row r="656" spans="2:32">
      <c r="B656" s="181"/>
      <c r="C656" s="184"/>
      <c r="D656" s="188"/>
      <c r="E656" s="188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  <c r="X656" s="181"/>
      <c r="Y656" s="181"/>
      <c r="Z656" s="181"/>
      <c r="AA656" s="181"/>
      <c r="AB656" s="180"/>
      <c r="AC656" s="181"/>
      <c r="AD656" s="181"/>
      <c r="AE656" s="181"/>
      <c r="AF656" s="181"/>
    </row>
    <row r="657" spans="2:32">
      <c r="B657" s="181"/>
      <c r="C657" s="184"/>
      <c r="D657" s="188"/>
      <c r="E657" s="188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  <c r="X657" s="181"/>
      <c r="Y657" s="181"/>
      <c r="Z657" s="181"/>
      <c r="AA657" s="181"/>
      <c r="AB657" s="180"/>
      <c r="AC657" s="181"/>
      <c r="AD657" s="181"/>
      <c r="AE657" s="181"/>
      <c r="AF657" s="181"/>
    </row>
    <row r="658" spans="2:32">
      <c r="B658" s="181"/>
      <c r="C658" s="184"/>
      <c r="D658" s="188"/>
      <c r="E658" s="188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  <c r="X658" s="181"/>
      <c r="Y658" s="181"/>
      <c r="Z658" s="181"/>
      <c r="AA658" s="181"/>
      <c r="AB658" s="180"/>
      <c r="AC658" s="181"/>
      <c r="AD658" s="181"/>
      <c r="AE658" s="181"/>
      <c r="AF658" s="181"/>
    </row>
    <row r="659" spans="2:32">
      <c r="B659" s="181"/>
      <c r="C659" s="184"/>
      <c r="D659" s="188"/>
      <c r="E659" s="188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  <c r="X659" s="181"/>
      <c r="Y659" s="181"/>
      <c r="Z659" s="181"/>
      <c r="AA659" s="181"/>
      <c r="AB659" s="180"/>
      <c r="AC659" s="181"/>
      <c r="AD659" s="181"/>
      <c r="AE659" s="181"/>
      <c r="AF659" s="181"/>
    </row>
    <row r="660" spans="2:32">
      <c r="B660" s="181"/>
      <c r="C660" s="184"/>
      <c r="D660" s="188"/>
      <c r="E660" s="188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  <c r="X660" s="181"/>
      <c r="Y660" s="181"/>
      <c r="Z660" s="181"/>
      <c r="AA660" s="181"/>
      <c r="AB660" s="180"/>
      <c r="AC660" s="181"/>
      <c r="AD660" s="181"/>
      <c r="AE660" s="181"/>
      <c r="AF660" s="181"/>
    </row>
    <row r="661" spans="2:32">
      <c r="B661" s="181"/>
      <c r="C661" s="184"/>
      <c r="D661" s="188"/>
      <c r="E661" s="188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  <c r="X661" s="181"/>
      <c r="Y661" s="181"/>
      <c r="Z661" s="181"/>
      <c r="AA661" s="181"/>
      <c r="AB661" s="180"/>
      <c r="AC661" s="181"/>
      <c r="AD661" s="181"/>
      <c r="AE661" s="181"/>
      <c r="AF661" s="181"/>
    </row>
    <row r="662" spans="2:32">
      <c r="B662" s="181"/>
      <c r="C662" s="184"/>
      <c r="D662" s="188"/>
      <c r="E662" s="188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  <c r="X662" s="181"/>
      <c r="Y662" s="181"/>
      <c r="Z662" s="181"/>
      <c r="AA662" s="181"/>
      <c r="AB662" s="180"/>
      <c r="AC662" s="181"/>
      <c r="AD662" s="181"/>
      <c r="AE662" s="181"/>
      <c r="AF662" s="181"/>
    </row>
    <row r="663" spans="2:32">
      <c r="B663" s="181"/>
      <c r="C663" s="184"/>
      <c r="D663" s="188"/>
      <c r="E663" s="188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  <c r="X663" s="181"/>
      <c r="Y663" s="181"/>
      <c r="Z663" s="181"/>
      <c r="AA663" s="181"/>
      <c r="AB663" s="180"/>
      <c r="AC663" s="181"/>
      <c r="AD663" s="181"/>
      <c r="AE663" s="181"/>
      <c r="AF663" s="181"/>
    </row>
    <row r="664" spans="2:32">
      <c r="B664" s="181"/>
      <c r="C664" s="184"/>
      <c r="D664" s="188"/>
      <c r="E664" s="188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  <c r="X664" s="181"/>
      <c r="Y664" s="181"/>
      <c r="Z664" s="181"/>
      <c r="AA664" s="181"/>
      <c r="AB664" s="180"/>
      <c r="AC664" s="181"/>
      <c r="AD664" s="181"/>
      <c r="AE664" s="181"/>
      <c r="AF664" s="181"/>
    </row>
    <row r="665" spans="2:32">
      <c r="B665" s="181"/>
      <c r="C665" s="184"/>
      <c r="D665" s="188"/>
      <c r="E665" s="188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  <c r="X665" s="181"/>
      <c r="Y665" s="181"/>
      <c r="Z665" s="181"/>
      <c r="AA665" s="181"/>
      <c r="AB665" s="180"/>
      <c r="AC665" s="181"/>
      <c r="AD665" s="181"/>
      <c r="AE665" s="181"/>
      <c r="AF665" s="181"/>
    </row>
    <row r="666" spans="2:32">
      <c r="B666" s="181"/>
      <c r="C666" s="184"/>
      <c r="D666" s="188"/>
      <c r="E666" s="188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  <c r="X666" s="181"/>
      <c r="Y666" s="181"/>
      <c r="Z666" s="181"/>
      <c r="AA666" s="181"/>
      <c r="AB666" s="180"/>
      <c r="AC666" s="181"/>
      <c r="AD666" s="181"/>
      <c r="AE666" s="181"/>
      <c r="AF666" s="181"/>
    </row>
    <row r="667" spans="2:32">
      <c r="B667" s="181"/>
      <c r="C667" s="184"/>
      <c r="D667" s="188"/>
      <c r="E667" s="188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  <c r="X667" s="181"/>
      <c r="Y667" s="181"/>
      <c r="Z667" s="181"/>
      <c r="AA667" s="181"/>
      <c r="AB667" s="180"/>
      <c r="AC667" s="181"/>
      <c r="AD667" s="181"/>
      <c r="AE667" s="181"/>
      <c r="AF667" s="181"/>
    </row>
    <row r="668" spans="2:32">
      <c r="B668" s="181"/>
      <c r="C668" s="184"/>
      <c r="D668" s="188"/>
      <c r="E668" s="188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  <c r="X668" s="181"/>
      <c r="Y668" s="181"/>
      <c r="Z668" s="181"/>
      <c r="AA668" s="181"/>
      <c r="AB668" s="180"/>
    </row>
  </sheetData>
  <mergeCells count="4">
    <mergeCell ref="A1:AB1"/>
    <mergeCell ref="A25:AB25"/>
    <mergeCell ref="B23:D23"/>
    <mergeCell ref="B30:D30"/>
  </mergeCells>
  <printOptions horizontalCentered="1"/>
  <pageMargins left="0.23622047244094491" right="0.19685039370078741" top="0.62992125984251968" bottom="0.27559055118110237" header="0.43307086614173229" footer="0.11811023622047245"/>
  <pageSetup paperSize="9" scale="70" firstPageNumber="30" orientation="landscape" useFirstPageNumber="1" r:id="rId1"/>
  <headerFooter>
    <oddHeader>&amp;Rเอกสารแนบ 1</oddHeader>
    <oddFooter>&amp;C&amp;P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70F6-9769-4A83-8CB4-763FF82AF1E8}">
  <dimension ref="A1:Z313"/>
  <sheetViews>
    <sheetView view="pageBreakPreview" zoomScale="120" zoomScaleNormal="100" zoomScaleSheetLayoutView="120" workbookViewId="0">
      <selection activeCell="A3" sqref="A3:XFD313"/>
    </sheetView>
  </sheetViews>
  <sheetFormatPr defaultColWidth="9.140625" defaultRowHeight="21"/>
  <cols>
    <col min="1" max="1" width="7" style="19" customWidth="1"/>
    <col min="2" max="2" width="51" style="19" customWidth="1"/>
    <col min="3" max="3" width="9.140625" style="19"/>
    <col min="4" max="4" width="16.42578125" style="19" customWidth="1"/>
    <col min="5" max="5" width="18.5703125" style="19" customWidth="1"/>
    <col min="6" max="6" width="31.5703125" style="19" customWidth="1"/>
    <col min="7" max="7" width="18.140625" style="19" customWidth="1"/>
    <col min="8" max="16384" width="9.140625" style="19"/>
  </cols>
  <sheetData>
    <row r="1" spans="1:26" ht="23.25">
      <c r="A1" s="2895" t="s">
        <v>1257</v>
      </c>
      <c r="B1" s="2895"/>
      <c r="C1" s="2895"/>
      <c r="D1" s="2895"/>
      <c r="E1" s="2895"/>
      <c r="F1" s="2895"/>
      <c r="G1" s="1473"/>
      <c r="H1" s="1473"/>
      <c r="I1" s="1473"/>
      <c r="J1" s="1473"/>
      <c r="K1" s="1473"/>
      <c r="L1" s="1473"/>
      <c r="M1" s="1473"/>
      <c r="N1" s="1473"/>
      <c r="O1" s="1473"/>
      <c r="P1" s="1473"/>
      <c r="Q1" s="1473"/>
      <c r="R1" s="1473"/>
      <c r="S1" s="1473"/>
      <c r="T1" s="1473"/>
      <c r="U1" s="1473"/>
      <c r="V1" s="1473"/>
      <c r="W1" s="1473"/>
      <c r="X1" s="1473"/>
      <c r="Y1" s="1473"/>
      <c r="Z1" s="1473"/>
    </row>
    <row r="2" spans="1:26">
      <c r="A2" s="1424"/>
      <c r="B2" s="1424"/>
      <c r="C2" s="1424"/>
      <c r="D2" s="1424"/>
      <c r="E2" s="1424"/>
      <c r="F2" s="1424"/>
      <c r="G2" s="1473"/>
      <c r="H2" s="1473"/>
      <c r="I2" s="1473"/>
      <c r="J2" s="1473"/>
      <c r="K2" s="1473"/>
      <c r="L2" s="1473"/>
      <c r="M2" s="1473"/>
      <c r="N2" s="1473"/>
      <c r="O2" s="1473"/>
      <c r="P2" s="1473"/>
      <c r="Q2" s="1473"/>
      <c r="R2" s="1473"/>
      <c r="S2" s="1473"/>
      <c r="T2" s="1473"/>
      <c r="U2" s="1473"/>
      <c r="V2" s="1473"/>
      <c r="W2" s="1473"/>
      <c r="X2" s="1473"/>
      <c r="Y2" s="1473"/>
      <c r="Z2" s="1473"/>
    </row>
    <row r="3" spans="1:26">
      <c r="A3" s="1473"/>
      <c r="B3" s="1480" t="s">
        <v>1261</v>
      </c>
      <c r="C3" s="1480"/>
      <c r="D3" s="1480"/>
      <c r="E3" s="1424"/>
      <c r="F3" s="1424"/>
      <c r="G3" s="1473"/>
      <c r="H3" s="1473"/>
      <c r="I3" s="1473"/>
      <c r="J3" s="1473"/>
      <c r="K3" s="1473"/>
      <c r="L3" s="1473"/>
      <c r="M3" s="1473"/>
      <c r="N3" s="1473"/>
      <c r="O3" s="1473"/>
      <c r="P3" s="1473"/>
      <c r="Q3" s="1473"/>
      <c r="R3" s="1473"/>
      <c r="S3" s="1473"/>
      <c r="T3" s="1473"/>
      <c r="U3" s="1473"/>
      <c r="V3" s="1473"/>
      <c r="W3" s="1473"/>
      <c r="X3" s="1473"/>
      <c r="Y3" s="1473"/>
      <c r="Z3" s="1473"/>
    </row>
    <row r="4" spans="1:26">
      <c r="A4" s="1478" t="s">
        <v>2</v>
      </c>
      <c r="B4" s="1478" t="s">
        <v>3</v>
      </c>
      <c r="C4" s="1478" t="s">
        <v>618</v>
      </c>
      <c r="D4" s="1478" t="s">
        <v>1410</v>
      </c>
      <c r="E4" s="1478" t="s">
        <v>1411</v>
      </c>
      <c r="F4" s="1478" t="s">
        <v>388</v>
      </c>
      <c r="G4" s="1648" t="s">
        <v>571</v>
      </c>
    </row>
    <row r="5" spans="1:26" ht="42">
      <c r="A5" s="215">
        <v>1</v>
      </c>
      <c r="B5" s="498" t="s">
        <v>647</v>
      </c>
      <c r="C5" s="495">
        <v>1</v>
      </c>
      <c r="D5" s="1474">
        <v>2247000</v>
      </c>
      <c r="E5" s="1474">
        <f>C5*D5</f>
        <v>2247000</v>
      </c>
      <c r="F5" s="498" t="s">
        <v>412</v>
      </c>
      <c r="G5" s="19" t="s">
        <v>1721</v>
      </c>
    </row>
    <row r="6" spans="1:26">
      <c r="A6" s="215">
        <v>2</v>
      </c>
      <c r="B6" s="686" t="s">
        <v>580</v>
      </c>
      <c r="C6" s="1475">
        <v>1</v>
      </c>
      <c r="D6" s="588">
        <v>250000</v>
      </c>
      <c r="E6" s="588">
        <f>C6*D6</f>
        <v>250000</v>
      </c>
      <c r="F6" s="686" t="s">
        <v>429</v>
      </c>
      <c r="G6" s="19" t="s">
        <v>1721</v>
      </c>
    </row>
    <row r="7" spans="1:26" ht="42">
      <c r="A7" s="215">
        <v>3</v>
      </c>
      <c r="B7" s="690" t="s">
        <v>432</v>
      </c>
      <c r="C7" s="495">
        <v>1</v>
      </c>
      <c r="D7" s="1474">
        <v>200000</v>
      </c>
      <c r="E7" s="1474">
        <f t="shared" ref="E7:E17" si="0">+C7*D7</f>
        <v>200000</v>
      </c>
      <c r="F7" s="498" t="s">
        <v>570</v>
      </c>
      <c r="G7" s="19" t="s">
        <v>1721</v>
      </c>
    </row>
    <row r="8" spans="1:26" s="138" customFormat="1" ht="42">
      <c r="A8" s="215">
        <v>4</v>
      </c>
      <c r="B8" s="251" t="s">
        <v>1258</v>
      </c>
      <c r="C8" s="233">
        <v>1</v>
      </c>
      <c r="D8" s="328">
        <v>150000</v>
      </c>
      <c r="E8" s="328">
        <f t="shared" si="0"/>
        <v>150000</v>
      </c>
      <c r="F8" s="322" t="s">
        <v>736</v>
      </c>
      <c r="G8" s="19" t="s">
        <v>1721</v>
      </c>
    </row>
    <row r="9" spans="1:26">
      <c r="A9" s="215">
        <v>5</v>
      </c>
      <c r="B9" s="686" t="s">
        <v>738</v>
      </c>
      <c r="C9" s="1475">
        <v>2</v>
      </c>
      <c r="D9" s="588">
        <v>550000</v>
      </c>
      <c r="E9" s="588">
        <f t="shared" si="0"/>
        <v>1100000</v>
      </c>
      <c r="F9" s="686" t="s">
        <v>736</v>
      </c>
      <c r="G9" s="19" t="s">
        <v>1721</v>
      </c>
    </row>
    <row r="10" spans="1:26" s="138" customFormat="1" ht="42">
      <c r="A10" s="215">
        <v>6</v>
      </c>
      <c r="B10" s="322" t="s">
        <v>741</v>
      </c>
      <c r="C10" s="233">
        <v>1</v>
      </c>
      <c r="D10" s="328">
        <v>30000</v>
      </c>
      <c r="E10" s="1479">
        <f t="shared" si="0"/>
        <v>30000</v>
      </c>
      <c r="F10" s="251" t="s">
        <v>1259</v>
      </c>
      <c r="G10" s="19" t="s">
        <v>1721</v>
      </c>
    </row>
    <row r="11" spans="1:26" ht="63">
      <c r="A11" s="215">
        <v>7</v>
      </c>
      <c r="B11" s="251" t="s">
        <v>1260</v>
      </c>
      <c r="C11" s="233">
        <v>1</v>
      </c>
      <c r="D11" s="328">
        <v>2700000</v>
      </c>
      <c r="E11" s="328">
        <f t="shared" si="0"/>
        <v>2700000</v>
      </c>
      <c r="F11" s="322" t="s">
        <v>721</v>
      </c>
      <c r="G11" s="19" t="s">
        <v>1721</v>
      </c>
    </row>
    <row r="12" spans="1:26">
      <c r="A12" s="215">
        <v>8</v>
      </c>
      <c r="B12" s="686" t="s">
        <v>800</v>
      </c>
      <c r="C12" s="1475">
        <v>1</v>
      </c>
      <c r="D12" s="588">
        <v>650000</v>
      </c>
      <c r="E12" s="588">
        <f t="shared" si="0"/>
        <v>650000</v>
      </c>
      <c r="F12" s="686" t="s">
        <v>721</v>
      </c>
      <c r="G12" s="19" t="s">
        <v>1721</v>
      </c>
    </row>
    <row r="13" spans="1:26">
      <c r="A13" s="215">
        <v>9</v>
      </c>
      <c r="B13" s="686" t="s">
        <v>801</v>
      </c>
      <c r="C13" s="1475">
        <v>1</v>
      </c>
      <c r="D13" s="588">
        <v>1337500</v>
      </c>
      <c r="E13" s="588">
        <f t="shared" si="0"/>
        <v>1337500</v>
      </c>
      <c r="F13" s="686" t="s">
        <v>721</v>
      </c>
      <c r="G13" s="19" t="s">
        <v>1721</v>
      </c>
    </row>
    <row r="14" spans="1:26">
      <c r="A14" s="215">
        <v>10</v>
      </c>
      <c r="B14" s="686" t="s">
        <v>802</v>
      </c>
      <c r="C14" s="1475">
        <v>1</v>
      </c>
      <c r="D14" s="588">
        <v>448598.13</v>
      </c>
      <c r="E14" s="588">
        <f t="shared" si="0"/>
        <v>448598.13</v>
      </c>
      <c r="F14" s="686" t="s">
        <v>721</v>
      </c>
      <c r="G14" s="19" t="s">
        <v>1721</v>
      </c>
    </row>
    <row r="15" spans="1:26">
      <c r="A15" s="215">
        <v>11</v>
      </c>
      <c r="B15" s="686" t="s">
        <v>799</v>
      </c>
      <c r="C15" s="1475">
        <v>1</v>
      </c>
      <c r="D15" s="588">
        <v>4500000</v>
      </c>
      <c r="E15" s="588">
        <f t="shared" si="0"/>
        <v>4500000</v>
      </c>
      <c r="F15" s="686" t="s">
        <v>721</v>
      </c>
      <c r="G15" s="19" t="s">
        <v>1721</v>
      </c>
    </row>
    <row r="16" spans="1:26">
      <c r="A16" s="215">
        <v>12</v>
      </c>
      <c r="B16" s="686" t="s">
        <v>190</v>
      </c>
      <c r="C16" s="1475">
        <v>1</v>
      </c>
      <c r="D16" s="588">
        <v>579900</v>
      </c>
      <c r="E16" s="588">
        <f t="shared" si="0"/>
        <v>579900</v>
      </c>
      <c r="F16" s="686" t="s">
        <v>422</v>
      </c>
      <c r="G16" s="19" t="s">
        <v>1721</v>
      </c>
    </row>
    <row r="17" spans="1:7">
      <c r="A17" s="215">
        <v>13</v>
      </c>
      <c r="B17" s="686" t="s">
        <v>1167</v>
      </c>
      <c r="C17" s="1475">
        <v>1</v>
      </c>
      <c r="D17" s="588">
        <v>9800</v>
      </c>
      <c r="E17" s="588">
        <f t="shared" si="0"/>
        <v>9800</v>
      </c>
      <c r="F17" s="686" t="s">
        <v>650</v>
      </c>
      <c r="G17" s="19" t="s">
        <v>1721</v>
      </c>
    </row>
    <row r="18" spans="1:7">
      <c r="A18" s="215">
        <v>14</v>
      </c>
      <c r="B18" s="685" t="s">
        <v>188</v>
      </c>
      <c r="C18" s="1481">
        <v>1</v>
      </c>
      <c r="D18" s="1482">
        <v>400000</v>
      </c>
      <c r="E18" s="1482">
        <f>C18*D18</f>
        <v>400000</v>
      </c>
      <c r="F18" s="682" t="s">
        <v>421</v>
      </c>
      <c r="G18" s="19" t="s">
        <v>1721</v>
      </c>
    </row>
    <row r="19" spans="1:7">
      <c r="A19" s="215">
        <v>15</v>
      </c>
      <c r="B19" s="685" t="s">
        <v>187</v>
      </c>
      <c r="C19" s="1481">
        <v>1</v>
      </c>
      <c r="D19" s="1482">
        <v>100000</v>
      </c>
      <c r="E19" s="1482">
        <f>C19*D19</f>
        <v>100000</v>
      </c>
      <c r="F19" s="682" t="s">
        <v>421</v>
      </c>
      <c r="G19" s="19" t="s">
        <v>1721</v>
      </c>
    </row>
    <row r="20" spans="1:7">
      <c r="A20" s="215">
        <v>16</v>
      </c>
      <c r="B20" s="682" t="s">
        <v>200</v>
      </c>
      <c r="C20" s="1481">
        <v>1</v>
      </c>
      <c r="D20" s="1482">
        <v>65000</v>
      </c>
      <c r="E20" s="1482">
        <f>C20*D20</f>
        <v>65000</v>
      </c>
      <c r="F20" s="682" t="s">
        <v>461</v>
      </c>
      <c r="G20" s="19" t="s">
        <v>1721</v>
      </c>
    </row>
    <row r="21" spans="1:7">
      <c r="A21" s="215">
        <v>17</v>
      </c>
      <c r="B21" s="689" t="s">
        <v>481</v>
      </c>
      <c r="C21" s="1481">
        <v>1</v>
      </c>
      <c r="D21" s="1487">
        <v>50000</v>
      </c>
      <c r="E21" s="1518">
        <f>+C21*D21</f>
        <v>50000</v>
      </c>
      <c r="F21" s="683" t="s">
        <v>445</v>
      </c>
      <c r="G21" s="19" t="s">
        <v>1721</v>
      </c>
    </row>
    <row r="22" spans="1:7">
      <c r="A22" s="215">
        <v>18</v>
      </c>
      <c r="B22" s="689" t="s">
        <v>480</v>
      </c>
      <c r="C22" s="1481">
        <v>1</v>
      </c>
      <c r="D22" s="1487">
        <v>40000</v>
      </c>
      <c r="E22" s="1518">
        <f>+C22*D22</f>
        <v>40000</v>
      </c>
      <c r="F22" s="683" t="s">
        <v>445</v>
      </c>
      <c r="G22" s="19" t="s">
        <v>1721</v>
      </c>
    </row>
    <row r="23" spans="1:7">
      <c r="A23" s="215">
        <v>19</v>
      </c>
      <c r="B23" s="682" t="s">
        <v>205</v>
      </c>
      <c r="C23" s="1481">
        <v>1</v>
      </c>
      <c r="D23" s="1482">
        <v>31849</v>
      </c>
      <c r="E23" s="1482">
        <f>C23*D23</f>
        <v>31849</v>
      </c>
      <c r="F23" s="682" t="s">
        <v>462</v>
      </c>
      <c r="G23" s="19" t="s">
        <v>1721</v>
      </c>
    </row>
    <row r="24" spans="1:7">
      <c r="A24" s="215">
        <v>20</v>
      </c>
      <c r="B24" s="689" t="s">
        <v>482</v>
      </c>
      <c r="C24" s="1481">
        <v>2</v>
      </c>
      <c r="D24" s="1487">
        <v>9500</v>
      </c>
      <c r="E24" s="1518">
        <f>+C24*D24</f>
        <v>19000</v>
      </c>
      <c r="F24" s="683" t="s">
        <v>445</v>
      </c>
      <c r="G24" s="19" t="s">
        <v>1721</v>
      </c>
    </row>
    <row r="25" spans="1:7" ht="42">
      <c r="A25" s="215">
        <v>21</v>
      </c>
      <c r="B25" s="690" t="s">
        <v>202</v>
      </c>
      <c r="C25" s="495">
        <v>10</v>
      </c>
      <c r="D25" s="1474">
        <v>5500</v>
      </c>
      <c r="E25" s="1474">
        <f>C25*D25</f>
        <v>55000</v>
      </c>
      <c r="F25" s="498" t="s">
        <v>1262</v>
      </c>
      <c r="G25" s="19" t="s">
        <v>1721</v>
      </c>
    </row>
    <row r="26" spans="1:7">
      <c r="A26" s="215">
        <v>22</v>
      </c>
      <c r="B26" s="683" t="s">
        <v>485</v>
      </c>
      <c r="C26" s="1481">
        <v>2</v>
      </c>
      <c r="D26" s="1487">
        <v>4950</v>
      </c>
      <c r="E26" s="1518">
        <f t="shared" ref="E26:E33" si="1">+C26*D26</f>
        <v>9900</v>
      </c>
      <c r="F26" s="683" t="s">
        <v>445</v>
      </c>
      <c r="G26" s="19" t="s">
        <v>1721</v>
      </c>
    </row>
    <row r="27" spans="1:7">
      <c r="A27" s="215">
        <v>23</v>
      </c>
      <c r="B27" s="689" t="s">
        <v>479</v>
      </c>
      <c r="C27" s="1481">
        <v>1</v>
      </c>
      <c r="D27" s="1487">
        <v>2000</v>
      </c>
      <c r="E27" s="1518">
        <f t="shared" si="1"/>
        <v>2000</v>
      </c>
      <c r="F27" s="683" t="s">
        <v>445</v>
      </c>
      <c r="G27" s="19" t="s">
        <v>1721</v>
      </c>
    </row>
    <row r="28" spans="1:7">
      <c r="A28" s="215">
        <v>24</v>
      </c>
      <c r="B28" s="685" t="s">
        <v>654</v>
      </c>
      <c r="C28" s="1481">
        <v>2</v>
      </c>
      <c r="D28" s="588">
        <v>130000</v>
      </c>
      <c r="E28" s="588">
        <f t="shared" si="1"/>
        <v>260000</v>
      </c>
      <c r="F28" s="683" t="s">
        <v>655</v>
      </c>
      <c r="G28" s="19" t="s">
        <v>1721</v>
      </c>
    </row>
    <row r="29" spans="1:7" s="138" customFormat="1" ht="42">
      <c r="A29" s="215">
        <v>25</v>
      </c>
      <c r="B29" s="487" t="s">
        <v>1191</v>
      </c>
      <c r="C29" s="233">
        <v>1</v>
      </c>
      <c r="D29" s="328">
        <v>400000</v>
      </c>
      <c r="E29" s="481">
        <f t="shared" si="1"/>
        <v>400000</v>
      </c>
      <c r="F29" s="520" t="s">
        <v>745</v>
      </c>
      <c r="G29" s="19" t="s">
        <v>1721</v>
      </c>
    </row>
    <row r="30" spans="1:7">
      <c r="A30" s="215">
        <v>26</v>
      </c>
      <c r="B30" s="686" t="s">
        <v>803</v>
      </c>
      <c r="C30" s="1475">
        <v>1</v>
      </c>
      <c r="D30" s="1519">
        <v>310000</v>
      </c>
      <c r="E30" s="588">
        <f t="shared" si="1"/>
        <v>310000</v>
      </c>
      <c r="F30" s="686" t="s">
        <v>418</v>
      </c>
      <c r="G30" s="19" t="s">
        <v>1721</v>
      </c>
    </row>
    <row r="31" spans="1:7">
      <c r="A31" s="215">
        <v>27</v>
      </c>
      <c r="B31" s="687" t="s">
        <v>813</v>
      </c>
      <c r="C31" s="1475">
        <v>2</v>
      </c>
      <c r="D31" s="588">
        <v>5990</v>
      </c>
      <c r="E31" s="588">
        <f t="shared" si="1"/>
        <v>11980</v>
      </c>
      <c r="F31" s="687" t="s">
        <v>472</v>
      </c>
      <c r="G31" s="19" t="s">
        <v>1721</v>
      </c>
    </row>
    <row r="32" spans="1:7">
      <c r="A32" s="215">
        <v>28</v>
      </c>
      <c r="B32" s="687" t="s">
        <v>840</v>
      </c>
      <c r="C32" s="1475">
        <v>4</v>
      </c>
      <c r="D32" s="588">
        <v>33000</v>
      </c>
      <c r="E32" s="588">
        <f t="shared" si="1"/>
        <v>132000</v>
      </c>
      <c r="F32" s="687" t="s">
        <v>445</v>
      </c>
      <c r="G32" s="19" t="s">
        <v>1721</v>
      </c>
    </row>
    <row r="33" spans="1:7">
      <c r="A33" s="215">
        <v>29</v>
      </c>
      <c r="B33" s="682" t="s">
        <v>987</v>
      </c>
      <c r="C33" s="1481">
        <v>1</v>
      </c>
      <c r="D33" s="1487">
        <v>2500000</v>
      </c>
      <c r="E33" s="588">
        <f t="shared" si="1"/>
        <v>2500000</v>
      </c>
      <c r="F33" s="686" t="s">
        <v>456</v>
      </c>
      <c r="G33" s="19" t="s">
        <v>1721</v>
      </c>
    </row>
    <row r="34" spans="1:7">
      <c r="A34" s="215">
        <v>30</v>
      </c>
      <c r="B34" s="1498" t="s">
        <v>1339</v>
      </c>
      <c r="C34" s="1499">
        <v>1</v>
      </c>
      <c r="D34" s="1500">
        <v>19900</v>
      </c>
      <c r="E34" s="1500">
        <v>19900</v>
      </c>
      <c r="F34" s="1498" t="s">
        <v>1305</v>
      </c>
      <c r="G34" s="19" t="s">
        <v>1721</v>
      </c>
    </row>
    <row r="35" spans="1:7" s="138" customFormat="1" ht="42">
      <c r="A35" s="215">
        <v>31</v>
      </c>
      <c r="B35" s="1502" t="s">
        <v>1340</v>
      </c>
      <c r="C35" s="1503">
        <v>1</v>
      </c>
      <c r="D35" s="1520">
        <v>90000</v>
      </c>
      <c r="E35" s="1520">
        <v>90000</v>
      </c>
      <c r="F35" s="1504" t="s">
        <v>1400</v>
      </c>
      <c r="G35" s="19" t="s">
        <v>1721</v>
      </c>
    </row>
    <row r="36" spans="1:7" s="138" customFormat="1" ht="42">
      <c r="A36" s="215">
        <v>32</v>
      </c>
      <c r="B36" s="1502" t="s">
        <v>1341</v>
      </c>
      <c r="C36" s="1503">
        <v>1</v>
      </c>
      <c r="D36" s="1520">
        <v>50000</v>
      </c>
      <c r="E36" s="1520">
        <v>50000</v>
      </c>
      <c r="F36" s="1504" t="s">
        <v>1401</v>
      </c>
      <c r="G36" s="19" t="s">
        <v>1721</v>
      </c>
    </row>
    <row r="37" spans="1:7">
      <c r="A37" s="215">
        <v>33</v>
      </c>
      <c r="B37" s="1521" t="s">
        <v>1342</v>
      </c>
      <c r="C37" s="1522">
        <v>1</v>
      </c>
      <c r="D37" s="1523">
        <v>15000</v>
      </c>
      <c r="E37" s="1523">
        <v>15000</v>
      </c>
      <c r="F37" s="1521" t="s">
        <v>428</v>
      </c>
      <c r="G37" s="19" t="s">
        <v>1721</v>
      </c>
    </row>
    <row r="38" spans="1:7">
      <c r="A38" s="215">
        <v>34</v>
      </c>
      <c r="B38" s="390" t="s">
        <v>1343</v>
      </c>
      <c r="C38" s="479">
        <v>1</v>
      </c>
      <c r="D38" s="307">
        <v>642000</v>
      </c>
      <c r="E38" s="307">
        <v>642000</v>
      </c>
      <c r="F38" s="390" t="s">
        <v>414</v>
      </c>
      <c r="G38" s="19" t="s">
        <v>1721</v>
      </c>
    </row>
    <row r="39" spans="1:7">
      <c r="A39" s="215">
        <v>35</v>
      </c>
      <c r="B39" s="1525" t="s">
        <v>1342</v>
      </c>
      <c r="C39" s="1526">
        <v>1</v>
      </c>
      <c r="D39" s="1527">
        <v>15000</v>
      </c>
      <c r="E39" s="1527">
        <v>15000</v>
      </c>
      <c r="F39" s="1525" t="s">
        <v>1344</v>
      </c>
      <c r="G39" s="19" t="s">
        <v>1721</v>
      </c>
    </row>
    <row r="40" spans="1:7">
      <c r="A40" s="215">
        <v>36</v>
      </c>
      <c r="B40" s="1498" t="s">
        <v>1342</v>
      </c>
      <c r="C40" s="1499">
        <v>1</v>
      </c>
      <c r="D40" s="1500">
        <v>15000</v>
      </c>
      <c r="E40" s="1500">
        <v>15000</v>
      </c>
      <c r="F40" s="1515" t="s">
        <v>1345</v>
      </c>
      <c r="G40" s="19" t="s">
        <v>1721</v>
      </c>
    </row>
    <row r="41" spans="1:7" s="138" customFormat="1" ht="42">
      <c r="A41" s="215">
        <v>37</v>
      </c>
      <c r="B41" s="1502" t="s">
        <v>1340</v>
      </c>
      <c r="C41" s="1503">
        <v>2</v>
      </c>
      <c r="D41" s="1520">
        <v>68500</v>
      </c>
      <c r="E41" s="1520">
        <v>137000</v>
      </c>
      <c r="F41" s="1504" t="s">
        <v>1400</v>
      </c>
      <c r="G41" s="19" t="s">
        <v>1721</v>
      </c>
    </row>
    <row r="42" spans="1:7">
      <c r="A42" s="215">
        <v>38</v>
      </c>
      <c r="B42" s="1498" t="s">
        <v>846</v>
      </c>
      <c r="C42" s="1499">
        <v>63</v>
      </c>
      <c r="D42" s="1500">
        <v>8400</v>
      </c>
      <c r="E42" s="1500">
        <v>529200</v>
      </c>
      <c r="F42" s="1498" t="s">
        <v>861</v>
      </c>
      <c r="G42" s="19" t="s">
        <v>1721</v>
      </c>
    </row>
    <row r="43" spans="1:7">
      <c r="A43" s="215">
        <v>39</v>
      </c>
      <c r="B43" s="1498" t="s">
        <v>1346</v>
      </c>
      <c r="C43" s="1499">
        <v>3</v>
      </c>
      <c r="D43" s="1500">
        <v>28600</v>
      </c>
      <c r="E43" s="1500">
        <v>85800</v>
      </c>
      <c r="F43" s="1498" t="s">
        <v>861</v>
      </c>
      <c r="G43" s="19" t="s">
        <v>1721</v>
      </c>
    </row>
    <row r="44" spans="1:7">
      <c r="A44" s="215">
        <v>40</v>
      </c>
      <c r="B44" s="1498" t="s">
        <v>1347</v>
      </c>
      <c r="C44" s="1499">
        <v>1</v>
      </c>
      <c r="D44" s="1500">
        <v>53500</v>
      </c>
      <c r="E44" s="1500">
        <v>53500</v>
      </c>
      <c r="F44" s="1498" t="s">
        <v>736</v>
      </c>
      <c r="G44" s="19" t="s">
        <v>1721</v>
      </c>
    </row>
    <row r="45" spans="1:7">
      <c r="A45" s="215">
        <v>41</v>
      </c>
      <c r="B45" s="1498" t="s">
        <v>1348</v>
      </c>
      <c r="C45" s="1499">
        <v>3</v>
      </c>
      <c r="D45" s="1500">
        <v>120000</v>
      </c>
      <c r="E45" s="1500">
        <v>360000</v>
      </c>
      <c r="F45" s="1498" t="s">
        <v>423</v>
      </c>
      <c r="G45" s="19" t="s">
        <v>1721</v>
      </c>
    </row>
    <row r="46" spans="1:7">
      <c r="A46" s="215">
        <v>42</v>
      </c>
      <c r="B46" s="1498" t="s">
        <v>1349</v>
      </c>
      <c r="C46" s="1499">
        <v>6</v>
      </c>
      <c r="D46" s="1500">
        <v>43000</v>
      </c>
      <c r="E46" s="1500">
        <v>258000</v>
      </c>
      <c r="F46" s="1498" t="s">
        <v>1294</v>
      </c>
      <c r="G46" s="19" t="s">
        <v>1721</v>
      </c>
    </row>
    <row r="47" spans="1:7">
      <c r="A47" s="215">
        <v>43</v>
      </c>
      <c r="B47" s="1498" t="s">
        <v>1350</v>
      </c>
      <c r="C47" s="1499">
        <v>1</v>
      </c>
      <c r="D47" s="1500">
        <v>24600</v>
      </c>
      <c r="E47" s="1500">
        <v>24600</v>
      </c>
      <c r="F47" s="1498" t="s">
        <v>888</v>
      </c>
      <c r="G47" s="19" t="s">
        <v>1721</v>
      </c>
    </row>
    <row r="48" spans="1:7">
      <c r="A48" s="215">
        <v>44</v>
      </c>
      <c r="B48" s="1498" t="s">
        <v>1479</v>
      </c>
      <c r="C48" s="1499">
        <v>1</v>
      </c>
      <c r="D48" s="1500">
        <v>12800</v>
      </c>
      <c r="E48" s="1500">
        <v>12800</v>
      </c>
      <c r="F48" s="1498" t="s">
        <v>888</v>
      </c>
      <c r="G48" s="19" t="s">
        <v>1721</v>
      </c>
    </row>
    <row r="49" spans="1:7">
      <c r="A49" s="215">
        <v>45</v>
      </c>
      <c r="B49" s="1498" t="s">
        <v>1351</v>
      </c>
      <c r="C49" s="1499">
        <v>1</v>
      </c>
      <c r="D49" s="1500">
        <v>278200</v>
      </c>
      <c r="E49" s="1500">
        <v>278200</v>
      </c>
      <c r="F49" s="1498" t="s">
        <v>721</v>
      </c>
      <c r="G49" s="19" t="s">
        <v>1721</v>
      </c>
    </row>
    <row r="50" spans="1:7">
      <c r="A50" s="215">
        <v>46</v>
      </c>
      <c r="B50" s="1498" t="s">
        <v>1352</v>
      </c>
      <c r="C50" s="1499">
        <v>2</v>
      </c>
      <c r="D50" s="1500">
        <v>48150</v>
      </c>
      <c r="E50" s="1500">
        <v>96300</v>
      </c>
      <c r="F50" s="1498" t="s">
        <v>721</v>
      </c>
      <c r="G50" s="19" t="s">
        <v>1721</v>
      </c>
    </row>
    <row r="51" spans="1:7">
      <c r="A51" s="215">
        <v>47</v>
      </c>
      <c r="B51" s="1498" t="s">
        <v>1353</v>
      </c>
      <c r="C51" s="1499">
        <v>1</v>
      </c>
      <c r="D51" s="1500">
        <v>39600</v>
      </c>
      <c r="E51" s="1500">
        <v>39600</v>
      </c>
      <c r="F51" s="1515" t="s">
        <v>1354</v>
      </c>
      <c r="G51" s="19" t="s">
        <v>1721</v>
      </c>
    </row>
    <row r="52" spans="1:7">
      <c r="A52" s="215">
        <v>48</v>
      </c>
      <c r="B52" s="1498" t="s">
        <v>1355</v>
      </c>
      <c r="C52" s="1499">
        <v>1</v>
      </c>
      <c r="D52" s="1500">
        <v>42000</v>
      </c>
      <c r="E52" s="1500">
        <v>42000</v>
      </c>
      <c r="F52" s="1498" t="s">
        <v>743</v>
      </c>
      <c r="G52" s="19" t="s">
        <v>1721</v>
      </c>
    </row>
    <row r="53" spans="1:7">
      <c r="A53" s="215">
        <v>49</v>
      </c>
      <c r="B53" s="1498" t="s">
        <v>1356</v>
      </c>
      <c r="C53" s="1499">
        <v>1</v>
      </c>
      <c r="D53" s="1500">
        <v>250000</v>
      </c>
      <c r="E53" s="1500">
        <v>250000</v>
      </c>
      <c r="F53" s="1498" t="s">
        <v>428</v>
      </c>
      <c r="G53" s="19" t="s">
        <v>1721</v>
      </c>
    </row>
    <row r="54" spans="1:7" s="138" customFormat="1" ht="42">
      <c r="A54" s="215">
        <v>50</v>
      </c>
      <c r="B54" s="216" t="s">
        <v>1357</v>
      </c>
      <c r="C54" s="215">
        <v>1</v>
      </c>
      <c r="D54" s="408">
        <v>20000</v>
      </c>
      <c r="E54" s="408">
        <f>+C54*D54</f>
        <v>20000</v>
      </c>
      <c r="F54" s="260" t="s">
        <v>1400</v>
      </c>
      <c r="G54" s="19" t="s">
        <v>1721</v>
      </c>
    </row>
    <row r="55" spans="1:7" s="205" customFormat="1" ht="42">
      <c r="A55" s="215">
        <v>51</v>
      </c>
      <c r="B55" s="251" t="s">
        <v>1398</v>
      </c>
      <c r="C55" s="233">
        <v>2</v>
      </c>
      <c r="D55" s="418">
        <v>8500</v>
      </c>
      <c r="E55" s="418">
        <f>+C55*D55</f>
        <v>17000</v>
      </c>
      <c r="F55" s="251" t="s">
        <v>1400</v>
      </c>
      <c r="G55" s="19" t="s">
        <v>1721</v>
      </c>
    </row>
    <row r="56" spans="1:7" s="138" customFormat="1">
      <c r="A56" s="215">
        <v>52</v>
      </c>
      <c r="B56" s="216" t="s">
        <v>1392</v>
      </c>
      <c r="C56" s="215">
        <v>3</v>
      </c>
      <c r="D56" s="422">
        <v>2200000</v>
      </c>
      <c r="E56" s="422">
        <f>C56*D56</f>
        <v>6600000</v>
      </c>
      <c r="F56" s="216" t="s">
        <v>418</v>
      </c>
      <c r="G56" s="19" t="s">
        <v>1721</v>
      </c>
    </row>
    <row r="57" spans="1:7" s="138" customFormat="1">
      <c r="A57" s="215">
        <v>53</v>
      </c>
      <c r="B57" s="216" t="s">
        <v>1394</v>
      </c>
      <c r="C57" s="215">
        <v>1</v>
      </c>
      <c r="D57" s="424">
        <v>480000</v>
      </c>
      <c r="E57" s="422">
        <f t="shared" ref="E57:E62" si="2">+C57*D57</f>
        <v>480000</v>
      </c>
      <c r="F57" s="216" t="s">
        <v>574</v>
      </c>
      <c r="G57" s="19" t="s">
        <v>1721</v>
      </c>
    </row>
    <row r="58" spans="1:7" s="138" customFormat="1">
      <c r="A58" s="215">
        <v>54</v>
      </c>
      <c r="B58" s="216" t="s">
        <v>1395</v>
      </c>
      <c r="C58" s="215">
        <v>2</v>
      </c>
      <c r="D58" s="422">
        <v>86000</v>
      </c>
      <c r="E58" s="422">
        <f t="shared" si="2"/>
        <v>172000</v>
      </c>
      <c r="F58" s="216" t="s">
        <v>956</v>
      </c>
      <c r="G58" s="19" t="s">
        <v>1721</v>
      </c>
    </row>
    <row r="59" spans="1:7" s="138" customFormat="1">
      <c r="A59" s="215">
        <v>55</v>
      </c>
      <c r="B59" s="216" t="s">
        <v>196</v>
      </c>
      <c r="C59" s="215">
        <v>2</v>
      </c>
      <c r="D59" s="422">
        <v>63500</v>
      </c>
      <c r="E59" s="422">
        <f t="shared" si="2"/>
        <v>127000</v>
      </c>
      <c r="F59" s="216" t="s">
        <v>472</v>
      </c>
      <c r="G59" s="19" t="s">
        <v>1721</v>
      </c>
    </row>
    <row r="60" spans="1:7" s="138" customFormat="1">
      <c r="A60" s="215">
        <v>56</v>
      </c>
      <c r="B60" s="216" t="s">
        <v>1396</v>
      </c>
      <c r="C60" s="215">
        <v>1</v>
      </c>
      <c r="D60" s="422">
        <v>310300</v>
      </c>
      <c r="E60" s="422">
        <f t="shared" si="2"/>
        <v>310300</v>
      </c>
      <c r="F60" s="216" t="s">
        <v>721</v>
      </c>
      <c r="G60" s="19" t="s">
        <v>1721</v>
      </c>
    </row>
    <row r="61" spans="1:7" s="138" customFormat="1" ht="42">
      <c r="A61" s="215">
        <v>57</v>
      </c>
      <c r="B61" s="260" t="s">
        <v>1399</v>
      </c>
      <c r="C61" s="215">
        <v>1</v>
      </c>
      <c r="D61" s="422">
        <v>80250</v>
      </c>
      <c r="E61" s="422">
        <f t="shared" si="2"/>
        <v>80250</v>
      </c>
      <c r="F61" s="216" t="s">
        <v>721</v>
      </c>
      <c r="G61" s="19" t="s">
        <v>1721</v>
      </c>
    </row>
    <row r="62" spans="1:7" s="138" customFormat="1">
      <c r="A62" s="215">
        <v>58</v>
      </c>
      <c r="B62" s="216" t="s">
        <v>1397</v>
      </c>
      <c r="C62" s="215">
        <v>2</v>
      </c>
      <c r="D62" s="422">
        <v>29000</v>
      </c>
      <c r="E62" s="422">
        <f t="shared" si="2"/>
        <v>58000</v>
      </c>
      <c r="F62" s="216" t="s">
        <v>423</v>
      </c>
      <c r="G62" s="19" t="s">
        <v>1721</v>
      </c>
    </row>
    <row r="63" spans="1:7" s="138" customFormat="1" ht="42">
      <c r="A63" s="215">
        <v>59</v>
      </c>
      <c r="B63" s="251" t="s">
        <v>1450</v>
      </c>
      <c r="C63" s="233">
        <v>1</v>
      </c>
      <c r="D63" s="439">
        <v>380000</v>
      </c>
      <c r="E63" s="263">
        <f t="shared" ref="E63:E67" si="3">D63</f>
        <v>380000</v>
      </c>
      <c r="F63" s="216" t="s">
        <v>721</v>
      </c>
      <c r="G63" s="19" t="s">
        <v>1721</v>
      </c>
    </row>
    <row r="64" spans="1:7" s="138" customFormat="1">
      <c r="A64" s="215">
        <v>60</v>
      </c>
      <c r="B64" s="1602" t="s">
        <v>1451</v>
      </c>
      <c r="C64" s="233">
        <v>1</v>
      </c>
      <c r="D64" s="439">
        <v>1605000</v>
      </c>
      <c r="E64" s="263">
        <f>D64</f>
        <v>1605000</v>
      </c>
      <c r="F64" s="216" t="s">
        <v>721</v>
      </c>
      <c r="G64" s="19" t="s">
        <v>1721</v>
      </c>
    </row>
    <row r="65" spans="1:7" s="138" customFormat="1" ht="42">
      <c r="A65" s="215">
        <v>61</v>
      </c>
      <c r="B65" s="1603" t="s">
        <v>1452</v>
      </c>
      <c r="C65" s="233">
        <v>1</v>
      </c>
      <c r="D65" s="439">
        <v>950000</v>
      </c>
      <c r="E65" s="263">
        <f>D65</f>
        <v>950000</v>
      </c>
      <c r="F65" s="216" t="s">
        <v>721</v>
      </c>
      <c r="G65" s="19" t="s">
        <v>1721</v>
      </c>
    </row>
    <row r="66" spans="1:7" s="138" customFormat="1">
      <c r="A66" s="215">
        <v>62</v>
      </c>
      <c r="B66" s="1603" t="s">
        <v>1453</v>
      </c>
      <c r="C66" s="233">
        <v>1</v>
      </c>
      <c r="D66" s="439">
        <v>47910</v>
      </c>
      <c r="E66" s="263">
        <f>D66</f>
        <v>47910</v>
      </c>
      <c r="F66" s="216" t="s">
        <v>721</v>
      </c>
      <c r="G66" s="19" t="s">
        <v>1721</v>
      </c>
    </row>
    <row r="67" spans="1:7" s="138" customFormat="1" ht="42">
      <c r="A67" s="215">
        <v>63</v>
      </c>
      <c r="B67" s="251" t="s">
        <v>1454</v>
      </c>
      <c r="C67" s="233">
        <v>1</v>
      </c>
      <c r="D67" s="439">
        <v>1600000</v>
      </c>
      <c r="E67" s="263">
        <f t="shared" si="3"/>
        <v>1600000</v>
      </c>
      <c r="F67" s="216" t="s">
        <v>721</v>
      </c>
      <c r="G67" s="138" t="s">
        <v>1721</v>
      </c>
    </row>
    <row r="68" spans="1:7" ht="17.25" customHeight="1">
      <c r="A68" s="1501"/>
      <c r="B68" s="2896" t="s">
        <v>1405</v>
      </c>
      <c r="C68" s="2896"/>
      <c r="D68" s="2896"/>
      <c r="E68" s="2395">
        <f>SUM(E5:E67)</f>
        <v>34050887.130000003</v>
      </c>
      <c r="F68" s="1495"/>
    </row>
    <row r="69" spans="1:7" ht="8.25" customHeight="1">
      <c r="A69" s="1501"/>
      <c r="B69" s="1505"/>
      <c r="C69" s="1506"/>
      <c r="D69" s="1507"/>
      <c r="E69" s="1508"/>
      <c r="F69" s="1495"/>
    </row>
    <row r="70" spans="1:7" ht="18" customHeight="1">
      <c r="A70" s="1486"/>
      <c r="B70" s="1480" t="s">
        <v>1263</v>
      </c>
      <c r="C70" s="1486"/>
      <c r="D70" s="1486"/>
      <c r="E70" s="1486"/>
      <c r="F70" s="1486"/>
    </row>
    <row r="71" spans="1:7" ht="18" customHeight="1">
      <c r="A71" s="1478" t="s">
        <v>2</v>
      </c>
      <c r="B71" s="1478" t="s">
        <v>3</v>
      </c>
      <c r="C71" s="1478" t="s">
        <v>618</v>
      </c>
      <c r="D71" s="1478" t="s">
        <v>1410</v>
      </c>
      <c r="E71" s="1478" t="s">
        <v>1411</v>
      </c>
      <c r="F71" s="1478" t="s">
        <v>388</v>
      </c>
    </row>
    <row r="72" spans="1:7" ht="18" customHeight="1">
      <c r="A72" s="479">
        <v>1</v>
      </c>
      <c r="B72" s="686" t="s">
        <v>887</v>
      </c>
      <c r="C72" s="1475">
        <v>2</v>
      </c>
      <c r="D72" s="588">
        <v>2290</v>
      </c>
      <c r="E72" s="588">
        <f>+C72*D72</f>
        <v>4580</v>
      </c>
      <c r="F72" s="686" t="s">
        <v>456</v>
      </c>
      <c r="G72" s="19" t="s">
        <v>1721</v>
      </c>
    </row>
    <row r="73" spans="1:7" ht="18" customHeight="1">
      <c r="A73" s="479">
        <v>2</v>
      </c>
      <c r="B73" s="686" t="s">
        <v>882</v>
      </c>
      <c r="C73" s="1475">
        <v>2</v>
      </c>
      <c r="D73" s="588">
        <v>8690</v>
      </c>
      <c r="E73" s="588">
        <f>+C73*D73</f>
        <v>17380</v>
      </c>
      <c r="F73" s="686" t="s">
        <v>456</v>
      </c>
      <c r="G73" s="19" t="s">
        <v>1721</v>
      </c>
    </row>
    <row r="74" spans="1:7" ht="18" customHeight="1">
      <c r="A74" s="479">
        <v>3</v>
      </c>
      <c r="B74" s="686" t="s">
        <v>869</v>
      </c>
      <c r="C74" s="1475">
        <v>19</v>
      </c>
      <c r="D74" s="1529">
        <v>3524.58</v>
      </c>
      <c r="E74" s="588">
        <f>+C74*D74</f>
        <v>66967.02</v>
      </c>
      <c r="F74" s="686" t="s">
        <v>456</v>
      </c>
      <c r="G74" s="19" t="s">
        <v>1721</v>
      </c>
    </row>
    <row r="75" spans="1:7" ht="18" customHeight="1">
      <c r="A75" s="479">
        <v>4</v>
      </c>
      <c r="B75" s="686" t="s">
        <v>870</v>
      </c>
      <c r="C75" s="1475">
        <v>40</v>
      </c>
      <c r="D75" s="588">
        <v>2477.5</v>
      </c>
      <c r="E75" s="588">
        <f>+C75*D75</f>
        <v>99100</v>
      </c>
      <c r="F75" s="686" t="s">
        <v>850</v>
      </c>
      <c r="G75" s="19" t="s">
        <v>1721</v>
      </c>
    </row>
    <row r="76" spans="1:7" ht="18" customHeight="1">
      <c r="A76" s="479">
        <v>5</v>
      </c>
      <c r="B76" s="478" t="s">
        <v>1264</v>
      </c>
      <c r="C76" s="479">
        <v>1</v>
      </c>
      <c r="D76" s="1530">
        <v>3900</v>
      </c>
      <c r="E76" s="1530">
        <f>+C76*D76</f>
        <v>3900</v>
      </c>
      <c r="F76" s="478" t="s">
        <v>1265</v>
      </c>
      <c r="G76" s="19" t="s">
        <v>1721</v>
      </c>
    </row>
    <row r="77" spans="1:7" ht="18" customHeight="1">
      <c r="A77" s="479">
        <v>6</v>
      </c>
      <c r="B77" s="305" t="s">
        <v>1378</v>
      </c>
      <c r="C77" s="306">
        <v>1</v>
      </c>
      <c r="D77" s="308">
        <v>5490</v>
      </c>
      <c r="E77" s="308">
        <v>5490</v>
      </c>
      <c r="F77" s="305" t="s">
        <v>470</v>
      </c>
      <c r="G77" s="19" t="s">
        <v>1721</v>
      </c>
    </row>
    <row r="78" spans="1:7" ht="18" customHeight="1">
      <c r="A78" s="479">
        <v>7</v>
      </c>
      <c r="B78" s="305" t="s">
        <v>868</v>
      </c>
      <c r="C78" s="306">
        <v>1</v>
      </c>
      <c r="D78" s="308">
        <v>39630</v>
      </c>
      <c r="E78" s="308">
        <v>39630</v>
      </c>
      <c r="F78" s="1528" t="s">
        <v>1382</v>
      </c>
      <c r="G78" s="19" t="s">
        <v>1721</v>
      </c>
    </row>
    <row r="79" spans="1:7" ht="18" customHeight="1">
      <c r="A79" s="479">
        <v>8</v>
      </c>
      <c r="B79" s="390" t="s">
        <v>1378</v>
      </c>
      <c r="C79" s="479">
        <v>1</v>
      </c>
      <c r="D79" s="307">
        <v>5490</v>
      </c>
      <c r="E79" s="307">
        <v>5490</v>
      </c>
      <c r="F79" s="389" t="s">
        <v>1383</v>
      </c>
      <c r="G79" s="19" t="s">
        <v>1721</v>
      </c>
    </row>
    <row r="80" spans="1:7" ht="18" customHeight="1">
      <c r="A80" s="479">
        <v>9</v>
      </c>
      <c r="B80" s="390" t="s">
        <v>1379</v>
      </c>
      <c r="C80" s="479">
        <v>1</v>
      </c>
      <c r="D80" s="307">
        <v>6790</v>
      </c>
      <c r="E80" s="307">
        <v>6790</v>
      </c>
      <c r="F80" s="390" t="s">
        <v>1278</v>
      </c>
      <c r="G80" s="19" t="s">
        <v>1721</v>
      </c>
    </row>
    <row r="81" spans="1:7" s="138" customFormat="1" ht="42">
      <c r="A81" s="479">
        <v>10</v>
      </c>
      <c r="B81" s="221" t="s">
        <v>868</v>
      </c>
      <c r="C81" s="215">
        <v>1</v>
      </c>
      <c r="D81" s="1531">
        <v>45600</v>
      </c>
      <c r="E81" s="1531">
        <v>45600</v>
      </c>
      <c r="F81" s="482" t="s">
        <v>1406</v>
      </c>
      <c r="G81" s="19" t="s">
        <v>1721</v>
      </c>
    </row>
    <row r="82" spans="1:7">
      <c r="A82" s="479">
        <v>11</v>
      </c>
      <c r="B82" s="390" t="s">
        <v>1380</v>
      </c>
      <c r="C82" s="479">
        <v>1</v>
      </c>
      <c r="D82" s="307">
        <v>1590</v>
      </c>
      <c r="E82" s="307">
        <v>1590</v>
      </c>
      <c r="F82" s="390" t="s">
        <v>1384</v>
      </c>
      <c r="G82" s="19" t="s">
        <v>1721</v>
      </c>
    </row>
    <row r="83" spans="1:7">
      <c r="A83" s="479">
        <v>12</v>
      </c>
      <c r="B83" s="390" t="s">
        <v>1381</v>
      </c>
      <c r="C83" s="479">
        <v>1</v>
      </c>
      <c r="D83" s="307">
        <v>5990</v>
      </c>
      <c r="E83" s="307">
        <v>5990</v>
      </c>
      <c r="F83" s="390" t="s">
        <v>614</v>
      </c>
      <c r="G83" s="19" t="s">
        <v>1721</v>
      </c>
    </row>
    <row r="84" spans="1:7" s="138" customFormat="1" ht="42">
      <c r="A84" s="479">
        <v>13</v>
      </c>
      <c r="B84" s="251" t="s">
        <v>1266</v>
      </c>
      <c r="C84" s="233">
        <v>1</v>
      </c>
      <c r="D84" s="418">
        <v>103830</v>
      </c>
      <c r="E84" s="418">
        <f>+C84*D84</f>
        <v>103830</v>
      </c>
      <c r="F84" s="322" t="s">
        <v>456</v>
      </c>
      <c r="G84" s="19" t="s">
        <v>1721</v>
      </c>
    </row>
    <row r="85" spans="1:7" s="138" customFormat="1" ht="42">
      <c r="A85" s="479">
        <v>14</v>
      </c>
      <c r="B85" s="251" t="s">
        <v>1267</v>
      </c>
      <c r="C85" s="233">
        <v>1</v>
      </c>
      <c r="D85" s="418">
        <v>127200</v>
      </c>
      <c r="E85" s="418">
        <f>+C85*D85</f>
        <v>127200</v>
      </c>
      <c r="F85" s="322" t="s">
        <v>456</v>
      </c>
      <c r="G85" s="19" t="s">
        <v>1721</v>
      </c>
    </row>
    <row r="86" spans="1:7" s="138" customFormat="1" ht="42">
      <c r="A86" s="479">
        <v>15</v>
      </c>
      <c r="B86" s="251" t="s">
        <v>1268</v>
      </c>
      <c r="C86" s="233">
        <v>1</v>
      </c>
      <c r="D86" s="418">
        <v>527104</v>
      </c>
      <c r="E86" s="418">
        <f>+C86*D86</f>
        <v>527104</v>
      </c>
      <c r="F86" s="322" t="s">
        <v>456</v>
      </c>
      <c r="G86" s="19" t="s">
        <v>1721</v>
      </c>
    </row>
    <row r="87" spans="1:7" s="138" customFormat="1" ht="42">
      <c r="A87" s="479">
        <v>16</v>
      </c>
      <c r="B87" s="251" t="s">
        <v>1269</v>
      </c>
      <c r="C87" s="233">
        <v>1</v>
      </c>
      <c r="D87" s="418">
        <v>162320</v>
      </c>
      <c r="E87" s="418">
        <f>+C87*D87</f>
        <v>162320</v>
      </c>
      <c r="F87" s="322" t="s">
        <v>456</v>
      </c>
      <c r="G87" s="19" t="s">
        <v>1721</v>
      </c>
    </row>
    <row r="88" spans="1:7" s="138" customFormat="1" ht="23.25">
      <c r="A88" s="1501"/>
      <c r="B88" s="2897" t="s">
        <v>1408</v>
      </c>
      <c r="C88" s="2897"/>
      <c r="D88" s="2897"/>
      <c r="E88" s="2396">
        <f>SUM(E72:E87)</f>
        <v>1222961.02</v>
      </c>
      <c r="F88" s="205"/>
    </row>
    <row r="89" spans="1:7" s="138" customFormat="1" ht="12" customHeight="1">
      <c r="A89" s="1501"/>
      <c r="B89" s="1532"/>
      <c r="C89" s="523"/>
      <c r="D89" s="342"/>
      <c r="E89" s="342"/>
      <c r="F89" s="205"/>
    </row>
    <row r="90" spans="1:7">
      <c r="A90" s="1486"/>
      <c r="B90" s="1480" t="s">
        <v>1725</v>
      </c>
      <c r="C90" s="1486"/>
      <c r="D90" s="1486"/>
      <c r="E90" s="1486"/>
      <c r="F90" s="1486"/>
    </row>
    <row r="91" spans="1:7">
      <c r="A91" s="1478" t="s">
        <v>2</v>
      </c>
      <c r="B91" s="1478" t="s">
        <v>3</v>
      </c>
      <c r="C91" s="1478" t="s">
        <v>618</v>
      </c>
      <c r="D91" s="1478" t="s">
        <v>1410</v>
      </c>
      <c r="E91" s="1478" t="s">
        <v>1411</v>
      </c>
      <c r="F91" s="1478" t="s">
        <v>388</v>
      </c>
    </row>
    <row r="92" spans="1:7">
      <c r="A92" s="479">
        <v>1</v>
      </c>
      <c r="B92" s="309" t="s">
        <v>1385</v>
      </c>
      <c r="C92" s="310">
        <v>20</v>
      </c>
      <c r="D92" s="311">
        <v>3100</v>
      </c>
      <c r="E92" s="311">
        <v>62000</v>
      </c>
      <c r="F92" s="309" t="s">
        <v>444</v>
      </c>
      <c r="G92" s="19" t="s">
        <v>1721</v>
      </c>
    </row>
    <row r="93" spans="1:7">
      <c r="A93" s="479">
        <v>2</v>
      </c>
      <c r="B93" s="309" t="s">
        <v>1386</v>
      </c>
      <c r="C93" s="310">
        <v>2</v>
      </c>
      <c r="D93" s="311">
        <v>5500</v>
      </c>
      <c r="E93" s="311">
        <v>11000</v>
      </c>
      <c r="F93" s="309" t="s">
        <v>444</v>
      </c>
      <c r="G93" s="19" t="s">
        <v>1721</v>
      </c>
    </row>
    <row r="94" spans="1:7">
      <c r="A94" s="479">
        <v>3</v>
      </c>
      <c r="B94" s="309" t="s">
        <v>1387</v>
      </c>
      <c r="C94" s="310">
        <v>22</v>
      </c>
      <c r="D94" s="311">
        <v>100</v>
      </c>
      <c r="E94" s="311">
        <v>2200</v>
      </c>
      <c r="F94" s="309" t="s">
        <v>444</v>
      </c>
      <c r="G94" s="19" t="s">
        <v>1721</v>
      </c>
    </row>
    <row r="95" spans="1:7">
      <c r="A95" s="1549">
        <v>4</v>
      </c>
      <c r="B95" s="1550" t="s">
        <v>1388</v>
      </c>
      <c r="C95" s="1549">
        <v>1</v>
      </c>
      <c r="D95" s="1551">
        <v>6698</v>
      </c>
      <c r="E95" s="1551">
        <v>6698</v>
      </c>
      <c r="F95" s="1550" t="s">
        <v>721</v>
      </c>
      <c r="G95" s="19" t="s">
        <v>1721</v>
      </c>
    </row>
    <row r="96" spans="1:7">
      <c r="A96" s="1541"/>
      <c r="B96" s="2898" t="s">
        <v>1427</v>
      </c>
      <c r="C96" s="2898"/>
      <c r="D96" s="2898"/>
      <c r="E96" s="2397">
        <f>SUM(E92:E95)</f>
        <v>81898</v>
      </c>
      <c r="F96" s="1542"/>
    </row>
    <row r="97" spans="1:7">
      <c r="A97" s="1509"/>
      <c r="B97" s="1480" t="s">
        <v>1428</v>
      </c>
      <c r="C97" s="1486"/>
      <c r="D97" s="1486"/>
      <c r="E97" s="1540"/>
      <c r="F97" s="1539"/>
    </row>
    <row r="98" spans="1:7">
      <c r="A98" s="1478" t="s">
        <v>2</v>
      </c>
      <c r="B98" s="1478" t="s">
        <v>3</v>
      </c>
      <c r="C98" s="1478" t="s">
        <v>618</v>
      </c>
      <c r="D98" s="1478" t="s">
        <v>1410</v>
      </c>
      <c r="E98" s="1478" t="s">
        <v>1411</v>
      </c>
      <c r="F98" s="1478" t="s">
        <v>388</v>
      </c>
    </row>
    <row r="99" spans="1:7" s="138" customFormat="1" ht="42">
      <c r="A99" s="215">
        <v>1</v>
      </c>
      <c r="B99" s="221" t="s">
        <v>1389</v>
      </c>
      <c r="C99" s="215">
        <v>1</v>
      </c>
      <c r="D99" s="1531">
        <v>3890</v>
      </c>
      <c r="E99" s="1531">
        <v>3890</v>
      </c>
      <c r="F99" s="482" t="s">
        <v>1406</v>
      </c>
      <c r="G99" s="138" t="s">
        <v>1721</v>
      </c>
    </row>
    <row r="100" spans="1:7" s="138" customFormat="1" ht="42">
      <c r="A100" s="215">
        <v>2</v>
      </c>
      <c r="B100" s="221" t="s">
        <v>1390</v>
      </c>
      <c r="C100" s="215">
        <v>1</v>
      </c>
      <c r="D100" s="1531">
        <v>10050</v>
      </c>
      <c r="E100" s="1531">
        <v>10050</v>
      </c>
      <c r="F100" s="482" t="s">
        <v>1406</v>
      </c>
      <c r="G100" s="138" t="s">
        <v>1721</v>
      </c>
    </row>
    <row r="101" spans="1:7">
      <c r="B101" s="2871" t="s">
        <v>1429</v>
      </c>
      <c r="C101" s="2871"/>
      <c r="D101" s="2871"/>
      <c r="E101" s="2398">
        <f>SUM(E99:E100)</f>
        <v>13940</v>
      </c>
    </row>
    <row r="102" spans="1:7" ht="14.25" customHeight="1"/>
    <row r="103" spans="1:7">
      <c r="A103" s="1486"/>
      <c r="B103" s="1480" t="s">
        <v>1270</v>
      </c>
      <c r="C103" s="1486"/>
      <c r="D103" s="1486"/>
      <c r="E103" s="1486"/>
      <c r="F103" s="1486"/>
    </row>
    <row r="104" spans="1:7">
      <c r="A104" s="1478" t="s">
        <v>2</v>
      </c>
      <c r="B104" s="1478" t="s">
        <v>3</v>
      </c>
      <c r="C104" s="1478" t="s">
        <v>618</v>
      </c>
      <c r="D104" s="1478" t="s">
        <v>1410</v>
      </c>
      <c r="E104" s="1478" t="s">
        <v>1411</v>
      </c>
      <c r="F104" s="1478" t="s">
        <v>388</v>
      </c>
    </row>
    <row r="105" spans="1:7">
      <c r="A105" s="479">
        <v>1</v>
      </c>
      <c r="B105" s="685" t="s">
        <v>203</v>
      </c>
      <c r="C105" s="1481">
        <v>71</v>
      </c>
      <c r="D105" s="1534">
        <v>7000</v>
      </c>
      <c r="E105" s="1534">
        <f>C105*D105</f>
        <v>497000</v>
      </c>
      <c r="F105" s="682" t="s">
        <v>456</v>
      </c>
      <c r="G105" s="138" t="s">
        <v>1721</v>
      </c>
    </row>
    <row r="106" spans="1:7">
      <c r="A106" s="479">
        <v>2</v>
      </c>
      <c r="B106" s="689" t="s">
        <v>476</v>
      </c>
      <c r="C106" s="1481">
        <v>1</v>
      </c>
      <c r="D106" s="1483">
        <v>15000</v>
      </c>
      <c r="E106" s="1484">
        <f t="shared" ref="E106:E114" si="4">+C106*D106</f>
        <v>15000</v>
      </c>
      <c r="F106" s="683" t="s">
        <v>445</v>
      </c>
      <c r="G106" s="138" t="s">
        <v>1721</v>
      </c>
    </row>
    <row r="107" spans="1:7">
      <c r="A107" s="479">
        <v>3</v>
      </c>
      <c r="B107" s="683" t="s">
        <v>483</v>
      </c>
      <c r="C107" s="1481">
        <v>2</v>
      </c>
      <c r="D107" s="1483">
        <v>6500</v>
      </c>
      <c r="E107" s="1484">
        <f t="shared" si="4"/>
        <v>13000</v>
      </c>
      <c r="F107" s="683" t="s">
        <v>445</v>
      </c>
      <c r="G107" s="138" t="s">
        <v>1721</v>
      </c>
    </row>
    <row r="108" spans="1:7">
      <c r="A108" s="479">
        <v>4</v>
      </c>
      <c r="B108" s="689" t="s">
        <v>477</v>
      </c>
      <c r="C108" s="1481">
        <v>1</v>
      </c>
      <c r="D108" s="1483">
        <v>10000</v>
      </c>
      <c r="E108" s="1484">
        <f t="shared" si="4"/>
        <v>10000</v>
      </c>
      <c r="F108" s="683" t="s">
        <v>445</v>
      </c>
      <c r="G108" s="138" t="s">
        <v>1721</v>
      </c>
    </row>
    <row r="109" spans="1:7">
      <c r="A109" s="479">
        <v>5</v>
      </c>
      <c r="B109" s="682" t="s">
        <v>489</v>
      </c>
      <c r="C109" s="1481">
        <v>1</v>
      </c>
      <c r="D109" s="1483">
        <v>50000</v>
      </c>
      <c r="E109" s="1484">
        <f t="shared" si="4"/>
        <v>50000</v>
      </c>
      <c r="F109" s="683" t="s">
        <v>445</v>
      </c>
      <c r="G109" s="138" t="s">
        <v>1721</v>
      </c>
    </row>
    <row r="110" spans="1:7">
      <c r="A110" s="479">
        <v>6</v>
      </c>
      <c r="B110" s="689" t="s">
        <v>486</v>
      </c>
      <c r="C110" s="1481">
        <v>2</v>
      </c>
      <c r="D110" s="1483">
        <v>4500</v>
      </c>
      <c r="E110" s="1484">
        <f t="shared" si="4"/>
        <v>9000</v>
      </c>
      <c r="F110" s="683" t="s">
        <v>445</v>
      </c>
      <c r="G110" s="138" t="s">
        <v>1721</v>
      </c>
    </row>
    <row r="111" spans="1:7">
      <c r="A111" s="479">
        <v>7</v>
      </c>
      <c r="B111" s="689" t="s">
        <v>484</v>
      </c>
      <c r="C111" s="1481">
        <v>2</v>
      </c>
      <c r="D111" s="1483">
        <v>3950</v>
      </c>
      <c r="E111" s="1484">
        <f t="shared" si="4"/>
        <v>7900</v>
      </c>
      <c r="F111" s="683" t="s">
        <v>445</v>
      </c>
      <c r="G111" s="138" t="s">
        <v>1721</v>
      </c>
    </row>
    <row r="112" spans="1:7">
      <c r="A112" s="479">
        <v>8</v>
      </c>
      <c r="B112" s="685" t="s">
        <v>488</v>
      </c>
      <c r="C112" s="1481">
        <v>2</v>
      </c>
      <c r="D112" s="1483">
        <v>3950</v>
      </c>
      <c r="E112" s="1484">
        <f t="shared" si="4"/>
        <v>7900</v>
      </c>
      <c r="F112" s="683" t="s">
        <v>445</v>
      </c>
      <c r="G112" s="138" t="s">
        <v>1721</v>
      </c>
    </row>
    <row r="113" spans="1:7">
      <c r="A113" s="479">
        <v>9</v>
      </c>
      <c r="B113" s="689" t="s">
        <v>478</v>
      </c>
      <c r="C113" s="1481">
        <v>1</v>
      </c>
      <c r="D113" s="1483">
        <v>4000</v>
      </c>
      <c r="E113" s="1484">
        <f t="shared" si="4"/>
        <v>4000</v>
      </c>
      <c r="F113" s="683" t="s">
        <v>445</v>
      </c>
      <c r="G113" s="138" t="s">
        <v>1721</v>
      </c>
    </row>
    <row r="114" spans="1:7">
      <c r="A114" s="479">
        <v>10</v>
      </c>
      <c r="B114" s="686" t="s">
        <v>899</v>
      </c>
      <c r="C114" s="1475">
        <v>3</v>
      </c>
      <c r="D114" s="1476">
        <v>15200</v>
      </c>
      <c r="E114" s="1476">
        <f t="shared" si="4"/>
        <v>45600</v>
      </c>
      <c r="F114" s="686" t="s">
        <v>888</v>
      </c>
      <c r="G114" s="138" t="s">
        <v>1721</v>
      </c>
    </row>
    <row r="115" spans="1:7">
      <c r="A115" s="479">
        <v>11</v>
      </c>
      <c r="B115" s="686" t="s">
        <v>1006</v>
      </c>
      <c r="C115" s="1475">
        <v>1</v>
      </c>
      <c r="D115" s="1476">
        <v>2027.65</v>
      </c>
      <c r="E115" s="1476">
        <v>2027.65</v>
      </c>
      <c r="F115" s="686" t="s">
        <v>888</v>
      </c>
      <c r="G115" s="138" t="s">
        <v>1721</v>
      </c>
    </row>
    <row r="116" spans="1:7">
      <c r="A116" s="479">
        <v>12</v>
      </c>
      <c r="B116" s="686" t="s">
        <v>903</v>
      </c>
      <c r="C116" s="1475">
        <v>1</v>
      </c>
      <c r="D116" s="1476">
        <v>2990</v>
      </c>
      <c r="E116" s="1476">
        <f>+C116*D116</f>
        <v>2990</v>
      </c>
      <c r="F116" s="686" t="s">
        <v>472</v>
      </c>
      <c r="G116" s="138" t="s">
        <v>1721</v>
      </c>
    </row>
    <row r="117" spans="1:7">
      <c r="A117" s="479">
        <v>13</v>
      </c>
      <c r="B117" s="305" t="s">
        <v>902</v>
      </c>
      <c r="C117" s="306">
        <v>1</v>
      </c>
      <c r="D117" s="1536">
        <v>6100</v>
      </c>
      <c r="E117" s="1536">
        <v>6100</v>
      </c>
      <c r="F117" s="305" t="s">
        <v>418</v>
      </c>
      <c r="G117" s="138" t="s">
        <v>1721</v>
      </c>
    </row>
    <row r="118" spans="1:7">
      <c r="A118" s="479">
        <v>14</v>
      </c>
      <c r="B118" s="305" t="s">
        <v>1338</v>
      </c>
      <c r="C118" s="306">
        <v>1</v>
      </c>
      <c r="D118" s="1536">
        <v>6200</v>
      </c>
      <c r="E118" s="1536">
        <v>6200</v>
      </c>
      <c r="F118" s="305" t="s">
        <v>1276</v>
      </c>
      <c r="G118" s="138" t="s">
        <v>1721</v>
      </c>
    </row>
    <row r="119" spans="1:7">
      <c r="A119" s="479">
        <v>15</v>
      </c>
      <c r="B119" s="305" t="s">
        <v>501</v>
      </c>
      <c r="C119" s="306">
        <v>1</v>
      </c>
      <c r="D119" s="1536">
        <v>6200</v>
      </c>
      <c r="E119" s="1536">
        <v>6200</v>
      </c>
      <c r="F119" s="305" t="s">
        <v>470</v>
      </c>
      <c r="G119" s="138" t="s">
        <v>1721</v>
      </c>
    </row>
    <row r="120" spans="1:7">
      <c r="A120" s="479">
        <v>16</v>
      </c>
      <c r="B120" s="305" t="s">
        <v>469</v>
      </c>
      <c r="C120" s="306">
        <v>1</v>
      </c>
      <c r="D120" s="1536">
        <v>2305.85</v>
      </c>
      <c r="E120" s="1536">
        <v>2305.85</v>
      </c>
      <c r="F120" s="305" t="s">
        <v>470</v>
      </c>
      <c r="G120" s="138" t="s">
        <v>1721</v>
      </c>
    </row>
    <row r="121" spans="1:7">
      <c r="A121" s="479">
        <v>17</v>
      </c>
      <c r="B121" s="305" t="s">
        <v>1277</v>
      </c>
      <c r="C121" s="306">
        <v>1</v>
      </c>
      <c r="D121" s="1536">
        <v>1818.3</v>
      </c>
      <c r="E121" s="1536">
        <v>1818.3</v>
      </c>
      <c r="F121" s="305" t="s">
        <v>1278</v>
      </c>
      <c r="G121" s="138" t="s">
        <v>1721</v>
      </c>
    </row>
    <row r="122" spans="1:7">
      <c r="A122" s="479">
        <v>18</v>
      </c>
      <c r="B122" s="390" t="s">
        <v>1279</v>
      </c>
      <c r="C122" s="479">
        <v>3</v>
      </c>
      <c r="D122" s="1537">
        <v>13500</v>
      </c>
      <c r="E122" s="1537">
        <f>C122*D122</f>
        <v>40500</v>
      </c>
      <c r="F122" s="390" t="s">
        <v>444</v>
      </c>
      <c r="G122" s="138" t="s">
        <v>1721</v>
      </c>
    </row>
    <row r="123" spans="1:7">
      <c r="A123" s="479">
        <v>19</v>
      </c>
      <c r="B123" s="390" t="s">
        <v>501</v>
      </c>
      <c r="C123" s="479">
        <v>1</v>
      </c>
      <c r="D123" s="1537">
        <v>6200</v>
      </c>
      <c r="E123" s="1537">
        <v>6200</v>
      </c>
      <c r="F123" s="390" t="s">
        <v>1278</v>
      </c>
      <c r="G123" s="138" t="s">
        <v>1721</v>
      </c>
    </row>
    <row r="124" spans="1:7">
      <c r="A124" s="479">
        <v>20</v>
      </c>
      <c r="B124" s="390" t="s">
        <v>1280</v>
      </c>
      <c r="C124" s="479">
        <v>2</v>
      </c>
      <c r="D124" s="1537">
        <v>6200</v>
      </c>
      <c r="E124" s="1537">
        <v>12400</v>
      </c>
      <c r="F124" s="390" t="s">
        <v>604</v>
      </c>
      <c r="G124" s="138" t="s">
        <v>1721</v>
      </c>
    </row>
    <row r="125" spans="1:7" s="138" customFormat="1">
      <c r="A125" s="479">
        <v>21</v>
      </c>
      <c r="B125" s="221" t="s">
        <v>474</v>
      </c>
      <c r="C125" s="215">
        <v>2</v>
      </c>
      <c r="D125" s="1538">
        <v>2590</v>
      </c>
      <c r="E125" s="1538">
        <v>5180</v>
      </c>
      <c r="F125" s="482" t="s">
        <v>1477</v>
      </c>
      <c r="G125" s="138" t="s">
        <v>1721</v>
      </c>
    </row>
    <row r="126" spans="1:7">
      <c r="A126" s="479">
        <v>22</v>
      </c>
      <c r="B126" s="390" t="s">
        <v>501</v>
      </c>
      <c r="C126" s="479">
        <v>1</v>
      </c>
      <c r="D126" s="1537">
        <v>6200</v>
      </c>
      <c r="E126" s="1537">
        <v>6200</v>
      </c>
      <c r="F126" s="390" t="s">
        <v>743</v>
      </c>
      <c r="G126" s="138" t="s">
        <v>1721</v>
      </c>
    </row>
    <row r="127" spans="1:7">
      <c r="A127" s="479">
        <v>23</v>
      </c>
      <c r="B127" s="390" t="s">
        <v>1281</v>
      </c>
      <c r="C127" s="479">
        <v>1</v>
      </c>
      <c r="D127" s="1537">
        <v>3200</v>
      </c>
      <c r="E127" s="1537">
        <v>3200</v>
      </c>
      <c r="F127" s="390" t="s">
        <v>614</v>
      </c>
      <c r="G127" s="138" t="s">
        <v>1721</v>
      </c>
    </row>
    <row r="128" spans="1:7">
      <c r="A128" s="479">
        <v>24</v>
      </c>
      <c r="B128" s="390" t="s">
        <v>908</v>
      </c>
      <c r="C128" s="479">
        <v>1</v>
      </c>
      <c r="D128" s="1537">
        <v>4611.7</v>
      </c>
      <c r="E128" s="1537">
        <v>4611.7</v>
      </c>
      <c r="F128" s="390" t="s">
        <v>1282</v>
      </c>
      <c r="G128" s="138" t="s">
        <v>1721</v>
      </c>
    </row>
    <row r="129" spans="1:7">
      <c r="A129" s="479">
        <v>25</v>
      </c>
      <c r="B129" s="390" t="s">
        <v>473</v>
      </c>
      <c r="C129" s="479">
        <v>1</v>
      </c>
      <c r="D129" s="1537">
        <v>3400</v>
      </c>
      <c r="E129" s="1537">
        <v>3400</v>
      </c>
      <c r="F129" s="390" t="s">
        <v>1283</v>
      </c>
      <c r="G129" s="138" t="s">
        <v>1721</v>
      </c>
    </row>
    <row r="130" spans="1:7">
      <c r="A130" s="479">
        <v>26</v>
      </c>
      <c r="B130" s="390" t="s">
        <v>1284</v>
      </c>
      <c r="C130" s="479">
        <v>1</v>
      </c>
      <c r="D130" s="1537">
        <v>58500</v>
      </c>
      <c r="E130" s="1537">
        <v>58500</v>
      </c>
      <c r="F130" s="390" t="s">
        <v>1285</v>
      </c>
      <c r="G130" s="138" t="s">
        <v>1721</v>
      </c>
    </row>
    <row r="131" spans="1:7">
      <c r="A131" s="479">
        <v>27</v>
      </c>
      <c r="B131" s="390" t="s">
        <v>1286</v>
      </c>
      <c r="C131" s="479">
        <v>1</v>
      </c>
      <c r="D131" s="1537">
        <v>2619.36</v>
      </c>
      <c r="E131" s="478">
        <v>2619.36</v>
      </c>
      <c r="F131" s="389" t="s">
        <v>1287</v>
      </c>
      <c r="G131" s="138" t="s">
        <v>1721</v>
      </c>
    </row>
    <row r="132" spans="1:7">
      <c r="A132" s="479">
        <v>28</v>
      </c>
      <c r="B132" s="390" t="s">
        <v>474</v>
      </c>
      <c r="C132" s="479">
        <v>1</v>
      </c>
      <c r="D132" s="1537">
        <v>2590</v>
      </c>
      <c r="E132" s="1537">
        <v>2590</v>
      </c>
      <c r="F132" s="390" t="s">
        <v>472</v>
      </c>
      <c r="G132" s="138" t="s">
        <v>1721</v>
      </c>
    </row>
    <row r="133" spans="1:7">
      <c r="A133" s="479">
        <v>29</v>
      </c>
      <c r="B133" s="390" t="s">
        <v>469</v>
      </c>
      <c r="C133" s="479">
        <v>1</v>
      </c>
      <c r="D133" s="1537">
        <v>2305.85</v>
      </c>
      <c r="E133" s="1537">
        <v>2305.85</v>
      </c>
      <c r="F133" s="390" t="s">
        <v>855</v>
      </c>
      <c r="G133" s="138" t="s">
        <v>1721</v>
      </c>
    </row>
    <row r="134" spans="1:7">
      <c r="A134" s="479">
        <v>30</v>
      </c>
      <c r="B134" s="390" t="s">
        <v>918</v>
      </c>
      <c r="C134" s="479">
        <v>1</v>
      </c>
      <c r="D134" s="1537">
        <v>1802.95</v>
      </c>
      <c r="E134" s="1537">
        <v>1802.95</v>
      </c>
      <c r="F134" s="390" t="s">
        <v>855</v>
      </c>
      <c r="G134" s="138" t="s">
        <v>1721</v>
      </c>
    </row>
    <row r="135" spans="1:7">
      <c r="A135" s="479">
        <v>31</v>
      </c>
      <c r="B135" s="390" t="s">
        <v>1288</v>
      </c>
      <c r="C135" s="479">
        <v>10</v>
      </c>
      <c r="D135" s="1537">
        <v>1350</v>
      </c>
      <c r="E135" s="1537">
        <v>13500</v>
      </c>
      <c r="F135" s="390" t="s">
        <v>414</v>
      </c>
      <c r="G135" s="138" t="s">
        <v>1721</v>
      </c>
    </row>
    <row r="136" spans="1:7">
      <c r="A136" s="479">
        <v>32</v>
      </c>
      <c r="B136" s="390" t="s">
        <v>919</v>
      </c>
      <c r="C136" s="479">
        <v>2</v>
      </c>
      <c r="D136" s="1537">
        <v>49500</v>
      </c>
      <c r="E136" s="1537">
        <v>99000</v>
      </c>
      <c r="F136" s="390" t="s">
        <v>472</v>
      </c>
      <c r="G136" s="138" t="s">
        <v>1721</v>
      </c>
    </row>
    <row r="137" spans="1:7" s="138" customFormat="1" ht="42">
      <c r="A137" s="479">
        <v>33</v>
      </c>
      <c r="B137" s="221" t="s">
        <v>868</v>
      </c>
      <c r="C137" s="215">
        <v>1</v>
      </c>
      <c r="D137" s="1538">
        <v>39630</v>
      </c>
      <c r="E137" s="1538">
        <v>39630</v>
      </c>
      <c r="F137" s="482" t="s">
        <v>1413</v>
      </c>
      <c r="G137" s="138" t="s">
        <v>1721</v>
      </c>
    </row>
    <row r="138" spans="1:7" s="138" customFormat="1">
      <c r="A138" s="479">
        <v>34</v>
      </c>
      <c r="B138" s="221" t="s">
        <v>469</v>
      </c>
      <c r="C138" s="215">
        <v>1</v>
      </c>
      <c r="D138" s="1538">
        <v>2305.85</v>
      </c>
      <c r="E138" s="1538">
        <v>2305.85</v>
      </c>
      <c r="F138" s="221" t="s">
        <v>856</v>
      </c>
      <c r="G138" s="138" t="s">
        <v>1721</v>
      </c>
    </row>
    <row r="139" spans="1:7" s="138" customFormat="1">
      <c r="A139" s="479">
        <v>35</v>
      </c>
      <c r="B139" s="221" t="s">
        <v>469</v>
      </c>
      <c r="C139" s="215">
        <v>2</v>
      </c>
      <c r="D139" s="1538">
        <v>2305.85</v>
      </c>
      <c r="E139" s="1538">
        <v>4611.7</v>
      </c>
      <c r="F139" s="221" t="s">
        <v>851</v>
      </c>
      <c r="G139" s="138" t="s">
        <v>1721</v>
      </c>
    </row>
    <row r="140" spans="1:7" s="138" customFormat="1">
      <c r="A140" s="479">
        <v>36</v>
      </c>
      <c r="B140" s="221" t="s">
        <v>1289</v>
      </c>
      <c r="C140" s="215">
        <v>1</v>
      </c>
      <c r="D140" s="1538">
        <v>34775</v>
      </c>
      <c r="E140" s="1538">
        <v>34775</v>
      </c>
      <c r="F140" s="221" t="s">
        <v>414</v>
      </c>
      <c r="G140" s="138" t="s">
        <v>1721</v>
      </c>
    </row>
    <row r="141" spans="1:7" s="138" customFormat="1" ht="42">
      <c r="A141" s="479">
        <v>37</v>
      </c>
      <c r="B141" s="221" t="s">
        <v>1290</v>
      </c>
      <c r="C141" s="215">
        <v>7</v>
      </c>
      <c r="D141" s="1538">
        <v>3400</v>
      </c>
      <c r="E141" s="1538">
        <v>23800</v>
      </c>
      <c r="F141" s="482" t="s">
        <v>1414</v>
      </c>
      <c r="G141" s="138" t="s">
        <v>1721</v>
      </c>
    </row>
    <row r="142" spans="1:7">
      <c r="A142" s="479">
        <v>38</v>
      </c>
      <c r="B142" s="390" t="s">
        <v>908</v>
      </c>
      <c r="C142" s="479">
        <v>3</v>
      </c>
      <c r="D142" s="1537">
        <v>2305.85</v>
      </c>
      <c r="E142" s="1537">
        <v>6917.55</v>
      </c>
      <c r="F142" s="390" t="s">
        <v>948</v>
      </c>
      <c r="G142" s="138" t="s">
        <v>1721</v>
      </c>
    </row>
    <row r="143" spans="1:7">
      <c r="A143" s="479">
        <v>39</v>
      </c>
      <c r="B143" s="390" t="s">
        <v>501</v>
      </c>
      <c r="C143" s="479">
        <v>1</v>
      </c>
      <c r="D143" s="1537">
        <v>6200</v>
      </c>
      <c r="E143" s="1537">
        <v>6200</v>
      </c>
      <c r="F143" s="390" t="s">
        <v>1278</v>
      </c>
      <c r="G143" s="138" t="s">
        <v>1721</v>
      </c>
    </row>
    <row r="144" spans="1:7" s="138" customFormat="1" ht="42">
      <c r="A144" s="479">
        <v>40</v>
      </c>
      <c r="B144" s="221" t="s">
        <v>474</v>
      </c>
      <c r="C144" s="215">
        <v>1</v>
      </c>
      <c r="D144" s="1538">
        <v>2590</v>
      </c>
      <c r="E144" s="1538">
        <v>2590</v>
      </c>
      <c r="F144" s="482" t="s">
        <v>1401</v>
      </c>
      <c r="G144" s="138" t="s">
        <v>1721</v>
      </c>
    </row>
    <row r="145" spans="1:7">
      <c r="A145" s="479">
        <v>41</v>
      </c>
      <c r="B145" s="390" t="s">
        <v>1291</v>
      </c>
      <c r="C145" s="479">
        <v>1</v>
      </c>
      <c r="D145" s="1537">
        <v>3400</v>
      </c>
      <c r="E145" s="1537">
        <v>3400</v>
      </c>
      <c r="F145" s="390" t="s">
        <v>614</v>
      </c>
      <c r="G145" s="138" t="s">
        <v>1721</v>
      </c>
    </row>
    <row r="146" spans="1:7" s="138" customFormat="1" ht="42">
      <c r="A146" s="479">
        <v>42</v>
      </c>
      <c r="B146" s="221" t="s">
        <v>908</v>
      </c>
      <c r="C146" s="215">
        <v>1</v>
      </c>
      <c r="D146" s="1538">
        <v>2305.85</v>
      </c>
      <c r="E146" s="1538">
        <v>2305.85</v>
      </c>
      <c r="F146" s="482" t="s">
        <v>1415</v>
      </c>
      <c r="G146" s="138" t="s">
        <v>1721</v>
      </c>
    </row>
    <row r="147" spans="1:7" s="138" customFormat="1" ht="42">
      <c r="A147" s="479">
        <v>43</v>
      </c>
      <c r="B147" s="221" t="s">
        <v>1292</v>
      </c>
      <c r="C147" s="215">
        <v>6</v>
      </c>
      <c r="D147" s="1538">
        <v>4050</v>
      </c>
      <c r="E147" s="1538">
        <v>24300</v>
      </c>
      <c r="F147" s="482" t="s">
        <v>1416</v>
      </c>
      <c r="G147" s="138" t="s">
        <v>1721</v>
      </c>
    </row>
    <row r="148" spans="1:7">
      <c r="A148" s="479">
        <v>44</v>
      </c>
      <c r="B148" s="390" t="s">
        <v>1293</v>
      </c>
      <c r="C148" s="479">
        <v>6</v>
      </c>
      <c r="D148" s="1537">
        <v>27500</v>
      </c>
      <c r="E148" s="1537">
        <v>165000</v>
      </c>
      <c r="F148" s="390" t="s">
        <v>1294</v>
      </c>
      <c r="G148" s="138" t="s">
        <v>1721</v>
      </c>
    </row>
    <row r="149" spans="1:7">
      <c r="A149" s="479">
        <v>45</v>
      </c>
      <c r="B149" s="390" t="s">
        <v>1295</v>
      </c>
      <c r="C149" s="479">
        <v>2</v>
      </c>
      <c r="D149" s="1537">
        <v>19500</v>
      </c>
      <c r="E149" s="1537">
        <v>39000</v>
      </c>
      <c r="F149" s="390" t="s">
        <v>1294</v>
      </c>
      <c r="G149" s="138" t="s">
        <v>1721</v>
      </c>
    </row>
    <row r="150" spans="1:7">
      <c r="A150" s="479">
        <v>46</v>
      </c>
      <c r="B150" s="390" t="s">
        <v>1296</v>
      </c>
      <c r="C150" s="479">
        <v>2</v>
      </c>
      <c r="D150" s="1537">
        <v>34000</v>
      </c>
      <c r="E150" s="1537">
        <v>68000</v>
      </c>
      <c r="F150" s="390" t="s">
        <v>1294</v>
      </c>
      <c r="G150" s="138" t="s">
        <v>1721</v>
      </c>
    </row>
    <row r="151" spans="1:7">
      <c r="A151" s="479">
        <v>47</v>
      </c>
      <c r="B151" s="390" t="s">
        <v>1297</v>
      </c>
      <c r="C151" s="479">
        <v>6</v>
      </c>
      <c r="D151" s="1537">
        <v>18700</v>
      </c>
      <c r="E151" s="1537">
        <v>112200</v>
      </c>
      <c r="F151" s="390" t="s">
        <v>1294</v>
      </c>
      <c r="G151" s="138" t="s">
        <v>1721</v>
      </c>
    </row>
    <row r="152" spans="1:7">
      <c r="A152" s="479">
        <v>48</v>
      </c>
      <c r="B152" s="390" t="s">
        <v>1298</v>
      </c>
      <c r="C152" s="479">
        <v>4</v>
      </c>
      <c r="D152" s="1537">
        <v>19500</v>
      </c>
      <c r="E152" s="1537">
        <v>78000</v>
      </c>
      <c r="F152" s="390" t="s">
        <v>1294</v>
      </c>
      <c r="G152" s="138" t="s">
        <v>1721</v>
      </c>
    </row>
    <row r="153" spans="1:7">
      <c r="A153" s="479">
        <v>49</v>
      </c>
      <c r="B153" s="390" t="s">
        <v>1299</v>
      </c>
      <c r="C153" s="479">
        <v>6</v>
      </c>
      <c r="D153" s="1537">
        <v>43000</v>
      </c>
      <c r="E153" s="1537">
        <v>258000</v>
      </c>
      <c r="F153" s="390" t="s">
        <v>1294</v>
      </c>
      <c r="G153" s="138" t="s">
        <v>1721</v>
      </c>
    </row>
    <row r="154" spans="1:7">
      <c r="A154" s="479">
        <v>50</v>
      </c>
      <c r="B154" s="390" t="s">
        <v>1300</v>
      </c>
      <c r="C154" s="479">
        <v>12</v>
      </c>
      <c r="D154" s="1537">
        <v>11700</v>
      </c>
      <c r="E154" s="1537">
        <v>140400</v>
      </c>
      <c r="F154" s="390" t="s">
        <v>1294</v>
      </c>
      <c r="G154" s="138" t="s">
        <v>1721</v>
      </c>
    </row>
    <row r="155" spans="1:7">
      <c r="A155" s="479">
        <v>51</v>
      </c>
      <c r="B155" s="390" t="s">
        <v>1301</v>
      </c>
      <c r="C155" s="479">
        <v>2</v>
      </c>
      <c r="D155" s="1537">
        <v>6200</v>
      </c>
      <c r="E155" s="1537">
        <v>12400</v>
      </c>
      <c r="F155" s="390" t="s">
        <v>416</v>
      </c>
      <c r="G155" s="138" t="s">
        <v>1721</v>
      </c>
    </row>
    <row r="156" spans="1:7" s="138" customFormat="1" ht="42">
      <c r="A156" s="479">
        <v>52</v>
      </c>
      <c r="B156" s="221" t="s">
        <v>1302</v>
      </c>
      <c r="C156" s="215">
        <v>100</v>
      </c>
      <c r="D156" s="1538">
        <v>4900</v>
      </c>
      <c r="E156" s="1538">
        <v>490000</v>
      </c>
      <c r="F156" s="482" t="s">
        <v>1417</v>
      </c>
      <c r="G156" s="138" t="s">
        <v>1721</v>
      </c>
    </row>
    <row r="157" spans="1:7" s="138" customFormat="1">
      <c r="A157" s="479">
        <v>53</v>
      </c>
      <c r="B157" s="221" t="s">
        <v>1303</v>
      </c>
      <c r="C157" s="215">
        <v>1</v>
      </c>
      <c r="D157" s="1538">
        <v>14400</v>
      </c>
      <c r="E157" s="1538">
        <v>14400</v>
      </c>
      <c r="F157" s="221" t="s">
        <v>958</v>
      </c>
      <c r="G157" s="138" t="s">
        <v>1721</v>
      </c>
    </row>
    <row r="158" spans="1:7" s="138" customFormat="1" ht="42">
      <c r="A158" s="479">
        <v>54</v>
      </c>
      <c r="B158" s="221" t="s">
        <v>918</v>
      </c>
      <c r="C158" s="215">
        <v>5</v>
      </c>
      <c r="D158" s="1538">
        <v>1808.3</v>
      </c>
      <c r="E158" s="1538">
        <v>9041.5</v>
      </c>
      <c r="F158" s="482" t="s">
        <v>1418</v>
      </c>
      <c r="G158" s="138" t="s">
        <v>1721</v>
      </c>
    </row>
    <row r="159" spans="1:7" s="138" customFormat="1">
      <c r="A159" s="479">
        <v>55</v>
      </c>
      <c r="B159" s="221" t="s">
        <v>468</v>
      </c>
      <c r="C159" s="215">
        <v>1</v>
      </c>
      <c r="D159" s="1538">
        <v>15700</v>
      </c>
      <c r="E159" s="1538">
        <f>D159*C159</f>
        <v>15700</v>
      </c>
      <c r="F159" s="221" t="s">
        <v>962</v>
      </c>
      <c r="G159" s="138" t="s">
        <v>1721</v>
      </c>
    </row>
    <row r="160" spans="1:7">
      <c r="A160" s="479">
        <v>56</v>
      </c>
      <c r="B160" s="390" t="s">
        <v>1304</v>
      </c>
      <c r="C160" s="479">
        <v>1</v>
      </c>
      <c r="D160" s="1537">
        <v>4699</v>
      </c>
      <c r="E160" s="1537">
        <v>4699</v>
      </c>
      <c r="F160" s="390" t="s">
        <v>1305</v>
      </c>
      <c r="G160" s="138" t="s">
        <v>1721</v>
      </c>
    </row>
    <row r="161" spans="1:7">
      <c r="A161" s="479">
        <v>57</v>
      </c>
      <c r="B161" s="390" t="s">
        <v>1306</v>
      </c>
      <c r="C161" s="479">
        <v>1</v>
      </c>
      <c r="D161" s="1537">
        <v>2299</v>
      </c>
      <c r="E161" s="1537">
        <v>2299</v>
      </c>
      <c r="F161" s="390" t="s">
        <v>1305</v>
      </c>
      <c r="G161" s="138" t="s">
        <v>1721</v>
      </c>
    </row>
    <row r="162" spans="1:7">
      <c r="A162" s="479">
        <v>58</v>
      </c>
      <c r="B162" s="390" t="s">
        <v>1307</v>
      </c>
      <c r="C162" s="479">
        <v>2</v>
      </c>
      <c r="D162" s="1537">
        <v>20502.5</v>
      </c>
      <c r="E162" s="1537">
        <v>41005</v>
      </c>
      <c r="F162" s="389" t="s">
        <v>1308</v>
      </c>
      <c r="G162" s="138" t="s">
        <v>1721</v>
      </c>
    </row>
    <row r="163" spans="1:7" s="138" customFormat="1" ht="38.25" customHeight="1">
      <c r="A163" s="479">
        <v>59</v>
      </c>
      <c r="B163" s="221" t="s">
        <v>1304</v>
      </c>
      <c r="C163" s="215">
        <v>1</v>
      </c>
      <c r="D163" s="1538">
        <v>4399</v>
      </c>
      <c r="E163" s="1538">
        <v>4399</v>
      </c>
      <c r="F163" s="1649" t="s">
        <v>1309</v>
      </c>
      <c r="G163" s="138" t="s">
        <v>1721</v>
      </c>
    </row>
    <row r="164" spans="1:7">
      <c r="A164" s="479">
        <v>60</v>
      </c>
      <c r="B164" s="390" t="s">
        <v>1306</v>
      </c>
      <c r="C164" s="479">
        <v>1</v>
      </c>
      <c r="D164" s="1537">
        <v>2299</v>
      </c>
      <c r="E164" s="1537">
        <v>2299</v>
      </c>
      <c r="F164" s="389" t="s">
        <v>1309</v>
      </c>
      <c r="G164" s="138" t="s">
        <v>1721</v>
      </c>
    </row>
    <row r="165" spans="1:7">
      <c r="A165" s="479">
        <v>61</v>
      </c>
      <c r="B165" s="390" t="s">
        <v>1310</v>
      </c>
      <c r="C165" s="479">
        <v>8</v>
      </c>
      <c r="D165" s="1537">
        <v>1350</v>
      </c>
      <c r="E165" s="1537">
        <v>10800</v>
      </c>
      <c r="F165" s="390" t="s">
        <v>418</v>
      </c>
      <c r="G165" s="138" t="s">
        <v>1721</v>
      </c>
    </row>
    <row r="166" spans="1:7">
      <c r="A166" s="479">
        <v>62</v>
      </c>
      <c r="B166" s="390" t="s">
        <v>1311</v>
      </c>
      <c r="C166" s="479">
        <v>2</v>
      </c>
      <c r="D166" s="1537">
        <v>1890</v>
      </c>
      <c r="E166" s="1537">
        <v>3780</v>
      </c>
      <c r="F166" s="390" t="s">
        <v>858</v>
      </c>
      <c r="G166" s="138" t="s">
        <v>1721</v>
      </c>
    </row>
    <row r="167" spans="1:7">
      <c r="A167" s="479">
        <v>63</v>
      </c>
      <c r="B167" s="390" t="s">
        <v>473</v>
      </c>
      <c r="C167" s="479">
        <v>3</v>
      </c>
      <c r="D167" s="1537">
        <v>2590</v>
      </c>
      <c r="E167" s="1537">
        <v>7770</v>
      </c>
      <c r="F167" s="390" t="s">
        <v>858</v>
      </c>
      <c r="G167" s="138" t="s">
        <v>1721</v>
      </c>
    </row>
    <row r="168" spans="1:7">
      <c r="A168" s="479">
        <v>64</v>
      </c>
      <c r="B168" s="390" t="s">
        <v>1312</v>
      </c>
      <c r="C168" s="479">
        <v>1</v>
      </c>
      <c r="D168" s="1537">
        <v>1290</v>
      </c>
      <c r="E168" s="1537">
        <v>1290</v>
      </c>
      <c r="F168" s="390" t="s">
        <v>858</v>
      </c>
      <c r="G168" s="138" t="s">
        <v>1721</v>
      </c>
    </row>
    <row r="169" spans="1:7">
      <c r="A169" s="479">
        <v>65</v>
      </c>
      <c r="B169" s="390" t="s">
        <v>1313</v>
      </c>
      <c r="C169" s="479">
        <v>2</v>
      </c>
      <c r="D169" s="1537">
        <v>3490</v>
      </c>
      <c r="E169" s="1537">
        <v>6980</v>
      </c>
      <c r="F169" s="390" t="s">
        <v>858</v>
      </c>
      <c r="G169" s="138" t="s">
        <v>1721</v>
      </c>
    </row>
    <row r="170" spans="1:7">
      <c r="A170" s="479">
        <v>66</v>
      </c>
      <c r="B170" s="390" t="s">
        <v>1314</v>
      </c>
      <c r="C170" s="479">
        <v>1</v>
      </c>
      <c r="D170" s="1537">
        <v>4290</v>
      </c>
      <c r="E170" s="1537">
        <v>4290</v>
      </c>
      <c r="F170" s="390" t="s">
        <v>858</v>
      </c>
      <c r="G170" s="138" t="s">
        <v>1721</v>
      </c>
    </row>
    <row r="171" spans="1:7" s="138" customFormat="1" ht="46.5" customHeight="1">
      <c r="A171" s="479">
        <v>67</v>
      </c>
      <c r="B171" s="221" t="s">
        <v>934</v>
      </c>
      <c r="C171" s="215">
        <v>1</v>
      </c>
      <c r="D171" s="1538">
        <v>18900</v>
      </c>
      <c r="E171" s="1538">
        <v>18900</v>
      </c>
      <c r="F171" s="482" t="s">
        <v>1419</v>
      </c>
      <c r="G171" s="138" t="s">
        <v>1721</v>
      </c>
    </row>
    <row r="172" spans="1:7">
      <c r="A172" s="479">
        <v>68</v>
      </c>
      <c r="B172" s="390" t="s">
        <v>1315</v>
      </c>
      <c r="C172" s="479">
        <v>2</v>
      </c>
      <c r="D172" s="1537">
        <v>15000</v>
      </c>
      <c r="E172" s="1537">
        <v>30000</v>
      </c>
      <c r="F172" s="390" t="s">
        <v>721</v>
      </c>
      <c r="G172" s="138" t="s">
        <v>1721</v>
      </c>
    </row>
    <row r="173" spans="1:7">
      <c r="A173" s="479">
        <v>69</v>
      </c>
      <c r="B173" s="390" t="s">
        <v>1316</v>
      </c>
      <c r="C173" s="479">
        <v>2</v>
      </c>
      <c r="D173" s="1537">
        <v>2750</v>
      </c>
      <c r="E173" s="1537">
        <v>5500</v>
      </c>
      <c r="F173" s="390" t="s">
        <v>721</v>
      </c>
      <c r="G173" s="138" t="s">
        <v>1721</v>
      </c>
    </row>
    <row r="174" spans="1:7">
      <c r="A174" s="479">
        <v>70</v>
      </c>
      <c r="B174" s="390" t="s">
        <v>1317</v>
      </c>
      <c r="C174" s="479">
        <v>4</v>
      </c>
      <c r="D174" s="1537">
        <v>1400</v>
      </c>
      <c r="E174" s="1537">
        <v>5600</v>
      </c>
      <c r="F174" s="390" t="s">
        <v>721</v>
      </c>
      <c r="G174" s="138" t="s">
        <v>1721</v>
      </c>
    </row>
    <row r="175" spans="1:7">
      <c r="A175" s="479">
        <v>71</v>
      </c>
      <c r="B175" s="390" t="s">
        <v>1318</v>
      </c>
      <c r="C175" s="479">
        <v>3</v>
      </c>
      <c r="D175" s="1537">
        <v>1800</v>
      </c>
      <c r="E175" s="1537">
        <v>5400</v>
      </c>
      <c r="F175" s="390" t="s">
        <v>721</v>
      </c>
      <c r="G175" s="138" t="s">
        <v>1721</v>
      </c>
    </row>
    <row r="176" spans="1:7">
      <c r="A176" s="479">
        <v>72</v>
      </c>
      <c r="B176" s="390" t="s">
        <v>474</v>
      </c>
      <c r="C176" s="479">
        <v>1</v>
      </c>
      <c r="D176" s="1537">
        <v>2590</v>
      </c>
      <c r="E176" s="1537">
        <v>2590</v>
      </c>
      <c r="F176" s="390" t="s">
        <v>721</v>
      </c>
      <c r="G176" s="138" t="s">
        <v>1721</v>
      </c>
    </row>
    <row r="177" spans="1:7">
      <c r="A177" s="479">
        <v>73</v>
      </c>
      <c r="B177" s="390" t="s">
        <v>1319</v>
      </c>
      <c r="C177" s="479">
        <v>12</v>
      </c>
      <c r="D177" s="1537">
        <v>12700</v>
      </c>
      <c r="E177" s="1537">
        <v>152400</v>
      </c>
      <c r="F177" s="390" t="s">
        <v>1320</v>
      </c>
      <c r="G177" s="138" t="s">
        <v>1721</v>
      </c>
    </row>
    <row r="178" spans="1:7">
      <c r="A178" s="479">
        <v>74</v>
      </c>
      <c r="B178" s="390" t="s">
        <v>1321</v>
      </c>
      <c r="C178" s="479">
        <v>6</v>
      </c>
      <c r="D178" s="1537">
        <v>5400</v>
      </c>
      <c r="E178" s="1537">
        <v>32400</v>
      </c>
      <c r="F178" s="390" t="s">
        <v>1320</v>
      </c>
      <c r="G178" s="138" t="s">
        <v>1721</v>
      </c>
    </row>
    <row r="179" spans="1:7">
      <c r="A179" s="479">
        <v>75</v>
      </c>
      <c r="B179" s="221" t="s">
        <v>1322</v>
      </c>
      <c r="C179" s="479">
        <v>6</v>
      </c>
      <c r="D179" s="1537">
        <v>4200</v>
      </c>
      <c r="E179" s="1537">
        <v>25200</v>
      </c>
      <c r="F179" s="390" t="s">
        <v>1320</v>
      </c>
      <c r="G179" s="138" t="s">
        <v>1721</v>
      </c>
    </row>
    <row r="180" spans="1:7">
      <c r="A180" s="479">
        <v>76</v>
      </c>
      <c r="B180" s="390" t="s">
        <v>1323</v>
      </c>
      <c r="C180" s="479">
        <v>12</v>
      </c>
      <c r="D180" s="1537">
        <v>4800</v>
      </c>
      <c r="E180" s="1537">
        <v>57600</v>
      </c>
      <c r="F180" s="390" t="s">
        <v>1320</v>
      </c>
      <c r="G180" s="138" t="s">
        <v>1721</v>
      </c>
    </row>
    <row r="181" spans="1:7">
      <c r="A181" s="479">
        <v>77</v>
      </c>
      <c r="B181" s="390" t="s">
        <v>1324</v>
      </c>
      <c r="C181" s="479">
        <v>6</v>
      </c>
      <c r="D181" s="1537">
        <v>7500</v>
      </c>
      <c r="E181" s="1537">
        <v>45000</v>
      </c>
      <c r="F181" s="390" t="s">
        <v>1320</v>
      </c>
      <c r="G181" s="138" t="s">
        <v>1721</v>
      </c>
    </row>
    <row r="182" spans="1:7">
      <c r="A182" s="479">
        <v>78</v>
      </c>
      <c r="B182" s="390" t="s">
        <v>1325</v>
      </c>
      <c r="C182" s="479">
        <v>6</v>
      </c>
      <c r="D182" s="1537">
        <v>2950</v>
      </c>
      <c r="E182" s="1537">
        <v>17700</v>
      </c>
      <c r="F182" s="390" t="s">
        <v>1320</v>
      </c>
      <c r="G182" s="138" t="s">
        <v>1721</v>
      </c>
    </row>
    <row r="183" spans="1:7">
      <c r="A183" s="479">
        <v>79</v>
      </c>
      <c r="B183" s="390" t="s">
        <v>1326</v>
      </c>
      <c r="C183" s="479">
        <v>6</v>
      </c>
      <c r="D183" s="1537">
        <v>5500</v>
      </c>
      <c r="E183" s="1537">
        <v>33000</v>
      </c>
      <c r="F183" s="390" t="s">
        <v>1320</v>
      </c>
      <c r="G183" s="138" t="s">
        <v>1721</v>
      </c>
    </row>
    <row r="184" spans="1:7">
      <c r="A184" s="479">
        <v>80</v>
      </c>
      <c r="B184" s="390" t="s">
        <v>1327</v>
      </c>
      <c r="C184" s="479">
        <v>6</v>
      </c>
      <c r="D184" s="1537">
        <v>9700</v>
      </c>
      <c r="E184" s="1537">
        <v>58200</v>
      </c>
      <c r="F184" s="390" t="s">
        <v>1320</v>
      </c>
      <c r="G184" s="138" t="s">
        <v>1721</v>
      </c>
    </row>
    <row r="185" spans="1:7" s="138" customFormat="1" ht="42">
      <c r="A185" s="479">
        <v>81</v>
      </c>
      <c r="B185" s="221" t="s">
        <v>473</v>
      </c>
      <c r="C185" s="215">
        <v>1</v>
      </c>
      <c r="D185" s="1538">
        <v>3400</v>
      </c>
      <c r="E185" s="1538">
        <v>3400</v>
      </c>
      <c r="F185" s="482" t="s">
        <v>1412</v>
      </c>
      <c r="G185" s="138" t="s">
        <v>1721</v>
      </c>
    </row>
    <row r="186" spans="1:7" s="138" customFormat="1" ht="42">
      <c r="A186" s="479">
        <v>82</v>
      </c>
      <c r="B186" s="221" t="s">
        <v>1328</v>
      </c>
      <c r="C186" s="215">
        <v>3</v>
      </c>
      <c r="D186" s="1538">
        <v>49000</v>
      </c>
      <c r="E186" s="1538">
        <v>147000</v>
      </c>
      <c r="F186" s="482" t="s">
        <v>1406</v>
      </c>
      <c r="G186" s="138" t="s">
        <v>1721</v>
      </c>
    </row>
    <row r="187" spans="1:7">
      <c r="A187" s="479">
        <v>83</v>
      </c>
      <c r="B187" s="390" t="s">
        <v>1329</v>
      </c>
      <c r="C187" s="479">
        <v>2</v>
      </c>
      <c r="D187" s="1537">
        <v>14500</v>
      </c>
      <c r="E187" s="1537">
        <v>29000</v>
      </c>
      <c r="F187" s="390" t="s">
        <v>888</v>
      </c>
      <c r="G187" s="138" t="s">
        <v>1721</v>
      </c>
    </row>
    <row r="188" spans="1:7">
      <c r="A188" s="479">
        <v>84</v>
      </c>
      <c r="B188" s="390" t="s">
        <v>1330</v>
      </c>
      <c r="C188" s="479">
        <v>4</v>
      </c>
      <c r="D188" s="1537">
        <v>7600</v>
      </c>
      <c r="E188" s="1537">
        <v>30400</v>
      </c>
      <c r="F188" s="390" t="s">
        <v>961</v>
      </c>
      <c r="G188" s="138" t="s">
        <v>1721</v>
      </c>
    </row>
    <row r="189" spans="1:7">
      <c r="A189" s="479">
        <v>85</v>
      </c>
      <c r="B189" s="390" t="s">
        <v>1331</v>
      </c>
      <c r="C189" s="479">
        <v>1</v>
      </c>
      <c r="D189" s="1537">
        <v>6955</v>
      </c>
      <c r="E189" s="1537">
        <v>6955</v>
      </c>
      <c r="F189" s="390" t="s">
        <v>614</v>
      </c>
      <c r="G189" s="138" t="s">
        <v>1721</v>
      </c>
    </row>
    <row r="190" spans="1:7" s="138" customFormat="1" ht="42">
      <c r="A190" s="479">
        <v>86</v>
      </c>
      <c r="B190" s="221" t="s">
        <v>1332</v>
      </c>
      <c r="C190" s="215">
        <v>1</v>
      </c>
      <c r="D190" s="1538">
        <v>315115</v>
      </c>
      <c r="E190" s="1538">
        <v>315115</v>
      </c>
      <c r="F190" s="482" t="s">
        <v>1406</v>
      </c>
      <c r="G190" s="138" t="s">
        <v>1721</v>
      </c>
    </row>
    <row r="191" spans="1:7">
      <c r="A191" s="479">
        <v>87</v>
      </c>
      <c r="B191" s="478" t="s">
        <v>868</v>
      </c>
      <c r="C191" s="479">
        <v>1</v>
      </c>
      <c r="D191" s="1535">
        <v>45600</v>
      </c>
      <c r="E191" s="1535">
        <f>+C191*D191</f>
        <v>45600</v>
      </c>
      <c r="F191" s="478" t="s">
        <v>721</v>
      </c>
      <c r="G191" s="138" t="s">
        <v>1721</v>
      </c>
    </row>
    <row r="192" spans="1:7">
      <c r="A192" s="479">
        <v>88</v>
      </c>
      <c r="B192" s="478" t="s">
        <v>1333</v>
      </c>
      <c r="C192" s="479">
        <v>1</v>
      </c>
      <c r="D192" s="478">
        <v>33600</v>
      </c>
      <c r="E192" s="1535">
        <f>+C192*D192</f>
        <v>33600</v>
      </c>
      <c r="F192" s="478" t="s">
        <v>721</v>
      </c>
      <c r="G192" s="138" t="s">
        <v>1721</v>
      </c>
    </row>
    <row r="193" spans="1:7" s="138" customFormat="1" ht="42">
      <c r="A193" s="479">
        <v>89</v>
      </c>
      <c r="B193" s="216" t="s">
        <v>474</v>
      </c>
      <c r="C193" s="215">
        <v>1</v>
      </c>
      <c r="D193" s="422">
        <v>2354</v>
      </c>
      <c r="E193" s="422">
        <f>+C193*D193</f>
        <v>2354</v>
      </c>
      <c r="F193" s="260" t="s">
        <v>1400</v>
      </c>
      <c r="G193" s="138" t="s">
        <v>1721</v>
      </c>
    </row>
    <row r="194" spans="1:7">
      <c r="A194" s="479">
        <v>90</v>
      </c>
      <c r="B194" s="478" t="s">
        <v>1334</v>
      </c>
      <c r="C194" s="479">
        <v>5</v>
      </c>
      <c r="D194" s="1535">
        <v>1808.3</v>
      </c>
      <c r="E194" s="1535">
        <f>+C194*D194</f>
        <v>9041.5</v>
      </c>
      <c r="F194" s="478" t="s">
        <v>422</v>
      </c>
      <c r="G194" s="138" t="s">
        <v>1721</v>
      </c>
    </row>
    <row r="195" spans="1:7">
      <c r="A195" s="479">
        <v>91</v>
      </c>
      <c r="B195" s="390" t="s">
        <v>501</v>
      </c>
      <c r="C195" s="479">
        <v>1</v>
      </c>
      <c r="D195" s="1537">
        <v>17380</v>
      </c>
      <c r="E195" s="1537">
        <v>17380</v>
      </c>
      <c r="F195" s="390" t="s">
        <v>855</v>
      </c>
      <c r="G195" s="138" t="s">
        <v>1721</v>
      </c>
    </row>
    <row r="196" spans="1:7">
      <c r="A196" s="479">
        <v>92</v>
      </c>
      <c r="B196" s="390" t="s">
        <v>1335</v>
      </c>
      <c r="C196" s="479">
        <v>4</v>
      </c>
      <c r="D196" s="1537">
        <v>2590</v>
      </c>
      <c r="E196" s="1537">
        <v>10360</v>
      </c>
      <c r="F196" s="390" t="s">
        <v>444</v>
      </c>
      <c r="G196" s="138" t="s">
        <v>1721</v>
      </c>
    </row>
    <row r="197" spans="1:7">
      <c r="A197" s="479">
        <v>93</v>
      </c>
      <c r="B197" s="478" t="s">
        <v>1336</v>
      </c>
      <c r="C197" s="479">
        <v>1</v>
      </c>
      <c r="D197" s="1535">
        <v>45000</v>
      </c>
      <c r="E197" s="1535">
        <f>+C197*D197</f>
        <v>45000</v>
      </c>
      <c r="F197" s="478" t="s">
        <v>444</v>
      </c>
      <c r="G197" s="138" t="s">
        <v>1721</v>
      </c>
    </row>
    <row r="198" spans="1:7">
      <c r="A198" s="479">
        <v>94</v>
      </c>
      <c r="B198" s="478" t="s">
        <v>1337</v>
      </c>
      <c r="C198" s="479">
        <v>1</v>
      </c>
      <c r="D198" s="1535">
        <v>7400</v>
      </c>
      <c r="E198" s="1535">
        <f>+C198*D198</f>
        <v>7400</v>
      </c>
      <c r="F198" s="478" t="s">
        <v>614</v>
      </c>
      <c r="G198" s="138" t="s">
        <v>1721</v>
      </c>
    </row>
    <row r="199" spans="1:7" ht="19.5" customHeight="1">
      <c r="A199" s="479">
        <v>95</v>
      </c>
      <c r="B199" s="216" t="s">
        <v>1393</v>
      </c>
      <c r="C199" s="215">
        <v>1</v>
      </c>
      <c r="D199" s="422">
        <v>6600</v>
      </c>
      <c r="E199" s="422">
        <f>+C199*D199</f>
        <v>6600</v>
      </c>
      <c r="F199" s="216" t="s">
        <v>614</v>
      </c>
      <c r="G199" s="138" t="s">
        <v>1721</v>
      </c>
    </row>
    <row r="200" spans="1:7" ht="19.5" customHeight="1">
      <c r="A200" s="479">
        <v>96</v>
      </c>
      <c r="B200" s="489" t="s">
        <v>1457</v>
      </c>
      <c r="C200" s="1607">
        <v>200</v>
      </c>
      <c r="D200" s="1608">
        <v>10000</v>
      </c>
      <c r="E200" s="1609">
        <f t="shared" ref="E200:E202" si="5">C200*D200</f>
        <v>2000000</v>
      </c>
      <c r="F200" s="683" t="s">
        <v>532</v>
      </c>
      <c r="G200" s="138" t="s">
        <v>1721</v>
      </c>
    </row>
    <row r="201" spans="1:7" ht="19.5" customHeight="1">
      <c r="A201" s="479">
        <v>97</v>
      </c>
      <c r="B201" s="489" t="s">
        <v>1455</v>
      </c>
      <c r="C201" s="1607">
        <v>100</v>
      </c>
      <c r="D201" s="1608">
        <v>15000</v>
      </c>
      <c r="E201" s="1609">
        <f t="shared" si="5"/>
        <v>1500000</v>
      </c>
      <c r="F201" s="683" t="s">
        <v>532</v>
      </c>
      <c r="G201" s="138" t="s">
        <v>1721</v>
      </c>
    </row>
    <row r="202" spans="1:7" ht="19.5" customHeight="1">
      <c r="A202" s="479">
        <v>98</v>
      </c>
      <c r="B202" s="489" t="s">
        <v>1456</v>
      </c>
      <c r="C202" s="1607">
        <v>100</v>
      </c>
      <c r="D202" s="1608">
        <v>30000</v>
      </c>
      <c r="E202" s="1609">
        <f t="shared" si="5"/>
        <v>3000000</v>
      </c>
      <c r="F202" s="683" t="s">
        <v>532</v>
      </c>
      <c r="G202" s="138" t="s">
        <v>1721</v>
      </c>
    </row>
    <row r="203" spans="1:7">
      <c r="A203" s="479">
        <v>99</v>
      </c>
      <c r="B203" s="1498" t="s">
        <v>1373</v>
      </c>
      <c r="C203" s="1499">
        <v>4</v>
      </c>
      <c r="D203" s="1500">
        <v>3400</v>
      </c>
      <c r="E203" s="1500">
        <v>13600</v>
      </c>
      <c r="F203" s="1498" t="s">
        <v>961</v>
      </c>
      <c r="G203" s="138" t="s">
        <v>1721</v>
      </c>
    </row>
    <row r="204" spans="1:7">
      <c r="A204" s="479">
        <v>100</v>
      </c>
      <c r="B204" s="1498" t="s">
        <v>1374</v>
      </c>
      <c r="C204" s="1499">
        <v>1</v>
      </c>
      <c r="D204" s="1500">
        <v>5400</v>
      </c>
      <c r="E204" s="1500">
        <v>5400</v>
      </c>
      <c r="F204" s="1498" t="s">
        <v>961</v>
      </c>
      <c r="G204" s="138" t="s">
        <v>1721</v>
      </c>
    </row>
    <row r="205" spans="1:7" ht="19.5" customHeight="1">
      <c r="A205" s="1426"/>
      <c r="B205" s="2899" t="s">
        <v>1420</v>
      </c>
      <c r="C205" s="2899"/>
      <c r="D205" s="2899"/>
      <c r="E205" s="2399">
        <f>SUM(E105:E204)</f>
        <v>10309335.609999999</v>
      </c>
      <c r="F205" s="1495"/>
      <c r="G205" s="190"/>
    </row>
    <row r="206" spans="1:7" ht="15" customHeight="1">
      <c r="A206" s="1426"/>
      <c r="B206" s="1495"/>
      <c r="C206" s="1496"/>
      <c r="D206" s="1497"/>
      <c r="E206" s="1497"/>
      <c r="F206" s="1495"/>
      <c r="G206" s="190"/>
    </row>
    <row r="207" spans="1:7">
      <c r="A207" s="1486"/>
      <c r="B207" s="1480" t="s">
        <v>1271</v>
      </c>
      <c r="C207" s="1486"/>
      <c r="D207" s="1486"/>
      <c r="E207" s="1486"/>
      <c r="F207" s="1486"/>
      <c r="G207" s="190"/>
    </row>
    <row r="208" spans="1:7">
      <c r="A208" s="1478" t="s">
        <v>2</v>
      </c>
      <c r="B208" s="1478" t="s">
        <v>3</v>
      </c>
      <c r="C208" s="1478" t="s">
        <v>618</v>
      </c>
      <c r="D208" s="1478" t="s">
        <v>1410</v>
      </c>
      <c r="E208" s="1478" t="s">
        <v>1411</v>
      </c>
      <c r="F208" s="1478" t="s">
        <v>388</v>
      </c>
      <c r="G208" s="190"/>
    </row>
    <row r="209" spans="1:7">
      <c r="A209" s="479">
        <v>1</v>
      </c>
      <c r="B209" s="684" t="s">
        <v>534</v>
      </c>
      <c r="C209" s="1488">
        <v>15</v>
      </c>
      <c r="D209" s="1489">
        <v>7900</v>
      </c>
      <c r="E209" s="588">
        <f>+C209*D209</f>
        <v>118500</v>
      </c>
      <c r="F209" s="683" t="s">
        <v>532</v>
      </c>
      <c r="G209" s="138" t="s">
        <v>1721</v>
      </c>
    </row>
    <row r="210" spans="1:7">
      <c r="A210" s="479">
        <v>2</v>
      </c>
      <c r="B210" s="684" t="s">
        <v>536</v>
      </c>
      <c r="C210" s="1488">
        <v>50</v>
      </c>
      <c r="D210" s="1489">
        <v>4000</v>
      </c>
      <c r="E210" s="588">
        <f>+C210*D210</f>
        <v>200000</v>
      </c>
      <c r="F210" s="683" t="s">
        <v>532</v>
      </c>
      <c r="G210" s="138" t="s">
        <v>1721</v>
      </c>
    </row>
    <row r="211" spans="1:7" s="138" customFormat="1" ht="63">
      <c r="A211" s="215">
        <v>3</v>
      </c>
      <c r="B211" s="487" t="s">
        <v>1190</v>
      </c>
      <c r="C211" s="233">
        <v>1</v>
      </c>
      <c r="D211" s="250">
        <v>9000000</v>
      </c>
      <c r="E211" s="404">
        <f>+C211*D211</f>
        <v>9000000</v>
      </c>
      <c r="F211" s="1477" t="s">
        <v>532</v>
      </c>
      <c r="G211" s="138" t="s">
        <v>1721</v>
      </c>
    </row>
    <row r="212" spans="1:7" s="138" customFormat="1">
      <c r="A212" s="479">
        <v>4</v>
      </c>
      <c r="B212" s="684" t="s">
        <v>537</v>
      </c>
      <c r="C212" s="1488">
        <v>100</v>
      </c>
      <c r="D212" s="1489">
        <v>4000</v>
      </c>
      <c r="E212" s="588">
        <f>+C212*D212</f>
        <v>400000</v>
      </c>
      <c r="F212" s="683" t="s">
        <v>532</v>
      </c>
      <c r="G212" s="138" t="s">
        <v>1721</v>
      </c>
    </row>
    <row r="213" spans="1:7">
      <c r="A213" s="479">
        <v>5</v>
      </c>
      <c r="B213" s="684" t="s">
        <v>538</v>
      </c>
      <c r="C213" s="1488">
        <v>5</v>
      </c>
      <c r="D213" s="1489">
        <v>37000</v>
      </c>
      <c r="E213" s="588">
        <f t="shared" ref="E213:E228" si="6">+C213*D213</f>
        <v>185000</v>
      </c>
      <c r="F213" s="683" t="s">
        <v>532</v>
      </c>
      <c r="G213" s="138" t="s">
        <v>1721</v>
      </c>
    </row>
    <row r="214" spans="1:7">
      <c r="A214" s="215">
        <v>6</v>
      </c>
      <c r="B214" s="684" t="s">
        <v>540</v>
      </c>
      <c r="C214" s="1488">
        <v>20</v>
      </c>
      <c r="D214" s="1489">
        <v>13000</v>
      </c>
      <c r="E214" s="588">
        <f t="shared" si="6"/>
        <v>260000</v>
      </c>
      <c r="F214" s="683" t="s">
        <v>532</v>
      </c>
      <c r="G214" s="138" t="s">
        <v>1721</v>
      </c>
    </row>
    <row r="215" spans="1:7">
      <c r="A215" s="479">
        <v>7</v>
      </c>
      <c r="B215" s="684" t="s">
        <v>748</v>
      </c>
      <c r="C215" s="1488">
        <v>10</v>
      </c>
      <c r="D215" s="1543">
        <v>24000</v>
      </c>
      <c r="E215" s="588">
        <f t="shared" si="6"/>
        <v>240000</v>
      </c>
      <c r="F215" s="683" t="s">
        <v>532</v>
      </c>
      <c r="G215" s="138" t="s">
        <v>1721</v>
      </c>
    </row>
    <row r="216" spans="1:7">
      <c r="A216" s="479">
        <v>8</v>
      </c>
      <c r="B216" s="684" t="s">
        <v>753</v>
      </c>
      <c r="C216" s="1488">
        <v>10</v>
      </c>
      <c r="D216" s="1543">
        <v>6900</v>
      </c>
      <c r="E216" s="588">
        <f t="shared" si="6"/>
        <v>69000</v>
      </c>
      <c r="F216" s="683" t="s">
        <v>532</v>
      </c>
      <c r="G216" s="138" t="s">
        <v>1721</v>
      </c>
    </row>
    <row r="217" spans="1:7">
      <c r="A217" s="215">
        <v>9</v>
      </c>
      <c r="B217" s="684" t="s">
        <v>534</v>
      </c>
      <c r="C217" s="1488">
        <v>10</v>
      </c>
      <c r="D217" s="1543">
        <v>6700</v>
      </c>
      <c r="E217" s="588">
        <f t="shared" si="6"/>
        <v>67000</v>
      </c>
      <c r="F217" s="683" t="s">
        <v>532</v>
      </c>
      <c r="G217" s="138" t="s">
        <v>1721</v>
      </c>
    </row>
    <row r="218" spans="1:7">
      <c r="A218" s="479">
        <v>10</v>
      </c>
      <c r="B218" s="684" t="s">
        <v>754</v>
      </c>
      <c r="C218" s="1488">
        <v>10</v>
      </c>
      <c r="D218" s="1543">
        <v>8100</v>
      </c>
      <c r="E218" s="588">
        <f t="shared" si="6"/>
        <v>81000</v>
      </c>
      <c r="F218" s="683" t="s">
        <v>532</v>
      </c>
      <c r="G218" s="138" t="s">
        <v>1721</v>
      </c>
    </row>
    <row r="219" spans="1:7">
      <c r="A219" s="479">
        <v>11</v>
      </c>
      <c r="B219" s="684" t="s">
        <v>755</v>
      </c>
      <c r="C219" s="1488">
        <v>10</v>
      </c>
      <c r="D219" s="1543">
        <v>10000</v>
      </c>
      <c r="E219" s="588">
        <f t="shared" si="6"/>
        <v>100000</v>
      </c>
      <c r="F219" s="683" t="s">
        <v>532</v>
      </c>
      <c r="G219" s="138" t="s">
        <v>1721</v>
      </c>
    </row>
    <row r="220" spans="1:7">
      <c r="A220" s="215">
        <v>12</v>
      </c>
      <c r="B220" s="684" t="s">
        <v>756</v>
      </c>
      <c r="C220" s="1488">
        <v>30</v>
      </c>
      <c r="D220" s="1543">
        <v>2620</v>
      </c>
      <c r="E220" s="588">
        <f t="shared" si="6"/>
        <v>78600</v>
      </c>
      <c r="F220" s="683" t="s">
        <v>532</v>
      </c>
      <c r="G220" s="138" t="s">
        <v>1721</v>
      </c>
    </row>
    <row r="221" spans="1:7">
      <c r="A221" s="479">
        <v>13</v>
      </c>
      <c r="B221" s="684" t="s">
        <v>759</v>
      </c>
      <c r="C221" s="1488">
        <v>4</v>
      </c>
      <c r="D221" s="1544">
        <v>22000</v>
      </c>
      <c r="E221" s="588">
        <f t="shared" si="6"/>
        <v>88000</v>
      </c>
      <c r="F221" s="683" t="s">
        <v>532</v>
      </c>
      <c r="G221" s="138" t="s">
        <v>1721</v>
      </c>
    </row>
    <row r="222" spans="1:7">
      <c r="A222" s="479">
        <v>14</v>
      </c>
      <c r="B222" s="686" t="s">
        <v>979</v>
      </c>
      <c r="C222" s="1475">
        <v>2</v>
      </c>
      <c r="D222" s="588">
        <v>19973.333333333332</v>
      </c>
      <c r="E222" s="588">
        <f t="shared" si="6"/>
        <v>39946.666666666664</v>
      </c>
      <c r="F222" s="686" t="s">
        <v>584</v>
      </c>
      <c r="G222" s="138" t="s">
        <v>1721</v>
      </c>
    </row>
    <row r="223" spans="1:7">
      <c r="A223" s="215">
        <v>15</v>
      </c>
      <c r="B223" s="686" t="s">
        <v>1029</v>
      </c>
      <c r="C223" s="1475">
        <v>5</v>
      </c>
      <c r="D223" s="588">
        <v>8100</v>
      </c>
      <c r="E223" s="588">
        <f t="shared" si="6"/>
        <v>40500</v>
      </c>
      <c r="F223" s="686" t="s">
        <v>584</v>
      </c>
      <c r="G223" s="138" t="s">
        <v>1721</v>
      </c>
    </row>
    <row r="224" spans="1:7">
      <c r="A224" s="479">
        <v>16</v>
      </c>
      <c r="B224" s="686" t="s">
        <v>966</v>
      </c>
      <c r="C224" s="1475">
        <v>1</v>
      </c>
      <c r="D224" s="588">
        <v>1980</v>
      </c>
      <c r="E224" s="588">
        <f t="shared" si="6"/>
        <v>1980</v>
      </c>
      <c r="F224" s="686" t="s">
        <v>472</v>
      </c>
      <c r="G224" s="138" t="s">
        <v>1721</v>
      </c>
    </row>
    <row r="225" spans="1:7">
      <c r="A225" s="479">
        <v>17</v>
      </c>
      <c r="B225" s="686" t="s">
        <v>971</v>
      </c>
      <c r="C225" s="1475">
        <v>8</v>
      </c>
      <c r="D225" s="588">
        <v>23125</v>
      </c>
      <c r="E225" s="588">
        <f t="shared" si="6"/>
        <v>185000</v>
      </c>
      <c r="F225" s="686" t="s">
        <v>416</v>
      </c>
      <c r="G225" s="138" t="s">
        <v>1721</v>
      </c>
    </row>
    <row r="226" spans="1:7">
      <c r="A226" s="215">
        <v>18</v>
      </c>
      <c r="B226" s="686" t="s">
        <v>973</v>
      </c>
      <c r="C226" s="1475">
        <v>1</v>
      </c>
      <c r="D226" s="588">
        <v>10690</v>
      </c>
      <c r="E226" s="588">
        <f t="shared" si="6"/>
        <v>10690</v>
      </c>
      <c r="F226" s="686" t="s">
        <v>584</v>
      </c>
      <c r="G226" s="138" t="s">
        <v>1721</v>
      </c>
    </row>
    <row r="227" spans="1:7">
      <c r="A227" s="479">
        <v>19</v>
      </c>
      <c r="B227" s="686" t="s">
        <v>976</v>
      </c>
      <c r="C227" s="1475">
        <v>1</v>
      </c>
      <c r="D227" s="588">
        <v>62076.05</v>
      </c>
      <c r="E227" s="588">
        <f t="shared" si="6"/>
        <v>62076.05</v>
      </c>
      <c r="F227" s="684" t="s">
        <v>584</v>
      </c>
      <c r="G227" s="138" t="s">
        <v>1721</v>
      </c>
    </row>
    <row r="228" spans="1:7">
      <c r="A228" s="479">
        <v>20</v>
      </c>
      <c r="B228" s="686" t="s">
        <v>977</v>
      </c>
      <c r="C228" s="1475">
        <v>3</v>
      </c>
      <c r="D228" s="588">
        <v>15943</v>
      </c>
      <c r="E228" s="588">
        <f t="shared" si="6"/>
        <v>47829</v>
      </c>
      <c r="F228" s="686" t="s">
        <v>584</v>
      </c>
      <c r="G228" s="138" t="s">
        <v>1721</v>
      </c>
    </row>
    <row r="229" spans="1:7">
      <c r="A229" s="215">
        <v>21</v>
      </c>
      <c r="B229" s="1498" t="s">
        <v>755</v>
      </c>
      <c r="C229" s="1499">
        <v>10</v>
      </c>
      <c r="D229" s="1500">
        <v>7490</v>
      </c>
      <c r="E229" s="1500">
        <v>74900</v>
      </c>
      <c r="F229" s="1498" t="s">
        <v>584</v>
      </c>
      <c r="G229" s="138" t="s">
        <v>1721</v>
      </c>
    </row>
    <row r="230" spans="1:7">
      <c r="A230" s="479">
        <v>22</v>
      </c>
      <c r="B230" s="1498" t="s">
        <v>1358</v>
      </c>
      <c r="C230" s="1499">
        <v>5</v>
      </c>
      <c r="D230" s="1500">
        <v>5900</v>
      </c>
      <c r="E230" s="1500">
        <v>29500</v>
      </c>
      <c r="F230" s="1498" t="s">
        <v>584</v>
      </c>
      <c r="G230" s="138" t="s">
        <v>1721</v>
      </c>
    </row>
    <row r="231" spans="1:7" s="138" customFormat="1" ht="47.25" customHeight="1">
      <c r="A231" s="479">
        <v>23</v>
      </c>
      <c r="B231" s="1504" t="s">
        <v>1439</v>
      </c>
      <c r="C231" s="1503">
        <v>1</v>
      </c>
      <c r="D231" s="1520">
        <v>10200</v>
      </c>
      <c r="E231" s="1520">
        <v>10200</v>
      </c>
      <c r="F231" s="1502" t="s">
        <v>584</v>
      </c>
      <c r="G231" s="138" t="s">
        <v>1721</v>
      </c>
    </row>
    <row r="232" spans="1:7" s="138" customFormat="1">
      <c r="A232" s="215">
        <v>24</v>
      </c>
      <c r="B232" s="1498" t="s">
        <v>1359</v>
      </c>
      <c r="C232" s="1499">
        <v>1</v>
      </c>
      <c r="D232" s="1500">
        <v>34800</v>
      </c>
      <c r="E232" s="1500">
        <v>34800</v>
      </c>
      <c r="F232" s="1498" t="s">
        <v>584</v>
      </c>
      <c r="G232" s="138" t="s">
        <v>1721</v>
      </c>
    </row>
    <row r="233" spans="1:7" s="138" customFormat="1" ht="42">
      <c r="A233" s="479">
        <v>25</v>
      </c>
      <c r="B233" s="1502" t="s">
        <v>1360</v>
      </c>
      <c r="C233" s="1503">
        <v>1</v>
      </c>
      <c r="D233" s="1520">
        <v>12412</v>
      </c>
      <c r="E233" s="1520">
        <v>12412</v>
      </c>
      <c r="F233" s="1504" t="s">
        <v>1421</v>
      </c>
      <c r="G233" s="138" t="s">
        <v>1721</v>
      </c>
    </row>
    <row r="234" spans="1:7" s="138" customFormat="1">
      <c r="A234" s="479">
        <v>26</v>
      </c>
      <c r="B234" s="1498" t="s">
        <v>1361</v>
      </c>
      <c r="C234" s="1499">
        <v>3</v>
      </c>
      <c r="D234" s="1500">
        <v>9062.9</v>
      </c>
      <c r="E234" s="1500">
        <v>27188.7</v>
      </c>
      <c r="F234" s="1498" t="s">
        <v>1362</v>
      </c>
      <c r="G234" s="138" t="s">
        <v>1721</v>
      </c>
    </row>
    <row r="235" spans="1:7">
      <c r="A235" s="215">
        <v>27</v>
      </c>
      <c r="B235" s="1502" t="s">
        <v>1363</v>
      </c>
      <c r="C235" s="1503">
        <v>3</v>
      </c>
      <c r="D235" s="1520">
        <v>17700</v>
      </c>
      <c r="E235" s="1520">
        <v>53100</v>
      </c>
      <c r="F235" s="1504" t="s">
        <v>1436</v>
      </c>
      <c r="G235" s="138" t="s">
        <v>1721</v>
      </c>
    </row>
    <row r="236" spans="1:7" s="138" customFormat="1">
      <c r="A236" s="479">
        <v>28</v>
      </c>
      <c r="B236" s="1502" t="s">
        <v>1364</v>
      </c>
      <c r="C236" s="1503">
        <v>1</v>
      </c>
      <c r="D236" s="1520">
        <v>7000</v>
      </c>
      <c r="E236" s="1520">
        <v>7000</v>
      </c>
      <c r="F236" s="1504" t="s">
        <v>1436</v>
      </c>
      <c r="G236" s="138" t="s">
        <v>1721</v>
      </c>
    </row>
    <row r="237" spans="1:7" s="138" customFormat="1">
      <c r="A237" s="479">
        <v>29</v>
      </c>
      <c r="B237" s="1502" t="s">
        <v>1365</v>
      </c>
      <c r="C237" s="1503">
        <v>2</v>
      </c>
      <c r="D237" s="1520">
        <v>5300</v>
      </c>
      <c r="E237" s="1520">
        <v>10600</v>
      </c>
      <c r="F237" s="1504" t="s">
        <v>1436</v>
      </c>
      <c r="G237" s="138" t="s">
        <v>1721</v>
      </c>
    </row>
    <row r="238" spans="1:7" s="138" customFormat="1">
      <c r="A238" s="215">
        <v>30</v>
      </c>
      <c r="B238" s="1498" t="s">
        <v>1366</v>
      </c>
      <c r="C238" s="1499">
        <v>1</v>
      </c>
      <c r="D238" s="1500">
        <v>2551955.35</v>
      </c>
      <c r="E238" s="1500">
        <v>2551955.35</v>
      </c>
      <c r="F238" s="1498" t="s">
        <v>888</v>
      </c>
      <c r="G238" s="138" t="s">
        <v>1721</v>
      </c>
    </row>
    <row r="239" spans="1:7">
      <c r="A239" s="479">
        <v>31</v>
      </c>
      <c r="B239" s="1498" t="s">
        <v>969</v>
      </c>
      <c r="C239" s="1499">
        <v>1</v>
      </c>
      <c r="D239" s="1500">
        <v>24500</v>
      </c>
      <c r="E239" s="1500">
        <v>24500</v>
      </c>
      <c r="F239" s="1498" t="s">
        <v>472</v>
      </c>
      <c r="G239" s="138" t="s">
        <v>1721</v>
      </c>
    </row>
    <row r="240" spans="1:7">
      <c r="A240" s="479">
        <v>32</v>
      </c>
      <c r="B240" s="1498" t="s">
        <v>1014</v>
      </c>
      <c r="C240" s="1499">
        <v>1</v>
      </c>
      <c r="D240" s="1500">
        <v>2320</v>
      </c>
      <c r="E240" s="1500">
        <v>2320</v>
      </c>
      <c r="F240" s="1498" t="s">
        <v>472</v>
      </c>
      <c r="G240" s="138" t="s">
        <v>1721</v>
      </c>
    </row>
    <row r="241" spans="1:7">
      <c r="A241" s="215">
        <v>33</v>
      </c>
      <c r="B241" s="1498" t="s">
        <v>466</v>
      </c>
      <c r="C241" s="1499">
        <v>1</v>
      </c>
      <c r="D241" s="1500">
        <v>6900</v>
      </c>
      <c r="E241" s="1500">
        <v>6900</v>
      </c>
      <c r="F241" s="1498" t="s">
        <v>472</v>
      </c>
      <c r="G241" s="138" t="s">
        <v>1721</v>
      </c>
    </row>
    <row r="242" spans="1:7">
      <c r="A242" s="479">
        <v>34</v>
      </c>
      <c r="B242" s="1498" t="s">
        <v>1367</v>
      </c>
      <c r="C242" s="1499">
        <v>2</v>
      </c>
      <c r="D242" s="1500">
        <v>24500</v>
      </c>
      <c r="E242" s="1500">
        <v>49000</v>
      </c>
      <c r="F242" s="1498" t="s">
        <v>962</v>
      </c>
      <c r="G242" s="138" t="s">
        <v>1721</v>
      </c>
    </row>
    <row r="243" spans="1:7">
      <c r="A243" s="479">
        <v>35</v>
      </c>
      <c r="B243" s="1498" t="s">
        <v>1368</v>
      </c>
      <c r="C243" s="1499">
        <v>2</v>
      </c>
      <c r="D243" s="1500">
        <v>2320</v>
      </c>
      <c r="E243" s="1500">
        <v>4640</v>
      </c>
      <c r="F243" s="1498" t="s">
        <v>962</v>
      </c>
      <c r="G243" s="138" t="s">
        <v>1721</v>
      </c>
    </row>
    <row r="244" spans="1:7" ht="42">
      <c r="A244" s="215">
        <v>36</v>
      </c>
      <c r="B244" s="1504" t="s">
        <v>1438</v>
      </c>
      <c r="C244" s="1503">
        <v>1</v>
      </c>
      <c r="D244" s="1520">
        <v>6900</v>
      </c>
      <c r="E244" s="1520">
        <v>6900</v>
      </c>
      <c r="F244" s="1502" t="s">
        <v>962</v>
      </c>
      <c r="G244" s="138" t="s">
        <v>1721</v>
      </c>
    </row>
    <row r="245" spans="1:7" s="138" customFormat="1">
      <c r="A245" s="479">
        <v>37</v>
      </c>
      <c r="B245" s="1502" t="s">
        <v>969</v>
      </c>
      <c r="C245" s="1503">
        <v>3</v>
      </c>
      <c r="D245" s="1520">
        <v>24500</v>
      </c>
      <c r="E245" s="1520">
        <v>73500</v>
      </c>
      <c r="F245" s="1504" t="s">
        <v>1478</v>
      </c>
      <c r="G245" s="138" t="s">
        <v>1721</v>
      </c>
    </row>
    <row r="246" spans="1:7" s="138" customFormat="1">
      <c r="A246" s="479">
        <v>38</v>
      </c>
      <c r="B246" s="1502" t="s">
        <v>1368</v>
      </c>
      <c r="C246" s="1503">
        <v>3</v>
      </c>
      <c r="D246" s="1520">
        <v>2320</v>
      </c>
      <c r="E246" s="1520">
        <v>6960</v>
      </c>
      <c r="F246" s="1504" t="s">
        <v>1478</v>
      </c>
      <c r="G246" s="138" t="s">
        <v>1721</v>
      </c>
    </row>
    <row r="247" spans="1:7" s="138" customFormat="1">
      <c r="A247" s="215">
        <v>39</v>
      </c>
      <c r="B247" s="1502" t="s">
        <v>1369</v>
      </c>
      <c r="C247" s="1503">
        <v>3</v>
      </c>
      <c r="D247" s="1520">
        <v>4850</v>
      </c>
      <c r="E247" s="1520">
        <v>14550</v>
      </c>
      <c r="F247" s="1504" t="s">
        <v>1478</v>
      </c>
      <c r="G247" s="138" t="s">
        <v>1721</v>
      </c>
    </row>
    <row r="248" spans="1:7" s="138" customFormat="1" ht="42">
      <c r="A248" s="479">
        <v>40</v>
      </c>
      <c r="B248" s="1504" t="s">
        <v>1434</v>
      </c>
      <c r="C248" s="1503">
        <v>3</v>
      </c>
      <c r="D248" s="1520">
        <v>24500</v>
      </c>
      <c r="E248" s="1520">
        <v>73500</v>
      </c>
      <c r="F248" s="1502" t="s">
        <v>949</v>
      </c>
      <c r="G248" s="138" t="s">
        <v>1721</v>
      </c>
    </row>
    <row r="249" spans="1:7" s="138" customFormat="1">
      <c r="A249" s="479">
        <v>41</v>
      </c>
      <c r="B249" s="1498" t="s">
        <v>1014</v>
      </c>
      <c r="C249" s="1499">
        <v>3</v>
      </c>
      <c r="D249" s="1500">
        <v>2320</v>
      </c>
      <c r="E249" s="1500">
        <v>6960</v>
      </c>
      <c r="F249" s="1498" t="s">
        <v>949</v>
      </c>
      <c r="G249" s="138" t="s">
        <v>1721</v>
      </c>
    </row>
    <row r="250" spans="1:7">
      <c r="A250" s="215">
        <v>42</v>
      </c>
      <c r="B250" s="1498" t="s">
        <v>1370</v>
      </c>
      <c r="C250" s="1499">
        <v>1</v>
      </c>
      <c r="D250" s="1500">
        <v>7390</v>
      </c>
      <c r="E250" s="1500">
        <v>7390</v>
      </c>
      <c r="F250" s="1498" t="s">
        <v>949</v>
      </c>
      <c r="G250" s="138" t="s">
        <v>1721</v>
      </c>
    </row>
    <row r="251" spans="1:7">
      <c r="A251" s="479">
        <v>43</v>
      </c>
      <c r="B251" s="1498" t="s">
        <v>1371</v>
      </c>
      <c r="C251" s="1499">
        <v>1</v>
      </c>
      <c r="D251" s="1500">
        <v>207954.5</v>
      </c>
      <c r="E251" s="1500">
        <v>207954.5</v>
      </c>
      <c r="F251" s="1498" t="s">
        <v>1372</v>
      </c>
      <c r="G251" s="138" t="s">
        <v>1721</v>
      </c>
    </row>
    <row r="252" spans="1:7">
      <c r="A252" s="479">
        <v>44</v>
      </c>
      <c r="B252" s="1580" t="s">
        <v>1367</v>
      </c>
      <c r="C252" s="1581">
        <v>4</v>
      </c>
      <c r="D252" s="1582">
        <v>23900</v>
      </c>
      <c r="E252" s="1582">
        <v>95600</v>
      </c>
      <c r="F252" s="1580" t="s">
        <v>961</v>
      </c>
      <c r="G252" s="138" t="s">
        <v>1721</v>
      </c>
    </row>
    <row r="253" spans="1:7">
      <c r="A253" s="215">
        <v>45</v>
      </c>
      <c r="B253" s="1498" t="s">
        <v>1014</v>
      </c>
      <c r="C253" s="1499">
        <v>4</v>
      </c>
      <c r="D253" s="1500">
        <v>2320</v>
      </c>
      <c r="E253" s="1500">
        <v>9280</v>
      </c>
      <c r="F253" s="1498" t="s">
        <v>961</v>
      </c>
      <c r="G253" s="138" t="s">
        <v>1721</v>
      </c>
    </row>
    <row r="254" spans="1:7">
      <c r="A254" s="479">
        <v>46</v>
      </c>
      <c r="B254" s="1498" t="s">
        <v>969</v>
      </c>
      <c r="C254" s="1499">
        <v>3</v>
      </c>
      <c r="D254" s="1500">
        <v>21900</v>
      </c>
      <c r="E254" s="1500">
        <v>65700</v>
      </c>
      <c r="F254" s="1498" t="s">
        <v>472</v>
      </c>
      <c r="G254" s="138" t="s">
        <v>1721</v>
      </c>
    </row>
    <row r="255" spans="1:7">
      <c r="A255" s="479">
        <v>47</v>
      </c>
      <c r="B255" s="1498" t="s">
        <v>1014</v>
      </c>
      <c r="C255" s="1499">
        <v>3</v>
      </c>
      <c r="D255" s="1500">
        <v>2150</v>
      </c>
      <c r="E255" s="1500">
        <v>6450</v>
      </c>
      <c r="F255" s="1498" t="s">
        <v>472</v>
      </c>
      <c r="G255" s="138" t="s">
        <v>1721</v>
      </c>
    </row>
    <row r="256" spans="1:7">
      <c r="A256" s="215">
        <v>48</v>
      </c>
      <c r="B256" s="1498" t="s">
        <v>1369</v>
      </c>
      <c r="C256" s="1499">
        <v>1</v>
      </c>
      <c r="D256" s="1500">
        <v>6800</v>
      </c>
      <c r="E256" s="1500">
        <v>6800</v>
      </c>
      <c r="F256" s="1498" t="s">
        <v>472</v>
      </c>
      <c r="G256" s="138" t="s">
        <v>1721</v>
      </c>
    </row>
    <row r="257" spans="1:7">
      <c r="A257" s="479">
        <v>49</v>
      </c>
      <c r="B257" s="1498" t="s">
        <v>1367</v>
      </c>
      <c r="C257" s="1499">
        <v>3</v>
      </c>
      <c r="D257" s="1500">
        <v>21900</v>
      </c>
      <c r="E257" s="1500">
        <v>65700</v>
      </c>
      <c r="F257" s="1498" t="s">
        <v>1375</v>
      </c>
      <c r="G257" s="138" t="s">
        <v>1721</v>
      </c>
    </row>
    <row r="258" spans="1:7">
      <c r="A258" s="479">
        <v>50</v>
      </c>
      <c r="B258" s="1498" t="s">
        <v>1376</v>
      </c>
      <c r="C258" s="1499">
        <v>3</v>
      </c>
      <c r="D258" s="1500">
        <v>2150</v>
      </c>
      <c r="E258" s="1500">
        <v>6450</v>
      </c>
      <c r="F258" s="1498" t="s">
        <v>1375</v>
      </c>
      <c r="G258" s="138" t="s">
        <v>1721</v>
      </c>
    </row>
    <row r="259" spans="1:7">
      <c r="A259" s="215">
        <v>51</v>
      </c>
      <c r="B259" s="1498" t="s">
        <v>1377</v>
      </c>
      <c r="C259" s="1499">
        <v>3</v>
      </c>
      <c r="D259" s="1500">
        <v>4400</v>
      </c>
      <c r="E259" s="1500">
        <v>13200</v>
      </c>
      <c r="F259" s="1498" t="s">
        <v>1375</v>
      </c>
      <c r="G259" s="138" t="s">
        <v>1721</v>
      </c>
    </row>
    <row r="260" spans="1:7" s="138" customFormat="1">
      <c r="A260" s="479">
        <v>52</v>
      </c>
      <c r="B260" s="1763" t="s">
        <v>1433</v>
      </c>
      <c r="C260" s="215">
        <v>12</v>
      </c>
      <c r="D260" s="408">
        <v>40540</v>
      </c>
      <c r="E260" s="408">
        <f>+C260*D260</f>
        <v>486480</v>
      </c>
      <c r="F260" s="216" t="s">
        <v>961</v>
      </c>
      <c r="G260" s="138" t="s">
        <v>1721</v>
      </c>
    </row>
    <row r="261" spans="1:7" ht="44.25" customHeight="1">
      <c r="A261" s="479">
        <v>53</v>
      </c>
      <c r="B261" s="251" t="s">
        <v>1274</v>
      </c>
      <c r="C261" s="233">
        <v>1</v>
      </c>
      <c r="D261" s="403">
        <v>800000</v>
      </c>
      <c r="E261" s="403">
        <v>800000</v>
      </c>
      <c r="F261" s="1477" t="s">
        <v>584</v>
      </c>
      <c r="G261" s="138" t="s">
        <v>1721</v>
      </c>
    </row>
    <row r="262" spans="1:7">
      <c r="A262" s="215">
        <v>54</v>
      </c>
      <c r="B262" s="684" t="s">
        <v>761</v>
      </c>
      <c r="C262" s="1488">
        <v>1</v>
      </c>
      <c r="D262" s="1491">
        <v>24300</v>
      </c>
      <c r="E262" s="588">
        <f t="shared" ref="E262:E272" si="7">+C262*D262</f>
        <v>24300</v>
      </c>
      <c r="F262" s="1477" t="s">
        <v>584</v>
      </c>
      <c r="G262" s="138" t="s">
        <v>1721</v>
      </c>
    </row>
    <row r="263" spans="1:7">
      <c r="A263" s="479">
        <v>55</v>
      </c>
      <c r="B263" s="684" t="s">
        <v>762</v>
      </c>
      <c r="C263" s="1488">
        <v>1</v>
      </c>
      <c r="D263" s="1491">
        <v>10516</v>
      </c>
      <c r="E263" s="588">
        <f t="shared" si="7"/>
        <v>10516</v>
      </c>
      <c r="F263" s="1477" t="s">
        <v>584</v>
      </c>
      <c r="G263" s="138" t="s">
        <v>1721</v>
      </c>
    </row>
    <row r="264" spans="1:7" s="138" customFormat="1" ht="42">
      <c r="A264" s="479">
        <v>56</v>
      </c>
      <c r="B264" s="251" t="s">
        <v>648</v>
      </c>
      <c r="C264" s="490">
        <v>2</v>
      </c>
      <c r="D264" s="405">
        <v>40000</v>
      </c>
      <c r="E264" s="328">
        <f t="shared" si="7"/>
        <v>80000</v>
      </c>
      <c r="F264" s="1477" t="s">
        <v>584</v>
      </c>
      <c r="G264" s="138" t="s">
        <v>1721</v>
      </c>
    </row>
    <row r="265" spans="1:7">
      <c r="A265" s="215">
        <v>57</v>
      </c>
      <c r="B265" s="684" t="s">
        <v>535</v>
      </c>
      <c r="C265" s="1488">
        <v>1</v>
      </c>
      <c r="D265" s="1489">
        <v>29000</v>
      </c>
      <c r="E265" s="588">
        <f t="shared" si="7"/>
        <v>29000</v>
      </c>
      <c r="F265" s="1477" t="s">
        <v>584</v>
      </c>
      <c r="G265" s="138" t="s">
        <v>1721</v>
      </c>
    </row>
    <row r="266" spans="1:7">
      <c r="A266" s="479">
        <v>58</v>
      </c>
      <c r="B266" s="684" t="s">
        <v>752</v>
      </c>
      <c r="C266" s="1488">
        <v>5</v>
      </c>
      <c r="D266" s="1490">
        <v>23000</v>
      </c>
      <c r="E266" s="588">
        <f t="shared" si="7"/>
        <v>115000</v>
      </c>
      <c r="F266" s="1477" t="s">
        <v>584</v>
      </c>
      <c r="G266" s="138" t="s">
        <v>1721</v>
      </c>
    </row>
    <row r="267" spans="1:7">
      <c r="A267" s="479">
        <v>59</v>
      </c>
      <c r="B267" s="684" t="s">
        <v>757</v>
      </c>
      <c r="C267" s="1488">
        <v>10</v>
      </c>
      <c r="D267" s="1490">
        <v>8900</v>
      </c>
      <c r="E267" s="588">
        <f t="shared" si="7"/>
        <v>89000</v>
      </c>
      <c r="F267" s="1477" t="s">
        <v>584</v>
      </c>
      <c r="G267" s="138" t="s">
        <v>1721</v>
      </c>
    </row>
    <row r="268" spans="1:7">
      <c r="A268" s="215">
        <v>60</v>
      </c>
      <c r="B268" s="684" t="s">
        <v>766</v>
      </c>
      <c r="C268" s="1488">
        <v>2</v>
      </c>
      <c r="D268" s="1491">
        <v>919</v>
      </c>
      <c r="E268" s="588">
        <f t="shared" si="7"/>
        <v>1838</v>
      </c>
      <c r="F268" s="1477" t="s">
        <v>584</v>
      </c>
      <c r="G268" s="138" t="s">
        <v>1721</v>
      </c>
    </row>
    <row r="269" spans="1:7">
      <c r="A269" s="479">
        <v>61</v>
      </c>
      <c r="B269" s="684" t="s">
        <v>769</v>
      </c>
      <c r="C269" s="1488">
        <v>2</v>
      </c>
      <c r="D269" s="1491">
        <v>1800</v>
      </c>
      <c r="E269" s="588">
        <f t="shared" si="7"/>
        <v>3600</v>
      </c>
      <c r="F269" s="1477" t="s">
        <v>584</v>
      </c>
      <c r="G269" s="138" t="s">
        <v>1721</v>
      </c>
    </row>
    <row r="270" spans="1:7">
      <c r="A270" s="479">
        <v>62</v>
      </c>
      <c r="B270" s="686" t="s">
        <v>1025</v>
      </c>
      <c r="C270" s="1475">
        <v>6</v>
      </c>
      <c r="D270" s="1476">
        <v>6600</v>
      </c>
      <c r="E270" s="588">
        <f t="shared" si="7"/>
        <v>39600</v>
      </c>
      <c r="F270" s="686" t="s">
        <v>584</v>
      </c>
      <c r="G270" s="138" t="s">
        <v>1721</v>
      </c>
    </row>
    <row r="271" spans="1:7">
      <c r="A271" s="215">
        <v>63</v>
      </c>
      <c r="B271" s="686" t="s">
        <v>1027</v>
      </c>
      <c r="C271" s="1475">
        <v>3</v>
      </c>
      <c r="D271" s="1476">
        <v>2650</v>
      </c>
      <c r="E271" s="588">
        <f t="shared" si="7"/>
        <v>7950</v>
      </c>
      <c r="F271" s="686" t="s">
        <v>584</v>
      </c>
      <c r="G271" s="138" t="s">
        <v>1721</v>
      </c>
    </row>
    <row r="272" spans="1:7">
      <c r="A272" s="479">
        <v>64</v>
      </c>
      <c r="B272" s="688" t="s">
        <v>1184</v>
      </c>
      <c r="C272" s="1475">
        <v>1</v>
      </c>
      <c r="D272" s="1485">
        <v>9000000</v>
      </c>
      <c r="E272" s="1492">
        <f t="shared" si="7"/>
        <v>9000000</v>
      </c>
      <c r="F272" s="683" t="s">
        <v>532</v>
      </c>
      <c r="G272" s="138" t="s">
        <v>1721</v>
      </c>
    </row>
    <row r="273" spans="1:7" s="138" customFormat="1">
      <c r="A273" s="479">
        <v>65</v>
      </c>
      <c r="B273" s="1642" t="s">
        <v>531</v>
      </c>
      <c r="C273" s="233">
        <v>1</v>
      </c>
      <c r="D273" s="403">
        <v>152000</v>
      </c>
      <c r="E273" s="404">
        <v>152000</v>
      </c>
      <c r="F273" s="1477" t="s">
        <v>532</v>
      </c>
      <c r="G273" s="138" t="s">
        <v>1721</v>
      </c>
    </row>
    <row r="274" spans="1:7">
      <c r="A274" s="215">
        <v>66</v>
      </c>
      <c r="B274" s="684" t="s">
        <v>1185</v>
      </c>
      <c r="C274" s="1475">
        <v>1</v>
      </c>
      <c r="D274" s="1493">
        <v>250000</v>
      </c>
      <c r="E274" s="1492">
        <v>250000</v>
      </c>
      <c r="F274" s="683" t="s">
        <v>532</v>
      </c>
      <c r="G274" s="138" t="s">
        <v>1721</v>
      </c>
    </row>
    <row r="275" spans="1:7" ht="257.25" customHeight="1">
      <c r="A275" s="479">
        <v>67</v>
      </c>
      <c r="B275" s="251" t="s">
        <v>747</v>
      </c>
      <c r="C275" s="490">
        <v>1</v>
      </c>
      <c r="D275" s="405">
        <v>5000000</v>
      </c>
      <c r="E275" s="328">
        <f t="shared" ref="E275:E277" si="8">+C275*D275</f>
        <v>5000000</v>
      </c>
      <c r="F275" s="1477" t="s">
        <v>532</v>
      </c>
      <c r="G275" s="138" t="s">
        <v>1721</v>
      </c>
    </row>
    <row r="276" spans="1:7">
      <c r="A276" s="479">
        <v>68</v>
      </c>
      <c r="B276" s="251" t="s">
        <v>1272</v>
      </c>
      <c r="C276" s="490">
        <v>1</v>
      </c>
      <c r="D276" s="481">
        <v>500000</v>
      </c>
      <c r="E276" s="328">
        <f t="shared" si="8"/>
        <v>500000</v>
      </c>
      <c r="F276" s="1477" t="s">
        <v>532</v>
      </c>
      <c r="G276" s="138" t="s">
        <v>1721</v>
      </c>
    </row>
    <row r="277" spans="1:7">
      <c r="A277" s="215">
        <v>69</v>
      </c>
      <c r="B277" s="684" t="s">
        <v>768</v>
      </c>
      <c r="C277" s="1488">
        <v>20</v>
      </c>
      <c r="D277" s="1556">
        <v>2500</v>
      </c>
      <c r="E277" s="588">
        <f t="shared" si="8"/>
        <v>50000</v>
      </c>
      <c r="F277" s="683" t="s">
        <v>532</v>
      </c>
      <c r="G277" s="138" t="s">
        <v>1721</v>
      </c>
    </row>
    <row r="278" spans="1:7">
      <c r="A278" s="479">
        <v>70</v>
      </c>
      <c r="B278" s="684" t="s">
        <v>1432</v>
      </c>
      <c r="C278" s="1488">
        <v>99</v>
      </c>
      <c r="D278" s="1491"/>
      <c r="E278" s="588">
        <v>487920</v>
      </c>
      <c r="F278" s="683" t="s">
        <v>532</v>
      </c>
      <c r="G278" s="138" t="s">
        <v>1721</v>
      </c>
    </row>
    <row r="279" spans="1:7" s="138" customFormat="1" ht="24.75" customHeight="1">
      <c r="A279" s="479">
        <v>71</v>
      </c>
      <c r="B279" s="251" t="s">
        <v>749</v>
      </c>
      <c r="C279" s="490">
        <v>1</v>
      </c>
      <c r="D279" s="454">
        <v>25800</v>
      </c>
      <c r="E279" s="328">
        <f>+C279*D279</f>
        <v>25800</v>
      </c>
      <c r="F279" s="1477" t="s">
        <v>532</v>
      </c>
      <c r="G279" s="138" t="s">
        <v>1721</v>
      </c>
    </row>
    <row r="280" spans="1:7" s="138" customFormat="1" ht="42">
      <c r="A280" s="215">
        <v>72</v>
      </c>
      <c r="B280" s="251" t="s">
        <v>1440</v>
      </c>
      <c r="C280" s="215">
        <v>1</v>
      </c>
      <c r="D280" s="1583">
        <v>4999040</v>
      </c>
      <c r="E280" s="328">
        <f>+C280*D280</f>
        <v>4999040</v>
      </c>
      <c r="F280" s="1477" t="s">
        <v>532</v>
      </c>
      <c r="G280" s="138" t="s">
        <v>1721</v>
      </c>
    </row>
    <row r="281" spans="1:7" ht="23.25">
      <c r="B281" s="2873" t="s">
        <v>1422</v>
      </c>
      <c r="C281" s="2873"/>
      <c r="D281" s="2873"/>
      <c r="E281" s="2400">
        <f>SUM(E209:E280)</f>
        <v>36993076.266666666</v>
      </c>
    </row>
    <row r="282" spans="1:7" ht="11.25" customHeight="1"/>
    <row r="283" spans="1:7">
      <c r="B283" s="2866" t="s">
        <v>1403</v>
      </c>
      <c r="C283" s="2866"/>
      <c r="D283" s="2866"/>
    </row>
    <row r="284" spans="1:7">
      <c r="A284" s="1478" t="s">
        <v>2</v>
      </c>
      <c r="B284" s="1478" t="s">
        <v>3</v>
      </c>
      <c r="C284" s="1478" t="s">
        <v>618</v>
      </c>
      <c r="D284" s="1478" t="s">
        <v>1410</v>
      </c>
      <c r="E284" s="1478" t="s">
        <v>1411</v>
      </c>
      <c r="F284" s="1478" t="s">
        <v>388</v>
      </c>
    </row>
    <row r="285" spans="1:7" ht="42">
      <c r="A285" s="495">
        <v>1</v>
      </c>
      <c r="B285" s="1516" t="s">
        <v>733</v>
      </c>
      <c r="C285" s="495">
        <v>1</v>
      </c>
      <c r="D285" s="328">
        <v>2500000</v>
      </c>
      <c r="E285" s="1517">
        <f>+C285*D285</f>
        <v>2500000</v>
      </c>
      <c r="F285" s="1477" t="s">
        <v>1404</v>
      </c>
      <c r="G285" s="138" t="s">
        <v>1724</v>
      </c>
    </row>
    <row r="286" spans="1:7">
      <c r="B286" s="2871" t="s">
        <v>1423</v>
      </c>
      <c r="C286" s="2871"/>
      <c r="D286" s="2871"/>
      <c r="E286" s="1925">
        <f>SUM(E285)</f>
        <v>2500000</v>
      </c>
    </row>
    <row r="287" spans="1:7">
      <c r="B287" s="1597"/>
      <c r="C287" s="1597"/>
      <c r="D287" s="1597"/>
      <c r="E287" s="1533"/>
    </row>
    <row r="288" spans="1:7">
      <c r="B288" s="2866" t="s">
        <v>1448</v>
      </c>
      <c r="C288" s="2866"/>
      <c r="D288" s="2866"/>
    </row>
    <row r="289" spans="1:7">
      <c r="A289" s="1478" t="s">
        <v>2</v>
      </c>
      <c r="B289" s="1478" t="s">
        <v>3</v>
      </c>
      <c r="C289" s="1478" t="s">
        <v>618</v>
      </c>
      <c r="D289" s="1478" t="s">
        <v>1410</v>
      </c>
      <c r="E289" s="1478" t="s">
        <v>1411</v>
      </c>
      <c r="F289" s="1478" t="s">
        <v>388</v>
      </c>
    </row>
    <row r="290" spans="1:7" s="138" customFormat="1" ht="42">
      <c r="A290" s="215">
        <v>1</v>
      </c>
      <c r="B290" s="260" t="s">
        <v>1510</v>
      </c>
      <c r="C290" s="215">
        <v>1</v>
      </c>
      <c r="D290" s="696">
        <v>33900000</v>
      </c>
      <c r="E290" s="419">
        <f>+C290*D290</f>
        <v>33900000</v>
      </c>
      <c r="F290" s="216" t="s">
        <v>1447</v>
      </c>
    </row>
    <row r="291" spans="1:7" s="138" customFormat="1">
      <c r="A291" s="1601"/>
      <c r="B291" s="2894" t="s">
        <v>1449</v>
      </c>
      <c r="C291" s="2894"/>
      <c r="D291" s="2894"/>
      <c r="E291" s="1926">
        <f>+E290</f>
        <v>33900000</v>
      </c>
      <c r="F291" s="1601"/>
    </row>
    <row r="292" spans="1:7" s="138" customFormat="1">
      <c r="B292" s="1605"/>
      <c r="C292" s="1605"/>
      <c r="D292" s="1605"/>
      <c r="E292" s="1606"/>
    </row>
    <row r="293" spans="1:7">
      <c r="A293" s="2867" t="s">
        <v>1275</v>
      </c>
      <c r="B293" s="2868"/>
      <c r="C293" s="2868"/>
      <c r="D293" s="2868"/>
      <c r="E293" s="2868"/>
      <c r="F293" s="2869"/>
    </row>
    <row r="294" spans="1:7">
      <c r="A294" s="1478" t="s">
        <v>2</v>
      </c>
      <c r="B294" s="1478" t="s">
        <v>3</v>
      </c>
      <c r="C294" s="1478" t="s">
        <v>618</v>
      </c>
      <c r="D294" s="1478" t="s">
        <v>1410</v>
      </c>
      <c r="E294" s="1478" t="s">
        <v>1411</v>
      </c>
      <c r="F294" s="1478" t="s">
        <v>388</v>
      </c>
    </row>
    <row r="295" spans="1:7">
      <c r="A295" s="1488">
        <v>1</v>
      </c>
      <c r="B295" s="684" t="s">
        <v>554</v>
      </c>
      <c r="C295" s="1488">
        <v>1</v>
      </c>
      <c r="D295" s="467">
        <v>5100000</v>
      </c>
      <c r="E295" s="2401">
        <f t="shared" ref="E295:E305" si="9">+C295*D295</f>
        <v>5100000</v>
      </c>
      <c r="F295" s="683" t="s">
        <v>562</v>
      </c>
      <c r="G295" s="19" t="s">
        <v>490</v>
      </c>
    </row>
    <row r="296" spans="1:7" s="138" customFormat="1" ht="42">
      <c r="A296" s="490">
        <v>2</v>
      </c>
      <c r="B296" s="251" t="s">
        <v>555</v>
      </c>
      <c r="C296" s="490">
        <v>1</v>
      </c>
      <c r="D296" s="468">
        <v>2800000</v>
      </c>
      <c r="E296" s="2402">
        <f t="shared" si="9"/>
        <v>2800000</v>
      </c>
      <c r="F296" s="1477" t="s">
        <v>562</v>
      </c>
      <c r="G296" s="19" t="s">
        <v>490</v>
      </c>
    </row>
    <row r="297" spans="1:7">
      <c r="A297" s="1488">
        <v>3</v>
      </c>
      <c r="B297" s="684" t="s">
        <v>556</v>
      </c>
      <c r="C297" s="1488">
        <v>1</v>
      </c>
      <c r="D297" s="467">
        <v>1400000</v>
      </c>
      <c r="E297" s="2401">
        <f t="shared" si="9"/>
        <v>1400000</v>
      </c>
      <c r="F297" s="683" t="s">
        <v>562</v>
      </c>
      <c r="G297" s="19" t="s">
        <v>490</v>
      </c>
    </row>
    <row r="298" spans="1:7">
      <c r="A298" s="1488">
        <v>4</v>
      </c>
      <c r="B298" s="684" t="s">
        <v>557</v>
      </c>
      <c r="C298" s="1488">
        <v>2</v>
      </c>
      <c r="D298" s="467">
        <v>500000</v>
      </c>
      <c r="E298" s="2401">
        <f t="shared" si="9"/>
        <v>1000000</v>
      </c>
      <c r="F298" s="683" t="s">
        <v>562</v>
      </c>
      <c r="G298" s="19" t="s">
        <v>490</v>
      </c>
    </row>
    <row r="299" spans="1:7">
      <c r="A299" s="1488">
        <v>5</v>
      </c>
      <c r="B299" s="684" t="s">
        <v>558</v>
      </c>
      <c r="C299" s="1488">
        <v>2</v>
      </c>
      <c r="D299" s="467">
        <v>370000</v>
      </c>
      <c r="E299" s="2401">
        <f t="shared" si="9"/>
        <v>740000</v>
      </c>
      <c r="F299" s="683" t="s">
        <v>562</v>
      </c>
      <c r="G299" s="19" t="s">
        <v>490</v>
      </c>
    </row>
    <row r="300" spans="1:7">
      <c r="A300" s="1488">
        <v>6</v>
      </c>
      <c r="B300" s="684" t="s">
        <v>1042</v>
      </c>
      <c r="C300" s="1488">
        <v>1</v>
      </c>
      <c r="D300" s="467">
        <v>2200000</v>
      </c>
      <c r="E300" s="2401">
        <f t="shared" si="9"/>
        <v>2200000</v>
      </c>
      <c r="F300" s="683" t="s">
        <v>562</v>
      </c>
      <c r="G300" s="19" t="s">
        <v>490</v>
      </c>
    </row>
    <row r="301" spans="1:7">
      <c r="A301" s="1488">
        <v>7</v>
      </c>
      <c r="B301" s="684" t="s">
        <v>559</v>
      </c>
      <c r="C301" s="1488">
        <v>1</v>
      </c>
      <c r="D301" s="467">
        <v>1800000</v>
      </c>
      <c r="E301" s="2401">
        <f t="shared" si="9"/>
        <v>1800000</v>
      </c>
      <c r="F301" s="683" t="s">
        <v>562</v>
      </c>
      <c r="G301" s="19" t="s">
        <v>490</v>
      </c>
    </row>
    <row r="302" spans="1:7">
      <c r="A302" s="1488">
        <v>8</v>
      </c>
      <c r="B302" s="684" t="s">
        <v>560</v>
      </c>
      <c r="C302" s="1488">
        <v>1</v>
      </c>
      <c r="D302" s="467">
        <v>2000000</v>
      </c>
      <c r="E302" s="2401">
        <f t="shared" si="9"/>
        <v>2000000</v>
      </c>
      <c r="F302" s="683" t="s">
        <v>563</v>
      </c>
      <c r="G302" s="19" t="s">
        <v>490</v>
      </c>
    </row>
    <row r="303" spans="1:7" s="138" customFormat="1">
      <c r="A303" s="490">
        <v>9</v>
      </c>
      <c r="B303" s="251" t="s">
        <v>1032</v>
      </c>
      <c r="C303" s="490">
        <v>1</v>
      </c>
      <c r="D303" s="1764">
        <v>890000</v>
      </c>
      <c r="E303" s="2402">
        <f t="shared" si="9"/>
        <v>890000</v>
      </c>
      <c r="F303" s="1477" t="s">
        <v>562</v>
      </c>
      <c r="G303" s="19" t="s">
        <v>490</v>
      </c>
    </row>
    <row r="304" spans="1:7">
      <c r="A304" s="1488">
        <v>10</v>
      </c>
      <c r="B304" s="684" t="s">
        <v>1033</v>
      </c>
      <c r="C304" s="1488">
        <v>1</v>
      </c>
      <c r="D304" s="1494">
        <v>268000</v>
      </c>
      <c r="E304" s="2401">
        <f t="shared" si="9"/>
        <v>268000</v>
      </c>
      <c r="F304" s="683" t="s">
        <v>562</v>
      </c>
      <c r="G304" s="19" t="s">
        <v>490</v>
      </c>
    </row>
    <row r="305" spans="1:7">
      <c r="A305" s="1488">
        <v>11</v>
      </c>
      <c r="B305" s="684" t="s">
        <v>1034</v>
      </c>
      <c r="C305" s="1488">
        <v>1</v>
      </c>
      <c r="D305" s="1494">
        <v>1832600</v>
      </c>
      <c r="E305" s="467">
        <f t="shared" si="9"/>
        <v>1832600</v>
      </c>
      <c r="F305" s="683" t="s">
        <v>562</v>
      </c>
      <c r="G305" s="19" t="s">
        <v>1722</v>
      </c>
    </row>
    <row r="306" spans="1:7">
      <c r="A306" s="1545"/>
      <c r="B306" s="2864" t="s">
        <v>1424</v>
      </c>
      <c r="C306" s="2864"/>
      <c r="D306" s="2864"/>
      <c r="E306" s="1546">
        <f>SUM(E295:E305)</f>
        <v>20030600</v>
      </c>
      <c r="F306" s="1547"/>
    </row>
    <row r="307" spans="1:7">
      <c r="A307" s="1510"/>
      <c r="B307" s="1548"/>
      <c r="C307" s="1510"/>
      <c r="D307" s="470"/>
      <c r="E307" s="470"/>
      <c r="F307" s="1511"/>
    </row>
    <row r="308" spans="1:7">
      <c r="A308" s="2870" t="s">
        <v>1425</v>
      </c>
      <c r="B308" s="2870"/>
      <c r="C308" s="2870"/>
      <c r="D308" s="2870"/>
      <c r="E308" s="2870"/>
      <c r="F308" s="2870"/>
    </row>
    <row r="309" spans="1:7">
      <c r="A309" s="1478" t="s">
        <v>2</v>
      </c>
      <c r="B309" s="1478" t="s">
        <v>3</v>
      </c>
      <c r="C309" s="1478" t="s">
        <v>618</v>
      </c>
      <c r="D309" s="1478" t="s">
        <v>1410</v>
      </c>
      <c r="E309" s="1478" t="s">
        <v>1411</v>
      </c>
      <c r="F309" s="1478" t="s">
        <v>388</v>
      </c>
    </row>
    <row r="310" spans="1:7">
      <c r="A310" s="1488">
        <v>1</v>
      </c>
      <c r="B310" s="684" t="s">
        <v>561</v>
      </c>
      <c r="C310" s="1488"/>
      <c r="D310" s="467"/>
      <c r="E310" s="467"/>
      <c r="F310" s="683"/>
    </row>
    <row r="311" spans="1:7">
      <c r="A311" s="1512"/>
      <c r="B311" s="684" t="s">
        <v>1030</v>
      </c>
      <c r="C311" s="1481">
        <v>2</v>
      </c>
      <c r="D311" s="1494">
        <v>950000</v>
      </c>
      <c r="E311" s="1494">
        <v>1900000</v>
      </c>
      <c r="F311" s="683" t="s">
        <v>563</v>
      </c>
      <c r="G311" s="19" t="s">
        <v>490</v>
      </c>
    </row>
    <row r="312" spans="1:7">
      <c r="A312" s="1513"/>
      <c r="B312" s="684" t="s">
        <v>1031</v>
      </c>
      <c r="C312" s="1481">
        <v>4</v>
      </c>
      <c r="D312" s="1494">
        <v>585000</v>
      </c>
      <c r="E312" s="1494">
        <v>2340000</v>
      </c>
      <c r="F312" s="683" t="s">
        <v>562</v>
      </c>
      <c r="G312" s="19" t="s">
        <v>1723</v>
      </c>
    </row>
    <row r="313" spans="1:7">
      <c r="A313" s="1510"/>
      <c r="B313" s="2864" t="s">
        <v>1426</v>
      </c>
      <c r="C313" s="2864"/>
      <c r="D313" s="2864"/>
      <c r="E313" s="1514">
        <f>SUM(E311:E312)</f>
        <v>4240000</v>
      </c>
      <c r="F313" s="1511"/>
    </row>
  </sheetData>
  <mergeCells count="15">
    <mergeCell ref="B288:D288"/>
    <mergeCell ref="A1:F1"/>
    <mergeCell ref="B68:D68"/>
    <mergeCell ref="B88:D88"/>
    <mergeCell ref="B96:D96"/>
    <mergeCell ref="B101:D101"/>
    <mergeCell ref="B205:D205"/>
    <mergeCell ref="B281:D281"/>
    <mergeCell ref="B283:D283"/>
    <mergeCell ref="B286:D286"/>
    <mergeCell ref="B291:D291"/>
    <mergeCell ref="A293:F293"/>
    <mergeCell ref="B306:D306"/>
    <mergeCell ref="A308:F308"/>
    <mergeCell ref="B313:D313"/>
  </mergeCells>
  <pageMargins left="0.55000000000000004" right="0.21" top="0.74803149606299213" bottom="0.39370078740157483" header="0.31496062992125984" footer="0.23622047244094491"/>
  <pageSetup paperSize="9" scale="70" firstPageNumber="22" orientation="portrait" useFirstPageNumber="1" horizontalDpi="4294967293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30</vt:i4>
      </vt:variant>
      <vt:variant>
        <vt:lpstr>ช่วงที่มีชื่อ</vt:lpstr>
      </vt:variant>
      <vt:variant>
        <vt:i4>37</vt:i4>
      </vt:variant>
    </vt:vector>
  </HeadingPairs>
  <TitlesOfParts>
    <vt:vector size="67" baseType="lpstr">
      <vt:lpstr>แผนรายรับ-รายจ่ายเงินบำรุง 1ปี</vt:lpstr>
      <vt:lpstr>แผนรายรับ-รายจ่ายเงินบำรุง 3 ปี</vt:lpstr>
      <vt:lpstr>คำนิยาม</vt:lpstr>
      <vt:lpstr>1 ปี (69) </vt:lpstr>
      <vt:lpstr>3ปี</vt:lpstr>
      <vt:lpstr>แผนลงทุน 1ปี </vt:lpstr>
      <vt:lpstr>แผนลงทุน 3 ปี</vt:lpstr>
      <vt:lpstr>รายได้รอการจัดสรร</vt:lpstr>
      <vt:lpstr>ภาระผูกพัน</vt:lpstr>
      <vt:lpstr>ภาระผูกพัน (2)</vt:lpstr>
      <vt:lpstr>สรุป รับ-จ่าย</vt:lpstr>
      <vt:lpstr>ประมาณการรายรับ</vt:lpstr>
      <vt:lpstr>ประมาณการรายจ่าย</vt:lpstr>
      <vt:lpstr>ครุภัณฑ์ แผน 68</vt:lpstr>
      <vt:lpstr>รายการครุภัณฑ์ปรับ</vt:lpstr>
      <vt:lpstr>สิ่งก่อสร้าง (25.10.67)</vt:lpstr>
      <vt:lpstr>รายละเอียดรายจ่าย</vt:lpstr>
      <vt:lpstr>ครุภัณฑ์ (NEW)</vt:lpstr>
      <vt:lpstr>ครุภัณฑ์ (NEW) (แยกหมวด)</vt:lpstr>
      <vt:lpstr>ครุภัณฑ์ (NEW) (การแพทย์)</vt:lpstr>
      <vt:lpstr>ครุภัณฑ์ (NEW) (งานบ้านงานครัว)</vt:lpstr>
      <vt:lpstr>ครุภัณฑ์ (NEW) (สำนักงาน)</vt:lpstr>
      <vt:lpstr>ครุภัณฑ์ (NEW) (ไฟฟ้า)</vt:lpstr>
      <vt:lpstr>ครุภัณฑ์ (NEW) (คอม)</vt:lpstr>
      <vt:lpstr>ครุภัณฑ์ (NEW) (ยานพาหนะ)</vt:lpstr>
      <vt:lpstr>ครุภัณฑ์ (NEW) (อื่นๆ+ค่าเสื่อ)</vt:lpstr>
      <vt:lpstr>สิ่งก่อสร้าง (NEW)</vt:lpstr>
      <vt:lpstr>ครุภัณฑ์(เก่า)</vt:lpstr>
      <vt:lpstr>สิ่งก่อสร้าง (1.10.68)</vt:lpstr>
      <vt:lpstr>ครุภัณฑ์(เก่าผล)</vt:lpstr>
      <vt:lpstr>'1 ปี (69) '!Print_Area</vt:lpstr>
      <vt:lpstr>'3ปี'!Print_Area</vt:lpstr>
      <vt:lpstr>'ครุภัณฑ์ (NEW) (อื่นๆ+ค่าเสื่อ)'!Print_Area</vt:lpstr>
      <vt:lpstr>'ครุภัณฑ์ แผน 68'!Print_Area</vt:lpstr>
      <vt:lpstr>'ครุภัณฑ์(เก่า)'!Print_Area</vt:lpstr>
      <vt:lpstr>'ครุภัณฑ์(เก่าผล)'!Print_Area</vt:lpstr>
      <vt:lpstr>ประมาณการรายจ่าย!Print_Area</vt:lpstr>
      <vt:lpstr>ประมาณการรายรับ!Print_Area</vt:lpstr>
      <vt:lpstr>'แผนรายรับ-รายจ่ายเงินบำรุง 1ปี'!Print_Area</vt:lpstr>
      <vt:lpstr>'แผนรายรับ-รายจ่ายเงินบำรุง 3 ปี'!Print_Area</vt:lpstr>
      <vt:lpstr>'แผนลงทุน 1ปี '!Print_Area</vt:lpstr>
      <vt:lpstr>'แผนลงทุน 3 ปี'!Print_Area</vt:lpstr>
      <vt:lpstr>ภาระผูกพัน!Print_Area</vt:lpstr>
      <vt:lpstr>'ภาระผูกพัน (2)'!Print_Area</vt:lpstr>
      <vt:lpstr>รายการครุภัณฑ์ปรับ!Print_Area</vt:lpstr>
      <vt:lpstr>รายได้รอการจัดสรร!Print_Area</vt:lpstr>
      <vt:lpstr>รายละเอียดรายจ่าย!Print_Area</vt:lpstr>
      <vt:lpstr>'สิ่งก่อสร้าง (1.10.68)'!Print_Area</vt:lpstr>
      <vt:lpstr>'สิ่งก่อสร้าง (25.10.67)'!Print_Area</vt:lpstr>
      <vt:lpstr>'สิ่งก่อสร้าง (NEW)'!Print_Area</vt:lpstr>
      <vt:lpstr>'1 ปี (69) '!Print_Titles</vt:lpstr>
      <vt:lpstr>'3ปี'!Print_Titles</vt:lpstr>
      <vt:lpstr>'ครุภัณฑ์ (NEW) (การแพทย์)'!Print_Titles</vt:lpstr>
      <vt:lpstr>'ครุภัณฑ์ (NEW) (คอม)'!Print_Titles</vt:lpstr>
      <vt:lpstr>'ครุภัณฑ์ (NEW) (งานบ้านงานครัว)'!Print_Titles</vt:lpstr>
      <vt:lpstr>'ครุภัณฑ์ แผน 68'!Print_Titles</vt:lpstr>
      <vt:lpstr>ประมาณการรายจ่าย!Print_Titles</vt:lpstr>
      <vt:lpstr>ประมาณการรายรับ!Print_Titles</vt:lpstr>
      <vt:lpstr>'แผนรายรับ-รายจ่ายเงินบำรุง 1ปี'!Print_Titles</vt:lpstr>
      <vt:lpstr>'แผนรายรับ-รายจ่ายเงินบำรุง 3 ปี'!Print_Titles</vt:lpstr>
      <vt:lpstr>'แผนลงทุน 1ปี '!Print_Titles</vt:lpstr>
      <vt:lpstr>'แผนลงทุน 3 ปี'!Print_Titles</vt:lpstr>
      <vt:lpstr>ภาระผูกพัน!Print_Titles</vt:lpstr>
      <vt:lpstr>'ภาระผูกพัน (2)'!Print_Titles</vt:lpstr>
      <vt:lpstr>รายละเอียดรายจ่าย!Print_Titles</vt:lpstr>
      <vt:lpstr>'สิ่งก่อสร้าง (1.10.68)'!Print_Titles</vt:lpstr>
      <vt:lpstr>'สิ่งก่อสร้าง (25.10.67)'!Print_Titles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Dhes.0004-59</dc:creator>
  <cp:lastModifiedBy>นัดถะณา  โคตรมณี</cp:lastModifiedBy>
  <cp:lastPrinted>2026-05-28T09:28:09Z</cp:lastPrinted>
  <dcterms:created xsi:type="dcterms:W3CDTF">2022-12-15T04:57:35Z</dcterms:created>
  <dcterms:modified xsi:type="dcterms:W3CDTF">2026-05-28T09:28:15Z</dcterms:modified>
</cp:coreProperties>
</file>