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3_ncr:1_{35606BF7-2F55-4926-B651-1C87426F030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แบบฟอร์มที่ 1" sheetId="5" state="hidden" r:id="rId1"/>
    <sheet name="1.เวชภัณฑ์ ยา (2)" sheetId="17" r:id="rId2"/>
    <sheet name="2.เวชภัณฑ์มิใช่ยา" sheetId="7" r:id="rId3"/>
    <sheet name="3.วัสดุการแพทย์" sheetId="8" r:id="rId4"/>
    <sheet name="4.วัสุดวิทยาศาสตร์" sheetId="10" r:id="rId5"/>
    <sheet name="5.วัสดุทั่วไป" sheetId="11" r:id="rId6"/>
    <sheet name="6.เชื้อเพลิง" sheetId="18" r:id="rId7"/>
    <sheet name="7.ช่าง" sheetId="13" r:id="rId8"/>
    <sheet name="8.โภชนาการ" sheetId="14" r:id="rId9"/>
    <sheet name="9.เครื่องแต่งกาย" sheetId="16" r:id="rId10"/>
    <sheet name="รวม" sheetId="19" r:id="rId11"/>
  </sheets>
  <definedNames>
    <definedName name="_xlnm.Print_Area" localSheetId="2">'2.เวชภัณฑ์มิใช่ยา'!$A$1:$I$187</definedName>
    <definedName name="_xlnm.Print_Area" localSheetId="3">'3.วัสดุการแพทย์'!$A$1:$I$73</definedName>
    <definedName name="_xlnm.Print_Area" localSheetId="0">'แบบฟอร์มที่ 1'!$A$1:$I$520</definedName>
    <definedName name="_xlnm.Print_Titles" localSheetId="10">รวม!$1:$2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7" l="1"/>
  <c r="H24" i="7"/>
  <c r="A35" i="8" l="1"/>
  <c r="F29" i="19"/>
  <c r="F17" i="19"/>
  <c r="F16" i="19"/>
  <c r="F12" i="19"/>
  <c r="F37" i="19"/>
  <c r="F36" i="19"/>
  <c r="E34" i="19"/>
  <c r="F34" i="19"/>
  <c r="E35" i="19"/>
  <c r="F35" i="19"/>
  <c r="F33" i="19"/>
  <c r="F24" i="19"/>
  <c r="F25" i="19"/>
  <c r="F26" i="19"/>
  <c r="F27" i="19"/>
  <c r="F28" i="19"/>
  <c r="F23" i="19"/>
  <c r="F3" i="19"/>
  <c r="F38" i="19" l="1"/>
  <c r="G38" i="19"/>
  <c r="H38" i="19"/>
  <c r="I38" i="19"/>
  <c r="J38" i="19"/>
  <c r="K38" i="19"/>
  <c r="E37" i="19"/>
  <c r="E36" i="19"/>
  <c r="E33" i="19"/>
  <c r="E29" i="19"/>
  <c r="E28" i="19"/>
  <c r="E24" i="19"/>
  <c r="E25" i="19"/>
  <c r="E26" i="19"/>
  <c r="E27" i="19"/>
  <c r="E23" i="19"/>
  <c r="E3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G5" i="16"/>
  <c r="H5" i="16"/>
  <c r="I5" i="16"/>
  <c r="F5" i="16"/>
  <c r="D6" i="16"/>
  <c r="E6" i="16"/>
  <c r="C6" i="16"/>
  <c r="C5" i="16"/>
  <c r="B5" i="16"/>
  <c r="G24" i="10"/>
  <c r="G44" i="10" s="1"/>
  <c r="G63" i="10" s="1"/>
  <c r="H24" i="10"/>
  <c r="H44" i="10" s="1"/>
  <c r="H63" i="10" s="1"/>
  <c r="I24" i="10"/>
  <c r="I44" i="10" s="1"/>
  <c r="I63" i="10" s="1"/>
  <c r="F24" i="10"/>
  <c r="F44" i="10" s="1"/>
  <c r="F63" i="10" s="1"/>
  <c r="D25" i="10"/>
  <c r="D45" i="10" s="1"/>
  <c r="D64" i="10" s="1"/>
  <c r="E25" i="10"/>
  <c r="E45" i="10" s="1"/>
  <c r="E64" i="10" s="1"/>
  <c r="C25" i="10"/>
  <c r="C45" i="10" s="1"/>
  <c r="C64" i="10" s="1"/>
  <c r="C24" i="10"/>
  <c r="C44" i="10" s="1"/>
  <c r="C63" i="10" s="1"/>
  <c r="B24" i="10"/>
  <c r="B44" i="10" s="1"/>
  <c r="B63" i="10" s="1"/>
  <c r="A24" i="10"/>
  <c r="A44" i="10" s="1"/>
  <c r="A63" i="10" s="1"/>
  <c r="A18" i="10"/>
  <c r="A36" i="10" s="1"/>
  <c r="A55" i="10" s="1"/>
  <c r="A75" i="10" s="1"/>
  <c r="G24" i="8"/>
  <c r="G42" i="8" s="1"/>
  <c r="G61" i="8" s="1"/>
  <c r="H24" i="8"/>
  <c r="H42" i="8" s="1"/>
  <c r="H61" i="8" s="1"/>
  <c r="I24" i="8"/>
  <c r="I42" i="8" s="1"/>
  <c r="I61" i="8" s="1"/>
  <c r="F24" i="8"/>
  <c r="F42" i="8" s="1"/>
  <c r="F61" i="8" s="1"/>
  <c r="D25" i="8"/>
  <c r="D43" i="8" s="1"/>
  <c r="D62" i="8" s="1"/>
  <c r="E25" i="8"/>
  <c r="E43" i="8" s="1"/>
  <c r="E62" i="8" s="1"/>
  <c r="C25" i="8"/>
  <c r="C43" i="8" s="1"/>
  <c r="C62" i="8" s="1"/>
  <c r="C24" i="8"/>
  <c r="C42" i="8" s="1"/>
  <c r="C61" i="8" s="1"/>
  <c r="B24" i="8"/>
  <c r="B42" i="8" s="1"/>
  <c r="B61" i="8" s="1"/>
  <c r="A24" i="8"/>
  <c r="A42" i="8" s="1"/>
  <c r="A61" i="8" s="1"/>
  <c r="E38" i="19" l="1"/>
  <c r="D38" i="19"/>
  <c r="A53" i="8" l="1"/>
  <c r="A73" i="8" s="1"/>
  <c r="A21" i="8"/>
  <c r="A39" i="8" s="1"/>
  <c r="A58" i="8" s="1"/>
  <c r="A2" i="10" s="1"/>
  <c r="I24" i="7"/>
  <c r="I41" i="7" s="1"/>
  <c r="I60" i="7" s="1"/>
  <c r="I79" i="7" s="1"/>
  <c r="I98" i="7" s="1"/>
  <c r="I118" i="7" s="1"/>
  <c r="I136" i="7" s="1"/>
  <c r="I155" i="7" s="1"/>
  <c r="I174" i="7" s="1"/>
  <c r="H41" i="7"/>
  <c r="H60" i="7" s="1"/>
  <c r="H79" i="7" s="1"/>
  <c r="H98" i="7" s="1"/>
  <c r="H118" i="7" s="1"/>
  <c r="H136" i="7" s="1"/>
  <c r="H155" i="7" s="1"/>
  <c r="H174" i="7" s="1"/>
  <c r="G24" i="7"/>
  <c r="G41" i="7" s="1"/>
  <c r="G60" i="7" s="1"/>
  <c r="G79" i="7" s="1"/>
  <c r="G98" i="7" s="1"/>
  <c r="G118" i="7" s="1"/>
  <c r="G136" i="7" s="1"/>
  <c r="G155" i="7" s="1"/>
  <c r="G174" i="7" s="1"/>
  <c r="F24" i="7"/>
  <c r="F41" i="7" s="1"/>
  <c r="F60" i="7" s="1"/>
  <c r="F79" i="7" s="1"/>
  <c r="F98" i="7" s="1"/>
  <c r="F118" i="7" s="1"/>
  <c r="F136" i="7" s="1"/>
  <c r="F155" i="7" s="1"/>
  <c r="F174" i="7" s="1"/>
  <c r="E25" i="7"/>
  <c r="E42" i="7" s="1"/>
  <c r="E61" i="7" s="1"/>
  <c r="E80" i="7" s="1"/>
  <c r="E99" i="7" s="1"/>
  <c r="E119" i="7" s="1"/>
  <c r="E137" i="7" s="1"/>
  <c r="E156" i="7" s="1"/>
  <c r="E175" i="7" s="1"/>
  <c r="D25" i="7"/>
  <c r="D42" i="7" s="1"/>
  <c r="D61" i="7" s="1"/>
  <c r="D80" i="7" s="1"/>
  <c r="D99" i="7" s="1"/>
  <c r="D119" i="7" s="1"/>
  <c r="D137" i="7" s="1"/>
  <c r="D156" i="7" s="1"/>
  <c r="D175" i="7" s="1"/>
  <c r="C25" i="7"/>
  <c r="C42" i="7" s="1"/>
  <c r="C61" i="7" s="1"/>
  <c r="C80" i="7" s="1"/>
  <c r="C99" i="7" s="1"/>
  <c r="C119" i="7" s="1"/>
  <c r="C137" i="7" s="1"/>
  <c r="C156" i="7" s="1"/>
  <c r="C175" i="7" s="1"/>
  <c r="C24" i="7"/>
  <c r="C41" i="7" s="1"/>
  <c r="C60" i="7" s="1"/>
  <c r="C79" i="7" s="1"/>
  <c r="C98" i="7" s="1"/>
  <c r="C118" i="7" s="1"/>
  <c r="C136" i="7" s="1"/>
  <c r="C155" i="7" s="1"/>
  <c r="C174" i="7" s="1"/>
  <c r="B24" i="7"/>
  <c r="B60" i="7" s="1"/>
  <c r="B79" i="7" s="1"/>
  <c r="B98" i="7" s="1"/>
  <c r="B118" i="7" s="1"/>
  <c r="B136" i="7" s="1"/>
  <c r="B155" i="7" s="1"/>
  <c r="B174" i="7" s="1"/>
  <c r="A24" i="7"/>
  <c r="A41" i="7" s="1"/>
  <c r="A60" i="7" s="1"/>
  <c r="A79" i="7" s="1"/>
  <c r="A98" i="7" s="1"/>
  <c r="A118" i="7" s="1"/>
  <c r="A136" i="7" s="1"/>
  <c r="A155" i="7" s="1"/>
  <c r="A174" i="7" s="1"/>
  <c r="A3" i="7"/>
  <c r="A22" i="7" s="1"/>
  <c r="A39" i="7" s="1"/>
  <c r="A58" i="7" s="1"/>
  <c r="A77" i="7" s="1"/>
  <c r="A96" i="7" s="1"/>
  <c r="A116" i="7" s="1"/>
  <c r="A134" i="7" s="1"/>
  <c r="A153" i="7" s="1"/>
  <c r="A172" i="7" s="1"/>
  <c r="A3" i="8" s="1"/>
  <c r="A22" i="8" s="1"/>
  <c r="A40" i="8" s="1"/>
  <c r="A59" i="8" s="1"/>
  <c r="A3" i="10" s="1"/>
  <c r="A1" i="7"/>
  <c r="A20" i="7" s="1"/>
  <c r="A37" i="7" s="1"/>
  <c r="A56" i="7" s="1"/>
  <c r="A75" i="7" s="1"/>
  <c r="A94" i="7" s="1"/>
  <c r="A114" i="7" s="1"/>
  <c r="A132" i="7" s="1"/>
  <c r="A151" i="7" s="1"/>
  <c r="A170" i="7" s="1"/>
  <c r="A1" i="8" s="1"/>
  <c r="A20" i="8" s="1"/>
  <c r="A38" i="8" s="1"/>
  <c r="A57" i="8" s="1"/>
  <c r="A1" i="10" s="1"/>
  <c r="A22" i="10" l="1"/>
  <c r="A42" i="10" s="1"/>
  <c r="A61" i="10" s="1"/>
  <c r="A3" i="11"/>
  <c r="A3" i="18" s="1"/>
  <c r="A3" i="13" s="1"/>
  <c r="A3" i="14" s="1"/>
  <c r="A3" i="16" s="1"/>
  <c r="A20" i="10"/>
  <c r="A40" i="10" s="1"/>
  <c r="A59" i="10" s="1"/>
  <c r="A1" i="11"/>
  <c r="A1" i="18" s="1"/>
  <c r="A1" i="13" s="1"/>
  <c r="A1" i="14" s="1"/>
  <c r="A1" i="16" s="1"/>
  <c r="A21" i="10"/>
  <c r="A41" i="10" s="1"/>
  <c r="A60" i="10" s="1"/>
  <c r="A2" i="11"/>
  <c r="A2" i="18" s="1"/>
  <c r="A2" i="13" s="1"/>
  <c r="A2" i="14" s="1"/>
  <c r="A2" i="16" s="1"/>
  <c r="C37" i="19"/>
  <c r="C36" i="19"/>
  <c r="C34" i="19"/>
  <c r="C35" i="19"/>
  <c r="C33" i="19"/>
  <c r="C32" i="19"/>
  <c r="C30" i="19"/>
  <c r="C31" i="19"/>
  <c r="C29" i="19"/>
  <c r="C27" i="19"/>
  <c r="C26" i="19"/>
  <c r="C25" i="19"/>
  <c r="C24" i="19"/>
  <c r="C23" i="19"/>
  <c r="C18" i="19"/>
  <c r="C17" i="19"/>
  <c r="C16" i="19"/>
  <c r="C15" i="19"/>
  <c r="C14" i="19"/>
  <c r="C13" i="19" l="1"/>
  <c r="C12" i="19"/>
  <c r="C11" i="19"/>
  <c r="C10" i="19"/>
  <c r="C9" i="19"/>
  <c r="C8" i="19"/>
  <c r="C7" i="19"/>
  <c r="C6" i="19"/>
  <c r="C5" i="19"/>
  <c r="C4" i="19"/>
  <c r="C3" i="19"/>
  <c r="C20" i="19"/>
  <c r="C19" i="19"/>
  <c r="C21" i="19"/>
  <c r="C22" i="19"/>
  <c r="E510" i="5" l="1"/>
</calcChain>
</file>

<file path=xl/sharedStrings.xml><?xml version="1.0" encoding="utf-8"?>
<sst xmlns="http://schemas.openxmlformats.org/spreadsheetml/2006/main" count="1258" uniqueCount="159">
  <si>
    <t>ลำดับ</t>
  </si>
  <si>
    <t>และ</t>
  </si>
  <si>
    <t>ตั้งแผนเงินบำรุง</t>
  </si>
  <si>
    <t>เงินเหลือ (+) (บาท)</t>
  </si>
  <si>
    <t>วัสดุคงเหลือ</t>
  </si>
  <si>
    <t>จำนวนผู้ใช้บริการ</t>
  </si>
  <si>
    <t>ตั้งแผน</t>
  </si>
  <si>
    <t>หมายเหตุ</t>
  </si>
  <si>
    <t>ที่</t>
  </si>
  <si>
    <t>รวมทั้งหมด (บาท)</t>
  </si>
  <si>
    <t>เกินแผน (-) (บาท)</t>
  </si>
  <si>
    <t>มีผู้ใช้บริการ</t>
  </si>
  <si>
    <t>ลงชื่อ</t>
  </si>
  <si>
    <t>(หัวหน้าฝ่าย/กลุ่มงาน/งาน)</t>
  </si>
  <si>
    <t xml:space="preserve"> /                  / </t>
  </si>
  <si>
    <r>
      <t>เหตุผลประกอบคำขอตั้ง (ถ้ามี)</t>
    </r>
    <r>
      <rPr>
        <sz val="16"/>
        <rFont val="TH SarabunPSK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</si>
  <si>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</si>
  <si>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</si>
  <si>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</si>
  <si>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ประเภทวัสดุ…………………</t>
  </si>
  <si>
    <t>ประเภทวัสดุ ยา</t>
  </si>
  <si>
    <t xml:space="preserve"> -</t>
  </si>
  <si>
    <t>ประเภทวัสดุ เวชภัณฑ์ทั่วไป</t>
  </si>
  <si>
    <t>ประเภทวัสดุ ว.การแพทย์</t>
  </si>
  <si>
    <t>ประเภทวัสดุ ว.เภสัช</t>
  </si>
  <si>
    <t>ประเภทวัสดุ OR</t>
  </si>
  <si>
    <t>ประเภทวัสดุ เฝือก</t>
  </si>
  <si>
    <t xml:space="preserve">ประเภทวัสดุ เวชศาสตร์ฟื้นฟู
</t>
  </si>
  <si>
    <t>ประเภทวัสดุ ทันตกรรม</t>
  </si>
  <si>
    <t>ประเภทวัสดุ จักษุ</t>
  </si>
  <si>
    <t>ประเภทวัสดุ เอ็กซเรย์</t>
  </si>
  <si>
    <t>ประเภทวัสดุ LAB</t>
  </si>
  <si>
    <t>ประเภทวัสดุ B.B</t>
  </si>
  <si>
    <t>ประเภทวัสดุ แก๊ส LPG</t>
  </si>
  <si>
    <t>ประเภทวัสดุ อ๊อกซิเจนเหลว</t>
  </si>
  <si>
    <t>ประเภทวัสดุ อ๊อกซิเจนถัง</t>
  </si>
  <si>
    <t>ประเภทวัสดุ เชื้อเพลิงรถยนต์</t>
  </si>
  <si>
    <t>ประเภทวัสดุ เชื้อเพลิงช่าง</t>
  </si>
  <si>
    <t>ประเภทวัสดุ ไตเทียม</t>
  </si>
  <si>
    <t>ประเภทวัสดุ หู คอ จมูก</t>
  </si>
  <si>
    <t>ประเภทวัสดุ โภชนศาสตร์</t>
  </si>
  <si>
    <t>ประเภทวัสดุ ตรวจสวนหัวใจ</t>
  </si>
  <si>
    <t>ประเภทวัสดุ ครุภัณฑ์</t>
  </si>
  <si>
    <t xml:space="preserve"> +</t>
  </si>
  <si>
    <t xml:space="preserve">ประเภทวัสดุ วิสัญญี
</t>
  </si>
  <si>
    <t xml:space="preserve">คาดว่าปีงบฯ 2562  </t>
  </si>
  <si>
    <t>ปีงบฯ 2562 (บาท)</t>
  </si>
  <si>
    <t>(มิ.ย.61)</t>
  </si>
  <si>
    <t xml:space="preserve">*** กรุณาส่งคืน  ก.ยุทธศาสตร์และแผนงานโครงการ   ภายในวันที่  31 กรกฎาคม 2561 </t>
  </si>
  <si>
    <r>
      <t>เหตุผลประกอบคำขอตั้ง (ถ้ามี)</t>
    </r>
    <r>
      <rPr>
        <sz val="16"/>
        <rFont val="TH SarabunPSK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</si>
  <si>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</si>
  <si>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สรุปแผนการใช้เงินบำรุง หมวดค่าวัสดุ ปีงบประมาณ 2562</t>
  </si>
  <si>
    <t>ตั้งแผนเงินบำรุง หมวดค่าวัสดุ ปีงบประมาณ 2563</t>
  </si>
  <si>
    <t>ยอดสั่งปีงบ 2562</t>
  </si>
  <si>
    <t>ณ มิ.ย. 2562(บาท)</t>
  </si>
  <si>
    <t>ปีงบฯ 2562</t>
  </si>
  <si>
    <t xml:space="preserve">คาดว่าปีงบฯ 2563  </t>
  </si>
  <si>
    <t>ปีงบฯ 2563 (บาท)</t>
  </si>
  <si>
    <t>ปีงบฯ 2562  (บาท)</t>
  </si>
  <si>
    <t xml:space="preserve">คาดว่าปีงบฯ 2563 </t>
  </si>
  <si>
    <t>ปีงบฯ 2563(บาท)</t>
  </si>
  <si>
    <t>ประเภทวัสดุ งานบ้าน+น้ำดื่ม</t>
  </si>
  <si>
    <t>ประเภท เครื่องแต่งกาย (ซักฟอกและตัดเย็บ)</t>
  </si>
  <si>
    <t>ยอดสั่งปีงบ 256</t>
  </si>
  <si>
    <t>ณ พ.ค. 2562(บาท)</t>
  </si>
  <si>
    <t>ณ พ.ค.2562(บาท)</t>
  </si>
  <si>
    <t>ปีงบฯ 2562(บาท)</t>
  </si>
  <si>
    <t>ประเภทวัสดุ ค่าวัสุดไฟฟ้า</t>
  </si>
  <si>
    <t>ประเภทวัสดุ สำนักงาน</t>
  </si>
  <si>
    <t>ประเภทวัสดุ ค่าอืนๆ</t>
  </si>
  <si>
    <t>ประเภทวัสดุ เวชภัณฑ์การพยาบาล</t>
  </si>
  <si>
    <t>ประเภทวัสดุ ช่าง</t>
  </si>
  <si>
    <t>ประเภทวัสดุ วัสดุทั่วไป</t>
  </si>
  <si>
    <t>ประเภทวัสดุ</t>
  </si>
  <si>
    <t>แบบพิมพ์</t>
  </si>
  <si>
    <t>อื่นๆ</t>
  </si>
  <si>
    <t>ยานพาหนะ</t>
  </si>
  <si>
    <t>ลำดับที่</t>
  </si>
  <si>
    <t>ประเภทวัสดุ เชื้อเพลิง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</si>
  <si>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</si>
  <si>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</si>
  <si>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</si>
  <si>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</si>
  <si>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</si>
  <si>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</si>
  <si>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ประเภทวัสดุ  พยาธิกายวิภาค</t>
  </si>
  <si>
    <t>ประเภทวัสดุ โสต ศอ นาสิก ลาริงซ์</t>
  </si>
  <si>
    <t>ประเภทวัสดุ เวชภัณฑ์เภสัช</t>
  </si>
  <si>
    <t>ประเภทวัสดุ การแพทย์ผ่าตัด</t>
  </si>
  <si>
    <t>ประเภทวัสดุ ออกซิเจนเหลว</t>
  </si>
  <si>
    <t>ประเภทวัสดุ ธนาคารเลือด</t>
  </si>
  <si>
    <t>ประเภทวัสดุ เวชศาสตร์ฟื้นฟู</t>
  </si>
  <si>
    <t>ประเภทวัสดุ วิสัญญี</t>
  </si>
  <si>
    <t>ประเภทวัสดุ วัสดุการแพทย์ (ซ่อม)</t>
  </si>
  <si>
    <t>Lab (โควิด)</t>
  </si>
  <si>
    <t>วัสดุคอมพิวเตอร์</t>
  </si>
  <si>
    <t>เวชภัณฑ์การพยาบาล</t>
  </si>
  <si>
    <t>เฝือก</t>
  </si>
  <si>
    <t>เวชศาสตร์ฟื้นฟู</t>
  </si>
  <si>
    <t>ประเภทหมวดวัสดุ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</si>
  <si>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</si>
  <si>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</si>
  <si>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</si>
  <si>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</si>
  <si>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</si>
  <si>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</si>
  <si>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</si>
  <si>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</si>
  <si>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</si>
  <si>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ทันตกรรม</t>
  </si>
  <si>
    <t>ออกซิเจนเหลว</t>
  </si>
  <si>
    <t>ธนาคารเลือด</t>
  </si>
  <si>
    <t>พยาธิกายวิภาค</t>
  </si>
  <si>
    <t>โภชนศาสตร์</t>
  </si>
  <si>
    <t>เครื่องแต่งกาย 
(ซักฟอกและตัดเย็บ)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</si>
  <si>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</si>
  <si>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r>
      <t>เหตุผลประกอบคำขอตั้ง (ถ้ามี)</t>
    </r>
    <r>
      <rPr>
        <sz val="16"/>
        <rFont val="TH Sarabun New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</si>
  <si>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>เหตุผลประกอบคำขอตั้ง (ถ้ามี)</t>
    </r>
    <r>
      <rPr>
        <sz val="16"/>
        <rFont val="TH Sarabun New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</si>
  <si>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</si>
  <si>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r>
      <t>เหตุผลประกอบคำขอตั้ง (ถ้ามี)</t>
    </r>
    <r>
      <rPr>
        <sz val="16"/>
        <rFont val="TH Sarabun New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</si>
  <si>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</si>
  <si>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</si>
  <si>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</si>
  <si>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ผลการดำเนินงาน
ปีงบฯ 2565</t>
  </si>
  <si>
    <t>วัสดุคงคลัง
 (บาท)</t>
  </si>
  <si>
    <t>ค่าวัสดุสำนักงาน</t>
  </si>
  <si>
    <t>งานบ้าน+น้ำดื่ม</t>
  </si>
  <si>
    <t>เหตุผลประกอบคำขอตั้ง (ถ้ามี)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</si>
  <si>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>ก่อหนี้/ยังไม่ตรวจรับ</t>
  </si>
  <si>
    <t>วัสดุโฆษณาและเผยแพร่</t>
  </si>
  <si>
    <t>LAB (ทั่วไป)</t>
  </si>
  <si>
    <t>ยอดเงิน
คงเหลือ (บาท)</t>
  </si>
  <si>
    <t>ประเภทวัสดุ ยา + ยาเอกซเรย์</t>
  </si>
  <si>
    <t>เจ้าหนี้คงค้าง</t>
  </si>
  <si>
    <t>ลงวันที่            ส.ค.  พ.ศ.  2567</t>
  </si>
  <si>
    <t>ผลการดำเนินงาน ณ 30 มิ.ย. 2567 (บาท)</t>
  </si>
  <si>
    <t xml:space="preserve"> ประเภทวัสดุ เอกซเรย์ (เวชภัณฑ์+intervention)</t>
  </si>
  <si>
    <t>ยา+ยาเอกซเรย์</t>
  </si>
  <si>
    <t>แผน ปีงบฯ 2567 
(บาท)</t>
  </si>
  <si>
    <t xml:space="preserve">รวมรายจ่าย (บาท)
(1+2+3) </t>
  </si>
  <si>
    <t>เอกซเรย์ (เวชภัณฑ์+intervention)</t>
  </si>
  <si>
    <t>เบิกจ่ายแล้ว
(บาท)
(1)</t>
  </si>
  <si>
    <t>เจ้าหนี้คงค้าง
(บาท)
(2)</t>
  </si>
  <si>
    <t>ก่อหนี้/ยังไม่ตรวจรับ
(บาท)
(3)</t>
  </si>
  <si>
    <t>เหตุผลประกอบคำขอตั้ง (ถ้ามี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</si>
  <si>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เบิกจ่ายแล้ว</t>
  </si>
  <si>
    <t>สรุปแผนการใช้เงินบำรุง หมวดค่าวัสดุ ปีงบประมาณ 2568  (ต.ค67- มิ.ย.68)</t>
  </si>
  <si>
    <t>คำขอตั้งปรับแผนเงินบำรุง  หมวดค่าวัสดุ ประจำปีงบประมาณ 2569</t>
  </si>
  <si>
    <t>แผนปีงบฯ 2568
(บาท)</t>
  </si>
  <si>
    <t>คำขอตั้งแผน 
ปีงบฯ 2569 (บาท)</t>
  </si>
  <si>
    <t>ลงวันที่            ส.ค.  พ.ศ.  2568</t>
  </si>
  <si>
    <t>*** กรุณาส่งคืน  ก.ยุทธศาสตร์และแผนงานโครงการ   ภายในวันที่  15 สิงหาคม 2568</t>
  </si>
  <si>
    <t>ผลการดำเนินงาน ณ 30 มิ.ย. 2568 (บาท)</t>
  </si>
  <si>
    <t>*** กรุณาส่งคืน  ก.ยุทธศาสตร์และแผนงานโครงการ   ภายในวันที่ 15 สิงหาคม 2568</t>
  </si>
  <si>
    <t>*** กรุณาส่งคืน  ก.ยุทธศาสตร์และแผนงานโครงการ   ภายในวันที่ 15  สิงหาคม 2568</t>
  </si>
  <si>
    <t>*** กรุณาส่งคืน  ก.ยุทธศาสตร์และแผนงานโครงการ   ภายในวันที่  15 สิงหาคม 2567</t>
  </si>
  <si>
    <t>แผน
ปีงบฯ 2568
(บาท)</t>
  </si>
  <si>
    <t>*** กรุณาส่งคืน  ก.ยุทธศาสตร์และแผนงานโครงการ   ภายในวันที่  15 สิงหาคม  2568</t>
  </si>
  <si>
    <t>สรุปแผนการใช้เงินบำรุง หมวดค่าวัสดุ ปีงบประมาณ 2568  (ต.ค67- มิ.ย.68) และ คำขอตั้งปรับแผนเงินเงินบำรุง  หมวดค่าวัสดุ ประจำปีงบประมาณ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</si>
</sst>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87" formatCode="#,##0.00_ ;\-#,##0.00&quot; &quot;"/>
    <numFmt numFmtId="188" formatCode="#,##0.00_ ;\-#,##0.00\ "/>
  </numFmts>
  <fonts count="55">
    <font>
      <sz val="16"/>
      <name val="Cordia New"/>
      <charset val="222"/>
    </font>
    <font>
      <sz val="16"/>
      <name val="Cordia New"/>
      <family val="2"/>
    </font>
    <font>
      <sz val="8"/>
      <name val="Cordia New"/>
      <family val="2"/>
    </font>
    <font>
      <b/>
      <sz val="18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"/>
      <name val="Cordia New"/>
      <family val="2"/>
    </font>
    <font>
      <sz val="20"/>
      <name val="BrowalliaUPC"/>
      <family val="2"/>
      <charset val="222"/>
    </font>
    <font>
      <sz val="14"/>
      <name val="BrowalliaUPC"/>
      <family val="2"/>
      <charset val="222"/>
    </font>
    <font>
      <i/>
      <sz val="13"/>
      <name val="PSL Irene"/>
      <family val="1"/>
      <charset val="222"/>
    </font>
    <font>
      <sz val="16"/>
      <name val="Cordia New"/>
      <family val="2"/>
    </font>
    <font>
      <sz val="16"/>
      <name val="BrowalliaUPC"/>
      <family val="2"/>
      <charset val="222"/>
    </font>
    <font>
      <b/>
      <sz val="14"/>
      <name val="BrowalliaUPC"/>
      <family val="2"/>
      <charset val="222"/>
    </font>
    <font>
      <b/>
      <sz val="20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sz val="18"/>
      <name val="TH SarabunPSK"/>
      <family val="2"/>
    </font>
    <font>
      <b/>
      <sz val="22"/>
      <name val="TH SarabunPSK"/>
      <family val="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6"/>
      <name val="Cordia New"/>
      <family val="2"/>
    </font>
    <font>
      <sz val="10"/>
      <name val="Arial"/>
      <family val="2"/>
    </font>
    <font>
      <sz val="10"/>
      <name val="TH SarabunPSK"/>
      <family val="2"/>
    </font>
    <font>
      <b/>
      <sz val="18"/>
      <color rgb="FFFF0000"/>
      <name val="TH SarabunPSK"/>
      <family val="2"/>
    </font>
    <font>
      <sz val="16"/>
      <name val="Cordia New"/>
      <family val="2"/>
    </font>
    <font>
      <b/>
      <sz val="22"/>
      <name val="TH Sarabun New"/>
      <family val="2"/>
    </font>
    <font>
      <b/>
      <sz val="18"/>
      <name val="TH Sarabun New"/>
      <family val="2"/>
    </font>
    <font>
      <sz val="14"/>
      <name val="TH Sarabun New"/>
      <family val="2"/>
    </font>
    <font>
      <b/>
      <sz val="20"/>
      <name val="TH Sarabun New"/>
      <family val="2"/>
    </font>
    <font>
      <sz val="20"/>
      <name val="TH Sarabun New"/>
      <family val="2"/>
    </font>
    <font>
      <b/>
      <sz val="14"/>
      <name val="TH Sarabun New"/>
      <family val="2"/>
    </font>
    <font>
      <b/>
      <sz val="16"/>
      <name val="TH Sarabun New"/>
      <family val="2"/>
    </font>
    <font>
      <i/>
      <sz val="13"/>
      <name val="TH Sarabun New"/>
      <family val="2"/>
    </font>
    <font>
      <sz val="16"/>
      <name val="TH Sarabun New"/>
      <family val="2"/>
    </font>
    <font>
      <b/>
      <u/>
      <sz val="14"/>
      <name val="TH Sarabun New"/>
      <family val="2"/>
    </font>
    <font>
      <sz val="18"/>
      <name val="TH Sarabun New"/>
      <family val="2"/>
    </font>
    <font>
      <i/>
      <sz val="16"/>
      <name val="TH Sarabun New"/>
      <family val="2"/>
    </font>
    <font>
      <b/>
      <sz val="18"/>
      <color rgb="FFFF0000"/>
      <name val="TH Sarabun New"/>
      <family val="2"/>
    </font>
  </fonts>
  <fills count="2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20" fillId="5" borderId="0" applyNumberFormat="0" applyBorder="0" applyAlignment="0" applyProtection="0"/>
    <xf numFmtId="0" fontId="20" fillId="7" borderId="0" applyNumberFormat="0" applyBorder="0" applyAlignment="0" applyProtection="0"/>
    <xf numFmtId="0" fontId="20" fillId="6" borderId="0" applyNumberFormat="0" applyBorder="0" applyAlignment="0" applyProtection="0"/>
    <xf numFmtId="0" fontId="20" fillId="8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1" fillId="0" borderId="0"/>
    <xf numFmtId="0" fontId="22" fillId="10" borderId="1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21" borderId="2" applyNumberFormat="0" applyAlignment="0" applyProtection="0"/>
    <xf numFmtId="0" fontId="27" fillId="0" borderId="5" applyNumberFormat="0" applyFill="0" applyAlignment="0" applyProtection="0"/>
    <xf numFmtId="0" fontId="28" fillId="6" borderId="0" applyNumberFormat="0" applyBorder="0" applyAlignment="0" applyProtection="0"/>
    <xf numFmtId="0" fontId="19" fillId="0" borderId="0"/>
    <xf numFmtId="0" fontId="6" fillId="0" borderId="0"/>
    <xf numFmtId="0" fontId="29" fillId="3" borderId="1" applyNumberFormat="0" applyAlignment="0" applyProtection="0"/>
    <xf numFmtId="0" fontId="30" fillId="11" borderId="0" applyNumberFormat="0" applyBorder="0" applyAlignment="0" applyProtection="0"/>
    <xf numFmtId="0" fontId="31" fillId="0" borderId="6" applyNumberFormat="0" applyFill="0" applyAlignment="0" applyProtection="0"/>
    <xf numFmtId="0" fontId="32" fillId="7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20" borderId="0" applyNumberFormat="0" applyBorder="0" applyAlignment="0" applyProtection="0"/>
    <xf numFmtId="0" fontId="33" fillId="10" borderId="4" applyNumberFormat="0" applyAlignment="0" applyProtection="0"/>
    <xf numFmtId="0" fontId="10" fillId="4" borderId="3" applyNumberFormat="0" applyFont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43" fontId="41" fillId="0" borderId="0" applyFont="0" applyFill="0" applyBorder="0" applyAlignment="0" applyProtection="0"/>
  </cellStyleXfs>
  <cellXfs count="263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" fontId="7" fillId="0" borderId="0" xfId="38" applyNumberFormat="1" applyFont="1" applyAlignment="1">
      <alignment horizontal="center" vertical="center"/>
    </xf>
    <xf numFmtId="4" fontId="8" fillId="0" borderId="0" xfId="38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1" fillId="0" borderId="0" xfId="38" applyNumberFormat="1" applyFont="1" applyAlignment="1">
      <alignment horizontal="center"/>
    </xf>
    <xf numFmtId="4" fontId="11" fillId="0" borderId="0" xfId="38" applyNumberFormat="1" applyFont="1" applyAlignment="1">
      <alignment horizontal="center" vertical="center"/>
    </xf>
    <xf numFmtId="4" fontId="12" fillId="0" borderId="0" xfId="38" applyNumberFormat="1" applyFont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4" fillId="24" borderId="10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14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 vertical="center"/>
    </xf>
    <xf numFmtId="0" fontId="4" fillId="24" borderId="1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" fontId="14" fillId="0" borderId="0" xfId="38" applyNumberFormat="1" applyFont="1" applyAlignment="1">
      <alignment horizontal="left" vertical="center"/>
    </xf>
    <xf numFmtId="4" fontId="15" fillId="0" borderId="0" xfId="38" applyNumberFormat="1" applyFont="1" applyAlignment="1">
      <alignment horizontal="center" vertical="center"/>
    </xf>
    <xf numFmtId="4" fontId="16" fillId="0" borderId="0" xfId="38" applyNumberFormat="1" applyFont="1"/>
    <xf numFmtId="4" fontId="4" fillId="0" borderId="0" xfId="38" applyNumberFormat="1" applyFont="1" applyAlignment="1">
      <alignment horizontal="left" vertical="center"/>
    </xf>
    <xf numFmtId="43" fontId="4" fillId="0" borderId="0" xfId="38" applyNumberFormat="1" applyFont="1" applyAlignment="1">
      <alignment horizontal="center" vertical="center"/>
    </xf>
    <xf numFmtId="43" fontId="17" fillId="0" borderId="0" xfId="38" applyNumberFormat="1" applyFont="1" applyAlignment="1">
      <alignment horizontal="center" vertical="center"/>
    </xf>
    <xf numFmtId="43" fontId="15" fillId="0" borderId="0" xfId="38" applyNumberFormat="1" applyFont="1" applyAlignment="1">
      <alignment horizontal="right" vertical="center"/>
    </xf>
    <xf numFmtId="4" fontId="5" fillId="0" borderId="0" xfId="38" applyNumberFormat="1" applyFont="1" applyAlignment="1">
      <alignment horizontal="center" vertical="center"/>
    </xf>
    <xf numFmtId="4" fontId="3" fillId="0" borderId="0" xfId="38" applyNumberFormat="1" applyFont="1" applyAlignment="1">
      <alignment horizontal="left" vertical="center"/>
    </xf>
    <xf numFmtId="4" fontId="5" fillId="0" borderId="0" xfId="38" applyNumberFormat="1" applyFont="1" applyAlignment="1">
      <alignment horizontal="right"/>
    </xf>
    <xf numFmtId="4" fontId="15" fillId="0" borderId="15" xfId="38" applyNumberFormat="1" applyFont="1" applyBorder="1" applyAlignment="1">
      <alignment horizontal="center" vertical="center"/>
    </xf>
    <xf numFmtId="4" fontId="5" fillId="0" borderId="15" xfId="38" applyNumberFormat="1" applyFont="1" applyBorder="1" applyAlignment="1">
      <alignment horizontal="right"/>
    </xf>
    <xf numFmtId="4" fontId="5" fillId="0" borderId="0" xfId="38" applyNumberFormat="1" applyFont="1"/>
    <xf numFmtId="4" fontId="14" fillId="0" borderId="0" xfId="38" applyNumberFormat="1" applyFont="1" applyAlignment="1">
      <alignment horizontal="center" vertical="center"/>
    </xf>
    <xf numFmtId="4" fontId="5" fillId="0" borderId="0" xfId="38" applyNumberFormat="1" applyFont="1" applyAlignment="1">
      <alignment horizontal="center"/>
    </xf>
    <xf numFmtId="4" fontId="18" fillId="0" borderId="0" xfId="38" applyNumberFormat="1" applyFont="1" applyAlignment="1">
      <alignment horizontal="right" vertical="center"/>
    </xf>
    <xf numFmtId="43" fontId="15" fillId="0" borderId="0" xfId="38" applyNumberFormat="1" applyFont="1" applyAlignment="1">
      <alignment horizontal="center" vertical="center"/>
    </xf>
    <xf numFmtId="3" fontId="5" fillId="0" borderId="16" xfId="38" applyNumberFormat="1" applyFont="1" applyBorder="1" applyAlignment="1">
      <alignment horizontal="center" vertical="center"/>
    </xf>
    <xf numFmtId="4" fontId="5" fillId="0" borderId="16" xfId="38" applyNumberFormat="1" applyFont="1" applyBorder="1" applyAlignment="1">
      <alignment horizontal="center" vertical="center"/>
    </xf>
    <xf numFmtId="0" fontId="4" fillId="24" borderId="17" xfId="0" applyFont="1" applyFill="1" applyBorder="1" applyAlignment="1">
      <alignment horizontal="center" vertical="center"/>
    </xf>
    <xf numFmtId="4" fontId="5" fillId="24" borderId="16" xfId="38" applyNumberFormat="1" applyFont="1" applyFill="1" applyBorder="1" applyAlignment="1">
      <alignment horizontal="center" vertical="center"/>
    </xf>
    <xf numFmtId="4" fontId="5" fillId="24" borderId="16" xfId="38" applyNumberFormat="1" applyFont="1" applyFill="1" applyBorder="1" applyAlignment="1">
      <alignment horizontal="right" vertical="center"/>
    </xf>
    <xf numFmtId="43" fontId="5" fillId="0" borderId="0" xfId="38" applyNumberFormat="1" applyFont="1" applyAlignment="1">
      <alignment horizontal="center" vertical="center"/>
    </xf>
    <xf numFmtId="4" fontId="3" fillId="0" borderId="0" xfId="38" applyNumberFormat="1" applyFont="1" applyAlignment="1">
      <alignment horizontal="center" vertical="center"/>
    </xf>
    <xf numFmtId="4" fontId="3" fillId="0" borderId="15" xfId="38" applyNumberFormat="1" applyFont="1" applyBorder="1" applyAlignment="1">
      <alignment horizontal="center" vertical="center"/>
    </xf>
    <xf numFmtId="4" fontId="5" fillId="0" borderId="11" xfId="38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43" fontId="5" fillId="0" borderId="16" xfId="29" applyFont="1" applyFill="1" applyBorder="1" applyAlignment="1">
      <alignment vertical="center"/>
    </xf>
    <xf numFmtId="43" fontId="5" fillId="0" borderId="16" xfId="31" applyFont="1" applyFill="1" applyBorder="1" applyAlignment="1">
      <alignment vertical="center"/>
    </xf>
    <xf numFmtId="4" fontId="11" fillId="0" borderId="16" xfId="38" applyNumberFormat="1" applyFont="1" applyBorder="1" applyAlignment="1">
      <alignment horizontal="center" vertical="center"/>
    </xf>
    <xf numFmtId="43" fontId="5" fillId="0" borderId="16" xfId="32" applyFont="1" applyFill="1" applyBorder="1" applyAlignment="1">
      <alignment vertical="center"/>
    </xf>
    <xf numFmtId="43" fontId="5" fillId="0" borderId="16" xfId="23" applyFont="1" applyFill="1" applyBorder="1" applyAlignment="1">
      <alignment vertical="center"/>
    </xf>
    <xf numFmtId="43" fontId="5" fillId="0" borderId="16" xfId="24" applyFont="1" applyFill="1" applyBorder="1" applyAlignment="1">
      <alignment vertical="center"/>
    </xf>
    <xf numFmtId="43" fontId="5" fillId="0" borderId="16" xfId="25" applyFont="1" applyFill="1" applyBorder="1" applyAlignment="1">
      <alignment vertical="center"/>
    </xf>
    <xf numFmtId="43" fontId="5" fillId="0" borderId="16" xfId="26" applyFont="1" applyFill="1" applyBorder="1" applyAlignment="1">
      <alignment horizontal="center" vertical="center"/>
    </xf>
    <xf numFmtId="43" fontId="5" fillId="0" borderId="16" xfId="27" applyFont="1" applyFill="1" applyBorder="1" applyAlignment="1">
      <alignment horizontal="center" vertical="center"/>
    </xf>
    <xf numFmtId="4" fontId="5" fillId="24" borderId="16" xfId="38" applyNumberFormat="1" applyFont="1" applyFill="1" applyBorder="1" applyAlignment="1">
      <alignment horizontal="center" vertical="center" wrapText="1"/>
    </xf>
    <xf numFmtId="4" fontId="39" fillId="24" borderId="16" xfId="38" applyNumberFormat="1" applyFont="1" applyFill="1" applyBorder="1" applyAlignment="1">
      <alignment horizontal="left" vertical="center" wrapText="1"/>
    </xf>
    <xf numFmtId="4" fontId="5" fillId="0" borderId="11" xfId="38" applyNumberFormat="1" applyFont="1" applyBorder="1" applyAlignment="1">
      <alignment horizontal="center" vertical="center" wrapText="1"/>
    </xf>
    <xf numFmtId="3" fontId="5" fillId="0" borderId="0" xfId="38" applyNumberFormat="1" applyFont="1" applyAlignment="1">
      <alignment horizontal="center" vertical="center"/>
    </xf>
    <xf numFmtId="4" fontId="5" fillId="0" borderId="0" xfId="38" applyNumberFormat="1" applyFont="1" applyAlignment="1">
      <alignment horizontal="center" vertical="center" wrapText="1"/>
    </xf>
    <xf numFmtId="4" fontId="5" fillId="24" borderId="0" xfId="38" applyNumberFormat="1" applyFont="1" applyFill="1" applyAlignment="1">
      <alignment horizontal="center" vertical="center"/>
    </xf>
    <xf numFmtId="4" fontId="5" fillId="24" borderId="0" xfId="38" applyNumberFormat="1" applyFont="1" applyFill="1" applyAlignment="1">
      <alignment horizontal="right" vertical="center"/>
    </xf>
    <xf numFmtId="43" fontId="5" fillId="0" borderId="16" xfId="3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left" vertical="center"/>
    </xf>
    <xf numFmtId="4" fontId="3" fillId="0" borderId="0" xfId="38" applyNumberFormat="1" applyFont="1" applyAlignment="1">
      <alignment vertical="center"/>
    </xf>
    <xf numFmtId="43" fontId="5" fillId="0" borderId="16" xfId="28" applyFont="1" applyFill="1" applyBorder="1" applyAlignment="1">
      <alignment horizontal="center" vertical="center"/>
    </xf>
    <xf numFmtId="4" fontId="42" fillId="0" borderId="0" xfId="38" applyNumberFormat="1" applyFont="1" applyAlignment="1">
      <alignment horizontal="right" vertical="center"/>
    </xf>
    <xf numFmtId="4" fontId="43" fillId="0" borderId="0" xfId="38" applyNumberFormat="1" applyFont="1" applyAlignment="1">
      <alignment horizontal="left" vertical="center"/>
    </xf>
    <xf numFmtId="4" fontId="43" fillId="0" borderId="0" xfId="38" applyNumberFormat="1" applyFont="1" applyAlignment="1">
      <alignment horizontal="center" vertical="center"/>
    </xf>
    <xf numFmtId="43" fontId="44" fillId="0" borderId="0" xfId="38" applyNumberFormat="1" applyFont="1" applyAlignment="1">
      <alignment horizontal="center" vertical="center"/>
    </xf>
    <xf numFmtId="43" fontId="44" fillId="0" borderId="0" xfId="38" applyNumberFormat="1" applyFont="1" applyAlignment="1">
      <alignment horizontal="right" vertical="center"/>
    </xf>
    <xf numFmtId="4" fontId="44" fillId="0" borderId="0" xfId="38" applyNumberFormat="1" applyFont="1" applyAlignment="1">
      <alignment horizontal="center" vertical="center"/>
    </xf>
    <xf numFmtId="4" fontId="46" fillId="0" borderId="0" xfId="38" applyNumberFormat="1" applyFont="1" applyAlignment="1">
      <alignment horizontal="center" vertical="center"/>
    </xf>
    <xf numFmtId="4" fontId="47" fillId="0" borderId="0" xfId="38" applyNumberFormat="1" applyFont="1" applyAlignment="1">
      <alignment horizontal="left" vertical="center"/>
    </xf>
    <xf numFmtId="0" fontId="43" fillId="0" borderId="15" xfId="0" applyFont="1" applyBorder="1" applyAlignment="1">
      <alignment horizontal="left" vertical="center"/>
    </xf>
    <xf numFmtId="4" fontId="43" fillId="0" borderId="15" xfId="38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3" fontId="50" fillId="0" borderId="16" xfId="38" applyNumberFormat="1" applyFont="1" applyBorder="1" applyAlignment="1">
      <alignment horizontal="center" vertical="center"/>
    </xf>
    <xf numFmtId="4" fontId="50" fillId="0" borderId="16" xfId="38" applyNumberFormat="1" applyFont="1" applyBorder="1" applyAlignment="1">
      <alignment horizontal="center" vertical="center"/>
    </xf>
    <xf numFmtId="4" fontId="50" fillId="0" borderId="11" xfId="38" applyNumberFormat="1" applyFont="1" applyBorder="1" applyAlignment="1">
      <alignment horizontal="center" vertical="center" wrapText="1"/>
    </xf>
    <xf numFmtId="4" fontId="50" fillId="0" borderId="16" xfId="38" quotePrefix="1" applyNumberFormat="1" applyFont="1" applyBorder="1" applyAlignment="1">
      <alignment horizontal="center" vertical="center"/>
    </xf>
    <xf numFmtId="4" fontId="50" fillId="24" borderId="16" xfId="38" applyNumberFormat="1" applyFont="1" applyFill="1" applyBorder="1" applyAlignment="1">
      <alignment horizontal="center" vertical="center"/>
    </xf>
    <xf numFmtId="4" fontId="50" fillId="24" borderId="16" xfId="38" applyNumberFormat="1" applyFont="1" applyFill="1" applyBorder="1" applyAlignment="1">
      <alignment horizontal="center" vertical="center" wrapText="1"/>
    </xf>
    <xf numFmtId="4" fontId="50" fillId="24" borderId="16" xfId="38" applyNumberFormat="1" applyFont="1" applyFill="1" applyBorder="1" applyAlignment="1">
      <alignment horizontal="right" vertical="center"/>
    </xf>
    <xf numFmtId="4" fontId="50" fillId="0" borderId="0" xfId="38" applyNumberFormat="1" applyFont="1" applyAlignment="1">
      <alignment horizontal="center" vertical="center"/>
    </xf>
    <xf numFmtId="4" fontId="51" fillId="0" borderId="0" xfId="38" applyNumberFormat="1" applyFont="1"/>
    <xf numFmtId="4" fontId="48" fillId="0" borderId="0" xfId="38" applyNumberFormat="1" applyFont="1" applyAlignment="1">
      <alignment horizontal="left" vertical="center"/>
    </xf>
    <xf numFmtId="43" fontId="48" fillId="0" borderId="0" xfId="38" applyNumberFormat="1" applyFont="1" applyAlignment="1">
      <alignment horizontal="center" vertical="center"/>
    </xf>
    <xf numFmtId="43" fontId="50" fillId="0" borderId="0" xfId="38" applyNumberFormat="1" applyFont="1" applyAlignment="1">
      <alignment horizontal="center" vertical="center"/>
    </xf>
    <xf numFmtId="43" fontId="52" fillId="0" borderId="0" xfId="38" applyNumberFormat="1" applyFont="1" applyAlignment="1">
      <alignment horizontal="center" vertical="center"/>
    </xf>
    <xf numFmtId="43" fontId="44" fillId="0" borderId="0" xfId="38" applyNumberFormat="1" applyFont="1" applyAlignment="1">
      <alignment horizontal="left" vertical="center"/>
    </xf>
    <xf numFmtId="4" fontId="50" fillId="0" borderId="0" xfId="38" applyNumberFormat="1" applyFont="1" applyAlignment="1">
      <alignment horizontal="center"/>
    </xf>
    <xf numFmtId="4" fontId="50" fillId="0" borderId="0" xfId="38" applyNumberFormat="1" applyFont="1" applyAlignment="1">
      <alignment horizontal="right"/>
    </xf>
    <xf numFmtId="4" fontId="44" fillId="0" borderId="15" xfId="38" applyNumberFormat="1" applyFont="1" applyBorder="1" applyAlignment="1">
      <alignment horizontal="center" vertical="center"/>
    </xf>
    <xf numFmtId="4" fontId="50" fillId="0" borderId="15" xfId="38" applyNumberFormat="1" applyFont="1" applyBorder="1" applyAlignment="1">
      <alignment horizontal="right"/>
    </xf>
    <xf numFmtId="4" fontId="50" fillId="0" borderId="0" xfId="38" applyNumberFormat="1" applyFont="1"/>
    <xf numFmtId="4" fontId="47" fillId="0" borderId="0" xfId="38" applyNumberFormat="1" applyFont="1" applyAlignment="1">
      <alignment horizontal="center" vertical="center"/>
    </xf>
    <xf numFmtId="4" fontId="50" fillId="0" borderId="11" xfId="38" applyNumberFormat="1" applyFont="1" applyBorder="1" applyAlignment="1">
      <alignment horizontal="center" vertical="center"/>
    </xf>
    <xf numFmtId="3" fontId="50" fillId="0" borderId="11" xfId="38" applyNumberFormat="1" applyFont="1" applyBorder="1" applyAlignment="1">
      <alignment horizontal="center" vertical="center"/>
    </xf>
    <xf numFmtId="43" fontId="50" fillId="0" borderId="16" xfId="25" applyFont="1" applyFill="1" applyBorder="1" applyAlignment="1">
      <alignment vertical="center"/>
    </xf>
    <xf numFmtId="43" fontId="50" fillId="0" borderId="16" xfId="38" quotePrefix="1" applyNumberFormat="1" applyFont="1" applyBorder="1" applyAlignment="1">
      <alignment horizontal="center" vertical="center"/>
    </xf>
    <xf numFmtId="4" fontId="43" fillId="0" borderId="0" xfId="38" applyNumberFormat="1" applyFont="1" applyAlignment="1">
      <alignment vertical="center"/>
    </xf>
    <xf numFmtId="43" fontId="50" fillId="24" borderId="16" xfId="55" applyFont="1" applyFill="1" applyBorder="1" applyAlignment="1">
      <alignment horizontal="right" vertical="center"/>
    </xf>
    <xf numFmtId="3" fontId="50" fillId="24" borderId="16" xfId="38" applyNumberFormat="1" applyFont="1" applyFill="1" applyBorder="1" applyAlignment="1">
      <alignment horizontal="center" vertical="center"/>
    </xf>
    <xf numFmtId="3" fontId="50" fillId="0" borderId="0" xfId="38" applyNumberFormat="1" applyFont="1" applyAlignment="1">
      <alignment horizontal="center" vertical="center"/>
    </xf>
    <xf numFmtId="4" fontId="50" fillId="0" borderId="0" xfId="38" applyNumberFormat="1" applyFont="1" applyAlignment="1">
      <alignment horizontal="center" vertical="center" wrapText="1"/>
    </xf>
    <xf numFmtId="4" fontId="50" fillId="24" borderId="0" xfId="38" applyNumberFormat="1" applyFont="1" applyFill="1" applyAlignment="1">
      <alignment horizontal="center" vertical="center"/>
    </xf>
    <xf numFmtId="4" fontId="50" fillId="24" borderId="0" xfId="38" applyNumberFormat="1" applyFont="1" applyFill="1" applyAlignment="1">
      <alignment horizontal="right" vertical="center"/>
    </xf>
    <xf numFmtId="43" fontId="50" fillId="0" borderId="16" xfId="27" applyFont="1" applyFill="1" applyBorder="1" applyAlignment="1">
      <alignment horizontal="center" vertical="center"/>
    </xf>
    <xf numFmtId="187" fontId="50" fillId="0" borderId="16" xfId="31" applyNumberFormat="1" applyFont="1" applyFill="1" applyBorder="1" applyAlignment="1">
      <alignment horizontal="center" vertical="center"/>
    </xf>
    <xf numFmtId="43" fontId="50" fillId="0" borderId="16" xfId="29" applyFont="1" applyFill="1" applyBorder="1" applyAlignment="1">
      <alignment vertical="center"/>
    </xf>
    <xf numFmtId="43" fontId="50" fillId="0" borderId="16" xfId="23" applyFont="1" applyFill="1" applyBorder="1" applyAlignment="1">
      <alignment vertical="center"/>
    </xf>
    <xf numFmtId="187" fontId="50" fillId="0" borderId="16" xfId="23" applyNumberFormat="1" applyFont="1" applyFill="1" applyBorder="1" applyAlignment="1">
      <alignment horizontal="center" vertical="center"/>
    </xf>
    <xf numFmtId="43" fontId="50" fillId="24" borderId="16" xfId="55" applyFont="1" applyFill="1" applyBorder="1" applyAlignment="1">
      <alignment horizontal="center" vertical="center"/>
    </xf>
    <xf numFmtId="0" fontId="50" fillId="0" borderId="16" xfId="0" applyFont="1" applyBorder="1" applyAlignment="1">
      <alignment horizontal="left" vertical="center"/>
    </xf>
    <xf numFmtId="4" fontId="50" fillId="0" borderId="16" xfId="0" applyNumberFormat="1" applyFont="1" applyBorder="1" applyAlignment="1">
      <alignment horizontal="center" vertical="center"/>
    </xf>
    <xf numFmtId="3" fontId="50" fillId="0" borderId="16" xfId="38" applyNumberFormat="1" applyFont="1" applyBorder="1" applyAlignment="1">
      <alignment horizontal="left" vertical="center"/>
    </xf>
    <xf numFmtId="3" fontId="50" fillId="0" borderId="0" xfId="38" applyNumberFormat="1" applyFont="1" applyAlignment="1">
      <alignment horizontal="left" vertical="center"/>
    </xf>
    <xf numFmtId="43" fontId="50" fillId="0" borderId="0" xfId="0" applyNumberFormat="1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43" fontId="50" fillId="24" borderId="0" xfId="55" applyFont="1" applyFill="1" applyBorder="1" applyAlignment="1">
      <alignment horizontal="center" vertical="center"/>
    </xf>
    <xf numFmtId="41" fontId="50" fillId="0" borderId="16" xfId="0" applyNumberFormat="1" applyFont="1" applyBorder="1" applyAlignment="1">
      <alignment horizontal="center" vertical="center"/>
    </xf>
    <xf numFmtId="4" fontId="51" fillId="0" borderId="0" xfId="38" applyNumberFormat="1" applyFont="1" applyAlignment="1">
      <alignment horizontal="center"/>
    </xf>
    <xf numFmtId="4" fontId="48" fillId="0" borderId="0" xfId="38" applyNumberFormat="1" applyFont="1" applyAlignment="1">
      <alignment horizontal="center" vertical="center"/>
    </xf>
    <xf numFmtId="4" fontId="50" fillId="0" borderId="16" xfId="38" applyNumberFormat="1" applyFont="1" applyBorder="1" applyAlignment="1">
      <alignment vertical="center"/>
    </xf>
    <xf numFmtId="4" fontId="50" fillId="0" borderId="16" xfId="38" quotePrefix="1" applyNumberFormat="1" applyFont="1" applyBorder="1" applyAlignment="1">
      <alignment vertical="center"/>
    </xf>
    <xf numFmtId="4" fontId="50" fillId="24" borderId="16" xfId="38" applyNumberFormat="1" applyFont="1" applyFill="1" applyBorder="1" applyAlignment="1">
      <alignment vertical="center"/>
    </xf>
    <xf numFmtId="4" fontId="50" fillId="0" borderId="16" xfId="38" applyNumberFormat="1" applyFont="1" applyBorder="1" applyAlignment="1">
      <alignment horizontal="right" vertical="center"/>
    </xf>
    <xf numFmtId="3" fontId="50" fillId="24" borderId="16" xfId="38" applyNumberFormat="1" applyFont="1" applyFill="1" applyBorder="1" applyAlignment="1">
      <alignment horizontal="center" vertical="center" wrapText="1"/>
    </xf>
    <xf numFmtId="3" fontId="50" fillId="24" borderId="16" xfId="55" applyNumberFormat="1" applyFont="1" applyFill="1" applyBorder="1" applyAlignment="1">
      <alignment horizontal="center" vertical="center" wrapText="1"/>
    </xf>
    <xf numFmtId="3" fontId="50" fillId="0" borderId="16" xfId="38" applyNumberFormat="1" applyFont="1" applyBorder="1" applyAlignment="1">
      <alignment horizontal="right" vertical="center"/>
    </xf>
    <xf numFmtId="3" fontId="50" fillId="0" borderId="16" xfId="24" applyNumberFormat="1" applyFont="1" applyFill="1" applyBorder="1" applyAlignment="1">
      <alignment horizontal="right" vertical="center"/>
    </xf>
    <xf numFmtId="0" fontId="53" fillId="0" borderId="0" xfId="0" applyFont="1" applyAlignment="1">
      <alignment horizontal="center" vertical="center"/>
    </xf>
    <xf numFmtId="3" fontId="50" fillId="0" borderId="16" xfId="30" applyNumberFormat="1" applyFont="1" applyFill="1" applyBorder="1" applyAlignment="1">
      <alignment horizontal="right" vertical="center"/>
    </xf>
    <xf numFmtId="3" fontId="50" fillId="0" borderId="16" xfId="28" applyNumberFormat="1" applyFont="1" applyFill="1" applyBorder="1" applyAlignment="1">
      <alignment horizontal="right" vertical="center"/>
    </xf>
    <xf numFmtId="3" fontId="50" fillId="0" borderId="16" xfId="32" applyNumberFormat="1" applyFont="1" applyFill="1" applyBorder="1" applyAlignment="1">
      <alignment horizontal="right" vertical="center"/>
    </xf>
    <xf numFmtId="3" fontId="50" fillId="24" borderId="16" xfId="38" applyNumberFormat="1" applyFont="1" applyFill="1" applyBorder="1" applyAlignment="1">
      <alignment vertical="center"/>
    </xf>
    <xf numFmtId="4" fontId="50" fillId="0" borderId="16" xfId="38" applyNumberFormat="1" applyFont="1" applyBorder="1" applyAlignment="1">
      <alignment horizontal="left" vertical="center"/>
    </xf>
    <xf numFmtId="3" fontId="50" fillId="24" borderId="16" xfId="55" applyNumberFormat="1" applyFont="1" applyFill="1" applyBorder="1" applyAlignment="1">
      <alignment horizontal="center" vertical="center"/>
    </xf>
    <xf numFmtId="4" fontId="50" fillId="0" borderId="16" xfId="0" applyNumberFormat="1" applyFont="1" applyBorder="1" applyAlignment="1">
      <alignment horizontal="right" vertical="center"/>
    </xf>
    <xf numFmtId="3" fontId="50" fillId="0" borderId="16" xfId="38" quotePrefix="1" applyNumberFormat="1" applyFont="1" applyBorder="1" applyAlignment="1">
      <alignment horizontal="right" vertical="center"/>
    </xf>
    <xf numFmtId="41" fontId="50" fillId="24" borderId="16" xfId="38" applyNumberFormat="1" applyFont="1" applyFill="1" applyBorder="1" applyAlignment="1">
      <alignment horizontal="right" vertical="center"/>
    </xf>
    <xf numFmtId="4" fontId="48" fillId="0" borderId="0" xfId="38" applyNumberFormat="1" applyFont="1" applyAlignment="1">
      <alignment horizontal="right" vertical="center"/>
    </xf>
    <xf numFmtId="3" fontId="48" fillId="24" borderId="16" xfId="0" applyNumberFormat="1" applyFont="1" applyFill="1" applyBorder="1" applyAlignment="1">
      <alignment horizontal="center" vertical="center"/>
    </xf>
    <xf numFmtId="187" fontId="50" fillId="0" borderId="16" xfId="26" applyNumberFormat="1" applyFont="1" applyFill="1" applyBorder="1" applyAlignment="1">
      <alignment horizontal="center" vertical="center"/>
    </xf>
    <xf numFmtId="187" fontId="50" fillId="0" borderId="16" xfId="24" applyNumberFormat="1" applyFont="1" applyFill="1" applyBorder="1" applyAlignment="1">
      <alignment horizontal="center" vertical="center"/>
    </xf>
    <xf numFmtId="188" fontId="50" fillId="0" borderId="16" xfId="32" applyNumberFormat="1" applyFont="1" applyFill="1" applyBorder="1" applyAlignment="1">
      <alignment horizontal="center" vertical="center"/>
    </xf>
    <xf numFmtId="0" fontId="43" fillId="0" borderId="15" xfId="0" applyFont="1" applyBorder="1" applyAlignment="1">
      <alignment vertical="center"/>
    </xf>
    <xf numFmtId="43" fontId="50" fillId="24" borderId="16" xfId="38" applyNumberFormat="1" applyFont="1" applyFill="1" applyBorder="1" applyAlignment="1">
      <alignment horizontal="center" vertical="center"/>
    </xf>
    <xf numFmtId="4" fontId="45" fillId="0" borderId="0" xfId="38" applyNumberFormat="1" applyFont="1" applyAlignment="1">
      <alignment vertical="center"/>
    </xf>
    <xf numFmtId="4" fontId="44" fillId="0" borderId="0" xfId="38" applyNumberFormat="1" applyFont="1" applyAlignment="1">
      <alignment horizontal="center" vertical="top"/>
    </xf>
    <xf numFmtId="3" fontId="50" fillId="0" borderId="16" xfId="55" applyNumberFormat="1" applyFont="1" applyFill="1" applyBorder="1" applyAlignment="1">
      <alignment horizontal="right" vertical="center"/>
    </xf>
    <xf numFmtId="4" fontId="50" fillId="0" borderId="16" xfId="38" applyNumberFormat="1" applyFont="1" applyBorder="1" applyAlignment="1">
      <alignment horizontal="left" vertical="top" wrapText="1"/>
    </xf>
    <xf numFmtId="4" fontId="50" fillId="0" borderId="16" xfId="38" applyNumberFormat="1" applyFont="1" applyBorder="1" applyAlignment="1">
      <alignment horizontal="right" vertical="top" wrapText="1"/>
    </xf>
    <xf numFmtId="3" fontId="50" fillId="0" borderId="16" xfId="38" applyNumberFormat="1" applyFont="1" applyBorder="1" applyAlignment="1">
      <alignment horizontal="right" vertical="top"/>
    </xf>
    <xf numFmtId="4" fontId="50" fillId="0" borderId="16" xfId="38" applyNumberFormat="1" applyFont="1" applyBorder="1" applyAlignment="1">
      <alignment horizontal="right" vertical="top"/>
    </xf>
    <xf numFmtId="3" fontId="50" fillId="0" borderId="16" xfId="38" quotePrefix="1" applyNumberFormat="1" applyFont="1" applyBorder="1" applyAlignment="1">
      <alignment horizontal="right" vertical="top"/>
    </xf>
    <xf numFmtId="41" fontId="50" fillId="24" borderId="16" xfId="38" applyNumberFormat="1" applyFont="1" applyFill="1" applyBorder="1" applyAlignment="1">
      <alignment horizontal="right" vertical="top"/>
    </xf>
    <xf numFmtId="3" fontId="50" fillId="24" borderId="16" xfId="38" applyNumberFormat="1" applyFont="1" applyFill="1" applyBorder="1" applyAlignment="1">
      <alignment horizontal="center" vertical="top"/>
    </xf>
    <xf numFmtId="4" fontId="50" fillId="0" borderId="0" xfId="38" applyNumberFormat="1" applyFont="1" applyAlignment="1">
      <alignment horizontal="center" vertical="top"/>
    </xf>
    <xf numFmtId="4" fontId="50" fillId="0" borderId="16" xfId="38" applyNumberFormat="1" applyFont="1" applyBorder="1" applyAlignment="1">
      <alignment horizontal="left" vertical="top"/>
    </xf>
    <xf numFmtId="3" fontId="50" fillId="24" borderId="16" xfId="38" applyNumberFormat="1" applyFont="1" applyFill="1" applyBorder="1" applyAlignment="1">
      <alignment horizontal="center" vertical="top" wrapText="1"/>
    </xf>
    <xf numFmtId="41" fontId="50" fillId="0" borderId="16" xfId="38" applyNumberFormat="1" applyFont="1" applyBorder="1" applyAlignment="1">
      <alignment horizontal="right" vertical="center"/>
    </xf>
    <xf numFmtId="3" fontId="50" fillId="0" borderId="16" xfId="38" applyNumberFormat="1" applyFont="1" applyBorder="1" applyAlignment="1">
      <alignment horizontal="center" vertical="center" wrapText="1"/>
    </xf>
    <xf numFmtId="3" fontId="50" fillId="0" borderId="16" xfId="38" applyNumberFormat="1" applyFont="1" applyBorder="1" applyAlignment="1">
      <alignment vertical="center"/>
    </xf>
    <xf numFmtId="4" fontId="54" fillId="0" borderId="0" xfId="38" applyNumberFormat="1" applyFont="1" applyAlignment="1">
      <alignment horizontal="left" vertical="center"/>
    </xf>
    <xf numFmtId="4" fontId="54" fillId="0" borderId="0" xfId="38" applyNumberFormat="1" applyFont="1" applyAlignment="1">
      <alignment horizontal="left" vertical="top"/>
    </xf>
    <xf numFmtId="4" fontId="50" fillId="0" borderId="16" xfId="38" quotePrefix="1" applyNumberFormat="1" applyFont="1" applyBorder="1" applyAlignment="1">
      <alignment horizontal="right" vertical="center"/>
    </xf>
    <xf numFmtId="4" fontId="50" fillId="0" borderId="16" xfId="31" applyNumberFormat="1" applyFont="1" applyFill="1" applyBorder="1" applyAlignment="1">
      <alignment horizontal="right" vertical="center"/>
    </xf>
    <xf numFmtId="2" fontId="50" fillId="0" borderId="16" xfId="38" applyNumberFormat="1" applyFont="1" applyBorder="1" applyAlignment="1">
      <alignment horizontal="right" vertical="center"/>
    </xf>
    <xf numFmtId="4" fontId="50" fillId="0" borderId="16" xfId="23" applyNumberFormat="1" applyFont="1" applyFill="1" applyBorder="1" applyAlignment="1">
      <alignment horizontal="right" vertical="center"/>
    </xf>
    <xf numFmtId="4" fontId="50" fillId="0" borderId="16" xfId="38" quotePrefix="1" applyNumberFormat="1" applyFont="1" applyBorder="1" applyAlignment="1">
      <alignment horizontal="right" vertical="top"/>
    </xf>
    <xf numFmtId="0" fontId="48" fillId="0" borderId="16" xfId="0" applyFont="1" applyBorder="1" applyAlignment="1">
      <alignment horizontal="center" vertical="center"/>
    </xf>
    <xf numFmtId="4" fontId="50" fillId="0" borderId="11" xfId="38" quotePrefix="1" applyNumberFormat="1" applyFont="1" applyBorder="1" applyAlignment="1">
      <alignment horizontal="center" vertical="center"/>
    </xf>
    <xf numFmtId="0" fontId="48" fillId="0" borderId="16" xfId="37" applyFont="1" applyBorder="1" applyAlignment="1">
      <alignment horizontal="center" vertical="center" wrapText="1" shrinkToFit="1"/>
    </xf>
    <xf numFmtId="0" fontId="48" fillId="24" borderId="16" xfId="0" applyFont="1" applyFill="1" applyBorder="1" applyAlignment="1">
      <alignment horizontal="center" vertical="center"/>
    </xf>
    <xf numFmtId="4" fontId="50" fillId="0" borderId="0" xfId="38" applyNumberFormat="1" applyFont="1" applyAlignment="1">
      <alignment vertical="center"/>
    </xf>
    <xf numFmtId="4" fontId="50" fillId="0" borderId="15" xfId="38" applyNumberFormat="1" applyFont="1" applyBorder="1" applyAlignment="1">
      <alignment horizontal="center" vertical="center"/>
    </xf>
    <xf numFmtId="0" fontId="48" fillId="0" borderId="16" xfId="0" applyFont="1" applyBorder="1" applyAlignment="1">
      <alignment vertical="center" wrapText="1"/>
    </xf>
    <xf numFmtId="0" fontId="48" fillId="24" borderId="16" xfId="0" applyFont="1" applyFill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4" fontId="50" fillId="24" borderId="11" xfId="38" applyNumberFormat="1" applyFont="1" applyFill="1" applyBorder="1" applyAlignment="1">
      <alignment horizontal="center" vertical="center"/>
    </xf>
    <xf numFmtId="43" fontId="50" fillId="24" borderId="11" xfId="55" applyFont="1" applyFill="1" applyBorder="1" applyAlignment="1">
      <alignment horizontal="center" vertical="center" wrapText="1"/>
    </xf>
    <xf numFmtId="43" fontId="50" fillId="24" borderId="11" xfId="55" applyFont="1" applyFill="1" applyBorder="1" applyAlignment="1">
      <alignment horizontal="right" vertical="center"/>
    </xf>
    <xf numFmtId="4" fontId="50" fillId="24" borderId="11" xfId="38" applyNumberFormat="1" applyFont="1" applyFill="1" applyBorder="1" applyAlignment="1">
      <alignment horizontal="right" vertical="center"/>
    </xf>
    <xf numFmtId="4" fontId="50" fillId="24" borderId="11" xfId="38" quotePrefix="1" applyNumberFormat="1" applyFont="1" applyFill="1" applyBorder="1" applyAlignment="1">
      <alignment horizontal="center" vertical="center"/>
    </xf>
    <xf numFmtId="4" fontId="50" fillId="24" borderId="11" xfId="38" applyNumberFormat="1" applyFont="1" applyFill="1" applyBorder="1" applyAlignment="1">
      <alignment horizontal="center" vertical="center" wrapText="1"/>
    </xf>
    <xf numFmtId="3" fontId="50" fillId="24" borderId="11" xfId="38" applyNumberFormat="1" applyFont="1" applyFill="1" applyBorder="1" applyAlignment="1">
      <alignment horizontal="center" vertical="center"/>
    </xf>
    <xf numFmtId="43" fontId="50" fillId="24" borderId="11" xfId="38" applyNumberFormat="1" applyFont="1" applyFill="1" applyBorder="1" applyAlignment="1">
      <alignment horizontal="center" vertical="center"/>
    </xf>
    <xf numFmtId="43" fontId="50" fillId="0" borderId="11" xfId="38" applyNumberFormat="1" applyFont="1" applyBorder="1" applyAlignment="1">
      <alignment horizontal="center" vertical="center" wrapText="1"/>
    </xf>
    <xf numFmtId="3" fontId="50" fillId="24" borderId="11" xfId="38" applyNumberFormat="1" applyFont="1" applyFill="1" applyBorder="1" applyAlignment="1">
      <alignment horizontal="left" vertical="center" wrapText="1"/>
    </xf>
    <xf numFmtId="3" fontId="50" fillId="0" borderId="11" xfId="38" quotePrefix="1" applyNumberFormat="1" applyFont="1" applyBorder="1" applyAlignment="1">
      <alignment horizontal="center" vertical="center"/>
    </xf>
    <xf numFmtId="41" fontId="50" fillId="0" borderId="11" xfId="38" applyNumberFormat="1" applyFont="1" applyBorder="1" applyAlignment="1">
      <alignment horizontal="center" vertical="center" wrapText="1"/>
    </xf>
    <xf numFmtId="3" fontId="50" fillId="24" borderId="11" xfId="55" applyNumberFormat="1" applyFont="1" applyFill="1" applyBorder="1" applyAlignment="1">
      <alignment horizontal="center" vertical="center"/>
    </xf>
    <xf numFmtId="3" fontId="50" fillId="24" borderId="11" xfId="55" applyNumberFormat="1" applyFont="1" applyFill="1" applyBorder="1" applyAlignment="1">
      <alignment horizontal="center" vertical="center" wrapText="1"/>
    </xf>
    <xf numFmtId="3" fontId="50" fillId="25" borderId="16" xfId="38" applyNumberFormat="1" applyFont="1" applyFill="1" applyBorder="1" applyAlignment="1">
      <alignment horizontal="right" vertical="center"/>
    </xf>
    <xf numFmtId="3" fontId="50" fillId="25" borderId="16" xfId="38" applyNumberFormat="1" applyFont="1" applyFill="1" applyBorder="1" applyAlignment="1">
      <alignment horizontal="right" vertical="top"/>
    </xf>
    <xf numFmtId="4" fontId="50" fillId="25" borderId="16" xfId="38" applyNumberFormat="1" applyFont="1" applyFill="1" applyBorder="1" applyAlignment="1">
      <alignment horizontal="right" vertical="center"/>
    </xf>
    <xf numFmtId="3" fontId="50" fillId="26" borderId="16" xfId="32" applyNumberFormat="1" applyFont="1" applyFill="1" applyBorder="1" applyAlignment="1">
      <alignment horizontal="right" vertical="center"/>
    </xf>
    <xf numFmtId="3" fontId="50" fillId="26" borderId="16" xfId="38" applyNumberFormat="1" applyFont="1" applyFill="1" applyBorder="1" applyAlignment="1">
      <alignment vertical="center"/>
    </xf>
    <xf numFmtId="4" fontId="50" fillId="26" borderId="16" xfId="30" applyNumberFormat="1" applyFont="1" applyFill="1" applyBorder="1" applyAlignment="1">
      <alignment horizontal="right" vertical="center"/>
    </xf>
    <xf numFmtId="3" fontId="50" fillId="27" borderId="16" xfId="38" applyNumberFormat="1" applyFont="1" applyFill="1" applyBorder="1" applyAlignment="1">
      <alignment horizontal="right" vertical="center"/>
    </xf>
    <xf numFmtId="3" fontId="50" fillId="27" borderId="16" xfId="24" applyNumberFormat="1" applyFont="1" applyFill="1" applyBorder="1" applyAlignment="1">
      <alignment horizontal="right" vertical="center"/>
    </xf>
    <xf numFmtId="3" fontId="50" fillId="27" borderId="16" xfId="28" applyNumberFormat="1" applyFont="1" applyFill="1" applyBorder="1" applyAlignment="1">
      <alignment horizontal="right" vertical="center"/>
    </xf>
    <xf numFmtId="3" fontId="50" fillId="27" borderId="16" xfId="32" applyNumberFormat="1" applyFont="1" applyFill="1" applyBorder="1" applyAlignment="1">
      <alignment horizontal="right" vertical="center"/>
    </xf>
    <xf numFmtId="3" fontId="50" fillId="27" borderId="16" xfId="55" applyNumberFormat="1" applyFont="1" applyFill="1" applyBorder="1" applyAlignment="1">
      <alignment horizontal="right" vertical="center"/>
    </xf>
    <xf numFmtId="4" fontId="50" fillId="27" borderId="16" xfId="38" applyNumberFormat="1" applyFont="1" applyFill="1" applyBorder="1" applyAlignment="1">
      <alignment horizontal="right" vertical="center"/>
    </xf>
    <xf numFmtId="4" fontId="50" fillId="27" borderId="16" xfId="25" applyNumberFormat="1" applyFont="1" applyFill="1" applyBorder="1" applyAlignment="1">
      <alignment horizontal="right" vertical="center"/>
    </xf>
    <xf numFmtId="4" fontId="50" fillId="27" borderId="16" xfId="38" applyNumberFormat="1" applyFont="1" applyFill="1" applyBorder="1" applyAlignment="1">
      <alignment horizontal="right" vertical="center" wrapText="1"/>
    </xf>
    <xf numFmtId="2" fontId="50" fillId="27" borderId="16" xfId="27" applyNumberFormat="1" applyFont="1" applyFill="1" applyBorder="1" applyAlignment="1">
      <alignment horizontal="right" vertical="center"/>
    </xf>
    <xf numFmtId="4" fontId="50" fillId="27" borderId="16" xfId="29" applyNumberFormat="1" applyFont="1" applyFill="1" applyBorder="1" applyAlignment="1">
      <alignment horizontal="right" vertical="center"/>
    </xf>
    <xf numFmtId="4" fontId="50" fillId="27" borderId="16" xfId="23" applyNumberFormat="1" applyFont="1" applyFill="1" applyBorder="1" applyAlignment="1">
      <alignment horizontal="right" vertical="center"/>
    </xf>
    <xf numFmtId="4" fontId="50" fillId="25" borderId="16" xfId="38" applyNumberFormat="1" applyFont="1" applyFill="1" applyBorder="1" applyAlignment="1">
      <alignment horizontal="right" vertical="top"/>
    </xf>
    <xf numFmtId="43" fontId="50" fillId="0" borderId="16" xfId="55" applyFont="1" applyBorder="1" applyAlignment="1">
      <alignment horizontal="center" vertical="center"/>
    </xf>
    <xf numFmtId="4" fontId="13" fillId="0" borderId="0" xfId="38" applyNumberFormat="1" applyFont="1" applyAlignment="1">
      <alignment horizontal="center" vertical="center"/>
    </xf>
    <xf numFmtId="0" fontId="4" fillId="24" borderId="10" xfId="0" applyFont="1" applyFill="1" applyBorder="1" applyAlignment="1">
      <alignment horizontal="center" vertical="center"/>
    </xf>
    <xf numFmtId="0" fontId="37" fillId="0" borderId="11" xfId="0" applyFont="1" applyBorder="1"/>
    <xf numFmtId="4" fontId="4" fillId="0" borderId="0" xfId="38" applyNumberFormat="1" applyFont="1" applyAlignment="1">
      <alignment horizontal="left" vertical="center"/>
    </xf>
    <xf numFmtId="4" fontId="5" fillId="0" borderId="0" xfId="38" applyNumberFormat="1" applyFont="1" applyAlignment="1">
      <alignment horizontal="center" vertical="center"/>
    </xf>
    <xf numFmtId="4" fontId="5" fillId="0" borderId="13" xfId="38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4" fontId="5" fillId="0" borderId="0" xfId="38" applyNumberFormat="1" applyFont="1" applyAlignment="1">
      <alignment horizontal="left" vertical="center"/>
    </xf>
    <xf numFmtId="4" fontId="45" fillId="0" borderId="0" xfId="38" applyNumberFormat="1" applyFont="1" applyAlignment="1">
      <alignment horizontal="center" vertical="center"/>
    </xf>
    <xf numFmtId="4" fontId="48" fillId="0" borderId="0" xfId="38" applyNumberFormat="1" applyFont="1" applyAlignment="1">
      <alignment horizontal="left" vertical="center"/>
    </xf>
    <xf numFmtId="0" fontId="48" fillId="0" borderId="16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24" borderId="10" xfId="0" applyFont="1" applyFill="1" applyBorder="1" applyAlignment="1">
      <alignment horizontal="center" vertical="center" wrapText="1"/>
    </xf>
    <xf numFmtId="0" fontId="48" fillId="24" borderId="11" xfId="0" applyFont="1" applyFill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24" borderId="10" xfId="0" applyFont="1" applyFill="1" applyBorder="1" applyAlignment="1">
      <alignment horizontal="center" vertical="center"/>
    </xf>
    <xf numFmtId="0" fontId="48" fillId="24" borderId="11" xfId="0" applyFont="1" applyFill="1" applyBorder="1" applyAlignment="1">
      <alignment horizontal="center" vertical="center"/>
    </xf>
    <xf numFmtId="4" fontId="50" fillId="0" borderId="0" xfId="38" applyNumberFormat="1" applyFont="1" applyAlignment="1">
      <alignment horizontal="left"/>
    </xf>
    <xf numFmtId="4" fontId="50" fillId="0" borderId="13" xfId="38" applyNumberFormat="1" applyFont="1" applyBorder="1" applyAlignment="1">
      <alignment horizontal="center"/>
    </xf>
    <xf numFmtId="4" fontId="54" fillId="0" borderId="0" xfId="38" applyNumberFormat="1" applyFont="1" applyAlignment="1">
      <alignment horizontal="left" vertical="center"/>
    </xf>
    <xf numFmtId="4" fontId="50" fillId="0" borderId="0" xfId="38" applyNumberFormat="1" applyFont="1" applyAlignment="1">
      <alignment horizontal="left" vertical="center"/>
    </xf>
    <xf numFmtId="0" fontId="48" fillId="24" borderId="16" xfId="0" applyFont="1" applyFill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4" fontId="50" fillId="0" borderId="0" xfId="38" applyNumberFormat="1" applyFont="1" applyAlignment="1">
      <alignment horizontal="center" vertical="center"/>
    </xf>
    <xf numFmtId="0" fontId="43" fillId="0" borderId="15" xfId="0" applyFont="1" applyBorder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8" fillId="24" borderId="18" xfId="0" applyFont="1" applyFill="1" applyBorder="1" applyAlignment="1">
      <alignment horizontal="center" vertical="center" wrapText="1"/>
    </xf>
    <xf numFmtId="4" fontId="54" fillId="0" borderId="0" xfId="38" applyNumberFormat="1" applyFont="1" applyAlignment="1">
      <alignment horizontal="left" vertical="top"/>
    </xf>
    <xf numFmtId="0" fontId="48" fillId="24" borderId="16" xfId="0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 shrinkToFit="1"/>
    </xf>
    <xf numFmtId="0" fontId="48" fillId="0" borderId="18" xfId="0" applyFont="1" applyBorder="1" applyAlignment="1">
      <alignment horizontal="center" vertical="center" shrinkToFit="1"/>
    </xf>
    <xf numFmtId="0" fontId="43" fillId="0" borderId="15" xfId="0" applyFont="1" applyBorder="1" applyAlignment="1">
      <alignment horizontal="left" vertical="center"/>
    </xf>
    <xf numFmtId="0" fontId="48" fillId="0" borderId="10" xfId="0" applyFont="1" applyBorder="1" applyAlignment="1">
      <alignment horizontal="center" vertical="center" wrapText="1" shrinkToFit="1"/>
    </xf>
    <xf numFmtId="0" fontId="48" fillId="0" borderId="18" xfId="0" applyFont="1" applyBorder="1" applyAlignment="1">
      <alignment horizontal="center" vertical="center" wrapText="1" shrinkToFit="1"/>
    </xf>
    <xf numFmtId="4" fontId="48" fillId="0" borderId="0" xfId="38" applyNumberFormat="1" applyFont="1" applyAlignment="1">
      <alignment vertical="center"/>
    </xf>
    <xf numFmtId="4" fontId="50" fillId="0" borderId="0" xfId="38" applyNumberFormat="1" applyFont="1" applyAlignment="1">
      <alignment vertical="center"/>
    </xf>
    <xf numFmtId="4" fontId="50" fillId="0" borderId="10" xfId="38" applyNumberFormat="1" applyFont="1" applyBorder="1" applyAlignment="1">
      <alignment horizontal="center" vertical="center"/>
    </xf>
    <xf numFmtId="4" fontId="50" fillId="0" borderId="18" xfId="38" applyNumberFormat="1" applyFont="1" applyBorder="1" applyAlignment="1">
      <alignment horizontal="center" vertical="center"/>
    </xf>
    <xf numFmtId="4" fontId="50" fillId="0" borderId="11" xfId="38" applyNumberFormat="1" applyFont="1" applyBorder="1" applyAlignment="1">
      <alignment horizontal="center" vertical="center"/>
    </xf>
    <xf numFmtId="41" fontId="50" fillId="0" borderId="10" xfId="0" applyNumberFormat="1" applyFont="1" applyBorder="1" applyAlignment="1">
      <alignment horizontal="center" vertical="center"/>
    </xf>
    <xf numFmtId="41" fontId="50" fillId="0" borderId="18" xfId="0" applyNumberFormat="1" applyFont="1" applyBorder="1" applyAlignment="1">
      <alignment horizontal="center" vertical="center"/>
    </xf>
    <xf numFmtId="41" fontId="50" fillId="0" borderId="11" xfId="0" applyNumberFormat="1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 shrinkToFit="1"/>
    </xf>
    <xf numFmtId="0" fontId="48" fillId="0" borderId="16" xfId="0" applyFont="1" applyBorder="1" applyAlignment="1">
      <alignment horizontal="center" vertical="center" wrapText="1" shrinkToFit="1"/>
    </xf>
    <xf numFmtId="3" fontId="50" fillId="0" borderId="16" xfId="38" applyNumberFormat="1" applyFont="1" applyBorder="1" applyAlignment="1">
      <alignment horizontal="center" vertical="center"/>
    </xf>
    <xf numFmtId="4" fontId="50" fillId="0" borderId="16" xfId="38" applyNumberFormat="1" applyFont="1" applyBorder="1" applyAlignment="1">
      <alignment horizontal="center" vertical="center"/>
    </xf>
    <xf numFmtId="4" fontId="48" fillId="0" borderId="0" xfId="38" applyNumberFormat="1" applyFont="1" applyAlignment="1">
      <alignment horizontal="center" vertical="center"/>
    </xf>
  </cellXfs>
  <cellStyles count="56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43" xr:uid="{00000000-0005-0000-0000-000012000000}"/>
    <cellStyle name="Accent2" xfId="44" xr:uid="{00000000-0005-0000-0000-000013000000}"/>
    <cellStyle name="Accent3" xfId="45" xr:uid="{00000000-0005-0000-0000-000014000000}"/>
    <cellStyle name="Accent4" xfId="46" xr:uid="{00000000-0005-0000-0000-000015000000}"/>
    <cellStyle name="Accent5" xfId="47" xr:uid="{00000000-0005-0000-0000-000016000000}"/>
    <cellStyle name="Accent6" xfId="48" xr:uid="{00000000-0005-0000-0000-000017000000}"/>
    <cellStyle name="Bad" xfId="42" xr:uid="{00000000-0005-0000-0000-000018000000}"/>
    <cellStyle name="Calculation" xfId="20" xr:uid="{00000000-0005-0000-0000-000019000000}"/>
    <cellStyle name="Check Cell" xfId="34" xr:uid="{00000000-0005-0000-0000-00001A000000}"/>
    <cellStyle name="Explanatory Text" xfId="22" xr:uid="{00000000-0005-0000-0000-00001B000000}"/>
    <cellStyle name="Good" xfId="36" xr:uid="{00000000-0005-0000-0000-00001C000000}"/>
    <cellStyle name="Heading 1" xfId="51" xr:uid="{00000000-0005-0000-0000-00001D000000}"/>
    <cellStyle name="Heading 2" xfId="52" xr:uid="{00000000-0005-0000-0000-00001E000000}"/>
    <cellStyle name="Heading 3" xfId="53" xr:uid="{00000000-0005-0000-0000-00001F000000}"/>
    <cellStyle name="Heading 4" xfId="54" xr:uid="{00000000-0005-0000-0000-000020000000}"/>
    <cellStyle name="Input" xfId="39" xr:uid="{00000000-0005-0000-0000-000021000000}"/>
    <cellStyle name="Neutral" xfId="40" xr:uid="{00000000-0005-0000-0000-000022000000}"/>
    <cellStyle name="Normal 2" xfId="19" xr:uid="{00000000-0005-0000-0000-000023000000}"/>
    <cellStyle name="Note" xfId="50" xr:uid="{00000000-0005-0000-0000-000024000000}"/>
    <cellStyle name="Output" xfId="49" xr:uid="{00000000-0005-0000-0000-000025000000}"/>
    <cellStyle name="Title" xfId="33" xr:uid="{00000000-0005-0000-0000-000026000000}"/>
    <cellStyle name="Total" xfId="41" xr:uid="{00000000-0005-0000-0000-000027000000}"/>
    <cellStyle name="Warning Text" xfId="21" xr:uid="{00000000-0005-0000-0000-000028000000}"/>
    <cellStyle name="เครื่องหมายจุลภาค 10" xfId="23" xr:uid="{00000000-0005-0000-0000-00002A000000}"/>
    <cellStyle name="เครื่องหมายจุลภาค 12" xfId="24" xr:uid="{00000000-0005-0000-0000-00002B000000}"/>
    <cellStyle name="เครื่องหมายจุลภาค 13" xfId="25" xr:uid="{00000000-0005-0000-0000-00002C000000}"/>
    <cellStyle name="เครื่องหมายจุลภาค 16" xfId="26" xr:uid="{00000000-0005-0000-0000-00002D000000}"/>
    <cellStyle name="เครื่องหมายจุลภาค 18" xfId="27" xr:uid="{00000000-0005-0000-0000-00002E000000}"/>
    <cellStyle name="เครื่องหมายจุลภาค 2" xfId="28" xr:uid="{00000000-0005-0000-0000-00002F000000}"/>
    <cellStyle name="เครื่องหมายจุลภาค 3" xfId="29" xr:uid="{00000000-0005-0000-0000-000030000000}"/>
    <cellStyle name="เครื่องหมายจุลภาค 6" xfId="30" xr:uid="{00000000-0005-0000-0000-000031000000}"/>
    <cellStyle name="เครื่องหมายจุลภาค 7" xfId="31" xr:uid="{00000000-0005-0000-0000-000032000000}"/>
    <cellStyle name="เครื่องหมายจุลภาค 9" xfId="32" xr:uid="{00000000-0005-0000-0000-000033000000}"/>
    <cellStyle name="จุลภาค" xfId="55" builtinId="3"/>
    <cellStyle name="เซลล์ที่มีลิงก์" xfId="35" xr:uid="{00000000-0005-0000-0000-000034000000}"/>
    <cellStyle name="ปกติ" xfId="0" builtinId="0"/>
    <cellStyle name="ปกติ 3" xfId="37" xr:uid="{00000000-0005-0000-0000-000036000000}"/>
    <cellStyle name="ปกติ_รายละเอียดคชจ.สาธารณูปโภค" xfId="38" xr:uid="{00000000-0005-0000-0000-00003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342900</xdr:rowOff>
    </xdr:from>
    <xdr:to>
      <xdr:col>9</xdr:col>
      <xdr:colOff>0</xdr:colOff>
      <xdr:row>6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14001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</xdr:row>
      <xdr:rowOff>342900</xdr:rowOff>
    </xdr:from>
    <xdr:to>
      <xdr:col>9</xdr:col>
      <xdr:colOff>0</xdr:colOff>
      <xdr:row>24</xdr:row>
      <xdr:rowOff>142875</xdr:rowOff>
    </xdr:to>
    <xdr:sp macro="" textlink="">
      <xdr:nvSpPr>
        <xdr:cNvPr id="129" name="Text Box 50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10157114" y="1407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165</xdr:row>
      <xdr:rowOff>342900</xdr:rowOff>
    </xdr:from>
    <xdr:to>
      <xdr:col>9</xdr:col>
      <xdr:colOff>0</xdr:colOff>
      <xdr:row>168</xdr:row>
      <xdr:rowOff>142875</xdr:rowOff>
    </xdr:to>
    <xdr:sp macro="" textlink="">
      <xdr:nvSpPr>
        <xdr:cNvPr id="130" name="Text Box 5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10157114" y="84564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182</xdr:row>
      <xdr:rowOff>342900</xdr:rowOff>
    </xdr:from>
    <xdr:to>
      <xdr:col>9</xdr:col>
      <xdr:colOff>0</xdr:colOff>
      <xdr:row>185</xdr:row>
      <xdr:rowOff>142875</xdr:rowOff>
    </xdr:to>
    <xdr:sp macro="" textlink="">
      <xdr:nvSpPr>
        <xdr:cNvPr id="131" name="Text Box 5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10157114" y="1407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200</xdr:row>
      <xdr:rowOff>342900</xdr:rowOff>
    </xdr:from>
    <xdr:to>
      <xdr:col>9</xdr:col>
      <xdr:colOff>0</xdr:colOff>
      <xdr:row>203</xdr:row>
      <xdr:rowOff>142875</xdr:rowOff>
    </xdr:to>
    <xdr:sp macro="" textlink="">
      <xdr:nvSpPr>
        <xdr:cNvPr id="132" name="Text Box 50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10157114" y="84564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218</xdr:row>
      <xdr:rowOff>342900</xdr:rowOff>
    </xdr:from>
    <xdr:to>
      <xdr:col>9</xdr:col>
      <xdr:colOff>0</xdr:colOff>
      <xdr:row>221</xdr:row>
      <xdr:rowOff>142875</xdr:rowOff>
    </xdr:to>
    <xdr:sp macro="" textlink="">
      <xdr:nvSpPr>
        <xdr:cNvPr id="133" name="Text Box 50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10157114" y="15504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</xdr:row>
      <xdr:rowOff>342900</xdr:rowOff>
    </xdr:from>
    <xdr:to>
      <xdr:col>9</xdr:col>
      <xdr:colOff>0</xdr:colOff>
      <xdr:row>42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0157114" y="29601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146</xdr:row>
      <xdr:rowOff>342900</xdr:rowOff>
    </xdr:from>
    <xdr:to>
      <xdr:col>9</xdr:col>
      <xdr:colOff>0</xdr:colOff>
      <xdr:row>149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0157114" y="366504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57</xdr:row>
      <xdr:rowOff>342900</xdr:rowOff>
    </xdr:from>
    <xdr:to>
      <xdr:col>9</xdr:col>
      <xdr:colOff>0</xdr:colOff>
      <xdr:row>60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0170583" y="49989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236</xdr:row>
      <xdr:rowOff>342900</xdr:rowOff>
    </xdr:from>
    <xdr:to>
      <xdr:col>9</xdr:col>
      <xdr:colOff>0</xdr:colOff>
      <xdr:row>239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0170583" y="49989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111</xdr:row>
      <xdr:rowOff>342900</xdr:rowOff>
    </xdr:from>
    <xdr:to>
      <xdr:col>9</xdr:col>
      <xdr:colOff>0</xdr:colOff>
      <xdr:row>114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0170583" y="5693198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0170583" y="49989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0170583" y="5693198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0170583" y="6387465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0170583" y="70817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0170583" y="139065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0170583" y="8333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380</xdr:row>
      <xdr:rowOff>342900</xdr:rowOff>
    </xdr:from>
    <xdr:to>
      <xdr:col>9</xdr:col>
      <xdr:colOff>0</xdr:colOff>
      <xdr:row>383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0170583" y="1527598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0170583" y="12624223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0170583" y="133184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434</xdr:row>
      <xdr:rowOff>342900</xdr:rowOff>
    </xdr:from>
    <xdr:to>
      <xdr:col>9</xdr:col>
      <xdr:colOff>0</xdr:colOff>
      <xdr:row>437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0170583" y="14012756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452</xdr:row>
      <xdr:rowOff>342900</xdr:rowOff>
    </xdr:from>
    <xdr:to>
      <xdr:col>9</xdr:col>
      <xdr:colOff>0</xdr:colOff>
      <xdr:row>455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0170583" y="14012756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488</xdr:row>
      <xdr:rowOff>342900</xdr:rowOff>
    </xdr:from>
    <xdr:to>
      <xdr:col>9</xdr:col>
      <xdr:colOff>0</xdr:colOff>
      <xdr:row>491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0170583" y="154012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75</xdr:row>
      <xdr:rowOff>342900</xdr:rowOff>
    </xdr:from>
    <xdr:to>
      <xdr:col>9</xdr:col>
      <xdr:colOff>0</xdr:colOff>
      <xdr:row>78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0170583" y="154012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129</xdr:row>
      <xdr:rowOff>342900</xdr:rowOff>
    </xdr:from>
    <xdr:to>
      <xdr:col>9</xdr:col>
      <xdr:colOff>0</xdr:colOff>
      <xdr:row>132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0170583" y="174840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506</xdr:row>
      <xdr:rowOff>342900</xdr:rowOff>
    </xdr:from>
    <xdr:to>
      <xdr:col>9</xdr:col>
      <xdr:colOff>0</xdr:colOff>
      <xdr:row>509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0170583" y="174840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506</xdr:row>
      <xdr:rowOff>342900</xdr:rowOff>
    </xdr:from>
    <xdr:to>
      <xdr:col>9</xdr:col>
      <xdr:colOff>0</xdr:colOff>
      <xdr:row>509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0170583" y="18178356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</xdr:row>
      <xdr:rowOff>342900</xdr:rowOff>
    </xdr:from>
    <xdr:to>
      <xdr:col>9</xdr:col>
      <xdr:colOff>0</xdr:colOff>
      <xdr:row>24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0162442" y="1339362"/>
          <a:ext cx="0" cy="855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165</xdr:row>
      <xdr:rowOff>342900</xdr:rowOff>
    </xdr:from>
    <xdr:to>
      <xdr:col>9</xdr:col>
      <xdr:colOff>0</xdr:colOff>
      <xdr:row>168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0162442" y="1339362"/>
          <a:ext cx="0" cy="855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182</xdr:row>
      <xdr:rowOff>342900</xdr:rowOff>
    </xdr:from>
    <xdr:to>
      <xdr:col>9</xdr:col>
      <xdr:colOff>0</xdr:colOff>
      <xdr:row>185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200</xdr:row>
      <xdr:rowOff>342900</xdr:rowOff>
    </xdr:from>
    <xdr:to>
      <xdr:col>9</xdr:col>
      <xdr:colOff>0</xdr:colOff>
      <xdr:row>203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218</xdr:row>
      <xdr:rowOff>342900</xdr:rowOff>
    </xdr:from>
    <xdr:to>
      <xdr:col>9</xdr:col>
      <xdr:colOff>0</xdr:colOff>
      <xdr:row>221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</xdr:row>
      <xdr:rowOff>342900</xdr:rowOff>
    </xdr:from>
    <xdr:to>
      <xdr:col>9</xdr:col>
      <xdr:colOff>0</xdr:colOff>
      <xdr:row>42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146</xdr:row>
      <xdr:rowOff>342900</xdr:rowOff>
    </xdr:from>
    <xdr:to>
      <xdr:col>9</xdr:col>
      <xdr:colOff>0</xdr:colOff>
      <xdr:row>149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57</xdr:row>
      <xdr:rowOff>342900</xdr:rowOff>
    </xdr:from>
    <xdr:to>
      <xdr:col>9</xdr:col>
      <xdr:colOff>0</xdr:colOff>
      <xdr:row>60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236</xdr:row>
      <xdr:rowOff>342900</xdr:rowOff>
    </xdr:from>
    <xdr:to>
      <xdr:col>9</xdr:col>
      <xdr:colOff>0</xdr:colOff>
      <xdr:row>239</xdr:row>
      <xdr:rowOff>142875</xdr:rowOff>
    </xdr:to>
    <xdr:sp macro="" textlink="">
      <xdr:nvSpPr>
        <xdr:cNvPr id="38" name="Text Box 5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111</xdr:row>
      <xdr:rowOff>342900</xdr:rowOff>
    </xdr:from>
    <xdr:to>
      <xdr:col>9</xdr:col>
      <xdr:colOff>0</xdr:colOff>
      <xdr:row>114</xdr:row>
      <xdr:rowOff>142875</xdr:rowOff>
    </xdr:to>
    <xdr:sp macro="" textlink="">
      <xdr:nvSpPr>
        <xdr:cNvPr id="39" name="Text Box 5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40" name="Text Box 5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41" name="Text Box 5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42" name="Text Box 5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43" name="Text Box 5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93</xdr:row>
      <xdr:rowOff>342900</xdr:rowOff>
    </xdr:from>
    <xdr:to>
      <xdr:col>9</xdr:col>
      <xdr:colOff>0</xdr:colOff>
      <xdr:row>96</xdr:row>
      <xdr:rowOff>142875</xdr:rowOff>
    </xdr:to>
    <xdr:sp macro="" textlink="">
      <xdr:nvSpPr>
        <xdr:cNvPr id="44" name="Text Box 5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45" name="Text Box 5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46" name="Text Box 5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380</xdr:row>
      <xdr:rowOff>342900</xdr:rowOff>
    </xdr:from>
    <xdr:to>
      <xdr:col>9</xdr:col>
      <xdr:colOff>0</xdr:colOff>
      <xdr:row>383</xdr:row>
      <xdr:rowOff>142875</xdr:rowOff>
    </xdr:to>
    <xdr:sp macro="" textlink="">
      <xdr:nvSpPr>
        <xdr:cNvPr id="47" name="Text Box 5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48" name="Text Box 5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49" name="Text Box 5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434</xdr:row>
      <xdr:rowOff>342900</xdr:rowOff>
    </xdr:from>
    <xdr:to>
      <xdr:col>9</xdr:col>
      <xdr:colOff>0</xdr:colOff>
      <xdr:row>437</xdr:row>
      <xdr:rowOff>142875</xdr:rowOff>
    </xdr:to>
    <xdr:sp macro="" textlink="">
      <xdr:nvSpPr>
        <xdr:cNvPr id="50" name="Text Box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452</xdr:row>
      <xdr:rowOff>342900</xdr:rowOff>
    </xdr:from>
    <xdr:to>
      <xdr:col>9</xdr:col>
      <xdr:colOff>0</xdr:colOff>
      <xdr:row>455</xdr:row>
      <xdr:rowOff>142875</xdr:rowOff>
    </xdr:to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470</xdr:row>
      <xdr:rowOff>342900</xdr:rowOff>
    </xdr:from>
    <xdr:to>
      <xdr:col>9</xdr:col>
      <xdr:colOff>0</xdr:colOff>
      <xdr:row>473</xdr:row>
      <xdr:rowOff>142875</xdr:rowOff>
    </xdr:to>
    <xdr:sp macro="" textlink="">
      <xdr:nvSpPr>
        <xdr:cNvPr id="52" name="Text Box 5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488</xdr:row>
      <xdr:rowOff>342900</xdr:rowOff>
    </xdr:from>
    <xdr:to>
      <xdr:col>9</xdr:col>
      <xdr:colOff>0</xdr:colOff>
      <xdr:row>491</xdr:row>
      <xdr:rowOff>142875</xdr:rowOff>
    </xdr:to>
    <xdr:sp macro="" textlink="">
      <xdr:nvSpPr>
        <xdr:cNvPr id="53" name="Text Box 5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75</xdr:row>
      <xdr:rowOff>342900</xdr:rowOff>
    </xdr:from>
    <xdr:to>
      <xdr:col>9</xdr:col>
      <xdr:colOff>0</xdr:colOff>
      <xdr:row>78</xdr:row>
      <xdr:rowOff>142875</xdr:rowOff>
    </xdr:to>
    <xdr:sp macro="" textlink="">
      <xdr:nvSpPr>
        <xdr:cNvPr id="54" name="Text Box 5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129</xdr:row>
      <xdr:rowOff>342900</xdr:rowOff>
    </xdr:from>
    <xdr:to>
      <xdr:col>9</xdr:col>
      <xdr:colOff>0</xdr:colOff>
      <xdr:row>132</xdr:row>
      <xdr:rowOff>142875</xdr:rowOff>
    </xdr:to>
    <xdr:sp macro="" textlink="">
      <xdr:nvSpPr>
        <xdr:cNvPr id="55" name="Text Box 50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506</xdr:row>
      <xdr:rowOff>342900</xdr:rowOff>
    </xdr:from>
    <xdr:to>
      <xdr:col>9</xdr:col>
      <xdr:colOff>0</xdr:colOff>
      <xdr:row>509</xdr:row>
      <xdr:rowOff>142875</xdr:rowOff>
    </xdr:to>
    <xdr:sp macro="" textlink="">
      <xdr:nvSpPr>
        <xdr:cNvPr id="56" name="Text Box 5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57" name="Text Box 5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10170583" y="981964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58" name="Text Box 5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10170583" y="981964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342900</xdr:rowOff>
    </xdr:from>
    <xdr:to>
      <xdr:col>9</xdr:col>
      <xdr:colOff>0</xdr:colOff>
      <xdr:row>6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0420350" y="8343900"/>
          <a:ext cx="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</xdr:row>
      <xdr:rowOff>342900</xdr:rowOff>
    </xdr:from>
    <xdr:to>
      <xdr:col>9</xdr:col>
      <xdr:colOff>0</xdr:colOff>
      <xdr:row>6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0420350" y="8343900"/>
          <a:ext cx="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154</xdr:row>
      <xdr:rowOff>342900</xdr:rowOff>
    </xdr:from>
    <xdr:to>
      <xdr:col>9</xdr:col>
      <xdr:colOff>0</xdr:colOff>
      <xdr:row>157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642270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58</xdr:row>
      <xdr:rowOff>342900</xdr:rowOff>
    </xdr:from>
    <xdr:to>
      <xdr:col>9</xdr:col>
      <xdr:colOff>0</xdr:colOff>
      <xdr:row>61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44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77</xdr:row>
      <xdr:rowOff>342900</xdr:rowOff>
    </xdr:from>
    <xdr:to>
      <xdr:col>9</xdr:col>
      <xdr:colOff>0</xdr:colOff>
      <xdr:row>80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22345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173</xdr:row>
      <xdr:rowOff>342900</xdr:rowOff>
    </xdr:from>
    <xdr:to>
      <xdr:col>9</xdr:col>
      <xdr:colOff>0</xdr:colOff>
      <xdr:row>176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432244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96</xdr:row>
      <xdr:rowOff>342900</xdr:rowOff>
    </xdr:from>
    <xdr:to>
      <xdr:col>9</xdr:col>
      <xdr:colOff>0</xdr:colOff>
      <xdr:row>99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293465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134</xdr:row>
      <xdr:rowOff>342900</xdr:rowOff>
    </xdr:from>
    <xdr:to>
      <xdr:col>9</xdr:col>
      <xdr:colOff>0</xdr:colOff>
      <xdr:row>137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502253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154</xdr:row>
      <xdr:rowOff>342900</xdr:rowOff>
    </xdr:from>
    <xdr:to>
      <xdr:col>9</xdr:col>
      <xdr:colOff>0</xdr:colOff>
      <xdr:row>157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642270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58</xdr:row>
      <xdr:rowOff>342900</xdr:rowOff>
    </xdr:from>
    <xdr:to>
      <xdr:col>9</xdr:col>
      <xdr:colOff>0</xdr:colOff>
      <xdr:row>61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44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77</xdr:row>
      <xdr:rowOff>342900</xdr:rowOff>
    </xdr:from>
    <xdr:to>
      <xdr:col>9</xdr:col>
      <xdr:colOff>0</xdr:colOff>
      <xdr:row>80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22345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173</xdr:row>
      <xdr:rowOff>342900</xdr:rowOff>
    </xdr:from>
    <xdr:to>
      <xdr:col>9</xdr:col>
      <xdr:colOff>0</xdr:colOff>
      <xdr:row>176</xdr:row>
      <xdr:rowOff>142875</xdr:rowOff>
    </xdr:to>
    <xdr:sp macro="" textlink="">
      <xdr:nvSpPr>
        <xdr:cNvPr id="38" name="Text Box 50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10153650" y="432244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116</xdr:row>
      <xdr:rowOff>342900</xdr:rowOff>
    </xdr:from>
    <xdr:to>
      <xdr:col>9</xdr:col>
      <xdr:colOff>0</xdr:colOff>
      <xdr:row>119</xdr:row>
      <xdr:rowOff>142875</xdr:rowOff>
    </xdr:to>
    <xdr:sp macro="" textlink="">
      <xdr:nvSpPr>
        <xdr:cNvPr id="43" name="Text Box 50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10153650" y="363474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96</xdr:row>
      <xdr:rowOff>342900</xdr:rowOff>
    </xdr:from>
    <xdr:to>
      <xdr:col>9</xdr:col>
      <xdr:colOff>0</xdr:colOff>
      <xdr:row>99</xdr:row>
      <xdr:rowOff>142875</xdr:rowOff>
    </xdr:to>
    <xdr:sp macro="" textlink="">
      <xdr:nvSpPr>
        <xdr:cNvPr id="53" name="Text Box 50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10153650" y="293465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134</xdr:row>
      <xdr:rowOff>342900</xdr:rowOff>
    </xdr:from>
    <xdr:to>
      <xdr:col>9</xdr:col>
      <xdr:colOff>0</xdr:colOff>
      <xdr:row>137</xdr:row>
      <xdr:rowOff>142875</xdr:rowOff>
    </xdr:to>
    <xdr:sp macro="" textlink="">
      <xdr:nvSpPr>
        <xdr:cNvPr id="54" name="Text Box 5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10153650" y="502253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381</xdr:row>
      <xdr:rowOff>342900</xdr:rowOff>
    </xdr:from>
    <xdr:to>
      <xdr:col>9</xdr:col>
      <xdr:colOff>0</xdr:colOff>
      <xdr:row>384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1548384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399</xdr:row>
      <xdr:rowOff>342900</xdr:rowOff>
    </xdr:from>
    <xdr:to>
      <xdr:col>9</xdr:col>
      <xdr:colOff>0</xdr:colOff>
      <xdr:row>402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8392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417</xdr:row>
      <xdr:rowOff>342900</xdr:rowOff>
    </xdr:from>
    <xdr:to>
      <xdr:col>9</xdr:col>
      <xdr:colOff>0</xdr:colOff>
      <xdr:row>420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1688401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435</xdr:row>
      <xdr:rowOff>342900</xdr:rowOff>
    </xdr:from>
    <xdr:to>
      <xdr:col>9</xdr:col>
      <xdr:colOff>0</xdr:colOff>
      <xdr:row>438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8410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471</xdr:row>
      <xdr:rowOff>342900</xdr:rowOff>
    </xdr:from>
    <xdr:to>
      <xdr:col>9</xdr:col>
      <xdr:colOff>0</xdr:colOff>
      <xdr:row>474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189842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489</xdr:row>
      <xdr:rowOff>342900</xdr:rowOff>
    </xdr:from>
    <xdr:to>
      <xdr:col>9</xdr:col>
      <xdr:colOff>0</xdr:colOff>
      <xdr:row>492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96843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489</xdr:row>
      <xdr:rowOff>342900</xdr:rowOff>
    </xdr:from>
    <xdr:to>
      <xdr:col>9</xdr:col>
      <xdr:colOff>0</xdr:colOff>
      <xdr:row>492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96843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381</xdr:row>
      <xdr:rowOff>342900</xdr:rowOff>
    </xdr:from>
    <xdr:to>
      <xdr:col>9</xdr:col>
      <xdr:colOff>0</xdr:colOff>
      <xdr:row>384</xdr:row>
      <xdr:rowOff>142875</xdr:rowOff>
    </xdr:to>
    <xdr:sp macro="" textlink="">
      <xdr:nvSpPr>
        <xdr:cNvPr id="47" name="Text Box 50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10153650" y="1548384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399</xdr:row>
      <xdr:rowOff>342900</xdr:rowOff>
    </xdr:from>
    <xdr:to>
      <xdr:col>9</xdr:col>
      <xdr:colOff>0</xdr:colOff>
      <xdr:row>402</xdr:row>
      <xdr:rowOff>142875</xdr:rowOff>
    </xdr:to>
    <xdr:sp macro="" textlink="">
      <xdr:nvSpPr>
        <xdr:cNvPr id="48" name="Text Box 50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8392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417</xdr:row>
      <xdr:rowOff>342900</xdr:rowOff>
    </xdr:from>
    <xdr:to>
      <xdr:col>9</xdr:col>
      <xdr:colOff>0</xdr:colOff>
      <xdr:row>420</xdr:row>
      <xdr:rowOff>142875</xdr:rowOff>
    </xdr:to>
    <xdr:sp macro="" textlink="">
      <xdr:nvSpPr>
        <xdr:cNvPr id="49" name="Text Box 5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10153650" y="1688401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435</xdr:row>
      <xdr:rowOff>342900</xdr:rowOff>
    </xdr:from>
    <xdr:to>
      <xdr:col>9</xdr:col>
      <xdr:colOff>0</xdr:colOff>
      <xdr:row>438</xdr:row>
      <xdr:rowOff>142875</xdr:rowOff>
    </xdr:to>
    <xdr:sp macro="" textlink="">
      <xdr:nvSpPr>
        <xdr:cNvPr id="50" name="Text Box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8410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453</xdr:row>
      <xdr:rowOff>342900</xdr:rowOff>
    </xdr:from>
    <xdr:to>
      <xdr:col>9</xdr:col>
      <xdr:colOff>0</xdr:colOff>
      <xdr:row>456</xdr:row>
      <xdr:rowOff>142875</xdr:rowOff>
    </xdr:to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10153650" y="1828419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471</xdr:row>
      <xdr:rowOff>342900</xdr:rowOff>
    </xdr:from>
    <xdr:to>
      <xdr:col>9</xdr:col>
      <xdr:colOff>0</xdr:colOff>
      <xdr:row>474</xdr:row>
      <xdr:rowOff>142875</xdr:rowOff>
    </xdr:to>
    <xdr:sp macro="" textlink="">
      <xdr:nvSpPr>
        <xdr:cNvPr id="52" name="Text Box 50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>
          <a:spLocks noChangeArrowheads="1"/>
        </xdr:cNvSpPr>
      </xdr:nvSpPr>
      <xdr:spPr bwMode="auto">
        <a:xfrm>
          <a:off x="10153650" y="189842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489</xdr:row>
      <xdr:rowOff>342900</xdr:rowOff>
    </xdr:from>
    <xdr:to>
      <xdr:col>9</xdr:col>
      <xdr:colOff>0</xdr:colOff>
      <xdr:row>492</xdr:row>
      <xdr:rowOff>142875</xdr:rowOff>
    </xdr:to>
    <xdr:sp macro="" textlink="">
      <xdr:nvSpPr>
        <xdr:cNvPr id="55" name="Text Box 50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>
          <a:spLocks noChangeArrowheads="1"/>
        </xdr:cNvSpPr>
      </xdr:nvSpPr>
      <xdr:spPr bwMode="auto">
        <a:xfrm>
          <a:off x="10153650" y="196843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342900</xdr:rowOff>
    </xdr:from>
    <xdr:to>
      <xdr:col>9</xdr:col>
      <xdr:colOff>0</xdr:colOff>
      <xdr:row>6</xdr:row>
      <xdr:rowOff>0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710469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27796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40827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8573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66887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79917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192947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05978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32038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245068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245068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</xdr:row>
      <xdr:rowOff>342900</xdr:rowOff>
    </xdr:from>
    <xdr:to>
      <xdr:col>9</xdr:col>
      <xdr:colOff>0</xdr:colOff>
      <xdr:row>6</xdr:row>
      <xdr:rowOff>0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710469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27796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40827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8573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66887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179917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192947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205978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380</xdr:row>
      <xdr:rowOff>342900</xdr:rowOff>
    </xdr:from>
    <xdr:to>
      <xdr:col>9</xdr:col>
      <xdr:colOff>0</xdr:colOff>
      <xdr:row>383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2190083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232038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10153650" y="245068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145</xdr:row>
      <xdr:rowOff>342900</xdr:rowOff>
    </xdr:from>
    <xdr:to>
      <xdr:col>10</xdr:col>
      <xdr:colOff>0</xdr:colOff>
      <xdr:row>148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780573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163</xdr:row>
      <xdr:rowOff>342900</xdr:rowOff>
    </xdr:from>
    <xdr:to>
      <xdr:col>10</xdr:col>
      <xdr:colOff>0</xdr:colOff>
      <xdr:row>166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85058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199</xdr:row>
      <xdr:rowOff>342900</xdr:rowOff>
    </xdr:from>
    <xdr:to>
      <xdr:col>10</xdr:col>
      <xdr:colOff>0</xdr:colOff>
      <xdr:row>202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99802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217</xdr:row>
      <xdr:rowOff>342900</xdr:rowOff>
    </xdr:from>
    <xdr:to>
      <xdr:col>10</xdr:col>
      <xdr:colOff>0</xdr:colOff>
      <xdr:row>220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12833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235</xdr:row>
      <xdr:rowOff>342900</xdr:rowOff>
    </xdr:from>
    <xdr:to>
      <xdr:col>10</xdr:col>
      <xdr:colOff>0</xdr:colOff>
      <xdr:row>238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25863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253</xdr:row>
      <xdr:rowOff>342900</xdr:rowOff>
    </xdr:from>
    <xdr:to>
      <xdr:col>10</xdr:col>
      <xdr:colOff>0</xdr:colOff>
      <xdr:row>256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38893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271</xdr:row>
      <xdr:rowOff>342900</xdr:rowOff>
    </xdr:from>
    <xdr:to>
      <xdr:col>10</xdr:col>
      <xdr:colOff>0</xdr:colOff>
      <xdr:row>274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51923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289</xdr:row>
      <xdr:rowOff>342900</xdr:rowOff>
    </xdr:from>
    <xdr:to>
      <xdr:col>10</xdr:col>
      <xdr:colOff>0</xdr:colOff>
      <xdr:row>292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164953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307</xdr:row>
      <xdr:rowOff>342900</xdr:rowOff>
    </xdr:from>
    <xdr:to>
      <xdr:col>10</xdr:col>
      <xdr:colOff>0</xdr:colOff>
      <xdr:row>310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177984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343</xdr:row>
      <xdr:rowOff>342900</xdr:rowOff>
    </xdr:from>
    <xdr:to>
      <xdr:col>10</xdr:col>
      <xdr:colOff>0</xdr:colOff>
      <xdr:row>346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04044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361</xdr:row>
      <xdr:rowOff>342900</xdr:rowOff>
    </xdr:from>
    <xdr:to>
      <xdr:col>10</xdr:col>
      <xdr:colOff>0</xdr:colOff>
      <xdr:row>364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217074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361</xdr:row>
      <xdr:rowOff>342900</xdr:rowOff>
    </xdr:from>
    <xdr:to>
      <xdr:col>10</xdr:col>
      <xdr:colOff>0</xdr:colOff>
      <xdr:row>364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217074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145</xdr:row>
      <xdr:rowOff>342900</xdr:rowOff>
    </xdr:from>
    <xdr:to>
      <xdr:col>10</xdr:col>
      <xdr:colOff>0</xdr:colOff>
      <xdr:row>148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780573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163</xdr:row>
      <xdr:rowOff>342900</xdr:rowOff>
    </xdr:from>
    <xdr:to>
      <xdr:col>10</xdr:col>
      <xdr:colOff>0</xdr:colOff>
      <xdr:row>166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85058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199</xdr:row>
      <xdr:rowOff>342900</xdr:rowOff>
    </xdr:from>
    <xdr:to>
      <xdr:col>10</xdr:col>
      <xdr:colOff>0</xdr:colOff>
      <xdr:row>202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99802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217</xdr:row>
      <xdr:rowOff>342900</xdr:rowOff>
    </xdr:from>
    <xdr:to>
      <xdr:col>10</xdr:col>
      <xdr:colOff>0</xdr:colOff>
      <xdr:row>220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12833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235</xdr:row>
      <xdr:rowOff>342900</xdr:rowOff>
    </xdr:from>
    <xdr:to>
      <xdr:col>10</xdr:col>
      <xdr:colOff>0</xdr:colOff>
      <xdr:row>238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25863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253</xdr:row>
      <xdr:rowOff>342900</xdr:rowOff>
    </xdr:from>
    <xdr:to>
      <xdr:col>10</xdr:col>
      <xdr:colOff>0</xdr:colOff>
      <xdr:row>256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38893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271</xdr:row>
      <xdr:rowOff>342900</xdr:rowOff>
    </xdr:from>
    <xdr:to>
      <xdr:col>10</xdr:col>
      <xdr:colOff>0</xdr:colOff>
      <xdr:row>274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151923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289</xdr:row>
      <xdr:rowOff>342900</xdr:rowOff>
    </xdr:from>
    <xdr:to>
      <xdr:col>10</xdr:col>
      <xdr:colOff>0</xdr:colOff>
      <xdr:row>292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164953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307</xdr:row>
      <xdr:rowOff>342900</xdr:rowOff>
    </xdr:from>
    <xdr:to>
      <xdr:col>10</xdr:col>
      <xdr:colOff>0</xdr:colOff>
      <xdr:row>310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177984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325</xdr:row>
      <xdr:rowOff>342900</xdr:rowOff>
    </xdr:from>
    <xdr:to>
      <xdr:col>10</xdr:col>
      <xdr:colOff>0</xdr:colOff>
      <xdr:row>328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191014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343</xdr:row>
      <xdr:rowOff>342900</xdr:rowOff>
    </xdr:from>
    <xdr:to>
      <xdr:col>10</xdr:col>
      <xdr:colOff>0</xdr:colOff>
      <xdr:row>346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204044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361</xdr:row>
      <xdr:rowOff>342900</xdr:rowOff>
    </xdr:from>
    <xdr:to>
      <xdr:col>10</xdr:col>
      <xdr:colOff>0</xdr:colOff>
      <xdr:row>364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>
          <a:spLocks noChangeArrowheads="1"/>
        </xdr:cNvSpPr>
      </xdr:nvSpPr>
      <xdr:spPr bwMode="auto">
        <a:xfrm>
          <a:off x="10153650" y="217074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181</xdr:row>
      <xdr:rowOff>342900</xdr:rowOff>
    </xdr:from>
    <xdr:to>
      <xdr:col>10</xdr:col>
      <xdr:colOff>0</xdr:colOff>
      <xdr:row>184</xdr:row>
      <xdr:rowOff>142875</xdr:rowOff>
    </xdr:to>
    <xdr:sp macro="" textlink="">
      <xdr:nvSpPr>
        <xdr:cNvPr id="38" name="Text Box 50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>
          <a:spLocks noChangeArrowheads="1"/>
        </xdr:cNvSpPr>
      </xdr:nvSpPr>
      <xdr:spPr bwMode="auto">
        <a:xfrm>
          <a:off x="10153650" y="92059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181</xdr:row>
      <xdr:rowOff>342900</xdr:rowOff>
    </xdr:from>
    <xdr:to>
      <xdr:col>10</xdr:col>
      <xdr:colOff>0</xdr:colOff>
      <xdr:row>184</xdr:row>
      <xdr:rowOff>142875</xdr:rowOff>
    </xdr:to>
    <xdr:sp macro="" textlink="">
      <xdr:nvSpPr>
        <xdr:cNvPr id="39" name="Text Box 50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>
          <a:spLocks noChangeArrowheads="1"/>
        </xdr:cNvSpPr>
      </xdr:nvSpPr>
      <xdr:spPr bwMode="auto">
        <a:xfrm>
          <a:off x="10153650" y="92059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143</xdr:row>
      <xdr:rowOff>342900</xdr:rowOff>
    </xdr:from>
    <xdr:to>
      <xdr:col>10</xdr:col>
      <xdr:colOff>0</xdr:colOff>
      <xdr:row>146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0791825" y="97955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161</xdr:row>
      <xdr:rowOff>342900</xdr:rowOff>
    </xdr:from>
    <xdr:to>
      <xdr:col>10</xdr:col>
      <xdr:colOff>0</xdr:colOff>
      <xdr:row>164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10791825" y="110985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197</xdr:row>
      <xdr:rowOff>342900</xdr:rowOff>
    </xdr:from>
    <xdr:to>
      <xdr:col>10</xdr:col>
      <xdr:colOff>0</xdr:colOff>
      <xdr:row>200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10791825" y="137045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215</xdr:row>
      <xdr:rowOff>342900</xdr:rowOff>
    </xdr:from>
    <xdr:to>
      <xdr:col>10</xdr:col>
      <xdr:colOff>0</xdr:colOff>
      <xdr:row>218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10791825" y="150075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233</xdr:row>
      <xdr:rowOff>342900</xdr:rowOff>
    </xdr:from>
    <xdr:to>
      <xdr:col>10</xdr:col>
      <xdr:colOff>0</xdr:colOff>
      <xdr:row>236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10791825" y="163106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251</xdr:row>
      <xdr:rowOff>342900</xdr:rowOff>
    </xdr:from>
    <xdr:to>
      <xdr:col>10</xdr:col>
      <xdr:colOff>0</xdr:colOff>
      <xdr:row>254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10791825" y="176136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269</xdr:row>
      <xdr:rowOff>342900</xdr:rowOff>
    </xdr:from>
    <xdr:to>
      <xdr:col>10</xdr:col>
      <xdr:colOff>0</xdr:colOff>
      <xdr:row>272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10791825" y="189166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287</xdr:row>
      <xdr:rowOff>342900</xdr:rowOff>
    </xdr:from>
    <xdr:to>
      <xdr:col>10</xdr:col>
      <xdr:colOff>0</xdr:colOff>
      <xdr:row>290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10791825" y="202196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305</xdr:row>
      <xdr:rowOff>342900</xdr:rowOff>
    </xdr:from>
    <xdr:to>
      <xdr:col>10</xdr:col>
      <xdr:colOff>0</xdr:colOff>
      <xdr:row>308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10791825" y="215226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341</xdr:row>
      <xdr:rowOff>342900</xdr:rowOff>
    </xdr:from>
    <xdr:to>
      <xdr:col>10</xdr:col>
      <xdr:colOff>0</xdr:colOff>
      <xdr:row>344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10791825" y="241287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359</xdr:row>
      <xdr:rowOff>342900</xdr:rowOff>
    </xdr:from>
    <xdr:to>
      <xdr:col>10</xdr:col>
      <xdr:colOff>0</xdr:colOff>
      <xdr:row>362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10791825" y="254317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359</xdr:row>
      <xdr:rowOff>342900</xdr:rowOff>
    </xdr:from>
    <xdr:to>
      <xdr:col>10</xdr:col>
      <xdr:colOff>0</xdr:colOff>
      <xdr:row>362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10791825" y="254317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143</xdr:row>
      <xdr:rowOff>342900</xdr:rowOff>
    </xdr:from>
    <xdr:to>
      <xdr:col>10</xdr:col>
      <xdr:colOff>0</xdr:colOff>
      <xdr:row>146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10791825" y="97955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161</xdr:row>
      <xdr:rowOff>342900</xdr:rowOff>
    </xdr:from>
    <xdr:to>
      <xdr:col>10</xdr:col>
      <xdr:colOff>0</xdr:colOff>
      <xdr:row>164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10791825" y="110985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197</xdr:row>
      <xdr:rowOff>342900</xdr:rowOff>
    </xdr:from>
    <xdr:to>
      <xdr:col>10</xdr:col>
      <xdr:colOff>0</xdr:colOff>
      <xdr:row>200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10791825" y="137045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215</xdr:row>
      <xdr:rowOff>342900</xdr:rowOff>
    </xdr:from>
    <xdr:to>
      <xdr:col>10</xdr:col>
      <xdr:colOff>0</xdr:colOff>
      <xdr:row>218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10791825" y="150075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233</xdr:row>
      <xdr:rowOff>342900</xdr:rowOff>
    </xdr:from>
    <xdr:to>
      <xdr:col>10</xdr:col>
      <xdr:colOff>0</xdr:colOff>
      <xdr:row>236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10791825" y="163106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251</xdr:row>
      <xdr:rowOff>342900</xdr:rowOff>
    </xdr:from>
    <xdr:to>
      <xdr:col>10</xdr:col>
      <xdr:colOff>0</xdr:colOff>
      <xdr:row>254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10791825" y="176136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269</xdr:row>
      <xdr:rowOff>342900</xdr:rowOff>
    </xdr:from>
    <xdr:to>
      <xdr:col>10</xdr:col>
      <xdr:colOff>0</xdr:colOff>
      <xdr:row>272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10791825" y="189166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287</xdr:row>
      <xdr:rowOff>342900</xdr:rowOff>
    </xdr:from>
    <xdr:to>
      <xdr:col>10</xdr:col>
      <xdr:colOff>0</xdr:colOff>
      <xdr:row>290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10791825" y="202196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305</xdr:row>
      <xdr:rowOff>342900</xdr:rowOff>
    </xdr:from>
    <xdr:to>
      <xdr:col>10</xdr:col>
      <xdr:colOff>0</xdr:colOff>
      <xdr:row>308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10791825" y="215226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323</xdr:row>
      <xdr:rowOff>342900</xdr:rowOff>
    </xdr:from>
    <xdr:to>
      <xdr:col>10</xdr:col>
      <xdr:colOff>0</xdr:colOff>
      <xdr:row>326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10791825" y="228257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341</xdr:row>
      <xdr:rowOff>342900</xdr:rowOff>
    </xdr:from>
    <xdr:to>
      <xdr:col>10</xdr:col>
      <xdr:colOff>0</xdr:colOff>
      <xdr:row>344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10791825" y="241287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359</xdr:row>
      <xdr:rowOff>342900</xdr:rowOff>
    </xdr:from>
    <xdr:to>
      <xdr:col>10</xdr:col>
      <xdr:colOff>0</xdr:colOff>
      <xdr:row>362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10791825" y="254317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179</xdr:row>
      <xdr:rowOff>342900</xdr:rowOff>
    </xdr:from>
    <xdr:to>
      <xdr:col>10</xdr:col>
      <xdr:colOff>0</xdr:colOff>
      <xdr:row>182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10791825" y="124015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179</xdr:row>
      <xdr:rowOff>342900</xdr:rowOff>
    </xdr:from>
    <xdr:to>
      <xdr:col>10</xdr:col>
      <xdr:colOff>0</xdr:colOff>
      <xdr:row>182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10791825" y="124015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21</xdr:row>
      <xdr:rowOff>342900</xdr:rowOff>
    </xdr:from>
    <xdr:to>
      <xdr:col>10</xdr:col>
      <xdr:colOff>0</xdr:colOff>
      <xdr:row>24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29051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39</xdr:row>
      <xdr:rowOff>342900</xdr:rowOff>
    </xdr:from>
    <xdr:to>
      <xdr:col>10</xdr:col>
      <xdr:colOff>0</xdr:colOff>
      <xdr:row>42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36052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57</xdr:row>
      <xdr:rowOff>342900</xdr:rowOff>
    </xdr:from>
    <xdr:to>
      <xdr:col>10</xdr:col>
      <xdr:colOff>0</xdr:colOff>
      <xdr:row>60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10153650" y="430530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75</xdr:row>
      <xdr:rowOff>342900</xdr:rowOff>
    </xdr:from>
    <xdr:to>
      <xdr:col>10</xdr:col>
      <xdr:colOff>0</xdr:colOff>
      <xdr:row>78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10153650" y="500538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93</xdr:row>
      <xdr:rowOff>342900</xdr:rowOff>
    </xdr:from>
    <xdr:to>
      <xdr:col>10</xdr:col>
      <xdr:colOff>0</xdr:colOff>
      <xdr:row>96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10153650" y="57797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111</xdr:row>
      <xdr:rowOff>342900</xdr:rowOff>
    </xdr:from>
    <xdr:to>
      <xdr:col>10</xdr:col>
      <xdr:colOff>0</xdr:colOff>
      <xdr:row>114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70827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147</xdr:row>
      <xdr:rowOff>342900</xdr:rowOff>
    </xdr:from>
    <xdr:to>
      <xdr:col>10</xdr:col>
      <xdr:colOff>0</xdr:colOff>
      <xdr:row>150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96888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165</xdr:row>
      <xdr:rowOff>342900</xdr:rowOff>
    </xdr:from>
    <xdr:to>
      <xdr:col>10</xdr:col>
      <xdr:colOff>0</xdr:colOff>
      <xdr:row>168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09918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183</xdr:row>
      <xdr:rowOff>342900</xdr:rowOff>
    </xdr:from>
    <xdr:to>
      <xdr:col>10</xdr:col>
      <xdr:colOff>0</xdr:colOff>
      <xdr:row>186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22948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201</xdr:row>
      <xdr:rowOff>342900</xdr:rowOff>
    </xdr:from>
    <xdr:to>
      <xdr:col>10</xdr:col>
      <xdr:colOff>0</xdr:colOff>
      <xdr:row>204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978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219</xdr:row>
      <xdr:rowOff>342900</xdr:rowOff>
    </xdr:from>
    <xdr:to>
      <xdr:col>10</xdr:col>
      <xdr:colOff>0</xdr:colOff>
      <xdr:row>222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49009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237</xdr:row>
      <xdr:rowOff>342900</xdr:rowOff>
    </xdr:from>
    <xdr:to>
      <xdr:col>10</xdr:col>
      <xdr:colOff>0</xdr:colOff>
      <xdr:row>240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62039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255</xdr:row>
      <xdr:rowOff>342900</xdr:rowOff>
    </xdr:from>
    <xdr:to>
      <xdr:col>10</xdr:col>
      <xdr:colOff>0</xdr:colOff>
      <xdr:row>258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069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291</xdr:row>
      <xdr:rowOff>342900</xdr:rowOff>
    </xdr:from>
    <xdr:to>
      <xdr:col>10</xdr:col>
      <xdr:colOff>0</xdr:colOff>
      <xdr:row>294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01129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309</xdr:row>
      <xdr:rowOff>342900</xdr:rowOff>
    </xdr:from>
    <xdr:to>
      <xdr:col>10</xdr:col>
      <xdr:colOff>0</xdr:colOff>
      <xdr:row>312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14160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309</xdr:row>
      <xdr:rowOff>342900</xdr:rowOff>
    </xdr:from>
    <xdr:to>
      <xdr:col>10</xdr:col>
      <xdr:colOff>0</xdr:colOff>
      <xdr:row>312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214160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</xdr:row>
      <xdr:rowOff>342900</xdr:rowOff>
    </xdr:from>
    <xdr:to>
      <xdr:col>10</xdr:col>
      <xdr:colOff>0</xdr:colOff>
      <xdr:row>24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29051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39</xdr:row>
      <xdr:rowOff>342900</xdr:rowOff>
    </xdr:from>
    <xdr:to>
      <xdr:col>10</xdr:col>
      <xdr:colOff>0</xdr:colOff>
      <xdr:row>42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36052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57</xdr:row>
      <xdr:rowOff>342900</xdr:rowOff>
    </xdr:from>
    <xdr:to>
      <xdr:col>10</xdr:col>
      <xdr:colOff>0</xdr:colOff>
      <xdr:row>60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430530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75</xdr:row>
      <xdr:rowOff>342900</xdr:rowOff>
    </xdr:from>
    <xdr:to>
      <xdr:col>10</xdr:col>
      <xdr:colOff>0</xdr:colOff>
      <xdr:row>78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500538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93</xdr:row>
      <xdr:rowOff>342900</xdr:rowOff>
    </xdr:from>
    <xdr:to>
      <xdr:col>10</xdr:col>
      <xdr:colOff>0</xdr:colOff>
      <xdr:row>96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57797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111</xdr:row>
      <xdr:rowOff>342900</xdr:rowOff>
    </xdr:from>
    <xdr:to>
      <xdr:col>10</xdr:col>
      <xdr:colOff>0</xdr:colOff>
      <xdr:row>114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70827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147</xdr:row>
      <xdr:rowOff>342900</xdr:rowOff>
    </xdr:from>
    <xdr:to>
      <xdr:col>10</xdr:col>
      <xdr:colOff>0</xdr:colOff>
      <xdr:row>150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96888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165</xdr:row>
      <xdr:rowOff>342900</xdr:rowOff>
    </xdr:from>
    <xdr:to>
      <xdr:col>10</xdr:col>
      <xdr:colOff>0</xdr:colOff>
      <xdr:row>168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09918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183</xdr:row>
      <xdr:rowOff>342900</xdr:rowOff>
    </xdr:from>
    <xdr:to>
      <xdr:col>10</xdr:col>
      <xdr:colOff>0</xdr:colOff>
      <xdr:row>186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22948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201</xdr:row>
      <xdr:rowOff>342900</xdr:rowOff>
    </xdr:from>
    <xdr:to>
      <xdr:col>10</xdr:col>
      <xdr:colOff>0</xdr:colOff>
      <xdr:row>204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978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219</xdr:row>
      <xdr:rowOff>342900</xdr:rowOff>
    </xdr:from>
    <xdr:to>
      <xdr:col>10</xdr:col>
      <xdr:colOff>0</xdr:colOff>
      <xdr:row>222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49009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237</xdr:row>
      <xdr:rowOff>342900</xdr:rowOff>
    </xdr:from>
    <xdr:to>
      <xdr:col>10</xdr:col>
      <xdr:colOff>0</xdr:colOff>
      <xdr:row>240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62039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255</xdr:row>
      <xdr:rowOff>342900</xdr:rowOff>
    </xdr:from>
    <xdr:to>
      <xdr:col>10</xdr:col>
      <xdr:colOff>0</xdr:colOff>
      <xdr:row>258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069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273</xdr:row>
      <xdr:rowOff>342900</xdr:rowOff>
    </xdr:from>
    <xdr:to>
      <xdr:col>10</xdr:col>
      <xdr:colOff>0</xdr:colOff>
      <xdr:row>276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188099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291</xdr:row>
      <xdr:rowOff>342900</xdr:rowOff>
    </xdr:from>
    <xdr:to>
      <xdr:col>10</xdr:col>
      <xdr:colOff>0</xdr:colOff>
      <xdr:row>294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201129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309</xdr:row>
      <xdr:rowOff>342900</xdr:rowOff>
    </xdr:from>
    <xdr:to>
      <xdr:col>10</xdr:col>
      <xdr:colOff>0</xdr:colOff>
      <xdr:row>312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214160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129</xdr:row>
      <xdr:rowOff>342900</xdr:rowOff>
    </xdr:from>
    <xdr:to>
      <xdr:col>10</xdr:col>
      <xdr:colOff>0</xdr:colOff>
      <xdr:row>132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83858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129</xdr:row>
      <xdr:rowOff>342900</xdr:rowOff>
    </xdr:from>
    <xdr:to>
      <xdr:col>10</xdr:col>
      <xdr:colOff>0</xdr:colOff>
      <xdr:row>132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10153650" y="83858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0153650" y="43795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56826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69856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10153650" y="82886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10153650" y="95916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10153650" y="108946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007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148037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067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74097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87128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200158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213188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239248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52279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52279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43795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56826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69856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82886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95916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108946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007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148037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067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74097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87128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200158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213188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269</xdr:row>
      <xdr:rowOff>342900</xdr:rowOff>
    </xdr:from>
    <xdr:to>
      <xdr:col>9</xdr:col>
      <xdr:colOff>0</xdr:colOff>
      <xdr:row>272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226218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239248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252279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121977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121977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0153650" y="15792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28822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41852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0153650" y="54883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0153650" y="67913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0153650" y="80943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107003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120034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33064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46094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59124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72154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85185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211245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24275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24275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15792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28822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41852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54883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67913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80943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107003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120034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133064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46094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59124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72154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85185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269</xdr:row>
      <xdr:rowOff>342900</xdr:rowOff>
    </xdr:from>
    <xdr:to>
      <xdr:col>9</xdr:col>
      <xdr:colOff>0</xdr:colOff>
      <xdr:row>272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98215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211245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224275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93973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93973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12</xdr:col>
      <xdr:colOff>0</xdr:colOff>
      <xdr:row>2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1553825" y="1400175"/>
          <a:ext cx="0" cy="140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0</xdr:colOff>
      <xdr:row>2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1553825" y="1400175"/>
          <a:ext cx="0" cy="140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21"/>
  <sheetViews>
    <sheetView view="pageBreakPreview" topLeftCell="A31" zoomScale="90" zoomScaleSheetLayoutView="90" workbookViewId="0">
      <selection activeCell="L115" sqref="L115"/>
    </sheetView>
  </sheetViews>
  <sheetFormatPr defaultColWidth="9" defaultRowHeight="57" customHeight="1"/>
  <cols>
    <col min="1" max="1" width="5" style="8" customWidth="1"/>
    <col min="2" max="2" width="16.8984375" style="8" customWidth="1"/>
    <col min="3" max="3" width="16.3984375" style="4" customWidth="1"/>
    <col min="4" max="4" width="15.59765625" style="4" customWidth="1"/>
    <col min="5" max="5" width="16.5" style="4" customWidth="1"/>
    <col min="6" max="6" width="15.8984375" style="4" customWidth="1"/>
    <col min="7" max="7" width="15.5" style="4" customWidth="1"/>
    <col min="8" max="8" width="15" style="4" customWidth="1"/>
    <col min="9" max="9" width="16.5" style="4" customWidth="1"/>
    <col min="10" max="10" width="9.8984375" style="4" customWidth="1"/>
    <col min="11" max="16384" width="9" style="4"/>
  </cols>
  <sheetData>
    <row r="1" spans="1:9" s="3" customFormat="1" ht="27.9" customHeight="1">
      <c r="A1" s="212" t="s">
        <v>51</v>
      </c>
      <c r="B1" s="212"/>
      <c r="C1" s="212"/>
      <c r="D1" s="212"/>
      <c r="E1" s="212"/>
      <c r="F1" s="212"/>
      <c r="G1" s="212"/>
      <c r="H1" s="212"/>
      <c r="I1" s="212"/>
    </row>
    <row r="2" spans="1:9" s="3" customFormat="1" ht="23.25" customHeight="1">
      <c r="A2" s="212" t="s">
        <v>1</v>
      </c>
      <c r="B2" s="212"/>
      <c r="C2" s="212"/>
      <c r="D2" s="212"/>
      <c r="E2" s="212"/>
      <c r="F2" s="212"/>
      <c r="G2" s="212"/>
      <c r="H2" s="212"/>
      <c r="I2" s="212"/>
    </row>
    <row r="3" spans="1:9" s="3" customFormat="1" ht="27.9" customHeight="1">
      <c r="A3" s="212" t="s">
        <v>52</v>
      </c>
      <c r="B3" s="212"/>
      <c r="C3" s="212"/>
      <c r="D3" s="212"/>
      <c r="E3" s="212"/>
      <c r="F3" s="212"/>
      <c r="G3" s="212"/>
      <c r="H3" s="212"/>
      <c r="I3" s="212"/>
    </row>
    <row r="4" spans="1:9" ht="27.9" customHeight="1">
      <c r="A4" s="17"/>
      <c r="B4" s="43" t="s">
        <v>19</v>
      </c>
      <c r="C4" s="41"/>
      <c r="D4" s="18"/>
      <c r="E4" s="18"/>
      <c r="F4" s="18"/>
      <c r="G4" s="18"/>
      <c r="H4" s="18"/>
      <c r="I4" s="18"/>
    </row>
    <row r="5" spans="1:9" s="5" customFormat="1" ht="27.9" customHeight="1">
      <c r="A5" s="1" t="s">
        <v>0</v>
      </c>
      <c r="B5" s="15" t="s">
        <v>2</v>
      </c>
      <c r="C5" s="1" t="s">
        <v>53</v>
      </c>
      <c r="D5" s="1" t="s">
        <v>3</v>
      </c>
      <c r="E5" s="9" t="s">
        <v>4</v>
      </c>
      <c r="F5" s="10" t="s">
        <v>5</v>
      </c>
      <c r="G5" s="11" t="s">
        <v>56</v>
      </c>
      <c r="H5" s="9" t="s">
        <v>6</v>
      </c>
      <c r="I5" s="213" t="s">
        <v>7</v>
      </c>
    </row>
    <row r="6" spans="1:9" s="5" customFormat="1" ht="27.9" customHeight="1">
      <c r="A6" s="2" t="s">
        <v>8</v>
      </c>
      <c r="B6" s="16" t="s">
        <v>46</v>
      </c>
      <c r="C6" s="2" t="s">
        <v>9</v>
      </c>
      <c r="D6" s="2" t="s">
        <v>10</v>
      </c>
      <c r="E6" s="12" t="s">
        <v>54</v>
      </c>
      <c r="F6" s="13" t="s">
        <v>55</v>
      </c>
      <c r="G6" s="14" t="s">
        <v>11</v>
      </c>
      <c r="H6" s="36" t="s">
        <v>57</v>
      </c>
      <c r="I6" s="214"/>
    </row>
    <row r="7" spans="1:9" s="7" customFormat="1" ht="80.099999999999994" customHeight="1">
      <c r="A7" s="34"/>
      <c r="B7" s="35"/>
      <c r="C7" s="42"/>
      <c r="D7" s="35"/>
      <c r="E7" s="37"/>
      <c r="F7" s="37"/>
      <c r="G7" s="37"/>
      <c r="H7" s="38"/>
      <c r="I7" s="37"/>
    </row>
    <row r="8" spans="1:9" ht="27.9" customHeight="1">
      <c r="A8" s="19"/>
      <c r="B8" s="20"/>
      <c r="C8" s="21"/>
      <c r="D8" s="39"/>
      <c r="E8" s="22"/>
      <c r="F8" s="23"/>
      <c r="G8" s="18"/>
      <c r="H8" s="18"/>
      <c r="I8" s="18"/>
    </row>
    <row r="9" spans="1:9" ht="27.9" customHeight="1">
      <c r="A9" s="215" t="s">
        <v>15</v>
      </c>
      <c r="B9" s="215"/>
      <c r="C9" s="215"/>
      <c r="D9" s="215"/>
      <c r="E9" s="215"/>
      <c r="F9" s="215"/>
      <c r="G9" s="215"/>
      <c r="H9" s="215"/>
      <c r="I9" s="215"/>
    </row>
    <row r="10" spans="1:9" ht="27.9" customHeight="1">
      <c r="A10" s="216" t="s">
        <v>16</v>
      </c>
      <c r="B10" s="216"/>
      <c r="C10" s="216"/>
      <c r="D10" s="216"/>
      <c r="E10" s="216"/>
      <c r="F10" s="216"/>
      <c r="G10" s="216"/>
      <c r="H10" s="216"/>
      <c r="I10" s="216"/>
    </row>
    <row r="11" spans="1:9" s="6" customFormat="1" ht="27.9" customHeight="1">
      <c r="A11" s="216" t="s">
        <v>16</v>
      </c>
      <c r="B11" s="216"/>
      <c r="C11" s="216"/>
      <c r="D11" s="216"/>
      <c r="E11" s="216"/>
      <c r="F11" s="216"/>
      <c r="G11" s="216"/>
      <c r="H11" s="216"/>
      <c r="I11" s="216"/>
    </row>
    <row r="12" spans="1:9" s="6" customFormat="1" ht="27.9" customHeight="1">
      <c r="A12" s="216" t="s">
        <v>17</v>
      </c>
      <c r="B12" s="216"/>
      <c r="C12" s="216"/>
      <c r="D12" s="216"/>
      <c r="E12" s="216"/>
      <c r="F12" s="216"/>
      <c r="G12" s="216"/>
      <c r="H12" s="216"/>
      <c r="I12" s="216"/>
    </row>
    <row r="13" spans="1:9" s="7" customFormat="1" ht="27.9" customHeight="1">
      <c r="A13" s="216" t="s">
        <v>18</v>
      </c>
      <c r="B13" s="216"/>
      <c r="C13" s="216"/>
      <c r="D13" s="216"/>
      <c r="E13" s="216"/>
      <c r="F13" s="216"/>
      <c r="G13" s="216"/>
      <c r="H13" s="216"/>
      <c r="I13" s="216"/>
    </row>
    <row r="14" spans="1:9" s="7" customFormat="1" ht="27.9" customHeight="1">
      <c r="A14" s="24"/>
      <c r="B14" s="24"/>
      <c r="C14" s="24"/>
      <c r="D14" s="24"/>
      <c r="E14" s="24"/>
      <c r="F14" s="24"/>
      <c r="G14" s="24"/>
      <c r="H14" s="24"/>
      <c r="I14" s="24"/>
    </row>
    <row r="15" spans="1:9" ht="27.9" customHeight="1">
      <c r="A15" s="24"/>
      <c r="B15" s="25"/>
      <c r="C15" s="39"/>
      <c r="D15" s="39"/>
      <c r="E15" s="26" t="s">
        <v>12</v>
      </c>
      <c r="F15" s="27"/>
      <c r="G15" s="28"/>
      <c r="H15" s="29" t="s">
        <v>13</v>
      </c>
      <c r="I15" s="24"/>
    </row>
    <row r="16" spans="1:9" ht="27.9" customHeight="1">
      <c r="A16" s="30"/>
      <c r="B16" s="30"/>
      <c r="C16" s="18"/>
      <c r="D16" s="18"/>
      <c r="E16" s="31"/>
      <c r="F16" s="217" t="s">
        <v>14</v>
      </c>
      <c r="G16" s="217"/>
      <c r="H16" s="31"/>
      <c r="I16" s="18"/>
    </row>
    <row r="17" spans="1:9" ht="27.9" customHeight="1">
      <c r="A17" s="32"/>
      <c r="B17" s="25"/>
      <c r="C17" s="40"/>
      <c r="D17" s="40"/>
      <c r="E17" s="33"/>
      <c r="F17" s="23"/>
      <c r="G17" s="18"/>
      <c r="H17" s="18"/>
      <c r="I17" s="18"/>
    </row>
    <row r="18" spans="1:9" ht="27.9" customHeight="1">
      <c r="A18" s="212"/>
      <c r="B18" s="212"/>
      <c r="C18" s="212"/>
      <c r="D18" s="212"/>
      <c r="E18" s="212"/>
      <c r="F18" s="212"/>
      <c r="G18" s="212"/>
      <c r="H18" s="212"/>
      <c r="I18" s="212"/>
    </row>
    <row r="19" spans="1:9" s="3" customFormat="1" ht="27.9" customHeight="1">
      <c r="A19" s="212" t="s">
        <v>51</v>
      </c>
      <c r="B19" s="212"/>
      <c r="C19" s="212"/>
      <c r="D19" s="212"/>
      <c r="E19" s="212"/>
      <c r="F19" s="212"/>
      <c r="G19" s="212"/>
      <c r="H19" s="212"/>
      <c r="I19" s="212"/>
    </row>
    <row r="20" spans="1:9" s="3" customFormat="1" ht="27.9" customHeight="1">
      <c r="A20" s="212" t="s">
        <v>1</v>
      </c>
      <c r="B20" s="212"/>
      <c r="C20" s="212"/>
      <c r="D20" s="212"/>
      <c r="E20" s="212"/>
      <c r="F20" s="212"/>
      <c r="G20" s="212"/>
      <c r="H20" s="212"/>
      <c r="I20" s="212"/>
    </row>
    <row r="21" spans="1:9" s="3" customFormat="1" ht="27.9" customHeight="1">
      <c r="A21" s="212" t="s">
        <v>52</v>
      </c>
      <c r="B21" s="212"/>
      <c r="C21" s="212"/>
      <c r="D21" s="212"/>
      <c r="E21" s="212"/>
      <c r="F21" s="212"/>
      <c r="G21" s="212"/>
      <c r="H21" s="212"/>
      <c r="I21" s="212"/>
    </row>
    <row r="22" spans="1:9" ht="27.9" customHeight="1">
      <c r="A22" s="17"/>
      <c r="B22" s="43" t="s">
        <v>20</v>
      </c>
      <c r="C22" s="41"/>
      <c r="D22" s="18"/>
      <c r="E22" s="18"/>
      <c r="F22" s="18"/>
      <c r="G22" s="18"/>
      <c r="H22" s="18"/>
      <c r="I22" s="18"/>
    </row>
    <row r="23" spans="1:9" s="5" customFormat="1" ht="27.9" customHeight="1">
      <c r="A23" s="1" t="s">
        <v>0</v>
      </c>
      <c r="B23" s="15" t="s">
        <v>2</v>
      </c>
      <c r="C23" s="1" t="s">
        <v>63</v>
      </c>
      <c r="D23" s="1" t="s">
        <v>3</v>
      </c>
      <c r="E23" s="9" t="s">
        <v>4</v>
      </c>
      <c r="F23" s="10" t="s">
        <v>5</v>
      </c>
      <c r="G23" s="11" t="s">
        <v>45</v>
      </c>
      <c r="H23" s="9" t="s">
        <v>6</v>
      </c>
      <c r="I23" s="213" t="s">
        <v>7</v>
      </c>
    </row>
    <row r="24" spans="1:9" s="5" customFormat="1" ht="27.9" customHeight="1">
      <c r="A24" s="2" t="s">
        <v>8</v>
      </c>
      <c r="B24" s="16" t="s">
        <v>58</v>
      </c>
      <c r="C24" s="2" t="s">
        <v>9</v>
      </c>
      <c r="D24" s="2" t="s">
        <v>10</v>
      </c>
      <c r="E24" s="12" t="s">
        <v>64</v>
      </c>
      <c r="F24" s="13" t="s">
        <v>55</v>
      </c>
      <c r="G24" s="14" t="s">
        <v>11</v>
      </c>
      <c r="H24" s="36" t="s">
        <v>46</v>
      </c>
      <c r="I24" s="214"/>
    </row>
    <row r="25" spans="1:9" s="7" customFormat="1" ht="80.099999999999994" customHeight="1">
      <c r="A25" s="34">
        <v>1</v>
      </c>
      <c r="B25" s="35">
        <v>320000000</v>
      </c>
      <c r="C25" s="55"/>
      <c r="D25" s="35"/>
      <c r="E25" s="37"/>
      <c r="F25" s="37"/>
      <c r="G25" s="37"/>
      <c r="H25" s="38"/>
      <c r="I25" s="37"/>
    </row>
    <row r="26" spans="1:9" ht="27.9" customHeight="1">
      <c r="A26" s="19"/>
      <c r="B26" s="20"/>
      <c r="C26" s="21"/>
      <c r="D26" s="39"/>
      <c r="E26" s="22"/>
      <c r="F26" s="23"/>
      <c r="G26" s="18"/>
      <c r="H26" s="18"/>
      <c r="I26" s="18"/>
    </row>
    <row r="27" spans="1:9" ht="27.9" customHeight="1">
      <c r="A27" s="215" t="s">
        <v>15</v>
      </c>
      <c r="B27" s="215"/>
      <c r="C27" s="215"/>
      <c r="D27" s="215"/>
      <c r="E27" s="215"/>
      <c r="F27" s="215"/>
      <c r="G27" s="215"/>
      <c r="H27" s="215"/>
      <c r="I27" s="215"/>
    </row>
    <row r="28" spans="1:9" ht="27.9" customHeight="1">
      <c r="A28" s="216" t="s">
        <v>16</v>
      </c>
      <c r="B28" s="216"/>
      <c r="C28" s="216"/>
      <c r="D28" s="216"/>
      <c r="E28" s="216"/>
      <c r="F28" s="216"/>
      <c r="G28" s="216"/>
      <c r="H28" s="216"/>
      <c r="I28" s="216"/>
    </row>
    <row r="29" spans="1:9" s="6" customFormat="1" ht="27.9" customHeight="1">
      <c r="A29" s="216" t="s">
        <v>16</v>
      </c>
      <c r="B29" s="216"/>
      <c r="C29" s="216"/>
      <c r="D29" s="216"/>
      <c r="E29" s="216"/>
      <c r="F29" s="216"/>
      <c r="G29" s="216"/>
      <c r="H29" s="216"/>
      <c r="I29" s="216"/>
    </row>
    <row r="30" spans="1:9" s="7" customFormat="1" ht="27.9" customHeight="1">
      <c r="A30" s="216" t="s">
        <v>18</v>
      </c>
      <c r="B30" s="216"/>
      <c r="C30" s="216"/>
      <c r="D30" s="216"/>
      <c r="E30" s="216"/>
      <c r="F30" s="216"/>
      <c r="G30" s="216"/>
      <c r="H30" s="216"/>
      <c r="I30" s="216"/>
    </row>
    <row r="31" spans="1:9" s="7" customFormat="1" ht="27.9" customHeight="1">
      <c r="A31" s="24"/>
      <c r="B31" s="24"/>
      <c r="C31" s="24"/>
      <c r="D31" s="24"/>
      <c r="E31" s="24"/>
      <c r="F31" s="24"/>
      <c r="G31" s="24"/>
      <c r="H31" s="24"/>
      <c r="I31" s="24"/>
    </row>
    <row r="32" spans="1:9" ht="27.9" customHeight="1">
      <c r="A32" s="24"/>
      <c r="B32" s="25"/>
      <c r="C32" s="39"/>
      <c r="D32" s="39"/>
      <c r="E32" s="26" t="s">
        <v>12</v>
      </c>
      <c r="F32" s="27"/>
      <c r="G32" s="28"/>
      <c r="H32" s="29" t="s">
        <v>13</v>
      </c>
      <c r="I32" s="24"/>
    </row>
    <row r="33" spans="1:9" ht="27.9" customHeight="1">
      <c r="A33" s="30"/>
      <c r="B33" s="30"/>
      <c r="C33" s="18"/>
      <c r="D33" s="18"/>
      <c r="E33" s="31"/>
      <c r="F33" s="217" t="s">
        <v>14</v>
      </c>
      <c r="G33" s="217"/>
      <c r="H33" s="31"/>
      <c r="I33" s="18"/>
    </row>
    <row r="34" spans="1:9" ht="27.9" customHeight="1">
      <c r="A34" s="62" t="s">
        <v>48</v>
      </c>
      <c r="B34" s="62"/>
      <c r="C34" s="62"/>
      <c r="D34" s="62"/>
      <c r="E34" s="62"/>
      <c r="F34" s="62"/>
      <c r="G34" s="62"/>
      <c r="H34" s="62"/>
      <c r="I34" s="62"/>
    </row>
    <row r="35" spans="1:9" ht="27.9" customHeight="1">
      <c r="A35" s="62"/>
      <c r="B35" s="62"/>
      <c r="C35" s="62"/>
      <c r="D35" s="62"/>
      <c r="E35" s="62"/>
      <c r="F35" s="62"/>
      <c r="G35" s="62"/>
      <c r="H35" s="62"/>
      <c r="I35" s="62"/>
    </row>
    <row r="36" spans="1:9" ht="27.9" customHeight="1">
      <c r="A36" s="62"/>
      <c r="B36" s="62"/>
      <c r="C36" s="62"/>
      <c r="D36" s="62"/>
      <c r="E36" s="62"/>
      <c r="F36" s="62"/>
      <c r="G36" s="62"/>
      <c r="H36" s="62"/>
      <c r="I36" s="62"/>
    </row>
    <row r="37" spans="1:9" s="3" customFormat="1" ht="27.9" customHeight="1">
      <c r="A37" s="212" t="s">
        <v>51</v>
      </c>
      <c r="B37" s="212"/>
      <c r="C37" s="212"/>
      <c r="D37" s="212"/>
      <c r="E37" s="212"/>
      <c r="F37" s="212"/>
      <c r="G37" s="212"/>
      <c r="H37" s="212"/>
      <c r="I37" s="212"/>
    </row>
    <row r="38" spans="1:9" s="3" customFormat="1" ht="27.9" customHeight="1">
      <c r="A38" s="212" t="s">
        <v>1</v>
      </c>
      <c r="B38" s="212"/>
      <c r="C38" s="212"/>
      <c r="D38" s="212"/>
      <c r="E38" s="212"/>
      <c r="F38" s="212"/>
      <c r="G38" s="212"/>
      <c r="H38" s="212"/>
      <c r="I38" s="212"/>
    </row>
    <row r="39" spans="1:9" s="3" customFormat="1" ht="27.9" customHeight="1">
      <c r="A39" s="212" t="s">
        <v>52</v>
      </c>
      <c r="B39" s="212"/>
      <c r="C39" s="212"/>
      <c r="D39" s="212"/>
      <c r="E39" s="212"/>
      <c r="F39" s="212"/>
      <c r="G39" s="212"/>
      <c r="H39" s="212"/>
      <c r="I39" s="212"/>
    </row>
    <row r="40" spans="1:9" ht="27.9" customHeight="1">
      <c r="A40" s="17"/>
      <c r="B40" s="43" t="s">
        <v>26</v>
      </c>
      <c r="C40" s="41"/>
      <c r="D40" s="18"/>
      <c r="E40" s="18"/>
      <c r="F40" s="18"/>
      <c r="G40" s="18"/>
      <c r="H40" s="18"/>
      <c r="I40" s="18"/>
    </row>
    <row r="41" spans="1:9" s="5" customFormat="1" ht="27.9" customHeight="1">
      <c r="A41" s="1" t="s">
        <v>0</v>
      </c>
      <c r="B41" s="15" t="s">
        <v>2</v>
      </c>
      <c r="C41" s="1" t="s">
        <v>53</v>
      </c>
      <c r="D41" s="1" t="s">
        <v>3</v>
      </c>
      <c r="E41" s="9" t="s">
        <v>4</v>
      </c>
      <c r="F41" s="10" t="s">
        <v>5</v>
      </c>
      <c r="G41" s="11" t="s">
        <v>56</v>
      </c>
      <c r="H41" s="9" t="s">
        <v>6</v>
      </c>
      <c r="I41" s="213" t="s">
        <v>7</v>
      </c>
    </row>
    <row r="42" spans="1:9" s="5" customFormat="1" ht="27.9" customHeight="1">
      <c r="A42" s="2" t="s">
        <v>8</v>
      </c>
      <c r="B42" s="16" t="s">
        <v>58</v>
      </c>
      <c r="C42" s="2" t="s">
        <v>9</v>
      </c>
      <c r="D42" s="2" t="s">
        <v>10</v>
      </c>
      <c r="E42" s="12" t="s">
        <v>64</v>
      </c>
      <c r="F42" s="13" t="s">
        <v>55</v>
      </c>
      <c r="G42" s="14" t="s">
        <v>11</v>
      </c>
      <c r="H42" s="36" t="s">
        <v>57</v>
      </c>
      <c r="I42" s="214"/>
    </row>
    <row r="43" spans="1:9" s="7" customFormat="1" ht="80.099999999999994" customHeight="1">
      <c r="A43" s="34">
        <v>6</v>
      </c>
      <c r="B43" s="49">
        <v>2500000</v>
      </c>
      <c r="C43" s="50"/>
      <c r="D43" s="35"/>
      <c r="E43" s="37"/>
      <c r="F43" s="37"/>
      <c r="G43" s="37"/>
      <c r="H43" s="38"/>
      <c r="I43" s="37"/>
    </row>
    <row r="44" spans="1:9" ht="27.9" customHeight="1">
      <c r="A44" s="19"/>
      <c r="B44" s="20"/>
      <c r="C44" s="21"/>
      <c r="D44" s="39"/>
      <c r="E44" s="22"/>
      <c r="F44" s="23"/>
      <c r="G44" s="18"/>
      <c r="H44" s="18"/>
      <c r="I44" s="18"/>
    </row>
    <row r="45" spans="1:9" ht="27.9" customHeight="1">
      <c r="A45" s="215" t="s">
        <v>15</v>
      </c>
      <c r="B45" s="215"/>
      <c r="C45" s="215"/>
      <c r="D45" s="215"/>
      <c r="E45" s="215"/>
      <c r="F45" s="215"/>
      <c r="G45" s="215"/>
      <c r="H45" s="215"/>
      <c r="I45" s="215"/>
    </row>
    <row r="46" spans="1:9" ht="27.9" customHeight="1">
      <c r="A46" s="216" t="s">
        <v>16</v>
      </c>
      <c r="B46" s="216"/>
      <c r="C46" s="216"/>
      <c r="D46" s="216"/>
      <c r="E46" s="216"/>
      <c r="F46" s="216"/>
      <c r="G46" s="216"/>
      <c r="H46" s="216"/>
      <c r="I46" s="216"/>
    </row>
    <row r="47" spans="1:9" s="6" customFormat="1" ht="27.9" customHeight="1">
      <c r="A47" s="216" t="s">
        <v>16</v>
      </c>
      <c r="B47" s="216"/>
      <c r="C47" s="216"/>
      <c r="D47" s="216"/>
      <c r="E47" s="216"/>
      <c r="F47" s="216"/>
      <c r="G47" s="216"/>
      <c r="H47" s="216"/>
      <c r="I47" s="216"/>
    </row>
    <row r="48" spans="1:9" s="6" customFormat="1" ht="27.9" customHeight="1">
      <c r="A48" s="216" t="s">
        <v>17</v>
      </c>
      <c r="B48" s="216"/>
      <c r="C48" s="216"/>
      <c r="D48" s="216"/>
      <c r="E48" s="216"/>
      <c r="F48" s="216"/>
      <c r="G48" s="216"/>
      <c r="H48" s="216"/>
      <c r="I48" s="216"/>
    </row>
    <row r="49" spans="1:9" s="7" customFormat="1" ht="27.9" customHeight="1">
      <c r="A49" s="216" t="s">
        <v>18</v>
      </c>
      <c r="B49" s="216"/>
      <c r="C49" s="216"/>
      <c r="D49" s="216"/>
      <c r="E49" s="216"/>
      <c r="F49" s="216"/>
      <c r="G49" s="216"/>
      <c r="H49" s="216"/>
      <c r="I49" s="216"/>
    </row>
    <row r="50" spans="1:9" s="7" customFormat="1" ht="27.9" customHeight="1">
      <c r="A50" s="24"/>
      <c r="B50" s="24"/>
      <c r="C50" s="24"/>
      <c r="D50" s="24"/>
      <c r="E50" s="24"/>
      <c r="F50" s="24"/>
      <c r="G50" s="24"/>
      <c r="H50" s="24"/>
      <c r="I50" s="24"/>
    </row>
    <row r="51" spans="1:9" ht="27.9" customHeight="1">
      <c r="A51" s="24"/>
      <c r="B51" s="25"/>
      <c r="C51" s="39"/>
      <c r="D51" s="39"/>
      <c r="E51" s="26" t="s">
        <v>12</v>
      </c>
      <c r="F51" s="27"/>
      <c r="G51" s="28"/>
      <c r="H51" s="29" t="s">
        <v>13</v>
      </c>
      <c r="I51" s="24"/>
    </row>
    <row r="52" spans="1:9" ht="27.9" customHeight="1">
      <c r="A52" s="30"/>
      <c r="B52" s="30"/>
      <c r="C52" s="18"/>
      <c r="D52" s="18"/>
      <c r="E52" s="31"/>
      <c r="F52" s="217" t="s">
        <v>14</v>
      </c>
      <c r="G52" s="217"/>
      <c r="H52" s="31"/>
      <c r="I52" s="18"/>
    </row>
    <row r="53" spans="1:9" ht="27.9" customHeight="1">
      <c r="A53" s="32"/>
      <c r="B53" s="25" t="s">
        <v>48</v>
      </c>
      <c r="C53" s="40"/>
      <c r="D53" s="40"/>
      <c r="E53" s="33"/>
      <c r="F53" s="23"/>
      <c r="G53" s="18"/>
      <c r="H53" s="18"/>
      <c r="I53" s="18"/>
    </row>
    <row r="54" spans="1:9" ht="27.9" customHeight="1">
      <c r="A54" s="212"/>
      <c r="B54" s="212"/>
      <c r="C54" s="212"/>
      <c r="D54" s="212"/>
      <c r="E54" s="212"/>
      <c r="F54" s="212"/>
      <c r="G54" s="212"/>
      <c r="H54" s="212"/>
      <c r="I54" s="212"/>
    </row>
    <row r="55" spans="1:9" s="3" customFormat="1" ht="27.9" customHeight="1">
      <c r="A55" s="212" t="s">
        <v>51</v>
      </c>
      <c r="B55" s="212"/>
      <c r="C55" s="212"/>
      <c r="D55" s="212"/>
      <c r="E55" s="212"/>
      <c r="F55" s="212"/>
      <c r="G55" s="212"/>
      <c r="H55" s="212"/>
      <c r="I55" s="212"/>
    </row>
    <row r="56" spans="1:9" s="3" customFormat="1" ht="27.9" customHeight="1">
      <c r="A56" s="212" t="s">
        <v>1</v>
      </c>
      <c r="B56" s="212"/>
      <c r="C56" s="212"/>
      <c r="D56" s="212"/>
      <c r="E56" s="212"/>
      <c r="F56" s="212"/>
      <c r="G56" s="212"/>
      <c r="H56" s="212"/>
      <c r="I56" s="212"/>
    </row>
    <row r="57" spans="1:9" s="3" customFormat="1" ht="27.9" customHeight="1">
      <c r="A57" s="212" t="s">
        <v>52</v>
      </c>
      <c r="B57" s="212"/>
      <c r="C57" s="212"/>
      <c r="D57" s="212"/>
      <c r="E57" s="212"/>
      <c r="F57" s="212"/>
      <c r="G57" s="212"/>
      <c r="H57" s="212"/>
      <c r="I57" s="212"/>
    </row>
    <row r="58" spans="1:9" ht="27.9" customHeight="1">
      <c r="A58" s="17"/>
      <c r="B58" s="218" t="s">
        <v>27</v>
      </c>
      <c r="C58" s="218"/>
      <c r="D58" s="18"/>
      <c r="E58" s="18"/>
      <c r="F58" s="18"/>
      <c r="G58" s="18"/>
      <c r="H58" s="18"/>
      <c r="I58" s="18"/>
    </row>
    <row r="59" spans="1:9" s="5" customFormat="1" ht="27.9" customHeight="1">
      <c r="A59" s="1" t="s">
        <v>0</v>
      </c>
      <c r="B59" s="15" t="s">
        <v>2</v>
      </c>
      <c r="C59" s="1" t="s">
        <v>53</v>
      </c>
      <c r="D59" s="1" t="s">
        <v>3</v>
      </c>
      <c r="E59" s="9" t="s">
        <v>4</v>
      </c>
      <c r="F59" s="10" t="s">
        <v>5</v>
      </c>
      <c r="G59" s="11" t="s">
        <v>56</v>
      </c>
      <c r="H59" s="9" t="s">
        <v>6</v>
      </c>
      <c r="I59" s="213" t="s">
        <v>7</v>
      </c>
    </row>
    <row r="60" spans="1:9" s="5" customFormat="1" ht="27.9" customHeight="1">
      <c r="A60" s="2" t="s">
        <v>8</v>
      </c>
      <c r="B60" s="16" t="s">
        <v>58</v>
      </c>
      <c r="C60" s="2" t="s">
        <v>9</v>
      </c>
      <c r="D60" s="2" t="s">
        <v>10</v>
      </c>
      <c r="E60" s="12" t="s">
        <v>64</v>
      </c>
      <c r="F60" s="13" t="s">
        <v>55</v>
      </c>
      <c r="G60" s="14" t="s">
        <v>11</v>
      </c>
      <c r="H60" s="36" t="s">
        <v>57</v>
      </c>
      <c r="I60" s="214"/>
    </row>
    <row r="61" spans="1:9" s="7" customFormat="1" ht="80.099999999999994" customHeight="1">
      <c r="A61" s="34">
        <v>8</v>
      </c>
      <c r="B61" s="35">
        <v>2000000</v>
      </c>
      <c r="C61" s="42"/>
      <c r="D61" s="35"/>
      <c r="E61" s="37"/>
      <c r="F61" s="37"/>
      <c r="G61" s="37"/>
      <c r="H61" s="38"/>
      <c r="I61" s="37"/>
    </row>
    <row r="62" spans="1:9" ht="27.9" customHeight="1">
      <c r="A62" s="19"/>
      <c r="B62" s="20"/>
      <c r="C62" s="21"/>
      <c r="D62" s="39"/>
      <c r="E62" s="22"/>
      <c r="F62" s="23"/>
      <c r="G62" s="18"/>
      <c r="H62" s="18"/>
      <c r="I62" s="18"/>
    </row>
    <row r="63" spans="1:9" ht="27.9" customHeight="1">
      <c r="A63" s="215" t="s">
        <v>15</v>
      </c>
      <c r="B63" s="215"/>
      <c r="C63" s="215"/>
      <c r="D63" s="215"/>
      <c r="E63" s="215"/>
      <c r="F63" s="215"/>
      <c r="G63" s="215"/>
      <c r="H63" s="215"/>
      <c r="I63" s="215"/>
    </row>
    <row r="64" spans="1:9" ht="27.9" customHeight="1">
      <c r="A64" s="216" t="s">
        <v>16</v>
      </c>
      <c r="B64" s="216"/>
      <c r="C64" s="216"/>
      <c r="D64" s="216"/>
      <c r="E64" s="216"/>
      <c r="F64" s="216"/>
      <c r="G64" s="216"/>
      <c r="H64" s="216"/>
      <c r="I64" s="216"/>
    </row>
    <row r="65" spans="1:9" s="6" customFormat="1" ht="27.9" customHeight="1">
      <c r="A65" s="216" t="s">
        <v>16</v>
      </c>
      <c r="B65" s="216"/>
      <c r="C65" s="216"/>
      <c r="D65" s="216"/>
      <c r="E65" s="216"/>
      <c r="F65" s="216"/>
      <c r="G65" s="216"/>
      <c r="H65" s="216"/>
      <c r="I65" s="216"/>
    </row>
    <row r="66" spans="1:9" s="6" customFormat="1" ht="27.9" customHeight="1">
      <c r="A66" s="216" t="s">
        <v>17</v>
      </c>
      <c r="B66" s="216"/>
      <c r="C66" s="216"/>
      <c r="D66" s="216"/>
      <c r="E66" s="216"/>
      <c r="F66" s="216"/>
      <c r="G66" s="216"/>
      <c r="H66" s="216"/>
      <c r="I66" s="216"/>
    </row>
    <row r="67" spans="1:9" s="7" customFormat="1" ht="27.9" customHeight="1">
      <c r="A67" s="216" t="s">
        <v>18</v>
      </c>
      <c r="B67" s="216"/>
      <c r="C67" s="216"/>
      <c r="D67" s="216"/>
      <c r="E67" s="216"/>
      <c r="F67" s="216"/>
      <c r="G67" s="216"/>
      <c r="H67" s="216"/>
      <c r="I67" s="216"/>
    </row>
    <row r="68" spans="1:9" s="7" customFormat="1" ht="27.9" customHeight="1">
      <c r="A68" s="24"/>
      <c r="B68" s="24"/>
      <c r="C68" s="24"/>
      <c r="D68" s="24"/>
      <c r="E68" s="24"/>
      <c r="F68" s="24"/>
      <c r="G68" s="24"/>
      <c r="H68" s="24"/>
      <c r="I68" s="24"/>
    </row>
    <row r="69" spans="1:9" ht="27.9" customHeight="1">
      <c r="A69" s="24"/>
      <c r="B69" s="25"/>
      <c r="C69" s="39"/>
      <c r="D69" s="39"/>
      <c r="E69" s="26" t="s">
        <v>12</v>
      </c>
      <c r="F69" s="27"/>
      <c r="G69" s="28"/>
      <c r="H69" s="29" t="s">
        <v>13</v>
      </c>
      <c r="I69" s="24"/>
    </row>
    <row r="70" spans="1:9" ht="27.9" customHeight="1">
      <c r="A70" s="30"/>
      <c r="B70" s="30"/>
      <c r="C70" s="18"/>
      <c r="D70" s="18"/>
      <c r="E70" s="31"/>
      <c r="F70" s="217" t="s">
        <v>14</v>
      </c>
      <c r="G70" s="217"/>
      <c r="H70" s="31"/>
      <c r="I70" s="18"/>
    </row>
    <row r="71" spans="1:9" ht="27.9" customHeight="1">
      <c r="A71" s="32"/>
      <c r="B71" s="25" t="s">
        <v>48</v>
      </c>
      <c r="C71" s="40"/>
      <c r="D71" s="40"/>
      <c r="E71" s="33"/>
      <c r="F71" s="23"/>
      <c r="G71" s="18"/>
      <c r="H71" s="18"/>
      <c r="I71" s="18"/>
    </row>
    <row r="72" spans="1:9" ht="27.9" customHeight="1">
      <c r="A72" s="212"/>
      <c r="B72" s="212"/>
      <c r="C72" s="212"/>
      <c r="D72" s="212"/>
      <c r="E72" s="212"/>
      <c r="F72" s="212"/>
      <c r="G72" s="212"/>
      <c r="H72" s="212"/>
      <c r="I72" s="212"/>
    </row>
    <row r="73" spans="1:9" s="3" customFormat="1" ht="27.9" customHeight="1">
      <c r="A73" s="212" t="s">
        <v>51</v>
      </c>
      <c r="B73" s="212"/>
      <c r="C73" s="212"/>
      <c r="D73" s="212"/>
      <c r="E73" s="212"/>
      <c r="F73" s="212"/>
      <c r="G73" s="212"/>
      <c r="H73" s="212"/>
      <c r="I73" s="212"/>
    </row>
    <row r="74" spans="1:9" s="3" customFormat="1" ht="27.9" customHeight="1">
      <c r="A74" s="212" t="s">
        <v>1</v>
      </c>
      <c r="B74" s="212"/>
      <c r="C74" s="212"/>
      <c r="D74" s="212"/>
      <c r="E74" s="212"/>
      <c r="F74" s="212"/>
      <c r="G74" s="212"/>
      <c r="H74" s="212"/>
      <c r="I74" s="212"/>
    </row>
    <row r="75" spans="1:9" s="3" customFormat="1" ht="27.9" customHeight="1">
      <c r="A75" s="212" t="s">
        <v>52</v>
      </c>
      <c r="B75" s="212"/>
      <c r="C75" s="212"/>
      <c r="D75" s="212"/>
      <c r="E75" s="212"/>
      <c r="F75" s="212"/>
      <c r="G75" s="212"/>
      <c r="H75" s="212"/>
      <c r="I75" s="212"/>
    </row>
    <row r="76" spans="1:9" ht="27.9" customHeight="1">
      <c r="A76" s="17"/>
      <c r="B76" s="43" t="s">
        <v>38</v>
      </c>
      <c r="C76" s="41"/>
      <c r="D76" s="18"/>
      <c r="E76" s="18"/>
      <c r="F76" s="18"/>
      <c r="G76" s="18"/>
      <c r="H76" s="18"/>
      <c r="I76" s="18"/>
    </row>
    <row r="77" spans="1:9" s="5" customFormat="1" ht="27.9" customHeight="1">
      <c r="A77" s="1" t="s">
        <v>0</v>
      </c>
      <c r="B77" s="15" t="s">
        <v>2</v>
      </c>
      <c r="C77" s="1" t="s">
        <v>53</v>
      </c>
      <c r="D77" s="1" t="s">
        <v>3</v>
      </c>
      <c r="E77" s="9" t="s">
        <v>4</v>
      </c>
      <c r="F77" s="10" t="s">
        <v>5</v>
      </c>
      <c r="G77" s="11" t="s">
        <v>56</v>
      </c>
      <c r="H77" s="9" t="s">
        <v>6</v>
      </c>
      <c r="I77" s="213" t="s">
        <v>7</v>
      </c>
    </row>
    <row r="78" spans="1:9" s="5" customFormat="1" ht="27.9" customHeight="1">
      <c r="A78" s="2" t="s">
        <v>8</v>
      </c>
      <c r="B78" s="16" t="s">
        <v>58</v>
      </c>
      <c r="C78" s="2" t="s">
        <v>9</v>
      </c>
      <c r="D78" s="2" t="s">
        <v>10</v>
      </c>
      <c r="E78" s="12" t="s">
        <v>65</v>
      </c>
      <c r="F78" s="13" t="s">
        <v>55</v>
      </c>
      <c r="G78" s="14" t="s">
        <v>11</v>
      </c>
      <c r="H78" s="36" t="s">
        <v>57</v>
      </c>
      <c r="I78" s="214"/>
    </row>
    <row r="79" spans="1:9" s="7" customFormat="1" ht="80.099999999999994" customHeight="1">
      <c r="A79" s="34">
        <v>25</v>
      </c>
      <c r="B79" s="35">
        <v>5500000</v>
      </c>
      <c r="C79" s="42"/>
      <c r="D79" s="35"/>
      <c r="E79" s="37"/>
      <c r="F79" s="37"/>
      <c r="G79" s="37"/>
      <c r="H79" s="38"/>
      <c r="I79" s="37"/>
    </row>
    <row r="80" spans="1:9" ht="27.9" customHeight="1">
      <c r="A80" s="19"/>
      <c r="B80" s="20"/>
      <c r="C80" s="21"/>
      <c r="D80" s="39"/>
      <c r="E80" s="22"/>
      <c r="F80" s="23"/>
      <c r="G80" s="18"/>
      <c r="H80" s="18"/>
      <c r="I80" s="18"/>
    </row>
    <row r="81" spans="1:9" ht="27.9" customHeight="1">
      <c r="A81" s="215" t="s">
        <v>15</v>
      </c>
      <c r="B81" s="215"/>
      <c r="C81" s="215"/>
      <c r="D81" s="215"/>
      <c r="E81" s="215"/>
      <c r="F81" s="215"/>
      <c r="G81" s="215"/>
      <c r="H81" s="215"/>
      <c r="I81" s="215"/>
    </row>
    <row r="82" spans="1:9" ht="27.9" customHeight="1">
      <c r="A82" s="216" t="s">
        <v>16</v>
      </c>
      <c r="B82" s="216"/>
      <c r="C82" s="216"/>
      <c r="D82" s="216"/>
      <c r="E82" s="216"/>
      <c r="F82" s="216"/>
      <c r="G82" s="216"/>
      <c r="H82" s="216"/>
      <c r="I82" s="216"/>
    </row>
    <row r="83" spans="1:9" s="6" customFormat="1" ht="27.9" customHeight="1">
      <c r="A83" s="216" t="s">
        <v>16</v>
      </c>
      <c r="B83" s="216"/>
      <c r="C83" s="216"/>
      <c r="D83" s="216"/>
      <c r="E83" s="216"/>
      <c r="F83" s="216"/>
      <c r="G83" s="216"/>
      <c r="H83" s="216"/>
      <c r="I83" s="216"/>
    </row>
    <row r="84" spans="1:9" s="7" customFormat="1" ht="27.9" customHeight="1">
      <c r="A84" s="216" t="s">
        <v>18</v>
      </c>
      <c r="B84" s="216"/>
      <c r="C84" s="216"/>
      <c r="D84" s="216"/>
      <c r="E84" s="216"/>
      <c r="F84" s="216"/>
      <c r="G84" s="216"/>
      <c r="H84" s="216"/>
      <c r="I84" s="216"/>
    </row>
    <row r="85" spans="1:9" s="7" customFormat="1" ht="27.9" customHeight="1">
      <c r="A85" s="24"/>
      <c r="B85" s="24"/>
      <c r="C85" s="24"/>
      <c r="D85" s="24"/>
      <c r="E85" s="24"/>
      <c r="F85" s="24"/>
      <c r="G85" s="24"/>
      <c r="H85" s="24"/>
      <c r="I85" s="24"/>
    </row>
    <row r="86" spans="1:9" ht="27.9" customHeight="1">
      <c r="A86" s="24"/>
      <c r="B86" s="25"/>
      <c r="C86" s="39"/>
      <c r="D86" s="39"/>
      <c r="E86" s="26" t="s">
        <v>12</v>
      </c>
      <c r="F86" s="27"/>
      <c r="G86" s="28"/>
      <c r="H86" s="29" t="s">
        <v>13</v>
      </c>
      <c r="I86" s="24"/>
    </row>
    <row r="87" spans="1:9" ht="27.9" customHeight="1">
      <c r="A87" s="30"/>
      <c r="B87" s="30"/>
      <c r="C87" s="18"/>
      <c r="D87" s="18"/>
      <c r="E87" s="31"/>
      <c r="F87" s="217" t="s">
        <v>14</v>
      </c>
      <c r="G87" s="217"/>
      <c r="H87" s="31"/>
      <c r="I87" s="18"/>
    </row>
    <row r="88" spans="1:9" ht="27.9" customHeight="1">
      <c r="A88" s="32"/>
      <c r="B88" s="25" t="s">
        <v>48</v>
      </c>
      <c r="C88" s="40"/>
      <c r="D88" s="40"/>
      <c r="E88" s="33"/>
      <c r="F88" s="23"/>
      <c r="G88" s="18"/>
      <c r="H88" s="18"/>
      <c r="I88" s="18"/>
    </row>
    <row r="89" spans="1:9" ht="27.9" customHeight="1">
      <c r="A89" s="32"/>
      <c r="B89" s="25"/>
      <c r="C89" s="40"/>
      <c r="D89" s="40"/>
      <c r="E89" s="33"/>
      <c r="F89" s="23"/>
      <c r="G89" s="18"/>
      <c r="H89" s="18"/>
      <c r="I89" s="18"/>
    </row>
    <row r="90" spans="1:9" ht="27.9" customHeight="1">
      <c r="A90" s="212"/>
      <c r="B90" s="212"/>
      <c r="C90" s="212"/>
      <c r="D90" s="212"/>
      <c r="E90" s="212"/>
      <c r="F90" s="212"/>
      <c r="G90" s="212"/>
      <c r="H90" s="212"/>
      <c r="I90" s="212"/>
    </row>
    <row r="91" spans="1:9" s="3" customFormat="1" ht="27.9" customHeight="1">
      <c r="A91" s="212" t="s">
        <v>51</v>
      </c>
      <c r="B91" s="212"/>
      <c r="C91" s="212"/>
      <c r="D91" s="212"/>
      <c r="E91" s="212"/>
      <c r="F91" s="212"/>
      <c r="G91" s="212"/>
      <c r="H91" s="212"/>
      <c r="I91" s="212"/>
    </row>
    <row r="92" spans="1:9" s="3" customFormat="1" ht="27.9" customHeight="1">
      <c r="A92" s="212" t="s">
        <v>1</v>
      </c>
      <c r="B92" s="212"/>
      <c r="C92" s="212"/>
      <c r="D92" s="212"/>
      <c r="E92" s="212"/>
      <c r="F92" s="212"/>
      <c r="G92" s="212"/>
      <c r="H92" s="212"/>
      <c r="I92" s="212"/>
    </row>
    <row r="93" spans="1:9" s="3" customFormat="1" ht="27.9" customHeight="1">
      <c r="A93" s="212" t="s">
        <v>52</v>
      </c>
      <c r="B93" s="212"/>
      <c r="C93" s="212"/>
      <c r="D93" s="212"/>
      <c r="E93" s="212"/>
      <c r="F93" s="212"/>
      <c r="G93" s="212"/>
      <c r="H93" s="212"/>
      <c r="I93" s="212"/>
    </row>
    <row r="94" spans="1:9" ht="27.9" customHeight="1">
      <c r="A94" s="17"/>
      <c r="B94" s="43" t="s">
        <v>39</v>
      </c>
      <c r="C94" s="41"/>
      <c r="D94" s="18"/>
      <c r="E94" s="18"/>
      <c r="F94" s="18"/>
      <c r="G94" s="18"/>
      <c r="H94" s="18"/>
      <c r="I94" s="18"/>
    </row>
    <row r="95" spans="1:9" s="5" customFormat="1" ht="27.9" customHeight="1">
      <c r="A95" s="1" t="s">
        <v>0</v>
      </c>
      <c r="B95" s="15" t="s">
        <v>2</v>
      </c>
      <c r="C95" s="1" t="s">
        <v>53</v>
      </c>
      <c r="D95" s="1" t="s">
        <v>3</v>
      </c>
      <c r="E95" s="9" t="s">
        <v>4</v>
      </c>
      <c r="F95" s="10" t="s">
        <v>5</v>
      </c>
      <c r="G95" s="11" t="s">
        <v>56</v>
      </c>
      <c r="H95" s="9" t="s">
        <v>6</v>
      </c>
      <c r="I95" s="213" t="s">
        <v>7</v>
      </c>
    </row>
    <row r="96" spans="1:9" s="5" customFormat="1" ht="27.9" customHeight="1">
      <c r="A96" s="2" t="s">
        <v>8</v>
      </c>
      <c r="B96" s="16" t="s">
        <v>58</v>
      </c>
      <c r="C96" s="2" t="s">
        <v>9</v>
      </c>
      <c r="D96" s="2" t="s">
        <v>10</v>
      </c>
      <c r="E96" s="12" t="s">
        <v>65</v>
      </c>
      <c r="F96" s="13" t="s">
        <v>55</v>
      </c>
      <c r="G96" s="14" t="s">
        <v>11</v>
      </c>
      <c r="H96" s="36" t="s">
        <v>57</v>
      </c>
      <c r="I96" s="214"/>
    </row>
    <row r="97" spans="1:9" ht="69.75" customHeight="1">
      <c r="A97" s="34">
        <v>15</v>
      </c>
      <c r="B97" s="35">
        <v>500000</v>
      </c>
      <c r="C97" s="42"/>
      <c r="D97" s="35"/>
      <c r="E97" s="37"/>
      <c r="F97" s="37"/>
      <c r="G97" s="37"/>
      <c r="H97" s="38"/>
      <c r="I97" s="37"/>
    </row>
    <row r="98" spans="1:9" ht="27.9" customHeight="1">
      <c r="A98" s="19"/>
      <c r="B98" s="20"/>
      <c r="C98" s="21"/>
      <c r="D98" s="39"/>
      <c r="E98" s="22"/>
      <c r="F98" s="23"/>
      <c r="G98" s="18"/>
      <c r="H98" s="18"/>
      <c r="I98" s="18"/>
    </row>
    <row r="99" spans="1:9" ht="27.9" customHeight="1">
      <c r="A99" s="215" t="s">
        <v>15</v>
      </c>
      <c r="B99" s="215"/>
      <c r="C99" s="215"/>
      <c r="D99" s="215"/>
      <c r="E99" s="215"/>
      <c r="F99" s="215"/>
      <c r="G99" s="215"/>
      <c r="H99" s="215"/>
      <c r="I99" s="215"/>
    </row>
    <row r="100" spans="1:9" ht="27.9" customHeight="1">
      <c r="A100" s="216" t="s">
        <v>16</v>
      </c>
      <c r="B100" s="216"/>
      <c r="C100" s="216"/>
      <c r="D100" s="216"/>
      <c r="E100" s="216"/>
      <c r="F100" s="216"/>
      <c r="G100" s="216"/>
      <c r="H100" s="216"/>
      <c r="I100" s="216"/>
    </row>
    <row r="101" spans="1:9" s="6" customFormat="1" ht="27.9" customHeight="1">
      <c r="A101" s="216" t="s">
        <v>16</v>
      </c>
      <c r="B101" s="216"/>
      <c r="C101" s="216"/>
      <c r="D101" s="216"/>
      <c r="E101" s="216"/>
      <c r="F101" s="216"/>
      <c r="G101" s="216"/>
      <c r="H101" s="216"/>
      <c r="I101" s="216"/>
    </row>
    <row r="102" spans="1:9" s="6" customFormat="1" ht="27.9" customHeight="1">
      <c r="A102" s="216" t="s">
        <v>17</v>
      </c>
      <c r="B102" s="216"/>
      <c r="C102" s="216"/>
      <c r="D102" s="216"/>
      <c r="E102" s="216"/>
      <c r="F102" s="216"/>
      <c r="G102" s="216"/>
      <c r="H102" s="216"/>
      <c r="I102" s="216"/>
    </row>
    <row r="103" spans="1:9" s="7" customFormat="1" ht="27.9" customHeight="1">
      <c r="A103" s="216" t="s">
        <v>18</v>
      </c>
      <c r="B103" s="216"/>
      <c r="C103" s="216"/>
      <c r="D103" s="216"/>
      <c r="E103" s="216"/>
      <c r="F103" s="216"/>
      <c r="G103" s="216"/>
      <c r="H103" s="216"/>
      <c r="I103" s="216"/>
    </row>
    <row r="104" spans="1:9" s="7" customFormat="1" ht="27.9" customHeight="1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ht="27.9" customHeight="1">
      <c r="A105" s="24"/>
      <c r="B105" s="25"/>
      <c r="C105" s="39"/>
      <c r="D105" s="39"/>
      <c r="E105" s="26" t="s">
        <v>12</v>
      </c>
      <c r="F105" s="27"/>
      <c r="G105" s="28"/>
      <c r="H105" s="29" t="s">
        <v>13</v>
      </c>
      <c r="I105" s="24"/>
    </row>
    <row r="106" spans="1:9" ht="27.9" customHeight="1">
      <c r="A106" s="30"/>
      <c r="B106" s="30"/>
      <c r="C106" s="18"/>
      <c r="D106" s="18"/>
      <c r="E106" s="31"/>
      <c r="F106" s="217" t="s">
        <v>14</v>
      </c>
      <c r="G106" s="217"/>
      <c r="H106" s="31"/>
      <c r="I106" s="18"/>
    </row>
    <row r="107" spans="1:9" ht="27.9" customHeight="1">
      <c r="A107" s="32"/>
      <c r="B107" s="25" t="s">
        <v>48</v>
      </c>
      <c r="C107" s="40"/>
      <c r="D107" s="40"/>
      <c r="E107" s="33"/>
      <c r="F107" s="23"/>
      <c r="G107" s="18"/>
      <c r="H107" s="18"/>
      <c r="I107" s="18"/>
    </row>
    <row r="108" spans="1:9" ht="27.9" customHeight="1">
      <c r="A108" s="212"/>
      <c r="B108" s="212"/>
      <c r="C108" s="212"/>
      <c r="D108" s="212"/>
      <c r="E108" s="212"/>
      <c r="F108" s="212"/>
      <c r="G108" s="212"/>
      <c r="H108" s="212"/>
      <c r="I108" s="212"/>
    </row>
    <row r="109" spans="1:9" s="3" customFormat="1" ht="27.9" customHeight="1">
      <c r="A109" s="212" t="s">
        <v>51</v>
      </c>
      <c r="B109" s="212"/>
      <c r="C109" s="212"/>
      <c r="D109" s="212"/>
      <c r="E109" s="212"/>
      <c r="F109" s="212"/>
      <c r="G109" s="212"/>
      <c r="H109" s="212"/>
      <c r="I109" s="212"/>
    </row>
    <row r="110" spans="1:9" s="3" customFormat="1" ht="27.9" customHeight="1">
      <c r="A110" s="212" t="s">
        <v>1</v>
      </c>
      <c r="B110" s="212"/>
      <c r="C110" s="212"/>
      <c r="D110" s="212"/>
      <c r="E110" s="212"/>
      <c r="F110" s="212"/>
      <c r="G110" s="212"/>
      <c r="H110" s="212"/>
      <c r="I110" s="212"/>
    </row>
    <row r="111" spans="1:9" s="3" customFormat="1" ht="27.9" customHeight="1">
      <c r="A111" s="212" t="s">
        <v>52</v>
      </c>
      <c r="B111" s="212"/>
      <c r="C111" s="212"/>
      <c r="D111" s="212"/>
      <c r="E111" s="212"/>
      <c r="F111" s="212"/>
      <c r="G111" s="212"/>
      <c r="H111" s="212"/>
      <c r="I111" s="212"/>
    </row>
    <row r="112" spans="1:9" ht="27.9" customHeight="1">
      <c r="A112" s="17"/>
      <c r="B112" s="43" t="s">
        <v>29</v>
      </c>
      <c r="C112" s="41"/>
      <c r="D112" s="18"/>
      <c r="E112" s="18"/>
      <c r="F112" s="18"/>
      <c r="G112" s="18"/>
      <c r="H112" s="18"/>
      <c r="I112" s="18"/>
    </row>
    <row r="113" spans="1:9" s="5" customFormat="1" ht="27.9" customHeight="1">
      <c r="A113" s="1" t="s">
        <v>0</v>
      </c>
      <c r="B113" s="15" t="s">
        <v>2</v>
      </c>
      <c r="C113" s="1" t="s">
        <v>53</v>
      </c>
      <c r="D113" s="1" t="s">
        <v>3</v>
      </c>
      <c r="E113" s="9" t="s">
        <v>4</v>
      </c>
      <c r="F113" s="10" t="s">
        <v>5</v>
      </c>
      <c r="G113" s="11" t="s">
        <v>56</v>
      </c>
      <c r="H113" s="9" t="s">
        <v>6</v>
      </c>
      <c r="I113" s="213" t="s">
        <v>7</v>
      </c>
    </row>
    <row r="114" spans="1:9" s="5" customFormat="1" ht="27.9" customHeight="1">
      <c r="A114" s="2" t="s">
        <v>8</v>
      </c>
      <c r="B114" s="16" t="s">
        <v>58</v>
      </c>
      <c r="C114" s="2" t="s">
        <v>9</v>
      </c>
      <c r="D114" s="2" t="s">
        <v>10</v>
      </c>
      <c r="E114" s="12" t="s">
        <v>64</v>
      </c>
      <c r="F114" s="13" t="s">
        <v>55</v>
      </c>
      <c r="G114" s="14" t="s">
        <v>11</v>
      </c>
      <c r="H114" s="36" t="s">
        <v>57</v>
      </c>
      <c r="I114" s="214"/>
    </row>
    <row r="115" spans="1:9" s="7" customFormat="1" ht="80.099999999999994" customHeight="1">
      <c r="A115" s="34">
        <v>10</v>
      </c>
      <c r="B115" s="35">
        <v>4000000</v>
      </c>
      <c r="C115" s="42"/>
      <c r="D115" s="46"/>
      <c r="E115" s="37"/>
      <c r="F115" s="37"/>
      <c r="G115" s="37"/>
      <c r="H115" s="38"/>
      <c r="I115" s="37"/>
    </row>
    <row r="116" spans="1:9" ht="27.9" customHeight="1">
      <c r="A116" s="19"/>
      <c r="B116" s="20"/>
      <c r="C116" s="21"/>
      <c r="D116" s="39"/>
      <c r="E116" s="22"/>
      <c r="F116" s="23"/>
      <c r="G116" s="18"/>
      <c r="H116" s="18"/>
      <c r="I116" s="18"/>
    </row>
    <row r="117" spans="1:9" ht="27.9" customHeight="1">
      <c r="A117" s="215" t="s">
        <v>15</v>
      </c>
      <c r="B117" s="215"/>
      <c r="C117" s="215"/>
      <c r="D117" s="215"/>
      <c r="E117" s="215"/>
      <c r="F117" s="215"/>
      <c r="G117" s="215"/>
      <c r="H117" s="215"/>
      <c r="I117" s="215"/>
    </row>
    <row r="118" spans="1:9" ht="27.9" customHeight="1">
      <c r="A118" s="216" t="s">
        <v>16</v>
      </c>
      <c r="B118" s="216"/>
      <c r="C118" s="216"/>
      <c r="D118" s="216"/>
      <c r="E118" s="216"/>
      <c r="F118" s="216"/>
      <c r="G118" s="216"/>
      <c r="H118" s="216"/>
      <c r="I118" s="216"/>
    </row>
    <row r="119" spans="1:9" s="6" customFormat="1" ht="27.9" customHeight="1">
      <c r="A119" s="216" t="s">
        <v>16</v>
      </c>
      <c r="B119" s="216"/>
      <c r="C119" s="216"/>
      <c r="D119" s="216"/>
      <c r="E119" s="216"/>
      <c r="F119" s="216"/>
      <c r="G119" s="216"/>
      <c r="H119" s="216"/>
      <c r="I119" s="216"/>
    </row>
    <row r="120" spans="1:9" s="6" customFormat="1" ht="27.9" customHeight="1">
      <c r="A120" s="216" t="s">
        <v>17</v>
      </c>
      <c r="B120" s="216"/>
      <c r="C120" s="216"/>
      <c r="D120" s="216"/>
      <c r="E120" s="216"/>
      <c r="F120" s="216"/>
      <c r="G120" s="216"/>
      <c r="H120" s="216"/>
      <c r="I120" s="216"/>
    </row>
    <row r="121" spans="1:9" s="7" customFormat="1" ht="27.9" customHeight="1">
      <c r="A121" s="216" t="s">
        <v>18</v>
      </c>
      <c r="B121" s="216"/>
      <c r="C121" s="216"/>
      <c r="D121" s="216"/>
      <c r="E121" s="216"/>
      <c r="F121" s="216"/>
      <c r="G121" s="216"/>
      <c r="H121" s="216"/>
      <c r="I121" s="216"/>
    </row>
    <row r="122" spans="1:9" s="7" customFormat="1" ht="27.9" customHeight="1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ht="27.9" customHeight="1">
      <c r="A123" s="24"/>
      <c r="B123" s="25"/>
      <c r="C123" s="39"/>
      <c r="D123" s="39"/>
      <c r="E123" s="26" t="s">
        <v>12</v>
      </c>
      <c r="F123" s="27"/>
      <c r="G123" s="28"/>
      <c r="H123" s="29" t="s">
        <v>13</v>
      </c>
      <c r="I123" s="24"/>
    </row>
    <row r="124" spans="1:9" ht="27.9" customHeight="1">
      <c r="A124" s="30"/>
      <c r="B124" s="30"/>
      <c r="C124" s="18"/>
      <c r="D124" s="18"/>
      <c r="E124" s="31"/>
      <c r="F124" s="217" t="s">
        <v>14</v>
      </c>
      <c r="G124" s="217"/>
      <c r="H124" s="31"/>
      <c r="I124" s="18"/>
    </row>
    <row r="125" spans="1:9" ht="27.9" customHeight="1">
      <c r="A125" s="32"/>
      <c r="B125" s="25" t="s">
        <v>48</v>
      </c>
      <c r="C125" s="40"/>
      <c r="D125" s="40"/>
      <c r="E125" s="33"/>
      <c r="F125" s="23"/>
      <c r="G125" s="18"/>
      <c r="H125" s="18"/>
      <c r="I125" s="18"/>
    </row>
    <row r="126" spans="1:9" ht="27.9" customHeight="1">
      <c r="A126" s="212"/>
      <c r="B126" s="212"/>
      <c r="C126" s="212"/>
      <c r="D126" s="212"/>
      <c r="E126" s="212"/>
      <c r="F126" s="212"/>
      <c r="G126" s="212"/>
      <c r="H126" s="212"/>
      <c r="I126" s="212"/>
    </row>
    <row r="127" spans="1:9" s="3" customFormat="1" ht="27.9" customHeight="1">
      <c r="A127" s="212" t="s">
        <v>51</v>
      </c>
      <c r="B127" s="212"/>
      <c r="C127" s="212"/>
      <c r="D127" s="212"/>
      <c r="E127" s="212"/>
      <c r="F127" s="212"/>
      <c r="G127" s="212"/>
      <c r="H127" s="212"/>
      <c r="I127" s="212"/>
    </row>
    <row r="128" spans="1:9" s="3" customFormat="1" ht="27.9" customHeight="1">
      <c r="A128" s="212" t="s">
        <v>1</v>
      </c>
      <c r="B128" s="212"/>
      <c r="C128" s="212"/>
      <c r="D128" s="212"/>
      <c r="E128" s="212"/>
      <c r="F128" s="212"/>
      <c r="G128" s="212"/>
      <c r="H128" s="212"/>
      <c r="I128" s="212"/>
    </row>
    <row r="129" spans="1:9" s="3" customFormat="1" ht="27.9" customHeight="1">
      <c r="A129" s="212" t="s">
        <v>52</v>
      </c>
      <c r="B129" s="212"/>
      <c r="C129" s="212"/>
      <c r="D129" s="212"/>
      <c r="E129" s="212"/>
      <c r="F129" s="212"/>
      <c r="G129" s="212"/>
      <c r="H129" s="212"/>
      <c r="I129" s="212"/>
    </row>
    <row r="130" spans="1:9" ht="27.9" customHeight="1">
      <c r="A130" s="17"/>
      <c r="B130" s="43" t="s">
        <v>41</v>
      </c>
      <c r="C130" s="41"/>
      <c r="D130" s="18"/>
      <c r="E130" s="18"/>
      <c r="F130" s="18"/>
      <c r="G130" s="18"/>
      <c r="H130" s="18"/>
      <c r="I130" s="18"/>
    </row>
    <row r="131" spans="1:9" s="5" customFormat="1" ht="27.9" customHeight="1">
      <c r="A131" s="1" t="s">
        <v>0</v>
      </c>
      <c r="B131" s="15" t="s">
        <v>2</v>
      </c>
      <c r="C131" s="1" t="s">
        <v>53</v>
      </c>
      <c r="D131" s="1" t="s">
        <v>3</v>
      </c>
      <c r="E131" s="9" t="s">
        <v>4</v>
      </c>
      <c r="F131" s="10" t="s">
        <v>5</v>
      </c>
      <c r="G131" s="11" t="s">
        <v>56</v>
      </c>
      <c r="H131" s="9" t="s">
        <v>6</v>
      </c>
      <c r="I131" s="213" t="s">
        <v>7</v>
      </c>
    </row>
    <row r="132" spans="1:9" s="5" customFormat="1" ht="27.9" customHeight="1">
      <c r="A132" s="2" t="s">
        <v>8</v>
      </c>
      <c r="B132" s="16" t="s">
        <v>58</v>
      </c>
      <c r="C132" s="2" t="s">
        <v>9</v>
      </c>
      <c r="D132" s="2" t="s">
        <v>10</v>
      </c>
      <c r="E132" s="12" t="s">
        <v>64</v>
      </c>
      <c r="F132" s="13" t="s">
        <v>55</v>
      </c>
      <c r="G132" s="14" t="s">
        <v>11</v>
      </c>
      <c r="H132" s="36" t="s">
        <v>57</v>
      </c>
      <c r="I132" s="214"/>
    </row>
    <row r="133" spans="1:9" s="7" customFormat="1" ht="80.099999999999994" customHeight="1">
      <c r="A133" s="34">
        <v>26</v>
      </c>
      <c r="B133" s="35">
        <v>12000000</v>
      </c>
      <c r="C133" s="42"/>
      <c r="D133" s="35"/>
      <c r="E133" s="37"/>
      <c r="F133" s="37"/>
      <c r="G133" s="37"/>
      <c r="H133" s="38"/>
      <c r="I133" s="37"/>
    </row>
    <row r="134" spans="1:9" ht="27.9" customHeight="1">
      <c r="A134" s="19"/>
      <c r="B134" s="20"/>
      <c r="C134" s="21"/>
      <c r="D134" s="39"/>
      <c r="E134" s="22"/>
      <c r="F134" s="23"/>
      <c r="G134" s="18"/>
      <c r="H134" s="18"/>
      <c r="I134" s="18"/>
    </row>
    <row r="135" spans="1:9" ht="27.9" customHeight="1">
      <c r="A135" s="215" t="s">
        <v>15</v>
      </c>
      <c r="B135" s="215"/>
      <c r="C135" s="215"/>
      <c r="D135" s="215"/>
      <c r="E135" s="215"/>
      <c r="F135" s="215"/>
      <c r="G135" s="215"/>
      <c r="H135" s="215"/>
      <c r="I135" s="215"/>
    </row>
    <row r="136" spans="1:9" ht="27.9" customHeight="1">
      <c r="A136" s="216" t="s">
        <v>16</v>
      </c>
      <c r="B136" s="216"/>
      <c r="C136" s="216"/>
      <c r="D136" s="216"/>
      <c r="E136" s="216"/>
      <c r="F136" s="216"/>
      <c r="G136" s="216"/>
      <c r="H136" s="216"/>
      <c r="I136" s="216"/>
    </row>
    <row r="137" spans="1:9" s="6" customFormat="1" ht="27.9" customHeight="1">
      <c r="A137" s="216" t="s">
        <v>17</v>
      </c>
      <c r="B137" s="216"/>
      <c r="C137" s="216"/>
      <c r="D137" s="216"/>
      <c r="E137" s="216"/>
      <c r="F137" s="216"/>
      <c r="G137" s="216"/>
      <c r="H137" s="216"/>
      <c r="I137" s="216"/>
    </row>
    <row r="138" spans="1:9" s="7" customFormat="1" ht="27.9" customHeight="1">
      <c r="A138" s="216" t="s">
        <v>18</v>
      </c>
      <c r="B138" s="216"/>
      <c r="C138" s="216"/>
      <c r="D138" s="216"/>
      <c r="E138" s="216"/>
      <c r="F138" s="216"/>
      <c r="G138" s="216"/>
      <c r="H138" s="216"/>
      <c r="I138" s="216"/>
    </row>
    <row r="139" spans="1:9" s="7" customFormat="1" ht="27.9" customHeight="1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ht="27.9" customHeight="1">
      <c r="A140" s="24"/>
      <c r="B140" s="25"/>
      <c r="C140" s="39"/>
      <c r="D140" s="39"/>
      <c r="E140" s="26" t="s">
        <v>12</v>
      </c>
      <c r="F140" s="27"/>
      <c r="G140" s="28"/>
      <c r="H140" s="29" t="s">
        <v>13</v>
      </c>
      <c r="I140" s="24"/>
    </row>
    <row r="141" spans="1:9" ht="27.9" customHeight="1">
      <c r="A141" s="30"/>
      <c r="B141" s="30"/>
      <c r="C141" s="18"/>
      <c r="D141" s="18"/>
      <c r="E141" s="31"/>
      <c r="F141" s="217" t="s">
        <v>14</v>
      </c>
      <c r="G141" s="217"/>
      <c r="H141" s="31"/>
      <c r="I141" s="18"/>
    </row>
    <row r="142" spans="1:9" ht="27.9" customHeight="1">
      <c r="A142" s="32"/>
      <c r="B142" s="25" t="s">
        <v>48</v>
      </c>
      <c r="C142" s="40"/>
      <c r="D142" s="40"/>
      <c r="E142" s="33"/>
      <c r="F142" s="23"/>
      <c r="G142" s="18"/>
      <c r="H142" s="18"/>
      <c r="I142" s="18"/>
    </row>
    <row r="143" spans="1:9" ht="27.9" customHeight="1">
      <c r="A143" s="212"/>
      <c r="B143" s="212"/>
      <c r="C143" s="212"/>
      <c r="D143" s="212"/>
      <c r="E143" s="212"/>
      <c r="F143" s="212"/>
      <c r="G143" s="212"/>
      <c r="H143" s="212"/>
      <c r="I143" s="212"/>
    </row>
    <row r="144" spans="1:9" s="3" customFormat="1" ht="27.9" customHeight="1">
      <c r="A144" s="212" t="s">
        <v>51</v>
      </c>
      <c r="B144" s="212"/>
      <c r="C144" s="212"/>
      <c r="D144" s="212"/>
      <c r="E144" s="212"/>
      <c r="F144" s="212"/>
      <c r="G144" s="212"/>
      <c r="H144" s="212"/>
      <c r="I144" s="212"/>
    </row>
    <row r="145" spans="1:9" s="3" customFormat="1" ht="27.9" customHeight="1">
      <c r="A145" s="212" t="s">
        <v>1</v>
      </c>
      <c r="B145" s="212"/>
      <c r="C145" s="212"/>
      <c r="D145" s="212"/>
      <c r="E145" s="212"/>
      <c r="F145" s="212"/>
      <c r="G145" s="212"/>
      <c r="H145" s="212"/>
      <c r="I145" s="212"/>
    </row>
    <row r="146" spans="1:9" s="3" customFormat="1" ht="27.9" customHeight="1">
      <c r="A146" s="212" t="s">
        <v>52</v>
      </c>
      <c r="B146" s="212"/>
      <c r="C146" s="212"/>
      <c r="D146" s="212"/>
      <c r="E146" s="212"/>
      <c r="F146" s="212"/>
      <c r="G146" s="212"/>
      <c r="H146" s="212"/>
      <c r="I146" s="212"/>
    </row>
    <row r="147" spans="1:9" ht="27.9" customHeight="1">
      <c r="A147" s="17"/>
      <c r="B147" s="218" t="s">
        <v>44</v>
      </c>
      <c r="C147" s="218"/>
      <c r="D147" s="18"/>
      <c r="E147" s="18"/>
      <c r="F147" s="18"/>
      <c r="G147" s="18"/>
      <c r="H147" s="18"/>
      <c r="I147" s="18"/>
    </row>
    <row r="148" spans="1:9" s="5" customFormat="1" ht="27.9" customHeight="1">
      <c r="A148" s="1" t="s">
        <v>0</v>
      </c>
      <c r="B148" s="15" t="s">
        <v>2</v>
      </c>
      <c r="C148" s="1" t="s">
        <v>53</v>
      </c>
      <c r="D148" s="1" t="s">
        <v>3</v>
      </c>
      <c r="E148" s="9" t="s">
        <v>4</v>
      </c>
      <c r="F148" s="10" t="s">
        <v>5</v>
      </c>
      <c r="G148" s="11" t="s">
        <v>56</v>
      </c>
      <c r="H148" s="9" t="s">
        <v>6</v>
      </c>
      <c r="I148" s="213" t="s">
        <v>7</v>
      </c>
    </row>
    <row r="149" spans="1:9" s="5" customFormat="1" ht="27.9" customHeight="1">
      <c r="A149" s="2" t="s">
        <v>8</v>
      </c>
      <c r="B149" s="16" t="s">
        <v>58</v>
      </c>
      <c r="C149" s="2" t="s">
        <v>9</v>
      </c>
      <c r="D149" s="2" t="s">
        <v>10</v>
      </c>
      <c r="E149" s="12" t="s">
        <v>64</v>
      </c>
      <c r="F149" s="13" t="s">
        <v>55</v>
      </c>
      <c r="G149" s="14" t="s">
        <v>11</v>
      </c>
      <c r="H149" s="36" t="s">
        <v>57</v>
      </c>
      <c r="I149" s="214"/>
    </row>
    <row r="150" spans="1:9" s="7" customFormat="1" ht="80.099999999999994" customHeight="1">
      <c r="A150" s="34">
        <v>7</v>
      </c>
      <c r="B150" s="51">
        <v>1500000</v>
      </c>
      <c r="C150" s="52"/>
      <c r="D150" s="35"/>
      <c r="E150" s="37"/>
      <c r="F150" s="37"/>
      <c r="G150" s="37"/>
      <c r="H150" s="37"/>
      <c r="I150" s="37"/>
    </row>
    <row r="151" spans="1:9" ht="27.9" customHeight="1">
      <c r="A151" s="19"/>
      <c r="B151" s="20"/>
      <c r="C151" s="21"/>
      <c r="D151" s="39"/>
      <c r="E151" s="22"/>
      <c r="F151" s="23"/>
      <c r="G151" s="18"/>
      <c r="H151" s="18"/>
      <c r="I151" s="18"/>
    </row>
    <row r="152" spans="1:9" ht="27.9" customHeight="1">
      <c r="A152" s="215" t="s">
        <v>15</v>
      </c>
      <c r="B152" s="215"/>
      <c r="C152" s="215"/>
      <c r="D152" s="215"/>
      <c r="E152" s="215"/>
      <c r="F152" s="215"/>
      <c r="G152" s="215"/>
      <c r="H152" s="215"/>
      <c r="I152" s="215"/>
    </row>
    <row r="153" spans="1:9" ht="27.9" customHeight="1">
      <c r="A153" s="216" t="s">
        <v>16</v>
      </c>
      <c r="B153" s="216"/>
      <c r="C153" s="216"/>
      <c r="D153" s="216"/>
      <c r="E153" s="216"/>
      <c r="F153" s="216"/>
      <c r="G153" s="216"/>
      <c r="H153" s="216"/>
      <c r="I153" s="216"/>
    </row>
    <row r="154" spans="1:9" s="6" customFormat="1" ht="27.9" customHeight="1">
      <c r="A154" s="216" t="s">
        <v>16</v>
      </c>
      <c r="B154" s="216"/>
      <c r="C154" s="216"/>
      <c r="D154" s="216"/>
      <c r="E154" s="216"/>
      <c r="F154" s="216"/>
      <c r="G154" s="216"/>
      <c r="H154" s="216"/>
      <c r="I154" s="216"/>
    </row>
    <row r="155" spans="1:9" s="6" customFormat="1" ht="27.9" customHeight="1">
      <c r="A155" s="216" t="s">
        <v>17</v>
      </c>
      <c r="B155" s="216"/>
      <c r="C155" s="216"/>
      <c r="D155" s="216"/>
      <c r="E155" s="216"/>
      <c r="F155" s="216"/>
      <c r="G155" s="216"/>
      <c r="H155" s="216"/>
      <c r="I155" s="216"/>
    </row>
    <row r="156" spans="1:9" s="7" customFormat="1" ht="27.9" customHeight="1">
      <c r="A156" s="216" t="s">
        <v>18</v>
      </c>
      <c r="B156" s="216"/>
      <c r="C156" s="216"/>
      <c r="D156" s="216"/>
      <c r="E156" s="216"/>
      <c r="F156" s="216"/>
      <c r="G156" s="216"/>
      <c r="H156" s="216"/>
      <c r="I156" s="216"/>
    </row>
    <row r="157" spans="1:9" s="7" customFormat="1" ht="27.9" customHeight="1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ht="27.9" customHeight="1">
      <c r="A158" s="24"/>
      <c r="B158" s="25"/>
      <c r="C158" s="39"/>
      <c r="D158" s="39"/>
      <c r="E158" s="26" t="s">
        <v>12</v>
      </c>
      <c r="F158" s="27"/>
      <c r="G158" s="28"/>
      <c r="H158" s="29" t="s">
        <v>13</v>
      </c>
      <c r="I158" s="24"/>
    </row>
    <row r="159" spans="1:9" ht="27.9" customHeight="1">
      <c r="A159" s="30"/>
      <c r="B159" s="30"/>
      <c r="C159" s="18"/>
      <c r="D159" s="18"/>
      <c r="E159" s="31"/>
      <c r="F159" s="217" t="s">
        <v>14</v>
      </c>
      <c r="G159" s="217"/>
      <c r="H159" s="31"/>
      <c r="I159" s="18"/>
    </row>
    <row r="160" spans="1:9" ht="27.9" customHeight="1">
      <c r="A160" s="32"/>
      <c r="B160" s="25" t="s">
        <v>48</v>
      </c>
      <c r="C160" s="40"/>
      <c r="D160" s="40"/>
      <c r="E160" s="33"/>
      <c r="F160" s="23"/>
      <c r="G160" s="18"/>
      <c r="H160" s="18"/>
      <c r="I160" s="18"/>
    </row>
    <row r="161" spans="1:9" ht="27.9" customHeight="1">
      <c r="A161" s="212"/>
      <c r="B161" s="212"/>
      <c r="C161" s="212"/>
      <c r="D161" s="212"/>
      <c r="E161" s="212"/>
      <c r="F161" s="212"/>
      <c r="G161" s="212"/>
      <c r="H161" s="212"/>
      <c r="I161" s="212"/>
    </row>
    <row r="162" spans="1:9" ht="27.9" customHeight="1">
      <c r="A162" s="212"/>
      <c r="B162" s="212"/>
      <c r="C162" s="212"/>
      <c r="D162" s="212"/>
      <c r="E162" s="212"/>
      <c r="F162" s="212"/>
      <c r="G162" s="212"/>
      <c r="H162" s="212"/>
      <c r="I162" s="212"/>
    </row>
    <row r="163" spans="1:9" s="3" customFormat="1" ht="27.9" customHeight="1">
      <c r="A163" s="212" t="s">
        <v>51</v>
      </c>
      <c r="B163" s="212"/>
      <c r="C163" s="212"/>
      <c r="D163" s="212"/>
      <c r="E163" s="212"/>
      <c r="F163" s="212"/>
      <c r="G163" s="212"/>
      <c r="H163" s="212"/>
      <c r="I163" s="212"/>
    </row>
    <row r="164" spans="1:9" s="3" customFormat="1" ht="27.9" customHeight="1">
      <c r="A164" s="212" t="s">
        <v>1</v>
      </c>
      <c r="B164" s="212"/>
      <c r="C164" s="212"/>
      <c r="D164" s="212"/>
      <c r="E164" s="212"/>
      <c r="F164" s="212"/>
      <c r="G164" s="212"/>
      <c r="H164" s="212"/>
      <c r="I164" s="212"/>
    </row>
    <row r="165" spans="1:9" s="3" customFormat="1" ht="27.9" customHeight="1">
      <c r="A165" s="212" t="s">
        <v>52</v>
      </c>
      <c r="B165" s="212"/>
      <c r="C165" s="212"/>
      <c r="D165" s="212"/>
      <c r="E165" s="212"/>
      <c r="F165" s="212"/>
      <c r="G165" s="212"/>
      <c r="H165" s="212"/>
      <c r="I165" s="212"/>
    </row>
    <row r="166" spans="1:9" ht="27.9" customHeight="1">
      <c r="A166" s="17"/>
      <c r="B166" s="43" t="s">
        <v>22</v>
      </c>
      <c r="C166" s="41"/>
      <c r="D166" s="18"/>
      <c r="E166" s="18"/>
      <c r="F166" s="18"/>
      <c r="G166" s="18"/>
      <c r="H166" s="18"/>
      <c r="I166" s="18"/>
    </row>
    <row r="167" spans="1:9" s="5" customFormat="1" ht="27.9" customHeight="1">
      <c r="A167" s="1" t="s">
        <v>0</v>
      </c>
      <c r="B167" s="15" t="s">
        <v>2</v>
      </c>
      <c r="C167" s="1" t="s">
        <v>53</v>
      </c>
      <c r="D167" s="1" t="s">
        <v>3</v>
      </c>
      <c r="E167" s="9" t="s">
        <v>4</v>
      </c>
      <c r="F167" s="10" t="s">
        <v>5</v>
      </c>
      <c r="G167" s="11" t="s">
        <v>56</v>
      </c>
      <c r="H167" s="9" t="s">
        <v>6</v>
      </c>
      <c r="I167" s="213" t="s">
        <v>7</v>
      </c>
    </row>
    <row r="168" spans="1:9" s="5" customFormat="1" ht="27.9" customHeight="1">
      <c r="A168" s="2" t="s">
        <v>8</v>
      </c>
      <c r="B168" s="16" t="s">
        <v>58</v>
      </c>
      <c r="C168" s="2" t="s">
        <v>9</v>
      </c>
      <c r="D168" s="2" t="s">
        <v>10</v>
      </c>
      <c r="E168" s="12" t="s">
        <v>64</v>
      </c>
      <c r="F168" s="13" t="s">
        <v>55</v>
      </c>
      <c r="G168" s="14" t="s">
        <v>11</v>
      </c>
      <c r="H168" s="36" t="s">
        <v>57</v>
      </c>
      <c r="I168" s="214"/>
    </row>
    <row r="169" spans="1:9" s="7" customFormat="1" ht="80.099999999999994" customHeight="1">
      <c r="A169" s="34">
        <v>2</v>
      </c>
      <c r="B169" s="35">
        <v>25000000</v>
      </c>
      <c r="C169" s="55"/>
      <c r="D169" s="35"/>
      <c r="E169" s="37"/>
      <c r="F169" s="37"/>
      <c r="G169" s="37"/>
      <c r="H169" s="38"/>
      <c r="I169" s="37"/>
    </row>
    <row r="170" spans="1:9" s="7" customFormat="1" ht="24.75" customHeight="1">
      <c r="A170" s="56"/>
      <c r="B170" s="24"/>
      <c r="C170" s="57"/>
      <c r="D170" s="24"/>
      <c r="E170" s="58"/>
      <c r="F170" s="58"/>
      <c r="G170" s="58"/>
      <c r="H170" s="59"/>
      <c r="I170" s="58"/>
    </row>
    <row r="171" spans="1:9" ht="27.9" customHeight="1">
      <c r="A171" s="215" t="s">
        <v>15</v>
      </c>
      <c r="B171" s="215"/>
      <c r="C171" s="215"/>
      <c r="D171" s="215"/>
      <c r="E171" s="215"/>
      <c r="F171" s="215"/>
      <c r="G171" s="215"/>
      <c r="H171" s="215"/>
      <c r="I171" s="215"/>
    </row>
    <row r="172" spans="1:9" s="6" customFormat="1" ht="27.9" customHeight="1">
      <c r="A172" s="216" t="s">
        <v>16</v>
      </c>
      <c r="B172" s="216"/>
      <c r="C172" s="216"/>
      <c r="D172" s="216"/>
      <c r="E172" s="216"/>
      <c r="F172" s="216"/>
      <c r="G172" s="216"/>
      <c r="H172" s="216"/>
      <c r="I172" s="216"/>
    </row>
    <row r="173" spans="1:9" s="6" customFormat="1" ht="27.9" customHeight="1">
      <c r="A173" s="216" t="s">
        <v>17</v>
      </c>
      <c r="B173" s="216"/>
      <c r="C173" s="216"/>
      <c r="D173" s="216"/>
      <c r="E173" s="216"/>
      <c r="F173" s="216"/>
      <c r="G173" s="216"/>
      <c r="H173" s="216"/>
      <c r="I173" s="216"/>
    </row>
    <row r="174" spans="1:9" s="7" customFormat="1" ht="27.9" customHeight="1">
      <c r="A174" s="216" t="s">
        <v>18</v>
      </c>
      <c r="B174" s="216"/>
      <c r="C174" s="216"/>
      <c r="D174" s="216"/>
      <c r="E174" s="216"/>
      <c r="F174" s="216"/>
      <c r="G174" s="216"/>
      <c r="H174" s="216"/>
      <c r="I174" s="216"/>
    </row>
    <row r="175" spans="1:9" s="7" customFormat="1" ht="27.9" customHeight="1">
      <c r="A175" s="24"/>
      <c r="B175" s="24"/>
      <c r="C175" s="24"/>
      <c r="D175" s="24"/>
      <c r="E175" s="24"/>
      <c r="F175" s="24"/>
      <c r="G175" s="24"/>
      <c r="H175" s="24"/>
      <c r="I175" s="24"/>
    </row>
    <row r="176" spans="1:9" ht="27.9" customHeight="1">
      <c r="A176" s="24"/>
      <c r="B176" s="25"/>
      <c r="C176" s="39"/>
      <c r="D176" s="39"/>
      <c r="E176" s="26" t="s">
        <v>12</v>
      </c>
      <c r="F176" s="27"/>
      <c r="G176" s="28"/>
      <c r="H176" s="29" t="s">
        <v>13</v>
      </c>
      <c r="I176" s="24"/>
    </row>
    <row r="177" spans="1:9" ht="27.9" customHeight="1">
      <c r="A177" s="30"/>
      <c r="B177" s="30"/>
      <c r="C177" s="18"/>
      <c r="D177" s="18"/>
      <c r="E177" s="31"/>
      <c r="F177" s="217" t="s">
        <v>14</v>
      </c>
      <c r="G177" s="217"/>
      <c r="H177" s="31"/>
      <c r="I177" s="18"/>
    </row>
    <row r="178" spans="1:9" ht="27.9" customHeight="1">
      <c r="A178" s="32"/>
      <c r="B178" s="25" t="s">
        <v>48</v>
      </c>
      <c r="C178" s="40"/>
      <c r="D178" s="40"/>
      <c r="E178" s="33"/>
      <c r="F178" s="23"/>
      <c r="G178" s="18"/>
      <c r="H178" s="18"/>
      <c r="I178" s="18"/>
    </row>
    <row r="179" spans="1:9" ht="27.9" customHeight="1">
      <c r="A179" s="212"/>
      <c r="B179" s="212"/>
      <c r="C179" s="212"/>
      <c r="D179" s="212"/>
      <c r="E179" s="212"/>
      <c r="F179" s="212"/>
      <c r="G179" s="212"/>
      <c r="H179" s="212"/>
      <c r="I179" s="212"/>
    </row>
    <row r="180" spans="1:9" s="3" customFormat="1" ht="27.9" customHeight="1">
      <c r="A180" s="212" t="s">
        <v>51</v>
      </c>
      <c r="B180" s="212"/>
      <c r="C180" s="212"/>
      <c r="D180" s="212"/>
      <c r="E180" s="212"/>
      <c r="F180" s="212"/>
      <c r="G180" s="212"/>
      <c r="H180" s="212"/>
      <c r="I180" s="212"/>
    </row>
    <row r="181" spans="1:9" s="3" customFormat="1" ht="27.9" customHeight="1">
      <c r="A181" s="212" t="s">
        <v>1</v>
      </c>
      <c r="B181" s="212"/>
      <c r="C181" s="212"/>
      <c r="D181" s="212"/>
      <c r="E181" s="212"/>
      <c r="F181" s="212"/>
      <c r="G181" s="212"/>
      <c r="H181" s="212"/>
      <c r="I181" s="212"/>
    </row>
    <row r="182" spans="1:9" s="3" customFormat="1" ht="27.9" customHeight="1">
      <c r="A182" s="212" t="s">
        <v>52</v>
      </c>
      <c r="B182" s="212"/>
      <c r="C182" s="212"/>
      <c r="D182" s="212"/>
      <c r="E182" s="212"/>
      <c r="F182" s="212"/>
      <c r="G182" s="212"/>
      <c r="H182" s="212"/>
      <c r="I182" s="212"/>
    </row>
    <row r="183" spans="1:9" ht="27.9" customHeight="1">
      <c r="A183" s="17"/>
      <c r="B183" s="43" t="s">
        <v>23</v>
      </c>
      <c r="C183" s="41"/>
      <c r="D183" s="18"/>
      <c r="E183" s="18"/>
      <c r="F183" s="18"/>
      <c r="G183" s="18"/>
      <c r="H183" s="18"/>
      <c r="I183" s="18"/>
    </row>
    <row r="184" spans="1:9" s="5" customFormat="1" ht="27.9" customHeight="1">
      <c r="A184" s="1" t="s">
        <v>0</v>
      </c>
      <c r="B184" s="15" t="s">
        <v>2</v>
      </c>
      <c r="C184" s="1" t="s">
        <v>53</v>
      </c>
      <c r="D184" s="1" t="s">
        <v>3</v>
      </c>
      <c r="E184" s="9" t="s">
        <v>4</v>
      </c>
      <c r="F184" s="10" t="s">
        <v>5</v>
      </c>
      <c r="G184" s="11" t="s">
        <v>56</v>
      </c>
      <c r="H184" s="9" t="s">
        <v>6</v>
      </c>
      <c r="I184" s="213" t="s">
        <v>7</v>
      </c>
    </row>
    <row r="185" spans="1:9" s="5" customFormat="1" ht="27.9" customHeight="1">
      <c r="A185" s="2" t="s">
        <v>8</v>
      </c>
      <c r="B185" s="16" t="s">
        <v>58</v>
      </c>
      <c r="C185" s="2" t="s">
        <v>9</v>
      </c>
      <c r="D185" s="2" t="s">
        <v>10</v>
      </c>
      <c r="E185" s="12" t="s">
        <v>64</v>
      </c>
      <c r="F185" s="13" t="s">
        <v>55</v>
      </c>
      <c r="G185" s="14" t="s">
        <v>11</v>
      </c>
      <c r="H185" s="36" t="s">
        <v>57</v>
      </c>
      <c r="I185" s="214"/>
    </row>
    <row r="186" spans="1:9" s="7" customFormat="1" ht="80.099999999999994" customHeight="1">
      <c r="A186" s="34">
        <v>3</v>
      </c>
      <c r="B186" s="63">
        <v>5300000</v>
      </c>
      <c r="C186" s="44"/>
      <c r="D186" s="35"/>
      <c r="E186" s="37"/>
      <c r="F186" s="37"/>
      <c r="G186" s="37"/>
      <c r="H186" s="38"/>
      <c r="I186" s="37"/>
    </row>
    <row r="187" spans="1:9" ht="27.9" customHeight="1">
      <c r="A187" s="19"/>
      <c r="B187" s="20"/>
      <c r="C187" s="21"/>
      <c r="D187" s="39"/>
      <c r="E187" s="22"/>
      <c r="F187" s="23"/>
      <c r="G187" s="18"/>
      <c r="H187" s="18"/>
      <c r="I187" s="18"/>
    </row>
    <row r="188" spans="1:9" ht="27.9" customHeight="1">
      <c r="A188" s="215" t="s">
        <v>15</v>
      </c>
      <c r="B188" s="215"/>
      <c r="C188" s="215"/>
      <c r="D188" s="215"/>
      <c r="E188" s="215"/>
      <c r="F188" s="215"/>
      <c r="G188" s="215"/>
      <c r="H188" s="215"/>
      <c r="I188" s="215"/>
    </row>
    <row r="189" spans="1:9" ht="27.9" customHeight="1">
      <c r="A189" s="216" t="s">
        <v>16</v>
      </c>
      <c r="B189" s="216"/>
      <c r="C189" s="216"/>
      <c r="D189" s="216"/>
      <c r="E189" s="216"/>
      <c r="F189" s="216"/>
      <c r="G189" s="216"/>
      <c r="H189" s="216"/>
      <c r="I189" s="216"/>
    </row>
    <row r="190" spans="1:9" s="6" customFormat="1" ht="27.9" customHeight="1">
      <c r="A190" s="216" t="s">
        <v>16</v>
      </c>
      <c r="B190" s="216"/>
      <c r="C190" s="216"/>
      <c r="D190" s="216"/>
      <c r="E190" s="216"/>
      <c r="F190" s="216"/>
      <c r="G190" s="216"/>
      <c r="H190" s="216"/>
      <c r="I190" s="216"/>
    </row>
    <row r="191" spans="1:9" s="6" customFormat="1" ht="27.9" customHeight="1">
      <c r="A191" s="216" t="s">
        <v>17</v>
      </c>
      <c r="B191" s="216"/>
      <c r="C191" s="216"/>
      <c r="D191" s="216"/>
      <c r="E191" s="216"/>
      <c r="F191" s="216"/>
      <c r="G191" s="216"/>
      <c r="H191" s="216"/>
      <c r="I191" s="216"/>
    </row>
    <row r="192" spans="1:9" s="7" customFormat="1" ht="27.9" customHeight="1">
      <c r="A192" s="216" t="s">
        <v>18</v>
      </c>
      <c r="B192" s="216"/>
      <c r="C192" s="216"/>
      <c r="D192" s="216"/>
      <c r="E192" s="216"/>
      <c r="F192" s="216"/>
      <c r="G192" s="216"/>
      <c r="H192" s="216"/>
      <c r="I192" s="216"/>
    </row>
    <row r="193" spans="1:9" s="7" customFormat="1" ht="27.9" customHeight="1">
      <c r="A193" s="24"/>
      <c r="B193" s="24"/>
      <c r="C193" s="24"/>
      <c r="D193" s="24"/>
      <c r="E193" s="24"/>
      <c r="F193" s="24"/>
      <c r="G193" s="24"/>
      <c r="H193" s="24"/>
      <c r="I193" s="24"/>
    </row>
    <row r="194" spans="1:9" ht="27.9" customHeight="1">
      <c r="A194" s="24"/>
      <c r="B194" s="25"/>
      <c r="C194" s="39"/>
      <c r="D194" s="39"/>
      <c r="E194" s="26" t="s">
        <v>12</v>
      </c>
      <c r="F194" s="27"/>
      <c r="G194" s="28"/>
      <c r="H194" s="29" t="s">
        <v>13</v>
      </c>
      <c r="I194" s="24"/>
    </row>
    <row r="195" spans="1:9" ht="27.9" customHeight="1">
      <c r="A195" s="30"/>
      <c r="B195" s="30"/>
      <c r="C195" s="18"/>
      <c r="D195" s="18"/>
      <c r="E195" s="31"/>
      <c r="F195" s="217" t="s">
        <v>14</v>
      </c>
      <c r="G195" s="217"/>
      <c r="H195" s="31"/>
      <c r="I195" s="18"/>
    </row>
    <row r="196" spans="1:9" ht="27.9" customHeight="1">
      <c r="A196" s="32"/>
      <c r="B196" s="25" t="s">
        <v>48</v>
      </c>
      <c r="C196" s="40"/>
      <c r="D196" s="40"/>
      <c r="E196" s="33"/>
      <c r="F196" s="23"/>
      <c r="G196" s="18"/>
      <c r="H196" s="18"/>
      <c r="I196" s="18"/>
    </row>
    <row r="197" spans="1:9" ht="27.9" customHeight="1">
      <c r="A197" s="212"/>
      <c r="B197" s="212"/>
      <c r="C197" s="212"/>
      <c r="D197" s="212"/>
      <c r="E197" s="212"/>
      <c r="F197" s="212"/>
      <c r="G197" s="212"/>
      <c r="H197" s="212"/>
      <c r="I197" s="212"/>
    </row>
    <row r="198" spans="1:9" s="3" customFormat="1" ht="27.9" customHeight="1">
      <c r="A198" s="212" t="s">
        <v>51</v>
      </c>
      <c r="B198" s="212"/>
      <c r="C198" s="212"/>
      <c r="D198" s="212"/>
      <c r="E198" s="212"/>
      <c r="F198" s="212"/>
      <c r="G198" s="212"/>
      <c r="H198" s="212"/>
      <c r="I198" s="212"/>
    </row>
    <row r="199" spans="1:9" s="3" customFormat="1" ht="27.9" customHeight="1">
      <c r="A199" s="212" t="s">
        <v>1</v>
      </c>
      <c r="B199" s="212"/>
      <c r="C199" s="212"/>
      <c r="D199" s="212"/>
      <c r="E199" s="212"/>
      <c r="F199" s="212"/>
      <c r="G199" s="212"/>
      <c r="H199" s="212"/>
      <c r="I199" s="212"/>
    </row>
    <row r="200" spans="1:9" s="3" customFormat="1" ht="27.9" customHeight="1">
      <c r="A200" s="212" t="s">
        <v>52</v>
      </c>
      <c r="B200" s="212"/>
      <c r="C200" s="212"/>
      <c r="D200" s="212"/>
      <c r="E200" s="212"/>
      <c r="F200" s="212"/>
      <c r="G200" s="212"/>
      <c r="H200" s="212"/>
      <c r="I200" s="212"/>
    </row>
    <row r="201" spans="1:9" ht="27.9" customHeight="1">
      <c r="A201" s="17"/>
      <c r="B201" s="43" t="s">
        <v>24</v>
      </c>
      <c r="C201" s="41"/>
      <c r="D201" s="18"/>
      <c r="E201" s="18"/>
      <c r="F201" s="18"/>
      <c r="G201" s="18"/>
      <c r="H201" s="18"/>
      <c r="I201" s="18"/>
    </row>
    <row r="202" spans="1:9" s="5" customFormat="1" ht="27.9" customHeight="1">
      <c r="A202" s="1" t="s">
        <v>0</v>
      </c>
      <c r="B202" s="15" t="s">
        <v>2</v>
      </c>
      <c r="C202" s="1" t="s">
        <v>53</v>
      </c>
      <c r="D202" s="1" t="s">
        <v>3</v>
      </c>
      <c r="E202" s="9" t="s">
        <v>4</v>
      </c>
      <c r="F202" s="10" t="s">
        <v>5</v>
      </c>
      <c r="G202" s="11" t="s">
        <v>56</v>
      </c>
      <c r="H202" s="9" t="s">
        <v>6</v>
      </c>
      <c r="I202" s="213" t="s">
        <v>7</v>
      </c>
    </row>
    <row r="203" spans="1:9" s="5" customFormat="1" ht="27.9" customHeight="1">
      <c r="A203" s="2" t="s">
        <v>8</v>
      </c>
      <c r="B203" s="16" t="s">
        <v>58</v>
      </c>
      <c r="C203" s="2" t="s">
        <v>9</v>
      </c>
      <c r="D203" s="2" t="s">
        <v>10</v>
      </c>
      <c r="E203" s="12" t="s">
        <v>64</v>
      </c>
      <c r="F203" s="13" t="s">
        <v>55</v>
      </c>
      <c r="G203" s="14" t="s">
        <v>11</v>
      </c>
      <c r="H203" s="36" t="s">
        <v>57</v>
      </c>
      <c r="I203" s="214"/>
    </row>
    <row r="204" spans="1:9" s="7" customFormat="1" ht="80.099999999999994" customHeight="1">
      <c r="A204" s="34">
        <v>4</v>
      </c>
      <c r="B204" s="60">
        <v>3500000</v>
      </c>
      <c r="C204" s="45"/>
      <c r="D204" s="35" t="s">
        <v>21</v>
      </c>
      <c r="E204" s="37"/>
      <c r="F204" s="37"/>
      <c r="G204" s="37"/>
      <c r="H204" s="38"/>
      <c r="I204" s="37"/>
    </row>
    <row r="205" spans="1:9" ht="27.9" customHeight="1">
      <c r="A205" s="19"/>
      <c r="B205" s="20"/>
      <c r="C205" s="21"/>
      <c r="D205" s="39"/>
      <c r="E205" s="22"/>
      <c r="F205" s="23"/>
      <c r="G205" s="18"/>
      <c r="H205" s="18"/>
      <c r="I205" s="18"/>
    </row>
    <row r="206" spans="1:9" ht="27.9" customHeight="1">
      <c r="A206" s="215" t="s">
        <v>15</v>
      </c>
      <c r="B206" s="215"/>
      <c r="C206" s="215"/>
      <c r="D206" s="215"/>
      <c r="E206" s="215"/>
      <c r="F206" s="215"/>
      <c r="G206" s="215"/>
      <c r="H206" s="215"/>
      <c r="I206" s="215"/>
    </row>
    <row r="207" spans="1:9" ht="27.9" customHeight="1">
      <c r="A207" s="216" t="s">
        <v>16</v>
      </c>
      <c r="B207" s="216"/>
      <c r="C207" s="216"/>
      <c r="D207" s="216"/>
      <c r="E207" s="216"/>
      <c r="F207" s="216"/>
      <c r="G207" s="216"/>
      <c r="H207" s="216"/>
      <c r="I207" s="216"/>
    </row>
    <row r="208" spans="1:9" s="6" customFormat="1" ht="27.9" customHeight="1">
      <c r="A208" s="216" t="s">
        <v>16</v>
      </c>
      <c r="B208" s="216"/>
      <c r="C208" s="216"/>
      <c r="D208" s="216"/>
      <c r="E208" s="216"/>
      <c r="F208" s="216"/>
      <c r="G208" s="216"/>
      <c r="H208" s="216"/>
      <c r="I208" s="216"/>
    </row>
    <row r="209" spans="1:9" s="6" customFormat="1" ht="27.9" customHeight="1">
      <c r="A209" s="216" t="s">
        <v>17</v>
      </c>
      <c r="B209" s="216"/>
      <c r="C209" s="216"/>
      <c r="D209" s="216"/>
      <c r="E209" s="216"/>
      <c r="F209" s="216"/>
      <c r="G209" s="216"/>
      <c r="H209" s="216"/>
      <c r="I209" s="216"/>
    </row>
    <row r="210" spans="1:9" s="7" customFormat="1" ht="27.9" customHeight="1">
      <c r="A210" s="216" t="s">
        <v>18</v>
      </c>
      <c r="B210" s="216"/>
      <c r="C210" s="216"/>
      <c r="D210" s="216"/>
      <c r="E210" s="216"/>
      <c r="F210" s="216"/>
      <c r="G210" s="216"/>
      <c r="H210" s="216"/>
      <c r="I210" s="216"/>
    </row>
    <row r="211" spans="1:9" s="7" customFormat="1" ht="27.9" customHeight="1">
      <c r="A211" s="24"/>
      <c r="B211" s="24"/>
      <c r="C211" s="24"/>
      <c r="D211" s="24"/>
      <c r="E211" s="24"/>
      <c r="F211" s="24"/>
      <c r="G211" s="24"/>
      <c r="H211" s="24"/>
      <c r="I211" s="24"/>
    </row>
    <row r="212" spans="1:9" ht="27.9" customHeight="1">
      <c r="A212" s="24"/>
      <c r="B212" s="25"/>
      <c r="C212" s="39"/>
      <c r="D212" s="39"/>
      <c r="E212" s="26" t="s">
        <v>12</v>
      </c>
      <c r="F212" s="27"/>
      <c r="G212" s="28"/>
      <c r="H212" s="29" t="s">
        <v>13</v>
      </c>
      <c r="I212" s="24"/>
    </row>
    <row r="213" spans="1:9" ht="27.9" customHeight="1">
      <c r="A213" s="30"/>
      <c r="B213" s="30"/>
      <c r="C213" s="18"/>
      <c r="D213" s="18"/>
      <c r="E213" s="31"/>
      <c r="F213" s="217" t="s">
        <v>14</v>
      </c>
      <c r="G213" s="217"/>
      <c r="H213" s="31"/>
      <c r="I213" s="18"/>
    </row>
    <row r="214" spans="1:9" ht="27.9" customHeight="1">
      <c r="A214" s="32"/>
      <c r="B214" s="25" t="s">
        <v>48</v>
      </c>
      <c r="C214" s="40"/>
      <c r="D214" s="40"/>
      <c r="E214" s="33"/>
      <c r="F214" s="23"/>
      <c r="G214" s="18"/>
      <c r="H214" s="18"/>
      <c r="I214" s="18"/>
    </row>
    <row r="215" spans="1:9" ht="27.9" customHeight="1">
      <c r="A215" s="212"/>
      <c r="B215" s="212"/>
      <c r="C215" s="212"/>
      <c r="D215" s="212"/>
      <c r="E215" s="212"/>
      <c r="F215" s="212"/>
      <c r="G215" s="212"/>
      <c r="H215" s="212"/>
      <c r="I215" s="212"/>
    </row>
    <row r="216" spans="1:9" s="3" customFormat="1" ht="27.9" customHeight="1">
      <c r="A216" s="212" t="s">
        <v>51</v>
      </c>
      <c r="B216" s="212"/>
      <c r="C216" s="212"/>
      <c r="D216" s="212"/>
      <c r="E216" s="212"/>
      <c r="F216" s="212"/>
      <c r="G216" s="212"/>
      <c r="H216" s="212"/>
      <c r="I216" s="212"/>
    </row>
    <row r="217" spans="1:9" s="3" customFormat="1" ht="27.9" customHeight="1">
      <c r="A217" s="212" t="s">
        <v>1</v>
      </c>
      <c r="B217" s="212"/>
      <c r="C217" s="212"/>
      <c r="D217" s="212"/>
      <c r="E217" s="212"/>
      <c r="F217" s="212"/>
      <c r="G217" s="212"/>
      <c r="H217" s="212"/>
      <c r="I217" s="212"/>
    </row>
    <row r="218" spans="1:9" s="3" customFormat="1" ht="27.9" customHeight="1">
      <c r="A218" s="212" t="s">
        <v>52</v>
      </c>
      <c r="B218" s="212"/>
      <c r="C218" s="212"/>
      <c r="D218" s="212"/>
      <c r="E218" s="212"/>
      <c r="F218" s="212"/>
      <c r="G218" s="212"/>
      <c r="H218" s="212"/>
      <c r="I218" s="212"/>
    </row>
    <row r="219" spans="1:9" ht="27.9" customHeight="1">
      <c r="A219" s="17"/>
      <c r="B219" s="43" t="s">
        <v>25</v>
      </c>
      <c r="C219" s="41"/>
      <c r="D219" s="18"/>
      <c r="E219" s="18"/>
      <c r="F219" s="18"/>
      <c r="G219" s="18"/>
      <c r="H219" s="18"/>
      <c r="I219" s="18"/>
    </row>
    <row r="220" spans="1:9" s="5" customFormat="1" ht="27.9" customHeight="1">
      <c r="A220" s="1" t="s">
        <v>0</v>
      </c>
      <c r="B220" s="15" t="s">
        <v>2</v>
      </c>
      <c r="C220" s="1" t="s">
        <v>53</v>
      </c>
      <c r="D220" s="1" t="s">
        <v>3</v>
      </c>
      <c r="E220" s="9" t="s">
        <v>4</v>
      </c>
      <c r="F220" s="10" t="s">
        <v>5</v>
      </c>
      <c r="G220" s="11" t="s">
        <v>59</v>
      </c>
      <c r="H220" s="9" t="s">
        <v>6</v>
      </c>
      <c r="I220" s="213" t="s">
        <v>7</v>
      </c>
    </row>
    <row r="221" spans="1:9" s="5" customFormat="1" ht="27.9" customHeight="1">
      <c r="A221" s="2" t="s">
        <v>8</v>
      </c>
      <c r="B221" s="16" t="s">
        <v>58</v>
      </c>
      <c r="C221" s="2" t="s">
        <v>9</v>
      </c>
      <c r="D221" s="2" t="s">
        <v>10</v>
      </c>
      <c r="E221" s="12" t="s">
        <v>65</v>
      </c>
      <c r="F221" s="13" t="s">
        <v>55</v>
      </c>
      <c r="G221" s="14" t="s">
        <v>11</v>
      </c>
      <c r="H221" s="36" t="s">
        <v>57</v>
      </c>
      <c r="I221" s="214"/>
    </row>
    <row r="222" spans="1:9" s="7" customFormat="1" ht="80.099999999999994" customHeight="1">
      <c r="A222" s="34">
        <v>5</v>
      </c>
      <c r="B222" s="47">
        <v>65000000</v>
      </c>
      <c r="C222" s="48"/>
      <c r="D222" s="35"/>
      <c r="E222" s="37"/>
      <c r="F222" s="37"/>
      <c r="G222" s="37"/>
      <c r="H222" s="38"/>
      <c r="I222" s="53"/>
    </row>
    <row r="223" spans="1:9" ht="27.9" customHeight="1">
      <c r="A223" s="19"/>
      <c r="B223" s="20"/>
      <c r="C223" s="21"/>
      <c r="D223" s="39"/>
      <c r="E223" s="22"/>
      <c r="F223" s="23"/>
      <c r="G223" s="18"/>
      <c r="H223" s="18"/>
      <c r="I223" s="18"/>
    </row>
    <row r="224" spans="1:9" ht="27.9" customHeight="1">
      <c r="A224" s="215" t="s">
        <v>49</v>
      </c>
      <c r="B224" s="215"/>
      <c r="C224" s="215"/>
      <c r="D224" s="215"/>
      <c r="E224" s="215"/>
      <c r="F224" s="215"/>
      <c r="G224" s="215"/>
      <c r="H224" s="215"/>
      <c r="I224" s="215"/>
    </row>
    <row r="225" spans="1:9" ht="27.9" customHeight="1">
      <c r="A225" s="219" t="s">
        <v>50</v>
      </c>
      <c r="B225" s="219"/>
      <c r="C225" s="219"/>
      <c r="D225" s="219"/>
      <c r="E225" s="219"/>
      <c r="F225" s="219"/>
      <c r="G225" s="219"/>
      <c r="H225" s="219"/>
      <c r="I225" s="219"/>
    </row>
    <row r="226" spans="1:9" s="6" customFormat="1" ht="27.9" customHeight="1">
      <c r="A226" s="216" t="s">
        <v>16</v>
      </c>
      <c r="B226" s="216"/>
      <c r="C226" s="216"/>
      <c r="D226" s="216"/>
      <c r="E226" s="216"/>
      <c r="F226" s="216"/>
      <c r="G226" s="216"/>
      <c r="H226" s="216"/>
      <c r="I226" s="216"/>
    </row>
    <row r="227" spans="1:9" s="6" customFormat="1" ht="27.9" customHeight="1">
      <c r="A227" s="216" t="s">
        <v>17</v>
      </c>
      <c r="B227" s="216"/>
      <c r="C227" s="216"/>
      <c r="D227" s="216"/>
      <c r="E227" s="216"/>
      <c r="F227" s="216"/>
      <c r="G227" s="216"/>
      <c r="H227" s="216"/>
      <c r="I227" s="216"/>
    </row>
    <row r="228" spans="1:9" s="7" customFormat="1" ht="27.9" customHeight="1">
      <c r="A228" s="216" t="s">
        <v>18</v>
      </c>
      <c r="B228" s="216"/>
      <c r="C228" s="216"/>
      <c r="D228" s="216"/>
      <c r="E228" s="216"/>
      <c r="F228" s="216"/>
      <c r="G228" s="216"/>
      <c r="H228" s="216"/>
      <c r="I228" s="216"/>
    </row>
    <row r="229" spans="1:9" s="7" customFormat="1" ht="27.9" customHeight="1">
      <c r="A229" s="24"/>
      <c r="B229" s="24"/>
      <c r="C229" s="24"/>
      <c r="D229" s="24"/>
      <c r="E229" s="24"/>
      <c r="F229" s="24"/>
      <c r="G229" s="24"/>
      <c r="H229" s="24"/>
      <c r="I229" s="24"/>
    </row>
    <row r="230" spans="1:9" ht="27.9" customHeight="1">
      <c r="A230" s="24"/>
      <c r="B230" s="25"/>
      <c r="C230" s="39"/>
      <c r="D230" s="39"/>
      <c r="E230" s="26" t="s">
        <v>12</v>
      </c>
      <c r="F230" s="27"/>
      <c r="G230" s="28"/>
      <c r="H230" s="29" t="s">
        <v>13</v>
      </c>
      <c r="I230" s="24"/>
    </row>
    <row r="231" spans="1:9" ht="27.9" customHeight="1">
      <c r="A231" s="30"/>
      <c r="B231" s="30"/>
      <c r="C231" s="18"/>
      <c r="D231" s="18"/>
      <c r="E231" s="31"/>
      <c r="F231" s="217" t="s">
        <v>14</v>
      </c>
      <c r="G231" s="217"/>
      <c r="H231" s="31"/>
      <c r="I231" s="18"/>
    </row>
    <row r="232" spans="1:9" ht="27.9" customHeight="1">
      <c r="A232" s="32"/>
      <c r="B232" s="25" t="s">
        <v>48</v>
      </c>
      <c r="C232" s="40"/>
      <c r="D232" s="40"/>
      <c r="E232" s="33"/>
      <c r="F232" s="23"/>
      <c r="G232" s="18"/>
      <c r="H232" s="18"/>
      <c r="I232" s="18"/>
    </row>
    <row r="233" spans="1:9" ht="27.9" customHeight="1">
      <c r="A233" s="212"/>
      <c r="B233" s="212"/>
      <c r="C233" s="212"/>
      <c r="D233" s="212"/>
      <c r="E233" s="212"/>
      <c r="F233" s="212"/>
      <c r="G233" s="212"/>
      <c r="H233" s="212"/>
      <c r="I233" s="212"/>
    </row>
    <row r="234" spans="1:9" s="3" customFormat="1" ht="27.9" customHeight="1">
      <c r="A234" s="212" t="s">
        <v>51</v>
      </c>
      <c r="B234" s="212"/>
      <c r="C234" s="212"/>
      <c r="D234" s="212"/>
      <c r="E234" s="212"/>
      <c r="F234" s="212"/>
      <c r="G234" s="212"/>
      <c r="H234" s="212"/>
      <c r="I234" s="212"/>
    </row>
    <row r="235" spans="1:9" s="3" customFormat="1" ht="27.9" customHeight="1">
      <c r="A235" s="212" t="s">
        <v>1</v>
      </c>
      <c r="B235" s="212"/>
      <c r="C235" s="212"/>
      <c r="D235" s="212"/>
      <c r="E235" s="212"/>
      <c r="F235" s="212"/>
      <c r="G235" s="212"/>
      <c r="H235" s="212"/>
      <c r="I235" s="212"/>
    </row>
    <row r="236" spans="1:9" s="3" customFormat="1" ht="27.9" customHeight="1">
      <c r="A236" s="212" t="s">
        <v>52</v>
      </c>
      <c r="B236" s="212"/>
      <c r="C236" s="212"/>
      <c r="D236" s="212"/>
      <c r="E236" s="212"/>
      <c r="F236" s="212"/>
      <c r="G236" s="212"/>
      <c r="H236" s="212"/>
      <c r="I236" s="212"/>
    </row>
    <row r="237" spans="1:9" ht="27.9" customHeight="1">
      <c r="A237" s="17"/>
      <c r="B237" s="43" t="s">
        <v>28</v>
      </c>
      <c r="C237" s="41"/>
      <c r="D237" s="18"/>
      <c r="E237" s="18"/>
      <c r="F237" s="18"/>
      <c r="G237" s="18"/>
      <c r="H237" s="18"/>
      <c r="I237" s="18"/>
    </row>
    <row r="238" spans="1:9" s="5" customFormat="1" ht="27.9" customHeight="1">
      <c r="A238" s="1" t="s">
        <v>0</v>
      </c>
      <c r="B238" s="15" t="s">
        <v>2</v>
      </c>
      <c r="C238" s="1" t="s">
        <v>53</v>
      </c>
      <c r="D238" s="1" t="s">
        <v>3</v>
      </c>
      <c r="E238" s="9" t="s">
        <v>4</v>
      </c>
      <c r="F238" s="10" t="s">
        <v>5</v>
      </c>
      <c r="G238" s="11" t="s">
        <v>56</v>
      </c>
      <c r="H238" s="9" t="s">
        <v>6</v>
      </c>
      <c r="I238" s="213" t="s">
        <v>7</v>
      </c>
    </row>
    <row r="239" spans="1:9" s="5" customFormat="1" ht="27.9" customHeight="1">
      <c r="A239" s="2" t="s">
        <v>8</v>
      </c>
      <c r="B239" s="16" t="s">
        <v>58</v>
      </c>
      <c r="C239" s="2" t="s">
        <v>9</v>
      </c>
      <c r="D239" s="2" t="s">
        <v>10</v>
      </c>
      <c r="E239" s="12" t="s">
        <v>64</v>
      </c>
      <c r="F239" s="13" t="s">
        <v>55</v>
      </c>
      <c r="G239" s="14" t="s">
        <v>11</v>
      </c>
      <c r="H239" s="36" t="s">
        <v>57</v>
      </c>
      <c r="I239" s="214"/>
    </row>
    <row r="240" spans="1:9" s="7" customFormat="1" ht="80.099999999999994" customHeight="1">
      <c r="A240" s="34">
        <v>9</v>
      </c>
      <c r="B240" s="35">
        <v>10000000</v>
      </c>
      <c r="C240" s="35"/>
      <c r="D240" s="46"/>
      <c r="E240" s="37"/>
      <c r="F240" s="37"/>
      <c r="G240" s="37"/>
      <c r="H240" s="38"/>
      <c r="I240" s="37"/>
    </row>
    <row r="241" spans="1:9" ht="27.9" customHeight="1">
      <c r="A241" s="19"/>
      <c r="B241" s="20"/>
      <c r="C241" s="21"/>
      <c r="D241" s="39"/>
      <c r="E241" s="22"/>
      <c r="F241" s="23"/>
      <c r="G241" s="18"/>
      <c r="H241" s="18"/>
      <c r="I241" s="18"/>
    </row>
    <row r="242" spans="1:9" ht="27.9" customHeight="1">
      <c r="A242" s="215" t="s">
        <v>15</v>
      </c>
      <c r="B242" s="215"/>
      <c r="C242" s="215"/>
      <c r="D242" s="215"/>
      <c r="E242" s="215"/>
      <c r="F242" s="215"/>
      <c r="G242" s="215"/>
      <c r="H242" s="215"/>
      <c r="I242" s="215"/>
    </row>
    <row r="243" spans="1:9" ht="27.9" customHeight="1">
      <c r="A243" s="216" t="s">
        <v>16</v>
      </c>
      <c r="B243" s="216"/>
      <c r="C243" s="216"/>
      <c r="D243" s="216"/>
      <c r="E243" s="216"/>
      <c r="F243" s="216"/>
      <c r="G243" s="216"/>
      <c r="H243" s="216"/>
      <c r="I243" s="216"/>
    </row>
    <row r="244" spans="1:9" s="6" customFormat="1" ht="27.9" customHeight="1">
      <c r="A244" s="216" t="s">
        <v>16</v>
      </c>
      <c r="B244" s="216"/>
      <c r="C244" s="216"/>
      <c r="D244" s="216"/>
      <c r="E244" s="216"/>
      <c r="F244" s="216"/>
      <c r="G244" s="216"/>
      <c r="H244" s="216"/>
      <c r="I244" s="216"/>
    </row>
    <row r="245" spans="1:9" s="6" customFormat="1" ht="27.9" customHeight="1">
      <c r="A245" s="216" t="s">
        <v>17</v>
      </c>
      <c r="B245" s="216"/>
      <c r="C245" s="216"/>
      <c r="D245" s="216"/>
      <c r="E245" s="216"/>
      <c r="F245" s="216"/>
      <c r="G245" s="216"/>
      <c r="H245" s="216"/>
      <c r="I245" s="216"/>
    </row>
    <row r="246" spans="1:9" s="7" customFormat="1" ht="27.9" customHeight="1">
      <c r="A246" s="216" t="s">
        <v>18</v>
      </c>
      <c r="B246" s="216"/>
      <c r="C246" s="216"/>
      <c r="D246" s="216"/>
      <c r="E246" s="216"/>
      <c r="F246" s="216"/>
      <c r="G246" s="216"/>
      <c r="H246" s="216"/>
      <c r="I246" s="216"/>
    </row>
    <row r="247" spans="1:9" s="7" customFormat="1" ht="27.9" customHeight="1">
      <c r="A247" s="24"/>
      <c r="B247" s="24"/>
      <c r="C247" s="24"/>
      <c r="D247" s="24"/>
      <c r="E247" s="24"/>
      <c r="F247" s="24"/>
      <c r="G247" s="24"/>
      <c r="H247" s="24"/>
      <c r="I247" s="24"/>
    </row>
    <row r="248" spans="1:9" ht="27.9" customHeight="1">
      <c r="A248" s="24"/>
      <c r="B248" s="25"/>
      <c r="C248" s="39"/>
      <c r="D248" s="39"/>
      <c r="E248" s="26" t="s">
        <v>12</v>
      </c>
      <c r="F248" s="27"/>
      <c r="G248" s="28"/>
      <c r="H248" s="29" t="s">
        <v>13</v>
      </c>
      <c r="I248" s="24"/>
    </row>
    <row r="249" spans="1:9" ht="27.9" customHeight="1">
      <c r="A249" s="30"/>
      <c r="B249" s="30"/>
      <c r="C249" s="18"/>
      <c r="D249" s="18"/>
      <c r="E249" s="31"/>
      <c r="F249" s="217" t="s">
        <v>14</v>
      </c>
      <c r="G249" s="217"/>
      <c r="H249" s="31"/>
      <c r="I249" s="18"/>
    </row>
    <row r="250" spans="1:9" ht="27.9" customHeight="1">
      <c r="A250" s="32"/>
      <c r="B250" s="25" t="s">
        <v>48</v>
      </c>
      <c r="C250" s="40"/>
      <c r="D250" s="40"/>
      <c r="E250" s="33"/>
      <c r="F250" s="23"/>
      <c r="G250" s="18"/>
      <c r="H250" s="18"/>
      <c r="I250" s="18"/>
    </row>
    <row r="251" spans="1:9" ht="27.9" customHeight="1">
      <c r="A251" s="212"/>
      <c r="B251" s="212"/>
      <c r="C251" s="212"/>
      <c r="D251" s="212"/>
      <c r="E251" s="212"/>
      <c r="F251" s="212"/>
      <c r="G251" s="212"/>
      <c r="H251" s="212"/>
      <c r="I251" s="212"/>
    </row>
    <row r="252" spans="1:9" s="3" customFormat="1" ht="27.9" customHeight="1">
      <c r="A252" s="212" t="s">
        <v>51</v>
      </c>
      <c r="B252" s="212"/>
      <c r="C252" s="212"/>
      <c r="D252" s="212"/>
      <c r="E252" s="212"/>
      <c r="F252" s="212"/>
      <c r="G252" s="212"/>
      <c r="H252" s="212"/>
      <c r="I252" s="212"/>
    </row>
    <row r="253" spans="1:9" s="3" customFormat="1" ht="27.9" customHeight="1">
      <c r="A253" s="212" t="s">
        <v>1</v>
      </c>
      <c r="B253" s="212"/>
      <c r="C253" s="212"/>
      <c r="D253" s="212"/>
      <c r="E253" s="212"/>
      <c r="F253" s="212"/>
      <c r="G253" s="212"/>
      <c r="H253" s="212"/>
      <c r="I253" s="212"/>
    </row>
    <row r="254" spans="1:9" s="3" customFormat="1" ht="27.9" customHeight="1">
      <c r="A254" s="212" t="s">
        <v>52</v>
      </c>
      <c r="B254" s="212"/>
      <c r="C254" s="212"/>
      <c r="D254" s="212"/>
      <c r="E254" s="212"/>
      <c r="F254" s="212"/>
      <c r="G254" s="212"/>
      <c r="H254" s="212"/>
      <c r="I254" s="212"/>
    </row>
    <row r="255" spans="1:9" ht="27.9" customHeight="1">
      <c r="A255" s="17"/>
      <c r="B255" s="43" t="s">
        <v>30</v>
      </c>
      <c r="C255" s="41"/>
      <c r="D255" s="18"/>
      <c r="E255" s="18"/>
      <c r="F255" s="18"/>
      <c r="G255" s="18"/>
      <c r="H255" s="18"/>
      <c r="I255" s="18"/>
    </row>
    <row r="256" spans="1:9" s="5" customFormat="1" ht="27.9" customHeight="1">
      <c r="A256" s="1" t="s">
        <v>0</v>
      </c>
      <c r="B256" s="15" t="s">
        <v>2</v>
      </c>
      <c r="C256" s="1" t="s">
        <v>53</v>
      </c>
      <c r="D256" s="1" t="s">
        <v>3</v>
      </c>
      <c r="E256" s="9" t="s">
        <v>4</v>
      </c>
      <c r="F256" s="10" t="s">
        <v>5</v>
      </c>
      <c r="G256" s="11" t="s">
        <v>56</v>
      </c>
      <c r="H256" s="9" t="s">
        <v>6</v>
      </c>
      <c r="I256" s="213" t="s">
        <v>7</v>
      </c>
    </row>
    <row r="257" spans="1:9" s="5" customFormat="1" ht="27.9" customHeight="1">
      <c r="A257" s="2" t="s">
        <v>8</v>
      </c>
      <c r="B257" s="16" t="s">
        <v>58</v>
      </c>
      <c r="C257" s="2" t="s">
        <v>9</v>
      </c>
      <c r="D257" s="2" t="s">
        <v>10</v>
      </c>
      <c r="E257" s="12" t="s">
        <v>64</v>
      </c>
      <c r="F257" s="13" t="s">
        <v>55</v>
      </c>
      <c r="G257" s="14" t="s">
        <v>11</v>
      </c>
      <c r="H257" s="36" t="s">
        <v>57</v>
      </c>
      <c r="I257" s="214"/>
    </row>
    <row r="258" spans="1:9" s="7" customFormat="1" ht="80.099999999999994" customHeight="1">
      <c r="A258" s="34">
        <v>11</v>
      </c>
      <c r="B258" s="35">
        <v>6000000</v>
      </c>
      <c r="C258" s="42"/>
      <c r="D258" s="35"/>
      <c r="E258" s="37"/>
      <c r="F258" s="37"/>
      <c r="G258" s="37"/>
      <c r="H258" s="38"/>
      <c r="I258" s="37"/>
    </row>
    <row r="259" spans="1:9" ht="27.9" customHeight="1">
      <c r="A259" s="19"/>
      <c r="B259" s="20"/>
      <c r="C259" s="21"/>
      <c r="D259" s="39"/>
      <c r="E259" s="22"/>
      <c r="F259" s="23"/>
      <c r="G259" s="18"/>
      <c r="H259" s="18"/>
      <c r="I259" s="18"/>
    </row>
    <row r="260" spans="1:9" ht="27.9" customHeight="1">
      <c r="A260" s="215" t="s">
        <v>15</v>
      </c>
      <c r="B260" s="215"/>
      <c r="C260" s="215"/>
      <c r="D260" s="215"/>
      <c r="E260" s="215"/>
      <c r="F260" s="215"/>
      <c r="G260" s="215"/>
      <c r="H260" s="215"/>
      <c r="I260" s="215"/>
    </row>
    <row r="261" spans="1:9" ht="27.9" customHeight="1">
      <c r="A261" s="216" t="s">
        <v>16</v>
      </c>
      <c r="B261" s="216"/>
      <c r="C261" s="216"/>
      <c r="D261" s="216"/>
      <c r="E261" s="216"/>
      <c r="F261" s="216"/>
      <c r="G261" s="216"/>
      <c r="H261" s="216"/>
      <c r="I261" s="216"/>
    </row>
    <row r="262" spans="1:9" s="6" customFormat="1" ht="27.9" customHeight="1">
      <c r="A262" s="216" t="s">
        <v>16</v>
      </c>
      <c r="B262" s="216"/>
      <c r="C262" s="216"/>
      <c r="D262" s="216"/>
      <c r="E262" s="216"/>
      <c r="F262" s="216"/>
      <c r="G262" s="216"/>
      <c r="H262" s="216"/>
      <c r="I262" s="216"/>
    </row>
    <row r="263" spans="1:9" s="6" customFormat="1" ht="27.9" customHeight="1">
      <c r="A263" s="216" t="s">
        <v>17</v>
      </c>
      <c r="B263" s="216"/>
      <c r="C263" s="216"/>
      <c r="D263" s="216"/>
      <c r="E263" s="216"/>
      <c r="F263" s="216"/>
      <c r="G263" s="216"/>
      <c r="H263" s="216"/>
      <c r="I263" s="216"/>
    </row>
    <row r="264" spans="1:9" s="7" customFormat="1" ht="27.9" customHeight="1">
      <c r="A264" s="216" t="s">
        <v>18</v>
      </c>
      <c r="B264" s="216"/>
      <c r="C264" s="216"/>
      <c r="D264" s="216"/>
      <c r="E264" s="216"/>
      <c r="F264" s="216"/>
      <c r="G264" s="216"/>
      <c r="H264" s="216"/>
      <c r="I264" s="216"/>
    </row>
    <row r="265" spans="1:9" s="7" customFormat="1" ht="27.9" customHeight="1">
      <c r="A265" s="24"/>
      <c r="B265" s="24"/>
      <c r="C265" s="24"/>
      <c r="D265" s="24"/>
      <c r="E265" s="24"/>
      <c r="F265" s="24"/>
      <c r="G265" s="24"/>
      <c r="H265" s="24"/>
      <c r="I265" s="24"/>
    </row>
    <row r="266" spans="1:9" ht="27.9" customHeight="1">
      <c r="A266" s="24"/>
      <c r="B266" s="25"/>
      <c r="C266" s="39"/>
      <c r="D266" s="39"/>
      <c r="E266" s="26" t="s">
        <v>12</v>
      </c>
      <c r="F266" s="27"/>
      <c r="G266" s="28"/>
      <c r="H266" s="29" t="s">
        <v>13</v>
      </c>
      <c r="I266" s="24"/>
    </row>
    <row r="267" spans="1:9" ht="27.9" customHeight="1">
      <c r="A267" s="30"/>
      <c r="B267" s="30"/>
      <c r="C267" s="18"/>
      <c r="D267" s="18"/>
      <c r="E267" s="31"/>
      <c r="F267" s="217" t="s">
        <v>14</v>
      </c>
      <c r="G267" s="217"/>
      <c r="H267" s="31"/>
      <c r="I267" s="18"/>
    </row>
    <row r="268" spans="1:9" ht="27.9" customHeight="1">
      <c r="A268" s="32"/>
      <c r="B268" s="25" t="s">
        <v>48</v>
      </c>
      <c r="C268" s="40"/>
      <c r="D268" s="40"/>
      <c r="E268" s="33"/>
      <c r="F268" s="23"/>
      <c r="G268" s="18"/>
      <c r="H268" s="18"/>
      <c r="I268" s="18"/>
    </row>
    <row r="269" spans="1:9" ht="27" customHeight="1">
      <c r="A269" s="212"/>
      <c r="B269" s="212"/>
      <c r="C269" s="212"/>
      <c r="D269" s="212"/>
      <c r="E269" s="212"/>
      <c r="F269" s="212"/>
      <c r="G269" s="212"/>
      <c r="H269" s="212"/>
      <c r="I269" s="212"/>
    </row>
    <row r="270" spans="1:9" s="3" customFormat="1" ht="27.9" customHeight="1">
      <c r="A270" s="212" t="s">
        <v>51</v>
      </c>
      <c r="B270" s="212"/>
      <c r="C270" s="212"/>
      <c r="D270" s="212"/>
      <c r="E270" s="212"/>
      <c r="F270" s="212"/>
      <c r="G270" s="212"/>
      <c r="H270" s="212"/>
      <c r="I270" s="212"/>
    </row>
    <row r="271" spans="1:9" s="3" customFormat="1" ht="27.9" customHeight="1">
      <c r="A271" s="212" t="s">
        <v>1</v>
      </c>
      <c r="B271" s="212"/>
      <c r="C271" s="212"/>
      <c r="D271" s="212"/>
      <c r="E271" s="212"/>
      <c r="F271" s="212"/>
      <c r="G271" s="212"/>
      <c r="H271" s="212"/>
      <c r="I271" s="212"/>
    </row>
    <row r="272" spans="1:9" s="3" customFormat="1" ht="27.9" customHeight="1">
      <c r="A272" s="212" t="s">
        <v>52</v>
      </c>
      <c r="B272" s="212"/>
      <c r="C272" s="212"/>
      <c r="D272" s="212"/>
      <c r="E272" s="212"/>
      <c r="F272" s="212"/>
      <c r="G272" s="212"/>
      <c r="H272" s="212"/>
      <c r="I272" s="212"/>
    </row>
    <row r="273" spans="1:9" ht="27.9" customHeight="1">
      <c r="A273" s="17"/>
      <c r="B273" s="43" t="s">
        <v>31</v>
      </c>
      <c r="C273" s="41"/>
      <c r="D273" s="18"/>
      <c r="E273" s="18"/>
      <c r="F273" s="18"/>
      <c r="G273" s="18"/>
      <c r="H273" s="18"/>
      <c r="I273" s="18"/>
    </row>
    <row r="274" spans="1:9" s="5" customFormat="1" ht="27.9" customHeight="1">
      <c r="A274" s="1" t="s">
        <v>0</v>
      </c>
      <c r="B274" s="15" t="s">
        <v>2</v>
      </c>
      <c r="C274" s="1" t="s">
        <v>53</v>
      </c>
      <c r="D274" s="1" t="s">
        <v>3</v>
      </c>
      <c r="E274" s="9" t="s">
        <v>4</v>
      </c>
      <c r="F274" s="10" t="s">
        <v>5</v>
      </c>
      <c r="G274" s="11" t="s">
        <v>56</v>
      </c>
      <c r="H274" s="9" t="s">
        <v>6</v>
      </c>
      <c r="I274" s="213" t="s">
        <v>7</v>
      </c>
    </row>
    <row r="275" spans="1:9" s="5" customFormat="1" ht="27.9" customHeight="1">
      <c r="A275" s="2" t="s">
        <v>8</v>
      </c>
      <c r="B275" s="16" t="s">
        <v>66</v>
      </c>
      <c r="C275" s="2" t="s">
        <v>9</v>
      </c>
      <c r="D275" s="2" t="s">
        <v>10</v>
      </c>
      <c r="E275" s="12" t="s">
        <v>64</v>
      </c>
      <c r="F275" s="13" t="s">
        <v>55</v>
      </c>
      <c r="G275" s="14" t="s">
        <v>11</v>
      </c>
      <c r="H275" s="36" t="s">
        <v>60</v>
      </c>
      <c r="I275" s="214"/>
    </row>
    <row r="276" spans="1:9" s="7" customFormat="1" ht="80.099999999999994" customHeight="1">
      <c r="A276" s="34">
        <v>12</v>
      </c>
      <c r="B276" s="35">
        <v>65000000</v>
      </c>
      <c r="C276" s="42"/>
      <c r="D276" s="35"/>
      <c r="E276" s="37"/>
      <c r="F276" s="37"/>
      <c r="G276" s="37"/>
      <c r="H276" s="38"/>
      <c r="I276" s="54"/>
    </row>
    <row r="277" spans="1:9" ht="27.9" customHeight="1">
      <c r="A277" s="19"/>
      <c r="B277" s="20"/>
      <c r="C277" s="21"/>
      <c r="D277" s="39"/>
      <c r="E277" s="22"/>
      <c r="F277" s="23"/>
      <c r="G277" s="18"/>
      <c r="H277" s="18"/>
      <c r="I277" s="18"/>
    </row>
    <row r="278" spans="1:9" ht="27.9" customHeight="1">
      <c r="A278" s="215" t="s">
        <v>15</v>
      </c>
      <c r="B278" s="215"/>
      <c r="C278" s="215"/>
      <c r="D278" s="215"/>
      <c r="E278" s="215"/>
      <c r="F278" s="215"/>
      <c r="G278" s="215"/>
      <c r="H278" s="215"/>
      <c r="I278" s="215"/>
    </row>
    <row r="279" spans="1:9" ht="27.9" customHeight="1">
      <c r="A279" s="216" t="s">
        <v>16</v>
      </c>
      <c r="B279" s="216"/>
      <c r="C279" s="216"/>
      <c r="D279" s="216"/>
      <c r="E279" s="216"/>
      <c r="F279" s="216"/>
      <c r="G279" s="216"/>
      <c r="H279" s="216"/>
      <c r="I279" s="216"/>
    </row>
    <row r="280" spans="1:9" s="6" customFormat="1" ht="27.9" customHeight="1">
      <c r="A280" s="216" t="s">
        <v>16</v>
      </c>
      <c r="B280" s="216"/>
      <c r="C280" s="216"/>
      <c r="D280" s="216"/>
      <c r="E280" s="216"/>
      <c r="F280" s="216"/>
      <c r="G280" s="216"/>
      <c r="H280" s="216"/>
      <c r="I280" s="216"/>
    </row>
    <row r="281" spans="1:9" s="6" customFormat="1" ht="27.9" customHeight="1">
      <c r="A281" s="216" t="s">
        <v>17</v>
      </c>
      <c r="B281" s="216"/>
      <c r="C281" s="216"/>
      <c r="D281" s="216"/>
      <c r="E281" s="216"/>
      <c r="F281" s="216"/>
      <c r="G281" s="216"/>
      <c r="H281" s="216"/>
      <c r="I281" s="216"/>
    </row>
    <row r="282" spans="1:9" s="7" customFormat="1" ht="27.9" customHeight="1">
      <c r="A282" s="216" t="s">
        <v>18</v>
      </c>
      <c r="B282" s="216"/>
      <c r="C282" s="216"/>
      <c r="D282" s="216"/>
      <c r="E282" s="216"/>
      <c r="F282" s="216"/>
      <c r="G282" s="216"/>
      <c r="H282" s="216"/>
      <c r="I282" s="216"/>
    </row>
    <row r="283" spans="1:9" s="7" customFormat="1" ht="27.9" customHeight="1">
      <c r="A283" s="24"/>
      <c r="B283" s="24"/>
      <c r="C283" s="24"/>
      <c r="D283" s="24"/>
      <c r="E283" s="24"/>
      <c r="F283" s="24"/>
      <c r="G283" s="24"/>
      <c r="H283" s="24"/>
      <c r="I283" s="24"/>
    </row>
    <row r="284" spans="1:9" ht="27.9" customHeight="1">
      <c r="A284" s="24"/>
      <c r="B284" s="25"/>
      <c r="C284" s="39"/>
      <c r="D284" s="39"/>
      <c r="E284" s="26" t="s">
        <v>12</v>
      </c>
      <c r="F284" s="27"/>
      <c r="G284" s="28"/>
      <c r="H284" s="29" t="s">
        <v>13</v>
      </c>
      <c r="I284" s="24"/>
    </row>
    <row r="285" spans="1:9" ht="27.9" customHeight="1">
      <c r="A285" s="30"/>
      <c r="B285" s="30"/>
      <c r="C285" s="18"/>
      <c r="D285" s="18"/>
      <c r="E285" s="31"/>
      <c r="F285" s="217" t="s">
        <v>14</v>
      </c>
      <c r="G285" s="217"/>
      <c r="H285" s="31"/>
      <c r="I285" s="18"/>
    </row>
    <row r="286" spans="1:9" ht="27.9" customHeight="1">
      <c r="A286" s="32"/>
      <c r="B286" s="25" t="s">
        <v>48</v>
      </c>
      <c r="C286" s="40"/>
      <c r="D286" s="40"/>
      <c r="E286" s="33"/>
      <c r="F286" s="23"/>
      <c r="G286" s="18"/>
      <c r="H286" s="18"/>
      <c r="I286" s="18"/>
    </row>
    <row r="287" spans="1:9" ht="27.9" customHeight="1">
      <c r="A287" s="212"/>
      <c r="B287" s="212"/>
      <c r="C287" s="212"/>
      <c r="D287" s="212"/>
      <c r="E287" s="212"/>
      <c r="F287" s="212"/>
      <c r="G287" s="212"/>
      <c r="H287" s="212"/>
      <c r="I287" s="212"/>
    </row>
    <row r="288" spans="1:9" s="3" customFormat="1" ht="27.9" customHeight="1">
      <c r="A288" s="212" t="s">
        <v>51</v>
      </c>
      <c r="B288" s="212"/>
      <c r="C288" s="212"/>
      <c r="D288" s="212"/>
      <c r="E288" s="212"/>
      <c r="F288" s="212"/>
      <c r="G288" s="212"/>
      <c r="H288" s="212"/>
      <c r="I288" s="212"/>
    </row>
    <row r="289" spans="1:9" s="3" customFormat="1" ht="27.9" customHeight="1">
      <c r="A289" s="212" t="s">
        <v>1</v>
      </c>
      <c r="B289" s="212"/>
      <c r="C289" s="212"/>
      <c r="D289" s="212"/>
      <c r="E289" s="212"/>
      <c r="F289" s="212"/>
      <c r="G289" s="212"/>
      <c r="H289" s="212"/>
      <c r="I289" s="212"/>
    </row>
    <row r="290" spans="1:9" s="3" customFormat="1" ht="27.9" customHeight="1">
      <c r="A290" s="212" t="s">
        <v>52</v>
      </c>
      <c r="B290" s="212"/>
      <c r="C290" s="212"/>
      <c r="D290" s="212"/>
      <c r="E290" s="212"/>
      <c r="F290" s="212"/>
      <c r="G290" s="212"/>
      <c r="H290" s="212"/>
      <c r="I290" s="212"/>
    </row>
    <row r="291" spans="1:9" ht="27.9" customHeight="1">
      <c r="A291" s="17"/>
      <c r="B291" s="43" t="s">
        <v>32</v>
      </c>
      <c r="C291" s="41"/>
      <c r="D291" s="18"/>
      <c r="E291" s="18"/>
      <c r="F291" s="18"/>
      <c r="G291" s="18"/>
      <c r="H291" s="18"/>
      <c r="I291" s="18"/>
    </row>
    <row r="292" spans="1:9" s="5" customFormat="1" ht="27.9" customHeight="1">
      <c r="A292" s="1" t="s">
        <v>0</v>
      </c>
      <c r="B292" s="15" t="s">
        <v>2</v>
      </c>
      <c r="C292" s="1" t="s">
        <v>53</v>
      </c>
      <c r="D292" s="1" t="s">
        <v>3</v>
      </c>
      <c r="E292" s="9" t="s">
        <v>4</v>
      </c>
      <c r="F292" s="10" t="s">
        <v>5</v>
      </c>
      <c r="G292" s="11" t="s">
        <v>56</v>
      </c>
      <c r="H292" s="9" t="s">
        <v>6</v>
      </c>
      <c r="I292" s="213" t="s">
        <v>7</v>
      </c>
    </row>
    <row r="293" spans="1:9" s="5" customFormat="1" ht="27.9" customHeight="1">
      <c r="A293" s="2" t="s">
        <v>8</v>
      </c>
      <c r="B293" s="16" t="s">
        <v>58</v>
      </c>
      <c r="C293" s="2" t="s">
        <v>9</v>
      </c>
      <c r="D293" s="2" t="s">
        <v>10</v>
      </c>
      <c r="E293" s="12" t="s">
        <v>64</v>
      </c>
      <c r="F293" s="13" t="s">
        <v>55</v>
      </c>
      <c r="G293" s="14" t="s">
        <v>11</v>
      </c>
      <c r="H293" s="36" t="s">
        <v>57</v>
      </c>
      <c r="I293" s="214"/>
    </row>
    <row r="294" spans="1:9" s="7" customFormat="1" ht="80.099999999999994" customHeight="1">
      <c r="A294" s="34">
        <v>13</v>
      </c>
      <c r="B294" s="35">
        <v>40000000</v>
      </c>
      <c r="C294" s="42"/>
      <c r="D294" s="35"/>
      <c r="E294" s="37"/>
      <c r="F294" s="37"/>
      <c r="G294" s="37"/>
      <c r="H294" s="38"/>
      <c r="I294" s="37"/>
    </row>
    <row r="295" spans="1:9" ht="27.9" customHeight="1">
      <c r="A295" s="19"/>
      <c r="B295" s="20"/>
      <c r="C295" s="21"/>
      <c r="D295" s="39"/>
      <c r="E295" s="22"/>
      <c r="F295" s="23"/>
      <c r="G295" s="18"/>
      <c r="H295" s="18"/>
      <c r="I295" s="18"/>
    </row>
    <row r="296" spans="1:9" ht="27.9" customHeight="1">
      <c r="A296" s="215" t="s">
        <v>15</v>
      </c>
      <c r="B296" s="215"/>
      <c r="C296" s="215"/>
      <c r="D296" s="215"/>
      <c r="E296" s="215"/>
      <c r="F296" s="215"/>
      <c r="G296" s="215"/>
      <c r="H296" s="215"/>
      <c r="I296" s="215"/>
    </row>
    <row r="297" spans="1:9" ht="27.9" customHeight="1">
      <c r="A297" s="216" t="s">
        <v>16</v>
      </c>
      <c r="B297" s="216"/>
      <c r="C297" s="216"/>
      <c r="D297" s="216"/>
      <c r="E297" s="216"/>
      <c r="F297" s="216"/>
      <c r="G297" s="216"/>
      <c r="H297" s="216"/>
      <c r="I297" s="216"/>
    </row>
    <row r="298" spans="1:9" s="6" customFormat="1" ht="27.9" customHeight="1">
      <c r="A298" s="216" t="s">
        <v>16</v>
      </c>
      <c r="B298" s="216"/>
      <c r="C298" s="216"/>
      <c r="D298" s="216"/>
      <c r="E298" s="216"/>
      <c r="F298" s="216"/>
      <c r="G298" s="216"/>
      <c r="H298" s="216"/>
      <c r="I298" s="216"/>
    </row>
    <row r="299" spans="1:9" s="6" customFormat="1" ht="27.9" customHeight="1">
      <c r="A299" s="216" t="s">
        <v>17</v>
      </c>
      <c r="B299" s="216"/>
      <c r="C299" s="216"/>
      <c r="D299" s="216"/>
      <c r="E299" s="216"/>
      <c r="F299" s="216"/>
      <c r="G299" s="216"/>
      <c r="H299" s="216"/>
      <c r="I299" s="216"/>
    </row>
    <row r="300" spans="1:9" s="7" customFormat="1" ht="27.9" customHeight="1">
      <c r="A300" s="216" t="s">
        <v>18</v>
      </c>
      <c r="B300" s="216"/>
      <c r="C300" s="216"/>
      <c r="D300" s="216"/>
      <c r="E300" s="216"/>
      <c r="F300" s="216"/>
      <c r="G300" s="216"/>
      <c r="H300" s="216"/>
      <c r="I300" s="216"/>
    </row>
    <row r="301" spans="1:9" s="7" customFormat="1" ht="27.9" customHeight="1">
      <c r="A301" s="24"/>
      <c r="B301" s="24"/>
      <c r="C301" s="24"/>
      <c r="D301" s="24"/>
      <c r="E301" s="24"/>
      <c r="F301" s="24"/>
      <c r="G301" s="24"/>
      <c r="H301" s="24"/>
      <c r="I301" s="24"/>
    </row>
    <row r="302" spans="1:9" ht="27.9" customHeight="1">
      <c r="A302" s="24"/>
      <c r="B302" s="25"/>
      <c r="C302" s="39"/>
      <c r="D302" s="39"/>
      <c r="E302" s="26" t="s">
        <v>12</v>
      </c>
      <c r="F302" s="27"/>
      <c r="G302" s="28"/>
      <c r="H302" s="29" t="s">
        <v>13</v>
      </c>
      <c r="I302" s="24"/>
    </row>
    <row r="303" spans="1:9" ht="27.9" customHeight="1">
      <c r="A303" s="30"/>
      <c r="B303" s="30"/>
      <c r="C303" s="18"/>
      <c r="D303" s="18"/>
      <c r="E303" s="31"/>
      <c r="F303" s="217" t="s">
        <v>14</v>
      </c>
      <c r="G303" s="217"/>
      <c r="H303" s="31"/>
      <c r="I303" s="18"/>
    </row>
    <row r="304" spans="1:9" ht="27.9" customHeight="1">
      <c r="A304" s="32"/>
      <c r="B304" s="25" t="s">
        <v>48</v>
      </c>
      <c r="C304" s="40"/>
      <c r="D304" s="40"/>
      <c r="E304" s="33"/>
      <c r="F304" s="23"/>
      <c r="G304" s="18"/>
      <c r="H304" s="18"/>
      <c r="I304" s="18"/>
    </row>
    <row r="305" spans="1:9" ht="27.9" customHeight="1">
      <c r="A305" s="212"/>
      <c r="B305" s="212"/>
      <c r="C305" s="212"/>
      <c r="D305" s="212"/>
      <c r="E305" s="212"/>
      <c r="F305" s="212"/>
      <c r="G305" s="212"/>
      <c r="H305" s="212"/>
      <c r="I305" s="212"/>
    </row>
    <row r="306" spans="1:9" s="3" customFormat="1" ht="27.9" customHeight="1">
      <c r="A306" s="212" t="s">
        <v>51</v>
      </c>
      <c r="B306" s="212"/>
      <c r="C306" s="212"/>
      <c r="D306" s="212"/>
      <c r="E306" s="212"/>
      <c r="F306" s="212"/>
      <c r="G306" s="212"/>
      <c r="H306" s="212"/>
      <c r="I306" s="212"/>
    </row>
    <row r="307" spans="1:9" s="3" customFormat="1" ht="27.9" customHeight="1">
      <c r="A307" s="212" t="s">
        <v>1</v>
      </c>
      <c r="B307" s="212"/>
      <c r="C307" s="212"/>
      <c r="D307" s="212"/>
      <c r="E307" s="212"/>
      <c r="F307" s="212"/>
      <c r="G307" s="212"/>
      <c r="H307" s="212"/>
      <c r="I307" s="212"/>
    </row>
    <row r="308" spans="1:9" s="3" customFormat="1" ht="27.9" customHeight="1">
      <c r="A308" s="212" t="s">
        <v>52</v>
      </c>
      <c r="B308" s="212"/>
      <c r="C308" s="212"/>
      <c r="D308" s="212"/>
      <c r="E308" s="212"/>
      <c r="F308" s="212"/>
      <c r="G308" s="212"/>
      <c r="H308" s="212"/>
      <c r="I308" s="212"/>
    </row>
    <row r="309" spans="1:9" ht="27.9" customHeight="1">
      <c r="A309" s="17"/>
      <c r="B309" s="43" t="s">
        <v>68</v>
      </c>
      <c r="C309" s="41"/>
      <c r="D309" s="18"/>
      <c r="E309" s="18"/>
      <c r="F309" s="18"/>
      <c r="G309" s="18"/>
      <c r="H309" s="18"/>
      <c r="I309" s="18"/>
    </row>
    <row r="310" spans="1:9" s="5" customFormat="1" ht="27.9" customHeight="1">
      <c r="A310" s="1" t="s">
        <v>0</v>
      </c>
      <c r="B310" s="15" t="s">
        <v>2</v>
      </c>
      <c r="C310" s="1" t="s">
        <v>53</v>
      </c>
      <c r="D310" s="1" t="s">
        <v>3</v>
      </c>
      <c r="E310" s="9" t="s">
        <v>4</v>
      </c>
      <c r="F310" s="10" t="s">
        <v>5</v>
      </c>
      <c r="G310" s="11" t="s">
        <v>45</v>
      </c>
      <c r="H310" s="9" t="s">
        <v>6</v>
      </c>
      <c r="I310" s="213" t="s">
        <v>7</v>
      </c>
    </row>
    <row r="311" spans="1:9" s="5" customFormat="1" ht="27.9" customHeight="1">
      <c r="A311" s="2" t="s">
        <v>8</v>
      </c>
      <c r="B311" s="16" t="s">
        <v>46</v>
      </c>
      <c r="C311" s="2" t="s">
        <v>9</v>
      </c>
      <c r="D311" s="2" t="s">
        <v>10</v>
      </c>
      <c r="E311" s="12" t="s">
        <v>64</v>
      </c>
      <c r="F311" s="13" t="s">
        <v>55</v>
      </c>
      <c r="G311" s="14" t="s">
        <v>11</v>
      </c>
      <c r="H311" s="36" t="s">
        <v>57</v>
      </c>
      <c r="I311" s="214"/>
    </row>
    <row r="312" spans="1:9" s="7" customFormat="1" ht="80.099999999999994" customHeight="1">
      <c r="A312" s="34">
        <v>14</v>
      </c>
      <c r="B312" s="35">
        <v>7000000</v>
      </c>
      <c r="C312" s="42"/>
      <c r="D312" s="35"/>
      <c r="E312" s="37"/>
      <c r="F312" s="37"/>
      <c r="G312" s="37"/>
      <c r="H312" s="38"/>
      <c r="I312" s="37"/>
    </row>
    <row r="313" spans="1:9" ht="27.9" customHeight="1">
      <c r="A313" s="19"/>
      <c r="B313" s="20"/>
      <c r="C313" s="21"/>
      <c r="D313" s="39"/>
      <c r="E313" s="22"/>
      <c r="F313" s="23"/>
      <c r="G313" s="18"/>
      <c r="H313" s="18"/>
      <c r="I313" s="18"/>
    </row>
    <row r="314" spans="1:9" ht="27.9" customHeight="1">
      <c r="A314" s="215" t="s">
        <v>15</v>
      </c>
      <c r="B314" s="215"/>
      <c r="C314" s="215"/>
      <c r="D314" s="215"/>
      <c r="E314" s="215"/>
      <c r="F314" s="215"/>
      <c r="G314" s="215"/>
      <c r="H314" s="215"/>
      <c r="I314" s="215"/>
    </row>
    <row r="315" spans="1:9" ht="27.9" customHeight="1">
      <c r="A315" s="216" t="s">
        <v>16</v>
      </c>
      <c r="B315" s="216"/>
      <c r="C315" s="216"/>
      <c r="D315" s="216"/>
      <c r="E315" s="216"/>
      <c r="F315" s="216"/>
      <c r="G315" s="216"/>
      <c r="H315" s="216"/>
      <c r="I315" s="216"/>
    </row>
    <row r="316" spans="1:9" s="6" customFormat="1" ht="27.9" customHeight="1">
      <c r="A316" s="216" t="s">
        <v>16</v>
      </c>
      <c r="B316" s="216"/>
      <c r="C316" s="216"/>
      <c r="D316" s="216"/>
      <c r="E316" s="216"/>
      <c r="F316" s="216"/>
      <c r="G316" s="216"/>
      <c r="H316" s="216"/>
      <c r="I316" s="216"/>
    </row>
    <row r="317" spans="1:9" s="6" customFormat="1" ht="27.9" customHeight="1">
      <c r="A317" s="216" t="s">
        <v>17</v>
      </c>
      <c r="B317" s="216"/>
      <c r="C317" s="216"/>
      <c r="D317" s="216"/>
      <c r="E317" s="216"/>
      <c r="F317" s="216"/>
      <c r="G317" s="216"/>
      <c r="H317" s="216"/>
      <c r="I317" s="216"/>
    </row>
    <row r="318" spans="1:9" s="7" customFormat="1" ht="27.9" customHeight="1">
      <c r="A318" s="216" t="s">
        <v>18</v>
      </c>
      <c r="B318" s="216"/>
      <c r="C318" s="216"/>
      <c r="D318" s="216"/>
      <c r="E318" s="216"/>
      <c r="F318" s="216"/>
      <c r="G318" s="216"/>
      <c r="H318" s="216"/>
      <c r="I318" s="216"/>
    </row>
    <row r="319" spans="1:9" s="7" customFormat="1" ht="27.9" customHeight="1">
      <c r="A319" s="24"/>
      <c r="B319" s="24"/>
      <c r="C319" s="24"/>
      <c r="D319" s="24"/>
      <c r="E319" s="24"/>
      <c r="F319" s="24"/>
      <c r="G319" s="24"/>
      <c r="H319" s="24"/>
      <c r="I319" s="24"/>
    </row>
    <row r="320" spans="1:9" ht="27.9" customHeight="1">
      <c r="A320" s="24"/>
      <c r="B320" s="25"/>
      <c r="C320" s="39"/>
      <c r="D320" s="39"/>
      <c r="E320" s="26" t="s">
        <v>12</v>
      </c>
      <c r="F320" s="27"/>
      <c r="G320" s="28"/>
      <c r="H320" s="29" t="s">
        <v>13</v>
      </c>
      <c r="I320" s="24"/>
    </row>
    <row r="321" spans="1:9" ht="27.9" customHeight="1">
      <c r="A321" s="30"/>
      <c r="B321" s="30"/>
      <c r="C321" s="18"/>
      <c r="D321" s="18"/>
      <c r="E321" s="31"/>
      <c r="F321" s="217" t="s">
        <v>14</v>
      </c>
      <c r="G321" s="217"/>
      <c r="H321" s="31"/>
      <c r="I321" s="18"/>
    </row>
    <row r="322" spans="1:9" ht="27.9" customHeight="1">
      <c r="A322" s="32"/>
      <c r="B322" s="25" t="s">
        <v>48</v>
      </c>
      <c r="C322" s="40"/>
      <c r="D322" s="40"/>
      <c r="E322" s="33"/>
      <c r="F322" s="23"/>
      <c r="G322" s="18"/>
      <c r="H322" s="18"/>
      <c r="I322" s="18"/>
    </row>
    <row r="323" spans="1:9" ht="27.9" customHeight="1">
      <c r="A323" s="212"/>
      <c r="B323" s="212"/>
      <c r="C323" s="212"/>
      <c r="D323" s="212"/>
      <c r="E323" s="212"/>
      <c r="F323" s="212"/>
      <c r="G323" s="212"/>
      <c r="H323" s="212"/>
      <c r="I323" s="212"/>
    </row>
    <row r="324" spans="1:9" s="3" customFormat="1" ht="27.9" customHeight="1">
      <c r="A324" s="212" t="s">
        <v>51</v>
      </c>
      <c r="B324" s="212"/>
      <c r="C324" s="212"/>
      <c r="D324" s="212"/>
      <c r="E324" s="212"/>
      <c r="F324" s="212"/>
      <c r="G324" s="212"/>
      <c r="H324" s="212"/>
      <c r="I324" s="212"/>
    </row>
    <row r="325" spans="1:9" s="3" customFormat="1" ht="27.9" customHeight="1">
      <c r="A325" s="212" t="s">
        <v>1</v>
      </c>
      <c r="B325" s="212"/>
      <c r="C325" s="212"/>
      <c r="D325" s="212"/>
      <c r="E325" s="212"/>
      <c r="F325" s="212"/>
      <c r="G325" s="212"/>
      <c r="H325" s="212"/>
      <c r="I325" s="212"/>
    </row>
    <row r="326" spans="1:9" s="3" customFormat="1" ht="27.9" customHeight="1">
      <c r="A326" s="212" t="s">
        <v>52</v>
      </c>
      <c r="B326" s="212"/>
      <c r="C326" s="212"/>
      <c r="D326" s="212"/>
      <c r="E326" s="212"/>
      <c r="F326" s="212"/>
      <c r="G326" s="212"/>
      <c r="H326" s="212"/>
      <c r="I326" s="212"/>
    </row>
    <row r="327" spans="1:9" ht="27.9" customHeight="1">
      <c r="A327" s="17"/>
      <c r="B327" s="43" t="s">
        <v>69</v>
      </c>
      <c r="C327" s="41"/>
      <c r="D327" s="18"/>
      <c r="E327" s="18"/>
      <c r="F327" s="18"/>
      <c r="G327" s="18"/>
      <c r="H327" s="18"/>
      <c r="I327" s="18"/>
    </row>
    <row r="328" spans="1:9" s="5" customFormat="1" ht="27.9" customHeight="1">
      <c r="A328" s="1" t="s">
        <v>0</v>
      </c>
      <c r="B328" s="15" t="s">
        <v>2</v>
      </c>
      <c r="C328" s="1" t="s">
        <v>53</v>
      </c>
      <c r="D328" s="1" t="s">
        <v>3</v>
      </c>
      <c r="E328" s="9" t="s">
        <v>4</v>
      </c>
      <c r="F328" s="10" t="s">
        <v>5</v>
      </c>
      <c r="G328" s="11" t="s">
        <v>45</v>
      </c>
      <c r="H328" s="9" t="s">
        <v>6</v>
      </c>
      <c r="I328" s="213" t="s">
        <v>7</v>
      </c>
    </row>
    <row r="329" spans="1:9" s="5" customFormat="1" ht="27.9" customHeight="1">
      <c r="A329" s="2" t="s">
        <v>8</v>
      </c>
      <c r="B329" s="16" t="s">
        <v>46</v>
      </c>
      <c r="C329" s="2" t="s">
        <v>9</v>
      </c>
      <c r="D329" s="2" t="s">
        <v>10</v>
      </c>
      <c r="E329" s="12" t="s">
        <v>64</v>
      </c>
      <c r="F329" s="13" t="s">
        <v>55</v>
      </c>
      <c r="G329" s="14" t="s">
        <v>11</v>
      </c>
      <c r="H329" s="36" t="s">
        <v>57</v>
      </c>
      <c r="I329" s="214"/>
    </row>
    <row r="330" spans="1:9" s="7" customFormat="1" ht="80.099999999999994" customHeight="1">
      <c r="A330" s="34">
        <v>14</v>
      </c>
      <c r="B330" s="35">
        <v>1000000</v>
      </c>
      <c r="C330" s="42"/>
      <c r="D330" s="35"/>
      <c r="E330" s="37"/>
      <c r="F330" s="37"/>
      <c r="G330" s="37"/>
      <c r="H330" s="38"/>
      <c r="I330" s="37"/>
    </row>
    <row r="331" spans="1:9" ht="27.9" customHeight="1">
      <c r="A331" s="19"/>
      <c r="B331" s="20"/>
      <c r="C331" s="21"/>
      <c r="D331" s="39"/>
      <c r="E331" s="22"/>
      <c r="F331" s="23"/>
      <c r="G331" s="18"/>
      <c r="H331" s="18"/>
      <c r="I331" s="18"/>
    </row>
    <row r="332" spans="1:9" ht="27.9" customHeight="1">
      <c r="A332" s="215" t="s">
        <v>15</v>
      </c>
      <c r="B332" s="215"/>
      <c r="C332" s="215"/>
      <c r="D332" s="215"/>
      <c r="E332" s="215"/>
      <c r="F332" s="215"/>
      <c r="G332" s="215"/>
      <c r="H332" s="215"/>
      <c r="I332" s="215"/>
    </row>
    <row r="333" spans="1:9" ht="27.9" customHeight="1">
      <c r="A333" s="216" t="s">
        <v>16</v>
      </c>
      <c r="B333" s="216"/>
      <c r="C333" s="216"/>
      <c r="D333" s="216"/>
      <c r="E333" s="216"/>
      <c r="F333" s="216"/>
      <c r="G333" s="216"/>
      <c r="H333" s="216"/>
      <c r="I333" s="216"/>
    </row>
    <row r="334" spans="1:9" s="6" customFormat="1" ht="27.9" customHeight="1">
      <c r="A334" s="216" t="s">
        <v>16</v>
      </c>
      <c r="B334" s="216"/>
      <c r="C334" s="216"/>
      <c r="D334" s="216"/>
      <c r="E334" s="216"/>
      <c r="F334" s="216"/>
      <c r="G334" s="216"/>
      <c r="H334" s="216"/>
      <c r="I334" s="216"/>
    </row>
    <row r="335" spans="1:9" s="6" customFormat="1" ht="27.9" customHeight="1">
      <c r="A335" s="216" t="s">
        <v>17</v>
      </c>
      <c r="B335" s="216"/>
      <c r="C335" s="216"/>
      <c r="D335" s="216"/>
      <c r="E335" s="216"/>
      <c r="F335" s="216"/>
      <c r="G335" s="216"/>
      <c r="H335" s="216"/>
      <c r="I335" s="216"/>
    </row>
    <row r="336" spans="1:9" s="7" customFormat="1" ht="27.9" customHeight="1">
      <c r="A336" s="216" t="s">
        <v>18</v>
      </c>
      <c r="B336" s="216"/>
      <c r="C336" s="216"/>
      <c r="D336" s="216"/>
      <c r="E336" s="216"/>
      <c r="F336" s="216"/>
      <c r="G336" s="216"/>
      <c r="H336" s="216"/>
      <c r="I336" s="216"/>
    </row>
    <row r="337" spans="1:9" s="7" customFormat="1" ht="27.9" customHeight="1">
      <c r="A337" s="24"/>
      <c r="B337" s="24"/>
      <c r="C337" s="24"/>
      <c r="D337" s="24"/>
      <c r="E337" s="24"/>
      <c r="F337" s="24"/>
      <c r="G337" s="24"/>
      <c r="H337" s="24"/>
      <c r="I337" s="24"/>
    </row>
    <row r="338" spans="1:9" ht="27.9" customHeight="1">
      <c r="A338" s="24"/>
      <c r="B338" s="25"/>
      <c r="C338" s="39"/>
      <c r="D338" s="39"/>
      <c r="E338" s="26" t="s">
        <v>12</v>
      </c>
      <c r="F338" s="27"/>
      <c r="G338" s="28"/>
      <c r="H338" s="29" t="s">
        <v>13</v>
      </c>
      <c r="I338" s="24"/>
    </row>
    <row r="339" spans="1:9" ht="27.9" customHeight="1">
      <c r="A339" s="30"/>
      <c r="B339" s="30"/>
      <c r="C339" s="18"/>
      <c r="D339" s="18"/>
      <c r="E339" s="31"/>
      <c r="F339" s="217" t="s">
        <v>14</v>
      </c>
      <c r="G339" s="217"/>
      <c r="H339" s="31"/>
      <c r="I339" s="18"/>
    </row>
    <row r="340" spans="1:9" ht="27.9" customHeight="1">
      <c r="A340" s="32"/>
      <c r="B340" s="25" t="s">
        <v>48</v>
      </c>
      <c r="C340" s="40"/>
      <c r="D340" s="40"/>
      <c r="E340" s="33"/>
      <c r="F340" s="23"/>
      <c r="G340" s="18"/>
      <c r="H340" s="18"/>
      <c r="I340" s="18"/>
    </row>
    <row r="341" spans="1:9" ht="27.9" customHeight="1">
      <c r="A341" s="212"/>
      <c r="B341" s="212"/>
      <c r="C341" s="212"/>
      <c r="D341" s="212"/>
      <c r="E341" s="212"/>
      <c r="F341" s="212"/>
      <c r="G341" s="212"/>
      <c r="H341" s="212"/>
      <c r="I341" s="212"/>
    </row>
    <row r="342" spans="1:9" s="3" customFormat="1" ht="27.9" customHeight="1">
      <c r="A342" s="212" t="s">
        <v>51</v>
      </c>
      <c r="B342" s="212"/>
      <c r="C342" s="212"/>
      <c r="D342" s="212"/>
      <c r="E342" s="212"/>
      <c r="F342" s="212"/>
      <c r="G342" s="212"/>
      <c r="H342" s="212"/>
      <c r="I342" s="212"/>
    </row>
    <row r="343" spans="1:9" s="3" customFormat="1" ht="27.9" customHeight="1">
      <c r="A343" s="212" t="s">
        <v>1</v>
      </c>
      <c r="B343" s="212"/>
      <c r="C343" s="212"/>
      <c r="D343" s="212"/>
      <c r="E343" s="212"/>
      <c r="F343" s="212"/>
      <c r="G343" s="212"/>
      <c r="H343" s="212"/>
      <c r="I343" s="212"/>
    </row>
    <row r="344" spans="1:9" s="3" customFormat="1" ht="27.9" customHeight="1">
      <c r="A344" s="212" t="s">
        <v>52</v>
      </c>
      <c r="B344" s="212"/>
      <c r="C344" s="212"/>
      <c r="D344" s="212"/>
      <c r="E344" s="212"/>
      <c r="F344" s="212"/>
      <c r="G344" s="212"/>
      <c r="H344" s="212"/>
      <c r="I344" s="212"/>
    </row>
    <row r="345" spans="1:9" ht="27.9" customHeight="1">
      <c r="A345" s="17"/>
      <c r="B345" s="43" t="s">
        <v>61</v>
      </c>
      <c r="C345" s="41"/>
      <c r="D345" s="18"/>
      <c r="E345" s="18"/>
      <c r="F345" s="18"/>
      <c r="G345" s="18"/>
      <c r="H345" s="18"/>
      <c r="I345" s="18"/>
    </row>
    <row r="346" spans="1:9" s="5" customFormat="1" ht="27.9" customHeight="1">
      <c r="A346" s="1" t="s">
        <v>0</v>
      </c>
      <c r="B346" s="15" t="s">
        <v>2</v>
      </c>
      <c r="C346" s="1" t="s">
        <v>53</v>
      </c>
      <c r="D346" s="1" t="s">
        <v>3</v>
      </c>
      <c r="E346" s="9" t="s">
        <v>4</v>
      </c>
      <c r="F346" s="10" t="s">
        <v>5</v>
      </c>
      <c r="G346" s="11" t="s">
        <v>56</v>
      </c>
      <c r="H346" s="9" t="s">
        <v>6</v>
      </c>
      <c r="I346" s="213" t="s">
        <v>7</v>
      </c>
    </row>
    <row r="347" spans="1:9" s="5" customFormat="1" ht="27.9" customHeight="1">
      <c r="A347" s="2" t="s">
        <v>8</v>
      </c>
      <c r="B347" s="16" t="s">
        <v>58</v>
      </c>
      <c r="C347" s="2" t="s">
        <v>9</v>
      </c>
      <c r="D347" s="2" t="s">
        <v>10</v>
      </c>
      <c r="E347" s="12" t="s">
        <v>64</v>
      </c>
      <c r="F347" s="13" t="s">
        <v>55</v>
      </c>
      <c r="G347" s="14" t="s">
        <v>11</v>
      </c>
      <c r="H347" s="36" t="s">
        <v>57</v>
      </c>
      <c r="I347" s="214"/>
    </row>
    <row r="348" spans="1:9" s="7" customFormat="1" ht="80.099999999999994" customHeight="1">
      <c r="A348" s="34">
        <v>16</v>
      </c>
      <c r="B348" s="35">
        <v>6970000</v>
      </c>
      <c r="C348" s="42"/>
      <c r="D348" s="35"/>
      <c r="E348" s="37"/>
      <c r="F348" s="37"/>
      <c r="G348" s="37"/>
      <c r="H348" s="38"/>
      <c r="I348" s="37"/>
    </row>
    <row r="349" spans="1:9" ht="27.9" customHeight="1">
      <c r="A349" s="19"/>
      <c r="B349" s="20"/>
      <c r="C349" s="21"/>
      <c r="D349" s="39"/>
      <c r="E349" s="22"/>
      <c r="F349" s="23"/>
      <c r="G349" s="18"/>
      <c r="H349" s="18"/>
      <c r="I349" s="18"/>
    </row>
    <row r="350" spans="1:9" ht="27.9" customHeight="1">
      <c r="A350" s="215" t="s">
        <v>15</v>
      </c>
      <c r="B350" s="215"/>
      <c r="C350" s="215"/>
      <c r="D350" s="215"/>
      <c r="E350" s="215"/>
      <c r="F350" s="215"/>
      <c r="G350" s="215"/>
      <c r="H350" s="215"/>
      <c r="I350" s="215"/>
    </row>
    <row r="351" spans="1:9" ht="27.9" customHeight="1">
      <c r="A351" s="216" t="s">
        <v>16</v>
      </c>
      <c r="B351" s="216"/>
      <c r="C351" s="216"/>
      <c r="D351" s="216"/>
      <c r="E351" s="216"/>
      <c r="F351" s="216"/>
      <c r="G351" s="216"/>
      <c r="H351" s="216"/>
      <c r="I351" s="216"/>
    </row>
    <row r="352" spans="1:9" s="6" customFormat="1" ht="27.9" customHeight="1">
      <c r="A352" s="216" t="s">
        <v>16</v>
      </c>
      <c r="B352" s="216"/>
      <c r="C352" s="216"/>
      <c r="D352" s="216"/>
      <c r="E352" s="216"/>
      <c r="F352" s="216"/>
      <c r="G352" s="216"/>
      <c r="H352" s="216"/>
      <c r="I352" s="216"/>
    </row>
    <row r="353" spans="1:9" s="6" customFormat="1" ht="27.9" customHeight="1">
      <c r="A353" s="216" t="s">
        <v>17</v>
      </c>
      <c r="B353" s="216"/>
      <c r="C353" s="216"/>
      <c r="D353" s="216"/>
      <c r="E353" s="216"/>
      <c r="F353" s="216"/>
      <c r="G353" s="216"/>
      <c r="H353" s="216"/>
      <c r="I353" s="216"/>
    </row>
    <row r="354" spans="1:9" s="7" customFormat="1" ht="27.9" customHeight="1">
      <c r="A354" s="216" t="s">
        <v>18</v>
      </c>
      <c r="B354" s="216"/>
      <c r="C354" s="216"/>
      <c r="D354" s="216"/>
      <c r="E354" s="216"/>
      <c r="F354" s="216"/>
      <c r="G354" s="216"/>
      <c r="H354" s="216"/>
      <c r="I354" s="216"/>
    </row>
    <row r="355" spans="1:9" s="7" customFormat="1" ht="27.9" customHeight="1">
      <c r="A355" s="24"/>
      <c r="B355" s="24"/>
      <c r="C355" s="24"/>
      <c r="D355" s="24"/>
      <c r="E355" s="24"/>
      <c r="F355" s="24"/>
      <c r="G355" s="24"/>
      <c r="H355" s="24"/>
      <c r="I355" s="24"/>
    </row>
    <row r="356" spans="1:9" ht="27.9" customHeight="1">
      <c r="A356" s="24"/>
      <c r="B356" s="25"/>
      <c r="C356" s="39"/>
      <c r="D356" s="39"/>
      <c r="E356" s="26" t="s">
        <v>12</v>
      </c>
      <c r="F356" s="27"/>
      <c r="G356" s="28"/>
      <c r="H356" s="29" t="s">
        <v>13</v>
      </c>
      <c r="I356" s="24"/>
    </row>
    <row r="357" spans="1:9" ht="27.9" customHeight="1">
      <c r="A357" s="30"/>
      <c r="B357" s="30"/>
      <c r="C357" s="18"/>
      <c r="D357" s="18"/>
      <c r="E357" s="31"/>
      <c r="F357" s="217" t="s">
        <v>14</v>
      </c>
      <c r="G357" s="217"/>
      <c r="H357" s="31"/>
      <c r="I357" s="18"/>
    </row>
    <row r="358" spans="1:9" ht="27.9" customHeight="1">
      <c r="A358" s="32"/>
      <c r="B358" s="25" t="s">
        <v>48</v>
      </c>
      <c r="C358" s="40"/>
      <c r="D358" s="40"/>
      <c r="E358" s="33"/>
      <c r="F358" s="23"/>
      <c r="G358" s="18"/>
      <c r="H358" s="18"/>
      <c r="I358" s="18"/>
    </row>
    <row r="359" spans="1:9" ht="27.9" customHeight="1">
      <c r="A359" s="212"/>
      <c r="B359" s="212"/>
      <c r="C359" s="212"/>
      <c r="D359" s="212"/>
      <c r="E359" s="212"/>
      <c r="F359" s="212"/>
      <c r="G359" s="212"/>
      <c r="H359" s="212"/>
      <c r="I359" s="212"/>
    </row>
    <row r="360" spans="1:9" s="3" customFormat="1" ht="27.9" customHeight="1">
      <c r="A360" s="212" t="s">
        <v>51</v>
      </c>
      <c r="B360" s="212"/>
      <c r="C360" s="212"/>
      <c r="D360" s="212"/>
      <c r="E360" s="212"/>
      <c r="F360" s="212"/>
      <c r="G360" s="212"/>
      <c r="H360" s="212"/>
      <c r="I360" s="212"/>
    </row>
    <row r="361" spans="1:9" s="3" customFormat="1" ht="27.9" customHeight="1">
      <c r="A361" s="212" t="s">
        <v>1</v>
      </c>
      <c r="B361" s="212"/>
      <c r="C361" s="212"/>
      <c r="D361" s="212"/>
      <c r="E361" s="212"/>
      <c r="F361" s="212"/>
      <c r="G361" s="212"/>
      <c r="H361" s="212"/>
      <c r="I361" s="212"/>
    </row>
    <row r="362" spans="1:9" s="3" customFormat="1" ht="27.9" customHeight="1">
      <c r="A362" s="212" t="s">
        <v>52</v>
      </c>
      <c r="B362" s="212"/>
      <c r="C362" s="212"/>
      <c r="D362" s="212"/>
      <c r="E362" s="212"/>
      <c r="F362" s="212"/>
      <c r="G362" s="212"/>
      <c r="H362" s="212"/>
      <c r="I362" s="212"/>
    </row>
    <row r="363" spans="1:9" ht="27.9" customHeight="1">
      <c r="A363" s="17"/>
      <c r="B363" s="43" t="s">
        <v>33</v>
      </c>
      <c r="C363" s="41"/>
      <c r="D363" s="18"/>
      <c r="E363" s="18"/>
      <c r="F363" s="18"/>
      <c r="G363" s="18"/>
      <c r="H363" s="18"/>
      <c r="I363" s="18"/>
    </row>
    <row r="364" spans="1:9" s="5" customFormat="1" ht="27.9" customHeight="1">
      <c r="A364" s="1" t="s">
        <v>0</v>
      </c>
      <c r="B364" s="15" t="s">
        <v>2</v>
      </c>
      <c r="C364" s="1" t="s">
        <v>53</v>
      </c>
      <c r="D364" s="1" t="s">
        <v>3</v>
      </c>
      <c r="E364" s="9" t="s">
        <v>4</v>
      </c>
      <c r="F364" s="10" t="s">
        <v>5</v>
      </c>
      <c r="G364" s="11" t="s">
        <v>56</v>
      </c>
      <c r="H364" s="9" t="s">
        <v>6</v>
      </c>
      <c r="I364" s="213" t="s">
        <v>7</v>
      </c>
    </row>
    <row r="365" spans="1:9" s="5" customFormat="1" ht="27.9" customHeight="1">
      <c r="A365" s="2" t="s">
        <v>8</v>
      </c>
      <c r="B365" s="16" t="s">
        <v>58</v>
      </c>
      <c r="C365" s="2" t="s">
        <v>9</v>
      </c>
      <c r="D365" s="2" t="s">
        <v>10</v>
      </c>
      <c r="E365" s="12" t="s">
        <v>65</v>
      </c>
      <c r="F365" s="13" t="s">
        <v>55</v>
      </c>
      <c r="G365" s="14" t="s">
        <v>11</v>
      </c>
      <c r="H365" s="36" t="s">
        <v>57</v>
      </c>
      <c r="I365" s="214"/>
    </row>
    <row r="366" spans="1:9" s="7" customFormat="1" ht="80.099999999999994" customHeight="1">
      <c r="A366" s="34">
        <v>17</v>
      </c>
      <c r="B366" s="35">
        <v>3500000</v>
      </c>
      <c r="C366" s="42"/>
      <c r="D366" s="35"/>
      <c r="E366" s="37"/>
      <c r="F366" s="37"/>
      <c r="G366" s="37"/>
      <c r="H366" s="38"/>
      <c r="I366" s="37"/>
    </row>
    <row r="367" spans="1:9" ht="27.9" customHeight="1">
      <c r="A367" s="19"/>
      <c r="B367" s="20"/>
      <c r="C367" s="21"/>
      <c r="D367" s="39"/>
      <c r="E367" s="22"/>
      <c r="F367" s="23"/>
      <c r="G367" s="18"/>
      <c r="H367" s="18"/>
      <c r="I367" s="18"/>
    </row>
    <row r="368" spans="1:9" ht="27.9" customHeight="1">
      <c r="A368" s="215" t="s">
        <v>15</v>
      </c>
      <c r="B368" s="215"/>
      <c r="C368" s="215"/>
      <c r="D368" s="215"/>
      <c r="E368" s="215"/>
      <c r="F368" s="215"/>
      <c r="G368" s="215"/>
      <c r="H368" s="215"/>
      <c r="I368" s="215"/>
    </row>
    <row r="369" spans="1:9" ht="27.9" customHeight="1">
      <c r="A369" s="216" t="s">
        <v>16</v>
      </c>
      <c r="B369" s="216"/>
      <c r="C369" s="216"/>
      <c r="D369" s="216"/>
      <c r="E369" s="216"/>
      <c r="F369" s="216"/>
      <c r="G369" s="216"/>
      <c r="H369" s="216"/>
      <c r="I369" s="216"/>
    </row>
    <row r="370" spans="1:9" s="6" customFormat="1" ht="27.9" customHeight="1">
      <c r="A370" s="216" t="s">
        <v>16</v>
      </c>
      <c r="B370" s="216"/>
      <c r="C370" s="216"/>
      <c r="D370" s="216"/>
      <c r="E370" s="216"/>
      <c r="F370" s="216"/>
      <c r="G370" s="216"/>
      <c r="H370" s="216"/>
      <c r="I370" s="216"/>
    </row>
    <row r="371" spans="1:9" s="6" customFormat="1" ht="27.9" customHeight="1">
      <c r="A371" s="216" t="s">
        <v>17</v>
      </c>
      <c r="B371" s="216"/>
      <c r="C371" s="216"/>
      <c r="D371" s="216"/>
      <c r="E371" s="216"/>
      <c r="F371" s="216"/>
      <c r="G371" s="216"/>
      <c r="H371" s="216"/>
      <c r="I371" s="216"/>
    </row>
    <row r="372" spans="1:9" s="7" customFormat="1" ht="27.9" customHeight="1">
      <c r="A372" s="216" t="s">
        <v>18</v>
      </c>
      <c r="B372" s="216"/>
      <c r="C372" s="216"/>
      <c r="D372" s="216"/>
      <c r="E372" s="216"/>
      <c r="F372" s="216"/>
      <c r="G372" s="216"/>
      <c r="H372" s="216"/>
      <c r="I372" s="216"/>
    </row>
    <row r="373" spans="1:9" s="7" customFormat="1" ht="27.9" customHeight="1">
      <c r="A373" s="24"/>
      <c r="B373" s="24"/>
      <c r="C373" s="24"/>
      <c r="D373" s="24"/>
      <c r="E373" s="24"/>
      <c r="F373" s="24"/>
      <c r="G373" s="24"/>
      <c r="H373" s="24"/>
      <c r="I373" s="24"/>
    </row>
    <row r="374" spans="1:9" ht="27.9" customHeight="1">
      <c r="A374" s="24"/>
      <c r="B374" s="25"/>
      <c r="C374" s="39"/>
      <c r="D374" s="39"/>
      <c r="E374" s="26" t="s">
        <v>12</v>
      </c>
      <c r="F374" s="27"/>
      <c r="G374" s="28"/>
      <c r="H374" s="29" t="s">
        <v>13</v>
      </c>
      <c r="I374" s="24"/>
    </row>
    <row r="375" spans="1:9" ht="27.9" customHeight="1">
      <c r="A375" s="30"/>
      <c r="B375" s="30"/>
      <c r="C375" s="18"/>
      <c r="D375" s="18"/>
      <c r="E375" s="31"/>
      <c r="F375" s="217" t="s">
        <v>14</v>
      </c>
      <c r="G375" s="217"/>
      <c r="H375" s="31"/>
      <c r="I375" s="18"/>
    </row>
    <row r="376" spans="1:9" ht="27.9" customHeight="1">
      <c r="A376" s="32"/>
      <c r="B376" s="25" t="s">
        <v>48</v>
      </c>
      <c r="C376" s="40"/>
      <c r="D376" s="40"/>
      <c r="E376" s="33"/>
      <c r="F376" s="23"/>
      <c r="G376" s="18"/>
      <c r="H376" s="18"/>
      <c r="I376" s="18"/>
    </row>
    <row r="377" spans="1:9" ht="27.9" customHeight="1">
      <c r="A377" s="212"/>
      <c r="B377" s="212"/>
      <c r="C377" s="212"/>
      <c r="D377" s="212"/>
      <c r="E377" s="212"/>
      <c r="F377" s="212"/>
      <c r="G377" s="212"/>
      <c r="H377" s="212"/>
      <c r="I377" s="212"/>
    </row>
    <row r="378" spans="1:9" s="3" customFormat="1" ht="27.9" customHeight="1">
      <c r="A378" s="212" t="s">
        <v>51</v>
      </c>
      <c r="B378" s="212"/>
      <c r="C378" s="212"/>
      <c r="D378" s="212"/>
      <c r="E378" s="212"/>
      <c r="F378" s="212"/>
      <c r="G378" s="212"/>
      <c r="H378" s="212"/>
      <c r="I378" s="212"/>
    </row>
    <row r="379" spans="1:9" s="3" customFormat="1" ht="27.9" customHeight="1">
      <c r="A379" s="212" t="s">
        <v>1</v>
      </c>
      <c r="B379" s="212"/>
      <c r="C379" s="212"/>
      <c r="D379" s="212"/>
      <c r="E379" s="212"/>
      <c r="F379" s="212"/>
      <c r="G379" s="212"/>
      <c r="H379" s="212"/>
      <c r="I379" s="212"/>
    </row>
    <row r="380" spans="1:9" s="3" customFormat="1" ht="27.9" customHeight="1">
      <c r="A380" s="212" t="s">
        <v>52</v>
      </c>
      <c r="B380" s="212"/>
      <c r="C380" s="212"/>
      <c r="D380" s="212"/>
      <c r="E380" s="212"/>
      <c r="F380" s="212"/>
      <c r="G380" s="212"/>
      <c r="H380" s="212"/>
      <c r="I380" s="212"/>
    </row>
    <row r="381" spans="1:9" ht="27.9" customHeight="1">
      <c r="A381" s="17"/>
      <c r="B381" s="43" t="s">
        <v>34</v>
      </c>
      <c r="C381" s="41"/>
      <c r="D381" s="18"/>
      <c r="E381" s="18"/>
      <c r="F381" s="18"/>
      <c r="G381" s="18"/>
      <c r="H381" s="18"/>
      <c r="I381" s="18"/>
    </row>
    <row r="382" spans="1:9" s="5" customFormat="1" ht="27.9" customHeight="1">
      <c r="A382" s="1" t="s">
        <v>0</v>
      </c>
      <c r="B382" s="15" t="s">
        <v>2</v>
      </c>
      <c r="C382" s="1" t="s">
        <v>53</v>
      </c>
      <c r="D382" s="1" t="s">
        <v>3</v>
      </c>
      <c r="E382" s="9" t="s">
        <v>4</v>
      </c>
      <c r="F382" s="10" t="s">
        <v>5</v>
      </c>
      <c r="G382" s="11" t="s">
        <v>56</v>
      </c>
      <c r="H382" s="9" t="s">
        <v>6</v>
      </c>
      <c r="I382" s="213" t="s">
        <v>7</v>
      </c>
    </row>
    <row r="383" spans="1:9" s="5" customFormat="1" ht="27.9" customHeight="1">
      <c r="A383" s="2" t="s">
        <v>8</v>
      </c>
      <c r="B383" s="16" t="s">
        <v>58</v>
      </c>
      <c r="C383" s="2" t="s">
        <v>9</v>
      </c>
      <c r="D383" s="2" t="s">
        <v>10</v>
      </c>
      <c r="E383" s="12" t="s">
        <v>64</v>
      </c>
      <c r="F383" s="13" t="s">
        <v>55</v>
      </c>
      <c r="G383" s="14" t="s">
        <v>11</v>
      </c>
      <c r="H383" s="36" t="s">
        <v>57</v>
      </c>
      <c r="I383" s="214"/>
    </row>
    <row r="384" spans="1:9" s="7" customFormat="1" ht="80.099999999999994" customHeight="1">
      <c r="A384" s="34">
        <v>18</v>
      </c>
      <c r="B384" s="35">
        <v>3100000</v>
      </c>
      <c r="C384" s="42"/>
      <c r="D384" s="35"/>
      <c r="E384" s="37"/>
      <c r="F384" s="37"/>
      <c r="G384" s="37"/>
      <c r="H384" s="38"/>
      <c r="I384" s="37"/>
    </row>
    <row r="385" spans="1:9" ht="27.9" customHeight="1">
      <c r="A385" s="19"/>
      <c r="B385" s="20"/>
      <c r="C385" s="21"/>
      <c r="D385" s="39"/>
      <c r="E385" s="22"/>
      <c r="F385" s="23"/>
      <c r="G385" s="18"/>
      <c r="H385" s="18"/>
      <c r="I385" s="18"/>
    </row>
    <row r="386" spans="1:9" ht="27.9" customHeight="1">
      <c r="A386" s="215" t="s">
        <v>15</v>
      </c>
      <c r="B386" s="215"/>
      <c r="C386" s="215"/>
      <c r="D386" s="215"/>
      <c r="E386" s="215"/>
      <c r="F386" s="215"/>
      <c r="G386" s="215"/>
      <c r="H386" s="215"/>
      <c r="I386" s="215"/>
    </row>
    <row r="387" spans="1:9" ht="27.9" customHeight="1">
      <c r="A387" s="216" t="s">
        <v>16</v>
      </c>
      <c r="B387" s="216"/>
      <c r="C387" s="216"/>
      <c r="D387" s="216"/>
      <c r="E387" s="216"/>
      <c r="F387" s="216"/>
      <c r="G387" s="216"/>
      <c r="H387" s="216"/>
      <c r="I387" s="216"/>
    </row>
    <row r="388" spans="1:9" s="6" customFormat="1" ht="27.9" customHeight="1">
      <c r="A388" s="216" t="s">
        <v>16</v>
      </c>
      <c r="B388" s="216"/>
      <c r="C388" s="216"/>
      <c r="D388" s="216"/>
      <c r="E388" s="216"/>
      <c r="F388" s="216"/>
      <c r="G388" s="216"/>
      <c r="H388" s="216"/>
      <c r="I388" s="216"/>
    </row>
    <row r="389" spans="1:9" s="6" customFormat="1" ht="27.9" customHeight="1">
      <c r="A389" s="216" t="s">
        <v>17</v>
      </c>
      <c r="B389" s="216"/>
      <c r="C389" s="216"/>
      <c r="D389" s="216"/>
      <c r="E389" s="216"/>
      <c r="F389" s="216"/>
      <c r="G389" s="216"/>
      <c r="H389" s="216"/>
      <c r="I389" s="216"/>
    </row>
    <row r="390" spans="1:9" s="7" customFormat="1" ht="27.9" customHeight="1">
      <c r="A390" s="216" t="s">
        <v>18</v>
      </c>
      <c r="B390" s="216"/>
      <c r="C390" s="216"/>
      <c r="D390" s="216"/>
      <c r="E390" s="216"/>
      <c r="F390" s="216"/>
      <c r="G390" s="216"/>
      <c r="H390" s="216"/>
      <c r="I390" s="216"/>
    </row>
    <row r="391" spans="1:9" s="7" customFormat="1" ht="27.9" customHeight="1">
      <c r="A391" s="24"/>
      <c r="B391" s="24"/>
      <c r="C391" s="24"/>
      <c r="D391" s="24"/>
      <c r="E391" s="24"/>
      <c r="F391" s="24"/>
      <c r="G391" s="24"/>
      <c r="H391" s="24"/>
      <c r="I391" s="24"/>
    </row>
    <row r="392" spans="1:9" ht="27.9" customHeight="1">
      <c r="A392" s="24"/>
      <c r="B392" s="25"/>
      <c r="C392" s="39"/>
      <c r="D392" s="39"/>
      <c r="E392" s="26" t="s">
        <v>12</v>
      </c>
      <c r="F392" s="27"/>
      <c r="G392" s="28"/>
      <c r="H392" s="29" t="s">
        <v>13</v>
      </c>
      <c r="I392" s="24"/>
    </row>
    <row r="393" spans="1:9" ht="27.9" customHeight="1">
      <c r="A393" s="30"/>
      <c r="B393" s="30"/>
      <c r="C393" s="18"/>
      <c r="D393" s="18"/>
      <c r="E393" s="31"/>
      <c r="F393" s="217" t="s">
        <v>14</v>
      </c>
      <c r="G393" s="217"/>
      <c r="H393" s="31"/>
      <c r="I393" s="18"/>
    </row>
    <row r="394" spans="1:9" ht="27.9" customHeight="1">
      <c r="A394" s="32"/>
      <c r="B394" s="25" t="s">
        <v>48</v>
      </c>
      <c r="C394" s="40"/>
      <c r="D394" s="40"/>
      <c r="E394" s="33"/>
      <c r="F394" s="23"/>
      <c r="G394" s="18"/>
      <c r="H394" s="18"/>
      <c r="I394" s="18"/>
    </row>
    <row r="395" spans="1:9" ht="27.9" customHeight="1">
      <c r="A395" s="212"/>
      <c r="B395" s="212"/>
      <c r="C395" s="212"/>
      <c r="D395" s="212"/>
      <c r="E395" s="212"/>
      <c r="F395" s="212"/>
      <c r="G395" s="212"/>
      <c r="H395" s="212"/>
      <c r="I395" s="212"/>
    </row>
    <row r="396" spans="1:9" s="3" customFormat="1" ht="27.9" customHeight="1">
      <c r="A396" s="212" t="s">
        <v>51</v>
      </c>
      <c r="B396" s="212"/>
      <c r="C396" s="212"/>
      <c r="D396" s="212"/>
      <c r="E396" s="212"/>
      <c r="F396" s="212"/>
      <c r="G396" s="212"/>
      <c r="H396" s="212"/>
      <c r="I396" s="212"/>
    </row>
    <row r="397" spans="1:9" s="3" customFormat="1" ht="27.9" customHeight="1">
      <c r="A397" s="212" t="s">
        <v>1</v>
      </c>
      <c r="B397" s="212"/>
      <c r="C397" s="212"/>
      <c r="D397" s="212"/>
      <c r="E397" s="212"/>
      <c r="F397" s="212"/>
      <c r="G397" s="212"/>
      <c r="H397" s="212"/>
      <c r="I397" s="212"/>
    </row>
    <row r="398" spans="1:9" s="3" customFormat="1" ht="27.9" customHeight="1">
      <c r="A398" s="212" t="s">
        <v>52</v>
      </c>
      <c r="B398" s="212"/>
      <c r="C398" s="212"/>
      <c r="D398" s="212"/>
      <c r="E398" s="212"/>
      <c r="F398" s="212"/>
      <c r="G398" s="212"/>
      <c r="H398" s="212"/>
      <c r="I398" s="212"/>
    </row>
    <row r="399" spans="1:9" ht="27.9" customHeight="1">
      <c r="A399" s="17"/>
      <c r="B399" s="43" t="s">
        <v>35</v>
      </c>
      <c r="C399" s="41"/>
      <c r="D399" s="18"/>
      <c r="E399" s="18"/>
      <c r="F399" s="18"/>
      <c r="G399" s="18"/>
      <c r="H399" s="18"/>
      <c r="I399" s="18"/>
    </row>
    <row r="400" spans="1:9" s="5" customFormat="1" ht="27.9" customHeight="1">
      <c r="A400" s="1" t="s">
        <v>0</v>
      </c>
      <c r="B400" s="15" t="s">
        <v>2</v>
      </c>
      <c r="C400" s="1" t="s">
        <v>53</v>
      </c>
      <c r="D400" s="1" t="s">
        <v>3</v>
      </c>
      <c r="E400" s="9" t="s">
        <v>4</v>
      </c>
      <c r="F400" s="10" t="s">
        <v>5</v>
      </c>
      <c r="G400" s="11" t="s">
        <v>56</v>
      </c>
      <c r="H400" s="9" t="s">
        <v>6</v>
      </c>
      <c r="I400" s="213" t="s">
        <v>7</v>
      </c>
    </row>
    <row r="401" spans="1:9" s="5" customFormat="1" ht="27.9" customHeight="1">
      <c r="A401" s="2" t="s">
        <v>8</v>
      </c>
      <c r="B401" s="16" t="s">
        <v>58</v>
      </c>
      <c r="C401" s="2" t="s">
        <v>9</v>
      </c>
      <c r="D401" s="2" t="s">
        <v>10</v>
      </c>
      <c r="E401" s="12" t="s">
        <v>64</v>
      </c>
      <c r="F401" s="13" t="s">
        <v>55</v>
      </c>
      <c r="G401" s="14" t="s">
        <v>11</v>
      </c>
      <c r="H401" s="36" t="s">
        <v>57</v>
      </c>
      <c r="I401" s="214"/>
    </row>
    <row r="402" spans="1:9" s="7" customFormat="1" ht="80.099999999999994" customHeight="1">
      <c r="A402" s="34">
        <v>19</v>
      </c>
      <c r="B402" s="35">
        <v>1200000</v>
      </c>
      <c r="C402" s="42"/>
      <c r="D402" s="35"/>
      <c r="E402" s="37"/>
      <c r="F402" s="37"/>
      <c r="G402" s="37"/>
      <c r="H402" s="38"/>
      <c r="I402" s="37"/>
    </row>
    <row r="403" spans="1:9" ht="27.9" customHeight="1">
      <c r="A403" s="19"/>
      <c r="B403" s="20"/>
      <c r="C403" s="21"/>
      <c r="D403" s="39"/>
      <c r="E403" s="22"/>
      <c r="F403" s="23"/>
      <c r="G403" s="18"/>
      <c r="H403" s="18"/>
      <c r="I403" s="18"/>
    </row>
    <row r="404" spans="1:9" ht="27.9" customHeight="1">
      <c r="A404" s="215" t="s">
        <v>15</v>
      </c>
      <c r="B404" s="215"/>
      <c r="C404" s="215"/>
      <c r="D404" s="215"/>
      <c r="E404" s="215"/>
      <c r="F404" s="215"/>
      <c r="G404" s="215"/>
      <c r="H404" s="215"/>
      <c r="I404" s="215"/>
    </row>
    <row r="405" spans="1:9" ht="27.9" customHeight="1">
      <c r="A405" s="216" t="s">
        <v>16</v>
      </c>
      <c r="B405" s="216"/>
      <c r="C405" s="216"/>
      <c r="D405" s="216"/>
      <c r="E405" s="216"/>
      <c r="F405" s="216"/>
      <c r="G405" s="216"/>
      <c r="H405" s="216"/>
      <c r="I405" s="216"/>
    </row>
    <row r="406" spans="1:9" s="6" customFormat="1" ht="27.9" customHeight="1">
      <c r="A406" s="216" t="s">
        <v>16</v>
      </c>
      <c r="B406" s="216"/>
      <c r="C406" s="216"/>
      <c r="D406" s="216"/>
      <c r="E406" s="216"/>
      <c r="F406" s="216"/>
      <c r="G406" s="216"/>
      <c r="H406" s="216"/>
      <c r="I406" s="216"/>
    </row>
    <row r="407" spans="1:9" s="6" customFormat="1" ht="27.9" customHeight="1">
      <c r="A407" s="216" t="s">
        <v>17</v>
      </c>
      <c r="B407" s="216"/>
      <c r="C407" s="216"/>
      <c r="D407" s="216"/>
      <c r="E407" s="216"/>
      <c r="F407" s="216"/>
      <c r="G407" s="216"/>
      <c r="H407" s="216"/>
      <c r="I407" s="216"/>
    </row>
    <row r="408" spans="1:9" s="7" customFormat="1" ht="27.9" customHeight="1">
      <c r="A408" s="216" t="s">
        <v>18</v>
      </c>
      <c r="B408" s="216"/>
      <c r="C408" s="216"/>
      <c r="D408" s="216"/>
      <c r="E408" s="216"/>
      <c r="F408" s="216"/>
      <c r="G408" s="216"/>
      <c r="H408" s="216"/>
      <c r="I408" s="216"/>
    </row>
    <row r="409" spans="1:9" s="7" customFormat="1" ht="27.9" customHeight="1">
      <c r="A409" s="24"/>
      <c r="B409" s="24"/>
      <c r="C409" s="24"/>
      <c r="D409" s="24"/>
      <c r="E409" s="24"/>
      <c r="F409" s="24"/>
      <c r="G409" s="24"/>
      <c r="H409" s="24"/>
      <c r="I409" s="24"/>
    </row>
    <row r="410" spans="1:9" ht="27.9" customHeight="1">
      <c r="A410" s="24"/>
      <c r="B410" s="25"/>
      <c r="C410" s="39"/>
      <c r="D410" s="39"/>
      <c r="E410" s="26" t="s">
        <v>12</v>
      </c>
      <c r="F410" s="27"/>
      <c r="G410" s="28"/>
      <c r="H410" s="29" t="s">
        <v>13</v>
      </c>
      <c r="I410" s="24"/>
    </row>
    <row r="411" spans="1:9" ht="27.9" customHeight="1">
      <c r="A411" s="30"/>
      <c r="B411" s="30"/>
      <c r="C411" s="18"/>
      <c r="D411" s="18"/>
      <c r="E411" s="31"/>
      <c r="F411" s="217" t="s">
        <v>14</v>
      </c>
      <c r="G411" s="217"/>
      <c r="H411" s="31"/>
      <c r="I411" s="18"/>
    </row>
    <row r="412" spans="1:9" ht="27.9" customHeight="1">
      <c r="A412" s="32"/>
      <c r="B412" s="25" t="s">
        <v>48</v>
      </c>
      <c r="C412" s="40"/>
      <c r="D412" s="40"/>
      <c r="E412" s="33"/>
      <c r="F412" s="23"/>
      <c r="G412" s="18"/>
      <c r="H412" s="18"/>
      <c r="I412" s="18"/>
    </row>
    <row r="413" spans="1:9" ht="27.9" customHeight="1">
      <c r="A413" s="212"/>
      <c r="B413" s="212"/>
      <c r="C413" s="212"/>
      <c r="D413" s="212"/>
      <c r="E413" s="212"/>
      <c r="F413" s="212"/>
      <c r="G413" s="212"/>
      <c r="H413" s="212"/>
      <c r="I413" s="212"/>
    </row>
    <row r="414" spans="1:9" s="3" customFormat="1" ht="27.9" customHeight="1">
      <c r="A414" s="212" t="s">
        <v>51</v>
      </c>
      <c r="B414" s="212"/>
      <c r="C414" s="212"/>
      <c r="D414" s="212"/>
      <c r="E414" s="212"/>
      <c r="F414" s="212"/>
      <c r="G414" s="212"/>
      <c r="H414" s="212"/>
      <c r="I414" s="212"/>
    </row>
    <row r="415" spans="1:9" s="3" customFormat="1" ht="27.9" customHeight="1">
      <c r="A415" s="212" t="s">
        <v>1</v>
      </c>
      <c r="B415" s="212"/>
      <c r="C415" s="212"/>
      <c r="D415" s="212"/>
      <c r="E415" s="212"/>
      <c r="F415" s="212"/>
      <c r="G415" s="212"/>
      <c r="H415" s="212"/>
      <c r="I415" s="212"/>
    </row>
    <row r="416" spans="1:9" s="3" customFormat="1" ht="27.9" customHeight="1">
      <c r="A416" s="212" t="s">
        <v>52</v>
      </c>
      <c r="B416" s="212"/>
      <c r="C416" s="212"/>
      <c r="D416" s="212"/>
      <c r="E416" s="212"/>
      <c r="F416" s="212"/>
      <c r="G416" s="212"/>
      <c r="H416" s="212"/>
      <c r="I416" s="212"/>
    </row>
    <row r="417" spans="1:9" ht="27.9" customHeight="1">
      <c r="A417" s="17"/>
      <c r="B417" s="43" t="s">
        <v>36</v>
      </c>
      <c r="C417" s="41"/>
      <c r="D417" s="18"/>
      <c r="E417" s="18"/>
      <c r="F417" s="18"/>
      <c r="G417" s="18"/>
      <c r="H417" s="18"/>
      <c r="I417" s="18"/>
    </row>
    <row r="418" spans="1:9" s="5" customFormat="1" ht="27.9" customHeight="1">
      <c r="A418" s="1" t="s">
        <v>0</v>
      </c>
      <c r="B418" s="15" t="s">
        <v>2</v>
      </c>
      <c r="C418" s="1" t="s">
        <v>53</v>
      </c>
      <c r="D418" s="1" t="s">
        <v>3</v>
      </c>
      <c r="E418" s="9" t="s">
        <v>4</v>
      </c>
      <c r="F418" s="10" t="s">
        <v>5</v>
      </c>
      <c r="G418" s="11" t="s">
        <v>56</v>
      </c>
      <c r="H418" s="9" t="s">
        <v>6</v>
      </c>
      <c r="I418" s="213" t="s">
        <v>7</v>
      </c>
    </row>
    <row r="419" spans="1:9" s="5" customFormat="1" ht="27.9" customHeight="1">
      <c r="A419" s="2" t="s">
        <v>8</v>
      </c>
      <c r="B419" s="16" t="s">
        <v>58</v>
      </c>
      <c r="C419" s="2" t="s">
        <v>9</v>
      </c>
      <c r="D419" s="2" t="s">
        <v>10</v>
      </c>
      <c r="E419" s="12" t="s">
        <v>65</v>
      </c>
      <c r="F419" s="13" t="s">
        <v>55</v>
      </c>
      <c r="G419" s="14" t="s">
        <v>11</v>
      </c>
      <c r="H419" s="36" t="s">
        <v>57</v>
      </c>
      <c r="I419" s="214"/>
    </row>
    <row r="420" spans="1:9" s="7" customFormat="1" ht="80.099999999999994" customHeight="1">
      <c r="A420" s="34">
        <v>20</v>
      </c>
      <c r="B420" s="35">
        <v>1300000</v>
      </c>
      <c r="C420" s="42"/>
      <c r="D420" s="35"/>
      <c r="E420" s="37"/>
      <c r="F420" s="37"/>
      <c r="G420" s="37"/>
      <c r="H420" s="38"/>
      <c r="I420" s="37"/>
    </row>
    <row r="421" spans="1:9" ht="27.9" customHeight="1">
      <c r="A421" s="19"/>
      <c r="B421" s="20"/>
      <c r="C421" s="21"/>
      <c r="D421" s="39"/>
      <c r="E421" s="22"/>
      <c r="F421" s="23"/>
      <c r="G421" s="18"/>
      <c r="H421" s="18"/>
      <c r="I421" s="18"/>
    </row>
    <row r="422" spans="1:9" ht="27.9" customHeight="1">
      <c r="A422" s="215" t="s">
        <v>15</v>
      </c>
      <c r="B422" s="215"/>
      <c r="C422" s="215"/>
      <c r="D422" s="215"/>
      <c r="E422" s="215"/>
      <c r="F422" s="215"/>
      <c r="G422" s="215"/>
      <c r="H422" s="215"/>
      <c r="I422" s="215"/>
    </row>
    <row r="423" spans="1:9" ht="27.9" customHeight="1">
      <c r="A423" s="216" t="s">
        <v>16</v>
      </c>
      <c r="B423" s="216"/>
      <c r="C423" s="216"/>
      <c r="D423" s="216"/>
      <c r="E423" s="216"/>
      <c r="F423" s="216"/>
      <c r="G423" s="216"/>
      <c r="H423" s="216"/>
      <c r="I423" s="216"/>
    </row>
    <row r="424" spans="1:9" s="6" customFormat="1" ht="27.9" customHeight="1">
      <c r="A424" s="216" t="s">
        <v>16</v>
      </c>
      <c r="B424" s="216"/>
      <c r="C424" s="216"/>
      <c r="D424" s="216"/>
      <c r="E424" s="216"/>
      <c r="F424" s="216"/>
      <c r="G424" s="216"/>
      <c r="H424" s="216"/>
      <c r="I424" s="216"/>
    </row>
    <row r="425" spans="1:9" s="6" customFormat="1" ht="27.9" customHeight="1">
      <c r="A425" s="216" t="s">
        <v>17</v>
      </c>
      <c r="B425" s="216"/>
      <c r="C425" s="216"/>
      <c r="D425" s="216"/>
      <c r="E425" s="216"/>
      <c r="F425" s="216"/>
      <c r="G425" s="216"/>
      <c r="H425" s="216"/>
      <c r="I425" s="216"/>
    </row>
    <row r="426" spans="1:9" s="7" customFormat="1" ht="27.9" customHeight="1">
      <c r="A426" s="216" t="s">
        <v>18</v>
      </c>
      <c r="B426" s="216"/>
      <c r="C426" s="216"/>
      <c r="D426" s="216"/>
      <c r="E426" s="216"/>
      <c r="F426" s="216"/>
      <c r="G426" s="216"/>
      <c r="H426" s="216"/>
      <c r="I426" s="216"/>
    </row>
    <row r="427" spans="1:9" s="7" customFormat="1" ht="27.9" customHeight="1">
      <c r="A427" s="24"/>
      <c r="B427" s="24"/>
      <c r="C427" s="24"/>
      <c r="D427" s="24"/>
      <c r="E427" s="24"/>
      <c r="F427" s="24"/>
      <c r="G427" s="24"/>
      <c r="H427" s="24"/>
      <c r="I427" s="24"/>
    </row>
    <row r="428" spans="1:9" ht="27.9" customHeight="1">
      <c r="A428" s="24"/>
      <c r="B428" s="25"/>
      <c r="C428" s="39"/>
      <c r="D428" s="39"/>
      <c r="E428" s="26" t="s">
        <v>12</v>
      </c>
      <c r="F428" s="27"/>
      <c r="G428" s="28"/>
      <c r="H428" s="29" t="s">
        <v>13</v>
      </c>
      <c r="I428" s="24"/>
    </row>
    <row r="429" spans="1:9" ht="27.9" customHeight="1">
      <c r="A429" s="30"/>
      <c r="B429" s="30"/>
      <c r="C429" s="18"/>
      <c r="D429" s="18"/>
      <c r="E429" s="31"/>
      <c r="F429" s="217" t="s">
        <v>14</v>
      </c>
      <c r="G429" s="217"/>
      <c r="H429" s="31"/>
      <c r="I429" s="18"/>
    </row>
    <row r="430" spans="1:9" ht="27.9" customHeight="1">
      <c r="A430" s="32"/>
      <c r="B430" s="25" t="s">
        <v>48</v>
      </c>
      <c r="C430" s="40"/>
      <c r="D430" s="40"/>
      <c r="E430" s="33"/>
      <c r="F430" s="23"/>
      <c r="G430" s="18"/>
      <c r="H430" s="18"/>
      <c r="I430" s="18"/>
    </row>
    <row r="431" spans="1:9" ht="27.9" customHeight="1">
      <c r="A431" s="212"/>
      <c r="B431" s="212"/>
      <c r="C431" s="212"/>
      <c r="D431" s="212"/>
      <c r="E431" s="212"/>
      <c r="F431" s="212"/>
      <c r="G431" s="212"/>
      <c r="H431" s="212"/>
      <c r="I431" s="212"/>
    </row>
    <row r="432" spans="1:9" s="3" customFormat="1" ht="27.9" customHeight="1">
      <c r="A432" s="212" t="s">
        <v>51</v>
      </c>
      <c r="B432" s="212"/>
      <c r="C432" s="212"/>
      <c r="D432" s="212"/>
      <c r="E432" s="212"/>
      <c r="F432" s="212"/>
      <c r="G432" s="212"/>
      <c r="H432" s="212"/>
      <c r="I432" s="212"/>
    </row>
    <row r="433" spans="1:9" s="3" customFormat="1" ht="27.9" customHeight="1">
      <c r="A433" s="212" t="s">
        <v>1</v>
      </c>
      <c r="B433" s="212"/>
      <c r="C433" s="212"/>
      <c r="D433" s="212"/>
      <c r="E433" s="212"/>
      <c r="F433" s="212"/>
      <c r="G433" s="212"/>
      <c r="H433" s="212"/>
      <c r="I433" s="212"/>
    </row>
    <row r="434" spans="1:9" s="3" customFormat="1" ht="27.9" customHeight="1">
      <c r="A434" s="212" t="s">
        <v>52</v>
      </c>
      <c r="B434" s="212"/>
      <c r="C434" s="212"/>
      <c r="D434" s="212"/>
      <c r="E434" s="212"/>
      <c r="F434" s="212"/>
      <c r="G434" s="212"/>
      <c r="H434" s="212"/>
      <c r="I434" s="212"/>
    </row>
    <row r="435" spans="1:9" ht="27.9" customHeight="1">
      <c r="A435" s="17"/>
      <c r="B435" s="43" t="s">
        <v>37</v>
      </c>
      <c r="C435" s="41"/>
      <c r="D435" s="18"/>
      <c r="E435" s="18"/>
      <c r="F435" s="18"/>
      <c r="G435" s="18"/>
      <c r="H435" s="18"/>
      <c r="I435" s="18"/>
    </row>
    <row r="436" spans="1:9" s="5" customFormat="1" ht="27.9" customHeight="1">
      <c r="A436" s="1" t="s">
        <v>0</v>
      </c>
      <c r="B436" s="15" t="s">
        <v>2</v>
      </c>
      <c r="C436" s="1" t="s">
        <v>53</v>
      </c>
      <c r="D436" s="1" t="s">
        <v>3</v>
      </c>
      <c r="E436" s="9" t="s">
        <v>4</v>
      </c>
      <c r="F436" s="10" t="s">
        <v>5</v>
      </c>
      <c r="G436" s="11" t="s">
        <v>56</v>
      </c>
      <c r="H436" s="9" t="s">
        <v>6</v>
      </c>
      <c r="I436" s="213" t="s">
        <v>7</v>
      </c>
    </row>
    <row r="437" spans="1:9" s="5" customFormat="1" ht="27.9" customHeight="1">
      <c r="A437" s="2" t="s">
        <v>8</v>
      </c>
      <c r="B437" s="16" t="s">
        <v>58</v>
      </c>
      <c r="C437" s="2" t="s">
        <v>9</v>
      </c>
      <c r="D437" s="2" t="s">
        <v>10</v>
      </c>
      <c r="E437" s="12" t="s">
        <v>64</v>
      </c>
      <c r="F437" s="13" t="s">
        <v>55</v>
      </c>
      <c r="G437" s="14" t="s">
        <v>11</v>
      </c>
      <c r="H437" s="36" t="s">
        <v>57</v>
      </c>
      <c r="I437" s="214"/>
    </row>
    <row r="438" spans="1:9" s="7" customFormat="1" ht="80.099999999999994" customHeight="1">
      <c r="A438" s="34">
        <v>21</v>
      </c>
      <c r="B438" s="35">
        <v>300000</v>
      </c>
      <c r="C438" s="42"/>
      <c r="D438" s="35"/>
      <c r="E438" s="37"/>
      <c r="F438" s="37"/>
      <c r="G438" s="37"/>
      <c r="H438" s="38"/>
      <c r="I438" s="37"/>
    </row>
    <row r="439" spans="1:9" ht="27.9" customHeight="1">
      <c r="A439" s="19"/>
      <c r="B439" s="20"/>
      <c r="C439" s="21"/>
      <c r="D439" s="39"/>
      <c r="E439" s="22"/>
      <c r="F439" s="23"/>
      <c r="G439" s="18"/>
      <c r="H439" s="18"/>
      <c r="I439" s="18"/>
    </row>
    <row r="440" spans="1:9" ht="27.9" customHeight="1">
      <c r="A440" s="215" t="s">
        <v>15</v>
      </c>
      <c r="B440" s="215"/>
      <c r="C440" s="215"/>
      <c r="D440" s="215"/>
      <c r="E440" s="215"/>
      <c r="F440" s="215"/>
      <c r="G440" s="215"/>
      <c r="H440" s="215"/>
      <c r="I440" s="215"/>
    </row>
    <row r="441" spans="1:9" ht="27.9" customHeight="1">
      <c r="A441" s="216" t="s">
        <v>16</v>
      </c>
      <c r="B441" s="216"/>
      <c r="C441" s="216"/>
      <c r="D441" s="216"/>
      <c r="E441" s="216"/>
      <c r="F441" s="216"/>
      <c r="G441" s="216"/>
      <c r="H441" s="216"/>
      <c r="I441" s="216"/>
    </row>
    <row r="442" spans="1:9" s="6" customFormat="1" ht="27.9" customHeight="1">
      <c r="A442" s="216" t="s">
        <v>16</v>
      </c>
      <c r="B442" s="216"/>
      <c r="C442" s="216"/>
      <c r="D442" s="216"/>
      <c r="E442" s="216"/>
      <c r="F442" s="216"/>
      <c r="G442" s="216"/>
      <c r="H442" s="216"/>
      <c r="I442" s="216"/>
    </row>
    <row r="443" spans="1:9" s="6" customFormat="1" ht="27.9" customHeight="1">
      <c r="A443" s="216" t="s">
        <v>17</v>
      </c>
      <c r="B443" s="216"/>
      <c r="C443" s="216"/>
      <c r="D443" s="216"/>
      <c r="E443" s="216"/>
      <c r="F443" s="216"/>
      <c r="G443" s="216"/>
      <c r="H443" s="216"/>
      <c r="I443" s="216"/>
    </row>
    <row r="444" spans="1:9" s="7" customFormat="1" ht="27.9" customHeight="1">
      <c r="A444" s="216" t="s">
        <v>18</v>
      </c>
      <c r="B444" s="216"/>
      <c r="C444" s="216"/>
      <c r="D444" s="216"/>
      <c r="E444" s="216"/>
      <c r="F444" s="216"/>
      <c r="G444" s="216"/>
      <c r="H444" s="216"/>
      <c r="I444" s="216"/>
    </row>
    <row r="445" spans="1:9" s="7" customFormat="1" ht="27.9" customHeight="1">
      <c r="A445" s="24"/>
      <c r="B445" s="24"/>
      <c r="C445" s="24"/>
      <c r="D445" s="24"/>
      <c r="E445" s="24"/>
      <c r="F445" s="24"/>
      <c r="G445" s="24"/>
      <c r="H445" s="24"/>
      <c r="I445" s="24"/>
    </row>
    <row r="446" spans="1:9" ht="27.9" customHeight="1">
      <c r="A446" s="24"/>
      <c r="B446" s="25"/>
      <c r="C446" s="39"/>
      <c r="D446" s="39"/>
      <c r="E446" s="26" t="s">
        <v>12</v>
      </c>
      <c r="F446" s="27"/>
      <c r="G446" s="28"/>
      <c r="H446" s="29" t="s">
        <v>13</v>
      </c>
      <c r="I446" s="24"/>
    </row>
    <row r="447" spans="1:9" ht="27.9" customHeight="1">
      <c r="A447" s="30"/>
      <c r="B447" s="30"/>
      <c r="C447" s="18"/>
      <c r="D447" s="18"/>
      <c r="E447" s="31"/>
      <c r="F447" s="217" t="s">
        <v>14</v>
      </c>
      <c r="G447" s="217"/>
      <c r="H447" s="31"/>
      <c r="I447" s="18"/>
    </row>
    <row r="448" spans="1:9" ht="27.9" customHeight="1">
      <c r="A448" s="32"/>
      <c r="B448" s="25" t="s">
        <v>48</v>
      </c>
      <c r="C448" s="40"/>
      <c r="D448" s="40"/>
      <c r="E448" s="33"/>
      <c r="F448" s="23"/>
      <c r="G448" s="18"/>
      <c r="H448" s="18"/>
      <c r="I448" s="18"/>
    </row>
    <row r="449" spans="1:9" ht="27.9" customHeight="1">
      <c r="A449" s="212"/>
      <c r="B449" s="212"/>
      <c r="C449" s="212"/>
      <c r="D449" s="212"/>
      <c r="E449" s="212"/>
      <c r="F449" s="212"/>
      <c r="G449" s="212"/>
      <c r="H449" s="212"/>
      <c r="I449" s="212"/>
    </row>
    <row r="450" spans="1:9" s="3" customFormat="1" ht="27.9" customHeight="1">
      <c r="A450" s="212" t="s">
        <v>51</v>
      </c>
      <c r="B450" s="212"/>
      <c r="C450" s="212"/>
      <c r="D450" s="212"/>
      <c r="E450" s="212"/>
      <c r="F450" s="212"/>
      <c r="G450" s="212"/>
      <c r="H450" s="212"/>
      <c r="I450" s="212"/>
    </row>
    <row r="451" spans="1:9" s="3" customFormat="1" ht="27.9" customHeight="1">
      <c r="A451" s="212" t="s">
        <v>1</v>
      </c>
      <c r="B451" s="212"/>
      <c r="C451" s="212"/>
      <c r="D451" s="212"/>
      <c r="E451" s="212"/>
      <c r="F451" s="212"/>
      <c r="G451" s="212"/>
      <c r="H451" s="212"/>
      <c r="I451" s="212"/>
    </row>
    <row r="452" spans="1:9" s="3" customFormat="1" ht="27.9" customHeight="1">
      <c r="A452" s="212" t="s">
        <v>52</v>
      </c>
      <c r="B452" s="212"/>
      <c r="C452" s="212"/>
      <c r="D452" s="212"/>
      <c r="E452" s="212"/>
      <c r="F452" s="212"/>
      <c r="G452" s="212"/>
      <c r="H452" s="212"/>
      <c r="I452" s="212"/>
    </row>
    <row r="453" spans="1:9" ht="27.9" customHeight="1">
      <c r="A453" s="17"/>
      <c r="B453" s="43" t="s">
        <v>67</v>
      </c>
      <c r="C453" s="41"/>
      <c r="D453" s="18"/>
      <c r="E453" s="18"/>
      <c r="F453" s="18"/>
      <c r="G453" s="18"/>
      <c r="H453" s="18"/>
      <c r="I453" s="18"/>
    </row>
    <row r="454" spans="1:9" s="5" customFormat="1" ht="27.9" customHeight="1">
      <c r="A454" s="1" t="s">
        <v>0</v>
      </c>
      <c r="B454" s="15" t="s">
        <v>2</v>
      </c>
      <c r="C454" s="1" t="s">
        <v>53</v>
      </c>
      <c r="D454" s="1" t="s">
        <v>3</v>
      </c>
      <c r="E454" s="9" t="s">
        <v>4</v>
      </c>
      <c r="F454" s="10" t="s">
        <v>5</v>
      </c>
      <c r="G454" s="11" t="s">
        <v>56</v>
      </c>
      <c r="H454" s="9" t="s">
        <v>6</v>
      </c>
      <c r="I454" s="213" t="s">
        <v>7</v>
      </c>
    </row>
    <row r="455" spans="1:9" s="5" customFormat="1" ht="27.9" customHeight="1">
      <c r="A455" s="2" t="s">
        <v>8</v>
      </c>
      <c r="B455" s="16" t="s">
        <v>58</v>
      </c>
      <c r="C455" s="2" t="s">
        <v>9</v>
      </c>
      <c r="D455" s="2" t="s">
        <v>10</v>
      </c>
      <c r="E455" s="12" t="s">
        <v>54</v>
      </c>
      <c r="F455" s="13" t="s">
        <v>55</v>
      </c>
      <c r="G455" s="14" t="s">
        <v>11</v>
      </c>
      <c r="H455" s="36" t="s">
        <v>57</v>
      </c>
      <c r="I455" s="214"/>
    </row>
    <row r="456" spans="1:9" s="7" customFormat="1" ht="80.099999999999994" customHeight="1">
      <c r="A456" s="34">
        <v>22</v>
      </c>
      <c r="B456" s="35">
        <v>3500000</v>
      </c>
      <c r="C456" s="42"/>
      <c r="D456" s="35"/>
      <c r="E456" s="37"/>
      <c r="F456" s="37"/>
      <c r="G456" s="37"/>
      <c r="H456" s="38"/>
      <c r="I456" s="37"/>
    </row>
    <row r="457" spans="1:9" ht="27.9" customHeight="1">
      <c r="A457" s="19"/>
      <c r="B457" s="20"/>
      <c r="C457" s="21"/>
      <c r="D457" s="39"/>
      <c r="E457" s="22"/>
      <c r="F457" s="23"/>
      <c r="G457" s="18"/>
      <c r="H457" s="18"/>
      <c r="I457" s="18"/>
    </row>
    <row r="458" spans="1:9" ht="27.9" customHeight="1">
      <c r="A458" s="215" t="s">
        <v>15</v>
      </c>
      <c r="B458" s="215"/>
      <c r="C458" s="215"/>
      <c r="D458" s="215"/>
      <c r="E458" s="215"/>
      <c r="F458" s="215"/>
      <c r="G458" s="215"/>
      <c r="H458" s="215"/>
      <c r="I458" s="215"/>
    </row>
    <row r="459" spans="1:9" ht="27.9" customHeight="1">
      <c r="A459" s="216" t="s">
        <v>16</v>
      </c>
      <c r="B459" s="216"/>
      <c r="C459" s="216"/>
      <c r="D459" s="216"/>
      <c r="E459" s="216"/>
      <c r="F459" s="216"/>
      <c r="G459" s="216"/>
      <c r="H459" s="216"/>
      <c r="I459" s="216"/>
    </row>
    <row r="460" spans="1:9" s="6" customFormat="1" ht="27.9" customHeight="1">
      <c r="A460" s="216" t="s">
        <v>16</v>
      </c>
      <c r="B460" s="216"/>
      <c r="C460" s="216"/>
      <c r="D460" s="216"/>
      <c r="E460" s="216"/>
      <c r="F460" s="216"/>
      <c r="G460" s="216"/>
      <c r="H460" s="216"/>
      <c r="I460" s="216"/>
    </row>
    <row r="461" spans="1:9" s="6" customFormat="1" ht="27.9" customHeight="1">
      <c r="A461" s="216" t="s">
        <v>17</v>
      </c>
      <c r="B461" s="216"/>
      <c r="C461" s="216"/>
      <c r="D461" s="216"/>
      <c r="E461" s="216"/>
      <c r="F461" s="216"/>
      <c r="G461" s="216"/>
      <c r="H461" s="216"/>
      <c r="I461" s="216"/>
    </row>
    <row r="462" spans="1:9" s="7" customFormat="1" ht="27.9" customHeight="1">
      <c r="A462" s="216" t="s">
        <v>18</v>
      </c>
      <c r="B462" s="216"/>
      <c r="C462" s="216"/>
      <c r="D462" s="216"/>
      <c r="E462" s="216"/>
      <c r="F462" s="216"/>
      <c r="G462" s="216"/>
      <c r="H462" s="216"/>
      <c r="I462" s="216"/>
    </row>
    <row r="463" spans="1:9" s="7" customFormat="1" ht="27.9" customHeight="1">
      <c r="A463" s="24"/>
      <c r="B463" s="24"/>
      <c r="C463" s="24"/>
      <c r="D463" s="24"/>
      <c r="E463" s="24"/>
      <c r="F463" s="24"/>
      <c r="G463" s="24"/>
      <c r="H463" s="24"/>
      <c r="I463" s="24"/>
    </row>
    <row r="464" spans="1:9" ht="27.9" customHeight="1">
      <c r="A464" s="24"/>
      <c r="B464" s="25"/>
      <c r="C464" s="39"/>
      <c r="D464" s="39"/>
      <c r="E464" s="26" t="s">
        <v>12</v>
      </c>
      <c r="F464" s="27"/>
      <c r="G464" s="28"/>
      <c r="H464" s="29" t="s">
        <v>13</v>
      </c>
      <c r="I464" s="24"/>
    </row>
    <row r="465" spans="1:9" ht="27.9" customHeight="1">
      <c r="A465" s="30"/>
      <c r="B465" s="30"/>
      <c r="C465" s="18"/>
      <c r="D465" s="18"/>
      <c r="E465" s="31"/>
      <c r="F465" s="217" t="s">
        <v>14</v>
      </c>
      <c r="G465" s="217"/>
      <c r="H465" s="31"/>
      <c r="I465" s="18"/>
    </row>
    <row r="466" spans="1:9" ht="27.9" customHeight="1">
      <c r="A466" s="32"/>
      <c r="B466" s="25" t="s">
        <v>48</v>
      </c>
      <c r="C466" s="40"/>
      <c r="D466" s="40"/>
      <c r="E466" s="33"/>
      <c r="F466" s="23"/>
      <c r="G466" s="18"/>
      <c r="H466" s="18"/>
      <c r="I466" s="18"/>
    </row>
    <row r="467" spans="1:9" ht="27.9" customHeight="1">
      <c r="A467" s="212"/>
      <c r="B467" s="212"/>
      <c r="C467" s="212"/>
      <c r="D467" s="212"/>
      <c r="E467" s="212"/>
      <c r="F467" s="212"/>
      <c r="G467" s="212"/>
      <c r="H467" s="212"/>
      <c r="I467" s="212"/>
    </row>
    <row r="468" spans="1:9" s="3" customFormat="1" ht="27.9" customHeight="1">
      <c r="A468" s="212" t="s">
        <v>51</v>
      </c>
      <c r="B468" s="212"/>
      <c r="C468" s="212"/>
      <c r="D468" s="212"/>
      <c r="E468" s="212"/>
      <c r="F468" s="212"/>
      <c r="G468" s="212"/>
      <c r="H468" s="212"/>
      <c r="I468" s="212"/>
    </row>
    <row r="469" spans="1:9" s="3" customFormat="1" ht="27.9" customHeight="1">
      <c r="A469" s="212" t="s">
        <v>1</v>
      </c>
      <c r="B469" s="212"/>
      <c r="C469" s="212"/>
      <c r="D469" s="212"/>
      <c r="E469" s="212"/>
      <c r="F469" s="212"/>
      <c r="G469" s="212"/>
      <c r="H469" s="212"/>
      <c r="I469" s="212"/>
    </row>
    <row r="470" spans="1:9" s="3" customFormat="1" ht="27.9" customHeight="1">
      <c r="A470" s="212" t="s">
        <v>52</v>
      </c>
      <c r="B470" s="212"/>
      <c r="C470" s="212"/>
      <c r="D470" s="212"/>
      <c r="E470" s="212"/>
      <c r="F470" s="212"/>
      <c r="G470" s="212"/>
      <c r="H470" s="212"/>
      <c r="I470" s="212"/>
    </row>
    <row r="471" spans="1:9" ht="27.9" customHeight="1">
      <c r="A471" s="17"/>
      <c r="B471" s="43" t="s">
        <v>40</v>
      </c>
      <c r="C471" s="41"/>
      <c r="D471" s="18"/>
      <c r="E471" s="18"/>
      <c r="F471" s="18"/>
      <c r="G471" s="18"/>
      <c r="H471" s="18"/>
      <c r="I471" s="18"/>
    </row>
    <row r="472" spans="1:9" s="5" customFormat="1" ht="27.9" customHeight="1">
      <c r="A472" s="1" t="s">
        <v>0</v>
      </c>
      <c r="B472" s="15" t="s">
        <v>2</v>
      </c>
      <c r="C472" s="1" t="s">
        <v>53</v>
      </c>
      <c r="D472" s="1" t="s">
        <v>3</v>
      </c>
      <c r="E472" s="9" t="s">
        <v>4</v>
      </c>
      <c r="F472" s="10" t="s">
        <v>5</v>
      </c>
      <c r="G472" s="11" t="s">
        <v>56</v>
      </c>
      <c r="H472" s="9" t="s">
        <v>6</v>
      </c>
      <c r="I472" s="213" t="s">
        <v>7</v>
      </c>
    </row>
    <row r="473" spans="1:9" s="5" customFormat="1" ht="27.9" customHeight="1">
      <c r="A473" s="2" t="s">
        <v>8</v>
      </c>
      <c r="B473" s="16" t="s">
        <v>58</v>
      </c>
      <c r="C473" s="2" t="s">
        <v>9</v>
      </c>
      <c r="D473" s="2" t="s">
        <v>10</v>
      </c>
      <c r="E473" s="12" t="s">
        <v>64</v>
      </c>
      <c r="F473" s="13" t="s">
        <v>55</v>
      </c>
      <c r="G473" s="14" t="s">
        <v>11</v>
      </c>
      <c r="H473" s="36" t="s">
        <v>57</v>
      </c>
      <c r="I473" s="214"/>
    </row>
    <row r="474" spans="1:9" s="7" customFormat="1" ht="80.099999999999994" customHeight="1">
      <c r="A474" s="34">
        <v>23</v>
      </c>
      <c r="B474" s="35">
        <v>17000000</v>
      </c>
      <c r="C474" s="42"/>
      <c r="D474" s="35"/>
      <c r="E474" s="37"/>
      <c r="F474" s="37"/>
      <c r="G474" s="37"/>
      <c r="H474" s="38"/>
      <c r="I474" s="37"/>
    </row>
    <row r="475" spans="1:9" ht="27.9" customHeight="1">
      <c r="A475" s="19"/>
      <c r="B475" s="20"/>
      <c r="C475" s="21"/>
      <c r="D475" s="39"/>
      <c r="E475" s="22"/>
      <c r="F475" s="23"/>
      <c r="G475" s="18"/>
      <c r="H475" s="18"/>
      <c r="I475" s="18"/>
    </row>
    <row r="476" spans="1:9" ht="27.9" customHeight="1">
      <c r="A476" s="215" t="s">
        <v>15</v>
      </c>
      <c r="B476" s="215"/>
      <c r="C476" s="215"/>
      <c r="D476" s="215"/>
      <c r="E476" s="215"/>
      <c r="F476" s="215"/>
      <c r="G476" s="215"/>
      <c r="H476" s="215"/>
      <c r="I476" s="215"/>
    </row>
    <row r="477" spans="1:9" ht="27.9" customHeight="1">
      <c r="A477" s="216" t="s">
        <v>16</v>
      </c>
      <c r="B477" s="216"/>
      <c r="C477" s="216"/>
      <c r="D477" s="216"/>
      <c r="E477" s="216"/>
      <c r="F477" s="216"/>
      <c r="G477" s="216"/>
      <c r="H477" s="216"/>
      <c r="I477" s="216"/>
    </row>
    <row r="478" spans="1:9" s="6" customFormat="1" ht="27.9" customHeight="1">
      <c r="A478" s="216" t="s">
        <v>16</v>
      </c>
      <c r="B478" s="216"/>
      <c r="C478" s="216"/>
      <c r="D478" s="216"/>
      <c r="E478" s="216"/>
      <c r="F478" s="216"/>
      <c r="G478" s="216"/>
      <c r="H478" s="216"/>
      <c r="I478" s="216"/>
    </row>
    <row r="479" spans="1:9" s="6" customFormat="1" ht="27.9" customHeight="1">
      <c r="A479" s="216" t="s">
        <v>17</v>
      </c>
      <c r="B479" s="216"/>
      <c r="C479" s="216"/>
      <c r="D479" s="216"/>
      <c r="E479" s="216"/>
      <c r="F479" s="216"/>
      <c r="G479" s="216"/>
      <c r="H479" s="216"/>
      <c r="I479" s="216"/>
    </row>
    <row r="480" spans="1:9" s="7" customFormat="1" ht="27.9" customHeight="1">
      <c r="A480" s="216" t="s">
        <v>18</v>
      </c>
      <c r="B480" s="216"/>
      <c r="C480" s="216"/>
      <c r="D480" s="216"/>
      <c r="E480" s="216"/>
      <c r="F480" s="216"/>
      <c r="G480" s="216"/>
      <c r="H480" s="216"/>
      <c r="I480" s="216"/>
    </row>
    <row r="481" spans="1:9" s="7" customFormat="1" ht="27.9" customHeight="1">
      <c r="A481" s="24"/>
      <c r="B481" s="24"/>
      <c r="C481" s="24"/>
      <c r="D481" s="24"/>
      <c r="E481" s="24"/>
      <c r="F481" s="24"/>
      <c r="G481" s="24"/>
      <c r="H481" s="24"/>
      <c r="I481" s="24"/>
    </row>
    <row r="482" spans="1:9" ht="27.9" customHeight="1">
      <c r="A482" s="24"/>
      <c r="B482" s="25"/>
      <c r="C482" s="39"/>
      <c r="D482" s="39"/>
      <c r="E482" s="26" t="s">
        <v>12</v>
      </c>
      <c r="F482" s="27"/>
      <c r="G482" s="28"/>
      <c r="H482" s="29" t="s">
        <v>13</v>
      </c>
      <c r="I482" s="24"/>
    </row>
    <row r="483" spans="1:9" ht="27.9" customHeight="1">
      <c r="A483" s="30"/>
      <c r="B483" s="30"/>
      <c r="C483" s="18"/>
      <c r="D483" s="18"/>
      <c r="E483" s="31"/>
      <c r="F483" s="217" t="s">
        <v>14</v>
      </c>
      <c r="G483" s="217"/>
      <c r="H483" s="31"/>
      <c r="I483" s="18"/>
    </row>
    <row r="484" spans="1:9" ht="27.9" customHeight="1">
      <c r="A484" s="32"/>
      <c r="B484" s="25" t="s">
        <v>48</v>
      </c>
      <c r="C484" s="40"/>
      <c r="D484" s="40"/>
      <c r="E484" s="33"/>
      <c r="F484" s="23"/>
      <c r="G484" s="18"/>
      <c r="H484" s="18"/>
      <c r="I484" s="18"/>
    </row>
    <row r="485" spans="1:9" ht="27.9" customHeight="1">
      <c r="A485" s="212"/>
      <c r="B485" s="212"/>
      <c r="C485" s="212"/>
      <c r="D485" s="212"/>
      <c r="E485" s="212"/>
      <c r="F485" s="212"/>
      <c r="G485" s="212"/>
      <c r="H485" s="212"/>
      <c r="I485" s="212"/>
    </row>
    <row r="486" spans="1:9" s="3" customFormat="1" ht="27.9" customHeight="1">
      <c r="A486" s="212" t="s">
        <v>51</v>
      </c>
      <c r="B486" s="212"/>
      <c r="C486" s="212"/>
      <c r="D486" s="212"/>
      <c r="E486" s="212"/>
      <c r="F486" s="212"/>
      <c r="G486" s="212"/>
      <c r="H486" s="212"/>
      <c r="I486" s="212"/>
    </row>
    <row r="487" spans="1:9" s="3" customFormat="1" ht="27.9" customHeight="1">
      <c r="A487" s="212" t="s">
        <v>1</v>
      </c>
      <c r="B487" s="212"/>
      <c r="C487" s="212"/>
      <c r="D487" s="212"/>
      <c r="E487" s="212"/>
      <c r="F487" s="212"/>
      <c r="G487" s="212"/>
      <c r="H487" s="212"/>
      <c r="I487" s="212"/>
    </row>
    <row r="488" spans="1:9" s="3" customFormat="1" ht="27.9" customHeight="1">
      <c r="A488" s="212" t="s">
        <v>52</v>
      </c>
      <c r="B488" s="212"/>
      <c r="C488" s="212"/>
      <c r="D488" s="212"/>
      <c r="E488" s="212"/>
      <c r="F488" s="212"/>
      <c r="G488" s="212"/>
      <c r="H488" s="212"/>
      <c r="I488" s="212"/>
    </row>
    <row r="489" spans="1:9" ht="27.9" customHeight="1">
      <c r="A489" s="17"/>
      <c r="B489" s="43" t="s">
        <v>62</v>
      </c>
      <c r="C489" s="41"/>
      <c r="D489" s="18"/>
      <c r="E489" s="18"/>
      <c r="F489" s="18"/>
      <c r="G489" s="18"/>
      <c r="H489" s="18"/>
      <c r="I489" s="18"/>
    </row>
    <row r="490" spans="1:9" s="5" customFormat="1" ht="27.9" customHeight="1">
      <c r="A490" s="1" t="s">
        <v>0</v>
      </c>
      <c r="B490" s="15" t="s">
        <v>2</v>
      </c>
      <c r="C490" s="1" t="s">
        <v>53</v>
      </c>
      <c r="D490" s="1" t="s">
        <v>3</v>
      </c>
      <c r="E490" s="9" t="s">
        <v>4</v>
      </c>
      <c r="F490" s="10" t="s">
        <v>5</v>
      </c>
      <c r="G490" s="11" t="s">
        <v>56</v>
      </c>
      <c r="H490" s="9" t="s">
        <v>6</v>
      </c>
      <c r="I490" s="213" t="s">
        <v>7</v>
      </c>
    </row>
    <row r="491" spans="1:9" s="5" customFormat="1" ht="27.9" customHeight="1">
      <c r="A491" s="2" t="s">
        <v>8</v>
      </c>
      <c r="B491" s="16" t="s">
        <v>58</v>
      </c>
      <c r="C491" s="2" t="s">
        <v>9</v>
      </c>
      <c r="D491" s="2" t="s">
        <v>10</v>
      </c>
      <c r="E491" s="12" t="s">
        <v>64</v>
      </c>
      <c r="F491" s="13" t="s">
        <v>55</v>
      </c>
      <c r="G491" s="14" t="s">
        <v>11</v>
      </c>
      <c r="H491" s="36" t="s">
        <v>57</v>
      </c>
      <c r="I491" s="214"/>
    </row>
    <row r="492" spans="1:9" s="7" customFormat="1" ht="80.099999999999994" customHeight="1">
      <c r="A492" s="34">
        <v>24</v>
      </c>
      <c r="B492" s="35">
        <v>4000000</v>
      </c>
      <c r="C492" s="42"/>
      <c r="D492" s="35"/>
      <c r="E492" s="37"/>
      <c r="F492" s="37"/>
      <c r="G492" s="37"/>
      <c r="H492" s="38"/>
      <c r="I492" s="37"/>
    </row>
    <row r="493" spans="1:9" ht="27.9" customHeight="1">
      <c r="A493" s="19"/>
      <c r="B493" s="20"/>
      <c r="C493" s="21"/>
      <c r="D493" s="39"/>
      <c r="E493" s="22"/>
      <c r="F493" s="23"/>
      <c r="G493" s="18"/>
      <c r="H493" s="18"/>
      <c r="I493" s="18"/>
    </row>
    <row r="494" spans="1:9" ht="27.9" customHeight="1">
      <c r="A494" s="215" t="s">
        <v>15</v>
      </c>
      <c r="B494" s="215"/>
      <c r="C494" s="215"/>
      <c r="D494" s="215"/>
      <c r="E494" s="215"/>
      <c r="F494" s="215"/>
      <c r="G494" s="215"/>
      <c r="H494" s="215"/>
      <c r="I494" s="215"/>
    </row>
    <row r="495" spans="1:9" s="7" customFormat="1" ht="27.9" customHeight="1">
      <c r="A495" s="216" t="s">
        <v>18</v>
      </c>
      <c r="B495" s="216"/>
      <c r="C495" s="216"/>
      <c r="D495" s="216"/>
      <c r="E495" s="216"/>
      <c r="F495" s="216"/>
      <c r="G495" s="216"/>
      <c r="H495" s="216"/>
      <c r="I495" s="216"/>
    </row>
    <row r="496" spans="1:9" s="6" customFormat="1" ht="27.9" customHeight="1">
      <c r="A496" s="216" t="s">
        <v>16</v>
      </c>
      <c r="B496" s="216"/>
      <c r="C496" s="216"/>
      <c r="D496" s="216"/>
      <c r="E496" s="216"/>
      <c r="F496" s="216"/>
      <c r="G496" s="216"/>
      <c r="H496" s="216"/>
      <c r="I496" s="216"/>
    </row>
    <row r="497" spans="1:9" s="7" customFormat="1" ht="27.9" customHeight="1">
      <c r="A497" s="216" t="s">
        <v>18</v>
      </c>
      <c r="B497" s="216"/>
      <c r="C497" s="216"/>
      <c r="D497" s="216"/>
      <c r="E497" s="216"/>
      <c r="F497" s="216"/>
      <c r="G497" s="216"/>
      <c r="H497" s="216"/>
      <c r="I497" s="216"/>
    </row>
    <row r="498" spans="1:9" s="6" customFormat="1" ht="27.9" customHeight="1">
      <c r="A498" s="216" t="s">
        <v>16</v>
      </c>
      <c r="B498" s="216"/>
      <c r="C498" s="216"/>
      <c r="D498" s="216"/>
      <c r="E498" s="216"/>
      <c r="F498" s="216"/>
      <c r="G498" s="216"/>
      <c r="H498" s="216"/>
      <c r="I498" s="216"/>
    </row>
    <row r="499" spans="1:9" s="7" customFormat="1" ht="27.9" customHeight="1">
      <c r="A499" s="24"/>
      <c r="B499" s="24"/>
      <c r="C499" s="24"/>
      <c r="D499" s="24"/>
      <c r="E499" s="24"/>
      <c r="F499" s="24"/>
      <c r="G499" s="24"/>
      <c r="H499" s="24"/>
      <c r="I499" s="24"/>
    </row>
    <row r="500" spans="1:9" ht="27.9" customHeight="1">
      <c r="A500" s="24"/>
      <c r="B500" s="25"/>
      <c r="C500" s="39"/>
      <c r="D500" s="39"/>
      <c r="E500" s="26" t="s">
        <v>12</v>
      </c>
      <c r="F500" s="27"/>
      <c r="G500" s="28"/>
      <c r="H500" s="29" t="s">
        <v>13</v>
      </c>
      <c r="I500" s="24"/>
    </row>
    <row r="501" spans="1:9" ht="27.9" customHeight="1">
      <c r="A501" s="30"/>
      <c r="B501" s="30"/>
      <c r="C501" s="18"/>
      <c r="D501" s="18"/>
      <c r="E501" s="31"/>
      <c r="F501" s="217" t="s">
        <v>14</v>
      </c>
      <c r="G501" s="217"/>
      <c r="H501" s="31"/>
      <c r="I501" s="18"/>
    </row>
    <row r="502" spans="1:9" ht="27.9" customHeight="1">
      <c r="A502" s="32"/>
      <c r="B502" s="25" t="s">
        <v>48</v>
      </c>
      <c r="C502" s="40"/>
      <c r="D502" s="40"/>
      <c r="E502" s="33"/>
      <c r="F502" s="23"/>
      <c r="G502" s="18"/>
      <c r="H502" s="18"/>
      <c r="I502" s="18"/>
    </row>
    <row r="503" spans="1:9" ht="27.9" customHeight="1">
      <c r="A503" s="212"/>
      <c r="B503" s="212"/>
      <c r="C503" s="212"/>
      <c r="D503" s="212"/>
      <c r="E503" s="212"/>
      <c r="F503" s="212"/>
      <c r="G503" s="212"/>
      <c r="H503" s="212"/>
      <c r="I503" s="212"/>
    </row>
    <row r="504" spans="1:9" s="3" customFormat="1" ht="27.9" customHeight="1">
      <c r="A504" s="212" t="s">
        <v>51</v>
      </c>
      <c r="B504" s="212"/>
      <c r="C504" s="212"/>
      <c r="D504" s="212"/>
      <c r="E504" s="212"/>
      <c r="F504" s="212"/>
      <c r="G504" s="212"/>
      <c r="H504" s="212"/>
      <c r="I504" s="212"/>
    </row>
    <row r="505" spans="1:9" s="3" customFormat="1" ht="27.9" customHeight="1">
      <c r="A505" s="212" t="s">
        <v>1</v>
      </c>
      <c r="B505" s="212"/>
      <c r="C505" s="212"/>
      <c r="D505" s="212"/>
      <c r="E505" s="212"/>
      <c r="F505" s="212"/>
      <c r="G505" s="212"/>
      <c r="H505" s="212"/>
      <c r="I505" s="212"/>
    </row>
    <row r="506" spans="1:9" s="3" customFormat="1" ht="27.9" customHeight="1">
      <c r="A506" s="212" t="s">
        <v>52</v>
      </c>
      <c r="B506" s="212"/>
      <c r="C506" s="212"/>
      <c r="D506" s="212"/>
      <c r="E506" s="212"/>
      <c r="F506" s="212"/>
      <c r="G506" s="212"/>
      <c r="H506" s="212"/>
      <c r="I506" s="212"/>
    </row>
    <row r="507" spans="1:9" ht="27.9" customHeight="1">
      <c r="A507" s="17"/>
      <c r="B507" s="61" t="s">
        <v>42</v>
      </c>
      <c r="C507" s="41"/>
      <c r="D507" s="18"/>
      <c r="E507" s="18"/>
      <c r="F507" s="18"/>
      <c r="G507" s="18"/>
      <c r="H507" s="18"/>
      <c r="I507" s="18"/>
    </row>
    <row r="508" spans="1:9" s="5" customFormat="1" ht="27.9" customHeight="1">
      <c r="A508" s="1" t="s">
        <v>0</v>
      </c>
      <c r="B508" s="15" t="s">
        <v>2</v>
      </c>
      <c r="C508" s="1" t="s">
        <v>53</v>
      </c>
      <c r="D508" s="1" t="s">
        <v>3</v>
      </c>
      <c r="E508" s="9" t="s">
        <v>4</v>
      </c>
      <c r="F508" s="10" t="s">
        <v>5</v>
      </c>
      <c r="G508" s="11" t="s">
        <v>56</v>
      </c>
      <c r="H508" s="9" t="s">
        <v>6</v>
      </c>
      <c r="I508" s="213" t="s">
        <v>7</v>
      </c>
    </row>
    <row r="509" spans="1:9" s="5" customFormat="1" ht="27.9" customHeight="1">
      <c r="A509" s="2" t="s">
        <v>8</v>
      </c>
      <c r="B509" s="16" t="s">
        <v>58</v>
      </c>
      <c r="C509" s="2" t="s">
        <v>9</v>
      </c>
      <c r="D509" s="2" t="s">
        <v>10</v>
      </c>
      <c r="E509" s="12" t="s">
        <v>54</v>
      </c>
      <c r="F509" s="13" t="s">
        <v>55</v>
      </c>
      <c r="G509" s="14" t="s">
        <v>11</v>
      </c>
      <c r="H509" s="36" t="s">
        <v>57</v>
      </c>
      <c r="I509" s="214"/>
    </row>
    <row r="510" spans="1:9" s="7" customFormat="1" ht="80.099999999999994" customHeight="1">
      <c r="A510" s="34">
        <v>1</v>
      </c>
      <c r="B510" s="35">
        <v>40000000</v>
      </c>
      <c r="C510" s="42">
        <v>12724460.65</v>
      </c>
      <c r="D510" s="35" t="s">
        <v>43</v>
      </c>
      <c r="E510" s="37">
        <f>B510-C510</f>
        <v>27275539.350000001</v>
      </c>
      <c r="F510" s="37"/>
      <c r="G510" s="37"/>
      <c r="H510" s="38"/>
      <c r="I510" s="37"/>
    </row>
    <row r="511" spans="1:9" ht="27.9" customHeight="1">
      <c r="A511" s="19"/>
      <c r="B511" s="20"/>
      <c r="C511" s="21" t="s">
        <v>47</v>
      </c>
      <c r="D511" s="39"/>
      <c r="E511" s="22"/>
      <c r="F511" s="23"/>
      <c r="G511" s="18"/>
      <c r="H511" s="18"/>
      <c r="I511" s="18"/>
    </row>
    <row r="512" spans="1:9" ht="27.9" customHeight="1">
      <c r="A512" s="215" t="s">
        <v>15</v>
      </c>
      <c r="B512" s="215"/>
      <c r="C512" s="215"/>
      <c r="D512" s="215"/>
      <c r="E512" s="215"/>
      <c r="F512" s="215"/>
      <c r="G512" s="215"/>
      <c r="H512" s="215"/>
      <c r="I512" s="215"/>
    </row>
    <row r="513" spans="1:9" ht="27.9" customHeight="1">
      <c r="A513" s="216" t="s">
        <v>16</v>
      </c>
      <c r="B513" s="216"/>
      <c r="C513" s="216"/>
      <c r="D513" s="216"/>
      <c r="E513" s="216"/>
      <c r="F513" s="216"/>
      <c r="G513" s="216"/>
      <c r="H513" s="216"/>
      <c r="I513" s="216"/>
    </row>
    <row r="514" spans="1:9" s="6" customFormat="1" ht="27.9" customHeight="1">
      <c r="A514" s="216" t="s">
        <v>16</v>
      </c>
      <c r="B514" s="216"/>
      <c r="C514" s="216"/>
      <c r="D514" s="216"/>
      <c r="E514" s="216"/>
      <c r="F514" s="216"/>
      <c r="G514" s="216"/>
      <c r="H514" s="216"/>
      <c r="I514" s="216"/>
    </row>
    <row r="515" spans="1:9" s="6" customFormat="1" ht="27.9" customHeight="1">
      <c r="A515" s="216" t="s">
        <v>17</v>
      </c>
      <c r="B515" s="216"/>
      <c r="C515" s="216"/>
      <c r="D515" s="216"/>
      <c r="E515" s="216"/>
      <c r="F515" s="216"/>
      <c r="G515" s="216"/>
      <c r="H515" s="216"/>
      <c r="I515" s="216"/>
    </row>
    <row r="516" spans="1:9" s="7" customFormat="1" ht="27.9" customHeight="1">
      <c r="A516" s="216" t="s">
        <v>18</v>
      </c>
      <c r="B516" s="216"/>
      <c r="C516" s="216"/>
      <c r="D516" s="216"/>
      <c r="E516" s="216"/>
      <c r="F516" s="216"/>
      <c r="G516" s="216"/>
      <c r="H516" s="216"/>
      <c r="I516" s="216"/>
    </row>
    <row r="517" spans="1:9" s="7" customFormat="1" ht="27.9" customHeight="1">
      <c r="A517" s="24"/>
      <c r="B517" s="24"/>
      <c r="C517" s="24"/>
      <c r="D517" s="24"/>
      <c r="E517" s="24"/>
      <c r="F517" s="24"/>
      <c r="G517" s="24"/>
      <c r="H517" s="24"/>
      <c r="I517" s="24"/>
    </row>
    <row r="518" spans="1:9" ht="27.9" customHeight="1">
      <c r="A518" s="24"/>
      <c r="B518" s="25"/>
      <c r="C518" s="39"/>
      <c r="D518" s="39"/>
      <c r="E518" s="26" t="s">
        <v>12</v>
      </c>
      <c r="F518" s="27"/>
      <c r="G518" s="28"/>
      <c r="H518" s="29" t="s">
        <v>13</v>
      </c>
      <c r="I518" s="24"/>
    </row>
    <row r="519" spans="1:9" ht="27.9" customHeight="1">
      <c r="A519" s="30"/>
      <c r="B519" s="30"/>
      <c r="C519" s="18"/>
      <c r="D519" s="18"/>
      <c r="E519" s="31"/>
      <c r="F519" s="217" t="s">
        <v>14</v>
      </c>
      <c r="G519" s="217"/>
      <c r="H519" s="31"/>
      <c r="I519" s="18"/>
    </row>
    <row r="520" spans="1:9" ht="27.9" customHeight="1">
      <c r="A520" s="32"/>
      <c r="B520" s="25" t="s">
        <v>48</v>
      </c>
      <c r="C520" s="40"/>
      <c r="D520" s="40"/>
      <c r="E520" s="33"/>
      <c r="F520" s="23"/>
      <c r="G520" s="18"/>
      <c r="H520" s="18"/>
      <c r="I520" s="18"/>
    </row>
    <row r="521" spans="1:9" ht="27.9" customHeight="1">
      <c r="A521" s="212"/>
      <c r="B521" s="212"/>
      <c r="C521" s="212"/>
      <c r="D521" s="212"/>
      <c r="E521" s="212"/>
      <c r="F521" s="212"/>
      <c r="G521" s="212"/>
      <c r="H521" s="212"/>
      <c r="I521" s="212"/>
    </row>
  </sheetData>
  <mergeCells count="317">
    <mergeCell ref="A28:I28"/>
    <mergeCell ref="A228:I228"/>
    <mergeCell ref="F231:G231"/>
    <mergeCell ref="A233:I233"/>
    <mergeCell ref="A30:I30"/>
    <mergeCell ref="A29:I29"/>
    <mergeCell ref="F33:G33"/>
    <mergeCell ref="A218:I218"/>
    <mergeCell ref="I220:I221"/>
    <mergeCell ref="A224:I224"/>
    <mergeCell ref="A225:I225"/>
    <mergeCell ref="A207:I207"/>
    <mergeCell ref="A208:I208"/>
    <mergeCell ref="A226:I226"/>
    <mergeCell ref="A227:I227"/>
    <mergeCell ref="A209:I209"/>
    <mergeCell ref="A210:I210"/>
    <mergeCell ref="F213:G213"/>
    <mergeCell ref="A215:I215"/>
    <mergeCell ref="A216:I216"/>
    <mergeCell ref="A217:I217"/>
    <mergeCell ref="A191:I191"/>
    <mergeCell ref="A192:I192"/>
    <mergeCell ref="F195:G195"/>
    <mergeCell ref="A1:I1"/>
    <mergeCell ref="A2:I2"/>
    <mergeCell ref="A3:I3"/>
    <mergeCell ref="I5:I6"/>
    <mergeCell ref="A13:I13"/>
    <mergeCell ref="A27:I27"/>
    <mergeCell ref="A19:I19"/>
    <mergeCell ref="A21:I21"/>
    <mergeCell ref="A20:I20"/>
    <mergeCell ref="F16:G16"/>
    <mergeCell ref="A18:I18"/>
    <mergeCell ref="A9:I9"/>
    <mergeCell ref="A10:I10"/>
    <mergeCell ref="A11:I11"/>
    <mergeCell ref="A12:I12"/>
    <mergeCell ref="I23:I24"/>
    <mergeCell ref="A172:I172"/>
    <mergeCell ref="A173:I173"/>
    <mergeCell ref="A174:I174"/>
    <mergeCell ref="A163:I163"/>
    <mergeCell ref="A162:I162"/>
    <mergeCell ref="A49:I49"/>
    <mergeCell ref="F52:G52"/>
    <mergeCell ref="A54:I54"/>
    <mergeCell ref="A144:I144"/>
    <mergeCell ref="A145:I145"/>
    <mergeCell ref="A146:I146"/>
    <mergeCell ref="B147:C147"/>
    <mergeCell ref="A73:I73"/>
    <mergeCell ref="A74:I74"/>
    <mergeCell ref="A109:I109"/>
    <mergeCell ref="A99:I99"/>
    <mergeCell ref="A37:I37"/>
    <mergeCell ref="A38:I38"/>
    <mergeCell ref="A164:I164"/>
    <mergeCell ref="A165:I165"/>
    <mergeCell ref="I167:I168"/>
    <mergeCell ref="A171:I171"/>
    <mergeCell ref="A39:I39"/>
    <mergeCell ref="I41:I42"/>
    <mergeCell ref="A45:I45"/>
    <mergeCell ref="A46:I46"/>
    <mergeCell ref="A47:I47"/>
    <mergeCell ref="A48:I48"/>
    <mergeCell ref="A55:I55"/>
    <mergeCell ref="A56:I56"/>
    <mergeCell ref="A57:I57"/>
    <mergeCell ref="I59:I60"/>
    <mergeCell ref="B58:C58"/>
    <mergeCell ref="I148:I149"/>
    <mergeCell ref="A152:I152"/>
    <mergeCell ref="A153:I153"/>
    <mergeCell ref="A90:I90"/>
    <mergeCell ref="A137:I137"/>
    <mergeCell ref="A138:I138"/>
    <mergeCell ref="I95:I96"/>
    <mergeCell ref="A197:I197"/>
    <mergeCell ref="A127:I127"/>
    <mergeCell ref="A128:I128"/>
    <mergeCell ref="A129:I129"/>
    <mergeCell ref="I131:I132"/>
    <mergeCell ref="A135:I135"/>
    <mergeCell ref="A154:I154"/>
    <mergeCell ref="A72:I72"/>
    <mergeCell ref="A110:I110"/>
    <mergeCell ref="A111:I111"/>
    <mergeCell ref="I113:I114"/>
    <mergeCell ref="A117:I117"/>
    <mergeCell ref="A118:I118"/>
    <mergeCell ref="A91:I91"/>
    <mergeCell ref="A92:I92"/>
    <mergeCell ref="A93:I93"/>
    <mergeCell ref="A75:I75"/>
    <mergeCell ref="I77:I78"/>
    <mergeCell ref="A81:I81"/>
    <mergeCell ref="A136:I136"/>
    <mergeCell ref="A82:I82"/>
    <mergeCell ref="A83:I83"/>
    <mergeCell ref="A84:I84"/>
    <mergeCell ref="F87:G87"/>
    <mergeCell ref="A234:I234"/>
    <mergeCell ref="A235:I235"/>
    <mergeCell ref="A236:I236"/>
    <mergeCell ref="I238:I239"/>
    <mergeCell ref="A242:I242"/>
    <mergeCell ref="A63:I63"/>
    <mergeCell ref="A64:I64"/>
    <mergeCell ref="A65:I65"/>
    <mergeCell ref="A66:I66"/>
    <mergeCell ref="A67:I67"/>
    <mergeCell ref="F70:G70"/>
    <mergeCell ref="F159:G159"/>
    <mergeCell ref="A161:I161"/>
    <mergeCell ref="A155:I155"/>
    <mergeCell ref="A156:I156"/>
    <mergeCell ref="F177:G177"/>
    <mergeCell ref="A179:I179"/>
    <mergeCell ref="A180:I180"/>
    <mergeCell ref="A181:I181"/>
    <mergeCell ref="A182:I182"/>
    <mergeCell ref="I184:I185"/>
    <mergeCell ref="A188:I188"/>
    <mergeCell ref="A189:I189"/>
    <mergeCell ref="A143:I143"/>
    <mergeCell ref="A253:I253"/>
    <mergeCell ref="A254:I254"/>
    <mergeCell ref="I256:I257"/>
    <mergeCell ref="A260:I260"/>
    <mergeCell ref="A261:I261"/>
    <mergeCell ref="A262:I262"/>
    <mergeCell ref="A119:I119"/>
    <mergeCell ref="A120:I120"/>
    <mergeCell ref="A121:I121"/>
    <mergeCell ref="F124:G124"/>
    <mergeCell ref="A126:I126"/>
    <mergeCell ref="A252:I252"/>
    <mergeCell ref="A246:I246"/>
    <mergeCell ref="F249:G249"/>
    <mergeCell ref="A251:I251"/>
    <mergeCell ref="A243:I243"/>
    <mergeCell ref="A244:I244"/>
    <mergeCell ref="A245:I245"/>
    <mergeCell ref="A190:I190"/>
    <mergeCell ref="A198:I198"/>
    <mergeCell ref="A199:I199"/>
    <mergeCell ref="A200:I200"/>
    <mergeCell ref="I202:I203"/>
    <mergeCell ref="A206:I206"/>
    <mergeCell ref="A272:I272"/>
    <mergeCell ref="I274:I275"/>
    <mergeCell ref="A278:I278"/>
    <mergeCell ref="A279:I279"/>
    <mergeCell ref="A280:I280"/>
    <mergeCell ref="A281:I281"/>
    <mergeCell ref="A263:I263"/>
    <mergeCell ref="A264:I264"/>
    <mergeCell ref="F267:G267"/>
    <mergeCell ref="A269:I269"/>
    <mergeCell ref="A270:I270"/>
    <mergeCell ref="A271:I271"/>
    <mergeCell ref="A336:I336"/>
    <mergeCell ref="F339:G339"/>
    <mergeCell ref="A341:I341"/>
    <mergeCell ref="F303:G303"/>
    <mergeCell ref="A305:I305"/>
    <mergeCell ref="A306:I306"/>
    <mergeCell ref="A307:I307"/>
    <mergeCell ref="A308:I308"/>
    <mergeCell ref="I310:I311"/>
    <mergeCell ref="A323:I323"/>
    <mergeCell ref="A314:I314"/>
    <mergeCell ref="A315:I315"/>
    <mergeCell ref="A316:I316"/>
    <mergeCell ref="A317:I317"/>
    <mergeCell ref="A318:I318"/>
    <mergeCell ref="F321:G321"/>
    <mergeCell ref="A326:I326"/>
    <mergeCell ref="I328:I329"/>
    <mergeCell ref="A332:I332"/>
    <mergeCell ref="A333:I333"/>
    <mergeCell ref="A334:I334"/>
    <mergeCell ref="A335:I335"/>
    <mergeCell ref="I292:I293"/>
    <mergeCell ref="A296:I296"/>
    <mergeCell ref="A297:I297"/>
    <mergeCell ref="A298:I298"/>
    <mergeCell ref="A299:I299"/>
    <mergeCell ref="A300:I300"/>
    <mergeCell ref="A282:I282"/>
    <mergeCell ref="F285:G285"/>
    <mergeCell ref="A287:I287"/>
    <mergeCell ref="A288:I288"/>
    <mergeCell ref="A289:I289"/>
    <mergeCell ref="A290:I290"/>
    <mergeCell ref="A350:I350"/>
    <mergeCell ref="A353:I353"/>
    <mergeCell ref="A354:I354"/>
    <mergeCell ref="F357:G357"/>
    <mergeCell ref="A396:I396"/>
    <mergeCell ref="A397:I397"/>
    <mergeCell ref="A359:I359"/>
    <mergeCell ref="F375:G375"/>
    <mergeCell ref="A100:I100"/>
    <mergeCell ref="A101:I101"/>
    <mergeCell ref="A102:I102"/>
    <mergeCell ref="A103:I103"/>
    <mergeCell ref="F106:G106"/>
    <mergeCell ref="A108:I108"/>
    <mergeCell ref="A342:I342"/>
    <mergeCell ref="A343:I343"/>
    <mergeCell ref="A344:I344"/>
    <mergeCell ref="I346:I347"/>
    <mergeCell ref="A351:I351"/>
    <mergeCell ref="A352:I352"/>
    <mergeCell ref="A360:I360"/>
    <mergeCell ref="A361:I361"/>
    <mergeCell ref="A362:I362"/>
    <mergeCell ref="I364:I365"/>
    <mergeCell ref="A406:I406"/>
    <mergeCell ref="A398:I398"/>
    <mergeCell ref="A368:I368"/>
    <mergeCell ref="A369:I369"/>
    <mergeCell ref="A370:I370"/>
    <mergeCell ref="A371:I371"/>
    <mergeCell ref="A372:I372"/>
    <mergeCell ref="A379:I379"/>
    <mergeCell ref="A380:I380"/>
    <mergeCell ref="I382:I383"/>
    <mergeCell ref="A387:I387"/>
    <mergeCell ref="I508:I509"/>
    <mergeCell ref="A512:I512"/>
    <mergeCell ref="I454:I455"/>
    <mergeCell ref="A458:I458"/>
    <mergeCell ref="A459:I459"/>
    <mergeCell ref="A460:I460"/>
    <mergeCell ref="A461:I461"/>
    <mergeCell ref="A462:I462"/>
    <mergeCell ref="A504:I504"/>
    <mergeCell ref="A505:I505"/>
    <mergeCell ref="A506:I506"/>
    <mergeCell ref="A470:I470"/>
    <mergeCell ref="A443:I443"/>
    <mergeCell ref="I418:I419"/>
    <mergeCell ref="A416:I416"/>
    <mergeCell ref="F141:G141"/>
    <mergeCell ref="A444:I444"/>
    <mergeCell ref="F447:G447"/>
    <mergeCell ref="A468:I468"/>
    <mergeCell ref="A469:I469"/>
    <mergeCell ref="F465:G465"/>
    <mergeCell ref="A467:I467"/>
    <mergeCell ref="A423:I423"/>
    <mergeCell ref="A422:I422"/>
    <mergeCell ref="A407:I407"/>
    <mergeCell ref="A386:I386"/>
    <mergeCell ref="A395:I395"/>
    <mergeCell ref="A389:I389"/>
    <mergeCell ref="A390:I390"/>
    <mergeCell ref="F393:G393"/>
    <mergeCell ref="I400:I401"/>
    <mergeCell ref="A388:I388"/>
    <mergeCell ref="A377:I377"/>
    <mergeCell ref="A378:I378"/>
    <mergeCell ref="A404:I404"/>
    <mergeCell ref="A405:I405"/>
    <mergeCell ref="A449:I449"/>
    <mergeCell ref="A324:I324"/>
    <mergeCell ref="A325:I325"/>
    <mergeCell ref="A487:I487"/>
    <mergeCell ref="A450:I450"/>
    <mergeCell ref="A451:I451"/>
    <mergeCell ref="A452:I452"/>
    <mergeCell ref="A434:I434"/>
    <mergeCell ref="I436:I437"/>
    <mergeCell ref="A415:I415"/>
    <mergeCell ref="A414:I414"/>
    <mergeCell ref="A432:I432"/>
    <mergeCell ref="A433:I433"/>
    <mergeCell ref="A408:I408"/>
    <mergeCell ref="F411:G411"/>
    <mergeCell ref="A413:I413"/>
    <mergeCell ref="A431:I431"/>
    <mergeCell ref="F429:G429"/>
    <mergeCell ref="A426:I426"/>
    <mergeCell ref="A425:I425"/>
    <mergeCell ref="A424:I424"/>
    <mergeCell ref="A440:I440"/>
    <mergeCell ref="A441:I441"/>
    <mergeCell ref="A442:I442"/>
    <mergeCell ref="A521:I521"/>
    <mergeCell ref="I472:I473"/>
    <mergeCell ref="A476:I476"/>
    <mergeCell ref="A477:I477"/>
    <mergeCell ref="A478:I478"/>
    <mergeCell ref="A479:I479"/>
    <mergeCell ref="A480:I480"/>
    <mergeCell ref="F483:G483"/>
    <mergeCell ref="A485:I485"/>
    <mergeCell ref="A486:I486"/>
    <mergeCell ref="A515:I515"/>
    <mergeCell ref="A494:I494"/>
    <mergeCell ref="A497:I497"/>
    <mergeCell ref="A496:I496"/>
    <mergeCell ref="A503:I503"/>
    <mergeCell ref="A516:I516"/>
    <mergeCell ref="F501:G501"/>
    <mergeCell ref="F519:G519"/>
    <mergeCell ref="A488:I488"/>
    <mergeCell ref="I490:I491"/>
    <mergeCell ref="A513:I513"/>
    <mergeCell ref="A514:I514"/>
    <mergeCell ref="A495:I495"/>
    <mergeCell ref="A498:I498"/>
  </mergeCells>
  <phoneticPr fontId="2" type="noConversion"/>
  <pageMargins left="0.39370078740157483" right="0.39370078740157483" top="0.59055118110236227" bottom="0.19685039370078741" header="0" footer="3.937007874015748E-2"/>
  <pageSetup paperSize="9" orientation="landscape" horizontalDpi="1200" verticalDpi="1200" r:id="rId1"/>
  <headerFooter alignWithMargins="0">
    <oddHeader>&amp;R&amp;"TH SarabunPSK,ธรรมดา"แบบฟอร์มที่ 1</oddHeader>
    <oddFooter>&amp;R&amp;"TH SarabunPSK,ธรรมดา"&amp;15&amp;Z&amp;F</oddFooter>
  </headerFooter>
  <rowBreaks count="2" manualBreakCount="2">
    <brk id="126" max="8" man="1"/>
    <brk id="50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17"/>
  <sheetViews>
    <sheetView tabSelected="1" view="pageBreakPreview" zoomScale="90" zoomScaleSheetLayoutView="90" zoomScalePageLayoutView="85" workbookViewId="0">
      <selection activeCell="L16" sqref="L16"/>
    </sheetView>
  </sheetViews>
  <sheetFormatPr defaultColWidth="9" defaultRowHeight="57" customHeight="1"/>
  <cols>
    <col min="1" max="1" width="5.3984375" style="94" customWidth="1"/>
    <col min="2" max="2" width="15.69921875" style="94" bestFit="1" customWidth="1"/>
    <col min="3" max="3" width="18.69921875" style="69" customWidth="1"/>
    <col min="4" max="4" width="17.59765625" style="69" customWidth="1"/>
    <col min="5" max="5" width="19.5" style="69" customWidth="1"/>
    <col min="6" max="6" width="16" style="69" customWidth="1"/>
    <col min="7" max="7" width="17" style="69" customWidth="1"/>
    <col min="8" max="8" width="18.69921875" style="69" customWidth="1"/>
    <col min="9" max="9" width="17.69921875" style="69" customWidth="1"/>
    <col min="10" max="10" width="9.8984375" style="69" customWidth="1"/>
    <col min="11" max="16384" width="9" style="69"/>
  </cols>
  <sheetData>
    <row r="1" spans="1:9" s="70" customFormat="1" ht="30" customHeight="1">
      <c r="A1" s="220" t="s">
        <v>146</v>
      </c>
      <c r="B1" s="220"/>
      <c r="C1" s="220"/>
      <c r="D1" s="220"/>
      <c r="E1" s="220"/>
      <c r="F1" s="220"/>
      <c r="G1" s="220"/>
      <c r="H1" s="220"/>
      <c r="I1" s="220"/>
    </row>
    <row r="2" spans="1:9" s="70" customFormat="1" ht="30" customHeight="1">
      <c r="A2" s="220" t="s">
        <v>1</v>
      </c>
      <c r="B2" s="220"/>
      <c r="C2" s="220"/>
      <c r="D2" s="220"/>
      <c r="E2" s="220"/>
      <c r="F2" s="220"/>
      <c r="G2" s="220"/>
      <c r="H2" s="220"/>
      <c r="I2" s="220"/>
    </row>
    <row r="3" spans="1:9" s="70" customFormat="1" ht="30" customHeight="1">
      <c r="A3" s="220" t="s">
        <v>147</v>
      </c>
      <c r="B3" s="220"/>
      <c r="C3" s="220"/>
      <c r="D3" s="220"/>
      <c r="E3" s="220"/>
      <c r="F3" s="220"/>
      <c r="G3" s="220"/>
      <c r="H3" s="220"/>
      <c r="I3" s="220"/>
    </row>
    <row r="4" spans="1:9" ht="39.75" customHeight="1">
      <c r="A4" s="71"/>
      <c r="B4" s="72" t="s">
        <v>132</v>
      </c>
      <c r="C4" s="66"/>
    </row>
    <row r="5" spans="1:9" s="74" customFormat="1" ht="24.75" customHeight="1">
      <c r="A5" s="223" t="s">
        <v>77</v>
      </c>
      <c r="B5" s="225" t="s">
        <v>148</v>
      </c>
      <c r="C5" s="222" t="s">
        <v>152</v>
      </c>
      <c r="D5" s="222"/>
      <c r="E5" s="222"/>
      <c r="F5" s="223" t="s">
        <v>131</v>
      </c>
      <c r="G5" s="226" t="s">
        <v>124</v>
      </c>
      <c r="H5" s="226" t="s">
        <v>149</v>
      </c>
      <c r="I5" s="229" t="s">
        <v>7</v>
      </c>
    </row>
    <row r="6" spans="1:9" s="74" customFormat="1" ht="32.25" customHeight="1">
      <c r="A6" s="224"/>
      <c r="B6" s="225"/>
      <c r="C6" s="172" t="s">
        <v>145</v>
      </c>
      <c r="D6" s="172" t="s">
        <v>133</v>
      </c>
      <c r="E6" s="170" t="s">
        <v>128</v>
      </c>
      <c r="F6" s="228"/>
      <c r="G6" s="227"/>
      <c r="H6" s="227"/>
      <c r="I6" s="230"/>
    </row>
    <row r="7" spans="1:9" s="82" customFormat="1" ht="57.75" customHeight="1">
      <c r="A7" s="75">
        <v>1</v>
      </c>
      <c r="B7" s="95">
        <v>500000000</v>
      </c>
      <c r="C7" s="77">
        <v>381117846.63</v>
      </c>
      <c r="D7" s="171">
        <v>125635876.69</v>
      </c>
      <c r="E7" s="171"/>
      <c r="F7" s="79"/>
      <c r="G7" s="80"/>
      <c r="H7" s="79"/>
      <c r="I7" s="81"/>
    </row>
    <row r="8" spans="1:9" ht="27.9" customHeight="1">
      <c r="A8" s="83"/>
      <c r="B8" s="84"/>
      <c r="C8" s="85"/>
      <c r="D8" s="86"/>
      <c r="E8" s="86"/>
      <c r="F8" s="87"/>
      <c r="G8" s="88"/>
    </row>
    <row r="9" spans="1:9" ht="27.9" customHeight="1">
      <c r="A9" s="221" t="s">
        <v>117</v>
      </c>
      <c r="B9" s="221"/>
      <c r="C9" s="221"/>
      <c r="D9" s="221"/>
      <c r="E9" s="221"/>
      <c r="F9" s="221"/>
      <c r="G9" s="221"/>
      <c r="H9" s="221"/>
      <c r="I9" s="221"/>
    </row>
    <row r="10" spans="1:9" ht="27.9" customHeight="1">
      <c r="A10" s="234" t="s">
        <v>118</v>
      </c>
      <c r="B10" s="234"/>
      <c r="C10" s="234"/>
      <c r="D10" s="234"/>
      <c r="E10" s="234"/>
      <c r="F10" s="234"/>
      <c r="G10" s="234"/>
      <c r="H10" s="234"/>
      <c r="I10" s="234"/>
    </row>
    <row r="11" spans="1:9" s="89" customFormat="1" ht="27.9" customHeight="1">
      <c r="A11" s="234" t="s">
        <v>118</v>
      </c>
      <c r="B11" s="234"/>
      <c r="C11" s="234"/>
      <c r="D11" s="234"/>
      <c r="E11" s="234"/>
      <c r="F11" s="234"/>
      <c r="G11" s="234"/>
      <c r="H11" s="234"/>
      <c r="I11" s="234"/>
    </row>
    <row r="12" spans="1:9" s="89" customFormat="1" ht="27.9" customHeight="1">
      <c r="A12" s="234" t="s">
        <v>118</v>
      </c>
      <c r="B12" s="234"/>
      <c r="C12" s="234"/>
      <c r="D12" s="234"/>
      <c r="E12" s="234"/>
      <c r="F12" s="234"/>
      <c r="G12" s="234"/>
      <c r="H12" s="234"/>
      <c r="I12" s="234"/>
    </row>
    <row r="13" spans="1:9" s="82" customFormat="1" ht="27.9" customHeight="1">
      <c r="A13" s="234" t="s">
        <v>118</v>
      </c>
      <c r="B13" s="234"/>
      <c r="C13" s="234"/>
      <c r="D13" s="234"/>
      <c r="E13" s="234"/>
      <c r="F13" s="234"/>
      <c r="G13" s="234"/>
      <c r="H13" s="234"/>
      <c r="I13" s="234"/>
    </row>
    <row r="14" spans="1:9" s="82" customFormat="1" ht="13.5" customHeight="1"/>
    <row r="15" spans="1:9" ht="27.9" customHeight="1">
      <c r="A15" s="82"/>
      <c r="B15" s="65"/>
      <c r="C15" s="86"/>
      <c r="D15" s="86"/>
      <c r="E15" s="90" t="s">
        <v>12</v>
      </c>
      <c r="F15" s="175"/>
      <c r="G15" s="175"/>
      <c r="H15" s="231" t="s">
        <v>13</v>
      </c>
      <c r="I15" s="231"/>
    </row>
    <row r="16" spans="1:9" ht="27.9" customHeight="1">
      <c r="E16" s="82"/>
      <c r="F16" s="232" t="s">
        <v>150</v>
      </c>
      <c r="G16" s="232"/>
      <c r="H16" s="174"/>
      <c r="I16" s="89"/>
    </row>
    <row r="17" spans="1:7" ht="27.9" customHeight="1">
      <c r="A17" s="233" t="s">
        <v>151</v>
      </c>
      <c r="B17" s="233"/>
      <c r="C17" s="233"/>
      <c r="D17" s="233"/>
      <c r="E17" s="233"/>
      <c r="F17" s="233"/>
      <c r="G17" s="233"/>
    </row>
  </sheetData>
  <mergeCells count="18">
    <mergeCell ref="H15:I15"/>
    <mergeCell ref="F16:G16"/>
    <mergeCell ref="A17:G17"/>
    <mergeCell ref="A10:I10"/>
    <mergeCell ref="A11:I11"/>
    <mergeCell ref="A12:I12"/>
    <mergeCell ref="A13:I13"/>
    <mergeCell ref="A1:I1"/>
    <mergeCell ref="A2:I2"/>
    <mergeCell ref="A3:I3"/>
    <mergeCell ref="A9:I9"/>
    <mergeCell ref="C5:E5"/>
    <mergeCell ref="A5:A6"/>
    <mergeCell ref="B5:B6"/>
    <mergeCell ref="G5:G6"/>
    <mergeCell ref="H5:H6"/>
    <mergeCell ref="F5:F6"/>
    <mergeCell ref="I5:I6"/>
  </mergeCells>
  <pageMargins left="0.31496062992125984" right="0.15748031496062992" top="0.74803149606299213" bottom="0.74803149606299213" header="0.31496062992125984" footer="0.31496062992125984"/>
  <pageSetup paperSize="9" scale="95" orientation="landscape" horizontalDpi="4294967293" verticalDpi="120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187"/>
  <sheetViews>
    <sheetView view="pageBreakPreview" zoomScale="110" zoomScaleSheetLayoutView="110" workbookViewId="0">
      <selection activeCell="K186" sqref="K186"/>
    </sheetView>
  </sheetViews>
  <sheetFormatPr defaultColWidth="9" defaultRowHeight="57" customHeight="1"/>
  <cols>
    <col min="1" max="1" width="5.8984375" style="94" customWidth="1"/>
    <col min="2" max="2" width="16.5" style="94" customWidth="1"/>
    <col min="3" max="3" width="16.59765625" style="69" customWidth="1"/>
    <col min="4" max="4" width="16.69921875" style="69" customWidth="1"/>
    <col min="5" max="9" width="18" style="69" customWidth="1"/>
    <col min="10" max="10" width="9.8984375" style="69" customWidth="1"/>
    <col min="11" max="16384" width="9" style="69"/>
  </cols>
  <sheetData>
    <row r="1" spans="1:9" s="70" customFormat="1" ht="29.25" customHeight="1">
      <c r="A1" s="220" t="str">
        <f>+'1.เวชภัณฑ์ ยา (2)'!A1:I1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</row>
    <row r="2" spans="1:9" s="70" customFormat="1" ht="29.25" customHeight="1">
      <c r="A2" s="220" t="s">
        <v>1</v>
      </c>
      <c r="B2" s="220"/>
      <c r="C2" s="220"/>
      <c r="D2" s="220"/>
      <c r="E2" s="220"/>
      <c r="F2" s="220"/>
      <c r="G2" s="220"/>
      <c r="H2" s="220"/>
      <c r="I2" s="220"/>
    </row>
    <row r="3" spans="1:9" s="70" customFormat="1" ht="29.25" customHeight="1">
      <c r="A3" s="220" t="str">
        <f>+'1.เวชภัณฑ์ ยา (2)'!A3:I3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</row>
    <row r="4" spans="1:9" ht="27.9" customHeight="1">
      <c r="A4" s="71"/>
      <c r="B4" s="72" t="s">
        <v>70</v>
      </c>
      <c r="C4" s="73"/>
    </row>
    <row r="5" spans="1:9" s="74" customFormat="1" ht="32.25" customHeight="1">
      <c r="A5" s="223" t="s">
        <v>77</v>
      </c>
      <c r="B5" s="225" t="s">
        <v>148</v>
      </c>
      <c r="C5" s="222" t="s">
        <v>152</v>
      </c>
      <c r="D5" s="222"/>
      <c r="E5" s="222"/>
      <c r="F5" s="223" t="s">
        <v>131</v>
      </c>
      <c r="G5" s="226" t="s">
        <v>124</v>
      </c>
      <c r="H5" s="226" t="s">
        <v>149</v>
      </c>
      <c r="I5" s="229" t="s">
        <v>7</v>
      </c>
    </row>
    <row r="6" spans="1:9" s="74" customFormat="1" ht="27.9" customHeight="1">
      <c r="A6" s="224"/>
      <c r="B6" s="225"/>
      <c r="C6" s="172" t="s">
        <v>145</v>
      </c>
      <c r="D6" s="172" t="s">
        <v>133</v>
      </c>
      <c r="E6" s="170" t="s">
        <v>128</v>
      </c>
      <c r="F6" s="228"/>
      <c r="G6" s="227"/>
      <c r="H6" s="227"/>
      <c r="I6" s="230"/>
    </row>
    <row r="7" spans="1:9" s="82" customFormat="1" ht="80.099999999999994" customHeight="1">
      <c r="A7" s="75">
        <v>2</v>
      </c>
      <c r="B7" s="143">
        <v>47500000</v>
      </c>
      <c r="C7" s="97">
        <v>31776018.300000001</v>
      </c>
      <c r="D7" s="78"/>
      <c r="E7" s="78"/>
      <c r="F7" s="79"/>
      <c r="G7" s="79"/>
      <c r="H7" s="79"/>
      <c r="I7" s="81"/>
    </row>
    <row r="8" spans="1:9" ht="27.9" customHeight="1">
      <c r="A8" s="83"/>
      <c r="B8" s="84"/>
      <c r="C8" s="85"/>
      <c r="D8" s="86"/>
      <c r="E8" s="86"/>
      <c r="F8" s="87"/>
      <c r="G8" s="68"/>
    </row>
    <row r="9" spans="1:9" ht="27.9" customHeight="1">
      <c r="A9" s="221" t="s">
        <v>116</v>
      </c>
      <c r="B9" s="221"/>
      <c r="C9" s="221"/>
      <c r="D9" s="221"/>
      <c r="E9" s="221"/>
      <c r="F9" s="221"/>
      <c r="G9" s="221"/>
      <c r="H9" s="221"/>
      <c r="I9" s="221"/>
    </row>
    <row r="10" spans="1:9" ht="27.9" customHeight="1">
      <c r="A10" s="234" t="s">
        <v>115</v>
      </c>
      <c r="B10" s="234"/>
      <c r="C10" s="234"/>
      <c r="D10" s="234"/>
      <c r="E10" s="234"/>
      <c r="F10" s="234"/>
      <c r="G10" s="234"/>
      <c r="H10" s="234"/>
      <c r="I10" s="234"/>
    </row>
    <row r="11" spans="1:9" s="89" customFormat="1" ht="27.9" customHeight="1">
      <c r="A11" s="234" t="s">
        <v>115</v>
      </c>
      <c r="B11" s="234"/>
      <c r="C11" s="234"/>
      <c r="D11" s="234"/>
      <c r="E11" s="234"/>
      <c r="F11" s="234"/>
      <c r="G11" s="234"/>
      <c r="H11" s="234"/>
      <c r="I11" s="234"/>
    </row>
    <row r="12" spans="1:9" s="89" customFormat="1" ht="27.9" customHeight="1">
      <c r="A12" s="234" t="s">
        <v>115</v>
      </c>
      <c r="B12" s="234"/>
      <c r="C12" s="234"/>
      <c r="D12" s="234"/>
      <c r="E12" s="234"/>
      <c r="F12" s="234"/>
      <c r="G12" s="234"/>
      <c r="H12" s="234"/>
      <c r="I12" s="234"/>
    </row>
    <row r="13" spans="1:9" s="82" customFormat="1" ht="27.9" customHeight="1">
      <c r="A13" s="234" t="s">
        <v>115</v>
      </c>
      <c r="B13" s="234"/>
      <c r="C13" s="234"/>
      <c r="D13" s="234"/>
      <c r="E13" s="234"/>
      <c r="F13" s="234"/>
      <c r="G13" s="234"/>
      <c r="H13" s="234"/>
      <c r="I13" s="234"/>
    </row>
    <row r="14" spans="1:9" s="82" customFormat="1" ht="27.9" customHeight="1"/>
    <row r="15" spans="1:9" ht="27.9" customHeight="1">
      <c r="A15" s="82"/>
      <c r="B15" s="65"/>
      <c r="C15" s="86"/>
      <c r="D15" s="86"/>
      <c r="E15" s="90" t="s">
        <v>12</v>
      </c>
      <c r="F15" s="175"/>
      <c r="G15" s="175"/>
      <c r="H15" s="231" t="s">
        <v>13</v>
      </c>
      <c r="I15" s="231"/>
    </row>
    <row r="16" spans="1:9" ht="27.9" customHeight="1">
      <c r="E16" s="82"/>
      <c r="F16" s="232" t="s">
        <v>150</v>
      </c>
      <c r="G16" s="232"/>
      <c r="H16" s="174"/>
      <c r="I16" s="89"/>
    </row>
    <row r="17" spans="1:9" ht="27.9" customHeight="1">
      <c r="A17" s="233" t="s">
        <v>151</v>
      </c>
      <c r="B17" s="233"/>
      <c r="C17" s="233"/>
      <c r="D17" s="233"/>
      <c r="E17" s="233"/>
      <c r="F17" s="233"/>
      <c r="G17" s="233"/>
    </row>
    <row r="18" spans="1:9" ht="27.9" customHeight="1">
      <c r="A18" s="65"/>
      <c r="B18" s="65"/>
      <c r="C18" s="65"/>
      <c r="D18" s="65"/>
      <c r="E18" s="65"/>
      <c r="F18" s="65"/>
      <c r="G18" s="65"/>
    </row>
    <row r="19" spans="1:9" ht="27.9" customHeight="1">
      <c r="A19" s="65"/>
      <c r="B19" s="65"/>
      <c r="C19" s="65"/>
      <c r="D19" s="65"/>
      <c r="E19" s="65"/>
      <c r="F19" s="65"/>
      <c r="G19" s="65"/>
    </row>
    <row r="20" spans="1:9" s="70" customFormat="1" ht="30.75" customHeight="1">
      <c r="A20" s="220" t="str">
        <f>+A1</f>
        <v>สรุปแผนการใช้เงินบำรุง หมวดค่าวัสดุ ปีงบประมาณ 2568  (ต.ค67- มิ.ย.68)</v>
      </c>
      <c r="B20" s="220"/>
      <c r="C20" s="220"/>
      <c r="D20" s="220"/>
      <c r="E20" s="220"/>
      <c r="F20" s="220"/>
      <c r="G20" s="220"/>
      <c r="H20" s="220"/>
      <c r="I20" s="220"/>
    </row>
    <row r="21" spans="1:9" s="70" customFormat="1" ht="30.75" customHeight="1">
      <c r="A21" s="220" t="s">
        <v>1</v>
      </c>
      <c r="B21" s="220"/>
      <c r="C21" s="220"/>
      <c r="D21" s="220"/>
      <c r="E21" s="220"/>
      <c r="F21" s="220"/>
      <c r="G21" s="220"/>
      <c r="H21" s="220"/>
      <c r="I21" s="220"/>
    </row>
    <row r="22" spans="1:9" s="70" customFormat="1" ht="30.75" customHeight="1">
      <c r="A22" s="220" t="str">
        <f>+A3</f>
        <v>คำขอตั้งปรับแผนเงินบำรุง  หมวดค่าวัสดุ ประจำปีงบประมาณ 2569</v>
      </c>
      <c r="B22" s="220"/>
      <c r="C22" s="220"/>
      <c r="D22" s="220"/>
      <c r="E22" s="220"/>
      <c r="F22" s="220"/>
      <c r="G22" s="220"/>
      <c r="H22" s="220"/>
      <c r="I22" s="220"/>
    </row>
    <row r="23" spans="1:9" ht="30.75" customHeight="1">
      <c r="A23" s="71"/>
      <c r="B23" s="72" t="s">
        <v>26</v>
      </c>
      <c r="C23" s="73"/>
    </row>
    <row r="24" spans="1:9" s="74" customFormat="1" ht="27.9" customHeight="1">
      <c r="A24" s="223" t="str">
        <f>+A5</f>
        <v>ลำดับที่</v>
      </c>
      <c r="B24" s="223" t="str">
        <f>+B5</f>
        <v>แผนปีงบฯ 2568
(บาท)</v>
      </c>
      <c r="C24" s="222" t="str">
        <f>+C5</f>
        <v>ผลการดำเนินงาน ณ 30 มิ.ย. 2568 (บาท)</v>
      </c>
      <c r="D24" s="222"/>
      <c r="E24" s="222"/>
      <c r="F24" s="226" t="str">
        <f>+F5</f>
        <v>ยอดเงิน
คงเหลือ (บาท)</v>
      </c>
      <c r="G24" s="226" t="str">
        <f>+G5</f>
        <v>วัสดุคงคลัง
 (บาท)</v>
      </c>
      <c r="H24" s="226" t="str">
        <f>+H5</f>
        <v>คำขอตั้งแผน 
ปีงบฯ 2569 (บาท)</v>
      </c>
      <c r="I24" s="226" t="str">
        <f>+I5</f>
        <v>หมายเหตุ</v>
      </c>
    </row>
    <row r="25" spans="1:9" s="74" customFormat="1" ht="27.9" customHeight="1">
      <c r="A25" s="228"/>
      <c r="B25" s="228"/>
      <c r="C25" s="172" t="str">
        <f>+C6</f>
        <v>เบิกจ่ายแล้ว</v>
      </c>
      <c r="D25" s="172" t="str">
        <f>+D6</f>
        <v>เจ้าหนี้คงค้าง</v>
      </c>
      <c r="E25" s="178" t="str">
        <f>+E6</f>
        <v>ก่อหนี้/ยังไม่ตรวจรับ</v>
      </c>
      <c r="F25" s="227"/>
      <c r="G25" s="227"/>
      <c r="H25" s="227"/>
      <c r="I25" s="227"/>
    </row>
    <row r="26" spans="1:9" s="82" customFormat="1" ht="80.099999999999994" customHeight="1">
      <c r="A26" s="75">
        <v>3</v>
      </c>
      <c r="B26" s="143">
        <v>2000000</v>
      </c>
      <c r="C26" s="97">
        <v>2201018.5299999998</v>
      </c>
      <c r="D26" s="98"/>
      <c r="E26" s="76"/>
      <c r="F26" s="79"/>
      <c r="G26" s="79"/>
      <c r="H26" s="79"/>
      <c r="I26" s="81"/>
    </row>
    <row r="27" spans="1:9" ht="27.9" customHeight="1">
      <c r="A27" s="83"/>
      <c r="B27" s="84"/>
      <c r="C27" s="85"/>
      <c r="D27" s="86"/>
      <c r="E27" s="86"/>
      <c r="F27" s="87"/>
      <c r="G27" s="68"/>
    </row>
    <row r="28" spans="1:9" ht="27.9" customHeight="1">
      <c r="A28" s="221" t="s">
        <v>116</v>
      </c>
      <c r="B28" s="221"/>
      <c r="C28" s="221"/>
      <c r="D28" s="221"/>
      <c r="E28" s="221"/>
      <c r="F28" s="221"/>
      <c r="G28" s="221"/>
      <c r="H28" s="221"/>
      <c r="I28" s="221"/>
    </row>
    <row r="29" spans="1:9" ht="27.9" customHeight="1">
      <c r="A29" s="234" t="s">
        <v>115</v>
      </c>
      <c r="B29" s="234"/>
      <c r="C29" s="234"/>
      <c r="D29" s="234"/>
      <c r="E29" s="234"/>
      <c r="F29" s="234"/>
      <c r="G29" s="234"/>
      <c r="H29" s="234"/>
      <c r="I29" s="234"/>
    </row>
    <row r="30" spans="1:9" s="89" customFormat="1" ht="27.9" customHeight="1">
      <c r="A30" s="234" t="s">
        <v>115</v>
      </c>
      <c r="B30" s="234"/>
      <c r="C30" s="234"/>
      <c r="D30" s="234"/>
      <c r="E30" s="234"/>
      <c r="F30" s="234"/>
      <c r="G30" s="234"/>
      <c r="H30" s="234"/>
      <c r="I30" s="234"/>
    </row>
    <row r="31" spans="1:9" s="89" customFormat="1" ht="27.9" customHeight="1">
      <c r="A31" s="234" t="s">
        <v>115</v>
      </c>
      <c r="B31" s="234"/>
      <c r="C31" s="234"/>
      <c r="D31" s="234"/>
      <c r="E31" s="234"/>
      <c r="F31" s="234"/>
      <c r="G31" s="234"/>
      <c r="H31" s="234"/>
      <c r="I31" s="234"/>
    </row>
    <row r="32" spans="1:9" s="82" customFormat="1" ht="27.9" customHeight="1">
      <c r="A32" s="234" t="s">
        <v>115</v>
      </c>
      <c r="B32" s="234"/>
      <c r="C32" s="234"/>
      <c r="D32" s="234"/>
      <c r="E32" s="234"/>
      <c r="F32" s="234"/>
      <c r="G32" s="234"/>
      <c r="H32" s="234"/>
      <c r="I32" s="234"/>
    </row>
    <row r="33" spans="1:9" s="82" customFormat="1" ht="27.9" customHeight="1"/>
    <row r="34" spans="1:9" ht="27.9" customHeight="1">
      <c r="A34" s="82"/>
      <c r="B34" s="65"/>
      <c r="C34" s="86"/>
      <c r="D34" s="86"/>
      <c r="E34" s="90" t="s">
        <v>12</v>
      </c>
      <c r="F34" s="175"/>
      <c r="G34" s="175"/>
      <c r="H34" s="231" t="s">
        <v>13</v>
      </c>
      <c r="I34" s="231"/>
    </row>
    <row r="35" spans="1:9" ht="27.9" customHeight="1">
      <c r="E35" s="82"/>
      <c r="F35" s="232" t="s">
        <v>150</v>
      </c>
      <c r="G35" s="232"/>
      <c r="H35" s="174"/>
      <c r="I35" s="89"/>
    </row>
    <row r="36" spans="1:9" ht="27.9" customHeight="1">
      <c r="A36" s="233" t="s">
        <v>154</v>
      </c>
      <c r="B36" s="233"/>
      <c r="C36" s="233"/>
      <c r="D36" s="233"/>
      <c r="E36" s="233"/>
      <c r="F36" s="233"/>
      <c r="G36" s="233"/>
    </row>
    <row r="37" spans="1:9" s="70" customFormat="1" ht="27.9" customHeight="1">
      <c r="A37" s="220" t="str">
        <f>+A20</f>
        <v>สรุปแผนการใช้เงินบำรุง หมวดค่าวัสดุ ปีงบประมาณ 2568  (ต.ค67- มิ.ย.68)</v>
      </c>
      <c r="B37" s="220"/>
      <c r="C37" s="220"/>
      <c r="D37" s="220"/>
      <c r="E37" s="220"/>
      <c r="F37" s="220"/>
      <c r="G37" s="220"/>
      <c r="H37" s="220"/>
      <c r="I37" s="220"/>
    </row>
    <row r="38" spans="1:9" s="70" customFormat="1" ht="27.9" customHeight="1">
      <c r="A38" s="220" t="s">
        <v>1</v>
      </c>
      <c r="B38" s="220"/>
      <c r="C38" s="220"/>
      <c r="D38" s="220"/>
      <c r="E38" s="220"/>
      <c r="F38" s="220"/>
      <c r="G38" s="220"/>
      <c r="H38" s="220"/>
      <c r="I38" s="220"/>
    </row>
    <row r="39" spans="1:9" s="70" customFormat="1" ht="27.9" customHeight="1">
      <c r="A39" s="220" t="str">
        <f>+A22</f>
        <v>คำขอตั้งปรับแผนเงินบำรุง  หมวดค่าวัสดุ ประจำปีงบประมาณ 2569</v>
      </c>
      <c r="B39" s="220"/>
      <c r="C39" s="220"/>
      <c r="D39" s="220"/>
      <c r="E39" s="220"/>
      <c r="F39" s="220"/>
      <c r="G39" s="220"/>
      <c r="H39" s="220"/>
      <c r="I39" s="220"/>
    </row>
    <row r="40" spans="1:9" ht="29.25" customHeight="1">
      <c r="A40" s="71"/>
      <c r="B40" s="240" t="s">
        <v>91</v>
      </c>
      <c r="C40" s="241"/>
    </row>
    <row r="41" spans="1:9" s="74" customFormat="1" ht="27.9" customHeight="1">
      <c r="A41" s="225" t="str">
        <f>+A24</f>
        <v>ลำดับที่</v>
      </c>
      <c r="B41" s="225" t="str">
        <f>+B5</f>
        <v>แผนปีงบฯ 2568
(บาท)</v>
      </c>
      <c r="C41" s="222" t="str">
        <f>+C24</f>
        <v>ผลการดำเนินงาน ณ 30 มิ.ย. 2568 (บาท)</v>
      </c>
      <c r="D41" s="222"/>
      <c r="E41" s="222"/>
      <c r="F41" s="235" t="str">
        <f>+F24</f>
        <v>ยอดเงิน
คงเหลือ (บาท)</v>
      </c>
      <c r="G41" s="235" t="str">
        <f>+G24</f>
        <v>วัสดุคงคลัง
 (บาท)</v>
      </c>
      <c r="H41" s="235" t="str">
        <f>+H24</f>
        <v>คำขอตั้งแผน 
ปีงบฯ 2569 (บาท)</v>
      </c>
      <c r="I41" s="235" t="str">
        <f>+I24</f>
        <v>หมายเหตุ</v>
      </c>
    </row>
    <row r="42" spans="1:9" s="74" customFormat="1" ht="27.9" customHeight="1">
      <c r="A42" s="225"/>
      <c r="B42" s="225"/>
      <c r="C42" s="172" t="str">
        <f>+C25</f>
        <v>เบิกจ่ายแล้ว</v>
      </c>
      <c r="D42" s="172" t="str">
        <f>+D25</f>
        <v>เจ้าหนี้คงค้าง</v>
      </c>
      <c r="E42" s="176" t="str">
        <f>+E25</f>
        <v>ก่อหนี้/ยังไม่ตรวจรับ</v>
      </c>
      <c r="F42" s="235"/>
      <c r="G42" s="235"/>
      <c r="H42" s="235"/>
      <c r="I42" s="235"/>
    </row>
    <row r="43" spans="1:9" s="82" customFormat="1" ht="80.099999999999994" customHeight="1">
      <c r="A43" s="96">
        <v>4</v>
      </c>
      <c r="B43" s="95">
        <v>2000000</v>
      </c>
      <c r="C43" s="95">
        <v>1686445</v>
      </c>
      <c r="D43" s="171"/>
      <c r="E43" s="171"/>
      <c r="F43" s="179"/>
      <c r="G43" s="180"/>
      <c r="H43" s="180"/>
      <c r="I43" s="181"/>
    </row>
    <row r="44" spans="1:9" ht="27.9" customHeight="1">
      <c r="A44" s="83"/>
      <c r="B44" s="84"/>
      <c r="C44" s="85"/>
      <c r="D44" s="86"/>
      <c r="E44" s="86"/>
      <c r="F44" s="87"/>
      <c r="G44" s="68"/>
    </row>
    <row r="45" spans="1:9" ht="27.9" customHeight="1">
      <c r="A45" s="221" t="s">
        <v>116</v>
      </c>
      <c r="B45" s="221"/>
      <c r="C45" s="221"/>
      <c r="D45" s="221"/>
      <c r="E45" s="221"/>
      <c r="F45" s="221"/>
      <c r="G45" s="221"/>
      <c r="H45" s="221"/>
      <c r="I45" s="221"/>
    </row>
    <row r="46" spans="1:9" ht="27.9" customHeight="1">
      <c r="A46" s="234" t="s">
        <v>115</v>
      </c>
      <c r="B46" s="234"/>
      <c r="C46" s="234"/>
      <c r="D46" s="234"/>
      <c r="E46" s="234"/>
      <c r="F46" s="234"/>
      <c r="G46" s="234"/>
      <c r="H46" s="234"/>
      <c r="I46" s="234"/>
    </row>
    <row r="47" spans="1:9" s="89" customFormat="1" ht="27.9" customHeight="1">
      <c r="A47" s="234" t="s">
        <v>115</v>
      </c>
      <c r="B47" s="234"/>
      <c r="C47" s="234"/>
      <c r="D47" s="234"/>
      <c r="E47" s="234"/>
      <c r="F47" s="234"/>
      <c r="G47" s="234"/>
      <c r="H47" s="234"/>
      <c r="I47" s="234"/>
    </row>
    <row r="48" spans="1:9" s="89" customFormat="1" ht="27.9" customHeight="1">
      <c r="A48" s="234" t="s">
        <v>115</v>
      </c>
      <c r="B48" s="234"/>
      <c r="C48" s="234"/>
      <c r="D48" s="234"/>
      <c r="E48" s="234"/>
      <c r="F48" s="234"/>
      <c r="G48" s="234"/>
      <c r="H48" s="234"/>
      <c r="I48" s="234"/>
    </row>
    <row r="49" spans="1:9" s="82" customFormat="1" ht="27.9" customHeight="1">
      <c r="A49" s="234" t="s">
        <v>115</v>
      </c>
      <c r="B49" s="234"/>
      <c r="C49" s="234"/>
      <c r="D49" s="234"/>
      <c r="E49" s="234"/>
      <c r="F49" s="234"/>
      <c r="G49" s="234"/>
      <c r="H49" s="234"/>
      <c r="I49" s="234"/>
    </row>
    <row r="50" spans="1:9" s="82" customFormat="1" ht="27.9" customHeight="1"/>
    <row r="51" spans="1:9" ht="27.9" customHeight="1">
      <c r="A51" s="82"/>
      <c r="B51" s="65"/>
      <c r="C51" s="86"/>
      <c r="D51" s="86"/>
      <c r="E51" s="90" t="s">
        <v>12</v>
      </c>
      <c r="F51" s="175"/>
      <c r="G51" s="175"/>
      <c r="H51" s="231" t="s">
        <v>13</v>
      </c>
      <c r="I51" s="231"/>
    </row>
    <row r="52" spans="1:9" ht="27.9" customHeight="1">
      <c r="E52" s="82"/>
      <c r="F52" s="232" t="s">
        <v>150</v>
      </c>
      <c r="G52" s="232"/>
      <c r="H52" s="174"/>
      <c r="I52" s="89"/>
    </row>
    <row r="53" spans="1:9" ht="27.9" customHeight="1">
      <c r="A53" s="64"/>
      <c r="B53" s="233" t="s">
        <v>153</v>
      </c>
      <c r="C53" s="233"/>
      <c r="D53" s="233"/>
      <c r="E53" s="233"/>
      <c r="F53" s="233"/>
      <c r="G53" s="233"/>
      <c r="H53" s="233"/>
    </row>
    <row r="54" spans="1:9" ht="27.9" customHeight="1">
      <c r="A54" s="64"/>
      <c r="B54" s="65"/>
      <c r="C54" s="65"/>
      <c r="D54" s="65"/>
      <c r="E54" s="65"/>
      <c r="F54" s="65"/>
      <c r="G54" s="65"/>
      <c r="H54" s="65"/>
    </row>
    <row r="55" spans="1:9" ht="20.25" customHeight="1">
      <c r="A55" s="64"/>
      <c r="B55" s="99"/>
      <c r="C55" s="66"/>
      <c r="D55" s="66"/>
      <c r="E55" s="66"/>
      <c r="F55" s="67"/>
      <c r="G55" s="68"/>
    </row>
    <row r="56" spans="1:9" s="70" customFormat="1" ht="27.9" customHeight="1">
      <c r="A56" s="220" t="str">
        <f>+A37</f>
        <v>สรุปแผนการใช้เงินบำรุง หมวดค่าวัสดุ ปีงบประมาณ 2568  (ต.ค67- มิ.ย.68)</v>
      </c>
      <c r="B56" s="220"/>
      <c r="C56" s="220"/>
      <c r="D56" s="220"/>
      <c r="E56" s="220"/>
      <c r="F56" s="220"/>
      <c r="G56" s="220"/>
      <c r="H56" s="220"/>
      <c r="I56" s="220"/>
    </row>
    <row r="57" spans="1:9" s="70" customFormat="1" ht="27.9" customHeight="1">
      <c r="A57" s="220" t="s">
        <v>1</v>
      </c>
      <c r="B57" s="220"/>
      <c r="C57" s="220"/>
      <c r="D57" s="220"/>
      <c r="E57" s="220"/>
      <c r="F57" s="220"/>
      <c r="G57" s="220"/>
      <c r="H57" s="220"/>
      <c r="I57" s="220"/>
    </row>
    <row r="58" spans="1:9" s="70" customFormat="1" ht="27.9" customHeight="1">
      <c r="A58" s="220" t="str">
        <f>+A39</f>
        <v>คำขอตั้งปรับแผนเงินบำรุง  หมวดค่าวัสดุ ประจำปีงบประมาณ 2569</v>
      </c>
      <c r="B58" s="220"/>
      <c r="C58" s="220"/>
      <c r="D58" s="220"/>
      <c r="E58" s="220"/>
      <c r="F58" s="220"/>
      <c r="G58" s="220"/>
      <c r="H58" s="220"/>
      <c r="I58" s="220"/>
    </row>
    <row r="59" spans="1:9" ht="27.9" customHeight="1">
      <c r="A59" s="71"/>
      <c r="B59" s="72" t="s">
        <v>38</v>
      </c>
      <c r="C59" s="73"/>
    </row>
    <row r="60" spans="1:9" s="74" customFormat="1" ht="27.9" customHeight="1">
      <c r="A60" s="225" t="str">
        <f>+A41</f>
        <v>ลำดับที่</v>
      </c>
      <c r="B60" s="225" t="str">
        <f>+B41</f>
        <v>แผนปีงบฯ 2568
(บาท)</v>
      </c>
      <c r="C60" s="222" t="str">
        <f>+C41</f>
        <v>ผลการดำเนินงาน ณ 30 มิ.ย. 2568 (บาท)</v>
      </c>
      <c r="D60" s="222"/>
      <c r="E60" s="222"/>
      <c r="F60" s="235" t="str">
        <f>+F41</f>
        <v>ยอดเงิน
คงเหลือ (บาท)</v>
      </c>
      <c r="G60" s="235" t="str">
        <f>+G41</f>
        <v>วัสดุคงคลัง
 (บาท)</v>
      </c>
      <c r="H60" s="235" t="str">
        <f>+H41</f>
        <v>คำขอตั้งแผน 
ปีงบฯ 2569 (บาท)</v>
      </c>
      <c r="I60" s="235" t="str">
        <f>+I41</f>
        <v>หมายเหตุ</v>
      </c>
    </row>
    <row r="61" spans="1:9" s="74" customFormat="1" ht="27.9" customHeight="1">
      <c r="A61" s="225"/>
      <c r="B61" s="225"/>
      <c r="C61" s="172" t="str">
        <f>+C42</f>
        <v>เบิกจ่ายแล้ว</v>
      </c>
      <c r="D61" s="172" t="str">
        <f>+D42</f>
        <v>เจ้าหนี้คงค้าง</v>
      </c>
      <c r="E61" s="176" t="str">
        <f>+E42</f>
        <v>ก่อหนี้/ยังไม่ตรวจรับ</v>
      </c>
      <c r="F61" s="235"/>
      <c r="G61" s="235"/>
      <c r="H61" s="235"/>
      <c r="I61" s="235"/>
    </row>
    <row r="62" spans="1:9" s="82" customFormat="1" ht="80.099999999999994" customHeight="1">
      <c r="A62" s="96">
        <v>5</v>
      </c>
      <c r="B62" s="95">
        <v>6800000</v>
      </c>
      <c r="C62" s="95">
        <v>6725515.4000000004</v>
      </c>
      <c r="D62" s="171"/>
      <c r="E62" s="171"/>
      <c r="F62" s="179"/>
      <c r="G62" s="179"/>
      <c r="H62" s="179"/>
      <c r="I62" s="182"/>
    </row>
    <row r="63" spans="1:9" ht="27.9" customHeight="1">
      <c r="A63" s="83"/>
      <c r="B63" s="84"/>
      <c r="C63" s="85"/>
      <c r="D63" s="86"/>
      <c r="E63" s="86"/>
      <c r="F63" s="87"/>
      <c r="G63" s="68"/>
    </row>
    <row r="64" spans="1:9" ht="27.9" customHeight="1">
      <c r="A64" s="221" t="s">
        <v>116</v>
      </c>
      <c r="B64" s="221"/>
      <c r="C64" s="221"/>
      <c r="D64" s="221"/>
      <c r="E64" s="221"/>
      <c r="F64" s="221"/>
      <c r="G64" s="221"/>
      <c r="H64" s="221"/>
      <c r="I64" s="221"/>
    </row>
    <row r="65" spans="1:9" ht="27.9" customHeight="1">
      <c r="A65" s="234" t="s">
        <v>115</v>
      </c>
      <c r="B65" s="234"/>
      <c r="C65" s="234"/>
      <c r="D65" s="234"/>
      <c r="E65" s="234"/>
      <c r="F65" s="234"/>
      <c r="G65" s="234"/>
      <c r="H65" s="234"/>
      <c r="I65" s="234"/>
    </row>
    <row r="66" spans="1:9" s="89" customFormat="1" ht="27.9" customHeight="1">
      <c r="A66" s="234" t="s">
        <v>115</v>
      </c>
      <c r="B66" s="234"/>
      <c r="C66" s="234"/>
      <c r="D66" s="234"/>
      <c r="E66" s="234"/>
      <c r="F66" s="234"/>
      <c r="G66" s="234"/>
      <c r="H66" s="234"/>
      <c r="I66" s="234"/>
    </row>
    <row r="67" spans="1:9" s="82" customFormat="1" ht="27.9" customHeight="1">
      <c r="A67" s="234" t="s">
        <v>115</v>
      </c>
      <c r="B67" s="234"/>
      <c r="C67" s="234"/>
      <c r="D67" s="234"/>
      <c r="E67" s="234"/>
      <c r="F67" s="234"/>
      <c r="G67" s="234"/>
      <c r="H67" s="234"/>
      <c r="I67" s="234"/>
    </row>
    <row r="68" spans="1:9" s="82" customFormat="1" ht="27.9" customHeight="1">
      <c r="A68" s="234" t="s">
        <v>115</v>
      </c>
      <c r="B68" s="234"/>
      <c r="C68" s="234"/>
      <c r="D68" s="234"/>
      <c r="E68" s="234"/>
      <c r="F68" s="234"/>
      <c r="G68" s="234"/>
      <c r="H68" s="234"/>
      <c r="I68" s="234"/>
    </row>
    <row r="69" spans="1:9" ht="27.9" customHeight="1">
      <c r="A69" s="82"/>
      <c r="B69" s="65"/>
      <c r="C69" s="86"/>
      <c r="D69" s="86"/>
      <c r="E69" s="90" t="s">
        <v>12</v>
      </c>
      <c r="F69" s="175"/>
      <c r="G69" s="175"/>
      <c r="H69" s="231" t="s">
        <v>13</v>
      </c>
      <c r="I69" s="231"/>
    </row>
    <row r="70" spans="1:9" ht="27.9" customHeight="1">
      <c r="E70" s="82"/>
      <c r="F70" s="232" t="s">
        <v>134</v>
      </c>
      <c r="G70" s="232"/>
      <c r="H70" s="174"/>
      <c r="I70" s="89"/>
    </row>
    <row r="71" spans="1:9" ht="27.9" customHeight="1">
      <c r="A71" s="64"/>
      <c r="B71" s="233" t="s">
        <v>151</v>
      </c>
      <c r="C71" s="233"/>
      <c r="D71" s="233"/>
      <c r="E71" s="233"/>
      <c r="F71" s="233"/>
      <c r="G71" s="233"/>
      <c r="H71" s="233"/>
    </row>
    <row r="72" spans="1:9" ht="27.9" customHeight="1">
      <c r="A72" s="64"/>
      <c r="B72" s="163"/>
      <c r="C72" s="163"/>
      <c r="D72" s="163"/>
      <c r="E72" s="163"/>
      <c r="F72" s="163"/>
      <c r="G72" s="163"/>
      <c r="H72" s="163"/>
    </row>
    <row r="73" spans="1:9" ht="27.9" customHeight="1">
      <c r="A73" s="64"/>
      <c r="B73" s="163"/>
      <c r="C73" s="163"/>
      <c r="D73" s="163"/>
      <c r="E73" s="163"/>
      <c r="F73" s="163"/>
      <c r="G73" s="163"/>
      <c r="H73" s="163"/>
    </row>
    <row r="74" spans="1:9" ht="27.9" customHeight="1">
      <c r="A74" s="64"/>
      <c r="B74" s="163"/>
      <c r="C74" s="163"/>
      <c r="D74" s="163"/>
      <c r="E74" s="163"/>
      <c r="F74" s="163"/>
      <c r="G74" s="163"/>
      <c r="H74" s="163"/>
    </row>
    <row r="75" spans="1:9" s="70" customFormat="1" ht="27.9" customHeight="1">
      <c r="A75" s="220" t="str">
        <f>+A56</f>
        <v>สรุปแผนการใช้เงินบำรุง หมวดค่าวัสดุ ปีงบประมาณ 2568  (ต.ค67- มิ.ย.68)</v>
      </c>
      <c r="B75" s="220"/>
      <c r="C75" s="220"/>
      <c r="D75" s="220"/>
      <c r="E75" s="220"/>
      <c r="F75" s="220"/>
      <c r="G75" s="220"/>
      <c r="H75" s="220"/>
      <c r="I75" s="220"/>
    </row>
    <row r="76" spans="1:9" s="70" customFormat="1" ht="27.9" customHeight="1">
      <c r="A76" s="220" t="s">
        <v>1</v>
      </c>
      <c r="B76" s="220"/>
      <c r="C76" s="220"/>
      <c r="D76" s="220"/>
      <c r="E76" s="220"/>
      <c r="F76" s="220"/>
      <c r="G76" s="220"/>
      <c r="H76" s="220"/>
      <c r="I76" s="220"/>
    </row>
    <row r="77" spans="1:9" s="70" customFormat="1" ht="27.9" customHeight="1">
      <c r="A77" s="220" t="str">
        <f>+A58</f>
        <v>คำขอตั้งปรับแผนเงินบำรุง  หมวดค่าวัสดุ ประจำปีงบประมาณ 2569</v>
      </c>
      <c r="B77" s="220"/>
      <c r="C77" s="220"/>
      <c r="D77" s="220"/>
      <c r="E77" s="220"/>
      <c r="F77" s="220"/>
      <c r="G77" s="220"/>
      <c r="H77" s="220"/>
      <c r="I77" s="220"/>
    </row>
    <row r="78" spans="1:9" ht="27.9" customHeight="1">
      <c r="A78" s="71"/>
      <c r="B78" s="72" t="s">
        <v>86</v>
      </c>
      <c r="C78" s="73"/>
    </row>
    <row r="79" spans="1:9" s="74" customFormat="1" ht="27.9" customHeight="1">
      <c r="A79" s="225" t="str">
        <f>+A60</f>
        <v>ลำดับที่</v>
      </c>
      <c r="B79" s="225" t="str">
        <f>+B60</f>
        <v>แผนปีงบฯ 2568
(บาท)</v>
      </c>
      <c r="C79" s="236" t="str">
        <f>+C60</f>
        <v>ผลการดำเนินงาน ณ 30 มิ.ย. 2568 (บาท)</v>
      </c>
      <c r="D79" s="237"/>
      <c r="E79" s="238"/>
      <c r="F79" s="235" t="str">
        <f>+F60</f>
        <v>ยอดเงิน
คงเหลือ (บาท)</v>
      </c>
      <c r="G79" s="235" t="str">
        <f>+G60</f>
        <v>วัสดุคงคลัง
 (บาท)</v>
      </c>
      <c r="H79" s="235" t="str">
        <f>+H60</f>
        <v>คำขอตั้งแผน 
ปีงบฯ 2569 (บาท)</v>
      </c>
      <c r="I79" s="235" t="str">
        <f>+I60</f>
        <v>หมายเหตุ</v>
      </c>
    </row>
    <row r="80" spans="1:9" s="74" customFormat="1" ht="27.9" customHeight="1">
      <c r="A80" s="225"/>
      <c r="B80" s="225"/>
      <c r="C80" s="172" t="str">
        <f>+C61</f>
        <v>เบิกจ่ายแล้ว</v>
      </c>
      <c r="D80" s="172" t="str">
        <f>+D61</f>
        <v>เจ้าหนี้คงค้าง</v>
      </c>
      <c r="E80" s="176" t="str">
        <f>+E61</f>
        <v>ก่อหนี้/ยังไม่ตรวจรับ</v>
      </c>
      <c r="F80" s="235"/>
      <c r="G80" s="235"/>
      <c r="H80" s="235"/>
      <c r="I80" s="235"/>
    </row>
    <row r="81" spans="1:9" ht="69.75" customHeight="1">
      <c r="A81" s="96">
        <v>6</v>
      </c>
      <c r="B81" s="95">
        <v>1800000</v>
      </c>
      <c r="C81" s="95">
        <v>1685700</v>
      </c>
      <c r="D81" s="171"/>
      <c r="E81" s="171"/>
      <c r="F81" s="179"/>
      <c r="G81" s="179"/>
      <c r="H81" s="179"/>
      <c r="I81" s="182"/>
    </row>
    <row r="82" spans="1:9" ht="27.9" customHeight="1">
      <c r="A82" s="83"/>
      <c r="B82" s="84"/>
      <c r="C82" s="85"/>
      <c r="D82" s="86"/>
      <c r="E82" s="86"/>
      <c r="F82" s="87"/>
      <c r="G82" s="68"/>
    </row>
    <row r="83" spans="1:9" ht="27.9" customHeight="1">
      <c r="A83" s="221" t="s">
        <v>116</v>
      </c>
      <c r="B83" s="221"/>
      <c r="C83" s="221"/>
      <c r="D83" s="221"/>
      <c r="E83" s="221"/>
      <c r="F83" s="221"/>
      <c r="G83" s="221"/>
      <c r="H83" s="221"/>
      <c r="I83" s="221"/>
    </row>
    <row r="84" spans="1:9" ht="27.9" customHeight="1">
      <c r="A84" s="234" t="s">
        <v>115</v>
      </c>
      <c r="B84" s="234"/>
      <c r="C84" s="234"/>
      <c r="D84" s="234"/>
      <c r="E84" s="234"/>
      <c r="F84" s="234"/>
      <c r="G84" s="234"/>
      <c r="H84" s="234"/>
      <c r="I84" s="234"/>
    </row>
    <row r="85" spans="1:9" s="89" customFormat="1" ht="27.9" customHeight="1">
      <c r="A85" s="234" t="s">
        <v>115</v>
      </c>
      <c r="B85" s="234"/>
      <c r="C85" s="234"/>
      <c r="D85" s="234"/>
      <c r="E85" s="234"/>
      <c r="F85" s="234"/>
      <c r="G85" s="234"/>
      <c r="H85" s="234"/>
      <c r="I85" s="234"/>
    </row>
    <row r="86" spans="1:9" s="89" customFormat="1" ht="27.9" customHeight="1">
      <c r="A86" s="234" t="s">
        <v>115</v>
      </c>
      <c r="B86" s="234"/>
      <c r="C86" s="234"/>
      <c r="D86" s="234"/>
      <c r="E86" s="234"/>
      <c r="F86" s="234"/>
      <c r="G86" s="234"/>
      <c r="H86" s="234"/>
      <c r="I86" s="234"/>
    </row>
    <row r="87" spans="1:9" s="82" customFormat="1" ht="27.9" customHeight="1">
      <c r="A87" s="234" t="s">
        <v>115</v>
      </c>
      <c r="B87" s="234"/>
      <c r="C87" s="234"/>
      <c r="D87" s="234"/>
      <c r="E87" s="234"/>
      <c r="F87" s="234"/>
      <c r="G87" s="234"/>
      <c r="H87" s="234"/>
      <c r="I87" s="234"/>
    </row>
    <row r="88" spans="1:9" s="82" customFormat="1" ht="27.9" customHeight="1">
      <c r="E88" s="90" t="s">
        <v>12</v>
      </c>
      <c r="F88" s="175"/>
      <c r="G88" s="175"/>
      <c r="H88" s="231" t="s">
        <v>13</v>
      </c>
      <c r="I88" s="231"/>
    </row>
    <row r="89" spans="1:9" ht="27.9" customHeight="1">
      <c r="A89" s="82"/>
      <c r="B89" s="65"/>
      <c r="C89" s="86"/>
      <c r="D89" s="86"/>
      <c r="E89" s="82"/>
      <c r="F89" s="232" t="s">
        <v>150</v>
      </c>
      <c r="G89" s="232"/>
      <c r="H89" s="174"/>
      <c r="I89" s="89"/>
    </row>
    <row r="90" spans="1:9" ht="27.9" customHeight="1">
      <c r="F90" s="89"/>
      <c r="G90" s="239"/>
      <c r="H90" s="239"/>
      <c r="I90" s="89"/>
    </row>
    <row r="91" spans="1:9" ht="27.9" customHeight="1">
      <c r="A91" s="64"/>
      <c r="B91" s="233" t="s">
        <v>151</v>
      </c>
      <c r="C91" s="233"/>
      <c r="D91" s="233"/>
      <c r="E91" s="233"/>
      <c r="F91" s="233"/>
      <c r="G91" s="233"/>
      <c r="H91" s="233"/>
    </row>
    <row r="92" spans="1:9" ht="27.9" customHeight="1">
      <c r="A92" s="64"/>
      <c r="B92" s="99"/>
      <c r="C92" s="66"/>
      <c r="D92" s="66"/>
      <c r="E92" s="66"/>
      <c r="F92" s="67"/>
      <c r="G92" s="68"/>
    </row>
    <row r="93" spans="1:9" ht="27.9" customHeight="1">
      <c r="A93" s="64"/>
      <c r="B93" s="99"/>
      <c r="C93" s="66"/>
      <c r="D93" s="66"/>
      <c r="E93" s="66"/>
      <c r="F93" s="67"/>
      <c r="G93" s="68"/>
    </row>
    <row r="94" spans="1:9" s="70" customFormat="1" ht="29.25" customHeight="1">
      <c r="A94" s="220" t="str">
        <f>+A75</f>
        <v>สรุปแผนการใช้เงินบำรุง หมวดค่าวัสดุ ปีงบประมาณ 2568  (ต.ค67- มิ.ย.68)</v>
      </c>
      <c r="B94" s="220"/>
      <c r="C94" s="220"/>
      <c r="D94" s="220"/>
      <c r="E94" s="220"/>
      <c r="F94" s="220"/>
      <c r="G94" s="220"/>
      <c r="H94" s="220"/>
      <c r="I94" s="220"/>
    </row>
    <row r="95" spans="1:9" s="70" customFormat="1" ht="29.25" customHeight="1">
      <c r="A95" s="220" t="s">
        <v>1</v>
      </c>
      <c r="B95" s="220"/>
      <c r="C95" s="220"/>
      <c r="D95" s="220"/>
      <c r="E95" s="220"/>
      <c r="F95" s="220"/>
      <c r="G95" s="220"/>
      <c r="H95" s="220"/>
      <c r="I95" s="220"/>
    </row>
    <row r="96" spans="1:9" s="70" customFormat="1" ht="29.25" customHeight="1">
      <c r="A96" s="220" t="str">
        <f>+A77</f>
        <v>คำขอตั้งปรับแผนเงินบำรุง  หมวดค่าวัสดุ ประจำปีงบประมาณ 2569</v>
      </c>
      <c r="B96" s="220"/>
      <c r="C96" s="220"/>
      <c r="D96" s="220"/>
      <c r="E96" s="220"/>
      <c r="F96" s="220"/>
      <c r="G96" s="220"/>
      <c r="H96" s="220"/>
      <c r="I96" s="220"/>
    </row>
    <row r="97" spans="1:9" ht="27.9" customHeight="1">
      <c r="A97" s="71"/>
      <c r="B97" s="72" t="s">
        <v>29</v>
      </c>
      <c r="C97" s="73"/>
    </row>
    <row r="98" spans="1:9" s="74" customFormat="1" ht="27.9" customHeight="1">
      <c r="A98" s="225" t="str">
        <f>+A79</f>
        <v>ลำดับที่</v>
      </c>
      <c r="B98" s="225" t="str">
        <f>+B79</f>
        <v>แผนปีงบฯ 2568
(บาท)</v>
      </c>
      <c r="C98" s="222" t="str">
        <f>+C79</f>
        <v>ผลการดำเนินงาน ณ 30 มิ.ย. 2568 (บาท)</v>
      </c>
      <c r="D98" s="222"/>
      <c r="E98" s="222"/>
      <c r="F98" s="235" t="str">
        <f>+F79</f>
        <v>ยอดเงิน
คงเหลือ (บาท)</v>
      </c>
      <c r="G98" s="235" t="str">
        <f>+G79</f>
        <v>วัสดุคงคลัง
 (บาท)</v>
      </c>
      <c r="H98" s="235" t="str">
        <f>+H79</f>
        <v>คำขอตั้งแผน 
ปีงบฯ 2569 (บาท)</v>
      </c>
      <c r="I98" s="235" t="str">
        <f>+I79</f>
        <v>หมายเหตุ</v>
      </c>
    </row>
    <row r="99" spans="1:9" s="74" customFormat="1" ht="27.9" customHeight="1">
      <c r="A99" s="225"/>
      <c r="B99" s="225"/>
      <c r="C99" s="172" t="str">
        <f>+C80</f>
        <v>เบิกจ่ายแล้ว</v>
      </c>
      <c r="D99" s="172" t="str">
        <f>+D80</f>
        <v>เจ้าหนี้คงค้าง</v>
      </c>
      <c r="E99" s="172" t="str">
        <f>+E80</f>
        <v>ก่อหนี้/ยังไม่ตรวจรับ</v>
      </c>
      <c r="F99" s="235"/>
      <c r="G99" s="235"/>
      <c r="H99" s="235"/>
      <c r="I99" s="235"/>
    </row>
    <row r="100" spans="1:9" s="82" customFormat="1" ht="80.099999999999994" customHeight="1">
      <c r="A100" s="96">
        <v>7</v>
      </c>
      <c r="B100" s="179">
        <v>5000000</v>
      </c>
      <c r="C100" s="95">
        <v>3011900</v>
      </c>
      <c r="D100" s="95"/>
      <c r="E100" s="171"/>
      <c r="F100" s="183"/>
      <c r="G100" s="179"/>
      <c r="H100" s="179"/>
      <c r="I100" s="182"/>
    </row>
    <row r="101" spans="1:9" ht="27.9" customHeight="1">
      <c r="A101" s="83"/>
      <c r="B101" s="84"/>
      <c r="C101" s="85"/>
      <c r="D101" s="86"/>
      <c r="E101" s="86"/>
      <c r="F101" s="87"/>
      <c r="G101" s="68"/>
    </row>
    <row r="102" spans="1:9" ht="27.9" customHeight="1">
      <c r="A102" s="221" t="s">
        <v>116</v>
      </c>
      <c r="B102" s="221"/>
      <c r="C102" s="221"/>
      <c r="D102" s="221"/>
      <c r="E102" s="221"/>
      <c r="F102" s="221"/>
      <c r="G102" s="221"/>
      <c r="H102" s="221"/>
      <c r="I102" s="221"/>
    </row>
    <row r="103" spans="1:9" ht="27.9" customHeight="1">
      <c r="A103" s="234" t="s">
        <v>115</v>
      </c>
      <c r="B103" s="234"/>
      <c r="C103" s="234"/>
      <c r="D103" s="234"/>
      <c r="E103" s="234"/>
      <c r="F103" s="234"/>
      <c r="G103" s="234"/>
      <c r="H103" s="234"/>
      <c r="I103" s="234"/>
    </row>
    <row r="104" spans="1:9" s="89" customFormat="1" ht="27.9" customHeight="1">
      <c r="A104" s="234" t="s">
        <v>115</v>
      </c>
      <c r="B104" s="234"/>
      <c r="C104" s="234"/>
      <c r="D104" s="234"/>
      <c r="E104" s="234"/>
      <c r="F104" s="234"/>
      <c r="G104" s="234"/>
      <c r="H104" s="234"/>
      <c r="I104" s="234"/>
    </row>
    <row r="105" spans="1:9" s="89" customFormat="1" ht="27.9" customHeight="1">
      <c r="A105" s="234" t="s">
        <v>115</v>
      </c>
      <c r="B105" s="234"/>
      <c r="C105" s="234"/>
      <c r="D105" s="234"/>
      <c r="E105" s="234"/>
      <c r="F105" s="234"/>
      <c r="G105" s="234"/>
      <c r="H105" s="234"/>
      <c r="I105" s="234"/>
    </row>
    <row r="106" spans="1:9" s="82" customFormat="1" ht="27.9" customHeight="1">
      <c r="A106" s="234" t="s">
        <v>115</v>
      </c>
      <c r="B106" s="234"/>
      <c r="C106" s="234"/>
      <c r="D106" s="234"/>
      <c r="E106" s="234"/>
      <c r="F106" s="234"/>
      <c r="G106" s="234"/>
      <c r="H106" s="234"/>
      <c r="I106" s="234"/>
    </row>
    <row r="107" spans="1:9" ht="27.9" customHeight="1">
      <c r="A107" s="82"/>
      <c r="B107" s="65"/>
      <c r="C107" s="86"/>
      <c r="D107" s="86"/>
      <c r="E107" s="90" t="s">
        <v>12</v>
      </c>
      <c r="F107" s="175"/>
      <c r="G107" s="175"/>
      <c r="H107" s="231" t="s">
        <v>13</v>
      </c>
      <c r="I107" s="231"/>
    </row>
    <row r="108" spans="1:9" ht="27.9" customHeight="1">
      <c r="E108" s="82"/>
      <c r="F108" s="232" t="s">
        <v>150</v>
      </c>
      <c r="G108" s="232"/>
      <c r="H108" s="174"/>
      <c r="I108" s="89"/>
    </row>
    <row r="109" spans="1:9" ht="27.9" customHeight="1">
      <c r="A109" s="64"/>
      <c r="B109" s="233" t="s">
        <v>151</v>
      </c>
      <c r="C109" s="233"/>
      <c r="D109" s="233"/>
      <c r="E109" s="233"/>
      <c r="F109" s="233"/>
      <c r="G109" s="233"/>
      <c r="H109" s="233"/>
    </row>
    <row r="110" spans="1:9" ht="27.9" customHeight="1">
      <c r="A110" s="64"/>
      <c r="B110" s="99"/>
      <c r="C110" s="66"/>
      <c r="D110" s="66"/>
      <c r="E110" s="66"/>
      <c r="F110" s="67"/>
      <c r="G110" s="68"/>
    </row>
    <row r="111" spans="1:9" ht="27.9" customHeight="1">
      <c r="A111" s="64"/>
      <c r="B111" s="99"/>
      <c r="C111" s="66"/>
      <c r="D111" s="66"/>
      <c r="E111" s="66"/>
      <c r="F111" s="67"/>
      <c r="G111" s="68"/>
    </row>
    <row r="112" spans="1:9" ht="27.9" customHeight="1">
      <c r="A112" s="64"/>
      <c r="B112" s="99"/>
      <c r="C112" s="66"/>
      <c r="D112" s="66"/>
      <c r="E112" s="66"/>
      <c r="F112" s="67"/>
      <c r="G112" s="68"/>
    </row>
    <row r="113" spans="1:9" ht="27.9" customHeight="1">
      <c r="A113" s="64"/>
      <c r="B113" s="99"/>
      <c r="C113" s="66"/>
      <c r="D113" s="66"/>
      <c r="E113" s="66"/>
      <c r="F113" s="67"/>
      <c r="G113" s="68"/>
    </row>
    <row r="114" spans="1:9" s="70" customFormat="1" ht="27.9" customHeight="1">
      <c r="A114" s="220" t="str">
        <f>+A94</f>
        <v>สรุปแผนการใช้เงินบำรุง หมวดค่าวัสดุ ปีงบประมาณ 2568  (ต.ค67- มิ.ย.68)</v>
      </c>
      <c r="B114" s="220"/>
      <c r="C114" s="220"/>
      <c r="D114" s="220"/>
      <c r="E114" s="220"/>
      <c r="F114" s="220"/>
      <c r="G114" s="220"/>
      <c r="H114" s="220"/>
      <c r="I114" s="220"/>
    </row>
    <row r="115" spans="1:9" s="70" customFormat="1" ht="27.9" customHeight="1">
      <c r="A115" s="220" t="s">
        <v>1</v>
      </c>
      <c r="B115" s="220"/>
      <c r="C115" s="220"/>
      <c r="D115" s="220"/>
      <c r="E115" s="220"/>
      <c r="F115" s="220"/>
      <c r="G115" s="220"/>
      <c r="H115" s="220"/>
      <c r="I115" s="220"/>
    </row>
    <row r="116" spans="1:9" s="70" customFormat="1" ht="27.9" customHeight="1">
      <c r="A116" s="220" t="str">
        <f>+A96</f>
        <v>คำขอตั้งปรับแผนเงินบำรุง  หมวดค่าวัสดุ ประจำปีงบประมาณ 2569</v>
      </c>
      <c r="B116" s="220"/>
      <c r="C116" s="220"/>
      <c r="D116" s="220"/>
      <c r="E116" s="220"/>
      <c r="F116" s="220"/>
      <c r="G116" s="220"/>
      <c r="H116" s="220"/>
      <c r="I116" s="220"/>
    </row>
    <row r="117" spans="1:9" ht="27.9" customHeight="1">
      <c r="A117" s="71"/>
      <c r="B117" s="72" t="s">
        <v>41</v>
      </c>
      <c r="C117" s="73"/>
    </row>
    <row r="118" spans="1:9" s="74" customFormat="1" ht="27.9" customHeight="1">
      <c r="A118" s="223" t="str">
        <f>+A98</f>
        <v>ลำดับที่</v>
      </c>
      <c r="B118" s="225" t="str">
        <f>+B98</f>
        <v>แผนปีงบฯ 2568
(บาท)</v>
      </c>
      <c r="C118" s="222" t="str">
        <f>+C98</f>
        <v>ผลการดำเนินงาน ณ 30 มิ.ย. 2568 (บาท)</v>
      </c>
      <c r="D118" s="222"/>
      <c r="E118" s="222"/>
      <c r="F118" s="235" t="str">
        <f>+F98</f>
        <v>ยอดเงิน
คงเหลือ (บาท)</v>
      </c>
      <c r="G118" s="235" t="str">
        <f t="shared" ref="G118:I118" si="0">+G98</f>
        <v>วัสดุคงคลัง
 (บาท)</v>
      </c>
      <c r="H118" s="235" t="str">
        <f t="shared" si="0"/>
        <v>คำขอตั้งแผน 
ปีงบฯ 2569 (บาท)</v>
      </c>
      <c r="I118" s="235" t="str">
        <f t="shared" si="0"/>
        <v>หมายเหตุ</v>
      </c>
    </row>
    <row r="119" spans="1:9" s="74" customFormat="1" ht="27.9" customHeight="1">
      <c r="A119" s="224"/>
      <c r="B119" s="225"/>
      <c r="C119" s="172" t="str">
        <f>+C99</f>
        <v>เบิกจ่ายแล้ว</v>
      </c>
      <c r="D119" s="172" t="str">
        <f t="shared" ref="D119:E119" si="1">+D99</f>
        <v>เจ้าหนี้คงค้าง</v>
      </c>
      <c r="E119" s="172" t="str">
        <f t="shared" si="1"/>
        <v>ก่อหนี้/ยังไม่ตรวจรับ</v>
      </c>
      <c r="F119" s="235"/>
      <c r="G119" s="235"/>
      <c r="H119" s="235"/>
      <c r="I119" s="235"/>
    </row>
    <row r="120" spans="1:9" s="82" customFormat="1" ht="80.099999999999994" customHeight="1">
      <c r="A120" s="75">
        <v>8</v>
      </c>
      <c r="B120" s="179">
        <v>60000000</v>
      </c>
      <c r="C120" s="95">
        <v>30908446</v>
      </c>
      <c r="D120" s="171"/>
      <c r="E120" s="171"/>
      <c r="F120" s="183"/>
      <c r="G120" s="184"/>
      <c r="H120" s="185"/>
      <c r="I120" s="182"/>
    </row>
    <row r="121" spans="1:9" ht="27.9" customHeight="1">
      <c r="A121" s="83"/>
      <c r="B121" s="84"/>
      <c r="C121" s="85"/>
      <c r="D121" s="86"/>
      <c r="E121" s="86"/>
      <c r="F121" s="87"/>
      <c r="G121" s="68"/>
    </row>
    <row r="122" spans="1:9" ht="27.9" customHeight="1">
      <c r="A122" s="221" t="s">
        <v>116</v>
      </c>
      <c r="B122" s="221"/>
      <c r="C122" s="221"/>
      <c r="D122" s="221"/>
      <c r="E122" s="221"/>
      <c r="F122" s="221"/>
      <c r="G122" s="221"/>
      <c r="H122" s="221"/>
      <c r="I122" s="221"/>
    </row>
    <row r="123" spans="1:9" ht="27.9" customHeight="1">
      <c r="A123" s="234" t="s">
        <v>115</v>
      </c>
      <c r="B123" s="234"/>
      <c r="C123" s="234"/>
      <c r="D123" s="234"/>
      <c r="E123" s="234"/>
      <c r="F123" s="234"/>
      <c r="G123" s="234"/>
      <c r="H123" s="234"/>
      <c r="I123" s="234"/>
    </row>
    <row r="124" spans="1:9" s="89" customFormat="1" ht="27.9" customHeight="1">
      <c r="A124" s="234" t="s">
        <v>115</v>
      </c>
      <c r="B124" s="234"/>
      <c r="C124" s="234"/>
      <c r="D124" s="234"/>
      <c r="E124" s="234"/>
      <c r="F124" s="234"/>
      <c r="G124" s="234"/>
      <c r="H124" s="234"/>
      <c r="I124" s="234"/>
    </row>
    <row r="125" spans="1:9" s="82" customFormat="1" ht="27.9" customHeight="1">
      <c r="A125" s="234" t="s">
        <v>115</v>
      </c>
      <c r="B125" s="234"/>
      <c r="C125" s="234"/>
      <c r="D125" s="234"/>
      <c r="E125" s="234"/>
      <c r="F125" s="234"/>
      <c r="G125" s="234"/>
      <c r="H125" s="234"/>
      <c r="I125" s="234"/>
    </row>
    <row r="126" spans="1:9" s="82" customFormat="1" ht="27.9" customHeight="1">
      <c r="A126" s="234" t="s">
        <v>115</v>
      </c>
      <c r="B126" s="234"/>
      <c r="C126" s="234"/>
      <c r="D126" s="234"/>
      <c r="E126" s="234"/>
      <c r="F126" s="234"/>
      <c r="G126" s="234"/>
      <c r="H126" s="234"/>
      <c r="I126" s="234"/>
    </row>
    <row r="127" spans="1:9" ht="27.9" customHeight="1">
      <c r="A127" s="82"/>
      <c r="B127" s="65"/>
      <c r="C127" s="86"/>
      <c r="D127" s="86"/>
      <c r="E127" s="90" t="s">
        <v>12</v>
      </c>
      <c r="F127" s="175"/>
      <c r="G127" s="175"/>
      <c r="H127" s="231" t="s">
        <v>13</v>
      </c>
      <c r="I127" s="231"/>
    </row>
    <row r="128" spans="1:9" ht="27.9" customHeight="1">
      <c r="E128" s="82"/>
      <c r="F128" s="232" t="s">
        <v>150</v>
      </c>
      <c r="G128" s="232"/>
      <c r="H128" s="174"/>
      <c r="I128" s="89"/>
    </row>
    <row r="129" spans="1:9" ht="27.9" customHeight="1">
      <c r="A129" s="64"/>
      <c r="B129" s="233" t="s">
        <v>151</v>
      </c>
      <c r="C129" s="233"/>
      <c r="D129" s="233"/>
      <c r="E129" s="233"/>
      <c r="F129" s="233"/>
      <c r="G129" s="233"/>
      <c r="H129" s="233"/>
    </row>
    <row r="130" spans="1:9" ht="27.9" customHeight="1">
      <c r="A130" s="64"/>
      <c r="B130" s="99"/>
      <c r="C130" s="66"/>
      <c r="D130" s="66"/>
      <c r="E130" s="66"/>
      <c r="F130" s="67"/>
      <c r="G130" s="68"/>
    </row>
    <row r="131" spans="1:9" ht="27.9" customHeight="1">
      <c r="A131" s="64"/>
      <c r="B131" s="99"/>
      <c r="C131" s="66"/>
      <c r="D131" s="66"/>
      <c r="E131" s="66"/>
      <c r="F131" s="67"/>
      <c r="G131" s="68"/>
    </row>
    <row r="132" spans="1:9" s="70" customFormat="1" ht="27.9" customHeight="1">
      <c r="A132" s="220" t="str">
        <f>+A114</f>
        <v>สรุปแผนการใช้เงินบำรุง หมวดค่าวัสดุ ปีงบประมาณ 2568  (ต.ค67- มิ.ย.68)</v>
      </c>
      <c r="B132" s="220"/>
      <c r="C132" s="220"/>
      <c r="D132" s="220"/>
      <c r="E132" s="220"/>
      <c r="F132" s="220"/>
      <c r="G132" s="220"/>
      <c r="H132" s="220"/>
      <c r="I132" s="220"/>
    </row>
    <row r="133" spans="1:9" s="70" customFormat="1" ht="27.9" customHeight="1">
      <c r="A133" s="220" t="s">
        <v>1</v>
      </c>
      <c r="B133" s="220"/>
      <c r="C133" s="220"/>
      <c r="D133" s="220"/>
      <c r="E133" s="220"/>
      <c r="F133" s="220"/>
      <c r="G133" s="220"/>
      <c r="H133" s="220"/>
      <c r="I133" s="220"/>
    </row>
    <row r="134" spans="1:9" s="70" customFormat="1" ht="27.9" customHeight="1">
      <c r="A134" s="220" t="str">
        <f>+A116</f>
        <v>คำขอตั้งปรับแผนเงินบำรุง  หมวดค่าวัสดุ ประจำปีงบประมาณ 2569</v>
      </c>
      <c r="B134" s="220"/>
      <c r="C134" s="220"/>
      <c r="D134" s="220"/>
      <c r="E134" s="220"/>
      <c r="F134" s="220"/>
      <c r="G134" s="220"/>
      <c r="H134" s="220"/>
      <c r="I134" s="220"/>
    </row>
    <row r="135" spans="1:9" ht="27.9" customHeight="1">
      <c r="A135" s="71"/>
      <c r="B135" s="72" t="s">
        <v>22</v>
      </c>
      <c r="C135" s="73"/>
    </row>
    <row r="136" spans="1:9" s="74" customFormat="1" ht="27.9" customHeight="1">
      <c r="A136" s="225" t="str">
        <f>+A118</f>
        <v>ลำดับที่</v>
      </c>
      <c r="B136" s="225" t="str">
        <f>+B118</f>
        <v>แผนปีงบฯ 2568
(บาท)</v>
      </c>
      <c r="C136" s="236" t="str">
        <f>+C118</f>
        <v>ผลการดำเนินงาน ณ 30 มิ.ย. 2568 (บาท)</v>
      </c>
      <c r="D136" s="237"/>
      <c r="E136" s="238"/>
      <c r="F136" s="235" t="str">
        <f>+F118</f>
        <v>ยอดเงิน
คงเหลือ (บาท)</v>
      </c>
      <c r="G136" s="235" t="str">
        <f t="shared" ref="G136:I136" si="2">+G118</f>
        <v>วัสดุคงคลัง
 (บาท)</v>
      </c>
      <c r="H136" s="235" t="str">
        <f t="shared" si="2"/>
        <v>คำขอตั้งแผน 
ปีงบฯ 2569 (บาท)</v>
      </c>
      <c r="I136" s="235" t="str">
        <f t="shared" si="2"/>
        <v>หมายเหตุ</v>
      </c>
    </row>
    <row r="137" spans="1:9" s="74" customFormat="1" ht="27.9" customHeight="1">
      <c r="A137" s="225"/>
      <c r="B137" s="225"/>
      <c r="C137" s="172" t="str">
        <f>+C119</f>
        <v>เบิกจ่ายแล้ว</v>
      </c>
      <c r="D137" s="172" t="str">
        <f t="shared" ref="D137:E137" si="3">+D119</f>
        <v>เจ้าหนี้คงค้าง</v>
      </c>
      <c r="E137" s="172" t="str">
        <f t="shared" si="3"/>
        <v>ก่อหนี้/ยังไม่ตรวจรับ</v>
      </c>
      <c r="F137" s="235"/>
      <c r="G137" s="235"/>
      <c r="H137" s="235"/>
      <c r="I137" s="235"/>
    </row>
    <row r="138" spans="1:9" s="82" customFormat="1" ht="80.099999999999994" customHeight="1">
      <c r="A138" s="96">
        <v>9</v>
      </c>
      <c r="B138" s="179">
        <v>35000000</v>
      </c>
      <c r="C138" s="77">
        <v>27805029.800000001</v>
      </c>
      <c r="D138" s="171"/>
      <c r="E138" s="171"/>
      <c r="F138" s="179"/>
      <c r="G138" s="179"/>
      <c r="H138" s="179"/>
      <c r="I138" s="182"/>
    </row>
    <row r="139" spans="1:9" s="82" customFormat="1" ht="24.75" customHeight="1">
      <c r="A139" s="102"/>
      <c r="C139" s="103"/>
      <c r="F139" s="104"/>
      <c r="G139" s="104"/>
      <c r="H139" s="104"/>
      <c r="I139" s="105"/>
    </row>
    <row r="140" spans="1:9" ht="27.9" customHeight="1">
      <c r="A140" s="221" t="s">
        <v>116</v>
      </c>
      <c r="B140" s="221"/>
      <c r="C140" s="221"/>
      <c r="D140" s="221"/>
      <c r="E140" s="221"/>
      <c r="F140" s="221"/>
      <c r="G140" s="221"/>
      <c r="H140" s="221"/>
      <c r="I140" s="221"/>
    </row>
    <row r="141" spans="1:9" s="89" customFormat="1" ht="27.9" customHeight="1">
      <c r="A141" s="234" t="s">
        <v>115</v>
      </c>
      <c r="B141" s="234"/>
      <c r="C141" s="234"/>
      <c r="D141" s="234"/>
      <c r="E141" s="234"/>
      <c r="F141" s="234"/>
      <c r="G141" s="234"/>
      <c r="H141" s="234"/>
      <c r="I141" s="234"/>
    </row>
    <row r="142" spans="1:9" s="89" customFormat="1" ht="27.9" customHeight="1">
      <c r="A142" s="234" t="s">
        <v>115</v>
      </c>
      <c r="B142" s="234"/>
      <c r="C142" s="234"/>
      <c r="D142" s="234"/>
      <c r="E142" s="234"/>
      <c r="F142" s="234"/>
      <c r="G142" s="234"/>
      <c r="H142" s="234"/>
      <c r="I142" s="234"/>
    </row>
    <row r="143" spans="1:9" s="82" customFormat="1" ht="27.9" customHeight="1">
      <c r="A143" s="234" t="s">
        <v>115</v>
      </c>
      <c r="B143" s="234"/>
      <c r="C143" s="234"/>
      <c r="D143" s="234"/>
      <c r="E143" s="234"/>
      <c r="F143" s="234"/>
      <c r="G143" s="234"/>
      <c r="H143" s="234"/>
      <c r="I143" s="234"/>
    </row>
    <row r="144" spans="1:9" s="82" customFormat="1" ht="27.9" customHeight="1">
      <c r="A144" s="234" t="s">
        <v>115</v>
      </c>
      <c r="B144" s="234"/>
      <c r="C144" s="234"/>
      <c r="D144" s="234"/>
      <c r="E144" s="234"/>
      <c r="F144" s="234"/>
      <c r="G144" s="234"/>
      <c r="H144" s="234"/>
      <c r="I144" s="234"/>
    </row>
    <row r="145" spans="1:9" ht="27.9" customHeight="1">
      <c r="A145" s="82"/>
      <c r="B145" s="65"/>
      <c r="C145" s="86"/>
      <c r="D145" s="86"/>
      <c r="E145" s="90" t="s">
        <v>12</v>
      </c>
      <c r="F145" s="175"/>
      <c r="G145" s="175"/>
      <c r="H145" s="231" t="s">
        <v>13</v>
      </c>
      <c r="I145" s="231"/>
    </row>
    <row r="146" spans="1:9" ht="27.9" customHeight="1">
      <c r="E146" s="82"/>
      <c r="F146" s="232" t="s">
        <v>150</v>
      </c>
      <c r="G146" s="232"/>
      <c r="H146" s="174"/>
      <c r="I146" s="89"/>
    </row>
    <row r="147" spans="1:9" ht="27.9" customHeight="1">
      <c r="A147" s="64"/>
      <c r="B147" s="233" t="s">
        <v>151</v>
      </c>
      <c r="C147" s="233"/>
      <c r="D147" s="233"/>
      <c r="E147" s="233"/>
      <c r="F147" s="233"/>
      <c r="G147" s="233"/>
      <c r="H147" s="233"/>
    </row>
    <row r="148" spans="1:9" ht="34.5" customHeight="1">
      <c r="A148" s="64"/>
      <c r="B148" s="65"/>
      <c r="C148" s="66"/>
      <c r="D148" s="66"/>
      <c r="E148" s="66"/>
      <c r="F148" s="67"/>
      <c r="G148" s="68"/>
    </row>
    <row r="149" spans="1:9" ht="27.9" customHeight="1">
      <c r="A149" s="64"/>
      <c r="B149" s="65"/>
      <c r="C149" s="66"/>
      <c r="D149" s="66"/>
      <c r="E149" s="66"/>
      <c r="F149" s="67"/>
      <c r="G149" s="68"/>
    </row>
    <row r="150" spans="1:9" ht="27.9" customHeight="1">
      <c r="A150" s="64"/>
      <c r="B150" s="65"/>
      <c r="C150" s="66"/>
      <c r="D150" s="66"/>
      <c r="E150" s="66"/>
      <c r="F150" s="67"/>
      <c r="G150" s="68"/>
    </row>
    <row r="151" spans="1:9" s="70" customFormat="1" ht="27.9" customHeight="1">
      <c r="A151" s="220" t="str">
        <f>+A132</f>
        <v>สรุปแผนการใช้เงินบำรุง หมวดค่าวัสดุ ปีงบประมาณ 2568  (ต.ค67- มิ.ย.68)</v>
      </c>
      <c r="B151" s="220"/>
      <c r="C151" s="220"/>
      <c r="D151" s="220"/>
      <c r="E151" s="220"/>
      <c r="F151" s="220"/>
      <c r="G151" s="220"/>
      <c r="H151" s="220"/>
      <c r="I151" s="220"/>
    </row>
    <row r="152" spans="1:9" s="70" customFormat="1" ht="27.9" customHeight="1">
      <c r="A152" s="220" t="s">
        <v>1</v>
      </c>
      <c r="B152" s="220"/>
      <c r="C152" s="220"/>
      <c r="D152" s="220"/>
      <c r="E152" s="220"/>
      <c r="F152" s="220"/>
      <c r="G152" s="220"/>
      <c r="H152" s="220"/>
      <c r="I152" s="220"/>
    </row>
    <row r="153" spans="1:9" s="70" customFormat="1" ht="27.9" customHeight="1">
      <c r="A153" s="220" t="str">
        <f>+A134</f>
        <v>คำขอตั้งปรับแผนเงินบำรุง  หมวดค่าวัสดุ ประจำปีงบประมาณ 2569</v>
      </c>
      <c r="B153" s="220"/>
      <c r="C153" s="220"/>
      <c r="D153" s="220"/>
      <c r="E153" s="220"/>
      <c r="F153" s="220"/>
      <c r="G153" s="220"/>
      <c r="H153" s="220"/>
      <c r="I153" s="220"/>
    </row>
    <row r="154" spans="1:9" ht="27.9" customHeight="1">
      <c r="A154" s="71"/>
      <c r="B154" s="72" t="s">
        <v>87</v>
      </c>
      <c r="C154" s="73"/>
    </row>
    <row r="155" spans="1:9" s="74" customFormat="1" ht="27.9" customHeight="1">
      <c r="A155" s="225" t="str">
        <f>+A136</f>
        <v>ลำดับที่</v>
      </c>
      <c r="B155" s="225" t="str">
        <f>+B136</f>
        <v>แผนปีงบฯ 2568
(บาท)</v>
      </c>
      <c r="C155" s="236" t="str">
        <f>+C136</f>
        <v>ผลการดำเนินงาน ณ 30 มิ.ย. 2568 (บาท)</v>
      </c>
      <c r="D155" s="237"/>
      <c r="E155" s="238"/>
      <c r="F155" s="235" t="str">
        <f>+F136</f>
        <v>ยอดเงิน
คงเหลือ (บาท)</v>
      </c>
      <c r="G155" s="235" t="str">
        <f>+G136</f>
        <v>วัสดุคงคลัง
 (บาท)</v>
      </c>
      <c r="H155" s="235" t="str">
        <f>+H136</f>
        <v>คำขอตั้งแผน 
ปีงบฯ 2569 (บาท)</v>
      </c>
      <c r="I155" s="235" t="str">
        <f>+I136</f>
        <v>หมายเหตุ</v>
      </c>
    </row>
    <row r="156" spans="1:9" s="74" customFormat="1" ht="27.9" customHeight="1">
      <c r="A156" s="225"/>
      <c r="B156" s="225"/>
      <c r="C156" s="172" t="str">
        <f>+C137</f>
        <v>เบิกจ่ายแล้ว</v>
      </c>
      <c r="D156" s="172" t="str">
        <f>+D137</f>
        <v>เจ้าหนี้คงค้าง</v>
      </c>
      <c r="E156" s="172" t="str">
        <f>+E137</f>
        <v>ก่อหนี้/ยังไม่ตรวจรับ</v>
      </c>
      <c r="F156" s="235"/>
      <c r="G156" s="235"/>
      <c r="H156" s="235"/>
      <c r="I156" s="235"/>
    </row>
    <row r="157" spans="1:9" s="82" customFormat="1" ht="80.099999999999994" customHeight="1">
      <c r="A157" s="75">
        <v>10</v>
      </c>
      <c r="B157" s="79">
        <v>8000000</v>
      </c>
      <c r="C157" s="107">
        <v>4822656.6500000004</v>
      </c>
      <c r="D157" s="78">
        <v>1185247.1000000001</v>
      </c>
      <c r="E157" s="78"/>
      <c r="F157" s="79"/>
      <c r="G157" s="79"/>
      <c r="H157" s="79"/>
      <c r="I157" s="81"/>
    </row>
    <row r="158" spans="1:9" ht="27.9" customHeight="1">
      <c r="A158" s="83"/>
      <c r="B158" s="84"/>
      <c r="C158" s="85"/>
      <c r="D158" s="86"/>
      <c r="E158" s="86"/>
      <c r="F158" s="87"/>
      <c r="G158" s="68"/>
    </row>
    <row r="159" spans="1:9" ht="27.9" customHeight="1">
      <c r="A159" s="221" t="s">
        <v>116</v>
      </c>
      <c r="B159" s="221"/>
      <c r="C159" s="221"/>
      <c r="D159" s="221"/>
      <c r="E159" s="221"/>
      <c r="F159" s="221"/>
      <c r="G159" s="221"/>
      <c r="H159" s="221"/>
      <c r="I159" s="221"/>
    </row>
    <row r="160" spans="1:9" ht="27.9" customHeight="1">
      <c r="A160" s="234" t="s">
        <v>115</v>
      </c>
      <c r="B160" s="234"/>
      <c r="C160" s="234"/>
      <c r="D160" s="234"/>
      <c r="E160" s="234"/>
      <c r="F160" s="234"/>
      <c r="G160" s="234"/>
      <c r="H160" s="234"/>
      <c r="I160" s="234"/>
    </row>
    <row r="161" spans="1:9" s="89" customFormat="1" ht="27.9" customHeight="1">
      <c r="A161" s="234" t="s">
        <v>115</v>
      </c>
      <c r="B161" s="234"/>
      <c r="C161" s="234"/>
      <c r="D161" s="234"/>
      <c r="E161" s="234"/>
      <c r="F161" s="234"/>
      <c r="G161" s="234"/>
      <c r="H161" s="234"/>
      <c r="I161" s="234"/>
    </row>
    <row r="162" spans="1:9" s="89" customFormat="1" ht="27.9" customHeight="1">
      <c r="A162" s="234" t="s">
        <v>115</v>
      </c>
      <c r="B162" s="234"/>
      <c r="C162" s="234"/>
      <c r="D162" s="234"/>
      <c r="E162" s="234"/>
      <c r="F162" s="234"/>
      <c r="G162" s="234"/>
      <c r="H162" s="234"/>
      <c r="I162" s="234"/>
    </row>
    <row r="163" spans="1:9" s="82" customFormat="1" ht="27.9" customHeight="1">
      <c r="A163" s="234" t="s">
        <v>115</v>
      </c>
      <c r="B163" s="234"/>
      <c r="C163" s="234"/>
      <c r="D163" s="234"/>
      <c r="E163" s="234"/>
      <c r="F163" s="234"/>
      <c r="G163" s="234"/>
      <c r="H163" s="234"/>
      <c r="I163" s="234"/>
    </row>
    <row r="164" spans="1:9" s="82" customFormat="1" ht="27.9" customHeight="1"/>
    <row r="165" spans="1:9" ht="27.9" customHeight="1">
      <c r="A165" s="82"/>
      <c r="B165" s="65"/>
      <c r="C165" s="86"/>
      <c r="D165" s="86"/>
      <c r="E165" s="90" t="s">
        <v>12</v>
      </c>
      <c r="F165" s="175"/>
      <c r="G165" s="175"/>
      <c r="H165" s="231" t="s">
        <v>13</v>
      </c>
      <c r="I165" s="231"/>
    </row>
    <row r="166" spans="1:9" ht="27.9" customHeight="1">
      <c r="E166" s="82"/>
      <c r="F166" s="232" t="s">
        <v>150</v>
      </c>
      <c r="G166" s="232"/>
      <c r="H166" s="174"/>
      <c r="I166" s="89"/>
    </row>
    <row r="167" spans="1:9" ht="27.9" customHeight="1">
      <c r="A167" s="64"/>
      <c r="B167" s="233" t="s">
        <v>151</v>
      </c>
      <c r="C167" s="233"/>
      <c r="D167" s="233"/>
      <c r="E167" s="233"/>
      <c r="F167" s="233"/>
      <c r="G167" s="233"/>
      <c r="H167" s="233"/>
    </row>
    <row r="168" spans="1:9" ht="27.9" customHeight="1">
      <c r="A168" s="64"/>
      <c r="B168" s="99"/>
      <c r="C168" s="66"/>
      <c r="D168" s="66"/>
      <c r="E168" s="66"/>
      <c r="F168" s="67"/>
      <c r="G168" s="68"/>
    </row>
    <row r="169" spans="1:9" ht="27.9" customHeight="1">
      <c r="A169" s="64"/>
      <c r="B169" s="99"/>
      <c r="C169" s="66"/>
      <c r="D169" s="66"/>
      <c r="E169" s="66"/>
      <c r="F169" s="67"/>
      <c r="G169" s="68"/>
    </row>
    <row r="170" spans="1:9" s="70" customFormat="1" ht="27.9" customHeight="1">
      <c r="A170" s="220" t="str">
        <f>+A151</f>
        <v>สรุปแผนการใช้เงินบำรุง หมวดค่าวัสดุ ปีงบประมาณ 2568  (ต.ค67- มิ.ย.68)</v>
      </c>
      <c r="B170" s="220"/>
      <c r="C170" s="220"/>
      <c r="D170" s="220"/>
      <c r="E170" s="220"/>
      <c r="F170" s="220"/>
      <c r="G170" s="220"/>
      <c r="H170" s="220"/>
      <c r="I170" s="220"/>
    </row>
    <row r="171" spans="1:9" s="70" customFormat="1" ht="27.9" customHeight="1">
      <c r="A171" s="220" t="s">
        <v>1</v>
      </c>
      <c r="B171" s="220"/>
      <c r="C171" s="220"/>
      <c r="D171" s="220"/>
      <c r="E171" s="220"/>
      <c r="F171" s="220"/>
      <c r="G171" s="220"/>
      <c r="H171" s="220"/>
      <c r="I171" s="220"/>
    </row>
    <row r="172" spans="1:9" s="70" customFormat="1" ht="27.9" customHeight="1">
      <c r="A172" s="220" t="str">
        <f>+A153</f>
        <v>คำขอตั้งปรับแผนเงินบำรุง  หมวดค่าวัสดุ ประจำปีงบประมาณ 2569</v>
      </c>
      <c r="B172" s="220"/>
      <c r="C172" s="220"/>
      <c r="D172" s="220"/>
      <c r="E172" s="220"/>
      <c r="F172" s="220"/>
      <c r="G172" s="220"/>
      <c r="H172" s="220"/>
      <c r="I172" s="220"/>
    </row>
    <row r="173" spans="1:9" ht="27.9" customHeight="1">
      <c r="A173" s="71"/>
      <c r="B173" s="240" t="s">
        <v>92</v>
      </c>
      <c r="C173" s="240"/>
    </row>
    <row r="174" spans="1:9" s="74" customFormat="1" ht="27.9" customHeight="1">
      <c r="A174" s="225" t="str">
        <f>+A155</f>
        <v>ลำดับที่</v>
      </c>
      <c r="B174" s="225" t="str">
        <f>+B155</f>
        <v>แผนปีงบฯ 2568
(บาท)</v>
      </c>
      <c r="C174" s="222" t="str">
        <f>+C155</f>
        <v>ผลการดำเนินงาน ณ 30 มิ.ย. 2568 (บาท)</v>
      </c>
      <c r="D174" s="222"/>
      <c r="E174" s="222"/>
      <c r="F174" s="235" t="str">
        <f>+F155</f>
        <v>ยอดเงิน
คงเหลือ (บาท)</v>
      </c>
      <c r="G174" s="235" t="str">
        <f t="shared" ref="G174:I174" si="4">+G155</f>
        <v>วัสดุคงคลัง
 (บาท)</v>
      </c>
      <c r="H174" s="235" t="str">
        <f t="shared" si="4"/>
        <v>คำขอตั้งแผน 
ปีงบฯ 2569 (บาท)</v>
      </c>
      <c r="I174" s="235" t="str">
        <f t="shared" si="4"/>
        <v>หมายเหตุ</v>
      </c>
    </row>
    <row r="175" spans="1:9" s="74" customFormat="1" ht="27.9" customHeight="1">
      <c r="A175" s="225"/>
      <c r="B175" s="225"/>
      <c r="C175" s="172" t="str">
        <f>+C156</f>
        <v>เบิกจ่ายแล้ว</v>
      </c>
      <c r="D175" s="172" t="str">
        <f t="shared" ref="D175:E175" si="5">+D156</f>
        <v>เจ้าหนี้คงค้าง</v>
      </c>
      <c r="E175" s="172" t="str">
        <f t="shared" si="5"/>
        <v>ก่อหนี้/ยังไม่ตรวจรับ</v>
      </c>
      <c r="F175" s="235"/>
      <c r="G175" s="235"/>
      <c r="H175" s="235"/>
      <c r="I175" s="235"/>
    </row>
    <row r="176" spans="1:9" s="82" customFormat="1" ht="80.099999999999994" customHeight="1">
      <c r="A176" s="75">
        <v>11</v>
      </c>
      <c r="B176" s="142">
        <v>2750000</v>
      </c>
      <c r="C176" s="106">
        <v>1681259</v>
      </c>
      <c r="D176" s="79"/>
      <c r="E176" s="79"/>
      <c r="F176" s="101"/>
      <c r="G176" s="101"/>
      <c r="H176" s="101"/>
      <c r="I176" s="101"/>
    </row>
    <row r="177" spans="1:9" ht="27.9" customHeight="1">
      <c r="A177" s="83"/>
      <c r="B177" s="84"/>
      <c r="C177" s="85"/>
      <c r="D177" s="86"/>
      <c r="E177" s="86"/>
      <c r="F177" s="87"/>
      <c r="G177" s="68"/>
    </row>
    <row r="178" spans="1:9" ht="27.9" customHeight="1">
      <c r="A178" s="221" t="s">
        <v>116</v>
      </c>
      <c r="B178" s="221"/>
      <c r="C178" s="221"/>
      <c r="D178" s="221"/>
      <c r="E178" s="221"/>
      <c r="F178" s="221"/>
      <c r="G178" s="221"/>
      <c r="H178" s="221"/>
      <c r="I178" s="221"/>
    </row>
    <row r="179" spans="1:9" ht="27.9" customHeight="1">
      <c r="A179" s="234" t="s">
        <v>115</v>
      </c>
      <c r="B179" s="234"/>
      <c r="C179" s="234"/>
      <c r="D179" s="234"/>
      <c r="E179" s="234"/>
      <c r="F179" s="234"/>
      <c r="G179" s="234"/>
      <c r="H179" s="234"/>
      <c r="I179" s="234"/>
    </row>
    <row r="180" spans="1:9" s="89" customFormat="1" ht="27.9" customHeight="1">
      <c r="A180" s="234" t="s">
        <v>115</v>
      </c>
      <c r="B180" s="234"/>
      <c r="C180" s="234"/>
      <c r="D180" s="234"/>
      <c r="E180" s="234"/>
      <c r="F180" s="234"/>
      <c r="G180" s="234"/>
      <c r="H180" s="234"/>
      <c r="I180" s="234"/>
    </row>
    <row r="181" spans="1:9" s="89" customFormat="1" ht="27.9" customHeight="1">
      <c r="A181" s="234" t="s">
        <v>115</v>
      </c>
      <c r="B181" s="234"/>
      <c r="C181" s="234"/>
      <c r="D181" s="234"/>
      <c r="E181" s="234"/>
      <c r="F181" s="234"/>
      <c r="G181" s="234"/>
      <c r="H181" s="234"/>
      <c r="I181" s="234"/>
    </row>
    <row r="182" spans="1:9" s="82" customFormat="1" ht="27.9" customHeight="1">
      <c r="A182" s="234" t="s">
        <v>115</v>
      </c>
      <c r="B182" s="234"/>
      <c r="C182" s="234"/>
      <c r="D182" s="234"/>
      <c r="E182" s="234"/>
      <c r="F182" s="234"/>
      <c r="G182" s="234"/>
      <c r="H182" s="234"/>
      <c r="I182" s="234"/>
    </row>
    <row r="183" spans="1:9" s="82" customFormat="1" ht="27.9" customHeight="1"/>
    <row r="184" spans="1:9" ht="27.9" customHeight="1">
      <c r="A184" s="82"/>
      <c r="B184" s="65"/>
      <c r="C184" s="86"/>
      <c r="D184" s="86"/>
      <c r="E184" s="90" t="s">
        <v>12</v>
      </c>
      <c r="F184" s="175"/>
      <c r="G184" s="175"/>
      <c r="H184" s="231" t="s">
        <v>13</v>
      </c>
      <c r="I184" s="231"/>
    </row>
    <row r="185" spans="1:9" ht="27.9" customHeight="1">
      <c r="E185" s="82"/>
      <c r="F185" s="232" t="s">
        <v>150</v>
      </c>
      <c r="G185" s="232"/>
      <c r="H185" s="174"/>
      <c r="I185" s="89"/>
    </row>
    <row r="186" spans="1:9" ht="27.9" customHeight="1">
      <c r="A186" s="64"/>
      <c r="B186" s="233" t="s">
        <v>151</v>
      </c>
      <c r="C186" s="233"/>
      <c r="D186" s="233"/>
      <c r="E186" s="233"/>
      <c r="F186" s="233"/>
      <c r="G186" s="233"/>
      <c r="H186" s="233"/>
    </row>
    <row r="187" spans="1:9" ht="27.9" customHeight="1">
      <c r="A187" s="220"/>
      <c r="B187" s="220"/>
      <c r="C187" s="220"/>
      <c r="D187" s="220"/>
      <c r="E187" s="220"/>
      <c r="F187" s="220"/>
      <c r="G187" s="220"/>
      <c r="H187" s="220"/>
      <c r="I187" s="220"/>
    </row>
  </sheetData>
  <mergeCells count="184">
    <mergeCell ref="H165:I165"/>
    <mergeCell ref="F166:G166"/>
    <mergeCell ref="C174:E174"/>
    <mergeCell ref="A179:I179"/>
    <mergeCell ref="A180:I180"/>
    <mergeCell ref="H184:I184"/>
    <mergeCell ref="F185:G185"/>
    <mergeCell ref="A171:I171"/>
    <mergeCell ref="A172:I172"/>
    <mergeCell ref="B167:H167"/>
    <mergeCell ref="A170:I170"/>
    <mergeCell ref="B173:C173"/>
    <mergeCell ref="A49:I49"/>
    <mergeCell ref="A57:I57"/>
    <mergeCell ref="A60:A61"/>
    <mergeCell ref="A45:I45"/>
    <mergeCell ref="H107:I107"/>
    <mergeCell ref="F108:G108"/>
    <mergeCell ref="A103:I103"/>
    <mergeCell ref="A104:I104"/>
    <mergeCell ref="A105:I105"/>
    <mergeCell ref="A102:I102"/>
    <mergeCell ref="A96:I96"/>
    <mergeCell ref="A85:I85"/>
    <mergeCell ref="A79:A80"/>
    <mergeCell ref="H79:H80"/>
    <mergeCell ref="I79:I80"/>
    <mergeCell ref="A98:A99"/>
    <mergeCell ref="H98:H99"/>
    <mergeCell ref="I98:I99"/>
    <mergeCell ref="G98:G99"/>
    <mergeCell ref="C79:E79"/>
    <mergeCell ref="H88:I88"/>
    <mergeCell ref="F89:G89"/>
    <mergeCell ref="C98:E98"/>
    <mergeCell ref="F16:G16"/>
    <mergeCell ref="C24:E24"/>
    <mergeCell ref="B24:B25"/>
    <mergeCell ref="A24:A25"/>
    <mergeCell ref="F24:F25"/>
    <mergeCell ref="G24:G25"/>
    <mergeCell ref="H24:H25"/>
    <mergeCell ref="I24:I25"/>
    <mergeCell ref="A48:I48"/>
    <mergeCell ref="A162:I162"/>
    <mergeCell ref="A163:I163"/>
    <mergeCell ref="H155:H156"/>
    <mergeCell ref="I155:I156"/>
    <mergeCell ref="A159:I159"/>
    <mergeCell ref="G155:G156"/>
    <mergeCell ref="F155:F156"/>
    <mergeCell ref="B155:B156"/>
    <mergeCell ref="C155:E155"/>
    <mergeCell ref="A114:I114"/>
    <mergeCell ref="B109:H109"/>
    <mergeCell ref="A160:I160"/>
    <mergeCell ref="A161:I161"/>
    <mergeCell ref="A115:I115"/>
    <mergeCell ref="I118:I119"/>
    <mergeCell ref="H136:H137"/>
    <mergeCell ref="I136:I137"/>
    <mergeCell ref="A106:I106"/>
    <mergeCell ref="A126:I126"/>
    <mergeCell ref="A144:I144"/>
    <mergeCell ref="B118:B119"/>
    <mergeCell ref="F118:F119"/>
    <mergeCell ref="F136:F137"/>
    <mergeCell ref="G118:G119"/>
    <mergeCell ref="A143:I143"/>
    <mergeCell ref="A116:I116"/>
    <mergeCell ref="H118:H119"/>
    <mergeCell ref="A155:A156"/>
    <mergeCell ref="C118:E118"/>
    <mergeCell ref="H127:I127"/>
    <mergeCell ref="F128:G128"/>
    <mergeCell ref="A123:I123"/>
    <mergeCell ref="A124:I124"/>
    <mergeCell ref="G79:G80"/>
    <mergeCell ref="A83:I83"/>
    <mergeCell ref="A84:I84"/>
    <mergeCell ref="F79:F80"/>
    <mergeCell ref="B98:B99"/>
    <mergeCell ref="F98:F99"/>
    <mergeCell ref="B79:B80"/>
    <mergeCell ref="B91:H91"/>
    <mergeCell ref="A12:I12"/>
    <mergeCell ref="A13:I13"/>
    <mergeCell ref="A37:I37"/>
    <mergeCell ref="A38:I38"/>
    <mergeCell ref="A39:I39"/>
    <mergeCell ref="A41:A42"/>
    <mergeCell ref="A64:I64"/>
    <mergeCell ref="B71:H71"/>
    <mergeCell ref="A67:I67"/>
    <mergeCell ref="A68:I68"/>
    <mergeCell ref="A28:I28"/>
    <mergeCell ref="H60:H61"/>
    <mergeCell ref="I60:I61"/>
    <mergeCell ref="A17:G17"/>
    <mergeCell ref="A31:I31"/>
    <mergeCell ref="A20:I20"/>
    <mergeCell ref="B40:C40"/>
    <mergeCell ref="A21:I21"/>
    <mergeCell ref="A22:I22"/>
    <mergeCell ref="I41:I42"/>
    <mergeCell ref="B41:B42"/>
    <mergeCell ref="A32:I32"/>
    <mergeCell ref="A29:I29"/>
    <mergeCell ref="A30:I30"/>
    <mergeCell ref="A1:I1"/>
    <mergeCell ref="A2:I2"/>
    <mergeCell ref="A3:I3"/>
    <mergeCell ref="A9:I9"/>
    <mergeCell ref="A36:G36"/>
    <mergeCell ref="H41:H42"/>
    <mergeCell ref="A10:I10"/>
    <mergeCell ref="A11:I11"/>
    <mergeCell ref="A5:A6"/>
    <mergeCell ref="B5:B6"/>
    <mergeCell ref="C5:E5"/>
    <mergeCell ref="F5:F6"/>
    <mergeCell ref="G5:G6"/>
    <mergeCell ref="H5:H6"/>
    <mergeCell ref="I5:I6"/>
    <mergeCell ref="H15:I15"/>
    <mergeCell ref="A187:I187"/>
    <mergeCell ref="A178:I178"/>
    <mergeCell ref="A181:I181"/>
    <mergeCell ref="A182:I182"/>
    <mergeCell ref="A174:A175"/>
    <mergeCell ref="H174:H175"/>
    <mergeCell ref="I174:I175"/>
    <mergeCell ref="G174:G175"/>
    <mergeCell ref="F174:F175"/>
    <mergeCell ref="B186:H186"/>
    <mergeCell ref="B174:B175"/>
    <mergeCell ref="F60:F61"/>
    <mergeCell ref="G41:G42"/>
    <mergeCell ref="F41:F42"/>
    <mergeCell ref="G60:G61"/>
    <mergeCell ref="A151:I151"/>
    <mergeCell ref="A140:I140"/>
    <mergeCell ref="H34:I34"/>
    <mergeCell ref="F35:G35"/>
    <mergeCell ref="A87:I87"/>
    <mergeCell ref="G90:H90"/>
    <mergeCell ref="A94:I94"/>
    <mergeCell ref="A95:I95"/>
    <mergeCell ref="A75:I75"/>
    <mergeCell ref="A76:I76"/>
    <mergeCell ref="A77:I77"/>
    <mergeCell ref="B60:B61"/>
    <mergeCell ref="F70:G70"/>
    <mergeCell ref="A86:I86"/>
    <mergeCell ref="C41:E41"/>
    <mergeCell ref="A46:I46"/>
    <mergeCell ref="A47:I47"/>
    <mergeCell ref="C60:E60"/>
    <mergeCell ref="A65:I65"/>
    <mergeCell ref="A66:I66"/>
    <mergeCell ref="H51:I51"/>
    <mergeCell ref="F52:G52"/>
    <mergeCell ref="H69:I69"/>
    <mergeCell ref="A58:I58"/>
    <mergeCell ref="A56:I56"/>
    <mergeCell ref="B53:H53"/>
    <mergeCell ref="A153:I153"/>
    <mergeCell ref="A152:I152"/>
    <mergeCell ref="A122:I122"/>
    <mergeCell ref="A125:I125"/>
    <mergeCell ref="A134:I134"/>
    <mergeCell ref="A136:A137"/>
    <mergeCell ref="A118:A119"/>
    <mergeCell ref="A132:I132"/>
    <mergeCell ref="A133:I133"/>
    <mergeCell ref="B136:B137"/>
    <mergeCell ref="G136:G137"/>
    <mergeCell ref="C136:E136"/>
    <mergeCell ref="A141:I141"/>
    <mergeCell ref="A142:I142"/>
    <mergeCell ref="H145:I145"/>
    <mergeCell ref="F146:G146"/>
    <mergeCell ref="B129:H129"/>
    <mergeCell ref="B147:H147"/>
  </mergeCells>
  <pageMargins left="0.27559055118110237" right="0.27559055118110237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73"/>
  <sheetViews>
    <sheetView view="pageBreakPreview" topLeftCell="A49" zoomScaleSheetLayoutView="100" workbookViewId="0">
      <selection activeCell="J75" sqref="J75"/>
    </sheetView>
  </sheetViews>
  <sheetFormatPr defaultColWidth="9" defaultRowHeight="57" customHeight="1"/>
  <cols>
    <col min="1" max="1" width="6.09765625" style="94" customWidth="1"/>
    <col min="2" max="2" width="15.19921875" style="94" customWidth="1"/>
    <col min="3" max="5" width="17.5" style="69" customWidth="1"/>
    <col min="6" max="7" width="17" style="69" customWidth="1"/>
    <col min="8" max="9" width="17.5" style="69" customWidth="1"/>
    <col min="10" max="10" width="9.8984375" style="69" customWidth="1"/>
    <col min="11" max="16384" width="9" style="69"/>
  </cols>
  <sheetData>
    <row r="1" spans="1:9" s="70" customFormat="1" ht="32.25" customHeight="1">
      <c r="A1" s="220" t="str">
        <f>+'2.เวชภัณฑ์มิใช่ยา'!A170:I170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</row>
    <row r="2" spans="1:9" s="70" customFormat="1" ht="30" customHeight="1">
      <c r="A2" s="220" t="s">
        <v>1</v>
      </c>
      <c r="B2" s="220"/>
      <c r="C2" s="220"/>
      <c r="D2" s="220"/>
      <c r="E2" s="220"/>
      <c r="F2" s="220"/>
      <c r="G2" s="220"/>
      <c r="H2" s="220"/>
      <c r="I2" s="220"/>
    </row>
    <row r="3" spans="1:9" s="70" customFormat="1" ht="33" customHeight="1">
      <c r="A3" s="220" t="str">
        <f>+'2.เวชภัณฑ์มิใช่ยา'!A172:I172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</row>
    <row r="4" spans="1:9" ht="27.9" customHeight="1">
      <c r="A4" s="71"/>
      <c r="B4" s="72" t="s">
        <v>93</v>
      </c>
      <c r="C4" s="73"/>
    </row>
    <row r="5" spans="1:9" s="74" customFormat="1" ht="27.9" customHeight="1">
      <c r="A5" s="223" t="s">
        <v>77</v>
      </c>
      <c r="B5" s="225" t="s">
        <v>148</v>
      </c>
      <c r="C5" s="222" t="s">
        <v>152</v>
      </c>
      <c r="D5" s="222"/>
      <c r="E5" s="222"/>
      <c r="F5" s="223" t="s">
        <v>131</v>
      </c>
      <c r="G5" s="226" t="s">
        <v>124</v>
      </c>
      <c r="H5" s="226" t="s">
        <v>149</v>
      </c>
      <c r="I5" s="229" t="s">
        <v>7</v>
      </c>
    </row>
    <row r="6" spans="1:9" s="74" customFormat="1" ht="27.9" customHeight="1">
      <c r="A6" s="224"/>
      <c r="B6" s="225"/>
      <c r="C6" s="172" t="s">
        <v>145</v>
      </c>
      <c r="D6" s="172" t="s">
        <v>133</v>
      </c>
      <c r="E6" s="170" t="s">
        <v>128</v>
      </c>
      <c r="F6" s="228"/>
      <c r="G6" s="227"/>
      <c r="H6" s="227"/>
      <c r="I6" s="230"/>
    </row>
    <row r="7" spans="1:9" s="82" customFormat="1" ht="80.099999999999994" customHeight="1">
      <c r="A7" s="75">
        <v>12</v>
      </c>
      <c r="B7" s="79">
        <v>25000000</v>
      </c>
      <c r="C7" s="108">
        <v>24389393.02</v>
      </c>
      <c r="D7" s="76">
        <v>2357622.8199999998</v>
      </c>
      <c r="E7" s="76"/>
      <c r="F7" s="79"/>
      <c r="G7" s="79"/>
      <c r="H7" s="79"/>
      <c r="I7" s="81"/>
    </row>
    <row r="8" spans="1:9" ht="27.9" customHeight="1">
      <c r="A8" s="83"/>
      <c r="B8" s="84"/>
      <c r="C8" s="85"/>
      <c r="D8" s="86"/>
      <c r="E8" s="86"/>
      <c r="F8" s="87"/>
      <c r="G8" s="68"/>
    </row>
    <row r="9" spans="1:9" ht="27.9" customHeight="1">
      <c r="A9" s="221" t="s">
        <v>116</v>
      </c>
      <c r="B9" s="221"/>
      <c r="C9" s="221"/>
      <c r="D9" s="221"/>
      <c r="E9" s="221"/>
      <c r="F9" s="221"/>
      <c r="G9" s="221"/>
      <c r="H9" s="221"/>
      <c r="I9" s="221"/>
    </row>
    <row r="10" spans="1:9" ht="27.9" customHeight="1">
      <c r="A10" s="234" t="s">
        <v>115</v>
      </c>
      <c r="B10" s="234"/>
      <c r="C10" s="234"/>
      <c r="D10" s="234"/>
      <c r="E10" s="234"/>
      <c r="F10" s="234"/>
      <c r="G10" s="234"/>
      <c r="H10" s="234"/>
      <c r="I10" s="234"/>
    </row>
    <row r="11" spans="1:9" ht="27.9" customHeight="1">
      <c r="A11" s="234" t="s">
        <v>115</v>
      </c>
      <c r="B11" s="234"/>
      <c r="C11" s="234"/>
      <c r="D11" s="234"/>
      <c r="E11" s="234"/>
      <c r="F11" s="234"/>
      <c r="G11" s="234"/>
      <c r="H11" s="234"/>
      <c r="I11" s="234"/>
    </row>
    <row r="12" spans="1:9" ht="27.9" customHeight="1">
      <c r="A12" s="234" t="s">
        <v>115</v>
      </c>
      <c r="B12" s="234"/>
      <c r="C12" s="234"/>
      <c r="D12" s="234"/>
      <c r="E12" s="234"/>
      <c r="F12" s="234"/>
      <c r="G12" s="234"/>
      <c r="H12" s="234"/>
      <c r="I12" s="234"/>
    </row>
    <row r="13" spans="1:9" ht="27.9" customHeight="1">
      <c r="A13" s="234" t="s">
        <v>115</v>
      </c>
      <c r="B13" s="234"/>
      <c r="C13" s="234"/>
      <c r="D13" s="234"/>
      <c r="E13" s="234"/>
      <c r="F13" s="234"/>
      <c r="G13" s="234"/>
      <c r="H13" s="234"/>
      <c r="I13" s="234"/>
    </row>
    <row r="14" spans="1:9" ht="27.9" customHeight="1">
      <c r="A14" s="82"/>
      <c r="B14" s="65"/>
      <c r="C14" s="86"/>
      <c r="D14" s="86"/>
      <c r="E14" s="90" t="s">
        <v>12</v>
      </c>
      <c r="F14" s="175"/>
      <c r="G14" s="175"/>
      <c r="H14" s="231" t="s">
        <v>13</v>
      </c>
      <c r="I14" s="231"/>
    </row>
    <row r="15" spans="1:9" ht="27.9" customHeight="1">
      <c r="E15" s="82"/>
      <c r="F15" s="232" t="s">
        <v>150</v>
      </c>
      <c r="G15" s="232"/>
      <c r="H15" s="174"/>
      <c r="I15" s="89"/>
    </row>
    <row r="16" spans="1:9" ht="33.75" customHeight="1">
      <c r="A16" s="233" t="s">
        <v>151</v>
      </c>
      <c r="B16" s="233"/>
      <c r="C16" s="233"/>
      <c r="D16" s="233"/>
      <c r="E16" s="233"/>
      <c r="F16" s="233"/>
      <c r="G16" s="233"/>
    </row>
    <row r="17" spans="1:9" ht="33.75" customHeight="1">
      <c r="A17" s="163"/>
      <c r="B17" s="163"/>
      <c r="C17" s="163"/>
      <c r="D17" s="163"/>
      <c r="E17" s="163"/>
      <c r="F17" s="163"/>
      <c r="G17" s="163"/>
    </row>
    <row r="18" spans="1:9" ht="33.75" customHeight="1">
      <c r="A18" s="163"/>
      <c r="B18" s="163"/>
      <c r="C18" s="163"/>
      <c r="D18" s="163"/>
      <c r="E18" s="163"/>
      <c r="F18" s="163"/>
      <c r="G18" s="163"/>
    </row>
    <row r="19" spans="1:9" ht="33.75" customHeight="1">
      <c r="A19" s="163"/>
      <c r="B19" s="163"/>
      <c r="C19" s="163"/>
      <c r="D19" s="163"/>
      <c r="E19" s="163"/>
      <c r="F19" s="163"/>
      <c r="G19" s="163"/>
    </row>
    <row r="20" spans="1:9" s="70" customFormat="1" ht="27.9" customHeight="1">
      <c r="A20" s="220" t="str">
        <f>+A1</f>
        <v>สรุปแผนการใช้เงินบำรุง หมวดค่าวัสดุ ปีงบประมาณ 2568  (ต.ค67- มิ.ย.68)</v>
      </c>
      <c r="B20" s="220"/>
      <c r="C20" s="220"/>
      <c r="D20" s="220"/>
      <c r="E20" s="220"/>
      <c r="F20" s="220"/>
      <c r="G20" s="220"/>
      <c r="H20" s="220"/>
      <c r="I20" s="220"/>
    </row>
    <row r="21" spans="1:9" s="70" customFormat="1" ht="27.9" customHeight="1">
      <c r="A21" s="220" t="str">
        <f>+A2</f>
        <v>และ</v>
      </c>
      <c r="B21" s="220"/>
      <c r="C21" s="220"/>
      <c r="D21" s="220"/>
      <c r="E21" s="220"/>
      <c r="F21" s="220"/>
      <c r="G21" s="220"/>
      <c r="H21" s="220"/>
      <c r="I21" s="220"/>
    </row>
    <row r="22" spans="1:9" s="70" customFormat="1" ht="27.9" customHeight="1">
      <c r="A22" s="220" t="str">
        <f>+A3</f>
        <v>คำขอตั้งปรับแผนเงินบำรุง  หมวดค่าวัสดุ ประจำปีงบประมาณ 2569</v>
      </c>
      <c r="B22" s="220"/>
      <c r="C22" s="220"/>
      <c r="D22" s="220"/>
      <c r="E22" s="220"/>
      <c r="F22" s="220"/>
      <c r="G22" s="220"/>
      <c r="H22" s="220"/>
      <c r="I22" s="220"/>
    </row>
    <row r="23" spans="1:9" ht="27.9" customHeight="1">
      <c r="A23" s="71"/>
      <c r="B23" s="72" t="s">
        <v>88</v>
      </c>
      <c r="C23" s="73"/>
    </row>
    <row r="24" spans="1:9" s="74" customFormat="1" ht="27.9" customHeight="1">
      <c r="A24" s="223" t="str">
        <f>+A5</f>
        <v>ลำดับที่</v>
      </c>
      <c r="B24" s="223" t="str">
        <f>+B5</f>
        <v>แผนปีงบฯ 2568
(บาท)</v>
      </c>
      <c r="C24" s="222" t="str">
        <f>+C5</f>
        <v>ผลการดำเนินงาน ณ 30 มิ.ย. 2568 (บาท)</v>
      </c>
      <c r="D24" s="222"/>
      <c r="E24" s="222"/>
      <c r="F24" s="226" t="str">
        <f>+F5</f>
        <v>ยอดเงิน
คงเหลือ (บาท)</v>
      </c>
      <c r="G24" s="226" t="str">
        <f t="shared" ref="G24:I24" si="0">+G5</f>
        <v>วัสดุคงคลัง
 (บาท)</v>
      </c>
      <c r="H24" s="226" t="str">
        <f t="shared" si="0"/>
        <v>คำขอตั้งแผน 
ปีงบฯ 2569 (บาท)</v>
      </c>
      <c r="I24" s="226" t="str">
        <f t="shared" si="0"/>
        <v>หมายเหตุ</v>
      </c>
    </row>
    <row r="25" spans="1:9" s="74" customFormat="1" ht="27.9" customHeight="1">
      <c r="A25" s="224"/>
      <c r="B25" s="224"/>
      <c r="C25" s="172" t="str">
        <f>+C6</f>
        <v>เบิกจ่ายแล้ว</v>
      </c>
      <c r="D25" s="172" t="str">
        <f t="shared" ref="D25:E25" si="1">+D6</f>
        <v>เจ้าหนี้คงค้าง</v>
      </c>
      <c r="E25" s="172" t="str">
        <f t="shared" si="1"/>
        <v>ก่อหนี้/ยังไม่ตรวจรับ</v>
      </c>
      <c r="F25" s="242"/>
      <c r="G25" s="242"/>
      <c r="H25" s="242"/>
      <c r="I25" s="242"/>
    </row>
    <row r="26" spans="1:9" s="82" customFormat="1" ht="80.099999999999994" customHeight="1">
      <c r="A26" s="75">
        <v>13</v>
      </c>
      <c r="B26" s="79">
        <v>170000000</v>
      </c>
      <c r="C26" s="109">
        <v>142607065.97</v>
      </c>
      <c r="D26" s="78"/>
      <c r="E26" s="78"/>
      <c r="F26" s="79"/>
      <c r="G26" s="79"/>
      <c r="H26" s="79"/>
      <c r="I26" s="81"/>
    </row>
    <row r="27" spans="1:9" ht="27.9" customHeight="1">
      <c r="A27" s="83"/>
      <c r="B27" s="84"/>
      <c r="C27" s="85"/>
      <c r="D27" s="86"/>
      <c r="E27" s="86"/>
      <c r="F27" s="87"/>
      <c r="G27" s="68"/>
    </row>
    <row r="28" spans="1:9" ht="27.9" customHeight="1">
      <c r="A28" s="221" t="s">
        <v>116</v>
      </c>
      <c r="B28" s="221"/>
      <c r="C28" s="221"/>
      <c r="D28" s="221"/>
      <c r="E28" s="221"/>
      <c r="F28" s="221"/>
      <c r="G28" s="221"/>
      <c r="H28" s="221"/>
      <c r="I28" s="221"/>
    </row>
    <row r="29" spans="1:9" ht="27.9" customHeight="1">
      <c r="A29" s="234" t="s">
        <v>115</v>
      </c>
      <c r="B29" s="234"/>
      <c r="C29" s="234"/>
      <c r="D29" s="234"/>
      <c r="E29" s="234"/>
      <c r="F29" s="234"/>
      <c r="G29" s="234"/>
      <c r="H29" s="234"/>
      <c r="I29" s="234"/>
    </row>
    <row r="30" spans="1:9" ht="27.9" customHeight="1">
      <c r="A30" s="234" t="s">
        <v>115</v>
      </c>
      <c r="B30" s="234"/>
      <c r="C30" s="234"/>
      <c r="D30" s="234"/>
      <c r="E30" s="234"/>
      <c r="F30" s="234"/>
      <c r="G30" s="234"/>
      <c r="H30" s="234"/>
      <c r="I30" s="234"/>
    </row>
    <row r="31" spans="1:9" ht="27.9" customHeight="1">
      <c r="A31" s="234" t="s">
        <v>115</v>
      </c>
      <c r="B31" s="234"/>
      <c r="C31" s="234"/>
      <c r="D31" s="234"/>
      <c r="E31" s="234"/>
      <c r="F31" s="234"/>
      <c r="G31" s="234"/>
      <c r="H31" s="234"/>
      <c r="I31" s="234"/>
    </row>
    <row r="32" spans="1:9" ht="27.9" customHeight="1">
      <c r="A32" s="234" t="s">
        <v>115</v>
      </c>
      <c r="B32" s="234"/>
      <c r="C32" s="234"/>
      <c r="D32" s="234"/>
      <c r="E32" s="234"/>
      <c r="F32" s="234"/>
      <c r="G32" s="234"/>
      <c r="H32" s="234"/>
      <c r="I32" s="234"/>
    </row>
    <row r="33" spans="1:9" ht="27.9" customHeight="1">
      <c r="A33" s="82"/>
      <c r="B33" s="65"/>
      <c r="C33" s="86"/>
      <c r="D33" s="86"/>
      <c r="E33" s="90" t="s">
        <v>12</v>
      </c>
      <c r="F33" s="175"/>
      <c r="G33" s="175"/>
      <c r="H33" s="231" t="s">
        <v>13</v>
      </c>
      <c r="I33" s="231"/>
    </row>
    <row r="34" spans="1:9" ht="27.9" customHeight="1">
      <c r="E34" s="82"/>
      <c r="F34" s="232" t="s">
        <v>150</v>
      </c>
      <c r="G34" s="232"/>
      <c r="H34" s="174"/>
      <c r="I34" s="89"/>
    </row>
    <row r="35" spans="1:9" ht="27.9" customHeight="1">
      <c r="A35" s="233" t="str">
        <f>+A16</f>
        <v>*** กรุณาส่งคืน  ก.ยุทธศาสตร์และแผนงานโครงการ   ภายในวันที่  15 สิงหาคม 2568</v>
      </c>
      <c r="B35" s="233"/>
      <c r="C35" s="233"/>
      <c r="D35" s="233"/>
      <c r="E35" s="233"/>
      <c r="F35" s="233"/>
      <c r="G35" s="233"/>
    </row>
    <row r="36" spans="1:9" ht="27.9" customHeight="1">
      <c r="A36" s="163"/>
      <c r="B36" s="163"/>
      <c r="C36" s="163"/>
      <c r="D36" s="163"/>
      <c r="E36" s="163"/>
      <c r="F36" s="163"/>
      <c r="G36" s="163"/>
    </row>
    <row r="37" spans="1:9" ht="24" customHeight="1">
      <c r="A37" s="64"/>
      <c r="B37" s="99"/>
      <c r="C37" s="66"/>
      <c r="D37" s="66"/>
      <c r="E37" s="66"/>
      <c r="F37" s="67"/>
      <c r="G37" s="68"/>
    </row>
    <row r="38" spans="1:9" s="70" customFormat="1" ht="30" customHeight="1">
      <c r="A38" s="220" t="str">
        <f>+A20</f>
        <v>สรุปแผนการใช้เงินบำรุง หมวดค่าวัสดุ ปีงบประมาณ 2568  (ต.ค67- มิ.ย.68)</v>
      </c>
      <c r="B38" s="220"/>
      <c r="C38" s="220"/>
      <c r="D38" s="220"/>
      <c r="E38" s="220"/>
      <c r="F38" s="220"/>
      <c r="G38" s="220"/>
      <c r="H38" s="220"/>
      <c r="I38" s="220"/>
    </row>
    <row r="39" spans="1:9" s="70" customFormat="1" ht="30" customHeight="1">
      <c r="A39" s="220" t="str">
        <f t="shared" ref="A39:A40" si="2">+A21</f>
        <v>และ</v>
      </c>
      <c r="B39" s="220"/>
      <c r="C39" s="220"/>
      <c r="D39" s="220"/>
      <c r="E39" s="220"/>
      <c r="F39" s="220"/>
      <c r="G39" s="220"/>
      <c r="H39" s="220"/>
      <c r="I39" s="220"/>
    </row>
    <row r="40" spans="1:9" s="70" customFormat="1" ht="30" customHeight="1">
      <c r="A40" s="220" t="str">
        <f t="shared" si="2"/>
        <v>คำขอตั้งปรับแผนเงินบำรุง  หมวดค่าวัสดุ ประจำปีงบประมาณ 2569</v>
      </c>
      <c r="B40" s="220"/>
      <c r="C40" s="220"/>
      <c r="D40" s="220"/>
      <c r="E40" s="220"/>
      <c r="F40" s="220"/>
      <c r="G40" s="220"/>
      <c r="H40" s="220"/>
      <c r="I40" s="220"/>
    </row>
    <row r="41" spans="1:9" ht="30" customHeight="1">
      <c r="A41" s="71"/>
      <c r="B41" s="72" t="s">
        <v>136</v>
      </c>
      <c r="C41" s="73"/>
    </row>
    <row r="42" spans="1:9" s="74" customFormat="1" ht="27.9" customHeight="1">
      <c r="A42" s="225" t="str">
        <f>+A24</f>
        <v>ลำดับที่</v>
      </c>
      <c r="B42" s="225" t="str">
        <f>+B24</f>
        <v>แผนปีงบฯ 2568
(บาท)</v>
      </c>
      <c r="C42" s="222" t="str">
        <f>+C24</f>
        <v>ผลการดำเนินงาน ณ 30 มิ.ย. 2568 (บาท)</v>
      </c>
      <c r="D42" s="222"/>
      <c r="E42" s="222"/>
      <c r="F42" s="235" t="str">
        <f>+F24</f>
        <v>ยอดเงิน
คงเหลือ (บาท)</v>
      </c>
      <c r="G42" s="235" t="str">
        <f t="shared" ref="G42:I42" si="3">+G24</f>
        <v>วัสดุคงคลัง
 (บาท)</v>
      </c>
      <c r="H42" s="235" t="str">
        <f t="shared" si="3"/>
        <v>คำขอตั้งแผน 
ปีงบฯ 2569 (บาท)</v>
      </c>
      <c r="I42" s="235" t="str">
        <f t="shared" si="3"/>
        <v>หมายเหตุ</v>
      </c>
    </row>
    <row r="43" spans="1:9" s="74" customFormat="1" ht="27.9" customHeight="1">
      <c r="A43" s="225"/>
      <c r="B43" s="225"/>
      <c r="C43" s="172" t="str">
        <f>+C25</f>
        <v>เบิกจ่ายแล้ว</v>
      </c>
      <c r="D43" s="172" t="str">
        <f t="shared" ref="D43:E43" si="4">+D25</f>
        <v>เจ้าหนี้คงค้าง</v>
      </c>
      <c r="E43" s="172" t="str">
        <f t="shared" si="4"/>
        <v>ก่อหนี้/ยังไม่ตรวจรับ</v>
      </c>
      <c r="F43" s="235"/>
      <c r="G43" s="235"/>
      <c r="H43" s="235"/>
      <c r="I43" s="235"/>
    </row>
    <row r="44" spans="1:9" s="82" customFormat="1" ht="52.5" customHeight="1">
      <c r="A44" s="75">
        <v>14</v>
      </c>
      <c r="B44" s="79">
        <v>30000000</v>
      </c>
      <c r="C44" s="122">
        <v>17196706.800000001</v>
      </c>
      <c r="D44" s="123">
        <v>3680330.85</v>
      </c>
      <c r="E44" s="123"/>
      <c r="F44" s="124"/>
      <c r="G44" s="134"/>
      <c r="H44" s="134"/>
      <c r="I44" s="124"/>
    </row>
    <row r="45" spans="1:9" ht="27.9" customHeight="1">
      <c r="A45" s="83"/>
      <c r="B45" s="84"/>
      <c r="C45" s="85"/>
      <c r="D45" s="86"/>
      <c r="E45" s="86"/>
      <c r="F45" s="87"/>
      <c r="G45" s="68"/>
    </row>
    <row r="46" spans="1:9" ht="27.9" customHeight="1">
      <c r="A46" s="221" t="s">
        <v>116</v>
      </c>
      <c r="B46" s="221"/>
      <c r="C46" s="221"/>
      <c r="D46" s="221"/>
      <c r="E46" s="221"/>
      <c r="F46" s="221"/>
      <c r="G46" s="221"/>
      <c r="H46" s="221"/>
      <c r="I46" s="221"/>
    </row>
    <row r="47" spans="1:9" ht="27.9" customHeight="1">
      <c r="A47" s="234" t="s">
        <v>115</v>
      </c>
      <c r="B47" s="234"/>
      <c r="C47" s="234"/>
      <c r="D47" s="234"/>
      <c r="E47" s="234"/>
      <c r="F47" s="234"/>
      <c r="G47" s="234"/>
      <c r="H47" s="234"/>
      <c r="I47" s="234"/>
    </row>
    <row r="48" spans="1:9" ht="27.9" customHeight="1">
      <c r="A48" s="234" t="s">
        <v>115</v>
      </c>
      <c r="B48" s="234"/>
      <c r="C48" s="234"/>
      <c r="D48" s="234"/>
      <c r="E48" s="234"/>
      <c r="F48" s="234"/>
      <c r="G48" s="234"/>
      <c r="H48" s="234"/>
      <c r="I48" s="234"/>
    </row>
    <row r="49" spans="1:9" ht="27.9" customHeight="1">
      <c r="A49" s="234" t="s">
        <v>115</v>
      </c>
      <c r="B49" s="234"/>
      <c r="C49" s="234"/>
      <c r="D49" s="234"/>
      <c r="E49" s="234"/>
      <c r="F49" s="234"/>
      <c r="G49" s="234"/>
      <c r="H49" s="234"/>
      <c r="I49" s="234"/>
    </row>
    <row r="50" spans="1:9" ht="27.9" customHeight="1">
      <c r="A50" s="234" t="s">
        <v>115</v>
      </c>
      <c r="B50" s="234"/>
      <c r="C50" s="234"/>
      <c r="D50" s="234"/>
      <c r="E50" s="234"/>
      <c r="F50" s="234"/>
      <c r="G50" s="234"/>
      <c r="H50" s="234"/>
      <c r="I50" s="234"/>
    </row>
    <row r="51" spans="1:9" ht="27.9" customHeight="1">
      <c r="A51" s="82"/>
      <c r="B51" s="65"/>
      <c r="C51" s="86"/>
      <c r="D51" s="86"/>
      <c r="E51" s="90" t="s">
        <v>12</v>
      </c>
      <c r="F51" s="175"/>
      <c r="G51" s="175"/>
      <c r="H51" s="231" t="s">
        <v>13</v>
      </c>
      <c r="I51" s="231"/>
    </row>
    <row r="52" spans="1:9" ht="27.9" customHeight="1">
      <c r="E52" s="82"/>
      <c r="F52" s="232" t="s">
        <v>150</v>
      </c>
      <c r="G52" s="232"/>
      <c r="H52" s="174"/>
      <c r="I52" s="89"/>
    </row>
    <row r="53" spans="1:9" s="148" customFormat="1" ht="30.75" customHeight="1">
      <c r="A53" s="243" t="str">
        <f>+A35</f>
        <v>*** กรุณาส่งคืน  ก.ยุทธศาสตร์และแผนงานโครงการ   ภายในวันที่  15 สิงหาคม 2568</v>
      </c>
      <c r="B53" s="243"/>
      <c r="C53" s="243"/>
      <c r="D53" s="243"/>
      <c r="E53" s="243"/>
      <c r="F53" s="243"/>
      <c r="G53" s="243"/>
    </row>
    <row r="54" spans="1:9" s="148" customFormat="1" ht="30.75" customHeight="1">
      <c r="A54" s="164"/>
      <c r="B54" s="164"/>
      <c r="C54" s="164"/>
      <c r="D54" s="164"/>
      <c r="E54" s="164"/>
      <c r="F54" s="164"/>
      <c r="G54" s="164"/>
    </row>
    <row r="55" spans="1:9" s="148" customFormat="1" ht="30.75" customHeight="1">
      <c r="A55" s="164"/>
      <c r="B55" s="164"/>
      <c r="C55" s="164"/>
      <c r="D55" s="164"/>
      <c r="E55" s="164"/>
      <c r="F55" s="164"/>
      <c r="G55" s="164"/>
    </row>
    <row r="56" spans="1:9" s="148" customFormat="1" ht="30.75" customHeight="1">
      <c r="A56" s="164"/>
      <c r="B56" s="164"/>
      <c r="C56" s="164"/>
      <c r="D56" s="164"/>
      <c r="E56" s="164"/>
      <c r="F56" s="164"/>
      <c r="G56" s="164"/>
    </row>
    <row r="57" spans="1:9" s="70" customFormat="1" ht="30" customHeight="1">
      <c r="A57" s="220" t="str">
        <f>+A38</f>
        <v>สรุปแผนการใช้เงินบำรุง หมวดค่าวัสดุ ปีงบประมาณ 2568  (ต.ค67- มิ.ย.68)</v>
      </c>
      <c r="B57" s="220"/>
      <c r="C57" s="220"/>
      <c r="D57" s="220"/>
      <c r="E57" s="220"/>
      <c r="F57" s="220"/>
      <c r="G57" s="220"/>
      <c r="H57" s="220"/>
      <c r="I57" s="220"/>
    </row>
    <row r="58" spans="1:9" s="70" customFormat="1" ht="30" customHeight="1">
      <c r="A58" s="220" t="str">
        <f t="shared" ref="A58:A59" si="5">+A39</f>
        <v>และ</v>
      </c>
      <c r="B58" s="220"/>
      <c r="C58" s="220"/>
      <c r="D58" s="220"/>
      <c r="E58" s="220"/>
      <c r="F58" s="220"/>
      <c r="G58" s="220"/>
      <c r="H58" s="220"/>
      <c r="I58" s="220"/>
    </row>
    <row r="59" spans="1:9" s="70" customFormat="1" ht="30" customHeight="1">
      <c r="A59" s="220" t="str">
        <f t="shared" si="5"/>
        <v>คำขอตั้งปรับแผนเงินบำรุง  หมวดค่าวัสดุ ประจำปีงบประมาณ 2569</v>
      </c>
      <c r="B59" s="220"/>
      <c r="C59" s="220"/>
      <c r="D59" s="220"/>
      <c r="E59" s="220"/>
      <c r="F59" s="220"/>
      <c r="G59" s="220"/>
      <c r="H59" s="220"/>
      <c r="I59" s="220"/>
    </row>
    <row r="60" spans="1:9" ht="27.9" customHeight="1">
      <c r="A60" s="71"/>
      <c r="B60" s="72" t="s">
        <v>28</v>
      </c>
      <c r="C60" s="73"/>
    </row>
    <row r="61" spans="1:9" s="74" customFormat="1" ht="27.9" customHeight="1">
      <c r="A61" s="225" t="str">
        <f>+A42</f>
        <v>ลำดับที่</v>
      </c>
      <c r="B61" s="225" t="str">
        <f>+B42</f>
        <v>แผนปีงบฯ 2568
(บาท)</v>
      </c>
      <c r="C61" s="222" t="str">
        <f>+C42</f>
        <v>ผลการดำเนินงาน ณ 30 มิ.ย. 2568 (บาท)</v>
      </c>
      <c r="D61" s="222"/>
      <c r="E61" s="222"/>
      <c r="F61" s="235" t="str">
        <f>+F42</f>
        <v>ยอดเงิน
คงเหลือ (บาท)</v>
      </c>
      <c r="G61" s="235" t="str">
        <f t="shared" ref="G61:I61" si="6">+G42</f>
        <v>วัสดุคงคลัง
 (บาท)</v>
      </c>
      <c r="H61" s="235" t="str">
        <f t="shared" si="6"/>
        <v>คำขอตั้งแผน 
ปีงบฯ 2569 (บาท)</v>
      </c>
      <c r="I61" s="235" t="str">
        <f t="shared" si="6"/>
        <v>หมายเหตุ</v>
      </c>
    </row>
    <row r="62" spans="1:9" s="74" customFormat="1" ht="27.9" customHeight="1">
      <c r="A62" s="225"/>
      <c r="B62" s="225"/>
      <c r="C62" s="172" t="str">
        <f>+C43</f>
        <v>เบิกจ่ายแล้ว</v>
      </c>
      <c r="D62" s="172" t="str">
        <f t="shared" ref="D62:E62" si="7">+D43</f>
        <v>เจ้าหนี้คงค้าง</v>
      </c>
      <c r="E62" s="172" t="str">
        <f t="shared" si="7"/>
        <v>ก่อหนี้/ยังไม่ตรวจรับ</v>
      </c>
      <c r="F62" s="235"/>
      <c r="G62" s="235"/>
      <c r="H62" s="235"/>
      <c r="I62" s="235"/>
    </row>
    <row r="63" spans="1:9" s="82" customFormat="1" ht="72.75" customHeight="1">
      <c r="A63" s="75">
        <v>15</v>
      </c>
      <c r="B63" s="144">
        <v>13000000</v>
      </c>
      <c r="C63" s="110">
        <v>7656813.04</v>
      </c>
      <c r="D63" s="78">
        <v>2287465.19</v>
      </c>
      <c r="E63" s="78"/>
      <c r="F63" s="79"/>
      <c r="G63" s="101"/>
      <c r="H63" s="101"/>
      <c r="I63" s="101"/>
    </row>
    <row r="64" spans="1:9" ht="27.9" customHeight="1">
      <c r="A64" s="83"/>
      <c r="B64" s="84"/>
      <c r="C64" s="85"/>
      <c r="D64" s="86"/>
      <c r="E64" s="86"/>
      <c r="F64" s="87"/>
      <c r="G64" s="68"/>
    </row>
    <row r="65" spans="1:9" ht="27.9" customHeight="1">
      <c r="A65" s="221" t="s">
        <v>116</v>
      </c>
      <c r="B65" s="221"/>
      <c r="C65" s="221"/>
      <c r="D65" s="221"/>
      <c r="E65" s="221"/>
      <c r="F65" s="221"/>
      <c r="G65" s="221"/>
      <c r="H65" s="221"/>
      <c r="I65" s="221"/>
    </row>
    <row r="66" spans="1:9" ht="27.9" customHeight="1">
      <c r="A66" s="234" t="s">
        <v>115</v>
      </c>
      <c r="B66" s="234"/>
      <c r="C66" s="234"/>
      <c r="D66" s="234"/>
      <c r="E66" s="234"/>
      <c r="F66" s="234"/>
      <c r="G66" s="234"/>
      <c r="H66" s="234"/>
      <c r="I66" s="234"/>
    </row>
    <row r="67" spans="1:9" ht="27.9" customHeight="1">
      <c r="A67" s="234" t="s">
        <v>115</v>
      </c>
      <c r="B67" s="234"/>
      <c r="C67" s="234"/>
      <c r="D67" s="234"/>
      <c r="E67" s="234"/>
      <c r="F67" s="234"/>
      <c r="G67" s="234"/>
      <c r="H67" s="234"/>
      <c r="I67" s="234"/>
    </row>
    <row r="68" spans="1:9" s="89" customFormat="1" ht="27.9" customHeight="1">
      <c r="A68" s="234" t="s">
        <v>115</v>
      </c>
      <c r="B68" s="234"/>
      <c r="C68" s="234"/>
      <c r="D68" s="234"/>
      <c r="E68" s="234"/>
      <c r="F68" s="234"/>
      <c r="G68" s="234"/>
      <c r="H68" s="234"/>
      <c r="I68" s="234"/>
    </row>
    <row r="69" spans="1:9" s="82" customFormat="1" ht="27.9" customHeight="1">
      <c r="A69" s="234" t="s">
        <v>115</v>
      </c>
      <c r="B69" s="234"/>
      <c r="C69" s="234"/>
      <c r="D69" s="234"/>
      <c r="E69" s="234"/>
      <c r="F69" s="234"/>
      <c r="G69" s="234"/>
      <c r="H69" s="234"/>
      <c r="I69" s="234"/>
    </row>
    <row r="70" spans="1:9" s="82" customFormat="1" ht="27.9" customHeight="1">
      <c r="E70" s="90" t="s">
        <v>12</v>
      </c>
      <c r="F70" s="175"/>
      <c r="G70" s="175"/>
      <c r="H70" s="231" t="s">
        <v>13</v>
      </c>
      <c r="I70" s="231"/>
    </row>
    <row r="71" spans="1:9" ht="27.9" customHeight="1">
      <c r="A71" s="82"/>
      <c r="B71" s="65"/>
      <c r="C71" s="86"/>
      <c r="D71" s="86"/>
      <c r="E71" s="82"/>
      <c r="F71" s="232" t="s">
        <v>150</v>
      </c>
      <c r="G71" s="232"/>
      <c r="H71" s="174"/>
      <c r="I71" s="89"/>
    </row>
    <row r="72" spans="1:9" ht="27.9" customHeight="1">
      <c r="F72" s="89"/>
      <c r="G72" s="174"/>
      <c r="H72" s="174"/>
      <c r="I72" s="89"/>
    </row>
    <row r="73" spans="1:9" ht="27.9" customHeight="1">
      <c r="A73" s="233" t="str">
        <f>+A53</f>
        <v>*** กรุณาส่งคืน  ก.ยุทธศาสตร์และแผนงานโครงการ   ภายในวันที่  15 สิงหาคม 2568</v>
      </c>
      <c r="B73" s="233"/>
      <c r="C73" s="233"/>
      <c r="D73" s="233"/>
      <c r="E73" s="233"/>
      <c r="F73" s="233"/>
      <c r="G73" s="233"/>
    </row>
  </sheetData>
  <mergeCells count="72">
    <mergeCell ref="H14:I14"/>
    <mergeCell ref="F15:G15"/>
    <mergeCell ref="A29:I29"/>
    <mergeCell ref="A30:I30"/>
    <mergeCell ref="A31:I31"/>
    <mergeCell ref="F24:F25"/>
    <mergeCell ref="G24:G25"/>
    <mergeCell ref="A24:A25"/>
    <mergeCell ref="A16:G16"/>
    <mergeCell ref="C24:E24"/>
    <mergeCell ref="A10:I10"/>
    <mergeCell ref="A11:I11"/>
    <mergeCell ref="A12:I12"/>
    <mergeCell ref="A13:I13"/>
    <mergeCell ref="C5:E5"/>
    <mergeCell ref="A73:G73"/>
    <mergeCell ref="B61:B62"/>
    <mergeCell ref="A68:I68"/>
    <mergeCell ref="A69:I69"/>
    <mergeCell ref="A65:I65"/>
    <mergeCell ref="H61:H62"/>
    <mergeCell ref="I61:I62"/>
    <mergeCell ref="G61:G62"/>
    <mergeCell ref="F61:F62"/>
    <mergeCell ref="C61:E61"/>
    <mergeCell ref="A66:I66"/>
    <mergeCell ref="A67:I67"/>
    <mergeCell ref="H70:I70"/>
    <mergeCell ref="F71:G71"/>
    <mergeCell ref="A61:A62"/>
    <mergeCell ref="A59:I59"/>
    <mergeCell ref="A57:I57"/>
    <mergeCell ref="A58:I58"/>
    <mergeCell ref="B24:B25"/>
    <mergeCell ref="B42:B43"/>
    <mergeCell ref="A35:G35"/>
    <mergeCell ref="A53:G53"/>
    <mergeCell ref="A46:I46"/>
    <mergeCell ref="A47:I47"/>
    <mergeCell ref="A40:I40"/>
    <mergeCell ref="H42:H43"/>
    <mergeCell ref="I42:I43"/>
    <mergeCell ref="A42:A43"/>
    <mergeCell ref="G42:G43"/>
    <mergeCell ref="F42:F43"/>
    <mergeCell ref="A50:I50"/>
    <mergeCell ref="A1:I1"/>
    <mergeCell ref="A2:I2"/>
    <mergeCell ref="A3:I3"/>
    <mergeCell ref="A9:I9"/>
    <mergeCell ref="H5:H6"/>
    <mergeCell ref="I5:I6"/>
    <mergeCell ref="F5:F6"/>
    <mergeCell ref="G5:G6"/>
    <mergeCell ref="A5:A6"/>
    <mergeCell ref="B5:B6"/>
    <mergeCell ref="H51:I51"/>
    <mergeCell ref="F52:G52"/>
    <mergeCell ref="A38:I38"/>
    <mergeCell ref="A39:I39"/>
    <mergeCell ref="A20:I20"/>
    <mergeCell ref="H24:H25"/>
    <mergeCell ref="I24:I25"/>
    <mergeCell ref="A22:I22"/>
    <mergeCell ref="A28:I28"/>
    <mergeCell ref="A21:I21"/>
    <mergeCell ref="A32:I32"/>
    <mergeCell ref="H33:I33"/>
    <mergeCell ref="F34:G34"/>
    <mergeCell ref="C42:E42"/>
    <mergeCell ref="A48:I48"/>
    <mergeCell ref="A49:I49"/>
  </mergeCells>
  <pageMargins left="0.39370078740157483" right="0.39370078740157483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75"/>
  <sheetViews>
    <sheetView view="pageBreakPreview" topLeftCell="A46" zoomScaleNormal="110" zoomScaleSheetLayoutView="100" workbookViewId="0">
      <selection activeCell="D66" sqref="D66"/>
    </sheetView>
  </sheetViews>
  <sheetFormatPr defaultColWidth="9" defaultRowHeight="57" customHeight="1"/>
  <cols>
    <col min="1" max="1" width="5.3984375" style="94" customWidth="1"/>
    <col min="2" max="2" width="16.19921875" style="94" customWidth="1"/>
    <col min="3" max="3" width="15.3984375" style="69" customWidth="1"/>
    <col min="4" max="5" width="17.8984375" style="69" customWidth="1"/>
    <col min="6" max="6" width="15" style="69" customWidth="1"/>
    <col min="7" max="7" width="17.69921875" style="69" customWidth="1"/>
    <col min="8" max="8" width="18.3984375" style="69" customWidth="1"/>
    <col min="9" max="9" width="17.8984375" style="69" customWidth="1"/>
    <col min="10" max="10" width="9.8984375" style="69" customWidth="1"/>
    <col min="11" max="16384" width="9" style="69"/>
  </cols>
  <sheetData>
    <row r="1" spans="1:9" s="70" customFormat="1" ht="27.9" customHeight="1">
      <c r="A1" s="220" t="str">
        <f>+'3.วัสดุการแพทย์'!A57:I57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</row>
    <row r="2" spans="1:9" s="70" customFormat="1" ht="27.9" customHeight="1">
      <c r="A2" s="220" t="str">
        <f>+'3.วัสดุการแพทย์'!A58:I58</f>
        <v>และ</v>
      </c>
      <c r="B2" s="220"/>
      <c r="C2" s="220"/>
      <c r="D2" s="220"/>
      <c r="E2" s="220"/>
      <c r="F2" s="220"/>
      <c r="G2" s="220"/>
      <c r="H2" s="220"/>
      <c r="I2" s="220"/>
    </row>
    <row r="3" spans="1:9" s="70" customFormat="1" ht="27.9" customHeight="1">
      <c r="A3" s="220" t="str">
        <f>+'3.วัสดุการแพทย์'!A59:I59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</row>
    <row r="4" spans="1:9" ht="27.9" customHeight="1">
      <c r="A4" s="71"/>
      <c r="B4" s="72" t="s">
        <v>89</v>
      </c>
      <c r="C4" s="73"/>
    </row>
    <row r="5" spans="1:9" s="74" customFormat="1" ht="27.9" customHeight="1">
      <c r="A5" s="225" t="s">
        <v>77</v>
      </c>
      <c r="B5" s="225" t="s">
        <v>148</v>
      </c>
      <c r="C5" s="222" t="s">
        <v>152</v>
      </c>
      <c r="D5" s="222"/>
      <c r="E5" s="222"/>
      <c r="F5" s="225" t="s">
        <v>131</v>
      </c>
      <c r="G5" s="235" t="s">
        <v>124</v>
      </c>
      <c r="H5" s="235" t="s">
        <v>149</v>
      </c>
      <c r="I5" s="244" t="s">
        <v>7</v>
      </c>
    </row>
    <row r="6" spans="1:9" s="74" customFormat="1" ht="27.9" customHeight="1">
      <c r="A6" s="225"/>
      <c r="B6" s="225"/>
      <c r="C6" s="172" t="s">
        <v>145</v>
      </c>
      <c r="D6" s="172" t="s">
        <v>133</v>
      </c>
      <c r="E6" s="170" t="s">
        <v>128</v>
      </c>
      <c r="F6" s="225"/>
      <c r="G6" s="235"/>
      <c r="H6" s="235"/>
      <c r="I6" s="244"/>
    </row>
    <row r="7" spans="1:9" s="82" customFormat="1" ht="80.099999999999994" customHeight="1">
      <c r="A7" s="96">
        <v>16</v>
      </c>
      <c r="B7" s="179">
        <v>5000000</v>
      </c>
      <c r="C7" s="95"/>
      <c r="D7" s="171"/>
      <c r="E7" s="171"/>
      <c r="F7" s="179"/>
      <c r="G7" s="179"/>
      <c r="H7" s="179"/>
      <c r="I7" s="182"/>
    </row>
    <row r="8" spans="1:9" ht="27.9" customHeight="1">
      <c r="A8" s="83"/>
      <c r="B8" s="84"/>
      <c r="C8" s="85"/>
      <c r="D8" s="86"/>
      <c r="E8" s="86"/>
      <c r="F8" s="87"/>
      <c r="G8" s="68"/>
    </row>
    <row r="9" spans="1:9" ht="27.9" customHeight="1">
      <c r="A9" s="221" t="s">
        <v>116</v>
      </c>
      <c r="B9" s="221"/>
      <c r="C9" s="221"/>
      <c r="D9" s="221"/>
      <c r="E9" s="221"/>
      <c r="F9" s="221"/>
      <c r="G9" s="221"/>
      <c r="H9" s="221"/>
      <c r="I9" s="221"/>
    </row>
    <row r="10" spans="1:9" ht="27.9" customHeight="1">
      <c r="A10" s="234" t="s">
        <v>115</v>
      </c>
      <c r="B10" s="234"/>
      <c r="C10" s="234"/>
      <c r="D10" s="234"/>
      <c r="E10" s="234"/>
      <c r="F10" s="234"/>
      <c r="G10" s="234"/>
      <c r="H10" s="234"/>
      <c r="I10" s="234"/>
    </row>
    <row r="11" spans="1:9" s="89" customFormat="1" ht="27.9" customHeight="1">
      <c r="A11" s="234" t="s">
        <v>115</v>
      </c>
      <c r="B11" s="234"/>
      <c r="C11" s="234"/>
      <c r="D11" s="234"/>
      <c r="E11" s="234"/>
      <c r="F11" s="234"/>
      <c r="G11" s="234"/>
      <c r="H11" s="234"/>
      <c r="I11" s="234"/>
    </row>
    <row r="12" spans="1:9" s="89" customFormat="1" ht="27.9" customHeight="1">
      <c r="A12" s="234" t="s">
        <v>115</v>
      </c>
      <c r="B12" s="234"/>
      <c r="C12" s="234"/>
      <c r="D12" s="234"/>
      <c r="E12" s="234"/>
      <c r="F12" s="234"/>
      <c r="G12" s="234"/>
      <c r="H12" s="234"/>
      <c r="I12" s="234"/>
    </row>
    <row r="13" spans="1:9" s="82" customFormat="1" ht="27.9" customHeight="1">
      <c r="A13" s="234" t="s">
        <v>115</v>
      </c>
      <c r="B13" s="234"/>
      <c r="C13" s="234"/>
      <c r="D13" s="234"/>
      <c r="E13" s="234"/>
      <c r="F13" s="234"/>
      <c r="G13" s="234"/>
      <c r="H13" s="234"/>
      <c r="I13" s="234"/>
    </row>
    <row r="14" spans="1:9" s="82" customFormat="1" ht="27.9" customHeight="1">
      <c r="E14" s="90" t="s">
        <v>12</v>
      </c>
      <c r="F14" s="175"/>
      <c r="G14" s="175"/>
      <c r="H14" s="231" t="s">
        <v>13</v>
      </c>
      <c r="I14" s="231"/>
    </row>
    <row r="15" spans="1:9" ht="27.9" customHeight="1">
      <c r="A15" s="82"/>
      <c r="B15" s="65"/>
      <c r="C15" s="86"/>
      <c r="D15" s="86"/>
      <c r="E15" s="82"/>
      <c r="F15" s="232" t="s">
        <v>150</v>
      </c>
      <c r="G15" s="232"/>
      <c r="H15" s="174"/>
      <c r="I15" s="89"/>
    </row>
    <row r="16" spans="1:9" ht="27.9" customHeight="1">
      <c r="A16" s="82"/>
      <c r="B16" s="65"/>
      <c r="C16" s="86"/>
      <c r="D16" s="86"/>
      <c r="E16" s="82"/>
      <c r="F16" s="89"/>
      <c r="G16" s="89"/>
      <c r="H16" s="174"/>
      <c r="I16" s="89"/>
    </row>
    <row r="17" spans="1:9" ht="27.9" customHeight="1">
      <c r="F17" s="89"/>
      <c r="G17" s="174"/>
      <c r="H17" s="174"/>
      <c r="I17" s="89"/>
    </row>
    <row r="18" spans="1:9" ht="27.9" customHeight="1">
      <c r="A18" s="233" t="str">
        <f>+'3.วัสดุการแพทย์'!A16:G16</f>
        <v>*** กรุณาส่งคืน  ก.ยุทธศาสตร์และแผนงานโครงการ   ภายในวันที่  15 สิงหาคม 2568</v>
      </c>
      <c r="B18" s="233"/>
      <c r="C18" s="233"/>
      <c r="D18" s="233"/>
      <c r="E18" s="233"/>
      <c r="F18" s="233"/>
      <c r="G18" s="233"/>
    </row>
    <row r="19" spans="1:9" ht="17.25" customHeight="1">
      <c r="A19" s="64"/>
      <c r="B19" s="99"/>
      <c r="C19" s="66"/>
      <c r="D19" s="66"/>
      <c r="E19" s="66"/>
      <c r="F19" s="67"/>
      <c r="G19" s="68"/>
    </row>
    <row r="20" spans="1:9" s="70" customFormat="1" ht="27.9" customHeight="1">
      <c r="A20" s="220" t="str">
        <f>+A1</f>
        <v>สรุปแผนการใช้เงินบำรุง หมวดค่าวัสดุ ปีงบประมาณ 2568  (ต.ค67- มิ.ย.68)</v>
      </c>
      <c r="B20" s="220"/>
      <c r="C20" s="220"/>
      <c r="D20" s="220"/>
      <c r="E20" s="220"/>
      <c r="F20" s="220"/>
      <c r="G20" s="220"/>
      <c r="H20" s="220"/>
      <c r="I20" s="220"/>
    </row>
    <row r="21" spans="1:9" s="70" customFormat="1" ht="27.9" customHeight="1">
      <c r="A21" s="220" t="str">
        <f t="shared" ref="A21:A22" si="0">+A2</f>
        <v>และ</v>
      </c>
      <c r="B21" s="220"/>
      <c r="C21" s="220"/>
      <c r="D21" s="220"/>
      <c r="E21" s="220"/>
      <c r="F21" s="220"/>
      <c r="G21" s="220"/>
      <c r="H21" s="220"/>
      <c r="I21" s="220"/>
    </row>
    <row r="22" spans="1:9" s="70" customFormat="1" ht="27.9" customHeight="1">
      <c r="A22" s="220" t="str">
        <f t="shared" si="0"/>
        <v>คำขอตั้งปรับแผนเงินบำรุง  หมวดค่าวัสดุ ประจำปีงบประมาณ 2569</v>
      </c>
      <c r="B22" s="220"/>
      <c r="C22" s="220"/>
      <c r="D22" s="220"/>
      <c r="E22" s="220"/>
      <c r="F22" s="220"/>
      <c r="G22" s="220"/>
      <c r="H22" s="220"/>
      <c r="I22" s="220"/>
    </row>
    <row r="23" spans="1:9" ht="27.9" customHeight="1">
      <c r="A23" s="71"/>
      <c r="B23" s="72" t="s">
        <v>31</v>
      </c>
      <c r="C23" s="73"/>
    </row>
    <row r="24" spans="1:9" s="74" customFormat="1" ht="27.9" customHeight="1">
      <c r="A24" s="225" t="str">
        <f>+A5</f>
        <v>ลำดับที่</v>
      </c>
      <c r="B24" s="225" t="str">
        <f>+B5</f>
        <v>แผนปีงบฯ 2568
(บาท)</v>
      </c>
      <c r="C24" s="222" t="str">
        <f>+C5</f>
        <v>ผลการดำเนินงาน ณ 30 มิ.ย. 2568 (บาท)</v>
      </c>
      <c r="D24" s="222"/>
      <c r="E24" s="222"/>
      <c r="F24" s="235" t="str">
        <f>+F5</f>
        <v>ยอดเงิน
คงเหลือ (บาท)</v>
      </c>
      <c r="G24" s="235" t="str">
        <f t="shared" ref="G24:I24" si="1">+G5</f>
        <v>วัสดุคงคลัง
 (บาท)</v>
      </c>
      <c r="H24" s="235" t="str">
        <f t="shared" si="1"/>
        <v>คำขอตั้งแผน 
ปีงบฯ 2569 (บาท)</v>
      </c>
      <c r="I24" s="235" t="str">
        <f t="shared" si="1"/>
        <v>หมายเหตุ</v>
      </c>
    </row>
    <row r="25" spans="1:9" s="74" customFormat="1" ht="27.9" customHeight="1">
      <c r="A25" s="225"/>
      <c r="B25" s="225"/>
      <c r="C25" s="172" t="str">
        <f>+C6</f>
        <v>เบิกจ่ายแล้ว</v>
      </c>
      <c r="D25" s="172" t="str">
        <f t="shared" ref="D25:E25" si="2">+D6</f>
        <v>เจ้าหนี้คงค้าง</v>
      </c>
      <c r="E25" s="172" t="str">
        <f t="shared" si="2"/>
        <v>ก่อหนี้/ยังไม่ตรวจรับ</v>
      </c>
      <c r="F25" s="235"/>
      <c r="G25" s="235"/>
      <c r="H25" s="235"/>
      <c r="I25" s="235"/>
    </row>
    <row r="26" spans="1:9" s="82" customFormat="1" ht="58.5" customHeight="1">
      <c r="A26" s="96">
        <v>17</v>
      </c>
      <c r="B26" s="179">
        <v>4000000</v>
      </c>
      <c r="C26" s="95"/>
      <c r="D26" s="171"/>
      <c r="E26" s="171"/>
      <c r="F26" s="186"/>
      <c r="G26" s="180"/>
      <c r="H26" s="185"/>
      <c r="I26" s="135" t="s">
        <v>94</v>
      </c>
    </row>
    <row r="27" spans="1:9" s="82" customFormat="1" ht="59.25" customHeight="1">
      <c r="A27" s="75">
        <v>18</v>
      </c>
      <c r="B27" s="79">
        <v>72000000</v>
      </c>
      <c r="C27" s="76"/>
      <c r="D27" s="78"/>
      <c r="E27" s="78"/>
      <c r="F27" s="146"/>
      <c r="G27" s="101"/>
      <c r="H27" s="101"/>
      <c r="I27" s="135" t="s">
        <v>130</v>
      </c>
    </row>
    <row r="28" spans="1:9" ht="27.9" customHeight="1">
      <c r="A28" s="83"/>
      <c r="B28" s="84"/>
      <c r="C28" s="85"/>
      <c r="D28" s="86"/>
      <c r="E28" s="86"/>
      <c r="F28" s="87"/>
      <c r="G28" s="68"/>
    </row>
    <row r="29" spans="1:9" ht="27.9" customHeight="1">
      <c r="A29" s="221" t="s">
        <v>116</v>
      </c>
      <c r="B29" s="221"/>
      <c r="C29" s="221"/>
      <c r="D29" s="221"/>
      <c r="E29" s="221"/>
      <c r="F29" s="221"/>
      <c r="G29" s="221"/>
      <c r="H29" s="221"/>
      <c r="I29" s="221"/>
    </row>
    <row r="30" spans="1:9" ht="27.9" customHeight="1">
      <c r="A30" s="234" t="s">
        <v>115</v>
      </c>
      <c r="B30" s="234"/>
      <c r="C30" s="234"/>
      <c r="D30" s="234"/>
      <c r="E30" s="234"/>
      <c r="F30" s="234"/>
      <c r="G30" s="234"/>
      <c r="H30" s="234"/>
      <c r="I30" s="234"/>
    </row>
    <row r="31" spans="1:9" s="89" customFormat="1" ht="27.9" customHeight="1">
      <c r="A31" s="234" t="s">
        <v>115</v>
      </c>
      <c r="B31" s="234"/>
      <c r="C31" s="234"/>
      <c r="D31" s="234"/>
      <c r="E31" s="234"/>
      <c r="F31" s="234"/>
      <c r="G31" s="234"/>
      <c r="H31" s="234"/>
      <c r="I31" s="234"/>
    </row>
    <row r="32" spans="1:9" s="89" customFormat="1" ht="27.9" customHeight="1">
      <c r="A32" s="234" t="s">
        <v>115</v>
      </c>
      <c r="B32" s="234"/>
      <c r="C32" s="234"/>
      <c r="D32" s="234"/>
      <c r="E32" s="234"/>
      <c r="F32" s="234"/>
      <c r="G32" s="234"/>
      <c r="H32" s="234"/>
      <c r="I32" s="234"/>
    </row>
    <row r="33" spans="1:9" s="82" customFormat="1" ht="27.9" customHeight="1">
      <c r="A33" s="234" t="s">
        <v>115</v>
      </c>
      <c r="B33" s="234"/>
      <c r="C33" s="234"/>
      <c r="D33" s="234"/>
      <c r="E33" s="234"/>
      <c r="F33" s="234"/>
      <c r="G33" s="234"/>
      <c r="H33" s="234"/>
      <c r="I33" s="234"/>
    </row>
    <row r="34" spans="1:9" s="82" customFormat="1" ht="27.9" customHeight="1">
      <c r="E34" s="90" t="s">
        <v>12</v>
      </c>
      <c r="F34" s="175"/>
      <c r="G34" s="175"/>
      <c r="H34" s="231" t="s">
        <v>13</v>
      </c>
      <c r="I34" s="231"/>
    </row>
    <row r="35" spans="1:9" ht="27.9" customHeight="1">
      <c r="A35" s="82"/>
      <c r="B35" s="65"/>
      <c r="C35" s="86"/>
      <c r="D35" s="86"/>
      <c r="E35" s="82"/>
      <c r="F35" s="232" t="s">
        <v>134</v>
      </c>
      <c r="G35" s="232"/>
      <c r="H35" s="174"/>
      <c r="I35" s="89"/>
    </row>
    <row r="36" spans="1:9" s="148" customFormat="1" ht="27" customHeight="1">
      <c r="A36" s="243" t="str">
        <f>+A18</f>
        <v>*** กรุณาส่งคืน  ก.ยุทธศาสตร์และแผนงานโครงการ   ภายในวันที่  15 สิงหาคม 2568</v>
      </c>
      <c r="B36" s="243"/>
      <c r="C36" s="243"/>
      <c r="D36" s="243"/>
      <c r="E36" s="243"/>
      <c r="F36" s="243"/>
      <c r="G36" s="243"/>
    </row>
    <row r="37" spans="1:9" s="148" customFormat="1" ht="20.25" customHeight="1">
      <c r="A37" s="164"/>
      <c r="B37" s="164"/>
      <c r="C37" s="164"/>
      <c r="D37" s="164"/>
      <c r="E37" s="164"/>
      <c r="F37" s="164"/>
      <c r="G37" s="164"/>
    </row>
    <row r="38" spans="1:9" s="148" customFormat="1" ht="20.25" customHeight="1">
      <c r="A38" s="164"/>
      <c r="B38" s="164"/>
      <c r="C38" s="164"/>
      <c r="D38" s="164"/>
      <c r="E38" s="164"/>
      <c r="F38" s="164"/>
      <c r="G38" s="164"/>
    </row>
    <row r="39" spans="1:9" s="148" customFormat="1" ht="20.25" customHeight="1">
      <c r="A39" s="164"/>
      <c r="B39" s="164"/>
      <c r="C39" s="164"/>
      <c r="D39" s="164"/>
      <c r="E39" s="164"/>
      <c r="F39" s="164"/>
      <c r="G39" s="164"/>
    </row>
    <row r="40" spans="1:9" s="70" customFormat="1" ht="27.9" customHeight="1">
      <c r="A40" s="220" t="str">
        <f>+A20</f>
        <v>สรุปแผนการใช้เงินบำรุง หมวดค่าวัสดุ ปีงบประมาณ 2568  (ต.ค67- มิ.ย.68)</v>
      </c>
      <c r="B40" s="220"/>
      <c r="C40" s="220"/>
      <c r="D40" s="220"/>
      <c r="E40" s="220"/>
      <c r="F40" s="220"/>
      <c r="G40" s="220"/>
      <c r="H40" s="220"/>
      <c r="I40" s="220"/>
    </row>
    <row r="41" spans="1:9" s="70" customFormat="1" ht="27.9" customHeight="1">
      <c r="A41" s="220" t="str">
        <f t="shared" ref="A41:A42" si="3">+A21</f>
        <v>และ</v>
      </c>
      <c r="B41" s="220"/>
      <c r="C41" s="220"/>
      <c r="D41" s="220"/>
      <c r="E41" s="220"/>
      <c r="F41" s="220"/>
      <c r="G41" s="220"/>
      <c r="H41" s="220"/>
      <c r="I41" s="220"/>
    </row>
    <row r="42" spans="1:9" s="70" customFormat="1" ht="27.9" customHeight="1">
      <c r="A42" s="220" t="str">
        <f t="shared" si="3"/>
        <v>คำขอตั้งปรับแผนเงินบำรุง  หมวดค่าวัสดุ ประจำปีงบประมาณ 2569</v>
      </c>
      <c r="B42" s="220"/>
      <c r="C42" s="220"/>
      <c r="D42" s="220"/>
      <c r="E42" s="220"/>
      <c r="F42" s="220"/>
      <c r="G42" s="220"/>
      <c r="H42" s="220"/>
      <c r="I42" s="220"/>
    </row>
    <row r="43" spans="1:9" ht="27.9" customHeight="1">
      <c r="A43" s="71"/>
      <c r="B43" s="72" t="s">
        <v>90</v>
      </c>
      <c r="C43" s="73"/>
    </row>
    <row r="44" spans="1:9" s="74" customFormat="1" ht="27.9" customHeight="1">
      <c r="A44" s="225" t="str">
        <f>+A24</f>
        <v>ลำดับที่</v>
      </c>
      <c r="B44" s="225" t="str">
        <f>+B24</f>
        <v>แผนปีงบฯ 2568
(บาท)</v>
      </c>
      <c r="C44" s="222" t="str">
        <f>+C24</f>
        <v>ผลการดำเนินงาน ณ 30 มิ.ย. 2568 (บาท)</v>
      </c>
      <c r="D44" s="222"/>
      <c r="E44" s="222"/>
      <c r="F44" s="235" t="str">
        <f>+F24</f>
        <v>ยอดเงิน
คงเหลือ (บาท)</v>
      </c>
      <c r="G44" s="235" t="str">
        <f t="shared" ref="G44:H44" si="4">+G24</f>
        <v>วัสดุคงคลัง
 (บาท)</v>
      </c>
      <c r="H44" s="235" t="str">
        <f t="shared" si="4"/>
        <v>คำขอตั้งแผน 
ปีงบฯ 2569 (บาท)</v>
      </c>
      <c r="I44" s="235" t="str">
        <f>+I24</f>
        <v>หมายเหตุ</v>
      </c>
    </row>
    <row r="45" spans="1:9" s="74" customFormat="1" ht="27.9" customHeight="1">
      <c r="A45" s="225"/>
      <c r="B45" s="225"/>
      <c r="C45" s="172" t="str">
        <f>+C25</f>
        <v>เบิกจ่ายแล้ว</v>
      </c>
      <c r="D45" s="172" t="str">
        <f t="shared" ref="D45:E45" si="5">+D25</f>
        <v>เจ้าหนี้คงค้าง</v>
      </c>
      <c r="E45" s="172" t="str">
        <f t="shared" si="5"/>
        <v>ก่อหนี้/ยังไม่ตรวจรับ</v>
      </c>
      <c r="F45" s="235"/>
      <c r="G45" s="235"/>
      <c r="H45" s="235"/>
      <c r="I45" s="235"/>
    </row>
    <row r="46" spans="1:9" s="82" customFormat="1" ht="76.5" customHeight="1">
      <c r="A46" s="96">
        <v>19</v>
      </c>
      <c r="B46" s="184">
        <v>30000000</v>
      </c>
      <c r="C46" s="95"/>
      <c r="D46" s="171"/>
      <c r="E46" s="171"/>
      <c r="F46" s="187"/>
      <c r="G46" s="188"/>
      <c r="H46" s="188"/>
      <c r="I46" s="184"/>
    </row>
    <row r="47" spans="1:9" ht="27.9" customHeight="1">
      <c r="A47" s="83"/>
      <c r="B47" s="84"/>
      <c r="C47" s="85"/>
      <c r="D47" s="86"/>
      <c r="E47" s="86"/>
      <c r="F47" s="87"/>
      <c r="G47" s="68"/>
    </row>
    <row r="48" spans="1:9" ht="27.9" customHeight="1">
      <c r="A48" s="221" t="s">
        <v>116</v>
      </c>
      <c r="B48" s="221"/>
      <c r="C48" s="221"/>
      <c r="D48" s="221"/>
      <c r="E48" s="221"/>
      <c r="F48" s="221"/>
      <c r="G48" s="221"/>
      <c r="H48" s="221"/>
      <c r="I48" s="221"/>
    </row>
    <row r="49" spans="1:9" ht="27.9" customHeight="1">
      <c r="A49" s="234" t="s">
        <v>115</v>
      </c>
      <c r="B49" s="234"/>
      <c r="C49" s="234"/>
      <c r="D49" s="234"/>
      <c r="E49" s="234"/>
      <c r="F49" s="234"/>
      <c r="G49" s="234"/>
      <c r="H49" s="234"/>
      <c r="I49" s="234"/>
    </row>
    <row r="50" spans="1:9" s="89" customFormat="1" ht="27.9" customHeight="1">
      <c r="A50" s="234" t="s">
        <v>115</v>
      </c>
      <c r="B50" s="234"/>
      <c r="C50" s="234"/>
      <c r="D50" s="234"/>
      <c r="E50" s="234"/>
      <c r="F50" s="234"/>
      <c r="G50" s="234"/>
      <c r="H50" s="234"/>
      <c r="I50" s="234"/>
    </row>
    <row r="51" spans="1:9" s="89" customFormat="1" ht="27.9" customHeight="1">
      <c r="A51" s="234" t="s">
        <v>115</v>
      </c>
      <c r="B51" s="234"/>
      <c r="C51" s="234"/>
      <c r="D51" s="234"/>
      <c r="E51" s="234"/>
      <c r="F51" s="234"/>
      <c r="G51" s="234"/>
      <c r="H51" s="234"/>
      <c r="I51" s="234"/>
    </row>
    <row r="52" spans="1:9" s="82" customFormat="1" ht="27.9" customHeight="1">
      <c r="A52" s="234" t="s">
        <v>115</v>
      </c>
      <c r="B52" s="234"/>
      <c r="C52" s="234"/>
      <c r="D52" s="234"/>
      <c r="E52" s="234"/>
      <c r="F52" s="234"/>
      <c r="G52" s="234"/>
      <c r="H52" s="234"/>
      <c r="I52" s="234"/>
    </row>
    <row r="53" spans="1:9" s="82" customFormat="1" ht="27.9" customHeight="1">
      <c r="E53" s="90" t="s">
        <v>12</v>
      </c>
      <c r="F53" s="175"/>
      <c r="G53" s="175"/>
      <c r="H53" s="231" t="s">
        <v>13</v>
      </c>
      <c r="I53" s="231"/>
    </row>
    <row r="54" spans="1:9" ht="27.9" customHeight="1">
      <c r="A54" s="82"/>
      <c r="B54" s="65"/>
      <c r="C54" s="86"/>
      <c r="D54" s="86"/>
      <c r="E54" s="82"/>
      <c r="F54" s="232" t="s">
        <v>134</v>
      </c>
      <c r="G54" s="232"/>
      <c r="H54" s="174"/>
      <c r="I54" s="89"/>
    </row>
    <row r="55" spans="1:9" s="148" customFormat="1" ht="33.75" customHeight="1">
      <c r="A55" s="243" t="str">
        <f>+A36</f>
        <v>*** กรุณาส่งคืน  ก.ยุทธศาสตร์และแผนงานโครงการ   ภายในวันที่  15 สิงหาคม 2568</v>
      </c>
      <c r="B55" s="243"/>
      <c r="C55" s="243"/>
      <c r="D55" s="243"/>
      <c r="E55" s="243"/>
      <c r="F55" s="243"/>
      <c r="G55" s="243"/>
    </row>
    <row r="56" spans="1:9" s="148" customFormat="1" ht="33.75" customHeight="1">
      <c r="A56" s="164"/>
      <c r="B56" s="164"/>
      <c r="C56" s="164"/>
      <c r="D56" s="164"/>
      <c r="E56" s="164"/>
      <c r="F56" s="164"/>
      <c r="G56" s="164"/>
    </row>
    <row r="57" spans="1:9" s="148" customFormat="1" ht="33.75" customHeight="1">
      <c r="A57" s="164"/>
      <c r="B57" s="164"/>
      <c r="C57" s="164"/>
      <c r="D57" s="164"/>
      <c r="E57" s="164"/>
      <c r="F57" s="164"/>
      <c r="G57" s="164"/>
    </row>
    <row r="58" spans="1:9" s="148" customFormat="1" ht="33.75" customHeight="1">
      <c r="A58" s="164"/>
      <c r="B58" s="164"/>
      <c r="C58" s="164"/>
      <c r="D58" s="164"/>
      <c r="E58" s="164"/>
      <c r="F58" s="164"/>
      <c r="G58" s="164"/>
    </row>
    <row r="59" spans="1:9" s="70" customFormat="1" ht="27.9" customHeight="1">
      <c r="A59" s="220" t="str">
        <f>+A40</f>
        <v>สรุปแผนการใช้เงินบำรุง หมวดค่าวัสดุ ปีงบประมาณ 2568  (ต.ค67- มิ.ย.68)</v>
      </c>
      <c r="B59" s="220"/>
      <c r="C59" s="220"/>
      <c r="D59" s="220"/>
      <c r="E59" s="220"/>
      <c r="F59" s="220"/>
      <c r="G59" s="220"/>
      <c r="H59" s="220"/>
      <c r="I59" s="220"/>
    </row>
    <row r="60" spans="1:9" s="70" customFormat="1" ht="27.9" customHeight="1">
      <c r="A60" s="220" t="str">
        <f t="shared" ref="A60:A61" si="6">+A41</f>
        <v>และ</v>
      </c>
      <c r="B60" s="220"/>
      <c r="C60" s="220"/>
      <c r="D60" s="220"/>
      <c r="E60" s="220"/>
      <c r="F60" s="220"/>
      <c r="G60" s="220"/>
      <c r="H60" s="220"/>
      <c r="I60" s="220"/>
    </row>
    <row r="61" spans="1:9" s="70" customFormat="1" ht="27.9" customHeight="1">
      <c r="A61" s="220" t="str">
        <f t="shared" si="6"/>
        <v>คำขอตั้งปรับแผนเงินบำรุง  หมวดค่าวัสดุ ประจำปีงบประมาณ 2569</v>
      </c>
      <c r="B61" s="220"/>
      <c r="C61" s="220"/>
      <c r="D61" s="220"/>
      <c r="E61" s="220"/>
      <c r="F61" s="220"/>
      <c r="G61" s="220"/>
      <c r="H61" s="220"/>
      <c r="I61" s="220"/>
    </row>
    <row r="62" spans="1:9" ht="27.9" customHeight="1">
      <c r="A62" s="71"/>
      <c r="B62" s="145" t="s">
        <v>85</v>
      </c>
      <c r="C62" s="145"/>
    </row>
    <row r="63" spans="1:9" s="74" customFormat="1" ht="27.9" customHeight="1">
      <c r="A63" s="225" t="str">
        <f>+A44</f>
        <v>ลำดับที่</v>
      </c>
      <c r="B63" s="225" t="str">
        <f>+B44</f>
        <v>แผนปีงบฯ 2568
(บาท)</v>
      </c>
      <c r="C63" s="222" t="str">
        <f>+C44</f>
        <v>ผลการดำเนินงาน ณ 30 มิ.ย. 2568 (บาท)</v>
      </c>
      <c r="D63" s="222"/>
      <c r="E63" s="222"/>
      <c r="F63" s="235" t="str">
        <f>+F44</f>
        <v>ยอดเงิน
คงเหลือ (บาท)</v>
      </c>
      <c r="G63" s="235" t="str">
        <f t="shared" ref="G63:I63" si="7">+G44</f>
        <v>วัสดุคงคลัง
 (บาท)</v>
      </c>
      <c r="H63" s="235" t="str">
        <f t="shared" si="7"/>
        <v>คำขอตั้งแผน 
ปีงบฯ 2569 (บาท)</v>
      </c>
      <c r="I63" s="235" t="str">
        <f t="shared" si="7"/>
        <v>หมายเหตุ</v>
      </c>
    </row>
    <row r="64" spans="1:9" s="74" customFormat="1" ht="27.9" customHeight="1">
      <c r="A64" s="225"/>
      <c r="B64" s="225"/>
      <c r="C64" s="172" t="str">
        <f>+C45</f>
        <v>เบิกจ่ายแล้ว</v>
      </c>
      <c r="D64" s="172" t="str">
        <f t="shared" ref="D64:E64" si="8">+D45</f>
        <v>เจ้าหนี้คงค้าง</v>
      </c>
      <c r="E64" s="172" t="str">
        <f t="shared" si="8"/>
        <v>ก่อหนี้/ยังไม่ตรวจรับ</v>
      </c>
      <c r="F64" s="235"/>
      <c r="G64" s="235"/>
      <c r="H64" s="235"/>
      <c r="I64" s="235"/>
    </row>
    <row r="65" spans="1:9" s="82" customFormat="1" ht="72" customHeight="1">
      <c r="A65" s="96">
        <v>20</v>
      </c>
      <c r="B65" s="180">
        <v>3000000</v>
      </c>
      <c r="C65" s="96"/>
      <c r="D65" s="189"/>
      <c r="E65" s="189"/>
      <c r="F65" s="190"/>
      <c r="G65" s="191"/>
      <c r="H65" s="192"/>
      <c r="I65" s="192"/>
    </row>
    <row r="66" spans="1:9" ht="27.9" customHeight="1">
      <c r="A66" s="83"/>
      <c r="B66" s="84"/>
      <c r="C66" s="85"/>
      <c r="D66" s="86"/>
      <c r="E66" s="86"/>
      <c r="F66" s="87"/>
      <c r="G66" s="68"/>
    </row>
    <row r="67" spans="1:9" ht="26.25" customHeight="1">
      <c r="A67" s="221" t="s">
        <v>144</v>
      </c>
      <c r="B67" s="221"/>
      <c r="C67" s="221"/>
      <c r="D67" s="221"/>
      <c r="E67" s="221"/>
      <c r="F67" s="221"/>
      <c r="G67" s="221"/>
      <c r="H67" s="221"/>
      <c r="I67" s="221"/>
    </row>
    <row r="68" spans="1:9" s="82" customFormat="1" ht="27.9" customHeight="1">
      <c r="A68" s="234" t="s">
        <v>115</v>
      </c>
      <c r="B68" s="234"/>
      <c r="C68" s="234"/>
      <c r="D68" s="234"/>
      <c r="E68" s="234"/>
      <c r="F68" s="234"/>
      <c r="G68" s="234"/>
      <c r="H68" s="234"/>
      <c r="I68" s="234"/>
    </row>
    <row r="69" spans="1:9" ht="27.9" customHeight="1">
      <c r="A69" s="234" t="s">
        <v>115</v>
      </c>
      <c r="B69" s="234"/>
      <c r="C69" s="234"/>
      <c r="D69" s="234"/>
      <c r="E69" s="234"/>
      <c r="F69" s="234"/>
      <c r="G69" s="234"/>
      <c r="H69" s="234"/>
      <c r="I69" s="234"/>
    </row>
    <row r="70" spans="1:9" ht="27.9" customHeight="1">
      <c r="A70" s="234" t="s">
        <v>115</v>
      </c>
      <c r="B70" s="234"/>
      <c r="C70" s="234"/>
      <c r="D70" s="234"/>
      <c r="E70" s="234"/>
      <c r="F70" s="234"/>
      <c r="G70" s="234"/>
      <c r="H70" s="234"/>
      <c r="I70" s="234"/>
    </row>
    <row r="71" spans="1:9" ht="27.9" customHeight="1">
      <c r="A71" s="234" t="s">
        <v>115</v>
      </c>
      <c r="B71" s="234"/>
      <c r="C71" s="234"/>
      <c r="D71" s="234"/>
      <c r="E71" s="234"/>
      <c r="F71" s="234"/>
      <c r="G71" s="234"/>
      <c r="H71" s="234"/>
      <c r="I71" s="234"/>
    </row>
    <row r="72" spans="1:9" ht="26.25" customHeight="1">
      <c r="A72" s="82"/>
      <c r="B72" s="82"/>
      <c r="C72" s="82"/>
      <c r="D72" s="82"/>
      <c r="E72" s="82"/>
      <c r="F72" s="82"/>
      <c r="G72" s="82"/>
      <c r="H72" s="82"/>
      <c r="I72" s="82"/>
    </row>
    <row r="73" spans="1:9" ht="26.25" customHeight="1">
      <c r="A73" s="82"/>
      <c r="B73" s="65"/>
      <c r="C73" s="86"/>
      <c r="D73" s="86"/>
      <c r="E73" s="90" t="s">
        <v>12</v>
      </c>
      <c r="F73" s="175"/>
      <c r="G73" s="175"/>
      <c r="H73" s="231" t="s">
        <v>13</v>
      </c>
      <c r="I73" s="231"/>
    </row>
    <row r="74" spans="1:9" ht="26.25" customHeight="1">
      <c r="E74" s="82"/>
      <c r="F74" s="232" t="s">
        <v>134</v>
      </c>
      <c r="G74" s="232"/>
      <c r="H74" s="174"/>
      <c r="I74" s="89"/>
    </row>
    <row r="75" spans="1:9" ht="29.25" customHeight="1">
      <c r="A75" s="233" t="str">
        <f>+A55</f>
        <v>*** กรุณาส่งคืน  ก.ยุทธศาสตร์และแผนงานโครงการ   ภายในวันที่  15 สิงหาคม 2568</v>
      </c>
      <c r="B75" s="233"/>
      <c r="C75" s="233"/>
      <c r="D75" s="233"/>
      <c r="E75" s="233"/>
      <c r="F75" s="233"/>
      <c r="G75" s="233"/>
    </row>
  </sheetData>
  <mergeCells count="72">
    <mergeCell ref="H73:I73"/>
    <mergeCell ref="F74:G74"/>
    <mergeCell ref="A51:I51"/>
    <mergeCell ref="A52:I52"/>
    <mergeCell ref="H53:I53"/>
    <mergeCell ref="F54:G54"/>
    <mergeCell ref="C63:E63"/>
    <mergeCell ref="A71:I71"/>
    <mergeCell ref="A59:I59"/>
    <mergeCell ref="A67:I67"/>
    <mergeCell ref="A60:I60"/>
    <mergeCell ref="A61:I61"/>
    <mergeCell ref="A63:A64"/>
    <mergeCell ref="F63:F64"/>
    <mergeCell ref="G63:G64"/>
    <mergeCell ref="H63:H64"/>
    <mergeCell ref="F35:G35"/>
    <mergeCell ref="C44:E44"/>
    <mergeCell ref="A48:I48"/>
    <mergeCell ref="A49:I49"/>
    <mergeCell ref="A50:I50"/>
    <mergeCell ref="A42:I42"/>
    <mergeCell ref="G44:G45"/>
    <mergeCell ref="F44:F45"/>
    <mergeCell ref="A30:I30"/>
    <mergeCell ref="A31:I31"/>
    <mergeCell ref="A32:I32"/>
    <mergeCell ref="A33:I33"/>
    <mergeCell ref="H34:I34"/>
    <mergeCell ref="A10:I10"/>
    <mergeCell ref="A11:I11"/>
    <mergeCell ref="A12:I12"/>
    <mergeCell ref="A13:I13"/>
    <mergeCell ref="A20:I20"/>
    <mergeCell ref="A18:G18"/>
    <mergeCell ref="A24:A25"/>
    <mergeCell ref="G24:G25"/>
    <mergeCell ref="H24:H25"/>
    <mergeCell ref="I24:I25"/>
    <mergeCell ref="F24:F25"/>
    <mergeCell ref="A75:G75"/>
    <mergeCell ref="B5:B6"/>
    <mergeCell ref="B24:B25"/>
    <mergeCell ref="B44:B45"/>
    <mergeCell ref="B63:B64"/>
    <mergeCell ref="A55:G55"/>
    <mergeCell ref="A68:I68"/>
    <mergeCell ref="A69:I69"/>
    <mergeCell ref="A70:I70"/>
    <mergeCell ref="A21:I21"/>
    <mergeCell ref="A22:I22"/>
    <mergeCell ref="A41:I41"/>
    <mergeCell ref="A36:G36"/>
    <mergeCell ref="A44:A45"/>
    <mergeCell ref="H44:H45"/>
    <mergeCell ref="I44:I45"/>
    <mergeCell ref="I63:I64"/>
    <mergeCell ref="A40:I40"/>
    <mergeCell ref="A1:I1"/>
    <mergeCell ref="A2:I2"/>
    <mergeCell ref="A3:I3"/>
    <mergeCell ref="A5:A6"/>
    <mergeCell ref="A9:I9"/>
    <mergeCell ref="H5:H6"/>
    <mergeCell ref="I5:I6"/>
    <mergeCell ref="F5:F6"/>
    <mergeCell ref="G5:G6"/>
    <mergeCell ref="C5:E5"/>
    <mergeCell ref="H14:I14"/>
    <mergeCell ref="F15:G15"/>
    <mergeCell ref="C24:E24"/>
    <mergeCell ref="A29:I29"/>
  </mergeCells>
  <pageMargins left="0.39370078740157483" right="0.39370078740157483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20"/>
  <sheetViews>
    <sheetView view="pageBreakPreview" zoomScaleSheetLayoutView="100" workbookViewId="0">
      <selection activeCell="A14" sqref="A14:J14"/>
    </sheetView>
  </sheetViews>
  <sheetFormatPr defaultColWidth="9" defaultRowHeight="57" customHeight="1"/>
  <cols>
    <col min="1" max="1" width="6" style="94" customWidth="1"/>
    <col min="2" max="2" width="17.59765625" style="94" customWidth="1"/>
    <col min="3" max="3" width="14.5" style="94" customWidth="1"/>
    <col min="4" max="4" width="15.3984375" style="69" customWidth="1"/>
    <col min="5" max="5" width="19.5" style="69" customWidth="1"/>
    <col min="6" max="6" width="18.5" style="69" customWidth="1"/>
    <col min="7" max="7" width="13" style="69" customWidth="1"/>
    <col min="8" max="8" width="14.69921875" style="69" customWidth="1"/>
    <col min="9" max="9" width="15.8984375" style="69" customWidth="1"/>
    <col min="10" max="10" width="16.3984375" style="69" customWidth="1"/>
    <col min="11" max="12" width="14.69921875" style="69" customWidth="1"/>
    <col min="13" max="16384" width="9" style="69"/>
  </cols>
  <sheetData>
    <row r="1" spans="1:10" s="70" customFormat="1" ht="27.9" customHeight="1">
      <c r="A1" s="220" t="str">
        <f>+'4.วัสุดวิทยาศาสตร์'!A1:I1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s="70" customFormat="1" ht="27.9" customHeight="1">
      <c r="A2" s="220" t="str">
        <f>+'4.วัสุดวิทยาศาสตร์'!A2:I2</f>
        <v>และ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10" s="70" customFormat="1" ht="27.9" customHeight="1">
      <c r="A3" s="220" t="str">
        <f>+'4.วัสุดวิทยาศาสตร์'!A3:I3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  <c r="J3" s="220"/>
    </row>
    <row r="4" spans="1:10" ht="27.9" customHeight="1">
      <c r="A4" s="247" t="s">
        <v>72</v>
      </c>
      <c r="B4" s="247"/>
      <c r="C4" s="72"/>
      <c r="D4" s="73"/>
    </row>
    <row r="5" spans="1:10" s="74" customFormat="1" ht="27.9" customHeight="1">
      <c r="A5" s="248" t="s">
        <v>77</v>
      </c>
      <c r="B5" s="245" t="s">
        <v>73</v>
      </c>
      <c r="C5" s="225" t="s">
        <v>148</v>
      </c>
      <c r="D5" s="222" t="s">
        <v>152</v>
      </c>
      <c r="E5" s="222"/>
      <c r="F5" s="222"/>
      <c r="G5" s="225" t="s">
        <v>131</v>
      </c>
      <c r="H5" s="235" t="s">
        <v>124</v>
      </c>
      <c r="I5" s="235" t="s">
        <v>149</v>
      </c>
      <c r="J5" s="244" t="s">
        <v>7</v>
      </c>
    </row>
    <row r="6" spans="1:10" s="74" customFormat="1" ht="27.9" customHeight="1">
      <c r="A6" s="249"/>
      <c r="B6" s="246"/>
      <c r="C6" s="225"/>
      <c r="D6" s="172" t="s">
        <v>145</v>
      </c>
      <c r="E6" s="172" t="s">
        <v>133</v>
      </c>
      <c r="F6" s="170" t="s">
        <v>128</v>
      </c>
      <c r="G6" s="225"/>
      <c r="H6" s="235"/>
      <c r="I6" s="235"/>
      <c r="J6" s="244"/>
    </row>
    <row r="7" spans="1:10" s="74" customFormat="1" ht="27.9" customHeight="1">
      <c r="A7" s="75">
        <v>21</v>
      </c>
      <c r="B7" s="112" t="s">
        <v>125</v>
      </c>
      <c r="C7" s="111">
        <v>12000000</v>
      </c>
      <c r="D7" s="76">
        <v>8017181.1200000001</v>
      </c>
      <c r="E7" s="211">
        <v>6388369.9000000004</v>
      </c>
      <c r="F7" s="113"/>
      <c r="G7" s="111"/>
      <c r="H7" s="173"/>
      <c r="I7" s="173"/>
      <c r="J7" s="100"/>
    </row>
    <row r="8" spans="1:10" s="82" customFormat="1" ht="29.25" customHeight="1">
      <c r="A8" s="75">
        <v>22</v>
      </c>
      <c r="B8" s="114" t="s">
        <v>126</v>
      </c>
      <c r="C8" s="146">
        <v>12000000</v>
      </c>
      <c r="D8" s="76">
        <v>7904507.6299999999</v>
      </c>
      <c r="E8" s="211">
        <v>4829485.03</v>
      </c>
      <c r="F8" s="113"/>
      <c r="G8" s="111"/>
      <c r="H8" s="79"/>
      <c r="I8" s="79"/>
      <c r="J8" s="81"/>
    </row>
    <row r="9" spans="1:10" s="82" customFormat="1" ht="29.25" customHeight="1">
      <c r="A9" s="75">
        <v>23</v>
      </c>
      <c r="B9" s="114" t="s">
        <v>74</v>
      </c>
      <c r="C9" s="146">
        <v>1900000</v>
      </c>
      <c r="D9" s="76">
        <v>1759287.82</v>
      </c>
      <c r="E9" s="211"/>
      <c r="F9" s="113"/>
      <c r="G9" s="111"/>
      <c r="H9" s="79"/>
      <c r="I9" s="79"/>
      <c r="J9" s="81"/>
    </row>
    <row r="10" spans="1:10" s="82" customFormat="1" ht="29.25" customHeight="1">
      <c r="A10" s="75">
        <v>24</v>
      </c>
      <c r="B10" s="114" t="s">
        <v>75</v>
      </c>
      <c r="C10" s="146">
        <v>100000</v>
      </c>
      <c r="D10" s="76">
        <v>45595.45</v>
      </c>
      <c r="E10" s="211"/>
      <c r="F10" s="113"/>
      <c r="G10" s="111"/>
      <c r="H10" s="79"/>
      <c r="I10" s="79"/>
      <c r="J10" s="81"/>
    </row>
    <row r="11" spans="1:10" ht="27" customHeight="1">
      <c r="A11" s="75">
        <v>25</v>
      </c>
      <c r="B11" s="114" t="s">
        <v>95</v>
      </c>
      <c r="C11" s="146">
        <v>4000000</v>
      </c>
      <c r="D11" s="76">
        <v>360743</v>
      </c>
      <c r="E11" s="211">
        <v>374580</v>
      </c>
      <c r="F11" s="113"/>
      <c r="G11" s="111"/>
      <c r="H11" s="79"/>
      <c r="I11" s="79"/>
      <c r="J11" s="81"/>
    </row>
    <row r="12" spans="1:10" ht="27" customHeight="1">
      <c r="A12" s="75">
        <v>26</v>
      </c>
      <c r="B12" s="114" t="s">
        <v>129</v>
      </c>
      <c r="C12" s="146">
        <v>120000</v>
      </c>
      <c r="D12" s="76">
        <v>74343</v>
      </c>
      <c r="E12" s="211">
        <v>148510</v>
      </c>
      <c r="F12" s="113"/>
      <c r="G12" s="111"/>
      <c r="H12" s="79"/>
      <c r="I12" s="79"/>
      <c r="J12" s="81"/>
    </row>
    <row r="13" spans="1:10" ht="17.25" customHeight="1">
      <c r="A13" s="102"/>
      <c r="B13" s="115"/>
      <c r="C13" s="82"/>
      <c r="D13" s="82"/>
      <c r="E13" s="116"/>
      <c r="F13" s="117"/>
      <c r="G13" s="118"/>
      <c r="H13" s="104"/>
      <c r="I13" s="104"/>
      <c r="J13" s="104"/>
    </row>
    <row r="14" spans="1:10" ht="27.9" customHeight="1">
      <c r="A14" s="250" t="s">
        <v>119</v>
      </c>
      <c r="B14" s="250"/>
      <c r="C14" s="250"/>
      <c r="D14" s="250"/>
      <c r="E14" s="250"/>
      <c r="F14" s="250"/>
      <c r="G14" s="250"/>
      <c r="H14" s="250"/>
      <c r="I14" s="250"/>
      <c r="J14" s="250"/>
    </row>
    <row r="15" spans="1:10" ht="27.9" customHeight="1">
      <c r="A15" s="251" t="s">
        <v>120</v>
      </c>
      <c r="B15" s="251"/>
      <c r="C15" s="251"/>
      <c r="D15" s="251"/>
      <c r="E15" s="251"/>
      <c r="F15" s="251"/>
      <c r="G15" s="251"/>
      <c r="H15" s="251"/>
      <c r="I15" s="251"/>
      <c r="J15" s="251"/>
    </row>
    <row r="16" spans="1:10" s="89" customFormat="1" ht="27.9" customHeight="1">
      <c r="A16" s="251" t="s">
        <v>121</v>
      </c>
      <c r="B16" s="251"/>
      <c r="C16" s="251"/>
      <c r="D16" s="251"/>
      <c r="E16" s="251"/>
      <c r="F16" s="251"/>
      <c r="G16" s="251"/>
      <c r="H16" s="251"/>
      <c r="I16" s="251"/>
      <c r="J16" s="251"/>
    </row>
    <row r="17" spans="1:10" s="89" customFormat="1" ht="27.9" customHeight="1">
      <c r="A17" s="251" t="s">
        <v>122</v>
      </c>
      <c r="B17" s="251"/>
      <c r="C17" s="251"/>
      <c r="D17" s="251"/>
      <c r="E17" s="251"/>
      <c r="F17" s="251"/>
      <c r="G17" s="251"/>
      <c r="H17" s="251"/>
      <c r="I17" s="251"/>
      <c r="J17" s="251"/>
    </row>
    <row r="18" spans="1:10" ht="27.9" customHeight="1">
      <c r="A18" s="82"/>
      <c r="B18" s="82"/>
      <c r="C18" s="65"/>
      <c r="D18" s="86"/>
      <c r="E18" s="86"/>
      <c r="F18" s="90" t="s">
        <v>12</v>
      </c>
      <c r="G18" s="91"/>
      <c r="H18" s="92"/>
      <c r="I18" s="93" t="s">
        <v>13</v>
      </c>
    </row>
    <row r="19" spans="1:10" ht="27.9" customHeight="1">
      <c r="F19" s="89"/>
      <c r="G19" s="232" t="s">
        <v>150</v>
      </c>
      <c r="H19" s="232"/>
      <c r="I19" s="89"/>
    </row>
    <row r="20" spans="1:10" ht="27.9" customHeight="1">
      <c r="B20" s="233" t="s">
        <v>155</v>
      </c>
      <c r="C20" s="233"/>
      <c r="D20" s="233"/>
      <c r="E20" s="233"/>
      <c r="F20" s="233"/>
      <c r="G20" s="233"/>
      <c r="H20" s="233"/>
      <c r="I20" s="82"/>
      <c r="J20" s="89"/>
    </row>
  </sheetData>
  <mergeCells count="18">
    <mergeCell ref="A14:J14"/>
    <mergeCell ref="C5:C6"/>
    <mergeCell ref="D5:F5"/>
    <mergeCell ref="G19:H19"/>
    <mergeCell ref="B20:H20"/>
    <mergeCell ref="A16:J16"/>
    <mergeCell ref="A17:J17"/>
    <mergeCell ref="A15:J15"/>
    <mergeCell ref="A1:J1"/>
    <mergeCell ref="A2:J2"/>
    <mergeCell ref="A3:J3"/>
    <mergeCell ref="H5:H6"/>
    <mergeCell ref="G5:G6"/>
    <mergeCell ref="B5:B6"/>
    <mergeCell ref="A4:B4"/>
    <mergeCell ref="A5:A6"/>
    <mergeCell ref="I5:I6"/>
    <mergeCell ref="J5:J6"/>
  </mergeCells>
  <pageMargins left="0.26" right="0.39370078740157483" top="0.59055118110236227" bottom="0.19685039370078741" header="0.15748031496062992" footer="3.937007874015748E-2"/>
  <pageSetup paperSize="9" scale="90" orientation="landscape" horizontalDpi="4294967293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18"/>
  <sheetViews>
    <sheetView view="pageBreakPreview" zoomScale="90" zoomScaleSheetLayoutView="90" workbookViewId="0">
      <selection activeCell="I5" sqref="I5:I6"/>
    </sheetView>
  </sheetViews>
  <sheetFormatPr defaultColWidth="9" defaultRowHeight="57" customHeight="1"/>
  <cols>
    <col min="1" max="1" width="6" style="94" customWidth="1"/>
    <col min="2" max="2" width="12.19921875" style="94" customWidth="1"/>
    <col min="3" max="3" width="15.5" style="94" customWidth="1"/>
    <col min="4" max="4" width="14.09765625" style="69" customWidth="1"/>
    <col min="5" max="5" width="18.59765625" style="69" customWidth="1"/>
    <col min="6" max="6" width="20" style="69" customWidth="1"/>
    <col min="7" max="7" width="16.59765625" style="69" customWidth="1"/>
    <col min="8" max="10" width="17.09765625" style="69" customWidth="1"/>
    <col min="11" max="11" width="9.8984375" style="69" customWidth="1"/>
    <col min="12" max="16384" width="9" style="69"/>
  </cols>
  <sheetData>
    <row r="1" spans="1:10" s="70" customFormat="1" ht="27.9" customHeight="1">
      <c r="A1" s="220" t="str">
        <f>+'5.วัสดุทั่วไป'!A1:J1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s="70" customFormat="1" ht="27.9" customHeight="1">
      <c r="A2" s="220" t="str">
        <f>+'5.วัสดุทั่วไป'!A2:J2</f>
        <v>และ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10" s="70" customFormat="1" ht="30.75" customHeight="1">
      <c r="A3" s="220" t="str">
        <f>+'5.วัสดุทั่วไป'!A3:J3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  <c r="J3" s="220"/>
    </row>
    <row r="4" spans="1:10" ht="30.75" customHeight="1">
      <c r="A4" s="145" t="s">
        <v>78</v>
      </c>
      <c r="B4" s="145"/>
      <c r="C4" s="72"/>
      <c r="D4" s="73"/>
    </row>
    <row r="5" spans="1:10" s="74" customFormat="1" ht="27.9" customHeight="1">
      <c r="A5" s="248" t="s">
        <v>77</v>
      </c>
      <c r="B5" s="245" t="s">
        <v>73</v>
      </c>
      <c r="C5" s="225" t="s">
        <v>148</v>
      </c>
      <c r="D5" s="222" t="s">
        <v>135</v>
      </c>
      <c r="E5" s="222"/>
      <c r="F5" s="222"/>
      <c r="G5" s="225" t="s">
        <v>131</v>
      </c>
      <c r="H5" s="235" t="s">
        <v>124</v>
      </c>
      <c r="I5" s="235" t="s">
        <v>149</v>
      </c>
      <c r="J5" s="244" t="s">
        <v>7</v>
      </c>
    </row>
    <row r="6" spans="1:10" s="74" customFormat="1" ht="27.9" customHeight="1">
      <c r="A6" s="249"/>
      <c r="B6" s="246"/>
      <c r="C6" s="225"/>
      <c r="D6" s="172" t="s">
        <v>145</v>
      </c>
      <c r="E6" s="172" t="s">
        <v>133</v>
      </c>
      <c r="F6" s="170" t="s">
        <v>128</v>
      </c>
      <c r="G6" s="225"/>
      <c r="H6" s="235"/>
      <c r="I6" s="235"/>
      <c r="J6" s="244"/>
    </row>
    <row r="7" spans="1:10" s="74" customFormat="1" ht="29.25" customHeight="1">
      <c r="A7" s="75">
        <v>27</v>
      </c>
      <c r="B7" s="112" t="s">
        <v>79</v>
      </c>
      <c r="C7" s="111">
        <v>1000000</v>
      </c>
      <c r="D7" s="252">
        <v>6241096.0999999996</v>
      </c>
      <c r="E7" s="255">
        <v>1220719.2</v>
      </c>
      <c r="F7" s="113"/>
      <c r="G7" s="119"/>
      <c r="H7" s="173"/>
      <c r="I7" s="173"/>
      <c r="J7" s="100"/>
    </row>
    <row r="8" spans="1:10" s="82" customFormat="1" ht="29.25" customHeight="1">
      <c r="A8" s="75">
        <v>28</v>
      </c>
      <c r="B8" s="114" t="s">
        <v>80</v>
      </c>
      <c r="C8" s="146">
        <v>270000</v>
      </c>
      <c r="D8" s="253"/>
      <c r="E8" s="256"/>
      <c r="F8" s="113"/>
      <c r="G8" s="119"/>
      <c r="H8" s="79"/>
      <c r="I8" s="79"/>
      <c r="J8" s="81"/>
    </row>
    <row r="9" spans="1:10" s="82" customFormat="1" ht="29.25" customHeight="1">
      <c r="A9" s="75">
        <v>29</v>
      </c>
      <c r="B9" s="114" t="s">
        <v>81</v>
      </c>
      <c r="C9" s="146">
        <v>7000000</v>
      </c>
      <c r="D9" s="254"/>
      <c r="E9" s="257"/>
      <c r="F9" s="113"/>
      <c r="G9" s="119"/>
      <c r="H9" s="79"/>
      <c r="I9" s="79"/>
      <c r="J9" s="81"/>
    </row>
    <row r="10" spans="1:10" s="82" customFormat="1" ht="29.25" customHeight="1">
      <c r="A10" s="75">
        <v>30</v>
      </c>
      <c r="B10" s="114" t="s">
        <v>82</v>
      </c>
      <c r="C10" s="146">
        <v>1000000</v>
      </c>
      <c r="D10" s="76"/>
      <c r="E10" s="119"/>
      <c r="F10" s="113"/>
      <c r="G10" s="119"/>
      <c r="H10" s="79"/>
      <c r="I10" s="79"/>
      <c r="J10" s="81"/>
    </row>
    <row r="11" spans="1:10" ht="27.9" customHeight="1">
      <c r="A11" s="83"/>
      <c r="B11" s="120"/>
      <c r="C11" s="121"/>
      <c r="D11" s="85"/>
      <c r="E11" s="86"/>
      <c r="F11" s="86"/>
      <c r="G11" s="87"/>
      <c r="H11" s="68"/>
    </row>
    <row r="12" spans="1:10" ht="27.9" customHeight="1">
      <c r="A12" s="250" t="s">
        <v>119</v>
      </c>
      <c r="B12" s="250"/>
      <c r="C12" s="250"/>
      <c r="D12" s="250"/>
      <c r="E12" s="250"/>
      <c r="F12" s="250"/>
      <c r="G12" s="250"/>
      <c r="H12" s="250"/>
      <c r="I12" s="250"/>
      <c r="J12" s="250"/>
    </row>
    <row r="13" spans="1:10" ht="27.9" customHeight="1">
      <c r="A13" s="251" t="s">
        <v>120</v>
      </c>
      <c r="B13" s="251"/>
      <c r="C13" s="251"/>
      <c r="D13" s="251"/>
      <c r="E13" s="251"/>
      <c r="F13" s="251"/>
      <c r="G13" s="251"/>
      <c r="H13" s="251"/>
      <c r="I13" s="251"/>
      <c r="J13" s="251"/>
    </row>
    <row r="14" spans="1:10" s="89" customFormat="1" ht="27.9" customHeight="1">
      <c r="A14" s="251" t="s">
        <v>121</v>
      </c>
      <c r="B14" s="251"/>
      <c r="C14" s="251"/>
      <c r="D14" s="251"/>
      <c r="E14" s="251"/>
      <c r="F14" s="251"/>
      <c r="G14" s="251"/>
      <c r="H14" s="251"/>
      <c r="I14" s="251"/>
      <c r="J14" s="251"/>
    </row>
    <row r="15" spans="1:10" s="89" customFormat="1" ht="27.9" customHeight="1">
      <c r="A15" s="251" t="s">
        <v>122</v>
      </c>
      <c r="B15" s="251"/>
      <c r="C15" s="251"/>
      <c r="D15" s="251"/>
      <c r="E15" s="251"/>
      <c r="F15" s="251"/>
      <c r="G15" s="251"/>
      <c r="H15" s="251"/>
      <c r="I15" s="251"/>
      <c r="J15" s="251"/>
    </row>
    <row r="16" spans="1:10" ht="27.9" customHeight="1">
      <c r="A16" s="82"/>
      <c r="B16" s="82"/>
      <c r="C16" s="65"/>
      <c r="D16" s="86"/>
      <c r="E16" s="86"/>
      <c r="F16" s="90" t="s">
        <v>12</v>
      </c>
      <c r="G16" s="91"/>
      <c r="H16" s="92"/>
      <c r="I16" s="93" t="s">
        <v>13</v>
      </c>
    </row>
    <row r="17" spans="2:10" ht="27.9" customHeight="1">
      <c r="F17" s="89"/>
      <c r="G17" s="232" t="s">
        <v>150</v>
      </c>
      <c r="H17" s="232"/>
      <c r="I17" s="89"/>
    </row>
    <row r="18" spans="2:10" ht="27.9" customHeight="1">
      <c r="B18" s="233" t="s">
        <v>151</v>
      </c>
      <c r="C18" s="233"/>
      <c r="D18" s="233"/>
      <c r="E18" s="233"/>
      <c r="F18" s="233"/>
      <c r="G18" s="233"/>
      <c r="H18" s="233"/>
      <c r="I18" s="82"/>
      <c r="J18" s="89"/>
    </row>
  </sheetData>
  <mergeCells count="19">
    <mergeCell ref="G17:H17"/>
    <mergeCell ref="D7:D9"/>
    <mergeCell ref="E7:E9"/>
    <mergeCell ref="B18:H18"/>
    <mergeCell ref="A14:J14"/>
    <mergeCell ref="A15:J15"/>
    <mergeCell ref="A12:J12"/>
    <mergeCell ref="A13:J13"/>
    <mergeCell ref="A1:J1"/>
    <mergeCell ref="A2:J2"/>
    <mergeCell ref="A3:J3"/>
    <mergeCell ref="A5:A6"/>
    <mergeCell ref="B5:B6"/>
    <mergeCell ref="I5:I6"/>
    <mergeCell ref="J5:J6"/>
    <mergeCell ref="G5:G6"/>
    <mergeCell ref="H5:H6"/>
    <mergeCell ref="C5:C6"/>
    <mergeCell ref="D5:F5"/>
  </mergeCells>
  <pageMargins left="0.22" right="0.27559055118110237" top="0.59055118110236227" bottom="0.19685039370078741" header="0" footer="3.937007874015748E-2"/>
  <pageSetup paperSize="9" scale="90" orientation="landscape" horizontalDpi="4294967293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J19"/>
  <sheetViews>
    <sheetView view="pageBreakPreview" zoomScale="90" zoomScaleSheetLayoutView="90" workbookViewId="0">
      <selection activeCell="L16" sqref="L16"/>
    </sheetView>
  </sheetViews>
  <sheetFormatPr defaultColWidth="9" defaultRowHeight="57" customHeight="1"/>
  <cols>
    <col min="1" max="1" width="5.69921875" style="94" customWidth="1"/>
    <col min="2" max="2" width="12.59765625" style="94" customWidth="1"/>
    <col min="3" max="3" width="15.59765625" style="94" customWidth="1"/>
    <col min="4" max="4" width="16.69921875" style="69" customWidth="1"/>
    <col min="5" max="5" width="18.19921875" style="69" customWidth="1"/>
    <col min="6" max="6" width="19.09765625" style="69" customWidth="1"/>
    <col min="7" max="7" width="14.5" style="69" customWidth="1"/>
    <col min="8" max="8" width="14.69921875" style="69" customWidth="1"/>
    <col min="9" max="9" width="17.3984375" style="69" customWidth="1"/>
    <col min="10" max="10" width="16.8984375" style="69" customWidth="1"/>
    <col min="11" max="11" width="9.8984375" style="69" customWidth="1"/>
    <col min="12" max="16384" width="9" style="69"/>
  </cols>
  <sheetData>
    <row r="1" spans="1:10" s="70" customFormat="1" ht="27.9" customHeight="1">
      <c r="A1" s="220" t="str">
        <f>+'6.เชื้อเพลิง'!A1:J1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s="70" customFormat="1" ht="27.9" customHeight="1">
      <c r="A2" s="220" t="str">
        <f>+'6.เชื้อเพลิง'!A2:J2</f>
        <v>และ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10" s="70" customFormat="1" ht="27.9" customHeight="1">
      <c r="A3" s="220" t="str">
        <f>+'6.เชื้อเพลิง'!A3:J3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  <c r="J3" s="220"/>
    </row>
    <row r="4" spans="1:10" ht="27.9" customHeight="1">
      <c r="A4" s="247" t="s">
        <v>71</v>
      </c>
      <c r="B4" s="247"/>
      <c r="C4" s="72"/>
      <c r="D4" s="73"/>
    </row>
    <row r="5" spans="1:10" s="74" customFormat="1" ht="27.9" customHeight="1">
      <c r="A5" s="259" t="s">
        <v>77</v>
      </c>
      <c r="B5" s="258" t="s">
        <v>73</v>
      </c>
      <c r="C5" s="225" t="s">
        <v>156</v>
      </c>
      <c r="D5" s="222" t="s">
        <v>152</v>
      </c>
      <c r="E5" s="222"/>
      <c r="F5" s="222"/>
      <c r="G5" s="225" t="s">
        <v>131</v>
      </c>
      <c r="H5" s="235" t="s">
        <v>124</v>
      </c>
      <c r="I5" s="235" t="s">
        <v>149</v>
      </c>
      <c r="J5" s="244" t="s">
        <v>7</v>
      </c>
    </row>
    <row r="6" spans="1:10" s="74" customFormat="1" ht="42" customHeight="1">
      <c r="A6" s="259"/>
      <c r="B6" s="258"/>
      <c r="C6" s="225"/>
      <c r="D6" s="172" t="s">
        <v>145</v>
      </c>
      <c r="E6" s="172" t="s">
        <v>133</v>
      </c>
      <c r="F6" s="170" t="s">
        <v>128</v>
      </c>
      <c r="G6" s="225"/>
      <c r="H6" s="235"/>
      <c r="I6" s="235"/>
      <c r="J6" s="244"/>
    </row>
    <row r="7" spans="1:10" s="82" customFormat="1" ht="30" customHeight="1">
      <c r="A7" s="75">
        <v>31</v>
      </c>
      <c r="B7" s="114" t="s">
        <v>83</v>
      </c>
      <c r="C7" s="79">
        <v>4500000</v>
      </c>
      <c r="D7" s="76">
        <v>2368781.46</v>
      </c>
      <c r="E7" s="78">
        <v>430588.11</v>
      </c>
      <c r="F7" s="78"/>
      <c r="G7" s="79"/>
      <c r="H7" s="79"/>
      <c r="I7" s="79"/>
      <c r="J7" s="79"/>
    </row>
    <row r="8" spans="1:10" s="82" customFormat="1" ht="30" customHeight="1">
      <c r="A8" s="75">
        <v>32</v>
      </c>
      <c r="B8" s="114" t="s">
        <v>84</v>
      </c>
      <c r="C8" s="79">
        <v>5000000</v>
      </c>
      <c r="D8" s="76">
        <v>2153418.87</v>
      </c>
      <c r="E8" s="78">
        <v>508550.74</v>
      </c>
      <c r="F8" s="78"/>
      <c r="G8" s="79"/>
      <c r="H8" s="79"/>
      <c r="I8" s="79"/>
      <c r="J8" s="79"/>
    </row>
    <row r="9" spans="1:10" s="82" customFormat="1" ht="30" customHeight="1">
      <c r="A9" s="75">
        <v>33</v>
      </c>
      <c r="B9" s="114" t="s">
        <v>76</v>
      </c>
      <c r="C9" s="79">
        <v>1000000</v>
      </c>
      <c r="D9" s="76">
        <v>297003.59999999998</v>
      </c>
      <c r="E9" s="78">
        <v>30923</v>
      </c>
      <c r="F9" s="78"/>
      <c r="G9" s="79"/>
      <c r="H9" s="79"/>
      <c r="I9" s="79"/>
      <c r="J9" s="79"/>
    </row>
    <row r="10" spans="1:10" ht="27.9" customHeight="1">
      <c r="A10" s="83"/>
      <c r="B10" s="83"/>
      <c r="C10" s="84"/>
      <c r="D10" s="85"/>
      <c r="E10" s="86"/>
      <c r="F10" s="86"/>
      <c r="G10" s="87"/>
      <c r="H10" s="68"/>
    </row>
    <row r="11" spans="1:10" ht="27.9" customHeight="1">
      <c r="A11" s="250" t="s">
        <v>119</v>
      </c>
      <c r="B11" s="250"/>
      <c r="C11" s="250"/>
      <c r="D11" s="250"/>
      <c r="E11" s="250"/>
      <c r="F11" s="250"/>
      <c r="G11" s="250"/>
      <c r="H11" s="250"/>
      <c r="I11" s="250"/>
      <c r="J11" s="250"/>
    </row>
    <row r="12" spans="1:10" ht="27.9" customHeight="1">
      <c r="A12" s="251" t="s">
        <v>120</v>
      </c>
      <c r="B12" s="251"/>
      <c r="C12" s="251"/>
      <c r="D12" s="251"/>
      <c r="E12" s="251"/>
      <c r="F12" s="251"/>
      <c r="G12" s="251"/>
      <c r="H12" s="251"/>
      <c r="I12" s="251"/>
      <c r="J12" s="251"/>
    </row>
    <row r="13" spans="1:10" s="89" customFormat="1" ht="27.9" customHeight="1">
      <c r="A13" s="251" t="s">
        <v>121</v>
      </c>
      <c r="B13" s="251"/>
      <c r="C13" s="251"/>
      <c r="D13" s="251"/>
      <c r="E13" s="251"/>
      <c r="F13" s="251"/>
      <c r="G13" s="251"/>
      <c r="H13" s="251"/>
      <c r="I13" s="251"/>
      <c r="J13" s="251"/>
    </row>
    <row r="14" spans="1:10" s="89" customFormat="1" ht="27.9" customHeight="1">
      <c r="A14" s="251" t="s">
        <v>122</v>
      </c>
      <c r="B14" s="251"/>
      <c r="C14" s="251"/>
      <c r="D14" s="251"/>
      <c r="E14" s="251"/>
      <c r="F14" s="251"/>
      <c r="G14" s="251"/>
      <c r="H14" s="251"/>
      <c r="I14" s="251"/>
      <c r="J14" s="251"/>
    </row>
    <row r="15" spans="1:10" s="82" customFormat="1" ht="27.9" customHeight="1">
      <c r="C15" s="65"/>
      <c r="D15" s="86"/>
      <c r="E15" s="86"/>
      <c r="F15" s="90" t="s">
        <v>12</v>
      </c>
      <c r="G15" s="91"/>
      <c r="H15" s="92"/>
      <c r="I15" s="93" t="s">
        <v>13</v>
      </c>
      <c r="J15" s="69"/>
    </row>
    <row r="16" spans="1:10" s="82" customFormat="1" ht="27.9" customHeight="1">
      <c r="A16" s="94"/>
      <c r="B16" s="94"/>
      <c r="C16" s="94"/>
      <c r="D16" s="69"/>
      <c r="E16" s="69"/>
      <c r="F16" s="89"/>
      <c r="G16" s="232" t="s">
        <v>150</v>
      </c>
      <c r="H16" s="232"/>
      <c r="I16" s="89"/>
      <c r="J16" s="69"/>
    </row>
    <row r="17" spans="1:10" ht="27.9" customHeight="1">
      <c r="B17" s="233" t="s">
        <v>153</v>
      </c>
      <c r="C17" s="233"/>
      <c r="D17" s="233"/>
      <c r="E17" s="233"/>
      <c r="F17" s="233"/>
      <c r="G17" s="233"/>
      <c r="H17" s="233"/>
      <c r="I17" s="82"/>
      <c r="J17" s="89"/>
    </row>
    <row r="18" spans="1:10" ht="27.9" customHeight="1">
      <c r="A18" s="220"/>
      <c r="B18" s="220"/>
      <c r="C18" s="220"/>
      <c r="D18" s="220"/>
      <c r="E18" s="220"/>
      <c r="F18" s="220"/>
      <c r="G18" s="220"/>
      <c r="H18" s="220"/>
      <c r="I18" s="220"/>
      <c r="J18" s="220"/>
    </row>
    <row r="19" spans="1:10" ht="27.9" customHeight="1">
      <c r="A19" s="220"/>
      <c r="B19" s="220"/>
      <c r="C19" s="220"/>
      <c r="D19" s="220"/>
      <c r="E19" s="220"/>
      <c r="F19" s="220"/>
      <c r="G19" s="220"/>
      <c r="H19" s="220"/>
      <c r="I19" s="220"/>
      <c r="J19" s="220"/>
    </row>
  </sheetData>
  <mergeCells count="20">
    <mergeCell ref="G16:H16"/>
    <mergeCell ref="A19:J19"/>
    <mergeCell ref="A18:J18"/>
    <mergeCell ref="A11:J11"/>
    <mergeCell ref="A12:J12"/>
    <mergeCell ref="A13:J13"/>
    <mergeCell ref="A14:J14"/>
    <mergeCell ref="B17:H17"/>
    <mergeCell ref="A1:J1"/>
    <mergeCell ref="A2:J2"/>
    <mergeCell ref="A3:J3"/>
    <mergeCell ref="B5:B6"/>
    <mergeCell ref="J5:J6"/>
    <mergeCell ref="G5:G6"/>
    <mergeCell ref="H5:H6"/>
    <mergeCell ref="C5:C6"/>
    <mergeCell ref="A4:B4"/>
    <mergeCell ref="A5:A6"/>
    <mergeCell ref="I5:I6"/>
    <mergeCell ref="D5:F5"/>
  </mergeCells>
  <pageMargins left="0.31496062992125984" right="0.27559055118110237" top="0.59055118110236227" bottom="0.19685039370078741" header="0.15748031496062992" footer="3.937007874015748E-2"/>
  <pageSetup paperSize="9" scale="90" orientation="landscape" horizontalDpi="4294967293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17"/>
  <sheetViews>
    <sheetView view="pageBreakPreview" zoomScale="90" zoomScaleNormal="115" zoomScaleSheetLayoutView="90" workbookViewId="0">
      <selection activeCell="J16" sqref="J16"/>
    </sheetView>
  </sheetViews>
  <sheetFormatPr defaultColWidth="9" defaultRowHeight="57" customHeight="1"/>
  <cols>
    <col min="1" max="1" width="5.69921875" style="94" customWidth="1"/>
    <col min="2" max="2" width="16.8984375" style="94" customWidth="1"/>
    <col min="3" max="3" width="14.59765625" style="69" customWidth="1"/>
    <col min="4" max="4" width="18.8984375" style="69" customWidth="1"/>
    <col min="5" max="10" width="17.69921875" style="69" customWidth="1"/>
    <col min="11" max="16384" width="9" style="69"/>
  </cols>
  <sheetData>
    <row r="1" spans="1:10" s="70" customFormat="1" ht="33" customHeight="1">
      <c r="A1" s="220" t="str">
        <f>+'7.ช่าง'!A1:J1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  <c r="J1" s="147"/>
    </row>
    <row r="2" spans="1:10" s="70" customFormat="1" ht="33" customHeight="1">
      <c r="A2" s="220" t="str">
        <f>+'7.ช่าง'!A2:J2</f>
        <v>และ</v>
      </c>
      <c r="B2" s="220"/>
      <c r="C2" s="220"/>
      <c r="D2" s="220"/>
      <c r="E2" s="220"/>
      <c r="F2" s="220"/>
      <c r="G2" s="220"/>
      <c r="H2" s="220"/>
      <c r="I2" s="220"/>
      <c r="J2" s="147"/>
    </row>
    <row r="3" spans="1:10" s="70" customFormat="1" ht="33" customHeight="1">
      <c r="A3" s="220" t="str">
        <f>+'7.ช่าง'!A3:J3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  <c r="J3" s="147"/>
    </row>
    <row r="4" spans="1:10" ht="27.9" customHeight="1">
      <c r="A4" s="247" t="s">
        <v>40</v>
      </c>
      <c r="B4" s="247"/>
      <c r="C4" s="247"/>
    </row>
    <row r="5" spans="1:10" s="74" customFormat="1" ht="27.9" customHeight="1">
      <c r="A5" s="225" t="s">
        <v>77</v>
      </c>
      <c r="B5" s="225" t="s">
        <v>156</v>
      </c>
      <c r="C5" s="222" t="s">
        <v>152</v>
      </c>
      <c r="D5" s="222"/>
      <c r="E5" s="222"/>
      <c r="F5" s="225" t="s">
        <v>131</v>
      </c>
      <c r="G5" s="235" t="s">
        <v>124</v>
      </c>
      <c r="H5" s="235" t="s">
        <v>149</v>
      </c>
      <c r="I5" s="244" t="s">
        <v>7</v>
      </c>
    </row>
    <row r="6" spans="1:10" s="74" customFormat="1" ht="43.5" customHeight="1">
      <c r="A6" s="225"/>
      <c r="B6" s="225"/>
      <c r="C6" s="172" t="s">
        <v>145</v>
      </c>
      <c r="D6" s="172" t="s">
        <v>133</v>
      </c>
      <c r="E6" s="170" t="s">
        <v>128</v>
      </c>
      <c r="F6" s="225"/>
      <c r="G6" s="235"/>
      <c r="H6" s="235"/>
      <c r="I6" s="244"/>
    </row>
    <row r="7" spans="1:10" s="82" customFormat="1" ht="80.099999999999994" customHeight="1">
      <c r="A7" s="96">
        <v>34</v>
      </c>
      <c r="B7" s="182">
        <v>18000000</v>
      </c>
      <c r="C7" s="95">
        <v>15380356.41</v>
      </c>
      <c r="D7" s="171">
        <v>1420644.94</v>
      </c>
      <c r="E7" s="171"/>
      <c r="F7" s="179"/>
      <c r="G7" s="179"/>
      <c r="H7" s="179"/>
      <c r="I7" s="182"/>
    </row>
    <row r="8" spans="1:10" ht="27.9" customHeight="1">
      <c r="A8" s="83"/>
      <c r="B8" s="84"/>
      <c r="C8" s="85"/>
      <c r="D8" s="86"/>
      <c r="E8" s="86"/>
      <c r="F8" s="87"/>
      <c r="G8" s="68"/>
    </row>
    <row r="9" spans="1:10" ht="27.9" customHeight="1">
      <c r="A9" s="221" t="s">
        <v>116</v>
      </c>
      <c r="B9" s="221"/>
      <c r="C9" s="221"/>
      <c r="D9" s="221"/>
      <c r="E9" s="221"/>
      <c r="F9" s="221"/>
      <c r="G9" s="221"/>
      <c r="H9" s="221"/>
      <c r="I9" s="221"/>
    </row>
    <row r="10" spans="1:10" ht="27.9" customHeight="1">
      <c r="A10" s="234" t="s">
        <v>115</v>
      </c>
      <c r="B10" s="234"/>
      <c r="C10" s="234"/>
      <c r="D10" s="234"/>
      <c r="E10" s="234"/>
      <c r="F10" s="234"/>
      <c r="G10" s="234"/>
      <c r="H10" s="234"/>
      <c r="I10" s="234"/>
    </row>
    <row r="11" spans="1:10" s="89" customFormat="1" ht="27.9" customHeight="1">
      <c r="A11" s="234" t="s">
        <v>115</v>
      </c>
      <c r="B11" s="234"/>
      <c r="C11" s="234"/>
      <c r="D11" s="234"/>
      <c r="E11" s="234"/>
      <c r="F11" s="234"/>
      <c r="G11" s="234"/>
      <c r="H11" s="234"/>
      <c r="I11" s="234"/>
    </row>
    <row r="12" spans="1:10" s="89" customFormat="1" ht="27.9" customHeight="1">
      <c r="A12" s="234" t="s">
        <v>115</v>
      </c>
      <c r="B12" s="234"/>
      <c r="C12" s="234"/>
      <c r="D12" s="234"/>
      <c r="E12" s="234"/>
      <c r="F12" s="234"/>
      <c r="G12" s="234"/>
      <c r="H12" s="234"/>
      <c r="I12" s="234"/>
    </row>
    <row r="13" spans="1:10" s="82" customFormat="1" ht="27.9" customHeight="1"/>
    <row r="14" spans="1:10" ht="27.9" customHeight="1">
      <c r="A14" s="82"/>
      <c r="B14" s="65"/>
      <c r="C14" s="86"/>
      <c r="D14" s="86"/>
      <c r="E14" s="90" t="s">
        <v>12</v>
      </c>
      <c r="F14" s="91"/>
      <c r="G14" s="92"/>
      <c r="H14" s="93" t="s">
        <v>13</v>
      </c>
      <c r="I14" s="93"/>
    </row>
    <row r="15" spans="1:10" ht="27.9" customHeight="1">
      <c r="E15" s="89"/>
      <c r="F15" s="232" t="s">
        <v>150</v>
      </c>
      <c r="G15" s="232"/>
      <c r="H15" s="89"/>
      <c r="I15" s="89"/>
    </row>
    <row r="16" spans="1:10" ht="27.9" customHeight="1">
      <c r="A16" s="233" t="s">
        <v>151</v>
      </c>
      <c r="B16" s="233"/>
      <c r="C16" s="233"/>
      <c r="D16" s="233"/>
      <c r="E16" s="233"/>
      <c r="F16" s="233"/>
      <c r="G16" s="233"/>
    </row>
    <row r="17" spans="1:9" ht="27.9" customHeight="1">
      <c r="A17" s="220"/>
      <c r="B17" s="220"/>
      <c r="C17" s="220"/>
      <c r="D17" s="220"/>
      <c r="E17" s="220"/>
      <c r="F17" s="220"/>
      <c r="G17" s="220"/>
      <c r="H17" s="220"/>
      <c r="I17" s="220"/>
    </row>
  </sheetData>
  <mergeCells count="18">
    <mergeCell ref="A1:I1"/>
    <mergeCell ref="A2:I2"/>
    <mergeCell ref="A3:I3"/>
    <mergeCell ref="A16:G16"/>
    <mergeCell ref="B5:B6"/>
    <mergeCell ref="A4:C4"/>
    <mergeCell ref="C5:E5"/>
    <mergeCell ref="F15:G15"/>
    <mergeCell ref="A5:A6"/>
    <mergeCell ref="H5:H6"/>
    <mergeCell ref="I5:I6"/>
    <mergeCell ref="F5:F6"/>
    <mergeCell ref="G5:G6"/>
    <mergeCell ref="A17:I17"/>
    <mergeCell ref="A9:I9"/>
    <mergeCell ref="A10:I10"/>
    <mergeCell ref="A11:I11"/>
    <mergeCell ref="A12:I12"/>
  </mergeCells>
  <pageMargins left="0.39370078740157483" right="0.27559055118110237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I17"/>
  <sheetViews>
    <sheetView view="pageBreakPreview" zoomScale="90" zoomScaleSheetLayoutView="90" workbookViewId="0">
      <selection activeCell="M11" sqref="M11"/>
    </sheetView>
  </sheetViews>
  <sheetFormatPr defaultColWidth="9" defaultRowHeight="57" customHeight="1"/>
  <cols>
    <col min="1" max="1" width="6" style="94" customWidth="1"/>
    <col min="2" max="2" width="15.59765625" style="94" customWidth="1"/>
    <col min="3" max="3" width="15.59765625" style="69" customWidth="1"/>
    <col min="4" max="4" width="18" style="69" customWidth="1"/>
    <col min="5" max="9" width="17.3984375" style="69" customWidth="1"/>
    <col min="10" max="10" width="9.8984375" style="69" customWidth="1"/>
    <col min="11" max="16384" width="9" style="69"/>
  </cols>
  <sheetData>
    <row r="1" spans="1:9" s="70" customFormat="1" ht="27.9" customHeight="1">
      <c r="A1" s="220" t="str">
        <f>+'8.โภชนาการ'!A1:I1</f>
        <v>สรุปแผนการใช้เงินบำรุง หมวดค่าวัสดุ ปีงบประมาณ 2568  (ต.ค67- มิ.ย.68)</v>
      </c>
      <c r="B1" s="220"/>
      <c r="C1" s="220"/>
      <c r="D1" s="220"/>
      <c r="E1" s="220"/>
      <c r="F1" s="220"/>
      <c r="G1" s="220"/>
      <c r="H1" s="220"/>
      <c r="I1" s="220"/>
    </row>
    <row r="2" spans="1:9" s="70" customFormat="1" ht="27.9" customHeight="1">
      <c r="A2" s="220" t="str">
        <f>+'8.โภชนาการ'!A2:I2</f>
        <v>และ</v>
      </c>
      <c r="B2" s="220"/>
      <c r="C2" s="220"/>
      <c r="D2" s="220"/>
      <c r="E2" s="220"/>
      <c r="F2" s="220"/>
      <c r="G2" s="220"/>
      <c r="H2" s="220"/>
      <c r="I2" s="220"/>
    </row>
    <row r="3" spans="1:9" s="70" customFormat="1" ht="27.9" customHeight="1">
      <c r="A3" s="220" t="str">
        <f>+'8.โภชนาการ'!A3:I3</f>
        <v>คำขอตั้งปรับแผนเงินบำรุง  หมวดค่าวัสดุ ประจำปีงบประมาณ 2569</v>
      </c>
      <c r="B3" s="220"/>
      <c r="C3" s="220"/>
      <c r="D3" s="220"/>
      <c r="E3" s="220"/>
      <c r="F3" s="220"/>
      <c r="G3" s="220"/>
      <c r="H3" s="220"/>
      <c r="I3" s="220"/>
    </row>
    <row r="4" spans="1:9" ht="27.9" customHeight="1">
      <c r="A4" s="71"/>
      <c r="B4" s="72" t="s">
        <v>62</v>
      </c>
      <c r="C4" s="73"/>
    </row>
    <row r="5" spans="1:9" s="74" customFormat="1" ht="27.9" customHeight="1">
      <c r="A5" s="223" t="s">
        <v>77</v>
      </c>
      <c r="B5" s="225" t="str">
        <f>+'8.โภชนาการ'!B5:B6</f>
        <v>แผน
ปีงบฯ 2568
(บาท)</v>
      </c>
      <c r="C5" s="222" t="str">
        <f>+'8.โภชนาการ'!C5:E5</f>
        <v>ผลการดำเนินงาน ณ 30 มิ.ย. 2568 (บาท)</v>
      </c>
      <c r="D5" s="222"/>
      <c r="E5" s="222"/>
      <c r="F5" s="235" t="str">
        <f>+'8.โภชนาการ'!F5:F6</f>
        <v>ยอดเงิน
คงเหลือ (บาท)</v>
      </c>
      <c r="G5" s="235" t="str">
        <f>+'8.โภชนาการ'!G5:G6</f>
        <v>วัสดุคงคลัง
 (บาท)</v>
      </c>
      <c r="H5" s="235" t="str">
        <f>+'8.โภชนาการ'!H5:H6</f>
        <v>คำขอตั้งแผน 
ปีงบฯ 2569 (บาท)</v>
      </c>
      <c r="I5" s="235" t="str">
        <f>+'8.โภชนาการ'!I5:I6</f>
        <v>หมายเหตุ</v>
      </c>
    </row>
    <row r="6" spans="1:9" s="74" customFormat="1" ht="49.2">
      <c r="A6" s="224"/>
      <c r="B6" s="225"/>
      <c r="C6" s="172" t="str">
        <f>+'8.โภชนาการ'!C6</f>
        <v>เบิกจ่ายแล้ว</v>
      </c>
      <c r="D6" s="172" t="str">
        <f>+'8.โภชนาการ'!D6</f>
        <v>เจ้าหนี้คงค้าง</v>
      </c>
      <c r="E6" s="172" t="str">
        <f>+'8.โภชนาการ'!E6</f>
        <v>ก่อหนี้/ยังไม่ตรวจรับ</v>
      </c>
      <c r="F6" s="235"/>
      <c r="G6" s="235"/>
      <c r="H6" s="235"/>
      <c r="I6" s="235"/>
    </row>
    <row r="7" spans="1:9" s="82" customFormat="1" ht="80.099999999999994" customHeight="1">
      <c r="A7" s="75">
        <v>35</v>
      </c>
      <c r="B7" s="179">
        <v>7000000</v>
      </c>
      <c r="C7" s="95">
        <v>3810600</v>
      </c>
      <c r="D7" s="171"/>
      <c r="E7" s="171"/>
      <c r="F7" s="179"/>
      <c r="G7" s="179"/>
      <c r="H7" s="179"/>
      <c r="I7" s="182"/>
    </row>
    <row r="8" spans="1:9" ht="27.9" customHeight="1">
      <c r="A8" s="83"/>
      <c r="B8" s="84"/>
      <c r="C8" s="85"/>
      <c r="D8" s="86"/>
      <c r="E8" s="86"/>
      <c r="F8" s="87"/>
      <c r="G8" s="68"/>
    </row>
    <row r="9" spans="1:9" ht="26.25" customHeight="1">
      <c r="A9" s="221" t="s">
        <v>127</v>
      </c>
      <c r="B9" s="221"/>
      <c r="C9" s="221"/>
      <c r="D9" s="221"/>
      <c r="E9" s="221"/>
      <c r="F9" s="221"/>
      <c r="G9" s="221"/>
      <c r="H9" s="221"/>
      <c r="I9" s="221"/>
    </row>
    <row r="10" spans="1:9" s="89" customFormat="1" ht="27.9" customHeight="1">
      <c r="A10" s="234" t="s">
        <v>115</v>
      </c>
      <c r="B10" s="234"/>
      <c r="C10" s="234"/>
      <c r="D10" s="234"/>
      <c r="E10" s="234"/>
      <c r="F10" s="234"/>
      <c r="G10" s="234"/>
      <c r="H10" s="234"/>
      <c r="I10" s="234"/>
    </row>
    <row r="11" spans="1:9" s="82" customFormat="1" ht="27.9" customHeight="1">
      <c r="A11" s="234" t="s">
        <v>115</v>
      </c>
      <c r="B11" s="234"/>
      <c r="C11" s="234"/>
      <c r="D11" s="234"/>
      <c r="E11" s="234"/>
      <c r="F11" s="234"/>
      <c r="G11" s="234"/>
      <c r="H11" s="234"/>
      <c r="I11" s="234"/>
    </row>
    <row r="12" spans="1:9" ht="27.9" customHeight="1">
      <c r="A12" s="234" t="s">
        <v>115</v>
      </c>
      <c r="B12" s="234"/>
      <c r="C12" s="234"/>
      <c r="D12" s="234"/>
      <c r="E12" s="234"/>
      <c r="F12" s="234"/>
      <c r="G12" s="234"/>
      <c r="H12" s="234"/>
      <c r="I12" s="234"/>
    </row>
    <row r="13" spans="1:9" ht="27.9" customHeight="1">
      <c r="A13" s="234" t="s">
        <v>115</v>
      </c>
      <c r="B13" s="234"/>
      <c r="C13" s="234"/>
      <c r="D13" s="234"/>
      <c r="E13" s="234"/>
      <c r="F13" s="234"/>
      <c r="G13" s="234"/>
      <c r="H13" s="234"/>
      <c r="I13" s="234"/>
    </row>
    <row r="14" spans="1:9" ht="27.9" customHeight="1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27.9" customHeight="1">
      <c r="A15" s="82"/>
      <c r="B15" s="65"/>
      <c r="C15" s="86"/>
      <c r="D15" s="86"/>
      <c r="E15" s="90" t="s">
        <v>12</v>
      </c>
      <c r="F15" s="91"/>
      <c r="G15" s="92"/>
      <c r="H15" s="93" t="s">
        <v>13</v>
      </c>
      <c r="I15" s="93"/>
    </row>
    <row r="16" spans="1:9" ht="22.5" customHeight="1">
      <c r="E16" s="89"/>
      <c r="F16" s="232" t="s">
        <v>150</v>
      </c>
      <c r="G16" s="232"/>
      <c r="H16" s="89"/>
      <c r="I16" s="89"/>
    </row>
    <row r="17" spans="1:7" ht="27.75" customHeight="1">
      <c r="A17" s="233" t="s">
        <v>157</v>
      </c>
      <c r="B17" s="233"/>
      <c r="C17" s="233"/>
      <c r="D17" s="233"/>
      <c r="E17" s="233"/>
      <c r="F17" s="233"/>
      <c r="G17" s="233"/>
    </row>
  </sheetData>
  <mergeCells count="17">
    <mergeCell ref="A17:G17"/>
    <mergeCell ref="B5:B6"/>
    <mergeCell ref="A10:I10"/>
    <mergeCell ref="A11:I11"/>
    <mergeCell ref="A12:I12"/>
    <mergeCell ref="A13:I13"/>
    <mergeCell ref="C5:E5"/>
    <mergeCell ref="F16:G16"/>
    <mergeCell ref="A1:I1"/>
    <mergeCell ref="A2:I2"/>
    <mergeCell ref="A3:I3"/>
    <mergeCell ref="A9:I9"/>
    <mergeCell ref="A5:A6"/>
    <mergeCell ref="H5:H6"/>
    <mergeCell ref="I5:I6"/>
    <mergeCell ref="F5:F6"/>
    <mergeCell ref="G5:G6"/>
  </mergeCells>
  <pageMargins left="0.39370078740157483" right="0.39370078740157483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L38"/>
  <sheetViews>
    <sheetView view="pageBreakPreview" zoomScale="90" zoomScaleNormal="100" zoomScaleSheetLayoutView="90" zoomScalePageLayoutView="85" workbookViewId="0">
      <pane ySplit="2" topLeftCell="A3" activePane="bottomLeft" state="frozen"/>
      <selection pane="bottomLeft" activeCell="K9" sqref="K9"/>
    </sheetView>
  </sheetViews>
  <sheetFormatPr defaultColWidth="9" defaultRowHeight="57" customHeight="1"/>
  <cols>
    <col min="1" max="1" width="5.3984375" style="121" customWidth="1"/>
    <col min="2" max="2" width="27.09765625" style="121" customWidth="1"/>
    <col min="3" max="3" width="16.69921875" style="140" hidden="1" customWidth="1"/>
    <col min="4" max="4" width="18.3984375" style="121" customWidth="1"/>
    <col min="5" max="5" width="15.69921875" style="121" customWidth="1"/>
    <col min="6" max="6" width="15.69921875" style="82" customWidth="1"/>
    <col min="7" max="7" width="19.3984375" style="82" customWidth="1"/>
    <col min="8" max="8" width="17.3984375" style="82" customWidth="1"/>
    <col min="9" max="9" width="14.59765625" style="102" customWidth="1"/>
    <col min="10" max="10" width="17" style="102" customWidth="1"/>
    <col min="11" max="11" width="18.59765625" style="82" customWidth="1"/>
    <col min="12" max="12" width="15.5" style="82" customWidth="1"/>
    <col min="13" max="13" width="9.8984375" style="82" customWidth="1"/>
    <col min="14" max="16384" width="9" style="82"/>
  </cols>
  <sheetData>
    <row r="1" spans="1:12" ht="27.9" customHeight="1">
      <c r="A1" s="262" t="s">
        <v>158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</row>
    <row r="2" spans="1:12" s="130" customFormat="1" ht="76.5" customHeight="1">
      <c r="A2" s="178" t="s">
        <v>77</v>
      </c>
      <c r="B2" s="178" t="s">
        <v>99</v>
      </c>
      <c r="C2" s="178" t="s">
        <v>123</v>
      </c>
      <c r="D2" s="178" t="s">
        <v>138</v>
      </c>
      <c r="E2" s="172" t="s">
        <v>141</v>
      </c>
      <c r="F2" s="172" t="s">
        <v>142</v>
      </c>
      <c r="G2" s="178" t="s">
        <v>143</v>
      </c>
      <c r="H2" s="178" t="s">
        <v>139</v>
      </c>
      <c r="I2" s="178" t="s">
        <v>131</v>
      </c>
      <c r="J2" s="177" t="s">
        <v>124</v>
      </c>
      <c r="K2" s="177" t="s">
        <v>149</v>
      </c>
      <c r="L2" s="173" t="s">
        <v>7</v>
      </c>
    </row>
    <row r="3" spans="1:12" ht="24" customHeight="1">
      <c r="A3" s="75">
        <v>1</v>
      </c>
      <c r="B3" s="114" t="s">
        <v>137</v>
      </c>
      <c r="C3" s="125" t="e">
        <f>'1.เวชภัณฑ์ ยา (2)'!#REF!</f>
        <v>#REF!</v>
      </c>
      <c r="D3" s="128">
        <f>+'1.เวชภัณฑ์ ยา (2)'!B7</f>
        <v>500000000</v>
      </c>
      <c r="E3" s="128">
        <f>+'1.เวชภัณฑ์ ยา (2)'!C7</f>
        <v>381117846.63</v>
      </c>
      <c r="F3" s="128">
        <f>+'1.เวชภัณฑ์ ยา (2)'!D7</f>
        <v>125635876.69</v>
      </c>
      <c r="G3" s="165"/>
      <c r="H3" s="165"/>
      <c r="I3" s="138"/>
      <c r="J3" s="138"/>
      <c r="K3" s="139"/>
      <c r="L3" s="126"/>
    </row>
    <row r="4" spans="1:12" ht="24.6">
      <c r="A4" s="75">
        <v>2</v>
      </c>
      <c r="B4" s="114" t="s">
        <v>96</v>
      </c>
      <c r="C4" s="125" t="e">
        <f>'2.เวชภัณฑ์มิใช่ยา'!#REF!</f>
        <v>#REF!</v>
      </c>
      <c r="D4" s="128">
        <f>+'2.เวชภัณฑ์มิใช่ยา'!B7</f>
        <v>47500000</v>
      </c>
      <c r="E4" s="204">
        <v>276999864.82999998</v>
      </c>
      <c r="F4" s="205">
        <v>89542495.709999993</v>
      </c>
      <c r="G4" s="165"/>
      <c r="H4" s="165"/>
      <c r="I4" s="138"/>
      <c r="J4" s="138"/>
      <c r="K4" s="139"/>
      <c r="L4" s="101"/>
    </row>
    <row r="5" spans="1:12" ht="24.6">
      <c r="A5" s="75">
        <v>3</v>
      </c>
      <c r="B5" s="114" t="s">
        <v>97</v>
      </c>
      <c r="C5" s="125" t="e">
        <f>'2.เวชภัณฑ์มิใช่ยา'!#REF!</f>
        <v>#REF!</v>
      </c>
      <c r="D5" s="129">
        <f>+'2.เวชภัณฑ์มิใช่ยา'!B26</f>
        <v>2000000</v>
      </c>
      <c r="E5" s="200"/>
      <c r="F5" s="205"/>
      <c r="G5" s="165"/>
      <c r="H5" s="165"/>
      <c r="I5" s="138"/>
      <c r="J5" s="138"/>
      <c r="K5" s="139"/>
      <c r="L5" s="101"/>
    </row>
    <row r="6" spans="1:12" ht="24" customHeight="1">
      <c r="A6" s="75">
        <v>4</v>
      </c>
      <c r="B6" s="114" t="s">
        <v>98</v>
      </c>
      <c r="C6" s="125" t="e">
        <f>'2.เวชภัณฑ์มิใช่ยา'!#REF!</f>
        <v>#REF!</v>
      </c>
      <c r="D6" s="128">
        <f>+'2.เวชภัณฑ์มิใช่ยา'!B43</f>
        <v>2000000</v>
      </c>
      <c r="E6" s="199"/>
      <c r="F6" s="204"/>
      <c r="G6" s="165"/>
      <c r="H6" s="165"/>
      <c r="I6" s="138"/>
      <c r="J6" s="138"/>
      <c r="K6" s="139"/>
      <c r="L6" s="127"/>
    </row>
    <row r="7" spans="1:12" ht="24.6">
      <c r="A7" s="75">
        <v>5</v>
      </c>
      <c r="B7" s="135" t="s">
        <v>100</v>
      </c>
      <c r="C7" s="125" t="e">
        <f>'2.เวชภัณฑ์มิใช่ยา'!#REF!</f>
        <v>#REF!</v>
      </c>
      <c r="D7" s="128">
        <f>+'2.เวชภัณฑ์มิใช่ยา'!B62</f>
        <v>6800000</v>
      </c>
      <c r="E7" s="199"/>
      <c r="F7" s="204"/>
      <c r="G7" s="165"/>
      <c r="H7" s="165"/>
      <c r="I7" s="138"/>
      <c r="J7" s="138"/>
      <c r="K7" s="160"/>
      <c r="L7" s="75"/>
    </row>
    <row r="8" spans="1:12" ht="24.6">
      <c r="A8" s="75">
        <v>6</v>
      </c>
      <c r="B8" s="135" t="s">
        <v>101</v>
      </c>
      <c r="C8" s="125" t="e">
        <f>'2.เวชภัณฑ์มิใช่ยา'!#REF!</f>
        <v>#REF!</v>
      </c>
      <c r="D8" s="128">
        <f>+'2.เวชภัณฑ์มิใช่ยา'!B81</f>
        <v>1800000</v>
      </c>
      <c r="E8" s="199"/>
      <c r="F8" s="204"/>
      <c r="G8" s="165"/>
      <c r="H8" s="165"/>
      <c r="I8" s="138"/>
      <c r="J8" s="138"/>
      <c r="K8" s="139"/>
      <c r="L8" s="101"/>
    </row>
    <row r="9" spans="1:12" ht="24" customHeight="1">
      <c r="A9" s="75">
        <v>7</v>
      </c>
      <c r="B9" s="135" t="s">
        <v>102</v>
      </c>
      <c r="C9" s="125" t="e">
        <f>'2.เวชภัณฑ์มิใช่ยา'!#REF!</f>
        <v>#REF!</v>
      </c>
      <c r="D9" s="128">
        <f>+'2.เวชภัณฑ์มิใช่ยา'!B100</f>
        <v>5000000</v>
      </c>
      <c r="E9" s="199"/>
      <c r="F9" s="204"/>
      <c r="G9" s="125"/>
      <c r="H9" s="125"/>
      <c r="I9" s="138"/>
      <c r="J9" s="138"/>
      <c r="K9" s="160"/>
      <c r="L9" s="75"/>
    </row>
    <row r="10" spans="1:12" ht="24.6">
      <c r="A10" s="75">
        <v>8</v>
      </c>
      <c r="B10" s="135" t="s">
        <v>103</v>
      </c>
      <c r="C10" s="125" t="e">
        <f>'2.เวชภัณฑ์มิใช่ยา'!#REF!</f>
        <v>#REF!</v>
      </c>
      <c r="D10" s="128">
        <f>+'2.เวชภัณฑ์มิใช่ยา'!B120</f>
        <v>60000000</v>
      </c>
      <c r="E10" s="199"/>
      <c r="F10" s="204"/>
      <c r="G10" s="165"/>
      <c r="H10" s="165"/>
      <c r="I10" s="138"/>
      <c r="J10" s="138"/>
      <c r="K10" s="160"/>
      <c r="L10" s="161"/>
    </row>
    <row r="11" spans="1:12" ht="24.6">
      <c r="A11" s="75">
        <v>9</v>
      </c>
      <c r="B11" s="135" t="s">
        <v>104</v>
      </c>
      <c r="C11" s="125" t="e">
        <f>'2.เวชภัณฑ์มิใช่ยา'!#REF!</f>
        <v>#REF!</v>
      </c>
      <c r="D11" s="128">
        <f>+'2.เวชภัณฑ์มิใช่ยา'!B138</f>
        <v>35000000</v>
      </c>
      <c r="E11" s="199"/>
      <c r="F11" s="206"/>
      <c r="G11" s="165"/>
      <c r="H11" s="165"/>
      <c r="I11" s="138"/>
      <c r="J11" s="138"/>
      <c r="K11" s="139"/>
      <c r="L11" s="101"/>
    </row>
    <row r="12" spans="1:12" ht="24" customHeight="1">
      <c r="A12" s="75">
        <v>10</v>
      </c>
      <c r="B12" s="135" t="s">
        <v>105</v>
      </c>
      <c r="C12" s="125" t="e">
        <f>'2.เวชภัณฑ์มิใช่ยา'!#REF!</f>
        <v>#REF!</v>
      </c>
      <c r="D12" s="131">
        <f>+'2.เวชภัณฑ์มิใช่ยา'!B157</f>
        <v>8000000</v>
      </c>
      <c r="E12" s="198">
        <v>24267019.300000001</v>
      </c>
      <c r="F12" s="166">
        <f>+'2.เวชภัณฑ์มิใช่ยา'!D157</f>
        <v>1185247.1000000001</v>
      </c>
      <c r="G12" s="165"/>
      <c r="H12" s="165"/>
      <c r="I12" s="138"/>
      <c r="J12" s="138"/>
      <c r="K12" s="139"/>
      <c r="L12" s="101"/>
    </row>
    <row r="13" spans="1:12" ht="24.6">
      <c r="A13" s="75">
        <v>11</v>
      </c>
      <c r="B13" s="135" t="s">
        <v>106</v>
      </c>
      <c r="C13" s="125" t="e">
        <f>'2.เวชภัณฑ์มิใช่ยา'!#REF!</f>
        <v>#REF!</v>
      </c>
      <c r="D13" s="149">
        <f>+'2.เวชภัณฑ์มิใช่ยา'!B176</f>
        <v>2750000</v>
      </c>
      <c r="E13" s="203"/>
      <c r="F13" s="207"/>
      <c r="G13" s="167"/>
      <c r="H13" s="167"/>
      <c r="I13" s="138"/>
      <c r="J13" s="138"/>
      <c r="K13" s="160"/>
      <c r="L13" s="75"/>
    </row>
    <row r="14" spans="1:12" ht="24.6">
      <c r="A14" s="75">
        <v>12</v>
      </c>
      <c r="B14" s="135" t="s">
        <v>107</v>
      </c>
      <c r="C14" s="125" t="e">
        <f>'3.วัสดุการแพทย์'!#REF!</f>
        <v>#REF!</v>
      </c>
      <c r="D14" s="132">
        <f>+'3.วัสดุการแพทย์'!B7</f>
        <v>25000000</v>
      </c>
      <c r="E14" s="201"/>
      <c r="F14" s="208"/>
      <c r="G14" s="125"/>
      <c r="H14" s="125"/>
      <c r="I14" s="138"/>
      <c r="J14" s="138"/>
      <c r="K14" s="160"/>
      <c r="L14" s="75"/>
    </row>
    <row r="15" spans="1:12" ht="24" customHeight="1">
      <c r="A15" s="75">
        <v>13</v>
      </c>
      <c r="B15" s="135" t="s">
        <v>108</v>
      </c>
      <c r="C15" s="125" t="e">
        <f>'3.วัสดุการแพทย์'!#REF!</f>
        <v>#REF!</v>
      </c>
      <c r="D15" s="133">
        <f>+'3.วัสดุการแพทย์'!B26</f>
        <v>170000000</v>
      </c>
      <c r="E15" s="202"/>
      <c r="F15" s="209"/>
      <c r="G15" s="165"/>
      <c r="H15" s="165"/>
      <c r="I15" s="138"/>
      <c r="J15" s="138"/>
      <c r="K15" s="139"/>
      <c r="L15" s="101"/>
    </row>
    <row r="16" spans="1:12" ht="25.5" customHeight="1">
      <c r="A16" s="75">
        <v>14</v>
      </c>
      <c r="B16" s="135" t="s">
        <v>140</v>
      </c>
      <c r="C16" s="125" t="e">
        <f>'3.วัสดุการแพทย์'!#REF!</f>
        <v>#REF!</v>
      </c>
      <c r="D16" s="162">
        <f>+'3.วัสดุการแพทย์'!B44</f>
        <v>30000000</v>
      </c>
      <c r="E16" s="197"/>
      <c r="F16" s="122">
        <f>+'3.วัสดุการแพทย์'!D44</f>
        <v>3680330.85</v>
      </c>
      <c r="G16" s="122"/>
      <c r="H16" s="122"/>
      <c r="I16" s="138"/>
      <c r="J16" s="138"/>
      <c r="K16" s="160"/>
      <c r="L16" s="75"/>
    </row>
    <row r="17" spans="1:12" ht="24" customHeight="1">
      <c r="A17" s="75">
        <v>15</v>
      </c>
      <c r="B17" s="135" t="s">
        <v>109</v>
      </c>
      <c r="C17" s="125" t="e">
        <f>'3.วัสดุการแพทย์'!#REF!</f>
        <v>#REF!</v>
      </c>
      <c r="D17" s="133">
        <f>+'3.วัสดุการแพทย์'!B63</f>
        <v>13000000</v>
      </c>
      <c r="E17" s="196"/>
      <c r="F17" s="168">
        <f>+'3.วัสดุการแพทย์'!D63</f>
        <v>2287465.19</v>
      </c>
      <c r="G17" s="165"/>
      <c r="H17" s="165"/>
      <c r="I17" s="138"/>
      <c r="J17" s="138"/>
      <c r="K17" s="139"/>
      <c r="L17" s="101"/>
    </row>
    <row r="18" spans="1:12" ht="24.6">
      <c r="A18" s="75">
        <v>16</v>
      </c>
      <c r="B18" s="135" t="s">
        <v>110</v>
      </c>
      <c r="C18" s="125" t="e">
        <f>'4.วัสุดวิทยาศาสตร์'!#REF!</f>
        <v>#REF!</v>
      </c>
      <c r="D18" s="128">
        <f>+'4.วัสุดวิทยาศาสตร์'!B7</f>
        <v>5000000</v>
      </c>
      <c r="E18" s="195">
        <v>88907703.489999995</v>
      </c>
      <c r="F18" s="195">
        <v>9523898.4600000009</v>
      </c>
      <c r="G18" s="165"/>
      <c r="H18" s="165"/>
      <c r="I18" s="138"/>
      <c r="J18" s="138"/>
      <c r="K18" s="139"/>
      <c r="L18" s="101"/>
    </row>
    <row r="19" spans="1:12" ht="24.6">
      <c r="A19" s="75">
        <v>17</v>
      </c>
      <c r="B19" s="135" t="s">
        <v>94</v>
      </c>
      <c r="C19" s="125" t="e">
        <f>'4.วัสุดวิทยาศาสตร์'!#REF!</f>
        <v>#REF!</v>
      </c>
      <c r="D19" s="128">
        <f>+'4.วัสุดวิทยาศาสตร์'!B26</f>
        <v>4000000</v>
      </c>
      <c r="E19" s="193"/>
      <c r="F19" s="195"/>
      <c r="G19" s="165"/>
      <c r="H19" s="165"/>
      <c r="I19" s="138"/>
      <c r="J19" s="138"/>
      <c r="K19" s="139"/>
      <c r="L19" s="101"/>
    </row>
    <row r="20" spans="1:12" ht="24.6">
      <c r="A20" s="75">
        <v>18</v>
      </c>
      <c r="B20" s="135" t="s">
        <v>130</v>
      </c>
      <c r="C20" s="125" t="e">
        <f>'4.วัสุดวิทยาศาสตร์'!#REF!</f>
        <v>#REF!</v>
      </c>
      <c r="D20" s="128">
        <f>+'4.วัสุดวิทยาศาสตร์'!B27</f>
        <v>72000000</v>
      </c>
      <c r="E20" s="193"/>
      <c r="F20" s="195"/>
      <c r="G20" s="165"/>
      <c r="H20" s="165"/>
      <c r="I20" s="138"/>
      <c r="J20" s="138"/>
      <c r="K20" s="139"/>
      <c r="L20" s="101"/>
    </row>
    <row r="21" spans="1:12" s="157" customFormat="1" ht="24" customHeight="1">
      <c r="A21" s="75">
        <v>19</v>
      </c>
      <c r="B21" s="158" t="s">
        <v>111</v>
      </c>
      <c r="C21" s="153" t="e">
        <f>'4.วัสุดวิทยาศาสตร์'!#REF!</f>
        <v>#REF!</v>
      </c>
      <c r="D21" s="152">
        <f>+'4.วัสุดวิทยาศาสตร์'!B46</f>
        <v>30000000</v>
      </c>
      <c r="E21" s="194"/>
      <c r="F21" s="210"/>
      <c r="G21" s="153"/>
      <c r="H21" s="153"/>
      <c r="I21" s="154"/>
      <c r="J21" s="154"/>
      <c r="K21" s="155"/>
      <c r="L21" s="159"/>
    </row>
    <row r="22" spans="1:12" ht="24.6">
      <c r="A22" s="75">
        <v>20</v>
      </c>
      <c r="B22" s="135" t="s">
        <v>112</v>
      </c>
      <c r="C22" s="125" t="e">
        <f>'4.วัสุดวิทยาศาสตร์'!#REF!</f>
        <v>#REF!</v>
      </c>
      <c r="D22" s="128">
        <f>+'4.วัสุดวิทยาศาสตร์'!B65</f>
        <v>3000000</v>
      </c>
      <c r="E22" s="193"/>
      <c r="F22" s="195"/>
      <c r="G22" s="165"/>
      <c r="H22" s="165"/>
      <c r="I22" s="138"/>
      <c r="J22" s="138"/>
      <c r="K22" s="139"/>
      <c r="L22" s="136"/>
    </row>
    <row r="23" spans="1:12" ht="24" customHeight="1">
      <c r="A23" s="75">
        <v>21</v>
      </c>
      <c r="B23" s="112" t="s">
        <v>125</v>
      </c>
      <c r="C23" s="137" t="e">
        <f>'5.วัสดุทั่วไป'!#REF!</f>
        <v>#REF!</v>
      </c>
      <c r="D23" s="128">
        <f>+'5.วัสดุทั่วไป'!C7</f>
        <v>12000000</v>
      </c>
      <c r="E23" s="128">
        <f>+'5.วัสดุทั่วไป'!D7</f>
        <v>8017181.1200000001</v>
      </c>
      <c r="F23" s="128">
        <f>+'5.วัสดุทั่วไป'!E7</f>
        <v>6388369.9000000004</v>
      </c>
      <c r="G23" s="137"/>
      <c r="H23" s="137"/>
      <c r="I23" s="138"/>
      <c r="J23" s="138"/>
      <c r="K23" s="139"/>
      <c r="L23" s="141"/>
    </row>
    <row r="24" spans="1:12" ht="24.6">
      <c r="A24" s="75">
        <v>22</v>
      </c>
      <c r="B24" s="114" t="s">
        <v>126</v>
      </c>
      <c r="C24" s="125" t="e">
        <f>'5.วัสดุทั่วไป'!#REF!</f>
        <v>#REF!</v>
      </c>
      <c r="D24" s="128">
        <f>+'5.วัสดุทั่วไป'!C8</f>
        <v>12000000</v>
      </c>
      <c r="E24" s="128">
        <f>+'5.วัสดุทั่วไป'!D8</f>
        <v>7904507.6299999999</v>
      </c>
      <c r="F24" s="128">
        <f>+'5.วัสดุทั่วไป'!E8</f>
        <v>4829485.03</v>
      </c>
      <c r="G24" s="137"/>
      <c r="H24" s="137"/>
      <c r="I24" s="138"/>
      <c r="J24" s="138"/>
      <c r="K24" s="139"/>
      <c r="L24" s="141"/>
    </row>
    <row r="25" spans="1:12" ht="24.6">
      <c r="A25" s="75">
        <v>23</v>
      </c>
      <c r="B25" s="114" t="s">
        <v>74</v>
      </c>
      <c r="C25" s="125" t="e">
        <f>'5.วัสดุทั่วไป'!#REF!</f>
        <v>#REF!</v>
      </c>
      <c r="D25" s="128">
        <f>+'5.วัสดุทั่วไป'!C9</f>
        <v>1900000</v>
      </c>
      <c r="E25" s="128">
        <f>+'5.วัสดุทั่วไป'!D9</f>
        <v>1759287.82</v>
      </c>
      <c r="F25" s="128">
        <f>+'5.วัสดุทั่วไป'!E9</f>
        <v>0</v>
      </c>
      <c r="G25" s="137"/>
      <c r="H25" s="137"/>
      <c r="I25" s="138"/>
      <c r="J25" s="138"/>
      <c r="K25" s="139"/>
      <c r="L25" s="141"/>
    </row>
    <row r="26" spans="1:12" ht="24" customHeight="1">
      <c r="A26" s="75">
        <v>24</v>
      </c>
      <c r="B26" s="114" t="s">
        <v>75</v>
      </c>
      <c r="C26" s="125" t="e">
        <f>'5.วัสดุทั่วไป'!#REF!</f>
        <v>#REF!</v>
      </c>
      <c r="D26" s="128">
        <f>+'5.วัสดุทั่วไป'!C10</f>
        <v>100000</v>
      </c>
      <c r="E26" s="128">
        <f>+'5.วัสดุทั่วไป'!D10</f>
        <v>45595.45</v>
      </c>
      <c r="F26" s="128">
        <f>+'5.วัสดุทั่วไป'!E10</f>
        <v>0</v>
      </c>
      <c r="G26" s="137"/>
      <c r="H26" s="137"/>
      <c r="I26" s="138"/>
      <c r="J26" s="138"/>
      <c r="K26" s="139"/>
      <c r="L26" s="141"/>
    </row>
    <row r="27" spans="1:12" ht="24.6">
      <c r="A27" s="75">
        <v>25</v>
      </c>
      <c r="B27" s="114" t="s">
        <v>95</v>
      </c>
      <c r="C27" s="125" t="e">
        <f>'5.วัสดุทั่วไป'!#REF!</f>
        <v>#REF!</v>
      </c>
      <c r="D27" s="128">
        <f>+'5.วัสดุทั่วไป'!C11</f>
        <v>4000000</v>
      </c>
      <c r="E27" s="128">
        <f>+'5.วัสดุทั่วไป'!D11</f>
        <v>360743</v>
      </c>
      <c r="F27" s="128">
        <f>+'5.วัสดุทั่วไป'!E11</f>
        <v>374580</v>
      </c>
      <c r="G27" s="137"/>
      <c r="H27" s="137"/>
      <c r="I27" s="138"/>
      <c r="J27" s="138"/>
      <c r="K27" s="139"/>
      <c r="L27" s="141"/>
    </row>
    <row r="28" spans="1:12" ht="24.6">
      <c r="A28" s="75">
        <v>26</v>
      </c>
      <c r="B28" s="114" t="s">
        <v>129</v>
      </c>
      <c r="C28" s="125"/>
      <c r="D28" s="128">
        <f>+'5.วัสดุทั่วไป'!C12</f>
        <v>120000</v>
      </c>
      <c r="E28" s="128">
        <f>+'5.วัสดุทั่วไป'!D12</f>
        <v>74343</v>
      </c>
      <c r="F28" s="128">
        <f>+'5.วัสดุทั่วไป'!E12</f>
        <v>148510</v>
      </c>
      <c r="G28" s="137"/>
      <c r="H28" s="137"/>
      <c r="I28" s="138"/>
      <c r="J28" s="138"/>
      <c r="K28" s="139"/>
      <c r="L28" s="141"/>
    </row>
    <row r="29" spans="1:12" ht="24.6">
      <c r="A29" s="75">
        <v>27</v>
      </c>
      <c r="B29" s="112" t="s">
        <v>79</v>
      </c>
      <c r="C29" s="137" t="e">
        <f>'6.เชื้อเพลิง'!#REF!</f>
        <v>#REF!</v>
      </c>
      <c r="D29" s="128">
        <f>+'6.เชื้อเพลิง'!C7</f>
        <v>1000000</v>
      </c>
      <c r="E29" s="260">
        <f>+'6.เชื้อเพลิง'!D7</f>
        <v>6241096.0999999996</v>
      </c>
      <c r="F29" s="261">
        <f>+'6.เชื้อเพลิง'!E7</f>
        <v>1220719.2</v>
      </c>
      <c r="G29" s="137"/>
      <c r="H29" s="137"/>
      <c r="I29" s="138"/>
      <c r="J29" s="138"/>
      <c r="K29" s="139"/>
      <c r="L29" s="141"/>
    </row>
    <row r="30" spans="1:12" ht="24" customHeight="1">
      <c r="A30" s="75">
        <v>28</v>
      </c>
      <c r="B30" s="114" t="s">
        <v>80</v>
      </c>
      <c r="C30" s="137" t="e">
        <f>'6.เชื้อเพลิง'!#REF!</f>
        <v>#REF!</v>
      </c>
      <c r="D30" s="128">
        <f>+'6.เชื้อเพลิง'!C8</f>
        <v>270000</v>
      </c>
      <c r="E30" s="260"/>
      <c r="F30" s="261"/>
      <c r="G30" s="137"/>
      <c r="H30" s="137"/>
      <c r="I30" s="138"/>
      <c r="J30" s="138"/>
      <c r="K30" s="139"/>
      <c r="L30" s="141"/>
    </row>
    <row r="31" spans="1:12" ht="24.6">
      <c r="A31" s="75">
        <v>29</v>
      </c>
      <c r="B31" s="114" t="s">
        <v>81</v>
      </c>
      <c r="C31" s="137" t="e">
        <f>'6.เชื้อเพลิง'!#REF!</f>
        <v>#REF!</v>
      </c>
      <c r="D31" s="128">
        <f>+'6.เชื้อเพลิง'!C9</f>
        <v>7000000</v>
      </c>
      <c r="E31" s="260"/>
      <c r="F31" s="261"/>
      <c r="G31" s="137"/>
      <c r="H31" s="137"/>
      <c r="I31" s="138"/>
      <c r="J31" s="138"/>
      <c r="K31" s="139"/>
      <c r="L31" s="141"/>
    </row>
    <row r="32" spans="1:12" ht="24.6">
      <c r="A32" s="75">
        <v>30</v>
      </c>
      <c r="B32" s="114" t="s">
        <v>82</v>
      </c>
      <c r="C32" s="137" t="e">
        <f>'6.เชื้อเพลิง'!#REF!</f>
        <v>#REF!</v>
      </c>
      <c r="D32" s="128">
        <f>+'6.เชื้อเพลิง'!C10</f>
        <v>1000000</v>
      </c>
      <c r="E32" s="193"/>
      <c r="F32" s="195"/>
      <c r="G32" s="137"/>
      <c r="H32" s="137"/>
      <c r="I32" s="138"/>
      <c r="J32" s="138"/>
      <c r="K32" s="139"/>
      <c r="L32" s="141"/>
    </row>
    <row r="33" spans="1:12" ht="24" customHeight="1">
      <c r="A33" s="75">
        <v>31</v>
      </c>
      <c r="B33" s="114" t="s">
        <v>83</v>
      </c>
      <c r="C33" s="125" t="e">
        <f>'7.ช่าง'!#REF!</f>
        <v>#REF!</v>
      </c>
      <c r="D33" s="128">
        <f>+'7.ช่าง'!C7</f>
        <v>4500000</v>
      </c>
      <c r="E33" s="128">
        <f>+'7.ช่าง'!D7</f>
        <v>2368781.46</v>
      </c>
      <c r="F33" s="128">
        <f>+'7.ช่าง'!E7</f>
        <v>430588.11</v>
      </c>
      <c r="G33" s="165"/>
      <c r="H33" s="165"/>
      <c r="I33" s="138"/>
      <c r="J33" s="138"/>
      <c r="K33" s="139"/>
      <c r="L33" s="101"/>
    </row>
    <row r="34" spans="1:12" ht="24.6">
      <c r="A34" s="75">
        <v>32</v>
      </c>
      <c r="B34" s="114" t="s">
        <v>84</v>
      </c>
      <c r="C34" s="125" t="e">
        <f>'7.ช่าง'!#REF!</f>
        <v>#REF!</v>
      </c>
      <c r="D34" s="128">
        <f>+'7.ช่าง'!C8</f>
        <v>5000000</v>
      </c>
      <c r="E34" s="128">
        <f>+'7.ช่าง'!D8</f>
        <v>2153418.87</v>
      </c>
      <c r="F34" s="128">
        <f>+'7.ช่าง'!E8</f>
        <v>508550.74</v>
      </c>
      <c r="G34" s="165"/>
      <c r="H34" s="165"/>
      <c r="I34" s="138"/>
      <c r="J34" s="138"/>
      <c r="K34" s="139"/>
      <c r="L34" s="101"/>
    </row>
    <row r="35" spans="1:12" ht="24.6">
      <c r="A35" s="75">
        <v>33</v>
      </c>
      <c r="B35" s="114" t="s">
        <v>76</v>
      </c>
      <c r="C35" s="125" t="e">
        <f>'7.ช่าง'!#REF!</f>
        <v>#REF!</v>
      </c>
      <c r="D35" s="128">
        <f>+'7.ช่าง'!C9</f>
        <v>1000000</v>
      </c>
      <c r="E35" s="128">
        <f>+'7.ช่าง'!D9</f>
        <v>297003.59999999998</v>
      </c>
      <c r="F35" s="128">
        <f>+'7.ช่าง'!E9</f>
        <v>30923</v>
      </c>
      <c r="G35" s="165"/>
      <c r="H35" s="165"/>
      <c r="I35" s="138"/>
      <c r="J35" s="138"/>
      <c r="K35" s="139"/>
      <c r="L35" s="101"/>
    </row>
    <row r="36" spans="1:12" ht="24" customHeight="1">
      <c r="A36" s="75">
        <v>34</v>
      </c>
      <c r="B36" s="135" t="s">
        <v>113</v>
      </c>
      <c r="C36" s="125" t="e">
        <f>'8.โภชนาการ'!#REF!</f>
        <v>#REF!</v>
      </c>
      <c r="D36" s="128">
        <f>+'8.โภชนาการ'!B7</f>
        <v>18000000</v>
      </c>
      <c r="E36" s="128">
        <f>+'8.โภชนาการ'!C7</f>
        <v>15380356.41</v>
      </c>
      <c r="F36" s="125">
        <f>+'8.โภชนาการ'!D7</f>
        <v>1420644.94</v>
      </c>
      <c r="G36" s="165"/>
      <c r="H36" s="165"/>
      <c r="I36" s="138"/>
      <c r="J36" s="138"/>
      <c r="K36" s="139"/>
      <c r="L36" s="101"/>
    </row>
    <row r="37" spans="1:12" s="157" customFormat="1" ht="49.2">
      <c r="A37" s="75">
        <v>35</v>
      </c>
      <c r="B37" s="150" t="s">
        <v>114</v>
      </c>
      <c r="C37" s="151" t="e">
        <f>'9.เครื่องแต่งกาย'!#REF!</f>
        <v>#REF!</v>
      </c>
      <c r="D37" s="152">
        <f>+'9.เครื่องแต่งกาย'!B7</f>
        <v>7000000</v>
      </c>
      <c r="E37" s="152">
        <f>+'9.เครื่องแต่งกาย'!C7</f>
        <v>3810600</v>
      </c>
      <c r="F37" s="153">
        <f>+'9.เครื่องแต่งกาย'!D7</f>
        <v>0</v>
      </c>
      <c r="G37" s="169"/>
      <c r="H37" s="169"/>
      <c r="I37" s="154"/>
      <c r="J37" s="154"/>
      <c r="K37" s="155"/>
      <c r="L37" s="156"/>
    </row>
    <row r="38" spans="1:12" ht="28.5" customHeight="1">
      <c r="D38" s="121">
        <f t="shared" ref="D38:K38" si="0">SUM(D3:D37)</f>
        <v>1097740000</v>
      </c>
      <c r="E38" s="121">
        <f t="shared" si="0"/>
        <v>819705348.71000016</v>
      </c>
      <c r="F38" s="121">
        <f t="shared" si="0"/>
        <v>247207684.91999999</v>
      </c>
      <c r="G38" s="121">
        <f t="shared" si="0"/>
        <v>0</v>
      </c>
      <c r="H38" s="121">
        <f t="shared" si="0"/>
        <v>0</v>
      </c>
      <c r="I38" s="121">
        <f t="shared" si="0"/>
        <v>0</v>
      </c>
      <c r="J38" s="121">
        <f t="shared" si="0"/>
        <v>0</v>
      </c>
      <c r="K38" s="121">
        <f t="shared" si="0"/>
        <v>0</v>
      </c>
    </row>
  </sheetData>
  <mergeCells count="3">
    <mergeCell ref="E29:E31"/>
    <mergeCell ref="F29:F31"/>
    <mergeCell ref="A1:L1"/>
  </mergeCells>
  <pageMargins left="0.31496062992125984" right="0.15748031496062992" top="0.74803149606299213" bottom="0.39370078740157483" header="0.31496062992125984" footer="0.31496062992125984"/>
  <pageSetup paperSize="9" scale="75" orientation="landscape" horizontalDpi="4294967293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11</vt:i4>
      </vt:variant>
      <vt:variant>
        <vt:lpstr>ช่วงที่มีชื่อ</vt:lpstr>
      </vt:variant>
      <vt:variant>
        <vt:i4>4</vt:i4>
      </vt:variant>
    </vt:vector>
  </HeadingPairs>
  <TitlesOfParts>
    <vt:vector size="15" baseType="lpstr">
      <vt:lpstr>แบบฟอร์มที่ 1</vt:lpstr>
      <vt:lpstr>1.เวชภัณฑ์ ยา (2)</vt:lpstr>
      <vt:lpstr>2.เวชภัณฑ์มิใช่ยา</vt:lpstr>
      <vt:lpstr>3.วัสดุการแพทย์</vt:lpstr>
      <vt:lpstr>4.วัสุดวิทยาศาสตร์</vt:lpstr>
      <vt:lpstr>5.วัสดุทั่วไป</vt:lpstr>
      <vt:lpstr>6.เชื้อเพลิง</vt:lpstr>
      <vt:lpstr>7.ช่าง</vt:lpstr>
      <vt:lpstr>8.โภชนาการ</vt:lpstr>
      <vt:lpstr>9.เครื่องแต่งกาย</vt:lpstr>
      <vt:lpstr>รวม</vt:lpstr>
      <vt:lpstr>'2.เวชภัณฑ์มิใช่ยา'!Print_Area</vt:lpstr>
      <vt:lpstr>'3.วัสดุการแพทย์'!Print_Area</vt:lpstr>
      <vt:lpstr>'แบบฟอร์มที่ 1'!Print_Area</vt:lpstr>
      <vt:lpstr>รวม!Print_Titles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monthirac</dc:creator>
  <cp:lastModifiedBy>natcha kaojaidee</cp:lastModifiedBy>
  <cp:lastPrinted>2024-08-02T02:51:12Z</cp:lastPrinted>
  <dcterms:created xsi:type="dcterms:W3CDTF">2011-08-08T07:35:34Z</dcterms:created>
  <dcterms:modified xsi:type="dcterms:W3CDTF">2026-05-16T03:26:51Z</dcterms:modified>
</cp:coreProperties>
</file>