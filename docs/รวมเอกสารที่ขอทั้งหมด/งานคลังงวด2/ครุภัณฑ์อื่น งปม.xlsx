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เครื่องจักรกล งปม." sheetId="1" r:id="rId1"/>
    <sheet name="โรงงานเครื่องมือ งปม." sheetId="2" r:id="rId2"/>
    <sheet name="สิ่งก่อสร้างเครื่องจักรกล งปม." sheetId="3" r:id="rId3"/>
  </sheets>
  <definedNames>
    <definedName name="_xlnm._FilterDatabase" localSheetId="0" hidden="1">'เครื่องจักรกล งปม.'!$A$5:$E$5</definedName>
    <definedName name="_xlnm._FilterDatabase" localSheetId="1" hidden="1">'โรงงานเครื่องมือ งปม.'!$A$5:$E$5</definedName>
    <definedName name="_xlnm._FilterDatabase" localSheetId="2" hidden="1">'สิ่งก่อสร้างเครื่องจักรกล งปม.'!#REF!</definedName>
    <definedName name="_xlnm.Print_Area" localSheetId="0">'เครื่องจักรกล งปม.'!$A$2:$L$11</definedName>
    <definedName name="_xlnm.Print_Area" localSheetId="1">'โรงงานเครื่องมือ งปม.'!$A$2:$L$103</definedName>
  </definedNames>
  <calcPr calcId="124519"/>
</workbook>
</file>

<file path=xl/calcChain.xml><?xml version="1.0" encoding="utf-8"?>
<calcChain xmlns="http://schemas.openxmlformats.org/spreadsheetml/2006/main">
  <c r="E18" i="1"/>
  <c r="F18"/>
  <c r="G18"/>
  <c r="D18"/>
  <c r="D6" i="3"/>
  <c r="E6"/>
  <c r="F6"/>
  <c r="G6"/>
  <c r="H6"/>
  <c r="D10"/>
  <c r="E10"/>
  <c r="F10"/>
  <c r="G10"/>
  <c r="D104" i="2"/>
  <c r="E104"/>
  <c r="F104"/>
  <c r="G104"/>
  <c r="H104"/>
  <c r="D108"/>
  <c r="E108"/>
  <c r="F108"/>
  <c r="G108"/>
  <c r="D12" i="1"/>
  <c r="E12"/>
  <c r="F12"/>
  <c r="E16" s="1"/>
  <c r="G12"/>
  <c r="F16" s="1"/>
  <c r="H12"/>
  <c r="G16" s="1"/>
  <c r="D16"/>
</calcChain>
</file>

<file path=xl/sharedStrings.xml><?xml version="1.0" encoding="utf-8"?>
<sst xmlns="http://schemas.openxmlformats.org/spreadsheetml/2006/main" count="263" uniqueCount="183">
  <si>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</si>
  <si>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</si>
  <si>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</si>
  <si>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</si>
  <si>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</si>
  <si>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</si>
  <si>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</si>
  <si>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</si>
  <si>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</si>
  <si>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</si>
  <si>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</si>
  <si>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</si>
  <si>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</si>
  <si>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รายงานค่าเสื่อมประจำปีโรงพยาบาลวชิระภูเก็ต</t>
  </si>
  <si>
    <t>ประเภทครุภัณฑ์ โรงงานและเครื่องจักรกล</t>
  </si>
  <si>
    <t>ชนิด 0920004 เครื่องลับใบมีด</t>
  </si>
  <si>
    <t>3220-009-0003/2</t>
  </si>
  <si>
    <t>ชนิด 0920001 เครื่องเชื่อม</t>
  </si>
  <si>
    <t>3431-002-0001/1</t>
  </si>
  <si>
    <t>3431-002-0001/2</t>
  </si>
  <si>
    <t>ชนิด 0920008 หัว Burner For Boiller</t>
  </si>
  <si>
    <t>3433-011-0005/1(52)</t>
  </si>
  <si>
    <t>ชนิด 0920003 เครื่องบากแป๊บ</t>
  </si>
  <si>
    <t>3441-001-0002/1</t>
  </si>
  <si>
    <t>ชนิด 0920007 เครื่องผลิตสูญญากาศ</t>
  </si>
  <si>
    <t>4120-001-0013/1-2</t>
  </si>
  <si>
    <t>5310-001-0001/3(69)</t>
  </si>
  <si>
    <t>เครื่องเป่าลม/SN:WP5340824</t>
  </si>
  <si>
    <t>4310-001-0002/6(69)</t>
  </si>
  <si>
    <t>เครื่องปั๊มลม</t>
  </si>
  <si>
    <t>4310-001-0002/5(69)</t>
  </si>
  <si>
    <t>4310-001-0002/4(69)</t>
  </si>
  <si>
    <t>4310-001-0001/2(69)</t>
  </si>
  <si>
    <t>ถังแรงดันปั๊มน้ำไดอะแฟรมไฮโดรไลน์ ขนาด 500 ลิตร</t>
  </si>
  <si>
    <t>5310-001-0001/1(69)</t>
  </si>
  <si>
    <t>เครื่องเป่าลมใบไม้</t>
  </si>
  <si>
    <t>4310-004-0003/2(69)</t>
  </si>
  <si>
    <t>ปั๊มเติมอากาศ ขนาด 3 Bar</t>
  </si>
  <si>
    <t>3441-001-0003/1(69)</t>
  </si>
  <si>
    <t>เครื่องตัดพลาสม่า</t>
  </si>
  <si>
    <t>4910-038-0001/1(69)</t>
  </si>
  <si>
    <t>เครื่องฉีดน้ำเย็น ขนาด 110 บาร์</t>
  </si>
  <si>
    <t>4310-004-0001/1(69)</t>
  </si>
  <si>
    <t>เครื่องอัดอากาศ</t>
  </si>
  <si>
    <t>4910-038-0002/1(69)</t>
  </si>
  <si>
    <t>ชุดหัวล้างพื้นพร้อมฝาครอบสแตนเลส</t>
  </si>
  <si>
    <t>4310-004-0003/1(69)</t>
  </si>
  <si>
    <t>ปั๊มเติมอากาศ</t>
  </si>
  <si>
    <t>3413-001-0005/1(68)</t>
  </si>
  <si>
    <t>เครื่องสกัดคอนกรีตไฟฟ้า ขนาด 1510 วัตต์</t>
  </si>
  <si>
    <t>3413-001-0001/2(68)</t>
  </si>
  <si>
    <t>สว่านโรตารี่ 3 ระบบ</t>
  </si>
  <si>
    <t>3413-001-0005/2(68)</t>
  </si>
  <si>
    <t>เครื่องสกัดคอนกรีตไฟฟ้า ขนาด 900 วัตต์</t>
  </si>
  <si>
    <t>7490-016-0002/1(68)</t>
  </si>
  <si>
    <t>ชุดไม้แขนกั้นรถอัตโนมัติ</t>
  </si>
  <si>
    <t>3413-001-0001/1(68)</t>
  </si>
  <si>
    <t>สว่านโรตารี่ไร้สาย</t>
  </si>
  <si>
    <t>0940-024-0001/4(68)</t>
  </si>
  <si>
    <t>ตู้บอกตำแหน่ง Fire Alarm</t>
  </si>
  <si>
    <t>0940-024-0001/3(68)</t>
  </si>
  <si>
    <t>ระบบ Fire Alarm</t>
  </si>
  <si>
    <t>4310-001-0001/1(68)</t>
  </si>
  <si>
    <t>ปั็มสูบน้ำดับเพลิง (Jockey Pump)</t>
  </si>
  <si>
    <t>2930-001-0001/30(68)</t>
  </si>
  <si>
    <t>เครื่องสูบน้ำดับเพลิงรักษาแรงดัน</t>
  </si>
  <si>
    <t>2930-001-0001/28(68)</t>
  </si>
  <si>
    <t>เครื่องสูบน้ำดับเพลิง</t>
  </si>
  <si>
    <t>2930-001-0001/27(68)</t>
  </si>
  <si>
    <t>เครื่องสูบน้ำเสียสำหรับบ่อตกตะกอน</t>
  </si>
  <si>
    <t>2930-001-0001/26(68)</t>
  </si>
  <si>
    <t>2930-001-0001/25(68)</t>
  </si>
  <si>
    <t>เครื่องสูบน้ำเสียสำหรับบ่อปรับสภาพ</t>
  </si>
  <si>
    <t>2930-001-0001/24(68)</t>
  </si>
  <si>
    <t>2930-001-0001/23(68)</t>
  </si>
  <si>
    <t>2930-001-0001/22(68)</t>
  </si>
  <si>
    <t>เครื่องสูบน้ำห้องเครื่องปั้ม</t>
  </si>
  <si>
    <t>2930-001-0001/21(68)</t>
  </si>
  <si>
    <t>2930-001-0001/20(68)</t>
  </si>
  <si>
    <t>เครื่องสูบน้ำเสีย</t>
  </si>
  <si>
    <t>2930-001-0001/19(68)</t>
  </si>
  <si>
    <t>2930-001-0001/18(68)</t>
  </si>
  <si>
    <t>2930-001-0001/17(68)</t>
  </si>
  <si>
    <t>2930-001-0001/12(68)</t>
  </si>
  <si>
    <t>เครื่องสูบน้ำประปา</t>
  </si>
  <si>
    <t>2930-001-0001/11(68)</t>
  </si>
  <si>
    <t>2930-001-0001/10(68)</t>
  </si>
  <si>
    <t>2930-001-0001/15(68)</t>
  </si>
  <si>
    <t>เครื่องสูบน้ำเพิ่มความดัน 3KW</t>
  </si>
  <si>
    <t>2930-001-0001/14(68)</t>
  </si>
  <si>
    <t>2930-001-0001/13(68)</t>
  </si>
  <si>
    <t>2930-001-0001/8(67)</t>
  </si>
  <si>
    <t>2930-001-0001/9(67)</t>
  </si>
  <si>
    <t>เครื่องสูบน้ำดับเพลิงช่วย</t>
  </si>
  <si>
    <t>2930-001-0001/5(67)</t>
  </si>
  <si>
    <t>2930-001-0001/4(67)</t>
  </si>
  <si>
    <t>2930-001-0001/7(67)</t>
  </si>
  <si>
    <t>เครื่องสูบน้ำเพิ่มแรงดัน</t>
  </si>
  <si>
    <t>2930-001-0001/6(67)</t>
  </si>
  <si>
    <t>5410-005-0001/4(64)</t>
  </si>
  <si>
    <t>ชนิด 09010011 เต้นท์โรงพยาบาลโครงการอลูมิเนียม</t>
  </si>
  <si>
    <t>5410-005-0001/3(64)</t>
  </si>
  <si>
    <t>5410-005-0001/2(64)</t>
  </si>
  <si>
    <t>ชนิด 09010011 เต้นท์โรงพยาบาลสนามอัดอากาศ ขนาด 42 ตารางเมตร</t>
  </si>
  <si>
    <t>5410-005-0001/1(64)</t>
  </si>
  <si>
    <t>ชนิด 09010011 เต้นท์โรงพยาบาลสนามอัดอากาศ ขนาด 29 ตารางเมตร</t>
  </si>
  <si>
    <t>5210-001-0001/2(53)</t>
  </si>
  <si>
    <t>ชนิด 0910031 เทอร์โบร์เรือ</t>
  </si>
  <si>
    <t>5210-001-0001/1(53)</t>
  </si>
  <si>
    <t>5180-003-0011/4(50)</t>
  </si>
  <si>
    <t>ชนิด 0910024 ถังกรองน้ำ</t>
  </si>
  <si>
    <t>5180-003-0011/3(50)</t>
  </si>
  <si>
    <t>5180-003-0011/2(50)</t>
  </si>
  <si>
    <t>5180-003-0011/1(50)</t>
  </si>
  <si>
    <t>5180-003-0007/1(50)</t>
  </si>
  <si>
    <t>ชนิด 0910023 เครื่องมือสอบเทียบความดัน</t>
  </si>
  <si>
    <t>5130-008-0003/3</t>
  </si>
  <si>
    <t>ชนิด 0910004 ปืนยิงท่อ</t>
  </si>
  <si>
    <t>4610-007-0001/2(50)</t>
  </si>
  <si>
    <t>ชนิด 0910021 เครื่องกรองน้ำ</t>
  </si>
  <si>
    <t>4610-001-0001/2(51)  บริจาค</t>
  </si>
  <si>
    <t>4610-001-0001/1(51)  บริจาค</t>
  </si>
  <si>
    <t>4330-005-0006/1</t>
  </si>
  <si>
    <t>ชนิด 0910010 เครื่องสูบน้ำเสีย</t>
  </si>
  <si>
    <t>4330-005-0004/5</t>
  </si>
  <si>
    <t>ชนิด 0910003 เครื่องฉีดปั๊มน้ำแรงดันสูง</t>
  </si>
  <si>
    <t>4330-005-0004/4</t>
  </si>
  <si>
    <t>ชนิด 0910012 เครื่องอัดอากาศ</t>
  </si>
  <si>
    <t>4330-005-0004/3</t>
  </si>
  <si>
    <t>4330-005-0004/1-2</t>
  </si>
  <si>
    <t>4330-005-0003/8</t>
  </si>
  <si>
    <t>ชนิด 0910002 ปั๊มน้ำ</t>
  </si>
  <si>
    <t>4330-005-0003/35(50)</t>
  </si>
  <si>
    <t>ชนิด 0910022 ปั๊มเคมี</t>
  </si>
  <si>
    <t>4330-005-0003/33(50)</t>
  </si>
  <si>
    <t>ชนิด 0910007 เครื่องสูบน้ำ</t>
  </si>
  <si>
    <t>4330-005-0003/32(50)</t>
  </si>
  <si>
    <t>4330-005-0003/31(50)</t>
  </si>
  <si>
    <t>4330-005-0003/30</t>
  </si>
  <si>
    <t>4330-005-0003/27</t>
  </si>
  <si>
    <t>4330-005-0003/26</t>
  </si>
  <si>
    <t>4330-005-003/21</t>
  </si>
  <si>
    <t>4330-005-003/11</t>
  </si>
  <si>
    <t>4310-004-0003/1(51)</t>
  </si>
  <si>
    <t>ชนิด 0910027 เครื่องเติมอากาศบ่อบำบัดน้ำเสีย</t>
  </si>
  <si>
    <t>4310-004-0001/1</t>
  </si>
  <si>
    <t>4310-001-0001/9(51)</t>
  </si>
  <si>
    <t>ชนิด 0910009 ปั๊มลม</t>
  </si>
  <si>
    <t>4310-001-0001/8(51)</t>
  </si>
  <si>
    <t>4310-001-0001/7(51)</t>
  </si>
  <si>
    <t>4310-001-0001/5(51)</t>
  </si>
  <si>
    <t>4310-001-0001/4(52)</t>
  </si>
  <si>
    <t>4310-001-0001/3(52)</t>
  </si>
  <si>
    <t>4310-001-0001/3(51)</t>
  </si>
  <si>
    <t>4310-001-0001/2(52)</t>
  </si>
  <si>
    <t>4310-001-0001/1(52)</t>
  </si>
  <si>
    <t>4310-001-0001/1(51)</t>
  </si>
  <si>
    <t>4140-003-0004/2</t>
  </si>
  <si>
    <t>ชนิด 0910016 เครื่องส่งลมเย็น</t>
  </si>
  <si>
    <t>4140-003-0004/1</t>
  </si>
  <si>
    <t>4130-008-0006/1</t>
  </si>
  <si>
    <t>ชนิด 0910018 ปั๊มฉีดน้ำล้างแอร์</t>
  </si>
  <si>
    <t>3930-001-0003/2</t>
  </si>
  <si>
    <t>ชนิด 0910014 แม่แรงยกสินค้า</t>
  </si>
  <si>
    <t>3930-001-0003/1</t>
  </si>
  <si>
    <t>ชนิด 0910005 กระเช้า</t>
  </si>
  <si>
    <t>3413-003-0003/1(52)</t>
  </si>
  <si>
    <t>ชนิด 0910028 แท่นจับชิ้นงาน 4"</t>
  </si>
  <si>
    <t>3413-001-0003/1(52)</t>
  </si>
  <si>
    <t>ชนิด 0910020 สว่านไฟฟ้า</t>
  </si>
  <si>
    <t>3413-001-0002/2(51)</t>
  </si>
  <si>
    <t>3413-001-0002/2</t>
  </si>
  <si>
    <t>3413-001-0002/1(51)</t>
  </si>
  <si>
    <t>2350-004-0001/1</t>
  </si>
  <si>
    <t>ชนิด 0910001 เครื่องยนต์</t>
  </si>
  <si>
    <t>ประเภทครุภัณฑ์ โรงงานเครื่องมือและอุปกรณ์</t>
  </si>
  <si>
    <t xml:space="preserve">สุทธิ </t>
  </si>
  <si>
    <t>สะสม</t>
  </si>
  <si>
    <t>5510-001-0001/15(68)</t>
  </si>
  <si>
    <t>ลิฟต์โดยสารชนิดมีห้องเครื่องขนาด 900 กิโลกรัม</t>
  </si>
  <si>
    <t>ค่าเสื่อมราคาประจำปีงบ 2569</t>
  </si>
  <si>
    <t>ประเภทครุภัณฑ์ ครุภัณฑ์สิ่งก่อสร้างเครื่องจักรกล</t>
  </si>
  <si>
    <t>รวมครุภัณฑ์อื่น งบประมาณ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</si>
</sst>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sz val="10"/>
      <color indexed="8"/>
      <name val="Arial"/>
      <family val="2"/>
    </font>
    <font>
      <b/>
      <sz val="16"/>
      <name val="Angsana New"/>
      <family val="1"/>
    </font>
    <font>
      <b/>
      <sz val="14"/>
      <color theme="1"/>
      <name val="Angsana New"/>
      <family val="1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14"/>
      <name val="Angsana New"/>
      <family val="1"/>
    </font>
    <font>
      <b/>
      <u val="double"/>
      <sz val="14"/>
      <name val="Angsana New"/>
      <family val="1"/>
    </font>
    <font>
      <b/>
      <sz val="14"/>
      <name val="Angsana New"/>
      <family val="1"/>
      <charset val="222"/>
    </font>
    <font>
      <b/>
      <sz val="14"/>
      <color theme="1"/>
      <name val="Angsana New"/>
      <family val="1"/>
      <charset val="222"/>
    </font>
    <font>
      <b/>
      <sz val="16"/>
      <color rgb="FFFF0000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94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0" fontId="2" fillId="0" borderId="0" xfId="0" applyFont="1" applyAlignment="1">
      <alignment horizontal="center"/>
    </xf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2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Fill="1"/>
    <xf numFmtId="0" fontId="2" fillId="0" borderId="2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12" applyFont="1" applyBorder="1" applyAlignment="1">
      <alignment horizontal="left" vertical="center"/>
    </xf>
    <xf numFmtId="0" fontId="5" fillId="0" borderId="1" xfId="13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3" applyFont="1" applyBorder="1" applyAlignment="1">
      <alignment horizontal="center"/>
    </xf>
    <xf numFmtId="43" fontId="2" fillId="0" borderId="1" xfId="4" applyFont="1" applyBorder="1"/>
    <xf numFmtId="0" fontId="2" fillId="0" borderId="1" xfId="3" applyFont="1" applyBorder="1"/>
    <xf numFmtId="0" fontId="7" fillId="0" borderId="1" xfId="5" applyFont="1" applyBorder="1" applyAlignment="1">
      <alignment horizontal="center"/>
    </xf>
    <xf numFmtId="43" fontId="2" fillId="0" borderId="1" xfId="4" applyFont="1" applyFill="1" applyBorder="1"/>
    <xf numFmtId="43" fontId="2" fillId="0" borderId="1" xfId="6" applyFont="1" applyBorder="1" applyAlignment="1">
      <alignment horizontal="center"/>
    </xf>
    <xf numFmtId="43" fontId="2" fillId="0" borderId="1" xfId="7" applyFont="1" applyBorder="1" applyAlignment="1">
      <alignment horizontal="center"/>
    </xf>
    <xf numFmtId="0" fontId="2" fillId="0" borderId="1" xfId="8" applyFont="1" applyBorder="1" applyAlignment="1">
      <alignment horizontal="left"/>
    </xf>
    <xf numFmtId="1" fontId="2" fillId="0" borderId="1" xfId="8" applyNumberFormat="1" applyFont="1" applyBorder="1"/>
    <xf numFmtId="43" fontId="2" fillId="0" borderId="1" xfId="4" applyFont="1" applyFill="1" applyBorder="1" applyAlignment="1">
      <alignment horizontal="center"/>
    </xf>
    <xf numFmtId="0" fontId="2" fillId="0" borderId="1" xfId="3" applyFont="1" applyBorder="1" applyAlignment="1">
      <alignment horizontal="left"/>
    </xf>
    <xf numFmtId="1" fontId="7" fillId="0" borderId="1" xfId="3" applyNumberFormat="1" applyFont="1" applyBorder="1"/>
    <xf numFmtId="43" fontId="2" fillId="0" borderId="1" xfId="9" applyFont="1" applyBorder="1" applyAlignment="1">
      <alignment horizontal="center"/>
    </xf>
    <xf numFmtId="0" fontId="2" fillId="0" borderId="1" xfId="10" applyFont="1" applyBorder="1" applyAlignment="1">
      <alignment horizontal="left"/>
    </xf>
    <xf numFmtId="1" fontId="2" fillId="0" borderId="1" xfId="10" applyNumberFormat="1" applyFont="1" applyBorder="1"/>
    <xf numFmtId="43" fontId="7" fillId="0" borderId="1" xfId="4" applyFont="1" applyBorder="1" applyAlignment="1">
      <alignment horizontal="center"/>
    </xf>
    <xf numFmtId="0" fontId="7" fillId="0" borderId="1" xfId="3" applyFont="1" applyBorder="1"/>
    <xf numFmtId="14" fontId="7" fillId="0" borderId="1" xfId="3" applyNumberFormat="1" applyFont="1" applyBorder="1" applyAlignment="1">
      <alignment horizontal="left"/>
    </xf>
    <xf numFmtId="187" fontId="7" fillId="0" borderId="1" xfId="3" applyNumberFormat="1" applyFont="1" applyBorder="1" applyAlignment="1">
      <alignment horizontal="left"/>
    </xf>
    <xf numFmtId="0" fontId="5" fillId="4" borderId="1" xfId="5" applyFont="1" applyFill="1" applyBorder="1" applyAlignment="1">
      <alignment horizontal="center"/>
    </xf>
    <xf numFmtId="43" fontId="8" fillId="4" borderId="1" xfId="11" applyFont="1" applyFill="1" applyBorder="1"/>
    <xf numFmtId="0" fontId="8" fillId="4" borderId="1" xfId="5" applyFont="1" applyFill="1" applyBorder="1"/>
    <xf numFmtId="14" fontId="5" fillId="4" borderId="1" xfId="5" applyNumberFormat="1" applyFont="1" applyFill="1" applyBorder="1"/>
    <xf numFmtId="0" fontId="4" fillId="0" borderId="0" xfId="42"/>
    <xf numFmtId="43" fontId="4" fillId="0" borderId="0" xfId="1" applyFont="1"/>
    <xf numFmtId="0" fontId="9" fillId="0" borderId="0" xfId="42" applyFont="1"/>
    <xf numFmtId="0" fontId="10" fillId="0" borderId="0" xfId="42" applyFont="1"/>
    <xf numFmtId="43" fontId="10" fillId="0" borderId="0" xfId="1" applyFont="1"/>
    <xf numFmtId="0" fontId="10" fillId="0" borderId="1" xfId="42" applyFont="1" applyBorder="1"/>
    <xf numFmtId="4" fontId="10" fillId="0" borderId="1" xfId="42" applyNumberFormat="1" applyFont="1" applyBorder="1"/>
    <xf numFmtId="0" fontId="10" fillId="0" borderId="1" xfId="42" applyFont="1" applyBorder="1" applyAlignment="1">
      <alignment horizontal="center"/>
    </xf>
    <xf numFmtId="0" fontId="4" fillId="0" borderId="0" xfId="42" applyFont="1"/>
    <xf numFmtId="0" fontId="11" fillId="0" borderId="3" xfId="42" applyFont="1" applyBorder="1" applyAlignment="1">
      <alignment horizontal="center"/>
    </xf>
    <xf numFmtId="4" fontId="5" fillId="0" borderId="3" xfId="42" applyNumberFormat="1" applyFont="1" applyBorder="1"/>
    <xf numFmtId="14" fontId="5" fillId="0" borderId="4" xfId="42" applyNumberFormat="1" applyFont="1" applyBorder="1"/>
    <xf numFmtId="0" fontId="5" fillId="0" borderId="0" xfId="42" applyFont="1"/>
    <xf numFmtId="14" fontId="11" fillId="0" borderId="5" xfId="42" applyNumberFormat="1" applyFont="1" applyBorder="1"/>
    <xf numFmtId="0" fontId="11" fillId="0" borderId="3" xfId="42" applyFont="1" applyBorder="1"/>
    <xf numFmtId="0" fontId="11" fillId="0" borderId="5" xfId="42" applyFont="1" applyBorder="1"/>
    <xf numFmtId="0" fontId="11" fillId="0" borderId="0" xfId="42" applyFont="1"/>
    <xf numFmtId="43" fontId="11" fillId="0" borderId="0" xfId="1" applyFont="1"/>
    <xf numFmtId="0" fontId="11" fillId="0" borderId="1" xfId="42" applyFont="1" applyBorder="1"/>
    <xf numFmtId="0" fontId="11" fillId="0" borderId="4" xfId="42" applyFont="1" applyBorder="1" applyAlignment="1">
      <alignment horizontal="center"/>
    </xf>
    <xf numFmtId="4" fontId="5" fillId="0" borderId="0" xfId="42" applyNumberFormat="1" applyFont="1"/>
    <xf numFmtId="14" fontId="5" fillId="0" borderId="0" xfId="42" applyNumberFormat="1" applyFont="1"/>
    <xf numFmtId="0" fontId="11" fillId="0" borderId="4" xfId="42" applyFont="1" applyBorder="1"/>
    <xf numFmtId="0" fontId="11" fillId="0" borderId="0" xfId="42" applyFont="1" applyAlignment="1">
      <alignment horizontal="center"/>
    </xf>
    <xf numFmtId="43" fontId="12" fillId="0" borderId="0" xfId="1" applyFont="1"/>
    <xf numFmtId="43" fontId="8" fillId="5" borderId="0" xfId="1" applyFont="1" applyFill="1" applyBorder="1" applyAlignment="1">
      <alignment horizontal="center"/>
    </xf>
    <xf numFmtId="0" fontId="13" fillId="5" borderId="0" xfId="37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3" fontId="15" fillId="0" borderId="1" xfId="26" applyFont="1" applyBorder="1"/>
    <xf numFmtId="14" fontId="15" fillId="0" borderId="1" xfId="43" applyNumberFormat="1" applyFont="1" applyBorder="1"/>
    <xf numFmtId="0" fontId="15" fillId="0" borderId="1" xfId="43" applyFont="1" applyBorder="1"/>
    <xf numFmtId="1" fontId="15" fillId="0" borderId="1" xfId="43" applyNumberFormat="1" applyFont="1" applyBorder="1"/>
    <xf numFmtId="43" fontId="7" fillId="0" borderId="1" xfId="1" applyFont="1" applyBorder="1"/>
    <xf numFmtId="0" fontId="7" fillId="0" borderId="1" xfId="43" applyFont="1" applyBorder="1" applyAlignment="1">
      <alignment horizontal="center"/>
    </xf>
    <xf numFmtId="4" fontId="2" fillId="0" borderId="1" xfId="43" applyNumberFormat="1" applyFont="1" applyBorder="1"/>
    <xf numFmtId="14" fontId="2" fillId="0" borderId="1" xfId="43" applyNumberFormat="1" applyFont="1" applyBorder="1"/>
    <xf numFmtId="0" fontId="2" fillId="0" borderId="1" xfId="43" applyFont="1" applyBorder="1"/>
    <xf numFmtId="43" fontId="7" fillId="5" borderId="1" xfId="1" applyFont="1" applyFill="1" applyBorder="1" applyAlignment="1">
      <alignment horizontal="center" vertical="center"/>
    </xf>
    <xf numFmtId="43" fontId="7" fillId="5" borderId="1" xfId="1" applyFont="1" applyFill="1" applyBorder="1" applyAlignment="1">
      <alignment horizontal="center" vertical="center"/>
    </xf>
    <xf numFmtId="0" fontId="7" fillId="0" borderId="1" xfId="42" applyFont="1" applyBorder="1" applyAlignment="1">
      <alignment horizontal="center" vertical="center"/>
    </xf>
    <xf numFmtId="0" fontId="5" fillId="0" borderId="0" xfId="42" applyFont="1" applyAlignment="1">
      <alignment horizontal="center"/>
    </xf>
    <xf numFmtId="0" fontId="5" fillId="0" borderId="0" xfId="42" applyFont="1" applyAlignment="1">
      <alignment horizontal="right"/>
    </xf>
    <xf numFmtId="0" fontId="5" fillId="0" borderId="0" xfId="42" applyFont="1" applyAlignment="1">
      <alignment horizontal="center"/>
    </xf>
    <xf numFmtId="0" fontId="2" fillId="6" borderId="0" xfId="0" applyFont="1" applyFill="1" applyAlignment="1">
      <alignment horizontal="center"/>
    </xf>
    <xf numFmtId="43" fontId="2" fillId="6" borderId="0" xfId="1" applyFont="1" applyFill="1"/>
  </cellXfs>
  <cellStyles count="44">
    <cellStyle name="Comma" xfId="1" builtinId="3"/>
    <cellStyle name="Comma 2" xfId="11"/>
    <cellStyle name="Comma 3" xfId="14"/>
    <cellStyle name="Comma 4" xfId="7"/>
    <cellStyle name="Comma 6" xfId="15"/>
    <cellStyle name="Comma 7" xfId="16"/>
    <cellStyle name="Normal" xfId="0" builtinId="0"/>
    <cellStyle name="Normal 2" xfId="17"/>
    <cellStyle name="Normal 2 2" xfId="5"/>
    <cellStyle name="Normal 3" xfId="18"/>
    <cellStyle name="Normal 3 2" xfId="19"/>
    <cellStyle name="เครื่องหมายจุลภาค 2" xfId="2"/>
    <cellStyle name="จุลภาค 10 2" xfId="20"/>
    <cellStyle name="จุลภาค 10 3" xfId="9"/>
    <cellStyle name="จุลภาค 11 3" xfId="21"/>
    <cellStyle name="จุลภาค 13" xfId="22"/>
    <cellStyle name="จุลภาค 14" xfId="23"/>
    <cellStyle name="จุลภาค 15" xfId="24"/>
    <cellStyle name="จุลภาค 17" xfId="25"/>
    <cellStyle name="จุลภาค 2" xfId="4"/>
    <cellStyle name="จุลภาค 2 2" xfId="6"/>
    <cellStyle name="จุลภาค 3" xfId="26"/>
    <cellStyle name="จุลภาค 4" xfId="27"/>
    <cellStyle name="จุลภาค 5" xfId="28"/>
    <cellStyle name="จุลภาค 7" xfId="29"/>
    <cellStyle name="ปกติ 11" xfId="30"/>
    <cellStyle name="ปกติ 12" xfId="31"/>
    <cellStyle name="ปกติ 2" xfId="13"/>
    <cellStyle name="ปกติ 2 2" xfId="8"/>
    <cellStyle name="ปกติ 2 2 2" xfId="32"/>
    <cellStyle name="ปกติ 3" xfId="12"/>
    <cellStyle name="ปกติ 3 2" xfId="33"/>
    <cellStyle name="ปกติ 3 2 2" xfId="10"/>
    <cellStyle name="ปกติ 3 2 3" xfId="43"/>
    <cellStyle name="ปกติ 4" xfId="3"/>
    <cellStyle name="ปกติ 4 2" xfId="34"/>
    <cellStyle name="ปกติ 5" xfId="35"/>
    <cellStyle name="ปกติ 5 2" xfId="36"/>
    <cellStyle name="ปกติ 6" xfId="37"/>
    <cellStyle name="ปกติ 6 2" xfId="38"/>
    <cellStyle name="ปกติ 7" xfId="39"/>
    <cellStyle name="ปกติ 7 2" xfId="42"/>
    <cellStyle name="ปกติ 8" xfId="40"/>
    <cellStyle name="ปกติ 9" xfId="4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18"/>
  <sheetViews>
    <sheetView tabSelected="1" topLeftCell="A2" zoomScaleSheetLayoutView="90" workbookViewId="0">
      <selection activeCell="T16" sqref="T16"/>
    </sheetView>
  </sheetViews>
  <sheetFormatPr defaultColWidth="9" defaultRowHeight="23.25"/>
  <cols>
    <col min="1" max="1" width="9" style="1"/>
    <col min="2" max="2" width="48.25" style="1" customWidth="1"/>
    <col min="3" max="3" width="22.5" style="4" customWidth="1"/>
    <col min="4" max="4" width="14.875" style="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25" t="s">
        <v>13</v>
      </c>
      <c r="B2" s="25"/>
      <c r="C2" s="25"/>
      <c r="D2" s="25"/>
      <c r="E2" s="25"/>
    </row>
    <row r="3" spans="1:12">
      <c r="A3" s="4"/>
      <c r="B3" s="4"/>
      <c r="D3" s="4"/>
      <c r="E3" s="4"/>
    </row>
    <row r="4" spans="1:12">
      <c r="B4" s="1" t="s">
        <v>14</v>
      </c>
      <c r="D4" s="1"/>
    </row>
    <row r="5" spans="1:12">
      <c r="A5" s="17" t="s">
        <v>12</v>
      </c>
      <c r="B5" s="17" t="s">
        <v>11</v>
      </c>
      <c r="C5" s="17" t="s">
        <v>10</v>
      </c>
      <c r="D5" s="16" t="s">
        <v>4</v>
      </c>
      <c r="E5" s="23" t="s">
        <v>9</v>
      </c>
      <c r="F5" s="22" t="s">
        <v>8</v>
      </c>
      <c r="G5" s="22" t="s">
        <v>7</v>
      </c>
      <c r="H5" s="22" t="s">
        <v>6</v>
      </c>
      <c r="I5" s="21" t="s">
        <v>8</v>
      </c>
      <c r="J5" s="21" t="s">
        <v>7</v>
      </c>
      <c r="K5" s="21" t="s">
        <v>6</v>
      </c>
      <c r="L5" s="21" t="s">
        <v>5</v>
      </c>
    </row>
    <row r="6" spans="1:12" s="14" customFormat="1">
      <c r="A6" s="17">
        <v>1</v>
      </c>
      <c r="B6" s="20" t="s">
        <v>15</v>
      </c>
      <c r="C6" s="20" t="s">
        <v>16</v>
      </c>
      <c r="D6" s="16">
        <v>30923</v>
      </c>
      <c r="E6" s="17">
        <v>5</v>
      </c>
      <c r="F6" s="16">
        <v>0</v>
      </c>
      <c r="G6" s="16">
        <v>30922</v>
      </c>
      <c r="H6" s="16">
        <v>1</v>
      </c>
      <c r="I6" s="15"/>
      <c r="J6" s="12"/>
      <c r="K6" s="12"/>
      <c r="L6" s="12"/>
    </row>
    <row r="7" spans="1:12" s="14" customFormat="1">
      <c r="A7" s="17">
        <v>2</v>
      </c>
      <c r="B7" s="20" t="s">
        <v>17</v>
      </c>
      <c r="C7" s="20" t="s">
        <v>18</v>
      </c>
      <c r="D7" s="16">
        <v>32730</v>
      </c>
      <c r="E7" s="17">
        <v>5</v>
      </c>
      <c r="F7" s="16">
        <v>0</v>
      </c>
      <c r="G7" s="16">
        <v>32729</v>
      </c>
      <c r="H7" s="16">
        <v>1</v>
      </c>
      <c r="I7" s="15"/>
      <c r="J7" s="12"/>
      <c r="K7" s="12"/>
      <c r="L7" s="12"/>
    </row>
    <row r="8" spans="1:12" s="14" customFormat="1">
      <c r="A8" s="17">
        <v>3</v>
      </c>
      <c r="B8" s="20" t="s">
        <v>17</v>
      </c>
      <c r="C8" s="20" t="s">
        <v>19</v>
      </c>
      <c r="D8" s="16">
        <v>79200</v>
      </c>
      <c r="E8" s="17">
        <v>5</v>
      </c>
      <c r="F8" s="16">
        <v>0</v>
      </c>
      <c r="G8" s="16">
        <v>79199</v>
      </c>
      <c r="H8" s="16">
        <v>1</v>
      </c>
      <c r="I8" s="15"/>
      <c r="J8" s="12"/>
      <c r="K8" s="12"/>
      <c r="L8" s="12"/>
    </row>
    <row r="9" spans="1:12" s="14" customFormat="1">
      <c r="A9" s="17">
        <v>4</v>
      </c>
      <c r="B9" s="20" t="s">
        <v>20</v>
      </c>
      <c r="C9" s="20" t="s">
        <v>21</v>
      </c>
      <c r="D9" s="16">
        <v>680000</v>
      </c>
      <c r="E9" s="17">
        <v>5</v>
      </c>
      <c r="F9" s="16">
        <v>0</v>
      </c>
      <c r="G9" s="16">
        <v>679999</v>
      </c>
      <c r="H9" s="16">
        <v>1</v>
      </c>
      <c r="I9" s="15"/>
      <c r="J9" s="12"/>
      <c r="K9" s="12"/>
      <c r="L9" s="12"/>
    </row>
    <row r="10" spans="1:12" s="14" customFormat="1">
      <c r="A10" s="17">
        <v>5</v>
      </c>
      <c r="B10" s="19" t="s">
        <v>22</v>
      </c>
      <c r="C10" s="18" t="s">
        <v>23</v>
      </c>
      <c r="D10" s="11">
        <v>42800</v>
      </c>
      <c r="E10" s="17">
        <v>5</v>
      </c>
      <c r="F10" s="16">
        <v>0</v>
      </c>
      <c r="G10" s="16">
        <v>42799</v>
      </c>
      <c r="H10" s="16">
        <v>1</v>
      </c>
      <c r="I10" s="15"/>
      <c r="J10" s="12"/>
      <c r="K10" s="12"/>
      <c r="L10" s="12"/>
    </row>
    <row r="11" spans="1:12" s="14" customFormat="1">
      <c r="A11" s="17">
        <v>6</v>
      </c>
      <c r="B11" s="19" t="s">
        <v>24</v>
      </c>
      <c r="C11" s="18" t="s">
        <v>25</v>
      </c>
      <c r="D11" s="11">
        <v>1200000</v>
      </c>
      <c r="E11" s="17">
        <v>5</v>
      </c>
      <c r="F11" s="16">
        <v>0</v>
      </c>
      <c r="G11" s="16">
        <v>1199999</v>
      </c>
      <c r="H11" s="16">
        <v>1</v>
      </c>
      <c r="I11" s="15"/>
      <c r="J11" s="12"/>
      <c r="K11" s="12"/>
      <c r="L11" s="12"/>
    </row>
    <row r="12" spans="1:12">
      <c r="A12" s="13"/>
      <c r="B12" s="13"/>
      <c r="C12" s="12"/>
      <c r="D12" s="11">
        <f>SUM(D6:D11)</f>
        <v>2065653</v>
      </c>
      <c r="E12" s="11">
        <f>SUM(E6:E11)</f>
        <v>30</v>
      </c>
      <c r="F12" s="11">
        <f>SUM(F6:F11)</f>
        <v>0</v>
      </c>
      <c r="G12" s="11">
        <f>SUM(G6:G11)</f>
        <v>2065647</v>
      </c>
      <c r="H12" s="11">
        <f>SUM(H6:H11)</f>
        <v>6</v>
      </c>
    </row>
    <row r="15" spans="1:12">
      <c r="D15" s="9" t="s">
        <v>4</v>
      </c>
      <c r="E15" s="10" t="s">
        <v>3</v>
      </c>
      <c r="F15" s="9" t="s">
        <v>2</v>
      </c>
      <c r="G15" s="9" t="s">
        <v>1</v>
      </c>
    </row>
    <row r="16" spans="1:12" ht="25.5">
      <c r="C16" s="8" t="s">
        <v>0</v>
      </c>
      <c r="D16" s="7">
        <f>D12</f>
        <v>2065653</v>
      </c>
      <c r="E16" s="6">
        <f>F12</f>
        <v>0</v>
      </c>
      <c r="F16" s="5">
        <f>G12</f>
        <v>2065647</v>
      </c>
      <c r="G16" s="5">
        <f>H12</f>
        <v>6</v>
      </c>
    </row>
    <row r="18" spans="3:7">
      <c r="C18" s="92" t="s">
        <v>182</v>
      </c>
      <c r="D18" s="93">
        <f>D16+'โรงงานเครื่องมือ งปม.'!D108+'สิ่งก่อสร้างเครื่องจักรกล งปม.'!D10</f>
        <v>17254701.140000001</v>
      </c>
      <c r="E18" s="93">
        <f>E16+'โรงงานเครื่องมือ งปม.'!E108+'สิ่งก่อสร้างเครื่องจักรกล งปม.'!E10</f>
        <v>3976570.98</v>
      </c>
      <c r="F18" s="93">
        <f>F16+'โรงงานเครื่องมือ งปม.'!F108+'สิ่งก่อสร้างเครื่องจักรกล งปม.'!F10</f>
        <v>15178523.990000002</v>
      </c>
      <c r="G18" s="93">
        <f>G16+'โรงงานเครื่องมือ งปม.'!G108+'สิ่งก่อสร้างเครื่องจักรกล งปม.'!G10</f>
        <v>2076177.15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108"/>
  <sheetViews>
    <sheetView topLeftCell="A95" zoomScaleSheetLayoutView="90" workbookViewId="0">
      <selection activeCell="A6" sqref="A6:A103"/>
    </sheetView>
  </sheetViews>
  <sheetFormatPr defaultColWidth="9" defaultRowHeight="23.25"/>
  <cols>
    <col min="1" max="1" width="9" style="1"/>
    <col min="2" max="2" width="48.25" style="1" customWidth="1"/>
    <col min="3" max="3" width="22.5" style="24" customWidth="1"/>
    <col min="4" max="4" width="14.875" style="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25" t="s">
        <v>13</v>
      </c>
      <c r="B2" s="25"/>
      <c r="C2" s="25"/>
      <c r="D2" s="25"/>
      <c r="E2" s="25"/>
    </row>
    <row r="3" spans="1:12">
      <c r="A3" s="24"/>
      <c r="B3" s="24"/>
      <c r="D3" s="24"/>
      <c r="E3" s="24"/>
    </row>
    <row r="4" spans="1:12">
      <c r="B4" s="1" t="s">
        <v>175</v>
      </c>
      <c r="D4" s="1"/>
    </row>
    <row r="5" spans="1:12">
      <c r="A5" s="17" t="s">
        <v>12</v>
      </c>
      <c r="B5" s="17" t="s">
        <v>11</v>
      </c>
      <c r="C5" s="17" t="s">
        <v>10</v>
      </c>
      <c r="D5" s="16" t="s">
        <v>4</v>
      </c>
      <c r="E5" s="23" t="s">
        <v>9</v>
      </c>
      <c r="F5" s="22" t="s">
        <v>8</v>
      </c>
      <c r="G5" s="22" t="s">
        <v>7</v>
      </c>
      <c r="H5" s="22" t="s">
        <v>6</v>
      </c>
      <c r="I5" s="21" t="s">
        <v>8</v>
      </c>
      <c r="J5" s="21" t="s">
        <v>7</v>
      </c>
      <c r="K5" s="21" t="s">
        <v>6</v>
      </c>
      <c r="L5" s="21" t="s">
        <v>5</v>
      </c>
    </row>
    <row r="6" spans="1:12" s="14" customFormat="1">
      <c r="A6" s="17">
        <v>1</v>
      </c>
      <c r="B6" s="20" t="s">
        <v>174</v>
      </c>
      <c r="C6" s="20" t="s">
        <v>173</v>
      </c>
      <c r="D6" s="16">
        <v>37000</v>
      </c>
      <c r="E6" s="17">
        <v>2</v>
      </c>
      <c r="F6" s="16">
        <v>0</v>
      </c>
      <c r="G6" s="16">
        <v>36999</v>
      </c>
      <c r="H6" s="16">
        <v>1</v>
      </c>
      <c r="I6" s="15"/>
      <c r="J6" s="12"/>
      <c r="K6" s="12"/>
      <c r="L6" s="12"/>
    </row>
    <row r="7" spans="1:12" s="14" customFormat="1">
      <c r="A7" s="17">
        <v>2</v>
      </c>
      <c r="B7" s="20" t="s">
        <v>169</v>
      </c>
      <c r="C7" s="20" t="s">
        <v>172</v>
      </c>
      <c r="D7" s="16">
        <v>8500</v>
      </c>
      <c r="E7" s="17">
        <v>2</v>
      </c>
      <c r="F7" s="16">
        <v>0</v>
      </c>
      <c r="G7" s="16">
        <v>8499</v>
      </c>
      <c r="H7" s="16">
        <v>1</v>
      </c>
      <c r="I7" s="15"/>
      <c r="J7" s="12"/>
      <c r="K7" s="12"/>
      <c r="L7" s="12"/>
    </row>
    <row r="8" spans="1:12" s="14" customFormat="1">
      <c r="A8" s="17">
        <v>3</v>
      </c>
      <c r="B8" s="20" t="s">
        <v>169</v>
      </c>
      <c r="C8" s="20" t="s">
        <v>171</v>
      </c>
      <c r="D8" s="16">
        <v>9266.2000000000007</v>
      </c>
      <c r="E8" s="17">
        <v>2</v>
      </c>
      <c r="F8" s="16">
        <v>0</v>
      </c>
      <c r="G8" s="16">
        <v>9265.2000000000007</v>
      </c>
      <c r="H8" s="16">
        <v>1</v>
      </c>
      <c r="I8" s="15"/>
      <c r="J8" s="12"/>
      <c r="K8" s="12"/>
      <c r="L8" s="12"/>
    </row>
    <row r="9" spans="1:12" s="14" customFormat="1">
      <c r="A9" s="17">
        <v>4</v>
      </c>
      <c r="B9" s="20" t="s">
        <v>169</v>
      </c>
      <c r="C9" s="20" t="s">
        <v>170</v>
      </c>
      <c r="D9" s="16">
        <v>8500</v>
      </c>
      <c r="E9" s="17">
        <v>2</v>
      </c>
      <c r="F9" s="16">
        <v>0</v>
      </c>
      <c r="G9" s="16">
        <v>8499</v>
      </c>
      <c r="H9" s="16">
        <v>1</v>
      </c>
      <c r="I9" s="15"/>
      <c r="J9" s="12"/>
      <c r="K9" s="12"/>
      <c r="L9" s="12"/>
    </row>
    <row r="10" spans="1:12" s="14" customFormat="1">
      <c r="A10" s="17">
        <v>5</v>
      </c>
      <c r="B10" s="20" t="s">
        <v>169</v>
      </c>
      <c r="C10" s="20" t="s">
        <v>168</v>
      </c>
      <c r="D10" s="16">
        <v>19260</v>
      </c>
      <c r="E10" s="17">
        <v>2</v>
      </c>
      <c r="F10" s="16">
        <v>0</v>
      </c>
      <c r="G10" s="16">
        <v>19259</v>
      </c>
      <c r="H10" s="16">
        <v>1</v>
      </c>
      <c r="I10" s="15"/>
      <c r="J10" s="12"/>
      <c r="K10" s="12"/>
      <c r="L10" s="12"/>
    </row>
    <row r="11" spans="1:12" s="14" customFormat="1">
      <c r="A11" s="17">
        <v>6</v>
      </c>
      <c r="B11" s="20" t="s">
        <v>167</v>
      </c>
      <c r="C11" s="20" t="s">
        <v>166</v>
      </c>
      <c r="D11" s="16">
        <v>5350</v>
      </c>
      <c r="E11" s="17">
        <v>2</v>
      </c>
      <c r="F11" s="16">
        <v>0</v>
      </c>
      <c r="G11" s="16">
        <v>5349</v>
      </c>
      <c r="H11" s="16">
        <v>1</v>
      </c>
      <c r="I11" s="15"/>
      <c r="J11" s="12"/>
      <c r="K11" s="12"/>
      <c r="L11" s="12"/>
    </row>
    <row r="12" spans="1:12" s="14" customFormat="1">
      <c r="A12" s="17">
        <v>7</v>
      </c>
      <c r="B12" s="20" t="s">
        <v>165</v>
      </c>
      <c r="C12" s="20" t="s">
        <v>164</v>
      </c>
      <c r="D12" s="16">
        <v>48048.35</v>
      </c>
      <c r="E12" s="17">
        <v>2</v>
      </c>
      <c r="F12" s="16">
        <v>0</v>
      </c>
      <c r="G12" s="16">
        <v>48047.35</v>
      </c>
      <c r="H12" s="16">
        <v>1</v>
      </c>
      <c r="I12" s="15"/>
      <c r="J12" s="12"/>
      <c r="K12" s="12"/>
      <c r="L12" s="12"/>
    </row>
    <row r="13" spans="1:12" s="14" customFormat="1">
      <c r="A13" s="17">
        <v>8</v>
      </c>
      <c r="B13" s="20" t="s">
        <v>163</v>
      </c>
      <c r="C13" s="20" t="s">
        <v>162</v>
      </c>
      <c r="D13" s="16">
        <v>7900</v>
      </c>
      <c r="E13" s="17">
        <v>2</v>
      </c>
      <c r="F13" s="16">
        <v>0</v>
      </c>
      <c r="G13" s="16">
        <v>7899</v>
      </c>
      <c r="H13" s="16">
        <v>1</v>
      </c>
      <c r="I13" s="15"/>
      <c r="J13" s="12"/>
      <c r="K13" s="12"/>
      <c r="L13" s="12"/>
    </row>
    <row r="14" spans="1:12" s="14" customFormat="1">
      <c r="A14" s="17">
        <v>9</v>
      </c>
      <c r="B14" s="20" t="s">
        <v>161</v>
      </c>
      <c r="C14" s="20" t="s">
        <v>160</v>
      </c>
      <c r="D14" s="16">
        <v>6955</v>
      </c>
      <c r="E14" s="17">
        <v>2</v>
      </c>
      <c r="F14" s="16">
        <v>0</v>
      </c>
      <c r="G14" s="16">
        <v>6954</v>
      </c>
      <c r="H14" s="16">
        <v>1</v>
      </c>
      <c r="I14" s="15"/>
      <c r="J14" s="12"/>
      <c r="K14" s="12"/>
      <c r="L14" s="12"/>
    </row>
    <row r="15" spans="1:12" s="14" customFormat="1">
      <c r="A15" s="17">
        <v>10</v>
      </c>
      <c r="B15" s="20" t="s">
        <v>158</v>
      </c>
      <c r="C15" s="20" t="s">
        <v>159</v>
      </c>
      <c r="D15" s="16">
        <v>22900</v>
      </c>
      <c r="E15" s="17">
        <v>2</v>
      </c>
      <c r="F15" s="16">
        <v>0</v>
      </c>
      <c r="G15" s="16">
        <v>22899</v>
      </c>
      <c r="H15" s="16">
        <v>1</v>
      </c>
      <c r="I15" s="15"/>
      <c r="J15" s="12"/>
      <c r="K15" s="12"/>
      <c r="L15" s="12"/>
    </row>
    <row r="16" spans="1:12" s="14" customFormat="1">
      <c r="A16" s="17">
        <v>11</v>
      </c>
      <c r="B16" s="20" t="s">
        <v>158</v>
      </c>
      <c r="C16" s="20" t="s">
        <v>157</v>
      </c>
      <c r="D16" s="16">
        <v>26800</v>
      </c>
      <c r="E16" s="17">
        <v>2</v>
      </c>
      <c r="F16" s="16">
        <v>0</v>
      </c>
      <c r="G16" s="16">
        <v>26799</v>
      </c>
      <c r="H16" s="16">
        <v>1</v>
      </c>
      <c r="I16" s="15"/>
      <c r="J16" s="12"/>
      <c r="K16" s="12"/>
      <c r="L16" s="12"/>
    </row>
    <row r="17" spans="1:12" s="14" customFormat="1">
      <c r="A17" s="17">
        <v>12</v>
      </c>
      <c r="B17" s="20" t="s">
        <v>147</v>
      </c>
      <c r="C17" s="20" t="s">
        <v>156</v>
      </c>
      <c r="D17" s="16">
        <v>11582.75</v>
      </c>
      <c r="E17" s="17">
        <v>2</v>
      </c>
      <c r="F17" s="16">
        <v>0</v>
      </c>
      <c r="G17" s="16">
        <v>11581.75</v>
      </c>
      <c r="H17" s="16">
        <v>1</v>
      </c>
      <c r="I17" s="15"/>
      <c r="J17" s="12"/>
      <c r="K17" s="12"/>
      <c r="L17" s="12"/>
    </row>
    <row r="18" spans="1:12" s="14" customFormat="1">
      <c r="A18" s="17">
        <v>13</v>
      </c>
      <c r="B18" s="20" t="s">
        <v>131</v>
      </c>
      <c r="C18" s="20" t="s">
        <v>155</v>
      </c>
      <c r="D18" s="16">
        <v>6206</v>
      </c>
      <c r="E18" s="17">
        <v>2</v>
      </c>
      <c r="F18" s="16">
        <v>0</v>
      </c>
      <c r="G18" s="16">
        <v>6205</v>
      </c>
      <c r="H18" s="16">
        <v>1</v>
      </c>
      <c r="I18" s="15"/>
      <c r="J18" s="12"/>
      <c r="K18" s="12"/>
      <c r="L18" s="12"/>
    </row>
    <row r="19" spans="1:12" s="14" customFormat="1">
      <c r="A19" s="17">
        <v>14</v>
      </c>
      <c r="B19" s="20" t="s">
        <v>131</v>
      </c>
      <c r="C19" s="20" t="s">
        <v>154</v>
      </c>
      <c r="D19" s="16">
        <v>5029</v>
      </c>
      <c r="E19" s="17">
        <v>2</v>
      </c>
      <c r="F19" s="16">
        <v>0</v>
      </c>
      <c r="G19" s="16">
        <v>5028</v>
      </c>
      <c r="H19" s="16">
        <v>1</v>
      </c>
      <c r="I19" s="15"/>
      <c r="J19" s="12"/>
      <c r="K19" s="12"/>
      <c r="L19" s="12"/>
    </row>
    <row r="20" spans="1:12" s="14" customFormat="1">
      <c r="A20" s="17">
        <v>15</v>
      </c>
      <c r="B20" s="20" t="s">
        <v>131</v>
      </c>
      <c r="C20" s="20" t="s">
        <v>153</v>
      </c>
      <c r="D20" s="16">
        <v>5296.5</v>
      </c>
      <c r="E20" s="17">
        <v>2</v>
      </c>
      <c r="F20" s="16">
        <v>0</v>
      </c>
      <c r="G20" s="16">
        <v>5295.5</v>
      </c>
      <c r="H20" s="16">
        <v>1</v>
      </c>
      <c r="I20" s="15"/>
      <c r="J20" s="12"/>
      <c r="K20" s="12"/>
      <c r="L20" s="12"/>
    </row>
    <row r="21" spans="1:12" s="14" customFormat="1">
      <c r="A21" s="17">
        <v>16</v>
      </c>
      <c r="B21" s="20" t="s">
        <v>131</v>
      </c>
      <c r="C21" s="20" t="s">
        <v>152</v>
      </c>
      <c r="D21" s="16">
        <v>88355.25</v>
      </c>
      <c r="E21" s="17">
        <v>2</v>
      </c>
      <c r="F21" s="16">
        <v>0</v>
      </c>
      <c r="G21" s="16">
        <v>88354.25</v>
      </c>
      <c r="H21" s="16">
        <v>1</v>
      </c>
      <c r="I21" s="15"/>
      <c r="J21" s="12"/>
      <c r="K21" s="12"/>
      <c r="L21" s="12"/>
    </row>
    <row r="22" spans="1:12" s="14" customFormat="1">
      <c r="A22" s="17">
        <v>17</v>
      </c>
      <c r="B22" s="20" t="s">
        <v>131</v>
      </c>
      <c r="C22" s="20" t="s">
        <v>151</v>
      </c>
      <c r="D22" s="16">
        <v>5029</v>
      </c>
      <c r="E22" s="17">
        <v>2</v>
      </c>
      <c r="F22" s="16">
        <v>0</v>
      </c>
      <c r="G22" s="16">
        <v>5028</v>
      </c>
      <c r="H22" s="16">
        <v>1</v>
      </c>
      <c r="I22" s="15"/>
      <c r="J22" s="12"/>
      <c r="K22" s="12"/>
      <c r="L22" s="12"/>
    </row>
    <row r="23" spans="1:12" s="14" customFormat="1">
      <c r="A23" s="17">
        <v>18</v>
      </c>
      <c r="B23" s="20" t="s">
        <v>131</v>
      </c>
      <c r="C23" s="20" t="s">
        <v>150</v>
      </c>
      <c r="D23" s="16">
        <v>6900</v>
      </c>
      <c r="E23" s="17">
        <v>2</v>
      </c>
      <c r="F23" s="16">
        <v>0</v>
      </c>
      <c r="G23" s="16">
        <v>6899</v>
      </c>
      <c r="H23" s="16">
        <v>1</v>
      </c>
      <c r="I23" s="15"/>
      <c r="J23" s="12"/>
      <c r="K23" s="12"/>
      <c r="L23" s="12"/>
    </row>
    <row r="24" spans="1:12" s="14" customFormat="1">
      <c r="A24" s="17">
        <v>19</v>
      </c>
      <c r="B24" s="20" t="s">
        <v>131</v>
      </c>
      <c r="C24" s="20" t="s">
        <v>149</v>
      </c>
      <c r="D24" s="16">
        <v>10700</v>
      </c>
      <c r="E24" s="17">
        <v>2</v>
      </c>
      <c r="F24" s="16">
        <v>0</v>
      </c>
      <c r="G24" s="16">
        <v>10699</v>
      </c>
      <c r="H24" s="16">
        <v>1</v>
      </c>
      <c r="I24" s="15"/>
      <c r="J24" s="12"/>
      <c r="K24" s="12"/>
      <c r="L24" s="12"/>
    </row>
    <row r="25" spans="1:12" s="14" customFormat="1">
      <c r="A25" s="17">
        <v>20</v>
      </c>
      <c r="B25" s="20" t="s">
        <v>131</v>
      </c>
      <c r="C25" s="20" t="s">
        <v>148</v>
      </c>
      <c r="D25" s="16">
        <v>6500</v>
      </c>
      <c r="E25" s="17">
        <v>2</v>
      </c>
      <c r="F25" s="16">
        <v>0</v>
      </c>
      <c r="G25" s="16">
        <v>6499</v>
      </c>
      <c r="H25" s="16">
        <v>1</v>
      </c>
      <c r="I25" s="15"/>
      <c r="J25" s="12"/>
      <c r="K25" s="12"/>
      <c r="L25" s="12"/>
    </row>
    <row r="26" spans="1:12" s="14" customFormat="1">
      <c r="A26" s="17">
        <v>21</v>
      </c>
      <c r="B26" s="20" t="s">
        <v>147</v>
      </c>
      <c r="C26" s="20" t="s">
        <v>146</v>
      </c>
      <c r="D26" s="16">
        <v>24000</v>
      </c>
      <c r="E26" s="17">
        <v>2</v>
      </c>
      <c r="F26" s="16">
        <v>0</v>
      </c>
      <c r="G26" s="16">
        <v>23999</v>
      </c>
      <c r="H26" s="16">
        <v>1</v>
      </c>
      <c r="I26" s="15"/>
      <c r="J26" s="12"/>
      <c r="K26" s="12"/>
      <c r="L26" s="12"/>
    </row>
    <row r="27" spans="1:12" s="14" customFormat="1">
      <c r="A27" s="17">
        <v>22</v>
      </c>
      <c r="B27" s="20" t="s">
        <v>127</v>
      </c>
      <c r="C27" s="20" t="s">
        <v>145</v>
      </c>
      <c r="D27" s="16">
        <v>730000</v>
      </c>
      <c r="E27" s="17">
        <v>2</v>
      </c>
      <c r="F27" s="16">
        <v>0</v>
      </c>
      <c r="G27" s="16">
        <v>729999</v>
      </c>
      <c r="H27" s="16">
        <v>1</v>
      </c>
      <c r="I27" s="15"/>
      <c r="J27" s="12"/>
      <c r="K27" s="12"/>
      <c r="L27" s="12"/>
    </row>
    <row r="28" spans="1:12" s="14" customFormat="1">
      <c r="A28" s="17">
        <v>23</v>
      </c>
      <c r="B28" s="20" t="s">
        <v>144</v>
      </c>
      <c r="C28" s="20" t="s">
        <v>143</v>
      </c>
      <c r="D28" s="16">
        <v>99938</v>
      </c>
      <c r="E28" s="17">
        <v>2</v>
      </c>
      <c r="F28" s="16">
        <v>0</v>
      </c>
      <c r="G28" s="16">
        <v>99937</v>
      </c>
      <c r="H28" s="16">
        <v>1</v>
      </c>
      <c r="I28" s="15"/>
      <c r="J28" s="12"/>
      <c r="K28" s="12"/>
      <c r="L28" s="12"/>
    </row>
    <row r="29" spans="1:12" s="14" customFormat="1">
      <c r="A29" s="17">
        <v>24</v>
      </c>
      <c r="B29" s="20" t="s">
        <v>131</v>
      </c>
      <c r="C29" s="20" t="s">
        <v>142</v>
      </c>
      <c r="D29" s="16">
        <v>50930</v>
      </c>
      <c r="E29" s="17">
        <v>2</v>
      </c>
      <c r="F29" s="16">
        <v>0</v>
      </c>
      <c r="G29" s="16">
        <v>50929</v>
      </c>
      <c r="H29" s="16">
        <v>1</v>
      </c>
      <c r="I29" s="15"/>
      <c r="J29" s="12"/>
      <c r="K29" s="12"/>
      <c r="L29" s="12"/>
    </row>
    <row r="30" spans="1:12" s="14" customFormat="1">
      <c r="A30" s="17">
        <v>25</v>
      </c>
      <c r="B30" s="20" t="s">
        <v>131</v>
      </c>
      <c r="C30" s="20" t="s">
        <v>141</v>
      </c>
      <c r="D30" s="16">
        <v>25920.75</v>
      </c>
      <c r="E30" s="17">
        <v>2</v>
      </c>
      <c r="F30" s="16">
        <v>0</v>
      </c>
      <c r="G30" s="16">
        <v>25919.75</v>
      </c>
      <c r="H30" s="16">
        <v>1</v>
      </c>
      <c r="I30" s="15"/>
      <c r="J30" s="12"/>
      <c r="K30" s="12"/>
      <c r="L30" s="12"/>
    </row>
    <row r="31" spans="1:12" s="14" customFormat="1">
      <c r="A31" s="17">
        <v>26</v>
      </c>
      <c r="B31" s="20" t="s">
        <v>131</v>
      </c>
      <c r="C31" s="20" t="s">
        <v>140</v>
      </c>
      <c r="D31" s="16">
        <v>6741</v>
      </c>
      <c r="E31" s="17">
        <v>2</v>
      </c>
      <c r="F31" s="16">
        <v>0</v>
      </c>
      <c r="G31" s="16">
        <v>6740</v>
      </c>
      <c r="H31" s="16">
        <v>1</v>
      </c>
      <c r="I31" s="15"/>
      <c r="J31" s="12"/>
      <c r="K31" s="12"/>
      <c r="L31" s="12"/>
    </row>
    <row r="32" spans="1:12" s="14" customFormat="1">
      <c r="A32" s="17">
        <v>27</v>
      </c>
      <c r="B32" s="20" t="s">
        <v>131</v>
      </c>
      <c r="C32" s="20" t="s">
        <v>139</v>
      </c>
      <c r="D32" s="16">
        <v>65056</v>
      </c>
      <c r="E32" s="17">
        <v>2</v>
      </c>
      <c r="F32" s="16">
        <v>0</v>
      </c>
      <c r="G32" s="16">
        <v>65055</v>
      </c>
      <c r="H32" s="16">
        <v>1</v>
      </c>
      <c r="I32" s="15"/>
      <c r="J32" s="12"/>
      <c r="K32" s="12"/>
      <c r="L32" s="12"/>
    </row>
    <row r="33" spans="1:12" s="14" customFormat="1">
      <c r="A33" s="17">
        <v>28</v>
      </c>
      <c r="B33" s="20" t="s">
        <v>131</v>
      </c>
      <c r="C33" s="20" t="s">
        <v>138</v>
      </c>
      <c r="D33" s="16">
        <v>44940</v>
      </c>
      <c r="E33" s="17">
        <v>2</v>
      </c>
      <c r="F33" s="16">
        <v>0</v>
      </c>
      <c r="G33" s="16">
        <v>44939</v>
      </c>
      <c r="H33" s="16">
        <v>1</v>
      </c>
      <c r="I33" s="15"/>
      <c r="J33" s="12"/>
      <c r="K33" s="12"/>
      <c r="L33" s="12"/>
    </row>
    <row r="34" spans="1:12" s="14" customFormat="1">
      <c r="A34" s="17">
        <v>29</v>
      </c>
      <c r="B34" s="20" t="s">
        <v>131</v>
      </c>
      <c r="C34" s="20" t="s">
        <v>137</v>
      </c>
      <c r="D34" s="16">
        <v>23540</v>
      </c>
      <c r="E34" s="17">
        <v>2</v>
      </c>
      <c r="F34" s="16">
        <v>0</v>
      </c>
      <c r="G34" s="16">
        <v>23539</v>
      </c>
      <c r="H34" s="16">
        <v>1</v>
      </c>
      <c r="I34" s="15"/>
      <c r="J34" s="12"/>
      <c r="K34" s="12"/>
      <c r="L34" s="12"/>
    </row>
    <row r="35" spans="1:12" s="14" customFormat="1">
      <c r="A35" s="17">
        <v>30</v>
      </c>
      <c r="B35" s="20" t="s">
        <v>131</v>
      </c>
      <c r="C35" s="20" t="s">
        <v>136</v>
      </c>
      <c r="D35" s="16">
        <v>48150</v>
      </c>
      <c r="E35" s="17">
        <v>2</v>
      </c>
      <c r="F35" s="16">
        <v>0</v>
      </c>
      <c r="G35" s="16">
        <v>48149</v>
      </c>
      <c r="H35" s="16">
        <v>1</v>
      </c>
      <c r="I35" s="15"/>
      <c r="J35" s="12"/>
      <c r="K35" s="12"/>
      <c r="L35" s="12"/>
    </row>
    <row r="36" spans="1:12" s="14" customFormat="1">
      <c r="A36" s="17">
        <v>31</v>
      </c>
      <c r="B36" s="20" t="s">
        <v>135</v>
      </c>
      <c r="C36" s="20" t="s">
        <v>134</v>
      </c>
      <c r="D36" s="16">
        <v>96781.5</v>
      </c>
      <c r="E36" s="17">
        <v>2</v>
      </c>
      <c r="F36" s="16">
        <v>0</v>
      </c>
      <c r="G36" s="16">
        <v>96780.5</v>
      </c>
      <c r="H36" s="16">
        <v>1</v>
      </c>
      <c r="I36" s="15"/>
      <c r="J36" s="12"/>
      <c r="K36" s="12"/>
      <c r="L36" s="12"/>
    </row>
    <row r="37" spans="1:12" s="14" customFormat="1">
      <c r="A37" s="17">
        <v>32</v>
      </c>
      <c r="B37" s="20" t="s">
        <v>133</v>
      </c>
      <c r="C37" s="20" t="s">
        <v>132</v>
      </c>
      <c r="D37" s="16">
        <v>37450</v>
      </c>
      <c r="E37" s="17">
        <v>2</v>
      </c>
      <c r="F37" s="16">
        <v>0</v>
      </c>
      <c r="G37" s="16">
        <v>37449</v>
      </c>
      <c r="H37" s="16">
        <v>1</v>
      </c>
      <c r="I37" s="15"/>
      <c r="J37" s="12"/>
      <c r="K37" s="12"/>
      <c r="L37" s="12"/>
    </row>
    <row r="38" spans="1:12" s="14" customFormat="1">
      <c r="A38" s="17">
        <v>33</v>
      </c>
      <c r="B38" s="20" t="s">
        <v>131</v>
      </c>
      <c r="C38" s="20" t="s">
        <v>130</v>
      </c>
      <c r="D38" s="16">
        <v>41800</v>
      </c>
      <c r="E38" s="17">
        <v>2</v>
      </c>
      <c r="F38" s="16">
        <v>0</v>
      </c>
      <c r="G38" s="16">
        <v>41799</v>
      </c>
      <c r="H38" s="16">
        <v>1</v>
      </c>
      <c r="I38" s="15"/>
      <c r="J38" s="12"/>
      <c r="K38" s="12"/>
      <c r="L38" s="12"/>
    </row>
    <row r="39" spans="1:12" s="14" customFormat="1">
      <c r="A39" s="17">
        <v>34</v>
      </c>
      <c r="B39" s="20" t="s">
        <v>125</v>
      </c>
      <c r="C39" s="20" t="s">
        <v>129</v>
      </c>
      <c r="D39" s="16">
        <v>36000</v>
      </c>
      <c r="E39" s="17">
        <v>2</v>
      </c>
      <c r="F39" s="16">
        <v>0</v>
      </c>
      <c r="G39" s="16">
        <v>35999</v>
      </c>
      <c r="H39" s="16">
        <v>1</v>
      </c>
      <c r="I39" s="15"/>
      <c r="J39" s="12"/>
      <c r="K39" s="12"/>
      <c r="L39" s="12"/>
    </row>
    <row r="40" spans="1:12" s="14" customFormat="1">
      <c r="A40" s="17">
        <v>35</v>
      </c>
      <c r="B40" s="20" t="s">
        <v>125</v>
      </c>
      <c r="C40" s="20" t="s">
        <v>128</v>
      </c>
      <c r="D40" s="16">
        <v>31960.9</v>
      </c>
      <c r="E40" s="17">
        <v>2</v>
      </c>
      <c r="F40" s="16">
        <v>0</v>
      </c>
      <c r="G40" s="16">
        <v>31959.9</v>
      </c>
      <c r="H40" s="16">
        <v>1</v>
      </c>
      <c r="I40" s="15"/>
      <c r="J40" s="12"/>
      <c r="K40" s="12"/>
      <c r="L40" s="12"/>
    </row>
    <row r="41" spans="1:12" s="14" customFormat="1">
      <c r="A41" s="17">
        <v>36</v>
      </c>
      <c r="B41" s="20" t="s">
        <v>127</v>
      </c>
      <c r="C41" s="20" t="s">
        <v>126</v>
      </c>
      <c r="D41" s="16">
        <v>368000</v>
      </c>
      <c r="E41" s="17">
        <v>2</v>
      </c>
      <c r="F41" s="16">
        <v>0</v>
      </c>
      <c r="G41" s="16">
        <v>367999</v>
      </c>
      <c r="H41" s="16">
        <v>1</v>
      </c>
      <c r="I41" s="15"/>
      <c r="J41" s="12"/>
      <c r="K41" s="12"/>
      <c r="L41" s="12"/>
    </row>
    <row r="42" spans="1:12" s="14" customFormat="1">
      <c r="A42" s="17">
        <v>37</v>
      </c>
      <c r="B42" s="20" t="s">
        <v>125</v>
      </c>
      <c r="C42" s="20" t="s">
        <v>124</v>
      </c>
      <c r="D42" s="16">
        <v>60990</v>
      </c>
      <c r="E42" s="17">
        <v>2</v>
      </c>
      <c r="F42" s="16">
        <v>0</v>
      </c>
      <c r="G42" s="16">
        <v>60989</v>
      </c>
      <c r="H42" s="16">
        <v>1</v>
      </c>
      <c r="I42" s="15"/>
      <c r="J42" s="12"/>
      <c r="K42" s="12"/>
      <c r="L42" s="12"/>
    </row>
    <row r="43" spans="1:12" s="14" customFormat="1">
      <c r="A43" s="17">
        <v>38</v>
      </c>
      <c r="B43" s="20" t="s">
        <v>123</v>
      </c>
      <c r="C43" s="20" t="s">
        <v>122</v>
      </c>
      <c r="D43" s="16">
        <v>56720.7</v>
      </c>
      <c r="E43" s="17">
        <v>2</v>
      </c>
      <c r="F43" s="16">
        <v>0</v>
      </c>
      <c r="G43" s="16">
        <v>56719.7</v>
      </c>
      <c r="H43" s="16">
        <v>1</v>
      </c>
      <c r="I43" s="15"/>
      <c r="J43" s="12"/>
      <c r="K43" s="12"/>
      <c r="L43" s="12"/>
    </row>
    <row r="44" spans="1:12" s="14" customFormat="1">
      <c r="A44" s="17">
        <v>39</v>
      </c>
      <c r="B44" s="20" t="s">
        <v>119</v>
      </c>
      <c r="C44" s="20" t="s">
        <v>121</v>
      </c>
      <c r="D44" s="16">
        <v>15000</v>
      </c>
      <c r="E44" s="17">
        <v>2</v>
      </c>
      <c r="F44" s="16">
        <v>0</v>
      </c>
      <c r="G44" s="16">
        <v>14999</v>
      </c>
      <c r="H44" s="16">
        <v>1</v>
      </c>
      <c r="I44" s="15"/>
      <c r="J44" s="12"/>
      <c r="K44" s="12"/>
      <c r="L44" s="12"/>
    </row>
    <row r="45" spans="1:12" s="14" customFormat="1">
      <c r="A45" s="17">
        <v>40</v>
      </c>
      <c r="B45" s="20" t="s">
        <v>119</v>
      </c>
      <c r="C45" s="20" t="s">
        <v>120</v>
      </c>
      <c r="D45" s="16">
        <v>13000</v>
      </c>
      <c r="E45" s="17">
        <v>2</v>
      </c>
      <c r="F45" s="16">
        <v>0</v>
      </c>
      <c r="G45" s="16">
        <v>12999</v>
      </c>
      <c r="H45" s="16">
        <v>1</v>
      </c>
      <c r="I45" s="15"/>
      <c r="J45" s="12"/>
      <c r="K45" s="12"/>
      <c r="L45" s="12"/>
    </row>
    <row r="46" spans="1:12" s="14" customFormat="1">
      <c r="A46" s="17">
        <v>41</v>
      </c>
      <c r="B46" s="20" t="s">
        <v>119</v>
      </c>
      <c r="C46" s="20" t="s">
        <v>118</v>
      </c>
      <c r="D46" s="16">
        <v>53714</v>
      </c>
      <c r="E46" s="17">
        <v>2</v>
      </c>
      <c r="F46" s="16">
        <v>0</v>
      </c>
      <c r="G46" s="16">
        <v>53713</v>
      </c>
      <c r="H46" s="16">
        <v>1</v>
      </c>
      <c r="I46" s="15"/>
      <c r="J46" s="12"/>
      <c r="K46" s="12"/>
      <c r="L46" s="12"/>
    </row>
    <row r="47" spans="1:12" s="14" customFormat="1">
      <c r="A47" s="17">
        <v>42</v>
      </c>
      <c r="B47" s="20" t="s">
        <v>117</v>
      </c>
      <c r="C47" s="20" t="s">
        <v>116</v>
      </c>
      <c r="D47" s="16">
        <v>68340</v>
      </c>
      <c r="E47" s="17">
        <v>2</v>
      </c>
      <c r="F47" s="16">
        <v>0</v>
      </c>
      <c r="G47" s="16">
        <v>68339</v>
      </c>
      <c r="H47" s="16">
        <v>1</v>
      </c>
      <c r="I47" s="15"/>
      <c r="J47" s="12"/>
      <c r="K47" s="12"/>
      <c r="L47" s="12"/>
    </row>
    <row r="48" spans="1:12" s="14" customFormat="1">
      <c r="A48" s="17">
        <v>43</v>
      </c>
      <c r="B48" s="19" t="s">
        <v>115</v>
      </c>
      <c r="C48" s="18" t="s">
        <v>114</v>
      </c>
      <c r="D48" s="11">
        <v>54409.5</v>
      </c>
      <c r="E48" s="17">
        <v>2</v>
      </c>
      <c r="F48" s="16">
        <v>0</v>
      </c>
      <c r="G48" s="16">
        <v>54408.5</v>
      </c>
      <c r="H48" s="16">
        <v>1</v>
      </c>
      <c r="I48" s="15"/>
      <c r="J48" s="12"/>
      <c r="K48" s="12"/>
      <c r="L48" s="12"/>
    </row>
    <row r="49" spans="1:12" s="14" customFormat="1">
      <c r="A49" s="17">
        <v>44</v>
      </c>
      <c r="B49" s="19" t="s">
        <v>110</v>
      </c>
      <c r="C49" s="18" t="s">
        <v>113</v>
      </c>
      <c r="D49" s="11">
        <v>18300</v>
      </c>
      <c r="E49" s="17">
        <v>2</v>
      </c>
      <c r="F49" s="16">
        <v>0</v>
      </c>
      <c r="G49" s="16">
        <v>18299</v>
      </c>
      <c r="H49" s="16">
        <v>1</v>
      </c>
      <c r="I49" s="15"/>
      <c r="J49" s="12"/>
      <c r="K49" s="12"/>
      <c r="L49" s="12"/>
    </row>
    <row r="50" spans="1:12" s="14" customFormat="1">
      <c r="A50" s="17">
        <v>45</v>
      </c>
      <c r="B50" s="19" t="s">
        <v>110</v>
      </c>
      <c r="C50" s="18" t="s">
        <v>112</v>
      </c>
      <c r="D50" s="11">
        <v>18300</v>
      </c>
      <c r="E50" s="17">
        <v>2</v>
      </c>
      <c r="F50" s="16">
        <v>0</v>
      </c>
      <c r="G50" s="16">
        <v>18299</v>
      </c>
      <c r="H50" s="16">
        <v>1</v>
      </c>
      <c r="I50" s="15"/>
      <c r="J50" s="12"/>
      <c r="K50" s="12"/>
      <c r="L50" s="12"/>
    </row>
    <row r="51" spans="1:12" s="14" customFormat="1">
      <c r="A51" s="17">
        <v>46</v>
      </c>
      <c r="B51" s="19" t="s">
        <v>110</v>
      </c>
      <c r="C51" s="18" t="s">
        <v>111</v>
      </c>
      <c r="D51" s="11">
        <v>18300</v>
      </c>
      <c r="E51" s="17">
        <v>2</v>
      </c>
      <c r="F51" s="16">
        <v>0</v>
      </c>
      <c r="G51" s="16">
        <v>18299</v>
      </c>
      <c r="H51" s="16">
        <v>1</v>
      </c>
      <c r="I51" s="15"/>
      <c r="J51" s="12"/>
      <c r="K51" s="12"/>
      <c r="L51" s="12"/>
    </row>
    <row r="52" spans="1:12" s="14" customFormat="1">
      <c r="A52" s="17">
        <v>47</v>
      </c>
      <c r="B52" s="19" t="s">
        <v>110</v>
      </c>
      <c r="C52" s="18" t="s">
        <v>109</v>
      </c>
      <c r="D52" s="11">
        <v>25100</v>
      </c>
      <c r="E52" s="17">
        <v>2</v>
      </c>
      <c r="F52" s="16">
        <v>0</v>
      </c>
      <c r="G52" s="16">
        <v>25099</v>
      </c>
      <c r="H52" s="16">
        <v>1</v>
      </c>
      <c r="I52" s="15"/>
      <c r="J52" s="12"/>
      <c r="K52" s="12"/>
      <c r="L52" s="12"/>
    </row>
    <row r="53" spans="1:12" s="14" customFormat="1">
      <c r="A53" s="17">
        <v>48</v>
      </c>
      <c r="B53" s="19" t="s">
        <v>107</v>
      </c>
      <c r="C53" s="18" t="s">
        <v>108</v>
      </c>
      <c r="D53" s="11">
        <v>83000</v>
      </c>
      <c r="E53" s="17">
        <v>2</v>
      </c>
      <c r="F53" s="16">
        <v>0</v>
      </c>
      <c r="G53" s="16">
        <v>82999</v>
      </c>
      <c r="H53" s="16">
        <v>1</v>
      </c>
      <c r="I53" s="15"/>
      <c r="J53" s="12"/>
      <c r="K53" s="12"/>
      <c r="L53" s="12"/>
    </row>
    <row r="54" spans="1:12" s="14" customFormat="1">
      <c r="A54" s="17">
        <v>49</v>
      </c>
      <c r="B54" s="19" t="s">
        <v>107</v>
      </c>
      <c r="C54" s="18" t="s">
        <v>106</v>
      </c>
      <c r="D54" s="11">
        <v>83000</v>
      </c>
      <c r="E54" s="17">
        <v>2</v>
      </c>
      <c r="F54" s="16">
        <v>0</v>
      </c>
      <c r="G54" s="16">
        <v>82999</v>
      </c>
      <c r="H54" s="16">
        <v>1</v>
      </c>
      <c r="I54" s="15"/>
      <c r="J54" s="12"/>
      <c r="K54" s="12"/>
      <c r="L54" s="12"/>
    </row>
    <row r="55" spans="1:12" s="14" customFormat="1">
      <c r="A55" s="17">
        <v>50</v>
      </c>
      <c r="B55" s="48" t="s">
        <v>105</v>
      </c>
      <c r="C55" s="47" t="s">
        <v>104</v>
      </c>
      <c r="D55" s="46">
        <v>1300000</v>
      </c>
      <c r="E55" s="45">
        <v>2</v>
      </c>
      <c r="F55" s="16">
        <v>0</v>
      </c>
      <c r="G55" s="16">
        <v>1299999</v>
      </c>
      <c r="H55" s="16">
        <v>1</v>
      </c>
      <c r="I55" s="15"/>
      <c r="J55" s="12"/>
      <c r="K55" s="12"/>
      <c r="L55" s="12"/>
    </row>
    <row r="56" spans="1:12" s="14" customFormat="1">
      <c r="A56" s="17">
        <v>51</v>
      </c>
      <c r="B56" s="48" t="s">
        <v>103</v>
      </c>
      <c r="C56" s="47" t="s">
        <v>102</v>
      </c>
      <c r="D56" s="46">
        <v>1700000</v>
      </c>
      <c r="E56" s="45">
        <v>2</v>
      </c>
      <c r="F56" s="16">
        <v>0</v>
      </c>
      <c r="G56" s="16">
        <v>1699999</v>
      </c>
      <c r="H56" s="16">
        <v>1</v>
      </c>
      <c r="I56" s="15"/>
      <c r="J56" s="12"/>
      <c r="K56" s="12"/>
      <c r="L56" s="12"/>
    </row>
    <row r="57" spans="1:12" s="14" customFormat="1">
      <c r="A57" s="17">
        <v>52</v>
      </c>
      <c r="B57" s="48" t="s">
        <v>100</v>
      </c>
      <c r="C57" s="47" t="s">
        <v>101</v>
      </c>
      <c r="D57" s="46">
        <v>190000</v>
      </c>
      <c r="E57" s="45">
        <v>2</v>
      </c>
      <c r="F57" s="16">
        <v>0</v>
      </c>
      <c r="G57" s="16">
        <v>189999</v>
      </c>
      <c r="H57" s="16">
        <v>1</v>
      </c>
      <c r="I57" s="15"/>
      <c r="J57" s="12"/>
      <c r="K57" s="12"/>
      <c r="L57" s="12"/>
    </row>
    <row r="58" spans="1:12" s="14" customFormat="1">
      <c r="A58" s="17">
        <v>53</v>
      </c>
      <c r="B58" s="48" t="s">
        <v>100</v>
      </c>
      <c r="C58" s="47" t="s">
        <v>99</v>
      </c>
      <c r="D58" s="46">
        <v>190000</v>
      </c>
      <c r="E58" s="45">
        <v>2</v>
      </c>
      <c r="F58" s="16">
        <v>0</v>
      </c>
      <c r="G58" s="16">
        <v>189999</v>
      </c>
      <c r="H58" s="16">
        <v>1</v>
      </c>
      <c r="I58" s="15"/>
      <c r="J58" s="12"/>
      <c r="K58" s="12"/>
      <c r="L58" s="12"/>
    </row>
    <row r="59" spans="1:12" s="14" customFormat="1">
      <c r="A59" s="17">
        <v>54</v>
      </c>
      <c r="B59" s="43" t="s">
        <v>97</v>
      </c>
      <c r="C59" s="42" t="s">
        <v>98</v>
      </c>
      <c r="D59" s="41">
        <v>95250</v>
      </c>
      <c r="E59" s="26">
        <v>2</v>
      </c>
      <c r="F59" s="16">
        <v>47624</v>
      </c>
      <c r="G59" s="16">
        <v>95249</v>
      </c>
      <c r="H59" s="16">
        <v>1</v>
      </c>
      <c r="I59" s="15"/>
      <c r="J59" s="12"/>
      <c r="K59" s="12"/>
      <c r="L59" s="12"/>
    </row>
    <row r="60" spans="1:12" s="14" customFormat="1">
      <c r="A60" s="17">
        <v>55</v>
      </c>
      <c r="B60" s="43" t="s">
        <v>97</v>
      </c>
      <c r="C60" s="42" t="s">
        <v>96</v>
      </c>
      <c r="D60" s="41">
        <v>95250</v>
      </c>
      <c r="E60" s="26">
        <v>2</v>
      </c>
      <c r="F60" s="16">
        <v>47624</v>
      </c>
      <c r="G60" s="16">
        <v>95249</v>
      </c>
      <c r="H60" s="16">
        <v>1</v>
      </c>
      <c r="I60" s="15"/>
      <c r="J60" s="12"/>
      <c r="K60" s="12"/>
      <c r="L60" s="12"/>
    </row>
    <row r="61" spans="1:12" s="14" customFormat="1">
      <c r="A61" s="17">
        <v>56</v>
      </c>
      <c r="B61" s="44" t="s">
        <v>84</v>
      </c>
      <c r="C61" s="42" t="s">
        <v>95</v>
      </c>
      <c r="D61" s="41">
        <v>99000</v>
      </c>
      <c r="E61" s="26">
        <v>2</v>
      </c>
      <c r="F61" s="16">
        <v>49499</v>
      </c>
      <c r="G61" s="16">
        <v>98999</v>
      </c>
      <c r="H61" s="16">
        <v>1</v>
      </c>
      <c r="I61" s="15"/>
      <c r="J61" s="12"/>
      <c r="K61" s="12"/>
      <c r="L61" s="12"/>
    </row>
    <row r="62" spans="1:12" s="14" customFormat="1">
      <c r="A62" s="17">
        <v>57</v>
      </c>
      <c r="B62" s="43" t="s">
        <v>84</v>
      </c>
      <c r="C62" s="42" t="s">
        <v>94</v>
      </c>
      <c r="D62" s="41">
        <v>99000</v>
      </c>
      <c r="E62" s="26">
        <v>2</v>
      </c>
      <c r="F62" s="16">
        <v>49499</v>
      </c>
      <c r="G62" s="16">
        <v>98999</v>
      </c>
      <c r="H62" s="16">
        <v>1</v>
      </c>
      <c r="I62" s="15"/>
      <c r="J62" s="12"/>
      <c r="K62" s="12"/>
      <c r="L62" s="12"/>
    </row>
    <row r="63" spans="1:12" s="14" customFormat="1">
      <c r="A63" s="17">
        <v>58</v>
      </c>
      <c r="B63" s="44" t="s">
        <v>93</v>
      </c>
      <c r="C63" s="42" t="s">
        <v>92</v>
      </c>
      <c r="D63" s="41">
        <v>169500</v>
      </c>
      <c r="E63" s="26">
        <v>2</v>
      </c>
      <c r="F63" s="16">
        <v>84749</v>
      </c>
      <c r="G63" s="16">
        <v>169499</v>
      </c>
      <c r="H63" s="16">
        <v>1</v>
      </c>
      <c r="I63" s="15"/>
      <c r="J63" s="12"/>
      <c r="K63" s="12"/>
      <c r="L63" s="12"/>
    </row>
    <row r="64" spans="1:12" s="14" customFormat="1">
      <c r="A64" s="17">
        <v>59</v>
      </c>
      <c r="B64" s="43" t="s">
        <v>67</v>
      </c>
      <c r="C64" s="42" t="s">
        <v>91</v>
      </c>
      <c r="D64" s="41">
        <v>2250000</v>
      </c>
      <c r="E64" s="26">
        <v>2</v>
      </c>
      <c r="F64" s="16">
        <v>1124999</v>
      </c>
      <c r="G64" s="16">
        <v>2249999</v>
      </c>
      <c r="H64" s="16">
        <v>1</v>
      </c>
      <c r="I64" s="15"/>
      <c r="J64" s="12"/>
      <c r="K64" s="12"/>
      <c r="L64" s="12"/>
    </row>
    <row r="65" spans="1:12" s="14" customFormat="1">
      <c r="A65" s="17">
        <v>60</v>
      </c>
      <c r="B65" s="40" t="s">
        <v>88</v>
      </c>
      <c r="C65" s="39" t="s">
        <v>90</v>
      </c>
      <c r="D65" s="38">
        <v>74274.33</v>
      </c>
      <c r="E65" s="26">
        <v>2</v>
      </c>
      <c r="F65" s="16">
        <v>37137.17</v>
      </c>
      <c r="G65" s="16">
        <v>68084.77</v>
      </c>
      <c r="H65" s="16">
        <v>6189.5599999999977</v>
      </c>
      <c r="I65" s="15"/>
      <c r="J65" s="12"/>
      <c r="K65" s="12"/>
      <c r="L65" s="12"/>
    </row>
    <row r="66" spans="1:12" s="14" customFormat="1">
      <c r="A66" s="17">
        <v>61</v>
      </c>
      <c r="B66" s="37" t="s">
        <v>88</v>
      </c>
      <c r="C66" s="36" t="s">
        <v>89</v>
      </c>
      <c r="D66" s="35">
        <v>74274.33</v>
      </c>
      <c r="E66" s="26">
        <v>2</v>
      </c>
      <c r="F66" s="16">
        <v>37137.17</v>
      </c>
      <c r="G66" s="16">
        <v>68084.77</v>
      </c>
      <c r="H66" s="16">
        <v>6189.5599999999977</v>
      </c>
      <c r="I66" s="15"/>
      <c r="J66" s="12"/>
      <c r="K66" s="12"/>
      <c r="L66" s="12"/>
    </row>
    <row r="67" spans="1:12" s="14" customFormat="1">
      <c r="A67" s="17">
        <v>62</v>
      </c>
      <c r="B67" s="37" t="s">
        <v>88</v>
      </c>
      <c r="C67" s="36" t="s">
        <v>87</v>
      </c>
      <c r="D67" s="35">
        <v>74274.33</v>
      </c>
      <c r="E67" s="26">
        <v>2</v>
      </c>
      <c r="F67" s="16">
        <v>37137.17</v>
      </c>
      <c r="G67" s="16">
        <v>68084.77</v>
      </c>
      <c r="H67" s="16">
        <v>6189.5599999999977</v>
      </c>
      <c r="I67" s="15"/>
      <c r="J67" s="12"/>
      <c r="K67" s="12"/>
      <c r="L67" s="12"/>
    </row>
    <row r="68" spans="1:12" s="14" customFormat="1">
      <c r="A68" s="17">
        <v>63</v>
      </c>
      <c r="B68" s="37" t="s">
        <v>84</v>
      </c>
      <c r="C68" s="36" t="s">
        <v>86</v>
      </c>
      <c r="D68" s="35">
        <v>65445</v>
      </c>
      <c r="E68" s="26">
        <v>2</v>
      </c>
      <c r="F68" s="16">
        <v>32722.5</v>
      </c>
      <c r="G68" s="16">
        <v>59991.3</v>
      </c>
      <c r="H68" s="16">
        <v>5453.6999999999971</v>
      </c>
      <c r="I68" s="15"/>
      <c r="J68" s="12"/>
      <c r="K68" s="12"/>
      <c r="L68" s="12"/>
    </row>
    <row r="69" spans="1:12" s="14" customFormat="1">
      <c r="A69" s="17">
        <v>64</v>
      </c>
      <c r="B69" s="37" t="s">
        <v>84</v>
      </c>
      <c r="C69" s="36" t="s">
        <v>85</v>
      </c>
      <c r="D69" s="35">
        <v>65445</v>
      </c>
      <c r="E69" s="26">
        <v>2</v>
      </c>
      <c r="F69" s="16">
        <v>32722.5</v>
      </c>
      <c r="G69" s="16">
        <v>59991.3</v>
      </c>
      <c r="H69" s="16">
        <v>5453.6999999999971</v>
      </c>
      <c r="I69" s="15"/>
      <c r="J69" s="12"/>
      <c r="K69" s="12"/>
      <c r="L69" s="12"/>
    </row>
    <row r="70" spans="1:12" s="14" customFormat="1">
      <c r="A70" s="17">
        <v>65</v>
      </c>
      <c r="B70" s="37" t="s">
        <v>84</v>
      </c>
      <c r="C70" s="36" t="s">
        <v>83</v>
      </c>
      <c r="D70" s="35">
        <v>65445</v>
      </c>
      <c r="E70" s="26">
        <v>2</v>
      </c>
      <c r="F70" s="16">
        <v>32722.5</v>
      </c>
      <c r="G70" s="16">
        <v>59991.3</v>
      </c>
      <c r="H70" s="16">
        <v>5453.6999999999971</v>
      </c>
      <c r="I70" s="15"/>
      <c r="J70" s="12"/>
      <c r="K70" s="12"/>
      <c r="L70" s="12"/>
    </row>
    <row r="71" spans="1:12" s="14" customFormat="1">
      <c r="A71" s="17">
        <v>66</v>
      </c>
      <c r="B71" s="37" t="s">
        <v>79</v>
      </c>
      <c r="C71" s="36" t="s">
        <v>82</v>
      </c>
      <c r="D71" s="35">
        <v>40514</v>
      </c>
      <c r="E71" s="26">
        <v>2</v>
      </c>
      <c r="F71" s="16">
        <v>20257</v>
      </c>
      <c r="G71" s="16">
        <v>37137.800000000003</v>
      </c>
      <c r="H71" s="16">
        <v>3376.1999999999971</v>
      </c>
      <c r="I71" s="15"/>
      <c r="J71" s="12"/>
      <c r="K71" s="12"/>
      <c r="L71" s="12"/>
    </row>
    <row r="72" spans="1:12" s="14" customFormat="1">
      <c r="A72" s="17">
        <v>67</v>
      </c>
      <c r="B72" s="40" t="s">
        <v>79</v>
      </c>
      <c r="C72" s="39" t="s">
        <v>81</v>
      </c>
      <c r="D72" s="38">
        <v>40514</v>
      </c>
      <c r="E72" s="26">
        <v>2</v>
      </c>
      <c r="F72" s="16">
        <v>20257</v>
      </c>
      <c r="G72" s="16">
        <v>37137.800000000003</v>
      </c>
      <c r="H72" s="16">
        <v>3376.1999999999971</v>
      </c>
      <c r="I72" s="15"/>
      <c r="J72" s="12"/>
      <c r="K72" s="12"/>
      <c r="L72" s="12"/>
    </row>
    <row r="73" spans="1:12" s="14" customFormat="1">
      <c r="A73" s="17">
        <v>68</v>
      </c>
      <c r="B73" s="37" t="s">
        <v>79</v>
      </c>
      <c r="C73" s="36" t="s">
        <v>80</v>
      </c>
      <c r="D73" s="35">
        <v>40514</v>
      </c>
      <c r="E73" s="26">
        <v>2</v>
      </c>
      <c r="F73" s="16">
        <v>20257</v>
      </c>
      <c r="G73" s="16">
        <v>37137.800000000003</v>
      </c>
      <c r="H73" s="16">
        <v>3376.1999999999971</v>
      </c>
      <c r="I73" s="15"/>
      <c r="J73" s="12"/>
      <c r="K73" s="12"/>
      <c r="L73" s="12"/>
    </row>
    <row r="74" spans="1:12" s="14" customFormat="1">
      <c r="A74" s="17">
        <v>69</v>
      </c>
      <c r="B74" s="37" t="s">
        <v>79</v>
      </c>
      <c r="C74" s="36" t="s">
        <v>78</v>
      </c>
      <c r="D74" s="35">
        <v>40514</v>
      </c>
      <c r="E74" s="26">
        <v>2</v>
      </c>
      <c r="F74" s="16">
        <v>20257</v>
      </c>
      <c r="G74" s="16">
        <v>37137.800000000003</v>
      </c>
      <c r="H74" s="16">
        <v>3376.1999999999971</v>
      </c>
      <c r="I74" s="15"/>
      <c r="J74" s="12"/>
      <c r="K74" s="12"/>
      <c r="L74" s="12"/>
    </row>
    <row r="75" spans="1:12" s="14" customFormat="1">
      <c r="A75" s="17">
        <v>70</v>
      </c>
      <c r="B75" s="37" t="s">
        <v>76</v>
      </c>
      <c r="C75" s="36" t="s">
        <v>77</v>
      </c>
      <c r="D75" s="35">
        <v>36618</v>
      </c>
      <c r="E75" s="26">
        <v>2</v>
      </c>
      <c r="F75" s="16">
        <v>18309</v>
      </c>
      <c r="G75" s="16">
        <v>33566.5</v>
      </c>
      <c r="H75" s="16">
        <v>3051.5</v>
      </c>
      <c r="I75" s="15"/>
      <c r="J75" s="12"/>
      <c r="K75" s="12"/>
      <c r="L75" s="12"/>
    </row>
    <row r="76" spans="1:12" s="14" customFormat="1">
      <c r="A76" s="17">
        <v>71</v>
      </c>
      <c r="B76" s="37" t="s">
        <v>76</v>
      </c>
      <c r="C76" s="36" t="s">
        <v>75</v>
      </c>
      <c r="D76" s="35">
        <v>36618</v>
      </c>
      <c r="E76" s="26">
        <v>2</v>
      </c>
      <c r="F76" s="16">
        <v>18309</v>
      </c>
      <c r="G76" s="16">
        <v>33566.5</v>
      </c>
      <c r="H76" s="16">
        <v>3051.5</v>
      </c>
      <c r="I76" s="15"/>
      <c r="J76" s="12"/>
      <c r="K76" s="12"/>
      <c r="L76" s="12"/>
    </row>
    <row r="77" spans="1:12" s="14" customFormat="1">
      <c r="A77" s="17">
        <v>72</v>
      </c>
      <c r="B77" s="37" t="s">
        <v>72</v>
      </c>
      <c r="C77" s="36" t="s">
        <v>74</v>
      </c>
      <c r="D77" s="35">
        <v>32723</v>
      </c>
      <c r="E77" s="26">
        <v>2</v>
      </c>
      <c r="F77" s="16">
        <v>16361.5</v>
      </c>
      <c r="G77" s="16">
        <v>29996.1</v>
      </c>
      <c r="H77" s="16">
        <v>2726.9000000000015</v>
      </c>
      <c r="I77" s="15"/>
      <c r="J77" s="12"/>
      <c r="K77" s="12"/>
      <c r="L77" s="12"/>
    </row>
    <row r="78" spans="1:12" s="14" customFormat="1">
      <c r="A78" s="17">
        <v>73</v>
      </c>
      <c r="B78" s="37" t="s">
        <v>72</v>
      </c>
      <c r="C78" s="36" t="s">
        <v>73</v>
      </c>
      <c r="D78" s="35">
        <v>32723</v>
      </c>
      <c r="E78" s="26">
        <v>2</v>
      </c>
      <c r="F78" s="16">
        <v>16361.5</v>
      </c>
      <c r="G78" s="16">
        <v>29996.1</v>
      </c>
      <c r="H78" s="16">
        <v>2726.9000000000015</v>
      </c>
      <c r="I78" s="15"/>
      <c r="J78" s="12"/>
      <c r="K78" s="12"/>
      <c r="L78" s="12"/>
    </row>
    <row r="79" spans="1:12" s="14" customFormat="1">
      <c r="A79" s="17">
        <v>74</v>
      </c>
      <c r="B79" s="37" t="s">
        <v>72</v>
      </c>
      <c r="C79" s="36" t="s">
        <v>71</v>
      </c>
      <c r="D79" s="35">
        <v>32723</v>
      </c>
      <c r="E79" s="26">
        <v>2</v>
      </c>
      <c r="F79" s="16">
        <v>16361.5</v>
      </c>
      <c r="G79" s="16">
        <v>29996.1</v>
      </c>
      <c r="H79" s="16">
        <v>2726.9000000000015</v>
      </c>
      <c r="I79" s="15"/>
      <c r="J79" s="12"/>
      <c r="K79" s="12"/>
      <c r="L79" s="12"/>
    </row>
    <row r="80" spans="1:12" s="14" customFormat="1">
      <c r="A80" s="17">
        <v>75</v>
      </c>
      <c r="B80" s="37" t="s">
        <v>69</v>
      </c>
      <c r="C80" s="36" t="s">
        <v>70</v>
      </c>
      <c r="D80" s="35">
        <v>36618</v>
      </c>
      <c r="E80" s="26">
        <v>2</v>
      </c>
      <c r="F80" s="16">
        <v>18309</v>
      </c>
      <c r="G80" s="16">
        <v>33566.5</v>
      </c>
      <c r="H80" s="16">
        <v>3051.5</v>
      </c>
      <c r="I80" s="15"/>
      <c r="J80" s="12"/>
      <c r="K80" s="12"/>
      <c r="L80" s="12"/>
    </row>
    <row r="81" spans="1:12" s="14" customFormat="1">
      <c r="A81" s="17">
        <v>76</v>
      </c>
      <c r="B81" s="37" t="s">
        <v>69</v>
      </c>
      <c r="C81" s="36" t="s">
        <v>68</v>
      </c>
      <c r="D81" s="35">
        <v>36618</v>
      </c>
      <c r="E81" s="26">
        <v>2</v>
      </c>
      <c r="F81" s="16">
        <v>18309</v>
      </c>
      <c r="G81" s="16">
        <v>33566.5</v>
      </c>
      <c r="H81" s="16">
        <v>3051.5</v>
      </c>
      <c r="I81" s="15"/>
      <c r="J81" s="12"/>
      <c r="K81" s="12"/>
      <c r="L81" s="12"/>
    </row>
    <row r="82" spans="1:12" s="14" customFormat="1">
      <c r="A82" s="17">
        <v>77</v>
      </c>
      <c r="B82" s="37" t="s">
        <v>67</v>
      </c>
      <c r="C82" s="36" t="s">
        <v>66</v>
      </c>
      <c r="D82" s="35">
        <v>1971123</v>
      </c>
      <c r="E82" s="26">
        <v>2</v>
      </c>
      <c r="F82" s="16">
        <v>985561.5</v>
      </c>
      <c r="G82" s="16">
        <v>1806862.8</v>
      </c>
      <c r="H82" s="16">
        <v>164260.19999999995</v>
      </c>
      <c r="I82" s="15"/>
      <c r="J82" s="12"/>
      <c r="K82" s="12"/>
      <c r="L82" s="12"/>
    </row>
    <row r="83" spans="1:12" s="14" customFormat="1">
      <c r="A83" s="17">
        <v>78</v>
      </c>
      <c r="B83" s="37" t="s">
        <v>65</v>
      </c>
      <c r="C83" s="36" t="s">
        <v>64</v>
      </c>
      <c r="D83" s="35">
        <v>111411</v>
      </c>
      <c r="E83" s="26">
        <v>2</v>
      </c>
      <c r="F83" s="16">
        <v>55705.5</v>
      </c>
      <c r="G83" s="16">
        <v>102126.8</v>
      </c>
      <c r="H83" s="16">
        <v>9284.1999999999971</v>
      </c>
      <c r="I83" s="15"/>
      <c r="J83" s="12"/>
      <c r="K83" s="12"/>
      <c r="L83" s="12"/>
    </row>
    <row r="84" spans="1:12" s="14" customFormat="1">
      <c r="A84" s="17">
        <v>79</v>
      </c>
      <c r="B84" s="37" t="s">
        <v>63</v>
      </c>
      <c r="C84" s="36" t="s">
        <v>62</v>
      </c>
      <c r="D84" s="35">
        <v>19867</v>
      </c>
      <c r="E84" s="26">
        <v>2</v>
      </c>
      <c r="F84" s="16">
        <v>9933.5</v>
      </c>
      <c r="G84" s="16">
        <v>18211.400000000001</v>
      </c>
      <c r="H84" s="16">
        <v>1655.5999999999985</v>
      </c>
      <c r="I84" s="15"/>
      <c r="J84" s="12"/>
      <c r="K84" s="12"/>
      <c r="L84" s="12"/>
    </row>
    <row r="85" spans="1:12" s="14" customFormat="1">
      <c r="A85" s="17">
        <v>80</v>
      </c>
      <c r="B85" s="37" t="s">
        <v>61</v>
      </c>
      <c r="C85" s="36" t="s">
        <v>60</v>
      </c>
      <c r="D85" s="35">
        <v>507584</v>
      </c>
      <c r="E85" s="26">
        <v>2</v>
      </c>
      <c r="F85" s="16">
        <v>253792</v>
      </c>
      <c r="G85" s="16">
        <v>465285.30000000005</v>
      </c>
      <c r="H85" s="16">
        <v>42298.699999999953</v>
      </c>
      <c r="I85" s="15"/>
      <c r="J85" s="12"/>
      <c r="K85" s="12"/>
      <c r="L85" s="12"/>
    </row>
    <row r="86" spans="1:12" s="14" customFormat="1">
      <c r="A86" s="17">
        <v>81</v>
      </c>
      <c r="B86" s="37" t="s">
        <v>59</v>
      </c>
      <c r="C86" s="36" t="s">
        <v>58</v>
      </c>
      <c r="D86" s="35">
        <v>141407</v>
      </c>
      <c r="E86" s="26">
        <v>2</v>
      </c>
      <c r="F86" s="16">
        <v>70703.5</v>
      </c>
      <c r="G86" s="16">
        <v>129623.1</v>
      </c>
      <c r="H86" s="16">
        <v>11783.899999999994</v>
      </c>
      <c r="I86" s="15"/>
      <c r="J86" s="12"/>
      <c r="K86" s="12"/>
      <c r="L86" s="12"/>
    </row>
    <row r="87" spans="1:12" s="14" customFormat="1">
      <c r="A87" s="17">
        <v>82</v>
      </c>
      <c r="B87" s="34" t="s">
        <v>57</v>
      </c>
      <c r="C87" s="33" t="s">
        <v>56</v>
      </c>
      <c r="D87" s="31">
        <v>10990</v>
      </c>
      <c r="E87" s="26">
        <v>2</v>
      </c>
      <c r="F87" s="16">
        <v>5495</v>
      </c>
      <c r="G87" s="16">
        <v>9616.2799999999988</v>
      </c>
      <c r="H87" s="16">
        <v>1373.7200000000012</v>
      </c>
      <c r="I87" s="15"/>
      <c r="J87" s="12"/>
      <c r="K87" s="12"/>
      <c r="L87" s="12"/>
    </row>
    <row r="88" spans="1:12" s="14" customFormat="1">
      <c r="A88" s="17">
        <v>83</v>
      </c>
      <c r="B88" s="28" t="s">
        <v>55</v>
      </c>
      <c r="C88" s="28" t="s">
        <v>54</v>
      </c>
      <c r="D88" s="32">
        <v>381027</v>
      </c>
      <c r="E88" s="26">
        <v>2</v>
      </c>
      <c r="F88" s="16">
        <v>190513.5</v>
      </c>
      <c r="G88" s="16">
        <v>333398.67</v>
      </c>
      <c r="H88" s="16">
        <v>47628.330000000016</v>
      </c>
      <c r="I88" s="15"/>
      <c r="J88" s="12"/>
      <c r="K88" s="12"/>
      <c r="L88" s="12"/>
    </row>
    <row r="89" spans="1:12" s="14" customFormat="1">
      <c r="A89" s="17">
        <v>84</v>
      </c>
      <c r="B89" s="28" t="s">
        <v>53</v>
      </c>
      <c r="C89" s="28" t="s">
        <v>52</v>
      </c>
      <c r="D89" s="31">
        <v>11200</v>
      </c>
      <c r="E89" s="26">
        <v>2</v>
      </c>
      <c r="F89" s="16">
        <v>5600</v>
      </c>
      <c r="G89" s="16">
        <v>8400.02</v>
      </c>
      <c r="H89" s="16">
        <v>2799.9799999999996</v>
      </c>
      <c r="I89" s="15"/>
      <c r="J89" s="12"/>
      <c r="K89" s="12"/>
      <c r="L89" s="12"/>
    </row>
    <row r="90" spans="1:12" s="14" customFormat="1">
      <c r="A90" s="17">
        <v>85</v>
      </c>
      <c r="B90" s="28" t="s">
        <v>51</v>
      </c>
      <c r="C90" s="28" t="s">
        <v>50</v>
      </c>
      <c r="D90" s="31">
        <v>14590</v>
      </c>
      <c r="E90" s="26">
        <v>2</v>
      </c>
      <c r="F90" s="16">
        <v>7295</v>
      </c>
      <c r="G90" s="16">
        <v>10942.52</v>
      </c>
      <c r="H90" s="16">
        <v>3647.4799999999996</v>
      </c>
      <c r="I90" s="15"/>
      <c r="J90" s="12"/>
      <c r="K90" s="12"/>
      <c r="L90" s="12"/>
    </row>
    <row r="91" spans="1:12" s="14" customFormat="1">
      <c r="A91" s="17">
        <v>86</v>
      </c>
      <c r="B91" s="28" t="s">
        <v>49</v>
      </c>
      <c r="C91" s="28" t="s">
        <v>48</v>
      </c>
      <c r="D91" s="31">
        <v>19299.990000000002</v>
      </c>
      <c r="E91" s="26">
        <v>2</v>
      </c>
      <c r="F91" s="16">
        <v>9650</v>
      </c>
      <c r="G91" s="16">
        <v>14475.02</v>
      </c>
      <c r="H91" s="16">
        <v>4824.9700000000012</v>
      </c>
      <c r="I91" s="15"/>
      <c r="J91" s="12"/>
      <c r="K91" s="12"/>
      <c r="L91" s="12"/>
    </row>
    <row r="92" spans="1:12" s="14" customFormat="1">
      <c r="A92" s="17">
        <v>87</v>
      </c>
      <c r="B92" s="28" t="s">
        <v>47</v>
      </c>
      <c r="C92" s="28" t="s">
        <v>46</v>
      </c>
      <c r="D92" s="30">
        <v>315115</v>
      </c>
      <c r="E92" s="26">
        <v>2</v>
      </c>
      <c r="F92" s="16">
        <v>131297.90000000002</v>
      </c>
      <c r="G92" s="16">
        <v>131297.90000000002</v>
      </c>
      <c r="H92" s="16">
        <v>183817.09999999998</v>
      </c>
      <c r="I92" s="15"/>
      <c r="J92" s="12"/>
      <c r="K92" s="12"/>
      <c r="L92" s="12"/>
    </row>
    <row r="93" spans="1:12" s="14" customFormat="1">
      <c r="A93" s="17">
        <v>88</v>
      </c>
      <c r="B93" s="28" t="s">
        <v>45</v>
      </c>
      <c r="C93" s="28" t="s">
        <v>44</v>
      </c>
      <c r="D93" s="27">
        <v>22737.5</v>
      </c>
      <c r="E93" s="26">
        <v>2</v>
      </c>
      <c r="F93" s="16">
        <v>8526.6</v>
      </c>
      <c r="G93" s="16">
        <v>8526.6</v>
      </c>
      <c r="H93" s="16">
        <v>14210.9</v>
      </c>
      <c r="I93" s="15"/>
      <c r="J93" s="12"/>
      <c r="K93" s="12"/>
      <c r="L93" s="12"/>
    </row>
    <row r="94" spans="1:12" s="14" customFormat="1">
      <c r="A94" s="17">
        <v>89</v>
      </c>
      <c r="B94" s="28" t="s">
        <v>43</v>
      </c>
      <c r="C94" s="28" t="s">
        <v>42</v>
      </c>
      <c r="D94" s="27">
        <v>45000</v>
      </c>
      <c r="E94" s="26">
        <v>2</v>
      </c>
      <c r="F94" s="16">
        <v>16875</v>
      </c>
      <c r="G94" s="16">
        <v>16875</v>
      </c>
      <c r="H94" s="16">
        <v>28125</v>
      </c>
      <c r="I94" s="15"/>
      <c r="J94" s="12"/>
      <c r="K94" s="12"/>
      <c r="L94" s="12"/>
    </row>
    <row r="95" spans="1:12" s="14" customFormat="1">
      <c r="A95" s="17">
        <v>90</v>
      </c>
      <c r="B95" s="28" t="s">
        <v>41</v>
      </c>
      <c r="C95" s="28" t="s">
        <v>40</v>
      </c>
      <c r="D95" s="27">
        <v>48417.5</v>
      </c>
      <c r="E95" s="26">
        <v>2</v>
      </c>
      <c r="F95" s="16">
        <v>18156.600000000002</v>
      </c>
      <c r="G95" s="16">
        <v>18156.600000000002</v>
      </c>
      <c r="H95" s="16">
        <v>30260.899999999998</v>
      </c>
      <c r="I95" s="15"/>
      <c r="J95" s="12"/>
      <c r="K95" s="12"/>
      <c r="L95" s="12"/>
    </row>
    <row r="96" spans="1:12" s="14" customFormat="1">
      <c r="A96" s="17">
        <v>91</v>
      </c>
      <c r="B96" s="28" t="s">
        <v>39</v>
      </c>
      <c r="C96" s="28" t="s">
        <v>38</v>
      </c>
      <c r="D96" s="27">
        <v>21500</v>
      </c>
      <c r="E96" s="26">
        <v>2</v>
      </c>
      <c r="F96" s="16">
        <v>7166.64</v>
      </c>
      <c r="G96" s="16">
        <v>7166.64</v>
      </c>
      <c r="H96" s="16">
        <v>14333.36</v>
      </c>
      <c r="I96" s="15"/>
      <c r="J96" s="12"/>
      <c r="K96" s="12"/>
      <c r="L96" s="12"/>
    </row>
    <row r="97" spans="1:12" s="14" customFormat="1">
      <c r="A97" s="17">
        <v>92</v>
      </c>
      <c r="B97" s="28" t="s">
        <v>37</v>
      </c>
      <c r="C97" s="28" t="s">
        <v>36</v>
      </c>
      <c r="D97" s="27">
        <v>11770</v>
      </c>
      <c r="E97" s="26">
        <v>2</v>
      </c>
      <c r="F97" s="16">
        <v>3923.36</v>
      </c>
      <c r="G97" s="16">
        <v>3923.36</v>
      </c>
      <c r="H97" s="16">
        <v>7846.6399999999994</v>
      </c>
      <c r="I97" s="15"/>
      <c r="J97" s="12"/>
      <c r="K97" s="12"/>
      <c r="L97" s="12"/>
    </row>
    <row r="98" spans="1:12" s="14" customFormat="1">
      <c r="A98" s="17">
        <v>93</v>
      </c>
      <c r="B98" s="28" t="s">
        <v>35</v>
      </c>
      <c r="C98" s="28" t="s">
        <v>34</v>
      </c>
      <c r="D98" s="27">
        <v>11480</v>
      </c>
      <c r="E98" s="26">
        <v>2</v>
      </c>
      <c r="F98" s="16">
        <v>3826.64</v>
      </c>
      <c r="G98" s="16">
        <v>3826.64</v>
      </c>
      <c r="H98" s="16">
        <v>7653.3600000000006</v>
      </c>
      <c r="I98" s="15"/>
      <c r="J98" s="12"/>
      <c r="K98" s="12"/>
      <c r="L98" s="12"/>
    </row>
    <row r="99" spans="1:12" s="14" customFormat="1">
      <c r="A99" s="17">
        <v>94</v>
      </c>
      <c r="B99" s="28" t="s">
        <v>33</v>
      </c>
      <c r="C99" s="28" t="s">
        <v>32</v>
      </c>
      <c r="D99" s="27">
        <v>35845</v>
      </c>
      <c r="E99" s="29">
        <v>2</v>
      </c>
      <c r="F99" s="16">
        <v>10454.779999999999</v>
      </c>
      <c r="G99" s="16">
        <v>10454.779999999999</v>
      </c>
      <c r="H99" s="16">
        <v>25390.22</v>
      </c>
      <c r="I99" s="15"/>
      <c r="J99" s="12"/>
      <c r="K99" s="12"/>
      <c r="L99" s="12"/>
    </row>
    <row r="100" spans="1:12" s="14" customFormat="1">
      <c r="A100" s="17">
        <v>95</v>
      </c>
      <c r="B100" s="28" t="s">
        <v>29</v>
      </c>
      <c r="C100" s="28" t="s">
        <v>31</v>
      </c>
      <c r="D100" s="27">
        <v>25000.01</v>
      </c>
      <c r="E100" s="26">
        <v>2</v>
      </c>
      <c r="F100" s="16">
        <v>5208.3500000000004</v>
      </c>
      <c r="G100" s="16">
        <v>5208.3500000000004</v>
      </c>
      <c r="H100" s="16">
        <v>19791.659999999996</v>
      </c>
      <c r="I100" s="15"/>
      <c r="J100" s="12"/>
      <c r="K100" s="12"/>
      <c r="L100" s="12"/>
    </row>
    <row r="101" spans="1:12" s="14" customFormat="1">
      <c r="A101" s="17">
        <v>96</v>
      </c>
      <c r="B101" s="28" t="s">
        <v>29</v>
      </c>
      <c r="C101" s="28" t="s">
        <v>30</v>
      </c>
      <c r="D101" s="27">
        <v>25000</v>
      </c>
      <c r="E101" s="26">
        <v>2</v>
      </c>
      <c r="F101" s="16">
        <v>5208.3500000000004</v>
      </c>
      <c r="G101" s="16">
        <v>5208.3500000000004</v>
      </c>
      <c r="H101" s="16">
        <v>19791.650000000001</v>
      </c>
      <c r="I101" s="15"/>
      <c r="J101" s="12"/>
      <c r="K101" s="12"/>
      <c r="L101" s="12"/>
    </row>
    <row r="102" spans="1:12" s="14" customFormat="1">
      <c r="A102" s="17">
        <v>97</v>
      </c>
      <c r="B102" s="28" t="s">
        <v>29</v>
      </c>
      <c r="C102" s="28" t="s">
        <v>28</v>
      </c>
      <c r="D102" s="27">
        <v>25000</v>
      </c>
      <c r="E102" s="26">
        <v>2</v>
      </c>
      <c r="F102" s="16">
        <v>5208.3500000000004</v>
      </c>
      <c r="G102" s="16">
        <v>5208.3500000000004</v>
      </c>
      <c r="H102" s="16">
        <v>19791.650000000001</v>
      </c>
      <c r="I102" s="15"/>
      <c r="J102" s="12"/>
      <c r="K102" s="12"/>
      <c r="L102" s="12"/>
    </row>
    <row r="103" spans="1:12" s="14" customFormat="1">
      <c r="A103" s="17">
        <v>98</v>
      </c>
      <c r="B103" s="28" t="s">
        <v>27</v>
      </c>
      <c r="C103" s="28" t="s">
        <v>26</v>
      </c>
      <c r="D103" s="27">
        <v>11368.75</v>
      </c>
      <c r="E103" s="26">
        <v>2</v>
      </c>
      <c r="F103" s="16">
        <v>947.4</v>
      </c>
      <c r="G103" s="16">
        <v>947.4</v>
      </c>
      <c r="H103" s="16">
        <v>10421.35</v>
      </c>
      <c r="I103" s="15"/>
      <c r="J103" s="12"/>
      <c r="K103" s="12"/>
      <c r="L103" s="12"/>
    </row>
    <row r="104" spans="1:12">
      <c r="A104" s="13"/>
      <c r="B104" s="13"/>
      <c r="C104" s="12"/>
      <c r="D104" s="11">
        <f>SUM(D6:D103)</f>
        <v>13446048.140000001</v>
      </c>
      <c r="E104" s="11">
        <f>SUM(E6:E103)</f>
        <v>196</v>
      </c>
      <c r="F104" s="11">
        <f>SUM(F6:F103)</f>
        <v>3627970.98</v>
      </c>
      <c r="G104" s="11">
        <f>SUM(G6:G103)</f>
        <v>12706176.990000002</v>
      </c>
      <c r="H104" s="11">
        <f>SUM(H6:H103)</f>
        <v>739871.14999999991</v>
      </c>
    </row>
    <row r="107" spans="1:12">
      <c r="D107" s="9" t="s">
        <v>4</v>
      </c>
      <c r="E107" s="10" t="s">
        <v>3</v>
      </c>
      <c r="F107" s="9" t="s">
        <v>2</v>
      </c>
      <c r="G107" s="9" t="s">
        <v>1</v>
      </c>
    </row>
    <row r="108" spans="1:12" ht="25.5">
      <c r="C108" s="8" t="s">
        <v>0</v>
      </c>
      <c r="D108" s="7">
        <f>D104</f>
        <v>13446048.140000001</v>
      </c>
      <c r="E108" s="6">
        <f>F104</f>
        <v>3627970.98</v>
      </c>
      <c r="F108" s="5">
        <f>G104</f>
        <v>12706176.990000002</v>
      </c>
      <c r="G108" s="5">
        <f>H104</f>
        <v>739871.14999999991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J269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F20" sqref="F20"/>
    </sheetView>
  </sheetViews>
  <sheetFormatPr defaultRowHeight="12.75"/>
  <cols>
    <col min="1" max="1" width="56.25" style="49" customWidth="1"/>
    <col min="2" max="2" width="14.125" style="51" customWidth="1"/>
    <col min="3" max="3" width="10" style="51" customWidth="1"/>
    <col min="4" max="4" width="13.875" style="51" customWidth="1"/>
    <col min="5" max="5" width="11" style="49" customWidth="1"/>
    <col min="6" max="6" width="13.125" style="50" customWidth="1"/>
    <col min="7" max="7" width="15.375" style="50" customWidth="1"/>
    <col min="8" max="8" width="13.625" style="50" customWidth="1"/>
    <col min="9" max="10" width="7.625" style="49" customWidth="1"/>
    <col min="11" max="16384" width="9" style="49"/>
  </cols>
  <sheetData>
    <row r="1" spans="1:8" ht="21">
      <c r="A1" s="91" t="s">
        <v>13</v>
      </c>
      <c r="B1" s="91"/>
      <c r="C1" s="91"/>
      <c r="D1" s="91"/>
      <c r="E1" s="91"/>
    </row>
    <row r="2" spans="1:8" ht="21">
      <c r="A2" s="61" t="s">
        <v>181</v>
      </c>
      <c r="B2" s="61"/>
      <c r="C2" s="61"/>
      <c r="D2" s="90"/>
      <c r="E2" s="89"/>
    </row>
    <row r="3" spans="1:8" ht="23.25">
      <c r="A3" s="88" t="s">
        <v>11</v>
      </c>
      <c r="B3" s="88"/>
      <c r="C3" s="88"/>
      <c r="D3" s="88" t="s">
        <v>4</v>
      </c>
      <c r="E3" s="88" t="s">
        <v>9</v>
      </c>
      <c r="F3" s="86" t="s">
        <v>180</v>
      </c>
      <c r="G3" s="86"/>
      <c r="H3" s="86" t="s">
        <v>1</v>
      </c>
    </row>
    <row r="4" spans="1:8" ht="23.25">
      <c r="A4" s="88"/>
      <c r="B4" s="88"/>
      <c r="C4" s="88"/>
      <c r="D4" s="88"/>
      <c r="E4" s="88"/>
      <c r="F4" s="87" t="s">
        <v>3</v>
      </c>
      <c r="G4" s="87" t="s">
        <v>177</v>
      </c>
      <c r="H4" s="86"/>
    </row>
    <row r="5" spans="1:8" s="65" customFormat="1" ht="23.25">
      <c r="A5" s="85" t="s">
        <v>179</v>
      </c>
      <c r="B5" s="85" t="s">
        <v>178</v>
      </c>
      <c r="C5" s="84">
        <v>45876</v>
      </c>
      <c r="D5" s="83">
        <v>1743000</v>
      </c>
      <c r="E5" s="82">
        <v>5</v>
      </c>
      <c r="F5" s="81">
        <v>348600</v>
      </c>
      <c r="G5" s="81">
        <v>406700</v>
      </c>
      <c r="H5" s="81">
        <v>1336300</v>
      </c>
    </row>
    <row r="6" spans="1:8" s="57" customFormat="1" ht="23.25">
      <c r="A6" s="80"/>
      <c r="B6" s="79"/>
      <c r="C6" s="78"/>
      <c r="D6" s="77">
        <f>SUM(D5:D5)</f>
        <v>1743000</v>
      </c>
      <c r="E6" s="77">
        <f>SUM(E5:E5)</f>
        <v>5</v>
      </c>
      <c r="F6" s="77">
        <f>SUM(F5:F5)</f>
        <v>348600</v>
      </c>
      <c r="G6" s="77">
        <f>SUM(G5:G5)</f>
        <v>406700</v>
      </c>
      <c r="H6" s="77">
        <f>SUM(H5:H5)</f>
        <v>1336300</v>
      </c>
    </row>
    <row r="7" spans="1:8" s="57" customFormat="1" ht="21">
      <c r="A7" s="64"/>
      <c r="B7" s="61"/>
      <c r="C7" s="70"/>
      <c r="D7" s="69"/>
      <c r="E7" s="65"/>
      <c r="F7" s="50"/>
      <c r="G7" s="50"/>
      <c r="H7" s="50"/>
    </row>
    <row r="8" spans="1:8" s="57" customFormat="1" ht="21">
      <c r="A8" s="62"/>
      <c r="B8" s="61"/>
      <c r="C8" s="70"/>
      <c r="D8" s="69"/>
      <c r="E8" s="72"/>
      <c r="F8" s="50"/>
      <c r="G8" s="50"/>
      <c r="H8" s="50"/>
    </row>
    <row r="9" spans="1:8" s="57" customFormat="1" ht="21">
      <c r="A9" s="64"/>
      <c r="B9" s="61"/>
      <c r="C9" s="70"/>
      <c r="D9" s="76" t="s">
        <v>4</v>
      </c>
      <c r="E9" s="76" t="s">
        <v>3</v>
      </c>
      <c r="F9" s="76" t="s">
        <v>177</v>
      </c>
      <c r="G9" s="75" t="s">
        <v>176</v>
      </c>
      <c r="H9" s="50"/>
    </row>
    <row r="10" spans="1:8" s="57" customFormat="1" ht="21">
      <c r="A10" s="62"/>
      <c r="B10" s="74" t="s">
        <v>0</v>
      </c>
      <c r="C10" s="74"/>
      <c r="D10" s="73">
        <f>D6</f>
        <v>1743000</v>
      </c>
      <c r="E10" s="73">
        <f>F6</f>
        <v>348600</v>
      </c>
      <c r="F10" s="73">
        <f>G6</f>
        <v>406700</v>
      </c>
      <c r="G10" s="73">
        <f>H6</f>
        <v>1336300</v>
      </c>
      <c r="H10" s="50"/>
    </row>
    <row r="11" spans="1:8" s="57" customFormat="1" ht="21">
      <c r="A11" s="64"/>
      <c r="B11" s="61"/>
      <c r="C11" s="70"/>
      <c r="D11" s="69"/>
      <c r="E11" s="65"/>
      <c r="F11" s="50"/>
      <c r="G11" s="50"/>
      <c r="H11" s="50"/>
    </row>
    <row r="12" spans="1:8" s="57" customFormat="1" ht="21">
      <c r="A12" s="62"/>
      <c r="B12" s="61"/>
      <c r="C12" s="70"/>
      <c r="D12" s="69"/>
      <c r="E12" s="72"/>
      <c r="F12" s="50"/>
      <c r="G12" s="50"/>
      <c r="H12" s="50"/>
    </row>
    <row r="13" spans="1:8" s="57" customFormat="1" ht="21">
      <c r="A13" s="64"/>
      <c r="B13" s="61"/>
      <c r="C13" s="70"/>
      <c r="D13" s="69"/>
      <c r="E13" s="65"/>
      <c r="F13" s="50"/>
      <c r="G13" s="50"/>
      <c r="H13" s="50"/>
    </row>
    <row r="14" spans="1:8" s="57" customFormat="1" ht="21">
      <c r="A14" s="62"/>
      <c r="B14" s="61"/>
      <c r="C14" s="70"/>
      <c r="D14" s="69"/>
      <c r="E14" s="72"/>
      <c r="F14" s="50"/>
      <c r="G14" s="50"/>
      <c r="H14" s="50"/>
    </row>
    <row r="15" spans="1:8" s="57" customFormat="1" ht="21">
      <c r="A15" s="64"/>
      <c r="B15" s="61"/>
      <c r="C15" s="70"/>
      <c r="D15" s="69"/>
      <c r="E15" s="65"/>
      <c r="F15" s="50"/>
      <c r="G15" s="50"/>
      <c r="H15" s="50"/>
    </row>
    <row r="16" spans="1:8" s="57" customFormat="1" ht="21">
      <c r="A16" s="62"/>
      <c r="B16" s="61"/>
      <c r="C16" s="70"/>
      <c r="D16" s="69"/>
      <c r="E16" s="72"/>
      <c r="F16" s="50"/>
      <c r="G16" s="50"/>
      <c r="H16" s="50"/>
    </row>
    <row r="17" spans="1:8" s="57" customFormat="1" ht="21">
      <c r="A17" s="64"/>
      <c r="B17" s="61"/>
      <c r="C17" s="70"/>
      <c r="D17" s="69"/>
      <c r="E17" s="71"/>
      <c r="F17" s="50"/>
      <c r="G17" s="50"/>
      <c r="H17" s="50"/>
    </row>
    <row r="18" spans="1:8" s="57" customFormat="1" ht="21">
      <c r="A18" s="62"/>
      <c r="B18" s="61"/>
      <c r="C18" s="70"/>
      <c r="D18" s="69"/>
      <c r="E18" s="68"/>
      <c r="F18" s="50"/>
      <c r="G18" s="50"/>
      <c r="H18" s="50"/>
    </row>
    <row r="19" spans="1:8" s="57" customFormat="1" ht="21">
      <c r="A19" s="64"/>
      <c r="B19" s="61"/>
      <c r="C19" s="60"/>
      <c r="D19" s="59"/>
      <c r="E19" s="63"/>
      <c r="F19" s="50"/>
      <c r="G19" s="50"/>
      <c r="H19" s="50"/>
    </row>
    <row r="20" spans="1:8" s="57" customFormat="1" ht="21">
      <c r="A20" s="62"/>
      <c r="B20" s="61"/>
      <c r="C20" s="60"/>
      <c r="D20" s="59"/>
      <c r="E20" s="58"/>
      <c r="F20" s="50"/>
      <c r="G20" s="50"/>
      <c r="H20" s="50"/>
    </row>
    <row r="21" spans="1:8" s="57" customFormat="1" ht="21">
      <c r="A21" s="64"/>
      <c r="B21" s="61"/>
      <c r="C21" s="60"/>
      <c r="D21" s="59"/>
      <c r="E21" s="63"/>
      <c r="F21" s="50"/>
      <c r="G21" s="50"/>
      <c r="H21" s="50"/>
    </row>
    <row r="22" spans="1:8" s="57" customFormat="1" ht="21">
      <c r="A22" s="62"/>
      <c r="B22" s="61"/>
      <c r="C22" s="60"/>
      <c r="D22" s="59"/>
      <c r="E22" s="58"/>
      <c r="F22" s="50"/>
      <c r="G22" s="50"/>
      <c r="H22" s="50"/>
    </row>
    <row r="23" spans="1:8" s="57" customFormat="1" ht="21">
      <c r="A23" s="64"/>
      <c r="B23" s="61"/>
      <c r="C23" s="60"/>
      <c r="D23" s="59"/>
      <c r="E23" s="63"/>
      <c r="F23" s="50"/>
      <c r="G23" s="50"/>
      <c r="H23" s="50"/>
    </row>
    <row r="24" spans="1:8" s="57" customFormat="1" ht="21">
      <c r="A24" s="62"/>
      <c r="B24" s="61"/>
      <c r="C24" s="60"/>
      <c r="D24" s="59"/>
      <c r="E24" s="58"/>
      <c r="F24" s="50"/>
      <c r="G24" s="50"/>
      <c r="H24" s="50"/>
    </row>
    <row r="25" spans="1:8" s="57" customFormat="1" ht="21">
      <c r="A25" s="64"/>
      <c r="B25" s="61"/>
      <c r="C25" s="60"/>
      <c r="D25" s="59"/>
      <c r="E25" s="63"/>
      <c r="F25" s="50"/>
      <c r="G25" s="50"/>
      <c r="H25" s="50"/>
    </row>
    <row r="26" spans="1:8" s="57" customFormat="1" ht="21">
      <c r="A26" s="62"/>
      <c r="B26" s="61"/>
      <c r="C26" s="60"/>
      <c r="D26" s="59"/>
      <c r="E26" s="58"/>
      <c r="F26" s="50"/>
      <c r="G26" s="50"/>
      <c r="H26" s="50"/>
    </row>
    <row r="27" spans="1:8" s="57" customFormat="1" ht="21">
      <c r="A27" s="64"/>
      <c r="B27" s="61"/>
      <c r="C27" s="60"/>
      <c r="D27" s="59"/>
      <c r="E27" s="63"/>
      <c r="F27" s="50"/>
      <c r="G27" s="50"/>
      <c r="H27" s="50"/>
    </row>
    <row r="28" spans="1:8" s="57" customFormat="1" ht="21">
      <c r="A28" s="62"/>
      <c r="B28" s="61"/>
      <c r="C28" s="60"/>
      <c r="D28" s="59"/>
      <c r="E28" s="58"/>
      <c r="F28" s="50"/>
      <c r="G28" s="50"/>
      <c r="H28" s="50"/>
    </row>
    <row r="29" spans="1:8" s="57" customFormat="1" ht="21">
      <c r="A29" s="64"/>
      <c r="B29" s="61"/>
      <c r="C29" s="60"/>
      <c r="D29" s="59"/>
      <c r="E29" s="63"/>
      <c r="F29" s="50"/>
      <c r="G29" s="50"/>
      <c r="H29" s="50"/>
    </row>
    <row r="30" spans="1:8" s="57" customFormat="1" ht="21">
      <c r="A30" s="62"/>
      <c r="B30" s="61"/>
      <c r="C30" s="60"/>
      <c r="D30" s="59"/>
      <c r="E30" s="58"/>
      <c r="F30" s="50"/>
      <c r="G30" s="50"/>
      <c r="H30" s="50"/>
    </row>
    <row r="31" spans="1:8" s="57" customFormat="1" ht="21">
      <c r="A31" s="64"/>
      <c r="B31" s="61"/>
      <c r="C31" s="60"/>
      <c r="D31" s="59"/>
      <c r="E31" s="63"/>
      <c r="F31" s="50"/>
      <c r="G31" s="50"/>
      <c r="H31" s="50"/>
    </row>
    <row r="32" spans="1:8" s="57" customFormat="1" ht="21">
      <c r="A32" s="62"/>
      <c r="B32" s="61"/>
      <c r="C32" s="60"/>
      <c r="D32" s="59"/>
      <c r="E32" s="58"/>
      <c r="F32" s="50"/>
      <c r="G32" s="50"/>
      <c r="H32" s="50"/>
    </row>
    <row r="33" spans="1:8" s="57" customFormat="1" ht="21">
      <c r="A33" s="64"/>
      <c r="B33" s="61"/>
      <c r="C33" s="60"/>
      <c r="D33" s="59"/>
      <c r="E33" s="63"/>
      <c r="F33" s="50"/>
      <c r="G33" s="50"/>
      <c r="H33" s="50"/>
    </row>
    <row r="34" spans="1:8" s="57" customFormat="1" ht="21">
      <c r="A34" s="62"/>
      <c r="B34" s="61"/>
      <c r="C34" s="60"/>
      <c r="D34" s="59"/>
      <c r="E34" s="58"/>
      <c r="F34" s="50"/>
      <c r="G34" s="50"/>
      <c r="H34" s="50"/>
    </row>
    <row r="35" spans="1:8" s="57" customFormat="1" ht="21">
      <c r="A35" s="64"/>
      <c r="B35" s="61"/>
      <c r="C35" s="60"/>
      <c r="D35" s="59"/>
      <c r="E35" s="63"/>
      <c r="F35" s="50"/>
      <c r="G35" s="50"/>
      <c r="H35" s="50"/>
    </row>
    <row r="36" spans="1:8" s="57" customFormat="1" ht="21">
      <c r="A36" s="62"/>
      <c r="B36" s="61"/>
      <c r="C36" s="60"/>
      <c r="D36" s="59"/>
      <c r="E36" s="58"/>
      <c r="F36" s="50"/>
      <c r="G36" s="50"/>
      <c r="H36" s="50"/>
    </row>
    <row r="37" spans="1:8" s="57" customFormat="1" ht="21">
      <c r="A37" s="64"/>
      <c r="B37" s="61"/>
      <c r="C37" s="60"/>
      <c r="D37" s="59"/>
      <c r="E37" s="63"/>
      <c r="F37" s="50"/>
      <c r="G37" s="50"/>
      <c r="H37" s="50"/>
    </row>
    <row r="38" spans="1:8" s="57" customFormat="1" ht="21">
      <c r="A38" s="62"/>
      <c r="B38" s="61"/>
      <c r="C38" s="60"/>
      <c r="D38" s="59"/>
      <c r="E38" s="58"/>
      <c r="F38" s="50"/>
      <c r="G38" s="50"/>
      <c r="H38" s="50"/>
    </row>
    <row r="39" spans="1:8" s="57" customFormat="1" ht="21">
      <c r="A39" s="64"/>
      <c r="B39" s="61"/>
      <c r="C39" s="60"/>
      <c r="D39" s="59"/>
      <c r="E39" s="63"/>
      <c r="F39" s="50"/>
      <c r="G39" s="50"/>
      <c r="H39" s="50"/>
    </row>
    <row r="40" spans="1:8" s="57" customFormat="1" ht="21">
      <c r="A40" s="62"/>
      <c r="B40" s="61"/>
      <c r="C40" s="60"/>
      <c r="D40" s="59"/>
      <c r="E40" s="58"/>
      <c r="F40" s="50"/>
      <c r="G40" s="50"/>
      <c r="H40" s="50"/>
    </row>
    <row r="41" spans="1:8" s="57" customFormat="1" ht="21">
      <c r="A41" s="64"/>
      <c r="B41" s="61"/>
      <c r="C41" s="60"/>
      <c r="D41" s="59"/>
      <c r="E41" s="63"/>
      <c r="F41" s="50"/>
      <c r="G41" s="50"/>
      <c r="H41" s="50"/>
    </row>
    <row r="42" spans="1:8" s="57" customFormat="1" ht="21">
      <c r="A42" s="62"/>
      <c r="B42" s="61"/>
      <c r="C42" s="60"/>
      <c r="D42" s="59"/>
      <c r="E42" s="58"/>
      <c r="F42" s="50"/>
      <c r="G42" s="50"/>
      <c r="H42" s="50"/>
    </row>
    <row r="43" spans="1:8" s="57" customFormat="1" ht="21">
      <c r="A43" s="64"/>
      <c r="B43" s="61"/>
      <c r="C43" s="60"/>
      <c r="D43" s="59"/>
      <c r="E43" s="63"/>
      <c r="F43" s="50"/>
      <c r="G43" s="50"/>
      <c r="H43" s="50"/>
    </row>
    <row r="44" spans="1:8" s="57" customFormat="1" ht="21">
      <c r="A44" s="62"/>
      <c r="B44" s="61"/>
      <c r="C44" s="60"/>
      <c r="D44" s="59"/>
      <c r="E44" s="58"/>
      <c r="F44" s="50"/>
      <c r="G44" s="50"/>
      <c r="H44" s="50"/>
    </row>
    <row r="45" spans="1:8" s="57" customFormat="1" ht="21">
      <c r="A45" s="64"/>
      <c r="B45" s="61"/>
      <c r="C45" s="60"/>
      <c r="D45" s="59"/>
      <c r="E45" s="63"/>
      <c r="F45" s="50"/>
      <c r="G45" s="50"/>
      <c r="H45" s="50"/>
    </row>
    <row r="46" spans="1:8" s="57" customFormat="1" ht="21">
      <c r="A46" s="62"/>
      <c r="B46" s="61"/>
      <c r="C46" s="60"/>
      <c r="D46" s="59"/>
      <c r="E46" s="58"/>
      <c r="F46" s="50"/>
      <c r="G46" s="50"/>
      <c r="H46" s="50"/>
    </row>
    <row r="47" spans="1:8" s="57" customFormat="1" ht="21">
      <c r="A47" s="64"/>
      <c r="B47" s="61"/>
      <c r="C47" s="60"/>
      <c r="D47" s="59"/>
      <c r="E47" s="63"/>
      <c r="F47" s="50"/>
      <c r="G47" s="50"/>
      <c r="H47" s="50"/>
    </row>
    <row r="48" spans="1:8" s="57" customFormat="1" ht="21">
      <c r="A48" s="62"/>
      <c r="B48" s="61"/>
      <c r="C48" s="60"/>
      <c r="D48" s="59"/>
      <c r="E48" s="58"/>
      <c r="F48" s="50"/>
      <c r="G48" s="50"/>
      <c r="H48" s="50"/>
    </row>
    <row r="49" spans="1:8" s="57" customFormat="1" ht="21">
      <c r="A49" s="64"/>
      <c r="B49" s="61"/>
      <c r="C49" s="60"/>
      <c r="D49" s="59"/>
      <c r="E49" s="63"/>
      <c r="F49" s="50"/>
      <c r="G49" s="50"/>
      <c r="H49" s="50"/>
    </row>
    <row r="50" spans="1:8" s="57" customFormat="1" ht="21">
      <c r="A50" s="62"/>
      <c r="B50" s="61"/>
      <c r="C50" s="60"/>
      <c r="D50" s="59"/>
      <c r="E50" s="58"/>
      <c r="F50" s="50"/>
      <c r="G50" s="50"/>
      <c r="H50" s="50"/>
    </row>
    <row r="51" spans="1:8" s="57" customFormat="1" ht="21">
      <c r="A51" s="64"/>
      <c r="B51" s="61"/>
      <c r="C51" s="60"/>
      <c r="D51" s="59"/>
      <c r="E51" s="63"/>
      <c r="F51" s="50"/>
      <c r="G51" s="50"/>
      <c r="H51" s="50"/>
    </row>
    <row r="52" spans="1:8" s="57" customFormat="1" ht="21">
      <c r="A52" s="62"/>
      <c r="B52" s="61"/>
      <c r="C52" s="60"/>
      <c r="D52" s="59"/>
      <c r="E52" s="58"/>
      <c r="F52" s="50"/>
      <c r="G52" s="50"/>
      <c r="H52" s="50"/>
    </row>
    <row r="53" spans="1:8" s="57" customFormat="1" ht="21">
      <c r="A53" s="64"/>
      <c r="B53" s="61"/>
      <c r="C53" s="60"/>
      <c r="D53" s="59"/>
      <c r="E53" s="63"/>
      <c r="F53" s="50"/>
      <c r="G53" s="50"/>
      <c r="H53" s="50"/>
    </row>
    <row r="54" spans="1:8" s="57" customFormat="1" ht="21">
      <c r="A54" s="62"/>
      <c r="B54" s="61"/>
      <c r="C54" s="60"/>
      <c r="D54" s="59"/>
      <c r="E54" s="58"/>
      <c r="F54" s="50"/>
      <c r="G54" s="50"/>
      <c r="H54" s="50"/>
    </row>
    <row r="55" spans="1:8" s="57" customFormat="1" ht="21">
      <c r="A55" s="64"/>
      <c r="B55" s="61"/>
      <c r="C55" s="60"/>
      <c r="D55" s="59"/>
      <c r="E55" s="63"/>
      <c r="F55" s="50"/>
      <c r="G55" s="50"/>
      <c r="H55" s="50"/>
    </row>
    <row r="56" spans="1:8" s="57" customFormat="1" ht="21">
      <c r="A56" s="62"/>
      <c r="B56" s="61"/>
      <c r="C56" s="60"/>
      <c r="D56" s="59"/>
      <c r="E56" s="58"/>
      <c r="F56" s="50"/>
      <c r="G56" s="50"/>
      <c r="H56" s="50"/>
    </row>
    <row r="57" spans="1:8" s="57" customFormat="1" ht="21">
      <c r="A57" s="64"/>
      <c r="B57" s="61"/>
      <c r="C57" s="60"/>
      <c r="D57" s="59"/>
      <c r="E57" s="63"/>
      <c r="F57" s="50"/>
      <c r="G57" s="50"/>
      <c r="H57" s="50"/>
    </row>
    <row r="58" spans="1:8" s="57" customFormat="1" ht="21">
      <c r="A58" s="62"/>
      <c r="B58" s="61"/>
      <c r="C58" s="60"/>
      <c r="D58" s="59"/>
      <c r="E58" s="58"/>
      <c r="F58" s="50"/>
      <c r="G58" s="50"/>
      <c r="H58" s="50"/>
    </row>
    <row r="59" spans="1:8" s="57" customFormat="1" ht="21">
      <c r="A59" s="64"/>
      <c r="B59" s="61"/>
      <c r="C59" s="60"/>
      <c r="D59" s="59"/>
      <c r="E59" s="63"/>
      <c r="F59" s="50"/>
      <c r="G59" s="50"/>
      <c r="H59" s="50"/>
    </row>
    <row r="60" spans="1:8" s="57" customFormat="1" ht="21">
      <c r="A60" s="62"/>
      <c r="B60" s="61"/>
      <c r="C60" s="60"/>
      <c r="D60" s="59"/>
      <c r="E60" s="58"/>
      <c r="F60" s="50"/>
      <c r="G60" s="50"/>
      <c r="H60" s="50"/>
    </row>
    <row r="61" spans="1:8" s="57" customFormat="1" ht="21">
      <c r="A61" s="64"/>
      <c r="B61" s="61"/>
      <c r="C61" s="60"/>
      <c r="D61" s="59"/>
      <c r="E61" s="63"/>
      <c r="F61" s="50"/>
      <c r="G61" s="50"/>
      <c r="H61" s="50"/>
    </row>
    <row r="62" spans="1:8" s="57" customFormat="1" ht="21">
      <c r="A62" s="62"/>
      <c r="B62" s="61"/>
      <c r="C62" s="60"/>
      <c r="D62" s="59"/>
      <c r="E62" s="58"/>
      <c r="F62" s="50"/>
      <c r="G62" s="50"/>
      <c r="H62" s="50"/>
    </row>
    <row r="63" spans="1:8" s="57" customFormat="1" ht="21">
      <c r="A63" s="64"/>
      <c r="B63" s="61"/>
      <c r="C63" s="60"/>
      <c r="D63" s="59"/>
      <c r="E63" s="63"/>
      <c r="F63" s="50"/>
      <c r="G63" s="50"/>
      <c r="H63" s="50"/>
    </row>
    <row r="64" spans="1:8" s="57" customFormat="1" ht="21">
      <c r="A64" s="62"/>
      <c r="B64" s="61"/>
      <c r="C64" s="60"/>
      <c r="D64" s="59"/>
      <c r="E64" s="58"/>
      <c r="F64" s="50"/>
      <c r="G64" s="50"/>
      <c r="H64" s="50"/>
    </row>
    <row r="65" spans="1:8" s="57" customFormat="1" ht="21">
      <c r="A65" s="64"/>
      <c r="B65" s="61"/>
      <c r="C65" s="60"/>
      <c r="D65" s="59"/>
      <c r="E65" s="63"/>
      <c r="F65" s="50"/>
      <c r="G65" s="50"/>
      <c r="H65" s="50"/>
    </row>
    <row r="66" spans="1:8" s="57" customFormat="1" ht="21">
      <c r="A66" s="62"/>
      <c r="B66" s="61"/>
      <c r="C66" s="60"/>
      <c r="D66" s="59"/>
      <c r="E66" s="58"/>
      <c r="F66" s="50"/>
      <c r="G66" s="50"/>
      <c r="H66" s="50"/>
    </row>
    <row r="67" spans="1:8" s="57" customFormat="1" ht="21">
      <c r="A67" s="64"/>
      <c r="B67" s="61"/>
      <c r="C67" s="60"/>
      <c r="D67" s="59"/>
      <c r="E67" s="63"/>
      <c r="F67" s="50"/>
      <c r="G67" s="50"/>
      <c r="H67" s="50"/>
    </row>
    <row r="68" spans="1:8" s="57" customFormat="1" ht="21">
      <c r="A68" s="62"/>
      <c r="B68" s="61"/>
      <c r="C68" s="60"/>
      <c r="D68" s="59"/>
      <c r="E68" s="58"/>
      <c r="F68" s="50"/>
      <c r="G68" s="50"/>
      <c r="H68" s="50"/>
    </row>
    <row r="69" spans="1:8" s="57" customFormat="1" ht="21">
      <c r="A69" s="64"/>
      <c r="B69" s="61"/>
      <c r="C69" s="60"/>
      <c r="D69" s="59"/>
      <c r="E69" s="63"/>
      <c r="F69" s="50"/>
      <c r="G69" s="50"/>
      <c r="H69" s="50"/>
    </row>
    <row r="70" spans="1:8" s="57" customFormat="1" ht="21">
      <c r="A70" s="62"/>
      <c r="B70" s="61"/>
      <c r="C70" s="60"/>
      <c r="D70" s="59"/>
      <c r="E70" s="58"/>
      <c r="F70" s="50"/>
      <c r="G70" s="50"/>
      <c r="H70" s="50"/>
    </row>
    <row r="71" spans="1:8" s="57" customFormat="1" ht="21">
      <c r="A71" s="64"/>
      <c r="B71" s="61"/>
      <c r="C71" s="60"/>
      <c r="D71" s="59"/>
      <c r="E71" s="63"/>
      <c r="F71" s="50"/>
      <c r="G71" s="50"/>
      <c r="H71" s="50"/>
    </row>
    <row r="72" spans="1:8" s="57" customFormat="1" ht="21">
      <c r="A72" s="62"/>
      <c r="B72" s="61"/>
      <c r="C72" s="60"/>
      <c r="D72" s="59"/>
      <c r="E72" s="58"/>
      <c r="F72" s="50"/>
      <c r="G72" s="50"/>
      <c r="H72" s="50"/>
    </row>
    <row r="73" spans="1:8" s="57" customFormat="1" ht="21">
      <c r="A73" s="64"/>
      <c r="B73" s="61"/>
      <c r="C73" s="60"/>
      <c r="D73" s="59"/>
      <c r="E73" s="63"/>
      <c r="F73" s="50"/>
      <c r="G73" s="50"/>
      <c r="H73" s="50"/>
    </row>
    <row r="74" spans="1:8" s="57" customFormat="1" ht="21">
      <c r="A74" s="62"/>
      <c r="B74" s="61"/>
      <c r="C74" s="60"/>
      <c r="D74" s="59"/>
      <c r="E74" s="58"/>
      <c r="F74" s="50"/>
      <c r="G74" s="50"/>
      <c r="H74" s="50"/>
    </row>
    <row r="75" spans="1:8" s="57" customFormat="1" ht="21">
      <c r="A75" s="64"/>
      <c r="B75" s="61"/>
      <c r="C75" s="60"/>
      <c r="D75" s="59"/>
      <c r="E75" s="63"/>
      <c r="F75" s="50"/>
      <c r="G75" s="50"/>
      <c r="H75" s="50"/>
    </row>
    <row r="76" spans="1:8" s="57" customFormat="1" ht="21">
      <c r="A76" s="62"/>
      <c r="B76" s="61"/>
      <c r="C76" s="60"/>
      <c r="D76" s="59"/>
      <c r="E76" s="58"/>
      <c r="F76" s="50"/>
      <c r="G76" s="50"/>
      <c r="H76" s="50"/>
    </row>
    <row r="77" spans="1:8" s="57" customFormat="1" ht="21">
      <c r="A77" s="64"/>
      <c r="B77" s="61"/>
      <c r="C77" s="60"/>
      <c r="D77" s="59"/>
      <c r="E77" s="63"/>
      <c r="F77" s="50"/>
      <c r="G77" s="50"/>
      <c r="H77" s="50"/>
    </row>
    <row r="78" spans="1:8" s="57" customFormat="1" ht="21">
      <c r="A78" s="62"/>
      <c r="B78" s="61"/>
      <c r="C78" s="60"/>
      <c r="D78" s="59"/>
      <c r="E78" s="58"/>
      <c r="F78" s="50"/>
      <c r="G78" s="50"/>
      <c r="H78" s="50"/>
    </row>
    <row r="79" spans="1:8" s="57" customFormat="1" ht="21">
      <c r="A79" s="64"/>
      <c r="B79" s="61"/>
      <c r="C79" s="60"/>
      <c r="D79" s="59"/>
      <c r="E79" s="63"/>
      <c r="F79" s="50"/>
      <c r="G79" s="50"/>
      <c r="H79" s="50"/>
    </row>
    <row r="80" spans="1:8" s="57" customFormat="1" ht="21">
      <c r="A80" s="62"/>
      <c r="B80" s="61"/>
      <c r="C80" s="60"/>
      <c r="D80" s="59"/>
      <c r="E80" s="58"/>
      <c r="F80" s="50"/>
      <c r="G80" s="50"/>
      <c r="H80" s="50"/>
    </row>
    <row r="81" spans="1:8" s="57" customFormat="1" ht="21">
      <c r="A81" s="64"/>
      <c r="B81" s="61"/>
      <c r="C81" s="60"/>
      <c r="D81" s="59"/>
      <c r="E81" s="63"/>
      <c r="F81" s="50"/>
      <c r="G81" s="50"/>
      <c r="H81" s="50"/>
    </row>
    <row r="82" spans="1:8" s="57" customFormat="1" ht="21">
      <c r="A82" s="62"/>
      <c r="B82" s="61"/>
      <c r="C82" s="60"/>
      <c r="D82" s="59"/>
      <c r="E82" s="58"/>
      <c r="F82" s="50"/>
      <c r="G82" s="50"/>
      <c r="H82" s="50"/>
    </row>
    <row r="83" spans="1:8" s="57" customFormat="1" ht="21">
      <c r="A83" s="64"/>
      <c r="B83" s="61"/>
      <c r="C83" s="60"/>
      <c r="D83" s="59"/>
      <c r="E83" s="63"/>
      <c r="F83" s="50"/>
      <c r="G83" s="50"/>
      <c r="H83" s="50"/>
    </row>
    <row r="84" spans="1:8" s="57" customFormat="1" ht="21">
      <c r="A84" s="62"/>
      <c r="B84" s="61"/>
      <c r="C84" s="60"/>
      <c r="D84" s="59"/>
      <c r="E84" s="58"/>
      <c r="F84" s="50"/>
      <c r="G84" s="50"/>
      <c r="H84" s="50"/>
    </row>
    <row r="85" spans="1:8" s="57" customFormat="1" ht="21">
      <c r="A85" s="64"/>
      <c r="B85" s="61"/>
      <c r="C85" s="60"/>
      <c r="D85" s="59"/>
      <c r="E85" s="63"/>
      <c r="F85" s="50"/>
      <c r="G85" s="50"/>
      <c r="H85" s="50"/>
    </row>
    <row r="86" spans="1:8" s="57" customFormat="1" ht="21">
      <c r="A86" s="62"/>
      <c r="B86" s="61"/>
      <c r="C86" s="60"/>
      <c r="D86" s="59"/>
      <c r="E86" s="58"/>
      <c r="F86" s="50"/>
      <c r="G86" s="50"/>
      <c r="H86" s="50"/>
    </row>
    <row r="87" spans="1:8" s="57" customFormat="1" ht="21">
      <c r="A87" s="64"/>
      <c r="B87" s="61"/>
      <c r="C87" s="60"/>
      <c r="D87" s="59"/>
      <c r="E87" s="63"/>
      <c r="F87" s="50"/>
      <c r="G87" s="50"/>
      <c r="H87" s="50"/>
    </row>
    <row r="88" spans="1:8" s="65" customFormat="1" ht="21">
      <c r="A88" s="62"/>
      <c r="B88" s="61"/>
      <c r="C88" s="60"/>
      <c r="D88" s="59"/>
      <c r="E88" s="58"/>
      <c r="F88" s="66"/>
      <c r="G88" s="66"/>
      <c r="H88" s="66"/>
    </row>
    <row r="89" spans="1:8" s="65" customFormat="1" ht="21">
      <c r="A89" s="64"/>
      <c r="B89" s="61"/>
      <c r="C89" s="60"/>
      <c r="D89" s="59"/>
      <c r="E89" s="63"/>
      <c r="F89" s="66"/>
      <c r="G89" s="66"/>
      <c r="H89" s="66"/>
    </row>
    <row r="90" spans="1:8" s="65" customFormat="1" ht="21">
      <c r="A90" s="62"/>
      <c r="B90" s="61"/>
      <c r="C90" s="60"/>
      <c r="D90" s="59"/>
      <c r="E90" s="58"/>
      <c r="F90" s="66"/>
      <c r="G90" s="66"/>
      <c r="H90" s="66"/>
    </row>
    <row r="91" spans="1:8" s="65" customFormat="1" ht="21">
      <c r="A91" s="64"/>
      <c r="B91" s="61"/>
      <c r="C91" s="60"/>
      <c r="D91" s="59"/>
      <c r="E91" s="63"/>
      <c r="F91" s="66"/>
      <c r="G91" s="66"/>
      <c r="H91" s="66"/>
    </row>
    <row r="92" spans="1:8" s="65" customFormat="1" ht="21">
      <c r="A92" s="62"/>
      <c r="B92" s="61"/>
      <c r="C92" s="60"/>
      <c r="D92" s="59"/>
      <c r="E92" s="58"/>
      <c r="F92" s="66"/>
      <c r="G92" s="66"/>
      <c r="H92" s="66"/>
    </row>
    <row r="93" spans="1:8" s="65" customFormat="1" ht="21">
      <c r="A93" s="64"/>
      <c r="B93" s="61"/>
      <c r="C93" s="60"/>
      <c r="D93" s="59"/>
      <c r="E93" s="63"/>
      <c r="F93" s="66"/>
      <c r="G93" s="66"/>
      <c r="H93" s="66"/>
    </row>
    <row r="94" spans="1:8" s="65" customFormat="1" ht="21">
      <c r="A94" s="62"/>
      <c r="B94" s="61"/>
      <c r="C94" s="60"/>
      <c r="D94" s="59"/>
      <c r="E94" s="58"/>
      <c r="F94" s="66"/>
      <c r="G94" s="66"/>
      <c r="H94" s="66"/>
    </row>
    <row r="95" spans="1:8" s="65" customFormat="1" ht="21">
      <c r="A95" s="64"/>
      <c r="B95" s="61"/>
      <c r="C95" s="60"/>
      <c r="D95" s="59"/>
      <c r="E95" s="63"/>
      <c r="F95" s="66"/>
      <c r="G95" s="66"/>
      <c r="H95" s="66"/>
    </row>
    <row r="96" spans="1:8" s="65" customFormat="1" ht="21">
      <c r="A96" s="62"/>
      <c r="B96" s="61"/>
      <c r="C96" s="60"/>
      <c r="D96" s="59"/>
      <c r="E96" s="58"/>
      <c r="F96" s="66"/>
      <c r="G96" s="66"/>
      <c r="H96" s="66"/>
    </row>
    <row r="97" spans="1:8" s="65" customFormat="1" ht="21">
      <c r="A97" s="64"/>
      <c r="B97" s="61"/>
      <c r="C97" s="60"/>
      <c r="D97" s="59"/>
      <c r="E97" s="63"/>
      <c r="F97" s="66"/>
      <c r="G97" s="66"/>
      <c r="H97" s="66"/>
    </row>
    <row r="98" spans="1:8" s="65" customFormat="1" ht="21">
      <c r="A98" s="62"/>
      <c r="B98" s="61"/>
      <c r="C98" s="60"/>
      <c r="D98" s="59"/>
      <c r="E98" s="58"/>
      <c r="F98" s="66"/>
      <c r="G98" s="66"/>
      <c r="H98" s="66"/>
    </row>
    <row r="99" spans="1:8" s="65" customFormat="1" ht="21">
      <c r="A99" s="64"/>
      <c r="B99" s="61"/>
      <c r="C99" s="60"/>
      <c r="D99" s="59"/>
      <c r="E99" s="63"/>
      <c r="F99" s="66"/>
      <c r="G99" s="66"/>
      <c r="H99" s="66"/>
    </row>
    <row r="100" spans="1:8" s="65" customFormat="1" ht="21">
      <c r="A100" s="62"/>
      <c r="B100" s="61"/>
      <c r="C100" s="60"/>
      <c r="D100" s="59"/>
      <c r="E100" s="58"/>
      <c r="F100" s="66"/>
      <c r="G100" s="66"/>
      <c r="H100" s="66"/>
    </row>
    <row r="101" spans="1:8" s="65" customFormat="1" ht="21">
      <c r="A101" s="64"/>
      <c r="B101" s="61"/>
      <c r="C101" s="60"/>
      <c r="D101" s="59"/>
      <c r="E101" s="63"/>
      <c r="F101" s="66"/>
      <c r="G101" s="66"/>
      <c r="H101" s="66"/>
    </row>
    <row r="102" spans="1:8" s="65" customFormat="1" ht="21">
      <c r="A102" s="62"/>
      <c r="B102" s="61"/>
      <c r="C102" s="60"/>
      <c r="D102" s="59"/>
      <c r="E102" s="58"/>
      <c r="F102" s="66"/>
      <c r="G102" s="66"/>
      <c r="H102" s="66"/>
    </row>
    <row r="103" spans="1:8" s="65" customFormat="1" ht="21">
      <c r="A103" s="64"/>
      <c r="B103" s="61"/>
      <c r="C103" s="60"/>
      <c r="D103" s="59"/>
      <c r="E103" s="63"/>
      <c r="F103" s="66"/>
      <c r="G103" s="66"/>
      <c r="H103" s="66"/>
    </row>
    <row r="104" spans="1:8" s="65" customFormat="1" ht="21">
      <c r="A104" s="62"/>
      <c r="B104" s="61"/>
      <c r="C104" s="60"/>
      <c r="D104" s="59"/>
      <c r="E104" s="58"/>
      <c r="F104" s="66"/>
      <c r="G104" s="66"/>
      <c r="H104" s="66"/>
    </row>
    <row r="105" spans="1:8" s="65" customFormat="1" ht="21">
      <c r="A105" s="64"/>
      <c r="B105" s="61"/>
      <c r="C105" s="60"/>
      <c r="D105" s="59"/>
      <c r="E105" s="63"/>
      <c r="F105" s="66"/>
      <c r="G105" s="66"/>
      <c r="H105" s="66"/>
    </row>
    <row r="106" spans="1:8" s="65" customFormat="1" ht="21">
      <c r="A106" s="62"/>
      <c r="B106" s="61"/>
      <c r="C106" s="60"/>
      <c r="D106" s="59"/>
      <c r="E106" s="58"/>
      <c r="F106" s="66"/>
      <c r="G106" s="66"/>
      <c r="H106" s="66"/>
    </row>
    <row r="107" spans="1:8" s="65" customFormat="1" ht="21">
      <c r="A107" s="64"/>
      <c r="B107" s="61"/>
      <c r="C107" s="60"/>
      <c r="D107" s="59"/>
      <c r="E107" s="63"/>
      <c r="F107" s="66"/>
      <c r="G107" s="66"/>
      <c r="H107" s="66"/>
    </row>
    <row r="108" spans="1:8" s="65" customFormat="1" ht="21">
      <c r="A108" s="62"/>
      <c r="B108" s="61"/>
      <c r="C108" s="60"/>
      <c r="D108" s="59"/>
      <c r="E108" s="58"/>
      <c r="F108" s="66"/>
      <c r="G108" s="66"/>
      <c r="H108" s="66"/>
    </row>
    <row r="109" spans="1:8" s="65" customFormat="1" ht="21">
      <c r="A109" s="64"/>
      <c r="B109" s="61"/>
      <c r="C109" s="60"/>
      <c r="D109" s="59"/>
      <c r="E109" s="63"/>
      <c r="F109" s="66"/>
      <c r="G109" s="66"/>
      <c r="H109" s="66"/>
    </row>
    <row r="110" spans="1:8" s="65" customFormat="1" ht="21">
      <c r="A110" s="62"/>
      <c r="B110" s="61"/>
      <c r="C110" s="60"/>
      <c r="D110" s="59"/>
      <c r="E110" s="58"/>
      <c r="F110" s="66"/>
      <c r="G110" s="66"/>
      <c r="H110" s="66"/>
    </row>
    <row r="111" spans="1:8" s="65" customFormat="1" ht="21">
      <c r="A111" s="64"/>
      <c r="B111" s="61"/>
      <c r="C111" s="60"/>
      <c r="D111" s="59"/>
      <c r="E111" s="63"/>
      <c r="F111" s="66"/>
      <c r="G111" s="66"/>
      <c r="H111" s="66"/>
    </row>
    <row r="112" spans="1:8" s="65" customFormat="1" ht="21">
      <c r="A112" s="62"/>
      <c r="B112" s="61"/>
      <c r="C112" s="60"/>
      <c r="D112" s="59"/>
      <c r="E112" s="58"/>
      <c r="F112" s="66"/>
      <c r="G112" s="66"/>
      <c r="H112" s="66"/>
    </row>
    <row r="113" spans="1:8" s="65" customFormat="1" ht="21">
      <c r="A113" s="64"/>
      <c r="B113" s="61"/>
      <c r="C113" s="60"/>
      <c r="D113" s="59"/>
      <c r="E113" s="63"/>
      <c r="F113" s="66"/>
      <c r="G113" s="66"/>
      <c r="H113" s="66"/>
    </row>
    <row r="114" spans="1:8" s="65" customFormat="1" ht="21">
      <c r="A114" s="62"/>
      <c r="B114" s="61"/>
      <c r="C114" s="60"/>
      <c r="D114" s="59"/>
      <c r="E114" s="58"/>
      <c r="F114" s="66"/>
      <c r="G114" s="66"/>
      <c r="H114" s="66"/>
    </row>
    <row r="115" spans="1:8" s="65" customFormat="1" ht="21">
      <c r="A115" s="64"/>
      <c r="B115" s="61"/>
      <c r="C115" s="60"/>
      <c r="D115" s="59"/>
      <c r="E115" s="63"/>
      <c r="F115" s="66"/>
      <c r="G115" s="66"/>
      <c r="H115" s="66"/>
    </row>
    <row r="116" spans="1:8" s="57" customFormat="1" ht="21">
      <c r="A116" s="62"/>
      <c r="B116" s="61"/>
      <c r="C116" s="60"/>
      <c r="D116" s="59"/>
      <c r="E116" s="58"/>
      <c r="F116" s="50"/>
      <c r="G116" s="50"/>
      <c r="H116" s="50"/>
    </row>
    <row r="117" spans="1:8" s="57" customFormat="1" ht="21">
      <c r="A117" s="64"/>
      <c r="B117" s="61"/>
      <c r="C117" s="60"/>
      <c r="D117" s="59"/>
      <c r="E117" s="63"/>
      <c r="F117" s="50"/>
      <c r="G117" s="50"/>
      <c r="H117" s="50"/>
    </row>
    <row r="118" spans="1:8" s="57" customFormat="1" ht="21">
      <c r="A118" s="62"/>
      <c r="B118" s="61"/>
      <c r="C118" s="60"/>
      <c r="D118" s="59"/>
      <c r="E118" s="58"/>
      <c r="F118" s="50"/>
      <c r="G118" s="50"/>
      <c r="H118" s="50"/>
    </row>
    <row r="119" spans="1:8" s="57" customFormat="1" ht="21">
      <c r="A119" s="64"/>
      <c r="B119" s="61"/>
      <c r="C119" s="60"/>
      <c r="D119" s="59"/>
      <c r="E119" s="63"/>
      <c r="F119" s="50"/>
      <c r="G119" s="50"/>
      <c r="H119" s="50"/>
    </row>
    <row r="120" spans="1:8" s="57" customFormat="1" ht="21">
      <c r="A120" s="62"/>
      <c r="B120" s="61"/>
      <c r="C120" s="60"/>
      <c r="D120" s="59"/>
      <c r="E120" s="58"/>
      <c r="F120" s="50"/>
      <c r="G120" s="50"/>
      <c r="H120" s="50"/>
    </row>
    <row r="121" spans="1:8" s="57" customFormat="1" ht="21">
      <c r="A121" s="64"/>
      <c r="B121" s="61"/>
      <c r="C121" s="60"/>
      <c r="D121" s="59"/>
      <c r="E121" s="63"/>
      <c r="F121" s="50"/>
      <c r="G121" s="50"/>
      <c r="H121" s="50"/>
    </row>
    <row r="122" spans="1:8" s="57" customFormat="1" ht="21">
      <c r="A122" s="62"/>
      <c r="B122" s="61"/>
      <c r="C122" s="60"/>
      <c r="D122" s="59"/>
      <c r="E122" s="58"/>
      <c r="F122" s="50"/>
      <c r="G122" s="50"/>
      <c r="H122" s="50"/>
    </row>
    <row r="123" spans="1:8" s="57" customFormat="1" ht="21">
      <c r="A123" s="64"/>
      <c r="B123" s="61"/>
      <c r="C123" s="60"/>
      <c r="D123" s="59"/>
      <c r="E123" s="63"/>
      <c r="F123" s="50"/>
      <c r="G123" s="50"/>
      <c r="H123" s="50"/>
    </row>
    <row r="124" spans="1:8" s="57" customFormat="1" ht="21">
      <c r="A124" s="62"/>
      <c r="B124" s="61"/>
      <c r="C124" s="60"/>
      <c r="D124" s="59"/>
      <c r="E124" s="58"/>
      <c r="F124" s="50"/>
      <c r="G124" s="50"/>
      <c r="H124" s="50"/>
    </row>
    <row r="125" spans="1:8" s="57" customFormat="1" ht="21">
      <c r="A125" s="64"/>
      <c r="B125" s="61"/>
      <c r="C125" s="60"/>
      <c r="D125" s="59"/>
      <c r="E125" s="63"/>
      <c r="F125" s="50"/>
      <c r="G125" s="50"/>
      <c r="H125" s="50"/>
    </row>
    <row r="126" spans="1:8" s="57" customFormat="1" ht="21">
      <c r="A126" s="62"/>
      <c r="B126" s="61"/>
      <c r="C126" s="60"/>
      <c r="D126" s="59"/>
      <c r="E126" s="58"/>
      <c r="F126" s="50"/>
      <c r="G126" s="50"/>
      <c r="H126" s="50"/>
    </row>
    <row r="127" spans="1:8" s="57" customFormat="1" ht="21">
      <c r="A127" s="64"/>
      <c r="B127" s="61"/>
      <c r="C127" s="60"/>
      <c r="D127" s="59"/>
      <c r="E127" s="63"/>
      <c r="F127" s="50"/>
      <c r="G127" s="50"/>
      <c r="H127" s="50"/>
    </row>
    <row r="128" spans="1:8" s="65" customFormat="1" ht="21">
      <c r="A128" s="62"/>
      <c r="B128" s="61"/>
      <c r="C128" s="60"/>
      <c r="D128" s="59"/>
      <c r="E128" s="58"/>
      <c r="F128" s="66"/>
      <c r="G128" s="66"/>
      <c r="H128" s="66"/>
    </row>
    <row r="129" spans="1:8" s="65" customFormat="1" ht="21">
      <c r="A129" s="64"/>
      <c r="B129" s="61"/>
      <c r="C129" s="60"/>
      <c r="D129" s="59"/>
      <c r="E129" s="63"/>
      <c r="F129" s="66"/>
      <c r="G129" s="66"/>
      <c r="H129" s="66"/>
    </row>
    <row r="130" spans="1:8" s="65" customFormat="1" ht="21">
      <c r="A130" s="62"/>
      <c r="B130" s="61"/>
      <c r="C130" s="60"/>
      <c r="D130" s="59"/>
      <c r="E130" s="58"/>
      <c r="F130" s="66"/>
      <c r="G130" s="66"/>
      <c r="H130" s="66"/>
    </row>
    <row r="131" spans="1:8" s="65" customFormat="1" ht="21">
      <c r="A131" s="64"/>
      <c r="B131" s="61"/>
      <c r="C131" s="60"/>
      <c r="D131" s="59"/>
      <c r="E131" s="63"/>
      <c r="F131" s="66"/>
      <c r="G131" s="66"/>
      <c r="H131" s="66"/>
    </row>
    <row r="132" spans="1:8" s="65" customFormat="1" ht="21">
      <c r="A132" s="62"/>
      <c r="B132" s="61"/>
      <c r="C132" s="60"/>
      <c r="D132" s="59"/>
      <c r="E132" s="58"/>
      <c r="F132" s="66"/>
      <c r="G132" s="66"/>
      <c r="H132" s="66"/>
    </row>
    <row r="133" spans="1:8" s="65" customFormat="1" ht="21">
      <c r="A133" s="64"/>
      <c r="B133" s="61"/>
      <c r="C133" s="60"/>
      <c r="D133" s="59"/>
      <c r="E133" s="63"/>
      <c r="F133" s="66"/>
      <c r="G133" s="66"/>
      <c r="H133" s="66"/>
    </row>
    <row r="134" spans="1:8" s="65" customFormat="1" ht="21">
      <c r="A134" s="62"/>
      <c r="B134" s="61"/>
      <c r="C134" s="60"/>
      <c r="D134" s="59"/>
      <c r="E134" s="58"/>
      <c r="F134" s="66"/>
      <c r="G134" s="66"/>
      <c r="H134" s="66"/>
    </row>
    <row r="135" spans="1:8" s="65" customFormat="1" ht="21">
      <c r="A135" s="64"/>
      <c r="B135" s="61"/>
      <c r="C135" s="60"/>
      <c r="D135" s="59"/>
      <c r="E135" s="63"/>
      <c r="F135" s="66"/>
      <c r="G135" s="66"/>
      <c r="H135" s="66"/>
    </row>
    <row r="136" spans="1:8" s="65" customFormat="1" ht="21">
      <c r="A136" s="62"/>
      <c r="B136" s="61"/>
      <c r="C136" s="60"/>
      <c r="D136" s="59"/>
      <c r="E136" s="58"/>
      <c r="F136" s="66"/>
      <c r="G136" s="66"/>
      <c r="H136" s="66"/>
    </row>
    <row r="137" spans="1:8" s="65" customFormat="1" ht="21">
      <c r="A137" s="64"/>
      <c r="B137" s="61"/>
      <c r="C137" s="60"/>
      <c r="D137" s="59"/>
      <c r="E137" s="63"/>
      <c r="F137" s="66"/>
      <c r="G137" s="66"/>
      <c r="H137" s="66"/>
    </row>
    <row r="138" spans="1:8" s="65" customFormat="1" ht="21">
      <c r="A138" s="62"/>
      <c r="B138" s="61"/>
      <c r="C138" s="60"/>
      <c r="D138" s="59"/>
      <c r="E138" s="58"/>
      <c r="F138" s="66"/>
      <c r="G138" s="66"/>
      <c r="H138" s="66"/>
    </row>
    <row r="139" spans="1:8" s="65" customFormat="1" ht="21">
      <c r="A139" s="64"/>
      <c r="B139" s="61"/>
      <c r="C139" s="60"/>
      <c r="D139" s="59"/>
      <c r="E139" s="63"/>
      <c r="F139" s="66"/>
      <c r="G139" s="66"/>
      <c r="H139" s="66"/>
    </row>
    <row r="140" spans="1:8" s="65" customFormat="1" ht="21">
      <c r="A140" s="62"/>
      <c r="B140" s="61"/>
      <c r="C140" s="60"/>
      <c r="D140" s="59"/>
      <c r="E140" s="58"/>
      <c r="F140" s="66"/>
      <c r="G140" s="66"/>
      <c r="H140" s="66"/>
    </row>
    <row r="141" spans="1:8" s="65" customFormat="1" ht="21">
      <c r="A141" s="64"/>
      <c r="B141" s="61"/>
      <c r="C141" s="60"/>
      <c r="D141" s="59"/>
      <c r="E141" s="63"/>
      <c r="F141" s="66"/>
      <c r="G141" s="66"/>
      <c r="H141" s="66"/>
    </row>
    <row r="142" spans="1:8" s="65" customFormat="1" ht="21">
      <c r="A142" s="62"/>
      <c r="B142" s="61"/>
      <c r="C142" s="60"/>
      <c r="D142" s="59"/>
      <c r="E142" s="58"/>
      <c r="F142" s="66"/>
      <c r="G142" s="66"/>
      <c r="H142" s="66"/>
    </row>
    <row r="143" spans="1:8" s="65" customFormat="1" ht="21">
      <c r="A143" s="64"/>
      <c r="B143" s="61"/>
      <c r="C143" s="60"/>
      <c r="D143" s="59"/>
      <c r="E143" s="63"/>
      <c r="F143" s="66"/>
      <c r="G143" s="66"/>
      <c r="H143" s="66"/>
    </row>
    <row r="144" spans="1:8" s="65" customFormat="1" ht="21">
      <c r="A144" s="62"/>
      <c r="B144" s="61"/>
      <c r="C144" s="60"/>
      <c r="D144" s="59"/>
      <c r="E144" s="58"/>
      <c r="F144" s="66"/>
      <c r="G144" s="66"/>
      <c r="H144" s="66"/>
    </row>
    <row r="145" spans="1:10" s="65" customFormat="1" ht="21">
      <c r="A145" s="64"/>
      <c r="B145" s="61"/>
      <c r="C145" s="60"/>
      <c r="D145" s="59"/>
      <c r="E145" s="63"/>
      <c r="F145" s="66"/>
      <c r="G145" s="66"/>
      <c r="H145" s="66"/>
    </row>
    <row r="146" spans="1:10" s="65" customFormat="1" ht="21">
      <c r="A146" s="62"/>
      <c r="B146" s="61"/>
      <c r="C146" s="60"/>
      <c r="D146" s="59"/>
      <c r="E146" s="58"/>
      <c r="F146" s="66"/>
      <c r="G146" s="66"/>
      <c r="H146" s="66"/>
    </row>
    <row r="147" spans="1:10" s="65" customFormat="1" ht="21">
      <c r="A147" s="64"/>
      <c r="B147" s="61"/>
      <c r="C147" s="60"/>
      <c r="D147" s="59"/>
      <c r="E147" s="63"/>
      <c r="F147" s="66"/>
      <c r="G147" s="66"/>
      <c r="H147" s="66"/>
    </row>
    <row r="148" spans="1:10" s="65" customFormat="1" ht="21">
      <c r="A148" s="62"/>
      <c r="B148" s="61"/>
      <c r="C148" s="60"/>
      <c r="D148" s="59"/>
      <c r="E148" s="58"/>
      <c r="F148" s="66"/>
      <c r="G148" s="66"/>
      <c r="H148" s="66"/>
    </row>
    <row r="149" spans="1:10" s="65" customFormat="1" ht="21">
      <c r="A149" s="64"/>
      <c r="B149" s="61"/>
      <c r="C149" s="60"/>
      <c r="D149" s="59"/>
      <c r="E149" s="63"/>
      <c r="F149" s="66"/>
      <c r="G149" s="66"/>
      <c r="H149" s="66"/>
    </row>
    <row r="150" spans="1:10" s="65" customFormat="1" ht="21">
      <c r="A150" s="62"/>
      <c r="B150" s="61"/>
      <c r="C150" s="60"/>
      <c r="D150" s="59"/>
      <c r="E150" s="58"/>
      <c r="F150" s="66"/>
      <c r="G150" s="66"/>
      <c r="H150" s="66"/>
    </row>
    <row r="151" spans="1:10" s="65" customFormat="1" ht="21">
      <c r="A151" s="64"/>
      <c r="B151" s="61"/>
      <c r="C151" s="60"/>
      <c r="D151" s="59"/>
      <c r="E151" s="63"/>
      <c r="F151" s="66"/>
      <c r="G151" s="66"/>
      <c r="H151" s="66"/>
    </row>
    <row r="152" spans="1:10" s="65" customFormat="1" ht="21">
      <c r="A152" s="62"/>
      <c r="B152" s="61"/>
      <c r="C152" s="60"/>
      <c r="D152" s="59"/>
      <c r="E152" s="58"/>
      <c r="F152" s="66"/>
      <c r="G152" s="66"/>
      <c r="H152" s="66"/>
    </row>
    <row r="153" spans="1:10" s="65" customFormat="1" ht="21">
      <c r="A153" s="64"/>
      <c r="B153" s="61"/>
      <c r="C153" s="60"/>
      <c r="D153" s="59"/>
      <c r="E153" s="63"/>
      <c r="F153" s="66"/>
      <c r="G153" s="66"/>
      <c r="H153" s="66"/>
    </row>
    <row r="154" spans="1:10" s="65" customFormat="1" ht="21">
      <c r="A154" s="62"/>
      <c r="B154" s="61"/>
      <c r="C154" s="60"/>
      <c r="D154" s="59"/>
      <c r="E154" s="58"/>
      <c r="F154" s="66"/>
      <c r="G154" s="66"/>
      <c r="H154" s="66"/>
    </row>
    <row r="155" spans="1:10" s="65" customFormat="1" ht="21">
      <c r="A155" s="64"/>
      <c r="B155" s="61"/>
      <c r="C155" s="60"/>
      <c r="D155" s="59"/>
      <c r="E155" s="63"/>
      <c r="F155" s="66"/>
      <c r="G155" s="66"/>
      <c r="H155" s="66"/>
    </row>
    <row r="156" spans="1:10" s="67" customFormat="1" ht="21">
      <c r="A156" s="62"/>
      <c r="B156" s="61"/>
      <c r="C156" s="60"/>
      <c r="D156" s="59"/>
      <c r="E156" s="58"/>
      <c r="F156" s="66"/>
      <c r="G156" s="66"/>
      <c r="H156" s="66"/>
      <c r="I156" s="65"/>
      <c r="J156" s="65"/>
    </row>
    <row r="157" spans="1:10" s="67" customFormat="1" ht="21">
      <c r="A157" s="64"/>
      <c r="B157" s="61"/>
      <c r="C157" s="60"/>
      <c r="D157" s="59"/>
      <c r="E157" s="63"/>
      <c r="F157" s="66"/>
      <c r="G157" s="66"/>
      <c r="H157" s="66"/>
      <c r="I157" s="65"/>
      <c r="J157" s="65"/>
    </row>
    <row r="158" spans="1:10" s="67" customFormat="1" ht="21">
      <c r="A158" s="62"/>
      <c r="B158" s="61"/>
      <c r="C158" s="60"/>
      <c r="D158" s="59"/>
      <c r="E158" s="58"/>
      <c r="F158" s="66"/>
      <c r="G158" s="66"/>
      <c r="H158" s="66"/>
      <c r="I158" s="65"/>
      <c r="J158" s="65"/>
    </row>
    <row r="159" spans="1:10" s="65" customFormat="1" ht="21">
      <c r="A159" s="64"/>
      <c r="B159" s="61"/>
      <c r="C159" s="60"/>
      <c r="D159" s="59"/>
      <c r="E159" s="63"/>
      <c r="F159" s="66"/>
      <c r="G159" s="66"/>
      <c r="H159" s="66"/>
    </row>
    <row r="160" spans="1:10" s="65" customFormat="1" ht="21">
      <c r="A160" s="62"/>
      <c r="B160" s="61"/>
      <c r="C160" s="60"/>
      <c r="D160" s="59"/>
      <c r="E160" s="58"/>
      <c r="F160" s="66"/>
      <c r="G160" s="66"/>
      <c r="H160" s="66"/>
    </row>
    <row r="161" spans="1:8" s="65" customFormat="1" ht="21">
      <c r="A161" s="64"/>
      <c r="B161" s="61"/>
      <c r="C161" s="60"/>
      <c r="D161" s="59"/>
      <c r="E161" s="63"/>
      <c r="F161" s="66"/>
      <c r="G161" s="66"/>
      <c r="H161" s="66"/>
    </row>
    <row r="162" spans="1:8" s="65" customFormat="1" ht="21">
      <c r="A162" s="62"/>
      <c r="B162" s="61"/>
      <c r="C162" s="60"/>
      <c r="D162" s="59"/>
      <c r="E162" s="58"/>
      <c r="F162" s="66"/>
      <c r="G162" s="66"/>
      <c r="H162" s="66"/>
    </row>
    <row r="163" spans="1:8" s="65" customFormat="1" ht="21">
      <c r="A163" s="64"/>
      <c r="B163" s="61"/>
      <c r="C163" s="60"/>
      <c r="D163" s="59"/>
      <c r="E163" s="63"/>
      <c r="F163" s="66"/>
      <c r="G163" s="66"/>
      <c r="H163" s="66"/>
    </row>
    <row r="164" spans="1:8" s="65" customFormat="1" ht="21">
      <c r="A164" s="62"/>
      <c r="B164" s="61"/>
      <c r="C164" s="60"/>
      <c r="D164" s="59"/>
      <c r="E164" s="58"/>
      <c r="F164" s="66"/>
      <c r="G164" s="66"/>
      <c r="H164" s="66"/>
    </row>
    <row r="165" spans="1:8" s="65" customFormat="1" ht="21">
      <c r="A165" s="64"/>
      <c r="B165" s="61"/>
      <c r="C165" s="60"/>
      <c r="D165" s="59"/>
      <c r="E165" s="63"/>
      <c r="F165" s="66"/>
      <c r="G165" s="66"/>
      <c r="H165" s="66"/>
    </row>
    <row r="166" spans="1:8" s="57" customFormat="1" ht="21">
      <c r="A166" s="62"/>
      <c r="B166" s="61"/>
      <c r="C166" s="60"/>
      <c r="D166" s="59"/>
      <c r="E166" s="58"/>
      <c r="F166" s="50"/>
      <c r="G166" s="50"/>
      <c r="H166" s="50"/>
    </row>
    <row r="167" spans="1:8" s="57" customFormat="1" ht="21">
      <c r="A167" s="64"/>
      <c r="B167" s="61"/>
      <c r="C167" s="60"/>
      <c r="D167" s="59"/>
      <c r="E167" s="63"/>
      <c r="F167" s="50"/>
      <c r="G167" s="50"/>
      <c r="H167" s="50"/>
    </row>
    <row r="168" spans="1:8" s="57" customFormat="1" ht="21">
      <c r="A168" s="62"/>
      <c r="B168" s="61"/>
      <c r="C168" s="60"/>
      <c r="D168" s="59"/>
      <c r="E168" s="58"/>
      <c r="F168" s="50"/>
      <c r="G168" s="50"/>
      <c r="H168" s="50"/>
    </row>
    <row r="169" spans="1:8" s="57" customFormat="1" ht="21">
      <c r="A169" s="64"/>
      <c r="B169" s="61"/>
      <c r="C169" s="60"/>
      <c r="D169" s="59"/>
      <c r="E169" s="63"/>
      <c r="F169" s="50"/>
      <c r="G169" s="50"/>
      <c r="H169" s="50"/>
    </row>
    <row r="170" spans="1:8" s="57" customFormat="1" ht="21">
      <c r="A170" s="62"/>
      <c r="B170" s="61"/>
      <c r="C170" s="60"/>
      <c r="D170" s="59"/>
      <c r="E170" s="58"/>
      <c r="F170" s="50"/>
      <c r="G170" s="50"/>
      <c r="H170" s="50"/>
    </row>
    <row r="171" spans="1:8" s="57" customFormat="1" ht="21">
      <c r="A171" s="64"/>
      <c r="B171" s="61"/>
      <c r="C171" s="60"/>
      <c r="D171" s="59"/>
      <c r="E171" s="63"/>
      <c r="F171" s="50"/>
      <c r="G171" s="50"/>
      <c r="H171" s="50"/>
    </row>
    <row r="172" spans="1:8" s="57" customFormat="1" ht="21">
      <c r="A172" s="62"/>
      <c r="B172" s="61"/>
      <c r="C172" s="60"/>
      <c r="D172" s="59"/>
      <c r="E172" s="58"/>
      <c r="F172" s="50"/>
      <c r="G172" s="50"/>
      <c r="H172" s="50"/>
    </row>
    <row r="173" spans="1:8" s="57" customFormat="1" ht="21">
      <c r="A173" s="64"/>
      <c r="B173" s="61"/>
      <c r="C173" s="60"/>
      <c r="D173" s="59"/>
      <c r="E173" s="63"/>
      <c r="F173" s="50"/>
      <c r="G173" s="50"/>
      <c r="H173" s="50"/>
    </row>
    <row r="174" spans="1:8" s="65" customFormat="1" ht="21">
      <c r="A174" s="62"/>
      <c r="B174" s="61"/>
      <c r="C174" s="60"/>
      <c r="D174" s="59"/>
      <c r="E174" s="58"/>
      <c r="F174" s="66"/>
      <c r="G174" s="66"/>
      <c r="H174" s="66"/>
    </row>
    <row r="175" spans="1:8" s="65" customFormat="1" ht="21">
      <c r="A175" s="64"/>
      <c r="B175" s="61"/>
      <c r="C175" s="60"/>
      <c r="D175" s="59"/>
      <c r="E175" s="63"/>
      <c r="F175" s="66"/>
      <c r="G175" s="66"/>
      <c r="H175" s="66"/>
    </row>
    <row r="176" spans="1:8" s="57" customFormat="1" ht="21">
      <c r="A176" s="62"/>
      <c r="B176" s="61"/>
      <c r="C176" s="60"/>
      <c r="D176" s="59"/>
      <c r="E176" s="58"/>
      <c r="F176" s="50"/>
      <c r="G176" s="50"/>
      <c r="H176" s="50"/>
    </row>
    <row r="177" spans="1:8" s="57" customFormat="1" ht="21">
      <c r="A177" s="64"/>
      <c r="B177" s="61"/>
      <c r="C177" s="60"/>
      <c r="D177" s="59"/>
      <c r="E177" s="63"/>
      <c r="F177" s="50"/>
      <c r="G177" s="50"/>
      <c r="H177" s="50"/>
    </row>
    <row r="178" spans="1:8" s="57" customFormat="1" ht="21">
      <c r="A178" s="62"/>
      <c r="B178" s="61"/>
      <c r="C178" s="60"/>
      <c r="D178" s="59"/>
      <c r="E178" s="58"/>
      <c r="F178" s="50"/>
      <c r="G178" s="50"/>
      <c r="H178" s="50"/>
    </row>
    <row r="179" spans="1:8" s="57" customFormat="1" ht="21">
      <c r="A179" s="64"/>
      <c r="B179" s="61"/>
      <c r="C179" s="60"/>
      <c r="D179" s="59"/>
      <c r="E179" s="63"/>
      <c r="F179" s="50"/>
      <c r="G179" s="50"/>
      <c r="H179" s="50"/>
    </row>
    <row r="180" spans="1:8" s="57" customFormat="1" ht="21">
      <c r="A180" s="62"/>
      <c r="B180" s="61"/>
      <c r="C180" s="60"/>
      <c r="D180" s="59"/>
      <c r="E180" s="58"/>
      <c r="F180" s="50"/>
      <c r="G180" s="50"/>
      <c r="H180" s="50"/>
    </row>
    <row r="181" spans="1:8" s="57" customFormat="1" ht="21">
      <c r="A181" s="64"/>
      <c r="B181" s="61"/>
      <c r="C181" s="60"/>
      <c r="D181" s="59"/>
      <c r="E181" s="63"/>
      <c r="F181" s="50"/>
      <c r="G181" s="50"/>
      <c r="H181" s="50"/>
    </row>
    <row r="182" spans="1:8" s="57" customFormat="1" ht="21">
      <c r="A182" s="62"/>
      <c r="B182" s="61"/>
      <c r="C182" s="60"/>
      <c r="D182" s="59"/>
      <c r="E182" s="58"/>
      <c r="F182" s="50"/>
      <c r="G182" s="50"/>
      <c r="H182" s="50"/>
    </row>
    <row r="183" spans="1:8" s="57" customFormat="1" ht="21">
      <c r="A183" s="64"/>
      <c r="B183" s="61"/>
      <c r="C183" s="60"/>
      <c r="D183" s="59"/>
      <c r="E183" s="63"/>
      <c r="F183" s="50"/>
      <c r="G183" s="50"/>
      <c r="H183" s="50"/>
    </row>
    <row r="184" spans="1:8" s="57" customFormat="1" ht="21">
      <c r="A184" s="62"/>
      <c r="B184" s="61"/>
      <c r="C184" s="60"/>
      <c r="D184" s="59"/>
      <c r="E184" s="58"/>
      <c r="F184" s="50"/>
      <c r="G184" s="50"/>
      <c r="H184" s="50"/>
    </row>
    <row r="185" spans="1:8" s="57" customFormat="1" ht="21">
      <c r="A185" s="64"/>
      <c r="B185" s="61"/>
      <c r="C185" s="60"/>
      <c r="D185" s="59"/>
      <c r="E185" s="63"/>
      <c r="F185" s="50"/>
      <c r="G185" s="50"/>
      <c r="H185" s="50"/>
    </row>
    <row r="186" spans="1:8" s="57" customFormat="1" ht="21">
      <c r="A186" s="62"/>
      <c r="B186" s="61"/>
      <c r="C186" s="60"/>
      <c r="D186" s="59"/>
      <c r="E186" s="58"/>
      <c r="F186" s="50"/>
      <c r="G186" s="50"/>
      <c r="H186" s="50"/>
    </row>
    <row r="187" spans="1:8" s="57" customFormat="1" ht="21">
      <c r="A187" s="64"/>
      <c r="B187" s="61"/>
      <c r="C187" s="60"/>
      <c r="D187" s="59"/>
      <c r="E187" s="63"/>
      <c r="F187" s="50"/>
      <c r="G187" s="50"/>
      <c r="H187" s="50"/>
    </row>
    <row r="188" spans="1:8" s="57" customFormat="1" ht="21">
      <c r="A188" s="62"/>
      <c r="B188" s="61"/>
      <c r="C188" s="60"/>
      <c r="D188" s="59"/>
      <c r="E188" s="58"/>
      <c r="F188" s="50"/>
      <c r="G188" s="50"/>
      <c r="H188" s="50"/>
    </row>
    <row r="189" spans="1:8" s="57" customFormat="1" ht="21">
      <c r="A189" s="64"/>
      <c r="B189" s="61"/>
      <c r="C189" s="60"/>
      <c r="D189" s="59"/>
      <c r="E189" s="63"/>
      <c r="F189" s="50"/>
      <c r="G189" s="50"/>
      <c r="H189" s="50"/>
    </row>
    <row r="190" spans="1:8" s="57" customFormat="1" ht="21">
      <c r="A190" s="62"/>
      <c r="B190" s="61"/>
      <c r="C190" s="60"/>
      <c r="D190" s="59"/>
      <c r="E190" s="58"/>
      <c r="F190" s="50"/>
      <c r="G190" s="50"/>
      <c r="H190" s="50"/>
    </row>
    <row r="191" spans="1:8" s="57" customFormat="1" ht="21">
      <c r="A191" s="64"/>
      <c r="B191" s="61"/>
      <c r="C191" s="60"/>
      <c r="D191" s="59"/>
      <c r="E191" s="63"/>
      <c r="F191" s="50"/>
      <c r="G191" s="50"/>
      <c r="H191" s="50"/>
    </row>
    <row r="192" spans="1:8" s="57" customFormat="1" ht="21">
      <c r="A192" s="62"/>
      <c r="B192" s="61"/>
      <c r="C192" s="60"/>
      <c r="D192" s="59"/>
      <c r="E192" s="58"/>
      <c r="F192" s="50"/>
      <c r="G192" s="50"/>
      <c r="H192" s="50"/>
    </row>
    <row r="193" spans="1:8" s="57" customFormat="1" ht="21">
      <c r="A193" s="64"/>
      <c r="B193" s="61"/>
      <c r="C193" s="60"/>
      <c r="D193" s="59"/>
      <c r="E193" s="63"/>
      <c r="F193" s="50"/>
      <c r="G193" s="50"/>
      <c r="H193" s="50"/>
    </row>
    <row r="194" spans="1:8" s="57" customFormat="1" ht="21">
      <c r="A194" s="62"/>
      <c r="B194" s="61"/>
      <c r="C194" s="60"/>
      <c r="D194" s="59"/>
      <c r="E194" s="58"/>
      <c r="F194" s="50"/>
      <c r="G194" s="50"/>
      <c r="H194" s="50"/>
    </row>
    <row r="195" spans="1:8" s="57" customFormat="1" ht="21">
      <c r="A195" s="64"/>
      <c r="B195" s="61"/>
      <c r="C195" s="60"/>
      <c r="D195" s="59"/>
      <c r="E195" s="63"/>
      <c r="F195" s="50"/>
      <c r="G195" s="50"/>
      <c r="H195" s="50"/>
    </row>
    <row r="196" spans="1:8" s="57" customFormat="1" ht="21">
      <c r="A196" s="62"/>
      <c r="B196" s="61"/>
      <c r="C196" s="60"/>
      <c r="D196" s="59"/>
      <c r="E196" s="58"/>
      <c r="F196" s="50"/>
      <c r="G196" s="50"/>
      <c r="H196" s="50"/>
    </row>
    <row r="197" spans="1:8" s="57" customFormat="1" ht="21">
      <c r="A197" s="64"/>
      <c r="B197" s="61"/>
      <c r="C197" s="60"/>
      <c r="D197" s="59"/>
      <c r="E197" s="63"/>
      <c r="F197" s="50"/>
      <c r="G197" s="50"/>
      <c r="H197" s="50"/>
    </row>
    <row r="198" spans="1:8" s="57" customFormat="1" ht="21">
      <c r="A198" s="62"/>
      <c r="B198" s="61"/>
      <c r="C198" s="60"/>
      <c r="D198" s="59"/>
      <c r="E198" s="58"/>
      <c r="F198" s="50"/>
      <c r="G198" s="50"/>
      <c r="H198" s="50"/>
    </row>
    <row r="199" spans="1:8" s="57" customFormat="1" ht="21">
      <c r="A199" s="64"/>
      <c r="B199" s="61"/>
      <c r="C199" s="60"/>
      <c r="D199" s="59"/>
      <c r="E199" s="63"/>
      <c r="F199" s="50"/>
      <c r="G199" s="50"/>
      <c r="H199" s="50"/>
    </row>
    <row r="200" spans="1:8" s="57" customFormat="1" ht="21">
      <c r="A200" s="62"/>
      <c r="B200" s="61"/>
      <c r="C200" s="60"/>
      <c r="D200" s="59"/>
      <c r="E200" s="58"/>
      <c r="F200" s="50"/>
      <c r="G200" s="50"/>
      <c r="H200" s="50"/>
    </row>
    <row r="201" spans="1:8" s="57" customFormat="1" ht="21">
      <c r="A201" s="64"/>
      <c r="B201" s="61"/>
      <c r="C201" s="60"/>
      <c r="D201" s="59"/>
      <c r="E201" s="63"/>
      <c r="F201" s="50"/>
      <c r="G201" s="50"/>
      <c r="H201" s="50"/>
    </row>
    <row r="202" spans="1:8" s="57" customFormat="1" ht="21">
      <c r="A202" s="62"/>
      <c r="B202" s="61"/>
      <c r="C202" s="60"/>
      <c r="D202" s="59"/>
      <c r="E202" s="58"/>
      <c r="F202" s="50"/>
      <c r="G202" s="50"/>
      <c r="H202" s="50"/>
    </row>
    <row r="203" spans="1:8" s="57" customFormat="1" ht="21">
      <c r="A203" s="64"/>
      <c r="B203" s="61"/>
      <c r="C203" s="60"/>
      <c r="D203" s="59"/>
      <c r="E203" s="63"/>
      <c r="F203" s="50"/>
      <c r="G203" s="50"/>
      <c r="H203" s="50"/>
    </row>
    <row r="204" spans="1:8" s="57" customFormat="1" ht="21">
      <c r="A204" s="62"/>
      <c r="B204" s="61"/>
      <c r="C204" s="60"/>
      <c r="D204" s="59"/>
      <c r="E204" s="58"/>
      <c r="F204" s="50"/>
      <c r="G204" s="50"/>
      <c r="H204" s="50"/>
    </row>
    <row r="205" spans="1:8" s="57" customFormat="1" ht="21">
      <c r="A205" s="64"/>
      <c r="B205" s="61"/>
      <c r="C205" s="60"/>
      <c r="D205" s="59"/>
      <c r="E205" s="63"/>
      <c r="F205" s="50"/>
      <c r="G205" s="50"/>
      <c r="H205" s="50"/>
    </row>
    <row r="206" spans="1:8" s="57" customFormat="1" ht="21">
      <c r="A206" s="62"/>
      <c r="B206" s="61"/>
      <c r="C206" s="60"/>
      <c r="D206" s="59"/>
      <c r="E206" s="58"/>
      <c r="F206" s="50"/>
      <c r="G206" s="50"/>
      <c r="H206" s="50"/>
    </row>
    <row r="207" spans="1:8" s="57" customFormat="1" ht="21">
      <c r="A207" s="64"/>
      <c r="B207" s="61"/>
      <c r="C207" s="60"/>
      <c r="D207" s="59"/>
      <c r="E207" s="63"/>
      <c r="F207" s="50"/>
      <c r="G207" s="50"/>
      <c r="H207" s="50"/>
    </row>
    <row r="208" spans="1:8" s="57" customFormat="1" ht="21">
      <c r="A208" s="62"/>
      <c r="B208" s="61"/>
      <c r="C208" s="60"/>
      <c r="D208" s="59"/>
      <c r="E208" s="58"/>
      <c r="F208" s="50"/>
      <c r="G208" s="50"/>
      <c r="H208" s="50"/>
    </row>
    <row r="209" spans="1:8" s="57" customFormat="1" ht="21">
      <c r="A209" s="64"/>
      <c r="B209" s="61"/>
      <c r="C209" s="60"/>
      <c r="D209" s="59"/>
      <c r="E209" s="63"/>
      <c r="F209" s="50"/>
      <c r="G209" s="50"/>
      <c r="H209" s="50"/>
    </row>
    <row r="210" spans="1:8" s="57" customFormat="1" ht="21">
      <c r="A210" s="62"/>
      <c r="B210" s="61"/>
      <c r="C210" s="60"/>
      <c r="D210" s="59"/>
      <c r="E210" s="58"/>
      <c r="F210" s="50"/>
      <c r="G210" s="50"/>
      <c r="H210" s="50"/>
    </row>
    <row r="211" spans="1:8" s="57" customFormat="1" ht="21">
      <c r="A211" s="64"/>
      <c r="B211" s="61"/>
      <c r="C211" s="60"/>
      <c r="D211" s="59"/>
      <c r="E211" s="63"/>
      <c r="F211" s="50"/>
      <c r="G211" s="50"/>
      <c r="H211" s="50"/>
    </row>
    <row r="212" spans="1:8" s="57" customFormat="1" ht="21">
      <c r="A212" s="62"/>
      <c r="B212" s="61"/>
      <c r="C212" s="60"/>
      <c r="D212" s="59"/>
      <c r="E212" s="58"/>
      <c r="F212" s="50"/>
      <c r="G212" s="50"/>
      <c r="H212" s="50"/>
    </row>
    <row r="213" spans="1:8" s="57" customFormat="1" ht="21">
      <c r="A213" s="64"/>
      <c r="B213" s="61"/>
      <c r="C213" s="60"/>
      <c r="D213" s="59"/>
      <c r="E213" s="63"/>
      <c r="F213" s="50"/>
      <c r="G213" s="50"/>
      <c r="H213" s="50"/>
    </row>
    <row r="214" spans="1:8" s="57" customFormat="1" ht="21">
      <c r="A214" s="62"/>
      <c r="B214" s="61"/>
      <c r="C214" s="60"/>
      <c r="D214" s="59"/>
      <c r="E214" s="58"/>
      <c r="F214" s="50"/>
      <c r="G214" s="50"/>
      <c r="H214" s="50"/>
    </row>
    <row r="215" spans="1:8" s="57" customFormat="1" ht="21">
      <c r="A215" s="64"/>
      <c r="B215" s="61"/>
      <c r="C215" s="60"/>
      <c r="D215" s="59"/>
      <c r="E215" s="63"/>
      <c r="F215" s="50"/>
      <c r="G215" s="50"/>
      <c r="H215" s="50"/>
    </row>
    <row r="216" spans="1:8" s="57" customFormat="1" ht="21">
      <c r="A216" s="62"/>
      <c r="B216" s="61"/>
      <c r="C216" s="60"/>
      <c r="D216" s="59"/>
      <c r="E216" s="58"/>
      <c r="F216" s="50"/>
      <c r="G216" s="50"/>
      <c r="H216" s="50"/>
    </row>
    <row r="217" spans="1:8" s="57" customFormat="1" ht="21">
      <c r="A217" s="64"/>
      <c r="B217" s="61"/>
      <c r="C217" s="60"/>
      <c r="D217" s="59"/>
      <c r="E217" s="63"/>
      <c r="F217" s="50"/>
      <c r="G217" s="50"/>
      <c r="H217" s="50"/>
    </row>
    <row r="218" spans="1:8" s="57" customFormat="1" ht="21">
      <c r="A218" s="62"/>
      <c r="B218" s="61"/>
      <c r="C218" s="60"/>
      <c r="D218" s="59"/>
      <c r="E218" s="58"/>
      <c r="F218" s="50"/>
      <c r="G218" s="50"/>
      <c r="H218" s="50"/>
    </row>
    <row r="219" spans="1:8" s="57" customFormat="1" ht="21">
      <c r="A219" s="64"/>
      <c r="B219" s="61"/>
      <c r="C219" s="60"/>
      <c r="D219" s="59"/>
      <c r="E219" s="63"/>
      <c r="F219" s="50"/>
      <c r="G219" s="50"/>
      <c r="H219" s="50"/>
    </row>
    <row r="220" spans="1:8" s="57" customFormat="1" ht="21">
      <c r="A220" s="62"/>
      <c r="B220" s="61"/>
      <c r="C220" s="60"/>
      <c r="D220" s="59"/>
      <c r="E220" s="58"/>
      <c r="F220" s="50"/>
      <c r="G220" s="50"/>
      <c r="H220" s="50"/>
    </row>
    <row r="221" spans="1:8" s="57" customFormat="1" ht="21">
      <c r="A221" s="64"/>
      <c r="B221" s="61"/>
      <c r="C221" s="60"/>
      <c r="D221" s="59"/>
      <c r="E221" s="63"/>
      <c r="F221" s="50"/>
      <c r="G221" s="50"/>
      <c r="H221" s="50"/>
    </row>
    <row r="222" spans="1:8" s="57" customFormat="1" ht="21">
      <c r="A222" s="62"/>
      <c r="B222" s="61"/>
      <c r="C222" s="60"/>
      <c r="D222" s="59"/>
      <c r="E222" s="58"/>
      <c r="F222" s="50"/>
      <c r="G222" s="50"/>
      <c r="H222" s="50"/>
    </row>
    <row r="223" spans="1:8" s="57" customFormat="1" ht="21">
      <c r="A223" s="64"/>
      <c r="B223" s="61"/>
      <c r="C223" s="60"/>
      <c r="D223" s="59"/>
      <c r="E223" s="63"/>
      <c r="F223" s="50"/>
      <c r="G223" s="50"/>
      <c r="H223" s="50"/>
    </row>
    <row r="224" spans="1:8" s="57" customFormat="1" ht="21">
      <c r="A224" s="62"/>
      <c r="B224" s="61"/>
      <c r="C224" s="60"/>
      <c r="D224" s="59"/>
      <c r="E224" s="58"/>
      <c r="F224" s="50"/>
      <c r="G224" s="50"/>
      <c r="H224" s="50"/>
    </row>
    <row r="225" spans="1:8" s="57" customFormat="1" ht="21">
      <c r="A225" s="64"/>
      <c r="B225" s="61"/>
      <c r="C225" s="60"/>
      <c r="D225" s="59"/>
      <c r="E225" s="63"/>
      <c r="F225" s="50"/>
      <c r="G225" s="50"/>
      <c r="H225" s="50"/>
    </row>
    <row r="226" spans="1:8" s="57" customFormat="1" ht="21">
      <c r="A226" s="62"/>
      <c r="B226" s="61"/>
      <c r="C226" s="60"/>
      <c r="D226" s="59"/>
      <c r="E226" s="58"/>
      <c r="F226" s="50"/>
      <c r="G226" s="50"/>
      <c r="H226" s="50"/>
    </row>
    <row r="227" spans="1:8" s="57" customFormat="1" ht="21">
      <c r="A227" s="64"/>
      <c r="B227" s="61"/>
      <c r="C227" s="60"/>
      <c r="D227" s="59"/>
      <c r="E227" s="63"/>
      <c r="F227" s="50"/>
      <c r="G227" s="50"/>
      <c r="H227" s="50"/>
    </row>
    <row r="228" spans="1:8" s="57" customFormat="1" ht="21">
      <c r="A228" s="62"/>
      <c r="B228" s="61"/>
      <c r="C228" s="60"/>
      <c r="D228" s="59"/>
      <c r="E228" s="58"/>
      <c r="F228" s="50"/>
      <c r="G228" s="50"/>
      <c r="H228" s="50"/>
    </row>
    <row r="229" spans="1:8" s="57" customFormat="1" ht="21">
      <c r="A229" s="64"/>
      <c r="B229" s="61"/>
      <c r="C229" s="60"/>
      <c r="D229" s="59"/>
      <c r="E229" s="63"/>
      <c r="F229" s="50"/>
      <c r="G229" s="50"/>
      <c r="H229" s="50"/>
    </row>
    <row r="230" spans="1:8" s="57" customFormat="1" ht="21">
      <c r="A230" s="62"/>
      <c r="B230" s="61"/>
      <c r="C230" s="60"/>
      <c r="D230" s="59"/>
      <c r="E230" s="58"/>
      <c r="F230" s="50"/>
      <c r="G230" s="50"/>
      <c r="H230" s="50"/>
    </row>
    <row r="231" spans="1:8" s="57" customFormat="1" ht="21">
      <c r="A231" s="64"/>
      <c r="B231" s="61"/>
      <c r="C231" s="60"/>
      <c r="D231" s="59"/>
      <c r="E231" s="63"/>
      <c r="F231" s="50"/>
      <c r="G231" s="50"/>
      <c r="H231" s="50"/>
    </row>
    <row r="232" spans="1:8" s="57" customFormat="1" ht="21">
      <c r="A232" s="62"/>
      <c r="B232" s="61"/>
      <c r="C232" s="60"/>
      <c r="D232" s="59"/>
      <c r="E232" s="58"/>
      <c r="F232" s="50"/>
      <c r="G232" s="50"/>
      <c r="H232" s="50"/>
    </row>
    <row r="233" spans="1:8" s="57" customFormat="1" ht="21">
      <c r="A233" s="64"/>
      <c r="B233" s="61"/>
      <c r="C233" s="60"/>
      <c r="D233" s="59"/>
      <c r="E233" s="63"/>
      <c r="F233" s="50"/>
      <c r="G233" s="50"/>
      <c r="H233" s="50"/>
    </row>
    <row r="234" spans="1:8" s="57" customFormat="1" ht="21">
      <c r="A234" s="62"/>
      <c r="B234" s="61"/>
      <c r="C234" s="60"/>
      <c r="D234" s="59"/>
      <c r="E234" s="58"/>
      <c r="F234" s="50"/>
      <c r="G234" s="50"/>
      <c r="H234" s="50"/>
    </row>
    <row r="235" spans="1:8" s="57" customFormat="1" ht="21">
      <c r="A235" s="64"/>
      <c r="B235" s="61"/>
      <c r="C235" s="60"/>
      <c r="D235" s="59"/>
      <c r="E235" s="63"/>
      <c r="F235" s="50"/>
      <c r="G235" s="50"/>
      <c r="H235" s="50"/>
    </row>
    <row r="236" spans="1:8" s="57" customFormat="1" ht="21">
      <c r="A236" s="62"/>
      <c r="B236" s="61"/>
      <c r="C236" s="60"/>
      <c r="D236" s="59"/>
      <c r="E236" s="58"/>
      <c r="F236" s="50"/>
      <c r="G236" s="50"/>
      <c r="H236" s="50"/>
    </row>
    <row r="237" spans="1:8" s="57" customFormat="1" ht="21">
      <c r="A237" s="64"/>
      <c r="B237" s="61"/>
      <c r="C237" s="60"/>
      <c r="D237" s="59"/>
      <c r="E237" s="63"/>
      <c r="F237" s="50"/>
      <c r="G237" s="50"/>
      <c r="H237" s="50"/>
    </row>
    <row r="238" spans="1:8" s="57" customFormat="1" ht="21">
      <c r="A238" s="62"/>
      <c r="B238" s="61"/>
      <c r="C238" s="60"/>
      <c r="D238" s="59"/>
      <c r="E238" s="58"/>
      <c r="F238" s="50"/>
      <c r="G238" s="50"/>
      <c r="H238" s="50"/>
    </row>
    <row r="239" spans="1:8" s="57" customFormat="1" ht="21">
      <c r="A239" s="64"/>
      <c r="B239" s="61"/>
      <c r="C239" s="60"/>
      <c r="D239" s="59"/>
      <c r="E239" s="63"/>
      <c r="F239" s="50"/>
      <c r="G239" s="50"/>
      <c r="H239" s="50"/>
    </row>
    <row r="240" spans="1:8" s="57" customFormat="1" ht="21">
      <c r="A240" s="62"/>
      <c r="B240" s="61"/>
      <c r="C240" s="60"/>
      <c r="D240" s="59"/>
      <c r="E240" s="58"/>
      <c r="F240" s="50"/>
      <c r="G240" s="50"/>
      <c r="H240" s="50"/>
    </row>
    <row r="241" spans="1:8" s="57" customFormat="1" ht="21">
      <c r="A241" s="64"/>
      <c r="B241" s="61"/>
      <c r="C241" s="60"/>
      <c r="D241" s="59"/>
      <c r="E241" s="63"/>
      <c r="F241" s="50"/>
      <c r="G241" s="50"/>
      <c r="H241" s="50"/>
    </row>
    <row r="242" spans="1:8" s="57" customFormat="1" ht="21">
      <c r="A242" s="62"/>
      <c r="B242" s="61"/>
      <c r="C242" s="60"/>
      <c r="D242" s="59"/>
      <c r="E242" s="58"/>
      <c r="F242" s="50"/>
      <c r="G242" s="50"/>
      <c r="H242" s="50"/>
    </row>
    <row r="243" spans="1:8" s="57" customFormat="1" ht="21">
      <c r="A243" s="64"/>
      <c r="B243" s="61"/>
      <c r="C243" s="60"/>
      <c r="D243" s="59"/>
      <c r="E243" s="63"/>
      <c r="F243" s="50"/>
      <c r="G243" s="50"/>
      <c r="H243" s="50"/>
    </row>
    <row r="244" spans="1:8" s="57" customFormat="1" ht="21">
      <c r="A244" s="62"/>
      <c r="B244" s="61"/>
      <c r="C244" s="60"/>
      <c r="D244" s="59"/>
      <c r="E244" s="58"/>
      <c r="F244" s="50"/>
      <c r="G244" s="50"/>
      <c r="H244" s="50"/>
    </row>
    <row r="245" spans="1:8" s="57" customFormat="1" ht="21">
      <c r="A245" s="64"/>
      <c r="B245" s="61"/>
      <c r="C245" s="60"/>
      <c r="D245" s="59"/>
      <c r="E245" s="63"/>
      <c r="F245" s="50"/>
      <c r="G245" s="50"/>
      <c r="H245" s="50"/>
    </row>
    <row r="246" spans="1:8" s="57" customFormat="1" ht="21">
      <c r="A246" s="62"/>
      <c r="B246" s="61"/>
      <c r="C246" s="60"/>
      <c r="D246" s="59"/>
      <c r="E246" s="58"/>
      <c r="F246" s="50"/>
      <c r="G246" s="50"/>
      <c r="H246" s="50"/>
    </row>
    <row r="247" spans="1:8" s="57" customFormat="1" ht="21">
      <c r="A247" s="64"/>
      <c r="B247" s="61"/>
      <c r="C247" s="60"/>
      <c r="D247" s="59"/>
      <c r="E247" s="63"/>
      <c r="F247" s="50"/>
      <c r="G247" s="50"/>
      <c r="H247" s="50"/>
    </row>
    <row r="248" spans="1:8" s="57" customFormat="1" ht="21">
      <c r="A248" s="62"/>
      <c r="B248" s="61"/>
      <c r="C248" s="60"/>
      <c r="D248" s="59"/>
      <c r="E248" s="58"/>
      <c r="F248" s="50"/>
      <c r="G248" s="50"/>
      <c r="H248" s="50"/>
    </row>
    <row r="249" spans="1:8" s="57" customFormat="1" ht="21">
      <c r="A249" s="64"/>
      <c r="B249" s="61"/>
      <c r="C249" s="60"/>
      <c r="D249" s="59"/>
      <c r="E249" s="63"/>
      <c r="F249" s="50"/>
      <c r="G249" s="50"/>
      <c r="H249" s="50"/>
    </row>
    <row r="250" spans="1:8" s="57" customFormat="1" ht="21">
      <c r="A250" s="62"/>
      <c r="B250" s="61"/>
      <c r="C250" s="60"/>
      <c r="D250" s="59"/>
      <c r="E250" s="58"/>
      <c r="F250" s="50"/>
      <c r="G250" s="50"/>
      <c r="H250" s="50"/>
    </row>
    <row r="251" spans="1:8" s="57" customFormat="1" ht="21">
      <c r="A251" s="64"/>
      <c r="B251" s="61"/>
      <c r="C251" s="60"/>
      <c r="D251" s="59"/>
      <c r="E251" s="63"/>
      <c r="F251" s="50"/>
      <c r="G251" s="50"/>
      <c r="H251" s="50"/>
    </row>
    <row r="252" spans="1:8" s="57" customFormat="1" ht="21">
      <c r="A252" s="62"/>
      <c r="B252" s="61"/>
      <c r="C252" s="60"/>
      <c r="D252" s="59"/>
      <c r="E252" s="58"/>
      <c r="F252" s="50"/>
      <c r="G252" s="50"/>
      <c r="H252" s="50"/>
    </row>
    <row r="253" spans="1:8" s="57" customFormat="1" ht="21">
      <c r="A253" s="64"/>
      <c r="B253" s="61"/>
      <c r="C253" s="60"/>
      <c r="D253" s="59"/>
      <c r="E253" s="63"/>
      <c r="F253" s="50"/>
      <c r="G253" s="50"/>
      <c r="H253" s="50"/>
    </row>
    <row r="254" spans="1:8" s="57" customFormat="1" ht="21">
      <c r="A254" s="62"/>
      <c r="B254" s="61"/>
      <c r="C254" s="60"/>
      <c r="D254" s="59"/>
      <c r="E254" s="58"/>
      <c r="F254" s="50"/>
      <c r="G254" s="50"/>
      <c r="H254" s="50"/>
    </row>
    <row r="255" spans="1:8" s="57" customFormat="1" ht="21">
      <c r="A255" s="64"/>
      <c r="B255" s="61"/>
      <c r="C255" s="60"/>
      <c r="D255" s="59"/>
      <c r="E255" s="63"/>
      <c r="F255" s="50"/>
      <c r="G255" s="50"/>
      <c r="H255" s="50"/>
    </row>
    <row r="256" spans="1:8" s="57" customFormat="1" ht="21">
      <c r="A256" s="62"/>
      <c r="B256" s="61"/>
      <c r="C256" s="60"/>
      <c r="D256" s="59"/>
      <c r="E256" s="58"/>
      <c r="F256" s="50"/>
      <c r="G256" s="50"/>
      <c r="H256" s="50"/>
    </row>
    <row r="257" spans="1:8" s="57" customFormat="1" ht="21">
      <c r="A257" s="64"/>
      <c r="B257" s="61"/>
      <c r="C257" s="60"/>
      <c r="D257" s="59"/>
      <c r="E257" s="63"/>
      <c r="F257" s="50"/>
      <c r="G257" s="50"/>
      <c r="H257" s="50"/>
    </row>
    <row r="258" spans="1:8" s="57" customFormat="1" ht="21">
      <c r="A258" s="62"/>
      <c r="B258" s="61"/>
      <c r="C258" s="60"/>
      <c r="D258" s="59"/>
      <c r="E258" s="58"/>
      <c r="F258" s="50"/>
      <c r="G258" s="50"/>
      <c r="H258" s="50"/>
    </row>
    <row r="259" spans="1:8" s="57" customFormat="1" ht="21">
      <c r="A259" s="64"/>
      <c r="B259" s="61"/>
      <c r="C259" s="60"/>
      <c r="D259" s="59"/>
      <c r="E259" s="63"/>
      <c r="F259" s="50"/>
      <c r="G259" s="50"/>
      <c r="H259" s="50"/>
    </row>
    <row r="260" spans="1:8" s="57" customFormat="1" ht="21">
      <c r="A260" s="62"/>
      <c r="B260" s="61"/>
      <c r="C260" s="60"/>
      <c r="D260" s="59"/>
      <c r="E260" s="58"/>
      <c r="F260" s="50"/>
      <c r="G260" s="50"/>
      <c r="H260" s="50"/>
    </row>
    <row r="261" spans="1:8" s="57" customFormat="1" ht="21">
      <c r="A261" s="64"/>
      <c r="B261" s="61"/>
      <c r="C261" s="60"/>
      <c r="D261" s="59"/>
      <c r="E261" s="63"/>
      <c r="F261" s="50"/>
      <c r="G261" s="50"/>
      <c r="H261" s="50"/>
    </row>
    <row r="262" spans="1:8" s="57" customFormat="1" ht="21">
      <c r="A262" s="62"/>
      <c r="B262" s="61"/>
      <c r="C262" s="60"/>
      <c r="D262" s="59"/>
      <c r="E262" s="58"/>
      <c r="F262" s="50"/>
      <c r="G262" s="50"/>
      <c r="H262" s="50"/>
    </row>
    <row r="263" spans="1:8" s="57" customFormat="1" ht="21">
      <c r="A263" s="64"/>
      <c r="B263" s="61"/>
      <c r="C263" s="60"/>
      <c r="D263" s="59"/>
      <c r="E263" s="63"/>
      <c r="F263" s="50"/>
      <c r="G263" s="50"/>
      <c r="H263" s="50"/>
    </row>
    <row r="264" spans="1:8" s="57" customFormat="1" ht="21">
      <c r="A264" s="62"/>
      <c r="B264" s="61"/>
      <c r="C264" s="60"/>
      <c r="D264" s="59"/>
      <c r="E264" s="58"/>
      <c r="F264" s="50"/>
      <c r="G264" s="50"/>
      <c r="H264" s="50"/>
    </row>
    <row r="265" spans="1:8" s="57" customFormat="1" ht="21">
      <c r="A265" s="64"/>
      <c r="B265" s="61"/>
      <c r="C265" s="60"/>
      <c r="D265" s="59"/>
      <c r="E265" s="63"/>
      <c r="F265" s="50"/>
      <c r="G265" s="50"/>
      <c r="H265" s="50"/>
    </row>
    <row r="266" spans="1:8" s="57" customFormat="1" ht="21">
      <c r="A266" s="62"/>
      <c r="B266" s="61"/>
      <c r="C266" s="60"/>
      <c r="D266" s="59"/>
      <c r="E266" s="58"/>
      <c r="F266" s="50"/>
      <c r="G266" s="50"/>
      <c r="H266" s="50"/>
    </row>
    <row r="267" spans="1:8" s="57" customFormat="1" ht="21">
      <c r="A267" s="64"/>
      <c r="B267" s="61"/>
      <c r="C267" s="60"/>
      <c r="D267" s="59"/>
      <c r="E267" s="63"/>
      <c r="F267" s="50"/>
      <c r="G267" s="50"/>
      <c r="H267" s="50"/>
    </row>
    <row r="268" spans="1:8" s="57" customFormat="1" ht="21">
      <c r="A268" s="62"/>
      <c r="B268" s="61"/>
      <c r="C268" s="60"/>
      <c r="D268" s="59"/>
      <c r="E268" s="58"/>
      <c r="F268" s="50"/>
      <c r="G268" s="50"/>
      <c r="H268" s="50"/>
    </row>
    <row r="269" spans="1:8" s="52" customFormat="1">
      <c r="A269" s="54"/>
      <c r="B269" s="56"/>
      <c r="C269" s="54"/>
      <c r="D269" s="55"/>
      <c r="E269" s="54"/>
      <c r="F269" s="53"/>
      <c r="G269" s="53"/>
      <c r="H269" s="53"/>
    </row>
  </sheetData>
  <mergeCells count="7">
    <mergeCell ref="B10:C10"/>
    <mergeCell ref="F3:G3"/>
    <mergeCell ref="H3:H4"/>
    <mergeCell ref="A1:E1"/>
    <mergeCell ref="A3:C4"/>
    <mergeCell ref="D3:D4"/>
    <mergeCell ref="E3:E4"/>
  </mergeCells>
  <pageMargins left="0.2" right="0.21" top="0.75" bottom="0.75" header="0.3" footer="0.3"/>
  <pageSetup paperSize="9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เครื่องจักรกล งปม.</vt:lpstr>
      <vt:lpstr>โรงงานเครื่องมือ งปม.</vt:lpstr>
      <vt:lpstr>สิ่งก่อสร้างเครื่องจักรกล งปม.</vt:lpstr>
      <vt:lpstr>'เครื่องจักรกล งปม.'!Print_Area</vt:lpstr>
      <vt:lpstr>'โรงงานเครื่องมือ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2026-10-08T08:31:40Z</dcterms:created>
  <dcterms:modified xsi:type="dcterms:W3CDTF">2026-10-10T04:27:57Z</dcterms:modified>
</cp:coreProperties>
</file>