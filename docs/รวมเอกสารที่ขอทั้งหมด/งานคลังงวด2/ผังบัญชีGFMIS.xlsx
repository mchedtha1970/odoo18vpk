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580" windowHeight="9225"/>
  </bookViews>
  <sheets>
    <sheet name="สค.69 (4)" sheetId="1" r:id="rId1"/>
  </sheets>
  <definedNames>
    <definedName name="_xlnm._FilterDatabase" localSheetId="0" hidden="1">'สค.69 (4)'!$A$3:$C$662</definedName>
    <definedName name="_xlnm.Print_Titles" localSheetId="0">'สค.69 (4)'!$3:$3</definedName>
  </definedNames>
  <calcPr calcId="124519" fullCalcOnLoad="1"/>
</workbook>
</file>

<file path=xl/calcChain.xml><?xml version="1.0" encoding="utf-8"?>
<calcChain xmlns="http://schemas.openxmlformats.org/spreadsheetml/2006/main">
  <c r="D564" i="1"/>
  <c r="D546"/>
  <c r="D526"/>
  <c r="D524"/>
  <c r="D522"/>
  <c r="D520"/>
  <c r="D519"/>
  <c r="D518"/>
  <c r="D514"/>
  <c r="D504" s="1"/>
  <c r="D472"/>
  <c r="D462"/>
  <c r="D439"/>
  <c r="D434" s="1"/>
  <c r="D417"/>
  <c r="D406"/>
  <c r="D405"/>
  <c r="D404"/>
  <c r="D402"/>
  <c r="D397"/>
  <c r="D395"/>
  <c r="D394"/>
  <c r="D392" s="1"/>
  <c r="D390"/>
  <c r="D386"/>
  <c r="D374"/>
  <c r="D371"/>
  <c r="D370"/>
  <c r="D349"/>
  <c r="D344"/>
  <c r="D329"/>
  <c r="D324"/>
  <c r="D242"/>
  <c r="D240"/>
  <c r="D239"/>
  <c r="D231"/>
  <c r="D235" s="1"/>
  <c r="D228"/>
  <c r="D98"/>
  <c r="D97"/>
</calcChain>
</file>

<file path=xl/sharedStrings.xml><?xml version="1.0" encoding="utf-8"?>
<sst xmlns="http://schemas.openxmlformats.org/spreadsheetml/2006/main" count="2490" uniqueCount="1984">
  <si>
    <t>โรงพยาบาลวชิระภูเก็ต</t>
  </si>
  <si>
    <t>ณ วันที่  31  สิงหาคม  2569</t>
  </si>
  <si>
    <t>รหัสบัญชี</t>
  </si>
  <si>
    <t>GFMIS</t>
  </si>
  <si>
    <t>ชื่อบัญชี</t>
  </si>
  <si>
    <t>1101010101.101</t>
  </si>
  <si>
    <t>1101010101</t>
  </si>
  <si>
    <t>เงินสด</t>
  </si>
  <si>
    <t>1101010104.101</t>
  </si>
  <si>
    <t>1101010104</t>
  </si>
  <si>
    <t>เงินทดรองราชการ</t>
  </si>
  <si>
    <t>1101010112.101</t>
  </si>
  <si>
    <t>1101010112</t>
  </si>
  <si>
    <t>บัญชีพักเงินนำส่ง</t>
  </si>
  <si>
    <t>1101010113.101</t>
  </si>
  <si>
    <t>1101010113</t>
  </si>
  <si>
    <t>พักรอ Clearing</t>
  </si>
  <si>
    <t>1101020501.101</t>
  </si>
  <si>
    <t>1101020501</t>
  </si>
  <si>
    <t>เงินฝากคลัง - หน่วยเบิกจ่าย</t>
  </si>
  <si>
    <t>1101020501.103</t>
  </si>
  <si>
    <t>เงินฝากคลัง - ที่มีวัตถุประสงค์เฉพาะ</t>
  </si>
  <si>
    <t>1101020501.104</t>
  </si>
  <si>
    <t>เงินฝากคลัง - ที่มีวัตถุประสงค์เฉพาะ (เงินบริจาค)</t>
  </si>
  <si>
    <t>1101020501.201</t>
  </si>
  <si>
    <t>เงินฝากคลัง - ที่มีวัตถุประสงค์เฉพาะ งบลงทุน UC</t>
  </si>
  <si>
    <t>1101020504.101</t>
  </si>
  <si>
    <t>เงินฝากหน่วยเบิกจ่าย-ฝากคลัง</t>
  </si>
  <si>
    <t>1101020601.101</t>
  </si>
  <si>
    <t>1101020601</t>
  </si>
  <si>
    <t>เงินฝากธนาคารเพื่อนำส่งเงินรายได้แผ่นดิน</t>
  </si>
  <si>
    <t>1101020603.101</t>
  </si>
  <si>
    <t>1101020603</t>
  </si>
  <si>
    <t>เงินฝากธนาคาร -  ในงบประมาณ</t>
  </si>
  <si>
    <t>1101020604.101</t>
  </si>
  <si>
    <t>1101020604</t>
  </si>
  <si>
    <t>เงินฝากธนาคาร - นอกงบประมาณ</t>
  </si>
  <si>
    <t>1101020605.101</t>
  </si>
  <si>
    <t>1101020605</t>
  </si>
  <si>
    <t>เงินฝากธนาคารรับจากคลัง (เงินกู้)</t>
  </si>
  <si>
    <t>1101020606.101</t>
  </si>
  <si>
    <t>1101020606</t>
  </si>
  <si>
    <t>เงินฝากธนาคารรายบัญชีเพื่อนำส่งคลัง</t>
  </si>
  <si>
    <t>1101030101.101</t>
  </si>
  <si>
    <t>1101030199</t>
  </si>
  <si>
    <t>เงินฝากธนาคาร - นอกงบประมาณ กระแสรายวัน</t>
  </si>
  <si>
    <t>1101030101.102</t>
  </si>
  <si>
    <t>เงินฝากธนาคาร- นอกงบประมาณ รอการจัดสรร กระแสรายวัน</t>
  </si>
  <si>
    <t>1101030101.103</t>
  </si>
  <si>
    <t>เงินฝากธนาคาร - นอกงบประมาณที่มีวัตถุประสงค์เฉพาะกระแสรายวัน (ศูนย์แพทย์)</t>
  </si>
  <si>
    <t>1101030101.104</t>
  </si>
  <si>
    <t>เงินฝากธนาคาร-นอกงบประมาณที่มีวัตถุประสงค์เฉพาะ กระแสรายวัน (งบลงทุน UC)</t>
  </si>
  <si>
    <t>1101030102.101</t>
  </si>
  <si>
    <t>เงินฝากธนาคาร - นอกงบประมาณ ออมทรัพย์</t>
  </si>
  <si>
    <t>1101030102.102</t>
  </si>
  <si>
    <t>เงินฝากธนาคาร - นอกงบประมาณรอการจัดสรรออมทรัพย์</t>
  </si>
  <si>
    <t>1101030102.103</t>
  </si>
  <si>
    <t>เงินฝากธนาคาร - นอกงบประมาณที่มีวัตถุประสงค์เฉพาะออมทรัพย์ (ศูนย์แพทย์)++UCรอรับรู้++บริจาค'64-69</t>
  </si>
  <si>
    <t>1101030102.104</t>
  </si>
  <si>
    <t>เงินฝากธนาคาร - นอกงบประมาณที่มีวัตถุประสงค์เฉพาะ ออมทรัพย์ (งบลงทุน UC)</t>
  </si>
  <si>
    <t>1101030102.105</t>
  </si>
  <si>
    <t>เงินฝากธนาคาร - นอกงบประมาณที่มีวัตถุประสงค์เฉพาะ ออมทรัพย์(เงินบริจาค)</t>
  </si>
  <si>
    <t>1102010101.101</t>
  </si>
  <si>
    <t>1102010101</t>
  </si>
  <si>
    <t>ลูกหนี้เงินยืมในงบประมาณ</t>
  </si>
  <si>
    <t>1102010102.101</t>
  </si>
  <si>
    <t>1102010102</t>
  </si>
  <si>
    <t>ลูกหนี้เงินยืมนอกงบประมาณ</t>
  </si>
  <si>
    <t>1102010108.101</t>
  </si>
  <si>
    <t>1102010108</t>
  </si>
  <si>
    <t>ลูกหนี้เงินยืม - เงินบำรุง+เงินศูนย์แพทย์</t>
  </si>
  <si>
    <t>1102050101.102</t>
  </si>
  <si>
    <t>1102050101</t>
  </si>
  <si>
    <t>ลูกหนี้ค่าสิ่งส่งตรวจหน่วยงานภาครัฐ</t>
  </si>
  <si>
    <t>1102050101.103</t>
  </si>
  <si>
    <t>ลูกหนี้ค่าตรวจสุขภาพหน่วยงานภาครัฐ</t>
  </si>
  <si>
    <t>1102050101.104</t>
  </si>
  <si>
    <t>ลูกหนี้ค่าวัสดุ/อุปกรณ์/น้ำยา หน่วยงานภาครัฐ</t>
  </si>
  <si>
    <t>1102050101.105</t>
  </si>
  <si>
    <t>ลูกหนี้ค่าสินค้า หน่วยงานภาครัฐ</t>
  </si>
  <si>
    <t>1102050101.109</t>
  </si>
  <si>
    <r>
      <t>ลูกหนี้ - ระบบปฏิบัติการ</t>
    </r>
    <r>
      <rPr>
        <sz val="10"/>
        <color indexed="10"/>
        <rFont val="Tahoma"/>
        <family val="2"/>
      </rPr>
      <t>ฉุกเฉิน</t>
    </r>
  </si>
  <si>
    <t>1102050101.201</t>
  </si>
  <si>
    <t>ลูกหนี้ค่ารักษา UC- OP ใน CUP</t>
  </si>
  <si>
    <t>1102050101.202</t>
  </si>
  <si>
    <t xml:space="preserve">ลูกหนี้ค่ารักษา UC - IP </t>
  </si>
  <si>
    <t>1102050101.203</t>
  </si>
  <si>
    <t>ลูกหนี้ค่ารักษา UC - OP นอก CUP (ในจังหวัดสังกัด สธ.)</t>
  </si>
  <si>
    <t>1102050101.204</t>
  </si>
  <si>
    <t xml:space="preserve">ลูกหนี้ค่ารักษา UC - OP นอก CUP (ต่างจังหวัดสังกัด สธ.) </t>
  </si>
  <si>
    <t>1102050101.209</t>
  </si>
  <si>
    <t xml:space="preserve">ลูกหนี้ค่ารักษาด้านการสร้างเสริมสุขภาพและป้องกันโรค (P&amp;P) </t>
  </si>
  <si>
    <t>1102050101.216</t>
  </si>
  <si>
    <t>ลูกหนี้ค่ารักษา UC - OP บริการเฉพาะ (CR)</t>
  </si>
  <si>
    <t>1102050101.217</t>
  </si>
  <si>
    <t>ลูกหนี้ค่ารักษา UC - IP  บริการเฉพาะ (CR)</t>
  </si>
  <si>
    <t>1102050101.222</t>
  </si>
  <si>
    <r>
      <t xml:space="preserve">ลูกหนี้ค่ารักษา OP - </t>
    </r>
    <r>
      <rPr>
        <sz val="10"/>
        <color indexed="10"/>
        <rFont val="Tahoma"/>
        <family val="2"/>
      </rPr>
      <t>Refer</t>
    </r>
  </si>
  <si>
    <t>1102050101.223</t>
  </si>
  <si>
    <t>ลูกหนี้ค่าบริการสาธารณสุขสำหรับโรคติดเชื้อไวรัสโคโรนา - OP จาก สปสช.</t>
  </si>
  <si>
    <t>1102050101.224</t>
  </si>
  <si>
    <t>ลูกหนี้ค่าบริการสาธารณสุขสำหรับโรคติดเชื้อไวรัสโคโรนา - IP
จาก สปสช.</t>
  </si>
  <si>
    <t>1102050101.301</t>
  </si>
  <si>
    <t>ลูกหนี้ค่ารักษาประกันสังคม OP -เครือข่าย</t>
  </si>
  <si>
    <t>1102050101.302</t>
  </si>
  <si>
    <t>ลูกหนี้ค่ารักษาประกันสังคม IP - เครือข่าย</t>
  </si>
  <si>
    <t>1102050101.303</t>
  </si>
  <si>
    <t>ลูกหนี้ค่ารักษาประกันสังคม OP - นอกเครือข่าย สังกัด สป.สธ.</t>
  </si>
  <si>
    <t>1102050101.304</t>
  </si>
  <si>
    <t>ลูกหนี้ค่ารักษาประกันสังคม IP - นอกเครือข่าย สังกัด สป.สธ.</t>
  </si>
  <si>
    <t>1102050101.307</t>
  </si>
  <si>
    <t>ลูกหนี้ค่ารักษาประกันสังคม - กองทุนทดแทน</t>
  </si>
  <si>
    <t>1102050101.308</t>
  </si>
  <si>
    <t>ลูกหนี้ค่ารักษาประกันสังคม 72 ชั่วโมงแรก</t>
  </si>
  <si>
    <t>1102050101.309</t>
  </si>
  <si>
    <t>ลูกหนี้ค่ารักษาประกันสังคม - ค่าใช้จ่ายสูง/อุบัติเหตุ/ฉุกเฉิน OP</t>
  </si>
  <si>
    <t>1102050101.310</t>
  </si>
  <si>
    <t>ลูกหนี้ค่ารักษาประกันสังคม - ค่าใช้จ่ายสูง IP</t>
  </si>
  <si>
    <t>1102050101.401</t>
  </si>
  <si>
    <t>ลูกหนี้ค่ารักษา-เบิกจ่ายตรงกรมบัญชีกลาง OP</t>
  </si>
  <si>
    <t>1102050101.402</t>
  </si>
  <si>
    <t>ลูกหนี้ค่ารักษา - เบิกจ่ายตรงกรมบัญชีกลาง IP</t>
  </si>
  <si>
    <t>1102050101.501</t>
  </si>
  <si>
    <t>ลูกหนี้ค่ารักษา - คนต่างด้าวและแรงงานต่างด้าว OP</t>
  </si>
  <si>
    <t>1102050101.502</t>
  </si>
  <si>
    <t>ลูกหนี้ค่ารักษา - คนต่างด้าวและแรงงานต่างด้าว IP</t>
  </si>
  <si>
    <t>1102050101.503</t>
  </si>
  <si>
    <t>ลูกหนี้ค่ารักษา - คนต่างด้าวและแรงงานต่างด้าว OP นอก CUP</t>
  </si>
  <si>
    <t>1102050101.504</t>
  </si>
  <si>
    <t>ลูกหนี้ค่ารักษา - คนต่างด้าวและแรงงานต่างด้าว IP นอก CUP</t>
  </si>
  <si>
    <t>1102050101.505</t>
  </si>
  <si>
    <t>ลูกหนี้ค่ารักษา - คนต่างด้าวและแรงงานต่างด้าวเบิกจากส่วนกลาง OP</t>
  </si>
  <si>
    <t>1102050101.506</t>
  </si>
  <si>
    <t>ลูกหนี้ค่ารักษา - คนต่างด้าวและแรงงานต่างด้าวเบิกจากส่วนกลาง IP</t>
  </si>
  <si>
    <t>1102050101.701</t>
  </si>
  <si>
    <t>ลูกหนี้ค่ารักษา - บุคคลที่มีปัญหาสถานะและสิทธิ OP ใน CUP</t>
  </si>
  <si>
    <t>1102050101.702</t>
  </si>
  <si>
    <t>ลูกหนี้ค่ารักษา - บุคคลที่มีปัญหาสถานะและสิทธิ OP นอก CUP</t>
  </si>
  <si>
    <t>1102050101.703</t>
  </si>
  <si>
    <t>ลูกหนี้ค่ารักษาบุคคลที่มีปัญหาสถานะและสิทธิ - เบิกจากส่วนกลาง OP</t>
  </si>
  <si>
    <t>1102050101.704</t>
  </si>
  <si>
    <t>ลูกหนี้ค่ารักษาบุคคลที่มีปัญหาสถานะและสิทธิ - เบิกจากส่วนกลาง IP</t>
  </si>
  <si>
    <t>1102050102.102</t>
  </si>
  <si>
    <t>1102050102</t>
  </si>
  <si>
    <t>ลูกหนี้ค่าสิ่งส่งตรวจบุคคลภายนอก</t>
  </si>
  <si>
    <t>1102050102.103</t>
  </si>
  <si>
    <t>ลูกหนี้ค่าตรวจสุขภาพบุคคลภายนอก</t>
  </si>
  <si>
    <t>1102050102.104</t>
  </si>
  <si>
    <t>ลูกหนี้ค่าวัสดุ/อุปกรณ์/น้ำยา บุคคลภายนอก</t>
  </si>
  <si>
    <t>1102050102.105</t>
  </si>
  <si>
    <t>ลูกหนี้ค่าสินค้า บุคคลภายนอก</t>
  </si>
  <si>
    <t>1102050102.106</t>
  </si>
  <si>
    <t>ลูกหนี้ค่ารักษา - ชำระเงิน OP</t>
  </si>
  <si>
    <t>1102050102.107</t>
  </si>
  <si>
    <r>
      <t xml:space="preserve">ลูกหนี้ค่ารักษา - </t>
    </r>
    <r>
      <rPr>
        <sz val="10"/>
        <color indexed="10"/>
        <rFont val="Tahoma"/>
        <family val="2"/>
      </rPr>
      <t>ชำระเงิน IP</t>
    </r>
  </si>
  <si>
    <t>1102050102.108</t>
  </si>
  <si>
    <t>ลูกหนี้ค่ารักษา - เบิกต้นสังกัด OP</t>
  </si>
  <si>
    <t>1102050102.109</t>
  </si>
  <si>
    <t>ลูกหนี้ค่ารักษา - เบิกต้นสังกัด IP</t>
  </si>
  <si>
    <t>1102050102.110</t>
  </si>
  <si>
    <t>ลูกหนี้ค่ารักษา - เบิกจ่ายตรงหน่วยงานอื่น OP</t>
  </si>
  <si>
    <t>1102050102.111</t>
  </si>
  <si>
    <t>ลูกหนี้ค่ารักษา - เบิกจ่ายตรงหน่วยงานอื่น IP</t>
  </si>
  <si>
    <t>1102050102.201</t>
  </si>
  <si>
    <r>
      <t xml:space="preserve">ลูกหนี้ค่ารักษา UC - OP </t>
    </r>
    <r>
      <rPr>
        <sz val="10"/>
        <color indexed="10"/>
        <rFont val="Tahoma"/>
        <family val="2"/>
      </rPr>
      <t>นอกสังกัด สธ.</t>
    </r>
  </si>
  <si>
    <t>1102050102.301</t>
  </si>
  <si>
    <t>ลูกหนี้ค่ารักษาประกันสังคม OP - นอกเครือข่าย ต่างสังกัด สป.สธ.</t>
  </si>
  <si>
    <t>1102050102.302</t>
  </si>
  <si>
    <t>ลูกหนี้ค่ารักษาประกันสังคม IP - นอกเครือข่าย ต่างสังกัด สป.สธ.</t>
  </si>
  <si>
    <t>1102050102.602</t>
  </si>
  <si>
    <t>ลูกหนี้ค่ารักษา - พรบ.รถ OP</t>
  </si>
  <si>
    <t>1102050102.603</t>
  </si>
  <si>
    <t>ลูกหนี้ค่ารักษา - พรบ.รถ IP</t>
  </si>
  <si>
    <t>1102050102.801</t>
  </si>
  <si>
    <t>ลูกหนี้ค่ารักษา - เบิกจ่ายตรง อปท. OP</t>
  </si>
  <si>
    <t>1102050102.802</t>
  </si>
  <si>
    <t>ลูกหนี้ค่ารักษา - เบิกจ่ายตรง อปท. IP</t>
  </si>
  <si>
    <t>1102050102.803</t>
  </si>
  <si>
    <t>ลูกหนี้ค่ารักษา - เบิกจ่ายตรง อปท.รูปแบบพิเศษ OP</t>
  </si>
  <si>
    <t>1102050102.804</t>
  </si>
  <si>
    <t>ลูกหนี้ค่ารักษา - เบิกจ่ายตรงอปท.รูปแบบพิเศษ IP</t>
  </si>
  <si>
    <t>1102050106.106</t>
  </si>
  <si>
    <t>1102050106</t>
  </si>
  <si>
    <t>รายได้ค้างรับ - หน่วยงานภาครัฐ</t>
  </si>
  <si>
    <t>1102050107.103</t>
  </si>
  <si>
    <t>1102050107</t>
  </si>
  <si>
    <t>รายได้ค้างรับ - บุคคลภายนอก</t>
  </si>
  <si>
    <t>1102050107.104</t>
  </si>
  <si>
    <t>รายได้จากงบประมาณค้างรับ (หน่วยงานย่อย)</t>
  </si>
  <si>
    <t>1102050107.105</t>
  </si>
  <si>
    <t xml:space="preserve">รายได้ค้างรับส่วนต่างค่ารักษาที่ต่ำกว่า OP - Non UC </t>
  </si>
  <si>
    <t>1102050107.106</t>
  </si>
  <si>
    <t>รายได้ค้างรับส่วนต่างค่ารักษาที่ต่ำกว่า IP - Non UC</t>
  </si>
  <si>
    <t>1102050107.201</t>
  </si>
  <si>
    <t xml:space="preserve">รายได้ค้างรับส่วนต่างค่ารักษาที่ต่ำกว่า OP - UC </t>
  </si>
  <si>
    <t>1102050107.202</t>
  </si>
  <si>
    <t>รายได้ค้างรับส่วนต่างค่ารักษาที่ต่ำกว่า IP - UC</t>
  </si>
  <si>
    <t>1102050123.103</t>
  </si>
  <si>
    <t>1102050123</t>
  </si>
  <si>
    <t>ค่าเผื่อหนี้สงสัยจะสูญ - ลูกหนี้ค่าสิ่งส่งตรวจหน่วยงานภาครัฐ</t>
  </si>
  <si>
    <t>1102050123.105</t>
  </si>
  <si>
    <t>ค่าเผื่อหนี้สงสัยจะสูญ - ลูกหนี้ค่าวัสดุ/อุปกรณ์/น้ำยา หน่วยงานภาครัฐ</t>
  </si>
  <si>
    <t>1102050123.106</t>
  </si>
  <si>
    <t>ค่าเผื่อหนี้สงสัยจะสูญ - ลูกหนี้ค่าสินค้าหน่วยงานภาครัฐ</t>
  </si>
  <si>
    <t>1102050123.114</t>
  </si>
  <si>
    <t>ค่าเผื่อหนี้สงสัยจะสูญ - ลูกหนี้ค่ารักษาชำระเงิน OP</t>
  </si>
  <si>
    <t>1102050123.115</t>
  </si>
  <si>
    <t>ค่าเผื่อหนี้สงสัยจะสูญ - ลูกหนี้ค่ารักษาชำระเงิน IP</t>
  </si>
  <si>
    <t>1102050123.203</t>
  </si>
  <si>
    <t>ค่าเผื่อหนี้สงสัยจะสูญ - ลูกหนี้ค่ารักษา UC- OP นอก CUP (ในจังหวัด)</t>
  </si>
  <si>
    <t>1102050123.205</t>
  </si>
  <si>
    <t>ค่าเผื่อหนี้สงสัยจะสูญ - ลูกหนี้ค่ารักษา UC- OP นอก CUP (ต่างจังหวัด)</t>
  </si>
  <si>
    <t>1102050124.101</t>
  </si>
  <si>
    <t>1102050124</t>
  </si>
  <si>
    <t>ค้างรับจากกรมบัญชีกลาง - หน่วยเบิกจ่าย</t>
  </si>
  <si>
    <t>1102050194.101</t>
  </si>
  <si>
    <t>1102050194</t>
  </si>
  <si>
    <t>ลูกหนี้อื่น - หน่วยงานภาครัฐ</t>
  </si>
  <si>
    <t>1102050194.102</t>
  </si>
  <si>
    <t>ลูกหนี้อื่น - บุคคลภายนอก</t>
  </si>
  <si>
    <t>1103020111.101</t>
  </si>
  <si>
    <t>1103020111</t>
  </si>
  <si>
    <t>เงินจ่ายล่วงหน้า</t>
  </si>
  <si>
    <t>1104010101.101</t>
  </si>
  <si>
    <t>1104010101</t>
  </si>
  <si>
    <t>เงินฝากประจำ</t>
  </si>
  <si>
    <t>1105010101.101</t>
  </si>
  <si>
    <t>1105010101</t>
  </si>
  <si>
    <t>วัตถุดิบ</t>
  </si>
  <si>
    <t>1105010102.101</t>
  </si>
  <si>
    <t>1105010102</t>
  </si>
  <si>
    <t>สินค้าระหว่างผลิต</t>
  </si>
  <si>
    <t>1105010103.101</t>
  </si>
  <si>
    <t>1105010103</t>
  </si>
  <si>
    <t>สินค้าสำเร็จรูป</t>
  </si>
  <si>
    <t>1105010103.102</t>
  </si>
  <si>
    <t>ยา</t>
  </si>
  <si>
    <t>1105010103.103</t>
  </si>
  <si>
    <t>วัสดุเภสัชกรรม</t>
  </si>
  <si>
    <t>1105010103.104</t>
  </si>
  <si>
    <t>วัสดุการแพทย์ทั่วไป</t>
  </si>
  <si>
    <t>1105010103.105</t>
  </si>
  <si>
    <t>วัสดุวิทยาศาสตร์และการแพทย์</t>
  </si>
  <si>
    <t>1105010103.106</t>
  </si>
  <si>
    <t>วัสดุเอกซเรย์</t>
  </si>
  <si>
    <t>1105010103.107</t>
  </si>
  <si>
    <t>วัสดุทันตกรรม</t>
  </si>
  <si>
    <t>1105010103.108</t>
  </si>
  <si>
    <t>วัสดุบริโภค</t>
  </si>
  <si>
    <t>1105010103.109</t>
  </si>
  <si>
    <t>วัสดุเครื่องแต่งกาย</t>
  </si>
  <si>
    <t>1105010105.105</t>
  </si>
  <si>
    <t>1105010105</t>
  </si>
  <si>
    <t>วัสดุสำนักงาน</t>
  </si>
  <si>
    <t>1105010105.106</t>
  </si>
  <si>
    <t>วัสดุยานพาหนะและขนส่ง</t>
  </si>
  <si>
    <t>1105010105.107</t>
  </si>
  <si>
    <t>วัสดุเชื้อเพลิงและหล่อลื่น</t>
  </si>
  <si>
    <t>1105010105.108</t>
  </si>
  <si>
    <t>วัสดุไฟฟ้าและวิทยุ</t>
  </si>
  <si>
    <t>1105010105.109</t>
  </si>
  <si>
    <t>วัสดุโฆษณาและเผยแพร่</t>
  </si>
  <si>
    <t>1105010105.110</t>
  </si>
  <si>
    <t>วัสดุคอมพิวเตอร์</t>
  </si>
  <si>
    <t>1105010105.111</t>
  </si>
  <si>
    <t>วัสดุงานบ้านงานครัว</t>
  </si>
  <si>
    <t>1105010105.114</t>
  </si>
  <si>
    <t>วัสดุก่อสร้าง</t>
  </si>
  <si>
    <t>1105010105.115</t>
  </si>
  <si>
    <t>วัสดุอื่น</t>
  </si>
  <si>
    <t>1106010103.103</t>
  </si>
  <si>
    <t>1106010103</t>
  </si>
  <si>
    <t>ค่าใช้จ่ายจ่ายล่วงหน้า</t>
  </si>
  <si>
    <t>1106010103.201</t>
  </si>
  <si>
    <t>เงินกองทุน UC จ่ายล่วงหน้า</t>
  </si>
  <si>
    <t>1106010112.101</t>
  </si>
  <si>
    <t>1106010112</t>
  </si>
  <si>
    <t>ใบสำคัญรองจ่าย</t>
  </si>
  <si>
    <t>1106010199.101</t>
  </si>
  <si>
    <t>1106010199</t>
  </si>
  <si>
    <t>สินทรัพย์หมุนเวียนอื่น</t>
  </si>
  <si>
    <t>1201020101.101</t>
  </si>
  <si>
    <t>เงินให้ยืมระยะยาว-หน่วยงานภาครัฐ</t>
  </si>
  <si>
    <t>1201050198.101</t>
  </si>
  <si>
    <t>1201050198</t>
  </si>
  <si>
    <t>ลูกหนี้อื่นระยะยาว</t>
  </si>
  <si>
    <t>1204010102.101</t>
  </si>
  <si>
    <t>1204020103</t>
  </si>
  <si>
    <t>ที่ดินราชพัสดุรอโอน</t>
  </si>
  <si>
    <t>1205010101.101</t>
  </si>
  <si>
    <t>1205010101</t>
  </si>
  <si>
    <t>อาคารเพื่อการพักอาศัย</t>
  </si>
  <si>
    <t>1205010102.101</t>
  </si>
  <si>
    <t>1205010102</t>
  </si>
  <si>
    <t>พักอาคารเพื่อการพักอาศัย</t>
  </si>
  <si>
    <t>1205010103.101</t>
  </si>
  <si>
    <t>1205010103</t>
  </si>
  <si>
    <t>ค่าเสื่อมราคาสะสม - อาคารเพื่อการพักอาศัย</t>
  </si>
  <si>
    <t>1205020101.101</t>
  </si>
  <si>
    <t>1205020101</t>
  </si>
  <si>
    <t>อาคารสำนักงาน</t>
  </si>
  <si>
    <t>1205020102.101</t>
  </si>
  <si>
    <t>1205020102</t>
  </si>
  <si>
    <t>พักอาคารสำนักงาน</t>
  </si>
  <si>
    <t>1205020103.101</t>
  </si>
  <si>
    <t>1205020103</t>
  </si>
  <si>
    <t>ค่าเสื่อมราคาสะสม - อาคารสำนักงาน</t>
  </si>
  <si>
    <t>1205030101.101</t>
  </si>
  <si>
    <t>1205030101</t>
  </si>
  <si>
    <t>อาคารเพื่อประโยชน์อื่น</t>
  </si>
  <si>
    <t>1205030102.101</t>
  </si>
  <si>
    <t>1205030102</t>
  </si>
  <si>
    <t>พักอาคารเพื่อประโยชน์อื่น</t>
  </si>
  <si>
    <t>1205030103.101</t>
  </si>
  <si>
    <t>1205030103</t>
  </si>
  <si>
    <t>ค่าเสื่อมราคาสะสม-อาคารเพื่อประโยชน์อื่น</t>
  </si>
  <si>
    <t>1205030106.101</t>
  </si>
  <si>
    <t>1205030106</t>
  </si>
  <si>
    <t>ส่วนปรับปรุงอาคาร</t>
  </si>
  <si>
    <t>1205030107.101</t>
  </si>
  <si>
    <t>1205030107</t>
  </si>
  <si>
    <t>พักส่วนปรับปรุงอาคาร</t>
  </si>
  <si>
    <t>1205030108.101</t>
  </si>
  <si>
    <t>1205030108</t>
  </si>
  <si>
    <t>ค่าเสื่อมราคาสะสม-ส่วนปรับปรุงอาคาร</t>
  </si>
  <si>
    <t>1205040101.101</t>
  </si>
  <si>
    <t>1205040101</t>
  </si>
  <si>
    <t>สิ่งปลูกสร้าง</t>
  </si>
  <si>
    <t>1205040101.102</t>
  </si>
  <si>
    <t>ระบบประปา</t>
  </si>
  <si>
    <t>1205040101.103</t>
  </si>
  <si>
    <t>ระบบบำบัดน้ำเสีย</t>
  </si>
  <si>
    <t>1205040101.104</t>
  </si>
  <si>
    <t>ระบบไฟฟ้า</t>
  </si>
  <si>
    <t>1205040101.105</t>
  </si>
  <si>
    <t>ระบบโทรศัพท์</t>
  </si>
  <si>
    <t>1205040101.106</t>
  </si>
  <si>
    <t>ระบบถนนภายใน</t>
  </si>
  <si>
    <t>1205040102.101</t>
  </si>
  <si>
    <t>1205040102</t>
  </si>
  <si>
    <t>พักสิ่งปลูกสร้าง</t>
  </si>
  <si>
    <t>1205040102.102</t>
  </si>
  <si>
    <t>พักระบบประปา</t>
  </si>
  <si>
    <t>1205040102.103</t>
  </si>
  <si>
    <t>พักระบบบำบัดน้ำเสีย</t>
  </si>
  <si>
    <t>1205040102.104</t>
  </si>
  <si>
    <t>พักระบบไฟฟ้า</t>
  </si>
  <si>
    <t>1205040102.105</t>
  </si>
  <si>
    <t>พักระบบโทรศัพท์</t>
  </si>
  <si>
    <t>1205040102.106</t>
  </si>
  <si>
    <t>พักระบบถนนภายใน</t>
  </si>
  <si>
    <t>1205040103.101</t>
  </si>
  <si>
    <t>1205040103</t>
  </si>
  <si>
    <t>ค่าเสื่อมราคาสะสม-สิ่งปลูกสร้าง</t>
  </si>
  <si>
    <t>1205040103.102</t>
  </si>
  <si>
    <t>ค่าเสื่อมราคาสะสม-ระบบประปา</t>
  </si>
  <si>
    <t>1205040103.103</t>
  </si>
  <si>
    <t>ค่าเสื่อมราคาสะสม-ระบบบำบัดน้ำเสีย</t>
  </si>
  <si>
    <t>1205040103.104</t>
  </si>
  <si>
    <t>ค่าเสื่อมราคาสะสม-ระบบไฟฟ้า</t>
  </si>
  <si>
    <t>1205040103.105</t>
  </si>
  <si>
    <t>ค่าเสื่อมราคาสะสม-ระบบโทรศัพท์</t>
  </si>
  <si>
    <t>1205040103.106</t>
  </si>
  <si>
    <t>ค่าเสื่อมราคาสะสม-ระบบถนนภายใน</t>
  </si>
  <si>
    <t>1205050101.101</t>
  </si>
  <si>
    <t>1205050101</t>
  </si>
  <si>
    <t>อาคารเพื่อการพักอาศัย-Interface</t>
  </si>
  <si>
    <t>1205050101.102</t>
  </si>
  <si>
    <t>อาคารสำนักงาน-Interface</t>
  </si>
  <si>
    <t>1205050101.103</t>
  </si>
  <si>
    <t>อาคารเพื่อประโยชน์ อื่น-Interface</t>
  </si>
  <si>
    <t>1205050101.104</t>
  </si>
  <si>
    <t>สิ่งปลูกสร้าง-Interface</t>
  </si>
  <si>
    <t>1205050101.105</t>
  </si>
  <si>
    <t>ระบบประปา-Interface</t>
  </si>
  <si>
    <t>1205050101.106</t>
  </si>
  <si>
    <t>ระบบบำบัดน้ำเสีย-Interface</t>
  </si>
  <si>
    <t>1205050101.107</t>
  </si>
  <si>
    <t>ระบบไฟฟ้า-Interface</t>
  </si>
  <si>
    <t>1205050101.108</t>
  </si>
  <si>
    <t>ระบบโทรศัพท์-Interface</t>
  </si>
  <si>
    <t>1205050101.109</t>
  </si>
  <si>
    <t>ระบบถนนภายใน-Interface</t>
  </si>
  <si>
    <t>1205050102.101</t>
  </si>
  <si>
    <t>1205050102</t>
  </si>
  <si>
    <t>ค่าเสื่อมราคาสะสมอาคารเพื่อการพักอาศัย - Interface</t>
  </si>
  <si>
    <t>1205050102.102</t>
  </si>
  <si>
    <t>ค่าเสื่อมราคาสะสมอาคารสำนักงาน-Interface</t>
  </si>
  <si>
    <t>1205050102.103</t>
  </si>
  <si>
    <t>ค่าเสื่อมราคาสะสมอาคารเพื่อประโยชน์ อื่น - Interface</t>
  </si>
  <si>
    <t>1205050102.104</t>
  </si>
  <si>
    <t>ค่าเสื่อมราคาสะสมสิ่งปลูกสร้าง -Interface</t>
  </si>
  <si>
    <t>1205050102.105</t>
  </si>
  <si>
    <t>ค่าเสื่อมราคาสะสมระบบประปา -Interface</t>
  </si>
  <si>
    <t>1205050102.106</t>
  </si>
  <si>
    <t>ค่าเสื่อมราคาสะสมระบบบำบัดน้ำเสีย - Interface</t>
  </si>
  <si>
    <t>1205050102.107</t>
  </si>
  <si>
    <t>ค่าเสื่อมราคาสะสมระบบไฟฟ้า -Interface</t>
  </si>
  <si>
    <t>1205050102.108</t>
  </si>
  <si>
    <t>ค่าเสื่อมราคาสะสมระบบโทรศัพท์-Interface</t>
  </si>
  <si>
    <t>1205050102.109</t>
  </si>
  <si>
    <t>ค่าเสื่อมราคาสะสมระบบถนนภายใน-Interface</t>
  </si>
  <si>
    <t>1205060101.101</t>
  </si>
  <si>
    <t>1205060101</t>
  </si>
  <si>
    <t>อาคารและสิ่งปลูกสร้างไม่ระบุราย ละเอียด</t>
  </si>
  <si>
    <t>1205060102.101</t>
  </si>
  <si>
    <t>1205060102</t>
  </si>
  <si>
    <t>ค่าเสื่อมราคาสะสม-อาคารและสิ่งปลูกสร้างไม่ระบุรายละเอียด</t>
  </si>
  <si>
    <t>1206010101.101</t>
  </si>
  <si>
    <t>1206010101</t>
  </si>
  <si>
    <t>ครุภัณฑ์สำนักงาน</t>
  </si>
  <si>
    <t>1206010102.101</t>
  </si>
  <si>
    <t>1206010102</t>
  </si>
  <si>
    <t>พักครุภัณฑ์สำนักงาน</t>
  </si>
  <si>
    <t>1206010103.101</t>
  </si>
  <si>
    <t>1206010103</t>
  </si>
  <si>
    <t>ค่าเสื่อมราคาสะสม-ครุภัณฑ์สำนักงาน</t>
  </si>
  <si>
    <t>1206020101.101</t>
  </si>
  <si>
    <t>1206020101</t>
  </si>
  <si>
    <t>ครุภัณฑ์ยานพาหนะและขนส่ง</t>
  </si>
  <si>
    <t>1206020102.101</t>
  </si>
  <si>
    <t>1206020102</t>
  </si>
  <si>
    <t>พักครุภัณฑ์ยานพาหนะและขนส่ง</t>
  </si>
  <si>
    <t>1206020103.101</t>
  </si>
  <si>
    <t>1206020103</t>
  </si>
  <si>
    <t>ค่าเสื่อมราคาสะสม -ครุภัณฑ์ยานพาหนะและขนส่ง</t>
  </si>
  <si>
    <t>1206030101.101</t>
  </si>
  <si>
    <t>1206030101</t>
  </si>
  <si>
    <t>ครุภัณฑ์ไฟฟ้าและวิทยุ</t>
  </si>
  <si>
    <t>1206030102.101</t>
  </si>
  <si>
    <t>1206030102</t>
  </si>
  <si>
    <t>พักครุภัณฑ์ไฟฟ้าและวิทยุ</t>
  </si>
  <si>
    <t>1206030103.101</t>
  </si>
  <si>
    <t>1206030103</t>
  </si>
  <si>
    <t>ค่าเสื่อมราคาสะสม-ครุภัณฑ์ไฟฟ้าและวิทยุ</t>
  </si>
  <si>
    <t>1206040101.101</t>
  </si>
  <si>
    <t>1206040101</t>
  </si>
  <si>
    <t>ครุภัณฑ์โฆษณาและเผยแพร่</t>
  </si>
  <si>
    <t>1206040102.101</t>
  </si>
  <si>
    <t>1206040102</t>
  </si>
  <si>
    <t>พักครุภัณฑ์โฆษณาและเผยแพร่</t>
  </si>
  <si>
    <t>1206040103.101</t>
  </si>
  <si>
    <t>1206040103</t>
  </si>
  <si>
    <t>ค่าเสื่อมราคาสะสม-ครุภัณฑ์โฆษณาและเผยแพร่</t>
  </si>
  <si>
    <t>1206050101.101</t>
  </si>
  <si>
    <t>1206050101</t>
  </si>
  <si>
    <t>ครุภัณฑ์การเกษตร</t>
  </si>
  <si>
    <t>1206050102.101</t>
  </si>
  <si>
    <t>1206050102</t>
  </si>
  <si>
    <t>พักครุภัณฑ์การเกษตร</t>
  </si>
  <si>
    <t>1206050103.101</t>
  </si>
  <si>
    <t>1206050103</t>
  </si>
  <si>
    <t>ค่าเสื่อมราคาสะสม -ครุภัณฑ์การเกษตร</t>
  </si>
  <si>
    <t>1206060101.101</t>
  </si>
  <si>
    <t>ครุภัณฑ์โรงงาน</t>
  </si>
  <si>
    <t>1206060102.101</t>
  </si>
  <si>
    <t>พักครุภัณฑ์โรงงาน</t>
  </si>
  <si>
    <t>1206060103.101</t>
  </si>
  <si>
    <t>ค่าเสื่อมราคาสะสม -ครุภัณฑ์โรงงาน</t>
  </si>
  <si>
    <t>1206070101.101</t>
  </si>
  <si>
    <t>1206070101</t>
  </si>
  <si>
    <t>ครุภัณฑ์ก่อสร้าง</t>
  </si>
  <si>
    <t>1206070102.101</t>
  </si>
  <si>
    <t>1206070102</t>
  </si>
  <si>
    <t>พักครุภัณฑ์ก่อสร้าง</t>
  </si>
  <si>
    <t>1206070103.101</t>
  </si>
  <si>
    <t>1206070103</t>
  </si>
  <si>
    <t>ค่าเสื่อมราคาสะสม-ครุภัณฑ์ก่อสร้าง</t>
  </si>
  <si>
    <t>1206090101.101</t>
  </si>
  <si>
    <t>1206090101</t>
  </si>
  <si>
    <t>ครุภัณฑ์วิทยาศาสตร์และการแพทย์</t>
  </si>
  <si>
    <t>1206090102.101</t>
  </si>
  <si>
    <t>1206090102</t>
  </si>
  <si>
    <t>พักครุภัณฑ์วิทยาศาสตร์และการแพทย์</t>
  </si>
  <si>
    <t>1206090103.101</t>
  </si>
  <si>
    <t>1206090103</t>
  </si>
  <si>
    <t>ค่าเสื่อมราคาสะสม -ครุภัณฑ์วิทยาศาสตร์และการแพทย์</t>
  </si>
  <si>
    <t>1206100101.101</t>
  </si>
  <si>
    <t>1206100101</t>
  </si>
  <si>
    <t>ครุภัณฑ์คอมพิวเตอร์</t>
  </si>
  <si>
    <t>1206100102.101</t>
  </si>
  <si>
    <t>1206100102</t>
  </si>
  <si>
    <t>พักครุภัณฑ์คอมพิวเตอร์</t>
  </si>
  <si>
    <t>1206100103.101</t>
  </si>
  <si>
    <t>1206100103</t>
  </si>
  <si>
    <t>ค่าเสื่อมราคาสะสม-ครุภัณฑ์คอมพิวเตอร์</t>
  </si>
  <si>
    <t>1206110101.101</t>
  </si>
  <si>
    <t>1206110101</t>
  </si>
  <si>
    <t xml:space="preserve">ครุภัณฑ์การศึกษา </t>
  </si>
  <si>
    <t>1206110102.101</t>
  </si>
  <si>
    <t>1206110102</t>
  </si>
  <si>
    <t xml:space="preserve">พักครุภัณฑ์การศึกษา </t>
  </si>
  <si>
    <t>1206110103.101</t>
  </si>
  <si>
    <t>1206110103</t>
  </si>
  <si>
    <t xml:space="preserve">ค่าเสื่อมราคาสะสม-ครุภัณฑ์การศึกษา  </t>
  </si>
  <si>
    <t>1206120101.101</t>
  </si>
  <si>
    <t>1206120101</t>
  </si>
  <si>
    <t>ครุภัณฑ์งานบ้านงานครัว</t>
  </si>
  <si>
    <t>1206120102.101</t>
  </si>
  <si>
    <t>1206120102</t>
  </si>
  <si>
    <t>พักครุภัณฑ์งานบ้านงานครัว</t>
  </si>
  <si>
    <t>1206120103.101</t>
  </si>
  <si>
    <t>1206120103</t>
  </si>
  <si>
    <t>ค่าเสื่อมราคาสะสม-ครุภัณฑ์งานบ้านงานครัว</t>
  </si>
  <si>
    <t>1206130101.101</t>
  </si>
  <si>
    <t>1206130101</t>
  </si>
  <si>
    <t>ครุภัณฑ์กีฬา</t>
  </si>
  <si>
    <t>1206130102.101</t>
  </si>
  <si>
    <t>1206130102</t>
  </si>
  <si>
    <t>พักครุภัณฑ์กีฬา</t>
  </si>
  <si>
    <t>1206130103.101</t>
  </si>
  <si>
    <t>1206130103</t>
  </si>
  <si>
    <t xml:space="preserve">ค่าเสื่อมราคาสะสม-ครุภัณฑ์กีฬา </t>
  </si>
  <si>
    <t>1206140101.101</t>
  </si>
  <si>
    <t>1206140101</t>
  </si>
  <si>
    <t xml:space="preserve">ครุภัณฑ์ดนตรี </t>
  </si>
  <si>
    <t>1206140102.101</t>
  </si>
  <si>
    <t>1206140102</t>
  </si>
  <si>
    <t xml:space="preserve">พักครุภัณฑ์ดนตรี </t>
  </si>
  <si>
    <t>1206140103.101</t>
  </si>
  <si>
    <t>1206140103</t>
  </si>
  <si>
    <t>ค่าเสื่อมราคาสะสม-ครุภัณฑ์ดนตรี</t>
  </si>
  <si>
    <t>1206150101.101</t>
  </si>
  <si>
    <t>1206150101</t>
  </si>
  <si>
    <t>ครุภัณฑ์สนาม</t>
  </si>
  <si>
    <t>1206150102.101</t>
  </si>
  <si>
    <t>1206150102</t>
  </si>
  <si>
    <t>พักครุภัณฑ์สนาม</t>
  </si>
  <si>
    <t>1206150103.101</t>
  </si>
  <si>
    <t>1206150103</t>
  </si>
  <si>
    <t>ค่าเสื่อมราคาสะสม-ครุภัณฑ์สนาม</t>
  </si>
  <si>
    <t>1206160101.101</t>
  </si>
  <si>
    <t>1206160101</t>
  </si>
  <si>
    <t>ครุภัณฑ์อื่น</t>
  </si>
  <si>
    <t>1206160102.101</t>
  </si>
  <si>
    <t>1206160102</t>
  </si>
  <si>
    <t>พักครุภัณฑ์อื่น</t>
  </si>
  <si>
    <t>1206160103.101</t>
  </si>
  <si>
    <t>1206160103</t>
  </si>
  <si>
    <t>ค่าเสื่อมราคาสะสม- ครุภัณฑ์อื่น</t>
  </si>
  <si>
    <t>1206170101.101</t>
  </si>
  <si>
    <t>1206170101</t>
  </si>
  <si>
    <t xml:space="preserve">ครุภัณฑ์สำนักงาน-Interface </t>
  </si>
  <si>
    <t>1206170101.102</t>
  </si>
  <si>
    <t xml:space="preserve">ครุภัณฑ์ยานพาหนะและขนส่ง-Interface </t>
  </si>
  <si>
    <t>1206170101.103</t>
  </si>
  <si>
    <t>ครุภัณฑ์ไฟฟ้าและวิทยุ-Interface</t>
  </si>
  <si>
    <t>1206170101.104</t>
  </si>
  <si>
    <t xml:space="preserve">ครุภัณฑ์โฆษณาและเผยแพร่-Interface </t>
  </si>
  <si>
    <t>1206170101.105</t>
  </si>
  <si>
    <t xml:space="preserve">ครุภัณฑ์การเกษตร-Interface </t>
  </si>
  <si>
    <t>1206170101.106</t>
  </si>
  <si>
    <t xml:space="preserve">ครุภัณฑ์ก่อสร้าง-Interface </t>
  </si>
  <si>
    <t>1206170101.107</t>
  </si>
  <si>
    <t xml:space="preserve">ครุภัณฑ์วิทยาศาสตร์และการแพทย์-Interface  </t>
  </si>
  <si>
    <t>1206170101.108</t>
  </si>
  <si>
    <t>ครุภัณฑ์คอมพิวเตอร์-Interface</t>
  </si>
  <si>
    <t>1206170101.109</t>
  </si>
  <si>
    <t xml:space="preserve">ครุภัณฑ์งานบ้านงานครัว-Interface </t>
  </si>
  <si>
    <t>1206170101.110</t>
  </si>
  <si>
    <t>ครุภัณฑ์อื่น-Interface</t>
  </si>
  <si>
    <t>1206170102.101</t>
  </si>
  <si>
    <t>1206170102</t>
  </si>
  <si>
    <t>ค่าเสื่อมราคาสะสมครุภัณฑ์สำนักงาน-Interface</t>
  </si>
  <si>
    <t>1206170102.102</t>
  </si>
  <si>
    <t>ค่าเสื่อมราคาสะสมครุภัณฑ์ยานพาหนะและขนส่ง-Interface</t>
  </si>
  <si>
    <t>1206170102.103</t>
  </si>
  <si>
    <t>ค่าเสื่อมราคาสะสมครุภัณฑ์ไฟฟ้าและวิทยุ-Interface</t>
  </si>
  <si>
    <t>1206170102.104</t>
  </si>
  <si>
    <t>ค่าเสื่อมราคาสะสมครุภัณฑ์โฆษณาและเผยแพร่-Interface</t>
  </si>
  <si>
    <t>1206170102.105</t>
  </si>
  <si>
    <t>ค่าเสื่อมราคาสะสมครุภัณฑ์การเกษตร-Interface</t>
  </si>
  <si>
    <t>1206170102.106</t>
  </si>
  <si>
    <t>ค่าเสื่อมราคาสะสมครุภัณฑ์ก่อสร้าง-Interface</t>
  </si>
  <si>
    <t>1206170102.107</t>
  </si>
  <si>
    <t>ค่าเสื่อมราคาสะสมครุภัณฑ์วิทยาศาสตร์และการแพทย์-Interface</t>
  </si>
  <si>
    <t>1206170102.108</t>
  </si>
  <si>
    <t>ค่าเสื่อมราคาสะสมครุภัณฑ์คอมพิวเตอร์-Interface</t>
  </si>
  <si>
    <t>1206170102.109</t>
  </si>
  <si>
    <t>ค่าเสื่อมราคาสะสมครุภัณฑ์งานบ้านงานครัว-Interface</t>
  </si>
  <si>
    <t>1206170102.110</t>
  </si>
  <si>
    <t>ค่าเสื่อมราคาสะสมครุภัณฑ์อื่น-Interface</t>
  </si>
  <si>
    <t>1206180101.101</t>
  </si>
  <si>
    <t>1206180101</t>
  </si>
  <si>
    <t>ครุภัณฑ์ไม่ระบุรายละเอียด</t>
  </si>
  <si>
    <t>1206180102.101</t>
  </si>
  <si>
    <t>1206180102</t>
  </si>
  <si>
    <t>ค่าเสื่อมราคาสะสม- ครุภัณฑ์ไม่ระบุรายละเอียด</t>
  </si>
  <si>
    <t>1209010101.101</t>
  </si>
  <si>
    <t>1209010101</t>
  </si>
  <si>
    <t>โปรแกรมคอมพิวเตอร์</t>
  </si>
  <si>
    <t>1209010102.101</t>
  </si>
  <si>
    <t>1209010102</t>
  </si>
  <si>
    <t>พักโปรแกรมคอมพิวเตอร์</t>
  </si>
  <si>
    <t>1209010103.101</t>
  </si>
  <si>
    <t>1209010103</t>
  </si>
  <si>
    <t>ค่าตัดจำหน่ายสะสม - โปรแกรมคอมพิวเตอร์</t>
  </si>
  <si>
    <t>1209030101.101</t>
  </si>
  <si>
    <t>1209030101</t>
  </si>
  <si>
    <t>โปรแกรมคอมพิวเตอร์ -Interface</t>
  </si>
  <si>
    <t>1209030101.104</t>
  </si>
  <si>
    <t xml:space="preserve">สินทรัพย์ไม่มีตัวตนอื่น - Interface  </t>
  </si>
  <si>
    <t>1209030102.101</t>
  </si>
  <si>
    <t>1209030102</t>
  </si>
  <si>
    <t>ค่าตัดจำหน่ายสะสมโปรแกรมคอม     พิวเตอร์ - Interface</t>
  </si>
  <si>
    <t>1209030102.103</t>
  </si>
  <si>
    <t>ค่าตัดจำหน่ายสะสมสินทรัพย์ไม่มีตัวตนอื่น  - Interface</t>
  </si>
  <si>
    <t>1211010101.101</t>
  </si>
  <si>
    <t>1211010101</t>
  </si>
  <si>
    <t>งานระหว่างก่อสร้าง</t>
  </si>
  <si>
    <t>1211010102.101</t>
  </si>
  <si>
    <t>1211010102</t>
  </si>
  <si>
    <t>พักงานระหว่างก่อสร้าง</t>
  </si>
  <si>
    <t>1211010103.101</t>
  </si>
  <si>
    <t>1211010103</t>
  </si>
  <si>
    <t>งานระหว่างก่อสร้าง- Interface</t>
  </si>
  <si>
    <t>1213010105.101</t>
  </si>
  <si>
    <t>สินทรัพย์รอการโอน</t>
  </si>
  <si>
    <t>1213010199.101</t>
  </si>
  <si>
    <t>สินทรัพย์ไม่หมุนเวียนอื่น</t>
  </si>
  <si>
    <t>2101010101.102</t>
  </si>
  <si>
    <t>2101010101</t>
  </si>
  <si>
    <t>เจ้าหนี้การค้า - หน่วยงานภาครัฐ</t>
  </si>
  <si>
    <t>2101010102.102</t>
  </si>
  <si>
    <t>2101010102</t>
  </si>
  <si>
    <t>เจ้าหนี้การค้าบุคคลภายนอก-ยา(กรมบัญชีกลางจ่ายตรงผู้ขาย)</t>
  </si>
  <si>
    <t>2101010102.103</t>
  </si>
  <si>
    <t>เจ้าหนี้การค้าบุคคลภายนอก -วัสดุการแพทย์ทั่วไป (กรมบัญชีกลางจ่ายตรงผู้ขาย)</t>
  </si>
  <si>
    <t>2101010102.105</t>
  </si>
  <si>
    <t>เจ้าหนี้การค้าบุคคลภายนอก - วัสดุวิทยาศาสตร์และการแพทย์(กรมบัญชีกลางจ่ายตรงผู้ขาย)</t>
  </si>
  <si>
    <t>2101010102.116</t>
  </si>
  <si>
    <t>เจ้าหนี้การค้าบุคคลภายนอก-วัสดุอื่น(กรมบัญชีกลางจ่ายตรงผู้ขาย)</t>
  </si>
  <si>
    <t>2101010102.129</t>
  </si>
  <si>
    <t>เจ้าหนี้การค้าบุคคลภายนอก - อื่น ๆ (กรมบัญชีกลางจ่ายตรงผู้ขาย)</t>
  </si>
  <si>
    <t>2101010102.130</t>
  </si>
  <si>
    <t>เจ้าหนี้การค้าบุคคลภายนอก - วัสดุเภสัชกรรม(กรมบัญชีกลางจ่ายตรงผู้ขาย)</t>
  </si>
  <si>
    <t>2101010102.131</t>
  </si>
  <si>
    <t>เจ้าหนี้การค้าบุคคลภายนอก - วัสดุทันตกรรม(กรมบัญชีกลางจ่ายตรงผู้ขาย)</t>
  </si>
  <si>
    <t>2101010102.132</t>
  </si>
  <si>
    <t>เจ้าหนี้การค้าบุคคลภายนอก - วัสดุเอกซเรย์(กรมบัญชีกลางจ่ายตรงผู้ขาย)</t>
  </si>
  <si>
    <t>2101010102.133</t>
  </si>
  <si>
    <t>เจ้าหนี้การค้า-บุคคลภายนอก-ยา (เงินนอกประมาณฝากคลัง)</t>
  </si>
  <si>
    <t>2101010102.134</t>
  </si>
  <si>
    <t>เจ้าหนี้การค้า-บุคคลภายนอก-วัสดุเภสัชกรรม (เงินนอกประมาณฝากคลัง)</t>
  </si>
  <si>
    <t>2101010102.135</t>
  </si>
  <si>
    <t>เจ้าหนี้การค้า-บุคคลภายนอก-วัสดุการแพทย์ทั่วไป (เงินนอกประมาณฝากคลัง)</t>
  </si>
  <si>
    <t>2101010102.136</t>
  </si>
  <si>
    <t>เจ้าหนี้การค้า-บุคคลภายนอก -วัสดุวิทยาศาสตร์การแพทย์ (เงินนอกงบประมาณฝากคลัง)</t>
  </si>
  <si>
    <t>2101010102.137</t>
  </si>
  <si>
    <t>เจ้าหนี้การค้า-บุคคลภายนอก-วัสดุเอกซเรย์ (เงินนอกงบประมาณฝากคลัง)</t>
  </si>
  <si>
    <t>2101010102.138</t>
  </si>
  <si>
    <t>เจ้าหนี้การค้า-บุคคลภายนอก-วัสดุทันตกรรม (เงินนอกงบประมาณฝากคลัง)</t>
  </si>
  <si>
    <t>2101010102.139</t>
  </si>
  <si>
    <t>เจ้าหนี้การค้า-บุคคลภายนอก-วัสดุอื่น ๆ  (เงินนอกงบประมาณฝากคลัง)</t>
  </si>
  <si>
    <t>2101010102.140</t>
  </si>
  <si>
    <t>เจ้าหนี้การค้า-บุคคลภายนอก-อื่น ๆ (เงินนอกงบประมาณฝากคลัง)</t>
  </si>
  <si>
    <t>2101010103.101</t>
  </si>
  <si>
    <t>2101010103</t>
  </si>
  <si>
    <t>รับสินค้า/ใบสำคัญ (GR/IR) - เงินงบประมาณ</t>
  </si>
  <si>
    <t>2101010103.102</t>
  </si>
  <si>
    <t>รับสินค้า/ใบสำคัญ (GR/IR) - เงินนอกงบประมาณฝากคลัง</t>
  </si>
  <si>
    <t>2101010103.103</t>
  </si>
  <si>
    <t>รับสินค้า/ใบสำคัญ (GR/IR) – เงินนอกงบประมาณฝากคลัง ยาและเวชภัณฑ์มิใช่ยา</t>
  </si>
  <si>
    <t>2101010107.101</t>
  </si>
  <si>
    <t>2101010107</t>
  </si>
  <si>
    <t>เจ้าหนี้การค้า Interface - บุคคลภายนอก</t>
  </si>
  <si>
    <t>2101020106.101</t>
  </si>
  <si>
    <t>2101020106</t>
  </si>
  <si>
    <t>เจ้าหนี้ส่วนราชการ - รายได้รับแทนกัน</t>
  </si>
  <si>
    <t>2101020198.102</t>
  </si>
  <si>
    <t>2101020198</t>
  </si>
  <si>
    <t>เจ้าหนี้หน่วยงานภาครัฐ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</si>
  <si>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2101020198.103</t>
  </si>
  <si>
    <t>เจ้าหนี้หน่วยงานภาครัฐ - วัสดุการแพทย์ทั่วไป (กรมบัญชีกลางจ่ายตรงให้ผู้ขายที่เป็นรัฐวิสาหกิจหรือ หน่วยงานของรัฐ)</t>
  </si>
  <si>
    <t>2101020198.105</t>
  </si>
  <si>
    <t>เจ้าหนี้หน่วยงานภาครัฐ - วัสดุวิทยาศาสตร์และการแพทย์ (กรมบัญชีกลางจ่ายตรงให้ผู้ขายที่เป็นรัฐวิสาหกิจหรือหน่วยงานของรัฐ)</t>
  </si>
  <si>
    <t>2101020198.107</t>
  </si>
  <si>
    <t>เจ้าหนี้หน่วยงานภาครัฐ-วัสดุอื่น (กรมบัญชีกลางจ่ายตรงให้ผู้ขายที่เป็นรัฐวิสาหกิจหรือ หน่วยงานของรัฐ)</t>
  </si>
  <si>
    <t>2101020198.111</t>
  </si>
  <si>
    <t>เจ้าหนี้หน่วยงานภาครัฐ-อื่น (กรมบัญชีกลางจ่ายตรงให้ผู้ขายที่เป็นรัฐวิสาหกิจหรือหน่วยงานของรัฐ)</t>
  </si>
  <si>
    <t>2101020198.112</t>
  </si>
  <si>
    <t>เจ้าหนี้หน่วยงานภาครัฐ-วัสดุเภสัชกรรม(กรมบัญชีกลางจ่ายตรงให้ผู้ขายที่เป็นรัฐวิสาหกิจหรือ หน่วยงานของรัฐ)</t>
  </si>
  <si>
    <t>2101020198.113</t>
  </si>
  <si>
    <t>เจ้าหนี้หน่วยงานภาครัฐ-วัสดุทันตกรรม (กรมบัญชีกลางจ่ายตรงให้ผู้ขายที่เป็นรัฐวิสาหกิจหรือหน่วยงานของรัฐ)</t>
  </si>
  <si>
    <t>2101020198.114</t>
  </si>
  <si>
    <t>เจ้าหนี้หน่วยงานภาครัฐ-วัสดุเอกซเรย์(กรมบัญชีกลางจ่ายตรงให้ผู้ขายที่เป็นรัฐวิสาหกิจหรือ หน่วยงานของรัฐ)</t>
  </si>
  <si>
    <t>2101020198.115</t>
  </si>
  <si>
    <t>เจ้าหนี้อื่น - 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</si>
  <si>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2101020198.116</t>
  </si>
  <si>
    <t>เจ้าหนี้หน่วยงานภาครัฐ -วัสดุการแพทย์ทั่วไป (กรมบัญชีกลางจ่ายตรงให้ผู้ขายที่เป็นรัฐวิสาหกิจหรือ หน่วยงานของรัฐ)</t>
  </si>
  <si>
    <t>2101020198.117</t>
  </si>
  <si>
    <t>เจ้าหนี้หน่วยงานภาครัฐ - วัสดุวิทยาศาสตร์และการแพทย์   (กรมบัญชีกลางจ่ายตรงให้ผู้ขายที่เป็นรัฐวิสาหกิจหรือหน่วยงานของรัฐ)</t>
  </si>
  <si>
    <t>2101020198.118</t>
  </si>
  <si>
    <t>2101020198.119</t>
  </si>
  <si>
    <t>2101020198.120</t>
  </si>
  <si>
    <t>2101020198.121</t>
  </si>
  <si>
    <t>2101020198.122</t>
  </si>
  <si>
    <t>2101020199.134</t>
  </si>
  <si>
    <t>2101020199</t>
  </si>
  <si>
    <t>เจ้าหนี้ - ยา</t>
  </si>
  <si>
    <t>2101020199.135</t>
  </si>
  <si>
    <t>เจ้าหนี้ - วัสดุการแพทย์ทั่วไป</t>
  </si>
  <si>
    <t>2101020199.136</t>
  </si>
  <si>
    <t>เจ้าหนี้ - วัสดุวิทยาศาสตร์และการแพทย์</t>
  </si>
  <si>
    <t>2101020199.137</t>
  </si>
  <si>
    <t>เจ้าหนี้ - วัสดุอื่น</t>
  </si>
  <si>
    <t>2101020199.138</t>
  </si>
  <si>
    <t>เจ้าหนี้ - อื่น</t>
  </si>
  <si>
    <t>2101020199.139</t>
  </si>
  <si>
    <t>เจ้าหนี้ - ครุภัณฑ์</t>
  </si>
  <si>
    <t>2101020199.140</t>
  </si>
  <si>
    <t>เจ้าหนี้-ที่ดิน อาคาร และสิ่งปลูกสร้าง</t>
  </si>
  <si>
    <t>2101020199.141</t>
  </si>
  <si>
    <t>เจ้าหนี้-วัตถุดิบ</t>
  </si>
  <si>
    <t>2101020199.142</t>
  </si>
  <si>
    <t>เจ้าหนี้-สินค้าสำเร็จรูป</t>
  </si>
  <si>
    <t>2101020199.143</t>
  </si>
  <si>
    <t>เจ้าหนี้ - วัสดุเภสัชกรรม</t>
  </si>
  <si>
    <t>2101020199.144</t>
  </si>
  <si>
    <t>เจ้าหนี้ - วัสดุทันตกรรม</t>
  </si>
  <si>
    <t>2101020199.145</t>
  </si>
  <si>
    <t>เจ้าหนี้ - วัสดุเอกซเรย์</t>
  </si>
  <si>
    <t>2101020199.146</t>
  </si>
  <si>
    <t>เจ้าหนี้-ค่าจ้างเหมาบริการทางการแพทย์</t>
  </si>
  <si>
    <t>2101020199.147</t>
  </si>
  <si>
    <t>เจ้าหนี้-ค่าจ้างเหมาตรวจห้องปฏิบัติการ (LAB)</t>
  </si>
  <si>
    <t>2101020199.148</t>
  </si>
  <si>
    <t>เจ้าหนี้ - ค่าตรวจเอกซเรย์ (X-Ray)</t>
  </si>
  <si>
    <t>2101020199.149</t>
  </si>
  <si>
    <t>เจ้าหนี้ค่าวัสดุ/อุปกรณ์/น้ำยา หน่วยงานภาครัฐ</t>
  </si>
  <si>
    <t>2101020199.150</t>
  </si>
  <si>
    <t>เจ้าหนี้ค่าวัสดุ/อุปกรณ์/น้ำยา หน่วยงานภายนอก</t>
  </si>
  <si>
    <t>2101020199.151</t>
  </si>
  <si>
    <t>เจ้าหนี้ - เงินบริจาค</t>
  </si>
  <si>
    <t>2101020199.201</t>
  </si>
  <si>
    <t>เจ้าหนี้ - งบลงทุน UC</t>
  </si>
  <si>
    <t>2101020199.202</t>
  </si>
  <si>
    <t>เจ้าหนี้ค่ารักษา OP-UC นอก CUP (ในจังหวัดสังกัด สธ.)</t>
  </si>
  <si>
    <t>2101020199.203</t>
  </si>
  <si>
    <t xml:space="preserve">เจ้าหนี้ค่ารักษา OP-UC นอก CUP (ต่างจังหวัดสังกัด สธ.) </t>
  </si>
  <si>
    <t>2101020199.204</t>
  </si>
  <si>
    <t>เจ้าหนี้ค่ารักษา OP-UC นอกสังกัด สป.สธ.</t>
  </si>
  <si>
    <t>2101020199.301</t>
  </si>
  <si>
    <t>เจ้าหนี้ค่ารักษาพยาบาล-ประกันสังคม</t>
  </si>
  <si>
    <t>2101020199.501</t>
  </si>
  <si>
    <t>เจ้าหนี้ค่ารักษา - แรงงานต่างด้าว ในสังกัด สธ.</t>
  </si>
  <si>
    <t>2101020199.502</t>
  </si>
  <si>
    <t>เจ้าหนี้ค่ารักษา - แรงงานต่างด้าวนอกสังกัด สธ.</t>
  </si>
  <si>
    <t>2101020199.503</t>
  </si>
  <si>
    <t>เจ้าหนี้ค่ารักษา -แรงงานต่างด้าว ในสังกัด สธ.(จ่ายจากเงินบำรุง)</t>
  </si>
  <si>
    <t>2101020199.504</t>
  </si>
  <si>
    <t>เจ้าหนี้ค่ารักษา -แรงงานต่างด้าวนอกสังกัด สธ. (จ่ายจากเงินบำรุง)</t>
  </si>
  <si>
    <t>2101020199.701</t>
  </si>
  <si>
    <t xml:space="preserve">เจ้าหนี้ค่ารักษา - บุคคลที่มีปัญหาสถานะและสิทธินอก CUP </t>
  </si>
  <si>
    <t>2102040101.101</t>
  </si>
  <si>
    <t>2102040101</t>
  </si>
  <si>
    <t>ค่าสาธารณูปโภคค้างจ่าย</t>
  </si>
  <si>
    <t>2102040102.101</t>
  </si>
  <si>
    <t>2102040102</t>
  </si>
  <si>
    <t>ใบสำคัญค้างจ่าย(เงินงบประมาณ/เงินนอกงบ ประมาณฝากคลัง)</t>
  </si>
  <si>
    <t>2102040103.101</t>
  </si>
  <si>
    <t>2102040103</t>
  </si>
  <si>
    <t>ภาษีหัก ณ ที่จ่ายรอนำส่ง - ภาษีเงินได้บุคคลธรรมดา</t>
  </si>
  <si>
    <t>2102040104.101</t>
  </si>
  <si>
    <t>2102040104</t>
  </si>
  <si>
    <t>ภาษีหัก ณ ที่จ่ายรอนำส่ง - ภาษีเงินได้บุคคลธรรมดา ภงด 1</t>
  </si>
  <si>
    <t>2102040106.101</t>
  </si>
  <si>
    <t>2102040106</t>
  </si>
  <si>
    <t>ภาษีหัก ณ ที่จ่ายรอนำส่ง - ภาษีเงินได้นิติบุคคลจากบุคคลภายนอก</t>
  </si>
  <si>
    <t>2102040110.101</t>
  </si>
  <si>
    <t>ใบสำคัญค้างจ่ายอื่น (เงินนอกงบประมาณฝากธนาคารพาณิชย์)</t>
  </si>
  <si>
    <t>2102040110.102</t>
  </si>
  <si>
    <t>ค่าจ้างชั่วคราวค้างจ่าย (บริการ)</t>
  </si>
  <si>
    <t>2102040110.103</t>
  </si>
  <si>
    <t>ค่าจ้างชั่วคราวค้างจ่าย (สนับสนุน)</t>
  </si>
  <si>
    <t>2102040110.104</t>
  </si>
  <si>
    <t>ค่าจ้างพนักงานกระทรวงสาธารณสุขค้างจ่าย (บริการ)</t>
  </si>
  <si>
    <t>2102040110.105</t>
  </si>
  <si>
    <t>ค่าจ้างพนักงานกระทรวงสาธารณสุขค้างจ่าย (สนับสนุน)</t>
  </si>
  <si>
    <t>2102040110.106</t>
  </si>
  <si>
    <t>ค่าตอบแทนเงินเพิ่มพิเศษไม่ทำเวชปฏิบัติฯลฯ(บริการ) ค้างจ่าย</t>
  </si>
  <si>
    <t>2102040110.107</t>
  </si>
  <si>
    <t>ค่าตอบแทนในการปฏิบัติงานของเจ้าหน้าที่ (บริการ) ค้างจ่าย</t>
  </si>
  <si>
    <t>2102040110.108</t>
  </si>
  <si>
    <t>ค่าตอบแทนในการปฏิบัติงานของเจ้าหน้าที่ (สนับสนุน) ค้างจ่าย</t>
  </si>
  <si>
    <t>2102040110.109</t>
  </si>
  <si>
    <t>ค่าตอบแทนเงินเพิ่มพิเศษสำหรับผู้ปฏิบัติงานด้านการสาธารณสุข (พ.ต.ส.) เงินนอกงบประมาณค้างจ่าย</t>
  </si>
  <si>
    <t>2102040110.110</t>
  </si>
  <si>
    <t>ค่าตอบแทนตามผลการปฏิบัติงานค้างจ่าย</t>
  </si>
  <si>
    <t>2102040110.111</t>
  </si>
  <si>
    <t>ค่าตอบแทนการปฏิบัติงานในลักษณะเบี้ยเลี้ยงเหมาจ่ายค้างจ่าย</t>
  </si>
  <si>
    <t>2102040110.112</t>
  </si>
  <si>
    <t>ค่าตอบแทนอื่นค้างจ่าย</t>
  </si>
  <si>
    <t>2102040110.113</t>
  </si>
  <si>
    <t>2102040110</t>
  </si>
  <si>
    <t>2102040110.114</t>
  </si>
  <si>
    <t>ค่าใช้จ่ายโครงการ P&amp;P ค้างจ่าย</t>
  </si>
  <si>
    <t>2102040110.115</t>
  </si>
  <si>
    <t>ค่าใช้จ่ายโครงการค้างจ่าย</t>
  </si>
  <si>
    <t>2102040198.101</t>
  </si>
  <si>
    <t>2102040198</t>
  </si>
  <si>
    <t xml:space="preserve">ค่าใช้จ่ายค้างจ่ายอื่น-หน่วยงานภาครัฐ </t>
  </si>
  <si>
    <t>2102040199.101</t>
  </si>
  <si>
    <t>2102040199</t>
  </si>
  <si>
    <t>ค่าใช้จ่ายค้างจ่ายอื่น</t>
  </si>
  <si>
    <t>2102040199.105</t>
  </si>
  <si>
    <t>ใบสำคัญค้างจ่าย</t>
  </si>
  <si>
    <t>2103010103.101</t>
  </si>
  <si>
    <t>2103010103</t>
  </si>
  <si>
    <t>รายได้ค่าบริการอื่นรับล่วงหน้า</t>
  </si>
  <si>
    <t>2103010103.502</t>
  </si>
  <si>
    <t>รายได้ค่ารักษาแรงงานต่างด้าวรับล่วงหน้า</t>
  </si>
  <si>
    <t>2104010101.101</t>
  </si>
  <si>
    <t>2104010101</t>
  </si>
  <si>
    <t>รายได้แผ่นดินอื่นรอนำส่งคลัง-หน่วยเบิกจ่าย</t>
  </si>
  <si>
    <t>2109010199.101</t>
  </si>
  <si>
    <t>2109010199</t>
  </si>
  <si>
    <t>รายได้เงินช่วยเหลือรอการรับรู้</t>
  </si>
  <si>
    <t>2109010199.201</t>
  </si>
  <si>
    <t>รายได้กองทุน UC- รอรับรู้</t>
  </si>
  <si>
    <t>2109010199.701</t>
  </si>
  <si>
    <t>รายได้เงินอุดหนุนเหมาจ่ายรายหัวสำหรับบุคคลที่มีปัญหาสถานะและสิทธิรอรับรู้</t>
  </si>
  <si>
    <t>2111020199.103</t>
  </si>
  <si>
    <t>2111020199</t>
  </si>
  <si>
    <t>เงินรับฝากรายได้แผ่นดินอื่น-หน่วยงานย่อย</t>
  </si>
  <si>
    <t>2111020199.105</t>
  </si>
  <si>
    <t>เงินรับฝากอื่น(หมุนเวียน)+มัดจำ</t>
  </si>
  <si>
    <t>2111020199.107</t>
  </si>
  <si>
    <t>ภาษีเงินได้หัก ณ ที่จ่ายรอนำส่ง</t>
  </si>
  <si>
    <t>2111020199.108</t>
  </si>
  <si>
    <t>เงินรับฝากหักจากเงินเดือน</t>
  </si>
  <si>
    <t>2111020199.109</t>
  </si>
  <si>
    <t>เงินสมทบประกันสังคมส่วนของลูกจ้าง  (เงินงบประมาณ)</t>
  </si>
  <si>
    <t>2111020199.110</t>
  </si>
  <si>
    <t>เงินสมทบประกันสังคมส่วนของลูกจ้าง  (เงินนอกงบประมาณ)</t>
  </si>
  <si>
    <t>2111020199.201</t>
  </si>
  <si>
    <t xml:space="preserve">เงินรับฝากกองทุน UC </t>
  </si>
  <si>
    <t>2111020199.202</t>
  </si>
  <si>
    <t>เงินรับฝากกองทุน UC (งบลงทุน)</t>
  </si>
  <si>
    <t>2111020199.204</t>
  </si>
  <si>
    <t>เงินรับฝากกองทุน UC วัสดุ</t>
  </si>
  <si>
    <t>2111020199.205</t>
  </si>
  <si>
    <t>เงินรับฝากกองทุน UC - Fixed Cost</t>
  </si>
  <si>
    <t>2111020199.206</t>
  </si>
  <si>
    <t>เงินรับฝากกองทุน UC - นอกเหนือ Fixed  Cost</t>
  </si>
  <si>
    <t>2111020199.207</t>
  </si>
  <si>
    <t>เงินกองทุน UC (วัสดุ) สอน. และ รพ.สต. (อบจ.)</t>
  </si>
  <si>
    <t>2111020199.301</t>
  </si>
  <si>
    <t>เงินกองทุนประกันสังคม</t>
  </si>
  <si>
    <t>2111020199.304</t>
  </si>
  <si>
    <t>เงินรับฝากค่าบริหารจัดการประกันสังคม</t>
  </si>
  <si>
    <t>2111020199.501</t>
  </si>
  <si>
    <t>เงินรับฝากกองทุนแรงงานต่างด้าว-ค่าบริหารจัดการ</t>
  </si>
  <si>
    <t>2111020199.502</t>
  </si>
  <si>
    <t>เงินรับฝากกองทุนแรงงานต่างด้าว-ค่าใช้จ่ายสูง</t>
  </si>
  <si>
    <t>2111020199.503</t>
  </si>
  <si>
    <t>เงินรับฝากกองทุนแรงงานต่างด้าว-P&amp;P</t>
  </si>
  <si>
    <t>2112010101.101</t>
  </si>
  <si>
    <t>2112010101</t>
  </si>
  <si>
    <t>เงินประกันสัญญา</t>
  </si>
  <si>
    <t>2112010102.101</t>
  </si>
  <si>
    <t>2112010102</t>
  </si>
  <si>
    <t>เงินประกันผลงาน</t>
  </si>
  <si>
    <t>2112010199.101</t>
  </si>
  <si>
    <t>2112010199</t>
  </si>
  <si>
    <t>เงินประกันอื่น</t>
  </si>
  <si>
    <t>2112010199.102</t>
  </si>
  <si>
    <t>เงินประกันอื่น - เงินมัดจำประกันสัญญา</t>
  </si>
  <si>
    <t>2112010199.103</t>
  </si>
  <si>
    <t>เงินประกันอื่น - เงินประกันซอง</t>
  </si>
  <si>
    <t>2112010199.104</t>
  </si>
  <si>
    <t xml:space="preserve">เงินประกันอื่น - เงินประกันผลงาน </t>
  </si>
  <si>
    <t>2116010104.101</t>
  </si>
  <si>
    <t>2116010104</t>
  </si>
  <si>
    <t>เบิกเกินส่งคืนรอนำส่ง</t>
  </si>
  <si>
    <t>2116010199.101</t>
  </si>
  <si>
    <t>2116010199</t>
  </si>
  <si>
    <t>หนี้สินหมุนเวียนอื่น</t>
  </si>
  <si>
    <t>2116010199.102</t>
  </si>
  <si>
    <t>สำรองเงินชดเชยความเสียหาย</t>
  </si>
  <si>
    <t>2202010101.101</t>
  </si>
  <si>
    <t>2202010101</t>
  </si>
  <si>
    <t>เงินทดรองราชการรับจากคลัง-เพื่อการดำเนินงาน</t>
  </si>
  <si>
    <t>2203010101.101</t>
  </si>
  <si>
    <t>เงินยืมระยะยาว-หน่วยงานภาครัฐ</t>
  </si>
  <si>
    <t>2208010101.101</t>
  </si>
  <si>
    <t>2208010101</t>
  </si>
  <si>
    <t>เงินมัดจำประกันสัญญา-ระยะยาว</t>
  </si>
  <si>
    <t>2208010102.101</t>
  </si>
  <si>
    <t>2208010102</t>
  </si>
  <si>
    <t>เงินมัดจำประกันผลงาน-ระยะยาว</t>
  </si>
  <si>
    <t>2208010103.101</t>
  </si>
  <si>
    <t>2208010103</t>
  </si>
  <si>
    <t>เงินประกันอื่น - ระยะยาว</t>
  </si>
  <si>
    <t>2213010101.101</t>
  </si>
  <si>
    <t>2213010101</t>
  </si>
  <si>
    <t>รายได้จากเงินบริจาครอการรับรู้</t>
  </si>
  <si>
    <t>2213010101.103</t>
  </si>
  <si>
    <t>รายได้อื่นรอการรับรู้</t>
  </si>
  <si>
    <t>2213010199.102</t>
  </si>
  <si>
    <t>2213010199</t>
  </si>
  <si>
    <t>หนี้สินไม่หมุนเวียนอื่น</t>
  </si>
  <si>
    <t>3101010101.101</t>
  </si>
  <si>
    <t>3101010101</t>
  </si>
  <si>
    <t>รายได้สูง(ต่ำ)กว่า ค่าใช้จ่ายสุทธิ</t>
  </si>
  <si>
    <t>3102010101.101</t>
  </si>
  <si>
    <t>3102010101</t>
  </si>
  <si>
    <t>รายได้สูง(ต่ำ)กว่า ค่าใช้จ่ายสะสม  (เงินงบประมาณ)</t>
  </si>
  <si>
    <t>3102010101.102</t>
  </si>
  <si>
    <t>รายได้สูง(ต่ำ)กว่า ค่าใช้จ่ายสะสม (เงินนอกงบประมาณ)</t>
  </si>
  <si>
    <t>3102010102.101</t>
  </si>
  <si>
    <t>3102010102</t>
  </si>
  <si>
    <t>ผลสะสมจากการแก้ไขข้อผิดพลาด</t>
  </si>
  <si>
    <t>3102010102.102</t>
  </si>
  <si>
    <t>ผลสะสมจากการแก้ไขข้อผิดพลาด - รายได้</t>
  </si>
  <si>
    <t>3102010102.103</t>
  </si>
  <si>
    <t>ผลสะสมจากการแก้ไขข้อผิดพลาด - ค่าใช้จ่าย</t>
  </si>
  <si>
    <t>3102010102.201</t>
  </si>
  <si>
    <t xml:space="preserve">กำไร/ขาดทุนสะสมจากข้อผิดพลาดเงินกองทุนUC ปีก่อน
</t>
  </si>
  <si>
    <t>3105010101.101</t>
  </si>
  <si>
    <t>3105010101</t>
  </si>
  <si>
    <t>ทุนของหน่วยงาน</t>
  </si>
  <si>
    <t>3105010103.101</t>
  </si>
  <si>
    <t>3105010103</t>
  </si>
  <si>
    <t>ทุน-คงยอดเงินต้น</t>
  </si>
  <si>
    <t>4201020106.101</t>
  </si>
  <si>
    <t>4201020106</t>
  </si>
  <si>
    <t>รายได้แผ่นดิน-เงินชดใช้จากการผิดสัญญาการศึกษาและดูงาน</t>
  </si>
  <si>
    <t>4201020199.101</t>
  </si>
  <si>
    <t>4201020199</t>
  </si>
  <si>
    <t>รายได้แผ่นดิน-ค่าปรับอื่น</t>
  </si>
  <si>
    <t>4202010199.101</t>
  </si>
  <si>
    <t>4202010199</t>
  </si>
  <si>
    <t>รายได้ค่าธรรมเนียมการบริการอื่น</t>
  </si>
  <si>
    <t>4202020102.101</t>
  </si>
  <si>
    <t>4202020102</t>
  </si>
  <si>
    <t>รายได้ค่าเช่าอสังหาริมทรัพย์จากบุคคลภายนอก</t>
  </si>
  <si>
    <t>4202030105.101</t>
  </si>
  <si>
    <t>4202030105</t>
  </si>
  <si>
    <t>รายได้แผ่นดิน-ค่าขายของเบ็ดเตล็ด</t>
  </si>
  <si>
    <t>4203010101.101</t>
  </si>
  <si>
    <t>4203010101</t>
  </si>
  <si>
    <t>รายได้ดอกเบี้ยเงินฝากที่สถาบันการเงิน</t>
  </si>
  <si>
    <t>4205010104.101</t>
  </si>
  <si>
    <t>4205010104</t>
  </si>
  <si>
    <t>รายรับจากการขายอาคารและสิ่งปลูกสร้าง</t>
  </si>
  <si>
    <t>4205010110.101</t>
  </si>
  <si>
    <t>4205010110</t>
  </si>
  <si>
    <t>รายรับจากการขายครุภัณฑ์</t>
  </si>
  <si>
    <t>4206010102.101</t>
  </si>
  <si>
    <t>4206010102</t>
  </si>
  <si>
    <t>รายได้เงินเหลือจ่ายปีเก่า</t>
  </si>
  <si>
    <t>4206010199.101</t>
  </si>
  <si>
    <t>4206010199</t>
  </si>
  <si>
    <t>บัญชีรายได้ที่ไม่ใช่ภาษีอื่น</t>
  </si>
  <si>
    <t>4207010102.102</t>
  </si>
  <si>
    <t>4207010102</t>
  </si>
  <si>
    <t>รายได้แผ่นดิน-ค่าปรับอื่นจ่ายคืน</t>
  </si>
  <si>
    <t>4301010102.101</t>
  </si>
  <si>
    <t>4301010102</t>
  </si>
  <si>
    <t>รายได้จากการจำหน่ายยาสมุนไพร -บุคคลภายนอก</t>
  </si>
  <si>
    <t>4301010102.102</t>
  </si>
  <si>
    <t>รายได้จากการจำหน่ายสินค้าอื่น ๆ -บุคคลภายนอก</t>
  </si>
  <si>
    <t>4301010102.103</t>
  </si>
  <si>
    <t>รายได้จากการจำหน่ายยาสมุนไพร -หน่วยงานภาครัฐ</t>
  </si>
  <si>
    <t>4301010102.104</t>
  </si>
  <si>
    <t>รายได้จากการจำหน่ายสินค้าอื่น ๆ -หน่วยงานภาครัฐ</t>
  </si>
  <si>
    <t>4301020102.101</t>
  </si>
  <si>
    <t>4301020102</t>
  </si>
  <si>
    <t>รายได้ค่าสิ่งส่งตรวจ - บุคคลภายนอก</t>
  </si>
  <si>
    <t>4301020102.102</t>
  </si>
  <si>
    <t>รายได้ค่าตรวจสุขภาพ - บุคคลภายนอก</t>
  </si>
  <si>
    <t>4301020102.103</t>
  </si>
  <si>
    <t>รายได้ค่าสิ่งส่งตรวจ - หน่วยงานภาครัฐ</t>
  </si>
  <si>
    <t>4301020102.104</t>
  </si>
  <si>
    <t>รายได้ค่าตรวจสุขภาพ-หน่วยงานภาครัฐ</t>
  </si>
  <si>
    <t>4301020102.105</t>
  </si>
  <si>
    <t>รายได้จากระบบปฏิบัติการฉุกเฉิน (EMS)</t>
  </si>
  <si>
    <t>4301020102.106</t>
  </si>
  <si>
    <t xml:space="preserve">รายได้สนับสนุนยาและอื่น ๆ </t>
  </si>
  <si>
    <t>4301020104.104</t>
  </si>
  <si>
    <t>4301020104</t>
  </si>
  <si>
    <t>รายได้ค่ารักษาเบิกต้นสังกัด OP</t>
  </si>
  <si>
    <t>4301020104.105</t>
  </si>
  <si>
    <t>รายได้ค่ารักษาเบิกต้นสังกัด IP</t>
  </si>
  <si>
    <t>4301020104.106</t>
  </si>
  <si>
    <t>รายได้ค่ารักษาชำระเงิน OP</t>
  </si>
  <si>
    <t>4301020104.107</t>
  </si>
  <si>
    <t>รายได้ค่ารักษาชำระเงิน IP</t>
  </si>
  <si>
    <t>4301020104.108</t>
  </si>
  <si>
    <t>รายได้ค่ารักษาเบิกจ่ายตรง-หน่วยงานอื่น - OP</t>
  </si>
  <si>
    <t>4301020104.109</t>
  </si>
  <si>
    <t>รายได้ค่ารักษาเบิกจ่ายตรงหน่วยงานอื่น - IP</t>
  </si>
  <si>
    <t>4301020104.110</t>
  </si>
  <si>
    <t>ส่วนต่างค่ารักษาที่สูงกว่าข้อตกลงในการจ่ายตาม DRG -เบิกจ่ายตรง หน่วยงานอื่น</t>
  </si>
  <si>
    <t>4301020104.111</t>
  </si>
  <si>
    <t>ส่วนต่างค่ารักษาที่ต่ำกว่าข้อตกลงในการจ่ายตาม DRG -เบิกจ่ายตรง หน่วยงานอื่น</t>
  </si>
  <si>
    <t>4301020104.401</t>
  </si>
  <si>
    <t>รายได้ค่ารักษาเบิกจ่ายตรงกรมบัญชีกลาง OP</t>
  </si>
  <si>
    <t>4301020104.402</t>
  </si>
  <si>
    <t>รายได้ค่ารักษาเบิกจ่ายตรงกรมบัญชีกลาง IP</t>
  </si>
  <si>
    <t>4301020104.405</t>
  </si>
  <si>
    <t>ส่วนต่างค่ารักษาที่สูงกว่าข้อตกลงในการจ่ายตาม DRG -เบิกจ่ายตรงกรมบัญชีกลาง</t>
  </si>
  <si>
    <t>4301020104.406</t>
  </si>
  <si>
    <t>ส่วนต่างค่ารักษาที่ต่ำกว่าข้อตกลงในการจ่ายตาม DRG -เบิกจ่ายตรงกรมบัญชีกลาง</t>
  </si>
  <si>
    <t>4301020104.602</t>
  </si>
  <si>
    <t>รายได้ค่ารักษา พรบ.รถ OP</t>
  </si>
  <si>
    <t>4301020104.603</t>
  </si>
  <si>
    <t>รายได้ค่ารักษา พรบ.รถ IP</t>
  </si>
  <si>
    <t>4301020104.801</t>
  </si>
  <si>
    <t>รายได้ค่ารักษาเบิกจ่ายตรง- อปท. OP</t>
  </si>
  <si>
    <t>4301020104.802</t>
  </si>
  <si>
    <t>รายได้ค่ารักษาเบิกจ่ายตรง-อปท. IP</t>
  </si>
  <si>
    <t>4301020104.803</t>
  </si>
  <si>
    <t>ส่วนต่างค่ารักษาที่สูงกว่าข้อตกลงในการจ่ายตาม DRG -เบิกจ่ายตรง - อปท.</t>
  </si>
  <si>
    <t>4301020104.804</t>
  </si>
  <si>
    <t>ส่วนต่างค่ารักษาที่ต่ำกว่าข้อตกลงในการจ่ายตาม DRG -เบิกจ่ายตรง - อปท.</t>
  </si>
  <si>
    <t>4301020104.805</t>
  </si>
  <si>
    <t>รายได้ค่ารักษาเบิกจ่ายตรง - อปท.รูปแบบพิเศษ OP</t>
  </si>
  <si>
    <t>4301020104.806</t>
  </si>
  <si>
    <t>รายได้ค่ารักษาเบิกจ่ายตรง- อปท.รูปแบบพิเศษ IP</t>
  </si>
  <si>
    <t>4301020104.807</t>
  </si>
  <si>
    <t xml:space="preserve">ส่วนต่างค่ารักษาที่สูงกว่าข้อตกลงในการจ่ายตาม DRG -เบิกจ่ายตรง (พนักงานส่วนท้องถิ่นรูปแบบพิเศษ) </t>
  </si>
  <si>
    <t>4301020104.808</t>
  </si>
  <si>
    <r>
      <t>ส่วนต่างค่ารักษาที่</t>
    </r>
    <r>
      <rPr>
        <sz val="10"/>
        <color indexed="10"/>
        <rFont val="Tahoma"/>
        <family val="2"/>
      </rPr>
      <t>ต่ำ</t>
    </r>
    <r>
      <rPr>
        <sz val="10"/>
        <color indexed="8"/>
        <rFont val="Tahoma"/>
        <family val="2"/>
      </rPr>
      <t xml:space="preserve">กว่าข้อตกลงในการจ่ายตาม DRG -เบิกจ่ายตรง (พนักงานส่วนท้องถิ่นรูปแบบพิเศษ) </t>
    </r>
  </si>
  <si>
    <t>4301020105.201</t>
  </si>
  <si>
    <t>4301020105</t>
  </si>
  <si>
    <t>รายได้ค่ารักษา UC -OP  ใน CUP</t>
  </si>
  <si>
    <t>4301020105.202</t>
  </si>
  <si>
    <t xml:space="preserve">รายได้ค่ารักษา UC-IP  </t>
  </si>
  <si>
    <t>4301020105.203</t>
  </si>
  <si>
    <t>รายได้ค่ารักษา UC -OP นอก CUP ในจังหวัด</t>
  </si>
  <si>
    <t>4301020105.205</t>
  </si>
  <si>
    <t>รายได้ค่ารักษา UC-OP  นอก CUP ต่างจังหวัด</t>
  </si>
  <si>
    <t>4301020105.207</t>
  </si>
  <si>
    <t>รายได้ค่ารักษา UC-OP นอกสังกัด สป.</t>
  </si>
  <si>
    <t>4301020105.211</t>
  </si>
  <si>
    <t>รายได้กองทุน UC (งบลงทุน)</t>
  </si>
  <si>
    <t>4301020105.214</t>
  </si>
  <si>
    <t>รายได้กองทุน UC - OP แบบเหมาจ่ายต่อผู้มีสิทธิ</t>
  </si>
  <si>
    <t>4301020105.217</t>
  </si>
  <si>
    <t>รายได้กองทุน UC - P&amp;P แบบเหมาจ่ายต่อผู้มีสิทธิ</t>
  </si>
  <si>
    <t>4301020105.222</t>
  </si>
  <si>
    <t>รายได้กองทุน UC เฉพาะโรคอื่น</t>
  </si>
  <si>
    <t>4301020105.223</t>
  </si>
  <si>
    <t>รายได้กองทุน UC-P&amp;P อื่น</t>
  </si>
  <si>
    <t>4301020105.228</t>
  </si>
  <si>
    <t xml:space="preserve">รายได้กองทุน UC อื่น </t>
  </si>
  <si>
    <t>4301020105.229</t>
  </si>
  <si>
    <t>ส่วนต่างค่ารักษาที่สูงกว่าเหมาจ่ายรายหัว - กองทุน UC OP</t>
  </si>
  <si>
    <t>4301020105.231</t>
  </si>
  <si>
    <t>ส่วนต่างค่ารักษาที่สูงกว่าข้อตกลงในการจ่ายตาม DRG-กองทุน UC -IP</t>
  </si>
  <si>
    <t>4301020105.232</t>
  </si>
  <si>
    <t>ส่วนต่างค่ารักษาที่ต่ำกว่าข้อตกลงในการจ่ายตาม DRG-กองทุน UC -IP</t>
  </si>
  <si>
    <t>4301020105.239</t>
  </si>
  <si>
    <t>ส่วนต่างค่ารักษาที่สูงกว่าข้อตกลงในการตามจ่าย UC OP ++Refer</t>
  </si>
  <si>
    <t>4301020105.240</t>
  </si>
  <si>
    <t>ส่วนต่างค่ารักษาที่ต่ำกว่าข้อตกลงในการตามจ่าย UC OP</t>
  </si>
  <si>
    <t>4301020105.241</t>
  </si>
  <si>
    <t xml:space="preserve">รายได้ค่ารักษาด้านการสร้างเสริมสุขภาพและป้องกันโรค (P&amp;P) </t>
  </si>
  <si>
    <t>4301020105.242</t>
  </si>
  <si>
    <t>รายได้กองทุน UC-บริการพื้นที่เฉพาะ</t>
  </si>
  <si>
    <t>4301020105.243</t>
  </si>
  <si>
    <t>รายได้กองทุน UC (CF)</t>
  </si>
  <si>
    <t>4301020105.244</t>
  </si>
  <si>
    <t>รายได้ค่ารักษา UC- OP บริการกรณีเฉพาะ (CR)</t>
  </si>
  <si>
    <t>4301020105.245</t>
  </si>
  <si>
    <t>รายได้ค่ารักษา UC - IP  บริการกรณีเฉพาะ (CR)</t>
  </si>
  <si>
    <t>4301020105.251</t>
  </si>
  <si>
    <t>ส่วนต่างค่ารักษาที่สูงกว่าข้อตกลงในการจ่ายตามDRG กองทุน UC บริการเฉพาะ (CR) - IP</t>
  </si>
  <si>
    <t>4301020105.252</t>
  </si>
  <si>
    <r>
      <t>ส่วนต่างค่ารักษาที่</t>
    </r>
    <r>
      <rPr>
        <sz val="10"/>
        <color indexed="10"/>
        <rFont val="Tahoma"/>
        <family val="2"/>
      </rPr>
      <t>ต่ำ</t>
    </r>
    <r>
      <rPr>
        <sz val="10"/>
        <color indexed="12"/>
        <rFont val="Tahoma"/>
        <family val="2"/>
      </rPr>
      <t>กว่าข้อตกลงในการจ่ายตามDRG กองทุน UC บริการเฉพาะ (CR) - IP</t>
    </r>
  </si>
  <si>
    <t>4301020105.255</t>
  </si>
  <si>
    <r>
      <t>รายได้กองทุน UC-P&amp;P ตามเกณฑ์คุณภาพผลงานบริการ</t>
    </r>
    <r>
      <rPr>
        <sz val="10"/>
        <color indexed="10"/>
        <rFont val="Tahoma"/>
        <family val="2"/>
      </rPr>
      <t xml:space="preserve"> QOF</t>
    </r>
  </si>
  <si>
    <t>4301020105.256</t>
  </si>
  <si>
    <t>รายได้จากการยกหนี้กรณีส่งต่อผู้ป่วยระหว่างรพ.</t>
  </si>
  <si>
    <t>4301020105.257</t>
  </si>
  <si>
    <t>ส่วนต่างค่ารักษาที่สูงกว่าเหมาจ่ายรายหัว - กองทุน UC P&amp;P</t>
  </si>
  <si>
    <t>4301020105.258</t>
  </si>
  <si>
    <t xml:space="preserve">ส่วนต่างค่ารักษาที่สูงกว่าข้อตกลงตามหลักเกณฑ์การจ่ายกองทุนUC-บริการเฉพาะ (CR) - OP </t>
  </si>
  <si>
    <t>4301020105.260</t>
  </si>
  <si>
    <r>
      <t>ส่วนต่างค่ารักษาที่</t>
    </r>
    <r>
      <rPr>
        <sz val="10"/>
        <color indexed="10"/>
        <rFont val="Tahoma"/>
        <family val="2"/>
      </rPr>
      <t>ต่ำ</t>
    </r>
    <r>
      <rPr>
        <sz val="10"/>
        <color indexed="12"/>
        <rFont val="Tahoma"/>
        <family val="2"/>
      </rPr>
      <t xml:space="preserve">กว่าข้อตกลงตามหลักเกณฑ์การจ่ายกองทุนUC-บริการเฉพาะ (CR) - OP </t>
    </r>
  </si>
  <si>
    <t>4301020105.263</t>
  </si>
  <si>
    <t>รายได้ค่ารักษา OP Refer</t>
  </si>
  <si>
    <t>4301020105.264</t>
  </si>
  <si>
    <t>ส่วนปรับลดค่าแรง OP</t>
  </si>
  <si>
    <t>4301020105.265</t>
  </si>
  <si>
    <t>ส่วนปรับลดค่าแรง IP</t>
  </si>
  <si>
    <t>4301020105.266</t>
  </si>
  <si>
    <t>ส่วนปรับลดค่าแรง PP</t>
  </si>
  <si>
    <t>4301020105.271</t>
  </si>
  <si>
    <t>ส่วนต่างค่ารักษาที่ต่ำกว่าข้อตกลงในการตามจ่าย UC OP (หน่วยบริการที่ตามจ่าย)</t>
  </si>
  <si>
    <t>4301020106.303</t>
  </si>
  <si>
    <t>4301020106</t>
  </si>
  <si>
    <t>รายได้กองทุนประกันสังคม</t>
  </si>
  <si>
    <t>4301020106.305</t>
  </si>
  <si>
    <t>รายได้ค่ารักษาประกันสังคม OP-เครือข่าย</t>
  </si>
  <si>
    <t>4301020106.306</t>
  </si>
  <si>
    <t>รายได้ค่ารักษาประกันสังคม IP-เครือข่าย</t>
  </si>
  <si>
    <t>4301020106.307</t>
  </si>
  <si>
    <t>รายได้ค่ารักษาประกันสังคม OP-นอกเครือข่าย สังกัด สป.สธ.</t>
  </si>
  <si>
    <t>4301020106.308</t>
  </si>
  <si>
    <t>รายได้ค่ารักษาประกันสังคม IP-นอกเครือข่าย สังกัด สป.สธ.</t>
  </si>
  <si>
    <t>4301020106.309</t>
  </si>
  <si>
    <t>รายได้ค่ารักษาประกันสังคม OP-นอกเครือข่าย ต่างสังกัด สป.สธ.</t>
  </si>
  <si>
    <t>4301020106.310</t>
  </si>
  <si>
    <t>รายได้ค่ารักษาประกันสังคม IP-นอกเครือข่าย ต่างสังกัด สป.สธ.</t>
  </si>
  <si>
    <t>4301020106.311</t>
  </si>
  <si>
    <t>รายได้ค่ารักษาประกันสังคม-กองทุนทดแทน</t>
  </si>
  <si>
    <t>4301020106.312</t>
  </si>
  <si>
    <t>รายได้ค่ารักษาประกันสังคม 72 ชั่วโมงแรก</t>
  </si>
  <si>
    <t>4301020106.313</t>
  </si>
  <si>
    <t>รายได้ค่ารักษาประกันสังคม-ค่าใช้จ่ายสูง/อุบัติเหตุ/ฉุกเฉิน OP</t>
  </si>
  <si>
    <t>4301020106.314</t>
  </si>
  <si>
    <t>รายได้ค่ารักษาประกันสังคม-ค่าใช้จ่ายสูง IP</t>
  </si>
  <si>
    <t>4301020106.315</t>
  </si>
  <si>
    <t>ส่วนต่างค่ารักษาที่สูงกว่าเหมาจ่ายรายหัว - กองทุนประกันสังคม - OP</t>
  </si>
  <si>
    <t>4301020106.317</t>
  </si>
  <si>
    <t>ส่วนต่างค่ารักษาที่สูงกว่าข้อตกลงตามหลักเกณฑ์การจ่าย-กองทุนประกันสังคม-IP</t>
  </si>
  <si>
    <t>4301020106.319</t>
  </si>
  <si>
    <t>ส่วนต่างค่ารักษาที่สูงกว่าข้อตกลงในการจ่ายตาม กองทุนประกันสังคม</t>
  </si>
  <si>
    <t>4301020106.320</t>
  </si>
  <si>
    <r>
      <t>ส่วนต่างค่ารักษาที่</t>
    </r>
    <r>
      <rPr>
        <sz val="10"/>
        <color indexed="10"/>
        <rFont val="Tahoma"/>
        <family val="2"/>
      </rPr>
      <t>ต่ำ</t>
    </r>
    <r>
      <rPr>
        <sz val="10"/>
        <color indexed="8"/>
        <rFont val="Tahoma"/>
        <family val="2"/>
      </rPr>
      <t xml:space="preserve">กว่าข้อตกลงในการจ่ายตาม กองทุนประกันสังคม </t>
    </r>
  </si>
  <si>
    <t>4301020106.321</t>
  </si>
  <si>
    <t>รายได้ค่าบริหารจัดการประกันสังคม</t>
  </si>
  <si>
    <t>4301020106.322</t>
  </si>
  <si>
    <t>รายได้ค่าตอบแทนและพัฒนากิจการ</t>
  </si>
  <si>
    <t>4301020106.502</t>
  </si>
  <si>
    <t>รายได้กองทุนคนต่างด้าวและแรงงานต่างด้าว</t>
  </si>
  <si>
    <t>4301020106.503</t>
  </si>
  <si>
    <t>รายได้ค่ารักษาคนต่างด้าวและแรงงานต่างด้าว OP</t>
  </si>
  <si>
    <t>4301020106.504</t>
  </si>
  <si>
    <t>รายได้ค่ารักษาคนต่างด้าวและแรงงานต่างด้าว IP</t>
  </si>
  <si>
    <t>4301020106.505</t>
  </si>
  <si>
    <t>ส่วนต่างค่ารักษาที่สูงกว่ากองทุนเหมาจ่ายรายหัว - กองทุนคนต่างด้าวและแรงงานต่างด้าว - OP</t>
  </si>
  <si>
    <t>4301020106.507</t>
  </si>
  <si>
    <t>ส่วนต่างค่ารักษาที่สูงกว่ากองทุนเหมาจ่ายรายหัว - กองทุนคนต่างด้าวและแรงงานต่างด้าว - IP</t>
  </si>
  <si>
    <t>4301020106.509</t>
  </si>
  <si>
    <t>รายได้ค่ารักษาคนต่างด้าวและแรงงานต่างด้าว - เบิกจากส่วนกลาง OP</t>
  </si>
  <si>
    <t>4301020106.510</t>
  </si>
  <si>
    <t>ส่วนต่างค่ารักษาที่สูงกว่าข้อตกลงในการจ่ายตาม DRG -คนต่างด้าวและแรงงานต่างด้าว - IP</t>
  </si>
  <si>
    <t>4301020106.511</t>
  </si>
  <si>
    <r>
      <t>ส่วนต่างค่ารักษาที่</t>
    </r>
    <r>
      <rPr>
        <sz val="10"/>
        <color indexed="10"/>
        <rFont val="Tahoma"/>
        <family val="2"/>
      </rPr>
      <t>ต่ำ</t>
    </r>
    <r>
      <rPr>
        <sz val="10"/>
        <color indexed="8"/>
        <rFont val="Tahoma"/>
        <family val="2"/>
      </rPr>
      <t>กว่าข้อตกลงในการจ่ายตาม DRG - คนต่างด้าวและแรงงานต่างด้าว - IP</t>
    </r>
  </si>
  <si>
    <t>4301020106.512</t>
  </si>
  <si>
    <t xml:space="preserve">รายได้ค่ารักษาคนต่างด้าวและแรงงานต่างด้าว OP  นอก CUP </t>
  </si>
  <si>
    <t>4301020106.513</t>
  </si>
  <si>
    <t>รายได้ค่ารักษาคนต่างด้าวและแรงงานต่างด้าว IP นอก CUP</t>
  </si>
  <si>
    <t>4301020106.514</t>
  </si>
  <si>
    <t>รายได้ค่ารักษาคนต่างด้าวและแรงงานต่างด้าว - เบิกจากส่วนกลาง IP</t>
  </si>
  <si>
    <t>4301020106.515</t>
  </si>
  <si>
    <t>ส่วนต่างค่ารักษาที่สูงกว่าข้อตกลงในการจ่ายตามหลักเกณฑ์ฯ เงินประกันสุขภาพคนต่างด้าวและแรงงานต่างด้าว OP</t>
  </si>
  <si>
    <t>4301020106.516</t>
  </si>
  <si>
    <t>รายได้ค่าตรวจสุขภาพคนต่างด้าวและแรงงานต่างด้าว</t>
  </si>
  <si>
    <t>4301020106.517</t>
  </si>
  <si>
    <t>รายได้ค่าบริหารจัดการคนต่างด้าวและแรงงานต่างด้าว</t>
  </si>
  <si>
    <t>4301020106.518</t>
  </si>
  <si>
    <t>รายได้แรงงานต่างด้าว- ค่าบริการทางการแพทย์(P&amp;P)</t>
  </si>
  <si>
    <t>4301020106.519</t>
  </si>
  <si>
    <t>ส่วนต่างค่ารักษาที่ต่ำกว่าข้อตกลงในการจ่ายตามหลักเกณฑ์ฯ เงินประกันสุขภาพคนต่างด้าวและแรงงานต่างด้าว OP</t>
  </si>
  <si>
    <t>4301020106.701</t>
  </si>
  <si>
    <t>รายได้ค่ารักษาบุคคลที่มีปัญหาสถานะและสิทธิ OP นอก CUP</t>
  </si>
  <si>
    <t>4301020106.703</t>
  </si>
  <si>
    <t>รายได้ค่ารักษาบุคคลที่มีปัญหาสถานะและสิทธิ  - เบิกจากส่วนกลาง OP</t>
  </si>
  <si>
    <t>4301020106.704</t>
  </si>
  <si>
    <t xml:space="preserve">ส่วนต่างค่ารักษาพยาบาลที่สูงกว่าข้อตกลงในการจ่ายตามหลักเกณฑ์ฯ -บุคคลที่มีปัญหาสถานะและสิทธิ OP </t>
  </si>
  <si>
    <t>4301020106.705</t>
  </si>
  <si>
    <t>ส่วนต่างค่ารักษาที่สูงกว่าข้อตกลงในการจ่ายตาม DRG บุคคลที่มีปัญหาสถานะและสิทธิ</t>
  </si>
  <si>
    <t>4301020106.706</t>
  </si>
  <si>
    <r>
      <t>ส่วนต่างค่ารักษาที่</t>
    </r>
    <r>
      <rPr>
        <sz val="10"/>
        <color indexed="10"/>
        <rFont val="Tahoma"/>
        <family val="2"/>
      </rPr>
      <t>ต่ำ</t>
    </r>
    <r>
      <rPr>
        <sz val="10"/>
        <color indexed="8"/>
        <rFont val="Tahoma"/>
        <family val="2"/>
      </rPr>
      <t>กว่าข้อตกลงในการจ่ายตาม DRG บุคคลที่มีปัญหาสถานะและสิทธิ</t>
    </r>
  </si>
  <si>
    <t>4301020106.709</t>
  </si>
  <si>
    <t>รายได้ค่ารักษา-บุคคลที่มีปัญหาสถานะและสิทธิ OP ใน CUP</t>
  </si>
  <si>
    <t>4301020106.710</t>
  </si>
  <si>
    <t>รายได้ค่ารักษาบุคคลที่มีปัญหาสถานะและสิทธิ  - เบิกจากส่วนกลาง IP</t>
  </si>
  <si>
    <t>4301020106.711</t>
  </si>
  <si>
    <t>ส่วนต่างค่ารักษาที่สูงกว่าเหมาจ่ายรายหัว-เงินอุดหนุนบุคคลที่มีปัญหาและสถานะและสิทธิ OP ใน CUP</t>
  </si>
  <si>
    <t>4301020106.712</t>
  </si>
  <si>
    <t>รายได้เงินอุดหนุนเหมาจ่ายรายหัวสำหรับบุคคลที่มีปัญหาสถานะและสิทธิ</t>
  </si>
  <si>
    <t>4301020108.101</t>
  </si>
  <si>
    <t>4301020108</t>
  </si>
  <si>
    <t>รายได้เงินนอกงบประมาณ</t>
  </si>
  <si>
    <t>4301030102.101</t>
  </si>
  <si>
    <t>4301030102</t>
  </si>
  <si>
    <t>รายได้ค่าเช่าอสังหาริมทรัพย์</t>
  </si>
  <si>
    <t>4301030104.101</t>
  </si>
  <si>
    <t>4301030104</t>
  </si>
  <si>
    <t>รายได้ค่าเช่าอื่น</t>
  </si>
  <si>
    <t>4302010101.101</t>
  </si>
  <si>
    <t>รายได้จากการอุดหนุน-หน่วยงานภาครัฐ</t>
  </si>
  <si>
    <t>4302010106.101</t>
  </si>
  <si>
    <t>4302010106</t>
  </si>
  <si>
    <t>รายได้จากการช่วยเหลือเพื่อการดำเนินงานจาก อปท.</t>
  </si>
  <si>
    <t>4302010199.101</t>
  </si>
  <si>
    <t>4302010199</t>
  </si>
  <si>
    <t>รายได้จากการช่วยเหลือเพื่อการดำเนินงานอื่น</t>
  </si>
  <si>
    <t>4302020107.101</t>
  </si>
  <si>
    <t>4302020107</t>
  </si>
  <si>
    <t>รายได้จากการช่วยเหลือเพื่อการลงทุนจาก อปท.</t>
  </si>
  <si>
    <t>4302020199.101</t>
  </si>
  <si>
    <t>4302020199</t>
  </si>
  <si>
    <t>รายได้จากการช่วยเหลือเพื่อการลงทุนอื่น</t>
  </si>
  <si>
    <t>4302030101.101</t>
  </si>
  <si>
    <t>4302030101</t>
  </si>
  <si>
    <t>รายได้จากการรับบริจาค-เงินสดและรายการเทียบเท่าเงินสด</t>
  </si>
  <si>
    <t>4302030101.102</t>
  </si>
  <si>
    <t>รายได้จากการรับบริจาค-สินทรัพย์อื่น</t>
  </si>
  <si>
    <t>4302040101.101</t>
  </si>
  <si>
    <t>4302040101</t>
  </si>
  <si>
    <t>พักรับเงินงบอุดหนุน</t>
  </si>
  <si>
    <t>4303010101.101</t>
  </si>
  <si>
    <t>4303010101</t>
  </si>
  <si>
    <t>รายได้ดอกเบี้ยจากสถาบันการเงิน</t>
  </si>
  <si>
    <t>4306010104.101</t>
  </si>
  <si>
    <t>4306010104</t>
  </si>
  <si>
    <t>4306010110.101</t>
  </si>
  <si>
    <t>4306010110</t>
  </si>
  <si>
    <t>4306010110.102</t>
  </si>
  <si>
    <t>รายรับจากการขายวัสดุที่ใช้แล้ว</t>
  </si>
  <si>
    <t>4307010103.201</t>
  </si>
  <si>
    <t>4307010103</t>
  </si>
  <si>
    <t>บัญชีรายได้ระหว่างหน่วยงาน - หน่วยงานรับเงินงบบุคลากรจากรัฐบาล</t>
  </si>
  <si>
    <t>4307010104.101</t>
  </si>
  <si>
    <t>4307010104</t>
  </si>
  <si>
    <t>บัญชีรายได้ระหว่างหน่วยงาน - หน่วยงานรับเงินงบลงทุนจากรัฐบาล</t>
  </si>
  <si>
    <t>4307010105.101</t>
  </si>
  <si>
    <t>4307010105</t>
  </si>
  <si>
    <t>บัญชีรายได้ระหว่างหน่วยงาน - หน่วยงานรับเงินงบดำเนินงานจากรัฐบาล</t>
  </si>
  <si>
    <t>4307010106.101</t>
  </si>
  <si>
    <t>4307010106</t>
  </si>
  <si>
    <t>บัญชีรายได้ระหว่างหน่วยงาน - หน่วยงานรับเงินงบอุดหนุนจากรัฐบาล</t>
  </si>
  <si>
    <t>4307010107.101</t>
  </si>
  <si>
    <t>4307010107</t>
  </si>
  <si>
    <t>บัญชีรายได้ระหว่างหน่วยงาน - หน่วยงานรับเงินงบรายจ่ายอื่นจากรัฐบาล</t>
  </si>
  <si>
    <t>4307010108.101</t>
  </si>
  <si>
    <t>4307010108</t>
  </si>
  <si>
    <t>บัญชีรายได้ระหว่างหน่วยงาน - หน่วยงานรับเงินงบกลางจากรัฐบาล</t>
  </si>
  <si>
    <t>4307010110.101</t>
  </si>
  <si>
    <t>4307010110</t>
  </si>
  <si>
    <t>บัญชีรายได้ระหว่างหน่วยงาน - หน่วยงานรับเงินกู้จากรัฐบาล</t>
  </si>
  <si>
    <t>4307010112.101</t>
  </si>
  <si>
    <t>4307010112</t>
  </si>
  <si>
    <t>บัญชีรายได้ระหว่างหน่วยงาน-กรมบัญชี กลางรับเงินเบิกเกินส่งคืนจากหน่วยงาน</t>
  </si>
  <si>
    <t>4308010101.101</t>
  </si>
  <si>
    <t>4308010101</t>
  </si>
  <si>
    <t>รายได้ระหว่างหน่วยงาน-หน่วยงานรับเงินนอกงบประมาณจากกรมบัญชีกลาง</t>
  </si>
  <si>
    <t>4308010105.101</t>
  </si>
  <si>
    <t>4308010105</t>
  </si>
  <si>
    <t>รายได้ระหว่างหน่วยงาน-ปรับเงินฝากคลัง</t>
  </si>
  <si>
    <t>4308010106.101</t>
  </si>
  <si>
    <t>4308010106</t>
  </si>
  <si>
    <t>รายได้ระหว่างหน่วยงาน-หน่วยงานรับเงินจากหน่วยงานอื่น</t>
  </si>
  <si>
    <t>4308010111.101</t>
  </si>
  <si>
    <t>4308010111</t>
  </si>
  <si>
    <t>รายได้ระหว่างหน่วยงาน - หน่วยงานรับเงินถอนคืนรายได้จากรัฐบาล</t>
  </si>
  <si>
    <t>4308010117.101</t>
  </si>
  <si>
    <t>4308010117</t>
  </si>
  <si>
    <t>รายได้ระหว่างหน่วยงาน -เงินทดรองราชการ</t>
  </si>
  <si>
    <t>4308010118.101</t>
  </si>
  <si>
    <t>4308010118</t>
  </si>
  <si>
    <t>รายได้ระหว่างกัน-ภายในกรมเดียวกัน</t>
  </si>
  <si>
    <t>4308010121.101</t>
  </si>
  <si>
    <t>รายได้ระหว่างกัน-ภายในกรมเดียวกัน (Manual)</t>
  </si>
  <si>
    <t>4313010101.101</t>
  </si>
  <si>
    <t>4313010101</t>
  </si>
  <si>
    <t>หนี้สูญได้รับคืน</t>
  </si>
  <si>
    <t>4313010103.101</t>
  </si>
  <si>
    <t>4313010103</t>
  </si>
  <si>
    <t>รายได้ค่าปรับ</t>
  </si>
  <si>
    <t>4313010199.101</t>
  </si>
  <si>
    <t>4313010199</t>
  </si>
  <si>
    <t>รายได้ค่าวัสดุ/อุปกรณ์/น้ำยา-หน่วยงานภาครัฐ</t>
  </si>
  <si>
    <t>4313010199.102</t>
  </si>
  <si>
    <t>รายได้ค่าวัสดุ/อุปกรณ์/น้ำยา-บุคคลภายนอก</t>
  </si>
  <si>
    <t>4313010199.105</t>
  </si>
  <si>
    <t>รายได้ค่าใบรับรองแพทย์</t>
  </si>
  <si>
    <t>4313010199.108</t>
  </si>
  <si>
    <t>รายได้จากเงินโครงการผลิตแพทย์</t>
  </si>
  <si>
    <t>4313010199.109</t>
  </si>
  <si>
    <t>รายได้จากโครงการผลิตบุคลากรทางการแพทย์</t>
  </si>
  <si>
    <t>4313010199.110</t>
  </si>
  <si>
    <t>รายได้ลักษณะอื่น</t>
  </si>
  <si>
    <t>4313010199.113</t>
  </si>
  <si>
    <t>รายได้ค่าธรรมเนียม</t>
  </si>
  <si>
    <t>4313010199.114</t>
  </si>
  <si>
    <t>รายได้อื่น-สินค้ารับโอนจาก สสจ./รพศ./รพท./รพช./รพ.สต.</t>
  </si>
  <si>
    <t>4313010199.115</t>
  </si>
  <si>
    <t>รายได้อื่น-วัสดุรับโอนจาก สสจ./รพศ./รพท./รพช./รพ.สต.</t>
  </si>
  <si>
    <t>4313010199.116</t>
  </si>
  <si>
    <t>รายได้อื่น-ครุภัณฑ์ ที่ดินและสิ่งก่อสร้างรับโอนจาก สสจ./รพศ./รพท./รพช./รพ.สต.</t>
  </si>
  <si>
    <t>4313010199.117</t>
  </si>
  <si>
    <t>รายได้อื่น-เงินนอกงบประมาณรับโอนจาก สสจ./รพศ./รพท./รพช./รพ.สต.</t>
  </si>
  <si>
    <t>4313010199.118</t>
  </si>
  <si>
    <t>รายได้อื่น-เงินงบประมาณงบลงทุน รับโอนจาก สสจ./รพศ./รพท./รพช./รพ.สต.</t>
  </si>
  <si>
    <t>4313010199.119</t>
  </si>
  <si>
    <t>รายได้อื่น-เงินงบประมาณงบดำเนินงานรับโอนจาก สสจ./รพศ./รพท./รพช./          รพ.สต.</t>
  </si>
  <si>
    <t>4313010199.120</t>
  </si>
  <si>
    <t>รายได้อื่น-เงินงบประมาณงบอุดหนุนรับโอนจาก สสจ./รพศ./รพท./รพช./รพ.สต</t>
  </si>
  <si>
    <t>4313010199.121</t>
  </si>
  <si>
    <t>รายได้อื่น-เงินงบประมาณงบรายจ่ายอื่นรับโอนจาก สสจ./รพศ./รพท./รพช./          รพ.สต.</t>
  </si>
  <si>
    <t>4313010199.122</t>
  </si>
  <si>
    <t>รายได้อื่น-เงินงบประมาณงบกลางรับโอนจาก สสจ./รพศ./รพท./รพช./รพ.สต.</t>
  </si>
  <si>
    <t>4313010199.123</t>
  </si>
  <si>
    <t>รายได้อื่น - เงินงบประมาณงบเงินกู้จากรัฐบาลรับโอนจาก สสจ./รพศ./รพช./รพ.สต.</t>
  </si>
  <si>
    <t>4313010199.202</t>
  </si>
  <si>
    <t>รายได้ค่าธรรมเนียม UC</t>
  </si>
  <si>
    <t>5101010101.101</t>
  </si>
  <si>
    <t>5101010101</t>
  </si>
  <si>
    <t>เงินเดือนข้าราชการ(บริการ)</t>
  </si>
  <si>
    <t>5101010101.102</t>
  </si>
  <si>
    <t>เงินเดือนข้าราชการ(สนับสนุน)</t>
  </si>
  <si>
    <t>5101010103.101</t>
  </si>
  <si>
    <t>5101010103</t>
  </si>
  <si>
    <t>เงินประจำตำแหน่งระดับสูง/ระดับกลาง(สนับสนุน)</t>
  </si>
  <si>
    <t>5101010103.102</t>
  </si>
  <si>
    <t>เงินประจำตำแหน่งวิชาชีพเฉพาะ(บริการ)</t>
  </si>
  <si>
    <t>5101010103.103</t>
  </si>
  <si>
    <t>เงินประจำตำแหน่งผู้เชี่ยวชาญ (บริการ)</t>
  </si>
  <si>
    <t>5101010108.101</t>
  </si>
  <si>
    <t>5101010108</t>
  </si>
  <si>
    <t>ค่าล่วงเวลา(สนับสนุน)</t>
  </si>
  <si>
    <t>5101010109.101</t>
  </si>
  <si>
    <t>5101010109</t>
  </si>
  <si>
    <t>เงินตอบแทนพิเศษของข้าราชการผู้ได้รับเงินเดือนถึงขั้นสูงสุดของอันดับ(บริการ)</t>
  </si>
  <si>
    <t>5101010109.102</t>
  </si>
  <si>
    <t>เงินตอบแทนพิเศษของข้าราชการผู้ได้รับเงินเดือนถึงขั้นสูงสุดของอันดับ(สนับสนุน)</t>
  </si>
  <si>
    <t>5101010109.103</t>
  </si>
  <si>
    <t>เงินตอบแทนพิเศษของลูกจ้างประจำผู้ได้รับค่าจ้างถึงขั้นสูงสุดของตำแหน่ง(บริการ)</t>
  </si>
  <si>
    <t>5101010109.104</t>
  </si>
  <si>
    <t>เงินตอบแทนพิเศษของลูกจ้างประจำผู้ได้รับค่าจ้างถึงขั้นสูงสุดของตำแหน่ง(สนับสนุน)</t>
  </si>
  <si>
    <t>5101010113.101</t>
  </si>
  <si>
    <t>5101010113</t>
  </si>
  <si>
    <t>ค่าจ้างประจำ(บริการ)</t>
  </si>
  <si>
    <t>5101010113.102</t>
  </si>
  <si>
    <t>ค่าจ้างประจำ(สนับสนุน)</t>
  </si>
  <si>
    <t>5101010113.103</t>
  </si>
  <si>
    <t>ค่าจ้างชั่วคราว(บริการ)</t>
  </si>
  <si>
    <t>5101010113.104</t>
  </si>
  <si>
    <t>ค่าจ้างชั่วคราว(สนับสนุน)</t>
  </si>
  <si>
    <t>5101010113.105</t>
  </si>
  <si>
    <t>ค่าจ้างพนักงานกระทรวงสาธารณสุข (บริการ)</t>
  </si>
  <si>
    <t>5101010113.106</t>
  </si>
  <si>
    <t>ค่าจ้างพนักงานกระทรวงสาธารณสุข (สนับสนุน)</t>
  </si>
  <si>
    <t>5101010113.107</t>
  </si>
  <si>
    <t>ค่าจ้างเหมาบุคลากร (บริการ)</t>
  </si>
  <si>
    <t>5101010113.108</t>
  </si>
  <si>
    <t>ค่าจ้างเหมาบุคลากร (สนับสนุน)</t>
  </si>
  <si>
    <t>5101010115.101</t>
  </si>
  <si>
    <t>5101010115</t>
  </si>
  <si>
    <t>เงินค่าตอบแทนพนักงานราชการ (บริการ)</t>
  </si>
  <si>
    <t>5101010115.102</t>
  </si>
  <si>
    <t>เงินค่าตอบแทนพนักงานราชการ (สนับสนุน)</t>
  </si>
  <si>
    <t>5101010116.101</t>
  </si>
  <si>
    <t>5101010116</t>
  </si>
  <si>
    <t>เงินค่าครองชีพสำหรับข้าราชการ (บริการ)</t>
  </si>
  <si>
    <t>5101010116.102</t>
  </si>
  <si>
    <t>เงินค่าครองชีพสำหรับข้าราชการ(สนับสนุน)</t>
  </si>
  <si>
    <t>5101010116.103</t>
  </si>
  <si>
    <t>เงินค่าครองชีพสำหรับลูกจ้างประจำ(บริการ)</t>
  </si>
  <si>
    <t>5101010116.104</t>
  </si>
  <si>
    <t>เงินค่าครองชีพสำหรับลูกจ้างประจำ(สนับสนุน)</t>
  </si>
  <si>
    <t>5101010116.105</t>
  </si>
  <si>
    <t>เงินค่าครองชีพสำหรับพนักงานราชการ(บริการ)</t>
  </si>
  <si>
    <t>5101010116.106</t>
  </si>
  <si>
    <t>เงินค่าครองชีพสำหรับพนักงานราชการ(สนับสนุน)</t>
  </si>
  <si>
    <t>5101010199.101</t>
  </si>
  <si>
    <t>5101010199</t>
  </si>
  <si>
    <t>เงินตอบแทนรายเดือนสำหรับข้าราชการเท่ากับอัตราเงินประจำตำแหน่ง (บริการ)</t>
  </si>
  <si>
    <t>5101010199.102</t>
  </si>
  <si>
    <t>เงินตอบแทนชำนาญการพิเศษที่ไม่ใช่วิชาชีพ (สนับสนุน)</t>
  </si>
  <si>
    <t>5101010199.103</t>
  </si>
  <si>
    <t xml:space="preserve">ค่าตอบแทนในการปฏิบัติงานเวรหรือผลัดบ่ายและหรือผลัดดึกของพยาบาล </t>
  </si>
  <si>
    <t>5101020101.101</t>
  </si>
  <si>
    <t>5101020101</t>
  </si>
  <si>
    <t>เงินช่วยพิเศษกรณีเสียชีวิต (เงินงบประมาณ)</t>
  </si>
  <si>
    <t>5101020101.102</t>
  </si>
  <si>
    <t>เงินช่วยพิเศษกรณีเสียชีวิต (เงินนอกงบประมาณ)</t>
  </si>
  <si>
    <t>5101020102.101</t>
  </si>
  <si>
    <t>5101020102</t>
  </si>
  <si>
    <t>เงินทำขวัญข้าราชการและลูกจ้าง</t>
  </si>
  <si>
    <t>5101020103.101</t>
  </si>
  <si>
    <t>5101020103</t>
  </si>
  <si>
    <t>เงินชดเชยสมาชิก กบข.</t>
  </si>
  <si>
    <t>5101020104.101</t>
  </si>
  <si>
    <t>5101020104</t>
  </si>
  <si>
    <t>เงินสมทบ กบข.</t>
  </si>
  <si>
    <t>5101020105.101</t>
  </si>
  <si>
    <t>5101020105</t>
  </si>
  <si>
    <t>เงินสมทบ กสจ.</t>
  </si>
  <si>
    <t>5101020106.101</t>
  </si>
  <si>
    <t>5101020106</t>
  </si>
  <si>
    <t>เงินสมทบกองทุนประกันสังคมส่วนของนายจ้าง (เงินงบประมาณ)</t>
  </si>
  <si>
    <t>5101020106.102</t>
  </si>
  <si>
    <t>เงินสมทบกองทุนประกันสังคมส่วนของนายจ้าง (เงินนอกงบประมาณ)</t>
  </si>
  <si>
    <t>5101020108.101</t>
  </si>
  <si>
    <t>5101020108</t>
  </si>
  <si>
    <t>ค่าเช่าบ้าน</t>
  </si>
  <si>
    <t>5101020112.101</t>
  </si>
  <si>
    <t>5101020112</t>
  </si>
  <si>
    <t>เงินสมทบกองทุนสำรองเลี้ยงชีพพนักงานและเจ้าหน้าที่รัฐ (เงินนอกงบประมาณ)</t>
  </si>
  <si>
    <t>5101020114.107</t>
  </si>
  <si>
    <t>5101020114</t>
  </si>
  <si>
    <t>ค่าตอบแทนเงินเพิ่มพิเศษสำหรับผู้ปฏิบัติงานด้านการสาธารณสุข (พ.ต.ส./ค.ต.ส.-เงินงบประมาณ)</t>
  </si>
  <si>
    <t>5101020114.114</t>
  </si>
  <si>
    <t>ค่าตอบแทนเงินเพิ่มพิเศษสำหรับผู้ปฏิบัติงานด้านการสาธารณสุข (พ.ต.ส./ค.ต.ส.-เงินนอกงบประมาณ)</t>
  </si>
  <si>
    <t>5101020114.126</t>
  </si>
  <si>
    <t>เงินเพิ่มสำหรับตำแหน่งที่มีเหตุพิเศษ (บริการ)</t>
  </si>
  <si>
    <t>5101020114.127</t>
  </si>
  <si>
    <t>เงินเพิ่มสำหรับตำแหน่งที่มีเหตุพิเศษ (สนับสนุน)</t>
  </si>
  <si>
    <t>5101020115.101</t>
  </si>
  <si>
    <t>5101020115</t>
  </si>
  <si>
    <t>ค่าตอบแทนพิเศษชายแดนภาคใต้ (บริการ)</t>
  </si>
  <si>
    <t>5101020116.101</t>
  </si>
  <si>
    <t>5101020116</t>
  </si>
  <si>
    <t>เงินสมทบกองทุนทดแทน - เงินงบประมาณ</t>
  </si>
  <si>
    <t>5101020116.102</t>
  </si>
  <si>
    <t>เงินสมทบกองทุนทดแทน-เงินนอกงบประมาณ</t>
  </si>
  <si>
    <t>5101020199.105</t>
  </si>
  <si>
    <t>ค่าใช้จ่ายบุคลากรอื่น (เงินงบประมาณ)</t>
  </si>
  <si>
    <t>5101020199.106</t>
  </si>
  <si>
    <t>ค่าใช้จ่ายบุคลากรอื่น (เงินนอกงบประมาณ)</t>
  </si>
  <si>
    <t>5101030101.101</t>
  </si>
  <si>
    <t>5101030101</t>
  </si>
  <si>
    <t>เงินช่วยการศึกษาบุตร</t>
  </si>
  <si>
    <t>5101030205.101</t>
  </si>
  <si>
    <t>5101030205</t>
  </si>
  <si>
    <t>เงินช่วยค่ารักษาพยาบาลประเภทผู้ป่วยนอก รพ.รัฐ สำหรับผู้มีสิทธิตามกฎหมายยกเว้นผู้รับเบี้ยหวัด/บำนาญ</t>
  </si>
  <si>
    <t>5101030206.101</t>
  </si>
  <si>
    <t>5101030206</t>
  </si>
  <si>
    <t>เงินช่วยค่ารักษาพยาบาลประเภทผู้ป่วยใน รพ.รัฐ สำหรับผู้มีสิทธิตามกฎหมายยกเว้นผู้รับเบี้ยหวัด/บำนาญ</t>
  </si>
  <si>
    <t>5101030207.101</t>
  </si>
  <si>
    <t>5101030207</t>
  </si>
  <si>
    <t>เงินช่วยค่ารักษาพยาบาลประเภทผู้ป่วยนอก รพ.เอกชนสำหรับผู้มีสิทธิตามกฎหมายยกเว้นผู้รับเบี้ยหวัด /บำนาญ</t>
  </si>
  <si>
    <t>5101030208.101</t>
  </si>
  <si>
    <t>5101030208</t>
  </si>
  <si>
    <t>เงินช่วยค่ารักษาพยาบาลประเภทผู้ป่วยในร.พ.เอกชนสำหรับผู้มีสิทธิตามกฎหมายยกเว้นผู้รับเบี้ยหวัด /บำนาญ</t>
  </si>
  <si>
    <t>5101030211.101</t>
  </si>
  <si>
    <t>5101030211</t>
  </si>
  <si>
    <t>เงินช่วยเหลือค่ารักษาพยาบาลตามกฎหมายสงเคราะห์ข้าราชการ</t>
  </si>
  <si>
    <t>5101040107.101</t>
  </si>
  <si>
    <t>5101040107</t>
  </si>
  <si>
    <t>บำเหน็จตกทอด</t>
  </si>
  <si>
    <t>5101040111.101</t>
  </si>
  <si>
    <t>5101040111</t>
  </si>
  <si>
    <t>เงินช่วยพิเศษกรณีผู้รับบำนาญเสียชีวิต</t>
  </si>
  <si>
    <t>5101040118.101</t>
  </si>
  <si>
    <t>5101040118</t>
  </si>
  <si>
    <t>บำนาญตกทอด</t>
  </si>
  <si>
    <t>5101040202.101</t>
  </si>
  <si>
    <t>5101040202</t>
  </si>
  <si>
    <t>5101040204.101</t>
  </si>
  <si>
    <t>5101040204</t>
  </si>
  <si>
    <t>เงินช่วยค่ารักษาพยาบาลประเภทผู้ป่วยนอก รพ.รัฐ สำหรับผู้รับเบี้ยหวัด /บำนาญตามกฎหมาย</t>
  </si>
  <si>
    <t>5101040205.101</t>
  </si>
  <si>
    <t>5101040205</t>
  </si>
  <si>
    <t>เงินช่วยค่ารักษาพยาบาลประเภทผู้ป่วยใน รพ.รัฐ สำหรับผู้รับเบี้ยหวัด /บำนาญตามกฎหมาย</t>
  </si>
  <si>
    <t>5101040206.101</t>
  </si>
  <si>
    <t>5101040206</t>
  </si>
  <si>
    <t>เงินช่วยค่ารักษา พยาบาลประเภทผู้ป่วยนอก รพ.เอกชน สำหรับผู้รับเบี้ยหวัด/บำนาญตามกฎหมาย</t>
  </si>
  <si>
    <t>5101040207.101</t>
  </si>
  <si>
    <t>5101040207</t>
  </si>
  <si>
    <t>เงินช่วยค่ารักษาพยาบาลประเภทผู้ป่วยใน รพ.เอกชน สำหรับผู้รับเบี้ยหวัด/บำนาญตามกฎหมาย</t>
  </si>
  <si>
    <t>5102010106.101</t>
  </si>
  <si>
    <t>5102010106</t>
  </si>
  <si>
    <t>ค่าใช้จ่ายทุนการศึกษา-ในประเทศ</t>
  </si>
  <si>
    <t>5102010199.101</t>
  </si>
  <si>
    <t>5102010199</t>
  </si>
  <si>
    <t>ค่าใช้จ่ายด้านการฝึกอบรม-ในประเทศ (เงินงบประมาณ)</t>
  </si>
  <si>
    <t>5102010199.102</t>
  </si>
  <si>
    <t>ค่าใช้จ่ายด้านการฝึกอบรม - ในประเทศ (เงินนอกงบประมาณ)</t>
  </si>
  <si>
    <t>5102030199.101</t>
  </si>
  <si>
    <t>5102030199</t>
  </si>
  <si>
    <t>ค่าใช้จ่ายด้านการฝึกอบรม -บุคคล ภายนอก (เงินงบประมาณ)</t>
  </si>
  <si>
    <t>5102030199.102</t>
  </si>
  <si>
    <t>ค่าใช้จ่ายด้านการฝึกอบรม -บุคคล ภายนอก (เงินนอกงบประมาณ)</t>
  </si>
  <si>
    <t>5103010102.101</t>
  </si>
  <si>
    <t>5103010102</t>
  </si>
  <si>
    <t>ค่าเบี้ยเลี้ยง-ในประเทศ (เงินงบประมาณ)</t>
  </si>
  <si>
    <t>5103010102.102</t>
  </si>
  <si>
    <t>ค่าเบี้ยเลี้ยง-ในประเทศ (เงินนอกงบประมาณ)</t>
  </si>
  <si>
    <t>5103010103.101</t>
  </si>
  <si>
    <t>5103010103</t>
  </si>
  <si>
    <t>ค่าที่พัก-ในประเทศ (เงินงบประมาณ)</t>
  </si>
  <si>
    <t>5103010103.102</t>
  </si>
  <si>
    <t>ค่าที่พัก-ในประเทศ (เงินนอกงบประมาณ)</t>
  </si>
  <si>
    <t>5103010199.101</t>
  </si>
  <si>
    <t>5103010199</t>
  </si>
  <si>
    <t>ค่าใช้จ่ายเดินทางอื่น -ในประเทศ (เงินงบประมาณ)</t>
  </si>
  <si>
    <t>5103010199.102</t>
  </si>
  <si>
    <t>ค่าใช้จ่ายเดินทางอื่น -ในประเทศ (เงินนอกงบประมาณ)</t>
  </si>
  <si>
    <t>5104010104.101</t>
  </si>
  <si>
    <t>5104010104</t>
  </si>
  <si>
    <t>วัสดุสำนักงานใช้ไป</t>
  </si>
  <si>
    <t>5104010104.102</t>
  </si>
  <si>
    <t>วัสดุยานพาหนะและขนส่งใช้ไป</t>
  </si>
  <si>
    <t>5104010104.103</t>
  </si>
  <si>
    <t>วัสดุไฟฟ้าและวิทยุใช้ไป</t>
  </si>
  <si>
    <t>5104010104.104</t>
  </si>
  <si>
    <t>วัสดุโฆษณาและเผยแพร่ใช้ไป</t>
  </si>
  <si>
    <t>5104010104.105</t>
  </si>
  <si>
    <t>วัสดุคอมพิวเตอร์ใช้ไป</t>
  </si>
  <si>
    <t>5104010104.106</t>
  </si>
  <si>
    <t>วัสดุงานบ้านงานครัวใช้ไป</t>
  </si>
  <si>
    <t>5104010104.107</t>
  </si>
  <si>
    <t>วัสดุก่อสร้างใช้ไป</t>
  </si>
  <si>
    <t>5104010104.108</t>
  </si>
  <si>
    <t>วัสดุอื่นใช้ไป</t>
  </si>
  <si>
    <t>5104010104.109</t>
  </si>
  <si>
    <t>สินค้าใช้ไป</t>
  </si>
  <si>
    <t>5104010107.101</t>
  </si>
  <si>
    <t>5104010107</t>
  </si>
  <si>
    <t>ค่าซ่อมแซมอาคารและสิ่งปลูกสร้าง</t>
  </si>
  <si>
    <t>5104010107.102</t>
  </si>
  <si>
    <t>ค่าซ่อมแซมครุภัณฑ์สำนักงาน</t>
  </si>
  <si>
    <t>5104010107.103</t>
  </si>
  <si>
    <t>ค่าซ่อมแซมครุภัณฑ์ยานพาหนะและขนส่ง</t>
  </si>
  <si>
    <t>5104010107.104</t>
  </si>
  <si>
    <t>ค่าซ่อมแซมครุภัณฑ์ไฟฟ้าและวิทยุ</t>
  </si>
  <si>
    <t>5104010107.105</t>
  </si>
  <si>
    <t>ค่าซ่อมแซมครุภัณฑ์โฆษณาและเผยแพร่</t>
  </si>
  <si>
    <t>5104010107.106</t>
  </si>
  <si>
    <t>ค่าซ่อมแซมครุภัณฑ์วิทยาศาสตร์และการแพทย์</t>
  </si>
  <si>
    <t>5104010107.107</t>
  </si>
  <si>
    <t>ค่าซ่อมแซมครุภัณฑ์คอมพิวเตอร์</t>
  </si>
  <si>
    <t>5104010107.108</t>
  </si>
  <si>
    <t>ค่าซ่อมแซมครุภัณฑ์อื่น  (ปป.+บำรุงรักษา)</t>
  </si>
  <si>
    <t>5104010107.109</t>
  </si>
  <si>
    <t>ค่าจ้างเหมาบำรุงรักษาดูแลลิฟท์</t>
  </si>
  <si>
    <t>5104010107.110</t>
  </si>
  <si>
    <t>ค่าจ้างเหมาบำรุงรักษาสวนหย่อม</t>
  </si>
  <si>
    <t>5104010107.111</t>
  </si>
  <si>
    <t>ค่าจ้างเหมาบำรุงรักษาครุภัณฑ์วิทยาศาสตร์และการแพทย์</t>
  </si>
  <si>
    <t>5104010107.112</t>
  </si>
  <si>
    <t>ค่าจ้างเหมาบำรุงรักษาเครื่องปรับอากาศ</t>
  </si>
  <si>
    <t>5104010107.113</t>
  </si>
  <si>
    <t>ค่าจ้างเหมาซ่อมแซมบ้านพัก</t>
  </si>
  <si>
    <t>5104010110.101</t>
  </si>
  <si>
    <t>5104010110</t>
  </si>
  <si>
    <t>ค่าเชื้อเพลิง</t>
  </si>
  <si>
    <t>5104010112.101</t>
  </si>
  <si>
    <t>5104010112</t>
  </si>
  <si>
    <t>ค่าจ้างเหมาทำความสะอาด</t>
  </si>
  <si>
    <t>5104010112.103</t>
  </si>
  <si>
    <t>ค่าจ้างเหมาประกอบอาหารผู้ป่วย</t>
  </si>
  <si>
    <t>5104010112.106</t>
  </si>
  <si>
    <t>ค่าจ้างเหมารถ</t>
  </si>
  <si>
    <t>5104010112.108</t>
  </si>
  <si>
    <t>ค่าจ้างเหมาดูแลความปลอดภัย</t>
  </si>
  <si>
    <t>5104010112.110</t>
  </si>
  <si>
    <t>ค่าจ้างเหมาซักรีด</t>
  </si>
  <si>
    <t>5104010112.111</t>
  </si>
  <si>
    <t>ค่าจ้างเหมากำจัดขยะติดเชื้อ</t>
  </si>
  <si>
    <t>5104010112.112</t>
  </si>
  <si>
    <t>ค่าจ้างเหมาบริการทางการแพทย์</t>
  </si>
  <si>
    <t>5104010112.113</t>
  </si>
  <si>
    <t>ค่าจ้างเหมาบริการอื่น(สนับสนุน)</t>
  </si>
  <si>
    <t>5104010112.114</t>
  </si>
  <si>
    <t>ค่าจ้างตรวจทางห้องปฏิบัติการ (Lab)</t>
  </si>
  <si>
    <t>5104010112.115</t>
  </si>
  <si>
    <t>ค่าจ้างตรวจเอ็กซเรย์ (X-Ray)</t>
  </si>
  <si>
    <t>5104010114.101</t>
  </si>
  <si>
    <t>5104010114</t>
  </si>
  <si>
    <t>ค่าธรรมเนียมทางกฎหมาย</t>
  </si>
  <si>
    <t>5104010115.101</t>
  </si>
  <si>
    <t>5104010115</t>
  </si>
  <si>
    <t>ค่าธรรมเนียมธนาคาร</t>
  </si>
  <si>
    <t>5104020101.101</t>
  </si>
  <si>
    <t>5104020101</t>
  </si>
  <si>
    <t>ค่าไฟฟ้า</t>
  </si>
  <si>
    <t>5104020103.101</t>
  </si>
  <si>
    <t>5104020103</t>
  </si>
  <si>
    <t>ค่าน้ำประปาและน้ำบาดาล</t>
  </si>
  <si>
    <t>5104020105.101</t>
  </si>
  <si>
    <t>5104020105</t>
  </si>
  <si>
    <t>ค่าโทรศัพท์</t>
  </si>
  <si>
    <t>5104020106.101</t>
  </si>
  <si>
    <t>5104020106</t>
  </si>
  <si>
    <t>ค่าบริการสื่อสารและโทรคมนาคม</t>
  </si>
  <si>
    <t>5104020107.101</t>
  </si>
  <si>
    <t>5104020107</t>
  </si>
  <si>
    <t>ค่าไปรษณีย์และขนส่ง</t>
  </si>
  <si>
    <t>5104030202.101</t>
  </si>
  <si>
    <t>5104030202</t>
  </si>
  <si>
    <t>ค่าจ้างที่ปรึกษา</t>
  </si>
  <si>
    <t>5104030203.101</t>
  </si>
  <si>
    <t>5104030203</t>
  </si>
  <si>
    <t>ค่าเบี้ยประกันภัย</t>
  </si>
  <si>
    <t>5104030205.101</t>
  </si>
  <si>
    <t>5104030205</t>
  </si>
  <si>
    <t>ยาใช้ไป</t>
  </si>
  <si>
    <t>5104030205.102</t>
  </si>
  <si>
    <t>วัสดุเภสัชกรรมใช้ไป</t>
  </si>
  <si>
    <t>5104030205.103</t>
  </si>
  <si>
    <t>วัสดุทางการแพทย์ทั่วไปใช้ไป</t>
  </si>
  <si>
    <t>5104030205.104</t>
  </si>
  <si>
    <t>วัสดุวิทยาศาสตร์และการแพทย์ใช้ไป</t>
  </si>
  <si>
    <t>5104030205.112</t>
  </si>
  <si>
    <t>วัสดุบริโภคใช้ไป</t>
  </si>
  <si>
    <t>5104030205.113</t>
  </si>
  <si>
    <t>วัสดุเครื่องแต่งกายใช้ไป</t>
  </si>
  <si>
    <t>5104030205.117</t>
  </si>
  <si>
    <t>วัสดุทันตกรรมใช้ไป</t>
  </si>
  <si>
    <t>5104030205.118</t>
  </si>
  <si>
    <t>วัสดุเอกซเรย์ใช้ไป</t>
  </si>
  <si>
    <t>5104030206.101</t>
  </si>
  <si>
    <t>5104030206</t>
  </si>
  <si>
    <t>ค่าครุภัณฑ์มูลค่าต่ำกว่าเกณฑ์/ค่าจัดหาสินทรัพย์มูลค่าต่ำกว่าเกณฑ์</t>
  </si>
  <si>
    <t>5104030207.101</t>
  </si>
  <si>
    <t>5104030207</t>
  </si>
  <si>
    <t>ค่าใช้จ่ายในการประชุม</t>
  </si>
  <si>
    <t>5104030208.101</t>
  </si>
  <si>
    <t>5104030208</t>
  </si>
  <si>
    <t>ค่ารับรองและพิธีการ</t>
  </si>
  <si>
    <t>5104030210.101</t>
  </si>
  <si>
    <t>5104030210</t>
  </si>
  <si>
    <t xml:space="preserve">ค่าเช่าอสังหาริมทรัพย์ </t>
  </si>
  <si>
    <t>5104030212.101</t>
  </si>
  <si>
    <t>5104030212</t>
  </si>
  <si>
    <t xml:space="preserve">ค่าเช่าเบ็ดเตล็ด </t>
  </si>
  <si>
    <t>5104030217.101</t>
  </si>
  <si>
    <t>5104030217</t>
  </si>
  <si>
    <t>เงินชดเชยค่างานสิ่งก่อสร้าง</t>
  </si>
  <si>
    <t>5104030218.101</t>
  </si>
  <si>
    <t>5104030218</t>
  </si>
  <si>
    <t>ค่าใช้จ่ายผลักส่งเป็นรายได้แผ่นดิน</t>
  </si>
  <si>
    <t>5104030219.101</t>
  </si>
  <si>
    <t>5104030219</t>
  </si>
  <si>
    <t>ค่าประชาสัมพันธ์</t>
  </si>
  <si>
    <t>5104030220.101</t>
  </si>
  <si>
    <t>5104030220</t>
  </si>
  <si>
    <t>ค่าชดใช้ค่าเสียหาย</t>
  </si>
  <si>
    <t>5104030299.102</t>
  </si>
  <si>
    <t>5104030299</t>
  </si>
  <si>
    <t>ค่าใช้จ่ายตามโครงการ (UC) (PP)</t>
  </si>
  <si>
    <t>5104030299.103</t>
  </si>
  <si>
    <t>ค่าใช้จ่ายตามโครงการ (เงินงบประมาณ)</t>
  </si>
  <si>
    <t>5104030299.104</t>
  </si>
  <si>
    <t>ค่าใช้สอยอื่นๆ</t>
  </si>
  <si>
    <t>5104030299.105</t>
  </si>
  <si>
    <t>ค่าใช้จ่ายตามโครงการ (เงินนอกงบประมาณ)</t>
  </si>
  <si>
    <t>5104030299.202</t>
  </si>
  <si>
    <t>ค่ารักษาตามจ่าย UC ในสังกัด สป. สธ.</t>
  </si>
  <si>
    <t>5104030299.203</t>
  </si>
  <si>
    <t>ค่ารักษาตามจ่าย UC นอกสังกัด สป. สธ.</t>
  </si>
  <si>
    <t>5104030299.204</t>
  </si>
  <si>
    <t>ค่าจ้าง/ค่าเช่า/ค่าซ่อมบำรุง สิ่งก่อสร้างและครุภัณฑ์ (งบลงทุน UC)</t>
  </si>
  <si>
    <t>5104030299.501</t>
  </si>
  <si>
    <t>ค่ารักษาตามจ่ายคนต่างด้าวและแรงงานต่างด้าว</t>
  </si>
  <si>
    <t>5104030299.502</t>
  </si>
  <si>
    <t>ค่าใช้จ่ายตามโครงการ (P&amp;P) แรงงานต่างด้าว</t>
  </si>
  <si>
    <t>5104030299.701</t>
  </si>
  <si>
    <t>ค่าใช้จ่ายตามโครงการ (P&amp;P) บุคคลที่มีปัญหาสถานะและสิทธิ</t>
  </si>
  <si>
    <t>5104030299.702</t>
  </si>
  <si>
    <t>ค่ารักษาตามจ่ายบุคคลที่มีปัญหาสถานะและสิทธิ</t>
  </si>
  <si>
    <t>5104040102.101</t>
  </si>
  <si>
    <t>5104040102</t>
  </si>
  <si>
    <t>ค่าตอบแทนเงินเพิ่มพิเศษแพทย์ไม่ทำเวชปฏิบัติฯลฯ (บริการ)</t>
  </si>
  <si>
    <t>5104040102.102</t>
  </si>
  <si>
    <t>ค่าตอบแทนเงินเพิ่มพิเศษทันตแพทย์ไม่ทำเวชปฏิบัติฯลฯ(บริการ)</t>
  </si>
  <si>
    <t>5104040102.103</t>
  </si>
  <si>
    <t>ค่าตอบแทนเงินเพิ่มเภสัชกรไม่ทำเวชปฏิบัติฯลฯ (บริการ)</t>
  </si>
  <si>
    <t>5104040102.104</t>
  </si>
  <si>
    <t>ค่าตอบแทนในการปฏิบัติงานของเจ้าหน้าที่ (บริการ)</t>
  </si>
  <si>
    <t>5104040102.105</t>
  </si>
  <si>
    <t>ค่าตอบแทนในการปฏิบัติงานของเจ้าหน้าที่ (สนับสนุน)</t>
  </si>
  <si>
    <t>5104040102.106</t>
  </si>
  <si>
    <t>ค่าตอบแทนการปฏิบัติงานในคลินิกพิเศษนอกเวลา</t>
  </si>
  <si>
    <t>5104040102.107</t>
  </si>
  <si>
    <t>ค่าตอบแทนการปฏิบัติงานชันสูตรพลิกศพ (เงินงบประมาณ)</t>
  </si>
  <si>
    <t>5104040102.108</t>
  </si>
  <si>
    <t>ค่าตอบแทนการปฏิบัติงานชันสูตรพลิกศพ (เงินนอกงบประมาณ)</t>
  </si>
  <si>
    <t>5104040102.109</t>
  </si>
  <si>
    <t>ค่าตอบแทนปฏิบัติงานแพทย์สาขาส่งเสริมพิเศษ</t>
  </si>
  <si>
    <t>5104040102.110</t>
  </si>
  <si>
    <t>ค่าตอบแทนปฏิบัติงานส่งเสริมสุขภาพและเวชปฏิบัติครอบครัว</t>
  </si>
  <si>
    <t>5104040102.111</t>
  </si>
  <si>
    <t>ค่าตอบแทนการปฏิบัติงานในลักษณะค่าเบี้ยเลี้ยงเหมาจ่าย (บริการ) - เงินงบประมาณ</t>
  </si>
  <si>
    <t>5104040102.112</t>
  </si>
  <si>
    <t>ค่าตอบแทนการปฏิบัติงานในลักษณะค่าเบี้ยเลี้ยงเหมาจ่าย (สนับสนุน) - เงินงบประมาณ</t>
  </si>
  <si>
    <t>5104040102.113</t>
  </si>
  <si>
    <t>ค่าตอบแทนการปฏิบัติงานในลักษณะค่าเบี้ยเลี้ยงเหมาจ่าย (บริการ)  - เงินนอกงบประมาณ</t>
  </si>
  <si>
    <t>5104040102.114</t>
  </si>
  <si>
    <t>ค่าตอบแทนการปฏิบัติงานในลักษณะค่าเบี้ยเลี้ยงเหมาจ่าย (สนับสนุน)  - เงินนอกงบประมาณ</t>
  </si>
  <si>
    <t>5104040102.115</t>
  </si>
  <si>
    <t>ค่าตอบแทนตามผลการปฏิบัติงาน (บริการ) - เงินงบประมาณ</t>
  </si>
  <si>
    <t>5104040102.116</t>
  </si>
  <si>
    <t>ค่าตอบแทนตามผลการปฏิบัติงาน (สนับสนุน) - เงินงบประมาณ</t>
  </si>
  <si>
    <t>5104040102.117</t>
  </si>
  <si>
    <t>ค่าตอบแทนตามผลการปฏิบัติงาน (บริการ) - เงินนอกงบประมาณ</t>
  </si>
  <si>
    <t>5104040102.118</t>
  </si>
  <si>
    <t>ค่าตอบแทนตามผลการปฏิบัติงาน (สนับสนุน)  - เงินนอกงบประมาณ</t>
  </si>
  <si>
    <t>5104040102.119</t>
  </si>
  <si>
    <t>ค่าตอบแทนการปฏิบัติงานอื่น -เงินงบประมาณ</t>
  </si>
  <si>
    <t>5104040102.120</t>
  </si>
  <si>
    <t>ค่าตอบแทนการปฏิบัติงานอื่น-เงินนอกงบประมาณ</t>
  </si>
  <si>
    <t>5105010101.101</t>
  </si>
  <si>
    <t>5105010101</t>
  </si>
  <si>
    <t>ค่าเสื่อมราคา -อาคารเพื่อการพักอาศัย</t>
  </si>
  <si>
    <t>5105010103.101</t>
  </si>
  <si>
    <t>5105010103</t>
  </si>
  <si>
    <t>ค่าเสื่อมราคา - อาคารสำนักงาน</t>
  </si>
  <si>
    <t>5105010105.101</t>
  </si>
  <si>
    <t>5105010105</t>
  </si>
  <si>
    <t>ค่าเสื่อมราคา - อาคารเพื่อประโยชน์อื่น</t>
  </si>
  <si>
    <t>5105010107.101</t>
  </si>
  <si>
    <t>5105010107</t>
  </si>
  <si>
    <t>ค่าเสื่อมราคา - สิ่งปลูกสร้าง</t>
  </si>
  <si>
    <t>5105010107.102</t>
  </si>
  <si>
    <t>ค่าเสื่อมราคา -ระบบประปา</t>
  </si>
  <si>
    <t>5105010107.103</t>
  </si>
  <si>
    <t>ค่าเสื่อมราคา - ระบบบำบัดน้ำเสีย</t>
  </si>
  <si>
    <t>5105010107.104</t>
  </si>
  <si>
    <t>ค่าเสื่อมราคา - ระบบไฟฟ้า</t>
  </si>
  <si>
    <t>5105010107.105</t>
  </si>
  <si>
    <t>ค่าเสื่อมราคา - ระบบโทรศัพท์</t>
  </si>
  <si>
    <t>5105010107.106</t>
  </si>
  <si>
    <t>ค่าเสื่อมราคา-ระบบถนนภายใน</t>
  </si>
  <si>
    <t>5105010109.101</t>
  </si>
  <si>
    <t>5105010109</t>
  </si>
  <si>
    <t>ค่าเสื่อมราคา-ครุภัณฑ์สำนักงาน</t>
  </si>
  <si>
    <t>5105010111.101</t>
  </si>
  <si>
    <t>5105010111</t>
  </si>
  <si>
    <t>ค่าเสื่อมราคา-ยานพาหนะและอุปกรณ์การขนส่ง</t>
  </si>
  <si>
    <t>5105010113.101</t>
  </si>
  <si>
    <t>5105010113</t>
  </si>
  <si>
    <t>ค่าเสื่อมราคา-ครุภัณฑ์ไฟฟ้าและวิทยุ</t>
  </si>
  <si>
    <t>5105010115.101</t>
  </si>
  <si>
    <t>5105010115</t>
  </si>
  <si>
    <t>ค่าเสื่อมราคา-ครุภัณฑ์โฆษณาและเผยแพร่</t>
  </si>
  <si>
    <t>5105010117.101</t>
  </si>
  <si>
    <t>5105010117</t>
  </si>
  <si>
    <t>ค่าเสื่อมราคา-ครุภัณฑ์การเกษตร</t>
  </si>
  <si>
    <t>5105010119.101</t>
  </si>
  <si>
    <t>ค่าเสื่อมราคา-ครุภัณฑ์โรงงาน</t>
  </si>
  <si>
    <t>5105010121.101</t>
  </si>
  <si>
    <t>5105010121</t>
  </si>
  <si>
    <t>ค่าเสื่อมราคา-ครุภัณฑ์ก่อสร้าง</t>
  </si>
  <si>
    <t>5105010125.101</t>
  </si>
  <si>
    <t>5105010125</t>
  </si>
  <si>
    <t>ค่าเสื่อมราคา-ครุภัณฑ์วิทยาศาสตร์ และการแพทย์</t>
  </si>
  <si>
    <t>5105010127.101</t>
  </si>
  <si>
    <t>5105010127</t>
  </si>
  <si>
    <t>ค่าเสื่อมราคา-อุปกรณ์คอมพิวเตอร์</t>
  </si>
  <si>
    <t>5105010129.101</t>
  </si>
  <si>
    <t>5105010129</t>
  </si>
  <si>
    <t>ค่าเสื่อมราคา - ครุภัณฑ์การศึกษา</t>
  </si>
  <si>
    <t>5105010131.101</t>
  </si>
  <si>
    <t>5105010131</t>
  </si>
  <si>
    <t>ค่าเสื่อมราคา-ครุภัณฑ์งานบ้านงานครัว</t>
  </si>
  <si>
    <t>5105010133.101</t>
  </si>
  <si>
    <t>5105010133</t>
  </si>
  <si>
    <t>บัญชีค่าเสื่อมราคา - ครุภัณฑ์กีฬา</t>
  </si>
  <si>
    <t>5105010135.101</t>
  </si>
  <si>
    <t>5105010135</t>
  </si>
  <si>
    <t>บัญชีค่าเสื่อมราคา - ครุภัณฑ์ดนตรี</t>
  </si>
  <si>
    <t>5105010137.101</t>
  </si>
  <si>
    <t>5105010137</t>
  </si>
  <si>
    <t>บัญชีค่าเสื่อมราคา - ครุภัณฑ์สนาม</t>
  </si>
  <si>
    <t>5105010139.101</t>
  </si>
  <si>
    <t>5105010139</t>
  </si>
  <si>
    <t>ค่าเสื่อมราคา-ครุภัณฑ์อื่น</t>
  </si>
  <si>
    <t>5105010148.101</t>
  </si>
  <si>
    <t>5105010148</t>
  </si>
  <si>
    <t>ค่าตัดจำหน่าย-โปรแกรมคอมพิวเตอร์</t>
  </si>
  <si>
    <t>5105010149.102</t>
  </si>
  <si>
    <t>5105010149</t>
  </si>
  <si>
    <t>ค่าตัดจำหน่าย-สินทรัพย์ที่ไม่มีตัวตนอื่น</t>
  </si>
  <si>
    <t>5105010158.101</t>
  </si>
  <si>
    <t>5105010158</t>
  </si>
  <si>
    <t>ค่าเสื่อมราคา-ส่วนปรับปรุงอาคาร</t>
  </si>
  <si>
    <t>5105010160.101</t>
  </si>
  <si>
    <t>5105010160</t>
  </si>
  <si>
    <t>ค่าเสื่อมราคาอาคารเพื่อพักอาศัย -  Interface</t>
  </si>
  <si>
    <t>5105010160.102</t>
  </si>
  <si>
    <t>ค่าเสื่อมราคาอาคารสำนักงาน-  Interface</t>
  </si>
  <si>
    <t>5105010160.103</t>
  </si>
  <si>
    <t>ค่าเสื่อมราคาอาคารเพื่อประโยชน์อื่น- Interface</t>
  </si>
  <si>
    <t>5105010160.104</t>
  </si>
  <si>
    <t>ค่าเสื่อมราคาสิ่งปลูกสร้าง -Interface</t>
  </si>
  <si>
    <t>5105010160.105</t>
  </si>
  <si>
    <t>ค่าเสื่อมราคาระบบประปา  -Interface</t>
  </si>
  <si>
    <t>5105010160.106</t>
  </si>
  <si>
    <t>ค่าเสื่อมราคาระบบบำบัดน้ำเสีย - Interface</t>
  </si>
  <si>
    <t>5105010160.107</t>
  </si>
  <si>
    <t>ค่าเสื่อมราคาระบบไฟฟ้า  -Interface</t>
  </si>
  <si>
    <t>5105010160.108</t>
  </si>
  <si>
    <t>ค่าเสื่อมราคาระบบโทรศัพท์ - Interface</t>
  </si>
  <si>
    <t>5105010160.109</t>
  </si>
  <si>
    <t>ค่าเสื่อมราคาระบบถนนภายใน - Interface</t>
  </si>
  <si>
    <t>5105010161.101</t>
  </si>
  <si>
    <t>5105010161</t>
  </si>
  <si>
    <t>ค่าเสื่อมราคาครุภัณฑ์สำนักงาน- Interface</t>
  </si>
  <si>
    <t>5105010161.102</t>
  </si>
  <si>
    <t>ค่าเสื่อมราคาครุภัณฑ์ยานพาหนะและขนส่ง -Interface</t>
  </si>
  <si>
    <t>5105010161.103</t>
  </si>
  <si>
    <t>ค่าเสื่อมราคาครุภัณฑ์ไฟฟ้าและวิทยุ - Interface</t>
  </si>
  <si>
    <t>5105010161.104</t>
  </si>
  <si>
    <t>ค่าเสื่อมราคาครุภัณฑ์โฆษณาและเผยแพร่ -  Interface</t>
  </si>
  <si>
    <t>5105010161.105</t>
  </si>
  <si>
    <t>ค่าเสื่อมราคาครุภัณฑ์การเกษตร- Interface</t>
  </si>
  <si>
    <t>5105010161.106</t>
  </si>
  <si>
    <t>ค่าเสื่อมราคาครุภัณฑ์ก่อสร้าง -Interface</t>
  </si>
  <si>
    <t>5105010161.107</t>
  </si>
  <si>
    <t>ค่าเสื่อมราคาครุภัณฑ์วิทยาศาสตร์และการแพทย์ -Interface</t>
  </si>
  <si>
    <t>5105010161.108</t>
  </si>
  <si>
    <t>ค่าเสื่อมราคาอุปกรณ์คอมพิวเตอร์ -  Interface</t>
  </si>
  <si>
    <t>5105010161.109</t>
  </si>
  <si>
    <t>ค่าเสื่อมราคาครุภัณฑ์งานบ้านงานครัว -Interface</t>
  </si>
  <si>
    <t>5105010161.110</t>
  </si>
  <si>
    <t>ค่าเสื่อมราคาครุภัณฑ์อื่น -  Interface</t>
  </si>
  <si>
    <t>5105010164.101</t>
  </si>
  <si>
    <t>5105010164</t>
  </si>
  <si>
    <t>ค่าตัดจำหน่ายโปรแกรมคอมพิวเตอร์-Interface</t>
  </si>
  <si>
    <t>5105010164.103</t>
  </si>
  <si>
    <t>ค่าตัดจำหน่ายสินทรัพย์ไม่มีตัวตนอื่น- Interface</t>
  </si>
  <si>
    <t>5105010194.101</t>
  </si>
  <si>
    <t>5105010194</t>
  </si>
  <si>
    <t>ค่าเสื่อมราคา-อาคารและสิ่งปลูกสร้างไม่ระบุรายละเอียด</t>
  </si>
  <si>
    <t>5105010195.101</t>
  </si>
  <si>
    <t>5105010195</t>
  </si>
  <si>
    <t>ค่าเสื่อมราคา-ครุภัณฑ์ไม่ระบุรายละเอียด</t>
  </si>
  <si>
    <t>5107010101.101</t>
  </si>
  <si>
    <t>ค่าใช้จ่ายอุดหนุน -หน่วยงานภาครัฐ</t>
  </si>
  <si>
    <t>5107010199.101</t>
  </si>
  <si>
    <t>5107010199</t>
  </si>
  <si>
    <t>ค่าใช้จ่ายอุดหนุนเพื่อการดำเนินงานอื่น</t>
  </si>
  <si>
    <t>5107020199.101</t>
  </si>
  <si>
    <t>5107020199</t>
  </si>
  <si>
    <t>ค่าใช้จ่ายเงินอุดหนุนเพื่อการลงทุนอื่น</t>
  </si>
  <si>
    <t>5107030101.101</t>
  </si>
  <si>
    <t>5107030101</t>
  </si>
  <si>
    <t>บัญชีพักเบิกเงินอุดหนุน</t>
  </si>
  <si>
    <t>5108010101.102</t>
  </si>
  <si>
    <t>5108010101</t>
  </si>
  <si>
    <t>หนี้สูญ-ลูกหนี้ค่าสิ่งส่งตรวจ-หน่วยงานภาครัฐ</t>
  </si>
  <si>
    <t>5108010101.104</t>
  </si>
  <si>
    <t>หนี้สูญ-ลูกหนี้ค่าวัสดุ/อุปกรณ์/น้ำยา-หน่วยงานภาครัฐ</t>
  </si>
  <si>
    <t>5108010101.105</t>
  </si>
  <si>
    <t>หนี้สูญ-ลูกหนี้ค่าสินค้า-หน่วยงานภาครัฐ</t>
  </si>
  <si>
    <t>5108010101.114</t>
  </si>
  <si>
    <t>หนี้สูญ-ลูกหนี้ค่ารักษา-ชำระเงิน OP</t>
  </si>
  <si>
    <t>5108010101.115</t>
  </si>
  <si>
    <t>หนี้สูญ-ลูกหนี้ค่ารักษา-ชำระเงิน IP</t>
  </si>
  <si>
    <t>5108010101.203</t>
  </si>
  <si>
    <t>หนี้สูญ-ลูกหนี้ค่ารักษา UC -OP นอก CUP (ในจังหวัด)</t>
  </si>
  <si>
    <t>5108010101.205</t>
  </si>
  <si>
    <t>หนี้สูญ-ลูกหนี้ค่ารักษา UC -OP นอก CUP (ต่างจังหวัด)</t>
  </si>
  <si>
    <t>5108010107.102</t>
  </si>
  <si>
    <t>5108010107</t>
  </si>
  <si>
    <t>หนี้สงสัยจะสูญ-ลูกหนี้ค่าสิ่งส่งตรวจ -หน่วยงานภาครัฐ</t>
  </si>
  <si>
    <t>5108010107.104</t>
  </si>
  <si>
    <t>หนี้สงสัยจะสูญ-ลูกหนี้ค่าวัสดุ/อุปกรณ์/น้ำยา-หน่วยงานภาครัฐ</t>
  </si>
  <si>
    <t>5108010107.105</t>
  </si>
  <si>
    <t>หนี้สงสัยจะสูญ-ลูกหนี้ค่าสินค้า-หน่วยงานภาครัฐ</t>
  </si>
  <si>
    <t>5108010107.114</t>
  </si>
  <si>
    <t>หนี้สงสัยจะสูญ-ลูกหนี้ค่ารักษา-ชำระเงิน OP</t>
  </si>
  <si>
    <t>5108010107.115</t>
  </si>
  <si>
    <t>หนี้สงสัยจะสูญ-ลูกหนี้ค่ารักษา-ชำระเงิน IP</t>
  </si>
  <si>
    <t>5108010107.203</t>
  </si>
  <si>
    <t>หนี้สงสัยจะสูญ-ลูกหนี้ค่ารักษา UC-OP นอก CUP (ในจังหวัด)</t>
  </si>
  <si>
    <t>5108010107.205</t>
  </si>
  <si>
    <t>หนี้สงสัยจะสูญ-ลูกหนี้ค่ารักษา UC-OP นอก CUP (ต่างจังหวัด)</t>
  </si>
  <si>
    <t>5112010103.101</t>
  </si>
  <si>
    <t>5112010103</t>
  </si>
  <si>
    <t>ค่าสวัสดิการสังคม-อื่น</t>
  </si>
  <si>
    <t>5203010105.101</t>
  </si>
  <si>
    <t>5203010105</t>
  </si>
  <si>
    <t>ค่าจำหน่าย-อาคารเพื่อการพักอาศัย</t>
  </si>
  <si>
    <t>5203010106.101</t>
  </si>
  <si>
    <t>5203010106</t>
  </si>
  <si>
    <t>ค่าจำหน่าย-อาคารสำนักงาน</t>
  </si>
  <si>
    <t>5203010107.101</t>
  </si>
  <si>
    <t>5203010107</t>
  </si>
  <si>
    <t>ค่าจำหน่าย-อาคารเพื่อประโยชน์อื่น</t>
  </si>
  <si>
    <t>5203010109.101</t>
  </si>
  <si>
    <t>5203010109</t>
  </si>
  <si>
    <t>ค่าจำหน่าย-สิ่งปลูกสร้าง</t>
  </si>
  <si>
    <t>5203010110.101</t>
  </si>
  <si>
    <t>5203010110</t>
  </si>
  <si>
    <t>ค่าจำหน่าย-อาคารและสิ่งปลูกสร้าง - Interface</t>
  </si>
  <si>
    <t>5203010111.101</t>
  </si>
  <si>
    <t>5203010111</t>
  </si>
  <si>
    <t>ค่าจำหน่าย-ครุภัณฑ์สำนักงาน</t>
  </si>
  <si>
    <t>5203010112.101</t>
  </si>
  <si>
    <t>5203010112</t>
  </si>
  <si>
    <t>ค่าจำหน่าย-ยานพาหนะและอุปกรณ์การขนส่ง</t>
  </si>
  <si>
    <t>5203010113.101</t>
  </si>
  <si>
    <t>5203010113</t>
  </si>
  <si>
    <t>ค่าจำหน่าย-ครุภัณฑ์ไฟฟ้าและวิทยุ</t>
  </si>
  <si>
    <t>5203010114.101</t>
  </si>
  <si>
    <t>5203010114</t>
  </si>
  <si>
    <t>ค่าจำหน่าย-ครุภัณฑ์โฆษณาและเผยแพร่</t>
  </si>
  <si>
    <t>5203010115.101</t>
  </si>
  <si>
    <t>5203010115</t>
  </si>
  <si>
    <t>ค่าจำหน่าย-ครุภัณฑ์การเกษตร</t>
  </si>
  <si>
    <t>5203010117.101</t>
  </si>
  <si>
    <t>5203010117</t>
  </si>
  <si>
    <t>ค่าจำหน่าย-ครุภัณฑ์ก่อสร้าง</t>
  </si>
  <si>
    <t>5203010119.101</t>
  </si>
  <si>
    <t>5203010119</t>
  </si>
  <si>
    <t>ค่าจำหน่าย-ครุภัณฑ์วิทยาศาสตร์และการแพทย์</t>
  </si>
  <si>
    <t>5203010120.101</t>
  </si>
  <si>
    <t>5203010120</t>
  </si>
  <si>
    <t>ค่าจำหน่าย-อุปกรณ์คอมพิวเตอร์</t>
  </si>
  <si>
    <t>5203010122.101</t>
  </si>
  <si>
    <t>5203010122</t>
  </si>
  <si>
    <t>ค่าจำหน่าย-ครุภัณฑ์งานบ้านงานครัว</t>
  </si>
  <si>
    <t>5203010126.101</t>
  </si>
  <si>
    <t>5203010126</t>
  </si>
  <si>
    <t>ค่าจำหน่าย-อุปกรณ์อื่น ๆ</t>
  </si>
  <si>
    <t>5203010141.101</t>
  </si>
  <si>
    <t>5203010141</t>
  </si>
  <si>
    <t>ค่าจำหน่าย - ครุภัณฑ์ Interface</t>
  </si>
  <si>
    <t>5203010142.101</t>
  </si>
  <si>
    <t>5203010142</t>
  </si>
  <si>
    <t>ค่าจำหน่าย - สินทรัพย์ไม่มีตัวตน Interface</t>
  </si>
  <si>
    <t>5203010145.101</t>
  </si>
  <si>
    <t>5203010145</t>
  </si>
  <si>
    <t>ค่าจำหน่าย-อาคารและสิ่งปลูกสร้างไม่ระบุรายละเอียด</t>
  </si>
  <si>
    <t>5203010146.101</t>
  </si>
  <si>
    <t>5203010146</t>
  </si>
  <si>
    <t>ค่าจำหน่าย-ครุภัณฑ์ไม่ระบุรายละเอียด</t>
  </si>
  <si>
    <t>5205010101.101</t>
  </si>
  <si>
    <t>5205010101</t>
  </si>
  <si>
    <t>ค่าใช้จ่ายเงินช่วยเหลือผู้ประสบภัย</t>
  </si>
  <si>
    <t>5209010112.101</t>
  </si>
  <si>
    <t>5209010112</t>
  </si>
  <si>
    <t>ค่าใช้จ่ายระหว่างหน่วยงาน-หน่วยงานส่งเงินเบิกเกินส่งคืนให้กรมบัญชีกลาง</t>
  </si>
  <si>
    <t>5210010101.101</t>
  </si>
  <si>
    <t>5210010101</t>
  </si>
  <si>
    <t xml:space="preserve">ค่าใช้จ่ายระหว่างหน่วยงาน - กรมบัญชีกลางโอนเงินนอกงบประมาณให้หน่วยงาน </t>
  </si>
  <si>
    <t>5210010102.101</t>
  </si>
  <si>
    <t>5210010102</t>
  </si>
  <si>
    <t>ค่าใช้จ่ายระหว่างหน่วยงาน -  หน่วยงานโอนเงินนอกงบประมาณให้กรมบัญชีกลาง</t>
  </si>
  <si>
    <t>5210010103.101</t>
  </si>
  <si>
    <t>5210010103</t>
  </si>
  <si>
    <t>ค่าใช้จ่ายระหว่างหน่วยงาน - หน่วยงานโอนเงินรายได้แผ่นดินให้กรมบัญชีกลาง</t>
  </si>
  <si>
    <t>5210010105.101</t>
  </si>
  <si>
    <t>5210010105</t>
  </si>
  <si>
    <t>ค่าใช้จ่ายระหว่างหน่วยงาน  - ปรับเงินฝากคลัง</t>
  </si>
  <si>
    <t>5210010112.101</t>
  </si>
  <si>
    <t>5210010112</t>
  </si>
  <si>
    <t>ค่าใช้จ่ายระหว่างหน่วยงาน - รายได้แผ่นดินรอนำส่งคลัง</t>
  </si>
  <si>
    <t>5210010118.101</t>
  </si>
  <si>
    <t>5210010118</t>
  </si>
  <si>
    <r>
      <t xml:space="preserve">ค่าใช้จ่ายระหว่างกัน-ภายในกรมเดียวกัน </t>
    </r>
    <r>
      <rPr>
        <sz val="10"/>
        <color indexed="10"/>
        <rFont val="Tahoma"/>
        <family val="2"/>
      </rPr>
      <t>(Auto)</t>
    </r>
  </si>
  <si>
    <t>5210010121.101</t>
  </si>
  <si>
    <t>5210010121</t>
  </si>
  <si>
    <t>ค่าใช้จ่ายระหว่างกัน-ภายในกรมเดียวกัน (Manual)</t>
  </si>
  <si>
    <t>5211010101.101</t>
  </si>
  <si>
    <t>5211010101</t>
  </si>
  <si>
    <t>โอนสินทรัพย์ให้หน่วยงานของรัฐ</t>
  </si>
  <si>
    <t>5211010102.101</t>
  </si>
  <si>
    <t>บัญชีบริจาคสินทรัพย์ให้หน่วยงานภายนอก</t>
  </si>
  <si>
    <t>5212010199.101</t>
  </si>
  <si>
    <t>5212010199</t>
  </si>
  <si>
    <t>ค่าใช้จ่ายโครงการผลิตแพทย์</t>
  </si>
  <si>
    <t>5212010199.102</t>
  </si>
  <si>
    <t>ค่าใช้จ่ายโครงการผลิตบุคลากรทางการแพทย์</t>
  </si>
  <si>
    <t>5212010199.104</t>
  </si>
  <si>
    <t>ค่าใช้จ่ายที่ดิน</t>
  </si>
  <si>
    <t>5212010199.105</t>
  </si>
  <si>
    <t>ค่าใช้จ่ายลักษณะอื่น</t>
  </si>
  <si>
    <t>5212010199.106</t>
  </si>
  <si>
    <t>ค่าใช้จ่ายอื่น-สินค้าโอนไป สสจ./รพศ./รพท./รพช./รพ.สต.</t>
  </si>
  <si>
    <t>5212010199.107</t>
  </si>
  <si>
    <t>ค่าใช้จ่ายอื่น-วัสดุโอนไป สสจ./ รพศ./รพท./รพช./รพ.สต.</t>
  </si>
  <si>
    <t>5212010199.108</t>
  </si>
  <si>
    <t>ค่าใช้จ่ายอื่น-ครุภัณฑ์ ที่ดิน และสิ่งก่อสร้าง โอนไป  สสจ./รพศ./รพท./รพช./รพ.สต.</t>
  </si>
  <si>
    <t>5212010199.109</t>
  </si>
  <si>
    <t>ค่าใช้จ่ายอื่น-เงินงบประมาณงบลงทุนโอนไปสสจ./รพศ./รพท./รพช./รพ.สต.</t>
  </si>
  <si>
    <t>5212010199.110</t>
  </si>
  <si>
    <t>ค่าใช้จ่ายอื่น-เงินงบประมาณงบดำเนินงานโอนไป สสจ./รพศ./รพท./รพช./รพ.สต.</t>
  </si>
  <si>
    <t>5212010199.111</t>
  </si>
  <si>
    <t>ค่าใช้จ่ายอื่น-เงินงบประมาณงบอุดหนุนโอนไป สสจ./รพศ./รพท./รพช./รพ.สต.</t>
  </si>
  <si>
    <t>5212010199.112</t>
  </si>
  <si>
    <t>ค่าใช้จ่ายอื่น-เงินงบประมาณงบรายจ่ายอื่นโอนไป  สสจ./รพศ./รพท./รพช./รพ.สต.</t>
  </si>
  <si>
    <t>5212010199.113</t>
  </si>
  <si>
    <t>ค่าใช้จ่ายอื่น-เงินงบประมาณงบกลางโอนไป สสจ./รพศ. /รพท./รพช./ รพ.สต.</t>
  </si>
  <si>
    <t>5212010199.114</t>
  </si>
  <si>
    <t>ค่าใช้จ่ายอื่น-เงินนอกงบประมาณโอนไป สสจ./รพศ./รพท./รพช./รพ.สต.</t>
  </si>
  <si>
    <t>5401010101.101</t>
  </si>
  <si>
    <t>5401010101</t>
  </si>
  <si>
    <t>ค่าใช้จ่ายรายการพิเศษนอกเหนือการดำเนินงานปกติ</t>
  </si>
  <si>
    <t>รวม</t>
  </si>
  <si>
    <t>ตามยอด Express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</si>
</sst>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32">
    <font>
      <sz val="10"/>
      <name val="Arial"/>
      <charset val="222"/>
    </font>
    <font>
      <sz val="10"/>
      <name val="Arial"/>
      <charset val="222"/>
    </font>
    <font>
      <b/>
      <sz val="10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theme="1"/>
      <name val="Tahoma"/>
      <family val="2"/>
      <scheme val="major"/>
    </font>
    <font>
      <sz val="10"/>
      <color rgb="FFFF0000"/>
      <name val="Tahoma"/>
      <family val="2"/>
    </font>
    <font>
      <sz val="10"/>
      <color rgb="FF800000"/>
      <name val="Tahoma"/>
      <family val="2"/>
    </font>
    <font>
      <sz val="10"/>
      <color indexed="10"/>
      <name val="Tahoma"/>
      <family val="2"/>
    </font>
    <font>
      <sz val="10"/>
      <name val="Tahoma"/>
      <family val="2"/>
    </font>
    <font>
      <sz val="10"/>
      <color rgb="FFC00000"/>
      <name val="Tahoma"/>
      <family val="2"/>
    </font>
    <font>
      <sz val="10"/>
      <color indexed="8"/>
      <name val="Tahoma"/>
      <family val="2"/>
    </font>
    <font>
      <sz val="10"/>
      <color indexed="12"/>
      <name val="Tahoma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 New"/>
      <family val="2"/>
    </font>
  </fonts>
  <fills count="9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5BE9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4" fillId="0" borderId="0"/>
    <xf numFmtId="0" fontId="14" fillId="75" borderId="0" applyNumberFormat="0" applyBorder="0" applyAlignment="0" applyProtection="0"/>
    <xf numFmtId="0" fontId="14" fillId="76" borderId="0" applyNumberFormat="0" applyBorder="0" applyAlignment="0" applyProtection="0"/>
    <xf numFmtId="0" fontId="14" fillId="77" borderId="0" applyNumberFormat="0" applyBorder="0" applyAlignment="0" applyProtection="0"/>
    <xf numFmtId="0" fontId="14" fillId="78" borderId="0" applyNumberFormat="0" applyBorder="0" applyAlignment="0" applyProtection="0"/>
    <xf numFmtId="0" fontId="14" fillId="79" borderId="0" applyNumberFormat="0" applyBorder="0" applyAlignment="0" applyProtection="0"/>
    <xf numFmtId="0" fontId="14" fillId="80" borderId="0" applyNumberFormat="0" applyBorder="0" applyAlignment="0" applyProtection="0"/>
    <xf numFmtId="0" fontId="14" fillId="81" borderId="0" applyNumberFormat="0" applyBorder="0" applyAlignment="0" applyProtection="0"/>
    <xf numFmtId="0" fontId="14" fillId="82" borderId="0" applyNumberFormat="0" applyBorder="0" applyAlignment="0" applyProtection="0"/>
    <xf numFmtId="0" fontId="14" fillId="83" borderId="0" applyNumberFormat="0" applyBorder="0" applyAlignment="0" applyProtection="0"/>
    <xf numFmtId="0" fontId="14" fillId="78" borderId="0" applyNumberFormat="0" applyBorder="0" applyAlignment="0" applyProtection="0"/>
    <xf numFmtId="0" fontId="14" fillId="81" borderId="0" applyNumberFormat="0" applyBorder="0" applyAlignment="0" applyProtection="0"/>
    <xf numFmtId="0" fontId="14" fillId="84" borderId="0" applyNumberFormat="0" applyBorder="0" applyAlignment="0" applyProtection="0"/>
    <xf numFmtId="0" fontId="15" fillId="85" borderId="0" applyNumberFormat="0" applyBorder="0" applyAlignment="0" applyProtection="0"/>
    <xf numFmtId="0" fontId="15" fillId="82" borderId="0" applyNumberFormat="0" applyBorder="0" applyAlignment="0" applyProtection="0"/>
    <xf numFmtId="0" fontId="15" fillId="83" borderId="0" applyNumberFormat="0" applyBorder="0" applyAlignment="0" applyProtection="0"/>
    <xf numFmtId="0" fontId="15" fillId="86" borderId="0" applyNumberFormat="0" applyBorder="0" applyAlignment="0" applyProtection="0"/>
    <xf numFmtId="0" fontId="15" fillId="87" borderId="0" applyNumberFormat="0" applyBorder="0" applyAlignment="0" applyProtection="0"/>
    <xf numFmtId="0" fontId="15" fillId="88" borderId="0" applyNumberFormat="0" applyBorder="0" applyAlignment="0" applyProtection="0"/>
    <xf numFmtId="0" fontId="15" fillId="89" borderId="0" applyNumberFormat="0" applyBorder="0" applyAlignment="0" applyProtection="0"/>
    <xf numFmtId="0" fontId="15" fillId="90" borderId="0" applyNumberFormat="0" applyBorder="0" applyAlignment="0" applyProtection="0"/>
    <xf numFmtId="0" fontId="15" fillId="91" borderId="0" applyNumberFormat="0" applyBorder="0" applyAlignment="0" applyProtection="0"/>
    <xf numFmtId="0" fontId="15" fillId="86" borderId="0" applyNumberFormat="0" applyBorder="0" applyAlignment="0" applyProtection="0"/>
    <xf numFmtId="0" fontId="15" fillId="87" borderId="0" applyNumberFormat="0" applyBorder="0" applyAlignment="0" applyProtection="0"/>
    <xf numFmtId="0" fontId="15" fillId="92" borderId="0" applyNumberFormat="0" applyBorder="0" applyAlignment="0" applyProtection="0"/>
    <xf numFmtId="0" fontId="16" fillId="76" borderId="0" applyNumberFormat="0" applyBorder="0" applyAlignment="0" applyProtection="0"/>
    <xf numFmtId="0" fontId="17" fillId="93" borderId="4" applyNumberFormat="0" applyAlignment="0" applyProtection="0"/>
    <xf numFmtId="0" fontId="18" fillId="94" borderId="5" applyNumberFormat="0" applyAlignment="0" applyProtection="0"/>
    <xf numFmtId="0" fontId="19" fillId="0" borderId="0" applyNumberFormat="0" applyFill="0" applyBorder="0" applyAlignment="0" applyProtection="0"/>
    <xf numFmtId="0" fontId="20" fillId="77" borderId="0" applyNumberFormat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80" borderId="4" applyNumberFormat="0" applyAlignment="0" applyProtection="0"/>
    <xf numFmtId="0" fontId="25" fillId="0" borderId="9" applyNumberFormat="0" applyFill="0" applyAlignment="0" applyProtection="0"/>
    <xf numFmtId="0" fontId="26" fillId="95" borderId="0" applyNumberFormat="0" applyBorder="0" applyAlignment="0" applyProtection="0"/>
    <xf numFmtId="0" fontId="3" fillId="0" borderId="0"/>
    <xf numFmtId="0" fontId="1" fillId="96" borderId="10" applyNumberFormat="0" applyFont="0" applyAlignment="0" applyProtection="0"/>
    <xf numFmtId="0" fontId="27" fillId="93" borderId="11" applyNumberFormat="0" applyAlignment="0" applyProtection="0"/>
    <xf numFmtId="0" fontId="28" fillId="0" borderId="0" applyNumberFormat="0" applyFill="0" applyBorder="0" applyAlignment="0" applyProtection="0"/>
    <xf numFmtId="0" fontId="29" fillId="0" borderId="12" applyNumberFormat="0" applyFill="0" applyAlignment="0" applyProtection="0"/>
    <xf numFmtId="0" fontId="30" fillId="0" borderId="0" applyNumberForma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</cellStyleXfs>
  <cellXfs count="222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2" xfId="2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49" fontId="4" fillId="0" borderId="2" xfId="2" applyNumberFormat="1" applyFont="1" applyBorder="1" applyAlignment="1">
      <alignment horizontal="center"/>
    </xf>
    <xf numFmtId="0" fontId="4" fillId="0" borderId="2" xfId="0" applyFont="1" applyBorder="1"/>
    <xf numFmtId="43" fontId="3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49" fontId="4" fillId="4" borderId="2" xfId="0" applyNumberFormat="1" applyFont="1" applyFill="1" applyBorder="1" applyAlignment="1">
      <alignment horizontal="center"/>
    </xf>
    <xf numFmtId="49" fontId="4" fillId="5" borderId="2" xfId="2" applyNumberFormat="1" applyFont="1" applyFill="1" applyBorder="1" applyAlignment="1">
      <alignment horizontal="center"/>
    </xf>
    <xf numFmtId="0" fontId="4" fillId="4" borderId="2" xfId="0" applyFont="1" applyFill="1" applyBorder="1"/>
    <xf numFmtId="49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/>
    <xf numFmtId="49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/>
    <xf numFmtId="49" fontId="5" fillId="8" borderId="2" xfId="0" applyNumberFormat="1" applyFont="1" applyFill="1" applyBorder="1" applyAlignment="1">
      <alignment horizontal="center"/>
    </xf>
    <xf numFmtId="0" fontId="5" fillId="8" borderId="2" xfId="0" applyFont="1" applyFill="1" applyBorder="1"/>
    <xf numFmtId="49" fontId="6" fillId="9" borderId="2" xfId="0" applyNumberFormat="1" applyFont="1" applyFill="1" applyBorder="1" applyAlignment="1">
      <alignment horizontal="center"/>
    </xf>
    <xf numFmtId="0" fontId="6" fillId="9" borderId="2" xfId="0" applyFont="1" applyFill="1" applyBorder="1"/>
    <xf numFmtId="49" fontId="4" fillId="10" borderId="2" xfId="0" applyNumberFormat="1" applyFont="1" applyFill="1" applyBorder="1" applyAlignment="1">
      <alignment horizontal="center"/>
    </xf>
    <xf numFmtId="49" fontId="4" fillId="11" borderId="2" xfId="2" applyNumberFormat="1" applyFont="1" applyFill="1" applyBorder="1" applyAlignment="1">
      <alignment horizontal="center"/>
    </xf>
    <xf numFmtId="0" fontId="4" fillId="10" borderId="2" xfId="0" applyFont="1" applyFill="1" applyBorder="1"/>
    <xf numFmtId="49" fontId="5" fillId="12" borderId="2" xfId="0" applyNumberFormat="1" applyFont="1" applyFill="1" applyBorder="1" applyAlignment="1">
      <alignment horizontal="center"/>
    </xf>
    <xf numFmtId="0" fontId="5" fillId="12" borderId="2" xfId="0" applyFont="1" applyFill="1" applyBorder="1"/>
    <xf numFmtId="49" fontId="7" fillId="0" borderId="2" xfId="0" applyNumberFormat="1" applyFont="1" applyBorder="1" applyAlignment="1">
      <alignment horizontal="center"/>
    </xf>
    <xf numFmtId="49" fontId="7" fillId="0" borderId="2" xfId="2" applyNumberFormat="1" applyFont="1" applyBorder="1" applyAlignment="1">
      <alignment horizontal="center"/>
    </xf>
    <xf numFmtId="0" fontId="7" fillId="0" borderId="2" xfId="0" applyFont="1" applyBorder="1"/>
    <xf numFmtId="49" fontId="4" fillId="4" borderId="2" xfId="2" applyNumberFormat="1" applyFont="1" applyFill="1" applyBorder="1" applyAlignment="1">
      <alignment horizontal="center"/>
    </xf>
    <xf numFmtId="49" fontId="4" fillId="12" borderId="2" xfId="0" applyNumberFormat="1" applyFont="1" applyFill="1" applyBorder="1" applyAlignment="1">
      <alignment horizontal="center"/>
    </xf>
    <xf numFmtId="0" fontId="4" fillId="12" borderId="2" xfId="0" applyFont="1" applyFill="1" applyBorder="1"/>
    <xf numFmtId="0" fontId="4" fillId="0" borderId="2" xfId="0" applyFont="1" applyBorder="1" applyAlignment="1">
      <alignment wrapText="1"/>
    </xf>
    <xf numFmtId="49" fontId="4" fillId="13" borderId="2" xfId="2" applyNumberFormat="1" applyFont="1" applyFill="1" applyBorder="1" applyAlignment="1">
      <alignment horizontal="center"/>
    </xf>
    <xf numFmtId="49" fontId="5" fillId="10" borderId="2" xfId="0" applyNumberFormat="1" applyFont="1" applyFill="1" applyBorder="1" applyAlignment="1">
      <alignment horizontal="center"/>
    </xf>
    <xf numFmtId="0" fontId="5" fillId="10" borderId="2" xfId="0" applyFont="1" applyFill="1" applyBorder="1"/>
    <xf numFmtId="49" fontId="4" fillId="4" borderId="2" xfId="0" applyNumberFormat="1" applyFont="1" applyFill="1" applyBorder="1" applyAlignment="1">
      <alignment horizontal="center" vertical="top"/>
    </xf>
    <xf numFmtId="49" fontId="4" fillId="13" borderId="2" xfId="2" applyNumberFormat="1" applyFont="1" applyFill="1" applyBorder="1" applyAlignment="1">
      <alignment horizontal="center" vertical="top"/>
    </xf>
    <xf numFmtId="0" fontId="4" fillId="4" borderId="2" xfId="0" applyFont="1" applyFill="1" applyBorder="1" applyAlignment="1">
      <alignment wrapText="1"/>
    </xf>
    <xf numFmtId="49" fontId="4" fillId="14" borderId="2" xfId="0" applyNumberFormat="1" applyFont="1" applyFill="1" applyBorder="1" applyAlignment="1">
      <alignment horizontal="center"/>
    </xf>
    <xf numFmtId="0" fontId="4" fillId="14" borderId="2" xfId="0" applyFont="1" applyFill="1" applyBorder="1"/>
    <xf numFmtId="49" fontId="4" fillId="8" borderId="2" xfId="0" applyNumberFormat="1" applyFont="1" applyFill="1" applyBorder="1" applyAlignment="1">
      <alignment horizontal="center"/>
    </xf>
    <xf numFmtId="49" fontId="4" fillId="8" borderId="2" xfId="2" applyNumberFormat="1" applyFont="1" applyFill="1" applyBorder="1" applyAlignment="1">
      <alignment horizontal="center"/>
    </xf>
    <xf numFmtId="0" fontId="4" fillId="8" borderId="2" xfId="0" applyFont="1" applyFill="1" applyBorder="1"/>
    <xf numFmtId="49" fontId="4" fillId="15" borderId="2" xfId="2" applyNumberFormat="1" applyFont="1" applyFill="1" applyBorder="1" applyAlignment="1">
      <alignment horizontal="center"/>
    </xf>
    <xf numFmtId="49" fontId="8" fillId="16" borderId="2" xfId="0" applyNumberFormat="1" applyFont="1" applyFill="1" applyBorder="1" applyAlignment="1">
      <alignment horizontal="center"/>
    </xf>
    <xf numFmtId="49" fontId="4" fillId="17" borderId="2" xfId="2" applyNumberFormat="1" applyFont="1" applyFill="1" applyBorder="1" applyAlignment="1">
      <alignment horizontal="center"/>
    </xf>
    <xf numFmtId="0" fontId="8" fillId="7" borderId="2" xfId="0" applyFont="1" applyFill="1" applyBorder="1"/>
    <xf numFmtId="49" fontId="4" fillId="18" borderId="2" xfId="0" applyNumberFormat="1" applyFont="1" applyFill="1" applyBorder="1" applyAlignment="1">
      <alignment horizontal="center"/>
    </xf>
    <xf numFmtId="49" fontId="8" fillId="7" borderId="2" xfId="0" applyNumberFormat="1" applyFont="1" applyFill="1" applyBorder="1" applyAlignment="1">
      <alignment horizontal="center"/>
    </xf>
    <xf numFmtId="49" fontId="8" fillId="18" borderId="2" xfId="0" applyNumberFormat="1" applyFont="1" applyFill="1" applyBorder="1" applyAlignment="1">
      <alignment horizontal="center"/>
    </xf>
    <xf numFmtId="49" fontId="4" fillId="7" borderId="2" xfId="2" applyNumberFormat="1" applyFont="1" applyFill="1" applyBorder="1" applyAlignment="1">
      <alignment horizontal="center"/>
    </xf>
    <xf numFmtId="49" fontId="4" fillId="19" borderId="2" xfId="0" applyNumberFormat="1" applyFont="1" applyFill="1" applyBorder="1" applyAlignment="1">
      <alignment horizontal="center"/>
    </xf>
    <xf numFmtId="0" fontId="4" fillId="19" borderId="2" xfId="0" applyFont="1" applyFill="1" applyBorder="1"/>
    <xf numFmtId="49" fontId="10" fillId="18" borderId="2" xfId="0" applyNumberFormat="1" applyFont="1" applyFill="1" applyBorder="1" applyAlignment="1">
      <alignment horizontal="center"/>
    </xf>
    <xf numFmtId="0" fontId="10" fillId="7" borderId="2" xfId="0" applyFont="1" applyFill="1" applyBorder="1"/>
    <xf numFmtId="49" fontId="4" fillId="20" borderId="2" xfId="0" applyNumberFormat="1" applyFont="1" applyFill="1" applyBorder="1" applyAlignment="1">
      <alignment horizontal="center"/>
    </xf>
    <xf numFmtId="49" fontId="4" fillId="2" borderId="2" xfId="2" applyNumberFormat="1" applyFont="1" applyFill="1" applyBorder="1" applyAlignment="1">
      <alignment horizontal="center"/>
    </xf>
    <xf numFmtId="0" fontId="4" fillId="20" borderId="2" xfId="0" applyFont="1" applyFill="1" applyBorder="1"/>
    <xf numFmtId="49" fontId="4" fillId="21" borderId="2" xfId="0" applyNumberFormat="1" applyFont="1" applyFill="1" applyBorder="1" applyAlignment="1">
      <alignment horizontal="center"/>
    </xf>
    <xf numFmtId="0" fontId="4" fillId="21" borderId="2" xfId="0" applyFont="1" applyFill="1" applyBorder="1"/>
    <xf numFmtId="49" fontId="4" fillId="22" borderId="2" xfId="0" applyNumberFormat="1" applyFont="1" applyFill="1" applyBorder="1" applyAlignment="1">
      <alignment horizontal="center"/>
    </xf>
    <xf numFmtId="0" fontId="4" fillId="22" borderId="2" xfId="0" applyFont="1" applyFill="1" applyBorder="1"/>
    <xf numFmtId="49" fontId="4" fillId="23" borderId="2" xfId="2" applyNumberFormat="1" applyFont="1" applyFill="1" applyBorder="1" applyAlignment="1">
      <alignment horizontal="center"/>
    </xf>
    <xf numFmtId="49" fontId="4" fillId="24" borderId="2" xfId="0" applyNumberFormat="1" applyFont="1" applyFill="1" applyBorder="1" applyAlignment="1">
      <alignment horizontal="center"/>
    </xf>
    <xf numFmtId="0" fontId="4" fillId="24" borderId="2" xfId="0" applyFont="1" applyFill="1" applyBorder="1"/>
    <xf numFmtId="49" fontId="4" fillId="25" borderId="2" xfId="2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/>
    <xf numFmtId="49" fontId="4" fillId="15" borderId="2" xfId="0" applyNumberFormat="1" applyFont="1" applyFill="1" applyBorder="1" applyAlignment="1">
      <alignment horizontal="center"/>
    </xf>
    <xf numFmtId="49" fontId="4" fillId="9" borderId="2" xfId="2" applyNumberFormat="1" applyFont="1" applyFill="1" applyBorder="1" applyAlignment="1">
      <alignment horizontal="center"/>
    </xf>
    <xf numFmtId="0" fontId="4" fillId="15" borderId="2" xfId="0" applyFont="1" applyFill="1" applyBorder="1"/>
    <xf numFmtId="49" fontId="4" fillId="26" borderId="2" xfId="2" applyNumberFormat="1" applyFont="1" applyFill="1" applyBorder="1" applyAlignment="1">
      <alignment horizontal="center"/>
    </xf>
    <xf numFmtId="49" fontId="4" fillId="27" borderId="2" xfId="2" applyNumberFormat="1" applyFont="1" applyFill="1" applyBorder="1" applyAlignment="1">
      <alignment horizontal="center"/>
    </xf>
    <xf numFmtId="49" fontId="4" fillId="28" borderId="2" xfId="2" applyNumberFormat="1" applyFont="1" applyFill="1" applyBorder="1" applyAlignment="1">
      <alignment horizontal="center"/>
    </xf>
    <xf numFmtId="49" fontId="4" fillId="11" borderId="2" xfId="0" applyNumberFormat="1" applyFont="1" applyFill="1" applyBorder="1" applyAlignment="1">
      <alignment horizontal="center"/>
    </xf>
    <xf numFmtId="0" fontId="4" fillId="11" borderId="2" xfId="0" applyFont="1" applyFill="1" applyBorder="1"/>
    <xf numFmtId="49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49" fontId="7" fillId="28" borderId="2" xfId="2" applyNumberFormat="1" applyFont="1" applyFill="1" applyBorder="1" applyAlignment="1">
      <alignment horizontal="center"/>
    </xf>
    <xf numFmtId="49" fontId="4" fillId="29" borderId="2" xfId="2" applyNumberFormat="1" applyFont="1" applyFill="1" applyBorder="1" applyAlignment="1">
      <alignment horizontal="center"/>
    </xf>
    <xf numFmtId="49" fontId="4" fillId="30" borderId="2" xfId="0" applyNumberFormat="1" applyFont="1" applyFill="1" applyBorder="1" applyAlignment="1">
      <alignment horizontal="center"/>
    </xf>
    <xf numFmtId="0" fontId="4" fillId="30" borderId="2" xfId="0" applyFont="1" applyFill="1" applyBorder="1"/>
    <xf numFmtId="49" fontId="4" fillId="31" borderId="2" xfId="2" applyNumberFormat="1" applyFont="1" applyFill="1" applyBorder="1" applyAlignment="1">
      <alignment horizontal="center"/>
    </xf>
    <xf numFmtId="49" fontId="10" fillId="12" borderId="2" xfId="0" applyNumberFormat="1" applyFont="1" applyFill="1" applyBorder="1" applyAlignment="1">
      <alignment horizontal="center"/>
    </xf>
    <xf numFmtId="0" fontId="10" fillId="0" borderId="0" xfId="2" applyFont="1" applyAlignment="1">
      <alignment horizontal="center" vertical="center"/>
    </xf>
    <xf numFmtId="49" fontId="10" fillId="12" borderId="2" xfId="0" applyNumberFormat="1" applyFont="1" applyFill="1" applyBorder="1"/>
    <xf numFmtId="49" fontId="4" fillId="32" borderId="2" xfId="2" applyNumberFormat="1" applyFont="1" applyFill="1" applyBorder="1" applyAlignment="1">
      <alignment horizontal="center"/>
    </xf>
    <xf numFmtId="49" fontId="4" fillId="33" borderId="2" xfId="2" applyNumberFormat="1" applyFont="1" applyFill="1" applyBorder="1" applyAlignment="1">
      <alignment horizontal="center"/>
    </xf>
    <xf numFmtId="49" fontId="4" fillId="34" borderId="2" xfId="2" applyNumberFormat="1" applyFont="1" applyFill="1" applyBorder="1" applyAlignment="1">
      <alignment horizontal="center"/>
    </xf>
    <xf numFmtId="0" fontId="4" fillId="35" borderId="2" xfId="0" applyFont="1" applyFill="1" applyBorder="1"/>
    <xf numFmtId="49" fontId="4" fillId="36" borderId="2" xfId="2" applyNumberFormat="1" applyFont="1" applyFill="1" applyBorder="1" applyAlignment="1">
      <alignment horizontal="center"/>
    </xf>
    <xf numFmtId="49" fontId="4" fillId="37" borderId="2" xfId="2" applyNumberFormat="1" applyFont="1" applyFill="1" applyBorder="1" applyAlignment="1">
      <alignment horizontal="center"/>
    </xf>
    <xf numFmtId="49" fontId="4" fillId="38" borderId="2" xfId="2" applyNumberFormat="1" applyFont="1" applyFill="1" applyBorder="1" applyAlignment="1">
      <alignment horizontal="center"/>
    </xf>
    <xf numFmtId="49" fontId="11" fillId="24" borderId="2" xfId="0" applyNumberFormat="1" applyFont="1" applyFill="1" applyBorder="1" applyAlignment="1">
      <alignment horizontal="center"/>
    </xf>
    <xf numFmtId="0" fontId="11" fillId="24" borderId="2" xfId="0" applyFont="1" applyFill="1" applyBorder="1"/>
    <xf numFmtId="49" fontId="4" fillId="39" borderId="2" xfId="0" applyNumberFormat="1" applyFont="1" applyFill="1" applyBorder="1" applyAlignment="1">
      <alignment horizontal="center"/>
    </xf>
    <xf numFmtId="49" fontId="4" fillId="39" borderId="2" xfId="2" applyNumberFormat="1" applyFont="1" applyFill="1" applyBorder="1" applyAlignment="1">
      <alignment horizontal="center"/>
    </xf>
    <xf numFmtId="0" fontId="4" fillId="39" borderId="2" xfId="0" applyFont="1" applyFill="1" applyBorder="1"/>
    <xf numFmtId="49" fontId="4" fillId="40" borderId="2" xfId="2" applyNumberFormat="1" applyFont="1" applyFill="1" applyBorder="1" applyAlignment="1">
      <alignment horizontal="center"/>
    </xf>
    <xf numFmtId="49" fontId="4" fillId="41" borderId="2" xfId="2" applyNumberFormat="1" applyFont="1" applyFill="1" applyBorder="1" applyAlignment="1">
      <alignment horizontal="center"/>
    </xf>
    <xf numFmtId="49" fontId="4" fillId="42" borderId="2" xfId="2" applyNumberFormat="1" applyFont="1" applyFill="1" applyBorder="1" applyAlignment="1">
      <alignment horizontal="center"/>
    </xf>
    <xf numFmtId="49" fontId="4" fillId="20" borderId="2" xfId="2" applyNumberFormat="1" applyFont="1" applyFill="1" applyBorder="1" applyAlignment="1">
      <alignment horizontal="center"/>
    </xf>
    <xf numFmtId="49" fontId="10" fillId="2" borderId="2" xfId="0" applyNumberFormat="1" applyFont="1" applyFill="1" applyBorder="1"/>
    <xf numFmtId="49" fontId="6" fillId="9" borderId="0" xfId="0" applyNumberFormat="1" applyFont="1" applyFill="1" applyAlignment="1">
      <alignment horizontal="center"/>
    </xf>
    <xf numFmtId="0" fontId="6" fillId="9" borderId="0" xfId="0" applyFont="1" applyFill="1"/>
    <xf numFmtId="49" fontId="4" fillId="43" borderId="2" xfId="0" applyNumberFormat="1" applyFont="1" applyFill="1" applyBorder="1" applyAlignment="1">
      <alignment horizontal="center"/>
    </xf>
    <xf numFmtId="0" fontId="4" fillId="43" borderId="2" xfId="0" applyFont="1" applyFill="1" applyBorder="1"/>
    <xf numFmtId="49" fontId="4" fillId="44" borderId="2" xfId="0" applyNumberFormat="1" applyFont="1" applyFill="1" applyBorder="1" applyAlignment="1">
      <alignment horizontal="center"/>
    </xf>
    <xf numFmtId="0" fontId="4" fillId="44" borderId="2" xfId="0" applyFont="1" applyFill="1" applyBorder="1"/>
    <xf numFmtId="49" fontId="4" fillId="24" borderId="2" xfId="2" applyNumberFormat="1" applyFont="1" applyFill="1" applyBorder="1" applyAlignment="1">
      <alignment horizontal="center"/>
    </xf>
    <xf numFmtId="0" fontId="10" fillId="4" borderId="2" xfId="2" applyFont="1" applyFill="1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center"/>
    </xf>
    <xf numFmtId="49" fontId="10" fillId="11" borderId="2" xfId="0" applyNumberFormat="1" applyFont="1" applyFill="1" applyBorder="1"/>
    <xf numFmtId="49" fontId="4" fillId="35" borderId="2" xfId="0" applyNumberFormat="1" applyFont="1" applyFill="1" applyBorder="1" applyAlignment="1">
      <alignment horizontal="center"/>
    </xf>
    <xf numFmtId="49" fontId="4" fillId="45" borderId="2" xfId="0" applyNumberFormat="1" applyFont="1" applyFill="1" applyBorder="1" applyAlignment="1">
      <alignment horizontal="center"/>
    </xf>
    <xf numFmtId="0" fontId="4" fillId="45" borderId="2" xfId="0" applyFont="1" applyFill="1" applyBorder="1"/>
    <xf numFmtId="49" fontId="5" fillId="46" borderId="2" xfId="0" applyNumberFormat="1" applyFont="1" applyFill="1" applyBorder="1" applyAlignment="1">
      <alignment horizontal="center"/>
    </xf>
    <xf numFmtId="49" fontId="4" fillId="47" borderId="2" xfId="2" applyNumberFormat="1" applyFont="1" applyFill="1" applyBorder="1" applyAlignment="1">
      <alignment horizontal="center"/>
    </xf>
    <xf numFmtId="0" fontId="5" fillId="46" borderId="2" xfId="0" applyFont="1" applyFill="1" applyBorder="1"/>
    <xf numFmtId="49" fontId="4" fillId="33" borderId="2" xfId="0" applyNumberFormat="1" applyFont="1" applyFill="1" applyBorder="1" applyAlignment="1">
      <alignment horizontal="center"/>
    </xf>
    <xf numFmtId="0" fontId="4" fillId="48" borderId="2" xfId="0" applyFont="1" applyFill="1" applyBorder="1"/>
    <xf numFmtId="49" fontId="4" fillId="49" borderId="2" xfId="0" applyNumberFormat="1" applyFont="1" applyFill="1" applyBorder="1" applyAlignment="1">
      <alignment horizontal="center"/>
    </xf>
    <xf numFmtId="0" fontId="4" fillId="49" borderId="2" xfId="0" applyFont="1" applyFill="1" applyBorder="1"/>
    <xf numFmtId="49" fontId="4" fillId="23" borderId="2" xfId="0" applyNumberFormat="1" applyFont="1" applyFill="1" applyBorder="1" applyAlignment="1">
      <alignment horizontal="center"/>
    </xf>
    <xf numFmtId="0" fontId="4" fillId="23" borderId="2" xfId="0" applyFont="1" applyFill="1" applyBorder="1"/>
    <xf numFmtId="49" fontId="5" fillId="50" borderId="2" xfId="0" applyNumberFormat="1" applyFont="1" applyFill="1" applyBorder="1" applyAlignment="1">
      <alignment horizontal="center"/>
    </xf>
    <xf numFmtId="0" fontId="5" fillId="50" borderId="2" xfId="0" applyFont="1" applyFill="1" applyBorder="1"/>
    <xf numFmtId="49" fontId="10" fillId="15" borderId="2" xfId="0" applyNumberFormat="1" applyFont="1" applyFill="1" applyBorder="1" applyAlignment="1">
      <alignment horizontal="center"/>
    </xf>
    <xf numFmtId="49" fontId="4" fillId="51" borderId="2" xfId="0" applyNumberFormat="1" applyFont="1" applyFill="1" applyBorder="1" applyAlignment="1">
      <alignment horizontal="center"/>
    </xf>
    <xf numFmtId="0" fontId="4" fillId="51" borderId="2" xfId="0" applyFont="1" applyFill="1" applyBorder="1"/>
    <xf numFmtId="49" fontId="4" fillId="52" borderId="2" xfId="0" applyNumberFormat="1" applyFont="1" applyFill="1" applyBorder="1" applyAlignment="1">
      <alignment horizontal="center"/>
    </xf>
    <xf numFmtId="0" fontId="4" fillId="52" borderId="2" xfId="0" applyFont="1" applyFill="1" applyBorder="1"/>
    <xf numFmtId="49" fontId="4" fillId="48" borderId="2" xfId="0" applyNumberFormat="1" applyFont="1" applyFill="1" applyBorder="1" applyAlignment="1">
      <alignment horizontal="center"/>
    </xf>
    <xf numFmtId="49" fontId="4" fillId="53" borderId="2" xfId="2" applyNumberFormat="1" applyFont="1" applyFill="1" applyBorder="1" applyAlignment="1">
      <alignment horizontal="center"/>
    </xf>
    <xf numFmtId="49" fontId="4" fillId="54" borderId="2" xfId="2" applyNumberFormat="1" applyFont="1" applyFill="1" applyBorder="1" applyAlignment="1">
      <alignment horizontal="center"/>
    </xf>
    <xf numFmtId="0" fontId="10" fillId="29" borderId="0" xfId="2" applyFont="1" applyFill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49" fontId="5" fillId="23" borderId="2" xfId="2" applyNumberFormat="1" applyFont="1" applyFill="1" applyBorder="1" applyAlignment="1">
      <alignment horizontal="center"/>
    </xf>
    <xf numFmtId="0" fontId="5" fillId="0" borderId="2" xfId="0" applyFont="1" applyBorder="1"/>
    <xf numFmtId="49" fontId="10" fillId="43" borderId="2" xfId="0" applyNumberFormat="1" applyFont="1" applyFill="1" applyBorder="1" applyAlignment="1">
      <alignment horizontal="center"/>
    </xf>
    <xf numFmtId="49" fontId="7" fillId="23" borderId="2" xfId="2" applyNumberFormat="1" applyFont="1" applyFill="1" applyBorder="1" applyAlignment="1">
      <alignment horizontal="center"/>
    </xf>
    <xf numFmtId="0" fontId="10" fillId="43" borderId="2" xfId="0" applyFont="1" applyFill="1" applyBorder="1"/>
    <xf numFmtId="49" fontId="5" fillId="12" borderId="2" xfId="0" applyNumberFormat="1" applyFont="1" applyFill="1" applyBorder="1"/>
    <xf numFmtId="43" fontId="3" fillId="4" borderId="0" xfId="1" applyFont="1" applyFill="1" applyAlignment="1">
      <alignment vertical="center"/>
    </xf>
    <xf numFmtId="49" fontId="4" fillId="55" borderId="2" xfId="0" applyNumberFormat="1" applyFont="1" applyFill="1" applyBorder="1" applyAlignment="1">
      <alignment horizontal="center"/>
    </xf>
    <xf numFmtId="0" fontId="4" fillId="55" borderId="2" xfId="0" applyFont="1" applyFill="1" applyBorder="1"/>
    <xf numFmtId="49" fontId="4" fillId="56" borderId="2" xfId="2" applyNumberFormat="1" applyFont="1" applyFill="1" applyBorder="1" applyAlignment="1">
      <alignment horizontal="center"/>
    </xf>
    <xf numFmtId="49" fontId="4" fillId="57" borderId="2" xfId="2" applyNumberFormat="1" applyFont="1" applyFill="1" applyBorder="1" applyAlignment="1">
      <alignment horizontal="center"/>
    </xf>
    <xf numFmtId="49" fontId="4" fillId="30" borderId="2" xfId="2" applyNumberFormat="1" applyFont="1" applyFill="1" applyBorder="1" applyAlignment="1">
      <alignment horizontal="center"/>
    </xf>
    <xf numFmtId="0" fontId="4" fillId="18" borderId="2" xfId="0" applyFont="1" applyFill="1" applyBorder="1"/>
    <xf numFmtId="49" fontId="4" fillId="58" borderId="2" xfId="0" applyNumberFormat="1" applyFont="1" applyFill="1" applyBorder="1" applyAlignment="1">
      <alignment horizontal="center"/>
    </xf>
    <xf numFmtId="0" fontId="4" fillId="58" borderId="2" xfId="0" applyFont="1" applyFill="1" applyBorder="1"/>
    <xf numFmtId="49" fontId="4" fillId="59" borderId="2" xfId="0" applyNumberFormat="1" applyFont="1" applyFill="1" applyBorder="1" applyAlignment="1">
      <alignment horizontal="center"/>
    </xf>
    <xf numFmtId="0" fontId="4" fillId="59" borderId="2" xfId="0" applyFont="1" applyFill="1" applyBorder="1"/>
    <xf numFmtId="49" fontId="4" fillId="42" borderId="2" xfId="0" applyNumberFormat="1" applyFont="1" applyFill="1" applyBorder="1" applyAlignment="1">
      <alignment horizontal="center"/>
    </xf>
    <xf numFmtId="0" fontId="4" fillId="42" borderId="2" xfId="0" applyFont="1" applyFill="1" applyBorder="1"/>
    <xf numFmtId="49" fontId="4" fillId="60" borderId="2" xfId="0" applyNumberFormat="1" applyFont="1" applyFill="1" applyBorder="1" applyAlignment="1">
      <alignment horizontal="center"/>
    </xf>
    <xf numFmtId="0" fontId="4" fillId="60" borderId="2" xfId="0" applyFont="1" applyFill="1" applyBorder="1"/>
    <xf numFmtId="49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49" fontId="5" fillId="42" borderId="2" xfId="2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/>
    <xf numFmtId="49" fontId="4" fillId="31" borderId="2" xfId="0" applyNumberFormat="1" applyFont="1" applyFill="1" applyBorder="1" applyAlignment="1">
      <alignment horizontal="center"/>
    </xf>
    <xf numFmtId="0" fontId="4" fillId="31" borderId="2" xfId="0" applyFont="1" applyFill="1" applyBorder="1"/>
    <xf numFmtId="49" fontId="7" fillId="57" borderId="2" xfId="2" applyNumberFormat="1" applyFont="1" applyFill="1" applyBorder="1" applyAlignment="1">
      <alignment horizontal="center"/>
    </xf>
    <xf numFmtId="0" fontId="10" fillId="9" borderId="0" xfId="2" applyFont="1" applyFill="1" applyAlignment="1">
      <alignment horizontal="center" vertical="center"/>
    </xf>
    <xf numFmtId="49" fontId="4" fillId="45" borderId="2" xfId="2" applyNumberFormat="1" applyFont="1" applyFill="1" applyBorder="1" applyAlignment="1">
      <alignment horizontal="center"/>
    </xf>
    <xf numFmtId="0" fontId="4" fillId="33" borderId="2" xfId="0" applyFont="1" applyFill="1" applyBorder="1"/>
    <xf numFmtId="49" fontId="4" fillId="46" borderId="2" xfId="0" applyNumberFormat="1" applyFont="1" applyFill="1" applyBorder="1" applyAlignment="1">
      <alignment horizontal="center"/>
    </xf>
    <xf numFmtId="0" fontId="4" fillId="46" borderId="2" xfId="0" applyFont="1" applyFill="1" applyBorder="1"/>
    <xf numFmtId="49" fontId="10" fillId="12" borderId="0" xfId="0" applyNumberFormat="1" applyFont="1" applyFill="1"/>
    <xf numFmtId="49" fontId="4" fillId="61" borderId="2" xfId="2" applyNumberFormat="1" applyFont="1" applyFill="1" applyBorder="1" applyAlignment="1">
      <alignment horizontal="center"/>
    </xf>
    <xf numFmtId="49" fontId="4" fillId="62" borderId="2" xfId="0" applyNumberFormat="1" applyFont="1" applyFill="1" applyBorder="1" applyAlignment="1">
      <alignment horizontal="center"/>
    </xf>
    <xf numFmtId="0" fontId="4" fillId="62" borderId="2" xfId="0" applyFont="1" applyFill="1" applyBorder="1"/>
    <xf numFmtId="49" fontId="4" fillId="63" borderId="2" xfId="0" applyNumberFormat="1" applyFont="1" applyFill="1" applyBorder="1" applyAlignment="1">
      <alignment horizontal="center"/>
    </xf>
    <xf numFmtId="0" fontId="4" fillId="63" borderId="2" xfId="0" applyFont="1" applyFill="1" applyBorder="1"/>
    <xf numFmtId="49" fontId="7" fillId="54" borderId="2" xfId="2" applyNumberFormat="1" applyFont="1" applyFill="1" applyBorder="1" applyAlignment="1">
      <alignment horizontal="center"/>
    </xf>
    <xf numFmtId="49" fontId="10" fillId="0" borderId="0" xfId="0" applyNumberFormat="1" applyFont="1"/>
    <xf numFmtId="49" fontId="7" fillId="12" borderId="2" xfId="0" applyNumberFormat="1" applyFont="1" applyFill="1" applyBorder="1" applyAlignment="1">
      <alignment horizontal="center"/>
    </xf>
    <xf numFmtId="49" fontId="4" fillId="64" borderId="2" xfId="2" applyNumberFormat="1" applyFont="1" applyFill="1" applyBorder="1" applyAlignment="1">
      <alignment horizontal="center"/>
    </xf>
    <xf numFmtId="49" fontId="4" fillId="65" borderId="2" xfId="2" applyNumberFormat="1" applyFont="1" applyFill="1" applyBorder="1" applyAlignment="1">
      <alignment horizontal="center"/>
    </xf>
    <xf numFmtId="49" fontId="4" fillId="66" borderId="2" xfId="2" applyNumberFormat="1" applyFont="1" applyFill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0" fontId="11" fillId="0" borderId="2" xfId="0" applyFont="1" applyBorder="1"/>
    <xf numFmtId="0" fontId="10" fillId="31" borderId="2" xfId="0" applyFont="1" applyFill="1" applyBorder="1" applyAlignment="1">
      <alignment vertical="center"/>
    </xf>
    <xf numFmtId="49" fontId="4" fillId="67" borderId="2" xfId="0" applyNumberFormat="1" applyFont="1" applyFill="1" applyBorder="1" applyAlignment="1">
      <alignment horizontal="center"/>
    </xf>
    <xf numFmtId="49" fontId="4" fillId="68" borderId="2" xfId="0" applyNumberFormat="1" applyFont="1" applyFill="1" applyBorder="1" applyAlignment="1">
      <alignment horizontal="center"/>
    </xf>
    <xf numFmtId="0" fontId="4" fillId="68" borderId="2" xfId="0" applyFont="1" applyFill="1" applyBorder="1"/>
    <xf numFmtId="49" fontId="4" fillId="69" borderId="2" xfId="0" applyNumberFormat="1" applyFont="1" applyFill="1" applyBorder="1" applyAlignment="1">
      <alignment horizontal="center"/>
    </xf>
    <xf numFmtId="0" fontId="4" fillId="69" borderId="2" xfId="0" applyFont="1" applyFill="1" applyBorder="1"/>
    <xf numFmtId="49" fontId="10" fillId="48" borderId="2" xfId="0" applyNumberFormat="1" applyFont="1" applyFill="1" applyBorder="1" applyAlignment="1">
      <alignment horizontal="center"/>
    </xf>
    <xf numFmtId="0" fontId="10" fillId="48" borderId="2" xfId="0" applyFont="1" applyFill="1" applyBorder="1"/>
    <xf numFmtId="49" fontId="10" fillId="70" borderId="2" xfId="0" applyNumberFormat="1" applyFont="1" applyFill="1" applyBorder="1" applyAlignment="1">
      <alignment horizontal="center"/>
    </xf>
    <xf numFmtId="0" fontId="4" fillId="70" borderId="2" xfId="0" applyFont="1" applyFill="1" applyBorder="1"/>
    <xf numFmtId="49" fontId="10" fillId="12" borderId="0" xfId="0" applyNumberFormat="1" applyFont="1" applyFill="1" applyAlignment="1">
      <alignment horizontal="center"/>
    </xf>
    <xf numFmtId="49" fontId="10" fillId="70" borderId="2" xfId="0" applyNumberFormat="1" applyFont="1" applyFill="1" applyBorder="1"/>
    <xf numFmtId="49" fontId="10" fillId="2" borderId="2" xfId="0" applyNumberFormat="1" applyFont="1" applyFill="1" applyBorder="1" applyAlignment="1">
      <alignment horizontal="center"/>
    </xf>
    <xf numFmtId="49" fontId="4" fillId="71" borderId="2" xfId="2" applyNumberFormat="1" applyFont="1" applyFill="1" applyBorder="1" applyAlignment="1">
      <alignment horizontal="center"/>
    </xf>
    <xf numFmtId="49" fontId="4" fillId="72" borderId="2" xfId="2" applyNumberFormat="1" applyFont="1" applyFill="1" applyBorder="1" applyAlignment="1">
      <alignment horizontal="center"/>
    </xf>
    <xf numFmtId="49" fontId="4" fillId="73" borderId="2" xfId="0" applyNumberFormat="1" applyFont="1" applyFill="1" applyBorder="1" applyAlignment="1">
      <alignment horizontal="center"/>
    </xf>
    <xf numFmtId="0" fontId="4" fillId="73" borderId="2" xfId="0" applyFont="1" applyFill="1" applyBorder="1"/>
    <xf numFmtId="49" fontId="7" fillId="2" borderId="2" xfId="2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10" fillId="32" borderId="2" xfId="2" applyFont="1" applyFill="1" applyBorder="1" applyAlignment="1">
      <alignment horizontal="center" vertical="center"/>
    </xf>
    <xf numFmtId="49" fontId="4" fillId="74" borderId="2" xfId="0" applyNumberFormat="1" applyFont="1" applyFill="1" applyBorder="1" applyAlignment="1">
      <alignment horizontal="center"/>
    </xf>
    <xf numFmtId="0" fontId="4" fillId="74" borderId="2" xfId="0" applyFont="1" applyFill="1" applyBorder="1"/>
    <xf numFmtId="49" fontId="10" fillId="0" borderId="2" xfId="3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10" fillId="0" borderId="0" xfId="3" applyNumberFormat="1" applyFont="1" applyFill="1" applyBorder="1" applyAlignment="1">
      <alignment horizontal="center" vertical="center" wrapText="1"/>
    </xf>
    <xf numFmtId="0" fontId="10" fillId="0" borderId="0" xfId="3" applyFont="1" applyFill="1" applyBorder="1" applyAlignment="1">
      <alignment vertical="center" wrapText="1"/>
    </xf>
    <xf numFmtId="0" fontId="10" fillId="0" borderId="0" xfId="3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</cellXfs>
  <cellStyles count="48"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40% - Accent1" xfId="10"/>
    <cellStyle name="40% - Accent2" xfId="11"/>
    <cellStyle name="40% - Accent3" xfId="12"/>
    <cellStyle name="40% - Accent4" xfId="13"/>
    <cellStyle name="40% - Accent5" xfId="14"/>
    <cellStyle name="40% - Accent6" xfId="15"/>
    <cellStyle name="60% - Accent1" xfId="16"/>
    <cellStyle name="60% - Accent2" xfId="17"/>
    <cellStyle name="60% - Accent3" xfId="18"/>
    <cellStyle name="60% - Accent4" xfId="19"/>
    <cellStyle name="60% - Accent5" xfId="20"/>
    <cellStyle name="60% - Accent6" xfId="21"/>
    <cellStyle name="Accent1" xfId="22"/>
    <cellStyle name="Accent2" xfId="23"/>
    <cellStyle name="Accent3" xfId="24"/>
    <cellStyle name="Accent4" xfId="25"/>
    <cellStyle name="Accent5" xfId="26"/>
    <cellStyle name="Accent6" xfId="27"/>
    <cellStyle name="Bad" xfId="28"/>
    <cellStyle name="Calculation" xfId="29"/>
    <cellStyle name="Check Cell" xfId="30"/>
    <cellStyle name="Explanatory Text" xfId="31"/>
    <cellStyle name="Good" xfId="32"/>
    <cellStyle name="Heading 1" xfId="33"/>
    <cellStyle name="Heading 2" xfId="34"/>
    <cellStyle name="Heading 3" xfId="35"/>
    <cellStyle name="Heading 4" xfId="36"/>
    <cellStyle name="Input" xfId="37"/>
    <cellStyle name="Linked Cell" xfId="38"/>
    <cellStyle name="Neutral" xfId="39"/>
    <cellStyle name="Normal_COA_V27_23Nov04_ForMeeting" xfId="40"/>
    <cellStyle name="Note" xfId="41"/>
    <cellStyle name="Output" xfId="42"/>
    <cellStyle name="Title" xfId="43"/>
    <cellStyle name="Total" xfId="44"/>
    <cellStyle name="Warning Text" xfId="45"/>
    <cellStyle name="เครื่องหมายจุลภาค" xfId="1" builtinId="3"/>
    <cellStyle name="เครื่องหมายจุลภาค 2" xfId="46"/>
    <cellStyle name="ปกติ" xfId="0" builtinId="0"/>
    <cellStyle name="ปกติ 2" xfId="47"/>
    <cellStyle name="ปกติ 3" xfId="2"/>
    <cellStyle name="ปกติ_Sheet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D877"/>
  <sheetViews>
    <sheetView tabSelected="1" workbookViewId="0">
      <selection activeCell="G26" sqref="G26"/>
    </sheetView>
  </sheetViews>
  <sheetFormatPr defaultColWidth="16.42578125" defaultRowHeight="12" customHeight="1"/>
  <cols>
    <col min="1" max="1" width="20.42578125" style="220" customWidth="1"/>
    <col min="2" max="2" width="18.5703125" style="92" customWidth="1"/>
    <col min="3" max="3" width="99.7109375" style="221" bestFit="1" customWidth="1"/>
    <col min="4" max="4" width="18.5703125" style="15" bestFit="1" customWidth="1"/>
    <col min="5" max="16384" width="16.42578125" style="16"/>
  </cols>
  <sheetData>
    <row r="1" spans="1:4" s="4" customFormat="1" ht="12" customHeight="1">
      <c r="A1" s="1"/>
      <c r="B1" s="2"/>
      <c r="C1" s="1" t="s">
        <v>0</v>
      </c>
      <c r="D1" s="3"/>
    </row>
    <row r="2" spans="1:4" s="4" customFormat="1" ht="12" customHeight="1">
      <c r="A2" s="5"/>
      <c r="B2" s="6"/>
      <c r="C2" s="5" t="s">
        <v>1</v>
      </c>
      <c r="D2" s="3"/>
    </row>
    <row r="3" spans="1:4" s="11" customFormat="1" ht="12" customHeight="1">
      <c r="A3" s="7" t="s">
        <v>2</v>
      </c>
      <c r="B3" s="8" t="s">
        <v>3</v>
      </c>
      <c r="C3" s="9" t="s">
        <v>4</v>
      </c>
      <c r="D3" s="10"/>
    </row>
    <row r="4" spans="1:4" ht="12" customHeight="1">
      <c r="A4" s="12" t="s">
        <v>5</v>
      </c>
      <c r="B4" s="13" t="s">
        <v>6</v>
      </c>
      <c r="C4" s="14" t="s">
        <v>7</v>
      </c>
    </row>
    <row r="5" spans="1:4" ht="12" customHeight="1">
      <c r="A5" s="12" t="s">
        <v>8</v>
      </c>
      <c r="B5" s="13" t="s">
        <v>9</v>
      </c>
      <c r="C5" s="14" t="s">
        <v>10</v>
      </c>
    </row>
    <row r="6" spans="1:4" ht="12" customHeight="1">
      <c r="A6" s="12" t="s">
        <v>11</v>
      </c>
      <c r="B6" s="13" t="s">
        <v>12</v>
      </c>
      <c r="C6" s="14" t="s">
        <v>13</v>
      </c>
    </row>
    <row r="7" spans="1:4" ht="12" customHeight="1">
      <c r="A7" s="12" t="s">
        <v>14</v>
      </c>
      <c r="B7" s="13" t="s">
        <v>15</v>
      </c>
      <c r="C7" s="14" t="s">
        <v>16</v>
      </c>
    </row>
    <row r="8" spans="1:4" ht="12" customHeight="1">
      <c r="A8" s="17" t="s">
        <v>17</v>
      </c>
      <c r="B8" s="18" t="s">
        <v>18</v>
      </c>
      <c r="C8" s="19" t="s">
        <v>19</v>
      </c>
    </row>
    <row r="9" spans="1:4" ht="12" customHeight="1">
      <c r="A9" s="20" t="s">
        <v>20</v>
      </c>
      <c r="B9" s="18" t="s">
        <v>18</v>
      </c>
      <c r="C9" s="21" t="s">
        <v>21</v>
      </c>
    </row>
    <row r="10" spans="1:4" ht="12" customHeight="1">
      <c r="A10" s="22" t="s">
        <v>22</v>
      </c>
      <c r="B10" s="18" t="s">
        <v>18</v>
      </c>
      <c r="C10" s="23" t="s">
        <v>23</v>
      </c>
    </row>
    <row r="11" spans="1:4" ht="12" customHeight="1">
      <c r="A11" s="24" t="s">
        <v>24</v>
      </c>
      <c r="B11" s="18" t="s">
        <v>18</v>
      </c>
      <c r="C11" s="25" t="s">
        <v>25</v>
      </c>
    </row>
    <row r="12" spans="1:4" ht="12" customHeight="1">
      <c r="A12" s="26" t="s">
        <v>26</v>
      </c>
      <c r="B12" s="18" t="s">
        <v>18</v>
      </c>
      <c r="C12" s="27" t="s">
        <v>27</v>
      </c>
    </row>
    <row r="13" spans="1:4" ht="12" customHeight="1">
      <c r="A13" s="12" t="s">
        <v>28</v>
      </c>
      <c r="B13" s="13" t="s">
        <v>29</v>
      </c>
      <c r="C13" s="14" t="s">
        <v>30</v>
      </c>
    </row>
    <row r="14" spans="1:4" ht="12" customHeight="1">
      <c r="A14" s="28" t="s">
        <v>31</v>
      </c>
      <c r="B14" s="29" t="s">
        <v>32</v>
      </c>
      <c r="C14" s="30" t="s">
        <v>33</v>
      </c>
    </row>
    <row r="15" spans="1:4" ht="12" customHeight="1">
      <c r="A15" s="12" t="s">
        <v>34</v>
      </c>
      <c r="B15" s="13" t="s">
        <v>35</v>
      </c>
      <c r="C15" s="14" t="s">
        <v>36</v>
      </c>
    </row>
    <row r="16" spans="1:4" ht="12" customHeight="1">
      <c r="A16" s="31" t="s">
        <v>37</v>
      </c>
      <c r="B16" s="13" t="s">
        <v>38</v>
      </c>
      <c r="C16" s="32" t="s">
        <v>39</v>
      </c>
    </row>
    <row r="17" spans="1:3" ht="12" customHeight="1">
      <c r="A17" s="33" t="s">
        <v>40</v>
      </c>
      <c r="B17" s="34" t="s">
        <v>41</v>
      </c>
      <c r="C17" s="35" t="s">
        <v>42</v>
      </c>
    </row>
    <row r="18" spans="1:3" ht="12" customHeight="1">
      <c r="A18" s="28" t="s">
        <v>43</v>
      </c>
      <c r="B18" s="36" t="s">
        <v>44</v>
      </c>
      <c r="C18" s="30" t="s">
        <v>45</v>
      </c>
    </row>
    <row r="19" spans="1:3" ht="12" customHeight="1">
      <c r="A19" s="12" t="s">
        <v>46</v>
      </c>
      <c r="B19" s="36" t="s">
        <v>44</v>
      </c>
      <c r="C19" s="14" t="s">
        <v>47</v>
      </c>
    </row>
    <row r="20" spans="1:3" ht="12" customHeight="1">
      <c r="A20" s="37" t="s">
        <v>48</v>
      </c>
      <c r="B20" s="36" t="s">
        <v>44</v>
      </c>
      <c r="C20" s="38" t="s">
        <v>49</v>
      </c>
    </row>
    <row r="21" spans="1:3" ht="12" customHeight="1">
      <c r="A21" s="12" t="s">
        <v>50</v>
      </c>
      <c r="B21" s="36" t="s">
        <v>44</v>
      </c>
      <c r="C21" s="39" t="s">
        <v>51</v>
      </c>
    </row>
    <row r="22" spans="1:3" ht="12" customHeight="1">
      <c r="A22" s="17" t="s">
        <v>52</v>
      </c>
      <c r="B22" s="40" t="s">
        <v>44</v>
      </c>
      <c r="C22" s="19" t="s">
        <v>53</v>
      </c>
    </row>
    <row r="23" spans="1:3" ht="12" customHeight="1">
      <c r="A23" s="41" t="s">
        <v>54</v>
      </c>
      <c r="B23" s="40" t="s">
        <v>44</v>
      </c>
      <c r="C23" s="42" t="s">
        <v>55</v>
      </c>
    </row>
    <row r="24" spans="1:3" ht="12" customHeight="1">
      <c r="A24" s="37" t="s">
        <v>56</v>
      </c>
      <c r="B24" s="40" t="s">
        <v>44</v>
      </c>
      <c r="C24" s="38" t="s">
        <v>57</v>
      </c>
    </row>
    <row r="25" spans="1:3" ht="12" customHeight="1">
      <c r="A25" s="43" t="s">
        <v>58</v>
      </c>
      <c r="B25" s="44" t="s">
        <v>44</v>
      </c>
      <c r="C25" s="45" t="s">
        <v>59</v>
      </c>
    </row>
    <row r="26" spans="1:3" ht="12" customHeight="1">
      <c r="A26" s="46" t="s">
        <v>60</v>
      </c>
      <c r="B26" s="40" t="s">
        <v>44</v>
      </c>
      <c r="C26" s="47" t="s">
        <v>61</v>
      </c>
    </row>
    <row r="27" spans="1:3" ht="12" customHeight="1">
      <c r="A27" s="48" t="s">
        <v>62</v>
      </c>
      <c r="B27" s="49" t="s">
        <v>63</v>
      </c>
      <c r="C27" s="50" t="s">
        <v>64</v>
      </c>
    </row>
    <row r="28" spans="1:3" ht="12" customHeight="1">
      <c r="A28" s="12" t="s">
        <v>65</v>
      </c>
      <c r="B28" s="13" t="s">
        <v>66</v>
      </c>
      <c r="C28" s="14" t="s">
        <v>67</v>
      </c>
    </row>
    <row r="29" spans="1:3" ht="12" customHeight="1">
      <c r="A29" s="28" t="s">
        <v>68</v>
      </c>
      <c r="B29" s="51" t="s">
        <v>69</v>
      </c>
      <c r="C29" s="30" t="s">
        <v>70</v>
      </c>
    </row>
    <row r="30" spans="1:3" ht="11.25" customHeight="1">
      <c r="A30" s="52" t="s">
        <v>71</v>
      </c>
      <c r="B30" s="53" t="s">
        <v>72</v>
      </c>
      <c r="C30" s="54" t="s">
        <v>73</v>
      </c>
    </row>
    <row r="31" spans="1:3" ht="11.25" customHeight="1">
      <c r="A31" s="52" t="s">
        <v>74</v>
      </c>
      <c r="B31" s="53" t="s">
        <v>72</v>
      </c>
      <c r="C31" s="54" t="s">
        <v>75</v>
      </c>
    </row>
    <row r="32" spans="1:3" ht="11.25" customHeight="1">
      <c r="A32" s="22" t="s">
        <v>76</v>
      </c>
      <c r="B32" s="53" t="s">
        <v>72</v>
      </c>
      <c r="C32" s="23" t="s">
        <v>77</v>
      </c>
    </row>
    <row r="33" spans="1:3" ht="11.25" customHeight="1">
      <c r="A33" s="22" t="s">
        <v>78</v>
      </c>
      <c r="B33" s="53" t="s">
        <v>72</v>
      </c>
      <c r="C33" s="23" t="s">
        <v>79</v>
      </c>
    </row>
    <row r="34" spans="1:3" ht="11.25" customHeight="1">
      <c r="A34" s="55" t="s">
        <v>80</v>
      </c>
      <c r="B34" s="53" t="s">
        <v>72</v>
      </c>
      <c r="C34" s="23" t="s">
        <v>81</v>
      </c>
    </row>
    <row r="35" spans="1:3" ht="11.25" customHeight="1">
      <c r="A35" s="22" t="s">
        <v>82</v>
      </c>
      <c r="B35" s="53" t="s">
        <v>72</v>
      </c>
      <c r="C35" s="23" t="s">
        <v>83</v>
      </c>
    </row>
    <row r="36" spans="1:3" ht="11.25" customHeight="1">
      <c r="A36" s="22" t="s">
        <v>84</v>
      </c>
      <c r="B36" s="53" t="s">
        <v>72</v>
      </c>
      <c r="C36" s="23" t="s">
        <v>85</v>
      </c>
    </row>
    <row r="37" spans="1:3" ht="11.25" customHeight="1">
      <c r="A37" s="22" t="s">
        <v>86</v>
      </c>
      <c r="B37" s="53" t="s">
        <v>72</v>
      </c>
      <c r="C37" s="23" t="s">
        <v>87</v>
      </c>
    </row>
    <row r="38" spans="1:3" ht="11.25" customHeight="1">
      <c r="A38" s="22" t="s">
        <v>88</v>
      </c>
      <c r="B38" s="53" t="s">
        <v>72</v>
      </c>
      <c r="C38" s="23" t="s">
        <v>89</v>
      </c>
    </row>
    <row r="39" spans="1:3" ht="11.25" customHeight="1">
      <c r="A39" s="56" t="s">
        <v>90</v>
      </c>
      <c r="B39" s="53" t="s">
        <v>72</v>
      </c>
      <c r="C39" s="54" t="s">
        <v>91</v>
      </c>
    </row>
    <row r="40" spans="1:3" ht="11.25" customHeight="1">
      <c r="A40" s="22" t="s">
        <v>92</v>
      </c>
      <c r="B40" s="53" t="s">
        <v>72</v>
      </c>
      <c r="C40" s="23" t="s">
        <v>93</v>
      </c>
    </row>
    <row r="41" spans="1:3" ht="11.25" customHeight="1">
      <c r="A41" s="22" t="s">
        <v>94</v>
      </c>
      <c r="B41" s="53" t="s">
        <v>72</v>
      </c>
      <c r="C41" s="23" t="s">
        <v>95</v>
      </c>
    </row>
    <row r="42" spans="1:3" ht="11.25" customHeight="1">
      <c r="A42" s="22" t="s">
        <v>96</v>
      </c>
      <c r="B42" s="53" t="s">
        <v>72</v>
      </c>
      <c r="C42" s="23" t="s">
        <v>97</v>
      </c>
    </row>
    <row r="43" spans="1:3" ht="11.25" customHeight="1">
      <c r="A43" s="26" t="s">
        <v>98</v>
      </c>
      <c r="B43" s="53" t="s">
        <v>72</v>
      </c>
      <c r="C43" s="27" t="s">
        <v>99</v>
      </c>
    </row>
    <row r="44" spans="1:3" ht="11.25" customHeight="1">
      <c r="A44" s="26" t="s">
        <v>100</v>
      </c>
      <c r="B44" s="53" t="s">
        <v>72</v>
      </c>
      <c r="C44" s="27" t="s">
        <v>101</v>
      </c>
    </row>
    <row r="45" spans="1:3" ht="11.25" customHeight="1">
      <c r="A45" s="22" t="s">
        <v>102</v>
      </c>
      <c r="B45" s="53" t="s">
        <v>72</v>
      </c>
      <c r="C45" s="23" t="s">
        <v>103</v>
      </c>
    </row>
    <row r="46" spans="1:3" ht="11.25" customHeight="1">
      <c r="A46" s="22" t="s">
        <v>104</v>
      </c>
      <c r="B46" s="53" t="s">
        <v>72</v>
      </c>
      <c r="C46" s="23" t="s">
        <v>105</v>
      </c>
    </row>
    <row r="47" spans="1:3" ht="11.25" customHeight="1">
      <c r="A47" s="22" t="s">
        <v>106</v>
      </c>
      <c r="B47" s="53" t="s">
        <v>72</v>
      </c>
      <c r="C47" s="23" t="s">
        <v>107</v>
      </c>
    </row>
    <row r="48" spans="1:3" ht="11.25" customHeight="1">
      <c r="A48" s="22" t="s">
        <v>108</v>
      </c>
      <c r="B48" s="53" t="s">
        <v>72</v>
      </c>
      <c r="C48" s="23" t="s">
        <v>109</v>
      </c>
    </row>
    <row r="49" spans="1:3" ht="11.25" customHeight="1">
      <c r="A49" s="22" t="s">
        <v>110</v>
      </c>
      <c r="B49" s="53" t="s">
        <v>72</v>
      </c>
      <c r="C49" s="23" t="s">
        <v>111</v>
      </c>
    </row>
    <row r="50" spans="1:3" ht="11.25" customHeight="1">
      <c r="A50" s="22" t="s">
        <v>112</v>
      </c>
      <c r="B50" s="53" t="s">
        <v>72</v>
      </c>
      <c r="C50" s="23" t="s">
        <v>113</v>
      </c>
    </row>
    <row r="51" spans="1:3" ht="11.25" customHeight="1">
      <c r="A51" s="22" t="s">
        <v>114</v>
      </c>
      <c r="B51" s="53" t="s">
        <v>72</v>
      </c>
      <c r="C51" s="23" t="s">
        <v>115</v>
      </c>
    </row>
    <row r="52" spans="1:3" ht="11.25" customHeight="1">
      <c r="A52" s="22" t="s">
        <v>116</v>
      </c>
      <c r="B52" s="53" t="s">
        <v>72</v>
      </c>
      <c r="C52" s="23" t="s">
        <v>117</v>
      </c>
    </row>
    <row r="53" spans="1:3" ht="11.25" customHeight="1">
      <c r="A53" s="22" t="s">
        <v>118</v>
      </c>
      <c r="B53" s="53" t="s">
        <v>72</v>
      </c>
      <c r="C53" s="23" t="s">
        <v>119</v>
      </c>
    </row>
    <row r="54" spans="1:3" ht="11.25" customHeight="1">
      <c r="A54" s="22" t="s">
        <v>120</v>
      </c>
      <c r="B54" s="53" t="s">
        <v>72</v>
      </c>
      <c r="C54" s="23" t="s">
        <v>121</v>
      </c>
    </row>
    <row r="55" spans="1:3" ht="11.25" customHeight="1">
      <c r="A55" s="22" t="s">
        <v>122</v>
      </c>
      <c r="B55" s="53" t="s">
        <v>72</v>
      </c>
      <c r="C55" s="23" t="s">
        <v>123</v>
      </c>
    </row>
    <row r="56" spans="1:3" ht="11.25" customHeight="1">
      <c r="A56" s="22" t="s">
        <v>124</v>
      </c>
      <c r="B56" s="53" t="s">
        <v>72</v>
      </c>
      <c r="C56" s="23" t="s">
        <v>125</v>
      </c>
    </row>
    <row r="57" spans="1:3" ht="11.25" customHeight="1">
      <c r="A57" s="22" t="s">
        <v>126</v>
      </c>
      <c r="B57" s="53" t="s">
        <v>72</v>
      </c>
      <c r="C57" s="23" t="s">
        <v>127</v>
      </c>
    </row>
    <row r="58" spans="1:3" ht="11.25" customHeight="1">
      <c r="A58" s="22" t="s">
        <v>128</v>
      </c>
      <c r="B58" s="53" t="s">
        <v>72</v>
      </c>
      <c r="C58" s="23" t="s">
        <v>129</v>
      </c>
    </row>
    <row r="59" spans="1:3" ht="11.25" customHeight="1">
      <c r="A59" s="22" t="s">
        <v>130</v>
      </c>
      <c r="B59" s="53" t="s">
        <v>72</v>
      </c>
      <c r="C59" s="23" t="s">
        <v>131</v>
      </c>
    </row>
    <row r="60" spans="1:3" ht="11.25" customHeight="1">
      <c r="A60" s="22" t="s">
        <v>132</v>
      </c>
      <c r="B60" s="53" t="s">
        <v>72</v>
      </c>
      <c r="C60" s="23" t="s">
        <v>133</v>
      </c>
    </row>
    <row r="61" spans="1:3" ht="11.25" customHeight="1">
      <c r="A61" s="22" t="s">
        <v>134</v>
      </c>
      <c r="B61" s="53" t="s">
        <v>72</v>
      </c>
      <c r="C61" s="23" t="s">
        <v>135</v>
      </c>
    </row>
    <row r="62" spans="1:3" ht="11.25" customHeight="1">
      <c r="A62" s="22" t="s">
        <v>136</v>
      </c>
      <c r="B62" s="53" t="s">
        <v>72</v>
      </c>
      <c r="C62" s="23" t="s">
        <v>137</v>
      </c>
    </row>
    <row r="63" spans="1:3" ht="11.25" customHeight="1">
      <c r="A63" s="22" t="s">
        <v>138</v>
      </c>
      <c r="B63" s="53" t="s">
        <v>72</v>
      </c>
      <c r="C63" s="23" t="s">
        <v>139</v>
      </c>
    </row>
    <row r="64" spans="1:3" ht="11.25" customHeight="1">
      <c r="A64" s="22" t="s">
        <v>140</v>
      </c>
      <c r="B64" s="53" t="s">
        <v>72</v>
      </c>
      <c r="C64" s="23" t="s">
        <v>141</v>
      </c>
    </row>
    <row r="65" spans="1:3" ht="11.25" customHeight="1">
      <c r="A65" s="57" t="s">
        <v>142</v>
      </c>
      <c r="B65" s="58" t="s">
        <v>143</v>
      </c>
      <c r="C65" s="54" t="s">
        <v>144</v>
      </c>
    </row>
    <row r="66" spans="1:3" ht="12" customHeight="1">
      <c r="A66" s="57" t="s">
        <v>145</v>
      </c>
      <c r="B66" s="58" t="s">
        <v>143</v>
      </c>
      <c r="C66" s="54" t="s">
        <v>146</v>
      </c>
    </row>
    <row r="67" spans="1:3" ht="12" customHeight="1">
      <c r="A67" s="22" t="s">
        <v>147</v>
      </c>
      <c r="B67" s="58" t="s">
        <v>143</v>
      </c>
      <c r="C67" s="23" t="s">
        <v>148</v>
      </c>
    </row>
    <row r="68" spans="1:3" ht="12" customHeight="1">
      <c r="A68" s="22" t="s">
        <v>149</v>
      </c>
      <c r="B68" s="58" t="s">
        <v>143</v>
      </c>
      <c r="C68" s="23" t="s">
        <v>150</v>
      </c>
    </row>
    <row r="69" spans="1:3" ht="12" customHeight="1">
      <c r="A69" s="22" t="s">
        <v>151</v>
      </c>
      <c r="B69" s="58" t="s">
        <v>143</v>
      </c>
      <c r="C69" s="23" t="s">
        <v>152</v>
      </c>
    </row>
    <row r="70" spans="1:3" ht="12" customHeight="1">
      <c r="A70" s="22" t="s">
        <v>153</v>
      </c>
      <c r="B70" s="58" t="s">
        <v>143</v>
      </c>
      <c r="C70" s="23" t="s">
        <v>154</v>
      </c>
    </row>
    <row r="71" spans="1:3" ht="12" customHeight="1">
      <c r="A71" s="22" t="s">
        <v>155</v>
      </c>
      <c r="B71" s="58" t="s">
        <v>143</v>
      </c>
      <c r="C71" s="23" t="s">
        <v>156</v>
      </c>
    </row>
    <row r="72" spans="1:3" ht="12" customHeight="1">
      <c r="A72" s="22" t="s">
        <v>157</v>
      </c>
      <c r="B72" s="58" t="s">
        <v>143</v>
      </c>
      <c r="C72" s="23" t="s">
        <v>158</v>
      </c>
    </row>
    <row r="73" spans="1:3" ht="12" customHeight="1">
      <c r="A73" s="22" t="s">
        <v>159</v>
      </c>
      <c r="B73" s="58" t="s">
        <v>143</v>
      </c>
      <c r="C73" s="23" t="s">
        <v>160</v>
      </c>
    </row>
    <row r="74" spans="1:3" ht="12" customHeight="1">
      <c r="A74" s="22" t="s">
        <v>161</v>
      </c>
      <c r="B74" s="58" t="s">
        <v>143</v>
      </c>
      <c r="C74" s="23" t="s">
        <v>162</v>
      </c>
    </row>
    <row r="75" spans="1:3" ht="12" customHeight="1">
      <c r="A75" s="59" t="s">
        <v>163</v>
      </c>
      <c r="B75" s="58" t="s">
        <v>143</v>
      </c>
      <c r="C75" s="60" t="s">
        <v>164</v>
      </c>
    </row>
    <row r="76" spans="1:3" ht="12" customHeight="1">
      <c r="A76" s="22" t="s">
        <v>165</v>
      </c>
      <c r="B76" s="58" t="s">
        <v>143</v>
      </c>
      <c r="C76" s="23" t="s">
        <v>166</v>
      </c>
    </row>
    <row r="77" spans="1:3" ht="12" customHeight="1">
      <c r="A77" s="22" t="s">
        <v>167</v>
      </c>
      <c r="B77" s="58" t="s">
        <v>143</v>
      </c>
      <c r="C77" s="23" t="s">
        <v>168</v>
      </c>
    </row>
    <row r="78" spans="1:3" ht="12" customHeight="1">
      <c r="A78" s="22" t="s">
        <v>169</v>
      </c>
      <c r="B78" s="58" t="s">
        <v>143</v>
      </c>
      <c r="C78" s="23" t="s">
        <v>170</v>
      </c>
    </row>
    <row r="79" spans="1:3" ht="12" customHeight="1">
      <c r="A79" s="22" t="s">
        <v>171</v>
      </c>
      <c r="B79" s="58" t="s">
        <v>143</v>
      </c>
      <c r="C79" s="23" t="s">
        <v>172</v>
      </c>
    </row>
    <row r="80" spans="1:3" ht="12" customHeight="1">
      <c r="A80" s="22" t="s">
        <v>173</v>
      </c>
      <c r="B80" s="58" t="s">
        <v>143</v>
      </c>
      <c r="C80" s="19" t="s">
        <v>174</v>
      </c>
    </row>
    <row r="81" spans="1:3" ht="12" customHeight="1">
      <c r="A81" s="22" t="s">
        <v>175</v>
      </c>
      <c r="B81" s="58" t="s">
        <v>143</v>
      </c>
      <c r="C81" s="19" t="s">
        <v>176</v>
      </c>
    </row>
    <row r="82" spans="1:3" ht="12" customHeight="1">
      <c r="A82" s="61" t="s">
        <v>177</v>
      </c>
      <c r="B82" s="58" t="s">
        <v>143</v>
      </c>
      <c r="C82" s="62" t="s">
        <v>178</v>
      </c>
    </row>
    <row r="83" spans="1:3" ht="12" customHeight="1">
      <c r="A83" s="61" t="s">
        <v>179</v>
      </c>
      <c r="B83" s="58" t="s">
        <v>143</v>
      </c>
      <c r="C83" s="62" t="s">
        <v>180</v>
      </c>
    </row>
    <row r="84" spans="1:3" ht="12" customHeight="1">
      <c r="A84" s="63" t="s">
        <v>181</v>
      </c>
      <c r="B84" s="64" t="s">
        <v>182</v>
      </c>
      <c r="C84" s="65" t="s">
        <v>183</v>
      </c>
    </row>
    <row r="85" spans="1:3" ht="12" customHeight="1">
      <c r="A85" s="63" t="s">
        <v>184</v>
      </c>
      <c r="B85" s="36" t="s">
        <v>185</v>
      </c>
      <c r="C85" s="65" t="s">
        <v>186</v>
      </c>
    </row>
    <row r="86" spans="1:3" ht="12" customHeight="1">
      <c r="A86" s="66" t="s">
        <v>187</v>
      </c>
      <c r="B86" s="36" t="s">
        <v>185</v>
      </c>
      <c r="C86" s="67" t="s">
        <v>188</v>
      </c>
    </row>
    <row r="87" spans="1:3" ht="12" customHeight="1">
      <c r="A87" s="12" t="s">
        <v>189</v>
      </c>
      <c r="B87" s="36" t="s">
        <v>185</v>
      </c>
      <c r="C87" s="14" t="s">
        <v>190</v>
      </c>
    </row>
    <row r="88" spans="1:3" ht="12" customHeight="1">
      <c r="A88" s="48" t="s">
        <v>191</v>
      </c>
      <c r="B88" s="36" t="s">
        <v>185</v>
      </c>
      <c r="C88" s="50" t="s">
        <v>192</v>
      </c>
    </row>
    <row r="89" spans="1:3" ht="12" customHeight="1">
      <c r="A89" s="12" t="s">
        <v>193</v>
      </c>
      <c r="B89" s="36" t="s">
        <v>185</v>
      </c>
      <c r="C89" s="14" t="s">
        <v>194</v>
      </c>
    </row>
    <row r="90" spans="1:3" ht="12" customHeight="1">
      <c r="A90" s="68" t="s">
        <v>195</v>
      </c>
      <c r="B90" s="36" t="s">
        <v>185</v>
      </c>
      <c r="C90" s="69" t="s">
        <v>196</v>
      </c>
    </row>
    <row r="91" spans="1:3" ht="12" customHeight="1">
      <c r="A91" s="22" t="s">
        <v>197</v>
      </c>
      <c r="B91" s="70" t="s">
        <v>198</v>
      </c>
      <c r="C91" s="23" t="s">
        <v>199</v>
      </c>
    </row>
    <row r="92" spans="1:3" ht="12" customHeight="1">
      <c r="A92" s="12" t="s">
        <v>200</v>
      </c>
      <c r="B92" s="70" t="s">
        <v>198</v>
      </c>
      <c r="C92" s="14" t="s">
        <v>201</v>
      </c>
    </row>
    <row r="93" spans="1:3" ht="12" customHeight="1">
      <c r="A93" s="71" t="s">
        <v>202</v>
      </c>
      <c r="B93" s="70" t="s">
        <v>198</v>
      </c>
      <c r="C93" s="72" t="s">
        <v>203</v>
      </c>
    </row>
    <row r="94" spans="1:3" ht="12" customHeight="1">
      <c r="A94" s="12" t="s">
        <v>204</v>
      </c>
      <c r="B94" s="70" t="s">
        <v>198</v>
      </c>
      <c r="C94" s="14" t="s">
        <v>205</v>
      </c>
    </row>
    <row r="95" spans="1:3" ht="12" customHeight="1">
      <c r="A95" s="71" t="s">
        <v>206</v>
      </c>
      <c r="B95" s="70" t="s">
        <v>198</v>
      </c>
      <c r="C95" s="72" t="s">
        <v>207</v>
      </c>
    </row>
    <row r="96" spans="1:3" ht="12" customHeight="1">
      <c r="A96" s="22" t="s">
        <v>208</v>
      </c>
      <c r="B96" s="70" t="s">
        <v>198</v>
      </c>
      <c r="C96" s="23" t="s">
        <v>209</v>
      </c>
    </row>
    <row r="97" spans="1:4" ht="12" customHeight="1">
      <c r="A97" s="22" t="s">
        <v>210</v>
      </c>
      <c r="B97" s="70" t="s">
        <v>198</v>
      </c>
      <c r="C97" s="23" t="s">
        <v>211</v>
      </c>
      <c r="D97" s="15" t="e">
        <f>SUM(#REF!)</f>
        <v>#REF!</v>
      </c>
    </row>
    <row r="98" spans="1:4" ht="12" customHeight="1">
      <c r="A98" s="48" t="s">
        <v>212</v>
      </c>
      <c r="B98" s="49" t="s">
        <v>213</v>
      </c>
      <c r="C98" s="50" t="s">
        <v>214</v>
      </c>
      <c r="D98" s="15" t="e">
        <f>SUM(#REF!)</f>
        <v>#REF!</v>
      </c>
    </row>
    <row r="99" spans="1:4" ht="12" customHeight="1">
      <c r="A99" s="12" t="s">
        <v>215</v>
      </c>
      <c r="B99" s="73" t="s">
        <v>216</v>
      </c>
      <c r="C99" s="14" t="s">
        <v>217</v>
      </c>
    </row>
    <row r="100" spans="1:4" ht="12" customHeight="1">
      <c r="A100" s="74" t="s">
        <v>218</v>
      </c>
      <c r="B100" s="73" t="s">
        <v>216</v>
      </c>
      <c r="C100" s="75" t="s">
        <v>219</v>
      </c>
    </row>
    <row r="101" spans="1:4" ht="12" customHeight="1">
      <c r="A101" s="12" t="s">
        <v>220</v>
      </c>
      <c r="B101" s="70" t="s">
        <v>221</v>
      </c>
      <c r="C101" s="14" t="s">
        <v>222</v>
      </c>
    </row>
    <row r="102" spans="1:4" ht="12" customHeight="1">
      <c r="A102" s="76" t="s">
        <v>223</v>
      </c>
      <c r="B102" s="77" t="s">
        <v>224</v>
      </c>
      <c r="C102" s="78" t="s">
        <v>225</v>
      </c>
    </row>
    <row r="103" spans="1:4" ht="12" customHeight="1">
      <c r="A103" s="12" t="s">
        <v>226</v>
      </c>
      <c r="B103" s="79" t="s">
        <v>227</v>
      </c>
      <c r="C103" s="14" t="s">
        <v>228</v>
      </c>
    </row>
    <row r="104" spans="1:4" ht="12" customHeight="1">
      <c r="A104" s="12" t="s">
        <v>229</v>
      </c>
      <c r="B104" s="80" t="s">
        <v>230</v>
      </c>
      <c r="C104" s="14" t="s">
        <v>231</v>
      </c>
    </row>
    <row r="105" spans="1:4" ht="12" customHeight="1">
      <c r="A105" s="12" t="s">
        <v>232</v>
      </c>
      <c r="B105" s="81" t="s">
        <v>233</v>
      </c>
      <c r="C105" s="14" t="s">
        <v>234</v>
      </c>
    </row>
    <row r="106" spans="1:4" ht="12" customHeight="1">
      <c r="A106" s="82" t="s">
        <v>235</v>
      </c>
      <c r="B106" s="81" t="s">
        <v>233</v>
      </c>
      <c r="C106" s="83" t="s">
        <v>236</v>
      </c>
    </row>
    <row r="107" spans="1:4" ht="12" customHeight="1">
      <c r="A107" s="84" t="s">
        <v>237</v>
      </c>
      <c r="B107" s="81" t="s">
        <v>233</v>
      </c>
      <c r="C107" s="85" t="s">
        <v>238</v>
      </c>
    </row>
    <row r="108" spans="1:4" ht="12" customHeight="1">
      <c r="A108" s="82" t="s">
        <v>239</v>
      </c>
      <c r="B108" s="81" t="s">
        <v>233</v>
      </c>
      <c r="C108" s="83" t="s">
        <v>240</v>
      </c>
    </row>
    <row r="109" spans="1:4" ht="12" customHeight="1">
      <c r="A109" s="82" t="s">
        <v>241</v>
      </c>
      <c r="B109" s="81" t="s">
        <v>233</v>
      </c>
      <c r="C109" s="83" t="s">
        <v>242</v>
      </c>
    </row>
    <row r="110" spans="1:4" ht="12" customHeight="1">
      <c r="A110" s="84" t="s">
        <v>243</v>
      </c>
      <c r="B110" s="81" t="s">
        <v>233</v>
      </c>
      <c r="C110" s="85" t="s">
        <v>244</v>
      </c>
    </row>
    <row r="111" spans="1:4" ht="12" customHeight="1">
      <c r="A111" s="84" t="s">
        <v>245</v>
      </c>
      <c r="B111" s="81" t="s">
        <v>233</v>
      </c>
      <c r="C111" s="85" t="s">
        <v>246</v>
      </c>
    </row>
    <row r="112" spans="1:4" ht="12" customHeight="1">
      <c r="A112" s="33" t="s">
        <v>247</v>
      </c>
      <c r="B112" s="86" t="s">
        <v>233</v>
      </c>
      <c r="C112" s="35" t="s">
        <v>248</v>
      </c>
    </row>
    <row r="113" spans="1:3" ht="12" customHeight="1">
      <c r="A113" s="33" t="s">
        <v>249</v>
      </c>
      <c r="B113" s="86" t="s">
        <v>233</v>
      </c>
      <c r="C113" s="35" t="s">
        <v>250</v>
      </c>
    </row>
    <row r="114" spans="1:3" ht="12" customHeight="1">
      <c r="A114" s="82" t="s">
        <v>251</v>
      </c>
      <c r="B114" s="87" t="s">
        <v>252</v>
      </c>
      <c r="C114" s="83" t="s">
        <v>253</v>
      </c>
    </row>
    <row r="115" spans="1:3" ht="12" customHeight="1">
      <c r="A115" s="88" t="s">
        <v>254</v>
      </c>
      <c r="B115" s="87" t="s">
        <v>252</v>
      </c>
      <c r="C115" s="89" t="s">
        <v>255</v>
      </c>
    </row>
    <row r="116" spans="1:3" ht="12" customHeight="1">
      <c r="A116" s="82" t="s">
        <v>256</v>
      </c>
      <c r="B116" s="87" t="s">
        <v>252</v>
      </c>
      <c r="C116" s="83" t="s">
        <v>257</v>
      </c>
    </row>
    <row r="117" spans="1:3" ht="12" customHeight="1">
      <c r="A117" s="82" t="s">
        <v>258</v>
      </c>
      <c r="B117" s="87" t="s">
        <v>252</v>
      </c>
      <c r="C117" s="83" t="s">
        <v>259</v>
      </c>
    </row>
    <row r="118" spans="1:3" ht="12" customHeight="1">
      <c r="A118" s="82" t="s">
        <v>260</v>
      </c>
      <c r="B118" s="87" t="s">
        <v>252</v>
      </c>
      <c r="C118" s="83" t="s">
        <v>261</v>
      </c>
    </row>
    <row r="119" spans="1:3" ht="12" customHeight="1">
      <c r="A119" s="82" t="s">
        <v>262</v>
      </c>
      <c r="B119" s="87" t="s">
        <v>252</v>
      </c>
      <c r="C119" s="83" t="s">
        <v>263</v>
      </c>
    </row>
    <row r="120" spans="1:3" ht="12" customHeight="1">
      <c r="A120" s="82" t="s">
        <v>264</v>
      </c>
      <c r="B120" s="87" t="s">
        <v>252</v>
      </c>
      <c r="C120" s="83" t="s">
        <v>265</v>
      </c>
    </row>
    <row r="121" spans="1:3" ht="12" customHeight="1">
      <c r="A121" s="88" t="s">
        <v>266</v>
      </c>
      <c r="B121" s="87" t="s">
        <v>252</v>
      </c>
      <c r="C121" s="89" t="s">
        <v>267</v>
      </c>
    </row>
    <row r="122" spans="1:3" ht="12" customHeight="1">
      <c r="A122" s="82" t="s">
        <v>268</v>
      </c>
      <c r="B122" s="87" t="s">
        <v>252</v>
      </c>
      <c r="C122" s="83" t="s">
        <v>269</v>
      </c>
    </row>
    <row r="123" spans="1:3" ht="12" customHeight="1">
      <c r="A123" s="12" t="s">
        <v>270</v>
      </c>
      <c r="B123" s="90" t="s">
        <v>271</v>
      </c>
      <c r="C123" s="14" t="s">
        <v>272</v>
      </c>
    </row>
    <row r="124" spans="1:3" ht="12" customHeight="1">
      <c r="A124" s="12" t="s">
        <v>273</v>
      </c>
      <c r="B124" s="90" t="s">
        <v>271</v>
      </c>
      <c r="C124" s="14" t="s">
        <v>274</v>
      </c>
    </row>
    <row r="125" spans="1:3" ht="12" customHeight="1">
      <c r="A125" s="12" t="s">
        <v>275</v>
      </c>
      <c r="B125" s="13" t="s">
        <v>276</v>
      </c>
      <c r="C125" s="14" t="s">
        <v>277</v>
      </c>
    </row>
    <row r="126" spans="1:3" ht="12" customHeight="1">
      <c r="A126" s="12" t="s">
        <v>278</v>
      </c>
      <c r="B126" s="13" t="s">
        <v>279</v>
      </c>
      <c r="C126" s="14" t="s">
        <v>280</v>
      </c>
    </row>
    <row r="127" spans="1:3" ht="12" customHeight="1">
      <c r="A127" s="91" t="s">
        <v>281</v>
      </c>
      <c r="B127" s="92">
        <v>1201020101</v>
      </c>
      <c r="C127" s="93" t="s">
        <v>282</v>
      </c>
    </row>
    <row r="128" spans="1:3" ht="12" customHeight="1">
      <c r="A128" s="12" t="s">
        <v>283</v>
      </c>
      <c r="B128" s="13" t="s">
        <v>284</v>
      </c>
      <c r="C128" s="14" t="s">
        <v>285</v>
      </c>
    </row>
    <row r="129" spans="1:3" ht="12" customHeight="1">
      <c r="A129" s="12" t="s">
        <v>286</v>
      </c>
      <c r="B129" s="13" t="s">
        <v>287</v>
      </c>
      <c r="C129" s="14" t="s">
        <v>288</v>
      </c>
    </row>
    <row r="130" spans="1:3" ht="12" customHeight="1">
      <c r="A130" s="82" t="s">
        <v>289</v>
      </c>
      <c r="B130" s="51" t="s">
        <v>290</v>
      </c>
      <c r="C130" s="83" t="s">
        <v>291</v>
      </c>
    </row>
    <row r="131" spans="1:3" ht="12" customHeight="1">
      <c r="A131" s="12" t="s">
        <v>292</v>
      </c>
      <c r="B131" s="13" t="s">
        <v>293</v>
      </c>
      <c r="C131" s="14" t="s">
        <v>294</v>
      </c>
    </row>
    <row r="132" spans="1:3" ht="12" customHeight="1">
      <c r="A132" s="82" t="s">
        <v>295</v>
      </c>
      <c r="B132" s="64" t="s">
        <v>296</v>
      </c>
      <c r="C132" s="83" t="s">
        <v>297</v>
      </c>
    </row>
    <row r="133" spans="1:3" ht="12" customHeight="1">
      <c r="A133" s="82" t="s">
        <v>298</v>
      </c>
      <c r="B133" s="29" t="s">
        <v>299</v>
      </c>
      <c r="C133" s="83" t="s">
        <v>300</v>
      </c>
    </row>
    <row r="134" spans="1:3" ht="12" customHeight="1">
      <c r="A134" s="12" t="s">
        <v>301</v>
      </c>
      <c r="B134" s="13" t="s">
        <v>302</v>
      </c>
      <c r="C134" s="14" t="s">
        <v>303</v>
      </c>
    </row>
    <row r="135" spans="1:3" ht="12" customHeight="1">
      <c r="A135" s="82" t="s">
        <v>304</v>
      </c>
      <c r="B135" s="94" t="s">
        <v>305</v>
      </c>
      <c r="C135" s="83" t="s">
        <v>306</v>
      </c>
    </row>
    <row r="136" spans="1:3" ht="12" customHeight="1">
      <c r="A136" s="82" t="s">
        <v>307</v>
      </c>
      <c r="B136" s="95" t="s">
        <v>308</v>
      </c>
      <c r="C136" s="83" t="s">
        <v>309</v>
      </c>
    </row>
    <row r="137" spans="1:3" ht="12" customHeight="1">
      <c r="A137" s="12" t="s">
        <v>310</v>
      </c>
      <c r="B137" s="70" t="s">
        <v>311</v>
      </c>
      <c r="C137" s="14" t="s">
        <v>312</v>
      </c>
    </row>
    <row r="138" spans="1:3" ht="12" customHeight="1">
      <c r="A138" s="82" t="s">
        <v>313</v>
      </c>
      <c r="B138" s="96" t="s">
        <v>314</v>
      </c>
      <c r="C138" s="83" t="s">
        <v>315</v>
      </c>
    </row>
    <row r="139" spans="1:3" ht="12" customHeight="1">
      <c r="A139" s="74" t="s">
        <v>316</v>
      </c>
      <c r="B139" s="13" t="s">
        <v>317</v>
      </c>
      <c r="C139" s="97" t="s">
        <v>318</v>
      </c>
    </row>
    <row r="140" spans="1:3" ht="12" customHeight="1">
      <c r="A140" s="12" t="s">
        <v>319</v>
      </c>
      <c r="B140" s="13" t="s">
        <v>320</v>
      </c>
      <c r="C140" s="14" t="s">
        <v>321</v>
      </c>
    </row>
    <row r="141" spans="1:3" ht="12" customHeight="1">
      <c r="A141" s="74" t="s">
        <v>322</v>
      </c>
      <c r="B141" s="13" t="s">
        <v>323</v>
      </c>
      <c r="C141" s="97" t="s">
        <v>324</v>
      </c>
    </row>
    <row r="142" spans="1:3" ht="12" customHeight="1">
      <c r="A142" s="82" t="s">
        <v>325</v>
      </c>
      <c r="B142" s="53" t="s">
        <v>326</v>
      </c>
      <c r="C142" s="83" t="s">
        <v>327</v>
      </c>
    </row>
    <row r="143" spans="1:3" ht="12" customHeight="1">
      <c r="A143" s="12" t="s">
        <v>328</v>
      </c>
      <c r="B143" s="53" t="s">
        <v>326</v>
      </c>
      <c r="C143" s="14" t="s">
        <v>329</v>
      </c>
    </row>
    <row r="144" spans="1:3" ht="12" customHeight="1">
      <c r="A144" s="12" t="s">
        <v>330</v>
      </c>
      <c r="B144" s="53" t="s">
        <v>326</v>
      </c>
      <c r="C144" s="14" t="s">
        <v>331</v>
      </c>
    </row>
    <row r="145" spans="1:3" ht="12" customHeight="1">
      <c r="A145" s="12" t="s">
        <v>332</v>
      </c>
      <c r="B145" s="53" t="s">
        <v>326</v>
      </c>
      <c r="C145" s="14" t="s">
        <v>333</v>
      </c>
    </row>
    <row r="146" spans="1:3" ht="12" customHeight="1">
      <c r="A146" s="12" t="s">
        <v>334</v>
      </c>
      <c r="B146" s="53" t="s">
        <v>326</v>
      </c>
      <c r="C146" s="14" t="s">
        <v>335</v>
      </c>
    </row>
    <row r="147" spans="1:3" ht="12" customHeight="1">
      <c r="A147" s="12" t="s">
        <v>336</v>
      </c>
      <c r="B147" s="53" t="s">
        <v>326</v>
      </c>
      <c r="C147" s="14" t="s">
        <v>337</v>
      </c>
    </row>
    <row r="148" spans="1:3" ht="12" customHeight="1">
      <c r="A148" s="12" t="s">
        <v>338</v>
      </c>
      <c r="B148" s="98" t="s">
        <v>339</v>
      </c>
      <c r="C148" s="14" t="s">
        <v>340</v>
      </c>
    </row>
    <row r="149" spans="1:3" ht="12" customHeight="1">
      <c r="A149" s="12" t="s">
        <v>341</v>
      </c>
      <c r="B149" s="98" t="s">
        <v>339</v>
      </c>
      <c r="C149" s="14" t="s">
        <v>342</v>
      </c>
    </row>
    <row r="150" spans="1:3" ht="12" customHeight="1">
      <c r="A150" s="12" t="s">
        <v>343</v>
      </c>
      <c r="B150" s="98" t="s">
        <v>339</v>
      </c>
      <c r="C150" s="14" t="s">
        <v>344</v>
      </c>
    </row>
    <row r="151" spans="1:3" ht="12" customHeight="1">
      <c r="A151" s="12" t="s">
        <v>345</v>
      </c>
      <c r="B151" s="98" t="s">
        <v>339</v>
      </c>
      <c r="C151" s="14" t="s">
        <v>346</v>
      </c>
    </row>
    <row r="152" spans="1:3" ht="12" customHeight="1">
      <c r="A152" s="12" t="s">
        <v>347</v>
      </c>
      <c r="B152" s="98" t="s">
        <v>339</v>
      </c>
      <c r="C152" s="14" t="s">
        <v>348</v>
      </c>
    </row>
    <row r="153" spans="1:3" ht="12" customHeight="1">
      <c r="A153" s="12" t="s">
        <v>349</v>
      </c>
      <c r="B153" s="98" t="s">
        <v>339</v>
      </c>
      <c r="C153" s="14" t="s">
        <v>350</v>
      </c>
    </row>
    <row r="154" spans="1:3" ht="12" customHeight="1">
      <c r="A154" s="82" t="s">
        <v>351</v>
      </c>
      <c r="B154" s="99" t="s">
        <v>352</v>
      </c>
      <c r="C154" s="83" t="s">
        <v>353</v>
      </c>
    </row>
    <row r="155" spans="1:3" ht="12" customHeight="1">
      <c r="A155" s="12" t="s">
        <v>354</v>
      </c>
      <c r="B155" s="99" t="s">
        <v>352</v>
      </c>
      <c r="C155" s="14" t="s">
        <v>355</v>
      </c>
    </row>
    <row r="156" spans="1:3" ht="12" customHeight="1">
      <c r="A156" s="12" t="s">
        <v>356</v>
      </c>
      <c r="B156" s="99" t="s">
        <v>352</v>
      </c>
      <c r="C156" s="14" t="s">
        <v>357</v>
      </c>
    </row>
    <row r="157" spans="1:3" ht="12" customHeight="1">
      <c r="A157" s="12" t="s">
        <v>358</v>
      </c>
      <c r="B157" s="99" t="s">
        <v>352</v>
      </c>
      <c r="C157" s="14" t="s">
        <v>359</v>
      </c>
    </row>
    <row r="158" spans="1:3" ht="12" customHeight="1">
      <c r="A158" s="12" t="s">
        <v>360</v>
      </c>
      <c r="B158" s="99" t="s">
        <v>352</v>
      </c>
      <c r="C158" s="14" t="s">
        <v>361</v>
      </c>
    </row>
    <row r="159" spans="1:3" ht="12" customHeight="1">
      <c r="A159" s="12" t="s">
        <v>362</v>
      </c>
      <c r="B159" s="99" t="s">
        <v>352</v>
      </c>
      <c r="C159" s="14" t="s">
        <v>363</v>
      </c>
    </row>
    <row r="160" spans="1:3" ht="12" customHeight="1">
      <c r="A160" s="82" t="s">
        <v>364</v>
      </c>
      <c r="B160" s="100" t="s">
        <v>365</v>
      </c>
      <c r="C160" s="83" t="s">
        <v>366</v>
      </c>
    </row>
    <row r="161" spans="1:3" ht="12" customHeight="1">
      <c r="A161" s="82" t="s">
        <v>367</v>
      </c>
      <c r="B161" s="100" t="s">
        <v>365</v>
      </c>
      <c r="C161" s="83" t="s">
        <v>368</v>
      </c>
    </row>
    <row r="162" spans="1:3" ht="12" customHeight="1">
      <c r="A162" s="82" t="s">
        <v>369</v>
      </c>
      <c r="B162" s="100" t="s">
        <v>365</v>
      </c>
      <c r="C162" s="83" t="s">
        <v>370</v>
      </c>
    </row>
    <row r="163" spans="1:3" ht="12" customHeight="1">
      <c r="A163" s="82" t="s">
        <v>371</v>
      </c>
      <c r="B163" s="100" t="s">
        <v>365</v>
      </c>
      <c r="C163" s="83" t="s">
        <v>372</v>
      </c>
    </row>
    <row r="164" spans="1:3" ht="12" customHeight="1">
      <c r="A164" s="12" t="s">
        <v>373</v>
      </c>
      <c r="B164" s="100" t="s">
        <v>365</v>
      </c>
      <c r="C164" s="14" t="s">
        <v>374</v>
      </c>
    </row>
    <row r="165" spans="1:3" ht="12" customHeight="1">
      <c r="A165" s="12" t="s">
        <v>375</v>
      </c>
      <c r="B165" s="100" t="s">
        <v>365</v>
      </c>
      <c r="C165" s="14" t="s">
        <v>376</v>
      </c>
    </row>
    <row r="166" spans="1:3" ht="12" customHeight="1">
      <c r="A166" s="101" t="s">
        <v>377</v>
      </c>
      <c r="B166" s="100" t="s">
        <v>365</v>
      </c>
      <c r="C166" s="102" t="s">
        <v>378</v>
      </c>
    </row>
    <row r="167" spans="1:3" ht="12" customHeight="1">
      <c r="A167" s="12" t="s">
        <v>379</v>
      </c>
      <c r="B167" s="100" t="s">
        <v>365</v>
      </c>
      <c r="C167" s="14" t="s">
        <v>380</v>
      </c>
    </row>
    <row r="168" spans="1:3" ht="12" customHeight="1">
      <c r="A168" s="12" t="s">
        <v>381</v>
      </c>
      <c r="B168" s="100" t="s">
        <v>365</v>
      </c>
      <c r="C168" s="14" t="s">
        <v>382</v>
      </c>
    </row>
    <row r="169" spans="1:3" ht="12" customHeight="1">
      <c r="A169" s="82" t="s">
        <v>383</v>
      </c>
      <c r="B169" s="36" t="s">
        <v>384</v>
      </c>
      <c r="C169" s="83" t="s">
        <v>385</v>
      </c>
    </row>
    <row r="170" spans="1:3" ht="12" customHeight="1">
      <c r="A170" s="82" t="s">
        <v>386</v>
      </c>
      <c r="B170" s="36" t="s">
        <v>384</v>
      </c>
      <c r="C170" s="83" t="s">
        <v>387</v>
      </c>
    </row>
    <row r="171" spans="1:3" ht="12" customHeight="1">
      <c r="A171" s="82" t="s">
        <v>388</v>
      </c>
      <c r="B171" s="36" t="s">
        <v>384</v>
      </c>
      <c r="C171" s="83" t="s">
        <v>389</v>
      </c>
    </row>
    <row r="172" spans="1:3" ht="12" customHeight="1">
      <c r="A172" s="82" t="s">
        <v>390</v>
      </c>
      <c r="B172" s="36" t="s">
        <v>384</v>
      </c>
      <c r="C172" s="83" t="s">
        <v>391</v>
      </c>
    </row>
    <row r="173" spans="1:3" ht="12" customHeight="1">
      <c r="A173" s="12" t="s">
        <v>392</v>
      </c>
      <c r="B173" s="36" t="s">
        <v>384</v>
      </c>
      <c r="C173" s="14" t="s">
        <v>393</v>
      </c>
    </row>
    <row r="174" spans="1:3" ht="12" customHeight="1">
      <c r="A174" s="12" t="s">
        <v>394</v>
      </c>
      <c r="B174" s="36" t="s">
        <v>384</v>
      </c>
      <c r="C174" s="14" t="s">
        <v>395</v>
      </c>
    </row>
    <row r="175" spans="1:3" ht="12" customHeight="1">
      <c r="A175" s="101" t="s">
        <v>396</v>
      </c>
      <c r="B175" s="36" t="s">
        <v>384</v>
      </c>
      <c r="C175" s="102" t="s">
        <v>397</v>
      </c>
    </row>
    <row r="176" spans="1:3" ht="12" customHeight="1">
      <c r="A176" s="12" t="s">
        <v>398</v>
      </c>
      <c r="B176" s="36" t="s">
        <v>384</v>
      </c>
      <c r="C176" s="14" t="s">
        <v>399</v>
      </c>
    </row>
    <row r="177" spans="1:3" ht="12" customHeight="1">
      <c r="A177" s="12" t="s">
        <v>400</v>
      </c>
      <c r="B177" s="36" t="s">
        <v>384</v>
      </c>
      <c r="C177" s="14" t="s">
        <v>401</v>
      </c>
    </row>
    <row r="178" spans="1:3" ht="12" customHeight="1">
      <c r="A178" s="12" t="s">
        <v>402</v>
      </c>
      <c r="B178" s="13" t="s">
        <v>403</v>
      </c>
      <c r="C178" s="14" t="s">
        <v>404</v>
      </c>
    </row>
    <row r="179" spans="1:3" ht="12" customHeight="1">
      <c r="A179" s="12" t="s">
        <v>405</v>
      </c>
      <c r="B179" s="13" t="s">
        <v>406</v>
      </c>
      <c r="C179" s="14" t="s">
        <v>407</v>
      </c>
    </row>
    <row r="180" spans="1:3" ht="12" customHeight="1">
      <c r="A180" s="82" t="s">
        <v>408</v>
      </c>
      <c r="B180" s="64" t="s">
        <v>409</v>
      </c>
      <c r="C180" s="83" t="s">
        <v>410</v>
      </c>
    </row>
    <row r="181" spans="1:3" ht="12" customHeight="1">
      <c r="A181" s="12" t="s">
        <v>411</v>
      </c>
      <c r="B181" s="13" t="s">
        <v>412</v>
      </c>
      <c r="C181" s="14" t="s">
        <v>413</v>
      </c>
    </row>
    <row r="182" spans="1:3" ht="12" customHeight="1">
      <c r="A182" s="82" t="s">
        <v>414</v>
      </c>
      <c r="B182" s="70" t="s">
        <v>415</v>
      </c>
      <c r="C182" s="83" t="s">
        <v>416</v>
      </c>
    </row>
    <row r="183" spans="1:3" ht="12" customHeight="1">
      <c r="A183" s="82" t="s">
        <v>417</v>
      </c>
      <c r="B183" s="29" t="s">
        <v>418</v>
      </c>
      <c r="C183" s="83" t="s">
        <v>419</v>
      </c>
    </row>
    <row r="184" spans="1:3" ht="12" customHeight="1">
      <c r="A184" s="12" t="s">
        <v>420</v>
      </c>
      <c r="B184" s="13" t="s">
        <v>421</v>
      </c>
      <c r="C184" s="14" t="s">
        <v>422</v>
      </c>
    </row>
    <row r="185" spans="1:3" ht="12" customHeight="1">
      <c r="A185" s="82" t="s">
        <v>423</v>
      </c>
      <c r="B185" s="51" t="s">
        <v>424</v>
      </c>
      <c r="C185" s="83" t="s">
        <v>425</v>
      </c>
    </row>
    <row r="186" spans="1:3" ht="12" customHeight="1">
      <c r="A186" s="82" t="s">
        <v>426</v>
      </c>
      <c r="B186" s="29" t="s">
        <v>427</v>
      </c>
      <c r="C186" s="83" t="s">
        <v>428</v>
      </c>
    </row>
    <row r="187" spans="1:3" ht="12" customHeight="1">
      <c r="A187" s="12" t="s">
        <v>429</v>
      </c>
      <c r="B187" s="13" t="s">
        <v>430</v>
      </c>
      <c r="C187" s="14" t="s">
        <v>431</v>
      </c>
    </row>
    <row r="188" spans="1:3" ht="12" customHeight="1">
      <c r="A188" s="82" t="s">
        <v>432</v>
      </c>
      <c r="B188" s="29" t="s">
        <v>433</v>
      </c>
      <c r="C188" s="83" t="s">
        <v>434</v>
      </c>
    </row>
    <row r="189" spans="1:3" ht="12" customHeight="1">
      <c r="A189" s="82" t="s">
        <v>435</v>
      </c>
      <c r="B189" s="29" t="s">
        <v>436</v>
      </c>
      <c r="C189" s="83" t="s">
        <v>437</v>
      </c>
    </row>
    <row r="190" spans="1:3" ht="12" customHeight="1">
      <c r="A190" s="12" t="s">
        <v>438</v>
      </c>
      <c r="B190" s="13" t="s">
        <v>439</v>
      </c>
      <c r="C190" s="14" t="s">
        <v>440</v>
      </c>
    </row>
    <row r="191" spans="1:3" ht="12" customHeight="1">
      <c r="A191" s="82" t="s">
        <v>441</v>
      </c>
      <c r="B191" s="13" t="s">
        <v>442</v>
      </c>
      <c r="C191" s="83" t="s">
        <v>443</v>
      </c>
    </row>
    <row r="192" spans="1:3" ht="12" customHeight="1">
      <c r="A192" s="82" t="s">
        <v>444</v>
      </c>
      <c r="B192" s="13" t="s">
        <v>445</v>
      </c>
      <c r="C192" s="83" t="s">
        <v>446</v>
      </c>
    </row>
    <row r="193" spans="1:3" ht="12" customHeight="1">
      <c r="A193" s="12" t="s">
        <v>447</v>
      </c>
      <c r="B193" s="13" t="s">
        <v>448</v>
      </c>
      <c r="C193" s="14" t="s">
        <v>449</v>
      </c>
    </row>
    <row r="194" spans="1:3" ht="12" customHeight="1">
      <c r="A194" s="82" t="s">
        <v>450</v>
      </c>
      <c r="B194" s="13" t="s">
        <v>451</v>
      </c>
      <c r="C194" s="83" t="s">
        <v>452</v>
      </c>
    </row>
    <row r="195" spans="1:3" ht="12" customHeight="1">
      <c r="A195" s="91" t="s">
        <v>453</v>
      </c>
      <c r="B195" s="92">
        <v>1206060101.1010001</v>
      </c>
      <c r="C195" s="93" t="s">
        <v>454</v>
      </c>
    </row>
    <row r="196" spans="1:3" ht="12" customHeight="1">
      <c r="A196" s="91" t="s">
        <v>455</v>
      </c>
      <c r="B196" s="92">
        <v>1206060102.1010001</v>
      </c>
      <c r="C196" s="93" t="s">
        <v>456</v>
      </c>
    </row>
    <row r="197" spans="1:3" ht="12" customHeight="1">
      <c r="A197" s="91" t="s">
        <v>457</v>
      </c>
      <c r="B197" s="92">
        <v>1206060103</v>
      </c>
      <c r="C197" s="93" t="s">
        <v>458</v>
      </c>
    </row>
    <row r="198" spans="1:3" ht="12" customHeight="1">
      <c r="A198" s="12" t="s">
        <v>459</v>
      </c>
      <c r="B198" s="13" t="s">
        <v>460</v>
      </c>
      <c r="C198" s="14" t="s">
        <v>461</v>
      </c>
    </row>
    <row r="199" spans="1:3" ht="12" customHeight="1">
      <c r="A199" s="12" t="s">
        <v>462</v>
      </c>
      <c r="B199" s="13" t="s">
        <v>463</v>
      </c>
      <c r="C199" s="14" t="s">
        <v>464</v>
      </c>
    </row>
    <row r="200" spans="1:3" ht="12" customHeight="1">
      <c r="A200" s="12" t="s">
        <v>465</v>
      </c>
      <c r="B200" s="13" t="s">
        <v>466</v>
      </c>
      <c r="C200" s="14" t="s">
        <v>467</v>
      </c>
    </row>
    <row r="201" spans="1:3" ht="12" customHeight="1">
      <c r="A201" s="82" t="s">
        <v>468</v>
      </c>
      <c r="B201" s="29" t="s">
        <v>469</v>
      </c>
      <c r="C201" s="83" t="s">
        <v>470</v>
      </c>
    </row>
    <row r="202" spans="1:3" ht="12" customHeight="1">
      <c r="A202" s="12" t="s">
        <v>471</v>
      </c>
      <c r="B202" s="13" t="s">
        <v>472</v>
      </c>
      <c r="C202" s="14" t="s">
        <v>473</v>
      </c>
    </row>
    <row r="203" spans="1:3" ht="12" customHeight="1">
      <c r="A203" s="82" t="s">
        <v>474</v>
      </c>
      <c r="B203" s="29" t="s">
        <v>475</v>
      </c>
      <c r="C203" s="83" t="s">
        <v>476</v>
      </c>
    </row>
    <row r="204" spans="1:3" ht="12" customHeight="1">
      <c r="A204" s="82" t="s">
        <v>477</v>
      </c>
      <c r="B204" s="29" t="s">
        <v>478</v>
      </c>
      <c r="C204" s="83" t="s">
        <v>479</v>
      </c>
    </row>
    <row r="205" spans="1:3" ht="12" customHeight="1">
      <c r="A205" s="12" t="s">
        <v>480</v>
      </c>
      <c r="B205" s="13" t="s">
        <v>481</v>
      </c>
      <c r="C205" s="14" t="s">
        <v>482</v>
      </c>
    </row>
    <row r="206" spans="1:3" ht="12" customHeight="1">
      <c r="A206" s="82" t="s">
        <v>483</v>
      </c>
      <c r="B206" s="29" t="s">
        <v>484</v>
      </c>
      <c r="C206" s="83" t="s">
        <v>485</v>
      </c>
    </row>
    <row r="207" spans="1:3" ht="12" customHeight="1">
      <c r="A207" s="103" t="s">
        <v>486</v>
      </c>
      <c r="B207" s="104" t="s">
        <v>487</v>
      </c>
      <c r="C207" s="105" t="s">
        <v>488</v>
      </c>
    </row>
    <row r="208" spans="1:3" ht="12" customHeight="1">
      <c r="A208" s="12" t="s">
        <v>489</v>
      </c>
      <c r="B208" s="13" t="s">
        <v>490</v>
      </c>
      <c r="C208" s="14" t="s">
        <v>491</v>
      </c>
    </row>
    <row r="209" spans="1:3" ht="12" customHeight="1">
      <c r="A209" s="103" t="s">
        <v>492</v>
      </c>
      <c r="B209" s="104" t="s">
        <v>493</v>
      </c>
      <c r="C209" s="105" t="s">
        <v>494</v>
      </c>
    </row>
    <row r="210" spans="1:3" ht="12" customHeight="1">
      <c r="A210" s="82" t="s">
        <v>495</v>
      </c>
      <c r="B210" s="29" t="s">
        <v>496</v>
      </c>
      <c r="C210" s="83" t="s">
        <v>497</v>
      </c>
    </row>
    <row r="211" spans="1:3" ht="12" customHeight="1">
      <c r="A211" s="12" t="s">
        <v>498</v>
      </c>
      <c r="B211" s="13" t="s">
        <v>499</v>
      </c>
      <c r="C211" s="14" t="s">
        <v>500</v>
      </c>
    </row>
    <row r="212" spans="1:3" ht="12" customHeight="1">
      <c r="A212" s="82" t="s">
        <v>501</v>
      </c>
      <c r="B212" s="29" t="s">
        <v>502</v>
      </c>
      <c r="C212" s="83" t="s">
        <v>503</v>
      </c>
    </row>
    <row r="213" spans="1:3" ht="12" customHeight="1">
      <c r="A213" s="103" t="s">
        <v>504</v>
      </c>
      <c r="B213" s="104" t="s">
        <v>505</v>
      </c>
      <c r="C213" s="105" t="s">
        <v>506</v>
      </c>
    </row>
    <row r="214" spans="1:3" ht="12" customHeight="1">
      <c r="A214" s="12" t="s">
        <v>507</v>
      </c>
      <c r="B214" s="13" t="s">
        <v>508</v>
      </c>
      <c r="C214" s="14" t="s">
        <v>509</v>
      </c>
    </row>
    <row r="215" spans="1:3" ht="12" customHeight="1">
      <c r="A215" s="103" t="s">
        <v>510</v>
      </c>
      <c r="B215" s="104" t="s">
        <v>511</v>
      </c>
      <c r="C215" s="105" t="s">
        <v>512</v>
      </c>
    </row>
    <row r="216" spans="1:3" ht="12" customHeight="1">
      <c r="A216" s="103" t="s">
        <v>513</v>
      </c>
      <c r="B216" s="104" t="s">
        <v>514</v>
      </c>
      <c r="C216" s="105" t="s">
        <v>515</v>
      </c>
    </row>
    <row r="217" spans="1:3" ht="12" customHeight="1">
      <c r="A217" s="12" t="s">
        <v>516</v>
      </c>
      <c r="B217" s="13" t="s">
        <v>517</v>
      </c>
      <c r="C217" s="14" t="s">
        <v>518</v>
      </c>
    </row>
    <row r="218" spans="1:3" ht="12" customHeight="1">
      <c r="A218" s="103" t="s">
        <v>519</v>
      </c>
      <c r="B218" s="104" t="s">
        <v>520</v>
      </c>
      <c r="C218" s="105" t="s">
        <v>521</v>
      </c>
    </row>
    <row r="219" spans="1:3" ht="12" customHeight="1">
      <c r="A219" s="12" t="s">
        <v>522</v>
      </c>
      <c r="B219" s="13" t="s">
        <v>523</v>
      </c>
      <c r="C219" s="14" t="s">
        <v>524</v>
      </c>
    </row>
    <row r="220" spans="1:3" ht="12" customHeight="1">
      <c r="A220" s="12" t="s">
        <v>525</v>
      </c>
      <c r="B220" s="13" t="s">
        <v>526</v>
      </c>
      <c r="C220" s="14" t="s">
        <v>527</v>
      </c>
    </row>
    <row r="221" spans="1:3" ht="12" customHeight="1">
      <c r="A221" s="12" t="s">
        <v>528</v>
      </c>
      <c r="B221" s="13" t="s">
        <v>529</v>
      </c>
      <c r="C221" s="14" t="s">
        <v>530</v>
      </c>
    </row>
    <row r="222" spans="1:3" ht="12" customHeight="1">
      <c r="A222" s="103" t="s">
        <v>531</v>
      </c>
      <c r="B222" s="104" t="s">
        <v>532</v>
      </c>
      <c r="C222" s="105" t="s">
        <v>533</v>
      </c>
    </row>
    <row r="223" spans="1:3" ht="12" customHeight="1">
      <c r="A223" s="12" t="s">
        <v>534</v>
      </c>
      <c r="B223" s="13" t="s">
        <v>535</v>
      </c>
      <c r="C223" s="14" t="s">
        <v>536</v>
      </c>
    </row>
    <row r="224" spans="1:3" ht="12" customHeight="1">
      <c r="A224" s="103" t="s">
        <v>537</v>
      </c>
      <c r="B224" s="104" t="s">
        <v>538</v>
      </c>
      <c r="C224" s="105" t="s">
        <v>539</v>
      </c>
    </row>
    <row r="225" spans="1:4" ht="12" customHeight="1">
      <c r="A225" s="82" t="s">
        <v>540</v>
      </c>
      <c r="B225" s="70" t="s">
        <v>541</v>
      </c>
      <c r="C225" s="83" t="s">
        <v>542</v>
      </c>
    </row>
    <row r="226" spans="1:4" ht="12" customHeight="1">
      <c r="A226" s="82" t="s">
        <v>543</v>
      </c>
      <c r="B226" s="70" t="s">
        <v>541</v>
      </c>
      <c r="C226" s="83" t="s">
        <v>544</v>
      </c>
    </row>
    <row r="227" spans="1:4" ht="12" customHeight="1">
      <c r="A227" s="82" t="s">
        <v>545</v>
      </c>
      <c r="B227" s="70" t="s">
        <v>541</v>
      </c>
      <c r="C227" s="83" t="s">
        <v>546</v>
      </c>
    </row>
    <row r="228" spans="1:4" ht="12" customHeight="1">
      <c r="A228" s="82" t="s">
        <v>547</v>
      </c>
      <c r="B228" s="70" t="s">
        <v>541</v>
      </c>
      <c r="C228" s="83" t="s">
        <v>548</v>
      </c>
      <c r="D228" s="15" t="e">
        <f>SUM(#REF!)</f>
        <v>#REF!</v>
      </c>
    </row>
    <row r="229" spans="1:4" ht="12" customHeight="1">
      <c r="A229" s="82" t="s">
        <v>549</v>
      </c>
      <c r="B229" s="70" t="s">
        <v>541</v>
      </c>
      <c r="C229" s="83" t="s">
        <v>550</v>
      </c>
    </row>
    <row r="230" spans="1:4" ht="12" customHeight="1">
      <c r="A230" s="12" t="s">
        <v>551</v>
      </c>
      <c r="B230" s="70" t="s">
        <v>541</v>
      </c>
      <c r="C230" s="14" t="s">
        <v>552</v>
      </c>
    </row>
    <row r="231" spans="1:4" ht="12" customHeight="1">
      <c r="A231" s="82" t="s">
        <v>553</v>
      </c>
      <c r="B231" s="70" t="s">
        <v>541</v>
      </c>
      <c r="C231" s="83" t="s">
        <v>554</v>
      </c>
      <c r="D231" s="15" t="e">
        <f>+D228-E230</f>
        <v>#REF!</v>
      </c>
    </row>
    <row r="232" spans="1:4" ht="12" customHeight="1">
      <c r="A232" s="82" t="s">
        <v>555</v>
      </c>
      <c r="B232" s="70" t="s">
        <v>541</v>
      </c>
      <c r="C232" s="83" t="s">
        <v>556</v>
      </c>
    </row>
    <row r="233" spans="1:4" ht="12" customHeight="1">
      <c r="A233" s="82" t="s">
        <v>557</v>
      </c>
      <c r="B233" s="70" t="s">
        <v>541</v>
      </c>
      <c r="C233" s="83" t="s">
        <v>558</v>
      </c>
    </row>
    <row r="234" spans="1:4" ht="12" customHeight="1">
      <c r="A234" s="82" t="s">
        <v>559</v>
      </c>
      <c r="B234" s="70" t="s">
        <v>541</v>
      </c>
      <c r="C234" s="83" t="s">
        <v>560</v>
      </c>
    </row>
    <row r="235" spans="1:4" ht="12" customHeight="1">
      <c r="A235" s="82" t="s">
        <v>561</v>
      </c>
      <c r="B235" s="77" t="s">
        <v>562</v>
      </c>
      <c r="C235" s="83" t="s">
        <v>563</v>
      </c>
      <c r="D235" s="15" t="e">
        <f>+D231-E231</f>
        <v>#REF!</v>
      </c>
    </row>
    <row r="236" spans="1:4" ht="12" customHeight="1">
      <c r="A236" s="82" t="s">
        <v>564</v>
      </c>
      <c r="B236" s="77" t="s">
        <v>562</v>
      </c>
      <c r="C236" s="83" t="s">
        <v>565</v>
      </c>
    </row>
    <row r="237" spans="1:4" ht="12" customHeight="1">
      <c r="A237" s="82" t="s">
        <v>566</v>
      </c>
      <c r="B237" s="77" t="s">
        <v>562</v>
      </c>
      <c r="C237" s="83" t="s">
        <v>567</v>
      </c>
    </row>
    <row r="238" spans="1:4" ht="12" customHeight="1">
      <c r="A238" s="82" t="s">
        <v>568</v>
      </c>
      <c r="B238" s="77" t="s">
        <v>562</v>
      </c>
      <c r="C238" s="83" t="s">
        <v>569</v>
      </c>
    </row>
    <row r="239" spans="1:4" ht="12" customHeight="1">
      <c r="A239" s="82" t="s">
        <v>570</v>
      </c>
      <c r="B239" s="77" t="s">
        <v>562</v>
      </c>
      <c r="C239" s="83" t="s">
        <v>571</v>
      </c>
      <c r="D239" s="15" t="e">
        <f>SUM(#REF!)</f>
        <v>#REF!</v>
      </c>
    </row>
    <row r="240" spans="1:4" ht="12" customHeight="1">
      <c r="A240" s="12" t="s">
        <v>572</v>
      </c>
      <c r="B240" s="77" t="s">
        <v>562</v>
      </c>
      <c r="C240" s="14" t="s">
        <v>573</v>
      </c>
      <c r="D240" s="15" t="e">
        <f>SUM(#REF!)</f>
        <v>#REF!</v>
      </c>
    </row>
    <row r="241" spans="1:4" ht="12" customHeight="1">
      <c r="A241" s="82" t="s">
        <v>574</v>
      </c>
      <c r="B241" s="77" t="s">
        <v>562</v>
      </c>
      <c r="C241" s="83" t="s">
        <v>575</v>
      </c>
    </row>
    <row r="242" spans="1:4" ht="12" customHeight="1">
      <c r="A242" s="82" t="s">
        <v>576</v>
      </c>
      <c r="B242" s="77" t="s">
        <v>562</v>
      </c>
      <c r="C242" s="83" t="s">
        <v>577</v>
      </c>
      <c r="D242" s="15" t="e">
        <f>+D239-D240</f>
        <v>#REF!</v>
      </c>
    </row>
    <row r="243" spans="1:4" ht="12" customHeight="1">
      <c r="A243" s="82" t="s">
        <v>578</v>
      </c>
      <c r="B243" s="77" t="s">
        <v>562</v>
      </c>
      <c r="C243" s="83" t="s">
        <v>579</v>
      </c>
    </row>
    <row r="244" spans="1:4" ht="12" customHeight="1">
      <c r="A244" s="82" t="s">
        <v>580</v>
      </c>
      <c r="B244" s="77" t="s">
        <v>562</v>
      </c>
      <c r="C244" s="83" t="s">
        <v>581</v>
      </c>
    </row>
    <row r="245" spans="1:4" ht="12" customHeight="1">
      <c r="A245" s="12" t="s">
        <v>582</v>
      </c>
      <c r="B245" s="13" t="s">
        <v>583</v>
      </c>
      <c r="C245" s="14" t="s">
        <v>584</v>
      </c>
    </row>
    <row r="246" spans="1:4" ht="12" customHeight="1">
      <c r="A246" s="12" t="s">
        <v>585</v>
      </c>
      <c r="B246" s="13" t="s">
        <v>586</v>
      </c>
      <c r="C246" s="14" t="s">
        <v>587</v>
      </c>
    </row>
    <row r="247" spans="1:4" ht="12" customHeight="1">
      <c r="A247" s="82" t="s">
        <v>588</v>
      </c>
      <c r="B247" s="29" t="s">
        <v>589</v>
      </c>
      <c r="C247" s="83" t="s">
        <v>590</v>
      </c>
    </row>
    <row r="248" spans="1:4" ht="12" customHeight="1">
      <c r="A248" s="12" t="s">
        <v>591</v>
      </c>
      <c r="B248" s="13" t="s">
        <v>592</v>
      </c>
      <c r="C248" s="14" t="s">
        <v>593</v>
      </c>
    </row>
    <row r="249" spans="1:4" ht="12" customHeight="1">
      <c r="A249" s="82" t="s">
        <v>594</v>
      </c>
      <c r="B249" s="29" t="s">
        <v>595</v>
      </c>
      <c r="C249" s="83" t="s">
        <v>596</v>
      </c>
    </row>
    <row r="250" spans="1:4" ht="12" customHeight="1">
      <c r="A250" s="82" t="s">
        <v>597</v>
      </c>
      <c r="B250" s="106" t="s">
        <v>598</v>
      </c>
      <c r="C250" s="83" t="s">
        <v>599</v>
      </c>
    </row>
    <row r="251" spans="1:4" ht="12" customHeight="1">
      <c r="A251" s="12" t="s">
        <v>600</v>
      </c>
      <c r="B251" s="106" t="s">
        <v>598</v>
      </c>
      <c r="C251" s="14" t="s">
        <v>601</v>
      </c>
    </row>
    <row r="252" spans="1:4" ht="12" customHeight="1">
      <c r="A252" s="82" t="s">
        <v>602</v>
      </c>
      <c r="B252" s="107" t="s">
        <v>603</v>
      </c>
      <c r="C252" s="83" t="s">
        <v>604</v>
      </c>
    </row>
    <row r="253" spans="1:4" ht="12" customHeight="1">
      <c r="A253" s="12" t="s">
        <v>605</v>
      </c>
      <c r="B253" s="107" t="s">
        <v>603</v>
      </c>
      <c r="C253" s="14" t="s">
        <v>606</v>
      </c>
    </row>
    <row r="254" spans="1:4" ht="12" customHeight="1">
      <c r="A254" s="82" t="s">
        <v>607</v>
      </c>
      <c r="B254" s="29" t="s">
        <v>608</v>
      </c>
      <c r="C254" s="83" t="s">
        <v>609</v>
      </c>
    </row>
    <row r="255" spans="1:4" ht="12" customHeight="1">
      <c r="A255" s="12" t="s">
        <v>610</v>
      </c>
      <c r="B255" s="13" t="s">
        <v>611</v>
      </c>
      <c r="C255" s="14" t="s">
        <v>612</v>
      </c>
    </row>
    <row r="256" spans="1:4" ht="12" customHeight="1">
      <c r="A256" s="82" t="s">
        <v>613</v>
      </c>
      <c r="B256" s="29" t="s">
        <v>614</v>
      </c>
      <c r="C256" s="83" t="s">
        <v>615</v>
      </c>
    </row>
    <row r="257" spans="1:3" ht="12" customHeight="1">
      <c r="A257" s="91" t="s">
        <v>616</v>
      </c>
      <c r="B257" s="92">
        <v>1213010105</v>
      </c>
      <c r="C257" s="93" t="s">
        <v>617</v>
      </c>
    </row>
    <row r="258" spans="1:3" ht="12" customHeight="1">
      <c r="A258" s="91" t="s">
        <v>618</v>
      </c>
      <c r="B258" s="92">
        <v>1213010199</v>
      </c>
      <c r="C258" s="93" t="s">
        <v>619</v>
      </c>
    </row>
    <row r="259" spans="1:3" ht="12" customHeight="1">
      <c r="A259" s="12" t="s">
        <v>620</v>
      </c>
      <c r="B259" s="13" t="s">
        <v>621</v>
      </c>
      <c r="C259" s="14" t="s">
        <v>622</v>
      </c>
    </row>
    <row r="260" spans="1:3" ht="12" customHeight="1">
      <c r="A260" s="12" t="s">
        <v>623</v>
      </c>
      <c r="B260" s="108" t="s">
        <v>624</v>
      </c>
      <c r="C260" s="14" t="s">
        <v>625</v>
      </c>
    </row>
    <row r="261" spans="1:3" ht="12" customHeight="1">
      <c r="A261" s="12" t="s">
        <v>626</v>
      </c>
      <c r="B261" s="108" t="s">
        <v>624</v>
      </c>
      <c r="C261" s="14" t="s">
        <v>627</v>
      </c>
    </row>
    <row r="262" spans="1:3" ht="12" customHeight="1">
      <c r="A262" s="12" t="s">
        <v>628</v>
      </c>
      <c r="B262" s="108" t="s">
        <v>624</v>
      </c>
      <c r="C262" s="14" t="s">
        <v>629</v>
      </c>
    </row>
    <row r="263" spans="1:3" ht="12" customHeight="1">
      <c r="A263" s="12" t="s">
        <v>630</v>
      </c>
      <c r="B263" s="108" t="s">
        <v>624</v>
      </c>
      <c r="C263" s="14" t="s">
        <v>631</v>
      </c>
    </row>
    <row r="264" spans="1:3" ht="12" customHeight="1">
      <c r="A264" s="84" t="s">
        <v>632</v>
      </c>
      <c r="B264" s="108" t="s">
        <v>624</v>
      </c>
      <c r="C264" s="85" t="s">
        <v>633</v>
      </c>
    </row>
    <row r="265" spans="1:3" ht="12" customHeight="1">
      <c r="A265" s="12" t="s">
        <v>634</v>
      </c>
      <c r="B265" s="108" t="s">
        <v>624</v>
      </c>
      <c r="C265" s="14" t="s">
        <v>635</v>
      </c>
    </row>
    <row r="266" spans="1:3" ht="12" customHeight="1">
      <c r="A266" s="12" t="s">
        <v>636</v>
      </c>
      <c r="B266" s="108" t="s">
        <v>624</v>
      </c>
      <c r="C266" s="14" t="s">
        <v>637</v>
      </c>
    </row>
    <row r="267" spans="1:3" ht="12" customHeight="1">
      <c r="A267" s="12" t="s">
        <v>638</v>
      </c>
      <c r="B267" s="108" t="s">
        <v>624</v>
      </c>
      <c r="C267" s="14" t="s">
        <v>639</v>
      </c>
    </row>
    <row r="268" spans="1:3" ht="12" customHeight="1">
      <c r="A268" s="91" t="s">
        <v>640</v>
      </c>
      <c r="B268" s="108" t="s">
        <v>624</v>
      </c>
      <c r="C268" s="93" t="s">
        <v>641</v>
      </c>
    </row>
    <row r="269" spans="1:3" ht="12" customHeight="1">
      <c r="A269" s="91" t="s">
        <v>642</v>
      </c>
      <c r="B269" s="108" t="s">
        <v>624</v>
      </c>
      <c r="C269" s="93" t="s">
        <v>643</v>
      </c>
    </row>
    <row r="270" spans="1:3" ht="12" customHeight="1">
      <c r="A270" s="91" t="s">
        <v>644</v>
      </c>
      <c r="B270" s="108" t="s">
        <v>624</v>
      </c>
      <c r="C270" s="93" t="s">
        <v>645</v>
      </c>
    </row>
    <row r="271" spans="1:3" ht="12" customHeight="1">
      <c r="A271" s="91" t="s">
        <v>646</v>
      </c>
      <c r="B271" s="108" t="s">
        <v>624</v>
      </c>
      <c r="C271" s="93" t="s">
        <v>647</v>
      </c>
    </row>
    <row r="272" spans="1:3" ht="12" customHeight="1">
      <c r="A272" s="91" t="s">
        <v>648</v>
      </c>
      <c r="B272" s="108" t="s">
        <v>624</v>
      </c>
      <c r="C272" s="93" t="s">
        <v>649</v>
      </c>
    </row>
    <row r="273" spans="1:3" ht="12" customHeight="1">
      <c r="A273" s="91" t="s">
        <v>650</v>
      </c>
      <c r="B273" s="108" t="s">
        <v>624</v>
      </c>
      <c r="C273" s="93" t="s">
        <v>651</v>
      </c>
    </row>
    <row r="274" spans="1:3" ht="12" customHeight="1">
      <c r="A274" s="91" t="s">
        <v>652</v>
      </c>
      <c r="B274" s="108" t="s">
        <v>624</v>
      </c>
      <c r="C274" s="93" t="s">
        <v>653</v>
      </c>
    </row>
    <row r="275" spans="1:3" ht="12" customHeight="1">
      <c r="A275" s="91" t="s">
        <v>654</v>
      </c>
      <c r="B275" s="108" t="s">
        <v>624</v>
      </c>
      <c r="C275" s="93" t="s">
        <v>655</v>
      </c>
    </row>
    <row r="276" spans="1:3" ht="12" customHeight="1">
      <c r="A276" s="84" t="s">
        <v>656</v>
      </c>
      <c r="B276" s="109" t="s">
        <v>657</v>
      </c>
      <c r="C276" s="110" t="s">
        <v>658</v>
      </c>
    </row>
    <row r="277" spans="1:3" ht="12" customHeight="1">
      <c r="A277" s="91" t="s">
        <v>659</v>
      </c>
      <c r="B277" s="109" t="s">
        <v>657</v>
      </c>
      <c r="C277" s="93" t="s">
        <v>660</v>
      </c>
    </row>
    <row r="278" spans="1:3" ht="12" customHeight="1">
      <c r="A278" s="111" t="s">
        <v>661</v>
      </c>
      <c r="B278" s="109" t="s">
        <v>657</v>
      </c>
      <c r="C278" s="112" t="s">
        <v>662</v>
      </c>
    </row>
    <row r="279" spans="1:3" ht="12" customHeight="1">
      <c r="A279" s="12" t="s">
        <v>663</v>
      </c>
      <c r="B279" s="13" t="s">
        <v>664</v>
      </c>
      <c r="C279" s="14" t="s">
        <v>665</v>
      </c>
    </row>
    <row r="280" spans="1:3" ht="12" customHeight="1">
      <c r="A280" s="12" t="s">
        <v>666</v>
      </c>
      <c r="B280" s="13" t="s">
        <v>667</v>
      </c>
      <c r="C280" s="14" t="s">
        <v>668</v>
      </c>
    </row>
    <row r="281" spans="1:3" ht="12" customHeight="1">
      <c r="A281" s="12" t="s">
        <v>669</v>
      </c>
      <c r="B281" s="94" t="s">
        <v>670</v>
      </c>
      <c r="C281" s="14" t="s">
        <v>671</v>
      </c>
    </row>
    <row r="282" spans="1:3" ht="12" customHeight="1">
      <c r="A282" s="12" t="s">
        <v>672</v>
      </c>
      <c r="B282" s="94" t="s">
        <v>670</v>
      </c>
      <c r="C282" s="14" t="s">
        <v>673</v>
      </c>
    </row>
    <row r="283" spans="1:3" ht="12" customHeight="1">
      <c r="A283" s="12" t="s">
        <v>674</v>
      </c>
      <c r="B283" s="94" t="s">
        <v>670</v>
      </c>
      <c r="C283" s="14" t="s">
        <v>675</v>
      </c>
    </row>
    <row r="284" spans="1:3" ht="12" customHeight="1">
      <c r="A284" s="12" t="s">
        <v>676</v>
      </c>
      <c r="B284" s="94" t="s">
        <v>670</v>
      </c>
      <c r="C284" s="14" t="s">
        <v>677</v>
      </c>
    </row>
    <row r="285" spans="1:3" ht="12" customHeight="1">
      <c r="A285" s="84" t="s">
        <v>678</v>
      </c>
      <c r="B285" s="94" t="s">
        <v>670</v>
      </c>
      <c r="C285" s="85" t="s">
        <v>679</v>
      </c>
    </row>
    <row r="286" spans="1:3" ht="12" customHeight="1">
      <c r="A286" s="12" t="s">
        <v>680</v>
      </c>
      <c r="B286" s="94" t="s">
        <v>670</v>
      </c>
      <c r="C286" s="14" t="s">
        <v>681</v>
      </c>
    </row>
    <row r="287" spans="1:3" ht="12" customHeight="1">
      <c r="A287" s="12" t="s">
        <v>682</v>
      </c>
      <c r="B287" s="94" t="s">
        <v>670</v>
      </c>
      <c r="C287" s="14" t="s">
        <v>683</v>
      </c>
    </row>
    <row r="288" spans="1:3" ht="12" customHeight="1">
      <c r="A288" s="12" t="s">
        <v>684</v>
      </c>
      <c r="B288" s="94" t="s">
        <v>670</v>
      </c>
      <c r="C288" s="14" t="s">
        <v>685</v>
      </c>
    </row>
    <row r="289" spans="1:3" ht="12" customHeight="1">
      <c r="A289" s="91" t="s">
        <v>686</v>
      </c>
      <c r="B289" s="94" t="s">
        <v>670</v>
      </c>
      <c r="C289" s="93" t="s">
        <v>687</v>
      </c>
    </row>
    <row r="290" spans="1:3" ht="12" customHeight="1">
      <c r="A290" s="91" t="s">
        <v>688</v>
      </c>
      <c r="B290" s="94" t="s">
        <v>670</v>
      </c>
      <c r="C290" s="93" t="s">
        <v>689</v>
      </c>
    </row>
    <row r="291" spans="1:3" ht="12" customHeight="1">
      <c r="A291" s="91" t="s">
        <v>690</v>
      </c>
      <c r="B291" s="94" t="s">
        <v>670</v>
      </c>
      <c r="C291" s="93" t="s">
        <v>691</v>
      </c>
    </row>
    <row r="292" spans="1:3" ht="12" customHeight="1">
      <c r="A292" s="91" t="s">
        <v>692</v>
      </c>
      <c r="B292" s="94" t="s">
        <v>670</v>
      </c>
      <c r="C292" s="93" t="s">
        <v>677</v>
      </c>
    </row>
    <row r="293" spans="1:3" ht="12" customHeight="1">
      <c r="A293" s="91" t="s">
        <v>693</v>
      </c>
      <c r="B293" s="94" t="s">
        <v>670</v>
      </c>
      <c r="C293" s="93" t="s">
        <v>679</v>
      </c>
    </row>
    <row r="294" spans="1:3" ht="12" customHeight="1">
      <c r="A294" s="91" t="s">
        <v>694</v>
      </c>
      <c r="B294" s="94" t="s">
        <v>670</v>
      </c>
      <c r="C294" s="93" t="s">
        <v>681</v>
      </c>
    </row>
    <row r="295" spans="1:3" ht="12" customHeight="1">
      <c r="A295" s="91" t="s">
        <v>695</v>
      </c>
      <c r="B295" s="94" t="s">
        <v>670</v>
      </c>
      <c r="C295" s="93" t="s">
        <v>683</v>
      </c>
    </row>
    <row r="296" spans="1:3" ht="12" customHeight="1">
      <c r="A296" s="91" t="s">
        <v>696</v>
      </c>
      <c r="B296" s="94" t="s">
        <v>670</v>
      </c>
      <c r="C296" s="93" t="s">
        <v>685</v>
      </c>
    </row>
    <row r="297" spans="1:3" ht="12" customHeight="1">
      <c r="A297" s="82" t="s">
        <v>697</v>
      </c>
      <c r="B297" s="77" t="s">
        <v>698</v>
      </c>
      <c r="C297" s="83" t="s">
        <v>699</v>
      </c>
    </row>
    <row r="298" spans="1:3" ht="12" customHeight="1">
      <c r="A298" s="103" t="s">
        <v>700</v>
      </c>
      <c r="B298" s="77" t="s">
        <v>698</v>
      </c>
      <c r="C298" s="105" t="s">
        <v>701</v>
      </c>
    </row>
    <row r="299" spans="1:3" ht="12" customHeight="1">
      <c r="A299" s="82" t="s">
        <v>702</v>
      </c>
      <c r="B299" s="77" t="s">
        <v>698</v>
      </c>
      <c r="C299" s="83" t="s">
        <v>703</v>
      </c>
    </row>
    <row r="300" spans="1:3" ht="12" customHeight="1">
      <c r="A300" s="82" t="s">
        <v>704</v>
      </c>
      <c r="B300" s="77" t="s">
        <v>698</v>
      </c>
      <c r="C300" s="83" t="s">
        <v>705</v>
      </c>
    </row>
    <row r="301" spans="1:3" ht="12" customHeight="1">
      <c r="A301" s="82" t="s">
        <v>706</v>
      </c>
      <c r="B301" s="77" t="s">
        <v>698</v>
      </c>
      <c r="C301" s="83" t="s">
        <v>707</v>
      </c>
    </row>
    <row r="302" spans="1:3" ht="12" customHeight="1">
      <c r="A302" s="82" t="s">
        <v>708</v>
      </c>
      <c r="B302" s="77" t="s">
        <v>698</v>
      </c>
      <c r="C302" s="83" t="s">
        <v>709</v>
      </c>
    </row>
    <row r="303" spans="1:3" ht="12" customHeight="1">
      <c r="A303" s="76" t="s">
        <v>710</v>
      </c>
      <c r="B303" s="77" t="s">
        <v>698</v>
      </c>
      <c r="C303" s="14" t="s">
        <v>711</v>
      </c>
    </row>
    <row r="304" spans="1:3" ht="12" customHeight="1">
      <c r="A304" s="12" t="s">
        <v>712</v>
      </c>
      <c r="B304" s="77" t="s">
        <v>698</v>
      </c>
      <c r="C304" s="14" t="s">
        <v>713</v>
      </c>
    </row>
    <row r="305" spans="1:3" ht="12" customHeight="1">
      <c r="A305" s="12" t="s">
        <v>714</v>
      </c>
      <c r="B305" s="77" t="s">
        <v>698</v>
      </c>
      <c r="C305" s="14" t="s">
        <v>715</v>
      </c>
    </row>
    <row r="306" spans="1:3" ht="12" customHeight="1">
      <c r="A306" s="82" t="s">
        <v>716</v>
      </c>
      <c r="B306" s="77" t="s">
        <v>698</v>
      </c>
      <c r="C306" s="105" t="s">
        <v>717</v>
      </c>
    </row>
    <row r="307" spans="1:3" ht="12" customHeight="1">
      <c r="A307" s="82" t="s">
        <v>718</v>
      </c>
      <c r="B307" s="77" t="s">
        <v>698</v>
      </c>
      <c r="C307" s="105" t="s">
        <v>719</v>
      </c>
    </row>
    <row r="308" spans="1:3" ht="12" customHeight="1">
      <c r="A308" s="82" t="s">
        <v>720</v>
      </c>
      <c r="B308" s="77" t="s">
        <v>698</v>
      </c>
      <c r="C308" s="105" t="s">
        <v>721</v>
      </c>
    </row>
    <row r="309" spans="1:3" ht="12" customHeight="1">
      <c r="A309" s="12" t="s">
        <v>722</v>
      </c>
      <c r="B309" s="77" t="s">
        <v>698</v>
      </c>
      <c r="C309" s="14" t="s">
        <v>723</v>
      </c>
    </row>
    <row r="310" spans="1:3" ht="12" customHeight="1">
      <c r="A310" s="12" t="s">
        <v>724</v>
      </c>
      <c r="B310" s="77" t="s">
        <v>698</v>
      </c>
      <c r="C310" s="14" t="s">
        <v>725</v>
      </c>
    </row>
    <row r="311" spans="1:3" ht="12" customHeight="1">
      <c r="A311" s="17" t="s">
        <v>726</v>
      </c>
      <c r="B311" s="77" t="s">
        <v>698</v>
      </c>
      <c r="C311" s="19" t="s">
        <v>727</v>
      </c>
    </row>
    <row r="312" spans="1:3" ht="12" customHeight="1">
      <c r="A312" s="12" t="s">
        <v>728</v>
      </c>
      <c r="B312" s="77" t="s">
        <v>698</v>
      </c>
      <c r="C312" s="14" t="s">
        <v>729</v>
      </c>
    </row>
    <row r="313" spans="1:3" ht="12" customHeight="1">
      <c r="A313" s="12" t="s">
        <v>730</v>
      </c>
      <c r="B313" s="77" t="s">
        <v>698</v>
      </c>
      <c r="C313" s="14" t="s">
        <v>731</v>
      </c>
    </row>
    <row r="314" spans="1:3" ht="12" customHeight="1">
      <c r="A314" s="22" t="s">
        <v>732</v>
      </c>
      <c r="B314" s="77" t="s">
        <v>698</v>
      </c>
      <c r="C314" s="23" t="s">
        <v>733</v>
      </c>
    </row>
    <row r="315" spans="1:3" ht="12" customHeight="1">
      <c r="A315" s="68" t="s">
        <v>734</v>
      </c>
      <c r="B315" s="77" t="s">
        <v>698</v>
      </c>
      <c r="C315" s="69" t="s">
        <v>735</v>
      </c>
    </row>
    <row r="316" spans="1:3" ht="12" customHeight="1">
      <c r="A316" s="12" t="s">
        <v>736</v>
      </c>
      <c r="B316" s="77" t="s">
        <v>698</v>
      </c>
      <c r="C316" s="14" t="s">
        <v>737</v>
      </c>
    </row>
    <row r="317" spans="1:3" ht="12" customHeight="1">
      <c r="A317" s="12" t="s">
        <v>738</v>
      </c>
      <c r="B317" s="77" t="s">
        <v>698</v>
      </c>
      <c r="C317" s="14" t="s">
        <v>739</v>
      </c>
    </row>
    <row r="318" spans="1:3" ht="12" customHeight="1">
      <c r="A318" s="12" t="s">
        <v>740</v>
      </c>
      <c r="B318" s="77" t="s">
        <v>698</v>
      </c>
      <c r="C318" s="14" t="s">
        <v>741</v>
      </c>
    </row>
    <row r="319" spans="1:3" ht="12" customHeight="1">
      <c r="A319" s="84" t="s">
        <v>742</v>
      </c>
      <c r="B319" s="77" t="s">
        <v>698</v>
      </c>
      <c r="C319" s="85" t="s">
        <v>743</v>
      </c>
    </row>
    <row r="320" spans="1:3" ht="12" customHeight="1">
      <c r="A320" s="113" t="s">
        <v>744</v>
      </c>
      <c r="B320" s="77" t="s">
        <v>698</v>
      </c>
      <c r="C320" s="114" t="s">
        <v>745</v>
      </c>
    </row>
    <row r="321" spans="1:4" ht="12" customHeight="1">
      <c r="A321" s="103" t="s">
        <v>746</v>
      </c>
      <c r="B321" s="77" t="s">
        <v>698</v>
      </c>
      <c r="C321" s="105" t="s">
        <v>747</v>
      </c>
    </row>
    <row r="322" spans="1:4" ht="12" customHeight="1">
      <c r="A322" s="74" t="s">
        <v>748</v>
      </c>
      <c r="B322" s="77" t="s">
        <v>698</v>
      </c>
      <c r="C322" s="75" t="s">
        <v>749</v>
      </c>
    </row>
    <row r="323" spans="1:4" ht="12" customHeight="1">
      <c r="A323" s="74" t="s">
        <v>750</v>
      </c>
      <c r="B323" s="77" t="s">
        <v>698</v>
      </c>
      <c r="C323" s="75" t="s">
        <v>751</v>
      </c>
    </row>
    <row r="324" spans="1:4" ht="12" customHeight="1">
      <c r="A324" s="113" t="s">
        <v>752</v>
      </c>
      <c r="B324" s="77" t="s">
        <v>698</v>
      </c>
      <c r="C324" s="114" t="s">
        <v>753</v>
      </c>
      <c r="D324" s="15" t="e">
        <f>SUM(#REF!)</f>
        <v>#REF!</v>
      </c>
    </row>
    <row r="325" spans="1:4" ht="12" customHeight="1">
      <c r="A325" s="115" t="s">
        <v>754</v>
      </c>
      <c r="B325" s="70" t="s">
        <v>755</v>
      </c>
      <c r="C325" s="116" t="s">
        <v>756</v>
      </c>
    </row>
    <row r="326" spans="1:4" ht="12" customHeight="1">
      <c r="A326" s="12" t="s">
        <v>757</v>
      </c>
      <c r="B326" s="13" t="s">
        <v>758</v>
      </c>
      <c r="C326" s="14" t="s">
        <v>759</v>
      </c>
    </row>
    <row r="327" spans="1:4" ht="12" customHeight="1">
      <c r="A327" s="12" t="s">
        <v>760</v>
      </c>
      <c r="B327" s="13" t="s">
        <v>761</v>
      </c>
      <c r="C327" s="14" t="s">
        <v>762</v>
      </c>
    </row>
    <row r="328" spans="1:4" ht="12" customHeight="1">
      <c r="A328" s="84" t="s">
        <v>763</v>
      </c>
      <c r="B328" s="64" t="s">
        <v>764</v>
      </c>
      <c r="C328" s="85" t="s">
        <v>765</v>
      </c>
    </row>
    <row r="329" spans="1:4" ht="12" customHeight="1">
      <c r="A329" s="71" t="s">
        <v>766</v>
      </c>
      <c r="B329" s="117" t="s">
        <v>767</v>
      </c>
      <c r="C329" s="72" t="s">
        <v>768</v>
      </c>
      <c r="D329" s="15" t="e">
        <f>+#REF!</f>
        <v>#REF!</v>
      </c>
    </row>
    <row r="330" spans="1:4" ht="12" customHeight="1">
      <c r="A330" s="91" t="s">
        <v>769</v>
      </c>
      <c r="B330" s="118">
        <v>2102040110</v>
      </c>
      <c r="C330" s="93" t="s">
        <v>770</v>
      </c>
    </row>
    <row r="331" spans="1:4" ht="12" customHeight="1">
      <c r="A331" s="91" t="s">
        <v>771</v>
      </c>
      <c r="B331" s="118">
        <v>2102040110</v>
      </c>
      <c r="C331" s="93" t="s">
        <v>772</v>
      </c>
    </row>
    <row r="332" spans="1:4" ht="12" customHeight="1">
      <c r="A332" s="91" t="s">
        <v>773</v>
      </c>
      <c r="B332" s="118">
        <v>2102040110</v>
      </c>
      <c r="C332" s="93" t="s">
        <v>774</v>
      </c>
    </row>
    <row r="333" spans="1:4" ht="12" customHeight="1">
      <c r="A333" s="91" t="s">
        <v>775</v>
      </c>
      <c r="B333" s="118">
        <v>2102040110</v>
      </c>
      <c r="C333" s="93" t="s">
        <v>776</v>
      </c>
    </row>
    <row r="334" spans="1:4" ht="12" customHeight="1">
      <c r="A334" s="91" t="s">
        <v>777</v>
      </c>
      <c r="B334" s="118">
        <v>2102040110</v>
      </c>
      <c r="C334" s="93" t="s">
        <v>778</v>
      </c>
    </row>
    <row r="335" spans="1:4" ht="12" customHeight="1">
      <c r="A335" s="91" t="s">
        <v>779</v>
      </c>
      <c r="B335" s="118">
        <v>2102040110</v>
      </c>
      <c r="C335" s="93" t="s">
        <v>780</v>
      </c>
    </row>
    <row r="336" spans="1:4" ht="12" customHeight="1">
      <c r="A336" s="119" t="s">
        <v>781</v>
      </c>
      <c r="B336" s="118">
        <v>2102040110</v>
      </c>
      <c r="C336" s="120" t="s">
        <v>782</v>
      </c>
    </row>
    <row r="337" spans="1:4" ht="12" customHeight="1">
      <c r="A337" s="119" t="s">
        <v>783</v>
      </c>
      <c r="B337" s="118">
        <v>2102040110</v>
      </c>
      <c r="C337" s="120" t="s">
        <v>784</v>
      </c>
    </row>
    <row r="338" spans="1:4" ht="12" customHeight="1">
      <c r="A338" s="91" t="s">
        <v>785</v>
      </c>
      <c r="B338" s="118">
        <v>2102040110</v>
      </c>
      <c r="C338" s="93" t="s">
        <v>786</v>
      </c>
    </row>
    <row r="339" spans="1:4" ht="12" customHeight="1">
      <c r="A339" s="119" t="s">
        <v>787</v>
      </c>
      <c r="B339" s="118">
        <v>2102040110</v>
      </c>
      <c r="C339" s="120" t="s">
        <v>788</v>
      </c>
    </row>
    <row r="340" spans="1:4" ht="12" customHeight="1">
      <c r="A340" s="91" t="s">
        <v>789</v>
      </c>
      <c r="B340" s="118">
        <v>2102040110</v>
      </c>
      <c r="C340" s="93" t="s">
        <v>790</v>
      </c>
    </row>
    <row r="341" spans="1:4" ht="12" customHeight="1">
      <c r="A341" s="91" t="s">
        <v>791</v>
      </c>
      <c r="B341" s="118">
        <v>2102040110</v>
      </c>
      <c r="C341" s="93" t="s">
        <v>792</v>
      </c>
    </row>
    <row r="342" spans="1:4" ht="12" customHeight="1">
      <c r="A342" s="91" t="s">
        <v>793</v>
      </c>
      <c r="B342" s="118" t="s">
        <v>794</v>
      </c>
      <c r="C342" s="93" t="s">
        <v>756</v>
      </c>
    </row>
    <row r="343" spans="1:4" ht="12" customHeight="1">
      <c r="A343" s="91" t="s">
        <v>795</v>
      </c>
      <c r="B343" s="118">
        <v>2102040110</v>
      </c>
      <c r="C343" s="93" t="s">
        <v>796</v>
      </c>
    </row>
    <row r="344" spans="1:4" ht="12" customHeight="1">
      <c r="A344" s="91" t="s">
        <v>797</v>
      </c>
      <c r="B344" s="118">
        <v>2102040110</v>
      </c>
      <c r="C344" s="93" t="s">
        <v>798</v>
      </c>
      <c r="D344" s="15" t="e">
        <f>SUM(#REF!)</f>
        <v>#REF!</v>
      </c>
    </row>
    <row r="345" spans="1:4" ht="12" customHeight="1">
      <c r="A345" s="121" t="s">
        <v>799</v>
      </c>
      <c r="B345" s="13" t="s">
        <v>800</v>
      </c>
      <c r="C345" s="97" t="s">
        <v>801</v>
      </c>
    </row>
    <row r="346" spans="1:4" ht="12" customHeight="1">
      <c r="A346" s="12" t="s">
        <v>802</v>
      </c>
      <c r="B346" s="64" t="s">
        <v>803</v>
      </c>
      <c r="C346" s="14" t="s">
        <v>804</v>
      </c>
    </row>
    <row r="347" spans="1:4" ht="12" customHeight="1">
      <c r="A347" s="122" t="s">
        <v>805</v>
      </c>
      <c r="B347" s="64" t="s">
        <v>803</v>
      </c>
      <c r="C347" s="123" t="s">
        <v>806</v>
      </c>
    </row>
    <row r="348" spans="1:4" ht="12" customHeight="1">
      <c r="A348" s="124" t="s">
        <v>807</v>
      </c>
      <c r="B348" s="125" t="s">
        <v>808</v>
      </c>
      <c r="C348" s="126" t="s">
        <v>809</v>
      </c>
    </row>
    <row r="349" spans="1:4" ht="12" customHeight="1">
      <c r="A349" s="127" t="s">
        <v>810</v>
      </c>
      <c r="B349" s="125" t="s">
        <v>808</v>
      </c>
      <c r="C349" s="128" t="s">
        <v>811</v>
      </c>
      <c r="D349" s="15" t="e">
        <f>SUM(#REF!)</f>
        <v>#REF!</v>
      </c>
    </row>
    <row r="350" spans="1:4" ht="12" customHeight="1">
      <c r="A350" s="12" t="s">
        <v>812</v>
      </c>
      <c r="B350" s="51" t="s">
        <v>813</v>
      </c>
      <c r="C350" s="14" t="s">
        <v>814</v>
      </c>
    </row>
    <row r="351" spans="1:4" ht="12" customHeight="1">
      <c r="A351" s="129" t="s">
        <v>815</v>
      </c>
      <c r="B351" s="94" t="s">
        <v>816</v>
      </c>
      <c r="C351" s="130" t="s">
        <v>817</v>
      </c>
    </row>
    <row r="352" spans="1:4" ht="12" customHeight="1">
      <c r="A352" s="63" t="s">
        <v>818</v>
      </c>
      <c r="B352" s="94" t="s">
        <v>816</v>
      </c>
      <c r="C352" s="65" t="s">
        <v>819</v>
      </c>
    </row>
    <row r="353" spans="1:3" ht="12" customHeight="1">
      <c r="A353" s="76" t="s">
        <v>820</v>
      </c>
      <c r="B353" s="94" t="s">
        <v>816</v>
      </c>
      <c r="C353" s="78" t="s">
        <v>821</v>
      </c>
    </row>
    <row r="354" spans="1:3" ht="12" customHeight="1">
      <c r="A354" s="12" t="s">
        <v>822</v>
      </c>
      <c r="B354" s="40" t="s">
        <v>823</v>
      </c>
      <c r="C354" s="14" t="s">
        <v>824</v>
      </c>
    </row>
    <row r="355" spans="1:3" ht="12" customHeight="1">
      <c r="A355" s="131" t="s">
        <v>825</v>
      </c>
      <c r="B355" s="40" t="s">
        <v>823</v>
      </c>
      <c r="C355" s="132" t="s">
        <v>826</v>
      </c>
    </row>
    <row r="356" spans="1:3" ht="12" customHeight="1">
      <c r="A356" s="133" t="s">
        <v>827</v>
      </c>
      <c r="B356" s="40" t="s">
        <v>823</v>
      </c>
      <c r="C356" s="134" t="s">
        <v>828</v>
      </c>
    </row>
    <row r="357" spans="1:3" ht="12" customHeight="1">
      <c r="A357" s="122" t="s">
        <v>829</v>
      </c>
      <c r="B357" s="40" t="s">
        <v>823</v>
      </c>
      <c r="C357" s="123" t="s">
        <v>830</v>
      </c>
    </row>
    <row r="358" spans="1:3" ht="12" customHeight="1">
      <c r="A358" s="33" t="s">
        <v>831</v>
      </c>
      <c r="B358" s="40" t="s">
        <v>823</v>
      </c>
      <c r="C358" s="35" t="s">
        <v>832</v>
      </c>
    </row>
    <row r="359" spans="1:3" ht="12" customHeight="1">
      <c r="A359" s="135" t="s">
        <v>833</v>
      </c>
      <c r="B359" s="40" t="s">
        <v>823</v>
      </c>
      <c r="C359" s="35" t="s">
        <v>834</v>
      </c>
    </row>
    <row r="360" spans="1:3" ht="12.75">
      <c r="A360" s="82" t="s">
        <v>835</v>
      </c>
      <c r="B360" s="40" t="s">
        <v>823</v>
      </c>
      <c r="C360" s="83" t="s">
        <v>836</v>
      </c>
    </row>
    <row r="361" spans="1:3" ht="12" customHeight="1">
      <c r="A361" s="122" t="s">
        <v>837</v>
      </c>
      <c r="B361" s="40" t="s">
        <v>823</v>
      </c>
      <c r="C361" s="123" t="s">
        <v>838</v>
      </c>
    </row>
    <row r="362" spans="1:3" ht="12" customHeight="1">
      <c r="A362" s="103" t="s">
        <v>839</v>
      </c>
      <c r="B362" s="40" t="s">
        <v>823</v>
      </c>
      <c r="C362" s="105" t="s">
        <v>840</v>
      </c>
    </row>
    <row r="363" spans="1:3" ht="12" customHeight="1">
      <c r="A363" s="103" t="s">
        <v>841</v>
      </c>
      <c r="B363" s="40" t="s">
        <v>823</v>
      </c>
      <c r="C363" s="105" t="s">
        <v>842</v>
      </c>
    </row>
    <row r="364" spans="1:3" ht="12" customHeight="1">
      <c r="A364" s="136" t="s">
        <v>843</v>
      </c>
      <c r="B364" s="40" t="s">
        <v>823</v>
      </c>
      <c r="C364" s="137" t="s">
        <v>844</v>
      </c>
    </row>
    <row r="365" spans="1:3" ht="12" customHeight="1">
      <c r="A365" s="22" t="s">
        <v>845</v>
      </c>
      <c r="B365" s="40" t="s">
        <v>823</v>
      </c>
      <c r="C365" s="23" t="s">
        <v>846</v>
      </c>
    </row>
    <row r="366" spans="1:3" ht="12" customHeight="1">
      <c r="A366" s="138" t="s">
        <v>847</v>
      </c>
      <c r="B366" s="40" t="s">
        <v>823</v>
      </c>
      <c r="C366" s="139" t="s">
        <v>848</v>
      </c>
    </row>
    <row r="367" spans="1:3" ht="12" customHeight="1">
      <c r="A367" s="46" t="s">
        <v>849</v>
      </c>
      <c r="B367" s="81" t="s">
        <v>823</v>
      </c>
      <c r="C367" s="47" t="s">
        <v>850</v>
      </c>
    </row>
    <row r="368" spans="1:3" ht="12" customHeight="1">
      <c r="A368" s="103" t="s">
        <v>851</v>
      </c>
      <c r="B368" s="81" t="s">
        <v>823</v>
      </c>
      <c r="C368" s="105" t="s">
        <v>852</v>
      </c>
    </row>
    <row r="369" spans="1:4" ht="12" customHeight="1">
      <c r="A369" s="103" t="s">
        <v>853</v>
      </c>
      <c r="B369" s="81" t="s">
        <v>823</v>
      </c>
      <c r="C369" s="105" t="s">
        <v>854</v>
      </c>
    </row>
    <row r="370" spans="1:4" ht="12" customHeight="1">
      <c r="A370" s="103" t="s">
        <v>855</v>
      </c>
      <c r="B370" s="81" t="s">
        <v>823</v>
      </c>
      <c r="C370" s="105" t="s">
        <v>856</v>
      </c>
      <c r="D370" s="15" t="e">
        <f>SUM(#REF!)</f>
        <v>#REF!</v>
      </c>
    </row>
    <row r="371" spans="1:4" ht="12" customHeight="1">
      <c r="A371" s="140" t="s">
        <v>857</v>
      </c>
      <c r="B371" s="99" t="s">
        <v>858</v>
      </c>
      <c r="C371" s="128" t="s">
        <v>859</v>
      </c>
      <c r="D371" s="15" t="e">
        <f>SUM(#REF!)</f>
        <v>#REF!</v>
      </c>
    </row>
    <row r="372" spans="1:4" ht="12" customHeight="1">
      <c r="A372" s="12" t="s">
        <v>860</v>
      </c>
      <c r="B372" s="18" t="s">
        <v>861</v>
      </c>
      <c r="C372" s="14" t="s">
        <v>862</v>
      </c>
    </row>
    <row r="373" spans="1:4" ht="12" customHeight="1">
      <c r="A373" s="12" t="s">
        <v>863</v>
      </c>
      <c r="B373" s="70" t="s">
        <v>864</v>
      </c>
      <c r="C373" s="14" t="s">
        <v>865</v>
      </c>
    </row>
    <row r="374" spans="1:4" ht="12" customHeight="1">
      <c r="A374" s="133" t="s">
        <v>866</v>
      </c>
      <c r="B374" s="70" t="s">
        <v>864</v>
      </c>
      <c r="C374" s="134" t="s">
        <v>867</v>
      </c>
      <c r="D374" s="15" t="e">
        <f>+#REF!</f>
        <v>#REF!</v>
      </c>
    </row>
    <row r="375" spans="1:4" ht="12" customHeight="1">
      <c r="A375" s="12" t="s">
        <v>868</v>
      </c>
      <c r="B375" s="70" t="s">
        <v>864</v>
      </c>
      <c r="C375" s="14" t="s">
        <v>869</v>
      </c>
    </row>
    <row r="376" spans="1:4" ht="12" customHeight="1">
      <c r="A376" s="12" t="s">
        <v>870</v>
      </c>
      <c r="B376" s="70" t="s">
        <v>864</v>
      </c>
      <c r="C376" s="14" t="s">
        <v>871</v>
      </c>
    </row>
    <row r="377" spans="1:4" ht="12" customHeight="1">
      <c r="A377" s="12" t="s">
        <v>872</v>
      </c>
      <c r="B377" s="13" t="s">
        <v>873</v>
      </c>
      <c r="C377" s="14" t="s">
        <v>874</v>
      </c>
    </row>
    <row r="378" spans="1:4" ht="12" customHeight="1">
      <c r="A378" s="12" t="s">
        <v>875</v>
      </c>
      <c r="B378" s="141" t="s">
        <v>876</v>
      </c>
      <c r="C378" s="14" t="s">
        <v>877</v>
      </c>
    </row>
    <row r="379" spans="1:4" ht="12" customHeight="1">
      <c r="A379" s="12" t="s">
        <v>878</v>
      </c>
      <c r="B379" s="141" t="s">
        <v>876</v>
      </c>
      <c r="C379" s="14" t="s">
        <v>879</v>
      </c>
    </row>
    <row r="380" spans="1:4" ht="12" customHeight="1">
      <c r="A380" s="12" t="s">
        <v>880</v>
      </c>
      <c r="B380" s="142" t="s">
        <v>881</v>
      </c>
      <c r="C380" s="14" t="s">
        <v>882</v>
      </c>
    </row>
    <row r="381" spans="1:4" ht="12" customHeight="1">
      <c r="A381" s="91" t="s">
        <v>883</v>
      </c>
      <c r="B381" s="143">
        <v>2203010101</v>
      </c>
      <c r="C381" s="93" t="s">
        <v>884</v>
      </c>
    </row>
    <row r="382" spans="1:4" ht="12" customHeight="1">
      <c r="A382" s="12" t="s">
        <v>885</v>
      </c>
      <c r="B382" s="142" t="s">
        <v>886</v>
      </c>
      <c r="C382" s="14" t="s">
        <v>887</v>
      </c>
    </row>
    <row r="383" spans="1:4" ht="12" customHeight="1">
      <c r="A383" s="12" t="s">
        <v>888</v>
      </c>
      <c r="B383" s="13" t="s">
        <v>889</v>
      </c>
      <c r="C383" s="14" t="s">
        <v>890</v>
      </c>
    </row>
    <row r="384" spans="1:4" ht="12" customHeight="1">
      <c r="A384" s="12" t="s">
        <v>891</v>
      </c>
      <c r="B384" s="13" t="s">
        <v>892</v>
      </c>
      <c r="C384" s="14" t="s">
        <v>893</v>
      </c>
    </row>
    <row r="385" spans="1:4" ht="12" customHeight="1">
      <c r="A385" s="46" t="s">
        <v>894</v>
      </c>
      <c r="B385" s="107" t="s">
        <v>895</v>
      </c>
      <c r="C385" s="47" t="s">
        <v>896</v>
      </c>
    </row>
    <row r="386" spans="1:4" ht="12" customHeight="1">
      <c r="A386" s="12" t="s">
        <v>897</v>
      </c>
      <c r="B386" s="107" t="s">
        <v>895</v>
      </c>
      <c r="C386" s="14" t="s">
        <v>898</v>
      </c>
      <c r="D386" s="15" t="e">
        <f>SUM(#REF!)</f>
        <v>#REF!</v>
      </c>
    </row>
    <row r="387" spans="1:4" ht="12" customHeight="1">
      <c r="A387" s="12" t="s">
        <v>899</v>
      </c>
      <c r="B387" s="13" t="s">
        <v>900</v>
      </c>
      <c r="C387" s="14" t="s">
        <v>901</v>
      </c>
    </row>
    <row r="388" spans="1:4" ht="12" customHeight="1">
      <c r="A388" s="12" t="s">
        <v>902</v>
      </c>
      <c r="B388" s="13" t="s">
        <v>903</v>
      </c>
      <c r="C388" s="14" t="s">
        <v>904</v>
      </c>
    </row>
    <row r="389" spans="1:4" ht="12" customHeight="1">
      <c r="A389" s="144" t="s">
        <v>905</v>
      </c>
      <c r="B389" s="145" t="s">
        <v>906</v>
      </c>
      <c r="C389" s="146" t="s">
        <v>907</v>
      </c>
    </row>
    <row r="390" spans="1:4" ht="12" customHeight="1">
      <c r="A390" s="147" t="s">
        <v>908</v>
      </c>
      <c r="B390" s="148" t="s">
        <v>906</v>
      </c>
      <c r="C390" s="149" t="s">
        <v>909</v>
      </c>
      <c r="D390" s="15" t="e">
        <f>+#REF!</f>
        <v>#REF!</v>
      </c>
    </row>
    <row r="391" spans="1:4" ht="12" customHeight="1">
      <c r="A391" s="26" t="s">
        <v>910</v>
      </c>
      <c r="B391" s="64" t="s">
        <v>911</v>
      </c>
      <c r="C391" s="27" t="s">
        <v>912</v>
      </c>
    </row>
    <row r="392" spans="1:4" ht="12" customHeight="1">
      <c r="A392" s="31" t="s">
        <v>913</v>
      </c>
      <c r="B392" s="64" t="s">
        <v>911</v>
      </c>
      <c r="C392" s="150" t="s">
        <v>914</v>
      </c>
      <c r="D392" s="151" t="e">
        <f>+#REF!-D394</f>
        <v>#REF!</v>
      </c>
    </row>
    <row r="393" spans="1:4" ht="12" customHeight="1">
      <c r="A393" s="91" t="s">
        <v>915</v>
      </c>
      <c r="B393" s="64" t="s">
        <v>911</v>
      </c>
      <c r="C393" s="93" t="s">
        <v>916</v>
      </c>
    </row>
    <row r="394" spans="1:4" ht="12" customHeight="1">
      <c r="A394" s="66" t="s">
        <v>917</v>
      </c>
      <c r="B394" s="64" t="s">
        <v>911</v>
      </c>
      <c r="C394" s="67" t="s">
        <v>918</v>
      </c>
      <c r="D394" s="15" t="e">
        <f>SUM(#REF!)</f>
        <v>#REF!</v>
      </c>
    </row>
    <row r="395" spans="1:4" ht="12" customHeight="1">
      <c r="A395" s="152" t="s">
        <v>919</v>
      </c>
      <c r="B395" s="70" t="s">
        <v>920</v>
      </c>
      <c r="C395" s="153" t="s">
        <v>921</v>
      </c>
      <c r="D395" s="15" t="e">
        <f>SUM(#REF!)</f>
        <v>#REF!</v>
      </c>
    </row>
    <row r="396" spans="1:4" ht="12" customHeight="1">
      <c r="A396" s="12" t="s">
        <v>922</v>
      </c>
      <c r="B396" s="154" t="s">
        <v>923</v>
      </c>
      <c r="C396" s="14" t="s">
        <v>924</v>
      </c>
    </row>
    <row r="397" spans="1:4" ht="12" customHeight="1">
      <c r="A397" s="88" t="s">
        <v>925</v>
      </c>
      <c r="B397" s="88" t="s">
        <v>926</v>
      </c>
      <c r="C397" s="89" t="s">
        <v>927</v>
      </c>
      <c r="D397" s="15" t="e">
        <f>SUM(#REF!)</f>
        <v>#REF!</v>
      </c>
    </row>
    <row r="398" spans="1:4" ht="12" customHeight="1">
      <c r="A398" s="88" t="s">
        <v>928</v>
      </c>
      <c r="B398" s="155" t="s">
        <v>929</v>
      </c>
      <c r="C398" s="89" t="s">
        <v>930</v>
      </c>
    </row>
    <row r="399" spans="1:4" ht="12" customHeight="1">
      <c r="A399" s="12" t="s">
        <v>931</v>
      </c>
      <c r="B399" s="64" t="s">
        <v>932</v>
      </c>
      <c r="C399" s="14" t="s">
        <v>933</v>
      </c>
    </row>
    <row r="400" spans="1:4" ht="12" customHeight="1">
      <c r="A400" s="12" t="s">
        <v>934</v>
      </c>
      <c r="B400" s="13" t="s">
        <v>935</v>
      </c>
      <c r="C400" s="14" t="s">
        <v>936</v>
      </c>
    </row>
    <row r="401" spans="1:4" ht="12" customHeight="1">
      <c r="A401" s="88" t="s">
        <v>937</v>
      </c>
      <c r="B401" s="156" t="s">
        <v>938</v>
      </c>
      <c r="C401" s="89" t="s">
        <v>939</v>
      </c>
    </row>
    <row r="402" spans="1:4" ht="12" customHeight="1">
      <c r="A402" s="88" t="s">
        <v>940</v>
      </c>
      <c r="B402" s="156" t="s">
        <v>941</v>
      </c>
      <c r="C402" s="89" t="s">
        <v>942</v>
      </c>
      <c r="D402" s="15" t="e">
        <f>SUM(#REF!)</f>
        <v>#REF!</v>
      </c>
    </row>
    <row r="403" spans="1:4" ht="12" customHeight="1">
      <c r="A403" s="12" t="s">
        <v>943</v>
      </c>
      <c r="B403" s="13" t="s">
        <v>944</v>
      </c>
      <c r="C403" s="14" t="s">
        <v>945</v>
      </c>
    </row>
    <row r="404" spans="1:4" ht="12" customHeight="1">
      <c r="A404" s="88" t="s">
        <v>946</v>
      </c>
      <c r="B404" s="36" t="s">
        <v>947</v>
      </c>
      <c r="C404" s="89" t="s">
        <v>948</v>
      </c>
      <c r="D404" s="15" t="e">
        <f>+#REF!</f>
        <v>#REF!</v>
      </c>
    </row>
    <row r="405" spans="1:4" ht="12" customHeight="1">
      <c r="A405" s="88" t="s">
        <v>949</v>
      </c>
      <c r="B405" s="156" t="s">
        <v>950</v>
      </c>
      <c r="C405" s="89" t="s">
        <v>951</v>
      </c>
      <c r="D405" s="15" t="e">
        <f>+#REF!</f>
        <v>#REF!</v>
      </c>
    </row>
    <row r="406" spans="1:4" ht="12" customHeight="1">
      <c r="A406" s="22" t="s">
        <v>952</v>
      </c>
      <c r="B406" s="58" t="s">
        <v>953</v>
      </c>
      <c r="C406" s="23" t="s">
        <v>954</v>
      </c>
      <c r="D406" s="15" t="e">
        <f>+#REF!</f>
        <v>#REF!</v>
      </c>
    </row>
    <row r="407" spans="1:4" ht="12" customHeight="1">
      <c r="A407" s="12" t="s">
        <v>955</v>
      </c>
      <c r="B407" s="36" t="s">
        <v>956</v>
      </c>
      <c r="C407" s="14" t="s">
        <v>957</v>
      </c>
    </row>
    <row r="408" spans="1:4" ht="12" customHeight="1">
      <c r="A408" s="12" t="s">
        <v>958</v>
      </c>
      <c r="B408" s="108" t="s">
        <v>959</v>
      </c>
      <c r="C408" s="14" t="s">
        <v>960</v>
      </c>
    </row>
    <row r="409" spans="1:4" ht="12" customHeight="1">
      <c r="A409" s="12" t="s">
        <v>961</v>
      </c>
      <c r="B409" s="108" t="s">
        <v>959</v>
      </c>
      <c r="C409" s="14" t="s">
        <v>962</v>
      </c>
    </row>
    <row r="410" spans="1:4" ht="12" customHeight="1">
      <c r="A410" s="12" t="s">
        <v>963</v>
      </c>
      <c r="B410" s="108" t="s">
        <v>959</v>
      </c>
      <c r="C410" s="14" t="s">
        <v>964</v>
      </c>
    </row>
    <row r="411" spans="1:4" ht="12" customHeight="1">
      <c r="A411" s="12" t="s">
        <v>965</v>
      </c>
      <c r="B411" s="108" t="s">
        <v>959</v>
      </c>
      <c r="C411" s="14" t="s">
        <v>966</v>
      </c>
    </row>
    <row r="412" spans="1:4" ht="12" customHeight="1">
      <c r="A412" s="55" t="s">
        <v>967</v>
      </c>
      <c r="B412" s="94" t="s">
        <v>968</v>
      </c>
      <c r="C412" s="157" t="s">
        <v>969</v>
      </c>
    </row>
    <row r="413" spans="1:4" ht="12" customHeight="1">
      <c r="A413" s="55" t="s">
        <v>970</v>
      </c>
      <c r="B413" s="94" t="s">
        <v>968</v>
      </c>
      <c r="C413" s="157" t="s">
        <v>971</v>
      </c>
    </row>
    <row r="414" spans="1:4" ht="12" customHeight="1">
      <c r="A414" s="17" t="s">
        <v>972</v>
      </c>
      <c r="B414" s="94" t="s">
        <v>968</v>
      </c>
      <c r="C414" s="19" t="s">
        <v>973</v>
      </c>
    </row>
    <row r="415" spans="1:4" ht="12" customHeight="1">
      <c r="A415" s="17" t="s">
        <v>974</v>
      </c>
      <c r="B415" s="94" t="s">
        <v>968</v>
      </c>
      <c r="C415" s="19" t="s">
        <v>975</v>
      </c>
    </row>
    <row r="416" spans="1:4" ht="12" customHeight="1">
      <c r="A416" s="48" t="s">
        <v>976</v>
      </c>
      <c r="B416" s="94" t="s">
        <v>968</v>
      </c>
      <c r="C416" s="50" t="s">
        <v>977</v>
      </c>
    </row>
    <row r="417" spans="1:4" ht="12" customHeight="1">
      <c r="A417" s="136" t="s">
        <v>978</v>
      </c>
      <c r="B417" s="94" t="s">
        <v>968</v>
      </c>
      <c r="C417" s="137" t="s">
        <v>979</v>
      </c>
      <c r="D417" s="15" t="e">
        <f>SUM(#REF!)</f>
        <v>#REF!</v>
      </c>
    </row>
    <row r="418" spans="1:4" ht="12" customHeight="1">
      <c r="A418" s="82" t="s">
        <v>980</v>
      </c>
      <c r="B418" s="40" t="s">
        <v>981</v>
      </c>
      <c r="C418" s="83" t="s">
        <v>982</v>
      </c>
    </row>
    <row r="419" spans="1:4" ht="12" customHeight="1">
      <c r="A419" s="82" t="s">
        <v>983</v>
      </c>
      <c r="B419" s="40" t="s">
        <v>981</v>
      </c>
      <c r="C419" s="83" t="s">
        <v>984</v>
      </c>
    </row>
    <row r="420" spans="1:4" ht="12" customHeight="1">
      <c r="A420" s="82" t="s">
        <v>985</v>
      </c>
      <c r="B420" s="40" t="s">
        <v>981</v>
      </c>
      <c r="C420" s="83" t="s">
        <v>986</v>
      </c>
    </row>
    <row r="421" spans="1:4" ht="12" customHeight="1">
      <c r="A421" s="82" t="s">
        <v>987</v>
      </c>
      <c r="B421" s="40" t="s">
        <v>981</v>
      </c>
      <c r="C421" s="83" t="s">
        <v>988</v>
      </c>
    </row>
    <row r="422" spans="1:4" ht="12" customHeight="1">
      <c r="A422" s="144" t="s">
        <v>989</v>
      </c>
      <c r="B422" s="40" t="s">
        <v>981</v>
      </c>
      <c r="C422" s="146" t="s">
        <v>990</v>
      </c>
    </row>
    <row r="423" spans="1:4" ht="12" customHeight="1">
      <c r="A423" s="144" t="s">
        <v>991</v>
      </c>
      <c r="B423" s="40" t="s">
        <v>981</v>
      </c>
      <c r="C423" s="146" t="s">
        <v>992</v>
      </c>
    </row>
    <row r="424" spans="1:4" ht="12" customHeight="1">
      <c r="A424" s="144" t="s">
        <v>993</v>
      </c>
      <c r="B424" s="40" t="s">
        <v>981</v>
      </c>
      <c r="C424" s="146" t="s">
        <v>994</v>
      </c>
    </row>
    <row r="425" spans="1:4" ht="12" customHeight="1">
      <c r="A425" s="144" t="s">
        <v>995</v>
      </c>
      <c r="B425" s="40" t="s">
        <v>981</v>
      </c>
      <c r="C425" s="146" t="s">
        <v>996</v>
      </c>
    </row>
    <row r="426" spans="1:4" ht="12" customHeight="1">
      <c r="A426" s="82" t="s">
        <v>997</v>
      </c>
      <c r="B426" s="40" t="s">
        <v>981</v>
      </c>
      <c r="C426" s="83" t="s">
        <v>998</v>
      </c>
    </row>
    <row r="427" spans="1:4" ht="12" customHeight="1">
      <c r="A427" s="82" t="s">
        <v>999</v>
      </c>
      <c r="B427" s="40" t="s">
        <v>981</v>
      </c>
      <c r="C427" s="83" t="s">
        <v>1000</v>
      </c>
    </row>
    <row r="428" spans="1:4" ht="12" customHeight="1">
      <c r="A428" s="84" t="s">
        <v>1001</v>
      </c>
      <c r="B428" s="40" t="s">
        <v>981</v>
      </c>
      <c r="C428" s="85" t="s">
        <v>1002</v>
      </c>
    </row>
    <row r="429" spans="1:4" ht="12" customHeight="1">
      <c r="A429" s="84" t="s">
        <v>1003</v>
      </c>
      <c r="B429" s="40" t="s">
        <v>981</v>
      </c>
      <c r="C429" s="85" t="s">
        <v>1004</v>
      </c>
    </row>
    <row r="430" spans="1:4" ht="12" customHeight="1">
      <c r="A430" s="82" t="s">
        <v>1005</v>
      </c>
      <c r="B430" s="40" t="s">
        <v>981</v>
      </c>
      <c r="C430" s="83" t="s">
        <v>1006</v>
      </c>
    </row>
    <row r="431" spans="1:4" ht="12" customHeight="1">
      <c r="A431" s="82" t="s">
        <v>1007</v>
      </c>
      <c r="B431" s="40" t="s">
        <v>981</v>
      </c>
      <c r="C431" s="83" t="s">
        <v>1008</v>
      </c>
    </row>
    <row r="432" spans="1:4" ht="12" customHeight="1">
      <c r="A432" s="82" t="s">
        <v>1009</v>
      </c>
      <c r="B432" s="40" t="s">
        <v>981</v>
      </c>
      <c r="C432" s="83" t="s">
        <v>1010</v>
      </c>
    </row>
    <row r="433" spans="1:4" ht="12" customHeight="1">
      <c r="A433" s="82" t="s">
        <v>1011</v>
      </c>
      <c r="B433" s="40" t="s">
        <v>981</v>
      </c>
      <c r="C433" s="83" t="s">
        <v>1012</v>
      </c>
    </row>
    <row r="434" spans="1:4" ht="12" customHeight="1">
      <c r="A434" s="84" t="s">
        <v>1013</v>
      </c>
      <c r="B434" s="40" t="s">
        <v>981</v>
      </c>
      <c r="C434" s="85" t="s">
        <v>1014</v>
      </c>
      <c r="D434" s="151" t="e">
        <f>+D439-#REF!</f>
        <v>#REF!</v>
      </c>
    </row>
    <row r="435" spans="1:4" ht="12" customHeight="1">
      <c r="A435" s="84" t="s">
        <v>1015</v>
      </c>
      <c r="B435" s="40" t="s">
        <v>981</v>
      </c>
      <c r="C435" s="85" t="s">
        <v>1016</v>
      </c>
    </row>
    <row r="436" spans="1:4" ht="12" customHeight="1">
      <c r="A436" s="158" t="s">
        <v>1017</v>
      </c>
      <c r="B436" s="40" t="s">
        <v>981</v>
      </c>
      <c r="C436" s="159" t="s">
        <v>1018</v>
      </c>
    </row>
    <row r="437" spans="1:4" ht="12" customHeight="1">
      <c r="A437" s="158" t="s">
        <v>1019</v>
      </c>
      <c r="B437" s="40" t="s">
        <v>981</v>
      </c>
      <c r="C437" s="159" t="s">
        <v>1020</v>
      </c>
    </row>
    <row r="438" spans="1:4" ht="12" customHeight="1">
      <c r="A438" s="84" t="s">
        <v>1021</v>
      </c>
      <c r="B438" s="40" t="s">
        <v>981</v>
      </c>
      <c r="C438" s="85" t="s">
        <v>1022</v>
      </c>
    </row>
    <row r="439" spans="1:4" ht="12" customHeight="1">
      <c r="A439" s="84" t="s">
        <v>1023</v>
      </c>
      <c r="B439" s="40" t="s">
        <v>981</v>
      </c>
      <c r="C439" s="85" t="s">
        <v>1024</v>
      </c>
      <c r="D439" s="15" t="e">
        <f>SUM(#REF!)</f>
        <v>#REF!</v>
      </c>
    </row>
    <row r="440" spans="1:4" ht="12" customHeight="1">
      <c r="A440" s="82" t="s">
        <v>1025</v>
      </c>
      <c r="B440" s="108" t="s">
        <v>1026</v>
      </c>
      <c r="C440" s="83" t="s">
        <v>1027</v>
      </c>
    </row>
    <row r="441" spans="1:4" ht="12" customHeight="1">
      <c r="A441" s="82" t="s">
        <v>1028</v>
      </c>
      <c r="B441" s="108" t="s">
        <v>1026</v>
      </c>
      <c r="C441" s="83" t="s">
        <v>1029</v>
      </c>
    </row>
    <row r="442" spans="1:4" ht="12" customHeight="1">
      <c r="A442" s="82" t="s">
        <v>1030</v>
      </c>
      <c r="B442" s="108" t="s">
        <v>1026</v>
      </c>
      <c r="C442" s="83" t="s">
        <v>1031</v>
      </c>
    </row>
    <row r="443" spans="1:4" ht="12" customHeight="1">
      <c r="A443" s="12" t="s">
        <v>1032</v>
      </c>
      <c r="B443" s="108" t="s">
        <v>1026</v>
      </c>
      <c r="C443" s="14" t="s">
        <v>1033</v>
      </c>
    </row>
    <row r="444" spans="1:4" ht="12" customHeight="1">
      <c r="A444" s="140" t="s">
        <v>1034</v>
      </c>
      <c r="B444" s="108" t="s">
        <v>1026</v>
      </c>
      <c r="C444" s="128" t="s">
        <v>1035</v>
      </c>
    </row>
    <row r="445" spans="1:4" ht="12" customHeight="1">
      <c r="A445" s="160" t="s">
        <v>1036</v>
      </c>
      <c r="B445" s="108" t="s">
        <v>1026</v>
      </c>
      <c r="C445" s="161" t="s">
        <v>1037</v>
      </c>
    </row>
    <row r="446" spans="1:4" ht="12" customHeight="1">
      <c r="A446" s="63" t="s">
        <v>1038</v>
      </c>
      <c r="B446" s="108" t="s">
        <v>1026</v>
      </c>
      <c r="C446" s="65" t="s">
        <v>1039</v>
      </c>
    </row>
    <row r="447" spans="1:4" ht="12" customHeight="1">
      <c r="A447" s="131" t="s">
        <v>1040</v>
      </c>
      <c r="B447" s="108" t="s">
        <v>1026</v>
      </c>
      <c r="C447" s="132" t="s">
        <v>1041</v>
      </c>
    </row>
    <row r="448" spans="1:4" ht="12" customHeight="1">
      <c r="A448" s="82" t="s">
        <v>1042</v>
      </c>
      <c r="B448" s="108" t="s">
        <v>1026</v>
      </c>
      <c r="C448" s="83" t="s">
        <v>1043</v>
      </c>
    </row>
    <row r="449" spans="1:4" ht="12" customHeight="1">
      <c r="A449" s="84" t="s">
        <v>1044</v>
      </c>
      <c r="B449" s="108" t="s">
        <v>1026</v>
      </c>
      <c r="C449" s="85" t="s">
        <v>1045</v>
      </c>
    </row>
    <row r="450" spans="1:4" ht="12" customHeight="1">
      <c r="A450" s="162" t="s">
        <v>1046</v>
      </c>
      <c r="B450" s="108" t="s">
        <v>1026</v>
      </c>
      <c r="C450" s="163" t="s">
        <v>1047</v>
      </c>
    </row>
    <row r="451" spans="1:4" ht="12" customHeight="1">
      <c r="A451" s="84" t="s">
        <v>1048</v>
      </c>
      <c r="B451" s="108" t="s">
        <v>1026</v>
      </c>
      <c r="C451" s="85" t="s">
        <v>1049</v>
      </c>
    </row>
    <row r="452" spans="1:4" ht="12" customHeight="1">
      <c r="A452" s="84" t="s">
        <v>1050</v>
      </c>
      <c r="B452" s="108" t="s">
        <v>1026</v>
      </c>
      <c r="C452" s="85" t="s">
        <v>1051</v>
      </c>
    </row>
    <row r="453" spans="1:4" ht="12" customHeight="1">
      <c r="A453" s="12" t="s">
        <v>1052</v>
      </c>
      <c r="B453" s="108" t="s">
        <v>1026</v>
      </c>
      <c r="C453" s="14" t="s">
        <v>1053</v>
      </c>
    </row>
    <row r="454" spans="1:4" ht="12" customHeight="1">
      <c r="A454" s="164" t="s">
        <v>1054</v>
      </c>
      <c r="B454" s="108" t="s">
        <v>1026</v>
      </c>
      <c r="C454" s="165" t="s">
        <v>1055</v>
      </c>
    </row>
    <row r="455" spans="1:4" ht="12" customHeight="1">
      <c r="A455" s="84" t="s">
        <v>1056</v>
      </c>
      <c r="B455" s="108" t="s">
        <v>1026</v>
      </c>
      <c r="C455" s="85" t="s">
        <v>1057</v>
      </c>
    </row>
    <row r="456" spans="1:4" ht="12" customHeight="1">
      <c r="A456" s="140" t="s">
        <v>1058</v>
      </c>
      <c r="B456" s="108" t="s">
        <v>1026</v>
      </c>
      <c r="C456" s="128" t="s">
        <v>1059</v>
      </c>
    </row>
    <row r="457" spans="1:4" ht="12" customHeight="1">
      <c r="A457" s="12" t="s">
        <v>1060</v>
      </c>
      <c r="B457" s="108" t="s">
        <v>1026</v>
      </c>
      <c r="C457" s="14" t="s">
        <v>1061</v>
      </c>
    </row>
    <row r="458" spans="1:4" ht="12" customHeight="1">
      <c r="A458" s="160" t="s">
        <v>1062</v>
      </c>
      <c r="B458" s="108" t="s">
        <v>1026</v>
      </c>
      <c r="C458" s="161" t="s">
        <v>1063</v>
      </c>
    </row>
    <row r="459" spans="1:4" ht="12" customHeight="1">
      <c r="A459" s="68" t="s">
        <v>1064</v>
      </c>
      <c r="B459" s="108" t="s">
        <v>1026</v>
      </c>
      <c r="C459" s="69" t="s">
        <v>1065</v>
      </c>
    </row>
    <row r="460" spans="1:4" ht="12" customHeight="1">
      <c r="A460" s="68" t="s">
        <v>1066</v>
      </c>
      <c r="B460" s="108" t="s">
        <v>1026</v>
      </c>
      <c r="C460" s="69" t="s">
        <v>1067</v>
      </c>
    </row>
    <row r="461" spans="1:4" ht="12" customHeight="1">
      <c r="A461" s="166" t="s">
        <v>1068</v>
      </c>
      <c r="B461" s="108" t="s">
        <v>1026</v>
      </c>
      <c r="C461" s="167" t="s">
        <v>1069</v>
      </c>
    </row>
    <row r="462" spans="1:4" ht="12" customHeight="1">
      <c r="A462" s="166" t="s">
        <v>1070</v>
      </c>
      <c r="B462" s="168" t="s">
        <v>1026</v>
      </c>
      <c r="C462" s="167" t="s">
        <v>1071</v>
      </c>
      <c r="D462" s="151" t="e">
        <f>+D472-#REF!</f>
        <v>#REF!</v>
      </c>
    </row>
    <row r="463" spans="1:4" ht="12" customHeight="1">
      <c r="A463" s="140" t="s">
        <v>1072</v>
      </c>
      <c r="B463" s="168" t="s">
        <v>1026</v>
      </c>
      <c r="C463" s="128" t="s">
        <v>1073</v>
      </c>
    </row>
    <row r="464" spans="1:4" ht="12" customHeight="1">
      <c r="A464" s="12" t="s">
        <v>1074</v>
      </c>
      <c r="B464" s="108" t="s">
        <v>1026</v>
      </c>
      <c r="C464" s="14" t="s">
        <v>1075</v>
      </c>
    </row>
    <row r="465" spans="1:4" ht="12" customHeight="1">
      <c r="A465" s="22" t="s">
        <v>1076</v>
      </c>
      <c r="B465" s="108" t="s">
        <v>1026</v>
      </c>
      <c r="C465" s="23" t="s">
        <v>1077</v>
      </c>
    </row>
    <row r="466" spans="1:4" ht="12" customHeight="1">
      <c r="A466" s="166" t="s">
        <v>1078</v>
      </c>
      <c r="B466" s="108" t="s">
        <v>1026</v>
      </c>
      <c r="C466" s="167" t="s">
        <v>1079</v>
      </c>
    </row>
    <row r="467" spans="1:4" ht="12" customHeight="1">
      <c r="A467" s="166" t="s">
        <v>1080</v>
      </c>
      <c r="B467" s="168" t="s">
        <v>1026</v>
      </c>
      <c r="C467" s="167" t="s">
        <v>1081</v>
      </c>
    </row>
    <row r="468" spans="1:4" ht="12" customHeight="1">
      <c r="A468" s="164" t="s">
        <v>1082</v>
      </c>
      <c r="B468" s="168" t="s">
        <v>1026</v>
      </c>
      <c r="C468" s="165" t="s">
        <v>1083</v>
      </c>
    </row>
    <row r="469" spans="1:4" ht="12" customHeight="1">
      <c r="A469" s="63" t="s">
        <v>1084</v>
      </c>
      <c r="B469" s="108" t="s">
        <v>1026</v>
      </c>
      <c r="C469" s="65" t="s">
        <v>1085</v>
      </c>
    </row>
    <row r="470" spans="1:4" ht="12" customHeight="1">
      <c r="A470" s="48" t="s">
        <v>1086</v>
      </c>
      <c r="B470" s="108" t="s">
        <v>1026</v>
      </c>
      <c r="C470" s="50" t="s">
        <v>1087</v>
      </c>
    </row>
    <row r="471" spans="1:4" ht="12" customHeight="1">
      <c r="A471" s="63" t="s">
        <v>1088</v>
      </c>
      <c r="B471" s="108" t="s">
        <v>1026</v>
      </c>
      <c r="C471" s="65" t="s">
        <v>1089</v>
      </c>
    </row>
    <row r="472" spans="1:4" ht="12" customHeight="1">
      <c r="A472" s="74" t="s">
        <v>1090</v>
      </c>
      <c r="B472" s="108" t="s">
        <v>1026</v>
      </c>
      <c r="C472" s="75" t="s">
        <v>1091</v>
      </c>
      <c r="D472" s="15" t="e">
        <f>SUM(#REF!)</f>
        <v>#REF!</v>
      </c>
    </row>
    <row r="473" spans="1:4" ht="12" customHeight="1">
      <c r="A473" s="71" t="s">
        <v>1092</v>
      </c>
      <c r="B473" s="155" t="s">
        <v>1093</v>
      </c>
      <c r="C473" s="72" t="s">
        <v>1094</v>
      </c>
    </row>
    <row r="474" spans="1:4" ht="12" customHeight="1">
      <c r="A474" s="12" t="s">
        <v>1095</v>
      </c>
      <c r="B474" s="155" t="s">
        <v>1093</v>
      </c>
      <c r="C474" s="14" t="s">
        <v>1096</v>
      </c>
    </row>
    <row r="475" spans="1:4" ht="12" customHeight="1">
      <c r="A475" s="12" t="s">
        <v>1097</v>
      </c>
      <c r="B475" s="155" t="s">
        <v>1093</v>
      </c>
      <c r="C475" s="14" t="s">
        <v>1098</v>
      </c>
    </row>
    <row r="476" spans="1:4" ht="12" customHeight="1">
      <c r="A476" s="12" t="s">
        <v>1099</v>
      </c>
      <c r="B476" s="155" t="s">
        <v>1093</v>
      </c>
      <c r="C476" s="14" t="s">
        <v>1100</v>
      </c>
    </row>
    <row r="477" spans="1:4" ht="12" customHeight="1">
      <c r="A477" s="12" t="s">
        <v>1101</v>
      </c>
      <c r="B477" s="155" t="s">
        <v>1093</v>
      </c>
      <c r="C477" s="14" t="s">
        <v>1102</v>
      </c>
    </row>
    <row r="478" spans="1:4" ht="12" customHeight="1">
      <c r="A478" s="22" t="s">
        <v>1103</v>
      </c>
      <c r="B478" s="155" t="s">
        <v>1093</v>
      </c>
      <c r="C478" s="23" t="s">
        <v>1104</v>
      </c>
    </row>
    <row r="479" spans="1:4" ht="12" customHeight="1">
      <c r="A479" s="22" t="s">
        <v>1105</v>
      </c>
      <c r="B479" s="155" t="s">
        <v>1093</v>
      </c>
      <c r="C479" s="23" t="s">
        <v>1106</v>
      </c>
    </row>
    <row r="480" spans="1:4" ht="12" customHeight="1">
      <c r="A480" s="169" t="s">
        <v>1107</v>
      </c>
      <c r="B480" s="155" t="s">
        <v>1093</v>
      </c>
      <c r="C480" s="170" t="s">
        <v>1108</v>
      </c>
    </row>
    <row r="481" spans="1:3" ht="12" customHeight="1">
      <c r="A481" s="169" t="s">
        <v>1109</v>
      </c>
      <c r="B481" s="155" t="s">
        <v>1093</v>
      </c>
      <c r="C481" s="170" t="s">
        <v>1110</v>
      </c>
    </row>
    <row r="482" spans="1:3" ht="12" customHeight="1">
      <c r="A482" s="169" t="s">
        <v>1111</v>
      </c>
      <c r="B482" s="155" t="s">
        <v>1093</v>
      </c>
      <c r="C482" s="170" t="s">
        <v>1112</v>
      </c>
    </row>
    <row r="483" spans="1:3" ht="12" customHeight="1">
      <c r="A483" s="169" t="s">
        <v>1113</v>
      </c>
      <c r="B483" s="155" t="s">
        <v>1093</v>
      </c>
      <c r="C483" s="170" t="s">
        <v>1114</v>
      </c>
    </row>
    <row r="484" spans="1:3" ht="12" customHeight="1">
      <c r="A484" s="84" t="s">
        <v>1115</v>
      </c>
      <c r="B484" s="155" t="s">
        <v>1093</v>
      </c>
      <c r="C484" s="85" t="s">
        <v>1116</v>
      </c>
    </row>
    <row r="485" spans="1:3" ht="12" customHeight="1">
      <c r="A485" s="84" t="s">
        <v>1117</v>
      </c>
      <c r="B485" s="155" t="s">
        <v>1093</v>
      </c>
      <c r="C485" s="85" t="s">
        <v>1118</v>
      </c>
    </row>
    <row r="486" spans="1:3" ht="12" customHeight="1">
      <c r="A486" s="169" t="s">
        <v>1119</v>
      </c>
      <c r="B486" s="155" t="s">
        <v>1093</v>
      </c>
      <c r="C486" s="170" t="s">
        <v>1120</v>
      </c>
    </row>
    <row r="487" spans="1:3" ht="12" customHeight="1">
      <c r="A487" s="84" t="s">
        <v>1121</v>
      </c>
      <c r="B487" s="155" t="s">
        <v>1093</v>
      </c>
      <c r="C487" s="85" t="s">
        <v>1122</v>
      </c>
    </row>
    <row r="488" spans="1:3" ht="12" customHeight="1">
      <c r="A488" s="136" t="s">
        <v>1123</v>
      </c>
      <c r="B488" s="155" t="s">
        <v>1093</v>
      </c>
      <c r="C488" s="137" t="s">
        <v>1124</v>
      </c>
    </row>
    <row r="489" spans="1:3" ht="12" customHeight="1">
      <c r="A489" s="12" t="s">
        <v>1125</v>
      </c>
      <c r="B489" s="155" t="s">
        <v>1093</v>
      </c>
      <c r="C489" s="14" t="s">
        <v>1126</v>
      </c>
    </row>
    <row r="490" spans="1:3" ht="12" customHeight="1">
      <c r="A490" s="164" t="s">
        <v>1127</v>
      </c>
      <c r="B490" s="155" t="s">
        <v>1093</v>
      </c>
      <c r="C490" s="165" t="s">
        <v>1128</v>
      </c>
    </row>
    <row r="491" spans="1:3" ht="12" customHeight="1">
      <c r="A491" s="171" t="s">
        <v>1129</v>
      </c>
      <c r="B491" s="155" t="s">
        <v>1093</v>
      </c>
      <c r="C491" s="172" t="s">
        <v>1130</v>
      </c>
    </row>
    <row r="492" spans="1:3" ht="12" customHeight="1">
      <c r="A492" s="171" t="s">
        <v>1131</v>
      </c>
      <c r="B492" s="155" t="s">
        <v>1093</v>
      </c>
      <c r="C492" s="172" t="s">
        <v>1132</v>
      </c>
    </row>
    <row r="493" spans="1:3" ht="12" customHeight="1">
      <c r="A493" s="84" t="s">
        <v>1133</v>
      </c>
      <c r="B493" s="155" t="s">
        <v>1093</v>
      </c>
      <c r="C493" s="85" t="s">
        <v>1134</v>
      </c>
    </row>
    <row r="494" spans="1:3" ht="12" customHeight="1">
      <c r="A494" s="84" t="s">
        <v>1135</v>
      </c>
      <c r="B494" s="155" t="s">
        <v>1093</v>
      </c>
      <c r="C494" s="85" t="s">
        <v>1136</v>
      </c>
    </row>
    <row r="495" spans="1:3" ht="12" customHeight="1">
      <c r="A495" s="17" t="s">
        <v>1137</v>
      </c>
      <c r="B495" s="155" t="s">
        <v>1093</v>
      </c>
      <c r="C495" s="19" t="s">
        <v>1138</v>
      </c>
    </row>
    <row r="496" spans="1:3" ht="12" customHeight="1">
      <c r="A496" s="59" t="s">
        <v>1139</v>
      </c>
      <c r="B496" s="155" t="s">
        <v>1093</v>
      </c>
      <c r="C496" s="60" t="s">
        <v>1140</v>
      </c>
    </row>
    <row r="497" spans="1:4" ht="12" customHeight="1">
      <c r="A497" s="59" t="s">
        <v>1141</v>
      </c>
      <c r="B497" s="155" t="s">
        <v>1093</v>
      </c>
      <c r="C497" s="60" t="s">
        <v>1142</v>
      </c>
    </row>
    <row r="498" spans="1:4" ht="12" customHeight="1">
      <c r="A498" s="12" t="s">
        <v>1143</v>
      </c>
      <c r="B498" s="155" t="s">
        <v>1093</v>
      </c>
      <c r="C498" s="14" t="s">
        <v>1144</v>
      </c>
    </row>
    <row r="499" spans="1:4" ht="12" customHeight="1">
      <c r="A499" s="12" t="s">
        <v>1145</v>
      </c>
      <c r="B499" s="155" t="s">
        <v>1093</v>
      </c>
      <c r="C499" s="14" t="s">
        <v>1146</v>
      </c>
    </row>
    <row r="500" spans="1:4" ht="12" customHeight="1">
      <c r="A500" s="17" t="s">
        <v>1147</v>
      </c>
      <c r="B500" s="155" t="s">
        <v>1093</v>
      </c>
      <c r="C500" s="19" t="s">
        <v>1148</v>
      </c>
    </row>
    <row r="501" spans="1:4" ht="12" customHeight="1">
      <c r="A501" s="84" t="s">
        <v>1149</v>
      </c>
      <c r="B501" s="155" t="s">
        <v>1093</v>
      </c>
      <c r="C501" s="85" t="s">
        <v>1150</v>
      </c>
    </row>
    <row r="502" spans="1:4" ht="12" customHeight="1">
      <c r="A502" s="48" t="s">
        <v>1151</v>
      </c>
      <c r="B502" s="155" t="s">
        <v>1093</v>
      </c>
      <c r="C502" s="50" t="s">
        <v>1152</v>
      </c>
    </row>
    <row r="503" spans="1:4" ht="12" customHeight="1">
      <c r="A503" s="48" t="s">
        <v>1153</v>
      </c>
      <c r="B503" s="155" t="s">
        <v>1093</v>
      </c>
      <c r="C503" s="50" t="s">
        <v>1154</v>
      </c>
    </row>
    <row r="504" spans="1:4" ht="12" customHeight="1">
      <c r="A504" s="76" t="s">
        <v>1155</v>
      </c>
      <c r="B504" s="155" t="s">
        <v>1093</v>
      </c>
      <c r="C504" s="78" t="s">
        <v>1156</v>
      </c>
      <c r="D504" s="151" t="e">
        <f>+D514-#REF!</f>
        <v>#REF!</v>
      </c>
    </row>
    <row r="505" spans="1:4" ht="12" customHeight="1">
      <c r="A505" s="33" t="s">
        <v>1157</v>
      </c>
      <c r="B505" s="173" t="s">
        <v>1093</v>
      </c>
      <c r="C505" s="35" t="s">
        <v>1158</v>
      </c>
    </row>
    <row r="506" spans="1:4" ht="12" customHeight="1">
      <c r="A506" s="138" t="s">
        <v>1159</v>
      </c>
      <c r="B506" s="155" t="s">
        <v>1093</v>
      </c>
      <c r="C506" s="139" t="s">
        <v>1160</v>
      </c>
    </row>
    <row r="507" spans="1:4" ht="12" customHeight="1">
      <c r="A507" s="138" t="s">
        <v>1161</v>
      </c>
      <c r="B507" s="155" t="s">
        <v>1093</v>
      </c>
      <c r="C507" s="139" t="s">
        <v>1162</v>
      </c>
    </row>
    <row r="508" spans="1:4" ht="12" customHeight="1">
      <c r="A508" s="84" t="s">
        <v>1163</v>
      </c>
      <c r="B508" s="155" t="s">
        <v>1093</v>
      </c>
      <c r="C508" s="85" t="s">
        <v>1164</v>
      </c>
    </row>
    <row r="509" spans="1:4" ht="12" customHeight="1">
      <c r="A509" s="84" t="s">
        <v>1165</v>
      </c>
      <c r="B509" s="155" t="s">
        <v>1093</v>
      </c>
      <c r="C509" s="85" t="s">
        <v>1166</v>
      </c>
    </row>
    <row r="510" spans="1:4" ht="12" customHeight="1">
      <c r="A510" s="12" t="s">
        <v>1167</v>
      </c>
      <c r="B510" s="155" t="s">
        <v>1093</v>
      </c>
      <c r="C510" s="14" t="s">
        <v>1168</v>
      </c>
    </row>
    <row r="511" spans="1:4" ht="12" customHeight="1">
      <c r="A511" s="138" t="s">
        <v>1169</v>
      </c>
      <c r="B511" s="155" t="s">
        <v>1093</v>
      </c>
      <c r="C511" s="139" t="s">
        <v>1170</v>
      </c>
    </row>
    <row r="512" spans="1:4" ht="12" customHeight="1">
      <c r="A512" s="76" t="s">
        <v>1171</v>
      </c>
      <c r="B512" s="155" t="s">
        <v>1093</v>
      </c>
      <c r="C512" s="139" t="s">
        <v>1172</v>
      </c>
    </row>
    <row r="513" spans="1:4" ht="12" customHeight="1">
      <c r="A513" s="84" t="s">
        <v>1173</v>
      </c>
      <c r="B513" s="155" t="s">
        <v>1093</v>
      </c>
      <c r="C513" s="85" t="s">
        <v>1174</v>
      </c>
    </row>
    <row r="514" spans="1:4" ht="12" customHeight="1">
      <c r="A514" s="48" t="s">
        <v>1175</v>
      </c>
      <c r="B514" s="155" t="s">
        <v>1093</v>
      </c>
      <c r="C514" s="50" t="s">
        <v>1176</v>
      </c>
      <c r="D514" s="15" t="e">
        <f>SUM(#REF!)</f>
        <v>#REF!</v>
      </c>
    </row>
    <row r="515" spans="1:4" ht="12" customHeight="1">
      <c r="A515" s="12" t="s">
        <v>1177</v>
      </c>
      <c r="B515" s="13" t="s">
        <v>1178</v>
      </c>
      <c r="C515" s="14" t="s">
        <v>1179</v>
      </c>
    </row>
    <row r="516" spans="1:4" ht="12" customHeight="1">
      <c r="A516" s="12" t="s">
        <v>1180</v>
      </c>
      <c r="B516" s="13" t="s">
        <v>1181</v>
      </c>
      <c r="C516" s="14" t="s">
        <v>1182</v>
      </c>
    </row>
    <row r="517" spans="1:4" ht="12" customHeight="1">
      <c r="A517" s="12" t="s">
        <v>1183</v>
      </c>
      <c r="B517" s="13" t="s">
        <v>1184</v>
      </c>
      <c r="C517" s="14" t="s">
        <v>1185</v>
      </c>
    </row>
    <row r="518" spans="1:4" ht="12" customHeight="1">
      <c r="A518" s="26" t="s">
        <v>1186</v>
      </c>
      <c r="B518" s="174">
        <v>4302010101</v>
      </c>
      <c r="C518" s="27" t="s">
        <v>1187</v>
      </c>
      <c r="D518" s="15" t="e">
        <f>+#REF!</f>
        <v>#REF!</v>
      </c>
    </row>
    <row r="519" spans="1:4" ht="12" customHeight="1">
      <c r="A519" s="171" t="s">
        <v>1188</v>
      </c>
      <c r="B519" s="36" t="s">
        <v>1189</v>
      </c>
      <c r="C519" s="172" t="s">
        <v>1190</v>
      </c>
      <c r="D519" s="15" t="e">
        <f>+#REF!</f>
        <v>#REF!</v>
      </c>
    </row>
    <row r="520" spans="1:4" ht="12" customHeight="1">
      <c r="A520" s="131" t="s">
        <v>1191</v>
      </c>
      <c r="B520" s="70" t="s">
        <v>1192</v>
      </c>
      <c r="C520" s="132" t="s">
        <v>1193</v>
      </c>
      <c r="D520" s="15" t="e">
        <f>SUM(#REF!)</f>
        <v>#REF!</v>
      </c>
    </row>
    <row r="521" spans="1:4" ht="12" customHeight="1">
      <c r="A521" s="12" t="s">
        <v>1194</v>
      </c>
      <c r="B521" s="13" t="s">
        <v>1195</v>
      </c>
      <c r="C521" s="14" t="s">
        <v>1196</v>
      </c>
    </row>
    <row r="522" spans="1:4" ht="12" customHeight="1">
      <c r="A522" s="122" t="s">
        <v>1197</v>
      </c>
      <c r="B522" s="175" t="s">
        <v>1198</v>
      </c>
      <c r="C522" s="123" t="s">
        <v>1199</v>
      </c>
      <c r="D522" s="15" t="e">
        <f>+#REF!</f>
        <v>#REF!</v>
      </c>
    </row>
    <row r="523" spans="1:4" ht="12" customHeight="1">
      <c r="A523" s="127" t="s">
        <v>1200</v>
      </c>
      <c r="B523" s="18" t="s">
        <v>1201</v>
      </c>
      <c r="C523" s="176" t="s">
        <v>1202</v>
      </c>
    </row>
    <row r="524" spans="1:4" ht="12" customHeight="1">
      <c r="A524" s="177" t="s">
        <v>1203</v>
      </c>
      <c r="B524" s="18" t="s">
        <v>1201</v>
      </c>
      <c r="C524" s="178" t="s">
        <v>1204</v>
      </c>
      <c r="D524" s="15" t="e">
        <f>SUM(#REF!)</f>
        <v>#REF!</v>
      </c>
    </row>
    <row r="525" spans="1:4" ht="12" customHeight="1">
      <c r="A525" s="12" t="s">
        <v>1205</v>
      </c>
      <c r="B525" s="108" t="s">
        <v>1206</v>
      </c>
      <c r="C525" s="14" t="s">
        <v>1207</v>
      </c>
    </row>
    <row r="526" spans="1:4" ht="12" customHeight="1">
      <c r="A526" s="171" t="s">
        <v>1208</v>
      </c>
      <c r="B526" s="90" t="s">
        <v>1209</v>
      </c>
      <c r="C526" s="172" t="s">
        <v>1210</v>
      </c>
      <c r="D526" s="15" t="e">
        <f>+#REF!</f>
        <v>#REF!</v>
      </c>
    </row>
    <row r="527" spans="1:4" ht="12" customHeight="1">
      <c r="A527" s="12" t="s">
        <v>1211</v>
      </c>
      <c r="B527" s="13" t="s">
        <v>1212</v>
      </c>
      <c r="C527" s="14" t="s">
        <v>945</v>
      </c>
    </row>
    <row r="528" spans="1:4" ht="12" customHeight="1">
      <c r="A528" s="76" t="s">
        <v>1213</v>
      </c>
      <c r="B528" s="64" t="s">
        <v>1214</v>
      </c>
      <c r="C528" s="78" t="s">
        <v>948</v>
      </c>
    </row>
    <row r="529" spans="1:3" ht="12" customHeight="1">
      <c r="A529" s="12" t="s">
        <v>1215</v>
      </c>
      <c r="B529" s="64" t="s">
        <v>1214</v>
      </c>
      <c r="C529" s="14" t="s">
        <v>1216</v>
      </c>
    </row>
    <row r="530" spans="1:3" ht="12" customHeight="1">
      <c r="A530" s="71" t="s">
        <v>1217</v>
      </c>
      <c r="B530" s="87" t="s">
        <v>1218</v>
      </c>
      <c r="C530" s="72" t="s">
        <v>1219</v>
      </c>
    </row>
    <row r="531" spans="1:3" ht="12" customHeight="1">
      <c r="A531" s="71" t="s">
        <v>1220</v>
      </c>
      <c r="B531" s="99" t="s">
        <v>1221</v>
      </c>
      <c r="C531" s="72" t="s">
        <v>1222</v>
      </c>
    </row>
    <row r="532" spans="1:3" ht="12" customHeight="1">
      <c r="A532" s="71" t="s">
        <v>1223</v>
      </c>
      <c r="B532" s="117" t="s">
        <v>1224</v>
      </c>
      <c r="C532" s="72" t="s">
        <v>1225</v>
      </c>
    </row>
    <row r="533" spans="1:3" ht="12" customHeight="1">
      <c r="A533" s="48" t="s">
        <v>1226</v>
      </c>
      <c r="B533" s="49" t="s">
        <v>1227</v>
      </c>
      <c r="C533" s="50" t="s">
        <v>1228</v>
      </c>
    </row>
    <row r="534" spans="1:3" ht="12" customHeight="1">
      <c r="A534" s="12" t="s">
        <v>1229</v>
      </c>
      <c r="B534" s="13" t="s">
        <v>1230</v>
      </c>
      <c r="C534" s="14" t="s">
        <v>1231</v>
      </c>
    </row>
    <row r="535" spans="1:3" ht="12" customHeight="1">
      <c r="A535" s="71" t="s">
        <v>1232</v>
      </c>
      <c r="B535" s="117" t="s">
        <v>1233</v>
      </c>
      <c r="C535" s="72" t="s">
        <v>1234</v>
      </c>
    </row>
    <row r="536" spans="1:3" ht="12" customHeight="1">
      <c r="A536" s="76" t="s">
        <v>1235</v>
      </c>
      <c r="B536" s="13" t="s">
        <v>1236</v>
      </c>
      <c r="C536" s="78" t="s">
        <v>1237</v>
      </c>
    </row>
    <row r="537" spans="1:3" ht="12" customHeight="1">
      <c r="A537" s="22" t="s">
        <v>1238</v>
      </c>
      <c r="B537" s="58" t="s">
        <v>1239</v>
      </c>
      <c r="C537" s="23" t="s">
        <v>1240</v>
      </c>
    </row>
    <row r="538" spans="1:3" ht="12" customHeight="1">
      <c r="A538" s="84" t="s">
        <v>1241</v>
      </c>
      <c r="B538" s="64" t="s">
        <v>1242</v>
      </c>
      <c r="C538" s="85" t="s">
        <v>1243</v>
      </c>
    </row>
    <row r="539" spans="1:3" ht="12" customHeight="1">
      <c r="A539" s="12" t="s">
        <v>1244</v>
      </c>
      <c r="B539" s="13" t="s">
        <v>1245</v>
      </c>
      <c r="C539" s="14" t="s">
        <v>1246</v>
      </c>
    </row>
    <row r="540" spans="1:3" ht="12" customHeight="1">
      <c r="A540" s="12" t="s">
        <v>1247</v>
      </c>
      <c r="B540" s="13" t="s">
        <v>1248</v>
      </c>
      <c r="C540" s="14" t="s">
        <v>1249</v>
      </c>
    </row>
    <row r="541" spans="1:3" ht="12" customHeight="1">
      <c r="A541" s="12" t="s">
        <v>1250</v>
      </c>
      <c r="B541" s="13" t="s">
        <v>1251</v>
      </c>
      <c r="C541" s="14" t="s">
        <v>1252</v>
      </c>
    </row>
    <row r="542" spans="1:3" ht="12" customHeight="1">
      <c r="A542" s="12" t="s">
        <v>1253</v>
      </c>
      <c r="B542" s="13" t="s">
        <v>1254</v>
      </c>
      <c r="C542" s="14" t="s">
        <v>1255</v>
      </c>
    </row>
    <row r="543" spans="1:3" ht="12" customHeight="1">
      <c r="A543" s="68" t="s">
        <v>1256</v>
      </c>
      <c r="B543" s="13" t="s">
        <v>1257</v>
      </c>
      <c r="C543" s="69" t="s">
        <v>1258</v>
      </c>
    </row>
    <row r="544" spans="1:3" ht="12" customHeight="1">
      <c r="A544" s="91" t="s">
        <v>1259</v>
      </c>
      <c r="B544" s="92">
        <v>4308010121</v>
      </c>
      <c r="C544" s="93" t="s">
        <v>1260</v>
      </c>
    </row>
    <row r="545" spans="1:4" ht="12" customHeight="1">
      <c r="A545" s="12" t="s">
        <v>1261</v>
      </c>
      <c r="B545" s="13" t="s">
        <v>1262</v>
      </c>
      <c r="C545" s="14" t="s">
        <v>1263</v>
      </c>
    </row>
    <row r="546" spans="1:4" ht="12" customHeight="1">
      <c r="A546" s="84" t="s">
        <v>1264</v>
      </c>
      <c r="B546" s="64" t="s">
        <v>1265</v>
      </c>
      <c r="C546" s="85" t="s">
        <v>1266</v>
      </c>
      <c r="D546" s="15" t="e">
        <f>+#REF!</f>
        <v>#REF!</v>
      </c>
    </row>
    <row r="547" spans="1:4" ht="12" customHeight="1">
      <c r="A547" s="12" t="s">
        <v>1267</v>
      </c>
      <c r="B547" s="81" t="s">
        <v>1268</v>
      </c>
      <c r="C547" s="14" t="s">
        <v>1269</v>
      </c>
    </row>
    <row r="548" spans="1:4" ht="12" customHeight="1">
      <c r="A548" s="12" t="s">
        <v>1270</v>
      </c>
      <c r="B548" s="81" t="s">
        <v>1268</v>
      </c>
      <c r="C548" s="14" t="s">
        <v>1271</v>
      </c>
    </row>
    <row r="549" spans="1:4" ht="12" customHeight="1">
      <c r="A549" s="12" t="s">
        <v>1272</v>
      </c>
      <c r="B549" s="81" t="s">
        <v>1268</v>
      </c>
      <c r="C549" s="14" t="s">
        <v>1273</v>
      </c>
    </row>
    <row r="550" spans="1:4" ht="12" customHeight="1">
      <c r="A550" s="171" t="s">
        <v>1274</v>
      </c>
      <c r="B550" s="81" t="s">
        <v>1268</v>
      </c>
      <c r="C550" s="172" t="s">
        <v>1275</v>
      </c>
    </row>
    <row r="551" spans="1:4" ht="12" customHeight="1">
      <c r="A551" s="12" t="s">
        <v>1276</v>
      </c>
      <c r="B551" s="81" t="s">
        <v>1268</v>
      </c>
      <c r="C551" s="14" t="s">
        <v>1277</v>
      </c>
    </row>
    <row r="552" spans="1:4" ht="12" customHeight="1">
      <c r="A552" s="76" t="s">
        <v>1278</v>
      </c>
      <c r="B552" s="81" t="s">
        <v>1268</v>
      </c>
      <c r="C552" s="172" t="s">
        <v>1279</v>
      </c>
    </row>
    <row r="553" spans="1:4" ht="12" customHeight="1">
      <c r="A553" s="12" t="s">
        <v>1280</v>
      </c>
      <c r="B553" s="81" t="s">
        <v>1268</v>
      </c>
      <c r="C553" s="14" t="s">
        <v>1281</v>
      </c>
    </row>
    <row r="554" spans="1:4" ht="12" customHeight="1">
      <c r="A554" s="12" t="s">
        <v>1282</v>
      </c>
      <c r="B554" s="81" t="s">
        <v>1268</v>
      </c>
      <c r="C554" s="14" t="s">
        <v>1283</v>
      </c>
    </row>
    <row r="555" spans="1:4" ht="12" customHeight="1">
      <c r="A555" s="12" t="s">
        <v>1284</v>
      </c>
      <c r="B555" s="81" t="s">
        <v>1268</v>
      </c>
      <c r="C555" s="14" t="s">
        <v>1285</v>
      </c>
    </row>
    <row r="556" spans="1:4" ht="12" customHeight="1">
      <c r="A556" s="63" t="s">
        <v>1286</v>
      </c>
      <c r="B556" s="81" t="s">
        <v>1268</v>
      </c>
      <c r="C556" s="65" t="s">
        <v>1287</v>
      </c>
    </row>
    <row r="557" spans="1:4" ht="12" customHeight="1">
      <c r="A557" s="171" t="s">
        <v>1288</v>
      </c>
      <c r="B557" s="81" t="s">
        <v>1268</v>
      </c>
      <c r="C557" s="172" t="s">
        <v>1289</v>
      </c>
    </row>
    <row r="558" spans="1:4" ht="12" customHeight="1">
      <c r="A558" s="71" t="s">
        <v>1290</v>
      </c>
      <c r="B558" s="81" t="s">
        <v>1268</v>
      </c>
      <c r="C558" s="72" t="s">
        <v>1291</v>
      </c>
    </row>
    <row r="559" spans="1:4" ht="12" customHeight="1">
      <c r="A559" s="12" t="s">
        <v>1292</v>
      </c>
      <c r="B559" s="81" t="s">
        <v>1268</v>
      </c>
      <c r="C559" s="14" t="s">
        <v>1293</v>
      </c>
    </row>
    <row r="560" spans="1:4" ht="12" customHeight="1">
      <c r="A560" s="76" t="s">
        <v>1294</v>
      </c>
      <c r="B560" s="81" t="s">
        <v>1268</v>
      </c>
      <c r="C560" s="50" t="s">
        <v>1295</v>
      </c>
    </row>
    <row r="561" spans="1:4" ht="12" customHeight="1">
      <c r="A561" s="12" t="s">
        <v>1296</v>
      </c>
      <c r="B561" s="81" t="s">
        <v>1268</v>
      </c>
      <c r="C561" s="14" t="s">
        <v>1297</v>
      </c>
    </row>
    <row r="562" spans="1:4" ht="12" customHeight="1">
      <c r="A562" s="22" t="s">
        <v>1298</v>
      </c>
      <c r="B562" s="81" t="s">
        <v>1268</v>
      </c>
      <c r="C562" s="23" t="s">
        <v>1299</v>
      </c>
    </row>
    <row r="563" spans="1:4" ht="12" customHeight="1">
      <c r="A563" s="91" t="s">
        <v>1300</v>
      </c>
      <c r="B563" s="81" t="s">
        <v>1268</v>
      </c>
      <c r="C563" s="179" t="s">
        <v>1301</v>
      </c>
    </row>
    <row r="564" spans="1:4" ht="12" customHeight="1">
      <c r="A564" s="171" t="s">
        <v>1302</v>
      </c>
      <c r="B564" s="81" t="s">
        <v>1268</v>
      </c>
      <c r="C564" s="172" t="s">
        <v>1303</v>
      </c>
      <c r="D564" s="15" t="e">
        <f>SUM(#REF!)</f>
        <v>#REF!</v>
      </c>
    </row>
    <row r="565" spans="1:4" ht="12" customHeight="1">
      <c r="A565" s="171" t="s">
        <v>1304</v>
      </c>
      <c r="B565" s="180" t="s">
        <v>1305</v>
      </c>
      <c r="C565" s="172" t="s">
        <v>1306</v>
      </c>
    </row>
    <row r="566" spans="1:4" ht="12" customHeight="1">
      <c r="A566" s="171" t="s">
        <v>1307</v>
      </c>
      <c r="B566" s="180" t="s">
        <v>1305</v>
      </c>
      <c r="C566" s="172" t="s">
        <v>1308</v>
      </c>
    </row>
    <row r="567" spans="1:4" ht="12" customHeight="1">
      <c r="A567" s="12" t="s">
        <v>1309</v>
      </c>
      <c r="B567" s="36" t="s">
        <v>1310</v>
      </c>
      <c r="C567" s="14" t="s">
        <v>1311</v>
      </c>
    </row>
    <row r="568" spans="1:4" ht="12" customHeight="1">
      <c r="A568" s="171" t="s">
        <v>1312</v>
      </c>
      <c r="B568" s="36" t="s">
        <v>1310</v>
      </c>
      <c r="C568" s="172" t="s">
        <v>1313</v>
      </c>
    </row>
    <row r="569" spans="1:4" ht="12" customHeight="1">
      <c r="A569" s="12" t="s">
        <v>1314</v>
      </c>
      <c r="B569" s="36" t="s">
        <v>1310</v>
      </c>
      <c r="C569" s="14" t="s">
        <v>1315</v>
      </c>
    </row>
    <row r="570" spans="1:4" ht="12" customHeight="1">
      <c r="A570" s="71" t="s">
        <v>1316</v>
      </c>
      <c r="B570" s="117" t="s">
        <v>1317</v>
      </c>
      <c r="C570" s="72" t="s">
        <v>1318</v>
      </c>
    </row>
    <row r="571" spans="1:4" ht="12" customHeight="1">
      <c r="A571" s="171" t="s">
        <v>1319</v>
      </c>
      <c r="B571" s="64" t="s">
        <v>1320</v>
      </c>
      <c r="C571" s="83" t="s">
        <v>1321</v>
      </c>
    </row>
    <row r="572" spans="1:4" ht="12" customHeight="1">
      <c r="A572" s="171" t="s">
        <v>1322</v>
      </c>
      <c r="B572" s="64" t="s">
        <v>1320</v>
      </c>
      <c r="C572" s="83" t="s">
        <v>1323</v>
      </c>
    </row>
    <row r="573" spans="1:4" ht="12" customHeight="1">
      <c r="A573" s="171" t="s">
        <v>1324</v>
      </c>
      <c r="B573" s="64" t="s">
        <v>1320</v>
      </c>
      <c r="C573" s="172" t="s">
        <v>1325</v>
      </c>
    </row>
    <row r="574" spans="1:4" ht="12" customHeight="1">
      <c r="A574" s="171" t="s">
        <v>1326</v>
      </c>
      <c r="B574" s="64" t="s">
        <v>1320</v>
      </c>
      <c r="C574" s="172" t="s">
        <v>1327</v>
      </c>
    </row>
    <row r="575" spans="1:4" ht="12" customHeight="1">
      <c r="A575" s="171" t="s">
        <v>1328</v>
      </c>
      <c r="B575" s="106" t="s">
        <v>1329</v>
      </c>
      <c r="C575" s="172" t="s">
        <v>1330</v>
      </c>
    </row>
    <row r="576" spans="1:4" ht="12" customHeight="1">
      <c r="A576" s="171" t="s">
        <v>1331</v>
      </c>
      <c r="B576" s="106" t="s">
        <v>1329</v>
      </c>
      <c r="C576" s="172" t="s">
        <v>1332</v>
      </c>
    </row>
    <row r="577" spans="1:3" ht="12" customHeight="1">
      <c r="A577" s="171" t="s">
        <v>1333</v>
      </c>
      <c r="B577" s="106" t="s">
        <v>1329</v>
      </c>
      <c r="C577" s="172" t="s">
        <v>1334</v>
      </c>
    </row>
    <row r="578" spans="1:3" ht="12" customHeight="1">
      <c r="A578" s="171" t="s">
        <v>1335</v>
      </c>
      <c r="B578" s="106" t="s">
        <v>1329</v>
      </c>
      <c r="C578" s="172" t="s">
        <v>1336</v>
      </c>
    </row>
    <row r="579" spans="1:3" ht="12" customHeight="1">
      <c r="A579" s="171" t="s">
        <v>1337</v>
      </c>
      <c r="B579" s="106" t="s">
        <v>1329</v>
      </c>
      <c r="C579" s="172" t="s">
        <v>1338</v>
      </c>
    </row>
    <row r="580" spans="1:3" ht="12" customHeight="1">
      <c r="A580" s="171" t="s">
        <v>1339</v>
      </c>
      <c r="B580" s="106" t="s">
        <v>1329</v>
      </c>
      <c r="C580" s="172" t="s">
        <v>1340</v>
      </c>
    </row>
    <row r="581" spans="1:3" ht="12" customHeight="1">
      <c r="A581" s="12" t="s">
        <v>1341</v>
      </c>
      <c r="B581" s="106" t="s">
        <v>1329</v>
      </c>
      <c r="C581" s="14" t="s">
        <v>1342</v>
      </c>
    </row>
    <row r="582" spans="1:3" ht="12" customHeight="1">
      <c r="A582" s="12" t="s">
        <v>1343</v>
      </c>
      <c r="B582" s="106" t="s">
        <v>1329</v>
      </c>
      <c r="C582" s="14" t="s">
        <v>1344</v>
      </c>
    </row>
    <row r="583" spans="1:3" ht="12" customHeight="1">
      <c r="A583" s="71" t="s">
        <v>1345</v>
      </c>
      <c r="B583" s="70" t="s">
        <v>1346</v>
      </c>
      <c r="C583" s="72" t="s">
        <v>1347</v>
      </c>
    </row>
    <row r="584" spans="1:3" ht="12" customHeight="1">
      <c r="A584" s="71" t="s">
        <v>1348</v>
      </c>
      <c r="B584" s="70" t="s">
        <v>1346</v>
      </c>
      <c r="C584" s="72" t="s">
        <v>1349</v>
      </c>
    </row>
    <row r="585" spans="1:3" ht="12" customHeight="1">
      <c r="A585" s="82" t="s">
        <v>1350</v>
      </c>
      <c r="B585" s="142" t="s">
        <v>1351</v>
      </c>
      <c r="C585" s="83" t="s">
        <v>1352</v>
      </c>
    </row>
    <row r="586" spans="1:3" ht="12" customHeight="1">
      <c r="A586" s="82" t="s">
        <v>1353</v>
      </c>
      <c r="B586" s="142" t="s">
        <v>1351</v>
      </c>
      <c r="C586" s="172" t="s">
        <v>1354</v>
      </c>
    </row>
    <row r="587" spans="1:3" ht="12" customHeight="1">
      <c r="A587" s="181" t="s">
        <v>1355</v>
      </c>
      <c r="B587" s="142" t="s">
        <v>1351</v>
      </c>
      <c r="C587" s="182" t="s">
        <v>1356</v>
      </c>
    </row>
    <row r="588" spans="1:3" ht="12" customHeight="1">
      <c r="A588" s="181" t="s">
        <v>1357</v>
      </c>
      <c r="B588" s="142" t="s">
        <v>1351</v>
      </c>
      <c r="C588" s="182" t="s">
        <v>1358</v>
      </c>
    </row>
    <row r="589" spans="1:3" ht="12" customHeight="1">
      <c r="A589" s="183" t="s">
        <v>1359</v>
      </c>
      <c r="B589" s="142" t="s">
        <v>1351</v>
      </c>
      <c r="C589" s="184" t="s">
        <v>1360</v>
      </c>
    </row>
    <row r="590" spans="1:3" ht="12" customHeight="1">
      <c r="A590" s="183" t="s">
        <v>1361</v>
      </c>
      <c r="B590" s="142" t="s">
        <v>1351</v>
      </c>
      <c r="C590" s="184" t="s">
        <v>1362</v>
      </c>
    </row>
    <row r="591" spans="1:3" ht="12" customHeight="1">
      <c r="A591" s="12" t="s">
        <v>1363</v>
      </c>
      <c r="B591" s="64" t="s">
        <v>1364</v>
      </c>
      <c r="C591" s="14" t="s">
        <v>1365</v>
      </c>
    </row>
    <row r="592" spans="1:3" ht="12" customHeight="1">
      <c r="A592" s="12" t="s">
        <v>1366</v>
      </c>
      <c r="B592" s="64" t="s">
        <v>1364</v>
      </c>
      <c r="C592" s="14" t="s">
        <v>1367</v>
      </c>
    </row>
    <row r="593" spans="1:3" ht="12" customHeight="1">
      <c r="A593" s="82" t="s">
        <v>1368</v>
      </c>
      <c r="B593" s="64" t="s">
        <v>1364</v>
      </c>
      <c r="C593" s="83" t="s">
        <v>1369</v>
      </c>
    </row>
    <row r="594" spans="1:3" ht="12" customHeight="1">
      <c r="A594" s="171" t="s">
        <v>1370</v>
      </c>
      <c r="B594" s="81" t="s">
        <v>1371</v>
      </c>
      <c r="C594" s="172" t="s">
        <v>1372</v>
      </c>
    </row>
    <row r="595" spans="1:3" ht="12" customHeight="1">
      <c r="A595" s="22" t="s">
        <v>1373</v>
      </c>
      <c r="B595" s="81" t="s">
        <v>1371</v>
      </c>
      <c r="C595" s="23" t="s">
        <v>1374</v>
      </c>
    </row>
    <row r="596" spans="1:3" ht="12" customHeight="1">
      <c r="A596" s="12" t="s">
        <v>1375</v>
      </c>
      <c r="B596" s="13" t="s">
        <v>1376</v>
      </c>
      <c r="C596" s="14" t="s">
        <v>1377</v>
      </c>
    </row>
    <row r="597" spans="1:3" ht="12" customHeight="1">
      <c r="A597" s="12" t="s">
        <v>1378</v>
      </c>
      <c r="B597" s="106" t="s">
        <v>1379</v>
      </c>
      <c r="C597" s="14" t="s">
        <v>1380</v>
      </c>
    </row>
    <row r="598" spans="1:3" ht="12" customHeight="1">
      <c r="A598" s="12" t="s">
        <v>1381</v>
      </c>
      <c r="B598" s="53" t="s">
        <v>1382</v>
      </c>
      <c r="C598" s="14" t="s">
        <v>1383</v>
      </c>
    </row>
    <row r="599" spans="1:3" ht="12" customHeight="1">
      <c r="A599" s="12" t="s">
        <v>1384</v>
      </c>
      <c r="B599" s="87" t="s">
        <v>1385</v>
      </c>
      <c r="C599" s="14" t="s">
        <v>1386</v>
      </c>
    </row>
    <row r="600" spans="1:3" ht="12" customHeight="1">
      <c r="A600" s="144" t="s">
        <v>1387</v>
      </c>
      <c r="B600" s="185" t="s">
        <v>1388</v>
      </c>
      <c r="C600" s="146" t="s">
        <v>1389</v>
      </c>
    </row>
    <row r="601" spans="1:3" ht="12" customHeight="1">
      <c r="A601" s="144" t="s">
        <v>1390</v>
      </c>
      <c r="B601" s="185" t="s">
        <v>1388</v>
      </c>
      <c r="C601" s="146" t="s">
        <v>1391</v>
      </c>
    </row>
    <row r="602" spans="1:3" ht="12" customHeight="1">
      <c r="A602" s="171" t="s">
        <v>1392</v>
      </c>
      <c r="B602" s="77" t="s">
        <v>1393</v>
      </c>
      <c r="C602" s="172" t="s">
        <v>1394</v>
      </c>
    </row>
    <row r="603" spans="1:3" ht="12" customHeight="1">
      <c r="A603" s="171" t="s">
        <v>1395</v>
      </c>
      <c r="B603" s="154" t="s">
        <v>1396</v>
      </c>
      <c r="C603" s="172" t="s">
        <v>1397</v>
      </c>
    </row>
    <row r="604" spans="1:3" ht="12" customHeight="1">
      <c r="A604" s="48" t="s">
        <v>1398</v>
      </c>
      <c r="B604" s="36" t="s">
        <v>1399</v>
      </c>
      <c r="C604" s="50" t="s">
        <v>1400</v>
      </c>
    </row>
    <row r="605" spans="1:3" ht="12" customHeight="1">
      <c r="A605" s="169" t="s">
        <v>1401</v>
      </c>
      <c r="B605" s="36" t="s">
        <v>1399</v>
      </c>
      <c r="C605" s="186" t="s">
        <v>1402</v>
      </c>
    </row>
    <row r="606" spans="1:3" ht="12" customHeight="1">
      <c r="A606" s="91" t="s">
        <v>1403</v>
      </c>
      <c r="B606" s="36" t="s">
        <v>1399</v>
      </c>
      <c r="C606" s="93" t="s">
        <v>1404</v>
      </c>
    </row>
    <row r="607" spans="1:3" ht="12" customHeight="1">
      <c r="A607" s="187" t="s">
        <v>1405</v>
      </c>
      <c r="B607" s="36" t="s">
        <v>1399</v>
      </c>
      <c r="C607" s="93" t="s">
        <v>1406</v>
      </c>
    </row>
    <row r="608" spans="1:3" ht="12" customHeight="1">
      <c r="A608" s="22" t="s">
        <v>1407</v>
      </c>
      <c r="B608" s="188" t="s">
        <v>1408</v>
      </c>
      <c r="C608" s="23" t="s">
        <v>1409</v>
      </c>
    </row>
    <row r="609" spans="1:3" ht="12" customHeight="1">
      <c r="A609" s="164" t="s">
        <v>1410</v>
      </c>
      <c r="B609" s="189" t="s">
        <v>1411</v>
      </c>
      <c r="C609" s="165" t="s">
        <v>1412</v>
      </c>
    </row>
    <row r="610" spans="1:3" ht="12" customHeight="1">
      <c r="A610" s="164" t="s">
        <v>1413</v>
      </c>
      <c r="B610" s="189" t="s">
        <v>1411</v>
      </c>
      <c r="C610" s="165" t="s">
        <v>1414</v>
      </c>
    </row>
    <row r="611" spans="1:3" ht="12" customHeight="1">
      <c r="A611" s="26" t="s">
        <v>1415</v>
      </c>
      <c r="B611" s="174">
        <v>5101020199</v>
      </c>
      <c r="C611" s="27" t="s">
        <v>1416</v>
      </c>
    </row>
    <row r="612" spans="1:3" ht="12" customHeight="1">
      <c r="A612" s="26" t="s">
        <v>1417</v>
      </c>
      <c r="B612" s="174">
        <v>5101020199</v>
      </c>
      <c r="C612" s="27" t="s">
        <v>1418</v>
      </c>
    </row>
    <row r="613" spans="1:3" ht="12" customHeight="1">
      <c r="A613" s="171" t="s">
        <v>1419</v>
      </c>
      <c r="B613" s="141" t="s">
        <v>1420</v>
      </c>
      <c r="C613" s="172" t="s">
        <v>1421</v>
      </c>
    </row>
    <row r="614" spans="1:3" ht="12" customHeight="1">
      <c r="A614" s="171" t="s">
        <v>1422</v>
      </c>
      <c r="B614" s="87" t="s">
        <v>1423</v>
      </c>
      <c r="C614" s="172" t="s">
        <v>1424</v>
      </c>
    </row>
    <row r="615" spans="1:3" ht="12" customHeight="1">
      <c r="A615" s="171" t="s">
        <v>1425</v>
      </c>
      <c r="B615" s="190" t="s">
        <v>1426</v>
      </c>
      <c r="C615" s="172" t="s">
        <v>1427</v>
      </c>
    </row>
    <row r="616" spans="1:3" ht="12" customHeight="1">
      <c r="A616" s="171" t="s">
        <v>1428</v>
      </c>
      <c r="B616" s="106" t="s">
        <v>1429</v>
      </c>
      <c r="C616" s="172" t="s">
        <v>1430</v>
      </c>
    </row>
    <row r="617" spans="1:3" ht="12" customHeight="1">
      <c r="A617" s="171" t="s">
        <v>1431</v>
      </c>
      <c r="B617" s="94" t="s">
        <v>1432</v>
      </c>
      <c r="C617" s="172" t="s">
        <v>1433</v>
      </c>
    </row>
    <row r="618" spans="1:3" ht="12" customHeight="1">
      <c r="A618" s="12" t="s">
        <v>1434</v>
      </c>
      <c r="B618" s="81" t="s">
        <v>1435</v>
      </c>
      <c r="C618" s="14" t="s">
        <v>1436</v>
      </c>
    </row>
    <row r="619" spans="1:3" ht="12" customHeight="1">
      <c r="A619" s="12" t="s">
        <v>1437</v>
      </c>
      <c r="B619" s="13" t="s">
        <v>1438</v>
      </c>
      <c r="C619" s="14" t="s">
        <v>1439</v>
      </c>
    </row>
    <row r="620" spans="1:3" ht="12" customHeight="1">
      <c r="A620" s="171" t="s">
        <v>1440</v>
      </c>
      <c r="B620" s="90" t="s">
        <v>1441</v>
      </c>
      <c r="C620" s="172" t="s">
        <v>1442</v>
      </c>
    </row>
    <row r="621" spans="1:3" ht="12" customHeight="1">
      <c r="A621" s="12" t="s">
        <v>1443</v>
      </c>
      <c r="B621" s="13" t="s">
        <v>1444</v>
      </c>
      <c r="C621" s="14" t="s">
        <v>1445</v>
      </c>
    </row>
    <row r="622" spans="1:3" ht="12" customHeight="1">
      <c r="A622" s="171" t="s">
        <v>1446</v>
      </c>
      <c r="B622" s="79" t="s">
        <v>1447</v>
      </c>
      <c r="C622" s="172" t="s">
        <v>1421</v>
      </c>
    </row>
    <row r="623" spans="1:3" ht="12" customHeight="1">
      <c r="A623" s="171" t="s">
        <v>1448</v>
      </c>
      <c r="B623" s="108" t="s">
        <v>1449</v>
      </c>
      <c r="C623" s="172" t="s">
        <v>1450</v>
      </c>
    </row>
    <row r="624" spans="1:3" ht="12" customHeight="1">
      <c r="A624" s="171" t="s">
        <v>1451</v>
      </c>
      <c r="B624" s="90" t="s">
        <v>1452</v>
      </c>
      <c r="C624" s="172" t="s">
        <v>1453</v>
      </c>
    </row>
    <row r="625" spans="1:3" ht="12" customHeight="1">
      <c r="A625" s="171" t="s">
        <v>1454</v>
      </c>
      <c r="B625" s="90" t="s">
        <v>1455</v>
      </c>
      <c r="C625" s="172" t="s">
        <v>1456</v>
      </c>
    </row>
    <row r="626" spans="1:3" ht="12" customHeight="1">
      <c r="A626" s="171" t="s">
        <v>1457</v>
      </c>
      <c r="B626" s="90" t="s">
        <v>1458</v>
      </c>
      <c r="C626" s="172" t="s">
        <v>1459</v>
      </c>
    </row>
    <row r="627" spans="1:3" ht="12" customHeight="1">
      <c r="A627" s="12" t="s">
        <v>1460</v>
      </c>
      <c r="B627" s="13" t="s">
        <v>1461</v>
      </c>
      <c r="C627" s="14" t="s">
        <v>1462</v>
      </c>
    </row>
    <row r="628" spans="1:3" ht="12" customHeight="1">
      <c r="A628" s="144" t="s">
        <v>1463</v>
      </c>
      <c r="B628" s="64" t="s">
        <v>1464</v>
      </c>
      <c r="C628" s="146" t="s">
        <v>1465</v>
      </c>
    </row>
    <row r="629" spans="1:3" ht="12" customHeight="1">
      <c r="A629" s="191" t="s">
        <v>1466</v>
      </c>
      <c r="B629" s="64" t="s">
        <v>1464</v>
      </c>
      <c r="C629" s="192" t="s">
        <v>1467</v>
      </c>
    </row>
    <row r="630" spans="1:3" ht="12" customHeight="1">
      <c r="A630" s="144" t="s">
        <v>1468</v>
      </c>
      <c r="B630" s="142" t="s">
        <v>1469</v>
      </c>
      <c r="C630" s="146" t="s">
        <v>1470</v>
      </c>
    </row>
    <row r="631" spans="1:3" ht="12" customHeight="1">
      <c r="A631" s="191" t="s">
        <v>1471</v>
      </c>
      <c r="B631" s="142" t="s">
        <v>1469</v>
      </c>
      <c r="C631" s="192" t="s">
        <v>1472</v>
      </c>
    </row>
    <row r="632" spans="1:3" ht="12" customHeight="1">
      <c r="A632" s="144" t="s">
        <v>1473</v>
      </c>
      <c r="B632" s="36" t="s">
        <v>1474</v>
      </c>
      <c r="C632" s="146" t="s">
        <v>1475</v>
      </c>
    </row>
    <row r="633" spans="1:3" ht="12" customHeight="1">
      <c r="A633" s="191" t="s">
        <v>1476</v>
      </c>
      <c r="B633" s="36" t="s">
        <v>1474</v>
      </c>
      <c r="C633" s="192" t="s">
        <v>1477</v>
      </c>
    </row>
    <row r="634" spans="1:3" ht="12" customHeight="1">
      <c r="A634" s="144" t="s">
        <v>1478</v>
      </c>
      <c r="B634" s="81" t="s">
        <v>1479</v>
      </c>
      <c r="C634" s="146" t="s">
        <v>1480</v>
      </c>
    </row>
    <row r="635" spans="1:3" ht="12" customHeight="1">
      <c r="A635" s="191" t="s">
        <v>1481</v>
      </c>
      <c r="B635" s="81" t="s">
        <v>1479</v>
      </c>
      <c r="C635" s="192" t="s">
        <v>1482</v>
      </c>
    </row>
    <row r="636" spans="1:3" ht="12" customHeight="1">
      <c r="A636" s="144" t="s">
        <v>1483</v>
      </c>
      <c r="B636" s="64" t="s">
        <v>1484</v>
      </c>
      <c r="C636" s="146" t="s">
        <v>1485</v>
      </c>
    </row>
    <row r="637" spans="1:3" ht="12" customHeight="1">
      <c r="A637" s="191" t="s">
        <v>1486</v>
      </c>
      <c r="B637" s="64" t="s">
        <v>1484</v>
      </c>
      <c r="C637" s="192" t="s">
        <v>1487</v>
      </c>
    </row>
    <row r="638" spans="1:3" ht="12" customHeight="1">
      <c r="A638" s="171" t="s">
        <v>1488</v>
      </c>
      <c r="B638" s="108" t="s">
        <v>1489</v>
      </c>
      <c r="C638" s="172" t="s">
        <v>1490</v>
      </c>
    </row>
    <row r="639" spans="1:3" ht="12" customHeight="1">
      <c r="A639" s="171" t="s">
        <v>1491</v>
      </c>
      <c r="B639" s="108" t="s">
        <v>1489</v>
      </c>
      <c r="C639" s="172" t="s">
        <v>1492</v>
      </c>
    </row>
    <row r="640" spans="1:3" ht="12" customHeight="1">
      <c r="A640" s="171" t="s">
        <v>1493</v>
      </c>
      <c r="B640" s="108" t="s">
        <v>1489</v>
      </c>
      <c r="C640" s="172" t="s">
        <v>1494</v>
      </c>
    </row>
    <row r="641" spans="1:3" ht="12" customHeight="1">
      <c r="A641" s="171" t="s">
        <v>1495</v>
      </c>
      <c r="B641" s="108" t="s">
        <v>1489</v>
      </c>
      <c r="C641" s="172" t="s">
        <v>1496</v>
      </c>
    </row>
    <row r="642" spans="1:3" ht="12" customHeight="1">
      <c r="A642" s="171" t="s">
        <v>1497</v>
      </c>
      <c r="B642" s="108" t="s">
        <v>1489</v>
      </c>
      <c r="C642" s="172" t="s">
        <v>1498</v>
      </c>
    </row>
    <row r="643" spans="1:3" ht="12" customHeight="1">
      <c r="A643" s="171" t="s">
        <v>1499</v>
      </c>
      <c r="B643" s="108" t="s">
        <v>1489</v>
      </c>
      <c r="C643" s="172" t="s">
        <v>1500</v>
      </c>
    </row>
    <row r="644" spans="1:3" ht="12" customHeight="1">
      <c r="A644" s="171" t="s">
        <v>1501</v>
      </c>
      <c r="B644" s="108" t="s">
        <v>1489</v>
      </c>
      <c r="C644" s="172" t="s">
        <v>1502</v>
      </c>
    </row>
    <row r="645" spans="1:3" ht="12" customHeight="1">
      <c r="A645" s="171" t="s">
        <v>1503</v>
      </c>
      <c r="B645" s="108" t="s">
        <v>1489</v>
      </c>
      <c r="C645" s="172" t="s">
        <v>1504</v>
      </c>
    </row>
    <row r="646" spans="1:3" ht="12" customHeight="1">
      <c r="A646" s="12" t="s">
        <v>1505</v>
      </c>
      <c r="B646" s="108" t="s">
        <v>1489</v>
      </c>
      <c r="C646" s="14" t="s">
        <v>1506</v>
      </c>
    </row>
    <row r="647" spans="1:3" ht="12" customHeight="1">
      <c r="A647" s="171" t="s">
        <v>1507</v>
      </c>
      <c r="B647" s="77" t="s">
        <v>1508</v>
      </c>
      <c r="C647" s="172" t="s">
        <v>1509</v>
      </c>
    </row>
    <row r="648" spans="1:3" ht="12" customHeight="1">
      <c r="A648" s="12" t="s">
        <v>1510</v>
      </c>
      <c r="B648" s="77" t="s">
        <v>1508</v>
      </c>
      <c r="C648" s="14" t="s">
        <v>1511</v>
      </c>
    </row>
    <row r="649" spans="1:3" ht="12" customHeight="1">
      <c r="A649" s="171" t="s">
        <v>1512</v>
      </c>
      <c r="B649" s="77" t="s">
        <v>1508</v>
      </c>
      <c r="C649" s="172" t="s">
        <v>1513</v>
      </c>
    </row>
    <row r="650" spans="1:3" ht="12" customHeight="1">
      <c r="A650" s="171" t="s">
        <v>1514</v>
      </c>
      <c r="B650" s="77" t="s">
        <v>1508</v>
      </c>
      <c r="C650" s="172" t="s">
        <v>1515</v>
      </c>
    </row>
    <row r="651" spans="1:3" ht="12" customHeight="1">
      <c r="A651" s="12" t="s">
        <v>1516</v>
      </c>
      <c r="B651" s="77" t="s">
        <v>1508</v>
      </c>
      <c r="C651" s="14" t="s">
        <v>1517</v>
      </c>
    </row>
    <row r="652" spans="1:3" ht="12" customHeight="1">
      <c r="A652" s="171" t="s">
        <v>1518</v>
      </c>
      <c r="B652" s="77" t="s">
        <v>1508</v>
      </c>
      <c r="C652" s="172" t="s">
        <v>1519</v>
      </c>
    </row>
    <row r="653" spans="1:3" ht="12" customHeight="1">
      <c r="A653" s="12" t="s">
        <v>1520</v>
      </c>
      <c r="B653" s="77" t="s">
        <v>1508</v>
      </c>
      <c r="C653" s="14" t="s">
        <v>1521</v>
      </c>
    </row>
    <row r="654" spans="1:3" ht="12" customHeight="1">
      <c r="A654" s="171" t="s">
        <v>1522</v>
      </c>
      <c r="B654" s="77" t="s">
        <v>1508</v>
      </c>
      <c r="C654" s="193" t="s">
        <v>1523</v>
      </c>
    </row>
    <row r="655" spans="1:3" ht="12" customHeight="1">
      <c r="A655" s="171" t="s">
        <v>1524</v>
      </c>
      <c r="B655" s="77" t="s">
        <v>1508</v>
      </c>
      <c r="C655" s="172" t="s">
        <v>1525</v>
      </c>
    </row>
    <row r="656" spans="1:3" ht="12" customHeight="1">
      <c r="A656" s="12" t="s">
        <v>1526</v>
      </c>
      <c r="B656" s="77" t="s">
        <v>1508</v>
      </c>
      <c r="C656" s="14" t="s">
        <v>1527</v>
      </c>
    </row>
    <row r="657" spans="1:3" ht="12" customHeight="1">
      <c r="A657" s="84" t="s">
        <v>1528</v>
      </c>
      <c r="B657" s="77" t="s">
        <v>1508</v>
      </c>
      <c r="C657" s="85" t="s">
        <v>1529</v>
      </c>
    </row>
    <row r="658" spans="1:3" ht="12" customHeight="1">
      <c r="A658" s="12" t="s">
        <v>1530</v>
      </c>
      <c r="B658" s="77" t="s">
        <v>1508</v>
      </c>
      <c r="C658" s="14" t="s">
        <v>1531</v>
      </c>
    </row>
    <row r="659" spans="1:3" ht="12" customHeight="1">
      <c r="A659" s="12" t="s">
        <v>1532</v>
      </c>
      <c r="B659" s="77" t="s">
        <v>1508</v>
      </c>
      <c r="C659" s="14" t="s">
        <v>1533</v>
      </c>
    </row>
    <row r="660" spans="1:3" ht="12" customHeight="1">
      <c r="A660" s="12" t="s">
        <v>1534</v>
      </c>
      <c r="B660" s="142" t="s">
        <v>1535</v>
      </c>
      <c r="C660" s="146" t="s">
        <v>1536</v>
      </c>
    </row>
    <row r="661" spans="1:3" ht="12" customHeight="1">
      <c r="A661" s="12" t="s">
        <v>1537</v>
      </c>
      <c r="B661" s="106" t="s">
        <v>1538</v>
      </c>
      <c r="C661" s="14" t="s">
        <v>1539</v>
      </c>
    </row>
    <row r="662" spans="1:3" ht="12" customHeight="1">
      <c r="A662" s="177" t="s">
        <v>1540</v>
      </c>
      <c r="B662" s="106" t="s">
        <v>1538</v>
      </c>
      <c r="C662" s="178" t="s">
        <v>1541</v>
      </c>
    </row>
    <row r="663" spans="1:3" ht="12" customHeight="1">
      <c r="A663" s="84" t="s">
        <v>1542</v>
      </c>
      <c r="B663" s="106" t="s">
        <v>1538</v>
      </c>
      <c r="C663" s="85" t="s">
        <v>1543</v>
      </c>
    </row>
    <row r="664" spans="1:3" ht="12" customHeight="1">
      <c r="A664" s="12" t="s">
        <v>1544</v>
      </c>
      <c r="B664" s="106" t="s">
        <v>1538</v>
      </c>
      <c r="C664" s="14" t="s">
        <v>1545</v>
      </c>
    </row>
    <row r="665" spans="1:3" ht="12" customHeight="1">
      <c r="A665" s="12" t="s">
        <v>1546</v>
      </c>
      <c r="B665" s="106" t="s">
        <v>1538</v>
      </c>
      <c r="C665" s="14" t="s">
        <v>1547</v>
      </c>
    </row>
    <row r="666" spans="1:3" ht="12" customHeight="1">
      <c r="A666" s="171" t="s">
        <v>1548</v>
      </c>
      <c r="B666" s="106" t="s">
        <v>1538</v>
      </c>
      <c r="C666" s="172" t="s">
        <v>1549</v>
      </c>
    </row>
    <row r="667" spans="1:3" ht="12" customHeight="1">
      <c r="A667" s="171" t="s">
        <v>1550</v>
      </c>
      <c r="B667" s="106" t="s">
        <v>1538</v>
      </c>
      <c r="C667" s="172" t="s">
        <v>1551</v>
      </c>
    </row>
    <row r="668" spans="1:3" ht="12" customHeight="1">
      <c r="A668" s="171" t="s">
        <v>1552</v>
      </c>
      <c r="B668" s="106" t="s">
        <v>1538</v>
      </c>
      <c r="C668" s="172" t="s">
        <v>1553</v>
      </c>
    </row>
    <row r="669" spans="1:3" ht="12" customHeight="1">
      <c r="A669" s="171" t="s">
        <v>1554</v>
      </c>
      <c r="B669" s="106" t="s">
        <v>1538</v>
      </c>
      <c r="C669" s="172" t="s">
        <v>1555</v>
      </c>
    </row>
    <row r="670" spans="1:3" ht="12" customHeight="1">
      <c r="A670" s="194" t="s">
        <v>1556</v>
      </c>
      <c r="B670" s="106" t="s">
        <v>1538</v>
      </c>
      <c r="C670" s="172" t="s">
        <v>1557</v>
      </c>
    </row>
    <row r="671" spans="1:3" ht="12" customHeight="1">
      <c r="A671" s="12" t="s">
        <v>1558</v>
      </c>
      <c r="B671" s="13" t="s">
        <v>1559</v>
      </c>
      <c r="C671" s="14" t="s">
        <v>1560</v>
      </c>
    </row>
    <row r="672" spans="1:3" ht="12" customHeight="1">
      <c r="A672" s="171" t="s">
        <v>1561</v>
      </c>
      <c r="B672" s="94" t="s">
        <v>1562</v>
      </c>
      <c r="C672" s="172" t="s">
        <v>1563</v>
      </c>
    </row>
    <row r="673" spans="1:3" ht="12" customHeight="1">
      <c r="A673" s="171" t="s">
        <v>1564</v>
      </c>
      <c r="B673" s="64" t="s">
        <v>1565</v>
      </c>
      <c r="C673" s="172" t="s">
        <v>1566</v>
      </c>
    </row>
    <row r="674" spans="1:3" ht="12" customHeight="1">
      <c r="A674" s="171" t="s">
        <v>1567</v>
      </c>
      <c r="B674" s="51" t="s">
        <v>1568</v>
      </c>
      <c r="C674" s="172" t="s">
        <v>1569</v>
      </c>
    </row>
    <row r="675" spans="1:3" ht="12" customHeight="1">
      <c r="A675" s="171" t="s">
        <v>1570</v>
      </c>
      <c r="B675" s="94" t="s">
        <v>1571</v>
      </c>
      <c r="C675" s="172" t="s">
        <v>1572</v>
      </c>
    </row>
    <row r="676" spans="1:3" ht="12" customHeight="1">
      <c r="A676" s="171" t="s">
        <v>1573</v>
      </c>
      <c r="B676" s="79" t="s">
        <v>1574</v>
      </c>
      <c r="C676" s="172" t="s">
        <v>1575</v>
      </c>
    </row>
    <row r="677" spans="1:3" ht="12" customHeight="1">
      <c r="A677" s="171" t="s">
        <v>1576</v>
      </c>
      <c r="B677" s="188" t="s">
        <v>1577</v>
      </c>
      <c r="C677" s="83" t="s">
        <v>1578</v>
      </c>
    </row>
    <row r="678" spans="1:3" ht="12" customHeight="1">
      <c r="A678" s="195" t="s">
        <v>1579</v>
      </c>
      <c r="B678" s="13" t="s">
        <v>1580</v>
      </c>
      <c r="C678" s="196" t="s">
        <v>1581</v>
      </c>
    </row>
    <row r="679" spans="1:3" ht="12" customHeight="1">
      <c r="A679" s="84" t="s">
        <v>1582</v>
      </c>
      <c r="B679" s="64" t="s">
        <v>1583</v>
      </c>
      <c r="C679" s="85" t="s">
        <v>1584</v>
      </c>
    </row>
    <row r="680" spans="1:3" ht="12" customHeight="1">
      <c r="A680" s="171" t="s">
        <v>1585</v>
      </c>
      <c r="B680" s="70" t="s">
        <v>1586</v>
      </c>
      <c r="C680" s="172" t="s">
        <v>1587</v>
      </c>
    </row>
    <row r="681" spans="1:3" ht="12" customHeight="1">
      <c r="A681" s="171" t="s">
        <v>1588</v>
      </c>
      <c r="B681" s="70" t="s">
        <v>1586</v>
      </c>
      <c r="C681" s="172" t="s">
        <v>1589</v>
      </c>
    </row>
    <row r="682" spans="1:3" ht="12" customHeight="1">
      <c r="A682" s="171" t="s">
        <v>1590</v>
      </c>
      <c r="B682" s="70" t="s">
        <v>1586</v>
      </c>
      <c r="C682" s="172" t="s">
        <v>1591</v>
      </c>
    </row>
    <row r="683" spans="1:3" ht="12" customHeight="1">
      <c r="A683" s="171" t="s">
        <v>1592</v>
      </c>
      <c r="B683" s="70" t="s">
        <v>1586</v>
      </c>
      <c r="C683" s="172" t="s">
        <v>1593</v>
      </c>
    </row>
    <row r="684" spans="1:3" ht="12" customHeight="1">
      <c r="A684" s="171" t="s">
        <v>1594</v>
      </c>
      <c r="B684" s="70" t="s">
        <v>1586</v>
      </c>
      <c r="C684" s="172" t="s">
        <v>1595</v>
      </c>
    </row>
    <row r="685" spans="1:3" ht="12" customHeight="1">
      <c r="A685" s="171" t="s">
        <v>1596</v>
      </c>
      <c r="B685" s="70" t="s">
        <v>1586</v>
      </c>
      <c r="C685" s="172" t="s">
        <v>1597</v>
      </c>
    </row>
    <row r="686" spans="1:3" ht="12" customHeight="1">
      <c r="A686" s="171" t="s">
        <v>1598</v>
      </c>
      <c r="B686" s="70" t="s">
        <v>1586</v>
      </c>
      <c r="C686" s="172" t="s">
        <v>1599</v>
      </c>
    </row>
    <row r="687" spans="1:3" ht="12" customHeight="1">
      <c r="A687" s="171" t="s">
        <v>1600</v>
      </c>
      <c r="B687" s="70" t="s">
        <v>1586</v>
      </c>
      <c r="C687" s="172" t="s">
        <v>1601</v>
      </c>
    </row>
    <row r="688" spans="1:3" ht="12" customHeight="1">
      <c r="A688" s="171" t="s">
        <v>1602</v>
      </c>
      <c r="B688" s="79" t="s">
        <v>1603</v>
      </c>
      <c r="C688" s="172" t="s">
        <v>1604</v>
      </c>
    </row>
    <row r="689" spans="1:3" ht="12" customHeight="1">
      <c r="A689" s="171" t="s">
        <v>1605</v>
      </c>
      <c r="B689" s="90" t="s">
        <v>1606</v>
      </c>
      <c r="C689" s="172" t="s">
        <v>1607</v>
      </c>
    </row>
    <row r="690" spans="1:3" ht="12" customHeight="1">
      <c r="A690" s="12" t="s">
        <v>1608</v>
      </c>
      <c r="B690" s="13" t="s">
        <v>1609</v>
      </c>
      <c r="C690" s="14" t="s">
        <v>1610</v>
      </c>
    </row>
    <row r="691" spans="1:3" ht="12" customHeight="1">
      <c r="A691" s="171" t="s">
        <v>1611</v>
      </c>
      <c r="B691" s="90" t="s">
        <v>1612</v>
      </c>
      <c r="C691" s="172" t="s">
        <v>1613</v>
      </c>
    </row>
    <row r="692" spans="1:3" ht="12" customHeight="1">
      <c r="A692" s="12" t="s">
        <v>1614</v>
      </c>
      <c r="B692" s="13" t="s">
        <v>1615</v>
      </c>
      <c r="C692" s="14" t="s">
        <v>1616</v>
      </c>
    </row>
    <row r="693" spans="1:3" ht="12" customHeight="1">
      <c r="A693" s="48" t="s">
        <v>1617</v>
      </c>
      <c r="B693" s="49" t="s">
        <v>1618</v>
      </c>
      <c r="C693" s="50" t="s">
        <v>1619</v>
      </c>
    </row>
    <row r="694" spans="1:3" ht="12" customHeight="1">
      <c r="A694" s="122" t="s">
        <v>1620</v>
      </c>
      <c r="B694" s="175" t="s">
        <v>1621</v>
      </c>
      <c r="C694" s="123" t="s">
        <v>1622</v>
      </c>
    </row>
    <row r="695" spans="1:3" ht="12" customHeight="1">
      <c r="A695" s="12" t="s">
        <v>1623</v>
      </c>
      <c r="B695" s="13" t="s">
        <v>1624</v>
      </c>
      <c r="C695" s="14" t="s">
        <v>1625</v>
      </c>
    </row>
    <row r="696" spans="1:3" ht="12" customHeight="1">
      <c r="A696" s="12" t="s">
        <v>1626</v>
      </c>
      <c r="B696" s="13" t="s">
        <v>1627</v>
      </c>
      <c r="C696" s="14" t="s">
        <v>1628</v>
      </c>
    </row>
    <row r="697" spans="1:3" ht="12" customHeight="1">
      <c r="A697" s="197" t="s">
        <v>1629</v>
      </c>
      <c r="B697" s="77" t="s">
        <v>1630</v>
      </c>
      <c r="C697" s="198" t="s">
        <v>1631</v>
      </c>
    </row>
    <row r="698" spans="1:3" ht="12" customHeight="1">
      <c r="A698" s="199" t="s">
        <v>1632</v>
      </c>
      <c r="B698" s="77" t="s">
        <v>1630</v>
      </c>
      <c r="C698" s="200" t="s">
        <v>1633</v>
      </c>
    </row>
    <row r="699" spans="1:3" ht="12" customHeight="1">
      <c r="A699" s="12" t="s">
        <v>1634</v>
      </c>
      <c r="B699" s="77" t="s">
        <v>1630</v>
      </c>
      <c r="C699" s="14" t="s">
        <v>1635</v>
      </c>
    </row>
    <row r="700" spans="1:3" ht="12" customHeight="1">
      <c r="A700" s="144" t="s">
        <v>1636</v>
      </c>
      <c r="B700" s="77" t="s">
        <v>1630</v>
      </c>
      <c r="C700" s="146" t="s">
        <v>1637</v>
      </c>
    </row>
    <row r="701" spans="1:3" ht="12" customHeight="1">
      <c r="A701" s="113" t="s">
        <v>1638</v>
      </c>
      <c r="B701" s="77" t="s">
        <v>1630</v>
      </c>
      <c r="C701" s="114" t="s">
        <v>1639</v>
      </c>
    </row>
    <row r="702" spans="1:3" ht="12" customHeight="1">
      <c r="A702" s="12" t="s">
        <v>1640</v>
      </c>
      <c r="B702" s="77" t="s">
        <v>1630</v>
      </c>
      <c r="C702" s="14" t="s">
        <v>1641</v>
      </c>
    </row>
    <row r="703" spans="1:3" ht="12" customHeight="1">
      <c r="A703" s="74" t="s">
        <v>1642</v>
      </c>
      <c r="B703" s="77" t="s">
        <v>1630</v>
      </c>
      <c r="C703" s="75" t="s">
        <v>1643</v>
      </c>
    </row>
    <row r="704" spans="1:3" ht="12" customHeight="1">
      <c r="A704" s="22" t="s">
        <v>1644</v>
      </c>
      <c r="B704" s="77" t="s">
        <v>1630</v>
      </c>
      <c r="C704" s="23" t="s">
        <v>1645</v>
      </c>
    </row>
    <row r="705" spans="1:3" ht="12" customHeight="1">
      <c r="A705" s="63" t="s">
        <v>1646</v>
      </c>
      <c r="B705" s="77" t="s">
        <v>1630</v>
      </c>
      <c r="C705" s="65" t="s">
        <v>1647</v>
      </c>
    </row>
    <row r="706" spans="1:3" ht="12" customHeight="1">
      <c r="A706" s="12" t="s">
        <v>1648</v>
      </c>
      <c r="B706" s="77" t="s">
        <v>1630</v>
      </c>
      <c r="C706" s="14" t="s">
        <v>1649</v>
      </c>
    </row>
    <row r="707" spans="1:3" ht="12" customHeight="1">
      <c r="A707" s="113" t="s">
        <v>1650</v>
      </c>
      <c r="B707" s="77" t="s">
        <v>1630</v>
      </c>
      <c r="C707" s="114" t="s">
        <v>1651</v>
      </c>
    </row>
    <row r="708" spans="1:3" ht="12" customHeight="1">
      <c r="A708" s="91" t="s">
        <v>1652</v>
      </c>
      <c r="B708" s="81" t="s">
        <v>1653</v>
      </c>
      <c r="C708" s="93" t="s">
        <v>1654</v>
      </c>
    </row>
    <row r="709" spans="1:3" ht="12" customHeight="1">
      <c r="A709" s="91" t="s">
        <v>1655</v>
      </c>
      <c r="B709" s="81" t="s">
        <v>1653</v>
      </c>
      <c r="C709" s="93" t="s">
        <v>1656</v>
      </c>
    </row>
    <row r="710" spans="1:3" ht="12" customHeight="1">
      <c r="A710" s="91" t="s">
        <v>1657</v>
      </c>
      <c r="B710" s="81" t="s">
        <v>1653</v>
      </c>
      <c r="C710" s="93" t="s">
        <v>1658</v>
      </c>
    </row>
    <row r="711" spans="1:3" ht="12" customHeight="1">
      <c r="A711" s="201" t="s">
        <v>1659</v>
      </c>
      <c r="B711" s="81" t="s">
        <v>1653</v>
      </c>
      <c r="C711" s="202" t="s">
        <v>1660</v>
      </c>
    </row>
    <row r="712" spans="1:3" ht="12" customHeight="1">
      <c r="A712" s="201" t="s">
        <v>1661</v>
      </c>
      <c r="B712" s="81" t="s">
        <v>1653</v>
      </c>
      <c r="C712" s="202" t="s">
        <v>1662</v>
      </c>
    </row>
    <row r="713" spans="1:3" ht="12" customHeight="1">
      <c r="A713" s="91" t="s">
        <v>1663</v>
      </c>
      <c r="B713" s="81" t="s">
        <v>1653</v>
      </c>
      <c r="C713" s="14" t="s">
        <v>1664</v>
      </c>
    </row>
    <row r="714" spans="1:3" ht="12" customHeight="1">
      <c r="A714" s="91" t="s">
        <v>1665</v>
      </c>
      <c r="B714" s="81" t="s">
        <v>1653</v>
      </c>
      <c r="C714" s="192" t="s">
        <v>1666</v>
      </c>
    </row>
    <row r="715" spans="1:3" ht="12" customHeight="1">
      <c r="A715" s="91" t="s">
        <v>1667</v>
      </c>
      <c r="B715" s="81" t="s">
        <v>1653</v>
      </c>
      <c r="C715" s="150" t="s">
        <v>1668</v>
      </c>
    </row>
    <row r="716" spans="1:3" ht="12" customHeight="1">
      <c r="A716" s="203" t="s">
        <v>1669</v>
      </c>
      <c r="B716" s="81" t="s">
        <v>1653</v>
      </c>
      <c r="C716" s="172" t="s">
        <v>1670</v>
      </c>
    </row>
    <row r="717" spans="1:3" ht="12" customHeight="1">
      <c r="A717" s="91" t="s">
        <v>1671</v>
      </c>
      <c r="B717" s="81" t="s">
        <v>1653</v>
      </c>
      <c r="C717" s="14" t="s">
        <v>1672</v>
      </c>
    </row>
    <row r="718" spans="1:3" ht="12" customHeight="1">
      <c r="A718" s="91" t="s">
        <v>1673</v>
      </c>
      <c r="B718" s="81" t="s">
        <v>1653</v>
      </c>
      <c r="C718" s="93" t="s">
        <v>1674</v>
      </c>
    </row>
    <row r="719" spans="1:3" ht="12" customHeight="1">
      <c r="A719" s="91" t="s">
        <v>1675</v>
      </c>
      <c r="B719" s="81" t="s">
        <v>1653</v>
      </c>
      <c r="C719" s="93" t="s">
        <v>1676</v>
      </c>
    </row>
    <row r="720" spans="1:3" ht="12" customHeight="1">
      <c r="A720" s="91" t="s">
        <v>1677</v>
      </c>
      <c r="B720" s="81" t="s">
        <v>1653</v>
      </c>
      <c r="C720" s="93" t="s">
        <v>1678</v>
      </c>
    </row>
    <row r="721" spans="1:3" ht="12" customHeight="1">
      <c r="A721" s="91" t="s">
        <v>1679</v>
      </c>
      <c r="B721" s="81" t="s">
        <v>1653</v>
      </c>
      <c r="C721" s="93" t="s">
        <v>1680</v>
      </c>
    </row>
    <row r="722" spans="1:3" ht="12" customHeight="1">
      <c r="A722" s="201" t="s">
        <v>1681</v>
      </c>
      <c r="B722" s="81" t="s">
        <v>1653</v>
      </c>
      <c r="C722" s="204" t="s">
        <v>1682</v>
      </c>
    </row>
    <row r="723" spans="1:3" ht="12" customHeight="1">
      <c r="A723" s="201" t="s">
        <v>1683</v>
      </c>
      <c r="B723" s="81" t="s">
        <v>1653</v>
      </c>
      <c r="C723" s="204" t="s">
        <v>1684</v>
      </c>
    </row>
    <row r="724" spans="1:3" ht="12" customHeight="1">
      <c r="A724" s="119" t="s">
        <v>1685</v>
      </c>
      <c r="B724" s="81" t="s">
        <v>1653</v>
      </c>
      <c r="C724" s="120" t="s">
        <v>1686</v>
      </c>
    </row>
    <row r="725" spans="1:3" ht="12" customHeight="1">
      <c r="A725" s="119" t="s">
        <v>1687</v>
      </c>
      <c r="B725" s="81" t="s">
        <v>1653</v>
      </c>
      <c r="C725" s="120" t="s">
        <v>1688</v>
      </c>
    </row>
    <row r="726" spans="1:3" ht="12" customHeight="1">
      <c r="A726" s="91" t="s">
        <v>1689</v>
      </c>
      <c r="B726" s="81" t="s">
        <v>1653</v>
      </c>
      <c r="C726" s="93" t="s">
        <v>1690</v>
      </c>
    </row>
    <row r="727" spans="1:3" ht="12" customHeight="1">
      <c r="A727" s="205" t="s">
        <v>1691</v>
      </c>
      <c r="B727" s="81" t="s">
        <v>1653</v>
      </c>
      <c r="C727" s="93" t="s">
        <v>1692</v>
      </c>
    </row>
    <row r="728" spans="1:3" ht="12" customHeight="1">
      <c r="A728" s="71" t="s">
        <v>1693</v>
      </c>
      <c r="B728" s="94" t="s">
        <v>1694</v>
      </c>
      <c r="C728" s="72" t="s">
        <v>1695</v>
      </c>
    </row>
    <row r="729" spans="1:3" ht="12" customHeight="1">
      <c r="A729" s="71" t="s">
        <v>1696</v>
      </c>
      <c r="B729" s="79" t="s">
        <v>1697</v>
      </c>
      <c r="C729" s="72" t="s">
        <v>1698</v>
      </c>
    </row>
    <row r="730" spans="1:3" ht="12" customHeight="1">
      <c r="A730" s="71" t="s">
        <v>1699</v>
      </c>
      <c r="B730" s="64" t="s">
        <v>1700</v>
      </c>
      <c r="C730" s="72" t="s">
        <v>1701</v>
      </c>
    </row>
    <row r="731" spans="1:3" ht="12" customHeight="1">
      <c r="A731" s="71" t="s">
        <v>1702</v>
      </c>
      <c r="B731" s="206" t="s">
        <v>1703</v>
      </c>
      <c r="C731" s="72" t="s">
        <v>1704</v>
      </c>
    </row>
    <row r="732" spans="1:3" ht="12" customHeight="1">
      <c r="A732" s="12" t="s">
        <v>1705</v>
      </c>
      <c r="B732" s="206" t="s">
        <v>1703</v>
      </c>
      <c r="C732" s="14" t="s">
        <v>1706</v>
      </c>
    </row>
    <row r="733" spans="1:3" ht="12" customHeight="1">
      <c r="A733" s="12" t="s">
        <v>1707</v>
      </c>
      <c r="B733" s="206" t="s">
        <v>1703</v>
      </c>
      <c r="C733" s="14" t="s">
        <v>1708</v>
      </c>
    </row>
    <row r="734" spans="1:3" ht="12" customHeight="1">
      <c r="A734" s="12" t="s">
        <v>1709</v>
      </c>
      <c r="B734" s="206" t="s">
        <v>1703</v>
      </c>
      <c r="C734" s="14" t="s">
        <v>1710</v>
      </c>
    </row>
    <row r="735" spans="1:3" ht="12" customHeight="1">
      <c r="A735" s="12" t="s">
        <v>1711</v>
      </c>
      <c r="B735" s="206" t="s">
        <v>1703</v>
      </c>
      <c r="C735" s="14" t="s">
        <v>1712</v>
      </c>
    </row>
    <row r="736" spans="1:3" ht="12" customHeight="1">
      <c r="A736" s="12" t="s">
        <v>1713</v>
      </c>
      <c r="B736" s="206" t="s">
        <v>1703</v>
      </c>
      <c r="C736" s="14" t="s">
        <v>1714</v>
      </c>
    </row>
    <row r="737" spans="1:3" ht="12" customHeight="1">
      <c r="A737" s="71" t="s">
        <v>1715</v>
      </c>
      <c r="B737" s="36" t="s">
        <v>1716</v>
      </c>
      <c r="C737" s="72" t="s">
        <v>1717</v>
      </c>
    </row>
    <row r="738" spans="1:3" ht="12" customHeight="1">
      <c r="A738" s="71" t="s">
        <v>1718</v>
      </c>
      <c r="B738" s="99" t="s">
        <v>1719</v>
      </c>
      <c r="C738" s="72" t="s">
        <v>1720</v>
      </c>
    </row>
    <row r="739" spans="1:3" ht="12" customHeight="1">
      <c r="A739" s="71" t="s">
        <v>1721</v>
      </c>
      <c r="B739" s="53" t="s">
        <v>1722</v>
      </c>
      <c r="C739" s="72" t="s">
        <v>1723</v>
      </c>
    </row>
    <row r="740" spans="1:3" ht="12" customHeight="1">
      <c r="A740" s="71" t="s">
        <v>1724</v>
      </c>
      <c r="B740" s="207" t="s">
        <v>1725</v>
      </c>
      <c r="C740" s="72" t="s">
        <v>1726</v>
      </c>
    </row>
    <row r="741" spans="1:3" ht="12" customHeight="1">
      <c r="A741" s="71" t="s">
        <v>1727</v>
      </c>
      <c r="B741" s="207" t="s">
        <v>1728</v>
      </c>
      <c r="C741" s="72" t="s">
        <v>1729</v>
      </c>
    </row>
    <row r="742" spans="1:3" ht="12" customHeight="1">
      <c r="A742" s="91" t="s">
        <v>1730</v>
      </c>
      <c r="B742" s="92">
        <v>5105010199</v>
      </c>
      <c r="C742" s="93" t="s">
        <v>1731</v>
      </c>
    </row>
    <row r="743" spans="1:3" ht="12" customHeight="1">
      <c r="A743" s="71" t="s">
        <v>1732</v>
      </c>
      <c r="B743" s="207" t="s">
        <v>1733</v>
      </c>
      <c r="C743" s="72" t="s">
        <v>1734</v>
      </c>
    </row>
    <row r="744" spans="1:3" ht="12" customHeight="1">
      <c r="A744" s="71" t="s">
        <v>1735</v>
      </c>
      <c r="B744" s="79" t="s">
        <v>1736</v>
      </c>
      <c r="C744" s="72" t="s">
        <v>1737</v>
      </c>
    </row>
    <row r="745" spans="1:3" ht="12" customHeight="1">
      <c r="A745" s="71" t="s">
        <v>1738</v>
      </c>
      <c r="B745" s="207" t="s">
        <v>1739</v>
      </c>
      <c r="C745" s="72" t="s">
        <v>1740</v>
      </c>
    </row>
    <row r="746" spans="1:3" ht="12" customHeight="1">
      <c r="A746" s="71" t="s">
        <v>1741</v>
      </c>
      <c r="B746" s="18" t="s">
        <v>1742</v>
      </c>
      <c r="C746" s="72" t="s">
        <v>1743</v>
      </c>
    </row>
    <row r="747" spans="1:3" ht="12" customHeight="1">
      <c r="A747" s="71" t="s">
        <v>1744</v>
      </c>
      <c r="B747" s="207" t="s">
        <v>1745</v>
      </c>
      <c r="C747" s="72" t="s">
        <v>1746</v>
      </c>
    </row>
    <row r="748" spans="1:3" ht="12" customHeight="1">
      <c r="A748" s="71" t="s">
        <v>1747</v>
      </c>
      <c r="B748" s="207" t="s">
        <v>1748</v>
      </c>
      <c r="C748" s="72" t="s">
        <v>1749</v>
      </c>
    </row>
    <row r="749" spans="1:3" ht="12" customHeight="1">
      <c r="A749" s="12" t="s">
        <v>1750</v>
      </c>
      <c r="B749" s="207" t="s">
        <v>1751</v>
      </c>
      <c r="C749" s="14" t="s">
        <v>1752</v>
      </c>
    </row>
    <row r="750" spans="1:3" ht="12" customHeight="1">
      <c r="A750" s="12" t="s">
        <v>1753</v>
      </c>
      <c r="B750" s="207" t="s">
        <v>1754</v>
      </c>
      <c r="C750" s="14" t="s">
        <v>1755</v>
      </c>
    </row>
    <row r="751" spans="1:3" ht="12" customHeight="1">
      <c r="A751" s="71" t="s">
        <v>1756</v>
      </c>
      <c r="B751" s="207" t="s">
        <v>1757</v>
      </c>
      <c r="C751" s="72" t="s">
        <v>1758</v>
      </c>
    </row>
    <row r="752" spans="1:3" ht="12" customHeight="1">
      <c r="A752" s="71" t="s">
        <v>1759</v>
      </c>
      <c r="B752" s="207" t="s">
        <v>1760</v>
      </c>
      <c r="C752" s="72" t="s">
        <v>1761</v>
      </c>
    </row>
    <row r="753" spans="1:3" ht="12" customHeight="1">
      <c r="A753" s="12" t="s">
        <v>1762</v>
      </c>
      <c r="B753" s="207" t="s">
        <v>1763</v>
      </c>
      <c r="C753" s="14" t="s">
        <v>1764</v>
      </c>
    </row>
    <row r="754" spans="1:3" ht="12" customHeight="1">
      <c r="A754" s="121" t="s">
        <v>1765</v>
      </c>
      <c r="B754" s="207" t="s">
        <v>1766</v>
      </c>
      <c r="C754" s="97" t="s">
        <v>1767</v>
      </c>
    </row>
    <row r="755" spans="1:3" ht="12" customHeight="1">
      <c r="A755" s="71" t="s">
        <v>1768</v>
      </c>
      <c r="B755" s="36" t="s">
        <v>1769</v>
      </c>
      <c r="C755" s="72" t="s">
        <v>1770</v>
      </c>
    </row>
    <row r="756" spans="1:3" ht="12" customHeight="1">
      <c r="A756" s="71" t="s">
        <v>1771</v>
      </c>
      <c r="B756" s="36" t="s">
        <v>1769</v>
      </c>
      <c r="C756" s="72" t="s">
        <v>1772</v>
      </c>
    </row>
    <row r="757" spans="1:3" ht="12" customHeight="1">
      <c r="A757" s="71" t="s">
        <v>1773</v>
      </c>
      <c r="B757" s="36" t="s">
        <v>1769</v>
      </c>
      <c r="C757" s="72" t="s">
        <v>1774</v>
      </c>
    </row>
    <row r="758" spans="1:3" ht="12" customHeight="1">
      <c r="A758" s="71" t="s">
        <v>1775</v>
      </c>
      <c r="B758" s="36" t="s">
        <v>1769</v>
      </c>
      <c r="C758" s="72" t="s">
        <v>1776</v>
      </c>
    </row>
    <row r="759" spans="1:3" ht="12" customHeight="1">
      <c r="A759" s="12" t="s">
        <v>1777</v>
      </c>
      <c r="B759" s="36" t="s">
        <v>1769</v>
      </c>
      <c r="C759" s="14" t="s">
        <v>1778</v>
      </c>
    </row>
    <row r="760" spans="1:3" ht="12" customHeight="1">
      <c r="A760" s="12" t="s">
        <v>1779</v>
      </c>
      <c r="B760" s="36" t="s">
        <v>1769</v>
      </c>
      <c r="C760" s="14" t="s">
        <v>1780</v>
      </c>
    </row>
    <row r="761" spans="1:3" ht="12" customHeight="1">
      <c r="A761" s="208" t="s">
        <v>1781</v>
      </c>
      <c r="B761" s="36" t="s">
        <v>1769</v>
      </c>
      <c r="C761" s="209" t="s">
        <v>1782</v>
      </c>
    </row>
    <row r="762" spans="1:3" ht="12" customHeight="1">
      <c r="A762" s="12" t="s">
        <v>1783</v>
      </c>
      <c r="B762" s="36" t="s">
        <v>1769</v>
      </c>
      <c r="C762" s="14" t="s">
        <v>1784</v>
      </c>
    </row>
    <row r="763" spans="1:3" ht="12" customHeight="1">
      <c r="A763" s="12" t="s">
        <v>1785</v>
      </c>
      <c r="B763" s="36" t="s">
        <v>1769</v>
      </c>
      <c r="C763" s="14" t="s">
        <v>1786</v>
      </c>
    </row>
    <row r="764" spans="1:3" ht="12" customHeight="1">
      <c r="A764" s="71" t="s">
        <v>1787</v>
      </c>
      <c r="B764" s="154" t="s">
        <v>1788</v>
      </c>
      <c r="C764" s="72" t="s">
        <v>1789</v>
      </c>
    </row>
    <row r="765" spans="1:3" ht="12" customHeight="1">
      <c r="A765" s="71" t="s">
        <v>1790</v>
      </c>
      <c r="B765" s="154" t="s">
        <v>1788</v>
      </c>
      <c r="C765" s="72" t="s">
        <v>1791</v>
      </c>
    </row>
    <row r="766" spans="1:3" ht="12" customHeight="1">
      <c r="A766" s="71" t="s">
        <v>1792</v>
      </c>
      <c r="B766" s="154" t="s">
        <v>1788</v>
      </c>
      <c r="C766" s="72" t="s">
        <v>1793</v>
      </c>
    </row>
    <row r="767" spans="1:3" ht="12" customHeight="1">
      <c r="A767" s="71" t="s">
        <v>1794</v>
      </c>
      <c r="B767" s="154" t="s">
        <v>1788</v>
      </c>
      <c r="C767" s="72" t="s">
        <v>1795</v>
      </c>
    </row>
    <row r="768" spans="1:3" ht="12" customHeight="1">
      <c r="A768" s="71" t="s">
        <v>1796</v>
      </c>
      <c r="B768" s="154" t="s">
        <v>1788</v>
      </c>
      <c r="C768" s="72" t="s">
        <v>1797</v>
      </c>
    </row>
    <row r="769" spans="1:3" ht="12" customHeight="1">
      <c r="A769" s="71" t="s">
        <v>1798</v>
      </c>
      <c r="B769" s="154" t="s">
        <v>1788</v>
      </c>
      <c r="C769" s="72" t="s">
        <v>1799</v>
      </c>
    </row>
    <row r="770" spans="1:3" ht="12" customHeight="1">
      <c r="A770" s="71" t="s">
        <v>1800</v>
      </c>
      <c r="B770" s="154" t="s">
        <v>1788</v>
      </c>
      <c r="C770" s="72" t="s">
        <v>1801</v>
      </c>
    </row>
    <row r="771" spans="1:3" ht="12" customHeight="1">
      <c r="A771" s="71" t="s">
        <v>1802</v>
      </c>
      <c r="B771" s="154" t="s">
        <v>1788</v>
      </c>
      <c r="C771" s="72" t="s">
        <v>1803</v>
      </c>
    </row>
    <row r="772" spans="1:3" ht="12" customHeight="1">
      <c r="A772" s="71" t="s">
        <v>1804</v>
      </c>
      <c r="B772" s="154" t="s">
        <v>1788</v>
      </c>
      <c r="C772" s="72" t="s">
        <v>1805</v>
      </c>
    </row>
    <row r="773" spans="1:3" ht="12" customHeight="1">
      <c r="A773" s="71" t="s">
        <v>1806</v>
      </c>
      <c r="B773" s="154" t="s">
        <v>1788</v>
      </c>
      <c r="C773" s="72" t="s">
        <v>1807</v>
      </c>
    </row>
    <row r="774" spans="1:3" ht="12" customHeight="1">
      <c r="A774" s="71" t="s">
        <v>1808</v>
      </c>
      <c r="B774" s="108" t="s">
        <v>1809</v>
      </c>
      <c r="C774" s="72" t="s">
        <v>1810</v>
      </c>
    </row>
    <row r="775" spans="1:3" ht="12" customHeight="1">
      <c r="A775" s="12" t="s">
        <v>1811</v>
      </c>
      <c r="B775" s="108" t="s">
        <v>1809</v>
      </c>
      <c r="C775" s="14" t="s">
        <v>1812</v>
      </c>
    </row>
    <row r="776" spans="1:3" ht="12" customHeight="1">
      <c r="A776" s="12" t="s">
        <v>1813</v>
      </c>
      <c r="B776" s="13" t="s">
        <v>1814</v>
      </c>
      <c r="C776" s="14" t="s">
        <v>1815</v>
      </c>
    </row>
    <row r="777" spans="1:3" ht="12" customHeight="1">
      <c r="A777" s="12" t="s">
        <v>1816</v>
      </c>
      <c r="B777" s="13" t="s">
        <v>1817</v>
      </c>
      <c r="C777" s="14" t="s">
        <v>1818</v>
      </c>
    </row>
    <row r="778" spans="1:3" ht="12" customHeight="1">
      <c r="A778" s="26" t="s">
        <v>1819</v>
      </c>
      <c r="B778" s="174">
        <v>5107010101</v>
      </c>
      <c r="C778" s="27" t="s">
        <v>1820</v>
      </c>
    </row>
    <row r="779" spans="1:3" ht="12" customHeight="1">
      <c r="A779" s="68" t="s">
        <v>1821</v>
      </c>
      <c r="B779" s="64" t="s">
        <v>1822</v>
      </c>
      <c r="C779" s="69" t="s">
        <v>1823</v>
      </c>
    </row>
    <row r="780" spans="1:3" ht="12" customHeight="1">
      <c r="A780" s="12" t="s">
        <v>1824</v>
      </c>
      <c r="B780" s="77" t="s">
        <v>1825</v>
      </c>
      <c r="C780" s="14" t="s">
        <v>1826</v>
      </c>
    </row>
    <row r="781" spans="1:3" ht="12" customHeight="1">
      <c r="A781" s="12" t="s">
        <v>1827</v>
      </c>
      <c r="B781" s="13" t="s">
        <v>1828</v>
      </c>
      <c r="C781" s="14" t="s">
        <v>1829</v>
      </c>
    </row>
    <row r="782" spans="1:3" ht="12" customHeight="1">
      <c r="A782" s="12" t="s">
        <v>1830</v>
      </c>
      <c r="B782" s="108" t="s">
        <v>1831</v>
      </c>
      <c r="C782" s="14" t="s">
        <v>1832</v>
      </c>
    </row>
    <row r="783" spans="1:3" ht="12" customHeight="1">
      <c r="A783" s="12" t="s">
        <v>1833</v>
      </c>
      <c r="B783" s="108" t="s">
        <v>1831</v>
      </c>
      <c r="C783" s="14" t="s">
        <v>1834</v>
      </c>
    </row>
    <row r="784" spans="1:3" ht="12" customHeight="1">
      <c r="A784" s="12" t="s">
        <v>1835</v>
      </c>
      <c r="B784" s="108" t="s">
        <v>1831</v>
      </c>
      <c r="C784" s="14" t="s">
        <v>1836</v>
      </c>
    </row>
    <row r="785" spans="1:3" ht="12" customHeight="1">
      <c r="A785" s="12" t="s">
        <v>1837</v>
      </c>
      <c r="B785" s="108" t="s">
        <v>1831</v>
      </c>
      <c r="C785" s="14" t="s">
        <v>1838</v>
      </c>
    </row>
    <row r="786" spans="1:3" ht="12" customHeight="1">
      <c r="A786" s="12" t="s">
        <v>1839</v>
      </c>
      <c r="B786" s="108" t="s">
        <v>1831</v>
      </c>
      <c r="C786" s="14" t="s">
        <v>1840</v>
      </c>
    </row>
    <row r="787" spans="1:3" ht="12" customHeight="1">
      <c r="A787" s="12" t="s">
        <v>1841</v>
      </c>
      <c r="B787" s="108" t="s">
        <v>1831</v>
      </c>
      <c r="C787" s="14" t="s">
        <v>1842</v>
      </c>
    </row>
    <row r="788" spans="1:3" ht="12" customHeight="1">
      <c r="A788" s="12" t="s">
        <v>1843</v>
      </c>
      <c r="B788" s="108" t="s">
        <v>1831</v>
      </c>
      <c r="C788" s="14" t="s">
        <v>1844</v>
      </c>
    </row>
    <row r="789" spans="1:3" ht="12" customHeight="1">
      <c r="A789" s="22" t="s">
        <v>1845</v>
      </c>
      <c r="B789" s="79" t="s">
        <v>1846</v>
      </c>
      <c r="C789" s="23" t="s">
        <v>1847</v>
      </c>
    </row>
    <row r="790" spans="1:3" ht="12" customHeight="1">
      <c r="A790" s="12" t="s">
        <v>1848</v>
      </c>
      <c r="B790" s="79" t="s">
        <v>1846</v>
      </c>
      <c r="C790" s="14" t="s">
        <v>1849</v>
      </c>
    </row>
    <row r="791" spans="1:3" ht="12" customHeight="1">
      <c r="A791" s="71" t="s">
        <v>1850</v>
      </c>
      <c r="B791" s="79" t="s">
        <v>1846</v>
      </c>
      <c r="C791" s="72" t="s">
        <v>1851</v>
      </c>
    </row>
    <row r="792" spans="1:3" ht="12" customHeight="1">
      <c r="A792" s="12" t="s">
        <v>1852</v>
      </c>
      <c r="B792" s="79" t="s">
        <v>1846</v>
      </c>
      <c r="C792" s="14" t="s">
        <v>1853</v>
      </c>
    </row>
    <row r="793" spans="1:3" ht="12" customHeight="1">
      <c r="A793" s="122" t="s">
        <v>1854</v>
      </c>
      <c r="B793" s="79" t="s">
        <v>1846</v>
      </c>
      <c r="C793" s="123" t="s">
        <v>1855</v>
      </c>
    </row>
    <row r="794" spans="1:3" ht="12" customHeight="1">
      <c r="A794" s="22" t="s">
        <v>1856</v>
      </c>
      <c r="B794" s="79" t="s">
        <v>1846</v>
      </c>
      <c r="C794" s="23" t="s">
        <v>1857</v>
      </c>
    </row>
    <row r="795" spans="1:3" ht="12" customHeight="1">
      <c r="A795" s="22" t="s">
        <v>1858</v>
      </c>
      <c r="B795" s="79" t="s">
        <v>1846</v>
      </c>
      <c r="C795" s="23" t="s">
        <v>1859</v>
      </c>
    </row>
    <row r="796" spans="1:3" ht="12" customHeight="1">
      <c r="A796" s="33" t="s">
        <v>1860</v>
      </c>
      <c r="B796" s="210" t="s">
        <v>1861</v>
      </c>
      <c r="C796" s="35" t="s">
        <v>1862</v>
      </c>
    </row>
    <row r="797" spans="1:3" ht="12" customHeight="1">
      <c r="A797" s="12" t="s">
        <v>1863</v>
      </c>
      <c r="B797" s="13" t="s">
        <v>1864</v>
      </c>
      <c r="C797" s="14" t="s">
        <v>1865</v>
      </c>
    </row>
    <row r="798" spans="1:3" ht="12" customHeight="1">
      <c r="A798" s="12" t="s">
        <v>1866</v>
      </c>
      <c r="B798" s="13" t="s">
        <v>1867</v>
      </c>
      <c r="C798" s="14" t="s">
        <v>1868</v>
      </c>
    </row>
    <row r="799" spans="1:3" ht="12" customHeight="1">
      <c r="A799" s="66" t="s">
        <v>1869</v>
      </c>
      <c r="B799" s="207" t="s">
        <v>1870</v>
      </c>
      <c r="C799" s="67" t="s">
        <v>1871</v>
      </c>
    </row>
    <row r="800" spans="1:3" ht="12" customHeight="1">
      <c r="A800" s="12" t="s">
        <v>1872</v>
      </c>
      <c r="B800" s="207" t="s">
        <v>1873</v>
      </c>
      <c r="C800" s="14" t="s">
        <v>1874</v>
      </c>
    </row>
    <row r="801" spans="1:3" ht="12" customHeight="1">
      <c r="A801" s="12" t="s">
        <v>1875</v>
      </c>
      <c r="B801" s="207" t="s">
        <v>1876</v>
      </c>
      <c r="C801" s="14" t="s">
        <v>1877</v>
      </c>
    </row>
    <row r="802" spans="1:3" ht="12" customHeight="1">
      <c r="A802" s="66" t="s">
        <v>1878</v>
      </c>
      <c r="B802" s="207" t="s">
        <v>1879</v>
      </c>
      <c r="C802" s="67" t="s">
        <v>1880</v>
      </c>
    </row>
    <row r="803" spans="1:3" ht="12" customHeight="1">
      <c r="A803" s="66" t="s">
        <v>1881</v>
      </c>
      <c r="B803" s="207" t="s">
        <v>1882</v>
      </c>
      <c r="C803" s="67" t="s">
        <v>1883</v>
      </c>
    </row>
    <row r="804" spans="1:3" ht="12" customHeight="1">
      <c r="A804" s="12" t="s">
        <v>1884</v>
      </c>
      <c r="B804" s="207" t="s">
        <v>1885</v>
      </c>
      <c r="C804" s="14" t="s">
        <v>1886</v>
      </c>
    </row>
    <row r="805" spans="1:3" ht="12" customHeight="1">
      <c r="A805" s="66" t="s">
        <v>1887</v>
      </c>
      <c r="B805" s="207" t="s">
        <v>1888</v>
      </c>
      <c r="C805" s="67" t="s">
        <v>1889</v>
      </c>
    </row>
    <row r="806" spans="1:3" ht="12" customHeight="1">
      <c r="A806" s="12" t="s">
        <v>1890</v>
      </c>
      <c r="B806" s="207" t="s">
        <v>1891</v>
      </c>
      <c r="C806" s="14" t="s">
        <v>1892</v>
      </c>
    </row>
    <row r="807" spans="1:3" ht="12" customHeight="1">
      <c r="A807" s="12" t="s">
        <v>1893</v>
      </c>
      <c r="B807" s="207" t="s">
        <v>1894</v>
      </c>
      <c r="C807" s="14" t="s">
        <v>1895</v>
      </c>
    </row>
    <row r="808" spans="1:3" ht="12" customHeight="1">
      <c r="A808" s="55" t="s">
        <v>1896</v>
      </c>
      <c r="B808" s="207" t="s">
        <v>1897</v>
      </c>
      <c r="C808" s="157" t="s">
        <v>1898</v>
      </c>
    </row>
    <row r="809" spans="1:3" ht="12" customHeight="1">
      <c r="A809" s="66" t="s">
        <v>1899</v>
      </c>
      <c r="B809" s="207" t="s">
        <v>1900</v>
      </c>
      <c r="C809" s="67" t="s">
        <v>1901</v>
      </c>
    </row>
    <row r="810" spans="1:3" ht="12" customHeight="1">
      <c r="A810" s="66" t="s">
        <v>1902</v>
      </c>
      <c r="B810" s="207" t="s">
        <v>1903</v>
      </c>
      <c r="C810" s="67" t="s">
        <v>1904</v>
      </c>
    </row>
    <row r="811" spans="1:3" ht="12" customHeight="1">
      <c r="A811" s="66" t="s">
        <v>1905</v>
      </c>
      <c r="B811" s="207" t="s">
        <v>1906</v>
      </c>
      <c r="C811" s="67" t="s">
        <v>1907</v>
      </c>
    </row>
    <row r="812" spans="1:3" ht="12" customHeight="1">
      <c r="A812" s="55" t="s">
        <v>1908</v>
      </c>
      <c r="B812" s="207" t="s">
        <v>1909</v>
      </c>
      <c r="C812" s="157" t="s">
        <v>1910</v>
      </c>
    </row>
    <row r="813" spans="1:3" ht="12" customHeight="1">
      <c r="A813" s="12" t="s">
        <v>1911</v>
      </c>
      <c r="B813" s="207" t="s">
        <v>1912</v>
      </c>
      <c r="C813" s="14" t="s">
        <v>1913</v>
      </c>
    </row>
    <row r="814" spans="1:3" ht="12" customHeight="1">
      <c r="A814" s="12" t="s">
        <v>1914</v>
      </c>
      <c r="B814" s="207" t="s">
        <v>1915</v>
      </c>
      <c r="C814" s="14" t="s">
        <v>1916</v>
      </c>
    </row>
    <row r="815" spans="1:3" ht="12" customHeight="1">
      <c r="A815" s="12" t="s">
        <v>1917</v>
      </c>
      <c r="B815" s="13" t="s">
        <v>1918</v>
      </c>
      <c r="C815" s="14" t="s">
        <v>1919</v>
      </c>
    </row>
    <row r="816" spans="1:3" ht="12" customHeight="1">
      <c r="A816" s="12" t="s">
        <v>1920</v>
      </c>
      <c r="B816" s="13" t="s">
        <v>1921</v>
      </c>
      <c r="C816" s="14" t="s">
        <v>1922</v>
      </c>
    </row>
    <row r="817" spans="1:3" ht="12" customHeight="1">
      <c r="A817" s="122" t="s">
        <v>1923</v>
      </c>
      <c r="B817" s="13" t="s">
        <v>1924</v>
      </c>
      <c r="C817" s="123" t="s">
        <v>1925</v>
      </c>
    </row>
    <row r="818" spans="1:3" ht="12" customHeight="1">
      <c r="A818" s="12" t="s">
        <v>1926</v>
      </c>
      <c r="B818" s="13" t="s">
        <v>1927</v>
      </c>
      <c r="C818" s="14" t="s">
        <v>1928</v>
      </c>
    </row>
    <row r="819" spans="1:3" ht="12" customHeight="1">
      <c r="A819" s="12" t="s">
        <v>1929</v>
      </c>
      <c r="B819" s="13" t="s">
        <v>1930</v>
      </c>
      <c r="C819" s="14" t="s">
        <v>1931</v>
      </c>
    </row>
    <row r="820" spans="1:3" ht="12" customHeight="1">
      <c r="A820" s="76" t="s">
        <v>1932</v>
      </c>
      <c r="B820" s="90" t="s">
        <v>1933</v>
      </c>
      <c r="C820" s="78" t="s">
        <v>1934</v>
      </c>
    </row>
    <row r="821" spans="1:3" ht="12" customHeight="1">
      <c r="A821" s="84" t="s">
        <v>1935</v>
      </c>
      <c r="B821" s="64" t="s">
        <v>1936</v>
      </c>
      <c r="C821" s="85" t="s">
        <v>1937</v>
      </c>
    </row>
    <row r="822" spans="1:3" ht="12" customHeight="1">
      <c r="A822" s="12" t="s">
        <v>1938</v>
      </c>
      <c r="B822" s="13" t="s">
        <v>1939</v>
      </c>
      <c r="C822" s="14" t="s">
        <v>1940</v>
      </c>
    </row>
    <row r="823" spans="1:3" ht="12" customHeight="1">
      <c r="A823" s="211" t="s">
        <v>1941</v>
      </c>
      <c r="B823" s="13" t="s">
        <v>1942</v>
      </c>
      <c r="C823" s="186" t="s">
        <v>1943</v>
      </c>
    </row>
    <row r="824" spans="1:3" ht="12" customHeight="1">
      <c r="A824" s="91" t="s">
        <v>1944</v>
      </c>
      <c r="B824" s="13" t="s">
        <v>1945</v>
      </c>
      <c r="C824" s="93" t="s">
        <v>1946</v>
      </c>
    </row>
    <row r="825" spans="1:3" ht="12" customHeight="1">
      <c r="A825" s="91" t="s">
        <v>1947</v>
      </c>
      <c r="B825" s="212" t="s">
        <v>1948</v>
      </c>
      <c r="C825" s="14" t="s">
        <v>1949</v>
      </c>
    </row>
    <row r="826" spans="1:3" ht="12" customHeight="1">
      <c r="A826" s="91" t="s">
        <v>1950</v>
      </c>
      <c r="B826" s="212">
        <v>5211010102</v>
      </c>
      <c r="C826" s="93" t="s">
        <v>1951</v>
      </c>
    </row>
    <row r="827" spans="1:3" ht="12" customHeight="1">
      <c r="A827" s="171" t="s">
        <v>1952</v>
      </c>
      <c r="B827" s="108" t="s">
        <v>1953</v>
      </c>
      <c r="C827" s="172" t="s">
        <v>1954</v>
      </c>
    </row>
    <row r="828" spans="1:3" ht="12" customHeight="1">
      <c r="A828" s="213" t="s">
        <v>1955</v>
      </c>
      <c r="B828" s="108" t="s">
        <v>1953</v>
      </c>
      <c r="C828" s="214" t="s">
        <v>1956</v>
      </c>
    </row>
    <row r="829" spans="1:3" ht="12" customHeight="1">
      <c r="A829" s="12" t="s">
        <v>1957</v>
      </c>
      <c r="B829" s="108" t="s">
        <v>1953</v>
      </c>
      <c r="C829" s="14" t="s">
        <v>1958</v>
      </c>
    </row>
    <row r="830" spans="1:3" ht="12" customHeight="1">
      <c r="A830" s="171" t="s">
        <v>1959</v>
      </c>
      <c r="B830" s="108" t="s">
        <v>1953</v>
      </c>
      <c r="C830" s="172" t="s">
        <v>1960</v>
      </c>
    </row>
    <row r="831" spans="1:3" ht="12" customHeight="1">
      <c r="A831" s="12" t="s">
        <v>1961</v>
      </c>
      <c r="B831" s="108" t="s">
        <v>1953</v>
      </c>
      <c r="C831" s="14" t="s">
        <v>1962</v>
      </c>
    </row>
    <row r="832" spans="1:3" ht="12" customHeight="1">
      <c r="A832" s="12" t="s">
        <v>1963</v>
      </c>
      <c r="B832" s="108" t="s">
        <v>1953</v>
      </c>
      <c r="C832" s="14" t="s">
        <v>1964</v>
      </c>
    </row>
    <row r="833" spans="1:3" ht="12" customHeight="1">
      <c r="A833" s="122" t="s">
        <v>1965</v>
      </c>
      <c r="B833" s="108" t="s">
        <v>1953</v>
      </c>
      <c r="C833" s="123" t="s">
        <v>1966</v>
      </c>
    </row>
    <row r="834" spans="1:3" ht="12" customHeight="1">
      <c r="A834" s="12" t="s">
        <v>1967</v>
      </c>
      <c r="B834" s="108" t="s">
        <v>1953</v>
      </c>
      <c r="C834" s="14" t="s">
        <v>1968</v>
      </c>
    </row>
    <row r="835" spans="1:3" ht="12" customHeight="1">
      <c r="A835" s="169" t="s">
        <v>1969</v>
      </c>
      <c r="B835" s="108" t="s">
        <v>1953</v>
      </c>
      <c r="C835" s="14" t="s">
        <v>1970</v>
      </c>
    </row>
    <row r="836" spans="1:3" ht="12" customHeight="1">
      <c r="A836" s="12" t="s">
        <v>1971</v>
      </c>
      <c r="B836" s="108" t="s">
        <v>1953</v>
      </c>
      <c r="C836" s="14" t="s">
        <v>1972</v>
      </c>
    </row>
    <row r="837" spans="1:3" ht="12" customHeight="1">
      <c r="A837" s="12" t="s">
        <v>1973</v>
      </c>
      <c r="B837" s="108" t="s">
        <v>1953</v>
      </c>
      <c r="C837" s="14" t="s">
        <v>1974</v>
      </c>
    </row>
    <row r="838" spans="1:3" ht="12" customHeight="1">
      <c r="A838" s="12" t="s">
        <v>1975</v>
      </c>
      <c r="B838" s="108" t="s">
        <v>1953</v>
      </c>
      <c r="C838" s="14" t="s">
        <v>1976</v>
      </c>
    </row>
    <row r="839" spans="1:3" ht="12" customHeight="1">
      <c r="A839" s="136" t="s">
        <v>1977</v>
      </c>
      <c r="B839" s="108" t="s">
        <v>1953</v>
      </c>
      <c r="C839" s="137" t="s">
        <v>1978</v>
      </c>
    </row>
    <row r="840" spans="1:3" ht="12" customHeight="1">
      <c r="A840" s="63" t="s">
        <v>1979</v>
      </c>
      <c r="B840" s="109" t="s">
        <v>1980</v>
      </c>
      <c r="C840" s="65" t="s">
        <v>1981</v>
      </c>
    </row>
    <row r="841" spans="1:3" ht="12" customHeight="1">
      <c r="A841" s="215"/>
      <c r="C841" s="216" t="s">
        <v>1982</v>
      </c>
    </row>
    <row r="842" spans="1:3" ht="12" customHeight="1">
      <c r="A842" s="217"/>
      <c r="C842" s="218"/>
    </row>
    <row r="843" spans="1:3" ht="12" customHeight="1">
      <c r="A843" s="217"/>
      <c r="C843" s="218"/>
    </row>
    <row r="844" spans="1:3" ht="12" customHeight="1">
      <c r="A844" s="217"/>
      <c r="C844" s="219" t="s">
        <v>1983</v>
      </c>
    </row>
    <row r="845" spans="1:3" ht="12" customHeight="1">
      <c r="A845" s="217"/>
      <c r="C845" s="218"/>
    </row>
    <row r="846" spans="1:3" ht="12" customHeight="1">
      <c r="A846" s="217"/>
      <c r="C846" s="218"/>
    </row>
    <row r="847" spans="1:3" ht="12" customHeight="1">
      <c r="A847" s="217"/>
      <c r="B847" s="143"/>
      <c r="C847" s="218"/>
    </row>
    <row r="848" spans="1:3" ht="12" customHeight="1">
      <c r="A848" s="217"/>
      <c r="C848" s="218"/>
    </row>
    <row r="849" spans="1:3" ht="12" customHeight="1">
      <c r="A849" s="217"/>
      <c r="C849" s="218"/>
    </row>
    <row r="850" spans="1:3" ht="12" customHeight="1">
      <c r="A850" s="217"/>
      <c r="C850" s="218"/>
    </row>
    <row r="851" spans="1:3" ht="12" customHeight="1">
      <c r="A851" s="217"/>
      <c r="C851" s="218"/>
    </row>
    <row r="852" spans="1:3" ht="12" customHeight="1">
      <c r="A852" s="217"/>
      <c r="C852" s="218"/>
    </row>
    <row r="853" spans="1:3" ht="12" customHeight="1">
      <c r="A853" s="217"/>
      <c r="C853" s="218"/>
    </row>
    <row r="854" spans="1:3" ht="12" customHeight="1">
      <c r="A854" s="217"/>
      <c r="C854" s="218"/>
    </row>
    <row r="855" spans="1:3" ht="12" customHeight="1">
      <c r="A855" s="217"/>
      <c r="C855" s="218"/>
    </row>
    <row r="856" spans="1:3" ht="12" customHeight="1">
      <c r="A856" s="217"/>
      <c r="C856" s="218"/>
    </row>
    <row r="857" spans="1:3" ht="12" customHeight="1">
      <c r="A857" s="217"/>
      <c r="C857" s="218"/>
    </row>
    <row r="858" spans="1:3" ht="12" customHeight="1">
      <c r="A858" s="217"/>
      <c r="C858" s="218"/>
    </row>
    <row r="859" spans="1:3" ht="12" customHeight="1">
      <c r="A859" s="217"/>
      <c r="C859" s="218"/>
    </row>
    <row r="860" spans="1:3" ht="12" customHeight="1">
      <c r="A860" s="217"/>
      <c r="C860" s="218"/>
    </row>
    <row r="862" spans="1:3" ht="12" customHeight="1">
      <c r="A862" s="16"/>
      <c r="C862" s="16"/>
    </row>
    <row r="863" spans="1:3" ht="12" customHeight="1">
      <c r="A863" s="16"/>
      <c r="C863" s="16"/>
    </row>
    <row r="864" spans="1:3" ht="12" customHeight="1">
      <c r="A864" s="16"/>
      <c r="C864" s="16"/>
    </row>
    <row r="865" spans="1:3" ht="12" customHeight="1">
      <c r="A865" s="16"/>
      <c r="C865" s="16"/>
    </row>
    <row r="866" spans="1:3" ht="12" customHeight="1">
      <c r="A866" s="16"/>
      <c r="C866" s="16"/>
    </row>
    <row r="867" spans="1:3" ht="12" customHeight="1">
      <c r="A867" s="16"/>
      <c r="C867" s="16"/>
    </row>
    <row r="868" spans="1:3" ht="12" customHeight="1">
      <c r="A868" s="16"/>
      <c r="C868" s="16"/>
    </row>
    <row r="869" spans="1:3" ht="12" customHeight="1">
      <c r="A869" s="16"/>
      <c r="C869" s="16"/>
    </row>
    <row r="870" spans="1:3" ht="12" customHeight="1">
      <c r="A870" s="16"/>
      <c r="C870" s="16"/>
    </row>
    <row r="871" spans="1:3" ht="12" customHeight="1">
      <c r="A871" s="16"/>
      <c r="C871" s="16"/>
    </row>
    <row r="872" spans="1:3" ht="12" customHeight="1">
      <c r="A872" s="16"/>
      <c r="C872" s="16"/>
    </row>
    <row r="873" spans="1:3" ht="12" customHeight="1">
      <c r="A873" s="16"/>
      <c r="C873" s="16"/>
    </row>
    <row r="874" spans="1:3" ht="12" customHeight="1">
      <c r="A874" s="16"/>
      <c r="C874" s="16"/>
    </row>
    <row r="875" spans="1:3" ht="12" customHeight="1">
      <c r="A875" s="16"/>
      <c r="C875" s="16"/>
    </row>
    <row r="876" spans="1:3" ht="12" customHeight="1">
      <c r="A876" s="16"/>
      <c r="C876" s="16"/>
    </row>
    <row r="877" spans="1:3" ht="12" customHeight="1">
      <c r="A877" s="16"/>
      <c r="C877" s="16"/>
    </row>
  </sheetData>
  <pageMargins left="0.23622047244094491" right="0.23622047244094491" top="0.55118110236220474" bottom="0.27559055118110237" header="1.0629921259842521" footer="0"/>
  <pageSetup paperSize="9" scale="84" orientation="landscape" horizontalDpi="1200" verticalDpi="1200" r:id="rId1"/>
  <headerFooter alignWithMargins="0">
    <oddFooter>&amp;R&amp;"BrowalliaUPC,ธรรมดา"NEW--รพ.วชิระภก(รวม-สค.69) -- หน้า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สค.69 (4)</vt:lpstr>
      <vt:lpstr>'สค.69 (4)'!Print_Titles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chanikanp</dc:creator>
  <cp:lastModifiedBy>chanikanp</cp:lastModifiedBy>
  <dcterms:created xsi:type="dcterms:W3CDTF">2026-10-08T04:18:28Z</dcterms:created>
  <dcterms:modified xsi:type="dcterms:W3CDTF">2026-10-08T04:27:39Z</dcterms:modified>
</cp:coreProperties>
</file>