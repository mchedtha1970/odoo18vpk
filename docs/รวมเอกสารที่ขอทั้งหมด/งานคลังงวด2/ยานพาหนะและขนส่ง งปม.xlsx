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150" windowWidth="27900" windowHeight="12285"/>
  </bookViews>
  <sheets>
    <sheet name="ยานพาหนะ งปม." sheetId="1" r:id="rId1"/>
  </sheets>
  <definedNames>
    <definedName name="_xlnm._FilterDatabase" localSheetId="0" hidden="1">'ยานพาหนะ งปม.'!$A$5:$F$5</definedName>
    <definedName name="_xlnm.Print_Area" localSheetId="0">'ยานพาหนะ งปม.'!$A$2:$M$19</definedName>
  </definedNames>
  <calcPr calcId="124519"/>
</workbook>
</file>

<file path=xl/calcChain.xml><?xml version="1.0" encoding="utf-8"?>
<calcChain xmlns="http://schemas.openxmlformats.org/spreadsheetml/2006/main">
  <c r="J6" i="1"/>
  <c r="K6"/>
  <c r="L6" s="1"/>
  <c r="M6"/>
  <c r="J7"/>
  <c r="K7"/>
  <c r="L7" s="1"/>
  <c r="M7"/>
  <c r="J8"/>
  <c r="K8"/>
  <c r="L8" s="1"/>
  <c r="M8"/>
  <c r="J9"/>
  <c r="K9"/>
  <c r="L9" s="1"/>
  <c r="M9"/>
  <c r="J10"/>
  <c r="K10"/>
  <c r="L10" s="1"/>
  <c r="M10"/>
  <c r="J11"/>
  <c r="K11"/>
  <c r="L11" s="1"/>
  <c r="M11"/>
  <c r="J12"/>
  <c r="K12"/>
  <c r="L12" s="1"/>
  <c r="M12"/>
  <c r="J13"/>
  <c r="K13"/>
  <c r="L13" s="1"/>
  <c r="M13"/>
  <c r="J14"/>
  <c r="K14"/>
  <c r="L14" s="1"/>
  <c r="M14"/>
  <c r="J15"/>
  <c r="K15"/>
  <c r="L15" s="1"/>
  <c r="M15"/>
  <c r="J16"/>
  <c r="K16"/>
  <c r="L16" s="1"/>
  <c r="M16"/>
  <c r="J17"/>
  <c r="K17"/>
  <c r="L17" s="1"/>
  <c r="M17"/>
  <c r="J18"/>
  <c r="K18"/>
  <c r="L18" s="1"/>
  <c r="M18"/>
  <c r="J19"/>
  <c r="K19"/>
  <c r="L19" s="1"/>
  <c r="M19"/>
  <c r="E67"/>
  <c r="F67"/>
  <c r="G67"/>
  <c r="F71" s="1"/>
  <c r="H67"/>
  <c r="G71" s="1"/>
  <c r="I67"/>
  <c r="E71"/>
  <c r="H71"/>
</calcChain>
</file>

<file path=xl/sharedStrings.xml><?xml version="1.0" encoding="utf-8"?>
<sst xmlns="http://schemas.openxmlformats.org/spreadsheetml/2006/main" count="184" uniqueCount="156">
  <si>
    <t>ครุภัณฑ์ประจำปี 69</t>
  </si>
  <si>
    <t>มูลค่าสุทธิ</t>
  </si>
  <si>
    <t>ค่าเสื่อมสะสม</t>
  </si>
  <si>
    <t>ประจำปี</t>
  </si>
  <si>
    <t>มูลค่ารวม</t>
  </si>
  <si>
    <t>2310-001-0001/3(69)</t>
  </si>
  <si>
    <t>รถพยาบาลรถตู้พยาบาลพร้อมอุปกรณ์ช่วยชีวิตฉุกเฉิน</t>
  </si>
  <si>
    <t>2310-003-0002/1(69)</t>
  </si>
  <si>
    <t>รถตู้นั่ง/ทะเบียน</t>
  </si>
  <si>
    <t>2310-001-0003/2(57)</t>
  </si>
  <si>
    <t>110000332319</t>
  </si>
  <si>
    <t>รถตู้พยาบาลพร้อมอุปกรณ์ช่วยชีวิต/ทะเบียน กว-6769</t>
  </si>
  <si>
    <t>2310-001-0003/1(57)</t>
  </si>
  <si>
    <t>110000332318</t>
  </si>
  <si>
    <t>รถตู้พยาบาลพร้อมอุปกรณ์ช่วยชีวิต/ทะเบียน กว-6610</t>
  </si>
  <si>
    <t>2320-008-0003/1(68)</t>
  </si>
  <si>
    <t>110000363319</t>
  </si>
  <si>
    <t>รถยนต์บรรทุก ทะเบียน 81-2450 ภูเก็ต</t>
  </si>
  <si>
    <t>2310-003-0002/1(67)</t>
  </si>
  <si>
    <t>110000199328</t>
  </si>
  <si>
    <t>รถตู้โดยสารหลังคาสูง/ทะเบียน</t>
  </si>
  <si>
    <t>2320-014-0001/1(64)</t>
  </si>
  <si>
    <t>ชนิด 0500010 เทรเลอร์ ขนาด 1.8*4 เมตร</t>
  </si>
  <si>
    <t>2340-001-0002/3(63)</t>
  </si>
  <si>
    <t>110000389352</t>
  </si>
  <si>
    <t>ชนิด 0500009 รถเข็นอาหารขับเคลื่อนด้วยระบบไฟฟ้า ยี่ห้อ Sunpex รุ่น TC4010</t>
  </si>
  <si>
    <t>2340-001-0002/2(63)</t>
  </si>
  <si>
    <t>110000389341</t>
  </si>
  <si>
    <t>2340-001-0002/1(63)</t>
  </si>
  <si>
    <t>110000389331</t>
  </si>
  <si>
    <t>ชนิด 0500009 รถขับเคลื่อนไฟฟ้าชนิดนั่งขับ พร้อมตู้ตะแกรงสเตนเลส ยี่ห้อ Sunpex รุ่น TC 4010</t>
  </si>
  <si>
    <t>2340-001-0005/3(63)</t>
  </si>
  <si>
    <t>110000389306</t>
  </si>
  <si>
    <t>ชนิด 0500009  รถไฟฟ้าแบบยืนขับพร้อมตู้สแตนเลส ยี่ห้อ Sunpex รุ่น TC4010</t>
  </si>
  <si>
    <t>2340-001-0005/2(63)</t>
  </si>
  <si>
    <t>110000389299</t>
  </si>
  <si>
    <t>2340-001-0005/1(63)</t>
  </si>
  <si>
    <t>110000389292</t>
  </si>
  <si>
    <t>2310-001-0003/3(63)</t>
  </si>
  <si>
    <t>110000389270</t>
  </si>
  <si>
    <t>ชนิด 0500006 รถตู้พยาบาล/A2</t>
  </si>
  <si>
    <t>2310-001-0003/2(63)</t>
  </si>
  <si>
    <t>110000389257</t>
  </si>
  <si>
    <t>ชนิด 0500006 รถตู้พยาบาล/A3</t>
  </si>
  <si>
    <t>2310-001-0003/1(63)</t>
  </si>
  <si>
    <t>110000389244</t>
  </si>
  <si>
    <t xml:space="preserve">ชนิด 0500006 รถตู้พยาบาล/A1 </t>
  </si>
  <si>
    <t>2310-001-0004/1(62)</t>
  </si>
  <si>
    <t>100000356717</t>
  </si>
  <si>
    <t>ชนิด 0500010 รถรับบริจาคโลหิตเคลื่อนที่ 6 เตียงพร้อมอุปกรณ์ ยี่ห้อ ISUZU 240 แรงม้า 6 ล้อ หมายเลขเครื่อง 6HK1-TB2207</t>
  </si>
  <si>
    <t>2320-006-0011/2(62)</t>
  </si>
  <si>
    <t>110000388900</t>
  </si>
  <si>
    <t>ชนิด 0500009 รถกอล์ฟไฟฟ้า 6 ที่นั่ง ยี่ห้อ SEV รุ่น SEV 6 Standard</t>
  </si>
  <si>
    <t>2320-006-0011/1(62)</t>
  </si>
  <si>
    <t>110000387169</t>
  </si>
  <si>
    <t>2310-003-0010/2(62)</t>
  </si>
  <si>
    <t>110000387158</t>
  </si>
  <si>
    <t>ชนิด 0500010 รถตู้โดยสาร ยี่ห้อ TOYOTA COMMUTER รุ่น 3.0 เกียร์อัตโนมัติ</t>
  </si>
  <si>
    <t>2310-003-0010/1(62)</t>
  </si>
  <si>
    <t>110000387149</t>
  </si>
  <si>
    <t>2340-001-0002/3(62)</t>
  </si>
  <si>
    <t>110000387137</t>
  </si>
  <si>
    <t>ชนิด 0500009 รถขับเคลื่อนด้วยระบบไฟฟ้าชนิดนั่งขับ แบบตู้ทึบสแตนเลส</t>
  </si>
  <si>
    <t>2340-001-0002/2(62)</t>
  </si>
  <si>
    <t>110000386927</t>
  </si>
  <si>
    <t>2340-001-0002/1(62)</t>
  </si>
  <si>
    <t>110000386901</t>
  </si>
  <si>
    <t>2310-003-0010/1(61)</t>
  </si>
  <si>
    <t>110000386896</t>
  </si>
  <si>
    <t>ชนิด 0500008 รถตู้โดยสาร ยี่ห้อ Toyota รุ่น Commuter (บริจาค)</t>
  </si>
  <si>
    <t>2340-001-0002/7(61)</t>
  </si>
  <si>
    <t>110000386893</t>
  </si>
  <si>
    <t>ชนิด 0500009 รถขับเคลื่อนด้วยระบบไฟฟ้าชนิดนั่งขับ พร้อมตู้สแตนเลส ยี่ห้อ SUNPEX รุ่น TC4010</t>
  </si>
  <si>
    <t>2340-001-0002/2(61)</t>
  </si>
  <si>
    <t>110000386888</t>
  </si>
  <si>
    <t>ชนิด 0500009 รถขับเคลื่อนด้วยระบบไฟฟ้าชนิดนั่งขับ พร้อมตู้ตะแกรง (บริจาค)</t>
  </si>
  <si>
    <t>2340-001-0002/1(61)</t>
  </si>
  <si>
    <t>110000386884</t>
  </si>
  <si>
    <t>2340-001-0002/6(61)</t>
  </si>
  <si>
    <t>110000386878</t>
  </si>
  <si>
    <t>2340-001-0002/5(61)</t>
  </si>
  <si>
    <t>110000386486</t>
  </si>
  <si>
    <t>2340-001-0002/4(61)</t>
  </si>
  <si>
    <t>110000386483</t>
  </si>
  <si>
    <t>2340-001-0002/3(61)</t>
  </si>
  <si>
    <t>110000386475</t>
  </si>
  <si>
    <t>2320-008-0003/1(61)</t>
  </si>
  <si>
    <t>100000265884</t>
  </si>
  <si>
    <t xml:space="preserve">ชนิด 0500009 รถบรรทุกเครื่องยนต์ดีเซล ขนาด 1 ตัน พร้อมหลังคาไฟเบอร์กลาสหรือเหล็ก ยี่ห้อ TOYOTA รุ่น Hilux Revo </t>
  </si>
  <si>
    <t>2340-001-0002/11(60)</t>
  </si>
  <si>
    <t>110000386464</t>
  </si>
  <si>
    <t>2340-001-0002/10(60)</t>
  </si>
  <si>
    <t>110000386458</t>
  </si>
  <si>
    <t>2340-001-0002/9(60)</t>
  </si>
  <si>
    <t>110000386453</t>
  </si>
  <si>
    <t>2340-001-0002/8(60)</t>
  </si>
  <si>
    <t>110000385048</t>
  </si>
  <si>
    <t>2310-001-0004/1(58)</t>
  </si>
  <si>
    <t>110000385044</t>
  </si>
  <si>
    <t>ชนิด 0500009 รถทันตกรรมเคลื่อนที่ ยี่ห้อ ฮีโน่ รุ่น FC8JRLA ขนาด 212 แรงม้า (3/8/2558)</t>
  </si>
  <si>
    <t>2340-001-0002/4(57)</t>
  </si>
  <si>
    <t>110000384957</t>
  </si>
  <si>
    <t>ชนิด 0500009 รถไฟฟ้าแบบยืนขับพร้อมตู้สแตนเลส (29/7/2557)</t>
  </si>
  <si>
    <t>2340-001-0002/5(57)</t>
  </si>
  <si>
    <t>110000384952</t>
  </si>
  <si>
    <t>ชนิด 0500009 รถไฟฟ้าแบบยืนขับพร้อมตู้สแตนเลส (6/6/2557)</t>
  </si>
  <si>
    <t>2340-001-0002/3(57)</t>
  </si>
  <si>
    <t>110000384940</t>
  </si>
  <si>
    <t>ชนิด 0500009 มอเตอร์ไซด์ไฟฟ้า รุ่น BEE (13/2/2557)</t>
  </si>
  <si>
    <t>2340-001-0002/2(57)</t>
  </si>
  <si>
    <t>110000384933</t>
  </si>
  <si>
    <t>ชนิด 0500009 มอเตอร์ไซด์ไฟฟ้า รุ่น BEE (27/1/2557)</t>
  </si>
  <si>
    <t>2310-003-0002/2(57)</t>
  </si>
  <si>
    <t>110000384926</t>
  </si>
  <si>
    <t>ชนิด 0500002 รถยนต์เอนกประสงค์ 7 ที่นั่ง ชนิด 5 ประตู ยี่ห้อ Chevrolet รุ่น Trailblazer 2.8 4WD LTZ1 (24/12/2556)</t>
  </si>
  <si>
    <t>2320-008-0016/2(56)</t>
  </si>
  <si>
    <t>110000384920</t>
  </si>
  <si>
    <r>
      <t xml:space="preserve">ชนิด 0500002 รถยนต์มีหลังคาไฟเบอร์ Cargobox CBL </t>
    </r>
    <r>
      <rPr>
        <b/>
        <u/>
        <sz val="16"/>
        <color rgb="FFFF0000"/>
        <rFont val="Angsana New"/>
        <family val="1"/>
      </rPr>
      <t>(บ15-7-2556)</t>
    </r>
  </si>
  <si>
    <t>2320-006-0011/2(56)</t>
  </si>
  <si>
    <t>110000384910</t>
  </si>
  <si>
    <r>
      <t xml:space="preserve">ชนิด 0500008 รถไฟฟ้า รุ่น Challenger 6S สีขาว </t>
    </r>
    <r>
      <rPr>
        <b/>
        <u/>
        <sz val="16"/>
        <color rgb="FFFF0000"/>
        <rFont val="Angsana New"/>
        <family val="1"/>
      </rPr>
      <t>(บ11-7-2556)</t>
    </r>
  </si>
  <si>
    <t>2320-006-0011/1(56)</t>
  </si>
  <si>
    <t>110000384734</t>
  </si>
  <si>
    <r>
      <t xml:space="preserve">ชนิด 0500008 รถไฟฟ้า รุ่น Golf Plus D 4S+2 ที่นั่ง </t>
    </r>
    <r>
      <rPr>
        <b/>
        <u/>
        <sz val="16"/>
        <color rgb="FFFF0000"/>
        <rFont val="Angsana New"/>
        <family val="1"/>
      </rPr>
      <t>(บ1-7-2556)</t>
    </r>
  </si>
  <si>
    <t xml:space="preserve">2310-001-0003/2(54) </t>
  </si>
  <si>
    <t>ชนิด 0500006  รถตู้พยาบาลพร้อมอุปกรณ์ช่วยชีวิต  (1/11/2553) งปม.</t>
  </si>
  <si>
    <t>2320-008-0016/1(51)</t>
  </si>
  <si>
    <t>ชนิด 0500007 รถยนต์กระบะ</t>
  </si>
  <si>
    <r>
      <t xml:space="preserve">2320-008-0016/1  </t>
    </r>
    <r>
      <rPr>
        <b/>
        <u/>
        <sz val="16"/>
        <color rgb="FFFF0000"/>
        <rFont val="Angsana New"/>
        <family val="1"/>
      </rPr>
      <t xml:space="preserve">บริจาค  </t>
    </r>
  </si>
  <si>
    <t>ชนิด 0500005 รถยนต์กระบะตอนครึ่ง</t>
  </si>
  <si>
    <t>2320-002-0002/1</t>
  </si>
  <si>
    <t>ชนิด 0500001 SCAT TRAK MODEL</t>
  </si>
  <si>
    <t>2310-008-0016/2(50)</t>
  </si>
  <si>
    <t>ชนิด 0500002 รถยนต์</t>
  </si>
  <si>
    <t>2310-003-0011/1</t>
  </si>
  <si>
    <t>2310-003-0010/2(53)</t>
  </si>
  <si>
    <t>2310-003-0010/1(52)</t>
  </si>
  <si>
    <t>2310-003-0002/2</t>
  </si>
  <si>
    <t>2310-003-0002/1(52)</t>
  </si>
  <si>
    <t>2310-003-0002/1(51)</t>
  </si>
  <si>
    <r>
      <t xml:space="preserve">2310-001-0003/2  </t>
    </r>
    <r>
      <rPr>
        <b/>
        <u/>
        <sz val="16"/>
        <color rgb="FFFF0000"/>
        <rFont val="Angsana New"/>
        <family val="1"/>
      </rPr>
      <t>บริจาค</t>
    </r>
  </si>
  <si>
    <t>ชนิด 0500006 รถตู้พยาบาลพร้อมอุปกรณ์ช่วยชีวิต</t>
  </si>
  <si>
    <t>2310-001-0003/1(51)งปม</t>
  </si>
  <si>
    <r>
      <t xml:space="preserve">2310-001-0003/1 </t>
    </r>
    <r>
      <rPr>
        <b/>
        <u/>
        <sz val="16"/>
        <color rgb="FFFF0000"/>
        <rFont val="Angsana New"/>
        <family val="1"/>
      </rPr>
      <t xml:space="preserve"> บริจาค</t>
    </r>
  </si>
  <si>
    <t>1935-016-0002/1(51)</t>
  </si>
  <si>
    <t>ชนิด 0500004 เรือยาง</t>
  </si>
  <si>
    <t>ประจำปี70</t>
  </si>
  <si>
    <t>มูลค่าสุทธิ69</t>
  </si>
  <si>
    <t>ค่าเสื่อมสะสม69</t>
  </si>
  <si>
    <t>ประจำปี69</t>
  </si>
  <si>
    <t>อายุการใช้งาน</t>
  </si>
  <si>
    <t>รหัสครุภัณฑ์</t>
  </si>
  <si>
    <t>รายการ</t>
  </si>
  <si>
    <t>ลำดับที่</t>
  </si>
  <si>
    <t>ประเภทครุภัณฑ์ ยานพาหนะและขนส่ง</t>
  </si>
  <si>
    <t>รายงานค่าเสื่อมประจำปีโรงพยาบาลวชิระภูเก็ต</t>
  </si>
</sst>
</file>

<file path=xl/styles.xml><?xml version="1.0" encoding="utf-8"?>
<styleSheet xmlns="http://schemas.openxmlformats.org/spreadsheetml/2006/main">
  <numFmts count="1">
    <numFmt numFmtId="43" formatCode="_-* #,##0.00_-;\-* #,##0.00_-;_-* &quot;-&quot;??_-;_-@_-"/>
  </numFmts>
  <fonts count="10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b/>
      <sz val="16"/>
      <color theme="1"/>
      <name val="Angsana New"/>
      <family val="1"/>
    </font>
    <font>
      <b/>
      <u val="doubleAccounting"/>
      <sz val="16"/>
      <color theme="1"/>
      <name val="Angsana New"/>
      <family val="1"/>
    </font>
    <font>
      <sz val="10"/>
      <name val="Arial"/>
      <family val="2"/>
    </font>
    <font>
      <b/>
      <sz val="16"/>
      <name val="Angsana New"/>
      <family val="1"/>
    </font>
    <font>
      <b/>
      <sz val="16"/>
      <color theme="1"/>
      <name val="AngsanaUPC"/>
      <family val="1"/>
      <charset val="222"/>
    </font>
    <font>
      <sz val="16"/>
      <name val="Angsana New"/>
      <family val="1"/>
    </font>
    <font>
      <b/>
      <u/>
      <sz val="16"/>
      <color rgb="FFFF0000"/>
      <name val="Angsana New"/>
      <family val="1"/>
    </font>
    <font>
      <sz val="10"/>
      <color indexed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rgb="FFFFC0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2">
    <xf numFmtId="0" fontId="0" fillId="0" borderId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0" fontId="9" fillId="0" borderId="0">
      <alignment vertical="top"/>
    </xf>
    <xf numFmtId="43" fontId="1" fillId="0" borderId="0" applyFont="0" applyFill="0" applyBorder="0" applyAlignment="0" applyProtection="0"/>
    <xf numFmtId="0" fontId="4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9" fillId="0" borderId="0">
      <alignment vertical="top"/>
    </xf>
    <xf numFmtId="0" fontId="9" fillId="0" borderId="0">
      <alignment vertical="top"/>
    </xf>
    <xf numFmtId="0" fontId="1" fillId="0" borderId="0"/>
  </cellStyleXfs>
  <cellXfs count="50">
    <xf numFmtId="0" fontId="0" fillId="0" borderId="0" xfId="0"/>
    <xf numFmtId="0" fontId="2" fillId="0" borderId="0" xfId="0" applyFont="1"/>
    <xf numFmtId="43" fontId="2" fillId="0" borderId="0" xfId="1" applyFont="1"/>
    <xf numFmtId="43" fontId="2" fillId="0" borderId="0" xfId="1" applyFont="1" applyFill="1"/>
    <xf numFmtId="0" fontId="2" fillId="0" borderId="0" xfId="0" applyFont="1" applyAlignment="1">
      <alignment horizontal="center"/>
    </xf>
    <xf numFmtId="0" fontId="2" fillId="0" borderId="0" xfId="0" applyFont="1" applyAlignment="1"/>
    <xf numFmtId="43" fontId="3" fillId="0" borderId="0" xfId="1" applyFont="1"/>
    <xf numFmtId="43" fontId="3" fillId="0" borderId="0" xfId="0" applyNumberFormat="1" applyFont="1"/>
    <xf numFmtId="43" fontId="3" fillId="0" borderId="0" xfId="1" applyFont="1" applyFill="1"/>
    <xf numFmtId="43" fontId="2" fillId="2" borderId="0" xfId="1" applyFont="1" applyFill="1" applyAlignment="1">
      <alignment horizontal="center"/>
    </xf>
    <xf numFmtId="0" fontId="2" fillId="2" borderId="0" xfId="0" applyFont="1" applyFill="1" applyAlignment="1">
      <alignment horizontal="center"/>
    </xf>
    <xf numFmtId="43" fontId="2" fillId="0" borderId="1" xfId="1" applyFont="1" applyFill="1" applyBorder="1"/>
    <xf numFmtId="0" fontId="2" fillId="0" borderId="1" xfId="0" applyFont="1" applyBorder="1" applyAlignment="1">
      <alignment horizontal="center"/>
    </xf>
    <xf numFmtId="0" fontId="2" fillId="0" borderId="1" xfId="0" applyFont="1" applyBorder="1" applyAlignment="1"/>
    <xf numFmtId="0" fontId="2" fillId="0" borderId="1" xfId="0" applyFont="1" applyBorder="1"/>
    <xf numFmtId="43" fontId="2" fillId="0" borderId="1" xfId="1" applyFont="1" applyBorder="1"/>
    <xf numFmtId="43" fontId="2" fillId="0" borderId="1" xfId="3" applyFont="1" applyBorder="1"/>
    <xf numFmtId="0" fontId="2" fillId="0" borderId="1" xfId="4" applyFont="1" applyBorder="1" applyAlignment="1">
      <alignment horizontal="center"/>
    </xf>
    <xf numFmtId="0" fontId="2" fillId="0" borderId="1" xfId="4" applyFont="1" applyBorder="1" applyAlignment="1"/>
    <xf numFmtId="0" fontId="2" fillId="0" borderId="1" xfId="0" applyFont="1" applyBorder="1" applyAlignment="1">
      <alignment horizontal="left"/>
    </xf>
    <xf numFmtId="43" fontId="5" fillId="0" borderId="1" xfId="3" applyFont="1" applyFill="1" applyBorder="1"/>
    <xf numFmtId="0" fontId="2" fillId="0" borderId="1" xfId="5" quotePrefix="1" applyFont="1" applyBorder="1" applyAlignment="1">
      <alignment horizontal="center"/>
    </xf>
    <xf numFmtId="0" fontId="2" fillId="0" borderId="1" xfId="5" quotePrefix="1" applyFont="1" applyBorder="1" applyAlignment="1"/>
    <xf numFmtId="43" fontId="2" fillId="0" borderId="1" xfId="6" applyFont="1" applyBorder="1"/>
    <xf numFmtId="0" fontId="2" fillId="0" borderId="1" xfId="7" applyFont="1" applyBorder="1" applyAlignment="1">
      <alignment horizontal="center"/>
    </xf>
    <xf numFmtId="0" fontId="5" fillId="0" borderId="1" xfId="0" applyFont="1" applyBorder="1" applyAlignment="1"/>
    <xf numFmtId="43" fontId="6" fillId="0" borderId="1" xfId="8" applyFont="1" applyBorder="1"/>
    <xf numFmtId="0" fontId="6" fillId="0" borderId="1" xfId="9" applyFont="1" applyBorder="1" applyAlignment="1">
      <alignment horizontal="center"/>
    </xf>
    <xf numFmtId="43" fontId="5" fillId="0" borderId="1" xfId="10" applyFont="1" applyFill="1" applyBorder="1"/>
    <xf numFmtId="0" fontId="5" fillId="0" borderId="1" xfId="9" applyFont="1" applyBorder="1" applyAlignment="1">
      <alignment horizontal="center"/>
    </xf>
    <xf numFmtId="43" fontId="2" fillId="0" borderId="1" xfId="2" applyFont="1" applyBorder="1"/>
    <xf numFmtId="4" fontId="5" fillId="0" borderId="1" xfId="11" applyNumberFormat="1" applyFont="1" applyBorder="1"/>
    <xf numFmtId="0" fontId="5" fillId="0" borderId="1" xfId="11" applyFont="1" applyBorder="1" applyAlignment="1">
      <alignment horizontal="center"/>
    </xf>
    <xf numFmtId="43" fontId="5" fillId="0" borderId="1" xfId="1" applyFont="1" applyFill="1" applyBorder="1"/>
    <xf numFmtId="0" fontId="5" fillId="0" borderId="1" xfId="0" applyFont="1" applyBorder="1" applyAlignment="1">
      <alignment horizontal="center"/>
    </xf>
    <xf numFmtId="0" fontId="7" fillId="0" borderId="1" xfId="0" applyFont="1" applyBorder="1" applyAlignment="1"/>
    <xf numFmtId="43" fontId="5" fillId="0" borderId="1" xfId="1" applyFont="1" applyFill="1" applyBorder="1" applyAlignment="1">
      <alignment horizontal="center"/>
    </xf>
    <xf numFmtId="4" fontId="5" fillId="0" borderId="1" xfId="0" applyNumberFormat="1" applyFont="1" applyBorder="1"/>
    <xf numFmtId="43" fontId="2" fillId="0" borderId="1" xfId="1" applyFont="1" applyFill="1" applyBorder="1" applyAlignment="1">
      <alignment horizontal="center"/>
    </xf>
    <xf numFmtId="43" fontId="5" fillId="0" borderId="1" xfId="2" applyFont="1" applyFill="1" applyBorder="1" applyAlignment="1">
      <alignment horizontal="center" vertical="center"/>
    </xf>
    <xf numFmtId="1" fontId="5" fillId="0" borderId="1" xfId="2" applyNumberFormat="1" applyFont="1" applyFill="1" applyBorder="1" applyAlignment="1">
      <alignment vertical="center"/>
    </xf>
    <xf numFmtId="43" fontId="2" fillId="0" borderId="1" xfId="0" applyNumberFormat="1" applyFont="1" applyBorder="1"/>
    <xf numFmtId="43" fontId="2" fillId="0" borderId="2" xfId="0" applyNumberFormat="1" applyFont="1" applyBorder="1"/>
    <xf numFmtId="0" fontId="5" fillId="0" borderId="1" xfId="12" applyFont="1" applyBorder="1" applyAlignment="1">
      <alignment horizontal="center" vertical="center"/>
    </xf>
    <xf numFmtId="1" fontId="2" fillId="0" borderId="1" xfId="0" applyNumberFormat="1" applyFont="1" applyBorder="1" applyAlignment="1"/>
    <xf numFmtId="0" fontId="2" fillId="3" borderId="1" xfId="0" applyFont="1" applyFill="1" applyBorder="1" applyAlignment="1">
      <alignment horizontal="center"/>
    </xf>
    <xf numFmtId="43" fontId="2" fillId="2" borderId="1" xfId="1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43" fontId="2" fillId="2" borderId="0" xfId="2" applyFont="1" applyFill="1" applyBorder="1" applyAlignment="1">
      <alignment horizontal="center"/>
    </xf>
  </cellXfs>
  <cellStyles count="22">
    <cellStyle name="Comma" xfId="1" builtinId="3"/>
    <cellStyle name="Comma 2" xfId="10"/>
    <cellStyle name="Comma 3" xfId="13"/>
    <cellStyle name="Normal" xfId="0" builtinId="0"/>
    <cellStyle name="Normal 2" xfId="14"/>
    <cellStyle name="Normal 2 2" xfId="9"/>
    <cellStyle name="เครื่องหมายจุลภาค 2" xfId="2"/>
    <cellStyle name="จุลภาค 11 3" xfId="15"/>
    <cellStyle name="จุลภาค 13" xfId="6"/>
    <cellStyle name="จุลภาค 2" xfId="3"/>
    <cellStyle name="จุลภาค 2 2" xfId="16"/>
    <cellStyle name="จุลภาค 3" xfId="17"/>
    <cellStyle name="จุลภาค 4" xfId="8"/>
    <cellStyle name="ปกติ 11" xfId="18"/>
    <cellStyle name="ปกติ 12" xfId="4"/>
    <cellStyle name="ปกติ 2" xfId="19"/>
    <cellStyle name="ปกติ 2 2" xfId="20"/>
    <cellStyle name="ปกติ 3" xfId="12"/>
    <cellStyle name="ปกติ 3 2" xfId="5"/>
    <cellStyle name="ปกติ 4" xfId="11"/>
    <cellStyle name="ปกติ 7" xfId="21"/>
    <cellStyle name="ปกติ 8" xfId="7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2</xdr:row>
      <xdr:rowOff>9525</xdr:rowOff>
    </xdr:from>
    <xdr:to>
      <xdr:col>1</xdr:col>
      <xdr:colOff>4331</xdr:colOff>
      <xdr:row>3</xdr:row>
      <xdr:rowOff>184669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00000000-0008-0000-0D00-00000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7625" y="371475"/>
          <a:ext cx="642506" cy="35611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theme="3" tint="0.39997558519241921"/>
    <pageSetUpPr fitToPage="1"/>
  </sheetPr>
  <dimension ref="A1:Q71"/>
  <sheetViews>
    <sheetView tabSelected="1" topLeftCell="A2" zoomScaleSheetLayoutView="90" workbookViewId="0">
      <selection activeCell="B4" sqref="B4"/>
    </sheetView>
  </sheetViews>
  <sheetFormatPr defaultColWidth="9" defaultRowHeight="23.25"/>
  <cols>
    <col min="1" max="1" width="9" style="1"/>
    <col min="2" max="2" width="48.25" style="1" customWidth="1"/>
    <col min="3" max="3" width="17.75" style="5" customWidth="1"/>
    <col min="4" max="4" width="22.5" style="4" customWidth="1"/>
    <col min="5" max="5" width="14.875" style="3" customWidth="1"/>
    <col min="6" max="6" width="13.125" style="1" customWidth="1"/>
    <col min="7" max="7" width="12.25" style="2" customWidth="1"/>
    <col min="8" max="8" width="12.625" style="2" customWidth="1"/>
    <col min="9" max="9" width="11.875" style="2" customWidth="1"/>
    <col min="10" max="10" width="11.875" style="1" hidden="1" customWidth="1"/>
    <col min="11" max="12" width="12" style="1" hidden="1" customWidth="1"/>
    <col min="13" max="13" width="9" style="1" hidden="1" customWidth="1"/>
    <col min="14" max="16384" width="9" style="1"/>
  </cols>
  <sheetData>
    <row r="1" spans="1:13" hidden="1"/>
    <row r="2" spans="1:13">
      <c r="A2" s="48" t="s">
        <v>155</v>
      </c>
      <c r="B2" s="48"/>
      <c r="C2" s="48"/>
      <c r="D2" s="48"/>
      <c r="E2" s="48"/>
      <c r="F2" s="48"/>
    </row>
    <row r="3" spans="1:13">
      <c r="A3" s="4"/>
      <c r="B3" s="4"/>
      <c r="E3" s="4"/>
      <c r="F3" s="4"/>
    </row>
    <row r="4" spans="1:13">
      <c r="B4" s="1" t="s">
        <v>154</v>
      </c>
      <c r="E4" s="1"/>
    </row>
    <row r="5" spans="1:13">
      <c r="A5" s="12" t="s">
        <v>153</v>
      </c>
      <c r="B5" s="12" t="s">
        <v>152</v>
      </c>
      <c r="C5" s="13"/>
      <c r="D5" s="12" t="s">
        <v>151</v>
      </c>
      <c r="E5" s="38" t="s">
        <v>4</v>
      </c>
      <c r="F5" s="47" t="s">
        <v>150</v>
      </c>
      <c r="G5" s="46" t="s">
        <v>149</v>
      </c>
      <c r="H5" s="46" t="s">
        <v>148</v>
      </c>
      <c r="I5" s="46" t="s">
        <v>147</v>
      </c>
      <c r="J5" s="45" t="s">
        <v>149</v>
      </c>
      <c r="K5" s="45" t="s">
        <v>148</v>
      </c>
      <c r="L5" s="45" t="s">
        <v>147</v>
      </c>
      <c r="M5" s="45" t="s">
        <v>146</v>
      </c>
    </row>
    <row r="6" spans="1:13">
      <c r="A6" s="12">
        <v>1</v>
      </c>
      <c r="B6" s="19" t="s">
        <v>145</v>
      </c>
      <c r="C6" s="44">
        <v>110000384692</v>
      </c>
      <c r="D6" s="12" t="s">
        <v>144</v>
      </c>
      <c r="E6" s="38">
        <v>258620</v>
      </c>
      <c r="F6" s="12">
        <v>5</v>
      </c>
      <c r="G6" s="15">
        <v>0</v>
      </c>
      <c r="H6" s="15">
        <v>258619</v>
      </c>
      <c r="I6" s="15">
        <v>1</v>
      </c>
      <c r="J6" s="42">
        <f t="shared" ref="J6:J19" si="0">G6</f>
        <v>0</v>
      </c>
      <c r="K6" s="41">
        <f t="shared" ref="K6:K19" si="1">H6-G6</f>
        <v>258619</v>
      </c>
      <c r="L6" s="41">
        <f t="shared" ref="L6:L19" si="2">E6-K6</f>
        <v>1</v>
      </c>
      <c r="M6" s="41">
        <f t="shared" ref="M6:M19" si="3">J6</f>
        <v>0</v>
      </c>
    </row>
    <row r="7" spans="1:13">
      <c r="A7" s="12">
        <v>2</v>
      </c>
      <c r="B7" s="19" t="s">
        <v>141</v>
      </c>
      <c r="C7" s="44">
        <v>110000384693</v>
      </c>
      <c r="D7" s="12" t="s">
        <v>143</v>
      </c>
      <c r="E7" s="38">
        <v>1000000</v>
      </c>
      <c r="F7" s="12">
        <v>5</v>
      </c>
      <c r="G7" s="15">
        <v>0</v>
      </c>
      <c r="H7" s="15">
        <v>999999</v>
      </c>
      <c r="I7" s="15">
        <v>1</v>
      </c>
      <c r="J7" s="42">
        <f t="shared" si="0"/>
        <v>0</v>
      </c>
      <c r="K7" s="41">
        <f t="shared" si="1"/>
        <v>999999</v>
      </c>
      <c r="L7" s="41">
        <f t="shared" si="2"/>
        <v>1</v>
      </c>
      <c r="M7" s="41">
        <f t="shared" si="3"/>
        <v>0</v>
      </c>
    </row>
    <row r="8" spans="1:13">
      <c r="A8" s="12">
        <v>3</v>
      </c>
      <c r="B8" s="19" t="s">
        <v>141</v>
      </c>
      <c r="C8" s="44">
        <v>110000384694</v>
      </c>
      <c r="D8" s="12" t="s">
        <v>142</v>
      </c>
      <c r="E8" s="38">
        <v>1000000</v>
      </c>
      <c r="F8" s="12">
        <v>5</v>
      </c>
      <c r="G8" s="15">
        <v>0</v>
      </c>
      <c r="H8" s="15">
        <v>999999</v>
      </c>
      <c r="I8" s="15">
        <v>1</v>
      </c>
      <c r="J8" s="42">
        <f t="shared" si="0"/>
        <v>0</v>
      </c>
      <c r="K8" s="41">
        <f t="shared" si="1"/>
        <v>999999</v>
      </c>
      <c r="L8" s="41">
        <f t="shared" si="2"/>
        <v>1</v>
      </c>
      <c r="M8" s="41">
        <f t="shared" si="3"/>
        <v>0</v>
      </c>
    </row>
    <row r="9" spans="1:13">
      <c r="A9" s="12">
        <v>4</v>
      </c>
      <c r="B9" s="19" t="s">
        <v>141</v>
      </c>
      <c r="C9" s="44">
        <v>110000384695</v>
      </c>
      <c r="D9" s="12" t="s">
        <v>140</v>
      </c>
      <c r="E9" s="38">
        <v>1000000</v>
      </c>
      <c r="F9" s="12">
        <v>5</v>
      </c>
      <c r="G9" s="15">
        <v>0</v>
      </c>
      <c r="H9" s="15">
        <v>999999</v>
      </c>
      <c r="I9" s="15">
        <v>1</v>
      </c>
      <c r="J9" s="42">
        <f t="shared" si="0"/>
        <v>0</v>
      </c>
      <c r="K9" s="41">
        <f t="shared" si="1"/>
        <v>999999</v>
      </c>
      <c r="L9" s="41">
        <f t="shared" si="2"/>
        <v>1</v>
      </c>
      <c r="M9" s="41">
        <f t="shared" si="3"/>
        <v>0</v>
      </c>
    </row>
    <row r="10" spans="1:13">
      <c r="A10" s="12">
        <v>5</v>
      </c>
      <c r="B10" s="19" t="s">
        <v>133</v>
      </c>
      <c r="C10" s="44">
        <v>110000384696</v>
      </c>
      <c r="D10" s="12" t="s">
        <v>139</v>
      </c>
      <c r="E10" s="38">
        <v>1090000</v>
      </c>
      <c r="F10" s="12">
        <v>5</v>
      </c>
      <c r="G10" s="15">
        <v>0</v>
      </c>
      <c r="H10" s="15">
        <v>1089999</v>
      </c>
      <c r="I10" s="15">
        <v>1</v>
      </c>
      <c r="J10" s="42">
        <f t="shared" si="0"/>
        <v>0</v>
      </c>
      <c r="K10" s="41">
        <f t="shared" si="1"/>
        <v>1089999</v>
      </c>
      <c r="L10" s="41">
        <f t="shared" si="2"/>
        <v>1</v>
      </c>
      <c r="M10" s="41">
        <f t="shared" si="3"/>
        <v>0</v>
      </c>
    </row>
    <row r="11" spans="1:13">
      <c r="A11" s="12">
        <v>6</v>
      </c>
      <c r="B11" s="19" t="s">
        <v>133</v>
      </c>
      <c r="C11" s="44">
        <v>110000384697</v>
      </c>
      <c r="D11" s="12" t="s">
        <v>138</v>
      </c>
      <c r="E11" s="38">
        <v>1100000</v>
      </c>
      <c r="F11" s="12">
        <v>5</v>
      </c>
      <c r="G11" s="15">
        <v>0</v>
      </c>
      <c r="H11" s="15">
        <v>1099999</v>
      </c>
      <c r="I11" s="15">
        <v>1</v>
      </c>
      <c r="J11" s="42">
        <f t="shared" si="0"/>
        <v>0</v>
      </c>
      <c r="K11" s="41">
        <f t="shared" si="1"/>
        <v>1099999</v>
      </c>
      <c r="L11" s="41">
        <f t="shared" si="2"/>
        <v>1</v>
      </c>
      <c r="M11" s="41">
        <f t="shared" si="3"/>
        <v>0</v>
      </c>
    </row>
    <row r="12" spans="1:13">
      <c r="A12" s="12">
        <v>7</v>
      </c>
      <c r="B12" s="19" t="s">
        <v>133</v>
      </c>
      <c r="C12" s="44">
        <v>110000384698</v>
      </c>
      <c r="D12" s="12" t="s">
        <v>137</v>
      </c>
      <c r="E12" s="38">
        <v>589000</v>
      </c>
      <c r="F12" s="12">
        <v>5</v>
      </c>
      <c r="G12" s="15">
        <v>0</v>
      </c>
      <c r="H12" s="15">
        <v>588999</v>
      </c>
      <c r="I12" s="15">
        <v>1</v>
      </c>
      <c r="J12" s="42">
        <f t="shared" si="0"/>
        <v>0</v>
      </c>
      <c r="K12" s="41">
        <f t="shared" si="1"/>
        <v>588999</v>
      </c>
      <c r="L12" s="41">
        <f t="shared" si="2"/>
        <v>1</v>
      </c>
      <c r="M12" s="41">
        <f t="shared" si="3"/>
        <v>0</v>
      </c>
    </row>
    <row r="13" spans="1:13">
      <c r="A13" s="12">
        <v>8</v>
      </c>
      <c r="B13" s="19" t="s">
        <v>133</v>
      </c>
      <c r="C13" s="44">
        <v>110000384699</v>
      </c>
      <c r="D13" s="12" t="s">
        <v>136</v>
      </c>
      <c r="E13" s="38">
        <v>1450000</v>
      </c>
      <c r="F13" s="12">
        <v>5</v>
      </c>
      <c r="G13" s="15">
        <v>0</v>
      </c>
      <c r="H13" s="15">
        <v>1449999</v>
      </c>
      <c r="I13" s="15">
        <v>1</v>
      </c>
      <c r="J13" s="42">
        <f t="shared" si="0"/>
        <v>0</v>
      </c>
      <c r="K13" s="41">
        <f t="shared" si="1"/>
        <v>1449999</v>
      </c>
      <c r="L13" s="41">
        <f t="shared" si="2"/>
        <v>1</v>
      </c>
      <c r="M13" s="41">
        <f t="shared" si="3"/>
        <v>0</v>
      </c>
    </row>
    <row r="14" spans="1:13">
      <c r="A14" s="12">
        <v>9</v>
      </c>
      <c r="B14" s="19" t="s">
        <v>133</v>
      </c>
      <c r="C14" s="44">
        <v>110000384700</v>
      </c>
      <c r="D14" s="12" t="s">
        <v>135</v>
      </c>
      <c r="E14" s="38">
        <v>1460000</v>
      </c>
      <c r="F14" s="12">
        <v>5</v>
      </c>
      <c r="G14" s="15">
        <v>0</v>
      </c>
      <c r="H14" s="15">
        <v>1459999</v>
      </c>
      <c r="I14" s="15">
        <v>1</v>
      </c>
      <c r="J14" s="42">
        <f t="shared" si="0"/>
        <v>0</v>
      </c>
      <c r="K14" s="41">
        <f t="shared" si="1"/>
        <v>1459999</v>
      </c>
      <c r="L14" s="41">
        <f t="shared" si="2"/>
        <v>1</v>
      </c>
      <c r="M14" s="41">
        <f t="shared" si="3"/>
        <v>0</v>
      </c>
    </row>
    <row r="15" spans="1:13">
      <c r="A15" s="12">
        <v>10</v>
      </c>
      <c r="B15" s="19" t="s">
        <v>133</v>
      </c>
      <c r="C15" s="44">
        <v>110000384701</v>
      </c>
      <c r="D15" s="12" t="s">
        <v>134</v>
      </c>
      <c r="E15" s="38">
        <v>1270000</v>
      </c>
      <c r="F15" s="12">
        <v>5</v>
      </c>
      <c r="G15" s="15">
        <v>0</v>
      </c>
      <c r="H15" s="15">
        <v>1269999</v>
      </c>
      <c r="I15" s="15">
        <v>1</v>
      </c>
      <c r="J15" s="42">
        <f t="shared" si="0"/>
        <v>0</v>
      </c>
      <c r="K15" s="41">
        <f t="shared" si="1"/>
        <v>1269999</v>
      </c>
      <c r="L15" s="41">
        <f t="shared" si="2"/>
        <v>1</v>
      </c>
      <c r="M15" s="41">
        <f t="shared" si="3"/>
        <v>0</v>
      </c>
    </row>
    <row r="16" spans="1:13">
      <c r="A16" s="12">
        <v>11</v>
      </c>
      <c r="B16" s="19" t="s">
        <v>133</v>
      </c>
      <c r="C16" s="44">
        <v>110000384702</v>
      </c>
      <c r="D16" s="12" t="s">
        <v>132</v>
      </c>
      <c r="E16" s="38">
        <v>895000</v>
      </c>
      <c r="F16" s="12">
        <v>5</v>
      </c>
      <c r="G16" s="15">
        <v>0</v>
      </c>
      <c r="H16" s="15">
        <v>894999</v>
      </c>
      <c r="I16" s="15">
        <v>1</v>
      </c>
      <c r="J16" s="42">
        <f t="shared" si="0"/>
        <v>0</v>
      </c>
      <c r="K16" s="41">
        <f t="shared" si="1"/>
        <v>894999</v>
      </c>
      <c r="L16" s="41">
        <f t="shared" si="2"/>
        <v>1</v>
      </c>
      <c r="M16" s="41">
        <f t="shared" si="3"/>
        <v>0</v>
      </c>
    </row>
    <row r="17" spans="1:17">
      <c r="A17" s="12">
        <v>12</v>
      </c>
      <c r="B17" s="19" t="s">
        <v>131</v>
      </c>
      <c r="C17" s="44">
        <v>110000384704</v>
      </c>
      <c r="D17" s="43" t="s">
        <v>130</v>
      </c>
      <c r="E17" s="11">
        <v>1330000</v>
      </c>
      <c r="F17" s="12">
        <v>5</v>
      </c>
      <c r="G17" s="15">
        <v>0</v>
      </c>
      <c r="H17" s="15">
        <v>1329999</v>
      </c>
      <c r="I17" s="15">
        <v>1</v>
      </c>
      <c r="J17" s="42">
        <f t="shared" si="0"/>
        <v>0</v>
      </c>
      <c r="K17" s="41">
        <f t="shared" si="1"/>
        <v>1329999</v>
      </c>
      <c r="L17" s="41">
        <f t="shared" si="2"/>
        <v>1</v>
      </c>
      <c r="M17" s="41">
        <f t="shared" si="3"/>
        <v>0</v>
      </c>
    </row>
    <row r="18" spans="1:17">
      <c r="A18" s="12">
        <v>13</v>
      </c>
      <c r="B18" s="19" t="s">
        <v>129</v>
      </c>
      <c r="C18" s="44">
        <v>110000384705</v>
      </c>
      <c r="D18" s="43" t="s">
        <v>128</v>
      </c>
      <c r="E18" s="11">
        <v>507000</v>
      </c>
      <c r="F18" s="12">
        <v>5</v>
      </c>
      <c r="G18" s="15">
        <v>0</v>
      </c>
      <c r="H18" s="15">
        <v>506999</v>
      </c>
      <c r="I18" s="15">
        <v>1</v>
      </c>
      <c r="J18" s="42">
        <f t="shared" si="0"/>
        <v>0</v>
      </c>
      <c r="K18" s="41">
        <f t="shared" si="1"/>
        <v>506999</v>
      </c>
      <c r="L18" s="41">
        <f t="shared" si="2"/>
        <v>1</v>
      </c>
      <c r="M18" s="41">
        <f t="shared" si="3"/>
        <v>0</v>
      </c>
    </row>
    <row r="19" spans="1:17">
      <c r="A19" s="12">
        <v>14</v>
      </c>
      <c r="B19" s="19" t="s">
        <v>127</v>
      </c>
      <c r="C19" s="44">
        <v>110000384731</v>
      </c>
      <c r="D19" s="43" t="s">
        <v>126</v>
      </c>
      <c r="E19" s="11">
        <v>329000</v>
      </c>
      <c r="F19" s="12">
        <v>5</v>
      </c>
      <c r="G19" s="15">
        <v>0</v>
      </c>
      <c r="H19" s="15">
        <v>328999</v>
      </c>
      <c r="I19" s="15">
        <v>1</v>
      </c>
      <c r="J19" s="42">
        <f t="shared" si="0"/>
        <v>0</v>
      </c>
      <c r="K19" s="41">
        <f t="shared" si="1"/>
        <v>328999</v>
      </c>
      <c r="L19" s="41">
        <f t="shared" si="2"/>
        <v>1</v>
      </c>
      <c r="M19" s="41">
        <f t="shared" si="3"/>
        <v>0</v>
      </c>
      <c r="Q19" s="4"/>
    </row>
    <row r="20" spans="1:17">
      <c r="A20" s="12">
        <v>15</v>
      </c>
      <c r="B20" s="19" t="s">
        <v>125</v>
      </c>
      <c r="C20" s="40">
        <v>100000073483</v>
      </c>
      <c r="D20" s="39" t="s">
        <v>124</v>
      </c>
      <c r="E20" s="38">
        <v>1799800</v>
      </c>
      <c r="F20" s="12">
        <v>5</v>
      </c>
      <c r="G20" s="15">
        <v>0</v>
      </c>
      <c r="H20" s="15">
        <v>1799799</v>
      </c>
      <c r="I20" s="15">
        <v>1</v>
      </c>
    </row>
    <row r="21" spans="1:17">
      <c r="A21" s="12">
        <v>16</v>
      </c>
      <c r="B21" s="19" t="s">
        <v>123</v>
      </c>
      <c r="C21" s="35" t="s">
        <v>122</v>
      </c>
      <c r="D21" s="12" t="s">
        <v>121</v>
      </c>
      <c r="E21" s="38">
        <v>265000</v>
      </c>
      <c r="F21" s="12">
        <v>5</v>
      </c>
      <c r="G21" s="15">
        <v>0</v>
      </c>
      <c r="H21" s="15">
        <v>264999</v>
      </c>
      <c r="I21" s="15">
        <v>1</v>
      </c>
    </row>
    <row r="22" spans="1:17">
      <c r="A22" s="12">
        <v>17</v>
      </c>
      <c r="B22" s="19" t="s">
        <v>120</v>
      </c>
      <c r="C22" s="35" t="s">
        <v>119</v>
      </c>
      <c r="D22" s="12" t="s">
        <v>118</v>
      </c>
      <c r="E22" s="38">
        <v>257400</v>
      </c>
      <c r="F22" s="12">
        <v>5</v>
      </c>
      <c r="G22" s="15">
        <v>0</v>
      </c>
      <c r="H22" s="15">
        <v>257399</v>
      </c>
      <c r="I22" s="15">
        <v>1</v>
      </c>
    </row>
    <row r="23" spans="1:17">
      <c r="A23" s="12">
        <v>18</v>
      </c>
      <c r="B23" s="19" t="s">
        <v>117</v>
      </c>
      <c r="C23" s="35" t="s">
        <v>116</v>
      </c>
      <c r="D23" s="12" t="s">
        <v>115</v>
      </c>
      <c r="E23" s="38">
        <v>625975</v>
      </c>
      <c r="F23" s="12">
        <v>5</v>
      </c>
      <c r="G23" s="15">
        <v>0</v>
      </c>
      <c r="H23" s="15">
        <v>625974</v>
      </c>
      <c r="I23" s="15">
        <v>1</v>
      </c>
    </row>
    <row r="24" spans="1:17">
      <c r="A24" s="12">
        <v>19</v>
      </c>
      <c r="B24" s="19" t="s">
        <v>114</v>
      </c>
      <c r="C24" s="35" t="s">
        <v>113</v>
      </c>
      <c r="D24" s="12" t="s">
        <v>112</v>
      </c>
      <c r="E24" s="38">
        <v>1405000</v>
      </c>
      <c r="F24" s="12">
        <v>5</v>
      </c>
      <c r="G24" s="15">
        <v>0</v>
      </c>
      <c r="H24" s="15">
        <v>1404999</v>
      </c>
      <c r="I24" s="15">
        <v>1</v>
      </c>
    </row>
    <row r="25" spans="1:17">
      <c r="A25" s="12">
        <v>20</v>
      </c>
      <c r="B25" s="19" t="s">
        <v>111</v>
      </c>
      <c r="C25" s="35" t="s">
        <v>110</v>
      </c>
      <c r="D25" s="12" t="s">
        <v>109</v>
      </c>
      <c r="E25" s="38">
        <v>39000</v>
      </c>
      <c r="F25" s="12">
        <v>5</v>
      </c>
      <c r="G25" s="15">
        <v>0</v>
      </c>
      <c r="H25" s="15">
        <v>38999</v>
      </c>
      <c r="I25" s="15">
        <v>1</v>
      </c>
    </row>
    <row r="26" spans="1:17">
      <c r="A26" s="12">
        <v>21</v>
      </c>
      <c r="B26" s="19" t="s">
        <v>108</v>
      </c>
      <c r="C26" s="35" t="s">
        <v>107</v>
      </c>
      <c r="D26" s="12" t="s">
        <v>106</v>
      </c>
      <c r="E26" s="38">
        <v>39000</v>
      </c>
      <c r="F26" s="12">
        <v>5</v>
      </c>
      <c r="G26" s="15">
        <v>0</v>
      </c>
      <c r="H26" s="15">
        <v>38999</v>
      </c>
      <c r="I26" s="15">
        <v>1</v>
      </c>
    </row>
    <row r="27" spans="1:17">
      <c r="A27" s="12">
        <v>22</v>
      </c>
      <c r="B27" s="19" t="s">
        <v>105</v>
      </c>
      <c r="C27" s="35" t="s">
        <v>104</v>
      </c>
      <c r="D27" s="12" t="s">
        <v>103</v>
      </c>
      <c r="E27" s="38">
        <v>99510</v>
      </c>
      <c r="F27" s="12">
        <v>5</v>
      </c>
      <c r="G27" s="15">
        <v>0</v>
      </c>
      <c r="H27" s="15">
        <v>99509</v>
      </c>
      <c r="I27" s="15">
        <v>1</v>
      </c>
    </row>
    <row r="28" spans="1:17">
      <c r="A28" s="12">
        <v>23</v>
      </c>
      <c r="B28" s="19" t="s">
        <v>102</v>
      </c>
      <c r="C28" s="35" t="s">
        <v>101</v>
      </c>
      <c r="D28" s="12" t="s">
        <v>100</v>
      </c>
      <c r="E28" s="38">
        <v>85000</v>
      </c>
      <c r="F28" s="12">
        <v>5</v>
      </c>
      <c r="G28" s="15">
        <v>0</v>
      </c>
      <c r="H28" s="15">
        <v>84999</v>
      </c>
      <c r="I28" s="15">
        <v>1</v>
      </c>
    </row>
    <row r="29" spans="1:17">
      <c r="A29" s="12">
        <v>24</v>
      </c>
      <c r="B29" s="19" t="s">
        <v>99</v>
      </c>
      <c r="C29" s="35" t="s">
        <v>98</v>
      </c>
      <c r="D29" s="39" t="s">
        <v>97</v>
      </c>
      <c r="E29" s="38">
        <v>6500000</v>
      </c>
      <c r="F29" s="12">
        <v>5</v>
      </c>
      <c r="G29" s="15">
        <v>0</v>
      </c>
      <c r="H29" s="15">
        <v>6499999</v>
      </c>
      <c r="I29" s="15">
        <v>1</v>
      </c>
    </row>
    <row r="30" spans="1:17">
      <c r="A30" s="12">
        <v>25</v>
      </c>
      <c r="B30" s="19" t="s">
        <v>72</v>
      </c>
      <c r="C30" s="35" t="s">
        <v>96</v>
      </c>
      <c r="D30" s="34" t="s">
        <v>95</v>
      </c>
      <c r="E30" s="37">
        <v>145000</v>
      </c>
      <c r="F30" s="12">
        <v>5</v>
      </c>
      <c r="G30" s="15">
        <v>0</v>
      </c>
      <c r="H30" s="15">
        <v>144999</v>
      </c>
      <c r="I30" s="15">
        <v>1</v>
      </c>
    </row>
    <row r="31" spans="1:17">
      <c r="A31" s="12">
        <v>26</v>
      </c>
      <c r="B31" s="19" t="s">
        <v>72</v>
      </c>
      <c r="C31" s="35" t="s">
        <v>94</v>
      </c>
      <c r="D31" s="34" t="s">
        <v>93</v>
      </c>
      <c r="E31" s="37">
        <v>145000</v>
      </c>
      <c r="F31" s="12">
        <v>5</v>
      </c>
      <c r="G31" s="15">
        <v>0</v>
      </c>
      <c r="H31" s="15">
        <v>144999</v>
      </c>
      <c r="I31" s="15">
        <v>1</v>
      </c>
    </row>
    <row r="32" spans="1:17">
      <c r="A32" s="12">
        <v>27</v>
      </c>
      <c r="B32" s="19" t="s">
        <v>72</v>
      </c>
      <c r="C32" s="35" t="s">
        <v>92</v>
      </c>
      <c r="D32" s="34" t="s">
        <v>91</v>
      </c>
      <c r="E32" s="37">
        <v>145000</v>
      </c>
      <c r="F32" s="12">
        <v>5</v>
      </c>
      <c r="G32" s="15">
        <v>0</v>
      </c>
      <c r="H32" s="15">
        <v>144999</v>
      </c>
      <c r="I32" s="15">
        <v>1</v>
      </c>
    </row>
    <row r="33" spans="1:9">
      <c r="A33" s="12">
        <v>28</v>
      </c>
      <c r="B33" s="19" t="s">
        <v>72</v>
      </c>
      <c r="C33" s="35" t="s">
        <v>90</v>
      </c>
      <c r="D33" s="34" t="s">
        <v>89</v>
      </c>
      <c r="E33" s="37">
        <v>145000</v>
      </c>
      <c r="F33" s="12">
        <v>5</v>
      </c>
      <c r="G33" s="15">
        <v>0</v>
      </c>
      <c r="H33" s="15">
        <v>144999</v>
      </c>
      <c r="I33" s="15">
        <v>1</v>
      </c>
    </row>
    <row r="34" spans="1:9">
      <c r="A34" s="12">
        <v>29</v>
      </c>
      <c r="B34" s="19" t="s">
        <v>88</v>
      </c>
      <c r="C34" s="35" t="s">
        <v>87</v>
      </c>
      <c r="D34" s="34" t="s">
        <v>86</v>
      </c>
      <c r="E34" s="36">
        <v>800000</v>
      </c>
      <c r="F34" s="12">
        <v>5</v>
      </c>
      <c r="G34" s="15">
        <v>0</v>
      </c>
      <c r="H34" s="15">
        <v>799999</v>
      </c>
      <c r="I34" s="15">
        <v>1</v>
      </c>
    </row>
    <row r="35" spans="1:9">
      <c r="A35" s="12">
        <v>30</v>
      </c>
      <c r="B35" s="19" t="s">
        <v>75</v>
      </c>
      <c r="C35" s="35" t="s">
        <v>85</v>
      </c>
      <c r="D35" s="34" t="s">
        <v>84</v>
      </c>
      <c r="E35" s="36">
        <v>150000</v>
      </c>
      <c r="F35" s="12">
        <v>5</v>
      </c>
      <c r="G35" s="15">
        <v>0</v>
      </c>
      <c r="H35" s="15">
        <v>149999</v>
      </c>
      <c r="I35" s="15">
        <v>1</v>
      </c>
    </row>
    <row r="36" spans="1:9">
      <c r="A36" s="12">
        <v>31</v>
      </c>
      <c r="B36" s="19" t="s">
        <v>75</v>
      </c>
      <c r="C36" s="35" t="s">
        <v>83</v>
      </c>
      <c r="D36" s="34" t="s">
        <v>82</v>
      </c>
      <c r="E36" s="36">
        <v>150000</v>
      </c>
      <c r="F36" s="12">
        <v>5</v>
      </c>
      <c r="G36" s="15">
        <v>0</v>
      </c>
      <c r="H36" s="15">
        <v>149999</v>
      </c>
      <c r="I36" s="15">
        <v>1</v>
      </c>
    </row>
    <row r="37" spans="1:9">
      <c r="A37" s="12">
        <v>32</v>
      </c>
      <c r="B37" s="19" t="s">
        <v>75</v>
      </c>
      <c r="C37" s="35" t="s">
        <v>81</v>
      </c>
      <c r="D37" s="34" t="s">
        <v>80</v>
      </c>
      <c r="E37" s="36">
        <v>150000</v>
      </c>
      <c r="F37" s="12">
        <v>5</v>
      </c>
      <c r="G37" s="15">
        <v>0</v>
      </c>
      <c r="H37" s="15">
        <v>149999</v>
      </c>
      <c r="I37" s="15">
        <v>1</v>
      </c>
    </row>
    <row r="38" spans="1:9">
      <c r="A38" s="12">
        <v>33</v>
      </c>
      <c r="B38" s="19" t="s">
        <v>75</v>
      </c>
      <c r="C38" s="35" t="s">
        <v>79</v>
      </c>
      <c r="D38" s="34" t="s">
        <v>78</v>
      </c>
      <c r="E38" s="36">
        <v>150000</v>
      </c>
      <c r="F38" s="12">
        <v>5</v>
      </c>
      <c r="G38" s="15">
        <v>0</v>
      </c>
      <c r="H38" s="15">
        <v>149999</v>
      </c>
      <c r="I38" s="15">
        <v>1</v>
      </c>
    </row>
    <row r="39" spans="1:9">
      <c r="A39" s="12">
        <v>34</v>
      </c>
      <c r="B39" s="19" t="s">
        <v>75</v>
      </c>
      <c r="C39" s="35" t="s">
        <v>77</v>
      </c>
      <c r="D39" s="34" t="s">
        <v>76</v>
      </c>
      <c r="E39" s="36">
        <v>140000</v>
      </c>
      <c r="F39" s="12">
        <v>5</v>
      </c>
      <c r="G39" s="15">
        <v>0</v>
      </c>
      <c r="H39" s="15">
        <v>139999</v>
      </c>
      <c r="I39" s="15">
        <v>1</v>
      </c>
    </row>
    <row r="40" spans="1:9">
      <c r="A40" s="12">
        <v>35</v>
      </c>
      <c r="B40" s="19" t="s">
        <v>75</v>
      </c>
      <c r="C40" s="35" t="s">
        <v>74</v>
      </c>
      <c r="D40" s="34" t="s">
        <v>73</v>
      </c>
      <c r="E40" s="36">
        <v>140000</v>
      </c>
      <c r="F40" s="12">
        <v>5</v>
      </c>
      <c r="G40" s="15">
        <v>0</v>
      </c>
      <c r="H40" s="15">
        <v>139999</v>
      </c>
      <c r="I40" s="15">
        <v>1</v>
      </c>
    </row>
    <row r="41" spans="1:9">
      <c r="A41" s="12">
        <v>36</v>
      </c>
      <c r="B41" s="19" t="s">
        <v>72</v>
      </c>
      <c r="C41" s="35" t="s">
        <v>71</v>
      </c>
      <c r="D41" s="34" t="s">
        <v>70</v>
      </c>
      <c r="E41" s="36">
        <v>145000</v>
      </c>
      <c r="F41" s="12">
        <v>5</v>
      </c>
      <c r="G41" s="15">
        <v>0</v>
      </c>
      <c r="H41" s="15">
        <v>144999</v>
      </c>
      <c r="I41" s="15">
        <v>1</v>
      </c>
    </row>
    <row r="42" spans="1:9">
      <c r="A42" s="12">
        <v>37</v>
      </c>
      <c r="B42" s="19" t="s">
        <v>69</v>
      </c>
      <c r="C42" s="35" t="s">
        <v>68</v>
      </c>
      <c r="D42" s="34" t="s">
        <v>67</v>
      </c>
      <c r="E42" s="33">
        <v>1240000</v>
      </c>
      <c r="F42" s="12">
        <v>5</v>
      </c>
      <c r="G42" s="15">
        <v>0</v>
      </c>
      <c r="H42" s="15">
        <v>1239999</v>
      </c>
      <c r="I42" s="15">
        <v>1</v>
      </c>
    </row>
    <row r="43" spans="1:9">
      <c r="A43" s="12">
        <v>38</v>
      </c>
      <c r="B43" s="19" t="s">
        <v>62</v>
      </c>
      <c r="C43" s="25" t="s">
        <v>66</v>
      </c>
      <c r="D43" s="32" t="s">
        <v>65</v>
      </c>
      <c r="E43" s="31">
        <v>163333.34</v>
      </c>
      <c r="F43" s="12">
        <v>5</v>
      </c>
      <c r="G43" s="15">
        <v>0</v>
      </c>
      <c r="H43" s="15">
        <v>163332.34</v>
      </c>
      <c r="I43" s="15">
        <v>1</v>
      </c>
    </row>
    <row r="44" spans="1:9">
      <c r="A44" s="12">
        <v>39</v>
      </c>
      <c r="B44" s="19" t="s">
        <v>62</v>
      </c>
      <c r="C44" s="25" t="s">
        <v>64</v>
      </c>
      <c r="D44" s="32" t="s">
        <v>63</v>
      </c>
      <c r="E44" s="31">
        <v>163333.32999999999</v>
      </c>
      <c r="F44" s="12">
        <v>5</v>
      </c>
      <c r="G44" s="15">
        <v>0</v>
      </c>
      <c r="H44" s="15">
        <v>163332.32999999999</v>
      </c>
      <c r="I44" s="15">
        <v>1</v>
      </c>
    </row>
    <row r="45" spans="1:9">
      <c r="A45" s="12">
        <v>40</v>
      </c>
      <c r="B45" s="19" t="s">
        <v>62</v>
      </c>
      <c r="C45" s="25" t="s">
        <v>61</v>
      </c>
      <c r="D45" s="32" t="s">
        <v>60</v>
      </c>
      <c r="E45" s="31">
        <v>163333.32999999999</v>
      </c>
      <c r="F45" s="12">
        <v>5</v>
      </c>
      <c r="G45" s="15">
        <v>0</v>
      </c>
      <c r="H45" s="15">
        <v>163332.32999999999</v>
      </c>
      <c r="I45" s="15">
        <v>1</v>
      </c>
    </row>
    <row r="46" spans="1:9">
      <c r="A46" s="12">
        <v>41</v>
      </c>
      <c r="B46" s="19" t="s">
        <v>57</v>
      </c>
      <c r="C46" s="25" t="s">
        <v>59</v>
      </c>
      <c r="D46" s="32" t="s">
        <v>58</v>
      </c>
      <c r="E46" s="31">
        <v>1285000</v>
      </c>
      <c r="F46" s="12">
        <v>5</v>
      </c>
      <c r="G46" s="15">
        <v>0</v>
      </c>
      <c r="H46" s="15">
        <v>1284999</v>
      </c>
      <c r="I46" s="15">
        <v>1</v>
      </c>
    </row>
    <row r="47" spans="1:9">
      <c r="A47" s="12">
        <v>42</v>
      </c>
      <c r="B47" s="19" t="s">
        <v>57</v>
      </c>
      <c r="C47" s="25" t="s">
        <v>56</v>
      </c>
      <c r="D47" s="32" t="s">
        <v>55</v>
      </c>
      <c r="E47" s="31">
        <v>1285000</v>
      </c>
      <c r="F47" s="12">
        <v>5</v>
      </c>
      <c r="G47" s="15">
        <v>0</v>
      </c>
      <c r="H47" s="15">
        <v>1284999</v>
      </c>
      <c r="I47" s="15">
        <v>1</v>
      </c>
    </row>
    <row r="48" spans="1:9">
      <c r="A48" s="12">
        <v>43</v>
      </c>
      <c r="B48" s="19" t="s">
        <v>52</v>
      </c>
      <c r="C48" s="25" t="s">
        <v>54</v>
      </c>
      <c r="D48" s="32" t="s">
        <v>53</v>
      </c>
      <c r="E48" s="31">
        <v>250000</v>
      </c>
      <c r="F48" s="12">
        <v>5</v>
      </c>
      <c r="G48" s="15">
        <v>0</v>
      </c>
      <c r="H48" s="15">
        <v>249999</v>
      </c>
      <c r="I48" s="15">
        <v>1</v>
      </c>
    </row>
    <row r="49" spans="1:9">
      <c r="A49" s="12">
        <v>44</v>
      </c>
      <c r="B49" s="19" t="s">
        <v>52</v>
      </c>
      <c r="C49" s="25" t="s">
        <v>51</v>
      </c>
      <c r="D49" s="32" t="s">
        <v>50</v>
      </c>
      <c r="E49" s="31">
        <v>250000</v>
      </c>
      <c r="F49" s="12">
        <v>5</v>
      </c>
      <c r="G49" s="15">
        <v>0</v>
      </c>
      <c r="H49" s="15">
        <v>249999</v>
      </c>
      <c r="I49" s="15">
        <v>1</v>
      </c>
    </row>
    <row r="50" spans="1:9">
      <c r="A50" s="12">
        <v>45</v>
      </c>
      <c r="B50" s="19" t="s">
        <v>49</v>
      </c>
      <c r="C50" s="25" t="s">
        <v>48</v>
      </c>
      <c r="D50" s="32" t="s">
        <v>47</v>
      </c>
      <c r="E50" s="31">
        <v>6000000</v>
      </c>
      <c r="F50" s="12">
        <v>5</v>
      </c>
      <c r="G50" s="15">
        <v>0</v>
      </c>
      <c r="H50" s="15">
        <v>5999999</v>
      </c>
      <c r="I50" s="15">
        <v>1</v>
      </c>
    </row>
    <row r="51" spans="1:9">
      <c r="A51" s="12">
        <v>46</v>
      </c>
      <c r="B51" s="19" t="s">
        <v>46</v>
      </c>
      <c r="C51" s="25" t="s">
        <v>45</v>
      </c>
      <c r="D51" s="12" t="s">
        <v>44</v>
      </c>
      <c r="E51" s="30">
        <v>2000000</v>
      </c>
      <c r="F51" s="12">
        <v>5</v>
      </c>
      <c r="G51" s="15">
        <v>0</v>
      </c>
      <c r="H51" s="15">
        <v>1999999</v>
      </c>
      <c r="I51" s="15">
        <v>1</v>
      </c>
    </row>
    <row r="52" spans="1:9">
      <c r="A52" s="12">
        <v>47</v>
      </c>
      <c r="B52" s="19" t="s">
        <v>43</v>
      </c>
      <c r="C52" s="25" t="s">
        <v>42</v>
      </c>
      <c r="D52" s="12" t="s">
        <v>41</v>
      </c>
      <c r="E52" s="30">
        <v>2000000</v>
      </c>
      <c r="F52" s="12">
        <v>5</v>
      </c>
      <c r="G52" s="15">
        <v>0</v>
      </c>
      <c r="H52" s="15">
        <v>1999999</v>
      </c>
      <c r="I52" s="15">
        <v>1</v>
      </c>
    </row>
    <row r="53" spans="1:9">
      <c r="A53" s="12">
        <v>48</v>
      </c>
      <c r="B53" s="19" t="s">
        <v>40</v>
      </c>
      <c r="C53" s="25" t="s">
        <v>39</v>
      </c>
      <c r="D53" s="12" t="s">
        <v>38</v>
      </c>
      <c r="E53" s="30">
        <v>2000000</v>
      </c>
      <c r="F53" s="12">
        <v>5</v>
      </c>
      <c r="G53" s="15">
        <v>0</v>
      </c>
      <c r="H53" s="15">
        <v>1999999</v>
      </c>
      <c r="I53" s="15">
        <v>1</v>
      </c>
    </row>
    <row r="54" spans="1:9">
      <c r="A54" s="12">
        <v>49</v>
      </c>
      <c r="B54" s="19" t="s">
        <v>33</v>
      </c>
      <c r="C54" s="25" t="s">
        <v>37</v>
      </c>
      <c r="D54" s="12" t="s">
        <v>36</v>
      </c>
      <c r="E54" s="30">
        <v>135000</v>
      </c>
      <c r="F54" s="12">
        <v>5</v>
      </c>
      <c r="G54" s="15">
        <v>0</v>
      </c>
      <c r="H54" s="15">
        <v>134999</v>
      </c>
      <c r="I54" s="15">
        <v>1</v>
      </c>
    </row>
    <row r="55" spans="1:9">
      <c r="A55" s="12">
        <v>50</v>
      </c>
      <c r="B55" s="19" t="s">
        <v>33</v>
      </c>
      <c r="C55" s="25" t="s">
        <v>35</v>
      </c>
      <c r="D55" s="12" t="s">
        <v>34</v>
      </c>
      <c r="E55" s="30">
        <v>135000</v>
      </c>
      <c r="F55" s="12">
        <v>5</v>
      </c>
      <c r="G55" s="15">
        <v>0</v>
      </c>
      <c r="H55" s="15">
        <v>134999</v>
      </c>
      <c r="I55" s="15">
        <v>1</v>
      </c>
    </row>
    <row r="56" spans="1:9">
      <c r="A56" s="12">
        <v>51</v>
      </c>
      <c r="B56" s="19" t="s">
        <v>33</v>
      </c>
      <c r="C56" s="25" t="s">
        <v>32</v>
      </c>
      <c r="D56" s="12" t="s">
        <v>31</v>
      </c>
      <c r="E56" s="30">
        <v>135000</v>
      </c>
      <c r="F56" s="12">
        <v>5</v>
      </c>
      <c r="G56" s="15">
        <v>0</v>
      </c>
      <c r="H56" s="15">
        <v>134999</v>
      </c>
      <c r="I56" s="15">
        <v>1</v>
      </c>
    </row>
    <row r="57" spans="1:9">
      <c r="A57" s="12">
        <v>52</v>
      </c>
      <c r="B57" s="19" t="s">
        <v>30</v>
      </c>
      <c r="C57" s="25" t="s">
        <v>29</v>
      </c>
      <c r="D57" s="12" t="s">
        <v>28</v>
      </c>
      <c r="E57" s="30">
        <v>145000</v>
      </c>
      <c r="F57" s="12">
        <v>5</v>
      </c>
      <c r="G57" s="15">
        <v>0</v>
      </c>
      <c r="H57" s="15">
        <v>144999</v>
      </c>
      <c r="I57" s="15">
        <v>1</v>
      </c>
    </row>
    <row r="58" spans="1:9">
      <c r="A58" s="12">
        <v>53</v>
      </c>
      <c r="B58" s="19" t="s">
        <v>25</v>
      </c>
      <c r="C58" s="25" t="s">
        <v>27</v>
      </c>
      <c r="D58" s="12" t="s">
        <v>26</v>
      </c>
      <c r="E58" s="30">
        <v>140000</v>
      </c>
      <c r="F58" s="12">
        <v>5</v>
      </c>
      <c r="G58" s="15">
        <v>0</v>
      </c>
      <c r="H58" s="15">
        <v>139999</v>
      </c>
      <c r="I58" s="15">
        <v>1</v>
      </c>
    </row>
    <row r="59" spans="1:9">
      <c r="A59" s="12">
        <v>54</v>
      </c>
      <c r="B59" s="19" t="s">
        <v>25</v>
      </c>
      <c r="C59" s="25" t="s">
        <v>24</v>
      </c>
      <c r="D59" s="12" t="s">
        <v>23</v>
      </c>
      <c r="E59" s="30">
        <v>140000</v>
      </c>
      <c r="F59" s="12">
        <v>5</v>
      </c>
      <c r="G59" s="15">
        <v>0</v>
      </c>
      <c r="H59" s="15">
        <v>139999</v>
      </c>
      <c r="I59" s="15">
        <v>1</v>
      </c>
    </row>
    <row r="60" spans="1:9">
      <c r="A60" s="12">
        <v>55</v>
      </c>
      <c r="B60" s="19" t="s">
        <v>22</v>
      </c>
      <c r="C60" s="13"/>
      <c r="D60" s="29" t="s">
        <v>21</v>
      </c>
      <c r="E60" s="28">
        <v>460000</v>
      </c>
      <c r="F60" s="12">
        <v>5</v>
      </c>
      <c r="G60" s="15">
        <v>38332.31</v>
      </c>
      <c r="H60" s="15">
        <v>459999</v>
      </c>
      <c r="I60" s="15">
        <v>1</v>
      </c>
    </row>
    <row r="61" spans="1:9">
      <c r="A61" s="12">
        <v>56</v>
      </c>
      <c r="B61" s="19" t="s">
        <v>20</v>
      </c>
      <c r="C61" s="25" t="s">
        <v>19</v>
      </c>
      <c r="D61" s="27" t="s">
        <v>18</v>
      </c>
      <c r="E61" s="26">
        <v>1523000</v>
      </c>
      <c r="F61" s="12">
        <v>5</v>
      </c>
      <c r="G61" s="15">
        <v>304600</v>
      </c>
      <c r="H61" s="15">
        <v>710733.32000000007</v>
      </c>
      <c r="I61" s="15">
        <v>812266.67999999993</v>
      </c>
    </row>
    <row r="62" spans="1:9">
      <c r="A62" s="12">
        <v>57</v>
      </c>
      <c r="B62" s="19" t="s">
        <v>17</v>
      </c>
      <c r="C62" s="25" t="s">
        <v>16</v>
      </c>
      <c r="D62" s="24" t="s">
        <v>15</v>
      </c>
      <c r="E62" s="23">
        <v>3640000</v>
      </c>
      <c r="F62" s="12">
        <v>5</v>
      </c>
      <c r="G62" s="15">
        <v>728000</v>
      </c>
      <c r="H62" s="15">
        <v>1274000.03</v>
      </c>
      <c r="I62" s="15">
        <v>2365999.9699999997</v>
      </c>
    </row>
    <row r="63" spans="1:9">
      <c r="A63" s="12">
        <v>58</v>
      </c>
      <c r="B63" s="19" t="s">
        <v>14</v>
      </c>
      <c r="C63" s="22" t="s">
        <v>13</v>
      </c>
      <c r="D63" s="21" t="s">
        <v>12</v>
      </c>
      <c r="E63" s="20">
        <v>1</v>
      </c>
      <c r="F63" s="12">
        <v>5</v>
      </c>
      <c r="G63" s="15">
        <v>0</v>
      </c>
      <c r="H63" s="15">
        <v>0</v>
      </c>
      <c r="I63" s="15">
        <v>1</v>
      </c>
    </row>
    <row r="64" spans="1:9">
      <c r="A64" s="12">
        <v>59</v>
      </c>
      <c r="B64" s="19" t="s">
        <v>11</v>
      </c>
      <c r="C64" s="22" t="s">
        <v>10</v>
      </c>
      <c r="D64" s="21" t="s">
        <v>9</v>
      </c>
      <c r="E64" s="20">
        <v>1</v>
      </c>
      <c r="F64" s="12">
        <v>5</v>
      </c>
      <c r="G64" s="15">
        <v>0</v>
      </c>
      <c r="H64" s="15">
        <v>0</v>
      </c>
      <c r="I64" s="15">
        <v>1</v>
      </c>
    </row>
    <row r="65" spans="1:9">
      <c r="A65" s="12">
        <v>60</v>
      </c>
      <c r="B65" s="19" t="s">
        <v>8</v>
      </c>
      <c r="C65" s="18"/>
      <c r="D65" s="17" t="s">
        <v>7</v>
      </c>
      <c r="E65" s="16">
        <v>1584000</v>
      </c>
      <c r="F65" s="12">
        <v>5</v>
      </c>
      <c r="G65" s="15">
        <v>105600</v>
      </c>
      <c r="H65" s="15">
        <v>105600</v>
      </c>
      <c r="I65" s="15">
        <v>1478400</v>
      </c>
    </row>
    <row r="66" spans="1:9">
      <c r="A66" s="12">
        <v>61</v>
      </c>
      <c r="B66" s="19" t="s">
        <v>6</v>
      </c>
      <c r="C66" s="18"/>
      <c r="D66" s="17" t="s">
        <v>5</v>
      </c>
      <c r="E66" s="16">
        <v>2499000</v>
      </c>
      <c r="F66" s="12">
        <v>5</v>
      </c>
      <c r="G66" s="15">
        <v>41650</v>
      </c>
      <c r="H66" s="15">
        <v>41650</v>
      </c>
      <c r="I66" s="15">
        <v>2457350</v>
      </c>
    </row>
    <row r="67" spans="1:9">
      <c r="A67" s="14"/>
      <c r="B67" s="14"/>
      <c r="C67" s="13"/>
      <c r="D67" s="12"/>
      <c r="E67" s="11">
        <f>SUM(E6:E66)</f>
        <v>54135307</v>
      </c>
      <c r="F67" s="11">
        <f>SUM(F6:F66)</f>
        <v>305</v>
      </c>
      <c r="G67" s="11">
        <f>SUM(G6:G66)</f>
        <v>1218182.31</v>
      </c>
      <c r="H67" s="11">
        <f>SUM(H6:H66)</f>
        <v>47021233.350000001</v>
      </c>
      <c r="I67" s="11">
        <f>SUM(I6:I66)</f>
        <v>7114073.6499999994</v>
      </c>
    </row>
    <row r="70" spans="1:9">
      <c r="E70" s="9" t="s">
        <v>4</v>
      </c>
      <c r="F70" s="10" t="s">
        <v>3</v>
      </c>
      <c r="G70" s="9" t="s">
        <v>2</v>
      </c>
      <c r="H70" s="9" t="s">
        <v>1</v>
      </c>
    </row>
    <row r="71" spans="1:9" ht="25.5">
      <c r="C71" s="49" t="s">
        <v>0</v>
      </c>
      <c r="D71" s="49"/>
      <c r="E71" s="8">
        <f>E67</f>
        <v>54135307</v>
      </c>
      <c r="F71" s="7">
        <f>G67</f>
        <v>1218182.31</v>
      </c>
      <c r="G71" s="6">
        <f>H67</f>
        <v>47021233.350000001</v>
      </c>
      <c r="H71" s="6">
        <f>I67</f>
        <v>7114073.6499999994</v>
      </c>
    </row>
  </sheetData>
  <autoFilter ref="A5:F5"/>
  <mergeCells count="2">
    <mergeCell ref="A2:F2"/>
    <mergeCell ref="C71:D71"/>
  </mergeCells>
  <pageMargins left="0.70866141732283472" right="0.51181102362204722" top="0.15748031496062992" bottom="0.15748031496062992" header="0.31496062992125984" footer="0.31496062992125984"/>
  <pageSetup paperSize="9" scale="86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ยานพาหนะ งปม.</vt:lpstr>
      <vt:lpstr>'ยานพาหนะ งปม.'!Print_Area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nanthinees</dc:creator>
  <cp:lastModifiedBy>nanthinees</cp:lastModifiedBy>
  <dcterms:created xsi:type="dcterms:W3CDTF">2026-10-08T07:50:53Z</dcterms:created>
  <dcterms:modified xsi:type="dcterms:W3CDTF">2026-10-10T04:16:55Z</dcterms:modified>
</cp:coreProperties>
</file>