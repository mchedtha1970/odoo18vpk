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โปรแกรม  Interface" sheetId="1" r:id="rId1"/>
  </sheets>
  <definedNames>
    <definedName name="_xlnm.Print_Area" localSheetId="0">'โปรแกรม  Interface'!$A$1:$H$9</definedName>
  </definedNames>
  <calcPr calcId="124519"/>
</workbook>
</file>

<file path=xl/calcChain.xml><?xml version="1.0" encoding="utf-8"?>
<calcChain xmlns="http://schemas.openxmlformats.org/spreadsheetml/2006/main">
  <c r="D19" i="1"/>
  <c r="E19"/>
  <c r="F19"/>
  <c r="G19"/>
  <c r="H19"/>
  <c r="D24"/>
  <c r="E24"/>
  <c r="F24"/>
  <c r="G24"/>
</calcChain>
</file>

<file path=xl/sharedStrings.xml><?xml version="1.0" encoding="utf-8"?>
<sst xmlns="http://schemas.openxmlformats.org/spreadsheetml/2006/main" count="41" uniqueCount="38">
  <si>
    <t>ครุภัณฑ์ประจำปี 69</t>
  </si>
  <si>
    <t>สุทธิ</t>
  </si>
  <si>
    <t>สะสม</t>
  </si>
  <si>
    <t>ประจำปี</t>
  </si>
  <si>
    <t>มูลค่ารวม</t>
  </si>
  <si>
    <t>7440-013-0003/1(64)</t>
  </si>
  <si>
    <t>ชนิด 1300032 ระบบ Logbook ผ่าน Mobile Application สำหรับการเรียนการสอนและประเมินผล</t>
  </si>
  <si>
    <t>7440-013-0002/1(64)</t>
  </si>
  <si>
    <t>ชนิด 1300032 โปรแกรมฐานข้อมูลออนไลน์ทางการแพทย์</t>
  </si>
  <si>
    <t>7440-013-0005/1(63)</t>
  </si>
  <si>
    <t>โปรมแกรมขาย PROGRAM QPOS (2LICENCS)</t>
  </si>
  <si>
    <t>7440-013-0006/1(62)</t>
  </si>
  <si>
    <t>ชนิด 1300032 โปรแกรมระบบบริหารจัดการรถพยาบาลแบบรวมศูนย์</t>
  </si>
  <si>
    <t>7440-013-0005/1(61)</t>
  </si>
  <si>
    <t>ชนิด 1300032 โปรแกรม Express</t>
  </si>
  <si>
    <t>7440-013-0004/1(61)</t>
  </si>
  <si>
    <t>ชนิด 1300032 โปรแกรม ADR Smartphone Application</t>
  </si>
  <si>
    <t>7440-013-0002/2(60)</t>
  </si>
  <si>
    <t>โปรแกรมควบคุมทรัพย์สิน</t>
  </si>
  <si>
    <t>7440-013-0002/1(60)</t>
  </si>
  <si>
    <t>ชนิด 1300032 โปรแกรมที่ใช้กับผู้ป่วยที่มีความบกพร่องทางสมอง</t>
  </si>
  <si>
    <t>7440-013-0002/12(56)</t>
  </si>
  <si>
    <t>ชนิด 1300032 โปรแกรมจัดเก็บข้อมูลจากอุปกรณ์ (26/2/2556)</t>
  </si>
  <si>
    <t>4310-001-0001/11(56)</t>
  </si>
  <si>
    <t>ชนิด 1300029 โปรแกรม Fprtogate 60C (23/11/2555)</t>
  </si>
  <si>
    <t>7440-013-0002/10(56)</t>
  </si>
  <si>
    <t>7440-013-0002/9(56)</t>
  </si>
  <si>
    <t>7440-013-0002/7(55)</t>
  </si>
  <si>
    <t>ชนิด 1300027 โปรแกรมบริหารจัดการพลังงานไฟฟ้าพร้อมชุดแปลงสัญญาณ(26/10/2554)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</si>
  <si>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</si>
  <si>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</si>
  <si>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</si>
  <si>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</si>
  <si>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</si>
  <si>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</si>
  <si>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</si>
  <si>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 xml:space="preserve">ประเภทครุภัณฑ์ โปรแกรมคอมพิวเตอร์ 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</si>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</sst>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b/>
      <sz val="16"/>
      <name val="Angsana New"/>
      <family val="1"/>
    </font>
    <font>
      <sz val="10"/>
      <color indexed="8"/>
      <name val="Arial"/>
      <family val="2"/>
    </font>
    <font>
      <b/>
      <sz val="16"/>
      <color indexed="8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43" fontId="3" fillId="0" borderId="0" xfId="1" applyFont="1"/>
    <xf numFmtId="43" fontId="3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2" fillId="0" borderId="2" xfId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2" xfId="2" applyFont="1" applyBorder="1" applyAlignment="1">
      <alignment horizontal="center"/>
    </xf>
    <xf numFmtId="43" fontId="5" fillId="0" borderId="2" xfId="1" applyFont="1" applyFill="1" applyBorder="1"/>
    <xf numFmtId="14" fontId="5" fillId="0" borderId="2" xfId="2" applyNumberFormat="1" applyFont="1" applyBorder="1"/>
    <xf numFmtId="43" fontId="6" fillId="0" borderId="2" xfId="1" applyFont="1" applyBorder="1"/>
    <xf numFmtId="0" fontId="6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7" fillId="0" borderId="2" xfId="1" applyFont="1" applyBorder="1"/>
    <xf numFmtId="0" fontId="7" fillId="0" borderId="2" xfId="0" applyFont="1" applyBorder="1" applyAlignment="1">
      <alignment horizontal="left"/>
    </xf>
    <xf numFmtId="0" fontId="7" fillId="0" borderId="2" xfId="3" applyFont="1" applyBorder="1" applyAlignment="1">
      <alignment horizontal="center"/>
    </xf>
    <xf numFmtId="0" fontId="7" fillId="0" borderId="2" xfId="3" applyFont="1" applyBorder="1"/>
    <xf numFmtId="0" fontId="7" fillId="0" borderId="2" xfId="1" applyNumberFormat="1" applyFont="1" applyFill="1" applyBorder="1" applyAlignment="1">
      <alignment horizontal="center"/>
    </xf>
    <xf numFmtId="43" fontId="7" fillId="0" borderId="2" xfId="1" applyFont="1" applyFill="1" applyBorder="1"/>
    <xf numFmtId="0" fontId="7" fillId="0" borderId="2" xfId="4" applyFont="1" applyBorder="1" applyAlignment="1">
      <alignment horizontal="center" vertical="center"/>
    </xf>
    <xf numFmtId="0" fontId="7" fillId="0" borderId="2" xfId="5" applyFont="1" applyBorder="1" applyAlignment="1">
      <alignment horizontal="left" vertical="top"/>
    </xf>
    <xf numFmtId="43" fontId="2" fillId="0" borderId="2" xfId="1" applyFont="1" applyFill="1" applyBorder="1"/>
    <xf numFmtId="0" fontId="5" fillId="0" borderId="2" xfId="4" applyFont="1" applyBorder="1" applyAlignment="1">
      <alignment horizontal="center" vertical="center"/>
    </xf>
    <xf numFmtId="0" fontId="5" fillId="0" borderId="2" xfId="5" applyFont="1" applyBorder="1" applyAlignment="1">
      <alignment horizontal="left" vertical="top"/>
    </xf>
    <xf numFmtId="43" fontId="9" fillId="2" borderId="2" xfId="1" applyFont="1" applyFill="1" applyBorder="1" applyAlignment="1">
      <alignment horizontal="center" vertical="top"/>
    </xf>
    <xf numFmtId="43" fontId="2" fillId="0" borderId="2" xfId="1" applyFont="1" applyBorder="1" applyAlignment="1">
      <alignment horizontal="center"/>
    </xf>
    <xf numFmtId="0" fontId="6" fillId="0" borderId="0" xfId="0" applyFont="1"/>
    <xf numFmtId="43" fontId="6" fillId="0" borderId="0" xfId="1" applyFont="1"/>
    <xf numFmtId="43" fontId="6" fillId="0" borderId="0" xfId="1" applyFont="1" applyFill="1" applyAlignment="1"/>
    <xf numFmtId="0" fontId="6" fillId="0" borderId="0" xfId="0" applyFont="1" applyAlignment="1">
      <alignment horizontal="center"/>
    </xf>
    <xf numFmtId="43" fontId="6" fillId="0" borderId="0" xfId="1" applyFont="1" applyFill="1" applyAlignment="1">
      <alignment horizontal="center"/>
    </xf>
    <xf numFmtId="43" fontId="6" fillId="0" borderId="0" xfId="1" applyFont="1" applyAlignment="1">
      <alignment horizontal="center"/>
    </xf>
    <xf numFmtId="0" fontId="6" fillId="0" borderId="0" xfId="0" applyFont="1" applyAlignment="1">
      <alignment horizontal="center"/>
    </xf>
  </cellXfs>
  <cellStyles count="13">
    <cellStyle name="Comma" xfId="1" builtinId="3"/>
    <cellStyle name="Comma 2" xfId="6"/>
    <cellStyle name="Comma 4" xfId="7"/>
    <cellStyle name="Comma 5" xfId="8"/>
    <cellStyle name="Normal" xfId="0" builtinId="0"/>
    <cellStyle name="Normal 2" xfId="2"/>
    <cellStyle name="เครื่องหมายจุลภาค 2" xfId="9"/>
    <cellStyle name="จุลภาค 2" xfId="10"/>
    <cellStyle name="จุลภาค 2 2" xfId="11"/>
    <cellStyle name="ปกติ 2" xfId="5"/>
    <cellStyle name="ปกติ 3" xfId="4"/>
    <cellStyle name="ปกติ 4" xfId="12"/>
    <cellStyle name="ปกติ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87018</xdr:colOff>
      <xdr:row>2</xdr:row>
      <xdr:rowOff>96702</xdr:rowOff>
    </xdr:from>
    <xdr:to>
      <xdr:col>0</xdr:col>
      <xdr:colOff>458492</xdr:colOff>
      <xdr:row>3</xdr:row>
      <xdr:rowOff>174355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018" y="458652"/>
          <a:ext cx="371474" cy="2586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1:H24"/>
  <sheetViews>
    <sheetView tabSelected="1" zoomScaleSheetLayoutView="130" workbookViewId="0">
      <selection activeCell="A6" sqref="A6:A18"/>
    </sheetView>
  </sheetViews>
  <sheetFormatPr defaultColWidth="9" defaultRowHeight="23.25"/>
  <cols>
    <col min="1" max="1" width="7.125" style="1" customWidth="1"/>
    <col min="2" max="2" width="42.75" style="1" customWidth="1"/>
    <col min="3" max="3" width="21" style="3" customWidth="1"/>
    <col min="4" max="4" width="13.75" style="2" customWidth="1"/>
    <col min="5" max="5" width="11.75" style="1" customWidth="1"/>
    <col min="6" max="6" width="14.5" style="2" customWidth="1"/>
    <col min="7" max="7" width="12.625" style="2" customWidth="1"/>
    <col min="8" max="8" width="15.25" style="2" customWidth="1"/>
    <col min="9" max="16384" width="9" style="1"/>
  </cols>
  <sheetData>
    <row r="1" spans="1:8" s="31" customFormat="1" ht="15.75" customHeight="1">
      <c r="C1" s="34"/>
      <c r="D1" s="32"/>
      <c r="E1" s="33"/>
      <c r="F1" s="32"/>
      <c r="G1" s="32"/>
      <c r="H1" s="32"/>
    </row>
    <row r="2" spans="1:8" s="31" customFormat="1" ht="18.75" customHeight="1">
      <c r="A2" s="37" t="s">
        <v>37</v>
      </c>
      <c r="B2" s="37"/>
      <c r="C2" s="37"/>
      <c r="D2" s="37"/>
      <c r="E2" s="37"/>
      <c r="F2" s="32"/>
      <c r="G2" s="32"/>
      <c r="H2" s="32"/>
    </row>
    <row r="3" spans="1:8" s="31" customFormat="1" ht="21">
      <c r="A3" s="34"/>
      <c r="B3" s="34"/>
      <c r="C3" s="34"/>
      <c r="D3" s="36"/>
      <c r="E3" s="35"/>
      <c r="F3" s="32"/>
      <c r="G3" s="32"/>
      <c r="H3" s="32"/>
    </row>
    <row r="4" spans="1:8" s="31" customFormat="1" ht="21">
      <c r="B4" s="31" t="s">
        <v>36</v>
      </c>
      <c r="C4" s="34"/>
      <c r="D4" s="32"/>
      <c r="E4" s="33"/>
      <c r="F4" s="32"/>
      <c r="G4" s="32"/>
      <c r="H4" s="32"/>
    </row>
    <row r="5" spans="1:8">
      <c r="A5" s="10" t="s">
        <v>35</v>
      </c>
      <c r="B5" s="10" t="s">
        <v>34</v>
      </c>
      <c r="C5" s="10" t="s">
        <v>33</v>
      </c>
      <c r="D5" s="30" t="s">
        <v>4</v>
      </c>
      <c r="E5" s="10" t="s">
        <v>32</v>
      </c>
      <c r="F5" s="29" t="s">
        <v>31</v>
      </c>
      <c r="G5" s="29" t="s">
        <v>30</v>
      </c>
      <c r="H5" s="29" t="s">
        <v>29</v>
      </c>
    </row>
    <row r="6" spans="1:8">
      <c r="A6" s="10">
        <v>1</v>
      </c>
      <c r="B6" s="28" t="s">
        <v>28</v>
      </c>
      <c r="C6" s="27" t="s">
        <v>27</v>
      </c>
      <c r="D6" s="26">
        <v>76505</v>
      </c>
      <c r="E6" s="22">
        <v>3</v>
      </c>
      <c r="F6" s="9">
        <v>0</v>
      </c>
      <c r="G6" s="9">
        <v>76504</v>
      </c>
      <c r="H6" s="9">
        <v>1</v>
      </c>
    </row>
    <row r="7" spans="1:8">
      <c r="A7" s="10">
        <v>2</v>
      </c>
      <c r="B7" s="28" t="s">
        <v>24</v>
      </c>
      <c r="C7" s="27" t="s">
        <v>26</v>
      </c>
      <c r="D7" s="26">
        <v>33277</v>
      </c>
      <c r="E7" s="22">
        <v>3</v>
      </c>
      <c r="F7" s="9">
        <v>0</v>
      </c>
      <c r="G7" s="9">
        <v>33276</v>
      </c>
      <c r="H7" s="9">
        <v>1</v>
      </c>
    </row>
    <row r="8" spans="1:8" ht="25.5" customHeight="1">
      <c r="A8" s="10">
        <v>3</v>
      </c>
      <c r="B8" s="28" t="s">
        <v>24</v>
      </c>
      <c r="C8" s="27" t="s">
        <v>25</v>
      </c>
      <c r="D8" s="26">
        <v>33277</v>
      </c>
      <c r="E8" s="22">
        <v>3</v>
      </c>
      <c r="F8" s="9">
        <v>0</v>
      </c>
      <c r="G8" s="9">
        <v>33276</v>
      </c>
      <c r="H8" s="9">
        <v>1</v>
      </c>
    </row>
    <row r="9" spans="1:8">
      <c r="A9" s="10">
        <v>4</v>
      </c>
      <c r="B9" s="28" t="s">
        <v>24</v>
      </c>
      <c r="C9" s="27" t="s">
        <v>23</v>
      </c>
      <c r="D9" s="26">
        <v>33277</v>
      </c>
      <c r="E9" s="22">
        <v>3</v>
      </c>
      <c r="F9" s="9">
        <v>0</v>
      </c>
      <c r="G9" s="9">
        <v>33276</v>
      </c>
      <c r="H9" s="9">
        <v>1</v>
      </c>
    </row>
    <row r="10" spans="1:8">
      <c r="A10" s="10">
        <v>5</v>
      </c>
      <c r="B10" s="28" t="s">
        <v>22</v>
      </c>
      <c r="C10" s="27" t="s">
        <v>21</v>
      </c>
      <c r="D10" s="26">
        <v>243000</v>
      </c>
      <c r="E10" s="22">
        <v>3</v>
      </c>
      <c r="F10" s="9">
        <v>0</v>
      </c>
      <c r="G10" s="9">
        <v>242999</v>
      </c>
      <c r="H10" s="9">
        <v>1</v>
      </c>
    </row>
    <row r="11" spans="1:8">
      <c r="A11" s="10">
        <v>6</v>
      </c>
      <c r="B11" s="28" t="s">
        <v>20</v>
      </c>
      <c r="C11" s="27" t="s">
        <v>19</v>
      </c>
      <c r="D11" s="26">
        <v>160000</v>
      </c>
      <c r="E11" s="22">
        <v>3</v>
      </c>
      <c r="F11" s="9">
        <v>0</v>
      </c>
      <c r="G11" s="9">
        <v>159999</v>
      </c>
      <c r="H11" s="9">
        <v>1</v>
      </c>
    </row>
    <row r="12" spans="1:8">
      <c r="A12" s="10">
        <v>7</v>
      </c>
      <c r="B12" s="28" t="s">
        <v>18</v>
      </c>
      <c r="C12" s="27" t="s">
        <v>17</v>
      </c>
      <c r="D12" s="26">
        <v>18000</v>
      </c>
      <c r="E12" s="22">
        <v>3</v>
      </c>
      <c r="F12" s="9">
        <v>0</v>
      </c>
      <c r="G12" s="9">
        <v>17999</v>
      </c>
      <c r="H12" s="9">
        <v>1</v>
      </c>
    </row>
    <row r="13" spans="1:8">
      <c r="A13" s="10">
        <v>8</v>
      </c>
      <c r="B13" s="25" t="s">
        <v>16</v>
      </c>
      <c r="C13" s="24" t="s">
        <v>15</v>
      </c>
      <c r="D13" s="23">
        <v>160000</v>
      </c>
      <c r="E13" s="22">
        <v>3</v>
      </c>
      <c r="F13" s="9">
        <v>0</v>
      </c>
      <c r="G13" s="9">
        <v>159999</v>
      </c>
      <c r="H13" s="9">
        <v>1</v>
      </c>
    </row>
    <row r="14" spans="1:8">
      <c r="A14" s="10">
        <v>9</v>
      </c>
      <c r="B14" s="25" t="s">
        <v>14</v>
      </c>
      <c r="C14" s="24" t="s">
        <v>13</v>
      </c>
      <c r="D14" s="23">
        <v>48150</v>
      </c>
      <c r="E14" s="22">
        <v>3</v>
      </c>
      <c r="F14" s="9">
        <v>0</v>
      </c>
      <c r="G14" s="9">
        <v>48149</v>
      </c>
      <c r="H14" s="9">
        <v>1</v>
      </c>
    </row>
    <row r="15" spans="1:8">
      <c r="A15" s="10">
        <v>10</v>
      </c>
      <c r="B15" s="21" t="s">
        <v>12</v>
      </c>
      <c r="C15" s="20" t="s">
        <v>11</v>
      </c>
      <c r="D15" s="18">
        <v>450000</v>
      </c>
      <c r="E15" s="20">
        <v>3</v>
      </c>
      <c r="F15" s="9">
        <v>0</v>
      </c>
      <c r="G15" s="9">
        <v>449999</v>
      </c>
      <c r="H15" s="9">
        <v>1</v>
      </c>
    </row>
    <row r="16" spans="1:8">
      <c r="A16" s="10">
        <v>11</v>
      </c>
      <c r="B16" s="19" t="s">
        <v>10</v>
      </c>
      <c r="C16" s="10" t="s">
        <v>9</v>
      </c>
      <c r="D16" s="18">
        <v>12900</v>
      </c>
      <c r="E16" s="17">
        <v>3</v>
      </c>
      <c r="F16" s="9">
        <v>0</v>
      </c>
      <c r="G16" s="9">
        <v>12899</v>
      </c>
      <c r="H16" s="9">
        <v>1</v>
      </c>
    </row>
    <row r="17" spans="1:8">
      <c r="A17" s="10">
        <v>12</v>
      </c>
      <c r="B17" s="14" t="s">
        <v>8</v>
      </c>
      <c r="C17" s="16" t="s">
        <v>7</v>
      </c>
      <c r="D17" s="15">
        <v>499304</v>
      </c>
      <c r="E17" s="12">
        <v>3</v>
      </c>
      <c r="F17" s="9">
        <v>0</v>
      </c>
      <c r="G17" s="9">
        <v>499303</v>
      </c>
      <c r="H17" s="9">
        <v>1</v>
      </c>
    </row>
    <row r="18" spans="1:8">
      <c r="A18" s="10">
        <v>13</v>
      </c>
      <c r="B18" s="14" t="s">
        <v>6</v>
      </c>
      <c r="C18" s="12" t="s">
        <v>5</v>
      </c>
      <c r="D18" s="13">
        <v>313274.59999999998</v>
      </c>
      <c r="E18" s="12">
        <v>3</v>
      </c>
      <c r="F18" s="9">
        <v>0</v>
      </c>
      <c r="G18" s="9">
        <v>313273.59999999998</v>
      </c>
      <c r="H18" s="9">
        <v>1</v>
      </c>
    </row>
    <row r="19" spans="1:8">
      <c r="A19" s="11"/>
      <c r="B19" s="11"/>
      <c r="C19" s="10"/>
      <c r="D19" s="9">
        <f>SUM(D6:D18)</f>
        <v>2080964.6</v>
      </c>
      <c r="E19" s="9">
        <f>SUM(E6:E18)</f>
        <v>39</v>
      </c>
      <c r="F19" s="9">
        <f>SUM(F6:F18)</f>
        <v>0</v>
      </c>
      <c r="G19" s="9">
        <f>SUM(G6:G18)</f>
        <v>2080951.6</v>
      </c>
      <c r="H19" s="9">
        <f>SUM(H6:H18)</f>
        <v>13</v>
      </c>
    </row>
    <row r="23" spans="1:8" ht="24" thickBot="1">
      <c r="D23" s="8" t="s">
        <v>4</v>
      </c>
      <c r="E23" s="7" t="s">
        <v>3</v>
      </c>
      <c r="F23" s="7" t="s">
        <v>2</v>
      </c>
      <c r="G23" s="7" t="s">
        <v>1</v>
      </c>
    </row>
    <row r="24" spans="1:8" ht="26.25" thickBot="1">
      <c r="C24" s="6" t="s">
        <v>0</v>
      </c>
      <c r="D24" s="4">
        <f>D19</f>
        <v>2080964.6</v>
      </c>
      <c r="E24" s="5">
        <f>F19</f>
        <v>0</v>
      </c>
      <c r="F24" s="4">
        <f>G19</f>
        <v>2080951.6</v>
      </c>
      <c r="G24" s="4">
        <f>H19</f>
        <v>13</v>
      </c>
    </row>
  </sheetData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95" fitToHeight="0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โปรแกรม  Interface</vt:lpstr>
      <vt:lpstr>'โปรแกรม 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2026-10-08T07:20:47Z</dcterms:created>
  <dcterms:modified xsi:type="dcterms:W3CDTF">2026-10-08T07:22:32Z</dcterms:modified>
</cp:coreProperties>
</file>