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a2ebe81abfde5fd/เอกสาร/"/>
    </mc:Choice>
  </mc:AlternateContent>
  <xr:revisionPtr revIDLastSave="0" documentId="13_ncr:1_{CE4594B3-77A7-42F5-9F69-8F77E9FD48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Titles" localSheetId="0">Sheet1!$1:$3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2" i="1" l="1"/>
  <c r="F77" i="1"/>
  <c r="F76" i="1"/>
  <c r="F75" i="1"/>
  <c r="F74" i="1"/>
  <c r="F73" i="1"/>
  <c r="F72" i="1"/>
  <c r="F71" i="1"/>
  <c r="F35" i="1"/>
  <c r="F85" i="1"/>
  <c r="F78" i="1" l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46" i="1"/>
  <c r="F45" i="1"/>
  <c r="F44" i="1"/>
  <c r="F43" i="1"/>
  <c r="F42" i="1"/>
  <c r="F41" i="1"/>
  <c r="F40" i="1"/>
  <c r="F39" i="1"/>
  <c r="F38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83" i="1"/>
  <c r="F36" i="1" l="1"/>
  <c r="F69" i="1"/>
  <c r="F47" i="1"/>
  <c r="F86" i="1"/>
</calcChain>
</file>

<file path=xl/sharedStrings.xml><?xml version="1.0" encoding="utf-8"?>
<sst xmlns="http://schemas.openxmlformats.org/spreadsheetml/2006/main" count="288" uniqueCount="159">
  <si>
    <t>ลำดับ</t>
  </si>
  <si>
    <t>รายการ</t>
  </si>
  <si>
    <t>จำนวน</t>
  </si>
  <si>
    <t>ราคา</t>
  </si>
  <si>
    <t>วงเงิน</t>
  </si>
  <si>
    <t>บริษัท</t>
  </si>
  <si>
    <t>เลขที่ใบขอซื้อ</t>
  </si>
  <si>
    <t>ขนาดบรรจุ</t>
  </si>
  <si>
    <t>รายการขอซื้อ คลังเวชภัณฑ์มิใช่ยา</t>
  </si>
  <si>
    <t>ชิ้น[1]</t>
  </si>
  <si>
    <t>DKSH</t>
  </si>
  <si>
    <t>เวชภัณฑ์การพยาบาล</t>
  </si>
  <si>
    <t>กล่อง[100]</t>
  </si>
  <si>
    <t>เวชภัณฑ์ทั่วไป</t>
  </si>
  <si>
    <t>ชุด[1]</t>
  </si>
  <si>
    <t>อัน[1]</t>
  </si>
  <si>
    <t>ใบ[1]</t>
  </si>
  <si>
    <t>PC ดรัก</t>
  </si>
  <si>
    <t>ซิลลิค</t>
  </si>
  <si>
    <t>เส้น[1]</t>
  </si>
  <si>
    <t>ขวด[1]</t>
  </si>
  <si>
    <t>ม้วน[1]</t>
  </si>
  <si>
    <t>รายการสัญญา</t>
  </si>
  <si>
    <t>E-Bidding</t>
  </si>
  <si>
    <t>ห่อ[1]</t>
  </si>
  <si>
    <t>กล่อง[25]</t>
  </si>
  <si>
    <t>ดวง[1]</t>
  </si>
  <si>
    <t>กล่อง[24]</t>
  </si>
  <si>
    <t>สํญญาเจาะจง</t>
  </si>
  <si>
    <t>ยูนิเมด</t>
  </si>
  <si>
    <t>เลขที่ใบสั่งซื้อ (PO)</t>
  </si>
  <si>
    <t>สถานะจัดซื้อ</t>
  </si>
  <si>
    <t>สถานะคลัง</t>
  </si>
  <si>
    <t>วันที่</t>
  </si>
  <si>
    <t>ประจำเดือน พฤษภาคม 2569 รอบที่ 1 ปีงบ 69 ส่งแผนวันที่ 23 เมษายน 2569</t>
  </si>
  <si>
    <t>HA330-II Disposable  Hemoperfusion</t>
  </si>
  <si>
    <t>ขวดแก้ว size 15 cc. By EO</t>
  </si>
  <si>
    <t>ผ้า Non woven Blue &amp; Green Anti  30x30 cm</t>
  </si>
  <si>
    <t>ผ้า Non woven Blue &amp; Green Anti 60x60 cm</t>
  </si>
  <si>
    <t>ผ้า Non woven Blue &amp; Green Anti.70x70 cm.</t>
  </si>
  <si>
    <t>ผ้า Non woven Blue &amp; Green Anti 120x120 cm</t>
  </si>
  <si>
    <t>ผ้า Non woven Blue &amp; Green Anti 90x90 cm</t>
  </si>
  <si>
    <t>ผ้า Non woven Violet &amp; Pink Anti 50x50 cm</t>
  </si>
  <si>
    <t>ผ้า Non woven Violet &amp; Pink Anti 60x60 cm</t>
  </si>
  <si>
    <t>ผ้า Non woven Violet &amp; Pink Anti 70x70 cm</t>
  </si>
  <si>
    <t>ผ้า Non woven Violet &amp; Pink Anti 120x120 cm</t>
  </si>
  <si>
    <t>ผ้า Non woven Violet &amp; Pink Anti 90x90 cm</t>
  </si>
  <si>
    <t>ตัวตรวจสอบ ATP (แทน คลีน-เทรซ)</t>
  </si>
  <si>
    <t>กระดาษความร้อน ขนาด 90x100 mm.x 1cm.</t>
  </si>
  <si>
    <t>สติ๊กเกอร์แบบไม่มีตัวบ่งชี้ขนาด 52x45 มม.</t>
  </si>
  <si>
    <t>สติ๊กเกอร์แบบไม่มีตัวบ่งชี้ขนาด 85x55 มม.</t>
  </si>
  <si>
    <t>กระดาษปริ้นสำหรับเครื่องนึ่งไฟฟ้า</t>
  </si>
  <si>
    <t>กระดาษพิมพ์ผลการทำงานสำหรับเครื่องล้าง</t>
  </si>
  <si>
    <t>ขวด CHEST DRAIN</t>
  </si>
  <si>
    <t>Ambu Bag Silcone ผู้ใหญ่</t>
  </si>
  <si>
    <t>Collar Mask (ผู้ใหญ่)</t>
  </si>
  <si>
    <t>Corrugate Tubing 6นิ้ว</t>
  </si>
  <si>
    <t>Nebulizer Only (กระเปาะพ่นยา)</t>
  </si>
  <si>
    <t>T-Piece / 3way ด้านไม่เท่า</t>
  </si>
  <si>
    <t>Nosoclean 5L. (PNN) (แทน Prosept Instru 5L)</t>
  </si>
  <si>
    <t>สารช่วยเพิ่มความชุ่มชื่นให้เครื่องมือ</t>
  </si>
  <si>
    <t>Poseclean</t>
  </si>
  <si>
    <t>แปรงล้างเครื่องมือแบบท่อกลวงยาว 30 cm.(Microflex)</t>
  </si>
  <si>
    <t>Instru Protector สำหรับกางกรรไกรแบบกางกว้าง  (90x168 cm) ชนิด มีฟิล์ม</t>
  </si>
  <si>
    <t>ลูกสูบยางเบอร์ 2 (Sterile)</t>
  </si>
  <si>
    <t>แอสโทรเมด</t>
  </si>
  <si>
    <t>เมดิเคิล บาง.</t>
  </si>
  <si>
    <t>เรียลเมดคอร์ป</t>
  </si>
  <si>
    <t>โอเอซิส</t>
  </si>
  <si>
    <t>นำวิวัฒน์ เมดิคอล</t>
  </si>
  <si>
    <t xml:space="preserve">จินดาโฮส_x000D_
</t>
  </si>
  <si>
    <t>แกลลอน[1]</t>
  </si>
  <si>
    <t>พีเอ็นเอ็น</t>
  </si>
  <si>
    <t>โพสเฮลท์แคร์</t>
  </si>
  <si>
    <t>บอร์เนียว</t>
  </si>
  <si>
    <t>แพ็ค[1]</t>
  </si>
  <si>
    <t>ดีว่า เฮลท์แคร์</t>
  </si>
  <si>
    <t>ลูก[1]</t>
  </si>
  <si>
    <t>ชัยศิริ</t>
  </si>
  <si>
    <t>VR6900446</t>
  </si>
  <si>
    <t>VR6900447</t>
  </si>
  <si>
    <t>VR6900448</t>
  </si>
  <si>
    <t>VR6900449</t>
  </si>
  <si>
    <t>VR6900450</t>
  </si>
  <si>
    <t>VR6900451</t>
  </si>
  <si>
    <t>VR6900452</t>
  </si>
  <si>
    <t>VR6900453</t>
  </si>
  <si>
    <t>VR6900454</t>
  </si>
  <si>
    <t>VR6900455</t>
  </si>
  <si>
    <t>VR6900456</t>
  </si>
  <si>
    <t>VR6900457</t>
  </si>
  <si>
    <t>VR6900458</t>
  </si>
  <si>
    <t>VR6900459</t>
  </si>
  <si>
    <t>VR6900460</t>
  </si>
  <si>
    <t>Glove ARM Band Size L ( 1 Pack/ 12 Pairs )</t>
  </si>
  <si>
    <t>Glove ARM Band Size M ( 1 Pack/12 Pairs )</t>
  </si>
  <si>
    <t>Glove ARM Band Size S</t>
  </si>
  <si>
    <t>Cotton ปั้นก้อนเล็ก 0.35 gm (450 gm)</t>
  </si>
  <si>
    <t>Dispos Needle No.18X1.5นิ้ว 100 ชิ้น</t>
  </si>
  <si>
    <t>Dispos Needle No.22X1.5นิ้ว 100 ชิ้น</t>
  </si>
  <si>
    <t>IV Infusion Set VL ST00 (แทน  LF600 )</t>
  </si>
  <si>
    <t>Self Cathetor Female ( 5 ชุด/กล่อง)</t>
  </si>
  <si>
    <t>Self Cathetor Male (5 ชุด/กล่อง)</t>
  </si>
  <si>
    <t>กล่อง[12]</t>
  </si>
  <si>
    <t>ไทยก๊อส</t>
  </si>
  <si>
    <t>โมเดิร์นแบรนด์ส</t>
  </si>
  <si>
    <t>เมดิทอป</t>
  </si>
  <si>
    <t>VR6900461</t>
  </si>
  <si>
    <t>VR6900462</t>
  </si>
  <si>
    <t>VR6900463</t>
  </si>
  <si>
    <t>VR6900464</t>
  </si>
  <si>
    <t>VR6900465</t>
  </si>
  <si>
    <t>ซองสเตอร์ไรด์ชนิดขอบขยาย 6 นิ้ว ซองสำเร็จขนาดตัด</t>
  </si>
  <si>
    <t>ซองสเตอร์ไรด์ชนิดขอบเรียบ 10 นิ้ว ซองสำเร็จขนาดตัด</t>
  </si>
  <si>
    <t>ซองสเตอร์ไรด์ชนิดขอบเรียบ 12 นิ้ว ซองสำเร็จขนาดตัด</t>
  </si>
  <si>
    <t>ซองสเตอร์ไรด์ชนิดขอบเรียบ 3 นิ้ว ซองสำเร็จขนาดตัด</t>
  </si>
  <si>
    <t>ซองสเตอร์ไรด์ชนิดขอบเรียบ 4 นิ้ว ซองสำเร็จขนาดตัด</t>
  </si>
  <si>
    <t>ซองสเตอร์ไรด์ชนิดขอบเรียบ 6 นิ้ว ซองสำเร็จขนาดตัด</t>
  </si>
  <si>
    <t>CD29 Intermal Indicator Type 4 for Steam (แทน Visto)</t>
  </si>
  <si>
    <t>CDWA4 ตัวทดสอบประสิทธภาพฯเครื่องอัตโนมัติ</t>
  </si>
  <si>
    <t>น้ำยาล้าง Deconex Prozyme ALKA</t>
  </si>
  <si>
    <t>น้ำยาไฮโดรเจนเพอร์ออกไซด์ 58</t>
  </si>
  <si>
    <t>1298 Rapid Attest EO ( 25 pk/Bx)</t>
  </si>
  <si>
    <t>1348 VH202 ตัวบ่งชี้ทางเคมีสำหรับไฮโดรเจนเปอร์ออกไซด์</t>
  </si>
  <si>
    <t>Autclave Tape 3/4 นิ้ว ยาว 60 หลา</t>
  </si>
  <si>
    <t>Comply Eo Indicator (1251)</t>
  </si>
  <si>
    <t>Prismaflex M100 Set สำหรับเครื่องไตเทียมแบบต่อเนื่อง CRRT</t>
  </si>
  <si>
    <t>Prismaflex TPE2000 Set</t>
  </si>
  <si>
    <t>Nutriline-C</t>
  </si>
  <si>
    <t>กล่อง[500]</t>
  </si>
  <si>
    <t>กล่อง[200]</t>
  </si>
  <si>
    <t>กล่อง[240]</t>
  </si>
  <si>
    <t>ไทยเพียวดีไวซ์</t>
  </si>
  <si>
    <t>VR6900466</t>
  </si>
  <si>
    <t>VR6900467</t>
  </si>
  <si>
    <t>VR6900468</t>
  </si>
  <si>
    <t>VR6900469</t>
  </si>
  <si>
    <t>VR6900470</t>
  </si>
  <si>
    <t>Air Way No.3</t>
  </si>
  <si>
    <t>VR6900475</t>
  </si>
  <si>
    <t>Gauze 2x2 Sterile By EO Set 5</t>
  </si>
  <si>
    <t>VR6900476</t>
  </si>
  <si>
    <t>Surgical Gown size L</t>
  </si>
  <si>
    <t>เทคโน</t>
  </si>
  <si>
    <t>VR6900471</t>
  </si>
  <si>
    <t>VR6900472</t>
  </si>
  <si>
    <t>VR6900473</t>
  </si>
  <si>
    <t>Micropore 1นิ้ว</t>
  </si>
  <si>
    <t>Elastic Bandge 4นิ้ว</t>
  </si>
  <si>
    <t>Elastic Bandge 6นิ้ว</t>
  </si>
  <si>
    <t>Intrafix P Primelene Classic</t>
  </si>
  <si>
    <t>Extension Tube No.18 นิ้ว(50เส้น/ห่อ)</t>
  </si>
  <si>
    <t>Extension Tube No.36นิ้ว(50เส้น/ห่อ)</t>
  </si>
  <si>
    <t>NG. Tube No.16</t>
  </si>
  <si>
    <t>ห่อ[12]</t>
  </si>
  <si>
    <t>พีทูพีเฮลธ์แคร์</t>
  </si>
  <si>
    <t>พีพีเอส</t>
  </si>
  <si>
    <t>VR6900474</t>
  </si>
  <si>
    <t>VR6900477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</si>
</sst>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12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sz val="8"/>
      <name val="Arial"/>
      <family val="2"/>
    </font>
    <font>
      <sz val="14"/>
      <color indexed="8"/>
      <name val="TH SarabunPSK"/>
      <family val="2"/>
    </font>
    <font>
      <sz val="18"/>
      <color indexed="8"/>
      <name val="TH SarabunPSK"/>
      <family val="2"/>
    </font>
    <font>
      <b/>
      <sz val="14"/>
      <color indexed="8"/>
      <name val="TH SarabunPSK"/>
      <family val="2"/>
    </font>
    <font>
      <b/>
      <sz val="18"/>
      <color indexed="8"/>
      <name val="TH SarabunPSK"/>
      <family val="2"/>
    </font>
    <font>
      <b/>
      <sz val="14"/>
      <name val="TH SarabunPSK"/>
      <family val="2"/>
    </font>
    <font>
      <b/>
      <sz val="16"/>
      <color indexed="8"/>
      <name val="TH SarabunPSK"/>
      <family val="2"/>
    </font>
    <font>
      <b/>
      <sz val="16"/>
      <color indexed="8"/>
      <name val="TH SarabunPSK"/>
      <family val="2"/>
    </font>
    <font>
      <sz val="16"/>
      <color indexed="8"/>
      <name val="TH SarabunPSK"/>
      <family val="2"/>
    </font>
    <font>
      <sz val="11"/>
      <color rgb="FF0A0A0A"/>
      <name val="Courier New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187" fontId="7" fillId="0" borderId="1" xfId="1" applyNumberFormat="1" applyFont="1" applyFill="1" applyBorder="1" applyAlignment="1">
      <alignment horizontal="center" vertical="center"/>
    </xf>
    <xf numFmtId="43" fontId="7" fillId="0" borderId="1" xfId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87" fontId="3" fillId="0" borderId="0" xfId="1" applyNumberFormat="1" applyFont="1" applyFill="1" applyAlignment="1">
      <alignment horizontal="center" vertical="center"/>
    </xf>
    <xf numFmtId="43" fontId="3" fillId="0" borderId="0" xfId="1" applyFont="1" applyFill="1" applyAlignment="1">
      <alignment horizontal="center" vertical="center"/>
    </xf>
    <xf numFmtId="43" fontId="7" fillId="0" borderId="1" xfId="1" applyFont="1" applyFill="1" applyBorder="1" applyAlignment="1">
      <alignment horizontal="center" vertical="center" wrapText="1"/>
    </xf>
    <xf numFmtId="187" fontId="3" fillId="0" borderId="1" xfId="1" applyNumberFormat="1" applyFont="1" applyFill="1" applyBorder="1" applyAlignment="1">
      <alignment horizontal="center" vertical="center"/>
    </xf>
    <xf numFmtId="43" fontId="3" fillId="0" borderId="1" xfId="1" applyFont="1" applyFill="1" applyBorder="1" applyAlignment="1">
      <alignment horizontal="center" vertical="center"/>
    </xf>
    <xf numFmtId="43" fontId="5" fillId="0" borderId="1" xfId="1" applyFont="1" applyFill="1" applyBorder="1" applyAlignment="1">
      <alignment horizontal="center" vertical="center"/>
    </xf>
    <xf numFmtId="0" fontId="8" fillId="0" borderId="1" xfId="0" applyFont="1" applyBorder="1"/>
    <xf numFmtId="0" fontId="3" fillId="0" borderId="1" xfId="0" applyFont="1" applyFill="1" applyBorder="1" applyAlignment="1">
      <alignment vertical="center"/>
    </xf>
    <xf numFmtId="0" fontId="9" fillId="0" borderId="1" xfId="0" applyFont="1" applyBorder="1"/>
    <xf numFmtId="0" fontId="9" fillId="0" borderId="1" xfId="0" applyFont="1" applyFill="1" applyBorder="1" applyAlignment="1">
      <alignment vertical="center"/>
    </xf>
    <xf numFmtId="0" fontId="8" fillId="0" borderId="0" xfId="0" applyFont="1"/>
    <xf numFmtId="0" fontId="3" fillId="0" borderId="3" xfId="0" applyFont="1" applyFill="1" applyBorder="1" applyAlignment="1">
      <alignment horizontal="center" vertical="center"/>
    </xf>
    <xf numFmtId="187" fontId="3" fillId="0" borderId="3" xfId="1" applyNumberFormat="1" applyFont="1" applyFill="1" applyBorder="1" applyAlignment="1">
      <alignment horizontal="center" vertical="center"/>
    </xf>
    <xf numFmtId="43" fontId="3" fillId="0" borderId="3" xfId="1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3" fontId="3" fillId="0" borderId="1" xfId="1" applyFont="1" applyBorder="1"/>
    <xf numFmtId="187" fontId="3" fillId="0" borderId="1" xfId="1" applyNumberFormat="1" applyFont="1" applyBorder="1"/>
    <xf numFmtId="0" fontId="10" fillId="0" borderId="1" xfId="0" applyFont="1" applyBorder="1"/>
    <xf numFmtId="0" fontId="5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6" fontId="3" fillId="0" borderId="1" xfId="0" applyNumberFormat="1" applyFont="1" applyFill="1" applyBorder="1" applyAlignment="1">
      <alignment horizontal="center" vertical="center"/>
    </xf>
    <xf numFmtId="0" fontId="11" fillId="0" borderId="0" xfId="0" applyFont="1"/>
    <xf numFmtId="43" fontId="5" fillId="0" borderId="1" xfId="1" applyFont="1" applyBorder="1"/>
    <xf numFmtId="0" fontId="10" fillId="0" borderId="0" xfId="0" applyFont="1"/>
    <xf numFmtId="0" fontId="8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18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505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5050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3"/>
  <sheetViews>
    <sheetView tabSelected="1" workbookViewId="0">
      <pane xSplit="1" ySplit="3" topLeftCell="B70" activePane="bottomRight" state="frozen"/>
      <selection pane="topRight" activeCell="B1" sqref="B1"/>
      <selection pane="bottomLeft" activeCell="A4" sqref="A4"/>
      <selection pane="bottomRight" activeCell="F88" sqref="F88"/>
    </sheetView>
  </sheetViews>
  <sheetFormatPr defaultColWidth="9.109375" defaultRowHeight="21" x14ac:dyDescent="0.25"/>
  <cols>
    <col min="1" max="1" width="4.6640625" style="7" customWidth="1"/>
    <col min="2" max="2" width="54.109375" style="2" bestFit="1" customWidth="1"/>
    <col min="3" max="3" width="10.6640625" style="7" customWidth="1"/>
    <col min="4" max="4" width="10.6640625" style="8" customWidth="1"/>
    <col min="5" max="5" width="10.5546875" style="9" customWidth="1"/>
    <col min="6" max="6" width="14.5546875" style="9" bestFit="1" customWidth="1"/>
    <col min="7" max="7" width="14.88671875" style="9" customWidth="1"/>
    <col min="8" max="8" width="14.33203125" style="9" customWidth="1"/>
    <col min="9" max="9" width="16.88671875" style="7" customWidth="1"/>
    <col min="10" max="10" width="20.6640625" style="7" customWidth="1"/>
    <col min="11" max="11" width="11.88671875" style="7" customWidth="1"/>
    <col min="12" max="12" width="12.5546875" style="27" customWidth="1"/>
    <col min="13" max="13" width="9.109375" style="7"/>
    <col min="14" max="16384" width="9.109375" style="2"/>
  </cols>
  <sheetData>
    <row r="1" spans="1:13" ht="27" x14ac:dyDescent="0.25">
      <c r="A1" s="35" t="s">
        <v>8</v>
      </c>
      <c r="B1" s="35"/>
      <c r="C1" s="35"/>
      <c r="D1" s="35"/>
      <c r="E1" s="35"/>
      <c r="F1" s="35"/>
      <c r="G1" s="35"/>
      <c r="H1" s="35"/>
    </row>
    <row r="2" spans="1:13" ht="27" x14ac:dyDescent="0.25">
      <c r="A2" s="34" t="s">
        <v>34</v>
      </c>
      <c r="B2" s="34"/>
      <c r="C2" s="34"/>
      <c r="D2" s="34"/>
      <c r="E2" s="34"/>
      <c r="F2" s="34"/>
      <c r="G2" s="34"/>
      <c r="H2" s="34"/>
    </row>
    <row r="3" spans="1:13" s="7" customFormat="1" x14ac:dyDescent="0.25">
      <c r="A3" s="3" t="s">
        <v>0</v>
      </c>
      <c r="B3" s="3" t="s">
        <v>1</v>
      </c>
      <c r="C3" s="4" t="s">
        <v>7</v>
      </c>
      <c r="D3" s="5" t="s">
        <v>2</v>
      </c>
      <c r="E3" s="6" t="s">
        <v>3</v>
      </c>
      <c r="F3" s="6" t="s">
        <v>4</v>
      </c>
      <c r="G3" s="6" t="s">
        <v>5</v>
      </c>
      <c r="H3" s="10" t="s">
        <v>6</v>
      </c>
      <c r="I3" s="10" t="s">
        <v>30</v>
      </c>
      <c r="J3" s="28" t="s">
        <v>31</v>
      </c>
      <c r="K3" s="28" t="s">
        <v>33</v>
      </c>
      <c r="L3" s="28" t="s">
        <v>32</v>
      </c>
      <c r="M3" s="28" t="s">
        <v>33</v>
      </c>
    </row>
    <row r="4" spans="1:13" ht="24.6" x14ac:dyDescent="0.7">
      <c r="A4" s="1"/>
      <c r="B4" s="18" t="s">
        <v>11</v>
      </c>
      <c r="C4" s="19"/>
      <c r="D4" s="20"/>
      <c r="E4" s="21"/>
      <c r="F4" s="21"/>
      <c r="G4" s="21"/>
      <c r="H4" s="21"/>
      <c r="I4" s="1"/>
      <c r="J4" s="1"/>
      <c r="K4" s="1"/>
      <c r="L4" s="28"/>
      <c r="M4" s="1"/>
    </row>
    <row r="5" spans="1:13" x14ac:dyDescent="0.6">
      <c r="A5" s="1">
        <v>1</v>
      </c>
      <c r="B5" s="22" t="s">
        <v>35</v>
      </c>
      <c r="C5" s="23" t="s">
        <v>14</v>
      </c>
      <c r="D5" s="25">
        <v>5</v>
      </c>
      <c r="E5" s="24">
        <v>18000</v>
      </c>
      <c r="F5" s="24">
        <f t="shared" ref="F5:F35" si="0">D5*E5</f>
        <v>90000</v>
      </c>
      <c r="G5" s="23" t="s">
        <v>65</v>
      </c>
      <c r="H5" s="23" t="s">
        <v>79</v>
      </c>
      <c r="I5" s="1"/>
      <c r="J5" s="28"/>
      <c r="K5" s="30"/>
      <c r="L5" s="28"/>
      <c r="M5" s="29"/>
    </row>
    <row r="6" spans="1:13" x14ac:dyDescent="0.6">
      <c r="A6" s="1">
        <v>2</v>
      </c>
      <c r="B6" s="22" t="s">
        <v>36</v>
      </c>
      <c r="C6" s="23" t="s">
        <v>16</v>
      </c>
      <c r="D6" s="25">
        <v>2500</v>
      </c>
      <c r="E6" s="24">
        <v>13.95</v>
      </c>
      <c r="F6" s="24">
        <f t="shared" si="0"/>
        <v>34875</v>
      </c>
      <c r="G6" s="23" t="s">
        <v>66</v>
      </c>
      <c r="H6" s="23" t="s">
        <v>80</v>
      </c>
      <c r="I6" s="1"/>
      <c r="J6" s="28"/>
      <c r="K6" s="1"/>
      <c r="L6" s="28"/>
      <c r="M6" s="1"/>
    </row>
    <row r="7" spans="1:13" x14ac:dyDescent="0.6">
      <c r="A7" s="1">
        <v>3</v>
      </c>
      <c r="B7" s="22" t="s">
        <v>37</v>
      </c>
      <c r="C7" s="23" t="s">
        <v>24</v>
      </c>
      <c r="D7" s="25">
        <v>20</v>
      </c>
      <c r="E7" s="24">
        <v>1150</v>
      </c>
      <c r="F7" s="24">
        <f t="shared" si="0"/>
        <v>23000</v>
      </c>
      <c r="G7" s="23" t="s">
        <v>66</v>
      </c>
      <c r="H7" s="23" t="s">
        <v>80</v>
      </c>
      <c r="I7" s="1"/>
      <c r="J7" s="28"/>
      <c r="K7" s="1"/>
      <c r="L7" s="28"/>
      <c r="M7" s="1"/>
    </row>
    <row r="8" spans="1:13" x14ac:dyDescent="0.6">
      <c r="A8" s="1">
        <v>4</v>
      </c>
      <c r="B8" s="22" t="s">
        <v>38</v>
      </c>
      <c r="C8" s="23" t="s">
        <v>24</v>
      </c>
      <c r="D8" s="25">
        <v>120</v>
      </c>
      <c r="E8" s="24">
        <v>3490</v>
      </c>
      <c r="F8" s="24">
        <f t="shared" si="0"/>
        <v>418800</v>
      </c>
      <c r="G8" s="23" t="s">
        <v>66</v>
      </c>
      <c r="H8" s="23" t="s">
        <v>80</v>
      </c>
      <c r="I8" s="1"/>
      <c r="J8" s="28"/>
      <c r="K8" s="1"/>
      <c r="L8" s="28"/>
      <c r="M8" s="1"/>
    </row>
    <row r="9" spans="1:13" x14ac:dyDescent="0.6">
      <c r="A9" s="1">
        <v>5</v>
      </c>
      <c r="B9" s="22" t="s">
        <v>39</v>
      </c>
      <c r="C9" s="23" t="s">
        <v>24</v>
      </c>
      <c r="D9" s="25">
        <v>120</v>
      </c>
      <c r="E9" s="24">
        <v>3325</v>
      </c>
      <c r="F9" s="24">
        <f t="shared" si="0"/>
        <v>399000</v>
      </c>
      <c r="G9" s="23" t="s">
        <v>66</v>
      </c>
      <c r="H9" s="23" t="s">
        <v>81</v>
      </c>
      <c r="I9" s="1"/>
      <c r="J9" s="28"/>
      <c r="K9" s="1"/>
      <c r="L9" s="28"/>
      <c r="M9" s="1"/>
    </row>
    <row r="10" spans="1:13" x14ac:dyDescent="0.6">
      <c r="A10" s="1">
        <v>6</v>
      </c>
      <c r="B10" s="22" t="s">
        <v>40</v>
      </c>
      <c r="C10" s="23" t="s">
        <v>24</v>
      </c>
      <c r="D10" s="25">
        <v>6</v>
      </c>
      <c r="E10" s="24">
        <v>6600</v>
      </c>
      <c r="F10" s="24">
        <f t="shared" si="0"/>
        <v>39600</v>
      </c>
      <c r="G10" s="23" t="s">
        <v>66</v>
      </c>
      <c r="H10" s="23" t="s">
        <v>82</v>
      </c>
      <c r="I10" s="1"/>
      <c r="J10" s="28"/>
      <c r="K10" s="1"/>
      <c r="L10" s="28"/>
      <c r="M10" s="1"/>
    </row>
    <row r="11" spans="1:13" x14ac:dyDescent="0.6">
      <c r="A11" s="1">
        <v>7</v>
      </c>
      <c r="B11" s="22" t="s">
        <v>41</v>
      </c>
      <c r="C11" s="23" t="s">
        <v>24</v>
      </c>
      <c r="D11" s="25">
        <v>40</v>
      </c>
      <c r="E11" s="24">
        <v>5425</v>
      </c>
      <c r="F11" s="24">
        <f t="shared" si="0"/>
        <v>217000</v>
      </c>
      <c r="G11" s="23" t="s">
        <v>66</v>
      </c>
      <c r="H11" s="23" t="s">
        <v>82</v>
      </c>
      <c r="I11" s="1"/>
      <c r="J11" s="28"/>
      <c r="K11" s="1"/>
      <c r="L11" s="28"/>
      <c r="M11" s="1"/>
    </row>
    <row r="12" spans="1:13" x14ac:dyDescent="0.6">
      <c r="A12" s="1">
        <v>8</v>
      </c>
      <c r="B12" s="22" t="s">
        <v>42</v>
      </c>
      <c r="C12" s="23" t="s">
        <v>24</v>
      </c>
      <c r="D12" s="25">
        <v>20</v>
      </c>
      <c r="E12" s="24">
        <v>2400</v>
      </c>
      <c r="F12" s="24">
        <f t="shared" si="0"/>
        <v>48000</v>
      </c>
      <c r="G12" s="23" t="s">
        <v>66</v>
      </c>
      <c r="H12" s="23" t="s">
        <v>82</v>
      </c>
      <c r="I12" s="1"/>
      <c r="J12" s="28"/>
      <c r="K12" s="1"/>
      <c r="L12" s="28"/>
      <c r="M12" s="1"/>
    </row>
    <row r="13" spans="1:13" x14ac:dyDescent="0.6">
      <c r="A13" s="1">
        <v>9</v>
      </c>
      <c r="B13" s="22" t="s">
        <v>43</v>
      </c>
      <c r="C13" s="23" t="s">
        <v>24</v>
      </c>
      <c r="D13" s="25">
        <v>10</v>
      </c>
      <c r="E13" s="24">
        <v>3490</v>
      </c>
      <c r="F13" s="24">
        <f t="shared" si="0"/>
        <v>34900</v>
      </c>
      <c r="G13" s="23" t="s">
        <v>66</v>
      </c>
      <c r="H13" s="23" t="s">
        <v>82</v>
      </c>
      <c r="I13" s="1"/>
      <c r="J13" s="28"/>
      <c r="K13" s="1"/>
      <c r="L13" s="28"/>
      <c r="M13" s="1"/>
    </row>
    <row r="14" spans="1:13" x14ac:dyDescent="0.6">
      <c r="A14" s="1">
        <v>10</v>
      </c>
      <c r="B14" s="22" t="s">
        <v>44</v>
      </c>
      <c r="C14" s="23" t="s">
        <v>24</v>
      </c>
      <c r="D14" s="25">
        <v>30</v>
      </c>
      <c r="E14" s="24">
        <v>3325</v>
      </c>
      <c r="F14" s="24">
        <f t="shared" si="0"/>
        <v>99750</v>
      </c>
      <c r="G14" s="23" t="s">
        <v>66</v>
      </c>
      <c r="H14" s="23" t="s">
        <v>82</v>
      </c>
      <c r="I14" s="1"/>
      <c r="J14" s="28"/>
      <c r="K14" s="1"/>
      <c r="L14" s="28"/>
      <c r="M14" s="1"/>
    </row>
    <row r="15" spans="1:13" x14ac:dyDescent="0.6">
      <c r="A15" s="1">
        <v>11</v>
      </c>
      <c r="B15" s="15" t="s">
        <v>45</v>
      </c>
      <c r="C15" s="1" t="s">
        <v>24</v>
      </c>
      <c r="D15" s="11">
        <v>10</v>
      </c>
      <c r="E15" s="12">
        <v>6600</v>
      </c>
      <c r="F15" s="24">
        <f t="shared" si="0"/>
        <v>66000</v>
      </c>
      <c r="G15" s="12" t="s">
        <v>66</v>
      </c>
      <c r="H15" s="12" t="s">
        <v>83</v>
      </c>
      <c r="I15" s="1"/>
      <c r="J15" s="28"/>
      <c r="K15" s="1"/>
      <c r="L15" s="28"/>
      <c r="M15" s="1"/>
    </row>
    <row r="16" spans="1:13" ht="24.6" x14ac:dyDescent="0.7">
      <c r="A16" s="1">
        <v>12</v>
      </c>
      <c r="B16" s="32" t="s">
        <v>46</v>
      </c>
      <c r="C16" s="1" t="s">
        <v>24</v>
      </c>
      <c r="D16" s="11">
        <v>20</v>
      </c>
      <c r="E16" s="12">
        <v>5425</v>
      </c>
      <c r="F16" s="24">
        <f t="shared" si="0"/>
        <v>108500</v>
      </c>
      <c r="G16" s="12" t="s">
        <v>66</v>
      </c>
      <c r="H16" s="12" t="s">
        <v>83</v>
      </c>
      <c r="I16" s="1"/>
      <c r="J16" s="28"/>
      <c r="K16" s="1"/>
      <c r="L16" s="28"/>
      <c r="M16" s="1"/>
    </row>
    <row r="17" spans="1:13" x14ac:dyDescent="0.6">
      <c r="A17" s="1">
        <v>13</v>
      </c>
      <c r="B17" s="15" t="s">
        <v>47</v>
      </c>
      <c r="C17" s="1" t="s">
        <v>12</v>
      </c>
      <c r="D17" s="11">
        <v>5</v>
      </c>
      <c r="E17" s="12">
        <v>16000</v>
      </c>
      <c r="F17" s="24">
        <f t="shared" si="0"/>
        <v>80000</v>
      </c>
      <c r="G17" s="12" t="s">
        <v>67</v>
      </c>
      <c r="H17" s="12" t="s">
        <v>84</v>
      </c>
      <c r="I17" s="1"/>
      <c r="J17" s="28"/>
      <c r="K17" s="1"/>
      <c r="L17" s="28"/>
      <c r="M17" s="1"/>
    </row>
    <row r="18" spans="1:13" x14ac:dyDescent="0.6">
      <c r="A18" s="1">
        <v>14</v>
      </c>
      <c r="B18" s="15" t="s">
        <v>48</v>
      </c>
      <c r="C18" s="1" t="s">
        <v>21</v>
      </c>
      <c r="D18" s="11">
        <v>15</v>
      </c>
      <c r="E18" s="12">
        <v>250</v>
      </c>
      <c r="F18" s="24">
        <f t="shared" si="0"/>
        <v>3750</v>
      </c>
      <c r="G18" s="12" t="s">
        <v>68</v>
      </c>
      <c r="H18" s="12" t="s">
        <v>85</v>
      </c>
      <c r="I18" s="1"/>
      <c r="J18" s="28"/>
      <c r="K18" s="1"/>
      <c r="L18" s="28"/>
      <c r="M18" s="1"/>
    </row>
    <row r="19" spans="1:13" x14ac:dyDescent="0.6">
      <c r="A19" s="1">
        <v>15</v>
      </c>
      <c r="B19" s="15" t="s">
        <v>49</v>
      </c>
      <c r="C19" s="1" t="s">
        <v>26</v>
      </c>
      <c r="D19" s="11">
        <v>200000</v>
      </c>
      <c r="E19" s="12">
        <v>1.2</v>
      </c>
      <c r="F19" s="24">
        <f t="shared" si="0"/>
        <v>240000</v>
      </c>
      <c r="G19" s="12" t="s">
        <v>68</v>
      </c>
      <c r="H19" s="12" t="s">
        <v>85</v>
      </c>
      <c r="I19" s="1"/>
      <c r="J19" s="28"/>
      <c r="K19" s="1"/>
      <c r="L19" s="28"/>
      <c r="M19" s="1"/>
    </row>
    <row r="20" spans="1:13" x14ac:dyDescent="0.6">
      <c r="A20" s="1">
        <v>16</v>
      </c>
      <c r="B20" s="15" t="s">
        <v>50</v>
      </c>
      <c r="C20" s="1" t="s">
        <v>26</v>
      </c>
      <c r="D20" s="11">
        <v>10000</v>
      </c>
      <c r="E20" s="12">
        <v>2.1</v>
      </c>
      <c r="F20" s="24">
        <f t="shared" si="0"/>
        <v>21000</v>
      </c>
      <c r="G20" s="12" t="s">
        <v>68</v>
      </c>
      <c r="H20" s="12" t="s">
        <v>85</v>
      </c>
      <c r="I20" s="1"/>
      <c r="J20" s="28"/>
      <c r="K20" s="1"/>
      <c r="L20" s="28"/>
      <c r="M20" s="1"/>
    </row>
    <row r="21" spans="1:13" x14ac:dyDescent="0.6">
      <c r="A21" s="1">
        <v>17</v>
      </c>
      <c r="B21" s="15" t="s">
        <v>51</v>
      </c>
      <c r="C21" s="1" t="s">
        <v>21</v>
      </c>
      <c r="D21" s="11">
        <v>40</v>
      </c>
      <c r="E21" s="12">
        <v>160</v>
      </c>
      <c r="F21" s="24">
        <f t="shared" si="0"/>
        <v>6400</v>
      </c>
      <c r="G21" s="12" t="s">
        <v>69</v>
      </c>
      <c r="H21" s="12" t="s">
        <v>86</v>
      </c>
      <c r="I21" s="1"/>
      <c r="J21" s="28"/>
      <c r="K21" s="1"/>
      <c r="L21" s="28"/>
      <c r="M21" s="1"/>
    </row>
    <row r="22" spans="1:13" x14ac:dyDescent="0.6">
      <c r="A22" s="1">
        <v>18</v>
      </c>
      <c r="B22" s="15" t="s">
        <v>52</v>
      </c>
      <c r="C22" s="1" t="s">
        <v>21</v>
      </c>
      <c r="D22" s="11">
        <v>80</v>
      </c>
      <c r="E22" s="12">
        <v>250</v>
      </c>
      <c r="F22" s="24">
        <f t="shared" si="0"/>
        <v>20000</v>
      </c>
      <c r="G22" s="12" t="s">
        <v>69</v>
      </c>
      <c r="H22" s="12" t="s">
        <v>86</v>
      </c>
      <c r="I22" s="1"/>
      <c r="J22" s="28"/>
      <c r="K22" s="1"/>
      <c r="L22" s="28"/>
      <c r="M22" s="1"/>
    </row>
    <row r="23" spans="1:13" x14ac:dyDescent="0.6">
      <c r="A23" s="1">
        <v>19</v>
      </c>
      <c r="B23" s="15" t="s">
        <v>53</v>
      </c>
      <c r="C23" s="1" t="s">
        <v>16</v>
      </c>
      <c r="D23" s="11">
        <v>100</v>
      </c>
      <c r="E23" s="12">
        <v>280</v>
      </c>
      <c r="F23" s="24">
        <f t="shared" si="0"/>
        <v>28000</v>
      </c>
      <c r="G23" s="12" t="s">
        <v>70</v>
      </c>
      <c r="H23" s="12" t="s">
        <v>87</v>
      </c>
      <c r="I23" s="1"/>
      <c r="J23" s="28"/>
      <c r="K23" s="1"/>
      <c r="L23" s="28"/>
      <c r="M23" s="1"/>
    </row>
    <row r="24" spans="1:13" x14ac:dyDescent="0.6">
      <c r="A24" s="1">
        <v>20</v>
      </c>
      <c r="B24" s="15" t="s">
        <v>54</v>
      </c>
      <c r="C24" s="1" t="s">
        <v>14</v>
      </c>
      <c r="D24" s="11">
        <v>30</v>
      </c>
      <c r="E24" s="12">
        <v>2800</v>
      </c>
      <c r="F24" s="24">
        <f t="shared" si="0"/>
        <v>84000</v>
      </c>
      <c r="G24" s="12" t="s">
        <v>29</v>
      </c>
      <c r="H24" s="12" t="s">
        <v>88</v>
      </c>
      <c r="I24" s="1"/>
      <c r="J24" s="28"/>
      <c r="K24" s="1"/>
      <c r="L24" s="28"/>
      <c r="M24" s="1"/>
    </row>
    <row r="25" spans="1:13" x14ac:dyDescent="0.6">
      <c r="A25" s="1">
        <v>21</v>
      </c>
      <c r="B25" s="15" t="s">
        <v>55</v>
      </c>
      <c r="C25" s="1" t="s">
        <v>15</v>
      </c>
      <c r="D25" s="11">
        <v>100</v>
      </c>
      <c r="E25" s="12">
        <v>80</v>
      </c>
      <c r="F25" s="24">
        <f t="shared" si="0"/>
        <v>8000</v>
      </c>
      <c r="G25" s="12" t="s">
        <v>29</v>
      </c>
      <c r="H25" s="12" t="s">
        <v>88</v>
      </c>
      <c r="I25" s="1"/>
      <c r="J25" s="28"/>
      <c r="K25" s="1"/>
      <c r="L25" s="28"/>
      <c r="M25" s="1"/>
    </row>
    <row r="26" spans="1:13" x14ac:dyDescent="0.6">
      <c r="A26" s="1">
        <v>22</v>
      </c>
      <c r="B26" s="15" t="s">
        <v>56</v>
      </c>
      <c r="C26" s="1" t="s">
        <v>19</v>
      </c>
      <c r="D26" s="11">
        <v>100</v>
      </c>
      <c r="E26" s="12">
        <v>12</v>
      </c>
      <c r="F26" s="24">
        <f t="shared" si="0"/>
        <v>1200</v>
      </c>
      <c r="G26" s="12" t="s">
        <v>29</v>
      </c>
      <c r="H26" s="12" t="s">
        <v>88</v>
      </c>
      <c r="I26" s="1"/>
      <c r="J26" s="28"/>
      <c r="K26" s="1"/>
      <c r="L26" s="28"/>
      <c r="M26" s="1"/>
    </row>
    <row r="27" spans="1:13" x14ac:dyDescent="0.6">
      <c r="A27" s="1">
        <v>23</v>
      </c>
      <c r="B27" s="15" t="s">
        <v>57</v>
      </c>
      <c r="C27" s="1" t="s">
        <v>14</v>
      </c>
      <c r="D27" s="11">
        <v>200</v>
      </c>
      <c r="E27" s="12">
        <v>22</v>
      </c>
      <c r="F27" s="24">
        <f t="shared" si="0"/>
        <v>4400</v>
      </c>
      <c r="G27" s="12" t="s">
        <v>29</v>
      </c>
      <c r="H27" s="12" t="s">
        <v>88</v>
      </c>
      <c r="I27" s="1"/>
      <c r="J27" s="28"/>
      <c r="K27" s="1"/>
      <c r="L27" s="28"/>
      <c r="M27" s="1"/>
    </row>
    <row r="28" spans="1:13" ht="24.6" x14ac:dyDescent="0.7">
      <c r="A28" s="1">
        <v>24</v>
      </c>
      <c r="B28" s="32" t="s">
        <v>58</v>
      </c>
      <c r="C28" s="1" t="s">
        <v>14</v>
      </c>
      <c r="D28" s="11">
        <v>300</v>
      </c>
      <c r="E28" s="12">
        <v>42</v>
      </c>
      <c r="F28" s="24">
        <f t="shared" si="0"/>
        <v>12600</v>
      </c>
      <c r="G28" s="12" t="s">
        <v>29</v>
      </c>
      <c r="H28" s="12" t="s">
        <v>88</v>
      </c>
      <c r="I28" s="1"/>
      <c r="J28" s="28"/>
      <c r="K28" s="1"/>
      <c r="L28" s="28"/>
      <c r="M28" s="1"/>
    </row>
    <row r="29" spans="1:13" x14ac:dyDescent="0.6">
      <c r="A29" s="1">
        <v>25</v>
      </c>
      <c r="B29" s="15" t="s">
        <v>59</v>
      </c>
      <c r="C29" s="1" t="s">
        <v>71</v>
      </c>
      <c r="D29" s="11">
        <v>80</v>
      </c>
      <c r="E29" s="12">
        <v>2600</v>
      </c>
      <c r="F29" s="24">
        <f t="shared" si="0"/>
        <v>208000</v>
      </c>
      <c r="G29" s="12" t="s">
        <v>72</v>
      </c>
      <c r="H29" s="12" t="s">
        <v>89</v>
      </c>
      <c r="I29" s="1"/>
      <c r="J29" s="28"/>
      <c r="K29" s="1"/>
      <c r="L29" s="28"/>
      <c r="M29" s="1"/>
    </row>
    <row r="30" spans="1:13" x14ac:dyDescent="0.6">
      <c r="A30" s="1">
        <v>26</v>
      </c>
      <c r="B30" s="15" t="s">
        <v>60</v>
      </c>
      <c r="C30" s="1" t="s">
        <v>20</v>
      </c>
      <c r="D30" s="11">
        <v>120</v>
      </c>
      <c r="E30" s="12">
        <v>480</v>
      </c>
      <c r="F30" s="24">
        <f t="shared" si="0"/>
        <v>57600</v>
      </c>
      <c r="G30" s="12" t="s">
        <v>72</v>
      </c>
      <c r="H30" s="12" t="s">
        <v>89</v>
      </c>
      <c r="I30" s="1"/>
      <c r="J30" s="28"/>
      <c r="K30" s="1"/>
      <c r="L30" s="28"/>
      <c r="M30" s="1"/>
    </row>
    <row r="31" spans="1:13" x14ac:dyDescent="0.6">
      <c r="A31" s="1">
        <v>27</v>
      </c>
      <c r="B31" s="15" t="s">
        <v>61</v>
      </c>
      <c r="C31" s="1" t="s">
        <v>71</v>
      </c>
      <c r="D31" s="11">
        <v>80</v>
      </c>
      <c r="E31" s="12">
        <v>960</v>
      </c>
      <c r="F31" s="24">
        <f t="shared" si="0"/>
        <v>76800</v>
      </c>
      <c r="G31" s="12" t="s">
        <v>73</v>
      </c>
      <c r="H31" s="12" t="s">
        <v>90</v>
      </c>
      <c r="I31" s="1"/>
      <c r="J31" s="28"/>
      <c r="K31" s="1"/>
      <c r="L31" s="28"/>
      <c r="M31" s="1"/>
    </row>
    <row r="32" spans="1:13" x14ac:dyDescent="0.6">
      <c r="A32" s="1">
        <v>28</v>
      </c>
      <c r="B32" s="15" t="s">
        <v>62</v>
      </c>
      <c r="C32" s="1" t="s">
        <v>9</v>
      </c>
      <c r="D32" s="11">
        <v>20</v>
      </c>
      <c r="E32" s="12">
        <v>2090</v>
      </c>
      <c r="F32" s="24">
        <f t="shared" si="0"/>
        <v>41800</v>
      </c>
      <c r="G32" s="12" t="s">
        <v>74</v>
      </c>
      <c r="H32" s="12" t="s">
        <v>91</v>
      </c>
      <c r="I32" s="1"/>
      <c r="J32" s="28"/>
      <c r="K32" s="1"/>
      <c r="L32" s="28"/>
      <c r="M32" s="1"/>
    </row>
    <row r="33" spans="1:13" x14ac:dyDescent="0.6">
      <c r="A33" s="1">
        <v>29</v>
      </c>
      <c r="B33" s="15" t="s">
        <v>63</v>
      </c>
      <c r="C33" s="1" t="s">
        <v>75</v>
      </c>
      <c r="D33" s="11">
        <v>4</v>
      </c>
      <c r="E33" s="12">
        <v>12000</v>
      </c>
      <c r="F33" s="24">
        <f t="shared" si="0"/>
        <v>48000</v>
      </c>
      <c r="G33" s="12" t="s">
        <v>76</v>
      </c>
      <c r="H33" s="12" t="s">
        <v>92</v>
      </c>
      <c r="I33" s="1"/>
      <c r="J33" s="28"/>
      <c r="K33" s="1"/>
      <c r="L33" s="28"/>
      <c r="M33" s="1"/>
    </row>
    <row r="34" spans="1:13" x14ac:dyDescent="0.6">
      <c r="A34" s="1">
        <v>30</v>
      </c>
      <c r="B34" s="15" t="s">
        <v>64</v>
      </c>
      <c r="C34" s="1" t="s">
        <v>77</v>
      </c>
      <c r="D34" s="11">
        <v>1000</v>
      </c>
      <c r="E34" s="12">
        <v>74</v>
      </c>
      <c r="F34" s="24">
        <f t="shared" si="0"/>
        <v>74000</v>
      </c>
      <c r="G34" s="12" t="s">
        <v>78</v>
      </c>
      <c r="H34" s="12" t="s">
        <v>93</v>
      </c>
      <c r="I34" s="1"/>
      <c r="J34" s="28"/>
      <c r="K34" s="1"/>
      <c r="L34" s="28"/>
      <c r="M34" s="1"/>
    </row>
    <row r="35" spans="1:13" x14ac:dyDescent="0.6">
      <c r="A35" s="1">
        <v>31</v>
      </c>
      <c r="B35" s="15" t="s">
        <v>142</v>
      </c>
      <c r="C35" s="1" t="s">
        <v>14</v>
      </c>
      <c r="D35" s="11">
        <v>600</v>
      </c>
      <c r="E35" s="12">
        <v>120</v>
      </c>
      <c r="F35" s="24">
        <f t="shared" si="0"/>
        <v>72000</v>
      </c>
      <c r="G35" s="12" t="s">
        <v>143</v>
      </c>
      <c r="H35" s="12" t="s">
        <v>107</v>
      </c>
      <c r="I35" s="1"/>
      <c r="J35" s="28"/>
      <c r="K35" s="1"/>
      <c r="L35" s="28"/>
      <c r="M35" s="1"/>
    </row>
    <row r="36" spans="1:13" x14ac:dyDescent="0.6">
      <c r="A36" s="1"/>
      <c r="B36" s="15"/>
      <c r="C36" s="1"/>
      <c r="D36" s="11"/>
      <c r="E36" s="12"/>
      <c r="F36" s="31">
        <f>SUM(F5:F35)</f>
        <v>2666975</v>
      </c>
      <c r="G36" s="12"/>
      <c r="H36" s="12"/>
      <c r="I36" s="1"/>
      <c r="J36" s="28"/>
      <c r="K36" s="1"/>
      <c r="L36" s="28"/>
      <c r="M36" s="1"/>
    </row>
    <row r="37" spans="1:13" ht="24.6" x14ac:dyDescent="0.7">
      <c r="A37" s="1"/>
      <c r="B37" s="16" t="s">
        <v>13</v>
      </c>
      <c r="C37" s="1"/>
      <c r="D37" s="11"/>
      <c r="E37" s="12"/>
      <c r="F37" s="24"/>
      <c r="G37" s="12"/>
      <c r="H37" s="12"/>
      <c r="I37" s="1"/>
      <c r="J37" s="28"/>
      <c r="K37" s="1"/>
      <c r="L37" s="28"/>
      <c r="M37" s="1"/>
    </row>
    <row r="38" spans="1:13" ht="24.6" x14ac:dyDescent="0.7">
      <c r="A38" s="1">
        <v>1</v>
      </c>
      <c r="B38" s="26" t="s">
        <v>94</v>
      </c>
      <c r="C38" s="1" t="s">
        <v>103</v>
      </c>
      <c r="D38" s="11">
        <v>10</v>
      </c>
      <c r="E38" s="12">
        <v>1350</v>
      </c>
      <c r="F38" s="24">
        <f t="shared" ref="F38:F46" si="1">D38*E38</f>
        <v>13500</v>
      </c>
      <c r="G38" s="12" t="s">
        <v>66</v>
      </c>
      <c r="H38" s="12" t="s">
        <v>108</v>
      </c>
      <c r="I38" s="1"/>
      <c r="J38" s="28"/>
      <c r="K38" s="1"/>
      <c r="L38" s="28"/>
      <c r="M38" s="1"/>
    </row>
    <row r="39" spans="1:13" x14ac:dyDescent="0.6">
      <c r="A39" s="1">
        <v>2</v>
      </c>
      <c r="B39" s="15" t="s">
        <v>95</v>
      </c>
      <c r="C39" s="1" t="s">
        <v>103</v>
      </c>
      <c r="D39" s="11">
        <v>20</v>
      </c>
      <c r="E39" s="12">
        <v>1350</v>
      </c>
      <c r="F39" s="24">
        <f t="shared" si="1"/>
        <v>27000</v>
      </c>
      <c r="G39" s="12" t="s">
        <v>66</v>
      </c>
      <c r="H39" s="12" t="s">
        <v>108</v>
      </c>
      <c r="I39" s="1"/>
      <c r="J39" s="28"/>
      <c r="K39" s="1"/>
      <c r="L39" s="28"/>
      <c r="M39" s="1"/>
    </row>
    <row r="40" spans="1:13" x14ac:dyDescent="0.6">
      <c r="A40" s="1">
        <v>3</v>
      </c>
      <c r="B40" s="15" t="s">
        <v>96</v>
      </c>
      <c r="C40" s="1" t="s">
        <v>103</v>
      </c>
      <c r="D40" s="11">
        <v>140</v>
      </c>
      <c r="E40" s="12">
        <v>1350</v>
      </c>
      <c r="F40" s="24">
        <f t="shared" si="1"/>
        <v>189000</v>
      </c>
      <c r="G40" s="12" t="s">
        <v>66</v>
      </c>
      <c r="H40" s="12" t="s">
        <v>108</v>
      </c>
      <c r="I40" s="1"/>
      <c r="J40" s="28"/>
      <c r="K40" s="1"/>
      <c r="L40" s="28"/>
      <c r="M40" s="1"/>
    </row>
    <row r="41" spans="1:13" x14ac:dyDescent="0.6">
      <c r="A41" s="1">
        <v>4</v>
      </c>
      <c r="B41" s="15" t="s">
        <v>97</v>
      </c>
      <c r="C41" s="1" t="s">
        <v>24</v>
      </c>
      <c r="D41" s="11">
        <v>40</v>
      </c>
      <c r="E41" s="12">
        <v>95</v>
      </c>
      <c r="F41" s="24">
        <f t="shared" si="1"/>
        <v>3800</v>
      </c>
      <c r="G41" s="12" t="s">
        <v>104</v>
      </c>
      <c r="H41" s="12" t="s">
        <v>109</v>
      </c>
      <c r="I41" s="1"/>
      <c r="J41" s="28"/>
      <c r="K41" s="1"/>
      <c r="L41" s="28"/>
      <c r="M41" s="1"/>
    </row>
    <row r="42" spans="1:13" x14ac:dyDescent="0.6">
      <c r="A42" s="1">
        <v>5</v>
      </c>
      <c r="B42" s="15" t="s">
        <v>98</v>
      </c>
      <c r="C42" s="1" t="s">
        <v>12</v>
      </c>
      <c r="D42" s="11">
        <v>1000</v>
      </c>
      <c r="E42" s="12">
        <v>50.9</v>
      </c>
      <c r="F42" s="24">
        <f t="shared" si="1"/>
        <v>50900</v>
      </c>
      <c r="G42" s="12" t="s">
        <v>17</v>
      </c>
      <c r="H42" s="12" t="s">
        <v>110</v>
      </c>
      <c r="I42" s="1"/>
      <c r="J42" s="28"/>
      <c r="K42" s="1"/>
      <c r="L42" s="28"/>
      <c r="M42" s="1"/>
    </row>
    <row r="43" spans="1:13" x14ac:dyDescent="0.6">
      <c r="A43" s="1">
        <v>6</v>
      </c>
      <c r="B43" s="15" t="s">
        <v>99</v>
      </c>
      <c r="C43" s="1" t="s">
        <v>12</v>
      </c>
      <c r="D43" s="11">
        <v>1200</v>
      </c>
      <c r="E43" s="12">
        <v>45</v>
      </c>
      <c r="F43" s="24">
        <f t="shared" si="1"/>
        <v>54000</v>
      </c>
      <c r="G43" s="12" t="s">
        <v>17</v>
      </c>
      <c r="H43" s="12" t="s">
        <v>110</v>
      </c>
      <c r="I43" s="1"/>
      <c r="J43" s="28"/>
      <c r="K43" s="1"/>
      <c r="L43" s="28"/>
      <c r="M43" s="1"/>
    </row>
    <row r="44" spans="1:13" x14ac:dyDescent="0.6">
      <c r="A44" s="1">
        <v>7</v>
      </c>
      <c r="B44" s="15" t="s">
        <v>100</v>
      </c>
      <c r="C44" s="1" t="s">
        <v>9</v>
      </c>
      <c r="D44" s="11">
        <v>3300</v>
      </c>
      <c r="E44" s="12">
        <v>74.900000000000006</v>
      </c>
      <c r="F44" s="24">
        <f t="shared" si="1"/>
        <v>247170.00000000003</v>
      </c>
      <c r="G44" s="12" t="s">
        <v>105</v>
      </c>
      <c r="H44" s="12" t="s">
        <v>111</v>
      </c>
      <c r="I44" s="1"/>
      <c r="J44" s="28"/>
      <c r="K44" s="1"/>
      <c r="L44" s="28"/>
      <c r="M44" s="1"/>
    </row>
    <row r="45" spans="1:13" x14ac:dyDescent="0.6">
      <c r="A45" s="1">
        <v>8</v>
      </c>
      <c r="B45" s="15" t="s">
        <v>101</v>
      </c>
      <c r="C45" s="1" t="s">
        <v>14</v>
      </c>
      <c r="D45" s="11">
        <v>20</v>
      </c>
      <c r="E45" s="12">
        <v>680</v>
      </c>
      <c r="F45" s="24">
        <f t="shared" si="1"/>
        <v>13600</v>
      </c>
      <c r="G45" s="12" t="s">
        <v>106</v>
      </c>
      <c r="H45" s="12" t="s">
        <v>111</v>
      </c>
      <c r="I45" s="1"/>
      <c r="J45" s="28"/>
      <c r="K45" s="1"/>
      <c r="L45" s="28"/>
      <c r="M45" s="1"/>
    </row>
    <row r="46" spans="1:13" x14ac:dyDescent="0.6">
      <c r="A46" s="1">
        <v>9</v>
      </c>
      <c r="B46" s="15" t="s">
        <v>102</v>
      </c>
      <c r="C46" s="1" t="s">
        <v>14</v>
      </c>
      <c r="D46" s="11">
        <v>20</v>
      </c>
      <c r="E46" s="12">
        <v>680</v>
      </c>
      <c r="F46" s="24">
        <f t="shared" si="1"/>
        <v>13600</v>
      </c>
      <c r="G46" s="12" t="s">
        <v>106</v>
      </c>
      <c r="H46" s="12" t="s">
        <v>133</v>
      </c>
      <c r="I46" s="1"/>
      <c r="J46" s="28"/>
      <c r="K46" s="1"/>
      <c r="L46" s="28"/>
      <c r="M46" s="1"/>
    </row>
    <row r="47" spans="1:13" x14ac:dyDescent="0.25">
      <c r="A47" s="1"/>
      <c r="B47" s="15"/>
      <c r="C47" s="1"/>
      <c r="D47" s="11"/>
      <c r="E47" s="12"/>
      <c r="F47" s="13">
        <f>SUM(F38:F46)</f>
        <v>612570</v>
      </c>
      <c r="G47" s="12"/>
      <c r="H47" s="12"/>
      <c r="I47" s="1"/>
      <c r="J47" s="28"/>
      <c r="K47" s="1"/>
      <c r="L47" s="28"/>
      <c r="M47" s="1"/>
    </row>
    <row r="48" spans="1:13" x14ac:dyDescent="0.25">
      <c r="A48" s="1"/>
      <c r="B48" s="15"/>
      <c r="C48" s="1"/>
      <c r="D48" s="11"/>
      <c r="E48" s="12"/>
      <c r="F48" s="12"/>
      <c r="G48" s="12"/>
      <c r="H48" s="12"/>
      <c r="I48" s="1"/>
      <c r="J48" s="28"/>
      <c r="K48" s="1"/>
      <c r="L48" s="28"/>
      <c r="M48" s="1"/>
    </row>
    <row r="49" spans="1:13" ht="24.6" x14ac:dyDescent="0.25">
      <c r="A49" s="1"/>
      <c r="B49" s="17" t="s">
        <v>22</v>
      </c>
      <c r="C49" s="1"/>
      <c r="D49" s="11"/>
      <c r="E49" s="12"/>
      <c r="F49" s="12"/>
      <c r="G49" s="12"/>
      <c r="H49" s="12"/>
      <c r="I49" s="1"/>
      <c r="J49" s="28"/>
      <c r="K49" s="1"/>
      <c r="L49" s="28"/>
      <c r="M49" s="1"/>
    </row>
    <row r="50" spans="1:13" ht="24.6" x14ac:dyDescent="0.25">
      <c r="A50" s="1"/>
      <c r="B50" s="17" t="s">
        <v>23</v>
      </c>
      <c r="C50" s="1"/>
      <c r="D50" s="11"/>
      <c r="E50" s="12"/>
      <c r="F50" s="12"/>
      <c r="G50" s="12"/>
      <c r="H50" s="12"/>
      <c r="I50" s="1"/>
      <c r="J50" s="28"/>
      <c r="K50" s="1"/>
      <c r="L50" s="28"/>
      <c r="M50" s="1"/>
    </row>
    <row r="51" spans="1:13" ht="24.6" x14ac:dyDescent="0.7">
      <c r="A51" s="1"/>
      <c r="B51" s="18" t="s">
        <v>11</v>
      </c>
      <c r="C51" s="1"/>
      <c r="D51" s="11"/>
      <c r="E51" s="12"/>
      <c r="F51" s="12"/>
      <c r="G51" s="12"/>
      <c r="H51" s="12"/>
      <c r="I51" s="1"/>
      <c r="J51" s="1"/>
      <c r="K51" s="1"/>
      <c r="L51" s="1"/>
      <c r="M51" s="1"/>
    </row>
    <row r="52" spans="1:13" x14ac:dyDescent="0.6">
      <c r="A52" s="1">
        <v>1</v>
      </c>
      <c r="B52" s="15" t="s">
        <v>112</v>
      </c>
      <c r="C52" s="1" t="s">
        <v>21</v>
      </c>
      <c r="D52" s="11">
        <v>36</v>
      </c>
      <c r="E52" s="12">
        <v>850</v>
      </c>
      <c r="F52" s="24">
        <f t="shared" ref="F52:F68" si="2">D52*E52</f>
        <v>30600</v>
      </c>
      <c r="G52" s="12" t="s">
        <v>67</v>
      </c>
      <c r="H52" s="12" t="s">
        <v>134</v>
      </c>
      <c r="I52" s="1"/>
      <c r="J52" s="1"/>
      <c r="K52" s="1"/>
      <c r="L52" s="1"/>
      <c r="M52" s="1"/>
    </row>
    <row r="53" spans="1:13" x14ac:dyDescent="0.6">
      <c r="A53" s="1">
        <v>2</v>
      </c>
      <c r="B53" s="15" t="s">
        <v>113</v>
      </c>
      <c r="C53" s="1" t="s">
        <v>21</v>
      </c>
      <c r="D53" s="11">
        <v>90</v>
      </c>
      <c r="E53" s="12">
        <v>1400</v>
      </c>
      <c r="F53" s="24">
        <f t="shared" si="2"/>
        <v>126000</v>
      </c>
      <c r="G53" s="12" t="s">
        <v>67</v>
      </c>
      <c r="H53" s="12" t="s">
        <v>134</v>
      </c>
      <c r="I53" s="1"/>
      <c r="J53" s="1"/>
      <c r="K53" s="1"/>
      <c r="L53" s="1"/>
      <c r="M53" s="1"/>
    </row>
    <row r="54" spans="1:13" x14ac:dyDescent="0.6">
      <c r="A54" s="1">
        <v>3</v>
      </c>
      <c r="B54" s="15" t="s">
        <v>114</v>
      </c>
      <c r="C54" s="1" t="s">
        <v>21</v>
      </c>
      <c r="D54" s="11">
        <v>20</v>
      </c>
      <c r="E54" s="12">
        <v>1600</v>
      </c>
      <c r="F54" s="24">
        <f t="shared" si="2"/>
        <v>32000</v>
      </c>
      <c r="G54" s="12" t="s">
        <v>67</v>
      </c>
      <c r="H54" s="12" t="s">
        <v>134</v>
      </c>
      <c r="I54" s="1"/>
      <c r="J54" s="1"/>
      <c r="K54" s="1"/>
      <c r="L54" s="1"/>
      <c r="M54" s="1"/>
    </row>
    <row r="55" spans="1:13" x14ac:dyDescent="0.6">
      <c r="A55" s="1">
        <v>4</v>
      </c>
      <c r="B55" s="15" t="s">
        <v>115</v>
      </c>
      <c r="C55" s="1" t="s">
        <v>21</v>
      </c>
      <c r="D55" s="11">
        <v>45</v>
      </c>
      <c r="E55" s="12">
        <v>410</v>
      </c>
      <c r="F55" s="24">
        <f t="shared" si="2"/>
        <v>18450</v>
      </c>
      <c r="G55" s="12" t="s">
        <v>67</v>
      </c>
      <c r="H55" s="12" t="s">
        <v>134</v>
      </c>
      <c r="I55" s="1"/>
      <c r="J55" s="1"/>
      <c r="K55" s="1"/>
      <c r="L55" s="1"/>
      <c r="M55" s="1"/>
    </row>
    <row r="56" spans="1:13" x14ac:dyDescent="0.6">
      <c r="A56" s="1">
        <v>5</v>
      </c>
      <c r="B56" s="15" t="s">
        <v>116</v>
      </c>
      <c r="C56" s="1" t="s">
        <v>21</v>
      </c>
      <c r="D56" s="11">
        <v>60</v>
      </c>
      <c r="E56" s="12">
        <v>500</v>
      </c>
      <c r="F56" s="24">
        <f t="shared" si="2"/>
        <v>30000</v>
      </c>
      <c r="G56" s="12" t="s">
        <v>67</v>
      </c>
      <c r="H56" s="12" t="s">
        <v>134</v>
      </c>
      <c r="I56" s="1"/>
      <c r="J56" s="1"/>
      <c r="K56" s="1"/>
      <c r="L56" s="1"/>
      <c r="M56" s="1"/>
    </row>
    <row r="57" spans="1:13" x14ac:dyDescent="0.6">
      <c r="A57" s="1">
        <v>6</v>
      </c>
      <c r="B57" s="15" t="s">
        <v>117</v>
      </c>
      <c r="C57" s="1" t="s">
        <v>21</v>
      </c>
      <c r="D57" s="11">
        <v>75</v>
      </c>
      <c r="E57" s="12">
        <v>850</v>
      </c>
      <c r="F57" s="24">
        <f t="shared" si="2"/>
        <v>63750</v>
      </c>
      <c r="G57" s="12" t="s">
        <v>67</v>
      </c>
      <c r="H57" s="12" t="s">
        <v>134</v>
      </c>
      <c r="I57" s="1"/>
      <c r="J57" s="1"/>
      <c r="K57" s="1"/>
      <c r="L57" s="1"/>
      <c r="M57" s="1"/>
    </row>
    <row r="58" spans="1:13" ht="24.6" x14ac:dyDescent="0.7">
      <c r="A58" s="1">
        <v>7</v>
      </c>
      <c r="B58" s="26" t="s">
        <v>118</v>
      </c>
      <c r="C58" s="1" t="s">
        <v>129</v>
      </c>
      <c r="D58" s="11">
        <v>120</v>
      </c>
      <c r="E58" s="12">
        <v>500</v>
      </c>
      <c r="F58" s="24">
        <f t="shared" si="2"/>
        <v>60000</v>
      </c>
      <c r="G58" s="12" t="s">
        <v>69</v>
      </c>
      <c r="H58" s="23" t="s">
        <v>135</v>
      </c>
      <c r="I58" s="1"/>
      <c r="J58" s="1"/>
      <c r="K58" s="1"/>
      <c r="L58" s="1"/>
      <c r="M58" s="1"/>
    </row>
    <row r="59" spans="1:13" x14ac:dyDescent="0.6">
      <c r="A59" s="1">
        <v>8</v>
      </c>
      <c r="B59" s="22" t="s">
        <v>119</v>
      </c>
      <c r="C59" s="23" t="s">
        <v>130</v>
      </c>
      <c r="D59" s="25">
        <v>20</v>
      </c>
      <c r="E59" s="24">
        <v>1800</v>
      </c>
      <c r="F59" s="24">
        <f t="shared" si="2"/>
        <v>36000</v>
      </c>
      <c r="G59" s="23" t="s">
        <v>69</v>
      </c>
      <c r="H59" s="23" t="s">
        <v>135</v>
      </c>
      <c r="I59" s="1"/>
      <c r="J59" s="1"/>
      <c r="K59" s="1"/>
      <c r="L59" s="1"/>
      <c r="M59" s="1"/>
    </row>
    <row r="60" spans="1:13" x14ac:dyDescent="0.6">
      <c r="A60" s="1">
        <v>9</v>
      </c>
      <c r="B60" s="22" t="s">
        <v>120</v>
      </c>
      <c r="C60" s="23" t="s">
        <v>71</v>
      </c>
      <c r="D60" s="25">
        <v>80</v>
      </c>
      <c r="E60" s="24">
        <v>3600</v>
      </c>
      <c r="F60" s="24">
        <f t="shared" si="2"/>
        <v>288000</v>
      </c>
      <c r="G60" s="23" t="s">
        <v>69</v>
      </c>
      <c r="H60" s="23" t="s">
        <v>135</v>
      </c>
      <c r="I60" s="1"/>
      <c r="J60" s="1"/>
      <c r="K60" s="1"/>
      <c r="L60" s="1"/>
      <c r="M60" s="1"/>
    </row>
    <row r="61" spans="1:13" x14ac:dyDescent="0.6">
      <c r="A61" s="1">
        <v>10</v>
      </c>
      <c r="B61" s="22" t="s">
        <v>121</v>
      </c>
      <c r="C61" s="23" t="s">
        <v>27</v>
      </c>
      <c r="D61" s="25">
        <v>24</v>
      </c>
      <c r="E61" s="24">
        <v>16800</v>
      </c>
      <c r="F61" s="24">
        <f t="shared" si="2"/>
        <v>403200</v>
      </c>
      <c r="G61" s="23" t="s">
        <v>69</v>
      </c>
      <c r="H61" s="23" t="s">
        <v>135</v>
      </c>
      <c r="I61" s="1"/>
      <c r="J61" s="1"/>
      <c r="K61" s="1"/>
      <c r="L61" s="1"/>
      <c r="M61" s="1"/>
    </row>
    <row r="62" spans="1:13" x14ac:dyDescent="0.6">
      <c r="A62" s="1">
        <v>11</v>
      </c>
      <c r="B62" s="22" t="s">
        <v>122</v>
      </c>
      <c r="C62" s="23" t="s">
        <v>25</v>
      </c>
      <c r="D62" s="25">
        <v>16</v>
      </c>
      <c r="E62" s="24">
        <v>7629.1</v>
      </c>
      <c r="F62" s="24">
        <f t="shared" si="2"/>
        <v>122065.60000000001</v>
      </c>
      <c r="G62" s="23" t="s">
        <v>10</v>
      </c>
      <c r="H62" s="23" t="s">
        <v>136</v>
      </c>
      <c r="I62" s="1"/>
      <c r="J62" s="1"/>
      <c r="K62" s="1"/>
      <c r="L62" s="1"/>
      <c r="M62" s="1"/>
    </row>
    <row r="63" spans="1:13" x14ac:dyDescent="0.6">
      <c r="A63" s="1">
        <v>12</v>
      </c>
      <c r="B63" s="22" t="s">
        <v>123</v>
      </c>
      <c r="C63" s="23" t="s">
        <v>24</v>
      </c>
      <c r="D63" s="25">
        <v>80</v>
      </c>
      <c r="E63" s="24">
        <v>2249.14</v>
      </c>
      <c r="F63" s="24">
        <f t="shared" si="2"/>
        <v>179931.19999999998</v>
      </c>
      <c r="G63" s="23" t="s">
        <v>10</v>
      </c>
      <c r="H63" s="23" t="s">
        <v>136</v>
      </c>
      <c r="I63" s="1"/>
      <c r="J63" s="1"/>
      <c r="K63" s="1"/>
      <c r="L63" s="1"/>
      <c r="M63" s="1"/>
    </row>
    <row r="64" spans="1:13" x14ac:dyDescent="0.6">
      <c r="A64" s="1">
        <v>13</v>
      </c>
      <c r="B64" s="22" t="s">
        <v>124</v>
      </c>
      <c r="C64" s="23" t="s">
        <v>21</v>
      </c>
      <c r="D64" s="25">
        <v>420</v>
      </c>
      <c r="E64" s="24">
        <v>208.65</v>
      </c>
      <c r="F64" s="24">
        <f t="shared" si="2"/>
        <v>87633</v>
      </c>
      <c r="G64" s="23" t="s">
        <v>10</v>
      </c>
      <c r="H64" s="23" t="s">
        <v>136</v>
      </c>
      <c r="I64" s="1"/>
      <c r="J64" s="1"/>
      <c r="K64" s="1"/>
      <c r="L64" s="1"/>
      <c r="M64" s="1"/>
    </row>
    <row r="65" spans="1:13" x14ac:dyDescent="0.6">
      <c r="A65" s="1">
        <v>14</v>
      </c>
      <c r="B65" s="22" t="s">
        <v>125</v>
      </c>
      <c r="C65" s="23" t="s">
        <v>131</v>
      </c>
      <c r="D65" s="25">
        <v>40</v>
      </c>
      <c r="E65" s="24">
        <v>1070</v>
      </c>
      <c r="F65" s="24">
        <f t="shared" si="2"/>
        <v>42800</v>
      </c>
      <c r="G65" s="23" t="s">
        <v>10</v>
      </c>
      <c r="H65" s="23" t="s">
        <v>136</v>
      </c>
      <c r="I65" s="1"/>
      <c r="J65" s="1"/>
      <c r="K65" s="1"/>
      <c r="L65" s="1"/>
      <c r="M65" s="1"/>
    </row>
    <row r="66" spans="1:13" x14ac:dyDescent="0.6">
      <c r="A66" s="1">
        <v>15</v>
      </c>
      <c r="B66" s="22" t="s">
        <v>126</v>
      </c>
      <c r="C66" s="23" t="s">
        <v>14</v>
      </c>
      <c r="D66" s="25">
        <v>94</v>
      </c>
      <c r="E66" s="24">
        <v>5240</v>
      </c>
      <c r="F66" s="24">
        <f t="shared" si="2"/>
        <v>492560</v>
      </c>
      <c r="G66" s="23" t="s">
        <v>18</v>
      </c>
      <c r="H66" s="23" t="s">
        <v>137</v>
      </c>
      <c r="I66" s="1"/>
      <c r="J66" s="1"/>
      <c r="K66" s="1"/>
      <c r="L66" s="1"/>
      <c r="M66" s="1"/>
    </row>
    <row r="67" spans="1:13" x14ac:dyDescent="0.6">
      <c r="A67" s="1">
        <v>16</v>
      </c>
      <c r="B67" s="22" t="s">
        <v>127</v>
      </c>
      <c r="C67" s="23" t="s">
        <v>14</v>
      </c>
      <c r="D67" s="25">
        <v>20</v>
      </c>
      <c r="E67" s="24">
        <v>8000</v>
      </c>
      <c r="F67" s="24">
        <f t="shared" si="2"/>
        <v>160000</v>
      </c>
      <c r="G67" s="23" t="s">
        <v>18</v>
      </c>
      <c r="H67" s="23" t="s">
        <v>137</v>
      </c>
      <c r="I67" s="1"/>
      <c r="J67" s="1"/>
      <c r="K67" s="1"/>
      <c r="L67" s="1"/>
      <c r="M67" s="1"/>
    </row>
    <row r="68" spans="1:13" x14ac:dyDescent="0.6">
      <c r="A68" s="1">
        <v>17</v>
      </c>
      <c r="B68" s="22" t="s">
        <v>128</v>
      </c>
      <c r="C68" s="23" t="s">
        <v>9</v>
      </c>
      <c r="D68" s="25">
        <v>10000</v>
      </c>
      <c r="E68" s="24">
        <v>8.85</v>
      </c>
      <c r="F68" s="24">
        <f t="shared" si="2"/>
        <v>88500</v>
      </c>
      <c r="G68" s="23" t="s">
        <v>132</v>
      </c>
      <c r="H68" s="23" t="s">
        <v>144</v>
      </c>
      <c r="I68" s="1"/>
      <c r="J68" s="1"/>
      <c r="K68" s="1"/>
      <c r="L68" s="1"/>
      <c r="M68" s="1"/>
    </row>
    <row r="69" spans="1:13" x14ac:dyDescent="0.6">
      <c r="A69" s="1"/>
      <c r="B69" s="22"/>
      <c r="C69" s="23"/>
      <c r="D69" s="25"/>
      <c r="E69" s="24"/>
      <c r="F69" s="31">
        <f>SUM(F52:F68)</f>
        <v>2261489.7999999998</v>
      </c>
      <c r="G69" s="23"/>
      <c r="H69" s="23"/>
      <c r="I69" s="1"/>
      <c r="J69" s="1"/>
      <c r="K69" s="1"/>
      <c r="L69" s="1"/>
      <c r="M69" s="1"/>
    </row>
    <row r="70" spans="1:13" ht="24.6" x14ac:dyDescent="0.7">
      <c r="A70" s="1"/>
      <c r="B70" s="18" t="s">
        <v>13</v>
      </c>
      <c r="C70" s="23"/>
      <c r="D70" s="25"/>
      <c r="E70" s="24"/>
      <c r="F70" s="31"/>
      <c r="G70" s="23"/>
      <c r="H70" s="23"/>
      <c r="I70" s="1"/>
      <c r="J70" s="1"/>
      <c r="K70" s="1"/>
      <c r="L70" s="1"/>
      <c r="M70" s="1"/>
    </row>
    <row r="71" spans="1:13" x14ac:dyDescent="0.6">
      <c r="A71" s="1">
        <v>1</v>
      </c>
      <c r="B71" s="22" t="s">
        <v>147</v>
      </c>
      <c r="C71" s="23" t="s">
        <v>103</v>
      </c>
      <c r="D71" s="25">
        <v>150</v>
      </c>
      <c r="E71" s="24">
        <v>342.4</v>
      </c>
      <c r="F71" s="24">
        <f t="shared" ref="F71:F77" si="3">D71*E71</f>
        <v>51360</v>
      </c>
      <c r="G71" s="23" t="s">
        <v>10</v>
      </c>
      <c r="H71" s="23" t="s">
        <v>145</v>
      </c>
      <c r="I71" s="1"/>
      <c r="J71" s="1"/>
      <c r="K71" s="1"/>
      <c r="L71" s="1"/>
      <c r="M71" s="1"/>
    </row>
    <row r="72" spans="1:13" x14ac:dyDescent="0.6">
      <c r="A72" s="1">
        <v>2</v>
      </c>
      <c r="B72" s="22" t="s">
        <v>148</v>
      </c>
      <c r="C72" s="23" t="s">
        <v>154</v>
      </c>
      <c r="D72" s="25">
        <v>300</v>
      </c>
      <c r="E72" s="24">
        <v>368.08</v>
      </c>
      <c r="F72" s="24">
        <f t="shared" si="3"/>
        <v>110424</v>
      </c>
      <c r="G72" s="23" t="s">
        <v>10</v>
      </c>
      <c r="H72" s="23" t="s">
        <v>146</v>
      </c>
      <c r="I72" s="1"/>
      <c r="J72" s="1"/>
      <c r="K72" s="1"/>
      <c r="L72" s="1"/>
      <c r="M72" s="1"/>
    </row>
    <row r="73" spans="1:13" x14ac:dyDescent="0.6">
      <c r="A73" s="1">
        <v>3</v>
      </c>
      <c r="B73" s="22" t="s">
        <v>149</v>
      </c>
      <c r="C73" s="23" t="s">
        <v>154</v>
      </c>
      <c r="D73" s="25">
        <v>200</v>
      </c>
      <c r="E73" s="24">
        <v>475.08</v>
      </c>
      <c r="F73" s="24">
        <f t="shared" si="3"/>
        <v>95016</v>
      </c>
      <c r="G73" s="23" t="s">
        <v>10</v>
      </c>
      <c r="H73" s="23" t="s">
        <v>146</v>
      </c>
      <c r="I73" s="1"/>
      <c r="J73" s="1"/>
      <c r="K73" s="1"/>
      <c r="L73" s="1"/>
      <c r="M73" s="1"/>
    </row>
    <row r="74" spans="1:13" x14ac:dyDescent="0.6">
      <c r="A74" s="1">
        <v>4</v>
      </c>
      <c r="B74" s="22" t="s">
        <v>150</v>
      </c>
      <c r="C74" s="23" t="s">
        <v>9</v>
      </c>
      <c r="D74" s="25">
        <v>3500</v>
      </c>
      <c r="E74" s="24">
        <v>85.6</v>
      </c>
      <c r="F74" s="24">
        <f t="shared" si="3"/>
        <v>299600</v>
      </c>
      <c r="G74" s="23" t="s">
        <v>155</v>
      </c>
      <c r="H74" s="23" t="s">
        <v>157</v>
      </c>
      <c r="I74" s="1"/>
      <c r="J74" s="1"/>
      <c r="K74" s="1"/>
      <c r="L74" s="1"/>
      <c r="M74" s="1"/>
    </row>
    <row r="75" spans="1:13" x14ac:dyDescent="0.6">
      <c r="A75" s="1">
        <v>5</v>
      </c>
      <c r="B75" s="22" t="s">
        <v>151</v>
      </c>
      <c r="C75" s="23" t="s">
        <v>19</v>
      </c>
      <c r="D75" s="25">
        <v>22000</v>
      </c>
      <c r="E75" s="24">
        <v>3.11</v>
      </c>
      <c r="F75" s="24">
        <f t="shared" si="3"/>
        <v>68420</v>
      </c>
      <c r="G75" s="23" t="s">
        <v>156</v>
      </c>
      <c r="H75" s="23" t="s">
        <v>139</v>
      </c>
      <c r="I75" s="1"/>
      <c r="J75" s="1"/>
      <c r="K75" s="1"/>
      <c r="L75" s="1"/>
      <c r="M75" s="1"/>
    </row>
    <row r="76" spans="1:13" x14ac:dyDescent="0.6">
      <c r="A76" s="1">
        <v>6</v>
      </c>
      <c r="B76" s="22" t="s">
        <v>152</v>
      </c>
      <c r="C76" s="23" t="s">
        <v>19</v>
      </c>
      <c r="D76" s="25">
        <v>8000</v>
      </c>
      <c r="E76" s="24">
        <v>3.11</v>
      </c>
      <c r="F76" s="24">
        <f t="shared" si="3"/>
        <v>24880</v>
      </c>
      <c r="G76" s="23" t="s">
        <v>156</v>
      </c>
      <c r="H76" s="23" t="s">
        <v>139</v>
      </c>
      <c r="I76" s="1"/>
      <c r="J76" s="1"/>
      <c r="K76" s="1"/>
      <c r="L76" s="1"/>
      <c r="M76" s="1"/>
    </row>
    <row r="77" spans="1:13" x14ac:dyDescent="0.6">
      <c r="A77" s="1">
        <v>7</v>
      </c>
      <c r="B77" s="22" t="s">
        <v>153</v>
      </c>
      <c r="C77" s="23" t="s">
        <v>19</v>
      </c>
      <c r="D77" s="25">
        <v>2000</v>
      </c>
      <c r="E77" s="24">
        <v>7.45</v>
      </c>
      <c r="F77" s="24">
        <f t="shared" si="3"/>
        <v>14900</v>
      </c>
      <c r="G77" s="23" t="s">
        <v>156</v>
      </c>
      <c r="H77" s="23" t="s">
        <v>139</v>
      </c>
      <c r="I77" s="1"/>
      <c r="J77" s="1"/>
      <c r="K77" s="1"/>
      <c r="L77" s="1"/>
      <c r="M77" s="1"/>
    </row>
    <row r="78" spans="1:13" x14ac:dyDescent="0.6">
      <c r="A78" s="1"/>
      <c r="B78" s="22"/>
      <c r="C78" s="23"/>
      <c r="D78" s="25"/>
      <c r="E78" s="24"/>
      <c r="F78" s="31">
        <f>SUM(F71:F77)</f>
        <v>664600</v>
      </c>
      <c r="G78" s="23"/>
      <c r="H78" s="23"/>
      <c r="I78" s="1"/>
      <c r="J78" s="1"/>
      <c r="K78" s="1"/>
      <c r="L78" s="1"/>
      <c r="M78" s="1"/>
    </row>
    <row r="79" spans="1:13" x14ac:dyDescent="0.6">
      <c r="A79" s="1"/>
      <c r="B79" s="22"/>
      <c r="C79" s="23"/>
      <c r="D79" s="25"/>
      <c r="E79" s="24"/>
      <c r="F79" s="31"/>
      <c r="G79" s="23"/>
      <c r="H79" s="23"/>
      <c r="I79" s="1"/>
      <c r="J79" s="1"/>
      <c r="K79" s="1"/>
      <c r="L79" s="1"/>
      <c r="M79" s="1"/>
    </row>
    <row r="80" spans="1:13" ht="24.6" x14ac:dyDescent="0.25">
      <c r="A80" s="1"/>
      <c r="B80" s="33" t="s">
        <v>28</v>
      </c>
      <c r="C80" s="1"/>
      <c r="D80" s="11"/>
      <c r="E80" s="12"/>
      <c r="F80" s="12"/>
      <c r="G80" s="12"/>
      <c r="H80" s="12"/>
      <c r="I80" s="1"/>
      <c r="J80" s="28"/>
      <c r="K80" s="1"/>
      <c r="L80" s="28"/>
      <c r="M80" s="1"/>
    </row>
    <row r="81" spans="1:13" ht="24.6" x14ac:dyDescent="0.7">
      <c r="A81" s="1"/>
      <c r="B81" s="14" t="s">
        <v>11</v>
      </c>
      <c r="C81" s="1"/>
      <c r="D81" s="11"/>
      <c r="E81" s="12"/>
      <c r="F81" s="12"/>
      <c r="G81" s="12"/>
      <c r="H81" s="12"/>
      <c r="I81" s="1"/>
      <c r="J81" s="28"/>
      <c r="K81" s="1"/>
      <c r="L81" s="28"/>
      <c r="M81" s="1"/>
    </row>
    <row r="82" spans="1:13" x14ac:dyDescent="0.6">
      <c r="A82" s="1">
        <v>1</v>
      </c>
      <c r="B82" s="22" t="s">
        <v>138</v>
      </c>
      <c r="C82" s="23" t="s">
        <v>15</v>
      </c>
      <c r="D82" s="25">
        <v>200</v>
      </c>
      <c r="E82" s="24">
        <v>20.399999999999999</v>
      </c>
      <c r="F82" s="24">
        <f t="shared" ref="F82" si="4">D82*E82</f>
        <v>4079.9999999999995</v>
      </c>
      <c r="G82" s="23" t="s">
        <v>29</v>
      </c>
      <c r="H82" s="23" t="s">
        <v>141</v>
      </c>
      <c r="I82" s="1"/>
      <c r="J82" s="28"/>
      <c r="K82" s="1"/>
      <c r="L82" s="28"/>
      <c r="M82" s="1"/>
    </row>
    <row r="83" spans="1:13" x14ac:dyDescent="0.25">
      <c r="A83" s="1"/>
      <c r="B83" s="15"/>
      <c r="C83" s="1"/>
      <c r="D83" s="11"/>
      <c r="E83" s="12"/>
      <c r="F83" s="13">
        <f>SUM(F82)</f>
        <v>4079.9999999999995</v>
      </c>
      <c r="G83" s="12"/>
      <c r="H83" s="12"/>
      <c r="I83" s="1"/>
      <c r="J83" s="28"/>
      <c r="K83" s="1"/>
      <c r="L83" s="28"/>
      <c r="M83" s="1"/>
    </row>
    <row r="84" spans="1:13" ht="24.6" x14ac:dyDescent="0.7">
      <c r="A84" s="1"/>
      <c r="B84" s="18" t="s">
        <v>13</v>
      </c>
      <c r="C84" s="1"/>
      <c r="D84" s="11"/>
      <c r="E84" s="12"/>
      <c r="F84" s="12"/>
      <c r="G84" s="12"/>
      <c r="H84" s="12"/>
      <c r="I84" s="1"/>
      <c r="J84" s="28"/>
      <c r="K84" s="1"/>
      <c r="L84" s="28"/>
      <c r="M84" s="1"/>
    </row>
    <row r="85" spans="1:13" x14ac:dyDescent="0.6">
      <c r="A85" s="1">
        <v>1</v>
      </c>
      <c r="B85" s="15" t="s">
        <v>140</v>
      </c>
      <c r="C85" s="1" t="s">
        <v>24</v>
      </c>
      <c r="D85" s="11">
        <v>19200</v>
      </c>
      <c r="E85" s="12">
        <v>3</v>
      </c>
      <c r="F85" s="24">
        <f t="shared" ref="F85" si="5">D85*E85</f>
        <v>57600</v>
      </c>
      <c r="G85" s="12" t="s">
        <v>104</v>
      </c>
      <c r="H85" s="12" t="s">
        <v>158</v>
      </c>
      <c r="I85" s="1"/>
      <c r="J85" s="28"/>
      <c r="K85" s="1"/>
      <c r="L85" s="28"/>
      <c r="M85" s="1"/>
    </row>
    <row r="86" spans="1:13" x14ac:dyDescent="0.25">
      <c r="A86" s="1"/>
      <c r="B86" s="15"/>
      <c r="C86" s="1"/>
      <c r="D86" s="11"/>
      <c r="E86" s="12"/>
      <c r="F86" s="13">
        <f>SUM(F85:F85)</f>
        <v>57600</v>
      </c>
      <c r="G86" s="12"/>
      <c r="H86" s="12"/>
      <c r="I86" s="1"/>
      <c r="J86" s="28"/>
      <c r="K86" s="1"/>
      <c r="L86" s="28"/>
      <c r="M86" s="1"/>
    </row>
    <row r="87" spans="1:13" x14ac:dyDescent="0.25">
      <c r="J87" s="27"/>
    </row>
    <row r="88" spans="1:13" x14ac:dyDescent="0.25">
      <c r="J88" s="27"/>
    </row>
    <row r="89" spans="1:13" x14ac:dyDescent="0.25">
      <c r="J89" s="27"/>
    </row>
    <row r="90" spans="1:13" x14ac:dyDescent="0.25">
      <c r="J90" s="27"/>
    </row>
    <row r="91" spans="1:13" x14ac:dyDescent="0.25">
      <c r="J91" s="27"/>
    </row>
    <row r="92" spans="1:13" x14ac:dyDescent="0.25">
      <c r="J92" s="27"/>
    </row>
    <row r="93" spans="1:13" x14ac:dyDescent="0.25">
      <c r="J93" s="27"/>
    </row>
  </sheetData>
  <mergeCells count="2">
    <mergeCell ref="A2:H2"/>
    <mergeCell ref="A1:H1"/>
  </mergeCells>
  <phoneticPr fontId="2" type="noConversion"/>
  <conditionalFormatting sqref="J1:J1048576">
    <cfRule type="cellIs" dxfId="17" priority="4" operator="equal">
      <formula>"ตรวจรับ"</formula>
    </cfRule>
    <cfRule type="cellIs" dxfId="16" priority="5" operator="equal">
      <formula>"แนบบิล"</formula>
    </cfRule>
    <cfRule type="cellIs" dxfId="15" priority="6" operator="equal">
      <formula>"ทำใบสั่งซื้อ"</formula>
    </cfRule>
    <cfRule type="cellIs" dxfId="14" priority="7" operator="equal">
      <formula>"พี่เด่นประกาศ"</formula>
    </cfRule>
    <cfRule type="cellIs" dxfId="13" priority="8" operator="equal">
      <formula>"ย้อนEGP"</formula>
    </cfRule>
    <cfRule type="cellIs" dxfId="12" priority="9" operator="equal">
      <formula>"ย้อน EGP."</formula>
    </cfRule>
    <cfRule type="cellIs" dxfId="11" priority="10" operator="equal">
      <formula>"ย้อน EGP."</formula>
    </cfRule>
    <cfRule type="cellIs" dxfId="10" priority="11" operator="equal">
      <formula>"เสนอ ผอ."</formula>
    </cfRule>
    <cfRule type="cellIs" dxfId="9" priority="12" operator="equal">
      <formula>"เสนอหัวหน้าเจ้า+เจ้า"</formula>
    </cfRule>
  </conditionalFormatting>
  <conditionalFormatting sqref="J5">
    <cfRule type="cellIs" dxfId="8" priority="16" operator="equal">
      <formula>"แต่งตั้งกรรมการ"</formula>
    </cfRule>
    <cfRule type="cellIs" dxfId="7" priority="18" operator="equal">
      <formula>"แต่งตั้งกรรมการ"</formula>
    </cfRule>
    <cfRule type="cellIs" dxfId="6" priority="19" operator="equal">
      <formula>"ตรวจรับ"</formula>
    </cfRule>
  </conditionalFormatting>
  <conditionalFormatting sqref="J5:J93">
    <cfRule type="cellIs" dxfId="5" priority="13" operator="equal">
      <formula>"เสนอพี่เด่น"</formula>
    </cfRule>
    <cfRule type="cellIs" dxfId="4" priority="14" operator="equal">
      <formula>"เดินกรรมการ"</formula>
    </cfRule>
    <cfRule type="cellIs" dxfId="3" priority="15" operator="equal">
      <formula>"แต่งตั้งกรรมการ"</formula>
    </cfRule>
  </conditionalFormatting>
  <conditionalFormatting sqref="L1:L1048576">
    <cfRule type="cellIs" dxfId="2" priority="1" operator="equal">
      <formula>"รับบิลเข้าระบบ"</formula>
    </cfRule>
    <cfRule type="cellIs" dxfId="1" priority="2" operator="equal">
      <formula>"ส่งบิลจัดซื้อ"</formula>
    </cfRule>
    <cfRule type="cellIs" dxfId="0" priority="3" operator="equal">
      <formula>"รับของ"</formula>
    </cfRule>
  </conditionalFormatting>
  <dataValidations count="2">
    <dataValidation type="list" allowBlank="1" showInputMessage="1" showErrorMessage="1" sqref="J5:J86" xr:uid="{D07A337E-6011-4068-B24C-33BCFD1BB3D5}">
      <formula1>"แต่งตั้งกรรมการ,เดินกรรมการ,เสนอพี่เด่น,เสนอหัวหน้าเจ้า+เจ้า,เสนอ ผอ.,ย้อนEGP,พี่เด่นประกาศ,ทำใบสั่งซื้อ,แนบบิล,ตรวจรับ"</formula1>
    </dataValidation>
    <dataValidation type="list" allowBlank="1" showInputMessage="1" showErrorMessage="1" sqref="L1:L1048576" xr:uid="{DD89EF44-0473-4AF2-8C8B-BE9682BA0BE4}">
      <formula1>"รับของ,ส่งบิลจัดซื้อ,รับบิลเข้าระบบ"</formula1>
    </dataValidation>
  </dataValidations>
  <pageMargins left="0.19685039370078741" right="0.19685039370078741" top="0.23622047244094491" bottom="0.23622047244094491" header="0.23622047244094491" footer="0.19685039370078741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ssb</dc:creator>
  <cp:lastModifiedBy>natcha kaojaidee</cp:lastModifiedBy>
  <cp:lastPrinted>2026-04-23T12:03:33Z</cp:lastPrinted>
  <dcterms:created xsi:type="dcterms:W3CDTF">2018-10-11T10:45:38Z</dcterms:created>
  <dcterms:modified xsi:type="dcterms:W3CDTF">2026-05-16T03:11:31Z</dcterms:modified>
</cp:coreProperties>
</file>